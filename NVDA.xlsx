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43E2811-2544-E341-B252-F395DC083D7F}"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5" i="3" l="1"/>
  <c r="AA156" i="3" s="1"/>
  <c r="Z155" i="3"/>
  <c r="Z156" i="3" s="1"/>
  <c r="Y155" i="3"/>
  <c r="Y156" i="3" s="1"/>
  <c r="X155" i="3"/>
  <c r="X156" i="3" s="1"/>
  <c r="W155" i="3"/>
  <c r="W156" i="3" s="1"/>
  <c r="V155" i="3"/>
  <c r="V156" i="3" s="1"/>
  <c r="U155" i="3"/>
  <c r="U156" i="3" s="1"/>
  <c r="T155" i="3"/>
  <c r="T156" i="3" s="1"/>
  <c r="AA154" i="3"/>
  <c r="Z154" i="3"/>
  <c r="Y154" i="3"/>
  <c r="X154" i="3"/>
  <c r="W154" i="3"/>
  <c r="V154" i="3"/>
  <c r="U154" i="3"/>
  <c r="T154" i="3"/>
  <c r="AA115" i="3"/>
  <c r="Z115" i="3"/>
  <c r="Y115" i="3"/>
  <c r="X115" i="3"/>
  <c r="W115" i="3"/>
  <c r="V115" i="3"/>
  <c r="U115" i="3"/>
  <c r="T115" i="3"/>
  <c r="C24" i="21"/>
  <c r="G7" i="21"/>
  <c r="F7" i="21"/>
  <c r="E7" i="21"/>
  <c r="D7" i="21"/>
  <c r="C7" i="21"/>
  <c r="G6" i="21"/>
  <c r="F6" i="21"/>
  <c r="E6" i="21"/>
  <c r="D6" i="21"/>
  <c r="C6" i="21"/>
  <c r="G11" i="21"/>
  <c r="F11" i="21"/>
  <c r="E11" i="21"/>
  <c r="L5" i="21"/>
  <c r="K5" i="21"/>
  <c r="J5" i="21"/>
  <c r="I5" i="21"/>
  <c r="H5" i="21"/>
  <c r="G5" i="21"/>
  <c r="F5" i="21"/>
  <c r="E5" i="21"/>
  <c r="D5" i="21"/>
  <c r="C5" i="21"/>
  <c r="C51" i="12"/>
  <c r="C64" i="12"/>
  <c r="C63" i="12"/>
  <c r="C44" i="12"/>
  <c r="C43"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2" i="3"/>
  <c r="Q182" i="3"/>
  <c r="P182" i="3"/>
  <c r="O182" i="3"/>
  <c r="N182" i="3"/>
  <c r="M182" i="3"/>
  <c r="AC185"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Z199" i="3"/>
  <c r="Y199" i="3"/>
  <c r="X199" i="3"/>
  <c r="W199" i="3"/>
  <c r="V199" i="3"/>
  <c r="U199" i="3"/>
  <c r="T199" i="3"/>
  <c r="Q199" i="3"/>
  <c r="P199" i="3"/>
  <c r="O199" i="3"/>
  <c r="N199" i="3"/>
  <c r="M199" i="3"/>
  <c r="AC192" i="3"/>
  <c r="AA137" i="3"/>
  <c r="AA133" i="3"/>
  <c r="G10" i="16"/>
  <c r="T57" i="3"/>
  <c r="X57" i="3"/>
  <c r="U57" i="3"/>
  <c r="Y57" i="3"/>
  <c r="V57" i="3"/>
  <c r="Z57" i="3"/>
  <c r="W57" i="3"/>
  <c r="AA57" i="3"/>
  <c r="M57" i="3"/>
  <c r="N57" i="3"/>
  <c r="P59" i="3"/>
  <c r="O57" i="3"/>
  <c r="P57" i="3"/>
  <c r="Q57" i="3"/>
  <c r="T28" i="3"/>
  <c r="U28" i="3"/>
  <c r="V28" i="3"/>
  <c r="W28" i="3"/>
  <c r="X28" i="3"/>
  <c r="Y28" i="3"/>
  <c r="Z28" i="3"/>
  <c r="AA28" i="3"/>
  <c r="M28" i="3"/>
  <c r="N28" i="3"/>
  <c r="O28" i="3"/>
  <c r="P28" i="3"/>
  <c r="Q28" i="3"/>
  <c r="T12" i="3"/>
  <c r="X12" i="3"/>
  <c r="U12" i="3"/>
  <c r="Y12" i="3"/>
  <c r="V12" i="3"/>
  <c r="Z12" i="3"/>
  <c r="W12" i="3"/>
  <c r="AA12"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Z106" i="3"/>
  <c r="Y106" i="3"/>
  <c r="X106" i="3"/>
  <c r="W106" i="3"/>
  <c r="V106" i="3"/>
  <c r="U106" i="3"/>
  <c r="T106" i="3"/>
  <c r="Q106" i="3"/>
  <c r="P106" i="3"/>
  <c r="O106" i="3"/>
  <c r="N106" i="3"/>
  <c r="M106" i="3"/>
  <c r="AC38" i="3"/>
  <c r="AA76" i="3"/>
  <c r="Z198" i="3"/>
  <c r="Y198" i="3"/>
  <c r="X198" i="3"/>
  <c r="W198" i="3"/>
  <c r="V198" i="3"/>
  <c r="U198" i="3"/>
  <c r="T198" i="3"/>
  <c r="Z197" i="3"/>
  <c r="Y197" i="3"/>
  <c r="X197" i="3"/>
  <c r="W197" i="3"/>
  <c r="V197" i="3"/>
  <c r="U197" i="3"/>
  <c r="T197" i="3"/>
  <c r="Z196" i="3"/>
  <c r="Y196" i="3"/>
  <c r="X196" i="3"/>
  <c r="W196" i="3"/>
  <c r="V196" i="3"/>
  <c r="U196" i="3"/>
  <c r="T196" i="3"/>
  <c r="Z176" i="3"/>
  <c r="Y176" i="3"/>
  <c r="X176" i="3"/>
  <c r="W176" i="3"/>
  <c r="V176" i="3"/>
  <c r="U176" i="3"/>
  <c r="T176" i="3"/>
  <c r="Z175" i="3"/>
  <c r="Y175" i="3"/>
  <c r="X175" i="3"/>
  <c r="W175" i="3"/>
  <c r="V175" i="3"/>
  <c r="U175" i="3"/>
  <c r="T175" i="3"/>
  <c r="Z150" i="3"/>
  <c r="Y150" i="3"/>
  <c r="X150" i="3"/>
  <c r="W150" i="3"/>
  <c r="V150" i="3"/>
  <c r="U150" i="3"/>
  <c r="T150" i="3"/>
  <c r="Z145" i="3"/>
  <c r="Y145" i="3"/>
  <c r="X145" i="3"/>
  <c r="W145" i="3"/>
  <c r="V145" i="3"/>
  <c r="U145" i="3"/>
  <c r="T145" i="3"/>
  <c r="Z144" i="3"/>
  <c r="Y144" i="3"/>
  <c r="X144" i="3"/>
  <c r="W144" i="3"/>
  <c r="V144" i="3"/>
  <c r="U144" i="3"/>
  <c r="T144"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08" i="3"/>
  <c r="Q108" i="3"/>
  <c r="O108" i="3"/>
  <c r="N108" i="3"/>
  <c r="M108" i="3"/>
  <c r="AA144" i="3"/>
  <c r="Q144" i="3"/>
  <c r="P144" i="3"/>
  <c r="O144" i="3"/>
  <c r="N144" i="3"/>
  <c r="M144" i="3"/>
  <c r="AC30" i="3"/>
  <c r="AC63" i="3"/>
  <c r="AA176" i="3"/>
  <c r="Q176" i="3"/>
  <c r="P176" i="3"/>
  <c r="O176" i="3"/>
  <c r="N176" i="3"/>
  <c r="M176" i="3"/>
  <c r="AA175" i="3"/>
  <c r="Q175" i="3"/>
  <c r="P175" i="3"/>
  <c r="O175" i="3"/>
  <c r="N175" i="3"/>
  <c r="M175" i="3"/>
  <c r="N151" i="3"/>
  <c r="AA150" i="3"/>
  <c r="Q150" i="3"/>
  <c r="P150" i="3"/>
  <c r="O150" i="3"/>
  <c r="N150" i="3"/>
  <c r="M150" i="3"/>
  <c r="AA145" i="3"/>
  <c r="Q145" i="3"/>
  <c r="P145" i="3"/>
  <c r="O145" i="3"/>
  <c r="N145" i="3"/>
  <c r="M145"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10"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C21" i="21"/>
  <c r="C23" i="21" s="1"/>
  <c r="C26" i="21" s="1"/>
  <c r="I10"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Z105" i="3"/>
  <c r="Y105" i="3"/>
  <c r="X105" i="3"/>
  <c r="W105" i="3"/>
  <c r="V105" i="3"/>
  <c r="U105" i="3"/>
  <c r="T105" i="3"/>
  <c r="Q105" i="3"/>
  <c r="P105" i="3"/>
  <c r="O105" i="3"/>
  <c r="N105" i="3"/>
  <c r="M105" i="3"/>
  <c r="O151" i="3"/>
  <c r="D30"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0" i="3"/>
  <c r="W130" i="3"/>
  <c r="X130" i="3"/>
  <c r="Y130" i="3"/>
  <c r="Z130" i="3"/>
  <c r="P198" i="3"/>
  <c r="F8" i="5"/>
  <c r="K66" i="19"/>
  <c r="P197" i="3"/>
  <c r="F7" i="5"/>
  <c r="K65" i="19"/>
  <c r="P196" i="3"/>
  <c r="F6" i="5"/>
  <c r="Q198" i="3"/>
  <c r="G8" i="5"/>
  <c r="L66" i="19"/>
  <c r="Q197" i="3"/>
  <c r="G7" i="5"/>
  <c r="H7" i="5" s="1"/>
  <c r="I7" i="5" s="1"/>
  <c r="J7" i="5" s="1"/>
  <c r="K7" i="5" s="1"/>
  <c r="L7" i="5" s="1"/>
  <c r="L65" i="19"/>
  <c r="Q196" i="3"/>
  <c r="G6" i="5"/>
  <c r="H6" i="5" s="1"/>
  <c r="T130" i="3"/>
  <c r="U130" i="3"/>
  <c r="AA138" i="3"/>
  <c r="AA134" i="3"/>
  <c r="AA130" i="3"/>
  <c r="Z137" i="3"/>
  <c r="Z138" i="3" s="1"/>
  <c r="Y137" i="3"/>
  <c r="Y138" i="3" s="1"/>
  <c r="X137" i="3"/>
  <c r="X138" i="3" s="1"/>
  <c r="W137" i="3"/>
  <c r="W138" i="3" s="1"/>
  <c r="V137" i="3"/>
  <c r="V138" i="3" s="1"/>
  <c r="U137" i="3"/>
  <c r="U138" i="3" s="1"/>
  <c r="T137" i="3"/>
  <c r="T138" i="3" s="1"/>
  <c r="W151" i="3"/>
  <c r="F10" i="16"/>
  <c r="P108" i="3"/>
  <c r="T147" i="3"/>
  <c r="U147" i="3"/>
  <c r="V147" i="3"/>
  <c r="W147" i="3"/>
  <c r="X147" i="3"/>
  <c r="Y147" i="3"/>
  <c r="Z147" i="3"/>
  <c r="AC106" i="3"/>
  <c r="E30" i="12"/>
  <c r="F30" i="12"/>
  <c r="T151" i="3"/>
  <c r="X151" i="3"/>
  <c r="U151" i="3"/>
  <c r="Y151" i="3"/>
  <c r="V151" i="3"/>
  <c r="Z151" i="3"/>
  <c r="AA151" i="3"/>
  <c r="M151" i="3"/>
  <c r="P151" i="3"/>
  <c r="Q151" i="3"/>
  <c r="Q165" i="3"/>
  <c r="P165" i="3"/>
  <c r="O165" i="3"/>
  <c r="N165" i="3"/>
  <c r="M165" i="3"/>
  <c r="P153" i="3"/>
  <c r="N153" i="3"/>
  <c r="M153" i="3"/>
  <c r="Q164" i="3"/>
  <c r="P164" i="3"/>
  <c r="O164" i="3"/>
  <c r="N164" i="3"/>
  <c r="M164" i="3"/>
  <c r="Q152" i="3"/>
  <c r="P152" i="3"/>
  <c r="O152" i="3"/>
  <c r="N152" i="3"/>
  <c r="M152" i="3"/>
  <c r="Q153" i="3"/>
  <c r="O153" i="3"/>
  <c r="AA159" i="3"/>
  <c r="J66" i="20" s="1"/>
  <c r="Z159" i="3"/>
  <c r="I66" i="20" s="1"/>
  <c r="Y159" i="3"/>
  <c r="H66" i="20" s="1"/>
  <c r="X159" i="3"/>
  <c r="G66" i="20" s="1"/>
  <c r="W159" i="3"/>
  <c r="F66" i="20" s="1"/>
  <c r="V159" i="3"/>
  <c r="E66" i="20" s="1"/>
  <c r="U159" i="3"/>
  <c r="D66" i="20" s="1"/>
  <c r="T159" i="3"/>
  <c r="C66"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59" i="3"/>
  <c r="Q169" i="3" s="1"/>
  <c r="O159" i="3"/>
  <c r="O169" i="3" s="1"/>
  <c r="N159" i="3"/>
  <c r="N169" i="3" s="1"/>
  <c r="M159" i="3"/>
  <c r="M169"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81" i="3"/>
  <c r="Y181" i="3"/>
  <c r="X181" i="3"/>
  <c r="W181" i="3"/>
  <c r="V181" i="3"/>
  <c r="U181" i="3"/>
  <c r="T181" i="3"/>
  <c r="Z180" i="3"/>
  <c r="Y180" i="3"/>
  <c r="X180" i="3"/>
  <c r="W180" i="3"/>
  <c r="V180" i="3"/>
  <c r="U180" i="3"/>
  <c r="T180" i="3"/>
  <c r="Z179" i="3"/>
  <c r="Y179" i="3"/>
  <c r="X179" i="3"/>
  <c r="W179" i="3"/>
  <c r="V179" i="3"/>
  <c r="U179" i="3"/>
  <c r="T179" i="3"/>
  <c r="AC82" i="3"/>
  <c r="AC104" i="3" s="1"/>
  <c r="AA147" i="3"/>
  <c r="Q147" i="3"/>
  <c r="N147" i="3"/>
  <c r="P147" i="3"/>
  <c r="O147" i="3"/>
  <c r="M147" i="3"/>
  <c r="C30" i="12"/>
  <c r="X104" i="3"/>
  <c r="W104" i="3"/>
  <c r="V104" i="3"/>
  <c r="U104" i="3"/>
  <c r="T104" i="3"/>
  <c r="T93"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Z143" i="3"/>
  <c r="Z146" i="3" s="1"/>
  <c r="Y143" i="3"/>
  <c r="Y146" i="3" s="1"/>
  <c r="X143" i="3"/>
  <c r="X146" i="3" s="1"/>
  <c r="W143" i="3"/>
  <c r="W146" i="3" s="1"/>
  <c r="V143" i="3"/>
  <c r="V146" i="3" s="1"/>
  <c r="U143" i="3"/>
  <c r="U146" i="3" s="1"/>
  <c r="T143" i="3"/>
  <c r="T146" i="3" s="1"/>
  <c r="Z93" i="3"/>
  <c r="Y93" i="3"/>
  <c r="W93" i="3"/>
  <c r="V93" i="3"/>
  <c r="U93" i="3"/>
  <c r="V90" i="3"/>
  <c r="U90" i="3"/>
  <c r="Z104" i="3"/>
  <c r="Y104" i="3"/>
  <c r="Z99" i="3"/>
  <c r="Y99" i="3"/>
  <c r="X99" i="3"/>
  <c r="W99" i="3"/>
  <c r="V99" i="3"/>
  <c r="U99" i="3"/>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1" i="3"/>
  <c r="Q181" i="3"/>
  <c r="G77" i="17" s="1"/>
  <c r="O181" i="3"/>
  <c r="E77" i="17" s="1"/>
  <c r="N181" i="3"/>
  <c r="D77" i="17" s="1"/>
  <c r="M181" i="3"/>
  <c r="C77" i="17" s="1"/>
  <c r="AA180" i="3"/>
  <c r="Q180" i="3"/>
  <c r="G76" i="17" s="1"/>
  <c r="O180" i="3"/>
  <c r="E76" i="17" s="1"/>
  <c r="N180" i="3"/>
  <c r="D76" i="17" s="1"/>
  <c r="M180" i="3"/>
  <c r="C76" i="17" s="1"/>
  <c r="AA179" i="3"/>
  <c r="Q179" i="3"/>
  <c r="G75" i="17" s="1"/>
  <c r="O179" i="3"/>
  <c r="E75" i="17" s="1"/>
  <c r="N179" i="3"/>
  <c r="D75" i="17" s="1"/>
  <c r="M179" i="3"/>
  <c r="C75" i="17" s="1"/>
  <c r="AC108" i="3"/>
  <c r="D23" i="17"/>
  <c r="E23" i="17"/>
  <c r="F23" i="17"/>
  <c r="G23" i="17"/>
  <c r="C23" i="17"/>
  <c r="AC144" i="3"/>
  <c r="I39" i="17" s="1"/>
  <c r="AC175" i="3"/>
  <c r="I71" i="17" s="1"/>
  <c r="AC176" i="3"/>
  <c r="AC78" i="3"/>
  <c r="Q79" i="3"/>
  <c r="P79" i="3"/>
  <c r="N79" i="3"/>
  <c r="M79" i="3"/>
  <c r="O79" i="3"/>
  <c r="AC151"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AC81" i="3"/>
  <c r="AC73" i="3"/>
  <c r="AA74" i="3"/>
  <c r="AC74" i="3" s="1"/>
  <c r="C22" i="14" s="1"/>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Q184" i="3" l="1"/>
  <c r="P184" i="3"/>
  <c r="O184" i="3"/>
  <c r="N184" i="3"/>
  <c r="M184" i="3"/>
  <c r="AC183" i="3"/>
  <c r="E48" i="17"/>
  <c r="C23" i="11"/>
  <c r="C25" i="14"/>
  <c r="H8" i="5"/>
  <c r="H10" i="5" s="1"/>
  <c r="I6" i="5"/>
  <c r="H6" i="14"/>
  <c r="H40" i="14" s="1"/>
  <c r="H5" i="12"/>
  <c r="H6" i="11"/>
  <c r="H7" i="7"/>
  <c r="AE10" i="5"/>
  <c r="AB6" i="6" s="1"/>
  <c r="AE8" i="5"/>
  <c r="X6" i="6"/>
  <c r="X11" i="6" s="1"/>
  <c r="AB11" i="6" s="1"/>
  <c r="F91" i="17"/>
  <c r="F16" i="5"/>
  <c r="F90" i="17"/>
  <c r="F15" i="5"/>
  <c r="F89" i="17"/>
  <c r="F14" i="5"/>
  <c r="G91" i="17"/>
  <c r="G16" i="5"/>
  <c r="G90" i="17"/>
  <c r="G15" i="5"/>
  <c r="G89" i="17"/>
  <c r="G14" i="5"/>
  <c r="C8" i="10"/>
  <c r="P179" i="3"/>
  <c r="F75" i="17" s="1"/>
  <c r="F21" i="8"/>
  <c r="F44" i="7"/>
  <c r="P160" i="3"/>
  <c r="I60" i="20"/>
  <c r="Y133" i="3"/>
  <c r="Y134" i="3" s="1"/>
  <c r="H60" i="20"/>
  <c r="X133" i="3"/>
  <c r="X134" i="3" s="1"/>
  <c r="G60" i="20"/>
  <c r="W133" i="3"/>
  <c r="W134" i="3" s="1"/>
  <c r="F60" i="20"/>
  <c r="V133" i="3"/>
  <c r="V134" i="3" s="1"/>
  <c r="E60" i="20"/>
  <c r="U133" i="3"/>
  <c r="U134" i="3" s="1"/>
  <c r="D60" i="20"/>
  <c r="T133" i="3"/>
  <c r="T134" i="3" s="1"/>
  <c r="J60" i="20"/>
  <c r="Z133" i="3"/>
  <c r="Z134" i="3" s="1"/>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T69" i="3"/>
  <c r="C31" i="16"/>
  <c r="F21" i="18"/>
  <c r="C19" i="18"/>
  <c r="C21" i="18"/>
  <c r="F19" i="18"/>
  <c r="F11" i="18"/>
  <c r="AA16" i="5"/>
  <c r="F13" i="18"/>
  <c r="Z148" i="3"/>
  <c r="Z149" i="3"/>
  <c r="Z174" i="3"/>
  <c r="Z177" i="3"/>
  <c r="Y148" i="3"/>
  <c r="Y149" i="3"/>
  <c r="Y174" i="3"/>
  <c r="Y177" i="3"/>
  <c r="X148" i="3"/>
  <c r="X149" i="3"/>
  <c r="X174" i="3"/>
  <c r="X177" i="3"/>
  <c r="W148" i="3"/>
  <c r="W149" i="3"/>
  <c r="W174" i="3"/>
  <c r="W177" i="3"/>
  <c r="V148" i="3"/>
  <c r="V149" i="3"/>
  <c r="V174" i="3"/>
  <c r="V177" i="3"/>
  <c r="U148" i="3"/>
  <c r="U149" i="3"/>
  <c r="U174" i="3"/>
  <c r="U177" i="3"/>
  <c r="T148" i="3"/>
  <c r="T149" i="3"/>
  <c r="T174" i="3"/>
  <c r="T177" i="3"/>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AC77"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184" i="3" l="1"/>
  <c r="H6" i="12"/>
  <c r="H6" i="8"/>
  <c r="H6" i="6"/>
  <c r="H11" i="6" s="1"/>
  <c r="C22" i="11"/>
  <c r="C24" i="14"/>
  <c r="C25" i="11"/>
  <c r="C46" i="12"/>
  <c r="C66" i="12"/>
  <c r="I8" i="5"/>
  <c r="J6" i="5"/>
  <c r="H16" i="5"/>
  <c r="I6" i="14"/>
  <c r="I40" i="14" s="1"/>
  <c r="I5" i="12"/>
  <c r="I6" i="11"/>
  <c r="H12" i="6"/>
  <c r="H13" i="6"/>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5"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73" i="3"/>
  <c r="I63" i="17" s="1"/>
  <c r="AC121" i="3"/>
  <c r="I28" i="17" s="1"/>
  <c r="I33" i="17" s="1"/>
  <c r="C22" i="16"/>
  <c r="AC160" i="3"/>
  <c r="AC142" i="3"/>
  <c r="L61" i="19"/>
  <c r="Q142" i="3"/>
  <c r="L70" i="19" s="1"/>
  <c r="C18" i="16"/>
  <c r="I18" i="17"/>
  <c r="F52" i="16"/>
  <c r="I75" i="17"/>
  <c r="F53" i="16"/>
  <c r="I76" i="17"/>
  <c r="F54" i="16"/>
  <c r="I77" i="17"/>
  <c r="AC171" i="3"/>
  <c r="I6" i="17"/>
  <c r="C23" i="14"/>
  <c r="C53" i="12"/>
  <c r="C33" i="16"/>
  <c r="F18" i="1"/>
  <c r="AC174" i="3"/>
  <c r="AC177" i="3"/>
  <c r="I67" i="17" s="1"/>
  <c r="C32" i="12"/>
  <c r="D32" i="12"/>
  <c r="F32" i="12"/>
  <c r="E32" i="12"/>
  <c r="G32" i="12"/>
  <c r="I5" i="6"/>
  <c r="H10" i="6"/>
  <c r="H18" i="6"/>
  <c r="AC149" i="3"/>
  <c r="I46" i="17" s="1"/>
  <c r="AC148"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28" i="7" l="1"/>
  <c r="C32" i="14"/>
  <c r="I16" i="5"/>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AC156" i="3"/>
  <c r="I53" i="17"/>
  <c r="F30" i="17"/>
  <c r="F34" i="17" s="1"/>
  <c r="K69" i="19"/>
  <c r="E30" i="17"/>
  <c r="E34" i="17" s="1"/>
  <c r="J69" i="19"/>
  <c r="D30" i="17"/>
  <c r="D34" i="17" s="1"/>
  <c r="I69" i="19"/>
  <c r="C30" i="17"/>
  <c r="C34" i="17" s="1"/>
  <c r="H69" i="19"/>
  <c r="G30" i="17"/>
  <c r="G34" i="17" s="1"/>
  <c r="L69" i="19"/>
  <c r="I35" i="17"/>
  <c r="AC168" i="3"/>
  <c r="G35" i="17"/>
  <c r="Q168" i="3"/>
  <c r="I7" i="17"/>
  <c r="I11" i="17"/>
  <c r="C10" i="16"/>
  <c r="F38" i="16"/>
  <c r="I58" i="17"/>
  <c r="F39" i="16"/>
  <c r="I59" i="17"/>
  <c r="F40" i="16"/>
  <c r="I60" i="17"/>
  <c r="F46" i="16"/>
  <c r="I66" i="17"/>
  <c r="C8" i="16"/>
  <c r="F6" i="1"/>
  <c r="C9" i="16"/>
  <c r="F7" i="1"/>
  <c r="C40" i="16"/>
  <c r="F11" i="1"/>
  <c r="F47" i="16"/>
  <c r="F16" i="1"/>
  <c r="F33" i="16"/>
  <c r="F20" i="1"/>
  <c r="F31" i="16"/>
  <c r="F19" i="1"/>
  <c r="AC166" i="3"/>
  <c r="I54" i="17" s="1"/>
  <c r="AC167" i="3"/>
  <c r="F24" i="16"/>
  <c r="F14" i="1"/>
  <c r="AC178" i="3"/>
  <c r="I68" i="17" s="1"/>
  <c r="F3" i="1"/>
  <c r="C38" i="16"/>
  <c r="F9" i="1"/>
  <c r="C26" i="14"/>
  <c r="J5" i="6"/>
  <c r="I10" i="6"/>
  <c r="I18" i="6"/>
  <c r="Q162" i="3"/>
  <c r="C6" i="16"/>
  <c r="AC163" i="3"/>
  <c r="I52" i="17" s="1"/>
  <c r="AC161"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C15" i="11" l="1"/>
  <c r="C59" i="12"/>
  <c r="C39" i="12"/>
  <c r="I7" i="7"/>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7" i="3"/>
  <c r="C7" i="16"/>
  <c r="AC158" i="3"/>
  <c r="AC162"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1" i="6"/>
  <c r="J6" i="6"/>
  <c r="J7" i="7"/>
  <c r="J6" i="8"/>
  <c r="J6" i="12"/>
  <c r="J12" i="12" s="1"/>
  <c r="J18" i="5"/>
  <c r="K10" i="5"/>
  <c r="K16" i="5"/>
  <c r="L10" i="5"/>
  <c r="L18" i="5" s="1"/>
  <c r="L16" i="5"/>
  <c r="I7" i="14"/>
  <c r="H41" i="14"/>
  <c r="G43" i="14"/>
  <c r="L6" i="14"/>
  <c r="L40" i="14" s="1"/>
  <c r="L5" i="12"/>
  <c r="L6" i="11"/>
  <c r="H10" i="8"/>
  <c r="H34" i="8" s="1"/>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27" i="8" l="1"/>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50" i="12"/>
  <c r="C54" i="12" s="1"/>
  <c r="C55" i="12" s="1"/>
  <c r="C7" i="13" s="1"/>
  <c r="I5" i="1" s="1"/>
  <c r="L12" i="6"/>
  <c r="L13" i="6"/>
  <c r="J14" i="6"/>
  <c r="L11" i="12"/>
  <c r="L17" i="12"/>
  <c r="L22" i="12"/>
  <c r="L27" i="12"/>
  <c r="H7" i="11" l="1"/>
  <c r="H8" i="12"/>
  <c r="H14" i="12" s="1"/>
  <c r="I10" i="8"/>
  <c r="I34" i="8" s="1"/>
  <c r="I35" i="7"/>
  <c r="I22" i="8" s="1"/>
  <c r="K8" i="7"/>
  <c r="L20" i="8"/>
  <c r="J33" i="8"/>
  <c r="J15" i="7"/>
  <c r="J30" i="7" s="1"/>
  <c r="J14" i="7"/>
  <c r="J29" i="7" s="1"/>
  <c r="L28" i="7"/>
  <c r="K28" i="7"/>
  <c r="K20" i="8"/>
  <c r="K44" i="7"/>
  <c r="I47" i="14"/>
  <c r="I49" i="14"/>
  <c r="J42" i="14"/>
  <c r="J46" i="14"/>
  <c r="J44" i="14"/>
  <c r="J48" i="14" s="1"/>
  <c r="K10" i="14"/>
  <c r="K41" i="14"/>
  <c r="L7" i="14"/>
  <c r="J22" i="6"/>
  <c r="J9" i="8"/>
  <c r="J10" i="8" s="1"/>
  <c r="J34" i="8" s="1"/>
  <c r="L44" i="7"/>
  <c r="L14" i="6"/>
  <c r="K14" i="6"/>
  <c r="L8" i="7"/>
  <c r="L7" i="8"/>
  <c r="L8" i="8" s="1"/>
  <c r="L33" i="8" s="1"/>
  <c r="K15" i="7" l="1"/>
  <c r="H10" i="11"/>
  <c r="I27" i="8"/>
  <c r="I7" i="12"/>
  <c r="J27" i="8"/>
  <c r="J35" i="7"/>
  <c r="J22" i="8" s="1"/>
  <c r="K14" i="7"/>
  <c r="J7" i="12"/>
  <c r="L9" i="8"/>
  <c r="L22" i="6"/>
  <c r="J47" i="14"/>
  <c r="J49" i="14"/>
  <c r="K46" i="14"/>
  <c r="K42" i="14"/>
  <c r="K44" i="14"/>
  <c r="K48" i="14" s="1"/>
  <c r="L41" i="14"/>
  <c r="L10" i="14"/>
  <c r="C29" i="14" s="1"/>
  <c r="L8" i="14"/>
  <c r="L11" i="14" s="1"/>
  <c r="C30" i="14" s="1"/>
  <c r="K9" i="8"/>
  <c r="K10" i="8" s="1"/>
  <c r="K22" i="6"/>
  <c r="L14" i="7"/>
  <c r="L15" i="7"/>
  <c r="K30" i="7" l="1"/>
  <c r="L30" i="7"/>
  <c r="K29" i="7"/>
  <c r="I28" i="8"/>
  <c r="I13" i="12"/>
  <c r="J28" i="8"/>
  <c r="L29" i="7"/>
  <c r="J13" i="12"/>
  <c r="L10" i="8"/>
  <c r="L34" i="8" s="1"/>
  <c r="K49" i="14"/>
  <c r="K47" i="14"/>
  <c r="L44" i="14"/>
  <c r="L48" i="14" s="1"/>
  <c r="L46" i="14"/>
  <c r="L42" i="14"/>
  <c r="K27" i="8"/>
  <c r="K7" i="12"/>
  <c r="K13" i="12" s="1"/>
  <c r="K34" i="8"/>
  <c r="C31" i="14"/>
  <c r="C34" i="14" s="1"/>
  <c r="C36" i="14" s="1"/>
  <c r="C16" i="14" s="1"/>
  <c r="AC65" i="3"/>
  <c r="K35" i="7" l="1"/>
  <c r="K22" i="8" s="1"/>
  <c r="L35" i="7"/>
  <c r="L22" i="8" s="1"/>
  <c r="I7" i="11"/>
  <c r="I10" i="11" s="1"/>
  <c r="I8" i="12"/>
  <c r="J8" i="12"/>
  <c r="J7" i="11"/>
  <c r="J10" i="11" s="1"/>
  <c r="L7" i="12"/>
  <c r="L27" i="8"/>
  <c r="L47" i="14"/>
  <c r="L49" i="14"/>
  <c r="K28" i="8" l="1"/>
  <c r="I14" i="12"/>
  <c r="J14" i="12"/>
  <c r="L13" i="12"/>
  <c r="L28" i="8"/>
  <c r="C38" i="12"/>
  <c r="K7" i="11"/>
  <c r="K10" i="11" s="1"/>
  <c r="K8" i="12" l="1"/>
  <c r="L8" i="12"/>
  <c r="C41" i="12"/>
  <c r="C42" i="12" s="1"/>
  <c r="L7" i="11"/>
  <c r="C45" i="12" l="1"/>
  <c r="C47" i="12" s="1"/>
  <c r="C6" i="13" s="1"/>
  <c r="I4" i="1" s="1"/>
  <c r="K14" i="12"/>
  <c r="L8" i="11"/>
  <c r="L11" i="11" s="1"/>
  <c r="C20" i="11" s="1"/>
  <c r="L10" i="11"/>
  <c r="C19" i="11" s="1"/>
  <c r="L14" i="12"/>
  <c r="C58" i="12"/>
  <c r="C61" i="12" s="1"/>
  <c r="C62" i="12" s="1"/>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<sst xmlns="http://schemas.openxmlformats.org/spreadsheetml/2006/main" count="757" uniqueCount="410">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</sst>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https://www.bing.com/financeapi/forcetrigger?t=a1yv52&amp;q=XNAS%3aNVDA&amp;form=skydnc</v>
    <v>Learn more on Bing</v>
  </rv>
  <rv s="1">
    <v>0</v>
    <v>NVIDIA CORPORATION (XNAS:NVDA)</v>
    <v>2</v>
    <v>3</v>
    <v>Finance</v>
    <v>4</v>
    <v>en-US</v>
    <v>a1yv52</v>
    <v>268435456</v>
    <v>1</v>
    <v>Powered by Refinitiv</v>
    <v>236.54</v>
    <v>164.07</v>
    <v>2.2280000000000002</v>
    <v>3.9338000000000002</v>
    <v>2.0169000000000003E-2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200.09</v>
    <v>Semiconductors &amp; Semiconductor Equipment</v>
    <v>Stock</v>
    <v>46234.719659200782</v>
    <v>0</v>
    <v>194.95</v>
    <v>4815165960000</v>
    <v>NVIDIA CORPORATION</v>
    <v>NVIDIA CORPORATION</v>
    <v>198.49</v>
    <v>30.470700000000001</v>
    <v>195.04</v>
    <v>198.97380000000001</v>
    <v>24200000000</v>
    <v>NVDA</v>
    <v>NVIDIA CORPORATION (XNAS:NVDA)</v>
    <v>61716561</v>
    <v>134310928</v>
    <v>1998</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47.14</v>
    <v>39.47</v>
    <v>0.41</v>
    <v>8.8710000000000004E-3</v>
    <v>US</v>
    <v>46.86</v>
    <v>Index</v>
    <v>6</v>
    <v>46.51</v>
    <v>10 Y TSY YLD NDX</v>
    <v>46.69</v>
    <v>46.22</v>
    <v>46.63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I14" sqref="I1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7" t="s">
        <v>17</v>
      </c>
      <c r="C2" s="238"/>
      <c r="E2" s="237" t="s">
        <v>284</v>
      </c>
      <c r="F2" s="238"/>
      <c r="H2" s="237" t="s">
        <v>325</v>
      </c>
      <c r="I2" s="238"/>
    </row>
    <row r="3" spans="2:9" x14ac:dyDescent="0.2">
      <c r="B3" s="186" t="s">
        <v>11</v>
      </c>
      <c r="C3" s="218" t="e" vm="1">
        <v>#VALUE!</v>
      </c>
      <c r="D3" s="2"/>
      <c r="E3" s="186" t="s">
        <v>236</v>
      </c>
      <c r="F3" s="188">
        <f ca="1">Statement!AC155</f>
        <v>4836058.2090000007</v>
      </c>
      <c r="H3" s="186" t="str">
        <f>'AVG target price'!B5</f>
        <v>DCF price</v>
      </c>
      <c r="I3" s="212">
        <f>'AVG target price'!C5</f>
        <v>168.2356845632454</v>
      </c>
    </row>
    <row r="4" spans="2:9" x14ac:dyDescent="0.2">
      <c r="B4" s="186" t="s">
        <v>0</v>
      </c>
      <c r="C4" s="190" t="str" cm="1">
        <f t="array" aca="1" ref="C4" ca="1">_FV(C3,"Ticker symbol",TRUE)</f>
        <v>NVDA</v>
      </c>
      <c r="E4" s="187" t="s">
        <v>180</v>
      </c>
      <c r="F4" s="189">
        <f ca="1">Statement!AC156</f>
        <v>4763956.2090000007</v>
      </c>
      <c r="H4" s="186" t="str">
        <f>'AVG target price'!B6</f>
        <v>EV/EBIT price</v>
      </c>
      <c r="I4" s="212">
        <f>'AVG target price'!C6</f>
        <v>367.27840315363267</v>
      </c>
    </row>
    <row r="5" spans="2:9" x14ac:dyDescent="0.2">
      <c r="B5" s="186" t="s">
        <v>1</v>
      </c>
      <c r="C5" s="209" cm="1">
        <f t="array" aca="1" ref="C5" ca="1">_FV(C3,"Price",TRUE)</f>
        <v>198.97380000000001</v>
      </c>
      <c r="E5" s="186" t="s">
        <v>240</v>
      </c>
      <c r="F5" s="190">
        <f>Statement!AC25</f>
        <v>6.5299999999999994</v>
      </c>
      <c r="H5" s="186" t="str">
        <f>'AVG target price'!B7</f>
        <v>PS price</v>
      </c>
      <c r="I5" s="212">
        <f>'AVG target price'!C7</f>
        <v>304.38678708173404</v>
      </c>
    </row>
    <row r="6" spans="2:9" x14ac:dyDescent="0.2">
      <c r="B6" s="186" t="s">
        <v>2</v>
      </c>
      <c r="C6" s="209" t="e" cm="1" vm="2">
        <f t="array" ref="C6">_FV(C3,"Price (Extended hours)",TRUE)</f>
        <v>#VALUE!</v>
      </c>
      <c r="E6" s="186" t="s">
        <v>234</v>
      </c>
      <c r="F6" s="191">
        <f ca="1">Statement!AC152</f>
        <v>30.470719754977033</v>
      </c>
      <c r="H6" s="186" t="str">
        <f>'AVG target price'!B8</f>
        <v>EV/FCFF price</v>
      </c>
      <c r="I6" s="212">
        <f>'AVG target price'!C8</f>
        <v>353.04403192491492</v>
      </c>
    </row>
    <row r="7" spans="2:9" x14ac:dyDescent="0.2">
      <c r="B7" s="186" t="s">
        <v>3</v>
      </c>
      <c r="C7" s="6" cm="1">
        <f t="array" aca="1" ref="C7" ca="1">_FV(C3,"Change")</f>
        <v>3.9338000000000002</v>
      </c>
      <c r="E7" s="187" t="s">
        <v>193</v>
      </c>
      <c r="F7" s="192">
        <f ca="1">Statement!AC153</f>
        <v>19.19910237878268</v>
      </c>
      <c r="H7" s="185" t="str">
        <f>'AVG target price'!B9</f>
        <v>AVG price</v>
      </c>
      <c r="I7" s="213">
        <f>'AVG target price'!C9</f>
        <v>298.23622668088177</v>
      </c>
    </row>
    <row r="8" spans="2:9" x14ac:dyDescent="0.2">
      <c r="B8" s="186" t="s">
        <v>4</v>
      </c>
      <c r="C8" s="6" t="e" cm="1" vm="3">
        <f t="array" ref="C8">_FV(C3,"Change (extended hours)",TRUE)</f>
        <v>#VALUE!</v>
      </c>
      <c r="E8" s="186" t="s">
        <v>262</v>
      </c>
      <c r="F8" s="193">
        <f ca="1">Statement!AC163</f>
        <v>2.3208364157223067E-2</v>
      </c>
      <c r="H8" s="185" t="str">
        <f>'AVG target price'!B11</f>
        <v>Upside/Downside</v>
      </c>
      <c r="I8" s="214">
        <f ca="1">'AVG target price'!C11</f>
        <v>0.4988718448402843</v>
      </c>
    </row>
    <row r="9" spans="2:9" x14ac:dyDescent="0.2">
      <c r="B9" s="186" t="s">
        <v>5</v>
      </c>
      <c r="C9" s="73" cm="1">
        <f t="array" aca="1" ref="C9" ca="1">_FV(C3,"Change (%)",TRUE)</f>
        <v>2.0169000000000003E-2</v>
      </c>
      <c r="E9" s="186" t="s">
        <v>285</v>
      </c>
      <c r="F9" s="193">
        <f ca="1">Statement!AC164</f>
        <v>3.2818391165067962E-2</v>
      </c>
    </row>
    <row r="10" spans="2:9" x14ac:dyDescent="0.2">
      <c r="B10" s="186" t="s">
        <v>6</v>
      </c>
      <c r="C10" s="73" t="e" cm="1" vm="4">
        <f t="array" ref="C10">_FV(C3,"Change % (extended hours)",TRUE)</f>
        <v>#VALUE!</v>
      </c>
      <c r="E10" s="186" t="s">
        <v>290</v>
      </c>
      <c r="F10" s="193">
        <f ca="1">Statement!AC166</f>
        <v>9.3679600290352896E-3</v>
      </c>
      <c r="H10" s="185" t="s">
        <v>409</v>
      </c>
      <c r="I10" s="213">
        <f>DDM!C26</f>
        <v>0.48421052631578948</v>
      </c>
    </row>
    <row r="11" spans="2:9" x14ac:dyDescent="0.2">
      <c r="B11" s="186" t="s">
        <v>7</v>
      </c>
      <c r="C11" s="210" cm="1">
        <f t="array" aca="1" ref="C11" ca="1">_FV(C3,"52 week high",TRUE)</f>
        <v>236.54</v>
      </c>
      <c r="E11" s="187" t="s">
        <v>286</v>
      </c>
      <c r="F11" s="194">
        <f ca="1">Statement!AC165</f>
        <v>2.0103149258847143E-4</v>
      </c>
    </row>
    <row r="12" spans="2:9" x14ac:dyDescent="0.2">
      <c r="B12" s="186" t="s">
        <v>8</v>
      </c>
      <c r="C12" s="210" cm="1">
        <f t="array" aca="1" ref="C12" ca="1">_FV(C3,"52 week low",TRUE)</f>
        <v>164.07</v>
      </c>
      <c r="E12" s="186" t="s">
        <v>94</v>
      </c>
      <c r="F12" s="193">
        <f>Statement!AC121</f>
        <v>0.61514063066049007</v>
      </c>
    </row>
    <row r="13" spans="2:9" x14ac:dyDescent="0.2">
      <c r="B13" s="186" t="s">
        <v>9</v>
      </c>
      <c r="C13" s="210" cm="1">
        <f t="array" aca="1" ref="C13" ca="1">_FV(C3,"Beta")</f>
        <v>2.2280000000000002</v>
      </c>
      <c r="E13" s="186" t="s">
        <v>96</v>
      </c>
      <c r="F13" s="193">
        <f>Statement!AC123</f>
        <v>0.81654337661274645</v>
      </c>
    </row>
    <row r="14" spans="2:9" x14ac:dyDescent="0.2">
      <c r="B14" s="187" t="s">
        <v>10</v>
      </c>
      <c r="C14" s="211" cm="1">
        <f t="array" aca="1" ref="C14" ca="1">_FV(C3,"Volume average",TRUE)</f>
        <v>134310928</v>
      </c>
      <c r="E14" s="187" t="s">
        <v>97</v>
      </c>
      <c r="F14" s="194">
        <f>Statement!AC142</f>
        <v>1.1082908941558067</v>
      </c>
    </row>
    <row r="15" spans="2:9" x14ac:dyDescent="0.2">
      <c r="E15" s="186" t="s">
        <v>287</v>
      </c>
      <c r="F15" s="193">
        <f ca="1">Statement!AC178</f>
        <v>1.4909249823713193E-2</v>
      </c>
    </row>
    <row r="16" spans="2:9" x14ac:dyDescent="0.2">
      <c r="E16" s="187" t="s">
        <v>292</v>
      </c>
      <c r="F16" s="192">
        <f>Statement!AC177</f>
        <v>2.9794214876033056</v>
      </c>
    </row>
    <row r="17" spans="2:9" x14ac:dyDescent="0.2">
      <c r="B17" s="239" t="s">
        <v>83</v>
      </c>
      <c r="C17" s="239"/>
      <c r="E17" s="185" t="s">
        <v>293</v>
      </c>
      <c r="F17" s="195">
        <f>Statement!AC173</f>
        <v>3.9374614276897757E-2</v>
      </c>
    </row>
    <row r="18" spans="2:9" x14ac:dyDescent="0.2">
      <c r="B18" s="185" t="s">
        <v>12</v>
      </c>
      <c r="C18" s="69" t="s">
        <v>343</v>
      </c>
      <c r="E18" s="186" t="s">
        <v>294</v>
      </c>
      <c r="F18" s="191">
        <f>Statement!AC146</f>
        <v>129.34693643390989</v>
      </c>
      <c r="I18" s="50"/>
    </row>
    <row r="19" spans="2:9" x14ac:dyDescent="0.2">
      <c r="B19" s="185" t="s">
        <v>13</v>
      </c>
      <c r="C19" s="70">
        <v>1000000</v>
      </c>
      <c r="E19" s="186" t="s">
        <v>255</v>
      </c>
      <c r="F19" s="191">
        <f>Statement!AC148</f>
        <v>-0.36885723932594616</v>
      </c>
    </row>
    <row r="20" spans="2:9" x14ac:dyDescent="0.2">
      <c r="B20" s="185" t="s">
        <v>84</v>
      </c>
      <c r="C20" s="69" t="s">
        <v>350</v>
      </c>
      <c r="E20" s="187" t="s">
        <v>295</v>
      </c>
      <c r="F20" s="192">
        <f>Statement!AC149</f>
        <v>2.7636951964269438</v>
      </c>
    </row>
    <row r="21" spans="2:9" x14ac:dyDescent="0.2">
      <c r="B21" s="185" t="s">
        <v>85</v>
      </c>
      <c r="C21" s="69" t="s">
        <v>86</v>
      </c>
      <c r="I21" s="50"/>
    </row>
    <row r="22" spans="2:9" x14ac:dyDescent="0.2">
      <c r="B22" s="185" t="s">
        <v>87</v>
      </c>
      <c r="C22" s="69" t="s">
        <v>350</v>
      </c>
    </row>
    <row r="25" spans="2:9" x14ac:dyDescent="0.2">
      <c r="B25" s="239" t="s">
        <v>99</v>
      </c>
      <c r="C25" s="239"/>
      <c r="E25" s="237" t="s">
        <v>340</v>
      </c>
      <c r="F25" s="238"/>
    </row>
    <row r="26" spans="2:9" x14ac:dyDescent="0.2">
      <c r="B26" s="185" t="s">
        <v>100</v>
      </c>
      <c r="C26" s="171">
        <v>0.21</v>
      </c>
      <c r="E26" s="186" t="e" vm="5">
        <v>#VALUE!</v>
      </c>
      <c r="F26" s="220" cm="1">
        <f t="array" aca="1" ref="F26" ca="1">_FV(E26,"Price")</f>
        <v>46.63</v>
      </c>
    </row>
    <row r="27" spans="2:9" x14ac:dyDescent="0.2">
      <c r="B27" s="185" t="s">
        <v>164</v>
      </c>
      <c r="C27" s="222">
        <v>5.0999999999999997E-2</v>
      </c>
      <c r="E27" s="187" t="s">
        <v>341</v>
      </c>
      <c r="F27" s="221">
        <f ca="1">F26/1000</f>
        <v>4.6630000000000005E-2</v>
      </c>
    </row>
    <row r="28" spans="2:9" x14ac:dyDescent="0.2">
      <c r="B28" s="185" t="s">
        <v>389</v>
      </c>
      <c r="C28" s="222">
        <v>0.12</v>
      </c>
    </row>
    <row r="29" spans="2:9" x14ac:dyDescent="0.2">
      <c r="B29" s="185" t="s">
        <v>399</v>
      </c>
      <c r="C29" s="222">
        <v>0.12</v>
      </c>
    </row>
    <row r="33" spans="2:8" x14ac:dyDescent="0.2">
      <c r="B33" s="240" t="s">
        <v>335</v>
      </c>
      <c r="C33" s="240"/>
      <c r="D33" s="240"/>
      <c r="E33" s="240"/>
      <c r="F33" s="240"/>
      <c r="G33" s="240"/>
      <c r="H33" s="240"/>
    </row>
    <row r="35" spans="2:8" x14ac:dyDescent="0.2">
      <c r="B35" s="16" t="s">
        <v>336</v>
      </c>
      <c r="C35" s="1" t="s">
        <v>380</v>
      </c>
    </row>
    <row r="36" spans="2:8" x14ac:dyDescent="0.2">
      <c r="B36" s="16" t="s">
        <v>337</v>
      </c>
      <c r="C36" s="1" t="s">
        <v>379</v>
      </c>
    </row>
    <row r="39" spans="2:8" ht="6" customHeight="1" x14ac:dyDescent="0.2">
      <c r="B39" s="240"/>
      <c r="C39" s="240"/>
      <c r="D39" s="240"/>
      <c r="E39" s="240"/>
      <c r="F39" s="240"/>
      <c r="G39" s="240"/>
      <c r="H39" s="240"/>
    </row>
    <row r="42" spans="2:8" x14ac:dyDescent="0.2">
      <c r="B42" s="240" t="s">
        <v>338</v>
      </c>
      <c r="C42" s="240"/>
      <c r="D42" s="240"/>
      <c r="E42" s="240"/>
      <c r="F42" s="240"/>
      <c r="G42" s="240"/>
      <c r="H42" s="240"/>
    </row>
    <row r="44" spans="2:8" x14ac:dyDescent="0.2">
      <c r="B44" s="41" t="s">
        <v>339</v>
      </c>
      <c r="C44" s="41" t="s">
        <v>326</v>
      </c>
      <c r="D44" s="41"/>
      <c r="E44" s="41" t="s">
        <v>327</v>
      </c>
    </row>
    <row r="49" spans="2:8" ht="5" customHeight="1" x14ac:dyDescent="0.2">
      <c r="B49" s="240"/>
      <c r="C49" s="240"/>
      <c r="D49" s="240"/>
      <c r="E49" s="240"/>
      <c r="F49" s="240"/>
      <c r="G49" s="240"/>
      <c r="H49" s="240"/>
    </row>
    <row r="52" spans="2:8" x14ac:dyDescent="0.2">
      <c r="B52" s="240" t="s">
        <v>101</v>
      </c>
      <c r="C52" s="240"/>
      <c r="D52" s="240"/>
      <c r="E52" s="240"/>
      <c r="F52" s="240"/>
      <c r="G52" s="240"/>
      <c r="H52" s="240"/>
    </row>
    <row r="54" spans="2:8" x14ac:dyDescent="0.2">
      <c r="B54" s="41" t="s">
        <v>339</v>
      </c>
      <c r="C54" s="41" t="s">
        <v>326</v>
      </c>
      <c r="D54" s="41"/>
      <c r="E54" s="41" t="s">
        <v>327</v>
      </c>
    </row>
    <row r="59" spans="2:8" ht="5" customHeight="1" x14ac:dyDescent="0.2">
      <c r="B59" s="240"/>
      <c r="C59" s="240"/>
      <c r="D59" s="240"/>
      <c r="E59" s="240"/>
      <c r="F59" s="240"/>
      <c r="G59" s="240"/>
      <c r="H59" s="240"/>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tabSelected="1" zoomScale="170" zoomScaleNormal="150" workbookViewId="0">
      <pane xSplit="2" ySplit="3" topLeftCell="X150" activePane="bottomRight" state="frozen"/>
      <selection pane="topRight" activeCell="C1" sqref="C1"/>
      <selection pane="bottomLeft" activeCell="A4" sqref="A4"/>
      <selection pane="bottomRight" activeCell="AC155" sqref="AC155"/>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349</v>
      </c>
      <c r="N2" s="10" t="s">
        <v>348</v>
      </c>
      <c r="O2" s="10" t="s">
        <v>346</v>
      </c>
      <c r="P2" s="10" t="s">
        <v>345</v>
      </c>
      <c r="Q2" s="10" t="s">
        <v>344</v>
      </c>
      <c r="R2" s="7"/>
      <c r="S2" s="7"/>
      <c r="T2" s="10" t="s">
        <v>362</v>
      </c>
      <c r="U2" s="10" t="s">
        <v>358</v>
      </c>
      <c r="V2" s="10" t="s">
        <v>345</v>
      </c>
      <c r="W2" s="10" t="s">
        <v>352</v>
      </c>
      <c r="X2" s="10" t="s">
        <v>360</v>
      </c>
      <c r="Y2" s="10" t="s">
        <v>356</v>
      </c>
      <c r="Z2" s="10" t="s">
        <v>344</v>
      </c>
      <c r="AA2" s="10" t="s">
        <v>351</v>
      </c>
      <c r="AB2" s="7"/>
      <c r="AD2" s="7"/>
      <c r="AE2" s="7"/>
    </row>
    <row r="3" spans="1:31" s="13" customFormat="1" x14ac:dyDescent="0.2">
      <c r="A3" s="11"/>
      <c r="B3" s="12" t="s">
        <v>16</v>
      </c>
      <c r="M3" s="13">
        <v>2022</v>
      </c>
      <c r="N3" s="13">
        <v>2023</v>
      </c>
      <c r="O3" s="13">
        <v>2024</v>
      </c>
      <c r="P3" s="13">
        <v>2025</v>
      </c>
      <c r="Q3" s="13">
        <v>2026</v>
      </c>
      <c r="R3" s="11"/>
      <c r="S3" s="11"/>
      <c r="T3" s="10" t="s">
        <v>363</v>
      </c>
      <c r="U3" s="10" t="s">
        <v>359</v>
      </c>
      <c r="V3" s="10" t="s">
        <v>355</v>
      </c>
      <c r="W3" s="10" t="s">
        <v>353</v>
      </c>
      <c r="X3" s="10" t="s">
        <v>361</v>
      </c>
      <c r="Y3" s="10" t="s">
        <v>357</v>
      </c>
      <c r="Z3" s="10" t="s">
        <v>354</v>
      </c>
      <c r="AA3" s="10" t="s">
        <v>327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347</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T18*T$84</f>
        <v>24578</v>
      </c>
      <c r="U19" s="25">
        <f t="shared" si="7"/>
        <v>24533</v>
      </c>
      <c r="V19" s="25">
        <f t="shared" si="7"/>
        <v>24489</v>
      </c>
      <c r="W19" s="25">
        <f t="shared" si="7"/>
        <v>24441</v>
      </c>
      <c r="X19" s="25">
        <f t="shared" si="7"/>
        <v>24366</v>
      </c>
      <c r="Y19" s="25">
        <f t="shared" si="7"/>
        <v>24327</v>
      </c>
      <c r="Z19" s="25">
        <f t="shared" si="7"/>
        <v>24304</v>
      </c>
      <c r="AA19" s="25">
        <f t="shared" si="7"/>
        <v>24286</v>
      </c>
      <c r="AC19" s="25">
        <f>AC18*AC$84</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T20*T$84</f>
        <v>24848</v>
      </c>
      <c r="U21" s="25">
        <f t="shared" si="9"/>
        <v>24774</v>
      </c>
      <c r="V21" s="25">
        <f t="shared" si="9"/>
        <v>24706</v>
      </c>
      <c r="W21" s="25">
        <f t="shared" si="9"/>
        <v>24611</v>
      </c>
      <c r="X21" s="25">
        <f t="shared" si="9"/>
        <v>24532</v>
      </c>
      <c r="Y21" s="25">
        <f t="shared" si="9"/>
        <v>24483</v>
      </c>
      <c r="Z21" s="25">
        <f t="shared" si="9"/>
        <v>24432</v>
      </c>
      <c r="AA21" s="25">
        <f t="shared" si="9"/>
        <v>24391</v>
      </c>
      <c r="AC21" s="25">
        <f>AC20*AC$84</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AA23" si="10">T22/T$84</f>
        <v>0.68</v>
      </c>
      <c r="U23" s="65">
        <f t="shared" si="10"/>
        <v>0.79</v>
      </c>
      <c r="V23" s="65">
        <f t="shared" si="10"/>
        <v>0.9</v>
      </c>
      <c r="W23" s="65">
        <f t="shared" si="10"/>
        <v>0.77</v>
      </c>
      <c r="X23" s="65">
        <f t="shared" si="10"/>
        <v>1.08</v>
      </c>
      <c r="Y23" s="65">
        <f t="shared" si="10"/>
        <v>1.31</v>
      </c>
      <c r="Z23" s="65">
        <f t="shared" si="10"/>
        <v>1.77</v>
      </c>
      <c r="AA23" s="65">
        <f t="shared" si="10"/>
        <v>2.4</v>
      </c>
      <c r="AC23" s="65">
        <f>AC22/AC$84</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AA25" si="11">T24/T$84</f>
        <v>0.67</v>
      </c>
      <c r="U25" s="66">
        <f t="shared" si="11"/>
        <v>0.78</v>
      </c>
      <c r="V25" s="66">
        <f t="shared" si="11"/>
        <v>0.89</v>
      </c>
      <c r="W25" s="66">
        <f t="shared" si="11"/>
        <v>0.76</v>
      </c>
      <c r="X25" s="66">
        <f t="shared" si="11"/>
        <v>1.08</v>
      </c>
      <c r="Y25" s="66">
        <f t="shared" si="11"/>
        <v>1.3</v>
      </c>
      <c r="Z25" s="66">
        <f t="shared" si="11"/>
        <v>1.76</v>
      </c>
      <c r="AA25" s="66">
        <f t="shared" si="11"/>
        <v>2.39</v>
      </c>
      <c r="AB25" s="1"/>
      <c r="AC25" s="66">
        <f>AC24/AC$84</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9"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394</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2"/>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4622</v>
      </c>
      <c r="U34" s="21">
        <v>4724</v>
      </c>
      <c r="V34" s="21">
        <v>5188</v>
      </c>
      <c r="W34" s="21">
        <v>5498</v>
      </c>
      <c r="X34" s="21">
        <v>5755</v>
      </c>
      <c r="Y34" s="21">
        <v>6261</v>
      </c>
      <c r="Z34" s="21">
        <v>20832</v>
      </c>
      <c r="AA34" s="21">
        <v>20894</v>
      </c>
      <c r="AC34" s="21">
        <f t="shared" si="12"/>
        <v>20894</v>
      </c>
    </row>
    <row r="35" spans="1:31" s="34" customFormat="1" x14ac:dyDescent="0.2">
      <c r="A35" s="16"/>
      <c r="B35" s="32" t="s">
        <v>44</v>
      </c>
      <c r="C35" s="35"/>
      <c r="D35" s="35"/>
      <c r="E35" s="35"/>
      <c r="F35" s="35"/>
      <c r="G35" s="35"/>
      <c r="H35" s="35"/>
      <c r="I35" s="35"/>
      <c r="J35" s="35"/>
      <c r="K35" s="35"/>
      <c r="L35" s="35"/>
      <c r="M35" s="35">
        <f t="shared" ref="M35:O35" si="13">M36-M31</f>
        <v>15358</v>
      </c>
      <c r="N35" s="35">
        <f t="shared" si="13"/>
        <v>18109</v>
      </c>
      <c r="O35" s="35">
        <f t="shared" si="13"/>
        <v>21383</v>
      </c>
      <c r="P35" s="35">
        <f>P36-P31</f>
        <v>31475</v>
      </c>
      <c r="Q35" s="35">
        <f>Q36-Q31</f>
        <v>81198</v>
      </c>
      <c r="R35" s="1"/>
      <c r="S35" s="1"/>
      <c r="T35" s="35">
        <f t="shared" ref="T35:Z35" si="14">T36-T31</f>
        <v>25594</v>
      </c>
      <c r="U35" s="35">
        <f t="shared" si="14"/>
        <v>28373</v>
      </c>
      <c r="V35" s="35">
        <f t="shared" si="14"/>
        <v>31475</v>
      </c>
      <c r="W35" s="35">
        <f t="shared" si="14"/>
        <v>35319</v>
      </c>
      <c r="X35" s="35">
        <f t="shared" si="14"/>
        <v>38521</v>
      </c>
      <c r="Y35" s="35">
        <f t="shared" si="14"/>
        <v>44656</v>
      </c>
      <c r="Z35" s="35">
        <f t="shared" si="14"/>
        <v>81198</v>
      </c>
      <c r="AA35" s="35">
        <f t="shared" ref="AA35" si="15">AA36-AA31</f>
        <v>108479</v>
      </c>
      <c r="AB35" s="1"/>
      <c r="AC35" s="35">
        <f t="shared" si="12"/>
        <v>108479</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85227</v>
      </c>
      <c r="U36" s="18">
        <v>96013</v>
      </c>
      <c r="V36" s="18">
        <v>111601</v>
      </c>
      <c r="W36" s="18">
        <v>125254</v>
      </c>
      <c r="X36" s="18">
        <v>140740</v>
      </c>
      <c r="Y36" s="18">
        <v>161148</v>
      </c>
      <c r="Z36" s="18">
        <v>206803</v>
      </c>
      <c r="AA36" s="18">
        <v>259474</v>
      </c>
      <c r="AB36" s="1"/>
      <c r="AC36" s="18">
        <f t="shared" si="12"/>
        <v>259474</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3680</v>
      </c>
      <c r="U37" s="21">
        <v>5353</v>
      </c>
      <c r="V37" s="21">
        <v>6310</v>
      </c>
      <c r="W37" s="21">
        <v>7331</v>
      </c>
      <c r="X37" s="21">
        <v>9064</v>
      </c>
      <c r="Y37" s="21">
        <v>8624</v>
      </c>
      <c r="Z37" s="21">
        <v>9812</v>
      </c>
      <c r="AA37" s="21">
        <v>13097</v>
      </c>
      <c r="AC37" s="21">
        <f t="shared" si="12"/>
        <v>13097</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0</v>
      </c>
      <c r="Y38" s="21">
        <v>999</v>
      </c>
      <c r="Z38" s="21">
        <v>999</v>
      </c>
      <c r="AA38" s="21">
        <v>1000</v>
      </c>
      <c r="AC38" s="21">
        <f t="shared" si="12"/>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13969</v>
      </c>
      <c r="U39" s="33">
        <v>16479</v>
      </c>
      <c r="V39" s="33">
        <v>18047</v>
      </c>
      <c r="W39" s="33">
        <v>26542</v>
      </c>
      <c r="X39" s="33">
        <v>24257</v>
      </c>
      <c r="Y39" s="33">
        <v>26075</v>
      </c>
      <c r="Z39" s="33">
        <v>32163</v>
      </c>
      <c r="AA39" s="33">
        <v>43884</v>
      </c>
      <c r="AB39" s="1"/>
      <c r="AC39" s="33">
        <f t="shared" si="12"/>
        <v>43884</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8461</v>
      </c>
      <c r="U40" s="21">
        <v>8462</v>
      </c>
      <c r="V40" s="21">
        <v>8463</v>
      </c>
      <c r="W40" s="21">
        <v>8464</v>
      </c>
      <c r="X40" s="21">
        <v>8466</v>
      </c>
      <c r="Y40" s="21">
        <v>7468</v>
      </c>
      <c r="Z40" s="21">
        <v>7569</v>
      </c>
      <c r="AA40" s="21">
        <v>7470</v>
      </c>
      <c r="AC40" s="21">
        <f t="shared" si="12"/>
        <v>7470</v>
      </c>
    </row>
    <row r="41" spans="1:31" s="34" customFormat="1" x14ac:dyDescent="0.2">
      <c r="A41" s="16"/>
      <c r="B41" s="32" t="s">
        <v>48</v>
      </c>
      <c r="C41" s="35"/>
      <c r="D41" s="35"/>
      <c r="E41" s="35"/>
      <c r="F41" s="35"/>
      <c r="G41" s="35"/>
      <c r="H41" s="35"/>
      <c r="I41" s="35"/>
      <c r="J41" s="35"/>
      <c r="K41" s="35"/>
      <c r="L41" s="35"/>
      <c r="M41" s="35">
        <f t="shared" ref="M41:O41" si="16">M42-M39</f>
        <v>13240</v>
      </c>
      <c r="N41" s="35">
        <f t="shared" si="16"/>
        <v>12518</v>
      </c>
      <c r="O41" s="35">
        <f t="shared" si="16"/>
        <v>12119</v>
      </c>
      <c r="P41" s="35">
        <f>P42-P39</f>
        <v>14227</v>
      </c>
      <c r="Q41" s="35">
        <f>Q42-Q39</f>
        <v>17347</v>
      </c>
      <c r="R41" s="1"/>
      <c r="S41" s="1"/>
      <c r="T41" s="35">
        <f t="shared" ref="T41:Z41" si="17">T42-T39</f>
        <v>13101</v>
      </c>
      <c r="U41" s="35">
        <f t="shared" si="17"/>
        <v>13635</v>
      </c>
      <c r="V41" s="35">
        <f t="shared" si="17"/>
        <v>14227</v>
      </c>
      <c r="W41" s="35">
        <f t="shared" si="17"/>
        <v>14869</v>
      </c>
      <c r="X41" s="35">
        <f t="shared" si="17"/>
        <v>16352</v>
      </c>
      <c r="Y41" s="35">
        <f t="shared" si="17"/>
        <v>16176</v>
      </c>
      <c r="Z41" s="35">
        <f t="shared" si="17"/>
        <v>17347</v>
      </c>
      <c r="AA41" s="35">
        <f t="shared" ref="AA41" si="18">AA42-AA39</f>
        <v>20116</v>
      </c>
      <c r="AB41" s="1"/>
      <c r="AC41" s="35">
        <f t="shared" si="12"/>
        <v>20116</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27070</v>
      </c>
      <c r="U42" s="18">
        <v>30114</v>
      </c>
      <c r="V42" s="18">
        <v>32274</v>
      </c>
      <c r="W42" s="18">
        <v>41411</v>
      </c>
      <c r="X42" s="18">
        <v>40609</v>
      </c>
      <c r="Y42" s="18">
        <v>42251</v>
      </c>
      <c r="Z42" s="18">
        <v>49510</v>
      </c>
      <c r="AA42" s="18">
        <v>64000</v>
      </c>
      <c r="AB42" s="1"/>
      <c r="AC42" s="18">
        <f t="shared" si="12"/>
        <v>64000</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12115</v>
      </c>
      <c r="U45" s="62">
        <v>11821</v>
      </c>
      <c r="V45" s="62">
        <v>11237</v>
      </c>
      <c r="W45" s="62">
        <v>11475</v>
      </c>
      <c r="X45" s="62">
        <v>11200</v>
      </c>
      <c r="Y45" s="62">
        <v>10626</v>
      </c>
      <c r="Z45" s="62">
        <v>10118</v>
      </c>
      <c r="AA45" s="62">
        <v>10275</v>
      </c>
      <c r="AC45" s="62">
        <f t="shared" si="12"/>
        <v>10275</v>
      </c>
    </row>
    <row r="46" spans="1:31" x14ac:dyDescent="0.2">
      <c r="B46" s="20" t="s">
        <v>333</v>
      </c>
      <c r="C46" s="21"/>
      <c r="D46" s="21"/>
      <c r="E46" s="21"/>
      <c r="F46" s="21"/>
      <c r="G46" s="21"/>
      <c r="H46" s="21"/>
      <c r="I46" s="21"/>
      <c r="J46" s="21"/>
      <c r="K46" s="21"/>
      <c r="L46" s="21"/>
      <c r="M46" s="62">
        <v>16235</v>
      </c>
      <c r="N46" s="62">
        <v>10171</v>
      </c>
      <c r="O46" s="62">
        <v>29817</v>
      </c>
      <c r="P46" s="62">
        <v>68038</v>
      </c>
      <c r="Q46" s="62">
        <v>146973</v>
      </c>
      <c r="T46" s="62">
        <v>45961</v>
      </c>
      <c r="U46" s="62">
        <v>53950</v>
      </c>
      <c r="V46" s="62">
        <v>68038</v>
      </c>
      <c r="W46" s="62">
        <v>72158</v>
      </c>
      <c r="X46" s="62">
        <v>88737</v>
      </c>
      <c r="Y46" s="62">
        <v>107908</v>
      </c>
      <c r="Z46" s="62">
        <v>146973</v>
      </c>
      <c r="AA46" s="62">
        <v>185038</v>
      </c>
      <c r="AC46" s="62">
        <f t="shared" si="12"/>
        <v>185038</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58157</v>
      </c>
      <c r="U48" s="33">
        <v>65899</v>
      </c>
      <c r="V48" s="33">
        <v>79327</v>
      </c>
      <c r="W48" s="33">
        <v>83843</v>
      </c>
      <c r="X48" s="33">
        <v>100131</v>
      </c>
      <c r="Y48" s="33">
        <v>118897</v>
      </c>
      <c r="Z48" s="33">
        <v>157293</v>
      </c>
      <c r="AA48" s="33">
        <v>195474</v>
      </c>
      <c r="AB48" s="1"/>
      <c r="AC48" s="33">
        <f t="shared" si="12"/>
        <v>195474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85227</v>
      </c>
      <c r="U49" s="37">
        <v>96013</v>
      </c>
      <c r="V49" s="37">
        <v>111601</v>
      </c>
      <c r="W49" s="37">
        <v>125254</v>
      </c>
      <c r="X49" s="37">
        <v>140740</v>
      </c>
      <c r="Y49" s="37">
        <v>161148</v>
      </c>
      <c r="Z49" s="37">
        <v>206803</v>
      </c>
      <c r="AA49" s="37">
        <v>259474</v>
      </c>
      <c r="AB49" s="1"/>
      <c r="AC49" s="37">
        <f t="shared" si="12"/>
        <v>259474</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433</v>
      </c>
      <c r="U52" s="62">
        <v>478</v>
      </c>
      <c r="V52" s="62">
        <v>543</v>
      </c>
      <c r="W52" s="62">
        <v>611</v>
      </c>
      <c r="X52" s="62">
        <v>668</v>
      </c>
      <c r="Y52" s="62">
        <v>752</v>
      </c>
      <c r="Z52" s="62">
        <v>811</v>
      </c>
      <c r="AA52" s="62">
        <v>997</v>
      </c>
      <c r="AC52" s="62">
        <f>SUM(X52:AA52)</f>
        <v>3228</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1154</v>
      </c>
      <c r="U53" s="62">
        <v>1252</v>
      </c>
      <c r="V53" s="62">
        <v>1321</v>
      </c>
      <c r="W53" s="62">
        <v>1474</v>
      </c>
      <c r="X53" s="62">
        <v>1624</v>
      </c>
      <c r="Y53" s="62">
        <v>1655</v>
      </c>
      <c r="Z53" s="62">
        <v>1633</v>
      </c>
      <c r="AA53" s="62">
        <v>1928</v>
      </c>
      <c r="AC53" s="62">
        <f t="shared" ref="AC53:AC57" si="19">SUM(X53:AA53)</f>
        <v>6840</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-1767</v>
      </c>
      <c r="U54" s="62">
        <v>-3561</v>
      </c>
      <c r="V54" s="62">
        <v>-5370</v>
      </c>
      <c r="W54" s="62">
        <v>933</v>
      </c>
      <c r="X54" s="62">
        <v>-5675</v>
      </c>
      <c r="Y54" s="62">
        <v>-5583</v>
      </c>
      <c r="Z54" s="62">
        <v>-5073</v>
      </c>
      <c r="AA54" s="62">
        <v>-2243</v>
      </c>
      <c r="AC54" s="62">
        <f t="shared" si="19"/>
        <v>-18574</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-803</v>
      </c>
      <c r="U55" s="62">
        <v>-978</v>
      </c>
      <c r="V55" s="62">
        <v>-2424</v>
      </c>
      <c r="W55" s="62">
        <v>-1258</v>
      </c>
      <c r="X55" s="62">
        <v>-3622</v>
      </c>
      <c r="Y55" s="62">
        <v>-4823</v>
      </c>
      <c r="Z55" s="62">
        <v>-1621</v>
      </c>
      <c r="AA55" s="62">
        <v>-4420</v>
      </c>
      <c r="AC55" s="62">
        <f>SUM(X55:AA55)</f>
        <v>-14486</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823</v>
      </c>
      <c r="U56" s="62">
        <v>1689</v>
      </c>
      <c r="V56" s="62">
        <v>867</v>
      </c>
      <c r="W56" s="62">
        <v>941</v>
      </c>
      <c r="X56" s="62">
        <v>1314</v>
      </c>
      <c r="Y56" s="62">
        <v>-223</v>
      </c>
      <c r="Z56" s="62">
        <v>1064</v>
      </c>
      <c r="AA56" s="62">
        <v>2210</v>
      </c>
      <c r="AC56" s="62">
        <f t="shared" si="19"/>
        <v>4365</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714-888+260</f>
        <v>86</v>
      </c>
      <c r="U57" s="62">
        <f>-714+606+266</f>
        <v>158</v>
      </c>
      <c r="V57" s="62">
        <f>331+360+372</f>
        <v>1063</v>
      </c>
      <c r="W57" s="62">
        <f>560+7128+350</f>
        <v>8038</v>
      </c>
      <c r="X57" s="62">
        <f>387-4053+629</f>
        <v>-3037</v>
      </c>
      <c r="Y57" s="62">
        <f>-89+1129+332</f>
        <v>1372</v>
      </c>
      <c r="Z57" s="62">
        <f>-281+1053+533</f>
        <v>1305</v>
      </c>
      <c r="AA57" s="62">
        <f>-983+7763+1217</f>
        <v>7997</v>
      </c>
      <c r="AC57" s="62">
        <f t="shared" si="19"/>
        <v>7637</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14489</v>
      </c>
      <c r="U58" s="61">
        <v>17629</v>
      </c>
      <c r="V58" s="61">
        <v>16628</v>
      </c>
      <c r="W58" s="61">
        <v>27414</v>
      </c>
      <c r="X58" s="61">
        <v>15365</v>
      </c>
      <c r="Y58" s="61">
        <v>23750</v>
      </c>
      <c r="Z58" s="61">
        <v>36190</v>
      </c>
      <c r="AA58" s="61">
        <v>50344</v>
      </c>
      <c r="AB58" s="1"/>
      <c r="AC58" s="61">
        <f>SUM(X58:AA58)</f>
        <v>125649</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-977</v>
      </c>
      <c r="U59" s="62">
        <v>-813</v>
      </c>
      <c r="V59" s="62">
        <v>-1077</v>
      </c>
      <c r="W59" s="62">
        <v>-1227</v>
      </c>
      <c r="X59" s="62">
        <v>-1894</v>
      </c>
      <c r="Y59" s="62">
        <v>-1637</v>
      </c>
      <c r="Z59" s="62">
        <v>-1284</v>
      </c>
      <c r="AA59" s="62">
        <v>-1757</v>
      </c>
      <c r="AC59" s="62">
        <f>SUM(X59:AA59)</f>
        <v>-6572</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-3185</v>
      </c>
      <c r="U61" s="61">
        <v>-4345</v>
      </c>
      <c r="V61" s="61">
        <v>-7198</v>
      </c>
      <c r="W61" s="61">
        <v>-5216</v>
      </c>
      <c r="X61" s="61">
        <v>-7126</v>
      </c>
      <c r="Y61" s="61">
        <v>-9025</v>
      </c>
      <c r="Z61" s="61">
        <v>-30861</v>
      </c>
      <c r="AA61" s="61">
        <v>-26429</v>
      </c>
      <c r="AB61" s="1"/>
      <c r="AC61" s="61">
        <f t="shared" si="20"/>
        <v>-73441</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-7158</v>
      </c>
      <c r="U62" s="62">
        <v>-10998</v>
      </c>
      <c r="V62" s="62">
        <v>-7810</v>
      </c>
      <c r="W62" s="62">
        <v>-14095</v>
      </c>
      <c r="X62" s="62">
        <v>-9721</v>
      </c>
      <c r="Y62" s="62">
        <v>-12456</v>
      </c>
      <c r="Z62" s="62">
        <v>-3815</v>
      </c>
      <c r="AA62" s="62">
        <v>-19312</v>
      </c>
      <c r="AC62" s="62">
        <f t="shared" si="20"/>
        <v>-45304</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-246</v>
      </c>
      <c r="U63" s="62">
        <v>-245</v>
      </c>
      <c r="V63" s="62">
        <v>-245</v>
      </c>
      <c r="W63" s="62">
        <v>-244</v>
      </c>
      <c r="X63" s="62">
        <v>-244</v>
      </c>
      <c r="Y63" s="62">
        <v>-243</v>
      </c>
      <c r="Z63" s="62">
        <v>-243</v>
      </c>
      <c r="AA63" s="62">
        <v>-243</v>
      </c>
      <c r="AC63" s="62">
        <f>SUM(X63:AA63)</f>
        <v>-973</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-10320</v>
      </c>
      <c r="U65" s="71">
        <v>-12748</v>
      </c>
      <c r="V65" s="71">
        <v>-9948</v>
      </c>
      <c r="W65" s="71">
        <v>-15553</v>
      </c>
      <c r="X65" s="71">
        <v>-11834</v>
      </c>
      <c r="Y65" s="71">
        <v>-14878</v>
      </c>
      <c r="Z65" s="71">
        <v>-6210</v>
      </c>
      <c r="AA65" s="71">
        <v>-21283</v>
      </c>
      <c r="AB65" s="1"/>
      <c r="AC65" s="71">
        <f t="shared" si="20"/>
        <v>-54205</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9752</v>
      </c>
      <c r="N68" s="64">
        <f t="shared" si="21"/>
        <v>4368</v>
      </c>
      <c r="O68" s="64">
        <f t="shared" si="21"/>
        <v>29760</v>
      </c>
      <c r="P68" s="64">
        <f t="shared" si="21"/>
        <v>72880</v>
      </c>
      <c r="Q68" s="64">
        <f t="shared" si="21"/>
        <v>120067</v>
      </c>
      <c r="T68" s="64">
        <f t="shared" ref="T68:AA68" si="22">T5-T6-T10+T12+T13+T15-T16</f>
        <v>16599</v>
      </c>
      <c r="U68" s="64">
        <f t="shared" si="22"/>
        <v>19309</v>
      </c>
      <c r="V68" s="64">
        <f t="shared" si="22"/>
        <v>22091</v>
      </c>
      <c r="W68" s="64">
        <f t="shared" si="22"/>
        <v>18775</v>
      </c>
      <c r="X68" s="64">
        <f t="shared" si="22"/>
        <v>26422</v>
      </c>
      <c r="Y68" s="64">
        <f t="shared" si="22"/>
        <v>31910</v>
      </c>
      <c r="Z68" s="64">
        <f t="shared" si="22"/>
        <v>42960</v>
      </c>
      <c r="AA68" s="64">
        <f t="shared" si="22"/>
        <v>58331</v>
      </c>
      <c r="AC68" s="64">
        <f>AC5-AC6-AC10+AC12+AC13+AC15-AC16</f>
        <v>159623</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-10</v>
      </c>
      <c r="AB69" s="16"/>
      <c r="AC69" s="40">
        <f>AC17-AC68</f>
        <v>-10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24530</v>
      </c>
      <c r="U73" s="21">
        <v>24490</v>
      </c>
      <c r="V73" s="21">
        <v>24400</v>
      </c>
      <c r="W73" s="21">
        <v>24400</v>
      </c>
      <c r="X73" s="21">
        <v>24300</v>
      </c>
      <c r="Y73" s="21">
        <v>24300</v>
      </c>
      <c r="Z73" s="21">
        <v>24300</v>
      </c>
      <c r="AA73" s="21">
        <v>24200</v>
      </c>
      <c r="AC73" s="24">
        <f>AA73</f>
        <v>24200</v>
      </c>
    </row>
    <row r="74" spans="1:31" x14ac:dyDescent="0.2">
      <c r="B74" s="20" t="s">
        <v>68</v>
      </c>
      <c r="C74" s="25"/>
      <c r="D74" s="25"/>
      <c r="E74" s="25"/>
      <c r="F74" s="25"/>
      <c r="G74" s="25"/>
      <c r="H74" s="25"/>
      <c r="I74" s="25"/>
      <c r="J74" s="25"/>
      <c r="K74" s="25"/>
      <c r="L74" s="25"/>
      <c r="M74" s="25">
        <f t="shared" ref="M74:Q74" si="28">M73*M84</f>
        <v>25100</v>
      </c>
      <c r="N74" s="25">
        <f t="shared" si="28"/>
        <v>24700</v>
      </c>
      <c r="O74" s="25">
        <f t="shared" si="28"/>
        <v>25000</v>
      </c>
      <c r="P74" s="25">
        <f t="shared" si="28"/>
        <v>24400</v>
      </c>
      <c r="Q74" s="25">
        <f t="shared" si="28"/>
        <v>24300</v>
      </c>
      <c r="T74" s="25">
        <f t="shared" ref="T74" si="29">T73*T84</f>
        <v>24530</v>
      </c>
      <c r="U74" s="25">
        <f t="shared" ref="U74" si="30">U73*U84</f>
        <v>24490</v>
      </c>
      <c r="V74" s="25">
        <f t="shared" ref="V74" si="31">V73*V84</f>
        <v>24400</v>
      </c>
      <c r="W74" s="25">
        <f t="shared" ref="W74" si="32">W73*W84</f>
        <v>24400</v>
      </c>
      <c r="X74" s="25">
        <f t="shared" ref="X74" si="33">X73*X84</f>
        <v>24300</v>
      </c>
      <c r="Y74" s="25">
        <f t="shared" ref="Y74" si="34">Y73*Y84</f>
        <v>24300</v>
      </c>
      <c r="Z74" s="25">
        <f t="shared" ref="Z74:AA74" si="35">Z73*Z84</f>
        <v>24300</v>
      </c>
      <c r="AA74" s="25">
        <f t="shared" si="35"/>
        <v>24200</v>
      </c>
      <c r="AC74" s="24">
        <f>AA74</f>
        <v>24200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270</v>
      </c>
      <c r="U75" s="21">
        <v>241</v>
      </c>
      <c r="V75" s="21">
        <v>249</v>
      </c>
      <c r="W75" s="21">
        <v>170</v>
      </c>
      <c r="X75" s="21">
        <v>166</v>
      </c>
      <c r="Y75" s="21">
        <v>156</v>
      </c>
      <c r="Z75" s="21">
        <v>155</v>
      </c>
      <c r="AA75" s="21">
        <v>105</v>
      </c>
      <c r="AC75" s="21">
        <f>AA75</f>
        <v>105</v>
      </c>
    </row>
    <row r="76" spans="1:31" x14ac:dyDescent="0.2">
      <c r="B76" s="20" t="s">
        <v>232</v>
      </c>
      <c r="C76" s="25"/>
      <c r="D76" s="25"/>
      <c r="E76" s="25"/>
      <c r="F76" s="25"/>
      <c r="G76" s="25"/>
      <c r="H76" s="25"/>
      <c r="I76" s="25"/>
      <c r="J76" s="25"/>
      <c r="K76" s="25"/>
      <c r="L76" s="25"/>
      <c r="M76" s="25">
        <f t="shared" ref="M76:P76" si="36">M75*M84</f>
        <v>390</v>
      </c>
      <c r="N76" s="25">
        <f t="shared" si="36"/>
        <v>200</v>
      </c>
      <c r="O76" s="25">
        <f t="shared" si="36"/>
        <v>250</v>
      </c>
      <c r="P76" s="25">
        <f t="shared" si="36"/>
        <v>249</v>
      </c>
      <c r="Q76" s="25">
        <f>Q75*Q84</f>
        <v>155</v>
      </c>
      <c r="T76" s="25">
        <f t="shared" ref="T76:Z76" si="37">T75*T84</f>
        <v>270</v>
      </c>
      <c r="U76" s="25">
        <f t="shared" si="37"/>
        <v>241</v>
      </c>
      <c r="V76" s="25">
        <f t="shared" si="37"/>
        <v>249</v>
      </c>
      <c r="W76" s="25">
        <f t="shared" si="37"/>
        <v>170</v>
      </c>
      <c r="X76" s="25">
        <f t="shared" si="37"/>
        <v>166</v>
      </c>
      <c r="Y76" s="25">
        <f t="shared" si="37"/>
        <v>156</v>
      </c>
      <c r="Z76" s="25">
        <f t="shared" si="37"/>
        <v>155</v>
      </c>
      <c r="AA76" s="25">
        <f t="shared" ref="AA76" si="38">AA75*AA84</f>
        <v>105</v>
      </c>
      <c r="AC76" s="24">
        <f>AA76</f>
        <v>105</v>
      </c>
    </row>
    <row r="77" spans="1:31" x14ac:dyDescent="0.2">
      <c r="B77" s="20" t="s">
        <v>233</v>
      </c>
      <c r="C77" s="25"/>
      <c r="D77" s="25"/>
      <c r="E77" s="25"/>
      <c r="F77" s="25"/>
      <c r="G77" s="25"/>
      <c r="H77" s="25"/>
      <c r="I77" s="25"/>
      <c r="J77" s="25"/>
      <c r="K77" s="25"/>
      <c r="L77" s="25"/>
      <c r="M77" s="25">
        <f t="shared" ref="M77:P77" si="39">M74+M76</f>
        <v>25490</v>
      </c>
      <c r="N77" s="25">
        <f t="shared" si="39"/>
        <v>24900</v>
      </c>
      <c r="O77" s="25">
        <f t="shared" si="39"/>
        <v>25250</v>
      </c>
      <c r="P77" s="25">
        <f t="shared" si="39"/>
        <v>24649</v>
      </c>
      <c r="Q77" s="25">
        <f>Q74+Q76</f>
        <v>24455</v>
      </c>
      <c r="T77" s="25">
        <f t="shared" ref="T77:Z77" si="40">T74+T76</f>
        <v>24800</v>
      </c>
      <c r="U77" s="25">
        <f t="shared" si="40"/>
        <v>24731</v>
      </c>
      <c r="V77" s="25">
        <f t="shared" si="40"/>
        <v>24649</v>
      </c>
      <c r="W77" s="25">
        <f t="shared" si="40"/>
        <v>24570</v>
      </c>
      <c r="X77" s="25">
        <f t="shared" si="40"/>
        <v>24466</v>
      </c>
      <c r="Y77" s="25">
        <f t="shared" si="40"/>
        <v>24456</v>
      </c>
      <c r="Z77" s="25">
        <f t="shared" si="40"/>
        <v>24455</v>
      </c>
      <c r="AA77" s="25">
        <f t="shared" ref="AA77" si="41">AA74+AA76</f>
        <v>24305</v>
      </c>
      <c r="AC77" s="24">
        <f>AA77</f>
        <v>24305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2">M78*M84</f>
        <v>1010</v>
      </c>
      <c r="N79" s="25">
        <f t="shared" si="42"/>
        <v>990</v>
      </c>
      <c r="O79" s="25">
        <f t="shared" si="42"/>
        <v>1040</v>
      </c>
      <c r="P79" s="25">
        <f t="shared" si="42"/>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0.01</v>
      </c>
      <c r="AC80" s="72">
        <f>SUM(X80:AA80)</f>
        <v>0.04</v>
      </c>
    </row>
    <row r="81" spans="1:31" x14ac:dyDescent="0.2">
      <c r="B81" s="23" t="s">
        <v>70</v>
      </c>
      <c r="C81" s="39"/>
      <c r="D81" s="45"/>
      <c r="E81" s="45"/>
      <c r="F81" s="45"/>
      <c r="G81" s="45"/>
      <c r="H81" s="45"/>
      <c r="I81" s="45"/>
      <c r="J81" s="45"/>
      <c r="K81" s="45"/>
      <c r="L81" s="45"/>
      <c r="M81" s="45">
        <f t="shared" ref="M81:Q81" si="43">M80/M84</f>
        <v>1.6E-2</v>
      </c>
      <c r="N81" s="45">
        <f t="shared" si="43"/>
        <v>1.6E-2</v>
      </c>
      <c r="O81" s="45">
        <f t="shared" si="43"/>
        <v>1.6E-2</v>
      </c>
      <c r="P81" s="45">
        <f t="shared" si="43"/>
        <v>3.4000000000000002E-2</v>
      </c>
      <c r="Q81" s="45">
        <f t="shared" si="43"/>
        <v>0.04</v>
      </c>
      <c r="T81" s="45">
        <f t="shared" ref="T81" si="44">T80/T84</f>
        <v>0.01</v>
      </c>
      <c r="U81" s="45">
        <f t="shared" ref="U81" si="45">U80/U84</f>
        <v>0.01</v>
      </c>
      <c r="V81" s="45">
        <f t="shared" ref="V81" si="46">V80/V84</f>
        <v>0.01</v>
      </c>
      <c r="W81" s="45">
        <f t="shared" ref="W81" si="47">W80/W84</f>
        <v>0.01</v>
      </c>
      <c r="X81" s="45">
        <f t="shared" ref="X81" si="48">X80/X84</f>
        <v>0.01</v>
      </c>
      <c r="Y81" s="45">
        <f t="shared" ref="Y81" si="49">Y80/Y84</f>
        <v>0.01</v>
      </c>
      <c r="Z81" s="45">
        <f t="shared" ref="Z81:AA81" si="50">Z80/Z84</f>
        <v>0.01</v>
      </c>
      <c r="AA81" s="45">
        <f t="shared" si="50"/>
        <v>0.01</v>
      </c>
      <c r="AC81" s="72">
        <f>SUM(X81:AA81)</f>
        <v>0.04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1.9012171813700834E-2</v>
      </c>
      <c r="N82" s="46">
        <f t="shared" si="51"/>
        <v>0</v>
      </c>
      <c r="O82" s="46">
        <f t="shared" si="51"/>
        <v>0.1199952687917677</v>
      </c>
      <c r="P82" s="46">
        <f t="shared" si="51"/>
        <v>0.13264941803727417</v>
      </c>
      <c r="Q82" s="46">
        <f t="shared" si="51"/>
        <v>0.15117002474372571</v>
      </c>
      <c r="T82" s="46">
        <f t="shared" ref="T82:AA82" si="52">IF(AND(T14&gt;0,T15&lt;0),-(T15)/T14,0)</f>
        <v>0.1360986780472572</v>
      </c>
      <c r="U82" s="46">
        <f t="shared" si="52"/>
        <v>0.13474637031726117</v>
      </c>
      <c r="V82" s="46">
        <f t="shared" si="52"/>
        <v>0.1239639925447119</v>
      </c>
      <c r="W82" s="46">
        <f t="shared" si="52"/>
        <v>0.1430853491556367</v>
      </c>
      <c r="X82" s="46">
        <f t="shared" si="52"/>
        <v>0.15330385182336731</v>
      </c>
      <c r="Y82" s="46">
        <f t="shared" si="52"/>
        <v>0.15884647827920709</v>
      </c>
      <c r="Z82" s="46">
        <f t="shared" si="52"/>
        <v>0.14756830763735937</v>
      </c>
      <c r="AA82" s="46">
        <f t="shared" si="52"/>
        <v>0.16568673733602277</v>
      </c>
      <c r="AC82" s="46">
        <f>IF(AND(AC14&gt;0,AC15&lt;0),-(AC15)/AC14,0)</f>
        <v>0.15745716367014706</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2.2293230289068887E-3</v>
      </c>
      <c r="O88" s="48">
        <f t="shared" si="53"/>
        <v>1.2585452658115222</v>
      </c>
      <c r="P88" s="48">
        <f t="shared" si="53"/>
        <v>1.1420340763599357</v>
      </c>
      <c r="Q88" s="48">
        <f t="shared" si="53"/>
        <v>0.65473535790094795</v>
      </c>
      <c r="R88" s="1"/>
      <c r="S88" s="1"/>
      <c r="T88" s="48">
        <f t="shared" ref="T88:AA94" si="54">IF(S5=0,
IF(T5=0,0,IF(T5&gt;0,1,-1)),
(T5-S5)/ABS(S5)
)</f>
        <v>1</v>
      </c>
      <c r="U88" s="48">
        <f t="shared" si="54"/>
        <v>0.16784287616511318</v>
      </c>
      <c r="V88" s="48">
        <f t="shared" si="54"/>
        <v>0.12111624194743743</v>
      </c>
      <c r="W88" s="48">
        <f t="shared" si="54"/>
        <v>0.12028679667437898</v>
      </c>
      <c r="X88" s="48">
        <f t="shared" si="54"/>
        <v>6.0846080522899554E-2</v>
      </c>
      <c r="Y88" s="48">
        <f t="shared" si="54"/>
        <v>0.21956228740132211</v>
      </c>
      <c r="Z88" s="48">
        <f t="shared" si="54"/>
        <v>0.1950847279233765</v>
      </c>
      <c r="AA88" s="48">
        <f t="shared" si="54"/>
        <v>0.19798317847549429</v>
      </c>
      <c r="AB88" s="1"/>
      <c r="AC88" s="67"/>
      <c r="AD88" s="1"/>
      <c r="AE88" s="1"/>
    </row>
    <row r="89" spans="1:31" x14ac:dyDescent="0.2">
      <c r="B89" s="20" t="s">
        <v>20</v>
      </c>
      <c r="C89" s="49"/>
      <c r="D89" s="50"/>
      <c r="E89" s="50"/>
      <c r="F89" s="50"/>
      <c r="G89" s="50"/>
      <c r="H89" s="50"/>
      <c r="I89" s="50"/>
      <c r="J89" s="50"/>
      <c r="K89" s="50"/>
      <c r="L89" s="50"/>
      <c r="M89" s="50">
        <f t="shared" si="53"/>
        <v>1</v>
      </c>
      <c r="N89" s="50">
        <f t="shared" si="53"/>
        <v>0.23085072571246953</v>
      </c>
      <c r="O89" s="50">
        <f t="shared" si="53"/>
        <v>0.43062489240833191</v>
      </c>
      <c r="P89" s="50">
        <f t="shared" si="53"/>
        <v>0.9637205944287347</v>
      </c>
      <c r="Q89" s="50">
        <f t="shared" si="53"/>
        <v>0.91412114341738415</v>
      </c>
      <c r="T89" s="50">
        <f t="shared" si="54"/>
        <v>1</v>
      </c>
      <c r="U89" s="50">
        <f t="shared" si="54"/>
        <v>0.1955531743905706</v>
      </c>
      <c r="V89" s="50">
        <f t="shared" si="54"/>
        <v>0.18843827022182388</v>
      </c>
      <c r="W89" s="50">
        <f t="shared" si="54"/>
        <v>0.63970588235294112</v>
      </c>
      <c r="X89" s="50">
        <f t="shared" si="54"/>
        <v>-0.25893986432103022</v>
      </c>
      <c r="Y89" s="50">
        <f t="shared" si="54"/>
        <v>0.17587276958882855</v>
      </c>
      <c r="Z89" s="50">
        <f t="shared" si="54"/>
        <v>0.12383717094411822</v>
      </c>
      <c r="AA89" s="50">
        <f t="shared" si="54"/>
        <v>0.20100974521545145</v>
      </c>
      <c r="AC89" s="68"/>
    </row>
    <row r="90" spans="1:31" s="41" customFormat="1" x14ac:dyDescent="0.2">
      <c r="A90" s="16"/>
      <c r="B90" s="17" t="s">
        <v>21</v>
      </c>
      <c r="C90" s="47"/>
      <c r="D90" s="48"/>
      <c r="E90" s="48"/>
      <c r="F90" s="48"/>
      <c r="G90" s="48"/>
      <c r="H90" s="48"/>
      <c r="I90" s="48"/>
      <c r="J90" s="48"/>
      <c r="K90" s="48"/>
      <c r="L90" s="48"/>
      <c r="M90" s="48">
        <f t="shared" si="53"/>
        <v>1</v>
      </c>
      <c r="N90" s="48">
        <f t="shared" si="53"/>
        <v>-0.12125894134477826</v>
      </c>
      <c r="O90" s="48">
        <f t="shared" si="53"/>
        <v>1.8849309716071894</v>
      </c>
      <c r="P90" s="48">
        <f t="shared" si="53"/>
        <v>1.208934335568046</v>
      </c>
      <c r="Q90" s="48">
        <f t="shared" si="53"/>
        <v>0.56822130025138462</v>
      </c>
      <c r="R90" s="1"/>
      <c r="S90" s="1"/>
      <c r="T90" s="48">
        <f t="shared" si="54"/>
        <v>1</v>
      </c>
      <c r="U90" s="48">
        <f t="shared" si="54"/>
        <v>0.1586781252768672</v>
      </c>
      <c r="V90" s="48">
        <f t="shared" si="54"/>
        <v>9.8141917724422698E-2</v>
      </c>
      <c r="W90" s="48">
        <f t="shared" si="54"/>
        <v>-7.1545451380426839E-2</v>
      </c>
      <c r="X90" s="48">
        <f t="shared" si="54"/>
        <v>0.26942402879856009</v>
      </c>
      <c r="Y90" s="48">
        <f t="shared" si="54"/>
        <v>0.23619767819691018</v>
      </c>
      <c r="Z90" s="48">
        <f t="shared" si="54"/>
        <v>0.22088938803794594</v>
      </c>
      <c r="AA90" s="48">
        <f t="shared" si="54"/>
        <v>0.19697414518622902</v>
      </c>
      <c r="AB90" s="1"/>
      <c r="AC90" s="67"/>
      <c r="AD90" s="1"/>
      <c r="AE90" s="1"/>
    </row>
    <row r="91" spans="1:31" x14ac:dyDescent="0.2">
      <c r="B91" s="20" t="s">
        <v>22</v>
      </c>
      <c r="C91" s="49"/>
      <c r="D91" s="50"/>
      <c r="E91" s="50"/>
      <c r="F91" s="50"/>
      <c r="G91" s="50"/>
      <c r="H91" s="50"/>
      <c r="I91" s="50"/>
      <c r="J91" s="50"/>
      <c r="K91" s="50"/>
      <c r="L91" s="50"/>
      <c r="M91" s="50">
        <f t="shared" si="53"/>
        <v>1</v>
      </c>
      <c r="N91" s="50">
        <f t="shared" si="53"/>
        <v>0.3931283219438117</v>
      </c>
      <c r="O91" s="50">
        <f t="shared" si="53"/>
        <v>0.18204115002043875</v>
      </c>
      <c r="P91" s="50">
        <f t="shared" si="53"/>
        <v>0.4886455331412104</v>
      </c>
      <c r="Q91" s="50">
        <f t="shared" si="53"/>
        <v>0.43232151153786585</v>
      </c>
      <c r="T91" s="50">
        <f t="shared" si="54"/>
        <v>1</v>
      </c>
      <c r="U91" s="50">
        <f t="shared" si="54"/>
        <v>9.7087378640776698E-2</v>
      </c>
      <c r="V91" s="50">
        <f t="shared" si="54"/>
        <v>9.5575221238938052E-2</v>
      </c>
      <c r="W91" s="50">
        <f t="shared" si="54"/>
        <v>7.4044157242864839E-2</v>
      </c>
      <c r="X91" s="50">
        <f t="shared" si="54"/>
        <v>7.5708197543243927E-2</v>
      </c>
      <c r="Y91" s="50">
        <f t="shared" si="54"/>
        <v>9.6481006758331392E-2</v>
      </c>
      <c r="Z91" s="50">
        <f t="shared" si="54"/>
        <v>0.17151965993623805</v>
      </c>
      <c r="AA91" s="50">
        <f t="shared" si="54"/>
        <v>0.14677068214804065</v>
      </c>
      <c r="AC91" s="68"/>
    </row>
    <row r="92" spans="1:31" x14ac:dyDescent="0.2">
      <c r="B92" s="20" t="s">
        <v>347</v>
      </c>
      <c r="C92" s="49"/>
      <c r="D92" s="50"/>
      <c r="E92" s="50"/>
      <c r="F92" s="50"/>
      <c r="G92" s="50"/>
      <c r="H92" s="50"/>
      <c r="I92" s="50"/>
      <c r="J92" s="50"/>
      <c r="K92" s="50"/>
      <c r="L92" s="50"/>
      <c r="M92" s="50">
        <f t="shared" si="53"/>
        <v>1</v>
      </c>
      <c r="N92" s="50">
        <f t="shared" si="53"/>
        <v>0.1265004616805171</v>
      </c>
      <c r="O92" s="50">
        <f t="shared" si="53"/>
        <v>8.7704918032786891E-2</v>
      </c>
      <c r="P92" s="50">
        <f t="shared" si="53"/>
        <v>0.31537302185380556</v>
      </c>
      <c r="Q92" s="50">
        <f t="shared" si="53"/>
        <v>0.31165855055857922</v>
      </c>
      <c r="T92" s="50">
        <f t="shared" si="54"/>
        <v>1</v>
      </c>
      <c r="U92" s="50">
        <f t="shared" si="54"/>
        <v>6.5320665083135387E-2</v>
      </c>
      <c r="V92" s="50">
        <f t="shared" si="54"/>
        <v>8.6956521739130432E-2</v>
      </c>
      <c r="W92" s="50">
        <f t="shared" si="54"/>
        <v>6.7692307692307691E-2</v>
      </c>
      <c r="X92" s="50">
        <f t="shared" si="54"/>
        <v>7.7809798270893377E-2</v>
      </c>
      <c r="Y92" s="50">
        <f t="shared" si="54"/>
        <v>1.06951871657754E-2</v>
      </c>
      <c r="Z92" s="50">
        <f t="shared" si="54"/>
        <v>0.13051146384479717</v>
      </c>
      <c r="AA92" s="50">
        <f t="shared" si="54"/>
        <v>1.4040561622464899E-2</v>
      </c>
      <c r="AC92" s="68"/>
    </row>
    <row r="93" spans="1:31" x14ac:dyDescent="0.2">
      <c r="B93" s="23" t="s">
        <v>23</v>
      </c>
      <c r="C93" s="49"/>
      <c r="D93" s="50"/>
      <c r="E93" s="50"/>
      <c r="F93" s="50"/>
      <c r="G93" s="50"/>
      <c r="H93" s="50"/>
      <c r="I93" s="50"/>
      <c r="J93" s="50"/>
      <c r="K93" s="50"/>
      <c r="L93" s="50"/>
      <c r="M93" s="50">
        <f t="shared" si="53"/>
        <v>1</v>
      </c>
      <c r="N93" s="50">
        <f t="shared" si="53"/>
        <v>0.49744417541027708</v>
      </c>
      <c r="O93" s="50">
        <f t="shared" si="53"/>
        <v>1.7696730147323033E-2</v>
      </c>
      <c r="P93" s="50">
        <f t="shared" si="53"/>
        <v>0.44805366757878012</v>
      </c>
      <c r="Q93" s="50">
        <f t="shared" si="53"/>
        <v>0.40664431575739102</v>
      </c>
      <c r="T93" s="50">
        <f t="shared" si="54"/>
        <v>1</v>
      </c>
      <c r="U93" s="50">
        <f t="shared" si="54"/>
        <v>9.028484231943032E-2</v>
      </c>
      <c r="V93" s="50">
        <f t="shared" si="54"/>
        <v>9.3771868439468165E-2</v>
      </c>
      <c r="W93" s="50">
        <f t="shared" si="54"/>
        <v>7.2723395180208997E-2</v>
      </c>
      <c r="X93" s="50">
        <f t="shared" si="54"/>
        <v>7.6143141153081517E-2</v>
      </c>
      <c r="Y93" s="50">
        <f t="shared" si="54"/>
        <v>7.8699427304636985E-2</v>
      </c>
      <c r="Z93" s="50">
        <f t="shared" si="54"/>
        <v>0.16355540332248672</v>
      </c>
      <c r="AA93" s="50">
        <f t="shared" si="54"/>
        <v>0.12172505151604357</v>
      </c>
      <c r="AC93" s="68"/>
    </row>
    <row r="94" spans="1:31" s="41" customFormat="1" x14ac:dyDescent="0.2">
      <c r="A94" s="16"/>
      <c r="B94" s="17" t="s">
        <v>24</v>
      </c>
      <c r="C94" s="47"/>
      <c r="D94" s="48"/>
      <c r="E94" s="48"/>
      <c r="F94" s="48"/>
      <c r="G94" s="48"/>
      <c r="H94" s="48"/>
      <c r="I94" s="48"/>
      <c r="J94" s="48"/>
      <c r="K94" s="48"/>
      <c r="L94" s="48"/>
      <c r="M94" s="48">
        <f t="shared" si="53"/>
        <v>1</v>
      </c>
      <c r="N94" s="48">
        <f t="shared" si="53"/>
        <v>-0.57932476844935765</v>
      </c>
      <c r="O94" s="48">
        <f t="shared" si="53"/>
        <v>6.8058712121212119</v>
      </c>
      <c r="P94" s="48">
        <f t="shared" si="53"/>
        <v>1.470368797767803</v>
      </c>
      <c r="Q94" s="48">
        <f t="shared" si="53"/>
        <v>0.60076363055995485</v>
      </c>
      <c r="R94" s="1"/>
      <c r="S94" s="1"/>
      <c r="T94" s="48">
        <f t="shared" si="54"/>
        <v>1</v>
      </c>
      <c r="U94" s="48">
        <f t="shared" si="54"/>
        <v>0.17310374423345135</v>
      </c>
      <c r="V94" s="48">
        <f t="shared" si="54"/>
        <v>9.8998582468334165E-2</v>
      </c>
      <c r="W94" s="48">
        <f t="shared" si="54"/>
        <v>-9.9692102854289755E-2</v>
      </c>
      <c r="X94" s="48">
        <f t="shared" si="54"/>
        <v>0.31435437655975601</v>
      </c>
      <c r="Y94" s="48">
        <f t="shared" si="54"/>
        <v>0.2661744022503516</v>
      </c>
      <c r="Z94" s="48">
        <f t="shared" si="54"/>
        <v>0.23018605942793668</v>
      </c>
      <c r="AA94" s="48">
        <f t="shared" si="54"/>
        <v>0.20851486489537011</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AA95" si="55">IF(S14=0,
IF(T14=0,0,IF(T14&gt;0,1,-1)),
(T14-S14)/ABS(S14)
)</f>
        <v>1</v>
      </c>
      <c r="U95" s="52">
        <f t="shared" si="55"/>
        <v>0.16144477984802749</v>
      </c>
      <c r="V95" s="52">
        <f t="shared" si="55"/>
        <v>0.12999641512815918</v>
      </c>
      <c r="W95" s="52">
        <f t="shared" si="55"/>
        <v>-0.13114169012967442</v>
      </c>
      <c r="X95" s="52">
        <f t="shared" si="55"/>
        <v>0.42428115015974444</v>
      </c>
      <c r="Y95" s="52">
        <f t="shared" si="55"/>
        <v>0.21566365442543101</v>
      </c>
      <c r="Z95" s="52">
        <f t="shared" si="55"/>
        <v>0.32847427245887811</v>
      </c>
      <c r="AA95" s="52">
        <f t="shared" si="55"/>
        <v>0.38704684802666828</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AA96" si="56">IF(S17=0,
IF(T17=0,0,IF(T17&gt;0,1,-1)),
(T17-S17)/ABS(S17)
)</f>
        <v>1</v>
      </c>
      <c r="U96" s="52">
        <f t="shared" si="56"/>
        <v>0.16326284715946743</v>
      </c>
      <c r="V96" s="52">
        <f t="shared" si="56"/>
        <v>0.14407789113884717</v>
      </c>
      <c r="W96" s="52">
        <f t="shared" si="56"/>
        <v>-0.15010637816305283</v>
      </c>
      <c r="X96" s="52">
        <f t="shared" si="56"/>
        <v>0.40729693741677764</v>
      </c>
      <c r="Y96" s="52">
        <f t="shared" si="56"/>
        <v>0.20770569979562487</v>
      </c>
      <c r="Z96" s="52">
        <f t="shared" si="56"/>
        <v>0.34628643058602321</v>
      </c>
      <c r="AA96" s="52">
        <f t="shared" si="56"/>
        <v>0.35756517690875234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AA99" si="57">T7/T5</f>
        <v>0.75146471371504664</v>
      </c>
      <c r="U99" s="50">
        <f t="shared" si="57"/>
        <v>0.74556752750698363</v>
      </c>
      <c r="V99" s="50">
        <f t="shared" si="57"/>
        <v>0.73028908494571709</v>
      </c>
      <c r="W99" s="50">
        <f t="shared" si="57"/>
        <v>0.60523807362353044</v>
      </c>
      <c r="X99" s="50">
        <f t="shared" si="57"/>
        <v>0.72423678411740799</v>
      </c>
      <c r="Y99" s="50">
        <f t="shared" si="57"/>
        <v>0.7341157071185489</v>
      </c>
      <c r="Z99" s="50">
        <f t="shared" si="57"/>
        <v>0.74996697344665109</v>
      </c>
      <c r="AA99" s="50">
        <f t="shared" si="57"/>
        <v>0.74933529375727503</v>
      </c>
      <c r="AC99" s="50">
        <f>AC7/AC5</f>
        <v>0.74145433171197395</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AA100" si="58">T11/T5</f>
        <v>0.62057256990679099</v>
      </c>
      <c r="U100" s="50">
        <f t="shared" si="58"/>
        <v>0.62336810900176731</v>
      </c>
      <c r="V100" s="50">
        <f t="shared" si="58"/>
        <v>0.61107014822913219</v>
      </c>
      <c r="W100" s="50">
        <f t="shared" si="58"/>
        <v>0.49108074985248057</v>
      </c>
      <c r="X100" s="50">
        <f t="shared" si="58"/>
        <v>0.60843334830883766</v>
      </c>
      <c r="Y100" s="50">
        <f t="shared" si="58"/>
        <v>0.63168789250254365</v>
      </c>
      <c r="Z100" s="50">
        <f t="shared" si="58"/>
        <v>0.65024146080115075</v>
      </c>
      <c r="AA100" s="50">
        <f t="shared" si="58"/>
        <v>0.65595785088525393</v>
      </c>
      <c r="AC100" s="50">
        <f>AC11/AC5</f>
        <v>0.64020024379563767</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AA101" si="59">T109/T5</f>
        <v>0.55256324900133158</v>
      </c>
      <c r="U101" s="55">
        <f t="shared" si="59"/>
        <v>0.55039621458297705</v>
      </c>
      <c r="V101" s="55">
        <f t="shared" si="59"/>
        <v>0.56166891256260965</v>
      </c>
      <c r="W101" s="55">
        <f t="shared" si="59"/>
        <v>0.42610412600426673</v>
      </c>
      <c r="X101" s="55">
        <f t="shared" si="59"/>
        <v>0.56526110861519374</v>
      </c>
      <c r="Y101" s="55">
        <f t="shared" si="59"/>
        <v>0.55976563870469775</v>
      </c>
      <c r="Z101" s="55">
        <f t="shared" si="59"/>
        <v>0.63058699194152101</v>
      </c>
      <c r="AA101" s="55">
        <f t="shared" si="59"/>
        <v>0.71458677939104331</v>
      </c>
      <c r="AB101" s="1"/>
      <c r="AC101" s="55">
        <f>AC109/AC5</f>
        <v>0.62965943564071303</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1.9012171813700834E-2</v>
      </c>
      <c r="N104" s="81">
        <f t="shared" si="60"/>
        <v>0</v>
      </c>
      <c r="O104" s="81">
        <f t="shared" si="60"/>
        <v>0.1199952687917677</v>
      </c>
      <c r="P104" s="81">
        <f t="shared" si="60"/>
        <v>0.13264941803727417</v>
      </c>
      <c r="Q104" s="81">
        <f t="shared" si="60"/>
        <v>0.15117002474372571</v>
      </c>
      <c r="T104" s="81">
        <f t="shared" ref="T104:AA104" si="61">IF(AND(T82&gt;=0,T11&gt;=0),T82,0)</f>
        <v>0.1360986780472572</v>
      </c>
      <c r="U104" s="81">
        <f t="shared" si="61"/>
        <v>0.13474637031726117</v>
      </c>
      <c r="V104" s="81">
        <f t="shared" si="61"/>
        <v>0.1239639925447119</v>
      </c>
      <c r="W104" s="81">
        <f t="shared" si="61"/>
        <v>0.1430853491556367</v>
      </c>
      <c r="X104" s="81">
        <f t="shared" si="61"/>
        <v>0.15330385182336731</v>
      </c>
      <c r="Y104" s="81">
        <f t="shared" si="61"/>
        <v>0.15884647827920709</v>
      </c>
      <c r="Z104" s="81">
        <f t="shared" si="61"/>
        <v>0.14756830763735937</v>
      </c>
      <c r="AA104" s="81">
        <f t="shared" si="61"/>
        <v>0.16568673733602277</v>
      </c>
      <c r="AC104" s="81">
        <f>IF(AND(AC82&gt;=0,AC11&gt;=0),AC82,0)</f>
        <v>0.15745716367014706</v>
      </c>
    </row>
    <row r="105" spans="1:31" x14ac:dyDescent="0.2">
      <c r="B105" s="20" t="s">
        <v>170</v>
      </c>
      <c r="C105" s="25"/>
      <c r="D105" s="25"/>
      <c r="E105" s="25"/>
      <c r="F105" s="25"/>
      <c r="G105" s="25"/>
      <c r="H105" s="25"/>
      <c r="I105" s="25"/>
      <c r="J105" s="25"/>
      <c r="K105" s="25"/>
      <c r="L105" s="25"/>
      <c r="M105" s="25">
        <f>M28+M33</f>
        <v>21208</v>
      </c>
      <c r="N105" s="25">
        <f t="shared" ref="N105:Q105" si="62">N28+N33</f>
        <v>13296</v>
      </c>
      <c r="O105" s="25">
        <f t="shared" si="62"/>
        <v>25984</v>
      </c>
      <c r="P105" s="25">
        <f t="shared" si="62"/>
        <v>43210</v>
      </c>
      <c r="Q105" s="25">
        <f t="shared" si="62"/>
        <v>62556</v>
      </c>
      <c r="T105" s="25">
        <f t="shared" ref="T105:AA105" si="63">T28+T33</f>
        <v>34800</v>
      </c>
      <c r="U105" s="25">
        <f t="shared" si="63"/>
        <v>38487</v>
      </c>
      <c r="V105" s="25">
        <f t="shared" si="63"/>
        <v>43210</v>
      </c>
      <c r="W105" s="25">
        <f t="shared" si="63"/>
        <v>53691</v>
      </c>
      <c r="X105" s="25">
        <f t="shared" si="63"/>
        <v>56791</v>
      </c>
      <c r="Y105" s="25">
        <f t="shared" si="63"/>
        <v>60608</v>
      </c>
      <c r="Z105" s="25">
        <f t="shared" si="63"/>
        <v>62556</v>
      </c>
      <c r="AA105" s="25">
        <f t="shared" si="63"/>
        <v>80572</v>
      </c>
      <c r="AC105" s="25">
        <f>AA105</f>
        <v>80572</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AA106" si="64">T38+T40</f>
        <v>8461</v>
      </c>
      <c r="U106" s="25">
        <f t="shared" si="64"/>
        <v>8462</v>
      </c>
      <c r="V106" s="25">
        <f t="shared" si="64"/>
        <v>8463</v>
      </c>
      <c r="W106" s="25">
        <f t="shared" si="64"/>
        <v>8464</v>
      </c>
      <c r="X106" s="25">
        <f t="shared" si="64"/>
        <v>8466</v>
      </c>
      <c r="Y106" s="25">
        <f t="shared" si="64"/>
        <v>8467</v>
      </c>
      <c r="Z106" s="25">
        <f t="shared" si="64"/>
        <v>8568</v>
      </c>
      <c r="AA106" s="25">
        <f t="shared" si="64"/>
        <v>8470</v>
      </c>
      <c r="AC106" s="25">
        <f>AA106</f>
        <v>8470</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136732.0641937902</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AA108" si="65">T59+T60</f>
        <v>-977</v>
      </c>
      <c r="U108" s="127">
        <f t="shared" si="65"/>
        <v>-813</v>
      </c>
      <c r="V108" s="127">
        <f t="shared" si="65"/>
        <v>-1077</v>
      </c>
      <c r="W108" s="127">
        <f t="shared" si="65"/>
        <v>-1227</v>
      </c>
      <c r="X108" s="127">
        <f t="shared" si="65"/>
        <v>-1894</v>
      </c>
      <c r="Y108" s="127">
        <f t="shared" si="65"/>
        <v>-1637</v>
      </c>
      <c r="Z108" s="127">
        <f t="shared" si="65"/>
        <v>-1284</v>
      </c>
      <c r="AA108" s="127">
        <f t="shared" si="65"/>
        <v>-1757</v>
      </c>
      <c r="AC108" s="127">
        <f>AC59+AC60</f>
        <v>-6572</v>
      </c>
    </row>
    <row r="109" spans="1:31" x14ac:dyDescent="0.2">
      <c r="B109" s="20" t="s">
        <v>329</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AA109" si="66">T16+T17</f>
        <v>16599</v>
      </c>
      <c r="U109" s="127">
        <f t="shared" si="66"/>
        <v>19309</v>
      </c>
      <c r="V109" s="127">
        <f t="shared" si="66"/>
        <v>22091</v>
      </c>
      <c r="W109" s="127">
        <f t="shared" si="66"/>
        <v>18775</v>
      </c>
      <c r="X109" s="127">
        <f t="shared" si="66"/>
        <v>26422</v>
      </c>
      <c r="Y109" s="127">
        <f t="shared" si="66"/>
        <v>31910</v>
      </c>
      <c r="Z109" s="127">
        <f t="shared" si="66"/>
        <v>42960</v>
      </c>
      <c r="AA109" s="127">
        <f t="shared" si="66"/>
        <v>58321</v>
      </c>
      <c r="AC109" s="127">
        <f>AC16+AC17</f>
        <v>159613</v>
      </c>
    </row>
    <row r="110" spans="1:31" x14ac:dyDescent="0.2">
      <c r="B110" s="20" t="s">
        <v>330</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AA110" si="67">T48+T47</f>
        <v>58157</v>
      </c>
      <c r="U110" s="127">
        <f t="shared" si="67"/>
        <v>65899</v>
      </c>
      <c r="V110" s="127">
        <f t="shared" si="67"/>
        <v>79327</v>
      </c>
      <c r="W110" s="127">
        <f t="shared" si="67"/>
        <v>83843</v>
      </c>
      <c r="X110" s="127">
        <f t="shared" si="67"/>
        <v>100131</v>
      </c>
      <c r="Y110" s="127">
        <f t="shared" si="67"/>
        <v>118897</v>
      </c>
      <c r="Z110" s="127">
        <f t="shared" si="67"/>
        <v>157293</v>
      </c>
      <c r="AA110" s="127">
        <f t="shared" si="67"/>
        <v>195474</v>
      </c>
      <c r="AC110" s="127">
        <f>AC48+AC47</f>
        <v>195474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112.87</v>
      </c>
      <c r="U114" s="63">
        <v>141.32</v>
      </c>
      <c r="V114" s="63">
        <v>142.62</v>
      </c>
      <c r="W114" s="63">
        <v>110.85</v>
      </c>
      <c r="X114" s="63">
        <v>173.27</v>
      </c>
      <c r="Y114" s="63">
        <v>186.02</v>
      </c>
      <c r="Z114" s="63">
        <v>187.67</v>
      </c>
      <c r="AA114" s="63">
        <v>208.27</v>
      </c>
      <c r="AC114" s="63">
        <f ca="1">Overview!C5</f>
        <v>198.97380000000001</v>
      </c>
    </row>
    <row r="115" spans="1:31" x14ac:dyDescent="0.2">
      <c r="B115" s="20" t="s">
        <v>342</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AA115" si="68">T114/T84</f>
        <v>112.87</v>
      </c>
      <c r="U115" s="65">
        <f t="shared" si="68"/>
        <v>141.32</v>
      </c>
      <c r="V115" s="65">
        <f t="shared" si="68"/>
        <v>142.62</v>
      </c>
      <c r="W115" s="65">
        <f t="shared" si="68"/>
        <v>110.85</v>
      </c>
      <c r="X115" s="65">
        <f t="shared" si="68"/>
        <v>173.27</v>
      </c>
      <c r="Y115" s="65">
        <f t="shared" si="68"/>
        <v>186.02</v>
      </c>
      <c r="Z115" s="65">
        <f t="shared" si="68"/>
        <v>187.67</v>
      </c>
      <c r="AA115" s="65">
        <f t="shared" si="68"/>
        <v>208.27</v>
      </c>
      <c r="AC115" s="65">
        <f ca="1">AC114/AC84</f>
        <v>198.97380000000001</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0.62965943564071303</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0.97694181305256023</v>
      </c>
    </row>
    <row r="121" spans="1:31" x14ac:dyDescent="0.2">
      <c r="B121" s="32" t="s">
        <v>94</v>
      </c>
      <c r="M121" s="76">
        <f t="shared" ref="M121:P121" si="69">M119*M120</f>
        <v>0.22069839545567699</v>
      </c>
      <c r="N121" s="76">
        <f t="shared" si="69"/>
        <v>0.10606575688407557</v>
      </c>
      <c r="O121" s="76">
        <f t="shared" si="69"/>
        <v>0.45277507302823755</v>
      </c>
      <c r="P121" s="76">
        <f t="shared" si="69"/>
        <v>0.65304074336251472</v>
      </c>
      <c r="Q121" s="76">
        <f>Q119*Q120</f>
        <v>0.5805863551302447</v>
      </c>
      <c r="T121" s="79"/>
      <c r="U121" s="79"/>
      <c r="V121" s="79"/>
      <c r="W121" s="79"/>
      <c r="X121" s="79"/>
      <c r="Y121" s="79"/>
      <c r="Z121" s="79"/>
      <c r="AA121" s="79"/>
      <c r="AC121" s="76">
        <f>AC119*AC120</f>
        <v>0.61514063066049007</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1.3274092718213164</v>
      </c>
    </row>
    <row r="123" spans="1:31" x14ac:dyDescent="0.2">
      <c r="B123" s="32" t="s">
        <v>96</v>
      </c>
      <c r="M123" s="76">
        <f t="shared" ref="M123:P123" si="70">M121*M122</f>
        <v>0.36645122501127303</v>
      </c>
      <c r="N123" s="76">
        <f t="shared" si="70"/>
        <v>0.19763811592235647</v>
      </c>
      <c r="O123" s="76">
        <f t="shared" si="70"/>
        <v>0.69244729861789756</v>
      </c>
      <c r="P123" s="76">
        <f t="shared" si="70"/>
        <v>0.91872880608115781</v>
      </c>
      <c r="Q123" s="76">
        <f>Q121*Q122</f>
        <v>0.76333339690895341</v>
      </c>
      <c r="T123" s="79"/>
      <c r="U123" s="79"/>
      <c r="V123" s="79"/>
      <c r="W123" s="79"/>
      <c r="X123" s="79"/>
      <c r="Y123" s="79"/>
      <c r="Z123" s="79"/>
      <c r="AA123" s="79"/>
      <c r="AC123" s="76">
        <f>AC121*AC122</f>
        <v>0.81654337661274645</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31800</v>
      </c>
      <c r="U127" s="21">
        <v>36300</v>
      </c>
      <c r="V127" s="21">
        <v>42000</v>
      </c>
      <c r="W127" s="21">
        <v>44000</v>
      </c>
      <c r="X127" s="21">
        <v>53000</v>
      </c>
      <c r="Y127" s="21">
        <v>63700</v>
      </c>
      <c r="Z127" s="21">
        <v>76500</v>
      </c>
      <c r="AA127" s="21">
        <v>89000</v>
      </c>
      <c r="AC127" s="49"/>
    </row>
    <row r="128" spans="1:31" x14ac:dyDescent="0.2">
      <c r="B128" s="20" t="s">
        <v>227</v>
      </c>
      <c r="C128" s="49"/>
      <c r="D128" s="49"/>
      <c r="E128" s="49"/>
      <c r="F128" s="49"/>
      <c r="G128" s="49"/>
      <c r="H128" s="49"/>
      <c r="I128" s="49"/>
      <c r="J128" s="49"/>
      <c r="K128" s="49"/>
      <c r="L128" s="49"/>
      <c r="M128" s="49"/>
      <c r="N128" s="49"/>
      <c r="O128" s="49"/>
      <c r="P128" s="49"/>
      <c r="Q128" s="49"/>
      <c r="T128" s="21">
        <v>33500</v>
      </c>
      <c r="U128" s="21">
        <v>38300</v>
      </c>
      <c r="V128" s="21">
        <v>44000</v>
      </c>
      <c r="W128" s="21">
        <v>46000</v>
      </c>
      <c r="X128" s="21">
        <v>55000</v>
      </c>
      <c r="Y128" s="21">
        <v>66300</v>
      </c>
      <c r="Z128" s="21">
        <v>79500</v>
      </c>
      <c r="AA128" s="21">
        <v>93000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AA129" si="71">U5</f>
        <v>35082</v>
      </c>
      <c r="U129" s="25">
        <f t="shared" si="71"/>
        <v>39331</v>
      </c>
      <c r="V129" s="25">
        <f t="shared" si="71"/>
        <v>44062</v>
      </c>
      <c r="W129" s="25">
        <f t="shared" si="71"/>
        <v>46743</v>
      </c>
      <c r="X129" s="25">
        <f t="shared" si="71"/>
        <v>57006</v>
      </c>
      <c r="Y129" s="25">
        <f t="shared" si="71"/>
        <v>68127</v>
      </c>
      <c r="Z129" s="25">
        <f t="shared" si="71"/>
        <v>81615</v>
      </c>
      <c r="AA129" s="25">
        <f t="shared" si="71"/>
        <v>0</v>
      </c>
      <c r="AC129" s="49"/>
    </row>
    <row r="130" spans="2:29" x14ac:dyDescent="0.2">
      <c r="B130" s="20" t="s">
        <v>178</v>
      </c>
      <c r="C130" s="49"/>
      <c r="D130" s="49"/>
      <c r="E130" s="49"/>
      <c r="F130" s="49"/>
      <c r="G130" s="49"/>
      <c r="H130" s="49"/>
      <c r="I130" s="49"/>
      <c r="J130" s="49"/>
      <c r="K130" s="49"/>
      <c r="L130" s="49"/>
      <c r="M130" s="49"/>
      <c r="N130" s="49"/>
      <c r="O130" s="49"/>
      <c r="P130" s="49"/>
      <c r="Q130" s="49"/>
      <c r="T130" s="229" t="str">
        <f t="shared" ref="T130:AA130" si="72">IF(T129&gt;T128, "BEAT", IF(T129&lt;T127, "MISSED", "MET"))</f>
        <v>BEAT</v>
      </c>
      <c r="U130" s="229" t="str">
        <f t="shared" si="72"/>
        <v>BEAT</v>
      </c>
      <c r="V130" s="229" t="str">
        <f t="shared" si="72"/>
        <v>BEAT</v>
      </c>
      <c r="W130" s="229" t="str">
        <f t="shared" si="72"/>
        <v>BEAT</v>
      </c>
      <c r="X130" s="229" t="str">
        <f t="shared" si="72"/>
        <v>BEAT</v>
      </c>
      <c r="Y130" s="229" t="str">
        <f t="shared" si="72"/>
        <v>BEAT</v>
      </c>
      <c r="Z130" s="229" t="str">
        <f t="shared" si="72"/>
        <v>BEAT</v>
      </c>
      <c r="AA130" s="229" t="str">
        <f t="shared" si="72"/>
        <v>MISSED</v>
      </c>
      <c r="AC130" s="49"/>
    </row>
    <row r="131" spans="2:29" x14ac:dyDescent="0.2">
      <c r="B131" s="20" t="s">
        <v>364</v>
      </c>
      <c r="C131" s="49"/>
      <c r="D131" s="49"/>
      <c r="E131" s="49"/>
      <c r="F131" s="49"/>
      <c r="G131" s="49"/>
      <c r="H131" s="49"/>
      <c r="I131" s="49"/>
      <c r="J131" s="49"/>
      <c r="K131" s="49"/>
      <c r="L131" s="49"/>
      <c r="M131" s="49"/>
      <c r="N131" s="49"/>
      <c r="O131" s="49"/>
      <c r="P131" s="49"/>
      <c r="Q131" s="49"/>
      <c r="T131" s="223">
        <v>0.73899999999999999</v>
      </c>
      <c r="U131" s="223">
        <v>0.72499999999999998</v>
      </c>
      <c r="V131" s="223">
        <v>0.70099999999999996</v>
      </c>
      <c r="W131" s="223">
        <v>0.71299999999999997</v>
      </c>
      <c r="X131" s="223">
        <v>0.72799999999999998</v>
      </c>
      <c r="Y131" s="223">
        <v>0.74299999999999999</v>
      </c>
      <c r="Z131" s="223">
        <v>0.745</v>
      </c>
      <c r="AA131" s="223">
        <v>0.745</v>
      </c>
      <c r="AC131" s="49"/>
    </row>
    <row r="132" spans="2:29" x14ac:dyDescent="0.2">
      <c r="B132" s="20" t="s">
        <v>365</v>
      </c>
      <c r="C132" s="49"/>
      <c r="D132" s="49"/>
      <c r="E132" s="49"/>
      <c r="F132" s="49"/>
      <c r="G132" s="49"/>
      <c r="H132" s="49"/>
      <c r="I132" s="49"/>
      <c r="J132" s="49"/>
      <c r="K132" s="49"/>
      <c r="L132" s="49"/>
      <c r="M132" s="49"/>
      <c r="N132" s="49"/>
      <c r="O132" s="49"/>
      <c r="P132" s="49"/>
      <c r="Q132" s="49"/>
      <c r="T132" s="223">
        <v>0.749</v>
      </c>
      <c r="U132" s="223">
        <v>0.73499999999999999</v>
      </c>
      <c r="V132" s="223">
        <v>0.71099999999999997</v>
      </c>
      <c r="W132" s="223">
        <v>0.72299999999999998</v>
      </c>
      <c r="X132" s="223">
        <v>0.73799999999999999</v>
      </c>
      <c r="Y132" s="223">
        <v>0.754</v>
      </c>
      <c r="Z132" s="223">
        <v>0.754</v>
      </c>
      <c r="AA132" s="223">
        <v>0.754</v>
      </c>
      <c r="AC132" s="49"/>
    </row>
    <row r="133" spans="2:29" x14ac:dyDescent="0.2">
      <c r="B133" s="20" t="s">
        <v>366</v>
      </c>
      <c r="C133" s="49"/>
      <c r="D133" s="49"/>
      <c r="E133" s="49"/>
      <c r="F133" s="49"/>
      <c r="G133" s="49"/>
      <c r="H133" s="49"/>
      <c r="I133" s="49"/>
      <c r="J133" s="49"/>
      <c r="K133" s="49"/>
      <c r="L133" s="49"/>
      <c r="M133" s="49"/>
      <c r="N133" s="49"/>
      <c r="O133" s="49"/>
      <c r="P133" s="49"/>
      <c r="Q133" s="49"/>
      <c r="T133" s="81">
        <f t="shared" ref="T133:AA133" si="73">U99</f>
        <v>0.74556752750698363</v>
      </c>
      <c r="U133" s="81">
        <f t="shared" si="73"/>
        <v>0.73028908494571709</v>
      </c>
      <c r="V133" s="81">
        <f t="shared" si="73"/>
        <v>0.60523807362353044</v>
      </c>
      <c r="W133" s="81">
        <f t="shared" si="73"/>
        <v>0.72423678411740799</v>
      </c>
      <c r="X133" s="81">
        <f t="shared" si="73"/>
        <v>0.7341157071185489</v>
      </c>
      <c r="Y133" s="81">
        <f t="shared" si="73"/>
        <v>0.74996697344665109</v>
      </c>
      <c r="Z133" s="81">
        <f t="shared" si="73"/>
        <v>0.74933529375727503</v>
      </c>
      <c r="AA133" s="81">
        <f t="shared" si="73"/>
        <v>0</v>
      </c>
      <c r="AC133" s="49"/>
    </row>
    <row r="134" spans="2:29" x14ac:dyDescent="0.2">
      <c r="B134" s="20" t="s">
        <v>178</v>
      </c>
      <c r="C134" s="49"/>
      <c r="D134" s="49"/>
      <c r="E134" s="49"/>
      <c r="F134" s="49"/>
      <c r="G134" s="49"/>
      <c r="H134" s="49"/>
      <c r="I134" s="49"/>
      <c r="J134" s="49"/>
      <c r="K134" s="49"/>
      <c r="L134" s="49"/>
      <c r="M134" s="49"/>
      <c r="N134" s="49"/>
      <c r="O134" s="49"/>
      <c r="P134" s="49"/>
      <c r="Q134" s="49"/>
      <c r="T134" s="229" t="str">
        <f t="shared" ref="T134:AA134" si="74">IF(T133&gt;T132, "BEAT", IF(T133&lt;T131, "MISSED", "MET"))</f>
        <v>MET</v>
      </c>
      <c r="U134" s="229" t="str">
        <f t="shared" si="74"/>
        <v>MET</v>
      </c>
      <c r="V134" s="229" t="str">
        <f t="shared" si="74"/>
        <v>MISSED</v>
      </c>
      <c r="W134" s="229" t="str">
        <f t="shared" si="74"/>
        <v>BEAT</v>
      </c>
      <c r="X134" s="229" t="str">
        <f t="shared" si="74"/>
        <v>MET</v>
      </c>
      <c r="Y134" s="229" t="str">
        <f t="shared" si="74"/>
        <v>MET</v>
      </c>
      <c r="Z134" s="229" t="str">
        <f t="shared" si="74"/>
        <v>MET</v>
      </c>
      <c r="AA134" s="229" t="str">
        <f t="shared" si="74"/>
        <v>MISSED</v>
      </c>
      <c r="AC134" s="49"/>
    </row>
    <row r="135" spans="2:29" x14ac:dyDescent="0.2">
      <c r="B135" s="20" t="s">
        <v>367</v>
      </c>
      <c r="C135" s="49"/>
      <c r="D135" s="49"/>
      <c r="E135" s="49"/>
      <c r="F135" s="49"/>
      <c r="G135" s="49"/>
      <c r="H135" s="49"/>
      <c r="I135" s="49"/>
      <c r="J135" s="49"/>
      <c r="K135" s="49"/>
      <c r="L135" s="49"/>
      <c r="M135" s="49"/>
      <c r="N135" s="49"/>
      <c r="O135" s="49"/>
      <c r="P135" s="49"/>
      <c r="Q135" s="49"/>
      <c r="T135" s="21">
        <v>4300</v>
      </c>
      <c r="U135" s="21">
        <v>4800</v>
      </c>
      <c r="V135" s="21">
        <v>5200</v>
      </c>
      <c r="W135" s="21">
        <v>5700</v>
      </c>
      <c r="X135" s="21">
        <v>5900</v>
      </c>
      <c r="Y135" s="21">
        <v>6700</v>
      </c>
      <c r="Z135" s="21">
        <v>7700</v>
      </c>
      <c r="AA135" s="21">
        <v>8500</v>
      </c>
      <c r="AC135" s="49"/>
    </row>
    <row r="136" spans="2:29" x14ac:dyDescent="0.2">
      <c r="B136" s="20" t="s">
        <v>368</v>
      </c>
      <c r="C136" s="49"/>
      <c r="D136" s="49"/>
      <c r="E136" s="49"/>
      <c r="F136" s="49"/>
      <c r="G136" s="49"/>
      <c r="H136" s="49"/>
      <c r="I136" s="49"/>
      <c r="J136" s="49"/>
      <c r="K136" s="49"/>
      <c r="L136" s="49"/>
      <c r="M136" s="49"/>
      <c r="N136" s="49"/>
      <c r="O136" s="49"/>
      <c r="P136" s="49"/>
      <c r="Q136" s="49"/>
      <c r="T136" s="21">
        <v>4300</v>
      </c>
      <c r="U136" s="21">
        <v>4800</v>
      </c>
      <c r="V136" s="21">
        <v>5200</v>
      </c>
      <c r="W136" s="21">
        <v>5700</v>
      </c>
      <c r="X136" s="21">
        <v>5900</v>
      </c>
      <c r="Y136" s="21">
        <v>6700</v>
      </c>
      <c r="Z136" s="21">
        <v>7700</v>
      </c>
      <c r="AA136" s="21">
        <v>8500</v>
      </c>
      <c r="AC136" s="49"/>
    </row>
    <row r="137" spans="2:29" x14ac:dyDescent="0.2">
      <c r="B137" s="20" t="s">
        <v>369</v>
      </c>
      <c r="C137" s="49"/>
      <c r="D137" s="49"/>
      <c r="E137" s="49"/>
      <c r="F137" s="49"/>
      <c r="G137" s="49"/>
      <c r="H137" s="49"/>
      <c r="I137" s="49"/>
      <c r="J137" s="49"/>
      <c r="K137" s="49"/>
      <c r="L137" s="49"/>
      <c r="M137" s="49"/>
      <c r="N137" s="49"/>
      <c r="O137" s="49"/>
      <c r="P137" s="49"/>
      <c r="Q137" s="49"/>
      <c r="T137" s="25">
        <f t="shared" ref="T137:AA137" si="75">U10</f>
        <v>4287</v>
      </c>
      <c r="U137" s="25">
        <f t="shared" si="75"/>
        <v>4689</v>
      </c>
      <c r="V137" s="25">
        <f t="shared" si="75"/>
        <v>5030</v>
      </c>
      <c r="W137" s="25">
        <f t="shared" si="75"/>
        <v>5413</v>
      </c>
      <c r="X137" s="25">
        <f t="shared" si="75"/>
        <v>5839</v>
      </c>
      <c r="Y137" s="25">
        <f t="shared" si="75"/>
        <v>6794</v>
      </c>
      <c r="Z137" s="25">
        <f t="shared" si="75"/>
        <v>7621</v>
      </c>
      <c r="AA137" s="25">
        <f t="shared" si="75"/>
        <v>0</v>
      </c>
      <c r="AC137" s="49"/>
    </row>
    <row r="138" spans="2:29" x14ac:dyDescent="0.2">
      <c r="B138" s="20" t="s">
        <v>178</v>
      </c>
      <c r="C138" s="49"/>
      <c r="D138" s="49"/>
      <c r="E138" s="49"/>
      <c r="F138" s="49"/>
      <c r="G138" s="49"/>
      <c r="H138" s="49"/>
      <c r="I138" s="49"/>
      <c r="J138" s="49"/>
      <c r="K138" s="49"/>
      <c r="L138" s="49"/>
      <c r="M138" s="49"/>
      <c r="N138" s="49"/>
      <c r="O138" s="49"/>
      <c r="P138" s="49"/>
      <c r="Q138" s="49"/>
      <c r="T138" s="229" t="str">
        <f t="shared" ref="T138:AA138" si="76">IF(T137&gt;T136, "BEAT", IF(T137&lt;T135, "MISSED", "MET"))</f>
        <v>MISSED</v>
      </c>
      <c r="U138" s="229" t="str">
        <f t="shared" si="76"/>
        <v>MISSED</v>
      </c>
      <c r="V138" s="229" t="str">
        <f t="shared" si="76"/>
        <v>MISSED</v>
      </c>
      <c r="W138" s="229" t="str">
        <f t="shared" si="76"/>
        <v>MISSED</v>
      </c>
      <c r="X138" s="229" t="str">
        <f t="shared" si="76"/>
        <v>MISSED</v>
      </c>
      <c r="Y138" s="229" t="str">
        <f t="shared" si="76"/>
        <v>BEAT</v>
      </c>
      <c r="Z138" s="229" t="str">
        <f t="shared" si="76"/>
        <v>MISSED</v>
      </c>
      <c r="AA138" s="229" t="str">
        <f t="shared" si="76"/>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1.1082908941558067</v>
      </c>
    </row>
    <row r="143" spans="2:29" x14ac:dyDescent="0.2">
      <c r="B143" s="20" t="s">
        <v>131</v>
      </c>
      <c r="M143" s="119">
        <f t="shared" ref="M143:Q144" si="77">M29/M5*365</f>
        <v>63.061975180203611</v>
      </c>
      <c r="N143" s="119">
        <f t="shared" si="77"/>
        <v>51.785237636242307</v>
      </c>
      <c r="O143" s="119">
        <f t="shared" si="77"/>
        <v>59.906683956534586</v>
      </c>
      <c r="P143" s="119">
        <f t="shared" si="77"/>
        <v>64.512785734537957</v>
      </c>
      <c r="Q143" s="119">
        <f t="shared" si="77"/>
        <v>65.01907955061175</v>
      </c>
      <c r="T143" s="119">
        <f t="shared" ref="T143:AA143" si="78">T29/T5*90</f>
        <v>42.339547270306255</v>
      </c>
      <c r="U143" s="119">
        <f t="shared" si="78"/>
        <v>45.389943560800411</v>
      </c>
      <c r="V143" s="119">
        <f t="shared" si="78"/>
        <v>52.778978413973704</v>
      </c>
      <c r="W143" s="119">
        <f t="shared" si="78"/>
        <v>45.206300213335751</v>
      </c>
      <c r="X143" s="119">
        <f t="shared" si="78"/>
        <v>53.542134651177712</v>
      </c>
      <c r="Y143" s="119">
        <f t="shared" si="78"/>
        <v>52.71708241237765</v>
      </c>
      <c r="Z143" s="119">
        <f t="shared" si="78"/>
        <v>50.815976044739969</v>
      </c>
      <c r="AA143" s="119">
        <f t="shared" si="78"/>
        <v>44.892482999448632</v>
      </c>
      <c r="AC143" s="119">
        <f>AC29/AC5*365</f>
        <v>58.61805744582648</v>
      </c>
    </row>
    <row r="144" spans="2:29" x14ac:dyDescent="0.2">
      <c r="B144" s="20" t="s">
        <v>132</v>
      </c>
      <c r="M144" s="119">
        <f t="shared" si="77"/>
        <v>100.73365822650703</v>
      </c>
      <c r="N144" s="119">
        <f t="shared" si="77"/>
        <v>162.079101394388</v>
      </c>
      <c r="O144" s="119">
        <f t="shared" si="77"/>
        <v>115.99362252572048</v>
      </c>
      <c r="P144" s="119">
        <f t="shared" si="77"/>
        <v>112.72404179049603</v>
      </c>
      <c r="Q144" s="119">
        <f t="shared" si="77"/>
        <v>125.043537414966</v>
      </c>
      <c r="T144" s="119">
        <f t="shared" ref="T144:AA144" si="79">T30/T6*365</f>
        <v>326.32935976426467</v>
      </c>
      <c r="U144" s="119">
        <f t="shared" si="79"/>
        <v>312.98565987004258</v>
      </c>
      <c r="V144" s="119">
        <f t="shared" si="79"/>
        <v>346.83257918552033</v>
      </c>
      <c r="W144" s="119">
        <f t="shared" si="79"/>
        <v>237.81447625618031</v>
      </c>
      <c r="X144" s="119">
        <f t="shared" si="79"/>
        <v>423.67183863460048</v>
      </c>
      <c r="Y144" s="119">
        <f t="shared" si="79"/>
        <v>476.42409447779909</v>
      </c>
      <c r="Z144" s="119">
        <f t="shared" si="79"/>
        <v>458.61776447105791</v>
      </c>
      <c r="AA144" s="119">
        <f t="shared" si="79"/>
        <v>460.25540131000093</v>
      </c>
      <c r="AC144" s="119">
        <f>AC30/AC6*365</f>
        <v>143.6687315949282</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AA145" si="80">T37/T6*90</f>
        <v>44.361103669970532</v>
      </c>
      <c r="U145" s="119">
        <f t="shared" si="80"/>
        <v>53.973784449921581</v>
      </c>
      <c r="V145" s="119">
        <f t="shared" si="80"/>
        <v>53.53506787330317</v>
      </c>
      <c r="W145" s="119">
        <f t="shared" si="80"/>
        <v>37.932045532942396</v>
      </c>
      <c r="X145" s="119">
        <f t="shared" si="80"/>
        <v>63.286268425135759</v>
      </c>
      <c r="Y145" s="119">
        <f t="shared" si="80"/>
        <v>51.208022695784123</v>
      </c>
      <c r="Z145" s="119">
        <f t="shared" si="80"/>
        <v>51.842197957027118</v>
      </c>
      <c r="AA145" s="119">
        <f t="shared" si="80"/>
        <v>57.617069117215763</v>
      </c>
      <c r="AC145" s="119">
        <f>AC37/AC6*365</f>
        <v>72.939852606844781</v>
      </c>
    </row>
    <row r="146" spans="2:29" x14ac:dyDescent="0.2">
      <c r="B146" s="20" t="s">
        <v>134</v>
      </c>
      <c r="M146" s="119">
        <f>M143+M144-M145</f>
        <v>94.848181346110991</v>
      </c>
      <c r="N146" s="119">
        <f t="shared" ref="N146:Q146" si="81">N143+N144-N145</f>
        <v>176.38413589756092</v>
      </c>
      <c r="O146" s="119">
        <f t="shared" si="81"/>
        <v>116.62980530904048</v>
      </c>
      <c r="P146" s="119">
        <f t="shared" si="81"/>
        <v>106.67247199943577</v>
      </c>
      <c r="Q146" s="119">
        <f t="shared" si="81"/>
        <v>132.73760696157615</v>
      </c>
      <c r="T146" s="119">
        <f t="shared" ref="T146" si="82">T143+T144-T145</f>
        <v>324.30780336460037</v>
      </c>
      <c r="U146" s="119">
        <f t="shared" ref="U146" si="83">U143+U144-U145</f>
        <v>304.40181898092141</v>
      </c>
      <c r="V146" s="119">
        <f t="shared" ref="V146" si="84">V143+V144-V145</f>
        <v>346.07648972619091</v>
      </c>
      <c r="W146" s="119">
        <f t="shared" ref="W146" si="85">W143+W144-W145</f>
        <v>245.08873093657368</v>
      </c>
      <c r="X146" s="119">
        <f t="shared" ref="X146" si="86">X143+X144-X145</f>
        <v>413.92770486064245</v>
      </c>
      <c r="Y146" s="119">
        <f t="shared" ref="Y146" si="87">Y143+Y144-Y145</f>
        <v>477.93315419439267</v>
      </c>
      <c r="Z146" s="119">
        <f t="shared" ref="Z146:AA146" si="88">Z143+Z144-Z145</f>
        <v>457.59154255877075</v>
      </c>
      <c r="AA146" s="119">
        <f t="shared" si="88"/>
        <v>447.53081519223383</v>
      </c>
      <c r="AC146" s="119">
        <f t="shared" ref="AC146" si="89">AC143+AC144-AC145</f>
        <v>129.34693643390989</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AA147" si="90">T106/T48</f>
        <v>0.14548549615695444</v>
      </c>
      <c r="U147" s="119">
        <f t="shared" si="90"/>
        <v>0.12840862532056632</v>
      </c>
      <c r="V147" s="119">
        <f t="shared" si="90"/>
        <v>0.10668498745698186</v>
      </c>
      <c r="W147" s="119">
        <f t="shared" si="90"/>
        <v>0.10095058621471083</v>
      </c>
      <c r="X147" s="119">
        <f t="shared" si="90"/>
        <v>8.4549240494951619E-2</v>
      </c>
      <c r="Y147" s="119">
        <f t="shared" si="90"/>
        <v>7.1212898559257179E-2</v>
      </c>
      <c r="Z147" s="119">
        <f t="shared" si="90"/>
        <v>5.4471591234193512E-2</v>
      </c>
      <c r="AA147" s="119">
        <f t="shared" si="90"/>
        <v>4.3330570817602339E-2</v>
      </c>
      <c r="AC147" s="119">
        <f>AC106/AC48</f>
        <v>4.3330570817602339E-2</v>
      </c>
    </row>
    <row r="148" spans="2:29" x14ac:dyDescent="0.2">
      <c r="B148" s="20" t="s">
        <v>252</v>
      </c>
      <c r="M148" s="180">
        <f>(M106-M105)/M48</f>
        <v>-0.38561551179918835</v>
      </c>
      <c r="N148" s="180">
        <f>(N106-N105)/N48</f>
        <v>-0.10601330256549478</v>
      </c>
      <c r="O148" s="180">
        <f>(O106-O105)/O48</f>
        <v>-0.37868211643166272</v>
      </c>
      <c r="P148" s="180">
        <f>(P106-P105)/P48</f>
        <v>-0.43802236312982967</v>
      </c>
      <c r="Q148" s="180">
        <f>(Q106-Q105)/Q48</f>
        <v>-0.34386781357085183</v>
      </c>
      <c r="T148" s="180">
        <f t="shared" ref="T148:AA148" si="91">(T106-T105)/T48</f>
        <v>-0.45289475041697475</v>
      </c>
      <c r="U148" s="180">
        <f t="shared" si="91"/>
        <v>-0.45562148135783548</v>
      </c>
      <c r="V148" s="180">
        <f t="shared" si="91"/>
        <v>-0.43802236312982967</v>
      </c>
      <c r="W148" s="180">
        <f t="shared" si="91"/>
        <v>-0.53942487744951872</v>
      </c>
      <c r="X148" s="180">
        <f t="shared" si="91"/>
        <v>-0.48261777072035633</v>
      </c>
      <c r="Y148" s="180">
        <f t="shared" si="91"/>
        <v>-0.43853923984625348</v>
      </c>
      <c r="Z148" s="180">
        <f t="shared" si="91"/>
        <v>-0.3432320573706395</v>
      </c>
      <c r="AA148" s="180">
        <f t="shared" si="91"/>
        <v>-0.36885723932594616</v>
      </c>
      <c r="AC148" s="180">
        <f>(AC106-AC105)/AC48</f>
        <v>-0.36885723932594616</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AA149" si="92">(T105+T29)/T39</f>
        <v>3.5028992769704344</v>
      </c>
      <c r="U149" s="119">
        <f t="shared" si="92"/>
        <v>3.4091874506948239</v>
      </c>
      <c r="V149" s="119">
        <f t="shared" si="92"/>
        <v>3.672355516152269</v>
      </c>
      <c r="W149" s="119">
        <f t="shared" si="92"/>
        <v>2.8567176550372992</v>
      </c>
      <c r="X149" s="119">
        <f t="shared" si="92"/>
        <v>3.4876118233911861</v>
      </c>
      <c r="Y149" s="119">
        <f t="shared" si="92"/>
        <v>3.6049472674976029</v>
      </c>
      <c r="Z149" s="119">
        <f t="shared" si="92"/>
        <v>3.1409383453036099</v>
      </c>
      <c r="AA149" s="119">
        <f t="shared" si="92"/>
        <v>2.7636951964269438</v>
      </c>
      <c r="AC149" s="119">
        <f>(AC105+AC29)/AC39</f>
        <v>2.7636951964269438</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AA150" si="93">T31/T39</f>
        <v>4.2689526809363594</v>
      </c>
      <c r="U150" s="119">
        <f t="shared" si="93"/>
        <v>4.1046179986649678</v>
      </c>
      <c r="V150" s="119">
        <f t="shared" si="93"/>
        <v>4.4398514988640772</v>
      </c>
      <c r="W150" s="119">
        <f t="shared" si="93"/>
        <v>3.3884032853590536</v>
      </c>
      <c r="X150" s="119">
        <f t="shared" si="93"/>
        <v>4.2140000824504265</v>
      </c>
      <c r="Y150" s="119">
        <f t="shared" si="93"/>
        <v>4.4675743048897409</v>
      </c>
      <c r="Z150" s="119">
        <f t="shared" si="93"/>
        <v>3.9052638124553058</v>
      </c>
      <c r="AA150" s="119">
        <f t="shared" si="93"/>
        <v>3.440775681341719</v>
      </c>
      <c r="AC150" s="119">
        <f>AC31/AC39</f>
        <v>3.440775681341719</v>
      </c>
    </row>
    <row r="151" spans="2:29" x14ac:dyDescent="0.2">
      <c r="B151" s="20" t="s">
        <v>256</v>
      </c>
      <c r="M151" s="182">
        <f>IF(M12&gt;=0,"N/A",IF(M11&lt;=0,"N/A",M11/-M12))</f>
        <v>48.507246376811594</v>
      </c>
      <c r="N151" s="182" t="str">
        <f>IF(N12&gt;=0,"N/A",IF(N11&lt;=0,"N/A",N11/-N12))</f>
        <v>N/A</v>
      </c>
      <c r="O151" s="182" t="str">
        <f>IF(O12&gt;=0,"N/A",IF(O11&lt;=0,"N/A",O11/-O12))</f>
        <v>N/A</v>
      </c>
      <c r="P151" s="182" t="str">
        <f>IF(P12&gt;=0,"N/A",IF(P11&lt;=0,"N/A",P11/-P12))</f>
        <v>N/A</v>
      </c>
      <c r="Q151" s="182" t="str">
        <f>IF(Q12&gt;=0,"N/A",IF(Q11&lt;=0,"N/A",Q11/-Q12))</f>
        <v>N/A</v>
      </c>
      <c r="T151" s="182" t="str">
        <f t="shared" ref="T151:AA151" si="94">IF(T12&gt;=0,"N/A",IF(T11&lt;=0,"N/A",T11/-T12))</f>
        <v>N/A</v>
      </c>
      <c r="U151" s="182" t="str">
        <f t="shared" si="94"/>
        <v>N/A</v>
      </c>
      <c r="V151" s="182" t="str">
        <f t="shared" si="94"/>
        <v>N/A</v>
      </c>
      <c r="W151" s="182" t="str">
        <f t="shared" si="94"/>
        <v>N/A</v>
      </c>
      <c r="X151" s="182" t="str">
        <f t="shared" si="94"/>
        <v>N/A</v>
      </c>
      <c r="Y151" s="182" t="str">
        <f t="shared" si="94"/>
        <v>N/A</v>
      </c>
      <c r="Z151" s="182" t="str">
        <f t="shared" si="94"/>
        <v>N/A</v>
      </c>
      <c r="AA151" s="182" t="str">
        <f t="shared" si="94"/>
        <v>N/A</v>
      </c>
      <c r="AC151" s="182"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30.470719754977033</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19.19910237878268</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47.607357669756006</v>
      </c>
      <c r="U154" s="72">
        <f>U115/(Statement!U48/Statement!U74)</f>
        <v>52.518654304314175</v>
      </c>
      <c r="V154" s="72">
        <f>V115/(Statement!V48/Statement!V74)</f>
        <v>43.868140733924143</v>
      </c>
      <c r="W154" s="72">
        <f>W115/(Statement!W48/Statement!W74)</f>
        <v>32.259580406235465</v>
      </c>
      <c r="X154" s="72">
        <f>X115/(Statement!X48/Statement!X74)</f>
        <v>42.049525122090067</v>
      </c>
      <c r="Y154" s="72">
        <f>Y115/(Statement!Y48/Statement!Y74)</f>
        <v>38.018503410514988</v>
      </c>
      <c r="Z154" s="72">
        <f>Z115/(Statement!Z48/Statement!Z74)</f>
        <v>28.992904960805632</v>
      </c>
      <c r="AA154" s="72">
        <f>AA115/(Statement!AA48/Statement!AA74)</f>
        <v>25.784165669091546</v>
      </c>
      <c r="AC154" s="72">
        <f ca="1">AC115/(Statement!AC48/Statement!AC74)</f>
        <v>24.633280947849848</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144">
        <f>Statement!T115*Statement!T77</f>
        <v>2799176</v>
      </c>
      <c r="U155" s="144">
        <f>Statement!U115*Statement!U77</f>
        <v>3494984.92</v>
      </c>
      <c r="V155" s="144">
        <f>Statement!V115*Statement!V77</f>
        <v>3515440.38</v>
      </c>
      <c r="W155" s="144">
        <f>Statement!W115*Statement!W77</f>
        <v>2723584.5</v>
      </c>
      <c r="X155" s="144">
        <f>Statement!X115*Statement!X77</f>
        <v>4239223.82</v>
      </c>
      <c r="Y155" s="144">
        <f>Statement!Y115*Statement!Y77</f>
        <v>4549305.12</v>
      </c>
      <c r="Z155" s="144">
        <f>Statement!Z115*Statement!Z77</f>
        <v>4589469.8499999996</v>
      </c>
      <c r="AA155" s="144">
        <f>Statement!AA115*Statement!AA77</f>
        <v>5062002.3500000006</v>
      </c>
      <c r="AC155" s="144">
        <f ca="1">Statement!AC115*Statement!AC77</f>
        <v>4836058.2090000007</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144">
        <f t="shared" ref="T156:AA156" si="95">T155+T106-T105+T47+T44</f>
        <v>2772837</v>
      </c>
      <c r="U156" s="144">
        <f t="shared" si="95"/>
        <v>3464959.92</v>
      </c>
      <c r="V156" s="144">
        <f t="shared" si="95"/>
        <v>3480693.38</v>
      </c>
      <c r="W156" s="144">
        <f t="shared" si="95"/>
        <v>2678357.5</v>
      </c>
      <c r="X156" s="144">
        <f t="shared" si="95"/>
        <v>4190898.8200000003</v>
      </c>
      <c r="Y156" s="144">
        <f t="shared" si="95"/>
        <v>4497164.12</v>
      </c>
      <c r="Z156" s="144">
        <f t="shared" si="95"/>
        <v>4535481.8499999996</v>
      </c>
      <c r="AA156" s="144">
        <f t="shared" si="95"/>
        <v>4989900.3500000006</v>
      </c>
      <c r="AC156" s="144">
        <f ca="1">AC155+AC106-AC105+AC47+AC44</f>
        <v>4763956.2090000007</v>
      </c>
    </row>
    <row r="157" spans="2:29" x14ac:dyDescent="0.2">
      <c r="B157" s="20" t="s">
        <v>257</v>
      </c>
      <c r="M157" s="184">
        <f>M156/M5</f>
        <v>21.250263803225085</v>
      </c>
      <c r="N157" s="184">
        <f>N156/N5</f>
        <v>18.707681471046193</v>
      </c>
      <c r="O157" s="184">
        <f>O156/O5</f>
        <v>25.02761728111355</v>
      </c>
      <c r="P157" s="184">
        <f>P156/P5</f>
        <v>26.672593086431103</v>
      </c>
      <c r="Q157" s="184">
        <f>Q156/Q5</f>
        <v>21.003166881234428</v>
      </c>
      <c r="T157" s="49"/>
      <c r="U157" s="49"/>
      <c r="V157" s="49"/>
      <c r="W157" s="49"/>
      <c r="X157" s="49"/>
      <c r="Y157" s="49"/>
      <c r="Z157" s="49"/>
      <c r="AA157" s="49"/>
      <c r="AC157" s="184">
        <f ca="1">AC156/AC5</f>
        <v>18.79339388380653</v>
      </c>
    </row>
    <row r="158" spans="2:29" x14ac:dyDescent="0.2">
      <c r="B158" s="20" t="s">
        <v>196</v>
      </c>
      <c r="M158" s="184">
        <f>M156/M11</f>
        <v>56.959426351956971</v>
      </c>
      <c r="N158" s="184">
        <f>N156/N11</f>
        <v>119.46519886363636</v>
      </c>
      <c r="O158" s="184">
        <f>O156/O11</f>
        <v>46.243251850054584</v>
      </c>
      <c r="P158" s="184">
        <f>P156/P11</f>
        <v>42.732537536984516</v>
      </c>
      <c r="Q158" s="184">
        <f>Q156/Q11</f>
        <v>34.784003389908499</v>
      </c>
      <c r="T158" s="49"/>
      <c r="U158" s="49"/>
      <c r="V158" s="49"/>
      <c r="W158" s="49"/>
      <c r="X158" s="49"/>
      <c r="Y158" s="49"/>
      <c r="Z158" s="49"/>
      <c r="AA158" s="49"/>
      <c r="AC158" s="184">
        <f ca="1">AC156/AC11</f>
        <v>29.355493169424165</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AA159" si="96">T58-T53+T108+T64</f>
        <v>12358</v>
      </c>
      <c r="U159" s="64">
        <f t="shared" si="96"/>
        <v>15564</v>
      </c>
      <c r="V159" s="64">
        <f t="shared" si="96"/>
        <v>14230</v>
      </c>
      <c r="W159" s="64">
        <f t="shared" si="96"/>
        <v>24713</v>
      </c>
      <c r="X159" s="64">
        <f t="shared" si="96"/>
        <v>11847</v>
      </c>
      <c r="Y159" s="64">
        <f t="shared" si="96"/>
        <v>20458</v>
      </c>
      <c r="Z159" s="64">
        <f t="shared" si="96"/>
        <v>33273</v>
      </c>
      <c r="AA159" s="64">
        <f t="shared" si="96"/>
        <v>46659</v>
      </c>
      <c r="AC159" s="64">
        <f>AC58-AC53+AC108+AC64</f>
        <v>112237</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126816.0641937902</v>
      </c>
    </row>
    <row r="161" spans="2:29" x14ac:dyDescent="0.2">
      <c r="B161" s="20" t="s">
        <v>260</v>
      </c>
      <c r="M161" s="72">
        <f>M155/M159</f>
        <v>95.00515665796344</v>
      </c>
      <c r="N161" s="72">
        <f t="shared" ref="N161:Q161" si="97">N155/N159</f>
        <v>461.29572338489538</v>
      </c>
      <c r="O161" s="72">
        <f t="shared" si="97"/>
        <v>65.653012099522826</v>
      </c>
      <c r="P161" s="72">
        <f t="shared" si="97"/>
        <v>62.645954451493331</v>
      </c>
      <c r="Q161" s="72">
        <f t="shared" si="97"/>
        <v>50.830322848598954</v>
      </c>
      <c r="T161" s="49"/>
      <c r="U161" s="49"/>
      <c r="V161" s="49"/>
      <c r="W161" s="49"/>
      <c r="X161" s="49"/>
      <c r="Y161" s="49"/>
      <c r="Z161" s="49"/>
      <c r="AA161" s="49"/>
      <c r="AC161" s="72">
        <f t="shared" ref="AC161:AC162" ca="1" si="98">AC155/AC159</f>
        <v>43.087914047952111</v>
      </c>
    </row>
    <row r="162" spans="2:29" x14ac:dyDescent="0.2">
      <c r="B162" s="20" t="s">
        <v>261</v>
      </c>
      <c r="M162" s="72">
        <f>M156/M160</f>
        <v>85.552901846404438</v>
      </c>
      <c r="N162" s="72">
        <f t="shared" ref="N162:Q162" si="99">N156/N160</f>
        <v>292.02604166666669</v>
      </c>
      <c r="O162" s="72">
        <f t="shared" si="99"/>
        <v>59.253144937486333</v>
      </c>
      <c r="P162" s="72">
        <f t="shared" si="99"/>
        <v>58.114897258120507</v>
      </c>
      <c r="Q162" s="72">
        <f t="shared" si="99"/>
        <v>49.56625962229554</v>
      </c>
      <c r="T162" s="49"/>
      <c r="U162" s="49"/>
      <c r="V162" s="49"/>
      <c r="W162" s="49"/>
      <c r="X162" s="49"/>
      <c r="Y162" s="49"/>
      <c r="Z162" s="49"/>
      <c r="AA162" s="49"/>
      <c r="AC162" s="72">
        <f t="shared" ca="1" si="98"/>
        <v>37.565873371689747</v>
      </c>
    </row>
    <row r="163" spans="2:29" x14ac:dyDescent="0.2">
      <c r="B163" s="20" t="s">
        <v>262</v>
      </c>
      <c r="M163" s="74">
        <f>M159/M155</f>
        <v>1.0525744445642981E-2</v>
      </c>
      <c r="N163" s="74">
        <f t="shared" ref="N163:Q163" si="100">N159/N155</f>
        <v>2.1678067870696933E-3</v>
      </c>
      <c r="O163" s="74">
        <f t="shared" si="100"/>
        <v>1.5231593616513875E-2</v>
      </c>
      <c r="P163" s="74">
        <f t="shared" si="100"/>
        <v>1.5962722712993357E-2</v>
      </c>
      <c r="Q163" s="74">
        <f t="shared" si="100"/>
        <v>1.9673296252289359E-2</v>
      </c>
      <c r="T163" s="49"/>
      <c r="U163" s="49"/>
      <c r="V163" s="49"/>
      <c r="W163" s="49"/>
      <c r="X163" s="49"/>
      <c r="Y163" s="49"/>
      <c r="Z163" s="49"/>
      <c r="AA163" s="49"/>
      <c r="AC163" s="74">
        <f t="shared" ref="AC163" ca="1" si="101">AC159/AC155</f>
        <v>2.3208364157223067E-2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3.2818391165067962E-2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2.0103149258847143E-4</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9.3679600290352896E-3</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9.5691569456044963E-3</v>
      </c>
    </row>
    <row r="168" spans="2:29" x14ac:dyDescent="0.2">
      <c r="B168" s="20" t="s">
        <v>384</v>
      </c>
      <c r="M168" s="226">
        <f>M160/M5</f>
        <v>0.24838741111758303</v>
      </c>
      <c r="N168" s="226">
        <f>N160/N5</f>
        <v>6.4061689033884484E-2</v>
      </c>
      <c r="O168" s="226">
        <f>O160/O5</f>
        <v>0.42238462291779383</v>
      </c>
      <c r="P168" s="226">
        <f>P160/P5</f>
        <v>0.45896309457389761</v>
      </c>
      <c r="Q168" s="226">
        <f>Q160/Q5</f>
        <v>0.42373919358213857</v>
      </c>
      <c r="T168" s="49"/>
      <c r="U168" s="49"/>
      <c r="V168" s="49"/>
      <c r="W168" s="49"/>
      <c r="X168" s="49"/>
      <c r="Y168" s="49"/>
      <c r="Z168" s="49"/>
      <c r="AA168" s="49"/>
      <c r="AC168" s="155">
        <f>AC160/AC5</f>
        <v>0.50027836962176253</v>
      </c>
    </row>
    <row r="169" spans="2:29" x14ac:dyDescent="0.2">
      <c r="B169" s="20" t="s">
        <v>385</v>
      </c>
      <c r="M169" s="226">
        <f>M159/M5</f>
        <v>0.22768819201902354</v>
      </c>
      <c r="N169" s="226">
        <f>N159/N5</f>
        <v>4.0742937643656857E-2</v>
      </c>
      <c r="O169" s="226">
        <f>O159/O5</f>
        <v>0.38527953776960705</v>
      </c>
      <c r="P169" s="226">
        <f>P159/P5</f>
        <v>0.43001754829612943</v>
      </c>
      <c r="Q169" s="226">
        <f>Q159/Q5</f>
        <v>0.41812927784827125</v>
      </c>
      <c r="T169" s="49"/>
      <c r="U169" s="49"/>
      <c r="V169" s="49"/>
      <c r="W169" s="49"/>
      <c r="X169" s="49"/>
      <c r="Y169" s="49"/>
      <c r="Z169" s="49"/>
      <c r="AA169" s="49"/>
      <c r="AC169" s="155">
        <f>AC159/AC5</f>
        <v>0.4427652263788458</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8.6691554478469674E-3</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0.40364585653572349</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0.41231501198357046</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3.9374614276897757E-2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AA174" si="102">T105/T74</f>
        <v>1.4186710150835711</v>
      </c>
      <c r="U174" s="72">
        <f t="shared" si="102"/>
        <v>1.5715394038383013</v>
      </c>
      <c r="V174" s="72">
        <f t="shared" si="102"/>
        <v>1.7709016393442623</v>
      </c>
      <c r="W174" s="72">
        <f t="shared" si="102"/>
        <v>2.2004508196721311</v>
      </c>
      <c r="X174" s="72">
        <f t="shared" si="102"/>
        <v>2.3370781893004113</v>
      </c>
      <c r="Y174" s="72">
        <f t="shared" si="102"/>
        <v>2.494156378600823</v>
      </c>
      <c r="Z174" s="72">
        <f t="shared" si="102"/>
        <v>2.5743209876543212</v>
      </c>
      <c r="AA174" s="72">
        <f t="shared" si="102"/>
        <v>3.3294214876033057</v>
      </c>
      <c r="AC174" s="72">
        <f>AC105/AC74</f>
        <v>3.3294214876033057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AA175" si="103">T53/T58</f>
        <v>7.9646628476775491E-2</v>
      </c>
      <c r="U175" s="155">
        <f t="shared" si="103"/>
        <v>7.1019343127800783E-2</v>
      </c>
      <c r="V175" s="155">
        <f t="shared" si="103"/>
        <v>7.944431080105846E-2</v>
      </c>
      <c r="W175" s="155">
        <f t="shared" si="103"/>
        <v>5.3768147661778655E-2</v>
      </c>
      <c r="X175" s="155">
        <f t="shared" si="103"/>
        <v>0.10569476082004556</v>
      </c>
      <c r="Y175" s="155">
        <f t="shared" si="103"/>
        <v>6.9684210526315793E-2</v>
      </c>
      <c r="Z175" s="155">
        <f t="shared" si="103"/>
        <v>4.5122962144238742E-2</v>
      </c>
      <c r="AA175" s="155">
        <f t="shared" si="103"/>
        <v>3.829651994279358E-2</v>
      </c>
      <c r="AC175" s="155">
        <f>AC53/AC58</f>
        <v>5.4437361220542942E-2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AA176" si="104">T53/T5</f>
        <v>3.8415446071904127E-2</v>
      </c>
      <c r="U176" s="155">
        <f t="shared" si="104"/>
        <v>3.5687817114189613E-2</v>
      </c>
      <c r="V176" s="155">
        <f t="shared" si="104"/>
        <v>3.3586738196333683E-2</v>
      </c>
      <c r="W176" s="155">
        <f t="shared" si="104"/>
        <v>3.3452861876446825E-2</v>
      </c>
      <c r="X176" s="155">
        <f t="shared" si="104"/>
        <v>3.4743170100335882E-2</v>
      </c>
      <c r="Y176" s="155">
        <f t="shared" si="104"/>
        <v>2.9032031715959722E-2</v>
      </c>
      <c r="Z176" s="155">
        <f t="shared" si="104"/>
        <v>2.3969938497218429E-2</v>
      </c>
      <c r="AA176" s="155">
        <f t="shared" si="104"/>
        <v>2.3623108497212521E-2</v>
      </c>
      <c r="AC176" s="155">
        <f>AC53/AC5</f>
        <v>2.6983206504372935E-2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AA177" si="105">(T105-T106)/T74</f>
        <v>1.0737464329392581</v>
      </c>
      <c r="U177" s="72">
        <f t="shared" si="105"/>
        <v>1.2260106165781952</v>
      </c>
      <c r="V177" s="72">
        <f t="shared" si="105"/>
        <v>1.4240573770491802</v>
      </c>
      <c r="W177" s="72">
        <f t="shared" si="105"/>
        <v>1.8535655737704917</v>
      </c>
      <c r="X177" s="72">
        <f t="shared" si="105"/>
        <v>1.9886831275720165</v>
      </c>
      <c r="Y177" s="72">
        <f t="shared" si="105"/>
        <v>2.1457201646090533</v>
      </c>
      <c r="Z177" s="72">
        <f t="shared" si="105"/>
        <v>2.2217283950617284</v>
      </c>
      <c r="AA177" s="72">
        <f t="shared" si="105"/>
        <v>2.9794214876033056</v>
      </c>
      <c r="AC177" s="72">
        <f>(AC105-AC106)/AC74</f>
        <v>2.9794214876033056</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1.4909249823713193E-2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AA179" si="106">-T108/T5</f>
        <v>3.2523302263648468E-2</v>
      </c>
      <c r="U179" s="155">
        <f t="shared" si="106"/>
        <v>2.3174277407217378E-2</v>
      </c>
      <c r="V179" s="155">
        <f t="shared" si="106"/>
        <v>2.7382980346291729E-2</v>
      </c>
      <c r="W179" s="155">
        <f t="shared" si="106"/>
        <v>2.7847124506377378E-2</v>
      </c>
      <c r="X179" s="155">
        <f t="shared" si="106"/>
        <v>4.05194360652932E-2</v>
      </c>
      <c r="Y179" s="155">
        <f t="shared" si="106"/>
        <v>2.871627547977406E-2</v>
      </c>
      <c r="Z179" s="155">
        <f t="shared" si="106"/>
        <v>1.8847153111101324E-2</v>
      </c>
      <c r="AA179" s="155">
        <f t="shared" si="106"/>
        <v>2.1527905409544815E-2</v>
      </c>
      <c r="AC179" s="155">
        <f>-AC108/AC5</f>
        <v>2.5925969758295166E-2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AA180" si="107">-(T108/T58)</f>
        <v>6.7430464490302988E-2</v>
      </c>
      <c r="U180" s="155">
        <f t="shared" si="107"/>
        <v>4.6117193261103862E-2</v>
      </c>
      <c r="V180" s="155">
        <f t="shared" si="107"/>
        <v>6.4770267019485211E-2</v>
      </c>
      <c r="W180" s="155">
        <f t="shared" si="107"/>
        <v>4.4758152768658348E-2</v>
      </c>
      <c r="X180" s="155">
        <f t="shared" si="107"/>
        <v>0.12326716563618614</v>
      </c>
      <c r="Y180" s="155">
        <f t="shared" si="107"/>
        <v>6.8926315789473683E-2</v>
      </c>
      <c r="Z180" s="155">
        <f t="shared" si="107"/>
        <v>3.5479414202818457E-2</v>
      </c>
      <c r="AA180" s="155">
        <f t="shared" si="107"/>
        <v>3.4899888765294769E-2</v>
      </c>
      <c r="AC180" s="155">
        <f>-(AC108/AC58)</f>
        <v>5.2304435371550904E-2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AA181" si="108">-T108/T52</f>
        <v>2.25635103926097</v>
      </c>
      <c r="U181" s="155">
        <f t="shared" si="108"/>
        <v>1.7008368200836821</v>
      </c>
      <c r="V181" s="155">
        <f t="shared" si="108"/>
        <v>1.9834254143646408</v>
      </c>
      <c r="W181" s="155">
        <f t="shared" si="108"/>
        <v>2.0081833060556464</v>
      </c>
      <c r="X181" s="155">
        <f t="shared" si="108"/>
        <v>2.8353293413173652</v>
      </c>
      <c r="Y181" s="155">
        <f t="shared" si="108"/>
        <v>2.1768617021276597</v>
      </c>
      <c r="Z181" s="155">
        <f t="shared" si="108"/>
        <v>1.5832305795314427</v>
      </c>
      <c r="AA181" s="155">
        <f t="shared" si="108"/>
        <v>1.7622868605817452</v>
      </c>
      <c r="AC181" s="155">
        <f>-AC108/AC52</f>
        <v>2.0359355638166048</v>
      </c>
    </row>
    <row r="182" spans="1:31" x14ac:dyDescent="0.2">
      <c r="B182" s="20" t="s">
        <v>398</v>
      </c>
      <c r="M182" s="72">
        <f>M5/M36</f>
        <v>0.60909317219996828</v>
      </c>
      <c r="N182" s="72">
        <f t="shared" ref="N182:Q182" si="109">N5/N36</f>
        <v>0.65499490068476518</v>
      </c>
      <c r="O182" s="72">
        <f t="shared" si="109"/>
        <v>0.92688047711781885</v>
      </c>
      <c r="P182" s="72">
        <f t="shared" si="109"/>
        <v>1.169317479234057</v>
      </c>
      <c r="Q182" s="72">
        <f t="shared" si="109"/>
        <v>1.0441724733200195</v>
      </c>
      <c r="T182" s="49"/>
      <c r="U182" s="49"/>
      <c r="V182" s="49"/>
      <c r="W182" s="49"/>
      <c r="X182" s="49"/>
      <c r="Y182" s="49"/>
      <c r="Z182" s="49"/>
      <c r="AA182" s="49"/>
      <c r="AC182" s="72">
        <f t="shared" ref="AC182" si="110">AC5/AC36</f>
        <v>0.97694181305256023</v>
      </c>
    </row>
    <row r="183" spans="1:31" x14ac:dyDescent="0.2">
      <c r="B183" s="20" t="s">
        <v>395</v>
      </c>
      <c r="M183" s="72">
        <f>IF(AND(M11&gt;0,M106&gt;0),M106/M11,"N/A")</f>
        <v>1.0901304650931183</v>
      </c>
      <c r="N183" s="72">
        <f t="shared" ref="N183:Q183" si="111">IF(AND(N11&gt;0,N106&gt;0),N106/N11,"N/A")</f>
        <v>2.5930397727272729</v>
      </c>
      <c r="O183" s="72">
        <f t="shared" si="111"/>
        <v>0.29446196773019534</v>
      </c>
      <c r="P183" s="72">
        <f t="shared" si="111"/>
        <v>0.103900408824721</v>
      </c>
      <c r="Q183" s="72">
        <f t="shared" si="111"/>
        <v>6.4945124897420756E-2</v>
      </c>
      <c r="T183" s="49"/>
      <c r="U183" s="49"/>
      <c r="V183" s="49"/>
      <c r="W183" s="49"/>
      <c r="X183" s="49"/>
      <c r="Y183" s="49"/>
      <c r="Z183" s="49"/>
      <c r="AA183" s="49"/>
      <c r="AC183" s="72">
        <f t="shared" ref="AC183" si="112">IF(AND(AC11&gt;0,AC106&gt;0),AC106/AC11,"N/A")</f>
        <v>5.2192131127337706E-2</v>
      </c>
    </row>
    <row r="184" spans="1:31" x14ac:dyDescent="0.2">
      <c r="B184" s="20" t="s">
        <v>396</v>
      </c>
      <c r="M184" s="230">
        <f>IF(AND(M11&gt;0,M106&gt;0),(M106-M105)/M11,"N/A")</f>
        <v>-1.0220097599840654</v>
      </c>
      <c r="N184" s="230">
        <f t="shared" ref="N184:Q184" si="113">IF(AND(N11&gt;0,N106&gt;0),(N106-N105)/N11,"N/A")</f>
        <v>-0.5546875</v>
      </c>
      <c r="O184" s="230">
        <f t="shared" si="113"/>
        <v>-0.49360063083828704</v>
      </c>
      <c r="P184" s="230">
        <f t="shared" si="113"/>
        <v>-0.42658956698955225</v>
      </c>
      <c r="Q184" s="230">
        <f t="shared" si="113"/>
        <v>-0.41482663148933557</v>
      </c>
      <c r="T184" s="49"/>
      <c r="U184" s="49"/>
      <c r="V184" s="49"/>
      <c r="W184" s="49"/>
      <c r="X184" s="49"/>
      <c r="Y184" s="49"/>
      <c r="Z184" s="49"/>
      <c r="AA184" s="49"/>
      <c r="AC184" s="230">
        <f t="shared" ref="AC184" si="114">IF(AND(AC11&gt;0,AC106&gt;0),(AC106-AC105)/AC11,"N/A")</f>
        <v>-0.44429244847028376</v>
      </c>
    </row>
    <row r="185" spans="1:31" x14ac:dyDescent="0.2">
      <c r="B185" s="20" t="s">
        <v>397</v>
      </c>
      <c r="M185" s="230">
        <f>M5/(M106+M110-M105)</f>
        <v>1.6461162079510703</v>
      </c>
      <c r="N185" s="230">
        <f t="shared" ref="N185:Q185" si="115">N5/(N106+N110-N105)</f>
        <v>1.3652191517360057</v>
      </c>
      <c r="O185" s="230">
        <f t="shared" si="115"/>
        <v>2.2814665018911731</v>
      </c>
      <c r="P185" s="230">
        <f t="shared" si="115"/>
        <v>2.9272543741588155</v>
      </c>
      <c r="Q185" s="230">
        <f t="shared" si="115"/>
        <v>2.0923211084734268</v>
      </c>
      <c r="T185" s="49"/>
      <c r="U185" s="49"/>
      <c r="V185" s="49"/>
      <c r="W185" s="49"/>
      <c r="X185" s="49"/>
      <c r="Y185" s="49"/>
      <c r="Z185" s="49"/>
      <c r="AA185" s="49"/>
      <c r="AC185" s="230">
        <f t="shared" ref="AC185" si="116">AC5/(AC106+AC110-AC105)</f>
        <v>2.0546882598968974</v>
      </c>
    </row>
    <row r="187" spans="1:31" x14ac:dyDescent="0.2">
      <c r="B187" s="1"/>
    </row>
    <row r="188" spans="1:31" s="15" customFormat="1" ht="17" thickBot="1" x14ac:dyDescent="0.25">
      <c r="A188" s="11"/>
      <c r="B188" s="14" t="s">
        <v>79</v>
      </c>
      <c r="R188" s="1"/>
      <c r="S188" s="1"/>
      <c r="AB188" s="1"/>
      <c r="AD188" s="1"/>
      <c r="AE188" s="1"/>
    </row>
    <row r="189" spans="1:31" x14ac:dyDescent="0.2">
      <c r="B189" s="224" t="s">
        <v>370</v>
      </c>
      <c r="C189" s="62"/>
      <c r="D189" s="62"/>
      <c r="E189" s="62"/>
      <c r="F189" s="62"/>
      <c r="G189" s="62"/>
      <c r="H189" s="62"/>
      <c r="I189" s="62"/>
      <c r="J189" s="62"/>
      <c r="K189" s="62"/>
      <c r="L189" s="62"/>
      <c r="M189" s="62">
        <v>0</v>
      </c>
      <c r="N189" s="62">
        <v>0</v>
      </c>
      <c r="O189" s="62">
        <v>0</v>
      </c>
      <c r="P189" s="62">
        <v>53796</v>
      </c>
      <c r="Q189" s="62">
        <v>105636</v>
      </c>
      <c r="T189" s="62">
        <v>10622</v>
      </c>
      <c r="U189" s="62">
        <v>13390</v>
      </c>
      <c r="V189" s="62">
        <v>19094</v>
      </c>
      <c r="W189" s="62">
        <v>17599</v>
      </c>
      <c r="X189" s="62">
        <v>23883</v>
      </c>
      <c r="Y189" s="62">
        <v>30340</v>
      </c>
      <c r="Z189" s="62">
        <v>33814</v>
      </c>
      <c r="AA189" s="62">
        <v>37869</v>
      </c>
      <c r="AC189" s="62">
        <f>SUM(X189:AA189)</f>
        <v>125906</v>
      </c>
    </row>
    <row r="190" spans="1:31" x14ac:dyDescent="0.2">
      <c r="B190" s="224" t="s">
        <v>371</v>
      </c>
      <c r="C190" s="62"/>
      <c r="D190" s="62"/>
      <c r="E190" s="62"/>
      <c r="F190" s="62"/>
      <c r="G190" s="62"/>
      <c r="H190" s="62"/>
      <c r="I190" s="62"/>
      <c r="J190" s="62"/>
      <c r="K190" s="62"/>
      <c r="L190" s="62"/>
      <c r="M190" s="62">
        <v>0</v>
      </c>
      <c r="N190" s="62">
        <v>0</v>
      </c>
      <c r="O190" s="62">
        <v>0</v>
      </c>
      <c r="P190" s="62">
        <v>61390</v>
      </c>
      <c r="Q190" s="62">
        <v>88101</v>
      </c>
      <c r="T190" s="62">
        <v>15650</v>
      </c>
      <c r="U190" s="62">
        <v>17381</v>
      </c>
      <c r="V190" s="62">
        <v>16486</v>
      </c>
      <c r="W190" s="62">
        <v>21513</v>
      </c>
      <c r="X190" s="62">
        <v>17213</v>
      </c>
      <c r="Y190" s="62">
        <v>20875</v>
      </c>
      <c r="Z190" s="62">
        <v>28500</v>
      </c>
      <c r="AA190" s="62">
        <v>37377</v>
      </c>
      <c r="AC190" s="62">
        <f t="shared" ref="AC190:AC192" si="117">SUM(X190:AA190)</f>
        <v>103965</v>
      </c>
    </row>
    <row r="191" spans="1:31" x14ac:dyDescent="0.2">
      <c r="B191" s="20" t="s">
        <v>372</v>
      </c>
      <c r="C191" s="62"/>
      <c r="D191" s="62"/>
      <c r="E191" s="62"/>
      <c r="F191" s="62"/>
      <c r="G191" s="62"/>
      <c r="H191" s="62"/>
      <c r="I191" s="62"/>
      <c r="J191" s="62"/>
      <c r="K191" s="62"/>
      <c r="L191" s="62"/>
      <c r="M191" s="62">
        <v>0</v>
      </c>
      <c r="N191" s="62">
        <v>0</v>
      </c>
      <c r="O191" s="62">
        <v>0</v>
      </c>
      <c r="P191" s="62">
        <v>115186</v>
      </c>
      <c r="Q191" s="62">
        <v>193737</v>
      </c>
      <c r="T191" s="62">
        <v>26272</v>
      </c>
      <c r="U191" s="62">
        <v>30771</v>
      </c>
      <c r="V191" s="62">
        <v>35580</v>
      </c>
      <c r="W191" s="62">
        <v>39112</v>
      </c>
      <c r="X191" s="62">
        <v>41096</v>
      </c>
      <c r="Y191" s="62">
        <v>51215</v>
      </c>
      <c r="Z191" s="62">
        <v>62314</v>
      </c>
      <c r="AA191" s="62">
        <v>75246</v>
      </c>
      <c r="AC191" s="62">
        <f t="shared" si="117"/>
        <v>229871</v>
      </c>
    </row>
    <row r="192" spans="1:31" x14ac:dyDescent="0.2">
      <c r="B192" s="20" t="s">
        <v>373</v>
      </c>
      <c r="C192" s="21"/>
      <c r="D192" s="21"/>
      <c r="E192" s="21"/>
      <c r="F192" s="21"/>
      <c r="G192" s="21"/>
      <c r="H192" s="21"/>
      <c r="I192" s="62"/>
      <c r="J192" s="62"/>
      <c r="K192" s="62"/>
      <c r="L192" s="62"/>
      <c r="M192" s="62">
        <v>0</v>
      </c>
      <c r="N192" s="62">
        <v>0</v>
      </c>
      <c r="O192" s="62">
        <v>0</v>
      </c>
      <c r="P192" s="62">
        <v>15311</v>
      </c>
      <c r="Q192" s="62">
        <v>22201</v>
      </c>
      <c r="R192" s="62"/>
      <c r="S192" s="62"/>
      <c r="T192" s="62">
        <v>3768</v>
      </c>
      <c r="U192" s="62">
        <v>4311</v>
      </c>
      <c r="V192" s="62">
        <v>3751</v>
      </c>
      <c r="W192" s="62">
        <v>4950</v>
      </c>
      <c r="X192" s="62">
        <v>5647</v>
      </c>
      <c r="Y192" s="62">
        <v>5791</v>
      </c>
      <c r="Z192" s="62">
        <v>5813</v>
      </c>
      <c r="AA192" s="62">
        <v>6369</v>
      </c>
      <c r="AC192" s="62">
        <f t="shared" si="117"/>
        <v>23620</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308</v>
      </c>
      <c r="C195" s="172"/>
      <c r="D195" s="172"/>
      <c r="E195" s="172"/>
      <c r="F195" s="172"/>
      <c r="G195" s="172"/>
      <c r="H195" s="172"/>
      <c r="I195" s="172"/>
      <c r="J195" s="172"/>
      <c r="K195" s="172"/>
      <c r="L195" s="172"/>
      <c r="M195" s="172"/>
      <c r="N195" s="172"/>
      <c r="O195" s="172"/>
      <c r="P195" s="172"/>
      <c r="Q195" s="172"/>
      <c r="T195" s="172"/>
      <c r="U195" s="172"/>
      <c r="V195" s="172"/>
      <c r="W195" s="172"/>
      <c r="X195" s="172"/>
      <c r="Y195" s="172"/>
      <c r="Z195" s="172"/>
      <c r="AA195" s="172"/>
      <c r="AC195" s="172"/>
    </row>
    <row r="196" spans="2:29" x14ac:dyDescent="0.2">
      <c r="B196" s="224" t="s">
        <v>370</v>
      </c>
      <c r="C196" s="81"/>
      <c r="D196" s="81"/>
      <c r="E196" s="81"/>
      <c r="F196" s="81"/>
      <c r="G196" s="81"/>
      <c r="H196" s="81"/>
      <c r="I196" s="81"/>
      <c r="J196" s="81"/>
      <c r="K196" s="81"/>
      <c r="L196" s="81"/>
      <c r="M196" s="81">
        <f t="shared" ref="M196:Q199" si="118">IF(L189=0,
IF(M189=0,0,IF(M189&gt;0,1,-1)),
(M189-L189)/ABS(L189)
)</f>
        <v>0</v>
      </c>
      <c r="N196" s="81">
        <f t="shared" si="118"/>
        <v>0</v>
      </c>
      <c r="O196" s="81">
        <f t="shared" si="118"/>
        <v>0</v>
      </c>
      <c r="P196" s="81">
        <f t="shared" si="118"/>
        <v>1</v>
      </c>
      <c r="Q196" s="81">
        <f t="shared" si="118"/>
        <v>0.96364041936203437</v>
      </c>
      <c r="T196" s="81">
        <f t="shared" ref="T196:AA199" si="119">IF(S189=0,
IF(T189=0,0,IF(T189&gt;0,1,-1)),
(T189-S189)/ABS(S189)
)</f>
        <v>1</v>
      </c>
      <c r="U196" s="81">
        <f t="shared" si="119"/>
        <v>0.26059122575786103</v>
      </c>
      <c r="V196" s="81">
        <f t="shared" si="119"/>
        <v>0.42598954443614639</v>
      </c>
      <c r="W196" s="81">
        <f t="shared" si="119"/>
        <v>-7.8296847177123707E-2</v>
      </c>
      <c r="X196" s="81">
        <f t="shared" si="119"/>
        <v>0.35706574237172567</v>
      </c>
      <c r="Y196" s="81">
        <f t="shared" si="119"/>
        <v>0.27035967005820039</v>
      </c>
      <c r="Z196" s="81">
        <f t="shared" si="119"/>
        <v>0.11450230718523402</v>
      </c>
      <c r="AA196" s="81">
        <f t="shared" si="119"/>
        <v>0.11992074288756137</v>
      </c>
      <c r="AC196" s="49"/>
    </row>
    <row r="197" spans="2:29" x14ac:dyDescent="0.2">
      <c r="B197" s="224" t="s">
        <v>371</v>
      </c>
      <c r="M197" s="81">
        <f t="shared" si="118"/>
        <v>0</v>
      </c>
      <c r="N197" s="81">
        <f t="shared" si="118"/>
        <v>0</v>
      </c>
      <c r="O197" s="81">
        <f t="shared" si="118"/>
        <v>0</v>
      </c>
      <c r="P197" s="81">
        <f t="shared" si="118"/>
        <v>1</v>
      </c>
      <c r="Q197" s="81">
        <f t="shared" si="118"/>
        <v>0.43510343704186349</v>
      </c>
      <c r="T197" s="81">
        <f t="shared" si="119"/>
        <v>1</v>
      </c>
      <c r="U197" s="81">
        <f t="shared" si="119"/>
        <v>0.11060702875399361</v>
      </c>
      <c r="V197" s="81">
        <f t="shared" si="119"/>
        <v>-5.1493009608192856E-2</v>
      </c>
      <c r="W197" s="81">
        <f t="shared" si="119"/>
        <v>0.304925391241053</v>
      </c>
      <c r="X197" s="81">
        <f t="shared" si="119"/>
        <v>-0.19987914284386185</v>
      </c>
      <c r="Y197" s="81">
        <f t="shared" si="119"/>
        <v>0.21274618021262998</v>
      </c>
      <c r="Z197" s="81">
        <f t="shared" si="119"/>
        <v>0.3652694610778443</v>
      </c>
      <c r="AA197" s="81">
        <f t="shared" si="119"/>
        <v>0.31147368421052629</v>
      </c>
      <c r="AC197" s="49"/>
    </row>
    <row r="198" spans="2:29" x14ac:dyDescent="0.2">
      <c r="B198" s="20" t="s">
        <v>372</v>
      </c>
      <c r="M198" s="81">
        <f t="shared" si="118"/>
        <v>0</v>
      </c>
      <c r="N198" s="81">
        <f t="shared" si="118"/>
        <v>0</v>
      </c>
      <c r="O198" s="81">
        <f t="shared" si="118"/>
        <v>0</v>
      </c>
      <c r="P198" s="81">
        <f t="shared" si="118"/>
        <v>1</v>
      </c>
      <c r="Q198" s="81">
        <f t="shared" si="118"/>
        <v>0.68194919521469621</v>
      </c>
      <c r="T198" s="81">
        <f t="shared" si="119"/>
        <v>1</v>
      </c>
      <c r="U198" s="81">
        <f t="shared" si="119"/>
        <v>0.17124695493300854</v>
      </c>
      <c r="V198" s="81">
        <f t="shared" si="119"/>
        <v>0.15628351369796237</v>
      </c>
      <c r="W198" s="81">
        <f t="shared" si="119"/>
        <v>9.9269252388982571E-2</v>
      </c>
      <c r="X198" s="81">
        <f t="shared" si="119"/>
        <v>5.0726119860912251E-2</v>
      </c>
      <c r="Y198" s="81">
        <f t="shared" si="119"/>
        <v>0.24622834339108429</v>
      </c>
      <c r="Z198" s="81">
        <f t="shared" si="119"/>
        <v>0.21671385336327248</v>
      </c>
      <c r="AA198" s="81">
        <f t="shared" si="119"/>
        <v>0.20752960811374652</v>
      </c>
      <c r="AC198" s="49"/>
    </row>
    <row r="199" spans="2:29" x14ac:dyDescent="0.2">
      <c r="B199" s="20" t="s">
        <v>373</v>
      </c>
      <c r="M199" s="81">
        <f t="shared" si="118"/>
        <v>0</v>
      </c>
      <c r="N199" s="81">
        <f t="shared" si="118"/>
        <v>0</v>
      </c>
      <c r="O199" s="81">
        <f t="shared" si="118"/>
        <v>0</v>
      </c>
      <c r="P199" s="81">
        <f t="shared" si="118"/>
        <v>1</v>
      </c>
      <c r="Q199" s="81">
        <f t="shared" si="118"/>
        <v>0.4500032656260205</v>
      </c>
      <c r="T199" s="81">
        <f t="shared" si="119"/>
        <v>1</v>
      </c>
      <c r="U199" s="81">
        <f t="shared" si="119"/>
        <v>0.14410828025477707</v>
      </c>
      <c r="V199" s="81">
        <f t="shared" si="119"/>
        <v>-0.12990025516121551</v>
      </c>
      <c r="W199" s="81">
        <f t="shared" si="119"/>
        <v>0.31964809384164222</v>
      </c>
      <c r="X199" s="81">
        <f t="shared" si="119"/>
        <v>0.1408080808080808</v>
      </c>
      <c r="Y199" s="81">
        <f t="shared" si="119"/>
        <v>2.5500265627766958E-2</v>
      </c>
      <c r="Z199" s="81">
        <f t="shared" si="119"/>
        <v>3.7989984458642722E-3</v>
      </c>
      <c r="AA199" s="81">
        <f t="shared" si="119"/>
        <v>9.5647686220540165E-2</v>
      </c>
      <c r="AC199" s="49"/>
    </row>
    <row r="201" spans="2:29" x14ac:dyDescent="0.2">
      <c r="B201" s="1"/>
    </row>
    <row r="202" spans="2:29" ht="17" thickBot="1" x14ac:dyDescent="0.25">
      <c r="B202" s="14" t="s">
        <v>309</v>
      </c>
      <c r="C202" s="172"/>
      <c r="D202" s="172"/>
      <c r="E202" s="172"/>
      <c r="F202" s="172"/>
      <c r="G202" s="172"/>
      <c r="H202" s="172"/>
      <c r="I202" s="172"/>
      <c r="J202" s="172"/>
      <c r="K202" s="172"/>
      <c r="L202" s="172"/>
      <c r="M202" s="172"/>
      <c r="N202" s="172"/>
      <c r="O202" s="172"/>
      <c r="P202" s="172"/>
      <c r="Q202" s="172"/>
      <c r="T202" s="172"/>
      <c r="U202" s="172"/>
      <c r="V202" s="172"/>
      <c r="W202" s="172"/>
      <c r="X202" s="172"/>
      <c r="Y202" s="172"/>
      <c r="Z202" s="172"/>
      <c r="AA202" s="172"/>
      <c r="AC202" s="172"/>
    </row>
    <row r="203" spans="2:29" x14ac:dyDescent="0.2">
      <c r="B203" s="20" t="s">
        <v>281</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390</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391</v>
      </c>
      <c r="M207" s="144">
        <v>100</v>
      </c>
      <c r="N207" s="144">
        <f>100*(1+((N115-$M115)/ABS($M115)))</f>
        <v>89.141856392294216</v>
      </c>
      <c r="O207" s="144">
        <f t="shared" ref="O207:Q207" si="120">100*(1+((O115-$M115)/ABS($M115)))</f>
        <v>267.20665499124345</v>
      </c>
      <c r="P207" s="144">
        <f t="shared" si="120"/>
        <v>624.43082311733804</v>
      </c>
      <c r="Q207" s="144">
        <f t="shared" si="120"/>
        <v>821.67250437828375</v>
      </c>
      <c r="T207" s="49"/>
      <c r="U207" s="49"/>
      <c r="V207" s="49"/>
      <c r="W207" s="49"/>
      <c r="X207" s="49"/>
      <c r="Y207" s="49"/>
      <c r="Z207" s="49"/>
      <c r="AA207" s="49"/>
      <c r="AC207" s="49"/>
    </row>
    <row r="208" spans="2:29" x14ac:dyDescent="0.2">
      <c r="B208" s="20" t="s">
        <v>392</v>
      </c>
      <c r="M208" s="144">
        <v>100</v>
      </c>
      <c r="N208" s="144">
        <f>100*(1+((N5-$M5)/ABS($M5)))</f>
        <v>100.2229323028907</v>
      </c>
      <c r="O208" s="144">
        <f t="shared" ref="O208:Q208" si="121">100*(1+((O5-$M5)/ABS($M5)))</f>
        <v>226.35802927844244</v>
      </c>
      <c r="P208" s="144">
        <f t="shared" si="121"/>
        <v>484.86661217210371</v>
      </c>
      <c r="Q208" s="144">
        <f t="shared" si="121"/>
        <v>802.32592702682621</v>
      </c>
      <c r="T208" s="49"/>
      <c r="U208" s="49"/>
      <c r="V208" s="49"/>
      <c r="W208" s="49"/>
      <c r="X208" s="49"/>
      <c r="Y208" s="49"/>
      <c r="Z208" s="49"/>
      <c r="AA208" s="49"/>
      <c r="AC208" s="49"/>
    </row>
    <row r="209" spans="1:31" x14ac:dyDescent="0.2">
      <c r="B209" s="20" t="s">
        <v>393</v>
      </c>
      <c r="M209" s="144">
        <v>100</v>
      </c>
      <c r="N209" s="144">
        <f>100*(1+((N25-$M25)/ABS($M25)))</f>
        <v>45.194805194805184</v>
      </c>
      <c r="O209" s="144">
        <f t="shared" ref="O209:Q209" si="122">100*(1+((O25-$M25)/ABS($M25)))</f>
        <v>309.87012987012992</v>
      </c>
      <c r="P209" s="144">
        <f t="shared" si="122"/>
        <v>763.63636363636363</v>
      </c>
      <c r="Q209" s="144">
        <f t="shared" si="122"/>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40" t="s">
        <v>230</v>
      </c>
      <c r="C4" s="240"/>
      <c r="E4" s="240" t="s">
        <v>237</v>
      </c>
      <c r="F4" s="240"/>
      <c r="G4" s="240"/>
    </row>
    <row r="5" spans="2:7" x14ac:dyDescent="0.2">
      <c r="B5" s="20" t="s">
        <v>1</v>
      </c>
      <c r="C5" s="173">
        <f ca="1">Overview!C5</f>
        <v>198.97380000000001</v>
      </c>
      <c r="E5" s="12"/>
      <c r="F5" s="133" t="s">
        <v>238</v>
      </c>
      <c r="G5" s="133" t="s">
        <v>239</v>
      </c>
    </row>
    <row r="6" spans="2:7" x14ac:dyDescent="0.2">
      <c r="B6" s="20" t="s">
        <v>236</v>
      </c>
      <c r="C6" s="174">
        <f ca="1">Statement!AC155</f>
        <v>4836058.2090000007</v>
      </c>
      <c r="E6" s="20" t="s">
        <v>19</v>
      </c>
      <c r="F6" s="179">
        <f>IF(Statement!M5&lt;=0,"N/A",_xlfn.RRI(4,Statement!M5,Statement!Q5))</f>
        <v>0.68301391480282692</v>
      </c>
      <c r="G6" s="179" t="str">
        <f>IF(Statement!H5&lt;=0,"N/A",_xlfn.RRI(9,Statement!H5,Statement!Q5))</f>
        <v>N/A</v>
      </c>
    </row>
    <row r="7" spans="2:7" x14ac:dyDescent="0.2">
      <c r="B7" s="20" t="s">
        <v>180</v>
      </c>
      <c r="C7" s="174">
        <f ca="1">Statement!AC156</f>
        <v>4763956.2090000007</v>
      </c>
      <c r="E7" s="20" t="s">
        <v>29</v>
      </c>
      <c r="F7" s="179">
        <f>IF(OR(Statement!M17&lt;=0, Statement!Q17&lt;=0), "N/A", _xlfn.RRI(4, Statement!M17, Statement!Q17))</f>
        <v>0.87319285132860491</v>
      </c>
      <c r="G7" s="179" t="str">
        <f>IF(OR(Statement!H17&lt;=0, Statement!Q17&lt;=0), "N/A", _xlfn.RRI(9, Statement!H17, Statement!Q17))</f>
        <v>N/A</v>
      </c>
    </row>
    <row r="8" spans="2:7" x14ac:dyDescent="0.2">
      <c r="B8" s="20" t="s">
        <v>234</v>
      </c>
      <c r="C8" s="175">
        <f ca="1">Statement!AC152</f>
        <v>30.470719754977033</v>
      </c>
      <c r="E8" s="20" t="s">
        <v>240</v>
      </c>
      <c r="F8" s="179">
        <f>IF(OR(Statement!M25&lt;=0, Statement!Q25&lt;=0), "N/A", _xlfn.RRI(4, Statement!M25, Statement!Q25))</f>
        <v>0.88879070838020025</v>
      </c>
      <c r="G8" s="179" t="str">
        <f>IF(OR(Statement!H25&lt;=0, Statement!Q25&lt;=0), "N/A", _xlfn.RRI(9, Statement!H25, Statement!Q25))</f>
        <v>N/A</v>
      </c>
    </row>
    <row r="9" spans="2:7" x14ac:dyDescent="0.2">
      <c r="B9" s="20" t="s">
        <v>193</v>
      </c>
      <c r="C9" s="175">
        <f ca="1">Statement!AC153</f>
        <v>19.19910237878268</v>
      </c>
      <c r="E9" s="20" t="s">
        <v>241</v>
      </c>
      <c r="F9" s="179">
        <f>IF(Statement!M81&lt;=0,"N/A",_xlfn.RRI(4,Statement!M81,Statement!Q81))</f>
        <v>0.25743342968293548</v>
      </c>
      <c r="G9" s="179" t="str">
        <f>IF(Statement!H81&lt;=0,"N/A",_xlfn.RRI(9,Statement!H81,Statement!Q81))</f>
        <v>N/A</v>
      </c>
    </row>
    <row r="10" spans="2:7" x14ac:dyDescent="0.2">
      <c r="B10" s="20" t="s">
        <v>235</v>
      </c>
      <c r="C10" s="175">
        <f ca="1">Statement!AC154</f>
        <v>24.633280947849848</v>
      </c>
      <c r="E10" s="20" t="s">
        <v>1</v>
      </c>
      <c r="F10" s="179">
        <f>IF(Statement!M115&lt;=0,"N/A",_xlfn.RRI(4,Statement!M115,Statement!Q115))</f>
        <v>0.69306911979142294</v>
      </c>
      <c r="G10" s="179" t="str">
        <f>IF(Statement!H115&lt;=0,"N/A",_xlfn.RRI(9,Statement!H115,Statement!Q115))</f>
        <v>N/A</v>
      </c>
    </row>
    <row r="11" spans="2:7" x14ac:dyDescent="0.2">
      <c r="B11" s="20" t="s">
        <v>257</v>
      </c>
      <c r="C11" s="175">
        <f ca="1">Statement!AC157</f>
        <v>18.79339388380653</v>
      </c>
    </row>
    <row r="12" spans="2:7" x14ac:dyDescent="0.2">
      <c r="B12" s="20" t="s">
        <v>196</v>
      </c>
      <c r="C12" s="175">
        <f ca="1">Statement!AC158</f>
        <v>29.355493169424165</v>
      </c>
    </row>
    <row r="15" spans="2:7" x14ac:dyDescent="0.2">
      <c r="B15" s="240" t="s">
        <v>75</v>
      </c>
      <c r="C15" s="240"/>
      <c r="E15" s="240" t="s">
        <v>243</v>
      </c>
      <c r="F15" s="240"/>
    </row>
    <row r="16" spans="2:7" x14ac:dyDescent="0.2">
      <c r="B16" s="20" t="s">
        <v>76</v>
      </c>
      <c r="C16" s="176">
        <f>Statement!AC99</f>
        <v>0.74145433171197395</v>
      </c>
      <c r="E16" s="20" t="s">
        <v>29</v>
      </c>
      <c r="F16" s="174">
        <f>Statement!AC17</f>
        <v>159613</v>
      </c>
    </row>
    <row r="17" spans="2:6" x14ac:dyDescent="0.2">
      <c r="B17" s="20" t="s">
        <v>77</v>
      </c>
      <c r="C17" s="176">
        <f>Statement!AC100</f>
        <v>0.64020024379563767</v>
      </c>
      <c r="E17" s="20" t="s">
        <v>244</v>
      </c>
      <c r="F17" s="174">
        <f>Statement!AC58</f>
        <v>125649</v>
      </c>
    </row>
    <row r="18" spans="2:6" x14ac:dyDescent="0.2">
      <c r="B18" s="20" t="s">
        <v>78</v>
      </c>
      <c r="C18" s="176">
        <f>Statement!AC101</f>
        <v>0.62965943564071303</v>
      </c>
      <c r="E18" s="20" t="s">
        <v>251</v>
      </c>
      <c r="F18" s="178">
        <f>IF(OR(F16&lt;=0, F17&lt;=0),"N/A",F16-F17)</f>
        <v>33964</v>
      </c>
    </row>
    <row r="21" spans="2:6" x14ac:dyDescent="0.2">
      <c r="B21" s="240" t="s">
        <v>242</v>
      </c>
      <c r="C21" s="240"/>
      <c r="E21" s="240" t="s">
        <v>246</v>
      </c>
      <c r="F21" s="240"/>
    </row>
    <row r="22" spans="2:6" x14ac:dyDescent="0.2">
      <c r="B22" s="20" t="s">
        <v>92</v>
      </c>
      <c r="C22" s="176">
        <f>Statement!AC119</f>
        <v>0.62965943564071303</v>
      </c>
      <c r="E22" s="20" t="s">
        <v>94</v>
      </c>
      <c r="F22" s="176">
        <f>C24</f>
        <v>0.61514063066049007</v>
      </c>
    </row>
    <row r="23" spans="2:6" x14ac:dyDescent="0.2">
      <c r="B23" s="20" t="s">
        <v>93</v>
      </c>
      <c r="C23" s="175">
        <f>Statement!AC120</f>
        <v>0.97694181305256023</v>
      </c>
      <c r="E23" s="20" t="s">
        <v>96</v>
      </c>
      <c r="F23" s="176">
        <f>C26</f>
        <v>0.81654337661274645</v>
      </c>
    </row>
    <row r="24" spans="2:6" x14ac:dyDescent="0.2">
      <c r="B24" s="32" t="s">
        <v>94</v>
      </c>
      <c r="C24" s="177">
        <f>Statement!AC121</f>
        <v>0.61514063066049007</v>
      </c>
      <c r="E24" s="20" t="s">
        <v>97</v>
      </c>
      <c r="F24" s="176">
        <f>Statement!AC142</f>
        <v>1.1082908941558067</v>
      </c>
    </row>
    <row r="25" spans="2:6" x14ac:dyDescent="0.2">
      <c r="B25" s="20" t="s">
        <v>95</v>
      </c>
      <c r="C25" s="175">
        <f>Statement!AC122</f>
        <v>1.3274092718213164</v>
      </c>
    </row>
    <row r="26" spans="2:6" x14ac:dyDescent="0.2">
      <c r="B26" s="32" t="s">
        <v>96</v>
      </c>
      <c r="C26" s="177">
        <f>Statement!AC123</f>
        <v>0.81654337661274645</v>
      </c>
    </row>
    <row r="29" spans="2:6" x14ac:dyDescent="0.2">
      <c r="B29" s="240" t="s">
        <v>247</v>
      </c>
      <c r="C29" s="240"/>
      <c r="E29" s="240" t="s">
        <v>253</v>
      </c>
      <c r="F29" s="240"/>
    </row>
    <row r="30" spans="2:6" x14ac:dyDescent="0.2">
      <c r="B30" s="20" t="s">
        <v>131</v>
      </c>
      <c r="C30" s="175">
        <f>Statement!AC143</f>
        <v>58.61805744582648</v>
      </c>
      <c r="E30" s="20" t="s">
        <v>254</v>
      </c>
      <c r="F30" s="181">
        <f>Statement!AC147</f>
        <v>4.3330570817602339E-2</v>
      </c>
    </row>
    <row r="31" spans="2:6" x14ac:dyDescent="0.2">
      <c r="B31" s="20" t="s">
        <v>132</v>
      </c>
      <c r="C31" s="175">
        <f>Statement!AC144</f>
        <v>143.6687315949282</v>
      </c>
      <c r="E31" s="20" t="s">
        <v>255</v>
      </c>
      <c r="F31" s="181">
        <f>Statement!AC148</f>
        <v>-0.36885723932594616</v>
      </c>
    </row>
    <row r="32" spans="2:6" x14ac:dyDescent="0.2">
      <c r="B32" s="20" t="s">
        <v>133</v>
      </c>
      <c r="C32" s="175">
        <f>Statement!AC145</f>
        <v>72.939852606844781</v>
      </c>
      <c r="E32" s="20" t="s">
        <v>250</v>
      </c>
      <c r="F32" s="181">
        <f>Statement!AC150</f>
        <v>3.440775681341719</v>
      </c>
    </row>
    <row r="33" spans="2:6" x14ac:dyDescent="0.2">
      <c r="B33" s="20" t="s">
        <v>134</v>
      </c>
      <c r="C33" s="175">
        <f>Statement!AC146</f>
        <v>129.34693643390989</v>
      </c>
      <c r="E33" s="20" t="s">
        <v>249</v>
      </c>
      <c r="F33" s="181">
        <f>Statement!AC149</f>
        <v>2.7636951964269438</v>
      </c>
    </row>
    <row r="34" spans="2:6" x14ac:dyDescent="0.2">
      <c r="E34" s="20" t="s">
        <v>256</v>
      </c>
      <c r="F34" s="183" t="str">
        <f>Statement!AC151</f>
        <v>N/A</v>
      </c>
    </row>
    <row r="37" spans="2:6" x14ac:dyDescent="0.2">
      <c r="B37" s="240" t="s">
        <v>265</v>
      </c>
      <c r="C37" s="240"/>
      <c r="E37" s="240" t="s">
        <v>268</v>
      </c>
      <c r="F37" s="240"/>
    </row>
    <row r="38" spans="2:6" x14ac:dyDescent="0.2">
      <c r="B38" s="20" t="s">
        <v>263</v>
      </c>
      <c r="C38" s="176">
        <f ca="1">Statement!AC164</f>
        <v>3.2818391165067962E-2</v>
      </c>
      <c r="E38" s="20" t="s">
        <v>267</v>
      </c>
      <c r="F38" s="176">
        <f>Statement!AC170</f>
        <v>8.6691554478469674E-3</v>
      </c>
    </row>
    <row r="39" spans="2:6" x14ac:dyDescent="0.2">
      <c r="B39" s="54" t="s">
        <v>266</v>
      </c>
      <c r="C39" s="216">
        <f ca="1">Statement!AC163</f>
        <v>2.3208364157223067E-2</v>
      </c>
      <c r="E39" s="20" t="s">
        <v>269</v>
      </c>
      <c r="F39" s="176">
        <f>Statement!AC171</f>
        <v>0.40364585653572349</v>
      </c>
    </row>
    <row r="40" spans="2:6" x14ac:dyDescent="0.2">
      <c r="B40" s="20" t="s">
        <v>264</v>
      </c>
      <c r="C40" s="176">
        <f ca="1">Statement!AC165</f>
        <v>2.0103149258847143E-4</v>
      </c>
      <c r="E40" s="20" t="s">
        <v>270</v>
      </c>
      <c r="F40" s="176">
        <f>Statement!AC172</f>
        <v>0.41231501198357046</v>
      </c>
    </row>
    <row r="41" spans="2:6" x14ac:dyDescent="0.2">
      <c r="B41" s="20" t="s">
        <v>289</v>
      </c>
      <c r="C41" s="176">
        <f ca="1">Statement!AC166</f>
        <v>9.3679600290352896E-3</v>
      </c>
    </row>
    <row r="42" spans="2:6" x14ac:dyDescent="0.2">
      <c r="B42" s="20" t="s">
        <v>291</v>
      </c>
      <c r="C42" s="176">
        <f ca="1">Statement!AC167</f>
        <v>9.5691569456044963E-3</v>
      </c>
    </row>
    <row r="45" spans="2:6" x14ac:dyDescent="0.2">
      <c r="B45" s="240" t="s">
        <v>276</v>
      </c>
      <c r="C45" s="240"/>
      <c r="E45" s="240" t="s">
        <v>282</v>
      </c>
      <c r="F45" s="240"/>
    </row>
    <row r="46" spans="2:6" x14ac:dyDescent="0.2">
      <c r="B46" s="20" t="s">
        <v>274</v>
      </c>
      <c r="C46" s="176">
        <f>Statement!AC173</f>
        <v>3.9374614276897757E-2</v>
      </c>
      <c r="E46" s="20" t="s">
        <v>275</v>
      </c>
      <c r="F46" s="175">
        <f>Statement!AC174</f>
        <v>3.3294214876033057</v>
      </c>
    </row>
    <row r="47" spans="2:6" x14ac:dyDescent="0.2">
      <c r="E47" s="20" t="s">
        <v>283</v>
      </c>
      <c r="F47" s="175">
        <f>Statement!AC177</f>
        <v>2.9794214876033056</v>
      </c>
    </row>
    <row r="48" spans="2:6" x14ac:dyDescent="0.2">
      <c r="E48" s="20" t="s">
        <v>288</v>
      </c>
      <c r="F48" s="176">
        <f ca="1">Statement!AC178</f>
        <v>1.4909249823713193E-2</v>
      </c>
    </row>
    <row r="51" spans="2:6" x14ac:dyDescent="0.2">
      <c r="B51" s="240" t="s">
        <v>279</v>
      </c>
      <c r="C51" s="240"/>
      <c r="E51" s="240" t="s">
        <v>300</v>
      </c>
      <c r="F51" s="240"/>
    </row>
    <row r="52" spans="2:6" x14ac:dyDescent="0.2">
      <c r="B52" s="20" t="s">
        <v>277</v>
      </c>
      <c r="C52" s="176">
        <f>Statement!AC175</f>
        <v>5.4437361220542942E-2</v>
      </c>
      <c r="E52" s="20" t="s">
        <v>301</v>
      </c>
      <c r="F52" s="176">
        <f>Statement!AC179</f>
        <v>2.5925969758295166E-2</v>
      </c>
    </row>
    <row r="53" spans="2:6" x14ac:dyDescent="0.2">
      <c r="B53" s="20" t="s">
        <v>278</v>
      </c>
      <c r="C53" s="176">
        <f>Statement!AC176</f>
        <v>2.6983206504372935E-2</v>
      </c>
      <c r="E53" s="20" t="s">
        <v>298</v>
      </c>
      <c r="F53" s="176">
        <f>Statement!AC180</f>
        <v>5.2304435371550904E-2</v>
      </c>
    </row>
    <row r="54" spans="2:6" x14ac:dyDescent="0.2">
      <c r="E54" s="20" t="s">
        <v>299</v>
      </c>
      <c r="F54" s="176">
        <f>Statement!AC181</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32"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3">
        <f>Statement!M114</f>
        <v>228.4</v>
      </c>
      <c r="D6" s="173">
        <f>Statement!N114</f>
        <v>203.6</v>
      </c>
      <c r="E6" s="173">
        <f>Statement!O114</f>
        <v>610.29999999999995</v>
      </c>
      <c r="F6" s="173">
        <f>Statement!P114</f>
        <v>142.62</v>
      </c>
      <c r="G6" s="173">
        <f>Statement!Q114</f>
        <v>187.67</v>
      </c>
      <c r="I6" s="173">
        <f ca="1">Statement!AC114</f>
        <v>198.97380000000001</v>
      </c>
    </row>
    <row r="7" spans="2:9" x14ac:dyDescent="0.2">
      <c r="B7" s="20" t="s">
        <v>236</v>
      </c>
      <c r="C7" s="174">
        <f>Statement!M155</f>
        <v>582191.6</v>
      </c>
      <c r="D7" s="174">
        <f>Statement!N155</f>
        <v>506964</v>
      </c>
      <c r="E7" s="174">
        <f>Statement!O155</f>
        <v>1541007.4999999998</v>
      </c>
      <c r="F7" s="174">
        <f>Statement!P155</f>
        <v>3515440.38</v>
      </c>
      <c r="G7" s="174">
        <f>Statement!Q155</f>
        <v>4589469.8499999996</v>
      </c>
      <c r="I7" s="174">
        <f ca="1">Statement!AC155</f>
        <v>4836058.2090000007</v>
      </c>
    </row>
    <row r="8" spans="2:9" x14ac:dyDescent="0.2">
      <c r="B8" s="20" t="s">
        <v>180</v>
      </c>
      <c r="C8" s="174">
        <f>Statement!M156</f>
        <v>571929.59999999998</v>
      </c>
      <c r="D8" s="174">
        <f>Statement!N156</f>
        <v>504621</v>
      </c>
      <c r="E8" s="174">
        <f>Statement!O156</f>
        <v>1524732.4999999998</v>
      </c>
      <c r="F8" s="174">
        <f>Statement!P156</f>
        <v>3480693.38</v>
      </c>
      <c r="G8" s="174">
        <f>Statement!Q156</f>
        <v>4535381.8499999996</v>
      </c>
      <c r="I8" s="174">
        <f ca="1">Statement!AC156</f>
        <v>4763956.2090000007</v>
      </c>
    </row>
    <row r="9" spans="2:9" x14ac:dyDescent="0.2">
      <c r="B9" s="20" t="s">
        <v>234</v>
      </c>
      <c r="C9" s="175">
        <f>Statement!M152</f>
        <v>59.324675324675326</v>
      </c>
      <c r="D9" s="175">
        <f>Statement!N152</f>
        <v>117.01149425287356</v>
      </c>
      <c r="E9" s="175">
        <f>Statement!O152</f>
        <v>51.156747694886832</v>
      </c>
      <c r="F9" s="175">
        <f>Statement!P152</f>
        <v>48.510204081632658</v>
      </c>
      <c r="G9" s="175">
        <f>Statement!Q152</f>
        <v>38.299999999999997</v>
      </c>
      <c r="I9" s="175">
        <f ca="1">Statement!AC152</f>
        <v>30.470719754977033</v>
      </c>
    </row>
    <row r="10" spans="2:9" x14ac:dyDescent="0.2">
      <c r="B10" s="20" t="s">
        <v>193</v>
      </c>
      <c r="C10" s="175">
        <f>Statement!M153</f>
        <v>21.512744296648584</v>
      </c>
      <c r="D10" s="175">
        <f>Statement!N153</f>
        <v>18.922859049455031</v>
      </c>
      <c r="E10" s="175">
        <f>Statement!O153</f>
        <v>24.984212599717669</v>
      </c>
      <c r="F10" s="175">
        <f>Statement!P153</f>
        <v>27.108259040437712</v>
      </c>
      <c r="G10" s="175">
        <f>Statement!Q153</f>
        <v>21.304922616677011</v>
      </c>
      <c r="I10" s="175">
        <f ca="1">Statement!AC153</f>
        <v>19.19910237878268</v>
      </c>
    </row>
    <row r="11" spans="2:9" x14ac:dyDescent="0.2">
      <c r="B11" s="20" t="s">
        <v>235</v>
      </c>
      <c r="C11" s="175">
        <f>Statement!M154</f>
        <v>21.542311739065084</v>
      </c>
      <c r="D11" s="175">
        <f>Statement!N154</f>
        <v>22.754264512917967</v>
      </c>
      <c r="E11" s="175">
        <f>Statement!O154</f>
        <v>35.500721299269394</v>
      </c>
      <c r="F11" s="175">
        <f>Statement!P154</f>
        <v>43.868140733924143</v>
      </c>
      <c r="G11" s="175">
        <f>Statement!Q154</f>
        <v>28.992904960805632</v>
      </c>
      <c r="I11" s="175">
        <f ca="1">Statement!AC154</f>
        <v>24.633280947849848</v>
      </c>
    </row>
    <row r="12" spans="2:9" x14ac:dyDescent="0.2">
      <c r="B12" s="20" t="s">
        <v>257</v>
      </c>
      <c r="C12" s="175">
        <f>Statement!M157</f>
        <v>21.250263803225085</v>
      </c>
      <c r="D12" s="175">
        <f>Statement!N157</f>
        <v>18.707681471046193</v>
      </c>
      <c r="E12" s="175">
        <f>Statement!O157</f>
        <v>25.02761728111355</v>
      </c>
      <c r="F12" s="175">
        <f>Statement!P157</f>
        <v>26.672593086431103</v>
      </c>
      <c r="G12" s="175">
        <f>Statement!Q157</f>
        <v>21.003166881234428</v>
      </c>
      <c r="I12" s="175">
        <f ca="1">Statement!AC157</f>
        <v>18.79339388380653</v>
      </c>
    </row>
    <row r="13" spans="2:9" x14ac:dyDescent="0.2">
      <c r="B13" s="20" t="s">
        <v>196</v>
      </c>
      <c r="C13" s="175">
        <f>Statement!M158</f>
        <v>56.959426351956971</v>
      </c>
      <c r="D13" s="175">
        <f>Statement!N158</f>
        <v>119.46519886363636</v>
      </c>
      <c r="E13" s="175">
        <f>Statement!O158</f>
        <v>46.243251850054584</v>
      </c>
      <c r="F13" s="175">
        <f>Statement!P158</f>
        <v>42.732537536984516</v>
      </c>
      <c r="G13" s="175">
        <f>Statement!Q158</f>
        <v>34.784003389908499</v>
      </c>
      <c r="I13" s="175">
        <f ca="1">Statement!AC158</f>
        <v>29.355493169424165</v>
      </c>
    </row>
    <row r="15" spans="2:9" ht="17" thickBot="1" x14ac:dyDescent="0.25">
      <c r="B15" s="14" t="s">
        <v>75</v>
      </c>
      <c r="C15" s="14"/>
      <c r="D15" s="14"/>
      <c r="E15" s="14"/>
      <c r="F15" s="14"/>
      <c r="G15" s="14"/>
      <c r="I15" s="14"/>
    </row>
    <row r="16" spans="2:9" x14ac:dyDescent="0.2">
      <c r="B16" s="20" t="s">
        <v>76</v>
      </c>
      <c r="C16" s="176">
        <f>Statement!M99</f>
        <v>0.64929033216913135</v>
      </c>
      <c r="D16" s="176">
        <f>Statement!N99</f>
        <v>0.56928894490991322</v>
      </c>
      <c r="E16" s="176">
        <f>Statement!O99</f>
        <v>0.72717573290436954</v>
      </c>
      <c r="F16" s="176">
        <f>Statement!P99</f>
        <v>0.74988697058169917</v>
      </c>
      <c r="G16" s="176">
        <f>Statement!Q99</f>
        <v>0.71068084357547079</v>
      </c>
      <c r="I16" s="176">
        <f>Statement!AC99</f>
        <v>0.74145433171197395</v>
      </c>
    </row>
    <row r="17" spans="2:9" x14ac:dyDescent="0.2">
      <c r="B17" s="20" t="s">
        <v>77</v>
      </c>
      <c r="C17" s="176">
        <f>Statement!M100</f>
        <v>0.37307720888756779</v>
      </c>
      <c r="D17" s="176">
        <f>Statement!N100</f>
        <v>0.1565952398606065</v>
      </c>
      <c r="E17" s="176">
        <f>Statement!O100</f>
        <v>0.54121663766783756</v>
      </c>
      <c r="F17" s="176">
        <f>Statement!P100</f>
        <v>0.62417526839697468</v>
      </c>
      <c r="G17" s="176">
        <f>Statement!Q100</f>
        <v>0.60381683631412719</v>
      </c>
      <c r="I17" s="176">
        <f>Statement!AC100</f>
        <v>0.64020024379563767</v>
      </c>
    </row>
    <row r="18" spans="2:9" x14ac:dyDescent="0.2">
      <c r="B18" s="20" t="s">
        <v>78</v>
      </c>
      <c r="C18" s="176">
        <f>Statement!M101</f>
        <v>0.36233930296499961</v>
      </c>
      <c r="D18" s="176">
        <f>Statement!N101</f>
        <v>0.16193371394676356</v>
      </c>
      <c r="E18" s="176">
        <f>Statement!O101</f>
        <v>0.4884934834706674</v>
      </c>
      <c r="F18" s="176">
        <f>Statement!P101</f>
        <v>0.55848027157712443</v>
      </c>
      <c r="G18" s="176">
        <f>Statement!Q101</f>
        <v>0.55602534060702613</v>
      </c>
      <c r="I18" s="176">
        <f>Statement!AC101</f>
        <v>0.62965943564071303</v>
      </c>
    </row>
    <row r="20" spans="2:9" ht="17" thickBot="1" x14ac:dyDescent="0.25">
      <c r="B20" s="14" t="s">
        <v>243</v>
      </c>
      <c r="C20" s="14"/>
      <c r="D20" s="14"/>
      <c r="E20" s="14"/>
      <c r="F20" s="14"/>
      <c r="G20" s="14"/>
      <c r="I20" s="14"/>
    </row>
    <row r="21" spans="2:9" x14ac:dyDescent="0.2">
      <c r="B21" s="20" t="s">
        <v>29</v>
      </c>
      <c r="C21" s="178">
        <f>Statement!M17</f>
        <v>9752</v>
      </c>
      <c r="D21" s="178">
        <f>Statement!N17</f>
        <v>4368</v>
      </c>
      <c r="E21" s="178">
        <f>Statement!O17</f>
        <v>29760</v>
      </c>
      <c r="F21" s="178">
        <f>Statement!P17</f>
        <v>72880</v>
      </c>
      <c r="G21" s="178">
        <f>Statement!Q17</f>
        <v>120067</v>
      </c>
      <c r="I21" s="178">
        <f>Statement!AC17</f>
        <v>159613</v>
      </c>
    </row>
    <row r="22" spans="2:9" x14ac:dyDescent="0.2">
      <c r="B22" s="20" t="s">
        <v>244</v>
      </c>
      <c r="C22" s="178">
        <f>Statement!M58</f>
        <v>9108</v>
      </c>
      <c r="D22" s="178">
        <f>Statement!N58</f>
        <v>5641</v>
      </c>
      <c r="E22" s="178">
        <f>Statement!O58</f>
        <v>28090</v>
      </c>
      <c r="F22" s="178">
        <f>Statement!P58</f>
        <v>64089</v>
      </c>
      <c r="G22" s="178">
        <f>Statement!Q58</f>
        <v>102718</v>
      </c>
      <c r="I22" s="178">
        <f>Statement!AC58</f>
        <v>125649</v>
      </c>
    </row>
    <row r="23" spans="2:9" x14ac:dyDescent="0.2">
      <c r="B23" s="20" t="s">
        <v>251</v>
      </c>
      <c r="C23" s="196">
        <f>IF(OR(C21&lt;=0, C22&lt;=0),"N/A",C21-C22)</f>
        <v>644</v>
      </c>
      <c r="D23" s="196">
        <f t="shared" ref="D23:I23" si="0">IF(OR(D21&lt;=0, D22&lt;=0),"N/A",D21-D22)</f>
        <v>-1273</v>
      </c>
      <c r="E23" s="196">
        <f t="shared" si="0"/>
        <v>1670</v>
      </c>
      <c r="F23" s="196">
        <f t="shared" si="0"/>
        <v>8791</v>
      </c>
      <c r="G23" s="196">
        <f t="shared" si="0"/>
        <v>17349</v>
      </c>
      <c r="I23" s="196">
        <f t="shared" si="0"/>
        <v>33964</v>
      </c>
    </row>
    <row r="25" spans="2:9" ht="17" thickBot="1" x14ac:dyDescent="0.25">
      <c r="B25" s="14" t="s">
        <v>242</v>
      </c>
      <c r="C25" s="14"/>
      <c r="D25" s="14"/>
      <c r="E25" s="14"/>
      <c r="F25" s="14"/>
      <c r="G25" s="14"/>
      <c r="I25" s="14"/>
    </row>
    <row r="26" spans="2:9" x14ac:dyDescent="0.2">
      <c r="B26" s="20" t="s">
        <v>92</v>
      </c>
      <c r="C26" s="176">
        <f>Statement!M119</f>
        <v>0.36233930296499961</v>
      </c>
      <c r="D26" s="176">
        <f>Statement!N119</f>
        <v>0.16193371394676356</v>
      </c>
      <c r="E26" s="176">
        <f>Statement!O119</f>
        <v>0.4884934834706674</v>
      </c>
      <c r="F26" s="176">
        <f>Statement!P119</f>
        <v>0.55848027157712443</v>
      </c>
      <c r="G26" s="176">
        <f>Statement!Q119</f>
        <v>0.55602534060702613</v>
      </c>
      <c r="I26" s="176">
        <f>Statement!AC119</f>
        <v>0.62965943564071303</v>
      </c>
    </row>
    <row r="27" spans="2:9" x14ac:dyDescent="0.2">
      <c r="B27" s="20" t="s">
        <v>93</v>
      </c>
      <c r="C27" s="215">
        <f>Statement!M120</f>
        <v>0.60909317219996828</v>
      </c>
      <c r="D27" s="215">
        <f>Statement!N120</f>
        <v>0.65499490068476518</v>
      </c>
      <c r="E27" s="215">
        <f>Statement!O120</f>
        <v>0.92688047711781885</v>
      </c>
      <c r="F27" s="215">
        <f>Statement!P120</f>
        <v>1.169317479234057</v>
      </c>
      <c r="G27" s="215">
        <f>Statement!Q120</f>
        <v>1.0441724733200195</v>
      </c>
      <c r="I27" s="215">
        <f>Statement!AC120</f>
        <v>0.97694181305256023</v>
      </c>
    </row>
    <row r="28" spans="2:9" x14ac:dyDescent="0.2">
      <c r="B28" s="32" t="s">
        <v>94</v>
      </c>
      <c r="C28" s="177">
        <f>Statement!M121</f>
        <v>0.22069839545567699</v>
      </c>
      <c r="D28" s="177">
        <f>Statement!N121</f>
        <v>0.10606575688407557</v>
      </c>
      <c r="E28" s="177">
        <f>Statement!O121</f>
        <v>0.45277507302823755</v>
      </c>
      <c r="F28" s="177">
        <f>Statement!P121</f>
        <v>0.65304074336251472</v>
      </c>
      <c r="G28" s="177">
        <f>Statement!Q121</f>
        <v>0.5805863551302447</v>
      </c>
      <c r="I28" s="177">
        <f>Statement!AC121</f>
        <v>0.61514063066049007</v>
      </c>
    </row>
    <row r="29" spans="2:9" x14ac:dyDescent="0.2">
      <c r="B29" s="20" t="s">
        <v>95</v>
      </c>
      <c r="C29" s="215">
        <f>Statement!M122</f>
        <v>1.6604163535247256</v>
      </c>
      <c r="D29" s="215">
        <f>Statement!N122</f>
        <v>1.8633545993393965</v>
      </c>
      <c r="E29" s="215">
        <f>Statement!O122</f>
        <v>1.5293405928614641</v>
      </c>
      <c r="F29" s="215">
        <f>Statement!P122</f>
        <v>1.4068476054811099</v>
      </c>
      <c r="G29" s="215">
        <f>Statement!Q122</f>
        <v>1.3147628947251309</v>
      </c>
      <c r="I29" s="215">
        <f>Statement!AC122</f>
        <v>1.3274092718213164</v>
      </c>
    </row>
    <row r="30" spans="2:9" x14ac:dyDescent="0.2">
      <c r="B30" s="32" t="s">
        <v>96</v>
      </c>
      <c r="C30" s="177">
        <f>Statement!M123</f>
        <v>0.36645122501127303</v>
      </c>
      <c r="D30" s="177">
        <f>Statement!N123</f>
        <v>0.19763811592235647</v>
      </c>
      <c r="E30" s="177">
        <f>Statement!O123</f>
        <v>0.69244729861789756</v>
      </c>
      <c r="F30" s="177">
        <f>Statement!P123</f>
        <v>0.91872880608115781</v>
      </c>
      <c r="G30" s="177">
        <f>Statement!Q123</f>
        <v>0.76333339690895341</v>
      </c>
      <c r="I30" s="177">
        <f>Statement!AC123</f>
        <v>0.81654337661274645</v>
      </c>
    </row>
    <row r="32" spans="2:9" ht="17" thickBot="1" x14ac:dyDescent="0.25">
      <c r="B32" s="14" t="s">
        <v>302</v>
      </c>
      <c r="C32" s="14"/>
      <c r="D32" s="14"/>
      <c r="E32" s="14"/>
      <c r="F32" s="14"/>
      <c r="G32" s="14"/>
      <c r="I32" s="14"/>
    </row>
    <row r="33" spans="2:9" x14ac:dyDescent="0.2">
      <c r="B33" s="20" t="s">
        <v>94</v>
      </c>
      <c r="C33" s="176">
        <f>C28</f>
        <v>0.22069839545567699</v>
      </c>
      <c r="D33" s="176">
        <f t="shared" ref="D33:G33" si="1">D28</f>
        <v>0.10606575688407557</v>
      </c>
      <c r="E33" s="176">
        <f t="shared" si="1"/>
        <v>0.45277507302823755</v>
      </c>
      <c r="F33" s="176">
        <f t="shared" si="1"/>
        <v>0.65304074336251472</v>
      </c>
      <c r="G33" s="176">
        <f t="shared" si="1"/>
        <v>0.5805863551302447</v>
      </c>
      <c r="I33" s="176">
        <f>I28</f>
        <v>0.61514063066049007</v>
      </c>
    </row>
    <row r="34" spans="2:9" x14ac:dyDescent="0.2">
      <c r="B34" s="20" t="s">
        <v>96</v>
      </c>
      <c r="C34" s="176">
        <f>C30</f>
        <v>0.36645122501127303</v>
      </c>
      <c r="D34" s="176">
        <f t="shared" ref="D34:G34" si="2">D30</f>
        <v>0.19763811592235647</v>
      </c>
      <c r="E34" s="176">
        <f t="shared" si="2"/>
        <v>0.69244729861789756</v>
      </c>
      <c r="F34" s="176">
        <f t="shared" si="2"/>
        <v>0.91872880608115781</v>
      </c>
      <c r="G34" s="176">
        <f t="shared" si="2"/>
        <v>0.76333339690895341</v>
      </c>
      <c r="I34" s="176">
        <f>I30</f>
        <v>0.81654337661274645</v>
      </c>
    </row>
    <row r="35" spans="2:9" x14ac:dyDescent="0.2">
      <c r="B35" s="20" t="s">
        <v>97</v>
      </c>
      <c r="C35" s="176">
        <f>Statement!M142</f>
        <v>0.60245252494303547</v>
      </c>
      <c r="D35" s="176">
        <f>Statement!N142</f>
        <v>0.21378682052839357</v>
      </c>
      <c r="E35" s="176">
        <f>Statement!O142</f>
        <v>1.0866013555554745</v>
      </c>
      <c r="F35" s="176">
        <f>Statement!P142</f>
        <v>1.5847534085376831</v>
      </c>
      <c r="G35" s="176">
        <f>Statement!Q142</f>
        <v>1.0723937210768841</v>
      </c>
      <c r="I35" s="176">
        <f>Statement!AC142</f>
        <v>1.1082908941558067</v>
      </c>
    </row>
    <row r="37" spans="2:9" ht="17" thickBot="1" x14ac:dyDescent="0.25">
      <c r="B37" s="14" t="s">
        <v>247</v>
      </c>
      <c r="C37" s="14"/>
      <c r="D37" s="14"/>
      <c r="E37" s="14"/>
      <c r="F37" s="14"/>
      <c r="G37" s="14"/>
      <c r="I37" s="14"/>
    </row>
    <row r="38" spans="2:9" x14ac:dyDescent="0.2">
      <c r="B38" s="20" t="s">
        <v>131</v>
      </c>
      <c r="C38" s="175">
        <f>Statement!M143</f>
        <v>63.061975180203611</v>
      </c>
      <c r="D38" s="175">
        <f>Statement!N143</f>
        <v>51.785237636242307</v>
      </c>
      <c r="E38" s="175">
        <f>Statement!O143</f>
        <v>59.906683956534586</v>
      </c>
      <c r="F38" s="175">
        <f>Statement!P143</f>
        <v>64.512785734537957</v>
      </c>
      <c r="G38" s="175">
        <f>Statement!Q143</f>
        <v>65.01907955061175</v>
      </c>
      <c r="I38" s="175">
        <f>Statement!AC143</f>
        <v>58.61805744582648</v>
      </c>
    </row>
    <row r="39" spans="2:9" x14ac:dyDescent="0.2">
      <c r="B39" s="20" t="s">
        <v>132</v>
      </c>
      <c r="C39" s="175">
        <f>Statement!M144</f>
        <v>100.73365822650703</v>
      </c>
      <c r="D39" s="175">
        <f>Statement!N144</f>
        <v>162.079101394388</v>
      </c>
      <c r="E39" s="175">
        <f>Statement!O144</f>
        <v>115.99362252572048</v>
      </c>
      <c r="F39" s="175">
        <f>Statement!P144</f>
        <v>112.72404179049603</v>
      </c>
      <c r="G39" s="175">
        <f>Statement!Q144</f>
        <v>125.043537414966</v>
      </c>
      <c r="I39" s="175">
        <f>Statement!AC144</f>
        <v>143.6687315949282</v>
      </c>
    </row>
    <row r="40" spans="2:9" x14ac:dyDescent="0.2">
      <c r="B40" s="20" t="s">
        <v>133</v>
      </c>
      <c r="C40" s="175">
        <f>Statement!M145</f>
        <v>68.947452060599645</v>
      </c>
      <c r="D40" s="175">
        <f>Statement!N145</f>
        <v>37.480203133069374</v>
      </c>
      <c r="E40" s="175">
        <f>Statement!O145</f>
        <v>59.270501173214605</v>
      </c>
      <c r="F40" s="175">
        <f>Statement!P145</f>
        <v>70.564355525598216</v>
      </c>
      <c r="G40" s="175">
        <f>Statement!Q145</f>
        <v>57.325010004001605</v>
      </c>
      <c r="I40" s="175">
        <f>Statement!AC145</f>
        <v>72.939852606844781</v>
      </c>
    </row>
    <row r="41" spans="2:9" x14ac:dyDescent="0.2">
      <c r="B41" s="20" t="s">
        <v>134</v>
      </c>
      <c r="C41" s="175">
        <f>Statement!M146</f>
        <v>94.848181346110991</v>
      </c>
      <c r="D41" s="175">
        <f>Statement!N146</f>
        <v>176.38413589756092</v>
      </c>
      <c r="E41" s="175">
        <f>Statement!O146</f>
        <v>116.62980530904048</v>
      </c>
      <c r="F41" s="175">
        <f>Statement!P146</f>
        <v>106.67247199943577</v>
      </c>
      <c r="G41" s="175">
        <f>Statement!Q146</f>
        <v>132.73760696157615</v>
      </c>
      <c r="I41" s="175">
        <f>Statement!AC146</f>
        <v>129.34693643390989</v>
      </c>
    </row>
    <row r="43" spans="2:9" ht="17" thickBot="1" x14ac:dyDescent="0.25">
      <c r="B43" s="14" t="s">
        <v>253</v>
      </c>
      <c r="C43" s="14"/>
      <c r="D43" s="14"/>
      <c r="E43" s="14"/>
      <c r="F43" s="14"/>
      <c r="G43" s="14"/>
      <c r="I43" s="14"/>
    </row>
    <row r="44" spans="2:9" x14ac:dyDescent="0.2">
      <c r="B44" s="20" t="s">
        <v>254</v>
      </c>
      <c r="C44" s="181">
        <f>Statement!M147</f>
        <v>0.41131820231474525</v>
      </c>
      <c r="D44" s="181">
        <f>Statement!N147</f>
        <v>0.49558843491244742</v>
      </c>
      <c r="E44" s="181">
        <f>Statement!O147</f>
        <v>0.22590627763041557</v>
      </c>
      <c r="F44" s="181">
        <f>Statement!P147</f>
        <v>0.10668498745698186</v>
      </c>
      <c r="G44" s="181">
        <f>Statement!Q147</f>
        <v>5.3835835033981171E-2</v>
      </c>
      <c r="I44" s="181">
        <f>Statement!AC147</f>
        <v>4.3330570817602339E-2</v>
      </c>
    </row>
    <row r="45" spans="2:9" x14ac:dyDescent="0.2">
      <c r="B45" s="20" t="s">
        <v>255</v>
      </c>
      <c r="C45" s="181">
        <f>Statement!M148</f>
        <v>-0.38561551179918835</v>
      </c>
      <c r="D45" s="181">
        <f>Statement!N148</f>
        <v>-0.10601330256549478</v>
      </c>
      <c r="E45" s="181">
        <f>Statement!O148</f>
        <v>-0.37868211643166272</v>
      </c>
      <c r="F45" s="181">
        <f>Statement!P148</f>
        <v>-0.43802236312982967</v>
      </c>
      <c r="G45" s="181">
        <f>Statement!Q148</f>
        <v>-0.34386781357085183</v>
      </c>
      <c r="I45" s="181">
        <f>Statement!AC148</f>
        <v>-0.36885723932594616</v>
      </c>
    </row>
    <row r="46" spans="2:9" x14ac:dyDescent="0.2">
      <c r="B46" s="20" t="s">
        <v>249</v>
      </c>
      <c r="C46" s="181">
        <f>Statement!M149</f>
        <v>5.9649365628604381</v>
      </c>
      <c r="D46" s="181">
        <f>Statement!N149</f>
        <v>2.6090202651226573</v>
      </c>
      <c r="E46" s="181">
        <f>Statement!O149</f>
        <v>3.3847239206095381</v>
      </c>
      <c r="F46" s="181">
        <f>Statement!P149</f>
        <v>3.672355516152269</v>
      </c>
      <c r="G46" s="181">
        <f>Statement!Q149</f>
        <v>3.1409383453036099</v>
      </c>
      <c r="I46" s="181">
        <f>Statement!AC149</f>
        <v>2.7636951964269438</v>
      </c>
    </row>
    <row r="47" spans="2:9" x14ac:dyDescent="0.2">
      <c r="B47" s="20" t="s">
        <v>250</v>
      </c>
      <c r="C47" s="181">
        <f>Statement!M150</f>
        <v>6.6502883506343711</v>
      </c>
      <c r="D47" s="181">
        <f>Statement!N150</f>
        <v>3.5156178576870332</v>
      </c>
      <c r="E47" s="181">
        <f>Statement!O150</f>
        <v>4.1712915059730973</v>
      </c>
      <c r="F47" s="181">
        <f>Statement!P150</f>
        <v>4.4398514988640772</v>
      </c>
      <c r="G47" s="181">
        <f>Statement!Q150</f>
        <v>3.9052638124553058</v>
      </c>
      <c r="I47" s="181">
        <f>Statement!AC150</f>
        <v>3.440775681341719</v>
      </c>
    </row>
    <row r="48" spans="2:9" x14ac:dyDescent="0.2">
      <c r="B48" s="20" t="s">
        <v>256</v>
      </c>
      <c r="C48" s="183">
        <f>Statement!M151</f>
        <v>48.507246376811594</v>
      </c>
      <c r="D48" s="183" t="str">
        <f>Statement!N151</f>
        <v>N/A</v>
      </c>
      <c r="E48" s="183" t="str">
        <f>Statement!O151</f>
        <v>N/A</v>
      </c>
      <c r="F48" s="183" t="str">
        <f>Statement!P151</f>
        <v>N/A</v>
      </c>
      <c r="G48" s="183" t="str">
        <f>Statement!Q151</f>
        <v>N/A</v>
      </c>
      <c r="I48" s="183" t="str">
        <f>Statement!AC151</f>
        <v>N/A</v>
      </c>
    </row>
    <row r="50" spans="2:9" ht="17" thickBot="1" x14ac:dyDescent="0.25">
      <c r="B50" s="14" t="s">
        <v>265</v>
      </c>
      <c r="C50" s="14"/>
      <c r="D50" s="14"/>
      <c r="E50" s="14"/>
      <c r="F50" s="14"/>
      <c r="G50" s="14"/>
      <c r="I50" s="14"/>
    </row>
    <row r="51" spans="2:9" x14ac:dyDescent="0.2">
      <c r="B51" s="20" t="s">
        <v>263</v>
      </c>
      <c r="C51" s="176">
        <f>Statement!M164</f>
        <v>1.6856392294220666E-2</v>
      </c>
      <c r="D51" s="176">
        <f>Statement!N164</f>
        <v>8.546168958742632E-3</v>
      </c>
      <c r="E51" s="176">
        <f>Statement!O164</f>
        <v>1.9547763395051616E-2</v>
      </c>
      <c r="F51" s="176">
        <f>Statement!P164</f>
        <v>2.061421960454354E-2</v>
      </c>
      <c r="G51" s="176">
        <f>Statement!Q164</f>
        <v>2.6109660574412535E-2</v>
      </c>
      <c r="I51" s="176">
        <f ca="1">Statement!AC164</f>
        <v>3.2818391165067962E-2</v>
      </c>
    </row>
    <row r="52" spans="2:9" x14ac:dyDescent="0.2">
      <c r="B52" s="20" t="s">
        <v>266</v>
      </c>
      <c r="C52" s="176">
        <f>Statement!M163</f>
        <v>1.0525744445642981E-2</v>
      </c>
      <c r="D52" s="176">
        <f>Statement!N163</f>
        <v>2.1678067870696933E-3</v>
      </c>
      <c r="E52" s="176">
        <f>Statement!O163</f>
        <v>1.5231593616513875E-2</v>
      </c>
      <c r="F52" s="176">
        <f>Statement!P163</f>
        <v>1.5962722712993357E-2</v>
      </c>
      <c r="G52" s="176">
        <f>Statement!Q163</f>
        <v>1.9673296252289359E-2</v>
      </c>
      <c r="I52" s="176">
        <f ca="1">Statement!AC163</f>
        <v>2.3208364157223067E-2</v>
      </c>
    </row>
    <row r="53" spans="2:9" x14ac:dyDescent="0.2">
      <c r="B53" s="20" t="s">
        <v>264</v>
      </c>
      <c r="C53" s="176">
        <f>Statement!M165</f>
        <v>7.0052539404553418E-4</v>
      </c>
      <c r="D53" s="176">
        <f>Statement!N165</f>
        <v>7.8585461689587434E-4</v>
      </c>
      <c r="E53" s="176">
        <f>Statement!O165</f>
        <v>2.6216614779616586E-4</v>
      </c>
      <c r="F53" s="176">
        <f>Statement!P165</f>
        <v>2.3839573692329268E-4</v>
      </c>
      <c r="G53" s="176">
        <f>Statement!Q165</f>
        <v>2.1314008632173498E-4</v>
      </c>
      <c r="I53" s="176">
        <f ca="1">Statement!AC165</f>
        <v>2.0103149258847143E-4</v>
      </c>
    </row>
    <row r="54" spans="2:9" x14ac:dyDescent="0.2">
      <c r="B54" s="20" t="s">
        <v>289</v>
      </c>
      <c r="C54" s="176">
        <f>Statement!M166</f>
        <v>0</v>
      </c>
      <c r="D54" s="176">
        <f>Statement!N166</f>
        <v>1.9802195027654824E-2</v>
      </c>
      <c r="E54" s="176">
        <f>Statement!O166</f>
        <v>6.1862125914377451E-3</v>
      </c>
      <c r="F54" s="176">
        <f>Statement!P166</f>
        <v>9.5879879493220143E-3</v>
      </c>
      <c r="G54" s="176">
        <f>Statement!Q166</f>
        <v>8.7343421593672754E-3</v>
      </c>
      <c r="I54" s="176">
        <f ca="1">Statement!AC166</f>
        <v>9.3679600290352896E-3</v>
      </c>
    </row>
    <row r="55" spans="2:9" x14ac:dyDescent="0.2">
      <c r="B55" s="20" t="s">
        <v>291</v>
      </c>
      <c r="C55" s="176">
        <f>Statement!M167</f>
        <v>6.853413893295609E-4</v>
      </c>
      <c r="D55" s="176">
        <f>Statement!N167</f>
        <v>2.0587260633891165E-2</v>
      </c>
      <c r="E55" s="176">
        <f>Statement!O167</f>
        <v>6.4425384042582539E-3</v>
      </c>
      <c r="F55" s="176">
        <f>Statement!P167</f>
        <v>9.8252270743957263E-3</v>
      </c>
      <c r="G55" s="176">
        <f>Statement!Q167</f>
        <v>8.946567107309792E-3</v>
      </c>
      <c r="I55" s="176">
        <f ca="1">Statement!AC167</f>
        <v>9.5691569456044963E-3</v>
      </c>
    </row>
    <row r="57" spans="2:9" ht="17" thickBot="1" x14ac:dyDescent="0.25">
      <c r="B57" s="14" t="s">
        <v>268</v>
      </c>
      <c r="C57" s="14"/>
      <c r="D57" s="14"/>
      <c r="E57" s="14"/>
      <c r="F57" s="14"/>
      <c r="G57" s="14"/>
      <c r="I57" s="14"/>
    </row>
    <row r="58" spans="2:9" x14ac:dyDescent="0.2">
      <c r="B58" s="20" t="s">
        <v>267</v>
      </c>
      <c r="C58" s="176">
        <f>Statement!M170</f>
        <v>6.5110966057441252E-2</v>
      </c>
      <c r="D58" s="176">
        <f>Statement!N170</f>
        <v>0.36214740673339402</v>
      </c>
      <c r="E58" s="176">
        <f>Statement!O170</f>
        <v>1.6828561690524879E-2</v>
      </c>
      <c r="F58" s="176">
        <f>Statement!P170</f>
        <v>1.4862071423479934E-2</v>
      </c>
      <c r="G58" s="176">
        <f>Statement!Q170</f>
        <v>1.0787462620445233E-2</v>
      </c>
      <c r="I58" s="176">
        <f>Statement!AC170</f>
        <v>8.6691554478469674E-3</v>
      </c>
    </row>
    <row r="59" spans="2:9" x14ac:dyDescent="0.2">
      <c r="B59" s="20" t="s">
        <v>269</v>
      </c>
      <c r="C59" s="176">
        <f>Statement!M171</f>
        <v>0</v>
      </c>
      <c r="D59" s="176">
        <f>Statement!N171</f>
        <v>9.1346678798908094</v>
      </c>
      <c r="E59" s="176">
        <f>Statement!O171</f>
        <v>0.40614349011588274</v>
      </c>
      <c r="F59" s="176">
        <f>Statement!P171</f>
        <v>0.60064865635469389</v>
      </c>
      <c r="G59" s="176">
        <f>Statement!Q171</f>
        <v>0.44396943183076754</v>
      </c>
      <c r="I59" s="176">
        <f>Statement!AC171</f>
        <v>0.40364585653572349</v>
      </c>
    </row>
    <row r="60" spans="2:9" x14ac:dyDescent="0.2">
      <c r="B60" s="20" t="s">
        <v>270</v>
      </c>
      <c r="C60" s="176">
        <f>Statement!M172</f>
        <v>6.5110966057441252E-2</v>
      </c>
      <c r="D60" s="176">
        <f>Statement!N172</f>
        <v>9.4968152866242033</v>
      </c>
      <c r="E60" s="176">
        <f>Statement!O172</f>
        <v>0.42297205180640762</v>
      </c>
      <c r="F60" s="176">
        <f>Statement!P172</f>
        <v>0.61551072777817373</v>
      </c>
      <c r="G60" s="176">
        <f>Statement!Q172</f>
        <v>0.45475689445121276</v>
      </c>
      <c r="I60" s="176">
        <f>Statement!AC172</f>
        <v>0.41231501198357046</v>
      </c>
    </row>
    <row r="62" spans="2:9" ht="17" thickBot="1" x14ac:dyDescent="0.25">
      <c r="B62" s="14" t="s">
        <v>276</v>
      </c>
      <c r="C62" s="14"/>
      <c r="D62" s="14"/>
      <c r="E62" s="14"/>
      <c r="F62" s="14"/>
      <c r="G62" s="14"/>
      <c r="I62" s="14"/>
    </row>
    <row r="63" spans="2:9" x14ac:dyDescent="0.2">
      <c r="B63" s="20" t="s">
        <v>274</v>
      </c>
      <c r="C63" s="176">
        <f>Statement!M173</f>
        <v>3.9623381718320909E-2</v>
      </c>
      <c r="D63" s="176">
        <f>Statement!N173</f>
        <v>3.9759036144578312E-2</v>
      </c>
      <c r="E63" s="176">
        <f>Statement!O173</f>
        <v>4.118811881188119E-2</v>
      </c>
      <c r="F63" s="176">
        <f>Statement!P173</f>
        <v>4.1380989086778369E-2</v>
      </c>
      <c r="G63" s="176">
        <f>Statement!Q173</f>
        <v>3.9133101615211614E-2</v>
      </c>
      <c r="I63" s="176">
        <f>Statement!AC173</f>
        <v>3.9374614276897757E-2</v>
      </c>
    </row>
    <row r="65" spans="2:9" ht="17" thickBot="1" x14ac:dyDescent="0.25">
      <c r="B65" s="14" t="s">
        <v>282</v>
      </c>
      <c r="C65" s="14"/>
      <c r="D65" s="14"/>
      <c r="E65" s="14"/>
      <c r="F65" s="14"/>
      <c r="G65" s="14"/>
      <c r="I65" s="14"/>
    </row>
    <row r="66" spans="2:9" x14ac:dyDescent="0.2">
      <c r="B66" s="20" t="s">
        <v>275</v>
      </c>
      <c r="C66" s="175">
        <f>Statement!M174</f>
        <v>0.84494023904382465</v>
      </c>
      <c r="D66" s="175">
        <f>Statement!N174</f>
        <v>0.53829959514170045</v>
      </c>
      <c r="E66" s="175">
        <f>Statement!O174</f>
        <v>1.0393600000000001</v>
      </c>
      <c r="F66" s="175">
        <f>Statement!P174</f>
        <v>1.7709016393442623</v>
      </c>
      <c r="G66" s="175">
        <f>Statement!Q174</f>
        <v>2.5743209876543212</v>
      </c>
      <c r="I66" s="175">
        <f>Statement!AC174</f>
        <v>3.3294214876033057</v>
      </c>
    </row>
    <row r="67" spans="2:9" x14ac:dyDescent="0.2">
      <c r="B67" s="20" t="s">
        <v>283</v>
      </c>
      <c r="C67" s="175">
        <f>Statement!M177</f>
        <v>0.40884462151394424</v>
      </c>
      <c r="D67" s="175">
        <f>Statement!N177</f>
        <v>9.4858299595141707E-2</v>
      </c>
      <c r="E67" s="175">
        <f>Statement!O177</f>
        <v>0.65100000000000002</v>
      </c>
      <c r="F67" s="175">
        <f>Statement!P177</f>
        <v>1.4240573770491802</v>
      </c>
      <c r="G67" s="175">
        <f>Statement!Q177</f>
        <v>2.2258436213991768</v>
      </c>
      <c r="I67" s="175">
        <f>Statement!AC177</f>
        <v>2.9794214876033056</v>
      </c>
    </row>
    <row r="68" spans="2:9" x14ac:dyDescent="0.2">
      <c r="B68" s="20" t="s">
        <v>288</v>
      </c>
      <c r="C68" s="197">
        <f>Statement!M178</f>
        <v>1.7626499592230463E-2</v>
      </c>
      <c r="D68" s="197">
        <f>Statement!N178</f>
        <v>4.6216299382204652E-3</v>
      </c>
      <c r="E68" s="197">
        <f>Statement!O178</f>
        <v>1.0561272414313365E-2</v>
      </c>
      <c r="F68" s="197">
        <f>Statement!P178</f>
        <v>9.8841101665902813E-3</v>
      </c>
      <c r="G68" s="197">
        <f>Statement!Q178</f>
        <v>1.1785239203608671E-2</v>
      </c>
      <c r="I68" s="197">
        <f ca="1">Statement!AC178</f>
        <v>1.4909249823713193E-2</v>
      </c>
    </row>
    <row r="70" spans="2:9" ht="17" thickBot="1" x14ac:dyDescent="0.25">
      <c r="B70" s="14" t="s">
        <v>303</v>
      </c>
      <c r="C70" s="14"/>
      <c r="D70" s="14"/>
      <c r="E70" s="14"/>
      <c r="F70" s="14"/>
      <c r="G70" s="14"/>
      <c r="I70" s="14"/>
    </row>
    <row r="71" spans="2:9" x14ac:dyDescent="0.2">
      <c r="B71" s="20" t="s">
        <v>277</v>
      </c>
      <c r="C71" s="176">
        <f>Statement!M175</f>
        <v>0.22002635046113306</v>
      </c>
      <c r="D71" s="176">
        <f>Statement!N175</f>
        <v>0.48023400106364122</v>
      </c>
      <c r="E71" s="176">
        <f>Statement!O175</f>
        <v>0.1263438946244215</v>
      </c>
      <c r="F71" s="176">
        <f>Statement!P175</f>
        <v>7.3912839956934887E-2</v>
      </c>
      <c r="G71" s="176">
        <f>Statement!Q175</f>
        <v>6.217021359450145E-2</v>
      </c>
      <c r="I71" s="176">
        <f>Statement!AC175</f>
        <v>5.4437361220542942E-2</v>
      </c>
    </row>
    <row r="72" spans="2:9" x14ac:dyDescent="0.2">
      <c r="B72" s="20" t="s">
        <v>278</v>
      </c>
      <c r="C72" s="176">
        <f>Statement!M176</f>
        <v>7.4459389165490081E-2</v>
      </c>
      <c r="D72" s="176">
        <f>Statement!N176</f>
        <v>0.10043004374582931</v>
      </c>
      <c r="E72" s="176">
        <f>Statement!O176</f>
        <v>5.8254817635665278E-2</v>
      </c>
      <c r="F72" s="176">
        <f>Statement!P176</f>
        <v>3.629968505023104E-2</v>
      </c>
      <c r="G72" s="176">
        <f>Statement!Q176</f>
        <v>2.9573303448211987E-2</v>
      </c>
      <c r="I72" s="176">
        <f>Statement!AC176</f>
        <v>2.6983206504372935E-2</v>
      </c>
    </row>
    <row r="74" spans="2:9" ht="17" thickBot="1" x14ac:dyDescent="0.25">
      <c r="B74" s="14" t="s">
        <v>304</v>
      </c>
      <c r="C74" s="14"/>
      <c r="D74" s="14"/>
      <c r="E74" s="14"/>
      <c r="F74" s="14"/>
      <c r="G74" s="14"/>
      <c r="I74" s="14"/>
    </row>
    <row r="75" spans="2:9" x14ac:dyDescent="0.2">
      <c r="B75" s="20" t="s">
        <v>301</v>
      </c>
      <c r="C75" s="176">
        <f>Statement!M179</f>
        <v>3.6263654603552055E-2</v>
      </c>
      <c r="D75" s="176">
        <f>Statement!N179</f>
        <v>6.7954326388373995E-2</v>
      </c>
      <c r="E75" s="176">
        <f>Statement!O179</f>
        <v>1.7547027346442992E-2</v>
      </c>
      <c r="F75" s="176">
        <f>Statement!P179</f>
        <v>2.4797504923484832E-2</v>
      </c>
      <c r="G75" s="176">
        <f>Statement!Q179</f>
        <v>2.7980253591308617E-2</v>
      </c>
      <c r="I75" s="176">
        <f>Statement!AC179</f>
        <v>2.5925969758295166E-2</v>
      </c>
    </row>
    <row r="76" spans="2:9" x14ac:dyDescent="0.2">
      <c r="B76" s="20" t="s">
        <v>298</v>
      </c>
      <c r="C76" s="176">
        <f>Statement!M180</f>
        <v>0.10715854194115064</v>
      </c>
      <c r="D76" s="176">
        <f>Statement!N180</f>
        <v>0.32494238610175502</v>
      </c>
      <c r="E76" s="176">
        <f>Statement!O180</f>
        <v>3.8056247775008899E-2</v>
      </c>
      <c r="F76" s="176">
        <f>Statement!P180</f>
        <v>5.0492284167329808E-2</v>
      </c>
      <c r="G76" s="176">
        <f>Statement!Q180</f>
        <v>5.8821238731283712E-2</v>
      </c>
      <c r="I76" s="176">
        <f>Statement!AC180</f>
        <v>5.2304435371550904E-2</v>
      </c>
    </row>
    <row r="77" spans="2:9" x14ac:dyDescent="0.2">
      <c r="B77" s="20" t="s">
        <v>299</v>
      </c>
      <c r="C77" s="176">
        <f>Statement!M181</f>
        <v>0.83134582623509368</v>
      </c>
      <c r="D77" s="176">
        <f>Statement!N181</f>
        <v>1.1871761658031088</v>
      </c>
      <c r="E77" s="176">
        <f>Statement!O181</f>
        <v>0.70888594164456231</v>
      </c>
      <c r="F77" s="176">
        <f>Statement!P181</f>
        <v>1.7360515021459229</v>
      </c>
      <c r="G77" s="176">
        <f>Statement!Q181</f>
        <v>2.1252198381990857</v>
      </c>
      <c r="I77" s="176">
        <f>Statement!AC181</f>
        <v>2.0359355638166048</v>
      </c>
    </row>
    <row r="79" spans="2:9" ht="17" thickBot="1" x14ac:dyDescent="0.25">
      <c r="B79" s="14" t="s">
        <v>114</v>
      </c>
      <c r="C79" s="14"/>
      <c r="D79" s="14"/>
      <c r="E79" s="14"/>
      <c r="F79" s="14"/>
      <c r="G79" s="14"/>
      <c r="I79" s="14"/>
    </row>
    <row r="80" spans="2:9" x14ac:dyDescent="0.2">
      <c r="B80" s="20" t="s">
        <v>19</v>
      </c>
      <c r="C80" s="176">
        <f>Statement!M88</f>
        <v>1</v>
      </c>
      <c r="D80" s="176">
        <f>Statement!N88</f>
        <v>2.2293230289068887E-3</v>
      </c>
      <c r="E80" s="176">
        <f>Statement!O88</f>
        <v>1.2585452658115222</v>
      </c>
      <c r="F80" s="176">
        <f>Statement!P88</f>
        <v>1.1420340763599357</v>
      </c>
      <c r="G80" s="176">
        <f>Statement!Q88</f>
        <v>0.65473535790094795</v>
      </c>
      <c r="I80" s="198"/>
    </row>
    <row r="81" spans="2:9" x14ac:dyDescent="0.2">
      <c r="B81" s="20" t="s">
        <v>20</v>
      </c>
      <c r="C81" s="176">
        <f>Statement!M89</f>
        <v>1</v>
      </c>
      <c r="D81" s="176">
        <f>Statement!N89</f>
        <v>0.23085072571246953</v>
      </c>
      <c r="E81" s="176">
        <f>Statement!O89</f>
        <v>0.43062489240833191</v>
      </c>
      <c r="F81" s="176">
        <f>Statement!P89</f>
        <v>0.9637205944287347</v>
      </c>
      <c r="G81" s="176">
        <f>Statement!Q89</f>
        <v>0.91412114341738415</v>
      </c>
      <c r="I81" s="198"/>
    </row>
    <row r="82" spans="2:9" x14ac:dyDescent="0.2">
      <c r="B82" s="20" t="s">
        <v>21</v>
      </c>
      <c r="C82" s="176">
        <f>Statement!M90</f>
        <v>1</v>
      </c>
      <c r="D82" s="176">
        <f>Statement!N90</f>
        <v>-0.12125894134477826</v>
      </c>
      <c r="E82" s="176">
        <f>Statement!O90</f>
        <v>1.8849309716071894</v>
      </c>
      <c r="F82" s="176">
        <f>Statement!P90</f>
        <v>1.208934335568046</v>
      </c>
      <c r="G82" s="176">
        <f>Statement!Q90</f>
        <v>0.56822130025138462</v>
      </c>
      <c r="I82" s="198"/>
    </row>
    <row r="83" spans="2:9" x14ac:dyDescent="0.2">
      <c r="B83" s="20" t="s">
        <v>23</v>
      </c>
      <c r="C83" s="176">
        <f>Statement!M93</f>
        <v>1</v>
      </c>
      <c r="D83" s="176">
        <f>Statement!N93</f>
        <v>0.49744417541027708</v>
      </c>
      <c r="E83" s="176">
        <f>Statement!O93</f>
        <v>1.7696730147323033E-2</v>
      </c>
      <c r="F83" s="176">
        <f>Statement!P93</f>
        <v>0.44805366757878012</v>
      </c>
      <c r="G83" s="176">
        <f>Statement!Q93</f>
        <v>0.40664431575739102</v>
      </c>
      <c r="I83" s="198"/>
    </row>
    <row r="84" spans="2:9" x14ac:dyDescent="0.2">
      <c r="B84" s="20" t="s">
        <v>305</v>
      </c>
      <c r="C84" s="176">
        <f>Statement!M94</f>
        <v>1</v>
      </c>
      <c r="D84" s="176">
        <f>Statement!N94</f>
        <v>-0.57932476844935765</v>
      </c>
      <c r="E84" s="176">
        <f>Statement!O94</f>
        <v>6.8058712121212119</v>
      </c>
      <c r="F84" s="176">
        <f>Statement!P94</f>
        <v>1.470368797767803</v>
      </c>
      <c r="G84" s="176">
        <f>Statement!Q94</f>
        <v>0.60076363055995485</v>
      </c>
      <c r="I84" s="198"/>
    </row>
    <row r="85" spans="2:9" x14ac:dyDescent="0.2">
      <c r="B85" s="20" t="s">
        <v>306</v>
      </c>
      <c r="C85" s="176">
        <f>Statement!M96</f>
        <v>1</v>
      </c>
      <c r="D85" s="176">
        <f>Statement!N96</f>
        <v>-0.55209187858900743</v>
      </c>
      <c r="E85" s="176">
        <f>Statement!O96</f>
        <v>5.813186813186813</v>
      </c>
      <c r="F85" s="176">
        <f>Statement!P96</f>
        <v>1.4489247311827957</v>
      </c>
      <c r="G85" s="176">
        <f>Statement!Q96</f>
        <v>0.6474615806805708</v>
      </c>
      <c r="I85" s="198"/>
    </row>
    <row r="88" spans="2:9" ht="17" thickBot="1" x14ac:dyDescent="0.25">
      <c r="B88" s="14" t="s">
        <v>307</v>
      </c>
      <c r="C88" s="14"/>
      <c r="D88" s="14"/>
      <c r="E88" s="14"/>
      <c r="F88" s="14"/>
      <c r="G88" s="14"/>
      <c r="I88" s="14"/>
    </row>
    <row r="89" spans="2:9" x14ac:dyDescent="0.2">
      <c r="B89" s="224" t="s">
        <v>370</v>
      </c>
      <c r="C89" s="176">
        <f>Statement!M196</f>
        <v>0</v>
      </c>
      <c r="D89" s="176">
        <f>Statement!N196</f>
        <v>0</v>
      </c>
      <c r="E89" s="176">
        <f>Statement!O196</f>
        <v>0</v>
      </c>
      <c r="F89" s="176">
        <f>Statement!P196</f>
        <v>1</v>
      </c>
      <c r="G89" s="176">
        <f>Statement!Q196</f>
        <v>0.96364041936203437</v>
      </c>
      <c r="I89" s="198"/>
    </row>
    <row r="90" spans="2:9" x14ac:dyDescent="0.2">
      <c r="B90" s="224" t="s">
        <v>371</v>
      </c>
      <c r="C90" s="176">
        <f>Statement!M197</f>
        <v>0</v>
      </c>
      <c r="D90" s="176">
        <f>Statement!N197</f>
        <v>0</v>
      </c>
      <c r="E90" s="176">
        <f>Statement!O197</f>
        <v>0</v>
      </c>
      <c r="F90" s="176">
        <f>Statement!P197</f>
        <v>1</v>
      </c>
      <c r="G90" s="176">
        <f>Statement!Q197</f>
        <v>0.43510343704186349</v>
      </c>
      <c r="I90" s="198"/>
    </row>
    <row r="91" spans="2:9" x14ac:dyDescent="0.2">
      <c r="B91" s="20" t="s">
        <v>372</v>
      </c>
      <c r="C91" s="176">
        <f>Statement!M198</f>
        <v>0</v>
      </c>
      <c r="D91" s="176">
        <f>Statement!N198</f>
        <v>0</v>
      </c>
      <c r="E91" s="176">
        <f>Statement!O198</f>
        <v>0</v>
      </c>
      <c r="F91" s="176">
        <f>Statement!P198</f>
        <v>1</v>
      </c>
      <c r="G91" s="176">
        <f>Statement!Q198</f>
        <v>0.68194919521469621</v>
      </c>
      <c r="I91" s="198"/>
    </row>
    <row r="92" spans="2:9" x14ac:dyDescent="0.2">
      <c r="B92" s="20" t="s">
        <v>373</v>
      </c>
      <c r="C92" s="176">
        <f>Statement!M199</f>
        <v>0</v>
      </c>
      <c r="D92" s="176">
        <f>Statement!N199</f>
        <v>0</v>
      </c>
      <c r="E92" s="176">
        <f>Statement!O199</f>
        <v>0</v>
      </c>
      <c r="F92" s="176">
        <f>Statement!P199</f>
        <v>1</v>
      </c>
      <c r="G92" s="176">
        <f>Statement!Q199</f>
        <v>0.4500032656260205</v>
      </c>
      <c r="I92" s="198"/>
    </row>
    <row r="94" spans="2:9" ht="17" thickBot="1" x14ac:dyDescent="0.25">
      <c r="B94" s="14" t="s">
        <v>309</v>
      </c>
      <c r="C94" s="14"/>
      <c r="D94" s="14"/>
      <c r="E94" s="14"/>
      <c r="F94" s="14"/>
      <c r="G94" s="14"/>
      <c r="I94" s="14"/>
    </row>
    <row r="95" spans="2:9" x14ac:dyDescent="0.2">
      <c r="B95" s="20" t="s">
        <v>281</v>
      </c>
      <c r="C95" s="176">
        <f>Statement!M202</f>
        <v>0</v>
      </c>
      <c r="D95" s="176">
        <f>Statement!N203</f>
        <v>-2.5062656641604009E-3</v>
      </c>
      <c r="E95" s="176">
        <f>Statement!O203</f>
        <v>-7.537688442211055E-3</v>
      </c>
      <c r="F95" s="176">
        <f>Statement!P203</f>
        <v>1.1113924050632911</v>
      </c>
      <c r="G95" s="176">
        <f>Statement!Q203</f>
        <v>0.16786570743405277</v>
      </c>
      <c r="I95"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1"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310</v>
      </c>
      <c r="D3" s="244"/>
      <c r="F3" s="245" t="s">
        <v>311</v>
      </c>
      <c r="G3" s="244"/>
    </row>
    <row r="4" spans="2:7" x14ac:dyDescent="0.2">
      <c r="B4" s="8"/>
      <c r="C4" s="10" t="str">
        <f>Statement!Z2</f>
        <v>25.01.2026</v>
      </c>
      <c r="D4" s="204" t="str">
        <f>Statement!AA2</f>
        <v>26.04.2026</v>
      </c>
      <c r="F4" s="205" t="str">
        <f>Statement!W2</f>
        <v>27.04.2025</v>
      </c>
      <c r="G4" s="204" t="str">
        <f>Statement!AA2</f>
        <v>26.04.2026</v>
      </c>
    </row>
    <row r="5" spans="2:7" x14ac:dyDescent="0.2">
      <c r="B5" s="8" t="s">
        <v>316</v>
      </c>
      <c r="C5" s="10" t="str">
        <f>Statement!Z3</f>
        <v>Q4 2026</v>
      </c>
      <c r="D5" s="204" t="str">
        <f>Statement!AA3</f>
        <v>Q1 2027</v>
      </c>
      <c r="F5" s="205" t="str">
        <f>Statement!W3</f>
        <v>Q1 2026</v>
      </c>
      <c r="G5" s="204" t="str">
        <f>Statement!AA3</f>
        <v>Q1 2027</v>
      </c>
    </row>
    <row r="6" spans="2:7" x14ac:dyDescent="0.2">
      <c r="B6" s="206" t="s">
        <v>19</v>
      </c>
      <c r="C6" s="200">
        <f>Statement!Z5</f>
        <v>68127</v>
      </c>
      <c r="D6" s="199">
        <f>Statement!AA5</f>
        <v>81615</v>
      </c>
      <c r="F6" s="200">
        <f>Statement!W5</f>
        <v>44062</v>
      </c>
      <c r="G6" s="199">
        <f>Statement!AA5</f>
        <v>81615</v>
      </c>
    </row>
    <row r="7" spans="2:7" x14ac:dyDescent="0.2">
      <c r="B7" s="207" t="s">
        <v>312</v>
      </c>
      <c r="C7" s="241">
        <f>Statement!AA88</f>
        <v>0.19798317847549429</v>
      </c>
      <c r="D7" s="242"/>
      <c r="F7" s="241">
        <f>IF(F6=0,
IF(G6=0,0,IF(G6&gt;0,1,-1)),
(G6-F6)/ABS(F6)
)</f>
        <v>0.85227633788752211</v>
      </c>
      <c r="G7" s="242"/>
    </row>
    <row r="8" spans="2:7" x14ac:dyDescent="0.2">
      <c r="B8" s="208" t="s">
        <v>20</v>
      </c>
      <c r="C8" s="201">
        <f>Statement!Z6</f>
        <v>17034</v>
      </c>
      <c r="D8" s="199">
        <f>Statement!AA6</f>
        <v>20458</v>
      </c>
      <c r="F8" s="201">
        <f>Statement!W6</f>
        <v>17394</v>
      </c>
      <c r="G8" s="199">
        <f>Statement!AA6</f>
        <v>20458</v>
      </c>
    </row>
    <row r="9" spans="2:7" x14ac:dyDescent="0.2">
      <c r="B9" s="207" t="s">
        <v>312</v>
      </c>
      <c r="C9" s="241">
        <f>Statement!AA89</f>
        <v>0.20100974521545145</v>
      </c>
      <c r="D9" s="242"/>
      <c r="F9" s="241">
        <f>IF(F8=0,
IF(G8=0,0,IF(G8&gt;0,1,-1)),
(G8-F8)/ABS(F8)
)</f>
        <v>0.17615269633206854</v>
      </c>
      <c r="G9" s="242"/>
    </row>
    <row r="10" spans="2:7" x14ac:dyDescent="0.2">
      <c r="B10" s="208" t="s">
        <v>21</v>
      </c>
      <c r="C10" s="201">
        <f>Statement!Z7</f>
        <v>51093</v>
      </c>
      <c r="D10" s="199">
        <f>Statement!AA7</f>
        <v>61157</v>
      </c>
      <c r="F10" s="201">
        <f>Statement!W7</f>
        <v>26668</v>
      </c>
      <c r="G10" s="199">
        <f>Statement!AA7</f>
        <v>61157</v>
      </c>
    </row>
    <row r="11" spans="2:7" x14ac:dyDescent="0.2">
      <c r="B11" s="207" t="s">
        <v>312</v>
      </c>
      <c r="C11" s="241">
        <f>Statement!AA90</f>
        <v>0.19697414518622902</v>
      </c>
      <c r="D11" s="242"/>
      <c r="F11" s="241">
        <f>IF(F10=0,
IF(G10=0,0,IF(G10&gt;0,1,-1)),
(G10-F10)/ABS(F10)
)</f>
        <v>1.293272836358182</v>
      </c>
      <c r="G11" s="242"/>
    </row>
    <row r="12" spans="2:7" x14ac:dyDescent="0.2">
      <c r="B12" s="208" t="s">
        <v>23</v>
      </c>
      <c r="C12" s="201">
        <f>Statement!Z10</f>
        <v>6794</v>
      </c>
      <c r="D12" s="199">
        <f>Statement!AA10</f>
        <v>7621</v>
      </c>
      <c r="F12" s="201">
        <f>Statement!W10</f>
        <v>5030</v>
      </c>
      <c r="G12" s="199">
        <f>Statement!AA10</f>
        <v>7621</v>
      </c>
    </row>
    <row r="13" spans="2:7" x14ac:dyDescent="0.2">
      <c r="B13" s="207" t="s">
        <v>312</v>
      </c>
      <c r="C13" s="241">
        <f>Statement!AA93</f>
        <v>0.12172505151604357</v>
      </c>
      <c r="D13" s="242"/>
      <c r="F13" s="241">
        <f>IF(F12=0,
IF(G12=0,0,IF(G12&gt;0,1,-1)),
(G12-F12)/ABS(F12)
)</f>
        <v>0.51510934393638175</v>
      </c>
      <c r="G13" s="242"/>
    </row>
    <row r="14" spans="2:7" x14ac:dyDescent="0.2">
      <c r="B14" s="208" t="s">
        <v>313</v>
      </c>
      <c r="C14" s="201">
        <f>Statement!Z11</f>
        <v>44299</v>
      </c>
      <c r="D14" s="199">
        <f>Statement!AA11</f>
        <v>53536</v>
      </c>
      <c r="F14" s="201">
        <f>Statement!W11</f>
        <v>21638</v>
      </c>
      <c r="G14" s="199">
        <f>Statement!AA11</f>
        <v>53536</v>
      </c>
    </row>
    <row r="15" spans="2:7" x14ac:dyDescent="0.2">
      <c r="B15" s="207" t="s">
        <v>312</v>
      </c>
      <c r="C15" s="241">
        <f>Statement!AA94</f>
        <v>0.20851486489537011</v>
      </c>
      <c r="D15" s="242"/>
      <c r="F15" s="241">
        <f>IF(F14=0,
IF(G14=0,0,IF(G14&gt;0,1,-1)),
(G14-F14)/ABS(F14)
)</f>
        <v>1.4741658193918108</v>
      </c>
      <c r="G15" s="242"/>
    </row>
    <row r="16" spans="2:7" x14ac:dyDescent="0.2">
      <c r="B16" s="208" t="s">
        <v>29</v>
      </c>
      <c r="C16" s="201">
        <f>Statement!Z17</f>
        <v>42960</v>
      </c>
      <c r="D16" s="199">
        <f>Statement!AA17</f>
        <v>58321</v>
      </c>
      <c r="F16" s="201">
        <f>Statement!W17</f>
        <v>18775</v>
      </c>
      <c r="G16" s="199">
        <f>Statement!AA17</f>
        <v>58321</v>
      </c>
    </row>
    <row r="17" spans="2:7" x14ac:dyDescent="0.2">
      <c r="B17" s="207" t="s">
        <v>312</v>
      </c>
      <c r="C17" s="241">
        <f>Statement!AA96</f>
        <v>0.35756517690875234</v>
      </c>
      <c r="D17" s="242"/>
      <c r="F17" s="241">
        <f>IF(F16=0,
IF(G16=0,0,IF(G16&gt;0,1,-1)),
(G16-F16)/ABS(F16)
)</f>
        <v>2.1063115845539282</v>
      </c>
      <c r="G17" s="242"/>
    </row>
    <row r="18" spans="2:7" x14ac:dyDescent="0.2">
      <c r="B18" s="208" t="s">
        <v>314</v>
      </c>
      <c r="C18" s="201">
        <f>Statement!Z21</f>
        <v>24432</v>
      </c>
      <c r="D18" s="199">
        <f>Statement!AA21</f>
        <v>24391</v>
      </c>
      <c r="F18" s="201">
        <f>Statement!W21</f>
        <v>24611</v>
      </c>
      <c r="G18" s="199">
        <f>Statement!AA21</f>
        <v>24391</v>
      </c>
    </row>
    <row r="19" spans="2:7" x14ac:dyDescent="0.2">
      <c r="B19" s="207" t="s">
        <v>312</v>
      </c>
      <c r="C19" s="241">
        <f>IF(C18=0,
IF(D18=0,0,IF(D18&gt;0,1,-1)),
(D18-C18)/ABS(C18)
)</f>
        <v>-1.6781270464963983E-3</v>
      </c>
      <c r="D19" s="242"/>
      <c r="F19" s="241">
        <f>IF(F18=0,
IF(G18=0,0,IF(G18&gt;0,1,-1)),
(G18-F18)/ABS(F18)
)</f>
        <v>-8.9390922758116297E-3</v>
      </c>
      <c r="G19" s="242"/>
    </row>
    <row r="20" spans="2:7" x14ac:dyDescent="0.2">
      <c r="B20" s="208" t="s">
        <v>36</v>
      </c>
      <c r="C20" s="202">
        <f>Statement!Z25</f>
        <v>1.76</v>
      </c>
      <c r="D20" s="203">
        <f>Statement!AA25</f>
        <v>2.39</v>
      </c>
      <c r="F20" s="202">
        <f>Statement!W25</f>
        <v>0.76</v>
      </c>
      <c r="G20" s="203">
        <f>Statement!AA25</f>
        <v>2.39</v>
      </c>
    </row>
    <row r="21" spans="2:7" x14ac:dyDescent="0.2">
      <c r="B21" s="207" t="s">
        <v>312</v>
      </c>
      <c r="C21" s="241">
        <f>IF(C20=0,
IF(D20=0,0,IF(D20&gt;0,1,-1)),
(D20-C20)/ABS(C20)
)</f>
        <v>0.35795454545454553</v>
      </c>
      <c r="D21" s="242"/>
      <c r="F21" s="241">
        <f>IF(F20=0,
IF(G20=0,0,IF(G20&gt;0,1,-1)),
(G20-F20)/ABS(F20)
)</f>
        <v>2.1447368421052633</v>
      </c>
      <c r="G21" s="242"/>
    </row>
    <row r="23" spans="2:7" x14ac:dyDescent="0.2">
      <c r="B23" s="8" t="s">
        <v>315</v>
      </c>
      <c r="C23" s="10" t="str">
        <f>C5</f>
        <v>Q4 2026</v>
      </c>
      <c r="D23" s="204" t="str">
        <f>D5</f>
        <v>Q1 2027</v>
      </c>
      <c r="F23" s="205" t="str">
        <f>F5</f>
        <v>Q1 2026</v>
      </c>
      <c r="G23" s="204" t="str">
        <f>G5</f>
        <v>Q1 2027</v>
      </c>
    </row>
    <row r="24" spans="2:7" x14ac:dyDescent="0.2">
      <c r="B24" s="224" t="s">
        <v>370</v>
      </c>
      <c r="C24" s="201">
        <f>Statement!Z189</f>
        <v>33814</v>
      </c>
      <c r="D24" s="199">
        <f>Statement!AA189</f>
        <v>37869</v>
      </c>
      <c r="F24" s="201">
        <f>Statement!W189</f>
        <v>17599</v>
      </c>
      <c r="G24" s="199">
        <f>Statement!AA189</f>
        <v>37869</v>
      </c>
    </row>
    <row r="25" spans="2:7" x14ac:dyDescent="0.2">
      <c r="B25" s="207" t="s">
        <v>312</v>
      </c>
      <c r="C25" s="241">
        <f>IF(C24=0,
IF(D24=0,0,IF(D24&gt;0,1,-1)),
(D24-C24)/ABS(C24)
)</f>
        <v>0.11992074288756137</v>
      </c>
      <c r="D25" s="242"/>
      <c r="F25" s="241">
        <f>IF(F24=0,
IF(G24=0,0,IF(G24&gt;0,1,-1)),
(G24-F24)/ABS(F24)
)</f>
        <v>1.1517699869310756</v>
      </c>
      <c r="G25" s="242"/>
    </row>
    <row r="26" spans="2:7" x14ac:dyDescent="0.2">
      <c r="B26" s="224" t="s">
        <v>371</v>
      </c>
      <c r="C26" s="201">
        <f>Statement!Z190</f>
        <v>28500</v>
      </c>
      <c r="D26" s="199">
        <f>Statement!AA190</f>
        <v>37377</v>
      </c>
      <c r="F26" s="201">
        <f>Statement!W190</f>
        <v>21513</v>
      </c>
      <c r="G26" s="199">
        <f>Statement!AA190</f>
        <v>37377</v>
      </c>
    </row>
    <row r="27" spans="2:7" x14ac:dyDescent="0.2">
      <c r="B27" s="207" t="s">
        <v>312</v>
      </c>
      <c r="C27" s="241">
        <f>IF(C26=0,
IF(D26=0,0,IF(D26&gt;0,1,-1)),
(D26-C26)/ABS(C26)
)</f>
        <v>0.31147368421052629</v>
      </c>
      <c r="D27" s="242"/>
      <c r="F27" s="241">
        <f>IF(F26=0,
IF(G26=0,0,IF(G26&gt;0,1,-1)),
(G26-F26)/ABS(F26)
)</f>
        <v>0.73741458652907543</v>
      </c>
      <c r="G27" s="242"/>
    </row>
    <row r="28" spans="2:7" x14ac:dyDescent="0.2">
      <c r="B28" s="20" t="s">
        <v>372</v>
      </c>
      <c r="C28" s="201">
        <f>Statement!Z191</f>
        <v>62314</v>
      </c>
      <c r="D28" s="199">
        <f>Statement!AA191</f>
        <v>75246</v>
      </c>
      <c r="F28" s="201">
        <f>Statement!W191</f>
        <v>39112</v>
      </c>
      <c r="G28" s="199">
        <f>Statement!AA191</f>
        <v>75246</v>
      </c>
    </row>
    <row r="29" spans="2:7" x14ac:dyDescent="0.2">
      <c r="B29" s="207" t="s">
        <v>312</v>
      </c>
      <c r="C29" s="241">
        <f>IF(C28=0,
IF(D28=0,0,IF(D28&gt;0,1,-1)),
(D28-C28)/ABS(C28)
)</f>
        <v>0.20752960811374652</v>
      </c>
      <c r="D29" s="242"/>
      <c r="F29" s="241">
        <f>IF(F28=0,
IF(G28=0,0,IF(G28&gt;0,1,-1)),
(G28-F28)/ABS(F28)
)</f>
        <v>0.92385968500715898</v>
      </c>
      <c r="G29" s="242"/>
    </row>
    <row r="30" spans="2:7" x14ac:dyDescent="0.2">
      <c r="B30" s="20" t="s">
        <v>373</v>
      </c>
      <c r="C30" s="201">
        <f>Statement!Z192</f>
        <v>5813</v>
      </c>
      <c r="D30" s="201">
        <f>Statement!AA192</f>
        <v>6369</v>
      </c>
      <c r="F30" s="201">
        <f>Statement!W192</f>
        <v>4950</v>
      </c>
      <c r="G30" s="201">
        <f>Statement!AA192</f>
        <v>6369</v>
      </c>
    </row>
    <row r="31" spans="2:7" x14ac:dyDescent="0.2">
      <c r="B31" s="207" t="s">
        <v>312</v>
      </c>
      <c r="C31" s="241">
        <f>IF(C30=0,
IF(D30=0,0,IF(D30&gt;0,1,-1)),
(D30-C30)/ABS(C30)
)</f>
        <v>9.5647686220540165E-2</v>
      </c>
      <c r="D31" s="242"/>
      <c r="F31" s="241">
        <f>IF(F30=0,
IF(G30=0,0,IF(G30&gt;0,1,-1)),
(G30-F30)/ABS(F30)
)</f>
        <v>0.28666666666666668</v>
      </c>
      <c r="G31" s="242"/>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6"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374</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375</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376</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9">
        <f>Statement!H121</f>
        <v>0</v>
      </c>
      <c r="D68" s="219">
        <f>Statement!I121</f>
        <v>0</v>
      </c>
      <c r="E68" s="219">
        <f>Statement!J121</f>
        <v>0</v>
      </c>
      <c r="F68" s="219">
        <f>Statement!K121</f>
        <v>0</v>
      </c>
      <c r="G68" s="219">
        <f>Statement!L121</f>
        <v>0</v>
      </c>
      <c r="H68" s="219">
        <f>Statement!M121</f>
        <v>0.22069839545567699</v>
      </c>
      <c r="I68" s="219">
        <f>Statement!N121</f>
        <v>0.10606575688407557</v>
      </c>
      <c r="J68" s="219">
        <f>Statement!O121</f>
        <v>0.45277507302823755</v>
      </c>
      <c r="K68" s="219">
        <f>Statement!P121</f>
        <v>0.65304074336251472</v>
      </c>
      <c r="L68" s="219">
        <f>Statement!Q121</f>
        <v>0.5805863551302447</v>
      </c>
    </row>
    <row r="69" spans="2:12" x14ac:dyDescent="0.2">
      <c r="B69" s="20" t="s">
        <v>96</v>
      </c>
      <c r="C69" s="219">
        <f>Statement!H123</f>
        <v>0</v>
      </c>
      <c r="D69" s="219">
        <f>Statement!I123</f>
        <v>0</v>
      </c>
      <c r="E69" s="219">
        <f>Statement!J123</f>
        <v>0</v>
      </c>
      <c r="F69" s="219">
        <f>Statement!K123</f>
        <v>0</v>
      </c>
      <c r="G69" s="219">
        <f>Statement!L123</f>
        <v>0</v>
      </c>
      <c r="H69" s="219">
        <f>Statement!M123</f>
        <v>0.36645122501127303</v>
      </c>
      <c r="I69" s="219">
        <f>Statement!N123</f>
        <v>0.19763811592235647</v>
      </c>
      <c r="J69" s="219">
        <f>Statement!O123</f>
        <v>0.69244729861789756</v>
      </c>
      <c r="K69" s="219">
        <f>Statement!P123</f>
        <v>0.91872880608115781</v>
      </c>
      <c r="L69" s="219">
        <f>Statement!Q123</f>
        <v>0.76333339690895341</v>
      </c>
    </row>
    <row r="70" spans="2:12" x14ac:dyDescent="0.2">
      <c r="B70" s="20" t="s">
        <v>97</v>
      </c>
      <c r="C70" s="219">
        <f>Statement!H142</f>
        <v>0</v>
      </c>
      <c r="D70" s="219">
        <f>Statement!I142</f>
        <v>0</v>
      </c>
      <c r="E70" s="219">
        <f>Statement!J142</f>
        <v>0</v>
      </c>
      <c r="F70" s="219">
        <f>Statement!K142</f>
        <v>0</v>
      </c>
      <c r="G70" s="219">
        <f>Statement!L142</f>
        <v>0</v>
      </c>
      <c r="H70" s="219">
        <f>Statement!M142</f>
        <v>0.60245252494303547</v>
      </c>
      <c r="I70" s="219">
        <f>Statement!N142</f>
        <v>0.21378682052839357</v>
      </c>
      <c r="J70" s="219">
        <f>Statement!O142</f>
        <v>1.0866013555554745</v>
      </c>
      <c r="K70" s="219">
        <f>Statement!P142</f>
        <v>1.5847534085376831</v>
      </c>
      <c r="L70" s="219">
        <f>Statement!Q142</f>
        <v>1.0723937210768841</v>
      </c>
    </row>
    <row r="71" spans="2:12" x14ac:dyDescent="0.2">
      <c r="B71" s="20" t="s">
        <v>391</v>
      </c>
      <c r="C71" s="231">
        <f>Statement!H207</f>
        <v>0</v>
      </c>
      <c r="D71" s="231">
        <f>Statement!I207</f>
        <v>0</v>
      </c>
      <c r="E71" s="231">
        <f>Statement!J207</f>
        <v>0</v>
      </c>
      <c r="F71" s="231">
        <f>Statement!K207</f>
        <v>0</v>
      </c>
      <c r="G71" s="231">
        <f>Statement!L207</f>
        <v>0</v>
      </c>
      <c r="H71" s="231">
        <f>Statement!M207</f>
        <v>100</v>
      </c>
      <c r="I71" s="231">
        <f>Statement!N207</f>
        <v>89.141856392294216</v>
      </c>
      <c r="J71" s="231">
        <f>Statement!O207</f>
        <v>267.20665499124345</v>
      </c>
      <c r="K71" s="231">
        <f>Statement!P207</f>
        <v>624.43082311733804</v>
      </c>
      <c r="L71" s="231">
        <f>Statement!Q207</f>
        <v>821.67250437828375</v>
      </c>
    </row>
    <row r="72" spans="2:12" x14ac:dyDescent="0.2">
      <c r="B72" s="20" t="s">
        <v>392</v>
      </c>
      <c r="C72" s="231">
        <f>Statement!H208</f>
        <v>0</v>
      </c>
      <c r="D72" s="231">
        <f>Statement!I208</f>
        <v>0</v>
      </c>
      <c r="E72" s="231">
        <f>Statement!J208</f>
        <v>0</v>
      </c>
      <c r="F72" s="231">
        <f>Statement!K208</f>
        <v>0</v>
      </c>
      <c r="G72" s="231">
        <f>Statement!L208</f>
        <v>0</v>
      </c>
      <c r="H72" s="231">
        <f>Statement!M208</f>
        <v>100</v>
      </c>
      <c r="I72" s="231">
        <f>Statement!N208</f>
        <v>100.2229323028907</v>
      </c>
      <c r="J72" s="231">
        <f>Statement!O208</f>
        <v>226.35802927844244</v>
      </c>
      <c r="K72" s="231">
        <f>Statement!P208</f>
        <v>484.86661217210371</v>
      </c>
      <c r="L72" s="231">
        <f>Statement!Q208</f>
        <v>802.32592702682621</v>
      </c>
    </row>
    <row r="73" spans="2:12" x14ac:dyDescent="0.2">
      <c r="B73" s="20" t="s">
        <v>393</v>
      </c>
      <c r="C73" s="231">
        <f>Statement!H209</f>
        <v>0</v>
      </c>
      <c r="D73" s="231">
        <f>Statement!I209</f>
        <v>0</v>
      </c>
      <c r="E73" s="231">
        <f>Statement!J209</f>
        <v>0</v>
      </c>
      <c r="F73" s="231">
        <f>Statement!K209</f>
        <v>0</v>
      </c>
      <c r="G73" s="231">
        <f>Statement!L209</f>
        <v>0</v>
      </c>
      <c r="H73" s="231">
        <f>Statement!M209</f>
        <v>100</v>
      </c>
      <c r="I73" s="231">
        <f>Statement!N209</f>
        <v>45.194805194805184</v>
      </c>
      <c r="J73" s="231">
        <f>Statement!O209</f>
        <v>309.87012987012992</v>
      </c>
      <c r="K73" s="231">
        <f>Statement!P209</f>
        <v>763.63636363636363</v>
      </c>
      <c r="L73" s="231">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6"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Statement!T99</f>
        <v>0.75146471371504664</v>
      </c>
      <c r="D60" s="58">
        <f>Statement!U99</f>
        <v>0.74556752750698363</v>
      </c>
      <c r="E60" s="58">
        <f>Statement!V99</f>
        <v>0.73028908494571709</v>
      </c>
      <c r="F60" s="58">
        <f>Statement!W99</f>
        <v>0.60523807362353044</v>
      </c>
      <c r="G60" s="58">
        <f>Statement!X99</f>
        <v>0.72423678411740799</v>
      </c>
      <c r="H60" s="58">
        <f>Statement!Y99</f>
        <v>0.7341157071185489</v>
      </c>
      <c r="I60" s="58">
        <f>Statement!Z99</f>
        <v>0.74996697344665109</v>
      </c>
      <c r="J60" s="58">
        <f>Statement!AA99</f>
        <v>0.74933529375727503</v>
      </c>
    </row>
    <row r="61" spans="2:10" x14ac:dyDescent="0.2">
      <c r="B61" s="20" t="s">
        <v>77</v>
      </c>
      <c r="C61" s="58">
        <f>Statement!T100</f>
        <v>0.62057256990679099</v>
      </c>
      <c r="D61" s="58">
        <f>Statement!U100</f>
        <v>0.62336810900176731</v>
      </c>
      <c r="E61" s="58">
        <f>Statement!V100</f>
        <v>0.61107014822913219</v>
      </c>
      <c r="F61" s="58">
        <f>Statement!W100</f>
        <v>0.49108074985248057</v>
      </c>
      <c r="G61" s="58">
        <f>Statement!X100</f>
        <v>0.60843334830883766</v>
      </c>
      <c r="H61" s="58">
        <f>Statement!Y100</f>
        <v>0.63168789250254365</v>
      </c>
      <c r="I61" s="58">
        <f>Statement!Z100</f>
        <v>0.65024146080115075</v>
      </c>
      <c r="J61" s="58">
        <f>Statement!AA100</f>
        <v>0.65595785088525393</v>
      </c>
    </row>
    <row r="62" spans="2:10" x14ac:dyDescent="0.2">
      <c r="B62" s="20" t="s">
        <v>78</v>
      </c>
      <c r="C62" s="58">
        <f>Statement!T101</f>
        <v>0.55256324900133158</v>
      </c>
      <c r="D62" s="58">
        <f>Statement!U101</f>
        <v>0.55039621458297705</v>
      </c>
      <c r="E62" s="58">
        <f>Statement!V101</f>
        <v>0.56166891256260965</v>
      </c>
      <c r="F62" s="58">
        <f>Statement!W101</f>
        <v>0.42610412600426673</v>
      </c>
      <c r="G62" s="58">
        <f>Statement!X101</f>
        <v>0.56526110861519374</v>
      </c>
      <c r="H62" s="58">
        <f>Statement!Y101</f>
        <v>0.55976563870469775</v>
      </c>
      <c r="I62" s="58">
        <f>Statement!Z101</f>
        <v>0.63058699194152101</v>
      </c>
      <c r="J62" s="58">
        <f>Statement!AA101</f>
        <v>0.71458677939104331</v>
      </c>
    </row>
    <row r="63" spans="2:10" x14ac:dyDescent="0.2">
      <c r="B63" s="20" t="s">
        <v>374</v>
      </c>
      <c r="C63" s="64">
        <f>Statement!T189</f>
        <v>10622</v>
      </c>
      <c r="D63" s="64">
        <f>Statement!U189</f>
        <v>13390</v>
      </c>
      <c r="E63" s="64">
        <f>Statement!V189</f>
        <v>19094</v>
      </c>
      <c r="F63" s="64">
        <f>Statement!W189</f>
        <v>17599</v>
      </c>
      <c r="G63" s="64">
        <f>Statement!X189</f>
        <v>23883</v>
      </c>
      <c r="H63" s="64">
        <f>Statement!Y189</f>
        <v>30340</v>
      </c>
      <c r="I63" s="64">
        <f>Statement!Z189</f>
        <v>33814</v>
      </c>
      <c r="J63" s="64">
        <f>Statement!AA189</f>
        <v>37869</v>
      </c>
    </row>
    <row r="64" spans="2:10" x14ac:dyDescent="0.2">
      <c r="B64" s="20" t="s">
        <v>377</v>
      </c>
      <c r="C64" s="64">
        <f>Statement!T190</f>
        <v>15650</v>
      </c>
      <c r="D64" s="64">
        <f>Statement!U190</f>
        <v>17381</v>
      </c>
      <c r="E64" s="64">
        <f>Statement!V190</f>
        <v>16486</v>
      </c>
      <c r="F64" s="64">
        <f>Statement!W190</f>
        <v>21513</v>
      </c>
      <c r="G64" s="64">
        <f>Statement!X190</f>
        <v>17213</v>
      </c>
      <c r="H64" s="64">
        <f>Statement!Y190</f>
        <v>20875</v>
      </c>
      <c r="I64" s="64">
        <f>Statement!Z190</f>
        <v>28500</v>
      </c>
      <c r="J64" s="64">
        <f>Statement!AA190</f>
        <v>37377</v>
      </c>
    </row>
    <row r="65" spans="2:10" x14ac:dyDescent="0.2">
      <c r="B65" s="20" t="s">
        <v>378</v>
      </c>
      <c r="C65" s="64">
        <f>Statement!T192</f>
        <v>3768</v>
      </c>
      <c r="D65" s="64">
        <f>Statement!U192</f>
        <v>4311</v>
      </c>
      <c r="E65" s="64">
        <f>Statement!V192</f>
        <v>3751</v>
      </c>
      <c r="F65" s="64">
        <f>Statement!W192</f>
        <v>4950</v>
      </c>
      <c r="G65" s="64">
        <f>Statement!X192</f>
        <v>5647</v>
      </c>
      <c r="H65" s="64">
        <f>Statement!Y192</f>
        <v>5791</v>
      </c>
      <c r="I65" s="64">
        <f>Statement!Z192</f>
        <v>5813</v>
      </c>
      <c r="J65" s="64">
        <f>Statement!AA192</f>
        <v>6369</v>
      </c>
    </row>
    <row r="66" spans="2:10" x14ac:dyDescent="0.2">
      <c r="B66" s="20" t="s">
        <v>258</v>
      </c>
      <c r="C66" s="64">
        <f>Statement!T159</f>
        <v>12358</v>
      </c>
      <c r="D66" s="64">
        <f>Statement!U159</f>
        <v>15564</v>
      </c>
      <c r="E66" s="64">
        <f>Statement!V159</f>
        <v>14230</v>
      </c>
      <c r="F66" s="64">
        <f>Statement!W159</f>
        <v>24713</v>
      </c>
      <c r="G66" s="64">
        <f>Statement!X159</f>
        <v>11847</v>
      </c>
      <c r="H66" s="64">
        <f>Statement!Y159</f>
        <v>20458</v>
      </c>
      <c r="I66" s="64">
        <f>Statement!Z159</f>
        <v>33273</v>
      </c>
      <c r="J66" s="64">
        <f>Statement!AA159</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D1" zoomScale="184" zoomScaleNormal="75" workbookViewId="0">
      <selection activeCell="L9" sqref="L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40" t="s">
        <v>105</v>
      </c>
      <c r="D2" s="240"/>
      <c r="E2" s="240"/>
      <c r="F2" s="240"/>
      <c r="G2" s="249"/>
      <c r="H2" s="250" t="s">
        <v>106</v>
      </c>
      <c r="I2" s="240"/>
      <c r="J2" s="240"/>
      <c r="K2" s="240"/>
      <c r="L2" s="240"/>
      <c r="O2" s="5"/>
      <c r="S2" s="240" t="s">
        <v>105</v>
      </c>
      <c r="T2" s="240"/>
      <c r="U2" s="240"/>
      <c r="V2" s="240"/>
      <c r="W2" s="240"/>
      <c r="X2" s="240"/>
      <c r="Y2" s="240"/>
      <c r="Z2" s="240"/>
      <c r="AA2" s="240" t="s">
        <v>106</v>
      </c>
      <c r="AB2" s="240"/>
      <c r="AC2" s="240"/>
      <c r="AE2" s="85" t="s">
        <v>107</v>
      </c>
    </row>
    <row r="3" spans="1:31" ht="10" customHeight="1" x14ac:dyDescent="0.2">
      <c r="O3" s="5"/>
    </row>
    <row r="4" spans="1:31" ht="16" customHeight="1" x14ac:dyDescent="0.2">
      <c r="A4" s="86"/>
      <c r="B4" s="60"/>
      <c r="C4" s="246" t="s">
        <v>108</v>
      </c>
      <c r="D4" s="246"/>
      <c r="E4" s="246"/>
      <c r="F4" s="246"/>
      <c r="G4" s="246"/>
      <c r="H4" s="246"/>
      <c r="I4" s="246"/>
      <c r="J4" s="246"/>
      <c r="K4" s="246"/>
      <c r="L4" s="246"/>
      <c r="O4" s="5"/>
      <c r="S4" s="247" t="s">
        <v>108</v>
      </c>
      <c r="T4" s="248"/>
      <c r="U4" s="248"/>
      <c r="V4" s="248"/>
      <c r="W4" s="248"/>
      <c r="X4" s="248"/>
      <c r="Y4" s="248"/>
      <c r="Z4" s="248"/>
      <c r="AA4" s="248"/>
      <c r="AB4" s="248"/>
      <c r="AC4" s="248"/>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5" t="str">
        <f>Statement!B189</f>
        <v>HyperScale</v>
      </c>
      <c r="C6" s="88">
        <f>Statement!M189</f>
        <v>0</v>
      </c>
      <c r="D6" s="88">
        <f>Statement!N189</f>
        <v>0</v>
      </c>
      <c r="E6" s="88">
        <f>Statement!O189</f>
        <v>0</v>
      </c>
      <c r="F6" s="88">
        <f>Statement!P189</f>
        <v>53796</v>
      </c>
      <c r="G6" s="89">
        <f>Statement!Q189</f>
        <v>105636</v>
      </c>
      <c r="H6" s="64">
        <f t="shared" ref="H6:L7" si="1">G6+G6*H14</f>
        <v>179581.2</v>
      </c>
      <c r="I6" s="64">
        <f t="shared" si="1"/>
        <v>296308.98000000004</v>
      </c>
      <c r="J6" s="64">
        <f t="shared" si="1"/>
        <v>459278.91900000011</v>
      </c>
      <c r="K6" s="64">
        <f t="shared" si="1"/>
        <v>665954.43255000014</v>
      </c>
      <c r="L6" s="64">
        <f t="shared" si="1"/>
        <v>899038.4839425002</v>
      </c>
      <c r="N6" s="90" t="s">
        <v>381</v>
      </c>
      <c r="O6" s="5"/>
      <c r="Q6" s="90" t="s">
        <v>381</v>
      </c>
      <c r="R6" s="225" t="str">
        <f>B6</f>
        <v>HyperScale</v>
      </c>
      <c r="S6" s="88">
        <f>Statement!T189</f>
        <v>10622</v>
      </c>
      <c r="T6" s="88">
        <f>Statement!U189</f>
        <v>13390</v>
      </c>
      <c r="U6" s="88">
        <f>Statement!V189</f>
        <v>19094</v>
      </c>
      <c r="V6" s="88">
        <f>Statement!W189</f>
        <v>17599</v>
      </c>
      <c r="W6" s="88">
        <f>Statement!X189</f>
        <v>23883</v>
      </c>
      <c r="X6" s="88">
        <f>Statement!Y189</f>
        <v>30340</v>
      </c>
      <c r="Y6" s="88">
        <f>Statement!Z189</f>
        <v>33814</v>
      </c>
      <c r="Z6" s="89">
        <f>Statement!AA189</f>
        <v>37869</v>
      </c>
      <c r="AA6" s="64">
        <f>Z6+Z6*AA14</f>
        <v>41655.9</v>
      </c>
      <c r="AB6" s="64"/>
      <c r="AC6" s="64"/>
      <c r="AE6" s="64">
        <f>SUM(X6:AA6)</f>
        <v>143678.9</v>
      </c>
    </row>
    <row r="7" spans="1:31" x14ac:dyDescent="0.2">
      <c r="B7" s="225" t="str">
        <f>Statement!B190</f>
        <v>AI Clouds</v>
      </c>
      <c r="C7" s="88">
        <f>Statement!M190</f>
        <v>0</v>
      </c>
      <c r="D7" s="88">
        <f>Statement!N190</f>
        <v>0</v>
      </c>
      <c r="E7" s="88">
        <f>Statement!O190</f>
        <v>0</v>
      </c>
      <c r="F7" s="88">
        <f>Statement!P190</f>
        <v>61390</v>
      </c>
      <c r="G7" s="89">
        <f>Statement!Q190</f>
        <v>88101</v>
      </c>
      <c r="H7" s="64">
        <f t="shared" si="1"/>
        <v>118936.35</v>
      </c>
      <c r="I7" s="64">
        <f t="shared" si="1"/>
        <v>158185.3455</v>
      </c>
      <c r="J7" s="64">
        <f t="shared" si="1"/>
        <v>205640.94915</v>
      </c>
      <c r="K7" s="64">
        <f t="shared" si="1"/>
        <v>246769.13897999999</v>
      </c>
      <c r="L7" s="64">
        <f t="shared" si="1"/>
        <v>276381.4356576</v>
      </c>
      <c r="N7" s="90" t="s">
        <v>382</v>
      </c>
      <c r="O7" s="5"/>
      <c r="Q7" s="90" t="s">
        <v>382</v>
      </c>
      <c r="R7" s="225" t="str">
        <f t="shared" ref="R7:R9" si="2">B7</f>
        <v>AI Clouds</v>
      </c>
      <c r="S7" s="88">
        <f>Statement!T190</f>
        <v>15650</v>
      </c>
      <c r="T7" s="88">
        <f>Statement!U190</f>
        <v>17381</v>
      </c>
      <c r="U7" s="88">
        <f>Statement!V190</f>
        <v>16486</v>
      </c>
      <c r="V7" s="88">
        <f>Statement!W190</f>
        <v>21513</v>
      </c>
      <c r="W7" s="88">
        <f>Statement!X190</f>
        <v>17213</v>
      </c>
      <c r="X7" s="88">
        <f>Statement!Y190</f>
        <v>20875</v>
      </c>
      <c r="Y7" s="88">
        <f>Statement!Z190</f>
        <v>28500</v>
      </c>
      <c r="Z7" s="89">
        <f>Statement!AA190</f>
        <v>37377</v>
      </c>
      <c r="AA7" s="64">
        <f>Z7+Z7*AA15</f>
        <v>44104.86</v>
      </c>
      <c r="AB7" s="64"/>
      <c r="AC7" s="64"/>
      <c r="AE7" s="64">
        <f t="shared" ref="AE7:AE9" si="3">SUM(X7:AA7)</f>
        <v>130856.86</v>
      </c>
    </row>
    <row r="8" spans="1:31" x14ac:dyDescent="0.2">
      <c r="B8" s="1" t="str">
        <f>Statement!B191</f>
        <v>Data Center</v>
      </c>
      <c r="C8" s="88">
        <f>Statement!M191</f>
        <v>0</v>
      </c>
      <c r="D8" s="88">
        <f>Statement!N191</f>
        <v>0</v>
      </c>
      <c r="E8" s="88">
        <f>Statement!O191</f>
        <v>0</v>
      </c>
      <c r="F8" s="88">
        <f>Statement!P191</f>
        <v>115186</v>
      </c>
      <c r="G8" s="89">
        <f>Statement!Q191</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Statement!T191</f>
        <v>26272</v>
      </c>
      <c r="T8" s="88">
        <f>Statement!U191</f>
        <v>30771</v>
      </c>
      <c r="U8" s="88">
        <f>Statement!V191</f>
        <v>35580</v>
      </c>
      <c r="V8" s="88">
        <f>Statement!W191</f>
        <v>39112</v>
      </c>
      <c r="W8" s="88">
        <f>Statement!X191</f>
        <v>41096</v>
      </c>
      <c r="X8" s="88">
        <f>Statement!Y191</f>
        <v>51215</v>
      </c>
      <c r="Y8" s="88">
        <f>Statement!Z191</f>
        <v>62314</v>
      </c>
      <c r="Z8" s="89">
        <f>Statement!AA191</f>
        <v>75246</v>
      </c>
      <c r="AA8" s="64">
        <f>SUM(AA6:AA7)</f>
        <v>85760.760000000009</v>
      </c>
      <c r="AB8" s="64"/>
      <c r="AC8" s="64"/>
      <c r="AE8" s="64">
        <f t="shared" si="3"/>
        <v>274535.76</v>
      </c>
    </row>
    <row r="9" spans="1:31" x14ac:dyDescent="0.2">
      <c r="B9" s="1" t="str">
        <f>Statement!B192</f>
        <v>Edge Computing</v>
      </c>
      <c r="C9" s="88">
        <f>Statement!M192</f>
        <v>0</v>
      </c>
      <c r="D9" s="88">
        <f>Statement!N192</f>
        <v>0</v>
      </c>
      <c r="E9" s="88">
        <f>Statement!O192</f>
        <v>0</v>
      </c>
      <c r="F9" s="88">
        <f>Statement!P192</f>
        <v>15311</v>
      </c>
      <c r="G9" s="89">
        <f>Statement!Q192</f>
        <v>22201</v>
      </c>
      <c r="H9" s="64">
        <f>G9+G9*H17</f>
        <v>29971.35</v>
      </c>
      <c r="I9" s="64">
        <f>H9+H9*I17</f>
        <v>41959.89</v>
      </c>
      <c r="J9" s="64">
        <f>I9+I9*J17</f>
        <v>56645.851499999997</v>
      </c>
      <c r="K9" s="64">
        <f>J9+J9*K17</f>
        <v>70807.314375000002</v>
      </c>
      <c r="L9" s="64">
        <f>K9+K9*L17</f>
        <v>81428.411531250007</v>
      </c>
      <c r="N9" s="90" t="s">
        <v>383</v>
      </c>
      <c r="O9" s="5"/>
      <c r="Q9" s="90" t="s">
        <v>383</v>
      </c>
      <c r="R9" s="1" t="str">
        <f t="shared" si="2"/>
        <v>Edge Computing</v>
      </c>
      <c r="S9" s="88">
        <f>Statement!T192</f>
        <v>3768</v>
      </c>
      <c r="T9" s="88">
        <f>Statement!U192</f>
        <v>4311</v>
      </c>
      <c r="U9" s="88">
        <f>Statement!V192</f>
        <v>3751</v>
      </c>
      <c r="V9" s="88">
        <f>Statement!W192</f>
        <v>4950</v>
      </c>
      <c r="W9" s="88">
        <f>Statement!X192</f>
        <v>5647</v>
      </c>
      <c r="X9" s="88">
        <f>Statement!Y192</f>
        <v>5791</v>
      </c>
      <c r="Y9" s="88">
        <f>Statement!Z192</f>
        <v>5813</v>
      </c>
      <c r="Z9" s="89">
        <f>Statement!AA192</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46" t="s">
        <v>114</v>
      </c>
      <c r="D12" s="246"/>
      <c r="E12" s="246"/>
      <c r="F12" s="246"/>
      <c r="G12" s="246"/>
      <c r="H12" s="246"/>
      <c r="I12" s="246"/>
      <c r="J12" s="246"/>
      <c r="K12" s="246"/>
      <c r="L12" s="246"/>
      <c r="O12" s="5"/>
      <c r="Q12" s="91"/>
      <c r="S12" s="247" t="s">
        <v>114</v>
      </c>
      <c r="T12" s="248"/>
      <c r="U12" s="248"/>
      <c r="V12" s="248"/>
      <c r="W12" s="248"/>
      <c r="X12" s="248"/>
      <c r="Y12" s="248"/>
      <c r="Z12" s="248"/>
      <c r="AA12" s="248"/>
      <c r="AB12" s="248"/>
      <c r="AC12" s="248"/>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5"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5"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5"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5"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4" zoomScale="178" zoomScaleNormal="100" workbookViewId="0">
      <selection activeCell="B18" sqref="B1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40" t="s">
        <v>105</v>
      </c>
      <c r="D2" s="240"/>
      <c r="E2" s="240"/>
      <c r="F2" s="240"/>
      <c r="G2" s="249"/>
      <c r="H2" s="250" t="s">
        <v>106</v>
      </c>
      <c r="I2" s="240"/>
      <c r="J2" s="240"/>
      <c r="K2" s="240"/>
      <c r="L2" s="240"/>
      <c r="P2" s="240" t="s">
        <v>105</v>
      </c>
      <c r="Q2" s="240"/>
      <c r="R2" s="240"/>
      <c r="S2" s="240"/>
      <c r="T2" s="240"/>
      <c r="U2" s="240"/>
      <c r="V2" s="240"/>
      <c r="W2" s="240"/>
      <c r="X2" s="240" t="s">
        <v>106</v>
      </c>
      <c r="Y2" s="240"/>
      <c r="Z2" s="240"/>
      <c r="AB2" s="85" t="s">
        <v>107</v>
      </c>
    </row>
    <row r="3" spans="1:28" ht="10" customHeight="1" x14ac:dyDescent="0.2"/>
    <row r="4" spans="1:28" ht="16" customHeight="1" x14ac:dyDescent="0.2">
      <c r="A4" s="86"/>
      <c r="B4" s="60"/>
      <c r="C4" s="246" t="s">
        <v>108</v>
      </c>
      <c r="D4" s="246"/>
      <c r="E4" s="246"/>
      <c r="F4" s="246"/>
      <c r="G4" s="246"/>
      <c r="H4" s="246"/>
      <c r="I4" s="246"/>
      <c r="J4" s="246"/>
      <c r="K4" s="246"/>
      <c r="L4" s="246"/>
      <c r="P4" s="248" t="s">
        <v>108</v>
      </c>
      <c r="Q4" s="248"/>
      <c r="R4" s="248"/>
      <c r="S4" s="248"/>
      <c r="T4" s="248"/>
      <c r="U4" s="248"/>
      <c r="V4" s="248"/>
      <c r="W4" s="248"/>
      <c r="X4" s="248"/>
      <c r="Y4" s="248"/>
      <c r="Z4" s="248"/>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46" t="s">
        <v>117</v>
      </c>
      <c r="D9" s="246"/>
      <c r="E9" s="246"/>
      <c r="F9" s="246"/>
      <c r="G9" s="246"/>
      <c r="H9" s="246"/>
      <c r="I9" s="246"/>
      <c r="J9" s="246"/>
      <c r="K9" s="246"/>
      <c r="L9" s="246"/>
      <c r="N9" s="91"/>
      <c r="P9" s="248" t="s">
        <v>118</v>
      </c>
      <c r="Q9" s="248"/>
      <c r="R9" s="248"/>
      <c r="S9" s="248"/>
      <c r="T9" s="248"/>
      <c r="U9" s="248"/>
      <c r="V9" s="248"/>
      <c r="W9" s="248"/>
      <c r="X9" s="248"/>
      <c r="Y9" s="248"/>
      <c r="Z9" s="248"/>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46" t="s">
        <v>120</v>
      </c>
      <c r="D17" s="246"/>
      <c r="E17" s="246"/>
      <c r="F17" s="246"/>
      <c r="G17" s="246"/>
      <c r="H17" s="246"/>
      <c r="I17" s="246"/>
      <c r="J17" s="246"/>
      <c r="K17" s="246"/>
      <c r="L17" s="246"/>
      <c r="P17" s="248" t="s">
        <v>120</v>
      </c>
      <c r="Q17" s="248"/>
      <c r="R17" s="248"/>
      <c r="S17" s="248"/>
      <c r="T17" s="248"/>
      <c r="U17" s="248"/>
      <c r="V17" s="248"/>
      <c r="W17" s="248"/>
      <c r="X17" s="248"/>
      <c r="Y17" s="248"/>
      <c r="Z17" s="248"/>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C45" sqref="C45:G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10"/>
    </row>
    <row r="4" spans="1:28" ht="10" customHeight="1" x14ac:dyDescent="0.2"/>
    <row r="5" spans="1:28" ht="16" customHeight="1" x14ac:dyDescent="0.2">
      <c r="A5" s="86"/>
      <c r="B5" s="60"/>
      <c r="C5" s="246" t="s">
        <v>108</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124</v>
      </c>
      <c r="D11" s="246"/>
      <c r="E11" s="246"/>
      <c r="F11" s="246"/>
      <c r="G11" s="246"/>
      <c r="H11" s="246"/>
      <c r="I11" s="246"/>
      <c r="J11" s="246"/>
      <c r="K11" s="246"/>
      <c r="L11" s="246"/>
      <c r="N11" s="91"/>
      <c r="P11" s="251"/>
      <c r="Q11" s="251"/>
      <c r="R11" s="251"/>
      <c r="S11" s="251"/>
      <c r="T11" s="251"/>
      <c r="U11" s="251"/>
      <c r="V11" s="251"/>
      <c r="W11" s="251"/>
      <c r="X11" s="251"/>
      <c r="Y11" s="251"/>
      <c r="Z11" s="251"/>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46" t="s">
        <v>129</v>
      </c>
      <c r="D18" s="246"/>
      <c r="E18" s="246"/>
      <c r="F18" s="246"/>
      <c r="G18" s="246"/>
      <c r="H18" s="246"/>
      <c r="I18" s="246"/>
      <c r="J18" s="246"/>
      <c r="K18" s="246"/>
      <c r="L18" s="246"/>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51"/>
      <c r="C25" s="251"/>
    </row>
    <row r="26" spans="2:12" x14ac:dyDescent="0.2">
      <c r="B26" s="110"/>
      <c r="C26" s="246" t="s">
        <v>135</v>
      </c>
      <c r="D26" s="246"/>
      <c r="E26" s="246"/>
      <c r="F26" s="246"/>
      <c r="G26" s="246"/>
      <c r="H26" s="246"/>
      <c r="I26" s="246"/>
      <c r="J26" s="246"/>
      <c r="K26" s="246"/>
      <c r="L26" s="246"/>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Statement!M55</f>
        <v>-774</v>
      </c>
      <c r="D29" s="115">
        <f>Statement!N55</f>
        <v>-2554</v>
      </c>
      <c r="E29" s="115">
        <f>Statement!O55</f>
        <v>-98</v>
      </c>
      <c r="F29" s="115">
        <f>Statement!P55</f>
        <v>-4781</v>
      </c>
      <c r="G29" s="116">
        <f>Statement!Q55</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Statement!M56</f>
        <v>568</v>
      </c>
      <c r="D30" s="115">
        <f>Statement!N56</f>
        <v>-551</v>
      </c>
      <c r="E30" s="115">
        <f>Statement!O56</f>
        <v>1531</v>
      </c>
      <c r="F30" s="115">
        <f>Statement!P56</f>
        <v>3357</v>
      </c>
      <c r="G30" s="116">
        <f>Statement!Q56</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46" t="s">
        <v>139</v>
      </c>
      <c r="D33" s="246"/>
      <c r="E33" s="246"/>
      <c r="F33" s="246"/>
      <c r="G33" s="246"/>
      <c r="H33" s="246"/>
      <c r="I33" s="246"/>
      <c r="J33" s="246"/>
      <c r="K33" s="246"/>
      <c r="L33" s="246"/>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46" t="s">
        <v>142</v>
      </c>
      <c r="D40" s="246"/>
      <c r="E40" s="246"/>
      <c r="F40" s="246"/>
      <c r="G40" s="246"/>
      <c r="H40" s="246"/>
      <c r="I40" s="246"/>
      <c r="J40" s="246"/>
      <c r="K40" s="246"/>
      <c r="L40" s="246"/>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-Statement!M108</f>
        <v>976</v>
      </c>
      <c r="D45" s="115">
        <f>-Statement!N108</f>
        <v>1833</v>
      </c>
      <c r="E45" s="115">
        <f>-Statement!O108</f>
        <v>1069</v>
      </c>
      <c r="F45" s="115">
        <f>-Statement!P108</f>
        <v>3236</v>
      </c>
      <c r="G45" s="116">
        <f>-Statement!Q108</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19"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40" t="s">
        <v>105</v>
      </c>
      <c r="D2" s="240"/>
      <c r="E2" s="240"/>
      <c r="F2" s="240"/>
      <c r="G2" s="249"/>
      <c r="H2" s="250" t="s">
        <v>106</v>
      </c>
      <c r="I2" s="240"/>
      <c r="J2" s="240"/>
      <c r="K2" s="240"/>
      <c r="L2" s="240"/>
      <c r="S2" s="251"/>
      <c r="T2" s="251"/>
      <c r="U2" s="251"/>
      <c r="V2" s="251"/>
      <c r="W2" s="251"/>
      <c r="X2" s="251"/>
      <c r="Y2" s="251"/>
      <c r="Z2" s="251"/>
      <c r="AA2" s="251"/>
      <c r="AB2" s="251"/>
      <c r="AC2" s="251"/>
      <c r="AE2" s="110"/>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46" t="s">
        <v>150</v>
      </c>
      <c r="D13" s="246"/>
      <c r="E13" s="246"/>
      <c r="F13" s="246"/>
      <c r="G13" s="246"/>
      <c r="H13" s="246"/>
      <c r="I13" s="246"/>
      <c r="J13" s="246"/>
      <c r="K13" s="246"/>
      <c r="L13" s="246"/>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6" t="s">
        <v>151</v>
      </c>
      <c r="D18" s="246"/>
      <c r="E18" s="246"/>
      <c r="F18" s="246"/>
      <c r="G18" s="246"/>
      <c r="H18" s="246"/>
      <c r="I18" s="246"/>
      <c r="J18" s="246"/>
      <c r="K18" s="246"/>
      <c r="L18" s="246"/>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46" t="s">
        <v>259</v>
      </c>
      <c r="D25" s="246"/>
      <c r="E25" s="246"/>
      <c r="F25" s="246"/>
      <c r="G25" s="246"/>
      <c r="H25" s="246"/>
      <c r="I25" s="246"/>
      <c r="J25" s="246"/>
      <c r="K25" s="246"/>
      <c r="L25" s="246"/>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46" t="s">
        <v>75</v>
      </c>
      <c r="D31" s="246"/>
      <c r="E31" s="246"/>
      <c r="F31" s="246"/>
      <c r="G31" s="246"/>
      <c r="H31" s="246"/>
      <c r="I31" s="246"/>
      <c r="J31" s="246"/>
      <c r="K31" s="246"/>
      <c r="L31" s="246"/>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7">
        <f>H8/H6</f>
        <v>0.74</v>
      </c>
      <c r="I33" s="217">
        <f t="shared" ref="I33:L33" si="9">I8/I6</f>
        <v>0.74</v>
      </c>
      <c r="J33" s="217">
        <f t="shared" si="9"/>
        <v>0.73999999999999988</v>
      </c>
      <c r="K33" s="217">
        <f t="shared" si="9"/>
        <v>0.74</v>
      </c>
      <c r="L33" s="217">
        <f t="shared" si="9"/>
        <v>0.7400000000000001</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7">
        <f>H10/H6</f>
        <v>0.61699999999999999</v>
      </c>
      <c r="I34" s="217">
        <f t="shared" ref="I34:L34" si="10">I10/I6</f>
        <v>0.61699999999999999</v>
      </c>
      <c r="J34" s="217">
        <f t="shared" si="10"/>
        <v>0.61699999999999988</v>
      </c>
      <c r="K34" s="217">
        <f t="shared" si="10"/>
        <v>0.61699999999999999</v>
      </c>
      <c r="L34" s="217">
        <f t="shared" si="10"/>
        <v>0.61699999999999999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40" t="s">
        <v>158</v>
      </c>
      <c r="C4" s="240"/>
    </row>
    <row r="5" spans="1:3" ht="17" customHeight="1" x14ac:dyDescent="0.2">
      <c r="B5" s="1" t="s">
        <v>159</v>
      </c>
      <c r="C5" s="137">
        <f>Statement!AC77</f>
        <v>24305</v>
      </c>
    </row>
    <row r="6" spans="1:3" ht="17" customHeight="1" x14ac:dyDescent="0.2">
      <c r="B6" s="1" t="s">
        <v>1</v>
      </c>
      <c r="C6" s="134">
        <f ca="1">Overview!C5</f>
        <v>198.97380000000001</v>
      </c>
    </row>
    <row r="7" spans="1:3" ht="17" customHeight="1" x14ac:dyDescent="0.2">
      <c r="B7" s="1" t="s">
        <v>160</v>
      </c>
      <c r="C7" s="135">
        <f ca="1">C5*C6</f>
        <v>4836058.2090000007</v>
      </c>
    </row>
    <row r="8" spans="1:3" ht="17" customHeight="1" x14ac:dyDescent="0.2">
      <c r="B8" s="1" t="s">
        <v>161</v>
      </c>
      <c r="C8" s="113">
        <f>Statement!AC106</f>
        <v>8470</v>
      </c>
    </row>
    <row r="9" spans="1:3" ht="17" customHeight="1" x14ac:dyDescent="0.2">
      <c r="B9" s="1" t="s">
        <v>162</v>
      </c>
      <c r="C9" s="136">
        <f ca="1">Overview!F27</f>
        <v>4.6630000000000005E-2</v>
      </c>
    </row>
    <row r="10" spans="1:3" ht="17" customHeight="1" x14ac:dyDescent="0.2">
      <c r="B10" s="1" t="s">
        <v>9</v>
      </c>
      <c r="C10" s="134">
        <f ca="1">Overview!C13</f>
        <v>2.2280000000000002</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5.0999999999999997E-2</v>
      </c>
    </row>
    <row r="14" spans="1:3" ht="17" customHeight="1" x14ac:dyDescent="0.2"/>
    <row r="15" spans="1:3" ht="17" customHeight="1" x14ac:dyDescent="0.2">
      <c r="B15" s="240" t="s">
        <v>165</v>
      </c>
      <c r="C15" s="240"/>
    </row>
    <row r="16" spans="1:3" ht="17" customHeight="1" x14ac:dyDescent="0.2">
      <c r="B16" s="1" t="s">
        <v>166</v>
      </c>
      <c r="C16" s="46">
        <f ca="1">C8/(C8+C7)</f>
        <v>1.7483642647110032E-3</v>
      </c>
    </row>
    <row r="17" spans="2:3" ht="17" customHeight="1" x14ac:dyDescent="0.2">
      <c r="B17" s="1" t="s">
        <v>167</v>
      </c>
      <c r="C17" s="46">
        <f ca="1">C7/(C8+C7)</f>
        <v>0.99825163573528897</v>
      </c>
    </row>
    <row r="18" spans="2:3" ht="17" customHeight="1" x14ac:dyDescent="0.2">
      <c r="B18" s="1" t="s">
        <v>168</v>
      </c>
      <c r="C18" s="46">
        <f>C13*(1-C12)</f>
        <v>4.0289999999999999E-2</v>
      </c>
    </row>
    <row r="19" spans="2:3" ht="17" customHeight="1" x14ac:dyDescent="0.2">
      <c r="B19" s="1" t="s">
        <v>169</v>
      </c>
      <c r="C19" s="46">
        <f ca="1">C9+C10*C11</f>
        <v>0.14689000000000002</v>
      </c>
    </row>
    <row r="20" spans="2:3" ht="17" customHeight="1" x14ac:dyDescent="0.2">
      <c r="B20" s="1" t="s">
        <v>157</v>
      </c>
      <c r="C20" s="46">
        <f ca="1">(C17*C19)+(C16*C18)</f>
        <v>0.14670362436938184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10"/>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5358699.0689743981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H7/(1+$C$15)^H9</f>
        <v>113872.44362611305</v>
      </c>
      <c r="I10" s="127">
        <f t="shared" ref="I10:L10" si="0">I7/(1+$C$15)^I9</f>
        <v>146656.23420489239</v>
      </c>
      <c r="J10" s="127">
        <f t="shared" si="0"/>
        <v>193072.92356242973</v>
      </c>
      <c r="K10" s="127">
        <f t="shared" si="0"/>
        <v>240776.77526808169</v>
      </c>
      <c r="L10" s="127">
        <f t="shared" si="0"/>
        <v>281818.17319783528</v>
      </c>
      <c r="N10" s="91"/>
    </row>
    <row r="11" spans="1:28" x14ac:dyDescent="0.2">
      <c r="B11" s="1" t="s">
        <v>175</v>
      </c>
      <c r="C11" s="138"/>
      <c r="D11" s="138"/>
      <c r="E11" s="138"/>
      <c r="F11" s="138"/>
      <c r="G11" s="139"/>
      <c r="H11" s="138"/>
      <c r="I11" s="138"/>
      <c r="J11" s="138"/>
      <c r="K11" s="138"/>
      <c r="L11" s="127">
        <f>L8/(1+C15)^L9</f>
        <v>3040669.7634503278</v>
      </c>
    </row>
    <row r="13" spans="1:28" x14ac:dyDescent="0.2">
      <c r="B13" s="240" t="s">
        <v>176</v>
      </c>
      <c r="C13" s="240"/>
    </row>
    <row r="14" spans="1:28" x14ac:dyDescent="0.2">
      <c r="B14" s="1" t="s">
        <v>177</v>
      </c>
      <c r="C14" s="141">
        <v>2.5000000000000001E-2</v>
      </c>
    </row>
    <row r="15" spans="1:28" x14ac:dyDescent="0.2">
      <c r="B15" s="1" t="s">
        <v>157</v>
      </c>
      <c r="C15" s="136">
        <f>IF(Overview!C28&gt;0,Overview!C28,WACC!C20)</f>
        <v>0.12</v>
      </c>
    </row>
    <row r="18" spans="2:3" x14ac:dyDescent="0.2">
      <c r="B18" s="240" t="s">
        <v>178</v>
      </c>
      <c r="C18" s="240"/>
    </row>
    <row r="19" spans="2:3" x14ac:dyDescent="0.2">
      <c r="B19" s="1" t="s">
        <v>179</v>
      </c>
      <c r="C19" s="64">
        <f>SUM(H10:L10)</f>
        <v>976196.54985935218</v>
      </c>
    </row>
    <row r="20" spans="2:3" x14ac:dyDescent="0.2">
      <c r="B20" s="1" t="s">
        <v>175</v>
      </c>
      <c r="C20" s="64">
        <f>L11</f>
        <v>3040669.7634503278</v>
      </c>
    </row>
    <row r="21" spans="2:3" x14ac:dyDescent="0.2">
      <c r="B21" s="16" t="s">
        <v>180</v>
      </c>
      <c r="C21" s="94">
        <f>C19+C20</f>
        <v>4016866.3133096797</v>
      </c>
    </row>
    <row r="22" spans="2:3" x14ac:dyDescent="0.2">
      <c r="B22" s="1" t="s">
        <v>181</v>
      </c>
      <c r="C22" s="137">
        <f>Statement!AC105</f>
        <v>80572</v>
      </c>
    </row>
    <row r="23" spans="2:3" x14ac:dyDescent="0.2">
      <c r="B23" s="1" t="s">
        <v>182</v>
      </c>
      <c r="C23" s="137">
        <f>Statement!AC106</f>
        <v>8470</v>
      </c>
    </row>
    <row r="24" spans="2:3" x14ac:dyDescent="0.2">
      <c r="B24" s="16" t="s">
        <v>183</v>
      </c>
      <c r="C24" s="94">
        <f>C21+C22-C23</f>
        <v>4088968.3133096797</v>
      </c>
    </row>
    <row r="25" spans="2:3" x14ac:dyDescent="0.2">
      <c r="B25" s="1" t="s">
        <v>67</v>
      </c>
      <c r="C25" s="137">
        <f>Statement!AC77</f>
        <v>24305</v>
      </c>
    </row>
    <row r="26" spans="2:3" x14ac:dyDescent="0.2">
      <c r="B26" s="142" t="s">
        <v>184</v>
      </c>
      <c r="C26" s="143">
        <f>C24/C25</f>
        <v>168.2356845632454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40" t="s">
        <v>105</v>
      </c>
      <c r="D2" s="240"/>
      <c r="E2" s="240"/>
      <c r="F2" s="240"/>
      <c r="G2" s="249"/>
      <c r="H2" s="250" t="s">
        <v>106</v>
      </c>
      <c r="I2" s="240"/>
      <c r="J2" s="240"/>
      <c r="K2" s="240"/>
      <c r="L2" s="240"/>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46" t="s">
        <v>114</v>
      </c>
      <c r="D10" s="246"/>
      <c r="E10" s="246"/>
      <c r="F10" s="246"/>
      <c r="G10" s="246"/>
      <c r="H10" s="246"/>
      <c r="I10" s="246"/>
      <c r="J10" s="246"/>
      <c r="K10" s="246"/>
      <c r="L10" s="246"/>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46" t="s">
        <v>188</v>
      </c>
      <c r="D16" s="246"/>
      <c r="E16" s="246"/>
      <c r="F16" s="246"/>
      <c r="G16" s="246"/>
      <c r="H16" s="246"/>
      <c r="I16" s="246"/>
      <c r="J16" s="246"/>
      <c r="K16" s="246"/>
      <c r="L16" s="246"/>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6" t="s">
        <v>191</v>
      </c>
      <c r="D21" s="246"/>
      <c r="E21" s="246"/>
      <c r="F21" s="246"/>
      <c r="G21" s="246"/>
      <c r="H21" s="246"/>
      <c r="I21" s="246"/>
      <c r="J21" s="246"/>
      <c r="K21" s="246"/>
      <c r="L21" s="246"/>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6" t="s">
        <v>192</v>
      </c>
      <c r="D26" s="246"/>
      <c r="E26" s="246"/>
      <c r="F26" s="246"/>
      <c r="G26" s="246"/>
      <c r="H26" s="246"/>
      <c r="I26" s="246"/>
      <c r="J26" s="246"/>
      <c r="K26" s="246"/>
      <c r="L26" s="246"/>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40" t="s">
        <v>197</v>
      </c>
      <c r="C37" s="240"/>
      <c r="N37" s="91"/>
    </row>
    <row r="38" spans="2:14" x14ac:dyDescent="0.2">
      <c r="B38" s="1" t="s">
        <v>198</v>
      </c>
      <c r="C38" s="64">
        <f>L7</f>
        <v>775475.42030804313</v>
      </c>
    </row>
    <row r="39" spans="2:14" x14ac:dyDescent="0.2">
      <c r="B39" s="1" t="s">
        <v>157</v>
      </c>
      <c r="C39" s="136">
        <f>IF(Overview!C28&gt;0,Overview!C28,WACC!C20)</f>
        <v>0.12</v>
      </c>
    </row>
    <row r="40" spans="2:14" x14ac:dyDescent="0.2">
      <c r="B40" s="39" t="s">
        <v>199</v>
      </c>
      <c r="C40" s="105">
        <v>20</v>
      </c>
    </row>
    <row r="41" spans="2:14" x14ac:dyDescent="0.2">
      <c r="B41" s="1" t="s">
        <v>195</v>
      </c>
      <c r="C41" s="24">
        <f>(C38*C40)</f>
        <v>15509508.406160863</v>
      </c>
    </row>
    <row r="42" spans="2:14" x14ac:dyDescent="0.2">
      <c r="B42" s="1" t="s">
        <v>386</v>
      </c>
      <c r="C42" s="24">
        <f>C41/(1+C39)^5-G30+G31</f>
        <v>8854599.588649042</v>
      </c>
    </row>
    <row r="43" spans="2:14" x14ac:dyDescent="0.2">
      <c r="B43" s="1" t="s">
        <v>181</v>
      </c>
      <c r="C43" s="137">
        <f>Statement!AC105</f>
        <v>80572</v>
      </c>
    </row>
    <row r="44" spans="2:14" x14ac:dyDescent="0.2">
      <c r="B44" s="1" t="s">
        <v>182</v>
      </c>
      <c r="C44" s="137">
        <f>Statement!AC106</f>
        <v>8470</v>
      </c>
    </row>
    <row r="45" spans="2:14" x14ac:dyDescent="0.2">
      <c r="B45" s="1" t="s">
        <v>183</v>
      </c>
      <c r="C45" s="24">
        <f>C42+C43-C44</f>
        <v>8926701.588649042</v>
      </c>
    </row>
    <row r="46" spans="2:14" x14ac:dyDescent="0.2">
      <c r="B46" s="1" t="s">
        <v>67</v>
      </c>
      <c r="C46" s="88">
        <f>Statement!AC77</f>
        <v>24305</v>
      </c>
    </row>
    <row r="47" spans="2:14" x14ac:dyDescent="0.2">
      <c r="B47" s="142" t="s">
        <v>201</v>
      </c>
      <c r="C47" s="143">
        <f>C45/C46</f>
        <v>367.27840315363267</v>
      </c>
    </row>
    <row r="49" spans="2:3" x14ac:dyDescent="0.2">
      <c r="B49" s="240" t="s">
        <v>202</v>
      </c>
      <c r="C49" s="240"/>
    </row>
    <row r="50" spans="2:3" x14ac:dyDescent="0.2">
      <c r="B50" s="1" t="s">
        <v>203</v>
      </c>
      <c r="C50" s="64">
        <f>L6</f>
        <v>1256848.3311313502</v>
      </c>
    </row>
    <row r="51" spans="2:3" x14ac:dyDescent="0.2">
      <c r="B51" s="1" t="s">
        <v>388</v>
      </c>
      <c r="C51" s="136">
        <f>IF(Overview!C29&gt;0,Overview!C29,WACC!C19)</f>
        <v>0.12</v>
      </c>
    </row>
    <row r="52" spans="2:3" x14ac:dyDescent="0.2">
      <c r="B52" s="39" t="s">
        <v>204</v>
      </c>
      <c r="C52" s="105">
        <v>10</v>
      </c>
    </row>
    <row r="53" spans="2:3" x14ac:dyDescent="0.2">
      <c r="B53" s="1" t="s">
        <v>200</v>
      </c>
      <c r="C53" s="24">
        <f>L18</f>
        <v>23429.712685180726</v>
      </c>
    </row>
    <row r="54" spans="2:3" x14ac:dyDescent="0.2">
      <c r="B54" s="1" t="s">
        <v>184</v>
      </c>
      <c r="C54" s="24">
        <f>(C50*C52)/C53</f>
        <v>536.4335226894633</v>
      </c>
    </row>
    <row r="55" spans="2:3" x14ac:dyDescent="0.2">
      <c r="B55" s="142" t="s">
        <v>201</v>
      </c>
      <c r="C55" s="143">
        <f>C54/(1+C51)^5</f>
        <v>304.38678708173404</v>
      </c>
    </row>
    <row r="57" spans="2:3" x14ac:dyDescent="0.2">
      <c r="B57" s="240" t="s">
        <v>319</v>
      </c>
      <c r="C57" s="240"/>
    </row>
    <row r="58" spans="2:3" x14ac:dyDescent="0.2">
      <c r="B58" s="1" t="s">
        <v>205</v>
      </c>
      <c r="C58" s="64">
        <f>L8</f>
        <v>496659.91370982229</v>
      </c>
    </row>
    <row r="59" spans="2:3" x14ac:dyDescent="0.2">
      <c r="B59" s="1" t="s">
        <v>157</v>
      </c>
      <c r="C59" s="136">
        <f>IF(Overview!C28&gt;0,Overview!C28,WACC!C20)</f>
        <v>0.12</v>
      </c>
    </row>
    <row r="60" spans="2:3" x14ac:dyDescent="0.2">
      <c r="B60" s="39" t="s">
        <v>387</v>
      </c>
      <c r="C60" s="105">
        <v>30</v>
      </c>
    </row>
    <row r="61" spans="2:3" x14ac:dyDescent="0.2">
      <c r="B61" s="1" t="s">
        <v>195</v>
      </c>
      <c r="C61" s="24">
        <f>(C58*C60)</f>
        <v>14899797.411294669</v>
      </c>
    </row>
    <row r="62" spans="2:3" x14ac:dyDescent="0.2">
      <c r="B62" s="1" t="s">
        <v>386</v>
      </c>
      <c r="C62" s="24">
        <f>C61/(1+C59)^5-G30+G31</f>
        <v>8508633.1959350575</v>
      </c>
    </row>
    <row r="63" spans="2:3" x14ac:dyDescent="0.2">
      <c r="B63" s="1" t="s">
        <v>181</v>
      </c>
      <c r="C63" s="137">
        <f>Statement!AC105</f>
        <v>80572</v>
      </c>
    </row>
    <row r="64" spans="2:3" x14ac:dyDescent="0.2">
      <c r="B64" s="1" t="s">
        <v>182</v>
      </c>
      <c r="C64" s="137">
        <f>Statement!AC106</f>
        <v>8470</v>
      </c>
    </row>
    <row r="65" spans="2:3" x14ac:dyDescent="0.2">
      <c r="B65" s="1" t="s">
        <v>183</v>
      </c>
      <c r="C65" s="24">
        <f>C62+C63-C64</f>
        <v>8580735.1959350575</v>
      </c>
    </row>
    <row r="66" spans="2:3" x14ac:dyDescent="0.2">
      <c r="B66" s="1" t="s">
        <v>67</v>
      </c>
      <c r="C66" s="88">
        <f>Statement!AC77</f>
        <v>24305</v>
      </c>
    </row>
    <row r="67" spans="2:3" x14ac:dyDescent="0.2">
      <c r="B67" s="142" t="s">
        <v>201</v>
      </c>
      <c r="C67" s="143">
        <f>C65/C66</f>
        <v>353.04403192491492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7" sqref="C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40" t="s">
        <v>207</v>
      </c>
      <c r="C4" s="240"/>
      <c r="N4" s="91"/>
    </row>
    <row r="5" spans="1:14" x14ac:dyDescent="0.2">
      <c r="B5" s="1" t="s">
        <v>208</v>
      </c>
      <c r="C5" s="134">
        <f>DCF!C26</f>
        <v>168.2356845632454</v>
      </c>
    </row>
    <row r="6" spans="1:14" x14ac:dyDescent="0.2">
      <c r="B6" s="1" t="s">
        <v>209</v>
      </c>
      <c r="C6" s="134">
        <f>Multiples!C47</f>
        <v>367.27840315363267</v>
      </c>
    </row>
    <row r="7" spans="1:14" x14ac:dyDescent="0.2">
      <c r="B7" s="1" t="s">
        <v>210</v>
      </c>
      <c r="C7" s="134">
        <f>Multiples!C55</f>
        <v>304.38678708173404</v>
      </c>
    </row>
    <row r="8" spans="1:14" x14ac:dyDescent="0.2">
      <c r="B8" s="1" t="s">
        <v>320</v>
      </c>
      <c r="C8" s="134">
        <f>Multiples!C67</f>
        <v>353.04403192491492</v>
      </c>
    </row>
    <row r="9" spans="1:14" x14ac:dyDescent="0.2">
      <c r="B9" s="142" t="s">
        <v>211</v>
      </c>
      <c r="C9" s="143">
        <f>AVERAGE(C5:C8)</f>
        <v>298.23622668088177</v>
      </c>
    </row>
    <row r="10" spans="1:14" x14ac:dyDescent="0.2">
      <c r="B10" s="1" t="s">
        <v>212</v>
      </c>
      <c r="C10" s="134">
        <f ca="1">Overview!C5</f>
        <v>198.97380000000001</v>
      </c>
    </row>
    <row r="11" spans="1:14" x14ac:dyDescent="0.2">
      <c r="B11" s="1" t="s">
        <v>213</v>
      </c>
      <c r="C11" s="155">
        <f ca="1">(C9-C10)/C10</f>
        <v>0.4988718448402843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7"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400</v>
      </c>
    </row>
    <row r="2" spans="1:14" x14ac:dyDescent="0.2">
      <c r="A2" s="4"/>
      <c r="C2" s="240" t="s">
        <v>105</v>
      </c>
      <c r="D2" s="240"/>
      <c r="E2" s="240"/>
      <c r="F2" s="240"/>
      <c r="G2" s="249"/>
      <c r="H2" s="250" t="s">
        <v>106</v>
      </c>
      <c r="I2" s="240"/>
      <c r="J2" s="240"/>
      <c r="K2" s="240"/>
      <c r="L2" s="240"/>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240</v>
      </c>
      <c r="C6" s="232">
        <f>Statement!M25</f>
        <v>0.38500000000000001</v>
      </c>
      <c r="D6" s="232">
        <f>Statement!N25</f>
        <v>0.17399999999999999</v>
      </c>
      <c r="E6" s="232">
        <f>Statement!O25</f>
        <v>1.1930000000000001</v>
      </c>
      <c r="F6" s="232">
        <f>Statement!P25</f>
        <v>2.94</v>
      </c>
      <c r="G6" s="233">
        <f>Statement!Q25</f>
        <v>4.9000000000000004</v>
      </c>
      <c r="H6" s="138"/>
      <c r="I6" s="138"/>
      <c r="J6" s="138"/>
      <c r="K6" s="138"/>
      <c r="L6" s="138"/>
      <c r="N6" s="91"/>
    </row>
    <row r="7" spans="1:14" x14ac:dyDescent="0.2">
      <c r="B7" s="16" t="s">
        <v>401</v>
      </c>
      <c r="C7" s="232">
        <f>Statement!M81</f>
        <v>1.6E-2</v>
      </c>
      <c r="D7" s="232">
        <f>Statement!N81</f>
        <v>1.6E-2</v>
      </c>
      <c r="E7" s="232">
        <f>Statement!O81</f>
        <v>1.6E-2</v>
      </c>
      <c r="F7" s="232">
        <f>Statement!P81</f>
        <v>3.4000000000000002E-2</v>
      </c>
      <c r="G7" s="233">
        <f>Statement!Q81</f>
        <v>0.04</v>
      </c>
      <c r="H7" s="138"/>
      <c r="I7" s="138"/>
      <c r="J7" s="138"/>
      <c r="K7" s="138"/>
      <c r="L7" s="138"/>
      <c r="N7" s="91"/>
    </row>
    <row r="8" spans="1:14" x14ac:dyDescent="0.2">
      <c r="N8" s="91"/>
    </row>
    <row r="9" spans="1:14" x14ac:dyDescent="0.2">
      <c r="C9" s="246" t="s">
        <v>114</v>
      </c>
      <c r="D9" s="246"/>
      <c r="E9" s="246"/>
      <c r="F9" s="246"/>
      <c r="G9" s="246"/>
      <c r="H9" s="246"/>
      <c r="I9" s="246"/>
      <c r="J9" s="246"/>
      <c r="K9" s="246"/>
      <c r="L9" s="246"/>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241</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6" t="s">
        <v>402</v>
      </c>
      <c r="D14" s="246"/>
      <c r="E14" s="246"/>
      <c r="F14" s="246"/>
      <c r="G14" s="246"/>
      <c r="H14" s="246"/>
      <c r="I14" s="246"/>
      <c r="J14" s="246"/>
      <c r="K14" s="246"/>
      <c r="L14" s="246"/>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403</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40" t="s">
        <v>404</v>
      </c>
      <c r="C20" s="240"/>
      <c r="N20" s="91"/>
    </row>
    <row r="21" spans="2:14" x14ac:dyDescent="0.2">
      <c r="B21" s="1" t="s">
        <v>405</v>
      </c>
      <c r="C21" s="234">
        <f>G7</f>
        <v>0.04</v>
      </c>
    </row>
    <row r="22" spans="2:14" x14ac:dyDescent="0.2">
      <c r="B22" s="1" t="s">
        <v>406</v>
      </c>
      <c r="C22" s="235">
        <v>0.15</v>
      </c>
    </row>
    <row r="23" spans="2:14" x14ac:dyDescent="0.2">
      <c r="B23" s="39" t="s">
        <v>407</v>
      </c>
      <c r="C23" s="236">
        <f>C21*(1+C22)</f>
        <v>4.5999999999999999E-2</v>
      </c>
    </row>
    <row r="24" spans="2:14" x14ac:dyDescent="0.2">
      <c r="B24" s="1" t="s">
        <v>388</v>
      </c>
      <c r="C24" s="136">
        <f>IF(Overview!C29&gt;0,Overview!C29,WACC!C19)</f>
        <v>0.12</v>
      </c>
    </row>
    <row r="25" spans="2:14" x14ac:dyDescent="0.2">
      <c r="B25" s="39" t="s">
        <v>408</v>
      </c>
      <c r="C25" s="235">
        <v>2.5000000000000001E-2</v>
      </c>
    </row>
    <row r="26" spans="2:14" x14ac:dyDescent="0.2">
      <c r="B26" s="142" t="s">
        <v>201</v>
      </c>
      <c r="C26" s="143">
        <f>C23/(C24-C25)</f>
        <v>0.48421052631578948</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E23" sqref="E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10"/>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141827.16067479676</v>
      </c>
      <c r="I7" s="127">
        <f t="shared" ref="I7:L7" si="0">H7*(1+$C$17)</f>
        <v>219832.09904593497</v>
      </c>
      <c r="J7" s="127">
        <f t="shared" si="0"/>
        <v>340739.75352119922</v>
      </c>
      <c r="K7" s="127">
        <f t="shared" si="0"/>
        <v>528146.61795785883</v>
      </c>
      <c r="L7" s="127">
        <f t="shared" si="0"/>
        <v>818627.25783468119</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8832557.2555847168</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H7/(1+$C$21)^H9</f>
        <v>126631.39345963995</v>
      </c>
      <c r="I10" s="127">
        <f t="shared" ref="I10:L10" si="1">I7/(1+$C$21)^I9</f>
        <v>175248.80344860884</v>
      </c>
      <c r="J10" s="127">
        <f t="shared" si="1"/>
        <v>242531.82620119973</v>
      </c>
      <c r="K10" s="127">
        <f t="shared" si="1"/>
        <v>335646.72376058897</v>
      </c>
      <c r="L10" s="127">
        <f t="shared" si="1"/>
        <v>464511.09091867215</v>
      </c>
      <c r="N10" s="91"/>
    </row>
    <row r="11" spans="1:28" x14ac:dyDescent="0.2">
      <c r="B11" s="1" t="s">
        <v>175</v>
      </c>
      <c r="C11" s="138"/>
      <c r="D11" s="138"/>
      <c r="E11" s="138"/>
      <c r="F11" s="138"/>
      <c r="G11" s="139"/>
      <c r="H11" s="138"/>
      <c r="I11" s="138"/>
      <c r="J11" s="138"/>
      <c r="K11" s="138"/>
      <c r="L11" s="127">
        <f>L8/(1+C21)^L9</f>
        <v>5011830.1914909361</v>
      </c>
    </row>
    <row r="13" spans="1:28" ht="17" thickBot="1" x14ac:dyDescent="0.25"/>
    <row r="14" spans="1:28" x14ac:dyDescent="0.2">
      <c r="B14" s="252" t="s">
        <v>215</v>
      </c>
      <c r="C14" s="253"/>
    </row>
    <row r="15" spans="1:28" x14ac:dyDescent="0.2">
      <c r="B15" s="156" t="s">
        <v>216</v>
      </c>
      <c r="C15" s="157">
        <f ca="1">Overview!C5</f>
        <v>198.97380000000001</v>
      </c>
    </row>
    <row r="16" spans="1:28" x14ac:dyDescent="0.2">
      <c r="B16" s="156" t="s">
        <v>217</v>
      </c>
      <c r="C16" s="157">
        <f>C36</f>
        <v>265.64057972229938</v>
      </c>
    </row>
    <row r="17" spans="2:9" ht="17" thickBot="1" x14ac:dyDescent="0.25">
      <c r="B17" s="158" t="s">
        <v>321</v>
      </c>
      <c r="C17" s="159">
        <v>0.55000000000000004</v>
      </c>
      <c r="E17" s="254" t="s">
        <v>218</v>
      </c>
      <c r="F17" s="254"/>
      <c r="G17" s="254"/>
      <c r="H17" s="254"/>
      <c r="I17" s="254"/>
    </row>
    <row r="18" spans="2:9" ht="17" thickBot="1" x14ac:dyDescent="0.25"/>
    <row r="19" spans="2:9" x14ac:dyDescent="0.2">
      <c r="B19" s="252" t="s">
        <v>176</v>
      </c>
      <c r="C19" s="253"/>
    </row>
    <row r="20" spans="2:9" x14ac:dyDescent="0.2">
      <c r="B20" s="160" t="s">
        <v>177</v>
      </c>
      <c r="C20" s="161">
        <v>2.5000000000000001E-2</v>
      </c>
    </row>
    <row r="21" spans="2:9" x14ac:dyDescent="0.2">
      <c r="B21" s="160" t="s">
        <v>157</v>
      </c>
      <c r="C21" s="227">
        <f>IF(Overview!C28&gt;0,Overview!C28,WACC!C20)</f>
        <v>0.12</v>
      </c>
    </row>
    <row r="22" spans="2:9" x14ac:dyDescent="0.2">
      <c r="B22" s="160" t="s">
        <v>67</v>
      </c>
      <c r="C22" s="228">
        <f>Statement!AC74</f>
        <v>24200</v>
      </c>
    </row>
    <row r="23" spans="2:9" x14ac:dyDescent="0.2">
      <c r="B23" s="160" t="s">
        <v>219</v>
      </c>
      <c r="C23" s="162">
        <f ca="1">C15*C22</f>
        <v>4815165.96</v>
      </c>
    </row>
    <row r="24" spans="2:9" x14ac:dyDescent="0.2">
      <c r="B24" s="160" t="s">
        <v>170</v>
      </c>
      <c r="C24" s="228">
        <f>Statement!AC105</f>
        <v>80572</v>
      </c>
    </row>
    <row r="25" spans="2:9" x14ac:dyDescent="0.2">
      <c r="B25" s="160" t="s">
        <v>161</v>
      </c>
      <c r="C25" s="228">
        <f>Statement!AC106</f>
        <v>8470</v>
      </c>
    </row>
    <row r="26" spans="2:9" ht="17" thickBot="1" x14ac:dyDescent="0.25">
      <c r="B26" s="158" t="s">
        <v>220</v>
      </c>
      <c r="C26" s="163">
        <f ca="1">C23+C25-C24</f>
        <v>4743063.96</v>
      </c>
    </row>
    <row r="27" spans="2:9" ht="17" thickBot="1" x14ac:dyDescent="0.25"/>
    <row r="28" spans="2:9" x14ac:dyDescent="0.2">
      <c r="B28" s="252" t="s">
        <v>178</v>
      </c>
      <c r="C28" s="253"/>
    </row>
    <row r="29" spans="2:9" x14ac:dyDescent="0.2">
      <c r="B29" s="160" t="s">
        <v>179</v>
      </c>
      <c r="C29" s="162">
        <f>SUM(H10:L10)</f>
        <v>1344569.8377887099</v>
      </c>
    </row>
    <row r="30" spans="2:9" x14ac:dyDescent="0.2">
      <c r="B30" s="160" t="s">
        <v>175</v>
      </c>
      <c r="C30" s="162">
        <f>L11</f>
        <v>5011830.1914909361</v>
      </c>
    </row>
    <row r="31" spans="2:9" x14ac:dyDescent="0.2">
      <c r="B31" s="164" t="s">
        <v>180</v>
      </c>
      <c r="C31" s="165">
        <f>C29+C30</f>
        <v>6356400.0292796455</v>
      </c>
    </row>
    <row r="32" spans="2:9" x14ac:dyDescent="0.2">
      <c r="B32" s="160" t="s">
        <v>181</v>
      </c>
      <c r="C32" s="166">
        <f>C24</f>
        <v>80572</v>
      </c>
    </row>
    <row r="33" spans="2:12" x14ac:dyDescent="0.2">
      <c r="B33" s="160" t="s">
        <v>182</v>
      </c>
      <c r="C33" s="166">
        <f>C25</f>
        <v>8470</v>
      </c>
    </row>
    <row r="34" spans="2:12" x14ac:dyDescent="0.2">
      <c r="B34" s="164" t="s">
        <v>183</v>
      </c>
      <c r="C34" s="165">
        <f>C31+C32-C33</f>
        <v>6428502.0292796455</v>
      </c>
    </row>
    <row r="35" spans="2:12" x14ac:dyDescent="0.2">
      <c r="B35" s="160" t="s">
        <v>67</v>
      </c>
      <c r="C35" s="162">
        <f>C22</f>
        <v>24200</v>
      </c>
    </row>
    <row r="36" spans="2:12" ht="17" thickBot="1" x14ac:dyDescent="0.25">
      <c r="B36" s="167" t="s">
        <v>184</v>
      </c>
      <c r="C36" s="168">
        <f>C34/C35</f>
        <v>265.64057972229938</v>
      </c>
    </row>
    <row r="39" spans="2:12" x14ac:dyDescent="0.2">
      <c r="C39" s="246" t="s">
        <v>221</v>
      </c>
      <c r="D39" s="246"/>
      <c r="E39" s="246"/>
      <c r="F39" s="246"/>
      <c r="G39" s="246"/>
      <c r="H39" s="246"/>
      <c r="I39" s="246"/>
      <c r="J39" s="246"/>
      <c r="K39" s="246"/>
      <c r="L39" s="246"/>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141827.16067479676</v>
      </c>
      <c r="I41" s="144">
        <f t="shared" si="2"/>
        <v>219832.09904593497</v>
      </c>
      <c r="J41" s="144">
        <f t="shared" si="2"/>
        <v>340739.75352119922</v>
      </c>
      <c r="K41" s="144">
        <f t="shared" si="2"/>
        <v>528146.61795785883</v>
      </c>
      <c r="L41" s="144">
        <f t="shared" si="2"/>
        <v>818627.25783468119</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128933.7824316334</v>
      </c>
      <c r="I42" s="144">
        <f t="shared" ref="I42:L42" si="3">I41/I43</f>
        <v>199847.36276903178</v>
      </c>
      <c r="J42" s="144">
        <f t="shared" si="3"/>
        <v>309763.41229199927</v>
      </c>
      <c r="K42" s="144">
        <f t="shared" si="3"/>
        <v>480133.28905259888</v>
      </c>
      <c r="L42" s="144">
        <f t="shared" si="3"/>
        <v>744206.59803152829</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14182716.067479676</v>
      </c>
      <c r="I44" s="144">
        <f t="shared" ref="I44:L44" si="5">I41/I45</f>
        <v>10991604.952296749</v>
      </c>
      <c r="J44" s="144">
        <f t="shared" si="5"/>
        <v>8112851.2743142666</v>
      </c>
      <c r="K44" s="144">
        <f t="shared" si="5"/>
        <v>7544951.6851122687</v>
      </c>
      <c r="L44" s="144">
        <f t="shared" si="5"/>
        <v>5457515.0522312084</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0.55000000000000027</v>
      </c>
      <c r="I46" s="170">
        <f t="shared" si="7"/>
        <v>0.55000000000000004</v>
      </c>
      <c r="J46" s="170">
        <f t="shared" si="7"/>
        <v>0.55000000000000004</v>
      </c>
      <c r="K46" s="170">
        <f t="shared" si="7"/>
        <v>0.55000000000000004</v>
      </c>
      <c r="L46" s="170">
        <f t="shared" si="7"/>
        <v>0.55000000000000004</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-1.1145417628801946E-2</v>
      </c>
      <c r="I47" s="170">
        <f t="shared" si="7"/>
        <v>0.55000000000000004</v>
      </c>
      <c r="J47" s="170">
        <f t="shared" si="7"/>
        <v>0.55000000000000004</v>
      </c>
      <c r="K47" s="170">
        <f t="shared" si="7"/>
        <v>0.55000000000000004</v>
      </c>
      <c r="L47" s="170">
        <f t="shared" si="7"/>
        <v>0.55000000000000004</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64.679575005231484</v>
      </c>
      <c r="I48" s="170">
        <f t="shared" si="8"/>
        <v>-0.22499999999999998</v>
      </c>
      <c r="J48" s="170">
        <f t="shared" si="8"/>
        <v>-0.26190476190476197</v>
      </c>
      <c r="K48" s="170">
        <f t="shared" si="8"/>
        <v>-6.9999999999999951E-2</v>
      </c>
      <c r="L48" s="170">
        <f t="shared" si="8"/>
        <v>-0.27666666666666662</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1.8181818181818181E-2</v>
      </c>
      <c r="J49" s="170">
        <f t="shared" si="9"/>
        <v>3.8181818181818178E-2</v>
      </c>
      <c r="K49" s="170">
        <f t="shared" si="9"/>
        <v>6.363636363636363E-2</v>
      </c>
      <c r="L49" s="17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2026-07-31T17:20:05Z</dcterms:modified>
</cp:coreProperties>
</file>