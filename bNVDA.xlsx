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KINGSTON/MyStockData/Finance-StockLists/"/>
    </mc:Choice>
  </mc:AlternateContent>
  <xr:revisionPtr revIDLastSave="0" documentId="13_ncr:1_{2FF5FFC0-98B4-AF42-9674-ECDBD3171A5E}" xr6:coauthVersionLast="47" xr6:coauthVersionMax="47" xr10:uidLastSave="{00000000-0000-0000-0000-000000000000}"/>
  <bookViews>
    <workbookView xWindow="0" yWindow="0" windowWidth="25600" windowHeight="14400" xr2:uid="{AEC0C047-6E16-294C-82BD-58123BA913A1}"/>
  </bookViews>
  <sheets>
    <sheet name="Overview" sheetId="2" r:id="rId1"/>
    <sheet name="Statement Y" sheetId="1" r:id="rId2"/>
    <sheet name="Statement Q" sheetId="3" r:id="rId3"/>
  </sheets>
  <externalReferences>
    <externalReference r:id="rId4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9" i="2" s="1"/>
  <c r="J61" i="3"/>
  <c r="J51" i="3"/>
  <c r="J41" i="3"/>
  <c r="I142" i="3"/>
  <c r="H142" i="3"/>
  <c r="G142" i="3"/>
  <c r="F142" i="3"/>
  <c r="E142" i="3"/>
  <c r="D142" i="3"/>
  <c r="C142" i="3"/>
  <c r="I141" i="3"/>
  <c r="H141" i="3"/>
  <c r="G141" i="3"/>
  <c r="F141" i="3"/>
  <c r="E141" i="3"/>
  <c r="D141" i="3"/>
  <c r="C141" i="3"/>
  <c r="I135" i="3"/>
  <c r="H135" i="3"/>
  <c r="G135" i="3"/>
  <c r="F135" i="3"/>
  <c r="E135" i="3"/>
  <c r="D135" i="3"/>
  <c r="C135" i="3"/>
  <c r="I133" i="3"/>
  <c r="H133" i="3"/>
  <c r="G133" i="3"/>
  <c r="F133" i="3"/>
  <c r="E133" i="3"/>
  <c r="D133" i="3"/>
  <c r="C133" i="3"/>
  <c r="I128" i="3"/>
  <c r="I129" i="3" s="1"/>
  <c r="H128" i="3"/>
  <c r="H129" i="3" s="1"/>
  <c r="G128" i="3"/>
  <c r="G129" i="3" s="1"/>
  <c r="F128" i="3"/>
  <c r="F129" i="3" s="1"/>
  <c r="E128" i="3"/>
  <c r="E129" i="3" s="1"/>
  <c r="D128" i="3"/>
  <c r="D129" i="3" s="1"/>
  <c r="C128" i="3"/>
  <c r="C129" i="3" s="1"/>
  <c r="I126" i="3"/>
  <c r="I127" i="3" s="1"/>
  <c r="H126" i="3"/>
  <c r="H127" i="3" s="1"/>
  <c r="G126" i="3"/>
  <c r="G127" i="3" s="1"/>
  <c r="F126" i="3"/>
  <c r="F127" i="3" s="1"/>
  <c r="E126" i="3"/>
  <c r="E127" i="3" s="1"/>
  <c r="D126" i="3"/>
  <c r="D127" i="3" s="1"/>
  <c r="C126" i="3"/>
  <c r="C127" i="3" s="1"/>
  <c r="I124" i="3"/>
  <c r="I125" i="3" s="1"/>
  <c r="H124" i="3"/>
  <c r="H125" i="3" s="1"/>
  <c r="G124" i="3"/>
  <c r="G125" i="3" s="1"/>
  <c r="F124" i="3"/>
  <c r="F125" i="3" s="1"/>
  <c r="E124" i="3"/>
  <c r="E125" i="3" s="1"/>
  <c r="D124" i="3"/>
  <c r="D125" i="3" s="1"/>
  <c r="C124" i="3"/>
  <c r="C125" i="3" s="1"/>
  <c r="I122" i="3"/>
  <c r="I123" i="3" s="1"/>
  <c r="H122" i="3"/>
  <c r="H123" i="3" s="1"/>
  <c r="G122" i="3"/>
  <c r="G123" i="3" s="1"/>
  <c r="F122" i="3"/>
  <c r="F123" i="3" s="1"/>
  <c r="E122" i="3"/>
  <c r="E123" i="3" s="1"/>
  <c r="D122" i="3"/>
  <c r="D123" i="3" s="1"/>
  <c r="C122" i="3"/>
  <c r="C123" i="3" s="1"/>
  <c r="E121" i="3"/>
  <c r="D121" i="3"/>
  <c r="C121" i="3"/>
  <c r="I119" i="3"/>
  <c r="H119" i="3"/>
  <c r="G119" i="3"/>
  <c r="F119" i="3"/>
  <c r="E119" i="3"/>
  <c r="E120" i="3" s="1"/>
  <c r="D119" i="3"/>
  <c r="D120" i="3" s="1"/>
  <c r="C119" i="3"/>
  <c r="C120" i="3" s="1"/>
  <c r="I117" i="3"/>
  <c r="I118" i="3" s="1"/>
  <c r="H117" i="3"/>
  <c r="H118" i="3" s="1"/>
  <c r="G117" i="3"/>
  <c r="G118" i="3" s="1"/>
  <c r="F117" i="3"/>
  <c r="F118" i="3" s="1"/>
  <c r="E117" i="3"/>
  <c r="E118" i="3" s="1"/>
  <c r="D117" i="3"/>
  <c r="D118" i="3" s="1"/>
  <c r="C117" i="3"/>
  <c r="C118" i="3" s="1"/>
  <c r="I115" i="3"/>
  <c r="I116" i="3" s="1"/>
  <c r="H115" i="3"/>
  <c r="H116" i="3" s="1"/>
  <c r="G115" i="3"/>
  <c r="G116" i="3" s="1"/>
  <c r="F115" i="3"/>
  <c r="F116" i="3" s="1"/>
  <c r="E115" i="3"/>
  <c r="E116" i="3" s="1"/>
  <c r="D115" i="3"/>
  <c r="D116" i="3" s="1"/>
  <c r="C115" i="3"/>
  <c r="C116" i="3" s="1"/>
  <c r="I65" i="3"/>
  <c r="H65" i="3"/>
  <c r="G65" i="3"/>
  <c r="F65" i="3"/>
  <c r="E65" i="3"/>
  <c r="D65" i="3"/>
  <c r="C65" i="3"/>
  <c r="I61" i="3"/>
  <c r="I121" i="3" s="1"/>
  <c r="H61" i="3"/>
  <c r="H121" i="3" s="1"/>
  <c r="G61" i="3"/>
  <c r="G121" i="3" s="1"/>
  <c r="F61" i="3"/>
  <c r="F121" i="3" s="1"/>
  <c r="E61" i="3"/>
  <c r="D61" i="3"/>
  <c r="C61" i="3"/>
  <c r="I51" i="3"/>
  <c r="H51" i="3"/>
  <c r="G51" i="3"/>
  <c r="F51" i="3"/>
  <c r="E51" i="3"/>
  <c r="D51" i="3"/>
  <c r="C51" i="3"/>
  <c r="I41" i="3"/>
  <c r="H41" i="3"/>
  <c r="G41" i="3"/>
  <c r="F41" i="3"/>
  <c r="E41" i="3"/>
  <c r="D41" i="3"/>
  <c r="C41" i="3"/>
  <c r="I26" i="3"/>
  <c r="H26" i="3"/>
  <c r="G26" i="3"/>
  <c r="F26" i="3"/>
  <c r="E26" i="3"/>
  <c r="D26" i="3"/>
  <c r="C26" i="3"/>
  <c r="I24" i="3"/>
  <c r="H24" i="3"/>
  <c r="G24" i="3"/>
  <c r="F24" i="3"/>
  <c r="E24" i="3"/>
  <c r="D24" i="3"/>
  <c r="C24" i="3"/>
  <c r="I22" i="3"/>
  <c r="H22" i="3"/>
  <c r="G22" i="3"/>
  <c r="F22" i="3"/>
  <c r="E22" i="3"/>
  <c r="D22" i="3"/>
  <c r="C22" i="3"/>
  <c r="I20" i="3"/>
  <c r="H20" i="3"/>
  <c r="G20" i="3"/>
  <c r="F20" i="3"/>
  <c r="E20" i="3"/>
  <c r="D20" i="3"/>
  <c r="C20" i="3"/>
  <c r="I11" i="3"/>
  <c r="I113" i="3" s="1"/>
  <c r="I114" i="3" s="1"/>
  <c r="H11" i="3"/>
  <c r="H113" i="3" s="1"/>
  <c r="H114" i="3" s="1"/>
  <c r="G11" i="3"/>
  <c r="G113" i="3" s="1"/>
  <c r="G114" i="3" s="1"/>
  <c r="F11" i="3"/>
  <c r="F113" i="3" s="1"/>
  <c r="F114" i="3" s="1"/>
  <c r="E11" i="3"/>
  <c r="E113" i="3" s="1"/>
  <c r="E114" i="3" s="1"/>
  <c r="D11" i="3"/>
  <c r="D113" i="3" s="1"/>
  <c r="D114" i="3" s="1"/>
  <c r="C11" i="3"/>
  <c r="C113" i="3" s="1"/>
  <c r="C114" i="3" s="1"/>
  <c r="I7" i="3"/>
  <c r="H7" i="3"/>
  <c r="G7" i="3"/>
  <c r="F7" i="3"/>
  <c r="E7" i="3"/>
  <c r="D7" i="3"/>
  <c r="C7" i="3"/>
  <c r="J7" i="3"/>
  <c r="J11" i="3"/>
  <c r="J113" i="3" s="1"/>
  <c r="J114" i="3" s="1"/>
  <c r="J20" i="3"/>
  <c r="J22" i="3"/>
  <c r="J24" i="3"/>
  <c r="J26" i="3"/>
  <c r="J65" i="3"/>
  <c r="J115" i="3"/>
  <c r="J116" i="3" s="1"/>
  <c r="J117" i="3"/>
  <c r="J118" i="3"/>
  <c r="J119" i="3"/>
  <c r="J120" i="3"/>
  <c r="J121" i="3"/>
  <c r="J122" i="3"/>
  <c r="J123" i="3" s="1"/>
  <c r="J124" i="3"/>
  <c r="J125" i="3" s="1"/>
  <c r="J126" i="3"/>
  <c r="J127" i="3" s="1"/>
  <c r="J128" i="3"/>
  <c r="J129" i="3" s="1"/>
  <c r="J133" i="3"/>
  <c r="J135" i="3"/>
  <c r="J141" i="3"/>
  <c r="J142" i="3"/>
  <c r="Q7" i="3"/>
  <c r="M138" i="1"/>
  <c r="M135" i="1"/>
  <c r="M133" i="1"/>
  <c r="O128" i="1"/>
  <c r="O129" i="1" s="1"/>
  <c r="O126" i="1"/>
  <c r="O127" i="1" s="1"/>
  <c r="O124" i="1"/>
  <c r="O125" i="1" s="1"/>
  <c r="O122" i="1"/>
  <c r="O123" i="1" s="1"/>
  <c r="O121" i="1"/>
  <c r="O119" i="1"/>
  <c r="O120" i="1" s="1"/>
  <c r="O117" i="1"/>
  <c r="O118" i="1" s="1"/>
  <c r="O115" i="1"/>
  <c r="O116" i="1" s="1"/>
  <c r="O114" i="1"/>
  <c r="N128" i="1"/>
  <c r="N129" i="1" s="1"/>
  <c r="N126" i="1"/>
  <c r="N127" i="1" s="1"/>
  <c r="N125" i="1"/>
  <c r="N124" i="1"/>
  <c r="N123" i="1"/>
  <c r="N122" i="1"/>
  <c r="N121" i="1"/>
  <c r="N119" i="1"/>
  <c r="N120" i="1" s="1"/>
  <c r="N117" i="1"/>
  <c r="N118" i="1" s="1"/>
  <c r="N115" i="1"/>
  <c r="N116" i="1" s="1"/>
  <c r="N114" i="1"/>
  <c r="M128" i="1"/>
  <c r="M129" i="1" s="1"/>
  <c r="M126" i="1"/>
  <c r="M127" i="1" s="1"/>
  <c r="M124" i="1"/>
  <c r="M125" i="1" s="1"/>
  <c r="M66" i="1"/>
  <c r="M122" i="1" s="1"/>
  <c r="M123" i="1" s="1"/>
  <c r="M119" i="1"/>
  <c r="M117" i="1"/>
  <c r="M118" i="1" s="1"/>
  <c r="M115" i="1"/>
  <c r="M116" i="1" s="1"/>
  <c r="M62" i="1"/>
  <c r="M121" i="1" s="1"/>
  <c r="M52" i="1"/>
  <c r="M42" i="1"/>
  <c r="M157" i="1"/>
  <c r="L157" i="1"/>
  <c r="M156" i="1"/>
  <c r="L156" i="1"/>
  <c r="L152" i="1"/>
  <c r="M152" i="1"/>
  <c r="L151" i="1"/>
  <c r="M151" i="1"/>
  <c r="L150" i="1"/>
  <c r="M150" i="1"/>
  <c r="L148" i="1"/>
  <c r="M148" i="1"/>
  <c r="L147" i="1"/>
  <c r="M147" i="1"/>
  <c r="L145" i="1"/>
  <c r="M145" i="1"/>
  <c r="L144" i="1"/>
  <c r="M144" i="1"/>
  <c r="M27" i="1"/>
  <c r="M25" i="1"/>
  <c r="M23" i="1"/>
  <c r="M21" i="1"/>
  <c r="M12" i="1"/>
  <c r="M7" i="1"/>
  <c r="N14" i="3"/>
  <c r="Q14" i="3"/>
  <c r="N10" i="3"/>
  <c r="Q10" i="3"/>
  <c r="P14" i="3"/>
  <c r="P10" i="3"/>
  <c r="P26" i="3"/>
  <c r="D126" i="1"/>
  <c r="D127" i="1" s="1"/>
  <c r="E126" i="1"/>
  <c r="E127" i="1" s="1"/>
  <c r="F126" i="1"/>
  <c r="F127" i="1" s="1"/>
  <c r="G126" i="1"/>
  <c r="G127" i="1" s="1"/>
  <c r="H126" i="1"/>
  <c r="H127" i="1" s="1"/>
  <c r="I126" i="1"/>
  <c r="I127" i="1" s="1"/>
  <c r="J126" i="1"/>
  <c r="J127" i="1" s="1"/>
  <c r="K126" i="1"/>
  <c r="K127" i="1" s="1"/>
  <c r="L126" i="1"/>
  <c r="L127" i="1" s="1"/>
  <c r="C126" i="1"/>
  <c r="C127" i="1" s="1"/>
  <c r="L66" i="1"/>
  <c r="L122" i="1" s="1"/>
  <c r="L123" i="1" s="1"/>
  <c r="D66" i="1"/>
  <c r="D122" i="1" s="1"/>
  <c r="D123" i="1" s="1"/>
  <c r="E66" i="1"/>
  <c r="E122" i="1" s="1"/>
  <c r="E123" i="1" s="1"/>
  <c r="F66" i="1"/>
  <c r="F122" i="1" s="1"/>
  <c r="F123" i="1" s="1"/>
  <c r="G66" i="1"/>
  <c r="G122" i="1" s="1"/>
  <c r="G123" i="1" s="1"/>
  <c r="H66" i="1"/>
  <c r="H122" i="1" s="1"/>
  <c r="H123" i="1" s="1"/>
  <c r="I66" i="1"/>
  <c r="I122" i="1" s="1"/>
  <c r="I123" i="1" s="1"/>
  <c r="J66" i="1"/>
  <c r="J122" i="1" s="1"/>
  <c r="J123" i="1" s="1"/>
  <c r="K66" i="1"/>
  <c r="K122" i="1" s="1"/>
  <c r="K123" i="1" s="1"/>
  <c r="C66" i="1"/>
  <c r="C122" i="1" s="1"/>
  <c r="C123" i="1" s="1"/>
  <c r="L128" i="1"/>
  <c r="L129" i="1" s="1"/>
  <c r="L124" i="1"/>
  <c r="L125" i="1" s="1"/>
  <c r="D157" i="1"/>
  <c r="E157" i="1"/>
  <c r="F157" i="1"/>
  <c r="G157" i="1"/>
  <c r="H157" i="1"/>
  <c r="I157" i="1"/>
  <c r="J157" i="1"/>
  <c r="K157" i="1"/>
  <c r="C157" i="1"/>
  <c r="C119" i="1"/>
  <c r="D119" i="1"/>
  <c r="E119" i="1"/>
  <c r="F119" i="1"/>
  <c r="G119" i="1"/>
  <c r="H119" i="1"/>
  <c r="I119" i="1"/>
  <c r="J119" i="1"/>
  <c r="L119" i="1"/>
  <c r="K119" i="1"/>
  <c r="L117" i="1"/>
  <c r="L118" i="1" s="1"/>
  <c r="L115" i="1"/>
  <c r="L116" i="1" s="1"/>
  <c r="C62" i="1"/>
  <c r="C121" i="1" s="1"/>
  <c r="D62" i="1"/>
  <c r="D121" i="1" s="1"/>
  <c r="E62" i="1"/>
  <c r="F62" i="1"/>
  <c r="G62" i="1"/>
  <c r="H62" i="1"/>
  <c r="I62" i="1"/>
  <c r="J62" i="1"/>
  <c r="L62" i="1"/>
  <c r="L121" i="1" s="1"/>
  <c r="K62" i="1"/>
  <c r="L52" i="1"/>
  <c r="L42" i="1"/>
  <c r="C27" i="1"/>
  <c r="C25" i="1"/>
  <c r="C23" i="1"/>
  <c r="C21" i="1"/>
  <c r="C135" i="1"/>
  <c r="D135" i="1"/>
  <c r="E135" i="1"/>
  <c r="D27" i="1"/>
  <c r="E27" i="1"/>
  <c r="F27" i="1"/>
  <c r="G27" i="1"/>
  <c r="D25" i="1"/>
  <c r="E25" i="1"/>
  <c r="F25" i="1"/>
  <c r="G25" i="1"/>
  <c r="D23" i="1"/>
  <c r="E23" i="1"/>
  <c r="F23" i="1"/>
  <c r="G23" i="1"/>
  <c r="D21" i="1"/>
  <c r="E21" i="1"/>
  <c r="F21" i="1"/>
  <c r="G21" i="1"/>
  <c r="F135" i="1"/>
  <c r="G135" i="1"/>
  <c r="C133" i="1"/>
  <c r="D133" i="1"/>
  <c r="E133" i="1"/>
  <c r="F133" i="1"/>
  <c r="G133" i="1"/>
  <c r="I135" i="1"/>
  <c r="J135" i="1"/>
  <c r="K135" i="1"/>
  <c r="L135" i="1"/>
  <c r="I27" i="1"/>
  <c r="J27" i="1"/>
  <c r="K27" i="1"/>
  <c r="L27" i="1"/>
  <c r="H27" i="1"/>
  <c r="I25" i="1"/>
  <c r="J25" i="1"/>
  <c r="K25" i="1"/>
  <c r="L25" i="1"/>
  <c r="H25" i="1"/>
  <c r="I23" i="1"/>
  <c r="J23" i="1"/>
  <c r="K23" i="1"/>
  <c r="L23" i="1"/>
  <c r="H23" i="1"/>
  <c r="I21" i="1"/>
  <c r="J21" i="1"/>
  <c r="K21" i="1"/>
  <c r="L21" i="1"/>
  <c r="H21" i="1"/>
  <c r="H135" i="1"/>
  <c r="I133" i="1"/>
  <c r="J133" i="1"/>
  <c r="K133" i="1"/>
  <c r="L133" i="1"/>
  <c r="H133" i="1"/>
  <c r="L138" i="1"/>
  <c r="L12" i="1"/>
  <c r="L113" i="1" s="1"/>
  <c r="L114" i="1" s="1"/>
  <c r="L7" i="1"/>
  <c r="L155" i="1" s="1"/>
  <c r="E152" i="1"/>
  <c r="F152" i="1"/>
  <c r="G152" i="1"/>
  <c r="H152" i="1"/>
  <c r="I152" i="1"/>
  <c r="J152" i="1"/>
  <c r="K152" i="1"/>
  <c r="D152" i="1"/>
  <c r="D12" i="1"/>
  <c r="D113" i="1" s="1"/>
  <c r="E12" i="1"/>
  <c r="E113" i="1" s="1"/>
  <c r="F12" i="1"/>
  <c r="F113" i="1" s="1"/>
  <c r="G12" i="1"/>
  <c r="G113" i="1" s="1"/>
  <c r="H12" i="1"/>
  <c r="H113" i="1" s="1"/>
  <c r="I12" i="1"/>
  <c r="J12" i="1"/>
  <c r="K12" i="1"/>
  <c r="C12" i="1"/>
  <c r="C113" i="1" s="1"/>
  <c r="D138" i="1"/>
  <c r="E138" i="1"/>
  <c r="F138" i="1"/>
  <c r="G138" i="1"/>
  <c r="H138" i="1"/>
  <c r="I138" i="1"/>
  <c r="J138" i="1"/>
  <c r="K138" i="1"/>
  <c r="C138" i="1"/>
  <c r="D156" i="1"/>
  <c r="E156" i="1"/>
  <c r="F156" i="1"/>
  <c r="G156" i="1"/>
  <c r="H156" i="1"/>
  <c r="I156" i="1"/>
  <c r="J156" i="1"/>
  <c r="K156" i="1"/>
  <c r="C156" i="1"/>
  <c r="E151" i="1"/>
  <c r="F151" i="1"/>
  <c r="G151" i="1"/>
  <c r="H151" i="1"/>
  <c r="I151" i="1"/>
  <c r="J151" i="1"/>
  <c r="K151" i="1"/>
  <c r="D151" i="1"/>
  <c r="E150" i="1"/>
  <c r="F150" i="1"/>
  <c r="G150" i="1"/>
  <c r="H150" i="1"/>
  <c r="I150" i="1"/>
  <c r="J150" i="1"/>
  <c r="K150" i="1"/>
  <c r="D150" i="1"/>
  <c r="E148" i="1"/>
  <c r="F148" i="1"/>
  <c r="G148" i="1"/>
  <c r="H148" i="1"/>
  <c r="I148" i="1"/>
  <c r="J148" i="1"/>
  <c r="K148" i="1"/>
  <c r="E147" i="1"/>
  <c r="F147" i="1"/>
  <c r="G147" i="1"/>
  <c r="H147" i="1"/>
  <c r="I147" i="1"/>
  <c r="J147" i="1"/>
  <c r="K147" i="1"/>
  <c r="D147" i="1"/>
  <c r="D148" i="1"/>
  <c r="E145" i="1"/>
  <c r="F145" i="1"/>
  <c r="G145" i="1"/>
  <c r="H145" i="1"/>
  <c r="I145" i="1"/>
  <c r="J145" i="1"/>
  <c r="K145" i="1"/>
  <c r="D145" i="1"/>
  <c r="E144" i="1"/>
  <c r="F144" i="1"/>
  <c r="G144" i="1"/>
  <c r="H144" i="1"/>
  <c r="I144" i="1"/>
  <c r="J144" i="1"/>
  <c r="K144" i="1"/>
  <c r="D144" i="1"/>
  <c r="P5" i="3"/>
  <c r="P6" i="3"/>
  <c r="P8" i="3"/>
  <c r="P9" i="3"/>
  <c r="P12" i="3"/>
  <c r="P13" i="3"/>
  <c r="P15" i="3"/>
  <c r="P16" i="3"/>
  <c r="P17" i="3"/>
  <c r="P18" i="3"/>
  <c r="P19" i="3"/>
  <c r="P21" i="3"/>
  <c r="P23" i="3"/>
  <c r="P3" i="3"/>
  <c r="Q5" i="3"/>
  <c r="Q6" i="3"/>
  <c r="Q8" i="3"/>
  <c r="Q9" i="3"/>
  <c r="Q12" i="3"/>
  <c r="Q13" i="3"/>
  <c r="Q15" i="3"/>
  <c r="Q16" i="3"/>
  <c r="Q17" i="3"/>
  <c r="Q18" i="3"/>
  <c r="Q19" i="3"/>
  <c r="Q21" i="3"/>
  <c r="Q23" i="3"/>
  <c r="Q3" i="3"/>
  <c r="N21" i="3"/>
  <c r="N25" i="3" s="1"/>
  <c r="N19" i="3"/>
  <c r="N23" i="3" s="1"/>
  <c r="N13" i="3"/>
  <c r="N15" i="3"/>
  <c r="N16" i="3"/>
  <c r="N17" i="3"/>
  <c r="N18" i="3"/>
  <c r="N8" i="3"/>
  <c r="N9" i="3"/>
  <c r="N12" i="3"/>
  <c r="N6" i="3"/>
  <c r="N5" i="3"/>
  <c r="P7" i="3"/>
  <c r="D128" i="1"/>
  <c r="D129" i="1" s="1"/>
  <c r="E128" i="1"/>
  <c r="E129" i="1" s="1"/>
  <c r="F128" i="1"/>
  <c r="F129" i="1" s="1"/>
  <c r="G128" i="1"/>
  <c r="G129" i="1" s="1"/>
  <c r="H128" i="1"/>
  <c r="H129" i="1" s="1"/>
  <c r="I128" i="1"/>
  <c r="I129" i="1" s="1"/>
  <c r="J128" i="1"/>
  <c r="J129" i="1" s="1"/>
  <c r="K128" i="1"/>
  <c r="K129" i="1" s="1"/>
  <c r="C128" i="1"/>
  <c r="C129" i="1" s="1"/>
  <c r="J124" i="1"/>
  <c r="J125" i="1" s="1"/>
  <c r="K124" i="1"/>
  <c r="K125" i="1" s="1"/>
  <c r="D124" i="1"/>
  <c r="D125" i="1" s="1"/>
  <c r="E124" i="1"/>
  <c r="E125" i="1" s="1"/>
  <c r="F124" i="1"/>
  <c r="F125" i="1" s="1"/>
  <c r="G124" i="1"/>
  <c r="G125" i="1" s="1"/>
  <c r="H124" i="1"/>
  <c r="H125" i="1" s="1"/>
  <c r="I124" i="1"/>
  <c r="I125" i="1" s="1"/>
  <c r="C124" i="1"/>
  <c r="C125" i="1" s="1"/>
  <c r="D117" i="1"/>
  <c r="E117" i="1"/>
  <c r="F117" i="1"/>
  <c r="G117" i="1"/>
  <c r="H117" i="1"/>
  <c r="I117" i="1"/>
  <c r="J117" i="1"/>
  <c r="K117" i="1"/>
  <c r="C117" i="1"/>
  <c r="K115" i="1"/>
  <c r="K116" i="1" s="1"/>
  <c r="D115" i="1"/>
  <c r="D116" i="1" s="1"/>
  <c r="E115" i="1"/>
  <c r="E116" i="1" s="1"/>
  <c r="F115" i="1"/>
  <c r="F116" i="1" s="1"/>
  <c r="G115" i="1"/>
  <c r="G116" i="1" s="1"/>
  <c r="H115" i="1"/>
  <c r="H116" i="1" s="1"/>
  <c r="I115" i="1"/>
  <c r="I116" i="1" s="1"/>
  <c r="J115" i="1"/>
  <c r="J116" i="1" s="1"/>
  <c r="C115" i="1"/>
  <c r="C116" i="1" s="1"/>
  <c r="E7" i="1"/>
  <c r="E155" i="1" s="1"/>
  <c r="K52" i="1"/>
  <c r="K42" i="1"/>
  <c r="J52" i="1"/>
  <c r="J42" i="1"/>
  <c r="I52" i="1"/>
  <c r="I42" i="1"/>
  <c r="G52" i="1"/>
  <c r="H52" i="1"/>
  <c r="G42" i="1"/>
  <c r="H42" i="1"/>
  <c r="E52" i="1"/>
  <c r="F52" i="1"/>
  <c r="E42" i="1"/>
  <c r="F42" i="1"/>
  <c r="D52" i="1"/>
  <c r="C52" i="1"/>
  <c r="D42" i="1"/>
  <c r="C42" i="1"/>
  <c r="K7" i="1"/>
  <c r="J7" i="1"/>
  <c r="I7" i="1"/>
  <c r="I155" i="1" s="1"/>
  <c r="H7" i="1"/>
  <c r="G7" i="1"/>
  <c r="F7" i="1"/>
  <c r="F155" i="1" s="1"/>
  <c r="D7" i="1"/>
  <c r="D155" i="1" s="1"/>
  <c r="C7" i="1"/>
  <c r="L146" i="1" l="1"/>
  <c r="K113" i="1"/>
  <c r="L149" i="1"/>
  <c r="I120" i="3"/>
  <c r="H120" i="3"/>
  <c r="F120" i="3"/>
  <c r="G120" i="3"/>
  <c r="M120" i="1"/>
  <c r="M149" i="1"/>
  <c r="M113" i="1"/>
  <c r="M114" i="1" s="1"/>
  <c r="M155" i="1"/>
  <c r="M146" i="1"/>
  <c r="R10" i="3"/>
  <c r="N20" i="3"/>
  <c r="N24" i="3" s="1"/>
  <c r="N22" i="3"/>
  <c r="N26" i="3" s="1"/>
  <c r="R14" i="3"/>
  <c r="Q26" i="3"/>
  <c r="R26" i="3" s="1"/>
  <c r="L120" i="1"/>
  <c r="E114" i="1"/>
  <c r="F114" i="1"/>
  <c r="C114" i="1"/>
  <c r="D114" i="1"/>
  <c r="G114" i="1"/>
  <c r="J113" i="1"/>
  <c r="J114" i="1" s="1"/>
  <c r="I113" i="1"/>
  <c r="I114" i="1" s="1"/>
  <c r="H114" i="1"/>
  <c r="K114" i="1"/>
  <c r="R16" i="3"/>
  <c r="R6" i="3"/>
  <c r="R21" i="3"/>
  <c r="P11" i="3"/>
  <c r="R23" i="3"/>
  <c r="D120" i="1"/>
  <c r="C120" i="1"/>
  <c r="G121" i="1"/>
  <c r="F121" i="1"/>
  <c r="E121" i="1"/>
  <c r="K121" i="1"/>
  <c r="H121" i="1"/>
  <c r="F120" i="1"/>
  <c r="E120" i="1"/>
  <c r="J120" i="1"/>
  <c r="K120" i="1"/>
  <c r="I121" i="1"/>
  <c r="G120" i="1"/>
  <c r="I120" i="1"/>
  <c r="J121" i="1"/>
  <c r="H120" i="1"/>
  <c r="J118" i="1"/>
  <c r="G118" i="1"/>
  <c r="F118" i="1"/>
  <c r="E118" i="1"/>
  <c r="C118" i="1"/>
  <c r="D118" i="1"/>
  <c r="I118" i="1"/>
  <c r="K118" i="1"/>
  <c r="H118" i="1"/>
  <c r="E149" i="1"/>
  <c r="H146" i="1"/>
  <c r="D146" i="1"/>
  <c r="C155" i="1"/>
  <c r="F149" i="1"/>
  <c r="I146" i="1"/>
  <c r="F146" i="1"/>
  <c r="G155" i="1"/>
  <c r="J146" i="1"/>
  <c r="D149" i="1"/>
  <c r="K155" i="1"/>
  <c r="J155" i="1"/>
  <c r="H155" i="1"/>
  <c r="E146" i="1"/>
  <c r="I149" i="1"/>
  <c r="G146" i="1"/>
  <c r="H149" i="1"/>
  <c r="G149" i="1"/>
  <c r="K146" i="1"/>
  <c r="K149" i="1"/>
  <c r="J149" i="1"/>
  <c r="R13" i="3"/>
  <c r="R17" i="3"/>
  <c r="R18" i="3"/>
  <c r="R12" i="3"/>
  <c r="R9" i="3"/>
  <c r="R5" i="3"/>
  <c r="R19" i="3"/>
  <c r="R15" i="3"/>
  <c r="R8" i="3"/>
  <c r="R7" i="3"/>
  <c r="Q11" i="3"/>
  <c r="N7" i="3"/>
  <c r="N11" i="3"/>
  <c r="D3" i="1"/>
  <c r="E3" i="1" s="1"/>
  <c r="F3" i="1" s="1"/>
  <c r="G3" i="1" s="1"/>
  <c r="H3" i="1" s="1"/>
  <c r="I3" i="1" s="1"/>
  <c r="J3" i="1" s="1"/>
  <c r="R1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tc={29FC7FD2-5F9A-5C4F-BF8E-3E5CCBBE01EB}</author>
    <author>tc={99CB6D0C-F252-AD47-9174-81F4A7883F6D}</author>
    <author>tc={20862E9D-9DF4-6C49-AC66-E72F2C0DA1C7}</author>
    <author>tc={2BBFC279-0AE8-CC41-8651-7C9F770A0136}</author>
  </authors>
  <commentList>
    <comment ref="C121" authorId="0" shapeId="0" xr:uid="{29FC7FD2-5F9A-5C4F-BF8E-3E5CCBBE01E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company had $87M in convertible debt that has been subtracted</t>
      </text>
    </comment>
    <comment ref="D121" authorId="1" shapeId="0" xr:uid="{99CB6D0C-F252-AD47-9174-81F4A7883F6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company had $31M in convertible debt that has been subtracted</t>
      </text>
    </comment>
    <comment ref="B139" authorId="2" shapeId="0" xr:uid="{20862E9D-9DF4-6C49-AC66-E72F2C0DA1C7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number</t>
      </text>
    </comment>
    <comment ref="B140" authorId="3" shapeId="0" xr:uid="{2BBFC279-0AE8-CC41-8651-7C9F770A0136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stock split factor. in this case they split first 4:1 and then 10:1 so older values will be 4*10</t>
      </text>
    </comment>
  </commentList>
</comments>
</file>

<file path=xl/sharedStrings.xml><?xml version="1.0" encoding="utf-8"?>
<sst xmlns="http://schemas.openxmlformats.org/spreadsheetml/2006/main" count="325" uniqueCount="182">
  <si>
    <t>Date</t>
  </si>
  <si>
    <t>FY</t>
  </si>
  <si>
    <t>Ticker</t>
  </si>
  <si>
    <t>Units</t>
  </si>
  <si>
    <t>Shares outstanding</t>
  </si>
  <si>
    <t>M</t>
  </si>
  <si>
    <t>Income statement</t>
  </si>
  <si>
    <t>Revenue</t>
  </si>
  <si>
    <t>COGS</t>
  </si>
  <si>
    <t>Gross Profit</t>
  </si>
  <si>
    <t>R&amp;D</t>
  </si>
  <si>
    <t>SG&amp;A</t>
  </si>
  <si>
    <t>OpEx</t>
  </si>
  <si>
    <t>Operating income</t>
  </si>
  <si>
    <t>Income before taxes</t>
  </si>
  <si>
    <t>Net income</t>
  </si>
  <si>
    <t>Basic Shares outstanding avg</t>
  </si>
  <si>
    <t>Diluted Shares outstanding avg</t>
  </si>
  <si>
    <t>Basic EPS</t>
  </si>
  <si>
    <t>Diluted EPS</t>
  </si>
  <si>
    <t>Balance sheet</t>
  </si>
  <si>
    <t>Cash and cash equivalents</t>
  </si>
  <si>
    <t>Acc receivable</t>
  </si>
  <si>
    <t>Inventories</t>
  </si>
  <si>
    <t>Other current assets</t>
  </si>
  <si>
    <t>Current assets</t>
  </si>
  <si>
    <t>PP&amp;E</t>
  </si>
  <si>
    <t>Goodwill</t>
  </si>
  <si>
    <t>Other assets</t>
  </si>
  <si>
    <t>Long term assets</t>
  </si>
  <si>
    <t>Total assets</t>
  </si>
  <si>
    <t>Acc payable</t>
  </si>
  <si>
    <t>Short-term debt</t>
  </si>
  <si>
    <t>Long-term debt</t>
  </si>
  <si>
    <t>Other liabilities</t>
  </si>
  <si>
    <t>Long term liabilities</t>
  </si>
  <si>
    <t>Total liabilities</t>
  </si>
  <si>
    <t>Current liabilities</t>
  </si>
  <si>
    <t>Preferred stock par value</t>
  </si>
  <si>
    <t>Common stock par value</t>
  </si>
  <si>
    <t>Retained earnings</t>
  </si>
  <si>
    <t>Other comprehensive income</t>
  </si>
  <si>
    <t>Stockholder equity</t>
  </si>
  <si>
    <t>Total equity</t>
  </si>
  <si>
    <t>Total liabilities and equity</t>
  </si>
  <si>
    <t>Cashflow statement</t>
  </si>
  <si>
    <t>Gains on marketable securities</t>
  </si>
  <si>
    <t>Change acc receivable</t>
  </si>
  <si>
    <t>Change inventories</t>
  </si>
  <si>
    <t>Change acc payable</t>
  </si>
  <si>
    <t>Operating cashflow</t>
  </si>
  <si>
    <t>CapEx</t>
  </si>
  <si>
    <t>Investing cashflow</t>
  </si>
  <si>
    <t>Dividends</t>
  </si>
  <si>
    <t>Financing cashflow</t>
  </si>
  <si>
    <t>Exchange rate change effect</t>
  </si>
  <si>
    <t>Net increase/decrease in cash</t>
  </si>
  <si>
    <t>Begin cash</t>
  </si>
  <si>
    <t>End cash</t>
  </si>
  <si>
    <t>Sanity checks</t>
  </si>
  <si>
    <t>Calculated Net Income</t>
  </si>
  <si>
    <t>Check Net Income</t>
  </si>
  <si>
    <t>Calculated Assets</t>
  </si>
  <si>
    <t>Check Assets</t>
  </si>
  <si>
    <t xml:space="preserve">Calculated Liabilities </t>
  </si>
  <si>
    <t>Check Liabilities</t>
  </si>
  <si>
    <t>Calculated Stockholder Equity</t>
  </si>
  <si>
    <t>Check Stockholder Equity</t>
  </si>
  <si>
    <t>Calculated Operating Cashflow</t>
  </si>
  <si>
    <t>Check Operating Cashflow</t>
  </si>
  <si>
    <t>Calculated Investing Cashflow</t>
  </si>
  <si>
    <t>Check Investing Cashflow</t>
  </si>
  <si>
    <t>Calculated Financing Cashflow</t>
  </si>
  <si>
    <t>Check Financing Cashflow</t>
  </si>
  <si>
    <t>Check End Cash</t>
  </si>
  <si>
    <t>Calculated End Cash</t>
  </si>
  <si>
    <t>Other data</t>
  </si>
  <si>
    <t>Check balance</t>
  </si>
  <si>
    <t>Q</t>
  </si>
  <si>
    <t>Q1 2025</t>
  </si>
  <si>
    <t>Q2 2025</t>
  </si>
  <si>
    <t>Q3 2025</t>
  </si>
  <si>
    <t>Dividends per share</t>
  </si>
  <si>
    <t>Income tax expense/benefit</t>
  </si>
  <si>
    <t>Price</t>
  </si>
  <si>
    <t>TTM</t>
  </si>
  <si>
    <t>Quarter compare</t>
  </si>
  <si>
    <t>Growth Rate</t>
  </si>
  <si>
    <t>Revenue Lower</t>
  </si>
  <si>
    <t>Revenue Upper</t>
  </si>
  <si>
    <t>Result</t>
  </si>
  <si>
    <t>EPS Lower</t>
  </si>
  <si>
    <t>EPS Upper</t>
  </si>
  <si>
    <t>Actual Revenue</t>
  </si>
  <si>
    <t>Actual EPS</t>
  </si>
  <si>
    <t>Company guidance next Quarter</t>
  </si>
  <si>
    <t>Depreciation</t>
  </si>
  <si>
    <t>Amortization</t>
  </si>
  <si>
    <t>Growth rates Income Statement</t>
  </si>
  <si>
    <t>Margins</t>
  </si>
  <si>
    <t>Gross margin</t>
  </si>
  <si>
    <t>Operating margin</t>
  </si>
  <si>
    <t>Net margin</t>
  </si>
  <si>
    <t>Tax rate</t>
  </si>
  <si>
    <t>Employees</t>
  </si>
  <si>
    <t>31.12.2022</t>
  </si>
  <si>
    <t>25.12.2021</t>
  </si>
  <si>
    <t>26.12.2020</t>
  </si>
  <si>
    <t>28.12.2019</t>
  </si>
  <si>
    <t>29.12.2018</t>
  </si>
  <si>
    <t>30.12.2017</t>
  </si>
  <si>
    <t>31.12.2016</t>
  </si>
  <si>
    <t>Restructuring &amp; Other</t>
  </si>
  <si>
    <t>Investments &amp; Other income net</t>
  </si>
  <si>
    <t>Short term investments</t>
  </si>
  <si>
    <t>Non-controlling interests</t>
  </si>
  <si>
    <t>Repurchase common stock</t>
  </si>
  <si>
    <t>NVDA</t>
  </si>
  <si>
    <t>26.02.2025</t>
  </si>
  <si>
    <t>28.02.2024</t>
  </si>
  <si>
    <t>29.02.2023</t>
  </si>
  <si>
    <t>Acquisition termination cost</t>
  </si>
  <si>
    <t>Interest income</t>
  </si>
  <si>
    <t>Interest expense</t>
  </si>
  <si>
    <t>Stock split factor</t>
  </si>
  <si>
    <t>Split adjusted dividends per share</t>
  </si>
  <si>
    <t>Split adjusted shares outstanding</t>
  </si>
  <si>
    <t>Basic Shares outstanding avg adjusted</t>
  </si>
  <si>
    <t>Diluted Shares outstanding avg adjusted</t>
  </si>
  <si>
    <t>Basic EPS adjusted</t>
  </si>
  <si>
    <t>Diluted EPS adjusted</t>
  </si>
  <si>
    <t>Restructuring &amp; other</t>
  </si>
  <si>
    <t>Operating lease</t>
  </si>
  <si>
    <t>Intangible assets</t>
  </si>
  <si>
    <t>Deferred income tax</t>
  </si>
  <si>
    <t>Accrued other current liabilities</t>
  </si>
  <si>
    <t>Long-term operating lease</t>
  </si>
  <si>
    <t>Additional paid in capital</t>
  </si>
  <si>
    <t>Treasury stock</t>
  </si>
  <si>
    <t>Capital lease obligations</t>
  </si>
  <si>
    <t>Stock-based compensation</t>
  </si>
  <si>
    <t>D&amp;A</t>
  </si>
  <si>
    <t>Other</t>
  </si>
  <si>
    <t>Change prepaid expenses</t>
  </si>
  <si>
    <t>Change accrued &amp; other liabilities</t>
  </si>
  <si>
    <t>Change other long-term liabilities</t>
  </si>
  <si>
    <t>Proceeds maturities marketable sec</t>
  </si>
  <si>
    <t>Proceeds sales marketable sec</t>
  </si>
  <si>
    <t>Proceeds sales non-marketabke sec</t>
  </si>
  <si>
    <t>Purchase marketable sec</t>
  </si>
  <si>
    <t>Purchase non-marketable sec</t>
  </si>
  <si>
    <t>Acquisitions</t>
  </si>
  <si>
    <t>Proceeds employee stock plans</t>
  </si>
  <si>
    <t>Payments tax on restcicted stock units</t>
  </si>
  <si>
    <t>Repayment of debt</t>
  </si>
  <si>
    <t>Principle PP&amp;E and intangibles</t>
  </si>
  <si>
    <t>Gain investments non-affiliates</t>
  </si>
  <si>
    <t>Issuance of debt</t>
  </si>
  <si>
    <t>Early debt conversions</t>
  </si>
  <si>
    <t>Investment in non-affiliates</t>
  </si>
  <si>
    <t>Sale long lived assets</t>
  </si>
  <si>
    <t>Repayment convertible notes</t>
  </si>
  <si>
    <t>Restructuring and other charges</t>
  </si>
  <si>
    <t>Amortization of debt discount</t>
  </si>
  <si>
    <t>Sale long-lived assets &amp; investments</t>
  </si>
  <si>
    <t>Tax benefit stock based compensation</t>
  </si>
  <si>
    <t>Q3 2026</t>
  </si>
  <si>
    <t>19.11.2025</t>
  </si>
  <si>
    <t>Q2 2026</t>
  </si>
  <si>
    <t>27.08.2025</t>
  </si>
  <si>
    <t>Q1 2026</t>
  </si>
  <si>
    <t>28.05.2025</t>
  </si>
  <si>
    <t>Q4 2025</t>
  </si>
  <si>
    <t>20.11.2024</t>
  </si>
  <si>
    <t>28.08.2024</t>
  </si>
  <si>
    <t>29.05.2024</t>
  </si>
  <si>
    <t>Payments employee stock plans</t>
  </si>
  <si>
    <t>25.01.2026</t>
  </si>
  <si>
    <t>Marketable securities</t>
  </si>
  <si>
    <t>Q4 2026</t>
  </si>
  <si>
    <t>25.01.2025</t>
  </si>
  <si>
    <t>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</si>
</sst>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0_);[Red]\(0.00\)"/>
    <numFmt numFmtId="165" formatCode="0.000_);[Red]\(0.000\)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0" tint="-4.9989318521683403E-2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sz val="12"/>
      <color rgb="FF0070C0"/>
      <name val="Aptos Narrow"/>
      <scheme val="minor"/>
    </font>
    <font>
      <sz val="12"/>
      <color rgb="FF0070C0"/>
      <name val="Aptos Narrow"/>
      <family val="2"/>
      <scheme val="minor"/>
    </font>
    <font>
      <b/>
      <sz val="12"/>
      <color rgb="FF0070C0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AD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D9D9D9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92">
    <xf numFmtId="0" fontId="0" fillId="0" borderId="0" xfId="0"/>
    <xf numFmtId="0" fontId="0" fillId="3" borderId="0" xfId="0" applyFill="1"/>
    <xf numFmtId="0" fontId="3" fillId="3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3" borderId="0" xfId="0" applyFont="1" applyFill="1"/>
    <xf numFmtId="0" fontId="3" fillId="2" borderId="0" xfId="0" applyFont="1" applyFill="1"/>
    <xf numFmtId="0" fontId="2" fillId="3" borderId="2" xfId="0" applyFont="1" applyFill="1" applyBorder="1"/>
    <xf numFmtId="0" fontId="1" fillId="3" borderId="0" xfId="0" applyFont="1" applyFill="1"/>
    <xf numFmtId="0" fontId="2" fillId="3" borderId="0" xfId="0" applyFont="1" applyFill="1"/>
    <xf numFmtId="0" fontId="0" fillId="4" borderId="0" xfId="0" applyFill="1"/>
    <xf numFmtId="0" fontId="2" fillId="4" borderId="2" xfId="0" applyFont="1" applyFill="1" applyBorder="1"/>
    <xf numFmtId="0" fontId="1" fillId="4" borderId="0" xfId="0" applyFont="1" applyFill="1"/>
    <xf numFmtId="0" fontId="2" fillId="4" borderId="0" xfId="0" applyFont="1" applyFill="1"/>
    <xf numFmtId="0" fontId="1" fillId="3" borderId="2" xfId="0" applyFont="1" applyFill="1" applyBorder="1"/>
    <xf numFmtId="0" fontId="3" fillId="5" borderId="2" xfId="0" applyFont="1" applyFill="1" applyBorder="1"/>
    <xf numFmtId="0" fontId="4" fillId="5" borderId="2" xfId="0" applyFont="1" applyFill="1" applyBorder="1"/>
    <xf numFmtId="0" fontId="0" fillId="3" borderId="2" xfId="0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1" fillId="4" borderId="2" xfId="0" applyFont="1" applyFill="1" applyBorder="1"/>
    <xf numFmtId="38" fontId="0" fillId="3" borderId="0" xfId="0" applyNumberFormat="1" applyFill="1"/>
    <xf numFmtId="38" fontId="1" fillId="3" borderId="0" xfId="0" applyNumberFormat="1" applyFont="1" applyFill="1"/>
    <xf numFmtId="41" fontId="1" fillId="6" borderId="1" xfId="0" applyNumberFormat="1" applyFont="1" applyFill="1" applyBorder="1"/>
    <xf numFmtId="41" fontId="1" fillId="6" borderId="0" xfId="0" applyNumberFormat="1" applyFont="1" applyFill="1"/>
    <xf numFmtId="41" fontId="1" fillId="7" borderId="1" xfId="0" applyNumberFormat="1" applyFont="1" applyFill="1" applyBorder="1"/>
    <xf numFmtId="164" fontId="2" fillId="3" borderId="0" xfId="0" applyNumberFormat="1" applyFont="1" applyFill="1"/>
    <xf numFmtId="41" fontId="1" fillId="3" borderId="0" xfId="0" applyNumberFormat="1" applyFont="1" applyFill="1"/>
    <xf numFmtId="38" fontId="6" fillId="3" borderId="0" xfId="0" applyNumberFormat="1" applyFont="1" applyFill="1"/>
    <xf numFmtId="0" fontId="6" fillId="3" borderId="0" xfId="0" applyFont="1" applyFill="1"/>
    <xf numFmtId="38" fontId="7" fillId="3" borderId="0" xfId="0" applyNumberFormat="1" applyFont="1" applyFill="1"/>
    <xf numFmtId="164" fontId="6" fillId="3" borderId="0" xfId="0" applyNumberFormat="1" applyFont="1" applyFill="1"/>
    <xf numFmtId="164" fontId="6" fillId="3" borderId="2" xfId="0" applyNumberFormat="1" applyFont="1" applyFill="1" applyBorder="1"/>
    <xf numFmtId="38" fontId="8" fillId="3" borderId="0" xfId="0" applyNumberFormat="1" applyFont="1" applyFill="1"/>
    <xf numFmtId="38" fontId="2" fillId="3" borderId="0" xfId="0" applyNumberFormat="1" applyFont="1" applyFill="1"/>
    <xf numFmtId="4" fontId="0" fillId="3" borderId="0" xfId="0" applyNumberFormat="1" applyFill="1"/>
    <xf numFmtId="0" fontId="0" fillId="8" borderId="0" xfId="0" applyFill="1"/>
    <xf numFmtId="0" fontId="3" fillId="5" borderId="6" xfId="0" applyFont="1" applyFill="1" applyBorder="1" applyAlignment="1">
      <alignment horizontal="center"/>
    </xf>
    <xf numFmtId="38" fontId="0" fillId="3" borderId="7" xfId="0" applyNumberFormat="1" applyFill="1" applyBorder="1"/>
    <xf numFmtId="164" fontId="0" fillId="3" borderId="7" xfId="0" applyNumberFormat="1" applyFill="1" applyBorder="1"/>
    <xf numFmtId="0" fontId="3" fillId="2" borderId="7" xfId="0" applyFont="1" applyFill="1" applyBorder="1" applyAlignment="1">
      <alignment horizontal="right"/>
    </xf>
    <xf numFmtId="0" fontId="3" fillId="2" borderId="7" xfId="0" applyFont="1" applyFill="1" applyBorder="1"/>
    <xf numFmtId="0" fontId="3" fillId="2" borderId="9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right"/>
    </xf>
    <xf numFmtId="0" fontId="3" fillId="2" borderId="12" xfId="0" applyFont="1" applyFill="1" applyBorder="1"/>
    <xf numFmtId="0" fontId="3" fillId="2" borderId="4" xfId="0" applyFont="1" applyFill="1" applyBorder="1"/>
    <xf numFmtId="38" fontId="0" fillId="3" borderId="12" xfId="0" applyNumberFormat="1" applyFill="1" applyBorder="1"/>
    <xf numFmtId="10" fontId="0" fillId="3" borderId="4" xfId="1" applyNumberFormat="1" applyFont="1" applyFill="1" applyBorder="1"/>
    <xf numFmtId="38" fontId="8" fillId="9" borderId="1" xfId="0" applyNumberFormat="1" applyFont="1" applyFill="1" applyBorder="1"/>
    <xf numFmtId="0" fontId="1" fillId="9" borderId="0" xfId="0" applyFont="1" applyFill="1"/>
    <xf numFmtId="0" fontId="1" fillId="9" borderId="1" xfId="0" applyFont="1" applyFill="1" applyBorder="1"/>
    <xf numFmtId="38" fontId="1" fillId="9" borderId="1" xfId="0" applyNumberFormat="1" applyFont="1" applyFill="1" applyBorder="1"/>
    <xf numFmtId="38" fontId="8" fillId="9" borderId="0" xfId="0" applyNumberFormat="1" applyFont="1" applyFill="1"/>
    <xf numFmtId="38" fontId="1" fillId="9" borderId="0" xfId="0" applyNumberFormat="1" applyFont="1" applyFill="1"/>
    <xf numFmtId="0" fontId="1" fillId="9" borderId="2" xfId="0" applyFont="1" applyFill="1" applyBorder="1"/>
    <xf numFmtId="38" fontId="8" fillId="9" borderId="2" xfId="0" applyNumberFormat="1" applyFont="1" applyFill="1" applyBorder="1"/>
    <xf numFmtId="38" fontId="1" fillId="9" borderId="8" xfId="0" applyNumberFormat="1" applyFont="1" applyFill="1" applyBorder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0" fillId="5" borderId="0" xfId="0" applyFill="1"/>
    <xf numFmtId="0" fontId="0" fillId="5" borderId="2" xfId="0" applyFill="1" applyBorder="1"/>
    <xf numFmtId="10" fontId="1" fillId="9" borderId="5" xfId="1" applyNumberFormat="1" applyFont="1" applyFill="1" applyBorder="1"/>
    <xf numFmtId="10" fontId="2" fillId="3" borderId="4" xfId="1" applyNumberFormat="1" applyFont="1" applyFill="1" applyBorder="1"/>
    <xf numFmtId="10" fontId="0" fillId="3" borderId="5" xfId="1" applyNumberFormat="1" applyFont="1" applyFill="1" applyBorder="1"/>
    <xf numFmtId="38" fontId="1" fillId="9" borderId="14" xfId="0" applyNumberFormat="1" applyFont="1" applyFill="1" applyBorder="1"/>
    <xf numFmtId="38" fontId="2" fillId="3" borderId="12" xfId="0" applyNumberFormat="1" applyFont="1" applyFill="1" applyBorder="1"/>
    <xf numFmtId="164" fontId="0" fillId="3" borderId="12" xfId="0" applyNumberFormat="1" applyFill="1" applyBorder="1"/>
    <xf numFmtId="164" fontId="0" fillId="3" borderId="0" xfId="0" applyNumberFormat="1" applyFill="1"/>
    <xf numFmtId="164" fontId="0" fillId="3" borderId="14" xfId="0" applyNumberFormat="1" applyFill="1" applyBorder="1"/>
    <xf numFmtId="164" fontId="0" fillId="3" borderId="1" xfId="0" applyNumberFormat="1" applyFill="1" applyBorder="1"/>
    <xf numFmtId="9" fontId="0" fillId="3" borderId="0" xfId="1" applyFont="1" applyFill="1"/>
    <xf numFmtId="9" fontId="1" fillId="3" borderId="1" xfId="1" applyFont="1" applyFill="1" applyBorder="1"/>
    <xf numFmtId="0" fontId="1" fillId="3" borderId="15" xfId="0" applyFont="1" applyFill="1" applyBorder="1"/>
    <xf numFmtId="0" fontId="1" fillId="4" borderId="15" xfId="0" applyFont="1" applyFill="1" applyBorder="1"/>
    <xf numFmtId="9" fontId="1" fillId="3" borderId="15" xfId="1" applyFont="1" applyFill="1" applyBorder="1"/>
    <xf numFmtId="0" fontId="0" fillId="10" borderId="0" xfId="0" applyFill="1"/>
    <xf numFmtId="0" fontId="1" fillId="10" borderId="0" xfId="0" applyFont="1" applyFill="1"/>
    <xf numFmtId="0" fontId="0" fillId="4" borderId="1" xfId="0" applyFill="1" applyBorder="1"/>
    <xf numFmtId="9" fontId="0" fillId="3" borderId="1" xfId="1" applyFont="1" applyFill="1" applyBorder="1"/>
    <xf numFmtId="0" fontId="0" fillId="3" borderId="1" xfId="0" applyFill="1" applyBorder="1"/>
    <xf numFmtId="10" fontId="6" fillId="3" borderId="0" xfId="0" applyNumberFormat="1" applyFont="1" applyFill="1"/>
    <xf numFmtId="0" fontId="10" fillId="11" borderId="0" xfId="0" applyFont="1" applyFill="1"/>
    <xf numFmtId="0" fontId="0" fillId="7" borderId="0" xfId="0" applyFill="1" applyAlignment="1">
      <alignment horizontal="right"/>
    </xf>
    <xf numFmtId="164" fontId="2" fillId="3" borderId="2" xfId="0" applyNumberFormat="1" applyFont="1" applyFill="1" applyBorder="1"/>
    <xf numFmtId="165" fontId="2" fillId="3" borderId="0" xfId="0" applyNumberFormat="1" applyFont="1" applyFill="1"/>
    <xf numFmtId="0" fontId="11" fillId="11" borderId="0" xfId="0" applyFont="1" applyFill="1"/>
    <xf numFmtId="164" fontId="0" fillId="3" borderId="8" xfId="0" applyNumberFormat="1" applyFill="1" applyBorder="1"/>
    <xf numFmtId="10" fontId="2" fillId="3" borderId="0" xfId="0" applyNumberFormat="1" applyFont="1" applyFill="1"/>
    <xf numFmtId="3" fontId="0" fillId="3" borderId="0" xfId="0" applyNumberFormat="1" applyFill="1"/>
    <xf numFmtId="0" fontId="3" fillId="5" borderId="1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A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Volumes/KINGSTON/MyStockData/Finance-StockLists/1.%20List_AutomaticData.xlsx" TargetMode="External"/><Relationship Id="rId1" Type="http://schemas.openxmlformats.org/officeDocument/2006/relationships/externalLinkPath" Target="1.%20List_Automatic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1. List_AutomaticData"/>
    </sheetNames>
    <sheetDataSet>
      <sheetData sheetId="0">
        <row r="6">
          <cell r="C6">
            <v>224.36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di dumitras" id="{C1312E89-78DF-2C41-9F37-0481EBE70D1D}" userId="b24535bb88af1c4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1" dT="2025-12-22T13:49:56.35" personId="{C1312E89-78DF-2C41-9F37-0481EBE70D1D}" id="{29FC7FD2-5F9A-5C4F-BF8E-3E5CCBBE01EB}">
    <text>The company had $87M in convertible debt that has been subtracted</text>
  </threadedComment>
  <threadedComment ref="D121" dT="2025-12-22T13:50:10.75" personId="{C1312E89-78DF-2C41-9F37-0481EBE70D1D}" id="{99CB6D0C-F252-AD47-9174-81F4A7883F6D}">
    <text>The company had $31M in convertible debt that has been subtracted</text>
  </threadedComment>
  <threadedComment ref="B139" dT="2026-04-18T21:58:38.68" personId="{C1312E89-78DF-2C41-9F37-0481EBE70D1D}" id="{20862E9D-9DF4-6C49-AC66-E72F2C0DA1C7}">
    <text>Actual number</text>
  </threadedComment>
  <threadedComment ref="B140" dT="2025-12-21T17:36:44.92" personId="{C1312E89-78DF-2C41-9F37-0481EBE70D1D}" id="{2BBFC279-0AE8-CC41-8651-7C9F770A0136}">
    <text>Total stock split factor. in this case they split first 4:1 and then 10:1 so older values will be 4*10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0442F6-B781-3744-BD57-82D74EB0F258}">
  <we:reference id="wa200001365" version="2.5.0.0" store="en-US" storeType="OMEX"/>
  <we:alternateReferences>
    <we:reference id="wa200001365" version="2.5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_xldudf_ALPHAVANTAGE_EQUITYQUOTE</we:customFunctionIds>
        <we:customFunctionIds>_xldudf_ALPHAVANTAGE_EQUITYTIMESERIES</we:customFunctionIds>
        <we:customFunctionIds>_xldudf_ALPHAVANTAGE_INTRADAYEQUITYSERIESUPDATING</we:customFunctionIds>
        <we:customFunctionIds>_xldudf_ALPHAVANTAGE_EXCHANGERATE</we:customFunctionIds>
        <we:customFunctionIds>_xldudf_ALPHAVANTAGE_EXCHANGERATEUPDATING</we:customFunctionIds>
        <we:customFunctionIds>_xldudf_ALPHAVANTAGE_EXCHANGERATESERIES</we:customFunctionIds>
        <we:customFunctionIds>_xldudf_ALPHAVANTAGE_EXCHANGERATESERIESUPDATING</we:customFunctionIds>
        <we:customFunctionIds>_xldudf_ALPHAVANTAGE_TECHNICALINDICATOR</we:customFunctionIds>
        <we:customFunctionIds>_xldudf_ALPHAVANTAGE_SYMBOLSEARCH</we:customFunctionIds>
        <we:customFunctionIds>_xldudf_ALPHAVANTAGE_COMMODITYTIMESERIES</we:customFunctionIds>
        <we:customFunctionIds>_xldudf_ALPHAVANTAGE_AVAILABLECRYPTOCURRENCIES</we:customFunctionIds>
        <we:customFunctionIds>_xldudf_ALPHAVANTAGE_AVAILABLEPHYSICALCURRENCIES</we:customFunctionIds>
        <we:customFunctionIds>_xldudf_ALPHAVANTAGE_COMPANYOVERVIEW</we:customFunctionIds>
        <we:customFunctionIds>_xldudf_ALPHAVANTAGE_COMPANYEARNINGS</we:customFunctionIds>
        <we:customFunctionIds>_xldudf_ALPHAVANTAGE_COMPANYFILINGS</we:customFunctionIds>
        <we:customFunctionIds>_xldudf_ALPHAVANTAGE_LISTINGSTATUS</we:customFunctionIds>
        <we:customFunctionIds>_xldudf_ALPHAVANTAGE_EARNINGSCALENDAR</we:customFunctionIds>
        <we:customFunctionIds>_xldudf_ALPHAVANTAGE_ECONOMICINDICATOR</we:customFunctionIds>
        <we:customFunctionIds>_xldudf_ALPHAVANTAGE_TREASURYYIELD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889E-47F7-E641-9FC7-1CBF49DF9C8A}">
  <dimension ref="B2:E9"/>
  <sheetViews>
    <sheetView tabSelected="1" zoomScale="135" workbookViewId="0">
      <selection activeCell="C3" sqref="C3"/>
    </sheetView>
  </sheetViews>
  <sheetFormatPr baseColWidth="10" defaultRowHeight="16" x14ac:dyDescent="0.2"/>
  <cols>
    <col min="1" max="1" width="10.83203125" style="1"/>
    <col min="2" max="2" width="17.1640625" style="1" customWidth="1"/>
    <col min="3" max="16384" width="10.83203125" style="1"/>
  </cols>
  <sheetData>
    <row r="2" spans="2:5" x14ac:dyDescent="0.2">
      <c r="B2" s="1" t="s">
        <v>2</v>
      </c>
      <c r="C2" s="35" t="s">
        <v>117</v>
      </c>
    </row>
    <row r="3" spans="2:5" x14ac:dyDescent="0.2">
      <c r="B3" s="1" t="s">
        <v>84</v>
      </c>
      <c r="C3" s="34">
        <f>[1]Sheet1!$C$6</f>
        <v>224.36</v>
      </c>
    </row>
    <row r="6" spans="2:5" x14ac:dyDescent="0.2">
      <c r="E6" s="34"/>
    </row>
    <row r="7" spans="2:5" x14ac:dyDescent="0.2">
      <c r="B7" s="1" t="s">
        <v>3</v>
      </c>
      <c r="C7" s="1" t="s">
        <v>5</v>
      </c>
    </row>
    <row r="9" spans="2:5" x14ac:dyDescent="0.2">
      <c r="B9" s="1" t="s">
        <v>181</v>
      </c>
      <c r="C9" s="88">
        <f>C3*'Statement Q'!J133</f>
        <v>5451948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172E-7ADE-4B4A-B533-F037BCFCDCB0}">
  <dimension ref="A1:P158"/>
  <sheetViews>
    <sheetView zoomScale="150" zoomScaleNormal="150" workbookViewId="0">
      <pane xSplit="2" ySplit="3" topLeftCell="H145" activePane="bottomRight" state="frozen"/>
      <selection pane="topRight" activeCell="C1" sqref="C1"/>
      <selection pane="bottomLeft" activeCell="A4" sqref="A4"/>
      <selection pane="bottomRight" activeCell="K134" sqref="K134"/>
    </sheetView>
  </sheetViews>
  <sheetFormatPr baseColWidth="10" defaultRowHeight="16" outlineLevelRow="2" outlineLevelCol="1" x14ac:dyDescent="0.2"/>
  <cols>
    <col min="1" max="1" width="3.6640625" style="1" customWidth="1"/>
    <col min="2" max="2" width="32.1640625" style="9" customWidth="1"/>
    <col min="3" max="4" width="12" style="1" hidden="1" customWidth="1" outlineLevel="1"/>
    <col min="5" max="5" width="10.83203125" style="1" hidden="1" customWidth="1" outlineLevel="1"/>
    <col min="6" max="6" width="12" style="1" hidden="1" customWidth="1" outlineLevel="1"/>
    <col min="7" max="7" width="10.83203125" style="1" hidden="1" customWidth="1" outlineLevel="1"/>
    <col min="8" max="8" width="10.83203125" style="1" customWidth="1" collapsed="1"/>
    <col min="9" max="10" width="10.83203125" style="1" customWidth="1"/>
    <col min="11" max="16384" width="10.83203125" style="1"/>
  </cols>
  <sheetData>
    <row r="1" spans="1:16" x14ac:dyDescent="0.2">
      <c r="B1" s="1"/>
    </row>
    <row r="2" spans="1:16" s="3" customFormat="1" x14ac:dyDescent="0.2">
      <c r="A2" s="2"/>
      <c r="B2" s="57" t="s">
        <v>0</v>
      </c>
      <c r="C2" s="3" t="s">
        <v>111</v>
      </c>
      <c r="D2" s="3" t="s">
        <v>110</v>
      </c>
      <c r="E2" s="3" t="s">
        <v>109</v>
      </c>
      <c r="F2" s="3" t="s">
        <v>108</v>
      </c>
      <c r="G2" s="3" t="s">
        <v>107</v>
      </c>
      <c r="H2" s="3" t="s">
        <v>106</v>
      </c>
      <c r="I2" s="3" t="s">
        <v>105</v>
      </c>
      <c r="J2" s="3" t="s">
        <v>120</v>
      </c>
      <c r="K2" s="3" t="s">
        <v>119</v>
      </c>
      <c r="L2" s="3" t="s">
        <v>118</v>
      </c>
      <c r="M2" s="3" t="s">
        <v>177</v>
      </c>
    </row>
    <row r="3" spans="1:16" s="5" customFormat="1" x14ac:dyDescent="0.2">
      <c r="A3" s="4"/>
      <c r="B3" s="58" t="s">
        <v>1</v>
      </c>
      <c r="C3" s="5">
        <v>2016</v>
      </c>
      <c r="D3" s="5">
        <f>C3+1</f>
        <v>2017</v>
      </c>
      <c r="E3" s="5">
        <f t="shared" ref="E3:J3" si="0">D3+1</f>
        <v>2018</v>
      </c>
      <c r="F3" s="5">
        <f t="shared" si="0"/>
        <v>2019</v>
      </c>
      <c r="G3" s="5">
        <f t="shared" si="0"/>
        <v>2020</v>
      </c>
      <c r="H3" s="5">
        <f t="shared" si="0"/>
        <v>2021</v>
      </c>
      <c r="I3" s="5">
        <f t="shared" si="0"/>
        <v>2022</v>
      </c>
      <c r="J3" s="5">
        <f t="shared" si="0"/>
        <v>2023</v>
      </c>
      <c r="K3" s="5">
        <v>2024</v>
      </c>
      <c r="L3" s="5">
        <v>2025</v>
      </c>
      <c r="M3" s="5">
        <v>2026</v>
      </c>
    </row>
    <row r="4" spans="1:16" s="14" customFormat="1" ht="17" thickBot="1" x14ac:dyDescent="0.25">
      <c r="A4" s="4"/>
      <c r="B4" s="15" t="s">
        <v>6</v>
      </c>
    </row>
    <row r="5" spans="1:16" s="50" customFormat="1" outlineLevel="1" x14ac:dyDescent="0.2">
      <c r="A5" s="7"/>
      <c r="B5" s="17" t="s">
        <v>7</v>
      </c>
      <c r="C5" s="48">
        <v>5010</v>
      </c>
      <c r="D5" s="48">
        <v>6910</v>
      </c>
      <c r="E5" s="48">
        <v>9714</v>
      </c>
      <c r="F5" s="48">
        <v>11716</v>
      </c>
      <c r="G5" s="48">
        <v>10918</v>
      </c>
      <c r="H5" s="48">
        <v>16675</v>
      </c>
      <c r="I5" s="48">
        <v>26914</v>
      </c>
      <c r="J5" s="48">
        <v>26974</v>
      </c>
      <c r="K5" s="48">
        <v>60922</v>
      </c>
      <c r="L5" s="48">
        <v>130497</v>
      </c>
      <c r="M5" s="48">
        <v>215938</v>
      </c>
    </row>
    <row r="6" spans="1:16" outlineLevel="1" x14ac:dyDescent="0.2">
      <c r="B6" s="9" t="s">
        <v>8</v>
      </c>
      <c r="C6" s="27">
        <v>2199</v>
      </c>
      <c r="D6" s="27">
        <v>2847</v>
      </c>
      <c r="E6" s="27">
        <v>3892</v>
      </c>
      <c r="F6" s="27">
        <v>4545</v>
      </c>
      <c r="G6" s="27">
        <v>4150</v>
      </c>
      <c r="H6" s="27">
        <v>6279</v>
      </c>
      <c r="I6" s="27">
        <v>9439</v>
      </c>
      <c r="J6" s="27">
        <v>11618</v>
      </c>
      <c r="K6" s="27">
        <v>16621</v>
      </c>
      <c r="L6" s="27">
        <v>32639</v>
      </c>
      <c r="M6" s="27">
        <v>62475</v>
      </c>
    </row>
    <row r="7" spans="1:16" s="50" customFormat="1" outlineLevel="1" x14ac:dyDescent="0.2">
      <c r="A7" s="7"/>
      <c r="B7" s="17" t="s">
        <v>9</v>
      </c>
      <c r="C7" s="51">
        <f t="shared" ref="C7:M7" si="1">C5-C6</f>
        <v>2811</v>
      </c>
      <c r="D7" s="51">
        <f t="shared" si="1"/>
        <v>4063</v>
      </c>
      <c r="E7" s="51">
        <f>E5-E6</f>
        <v>5822</v>
      </c>
      <c r="F7" s="51">
        <f t="shared" si="1"/>
        <v>7171</v>
      </c>
      <c r="G7" s="51">
        <f t="shared" si="1"/>
        <v>6768</v>
      </c>
      <c r="H7" s="51">
        <f t="shared" si="1"/>
        <v>10396</v>
      </c>
      <c r="I7" s="51">
        <f t="shared" si="1"/>
        <v>17475</v>
      </c>
      <c r="J7" s="51">
        <f t="shared" si="1"/>
        <v>15356</v>
      </c>
      <c r="K7" s="51">
        <f t="shared" si="1"/>
        <v>44301</v>
      </c>
      <c r="L7" s="51">
        <f t="shared" si="1"/>
        <v>97858</v>
      </c>
      <c r="M7" s="51">
        <f t="shared" si="1"/>
        <v>153463</v>
      </c>
    </row>
    <row r="8" spans="1:16" outlineLevel="1" x14ac:dyDescent="0.2">
      <c r="B8" s="9" t="s">
        <v>10</v>
      </c>
      <c r="C8" s="27">
        <v>1331</v>
      </c>
      <c r="D8" s="27">
        <v>1463</v>
      </c>
      <c r="E8" s="27">
        <v>1797</v>
      </c>
      <c r="F8" s="27">
        <v>2376</v>
      </c>
      <c r="G8" s="27">
        <v>2829</v>
      </c>
      <c r="H8" s="27">
        <v>3924</v>
      </c>
      <c r="I8" s="27">
        <v>5268</v>
      </c>
      <c r="J8" s="27">
        <v>7339</v>
      </c>
      <c r="K8" s="27">
        <v>8675</v>
      </c>
      <c r="L8" s="27">
        <v>12914</v>
      </c>
      <c r="M8" s="27">
        <v>18497</v>
      </c>
      <c r="N8" s="27"/>
      <c r="O8" s="27"/>
      <c r="P8" s="27"/>
    </row>
    <row r="9" spans="1:16" s="8" customFormat="1" outlineLevel="1" x14ac:dyDescent="0.2">
      <c r="B9" s="12" t="s">
        <v>11</v>
      </c>
      <c r="C9" s="27">
        <v>602</v>
      </c>
      <c r="D9" s="27">
        <v>663</v>
      </c>
      <c r="E9" s="27">
        <v>815</v>
      </c>
      <c r="F9" s="27">
        <v>991</v>
      </c>
      <c r="G9" s="27">
        <v>1093</v>
      </c>
      <c r="H9" s="27">
        <v>1940</v>
      </c>
      <c r="I9" s="27">
        <v>2166</v>
      </c>
      <c r="J9" s="27">
        <v>2440</v>
      </c>
      <c r="K9" s="27">
        <v>2654</v>
      </c>
      <c r="L9" s="27">
        <v>3491</v>
      </c>
      <c r="M9" s="27">
        <v>4579</v>
      </c>
      <c r="N9" s="27"/>
      <c r="O9" s="27"/>
    </row>
    <row r="10" spans="1:16" s="8" customFormat="1" outlineLevel="1" x14ac:dyDescent="0.2">
      <c r="B10" s="12" t="s">
        <v>131</v>
      </c>
      <c r="C10" s="27">
        <v>131</v>
      </c>
      <c r="D10" s="27">
        <v>3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/>
      <c r="O10" s="27"/>
    </row>
    <row r="11" spans="1:16" outlineLevel="1" x14ac:dyDescent="0.2">
      <c r="B11" s="12" t="s">
        <v>121</v>
      </c>
      <c r="C11" s="27">
        <v>0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1353</v>
      </c>
      <c r="K11" s="27">
        <v>0</v>
      </c>
      <c r="L11" s="27">
        <v>0</v>
      </c>
      <c r="M11" s="27">
        <v>0</v>
      </c>
      <c r="N11" s="27"/>
      <c r="O11" s="27"/>
    </row>
    <row r="12" spans="1:16" outlineLevel="1" x14ac:dyDescent="0.2">
      <c r="B12" s="12" t="s">
        <v>12</v>
      </c>
      <c r="C12" s="20">
        <f t="shared" ref="C12:M12" si="2">SUM(C8:C11)</f>
        <v>2064</v>
      </c>
      <c r="D12" s="20">
        <f t="shared" si="2"/>
        <v>2129</v>
      </c>
      <c r="E12" s="20">
        <f t="shared" si="2"/>
        <v>2612</v>
      </c>
      <c r="F12" s="20">
        <f t="shared" si="2"/>
        <v>3367</v>
      </c>
      <c r="G12" s="20">
        <f t="shared" si="2"/>
        <v>3922</v>
      </c>
      <c r="H12" s="20">
        <f t="shared" si="2"/>
        <v>5864</v>
      </c>
      <c r="I12" s="20">
        <f t="shared" si="2"/>
        <v>7434</v>
      </c>
      <c r="J12" s="20">
        <f t="shared" si="2"/>
        <v>11132</v>
      </c>
      <c r="K12" s="20">
        <f t="shared" si="2"/>
        <v>11329</v>
      </c>
      <c r="L12" s="20">
        <f t="shared" si="2"/>
        <v>16405</v>
      </c>
      <c r="M12" s="20">
        <f t="shared" si="2"/>
        <v>23076</v>
      </c>
    </row>
    <row r="13" spans="1:16" s="50" customFormat="1" outlineLevel="1" x14ac:dyDescent="0.2">
      <c r="A13" s="7"/>
      <c r="B13" s="17" t="s">
        <v>13</v>
      </c>
      <c r="C13" s="48">
        <v>747</v>
      </c>
      <c r="D13" s="48">
        <v>1934</v>
      </c>
      <c r="E13" s="48">
        <v>3210</v>
      </c>
      <c r="F13" s="48">
        <v>3804</v>
      </c>
      <c r="G13" s="48">
        <v>2846</v>
      </c>
      <c r="H13" s="48">
        <v>4532</v>
      </c>
      <c r="I13" s="48">
        <v>10041</v>
      </c>
      <c r="J13" s="48">
        <v>4224</v>
      </c>
      <c r="K13" s="48">
        <v>32972</v>
      </c>
      <c r="L13" s="48">
        <v>81453</v>
      </c>
      <c r="M13" s="48">
        <v>130387</v>
      </c>
      <c r="N13" s="48"/>
      <c r="O13" s="48"/>
    </row>
    <row r="14" spans="1:16" outlineLevel="1" x14ac:dyDescent="0.2">
      <c r="B14" s="12" t="s">
        <v>113</v>
      </c>
      <c r="C14" s="27">
        <v>4</v>
      </c>
      <c r="D14" s="27">
        <v>-25</v>
      </c>
      <c r="E14" s="27">
        <v>-22</v>
      </c>
      <c r="F14" s="27">
        <v>14</v>
      </c>
      <c r="G14" s="27">
        <v>-2</v>
      </c>
      <c r="H14" s="27">
        <v>4</v>
      </c>
      <c r="I14" s="27">
        <v>107</v>
      </c>
      <c r="J14" s="27">
        <v>-48</v>
      </c>
      <c r="K14" s="27">
        <v>237</v>
      </c>
      <c r="L14" s="27">
        <v>1034</v>
      </c>
      <c r="M14" s="27">
        <v>9022</v>
      </c>
      <c r="N14" s="27"/>
      <c r="O14" s="27"/>
    </row>
    <row r="15" spans="1:16" outlineLevel="1" x14ac:dyDescent="0.2">
      <c r="B15" s="12" t="s">
        <v>122</v>
      </c>
      <c r="C15" s="27">
        <v>39</v>
      </c>
      <c r="D15" s="27">
        <v>54</v>
      </c>
      <c r="E15" s="27">
        <v>69</v>
      </c>
      <c r="F15" s="27">
        <v>136</v>
      </c>
      <c r="G15" s="27">
        <v>178</v>
      </c>
      <c r="H15" s="27">
        <v>57</v>
      </c>
      <c r="I15" s="27">
        <v>29</v>
      </c>
      <c r="J15" s="27">
        <v>267</v>
      </c>
      <c r="K15" s="27">
        <v>866</v>
      </c>
      <c r="L15" s="27">
        <v>1786</v>
      </c>
      <c r="M15" s="27">
        <v>2300</v>
      </c>
      <c r="N15" s="27"/>
      <c r="O15" s="27"/>
    </row>
    <row r="16" spans="1:16" outlineLevel="1" x14ac:dyDescent="0.2">
      <c r="B16" s="12" t="s">
        <v>123</v>
      </c>
      <c r="C16" s="27">
        <v>47</v>
      </c>
      <c r="D16" s="27">
        <v>58</v>
      </c>
      <c r="E16" s="27">
        <v>61</v>
      </c>
      <c r="F16" s="27">
        <v>58</v>
      </c>
      <c r="G16" s="27">
        <v>52</v>
      </c>
      <c r="H16" s="27">
        <v>184</v>
      </c>
      <c r="I16" s="27">
        <v>236</v>
      </c>
      <c r="J16" s="27">
        <v>262</v>
      </c>
      <c r="K16" s="27">
        <v>257</v>
      </c>
      <c r="L16" s="27">
        <v>247</v>
      </c>
      <c r="M16" s="27">
        <v>259</v>
      </c>
      <c r="N16" s="27"/>
      <c r="O16" s="27"/>
    </row>
    <row r="17" spans="1:16" s="50" customFormat="1" outlineLevel="1" x14ac:dyDescent="0.2">
      <c r="A17" s="7"/>
      <c r="B17" s="17" t="s">
        <v>14</v>
      </c>
      <c r="C17" s="48">
        <v>743</v>
      </c>
      <c r="D17" s="48">
        <v>1905</v>
      </c>
      <c r="E17" s="48">
        <v>3196</v>
      </c>
      <c r="F17" s="48">
        <v>3896</v>
      </c>
      <c r="G17" s="48">
        <v>2970</v>
      </c>
      <c r="H17" s="48">
        <v>4409</v>
      </c>
      <c r="I17" s="48">
        <v>9941</v>
      </c>
      <c r="J17" s="48">
        <v>4181</v>
      </c>
      <c r="K17" s="48">
        <v>33818</v>
      </c>
      <c r="L17" s="48">
        <v>84026</v>
      </c>
      <c r="M17" s="48">
        <v>141450</v>
      </c>
      <c r="N17" s="48"/>
      <c r="O17" s="48"/>
    </row>
    <row r="18" spans="1:16" outlineLevel="1" x14ac:dyDescent="0.2">
      <c r="B18" s="12" t="s">
        <v>83</v>
      </c>
      <c r="C18" s="27">
        <v>-129</v>
      </c>
      <c r="D18" s="27">
        <v>-239</v>
      </c>
      <c r="E18" s="27">
        <v>-149</v>
      </c>
      <c r="F18" s="27">
        <v>245</v>
      </c>
      <c r="G18" s="27">
        <v>-174</v>
      </c>
      <c r="H18" s="27">
        <v>-77</v>
      </c>
      <c r="I18" s="27">
        <v>-189</v>
      </c>
      <c r="J18" s="27">
        <v>187</v>
      </c>
      <c r="K18" s="27">
        <v>-4058</v>
      </c>
      <c r="L18" s="27">
        <v>-11146</v>
      </c>
      <c r="M18" s="27">
        <v>-21383</v>
      </c>
      <c r="N18" s="27"/>
      <c r="O18" s="27"/>
    </row>
    <row r="19" spans="1:16" s="18" customFormat="1" outlineLevel="1" x14ac:dyDescent="0.2">
      <c r="A19" s="7"/>
      <c r="B19" s="17" t="s">
        <v>15</v>
      </c>
      <c r="C19" s="48">
        <v>614</v>
      </c>
      <c r="D19" s="48">
        <v>1666</v>
      </c>
      <c r="E19" s="48">
        <v>3047</v>
      </c>
      <c r="F19" s="48">
        <v>4141</v>
      </c>
      <c r="G19" s="48">
        <v>2796</v>
      </c>
      <c r="H19" s="48">
        <v>4332</v>
      </c>
      <c r="I19" s="48">
        <v>9752</v>
      </c>
      <c r="J19" s="48">
        <v>4368</v>
      </c>
      <c r="K19" s="48">
        <v>29760</v>
      </c>
      <c r="L19" s="48">
        <v>72880</v>
      </c>
      <c r="M19" s="48">
        <v>120067</v>
      </c>
      <c r="N19" s="48"/>
      <c r="O19" s="48"/>
      <c r="P19" s="50"/>
    </row>
    <row r="20" spans="1:16" outlineLevel="1" x14ac:dyDescent="0.2">
      <c r="B20" s="12" t="s">
        <v>16</v>
      </c>
      <c r="C20" s="27">
        <v>543</v>
      </c>
      <c r="D20" s="27">
        <v>541</v>
      </c>
      <c r="E20" s="27">
        <v>599</v>
      </c>
      <c r="F20" s="27">
        <v>608</v>
      </c>
      <c r="G20" s="27">
        <v>609</v>
      </c>
      <c r="H20" s="27">
        <v>617</v>
      </c>
      <c r="I20" s="27">
        <v>2496</v>
      </c>
      <c r="J20" s="27">
        <v>2487</v>
      </c>
      <c r="K20" s="27">
        <v>2469</v>
      </c>
      <c r="L20" s="27">
        <v>24555</v>
      </c>
      <c r="M20" s="27">
        <v>24359</v>
      </c>
      <c r="N20" s="27"/>
      <c r="O20" s="27"/>
    </row>
    <row r="21" spans="1:16" outlineLevel="1" x14ac:dyDescent="0.2">
      <c r="B21" s="12" t="s">
        <v>127</v>
      </c>
      <c r="C21" s="33">
        <f t="shared" ref="C21:M21" si="3">C20*C140</f>
        <v>21720</v>
      </c>
      <c r="D21" s="33">
        <f t="shared" si="3"/>
        <v>21640</v>
      </c>
      <c r="E21" s="33">
        <f t="shared" si="3"/>
        <v>23960</v>
      </c>
      <c r="F21" s="33">
        <f t="shared" si="3"/>
        <v>24320</v>
      </c>
      <c r="G21" s="33">
        <f t="shared" si="3"/>
        <v>24360</v>
      </c>
      <c r="H21" s="33">
        <f t="shared" si="3"/>
        <v>24680</v>
      </c>
      <c r="I21" s="33">
        <f t="shared" si="3"/>
        <v>24960</v>
      </c>
      <c r="J21" s="33">
        <f t="shared" si="3"/>
        <v>24870</v>
      </c>
      <c r="K21" s="33">
        <f t="shared" si="3"/>
        <v>24690</v>
      </c>
      <c r="L21" s="33">
        <f t="shared" si="3"/>
        <v>24555</v>
      </c>
      <c r="M21" s="33">
        <f t="shared" si="3"/>
        <v>24359</v>
      </c>
      <c r="N21" s="27"/>
      <c r="O21" s="27"/>
    </row>
    <row r="22" spans="1:16" outlineLevel="1" x14ac:dyDescent="0.2">
      <c r="B22" s="12" t="s">
        <v>17</v>
      </c>
      <c r="C22" s="27">
        <v>569</v>
      </c>
      <c r="D22" s="27">
        <v>649</v>
      </c>
      <c r="E22" s="27">
        <v>632</v>
      </c>
      <c r="F22" s="27">
        <v>625</v>
      </c>
      <c r="G22" s="27">
        <v>618</v>
      </c>
      <c r="H22" s="27">
        <v>628</v>
      </c>
      <c r="I22" s="27">
        <v>2535</v>
      </c>
      <c r="J22" s="27">
        <v>2507</v>
      </c>
      <c r="K22" s="27">
        <v>2494</v>
      </c>
      <c r="L22" s="27">
        <v>24804</v>
      </c>
      <c r="M22" s="27">
        <v>24514</v>
      </c>
      <c r="N22" s="27"/>
      <c r="O22" s="27"/>
    </row>
    <row r="23" spans="1:16" outlineLevel="1" x14ac:dyDescent="0.2">
      <c r="B23" s="12" t="s">
        <v>128</v>
      </c>
      <c r="C23" s="33">
        <f t="shared" ref="C23:M23" si="4">C22*C140</f>
        <v>22760</v>
      </c>
      <c r="D23" s="33">
        <f t="shared" si="4"/>
        <v>25960</v>
      </c>
      <c r="E23" s="33">
        <f t="shared" si="4"/>
        <v>25280</v>
      </c>
      <c r="F23" s="33">
        <f t="shared" si="4"/>
        <v>25000</v>
      </c>
      <c r="G23" s="33">
        <f t="shared" si="4"/>
        <v>24720</v>
      </c>
      <c r="H23" s="33">
        <f t="shared" si="4"/>
        <v>25120</v>
      </c>
      <c r="I23" s="33">
        <f t="shared" si="4"/>
        <v>25350</v>
      </c>
      <c r="J23" s="33">
        <f t="shared" si="4"/>
        <v>25070</v>
      </c>
      <c r="K23" s="33">
        <f t="shared" si="4"/>
        <v>24940</v>
      </c>
      <c r="L23" s="33">
        <f t="shared" si="4"/>
        <v>24804</v>
      </c>
      <c r="M23" s="33">
        <f t="shared" si="4"/>
        <v>24514</v>
      </c>
      <c r="N23" s="27"/>
      <c r="O23" s="27"/>
    </row>
    <row r="24" spans="1:16" outlineLevel="1" x14ac:dyDescent="0.2">
      <c r="B24" s="12" t="s">
        <v>18</v>
      </c>
      <c r="C24" s="30">
        <v>1.1299999999999999</v>
      </c>
      <c r="D24" s="30">
        <v>3.08</v>
      </c>
      <c r="E24" s="30">
        <v>5.09</v>
      </c>
      <c r="F24" s="30">
        <v>6.81</v>
      </c>
      <c r="G24" s="30">
        <v>4.59</v>
      </c>
      <c r="H24" s="30">
        <v>7.02</v>
      </c>
      <c r="I24" s="30">
        <v>3.91</v>
      </c>
      <c r="J24" s="30">
        <v>1.76</v>
      </c>
      <c r="K24" s="30">
        <v>12.05</v>
      </c>
      <c r="L24" s="30">
        <v>2.97</v>
      </c>
      <c r="M24" s="30">
        <v>4.93</v>
      </c>
      <c r="N24" s="30"/>
      <c r="O24" s="30"/>
    </row>
    <row r="25" spans="1:16" outlineLevel="1" x14ac:dyDescent="0.2">
      <c r="B25" s="12" t="s">
        <v>129</v>
      </c>
      <c r="C25" s="25">
        <f t="shared" ref="C25:M25" si="5">C24/C140</f>
        <v>2.8249999999999997E-2</v>
      </c>
      <c r="D25" s="25">
        <f t="shared" si="5"/>
        <v>7.6999999999999999E-2</v>
      </c>
      <c r="E25" s="25">
        <f t="shared" si="5"/>
        <v>0.12725</v>
      </c>
      <c r="F25" s="25">
        <f t="shared" si="5"/>
        <v>0.17024999999999998</v>
      </c>
      <c r="G25" s="25">
        <f t="shared" si="5"/>
        <v>0.11474999999999999</v>
      </c>
      <c r="H25" s="25">
        <f t="shared" si="5"/>
        <v>0.17549999999999999</v>
      </c>
      <c r="I25" s="25">
        <f t="shared" si="5"/>
        <v>0.39100000000000001</v>
      </c>
      <c r="J25" s="25">
        <f t="shared" si="5"/>
        <v>0.17599999999999999</v>
      </c>
      <c r="K25" s="25">
        <f t="shared" si="5"/>
        <v>1.2050000000000001</v>
      </c>
      <c r="L25" s="25">
        <f t="shared" si="5"/>
        <v>2.97</v>
      </c>
      <c r="M25" s="25">
        <f t="shared" si="5"/>
        <v>4.93</v>
      </c>
      <c r="N25" s="30"/>
      <c r="O25" s="30"/>
    </row>
    <row r="26" spans="1:16" outlineLevel="1" x14ac:dyDescent="0.2">
      <c r="B26" s="12" t="s">
        <v>19</v>
      </c>
      <c r="C26" s="30">
        <v>1.08</v>
      </c>
      <c r="D26" s="30">
        <v>2.57</v>
      </c>
      <c r="E26" s="30">
        <v>4.82</v>
      </c>
      <c r="F26" s="30">
        <v>6.63</v>
      </c>
      <c r="G26" s="30">
        <v>4.5199999999999996</v>
      </c>
      <c r="H26" s="30">
        <v>6.9</v>
      </c>
      <c r="I26" s="30">
        <v>3.85</v>
      </c>
      <c r="J26" s="30">
        <v>1.74</v>
      </c>
      <c r="K26" s="30">
        <v>11.93</v>
      </c>
      <c r="L26" s="30">
        <v>2.94</v>
      </c>
      <c r="M26" s="30">
        <v>4.9000000000000004</v>
      </c>
      <c r="N26" s="30"/>
      <c r="O26" s="30"/>
    </row>
    <row r="27" spans="1:16" s="16" customFormat="1" ht="17" outlineLevel="1" thickBot="1" x14ac:dyDescent="0.25">
      <c r="A27" s="1"/>
      <c r="B27" s="10" t="s">
        <v>130</v>
      </c>
      <c r="C27" s="83">
        <f t="shared" ref="C27:M27" si="6">C26/C140</f>
        <v>2.7000000000000003E-2</v>
      </c>
      <c r="D27" s="83">
        <f t="shared" si="6"/>
        <v>6.4250000000000002E-2</v>
      </c>
      <c r="E27" s="83">
        <f t="shared" si="6"/>
        <v>0.12050000000000001</v>
      </c>
      <c r="F27" s="83">
        <f t="shared" si="6"/>
        <v>0.16575000000000001</v>
      </c>
      <c r="G27" s="83">
        <f t="shared" si="6"/>
        <v>0.11299999999999999</v>
      </c>
      <c r="H27" s="83">
        <f t="shared" si="6"/>
        <v>0.17250000000000001</v>
      </c>
      <c r="I27" s="83">
        <f t="shared" si="6"/>
        <v>0.38500000000000001</v>
      </c>
      <c r="J27" s="83">
        <f t="shared" si="6"/>
        <v>0.17399999999999999</v>
      </c>
      <c r="K27" s="83">
        <f t="shared" si="6"/>
        <v>1.1930000000000001</v>
      </c>
      <c r="L27" s="83">
        <f t="shared" si="6"/>
        <v>2.94</v>
      </c>
      <c r="M27" s="83">
        <f t="shared" si="6"/>
        <v>4.9000000000000004</v>
      </c>
      <c r="N27" s="31"/>
      <c r="O27" s="31"/>
    </row>
    <row r="28" spans="1:16" s="16" customFormat="1" ht="17" thickBot="1" x14ac:dyDescent="0.25">
      <c r="A28" s="1"/>
      <c r="B28" s="6"/>
      <c r="F28" s="6"/>
      <c r="G28" s="6"/>
      <c r="H28" s="6"/>
      <c r="I28" s="6"/>
      <c r="J28" s="6"/>
      <c r="K28" s="6"/>
    </row>
    <row r="29" spans="1:16" s="14" customFormat="1" ht="17" thickBot="1" x14ac:dyDescent="0.25">
      <c r="A29" s="4"/>
      <c r="B29" s="15" t="s">
        <v>20</v>
      </c>
    </row>
    <row r="30" spans="1:16" outlineLevel="1" x14ac:dyDescent="0.2">
      <c r="B30" s="9" t="s">
        <v>21</v>
      </c>
      <c r="C30" s="27">
        <v>596</v>
      </c>
      <c r="D30" s="27">
        <v>1766</v>
      </c>
      <c r="E30" s="27">
        <v>4002</v>
      </c>
      <c r="F30" s="27">
        <v>782</v>
      </c>
      <c r="G30" s="27">
        <v>10896</v>
      </c>
      <c r="H30" s="27">
        <v>847</v>
      </c>
      <c r="I30" s="27">
        <v>1990</v>
      </c>
      <c r="J30" s="27">
        <v>3389</v>
      </c>
      <c r="K30" s="27">
        <v>7280</v>
      </c>
      <c r="L30" s="27">
        <v>8589</v>
      </c>
      <c r="M30" s="27">
        <v>10605</v>
      </c>
    </row>
    <row r="31" spans="1:16" outlineLevel="1" x14ac:dyDescent="0.2">
      <c r="B31" s="9" t="s">
        <v>178</v>
      </c>
      <c r="C31" s="27">
        <v>4441</v>
      </c>
      <c r="D31" s="27">
        <v>5032</v>
      </c>
      <c r="E31" s="27">
        <v>3106</v>
      </c>
      <c r="F31" s="27">
        <v>6640</v>
      </c>
      <c r="G31" s="27">
        <v>1</v>
      </c>
      <c r="H31" s="27">
        <v>10714</v>
      </c>
      <c r="I31" s="27">
        <v>19218</v>
      </c>
      <c r="J31" s="27">
        <v>9907</v>
      </c>
      <c r="K31" s="27">
        <v>18704</v>
      </c>
      <c r="L31" s="27">
        <v>34621</v>
      </c>
      <c r="M31" s="27">
        <v>51951</v>
      </c>
    </row>
    <row r="32" spans="1:16" outlineLevel="1" x14ac:dyDescent="0.2">
      <c r="B32" s="9" t="s">
        <v>22</v>
      </c>
      <c r="C32" s="27">
        <v>505</v>
      </c>
      <c r="D32" s="27">
        <v>826</v>
      </c>
      <c r="E32" s="27">
        <v>1265</v>
      </c>
      <c r="F32" s="27">
        <v>1424</v>
      </c>
      <c r="G32" s="27">
        <v>1657</v>
      </c>
      <c r="H32" s="27">
        <v>2429</v>
      </c>
      <c r="I32" s="27">
        <v>4650</v>
      </c>
      <c r="J32" s="27">
        <v>3827</v>
      </c>
      <c r="K32" s="27">
        <v>9999</v>
      </c>
      <c r="L32" s="27">
        <v>23065</v>
      </c>
      <c r="M32" s="27">
        <v>38466</v>
      </c>
    </row>
    <row r="33" spans="1:14" outlineLevel="1" x14ac:dyDescent="0.2">
      <c r="B33" s="9" t="s">
        <v>23</v>
      </c>
      <c r="C33" s="27">
        <v>418</v>
      </c>
      <c r="D33" s="27">
        <v>794</v>
      </c>
      <c r="E33" s="27">
        <v>796</v>
      </c>
      <c r="F33" s="27">
        <v>1575</v>
      </c>
      <c r="G33" s="27">
        <v>979</v>
      </c>
      <c r="H33" s="27">
        <v>1826</v>
      </c>
      <c r="I33" s="27">
        <v>2605</v>
      </c>
      <c r="J33" s="27">
        <v>5159</v>
      </c>
      <c r="K33" s="27">
        <v>5282</v>
      </c>
      <c r="L33" s="27">
        <v>10080</v>
      </c>
      <c r="M33" s="27">
        <v>21403</v>
      </c>
    </row>
    <row r="34" spans="1:14" outlineLevel="1" x14ac:dyDescent="0.2">
      <c r="B34" s="9" t="s">
        <v>24</v>
      </c>
      <c r="C34" s="27">
        <v>93</v>
      </c>
      <c r="D34" s="27">
        <v>118</v>
      </c>
      <c r="E34" s="27">
        <v>86</v>
      </c>
      <c r="F34" s="27">
        <v>136</v>
      </c>
      <c r="G34" s="27">
        <v>157</v>
      </c>
      <c r="H34" s="27">
        <v>239</v>
      </c>
      <c r="I34" s="27">
        <v>366</v>
      </c>
      <c r="J34" s="27">
        <v>791</v>
      </c>
      <c r="K34" s="27">
        <v>3080</v>
      </c>
      <c r="L34" s="27">
        <v>3771</v>
      </c>
      <c r="M34" s="27">
        <v>3180</v>
      </c>
    </row>
    <row r="35" spans="1:14" s="49" customFormat="1" outlineLevel="1" x14ac:dyDescent="0.2">
      <c r="A35" s="7"/>
      <c r="B35" s="11" t="s">
        <v>25</v>
      </c>
      <c r="C35" s="52">
        <v>6053</v>
      </c>
      <c r="D35" s="52">
        <v>8536</v>
      </c>
      <c r="E35" s="52">
        <v>9255</v>
      </c>
      <c r="F35" s="52">
        <v>10557</v>
      </c>
      <c r="G35" s="52">
        <v>13690</v>
      </c>
      <c r="H35" s="52">
        <v>16055</v>
      </c>
      <c r="I35" s="52">
        <v>28829</v>
      </c>
      <c r="J35" s="52">
        <v>23073</v>
      </c>
      <c r="K35" s="52">
        <v>44345</v>
      </c>
      <c r="L35" s="52">
        <v>80126</v>
      </c>
      <c r="M35" s="52">
        <v>125605</v>
      </c>
    </row>
    <row r="36" spans="1:14" outlineLevel="1" x14ac:dyDescent="0.2">
      <c r="B36" s="81" t="s">
        <v>26</v>
      </c>
      <c r="C36" s="27">
        <v>466</v>
      </c>
      <c r="D36" s="27">
        <v>521</v>
      </c>
      <c r="E36" s="27">
        <v>997</v>
      </c>
      <c r="F36" s="27">
        <v>1404</v>
      </c>
      <c r="G36" s="27">
        <v>1674</v>
      </c>
      <c r="H36" s="27">
        <v>2149</v>
      </c>
      <c r="I36" s="27">
        <v>2778</v>
      </c>
      <c r="J36" s="27">
        <v>3807</v>
      </c>
      <c r="K36" s="27">
        <v>3914</v>
      </c>
      <c r="L36" s="27">
        <v>6283</v>
      </c>
      <c r="M36" s="27">
        <v>10383</v>
      </c>
      <c r="N36" s="27"/>
    </row>
    <row r="37" spans="1:14" outlineLevel="1" x14ac:dyDescent="0.2">
      <c r="B37" s="9" t="s">
        <v>132</v>
      </c>
      <c r="C37" s="27">
        <v>0</v>
      </c>
      <c r="D37" s="27">
        <v>0</v>
      </c>
      <c r="E37" s="27">
        <v>0</v>
      </c>
      <c r="F37" s="27">
        <v>0</v>
      </c>
      <c r="G37" s="27">
        <v>618</v>
      </c>
      <c r="H37" s="27">
        <v>707</v>
      </c>
      <c r="I37" s="27">
        <v>829</v>
      </c>
      <c r="J37" s="27">
        <v>1038</v>
      </c>
      <c r="K37" s="27">
        <v>1346</v>
      </c>
      <c r="L37" s="27">
        <v>1793</v>
      </c>
      <c r="M37" s="27">
        <v>2867</v>
      </c>
      <c r="N37" s="27"/>
    </row>
    <row r="38" spans="1:14" outlineLevel="1" x14ac:dyDescent="0.2">
      <c r="B38" s="9" t="s">
        <v>27</v>
      </c>
      <c r="C38" s="27">
        <v>618</v>
      </c>
      <c r="D38" s="27">
        <v>618</v>
      </c>
      <c r="E38" s="27">
        <v>618</v>
      </c>
      <c r="F38" s="27">
        <v>618</v>
      </c>
      <c r="G38" s="27">
        <v>618</v>
      </c>
      <c r="H38" s="27">
        <v>4193</v>
      </c>
      <c r="I38" s="27">
        <v>4349</v>
      </c>
      <c r="J38" s="27">
        <v>4372</v>
      </c>
      <c r="K38" s="27">
        <v>4430</v>
      </c>
      <c r="L38" s="27">
        <v>5188</v>
      </c>
      <c r="M38" s="27">
        <v>20832</v>
      </c>
      <c r="N38" s="27"/>
    </row>
    <row r="39" spans="1:14" outlineLevel="1" x14ac:dyDescent="0.2">
      <c r="B39" s="9" t="s">
        <v>133</v>
      </c>
      <c r="C39" s="27">
        <v>166</v>
      </c>
      <c r="D39" s="27">
        <v>104</v>
      </c>
      <c r="E39" s="27">
        <v>52</v>
      </c>
      <c r="F39" s="27">
        <v>45</v>
      </c>
      <c r="G39" s="27">
        <v>49</v>
      </c>
      <c r="H39" s="27">
        <v>2737</v>
      </c>
      <c r="I39" s="27">
        <v>2339</v>
      </c>
      <c r="J39" s="27">
        <v>1676</v>
      </c>
      <c r="K39" s="27">
        <v>1112</v>
      </c>
      <c r="L39" s="27">
        <v>807</v>
      </c>
      <c r="M39" s="27">
        <v>3306</v>
      </c>
      <c r="N39" s="27"/>
    </row>
    <row r="40" spans="1:14" outlineLevel="1" x14ac:dyDescent="0.2">
      <c r="B40" s="9" t="s">
        <v>134</v>
      </c>
      <c r="C40" s="27">
        <v>0</v>
      </c>
      <c r="D40" s="27">
        <v>0</v>
      </c>
      <c r="E40" s="27">
        <v>0</v>
      </c>
      <c r="F40" s="27">
        <v>0</v>
      </c>
      <c r="G40" s="27">
        <v>548</v>
      </c>
      <c r="H40" s="27">
        <v>806</v>
      </c>
      <c r="I40" s="27">
        <v>1222</v>
      </c>
      <c r="J40" s="27">
        <v>3396</v>
      </c>
      <c r="K40" s="27">
        <v>6081</v>
      </c>
      <c r="L40" s="27">
        <v>10979</v>
      </c>
      <c r="M40" s="27">
        <v>13258</v>
      </c>
    </row>
    <row r="41" spans="1:14" outlineLevel="1" x14ac:dyDescent="0.2">
      <c r="B41" s="9" t="s">
        <v>28</v>
      </c>
      <c r="C41" s="27">
        <v>67</v>
      </c>
      <c r="D41" s="27">
        <v>62</v>
      </c>
      <c r="E41" s="27">
        <v>319</v>
      </c>
      <c r="F41" s="27">
        <v>668</v>
      </c>
      <c r="G41" s="27">
        <v>118</v>
      </c>
      <c r="H41" s="27">
        <v>2144</v>
      </c>
      <c r="I41" s="27">
        <v>3841</v>
      </c>
      <c r="J41" s="27">
        <v>3820</v>
      </c>
      <c r="K41" s="27">
        <v>4500</v>
      </c>
      <c r="L41" s="27">
        <v>6425</v>
      </c>
      <c r="M41" s="27">
        <v>30552</v>
      </c>
      <c r="N41" s="27"/>
    </row>
    <row r="42" spans="1:14" s="49" customFormat="1" outlineLevel="1" x14ac:dyDescent="0.2">
      <c r="A42" s="7"/>
      <c r="B42" s="11" t="s">
        <v>29</v>
      </c>
      <c r="C42" s="53">
        <f t="shared" ref="C42:M42" si="7">SUM(C36:C41)</f>
        <v>1317</v>
      </c>
      <c r="D42" s="53">
        <f t="shared" si="7"/>
        <v>1305</v>
      </c>
      <c r="E42" s="53">
        <f t="shared" si="7"/>
        <v>1986</v>
      </c>
      <c r="F42" s="53">
        <f t="shared" si="7"/>
        <v>2735</v>
      </c>
      <c r="G42" s="53">
        <f t="shared" si="7"/>
        <v>3625</v>
      </c>
      <c r="H42" s="53">
        <f t="shared" si="7"/>
        <v>12736</v>
      </c>
      <c r="I42" s="53">
        <f t="shared" si="7"/>
        <v>15358</v>
      </c>
      <c r="J42" s="53">
        <f t="shared" si="7"/>
        <v>18109</v>
      </c>
      <c r="K42" s="53">
        <f t="shared" si="7"/>
        <v>21383</v>
      </c>
      <c r="L42" s="53">
        <f t="shared" si="7"/>
        <v>31475</v>
      </c>
      <c r="M42" s="53">
        <f t="shared" si="7"/>
        <v>81198</v>
      </c>
      <c r="N42" s="53"/>
    </row>
    <row r="43" spans="1:14" s="50" customFormat="1" outlineLevel="1" x14ac:dyDescent="0.2">
      <c r="A43" s="7"/>
      <c r="B43" s="17" t="s">
        <v>30</v>
      </c>
      <c r="C43" s="48">
        <v>7370</v>
      </c>
      <c r="D43" s="48">
        <v>9841</v>
      </c>
      <c r="E43" s="48">
        <v>11241</v>
      </c>
      <c r="F43" s="48">
        <v>13292</v>
      </c>
      <c r="G43" s="48">
        <v>17315</v>
      </c>
      <c r="H43" s="48">
        <v>28791</v>
      </c>
      <c r="I43" s="48">
        <v>44187</v>
      </c>
      <c r="J43" s="48">
        <v>41182</v>
      </c>
      <c r="K43" s="48">
        <v>65728</v>
      </c>
      <c r="L43" s="48">
        <v>111601</v>
      </c>
      <c r="M43" s="48">
        <v>206803</v>
      </c>
      <c r="N43" s="48"/>
    </row>
    <row r="44" spans="1:14" outlineLevel="1" x14ac:dyDescent="0.2">
      <c r="B44" s="9" t="s">
        <v>32</v>
      </c>
      <c r="C44" s="27">
        <v>1413</v>
      </c>
      <c r="D44" s="27">
        <v>796</v>
      </c>
      <c r="E44" s="27">
        <v>15</v>
      </c>
      <c r="F44" s="27">
        <v>0</v>
      </c>
      <c r="G44" s="27">
        <v>0</v>
      </c>
      <c r="H44" s="27">
        <v>999</v>
      </c>
      <c r="I44" s="27">
        <v>0</v>
      </c>
      <c r="J44" s="27">
        <v>1250</v>
      </c>
      <c r="K44" s="27">
        <v>1250</v>
      </c>
      <c r="L44" s="27">
        <v>0</v>
      </c>
      <c r="M44" s="27">
        <v>999</v>
      </c>
      <c r="N44" s="27"/>
    </row>
    <row r="45" spans="1:14" outlineLevel="1" x14ac:dyDescent="0.2">
      <c r="B45" s="9" t="s">
        <v>31</v>
      </c>
      <c r="C45" s="27">
        <v>296</v>
      </c>
      <c r="D45" s="27">
        <v>485</v>
      </c>
      <c r="E45" s="27">
        <v>596</v>
      </c>
      <c r="F45" s="27">
        <v>511</v>
      </c>
      <c r="G45" s="27">
        <v>687</v>
      </c>
      <c r="H45" s="27">
        <v>1201</v>
      </c>
      <c r="I45" s="27">
        <v>1783</v>
      </c>
      <c r="J45" s="27">
        <v>1193</v>
      </c>
      <c r="K45" s="27">
        <v>2699</v>
      </c>
      <c r="L45" s="27">
        <v>6310</v>
      </c>
      <c r="M45" s="27">
        <v>9812</v>
      </c>
      <c r="N45" s="27"/>
    </row>
    <row r="46" spans="1:14" outlineLevel="1" x14ac:dyDescent="0.2">
      <c r="B46" s="9" t="s">
        <v>135</v>
      </c>
      <c r="C46" s="27">
        <v>642</v>
      </c>
      <c r="D46" s="27">
        <v>507</v>
      </c>
      <c r="E46" s="27">
        <v>542</v>
      </c>
      <c r="F46" s="27">
        <v>818</v>
      </c>
      <c r="G46" s="27">
        <v>1097</v>
      </c>
      <c r="H46" s="27">
        <v>1725</v>
      </c>
      <c r="I46" s="27">
        <v>2552</v>
      </c>
      <c r="J46" s="27">
        <v>4120</v>
      </c>
      <c r="K46" s="27">
        <v>6682</v>
      </c>
      <c r="L46" s="27">
        <v>11737</v>
      </c>
      <c r="M46" s="27">
        <v>21352</v>
      </c>
      <c r="N46" s="27"/>
    </row>
    <row r="47" spans="1:14" s="49" customFormat="1" outlineLevel="1" x14ac:dyDescent="0.2">
      <c r="A47" s="7"/>
      <c r="B47" s="11" t="s">
        <v>37</v>
      </c>
      <c r="C47" s="52">
        <v>2351</v>
      </c>
      <c r="D47" s="52">
        <v>1788</v>
      </c>
      <c r="E47" s="52">
        <v>1153</v>
      </c>
      <c r="F47" s="52">
        <v>1329</v>
      </c>
      <c r="G47" s="52">
        <v>1784</v>
      </c>
      <c r="H47" s="52">
        <v>3925</v>
      </c>
      <c r="I47" s="52">
        <v>4335</v>
      </c>
      <c r="J47" s="52">
        <v>6563</v>
      </c>
      <c r="K47" s="52">
        <v>10631</v>
      </c>
      <c r="L47" s="52">
        <v>18047</v>
      </c>
      <c r="M47" s="52">
        <v>32193</v>
      </c>
      <c r="N47" s="52"/>
    </row>
    <row r="48" spans="1:14" outlineLevel="1" x14ac:dyDescent="0.2">
      <c r="B48" s="9" t="s">
        <v>33</v>
      </c>
      <c r="C48" s="27">
        <v>0</v>
      </c>
      <c r="D48" s="27">
        <v>1983</v>
      </c>
      <c r="E48" s="27">
        <v>1985</v>
      </c>
      <c r="F48" s="27">
        <v>1988</v>
      </c>
      <c r="G48" s="27">
        <v>1991</v>
      </c>
      <c r="H48" s="27">
        <v>5964</v>
      </c>
      <c r="I48" s="27">
        <v>10946</v>
      </c>
      <c r="J48" s="27">
        <v>9703</v>
      </c>
      <c r="K48" s="27">
        <v>8459</v>
      </c>
      <c r="L48" s="27">
        <v>8463</v>
      </c>
      <c r="M48" s="27">
        <v>7469</v>
      </c>
      <c r="N48" s="27"/>
    </row>
    <row r="49" spans="1:14" outlineLevel="1" x14ac:dyDescent="0.2">
      <c r="B49" s="9" t="s">
        <v>139</v>
      </c>
      <c r="C49" s="27">
        <v>10</v>
      </c>
      <c r="D49" s="27">
        <v>6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/>
    </row>
    <row r="50" spans="1:14" outlineLevel="1" x14ac:dyDescent="0.2">
      <c r="B50" s="9" t="s">
        <v>136</v>
      </c>
      <c r="C50" s="27">
        <v>0</v>
      </c>
      <c r="D50" s="27">
        <v>0</v>
      </c>
      <c r="E50" s="27">
        <v>0</v>
      </c>
      <c r="F50" s="27">
        <v>0</v>
      </c>
      <c r="G50" s="27">
        <v>561</v>
      </c>
      <c r="H50" s="27">
        <v>634</v>
      </c>
      <c r="I50" s="27">
        <v>741</v>
      </c>
      <c r="J50" s="27">
        <v>902</v>
      </c>
      <c r="K50" s="27">
        <v>1119</v>
      </c>
      <c r="L50" s="27">
        <v>1519</v>
      </c>
      <c r="M50" s="27">
        <v>2572</v>
      </c>
      <c r="N50" s="27"/>
    </row>
    <row r="51" spans="1:14" outlineLevel="1" x14ac:dyDescent="0.2">
      <c r="B51" s="9" t="s">
        <v>34</v>
      </c>
      <c r="C51" s="27">
        <v>453</v>
      </c>
      <c r="D51" s="27">
        <v>271</v>
      </c>
      <c r="E51" s="27">
        <v>632</v>
      </c>
      <c r="F51" s="27">
        <v>633</v>
      </c>
      <c r="G51" s="27">
        <v>775</v>
      </c>
      <c r="H51" s="27">
        <v>1375</v>
      </c>
      <c r="I51" s="27">
        <v>1553</v>
      </c>
      <c r="J51" s="27">
        <v>1913</v>
      </c>
      <c r="K51" s="27">
        <v>2541</v>
      </c>
      <c r="L51" s="27">
        <v>4245</v>
      </c>
      <c r="M51" s="27">
        <v>7306</v>
      </c>
      <c r="N51" s="27"/>
    </row>
    <row r="52" spans="1:14" s="49" customFormat="1" outlineLevel="1" x14ac:dyDescent="0.2">
      <c r="A52" s="7"/>
      <c r="B52" s="11" t="s">
        <v>35</v>
      </c>
      <c r="C52" s="53">
        <f t="shared" ref="C52:M52" si="8">SUM(C48:C51)</f>
        <v>463</v>
      </c>
      <c r="D52" s="53">
        <f t="shared" si="8"/>
        <v>2260</v>
      </c>
      <c r="E52" s="53">
        <f t="shared" si="8"/>
        <v>2617</v>
      </c>
      <c r="F52" s="53">
        <f t="shared" si="8"/>
        <v>2621</v>
      </c>
      <c r="G52" s="53">
        <f t="shared" si="8"/>
        <v>3327</v>
      </c>
      <c r="H52" s="53">
        <f t="shared" si="8"/>
        <v>7973</v>
      </c>
      <c r="I52" s="53">
        <f t="shared" si="8"/>
        <v>13240</v>
      </c>
      <c r="J52" s="53">
        <f t="shared" si="8"/>
        <v>12518</v>
      </c>
      <c r="K52" s="53">
        <f t="shared" si="8"/>
        <v>12119</v>
      </c>
      <c r="L52" s="53">
        <f t="shared" si="8"/>
        <v>14227</v>
      </c>
      <c r="M52" s="53">
        <f t="shared" si="8"/>
        <v>17347</v>
      </c>
      <c r="N52" s="53"/>
    </row>
    <row r="53" spans="1:14" s="50" customFormat="1" outlineLevel="1" x14ac:dyDescent="0.2">
      <c r="A53" s="7"/>
      <c r="B53" s="17" t="s">
        <v>36</v>
      </c>
      <c r="C53" s="48">
        <v>2814</v>
      </c>
      <c r="D53" s="48">
        <v>4048</v>
      </c>
      <c r="E53" s="48">
        <v>3770</v>
      </c>
      <c r="F53" s="48">
        <v>3950</v>
      </c>
      <c r="G53" s="48">
        <v>5111</v>
      </c>
      <c r="H53" s="48">
        <v>11898</v>
      </c>
      <c r="I53" s="48">
        <v>17575</v>
      </c>
      <c r="J53" s="48">
        <v>19081</v>
      </c>
      <c r="K53" s="48">
        <v>22750</v>
      </c>
      <c r="L53" s="48">
        <v>32274</v>
      </c>
      <c r="M53" s="48">
        <v>49510</v>
      </c>
      <c r="N53" s="51"/>
    </row>
    <row r="54" spans="1:14" outlineLevel="1" x14ac:dyDescent="0.2">
      <c r="B54" s="9" t="s">
        <v>38</v>
      </c>
      <c r="C54" s="27">
        <v>0</v>
      </c>
      <c r="D54" s="27">
        <v>0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/>
    </row>
    <row r="55" spans="1:14" outlineLevel="1" x14ac:dyDescent="0.2">
      <c r="B55" s="9" t="s">
        <v>39</v>
      </c>
      <c r="C55" s="27">
        <v>1</v>
      </c>
      <c r="D55" s="27">
        <v>1</v>
      </c>
      <c r="E55" s="27">
        <v>1</v>
      </c>
      <c r="F55" s="27">
        <v>1</v>
      </c>
      <c r="G55" s="27">
        <v>1</v>
      </c>
      <c r="H55" s="27">
        <v>1</v>
      </c>
      <c r="I55" s="27">
        <v>3</v>
      </c>
      <c r="J55" s="27">
        <v>2</v>
      </c>
      <c r="K55" s="27">
        <v>25</v>
      </c>
      <c r="L55" s="27">
        <v>24</v>
      </c>
      <c r="M55" s="27">
        <v>24</v>
      </c>
      <c r="N55" s="27"/>
    </row>
    <row r="56" spans="1:14" outlineLevel="1" x14ac:dyDescent="0.2">
      <c r="B56" s="9" t="s">
        <v>137</v>
      </c>
      <c r="C56" s="27">
        <v>4170</v>
      </c>
      <c r="D56" s="27">
        <v>4708</v>
      </c>
      <c r="E56" s="27">
        <v>5351</v>
      </c>
      <c r="F56" s="27">
        <v>6051</v>
      </c>
      <c r="G56" s="27">
        <v>7045</v>
      </c>
      <c r="H56" s="27">
        <v>8721</v>
      </c>
      <c r="I56" s="27">
        <v>10385</v>
      </c>
      <c r="J56" s="27">
        <v>11971</v>
      </c>
      <c r="K56" s="27">
        <v>13109</v>
      </c>
      <c r="L56" s="27">
        <v>11237</v>
      </c>
      <c r="M56" s="27">
        <v>10118</v>
      </c>
      <c r="N56" s="27"/>
    </row>
    <row r="57" spans="1:14" outlineLevel="1" x14ac:dyDescent="0.2">
      <c r="B57" s="9" t="s">
        <v>138</v>
      </c>
      <c r="C57" s="27">
        <v>-4048</v>
      </c>
      <c r="D57" s="27">
        <v>-5039</v>
      </c>
      <c r="E57" s="27">
        <v>-6650</v>
      </c>
      <c r="F57" s="27">
        <v>-9263</v>
      </c>
      <c r="G57" s="27">
        <v>-9814</v>
      </c>
      <c r="H57" s="27">
        <v>-10756</v>
      </c>
      <c r="I57" s="27">
        <v>0</v>
      </c>
      <c r="J57" s="27">
        <v>0</v>
      </c>
      <c r="K57" s="27">
        <v>0</v>
      </c>
      <c r="L57" s="27">
        <v>0</v>
      </c>
      <c r="M57" s="27">
        <v>0</v>
      </c>
      <c r="N57" s="27"/>
    </row>
    <row r="58" spans="1:14" outlineLevel="1" x14ac:dyDescent="0.2">
      <c r="B58" s="9" t="s">
        <v>41</v>
      </c>
      <c r="C58" s="27">
        <v>-4</v>
      </c>
      <c r="D58" s="27">
        <v>-16</v>
      </c>
      <c r="E58" s="27">
        <v>-18</v>
      </c>
      <c r="F58" s="27">
        <v>-12</v>
      </c>
      <c r="G58" s="27">
        <v>1</v>
      </c>
      <c r="H58" s="27">
        <v>19</v>
      </c>
      <c r="I58" s="27">
        <v>-11</v>
      </c>
      <c r="J58" s="27">
        <v>-43</v>
      </c>
      <c r="K58" s="27">
        <v>27</v>
      </c>
      <c r="L58" s="27">
        <v>28</v>
      </c>
      <c r="M58" s="27">
        <v>178</v>
      </c>
      <c r="N58" s="27"/>
    </row>
    <row r="59" spans="1:14" outlineLevel="1" x14ac:dyDescent="0.2">
      <c r="B59" s="9" t="s">
        <v>40</v>
      </c>
      <c r="C59" s="27">
        <v>4350</v>
      </c>
      <c r="D59" s="27">
        <v>6108</v>
      </c>
      <c r="E59" s="27">
        <v>8787</v>
      </c>
      <c r="F59" s="27">
        <v>12565</v>
      </c>
      <c r="G59" s="27">
        <v>14971</v>
      </c>
      <c r="H59" s="27">
        <v>18908</v>
      </c>
      <c r="I59" s="27">
        <v>16235</v>
      </c>
      <c r="J59" s="27">
        <v>10171</v>
      </c>
      <c r="K59" s="27">
        <v>29817</v>
      </c>
      <c r="L59" s="27">
        <v>68038</v>
      </c>
      <c r="M59" s="27">
        <v>146973</v>
      </c>
      <c r="N59" s="27"/>
    </row>
    <row r="60" spans="1:14" s="49" customFormat="1" outlineLevel="1" x14ac:dyDescent="0.2">
      <c r="A60" s="7"/>
      <c r="B60" s="11" t="s">
        <v>42</v>
      </c>
      <c r="C60" s="52">
        <v>4469</v>
      </c>
      <c r="D60" s="52">
        <v>5762</v>
      </c>
      <c r="E60" s="52">
        <v>7471</v>
      </c>
      <c r="F60" s="52">
        <v>9342</v>
      </c>
      <c r="G60" s="52">
        <v>12204</v>
      </c>
      <c r="H60" s="52">
        <v>16893</v>
      </c>
      <c r="I60" s="52">
        <v>26612</v>
      </c>
      <c r="J60" s="52">
        <v>22101</v>
      </c>
      <c r="K60" s="52">
        <v>42978</v>
      </c>
      <c r="L60" s="52">
        <v>79327</v>
      </c>
      <c r="M60" s="52">
        <v>157293</v>
      </c>
      <c r="N60" s="52"/>
    </row>
    <row r="61" spans="1:14" outlineLevel="1" x14ac:dyDescent="0.2">
      <c r="B61" s="9" t="s">
        <v>115</v>
      </c>
      <c r="C61" s="27">
        <v>0</v>
      </c>
      <c r="D61" s="27">
        <v>0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</row>
    <row r="62" spans="1:14" s="8" customFormat="1" outlineLevel="1" x14ac:dyDescent="0.2">
      <c r="B62" s="12" t="s">
        <v>43</v>
      </c>
      <c r="C62" s="33">
        <f t="shared" ref="C62:J62" si="9">C60+C61</f>
        <v>4469</v>
      </c>
      <c r="D62" s="33">
        <f t="shared" si="9"/>
        <v>5762</v>
      </c>
      <c r="E62" s="33">
        <f t="shared" si="9"/>
        <v>7471</v>
      </c>
      <c r="F62" s="33">
        <f t="shared" si="9"/>
        <v>9342</v>
      </c>
      <c r="G62" s="33">
        <f t="shared" si="9"/>
        <v>12204</v>
      </c>
      <c r="H62" s="33">
        <f t="shared" si="9"/>
        <v>16893</v>
      </c>
      <c r="I62" s="33">
        <f t="shared" si="9"/>
        <v>26612</v>
      </c>
      <c r="J62" s="33">
        <f t="shared" si="9"/>
        <v>22101</v>
      </c>
      <c r="K62" s="33">
        <f>K60+K61</f>
        <v>42978</v>
      </c>
      <c r="L62" s="33">
        <f>L60+L61</f>
        <v>79327</v>
      </c>
      <c r="M62" s="33">
        <f>M60+M61</f>
        <v>157293</v>
      </c>
    </row>
    <row r="63" spans="1:14" s="54" customFormat="1" ht="17" outlineLevel="1" thickBot="1" x14ac:dyDescent="0.25">
      <c r="A63" s="7"/>
      <c r="B63" s="19" t="s">
        <v>44</v>
      </c>
      <c r="C63" s="55">
        <v>7370</v>
      </c>
      <c r="D63" s="55">
        <v>9841</v>
      </c>
      <c r="E63" s="55">
        <v>11241</v>
      </c>
      <c r="F63" s="55">
        <v>13292</v>
      </c>
      <c r="G63" s="55">
        <v>17315</v>
      </c>
      <c r="H63" s="55">
        <v>28791</v>
      </c>
      <c r="I63" s="55">
        <v>44187</v>
      </c>
      <c r="J63" s="55">
        <v>41182</v>
      </c>
      <c r="K63" s="55">
        <v>65728</v>
      </c>
      <c r="L63" s="55">
        <v>111601</v>
      </c>
      <c r="M63" s="55">
        <v>206803</v>
      </c>
    </row>
    <row r="64" spans="1:14" x14ac:dyDescent="0.2">
      <c r="B64" s="1"/>
    </row>
    <row r="65" spans="1:13" s="14" customFormat="1" ht="17" thickBot="1" x14ac:dyDescent="0.25">
      <c r="A65" s="4"/>
      <c r="B65" s="15" t="s">
        <v>45</v>
      </c>
    </row>
    <row r="66" spans="1:13" outlineLevel="1" x14ac:dyDescent="0.2">
      <c r="B66" s="9" t="s">
        <v>15</v>
      </c>
      <c r="C66" s="20">
        <f>C19</f>
        <v>614</v>
      </c>
      <c r="D66" s="20">
        <f t="shared" ref="D66:M66" si="10">D19</f>
        <v>1666</v>
      </c>
      <c r="E66" s="20">
        <f t="shared" si="10"/>
        <v>3047</v>
      </c>
      <c r="F66" s="20">
        <f t="shared" si="10"/>
        <v>4141</v>
      </c>
      <c r="G66" s="20">
        <f t="shared" si="10"/>
        <v>2796</v>
      </c>
      <c r="H66" s="20">
        <f t="shared" si="10"/>
        <v>4332</v>
      </c>
      <c r="I66" s="20">
        <f t="shared" si="10"/>
        <v>9752</v>
      </c>
      <c r="J66" s="20">
        <f t="shared" si="10"/>
        <v>4368</v>
      </c>
      <c r="K66" s="20">
        <f t="shared" si="10"/>
        <v>29760</v>
      </c>
      <c r="L66" s="20">
        <f t="shared" si="10"/>
        <v>72880</v>
      </c>
      <c r="M66" s="20">
        <f t="shared" si="10"/>
        <v>120067</v>
      </c>
    </row>
    <row r="67" spans="1:13" outlineLevel="1" x14ac:dyDescent="0.2">
      <c r="B67" s="9" t="s">
        <v>140</v>
      </c>
      <c r="C67" s="27">
        <v>204</v>
      </c>
      <c r="D67" s="27">
        <v>247</v>
      </c>
      <c r="E67" s="27">
        <v>391</v>
      </c>
      <c r="F67" s="27">
        <v>557</v>
      </c>
      <c r="G67" s="27">
        <v>844</v>
      </c>
      <c r="H67" s="27">
        <v>1397</v>
      </c>
      <c r="I67" s="27">
        <v>2004</v>
      </c>
      <c r="J67" s="27">
        <v>2709</v>
      </c>
      <c r="K67" s="27">
        <v>3549</v>
      </c>
      <c r="L67" s="27">
        <v>4737</v>
      </c>
      <c r="M67" s="27">
        <v>6386</v>
      </c>
    </row>
    <row r="68" spans="1:13" outlineLevel="1" x14ac:dyDescent="0.2">
      <c r="B68" s="9" t="s">
        <v>141</v>
      </c>
      <c r="C68" s="27">
        <v>197</v>
      </c>
      <c r="D68" s="27">
        <v>187</v>
      </c>
      <c r="E68" s="27">
        <v>199</v>
      </c>
      <c r="F68" s="27">
        <v>262</v>
      </c>
      <c r="G68" s="27">
        <v>381</v>
      </c>
      <c r="H68" s="27">
        <v>1098</v>
      </c>
      <c r="I68" s="27">
        <v>1174</v>
      </c>
      <c r="J68" s="27">
        <v>1544</v>
      </c>
      <c r="K68" s="27">
        <v>1508</v>
      </c>
      <c r="L68" s="27">
        <v>1864</v>
      </c>
      <c r="M68" s="27">
        <v>2843</v>
      </c>
    </row>
    <row r="69" spans="1:13" outlineLevel="1" x14ac:dyDescent="0.2">
      <c r="B69" s="12" t="s">
        <v>134</v>
      </c>
      <c r="C69" s="27">
        <v>134</v>
      </c>
      <c r="D69" s="27">
        <v>197</v>
      </c>
      <c r="E69" s="27">
        <v>-359</v>
      </c>
      <c r="F69" s="27">
        <v>-315</v>
      </c>
      <c r="G69" s="27">
        <v>18</v>
      </c>
      <c r="H69" s="27">
        <v>-282</v>
      </c>
      <c r="I69" s="27">
        <v>-406</v>
      </c>
      <c r="J69" s="27">
        <v>-2164</v>
      </c>
      <c r="K69" s="27">
        <v>-2489</v>
      </c>
      <c r="L69" s="27">
        <v>-4477</v>
      </c>
      <c r="M69" s="27">
        <v>-1424</v>
      </c>
    </row>
    <row r="70" spans="1:13" outlineLevel="1" x14ac:dyDescent="0.2">
      <c r="B70" s="12" t="s">
        <v>158</v>
      </c>
      <c r="C70" s="27">
        <v>0</v>
      </c>
      <c r="D70" s="27">
        <v>21</v>
      </c>
      <c r="E70" s="27">
        <v>19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</row>
    <row r="71" spans="1:13" outlineLevel="1" x14ac:dyDescent="0.2">
      <c r="B71" s="12" t="s">
        <v>156</v>
      </c>
      <c r="C71" s="27">
        <v>0</v>
      </c>
      <c r="D71" s="27">
        <v>0</v>
      </c>
      <c r="E71" s="27">
        <v>0</v>
      </c>
      <c r="F71" s="27">
        <v>0</v>
      </c>
      <c r="G71" s="27">
        <v>1</v>
      </c>
      <c r="H71" s="27">
        <v>0</v>
      </c>
      <c r="I71" s="27">
        <v>-100</v>
      </c>
      <c r="J71" s="27">
        <v>0</v>
      </c>
      <c r="K71" s="27">
        <v>0</v>
      </c>
      <c r="L71" s="27">
        <v>0</v>
      </c>
      <c r="M71" s="27">
        <v>0</v>
      </c>
    </row>
    <row r="72" spans="1:13" outlineLevel="1" x14ac:dyDescent="0.2">
      <c r="B72" s="9" t="s">
        <v>46</v>
      </c>
      <c r="C72" s="27">
        <v>0</v>
      </c>
      <c r="D72" s="27">
        <v>0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45</v>
      </c>
      <c r="K72" s="27">
        <v>-238</v>
      </c>
      <c r="L72" s="27">
        <v>-1030</v>
      </c>
      <c r="M72" s="27">
        <v>-8918</v>
      </c>
    </row>
    <row r="73" spans="1:13" outlineLevel="1" x14ac:dyDescent="0.2">
      <c r="B73" s="9" t="s">
        <v>121</v>
      </c>
      <c r="C73" s="27">
        <v>0</v>
      </c>
      <c r="D73" s="27">
        <v>0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1353</v>
      </c>
      <c r="K73" s="27">
        <v>0</v>
      </c>
      <c r="L73" s="27">
        <v>0</v>
      </c>
      <c r="M73" s="27">
        <v>0</v>
      </c>
    </row>
    <row r="74" spans="1:13" outlineLevel="1" x14ac:dyDescent="0.2">
      <c r="B74" s="9" t="s">
        <v>142</v>
      </c>
      <c r="C74" s="27">
        <v>19</v>
      </c>
      <c r="D74" s="27">
        <v>33</v>
      </c>
      <c r="E74" s="27">
        <v>20</v>
      </c>
      <c r="F74" s="27">
        <v>-45</v>
      </c>
      <c r="G74" s="27">
        <v>4</v>
      </c>
      <c r="H74" s="27">
        <v>-20</v>
      </c>
      <c r="I74" s="27">
        <v>47</v>
      </c>
      <c r="J74" s="27">
        <v>-7</v>
      </c>
      <c r="K74" s="27">
        <v>-278</v>
      </c>
      <c r="L74" s="27">
        <v>-502</v>
      </c>
      <c r="M74" s="27">
        <v>-287</v>
      </c>
    </row>
    <row r="75" spans="1:13" outlineLevel="1" x14ac:dyDescent="0.2">
      <c r="B75" s="9" t="s">
        <v>163</v>
      </c>
      <c r="C75" s="27">
        <v>29</v>
      </c>
      <c r="D75" s="27">
        <v>0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>
        <v>0</v>
      </c>
      <c r="L75" s="27">
        <v>0</v>
      </c>
      <c r="M75" s="27">
        <v>0</v>
      </c>
    </row>
    <row r="76" spans="1:13" outlineLevel="1" x14ac:dyDescent="0.2">
      <c r="B76" s="9" t="s">
        <v>162</v>
      </c>
      <c r="C76" s="27">
        <v>45</v>
      </c>
      <c r="D76" s="27">
        <v>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>
        <v>0</v>
      </c>
      <c r="L76" s="27">
        <v>0</v>
      </c>
      <c r="M76" s="27">
        <v>0</v>
      </c>
    </row>
    <row r="77" spans="1:13" outlineLevel="1" x14ac:dyDescent="0.2">
      <c r="B77" s="9" t="s">
        <v>164</v>
      </c>
      <c r="C77" s="27">
        <v>-6</v>
      </c>
      <c r="D77" s="27">
        <v>0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</row>
    <row r="78" spans="1:13" outlineLevel="1" x14ac:dyDescent="0.2">
      <c r="B78" s="9" t="s">
        <v>165</v>
      </c>
      <c r="C78" s="27">
        <v>-10</v>
      </c>
      <c r="D78" s="27">
        <v>0</v>
      </c>
      <c r="E78" s="27">
        <v>0</v>
      </c>
      <c r="F78" s="27">
        <v>0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</row>
    <row r="79" spans="1:13" outlineLevel="1" x14ac:dyDescent="0.2">
      <c r="B79" s="9" t="s">
        <v>47</v>
      </c>
      <c r="C79" s="27">
        <v>-32</v>
      </c>
      <c r="D79" s="27">
        <v>-321</v>
      </c>
      <c r="E79" s="27">
        <v>-440</v>
      </c>
      <c r="F79" s="27">
        <v>-149</v>
      </c>
      <c r="G79" s="27">
        <v>-233</v>
      </c>
      <c r="H79" s="27">
        <v>-550</v>
      </c>
      <c r="I79" s="27">
        <v>-2215</v>
      </c>
      <c r="J79" s="27">
        <v>822</v>
      </c>
      <c r="K79" s="27">
        <v>-6172</v>
      </c>
      <c r="L79" s="27">
        <v>-13063</v>
      </c>
      <c r="M79" s="27">
        <v>-15399</v>
      </c>
    </row>
    <row r="80" spans="1:13" outlineLevel="1" x14ac:dyDescent="0.2">
      <c r="B80" s="9" t="s">
        <v>48</v>
      </c>
      <c r="C80" s="27">
        <v>66</v>
      </c>
      <c r="D80" s="27">
        <v>-375</v>
      </c>
      <c r="E80" s="27">
        <v>0</v>
      </c>
      <c r="F80" s="27">
        <v>-776</v>
      </c>
      <c r="G80" s="27">
        <v>597</v>
      </c>
      <c r="H80" s="27">
        <v>-524</v>
      </c>
      <c r="I80" s="27">
        <v>-774</v>
      </c>
      <c r="J80" s="27">
        <v>-2554</v>
      </c>
      <c r="K80" s="27">
        <v>-98</v>
      </c>
      <c r="L80" s="27">
        <v>-4781</v>
      </c>
      <c r="M80" s="27">
        <v>-11324</v>
      </c>
    </row>
    <row r="81" spans="1:13" outlineLevel="1" x14ac:dyDescent="0.2">
      <c r="B81" s="9" t="s">
        <v>143</v>
      </c>
      <c r="C81" s="27">
        <v>-16</v>
      </c>
      <c r="D81" s="27">
        <v>-18</v>
      </c>
      <c r="E81" s="27">
        <v>21</v>
      </c>
      <c r="F81" s="27">
        <v>-55</v>
      </c>
      <c r="G81" s="27">
        <v>77</v>
      </c>
      <c r="H81" s="27">
        <v>-394</v>
      </c>
      <c r="I81" s="27">
        <v>-1715</v>
      </c>
      <c r="J81" s="27">
        <v>-1517</v>
      </c>
      <c r="K81" s="27">
        <v>-1522</v>
      </c>
      <c r="L81" s="27">
        <v>-395</v>
      </c>
      <c r="M81" s="27">
        <v>577</v>
      </c>
    </row>
    <row r="82" spans="1:13" outlineLevel="1" x14ac:dyDescent="0.2">
      <c r="B82" s="9" t="s">
        <v>49</v>
      </c>
      <c r="C82" s="27">
        <v>-11</v>
      </c>
      <c r="D82" s="27">
        <v>184</v>
      </c>
      <c r="E82" s="27">
        <v>90</v>
      </c>
      <c r="F82" s="27">
        <v>-135</v>
      </c>
      <c r="G82" s="27">
        <v>194</v>
      </c>
      <c r="H82" s="27">
        <v>312</v>
      </c>
      <c r="I82" s="27">
        <v>568</v>
      </c>
      <c r="J82" s="27">
        <v>-551</v>
      </c>
      <c r="K82" s="27">
        <v>1531</v>
      </c>
      <c r="L82" s="27">
        <v>3357</v>
      </c>
      <c r="M82" s="27">
        <v>3096</v>
      </c>
    </row>
    <row r="83" spans="1:13" outlineLevel="1" x14ac:dyDescent="0.2">
      <c r="B83" s="9" t="s">
        <v>144</v>
      </c>
      <c r="C83" s="27">
        <v>39</v>
      </c>
      <c r="D83" s="27">
        <v>-135</v>
      </c>
      <c r="E83" s="27">
        <v>33</v>
      </c>
      <c r="F83" s="27">
        <v>256</v>
      </c>
      <c r="G83" s="27">
        <v>54</v>
      </c>
      <c r="H83" s="27">
        <v>290</v>
      </c>
      <c r="I83" s="27">
        <v>581</v>
      </c>
      <c r="J83" s="27">
        <v>1341</v>
      </c>
      <c r="K83" s="27">
        <v>2025</v>
      </c>
      <c r="L83" s="27">
        <v>4278</v>
      </c>
      <c r="M83" s="27">
        <v>5257</v>
      </c>
    </row>
    <row r="84" spans="1:13" outlineLevel="1" x14ac:dyDescent="0.2">
      <c r="B84" s="9" t="s">
        <v>145</v>
      </c>
      <c r="C84" s="27">
        <v>-97</v>
      </c>
      <c r="D84" s="27">
        <v>-14</v>
      </c>
      <c r="E84" s="27">
        <v>481</v>
      </c>
      <c r="F84" s="27">
        <v>2</v>
      </c>
      <c r="G84" s="27">
        <v>28</v>
      </c>
      <c r="H84" s="27">
        <v>163</v>
      </c>
      <c r="I84" s="27">
        <v>192</v>
      </c>
      <c r="J84" s="27">
        <v>252</v>
      </c>
      <c r="K84" s="27">
        <v>514</v>
      </c>
      <c r="L84" s="27">
        <v>1221</v>
      </c>
      <c r="M84" s="27">
        <v>1844</v>
      </c>
    </row>
    <row r="85" spans="1:13" s="50" customFormat="1" outlineLevel="1" x14ac:dyDescent="0.2">
      <c r="A85" s="7"/>
      <c r="B85" s="17" t="s">
        <v>50</v>
      </c>
      <c r="C85" s="48">
        <v>1175</v>
      </c>
      <c r="D85" s="48">
        <v>1672</v>
      </c>
      <c r="E85" s="48">
        <v>3502</v>
      </c>
      <c r="F85" s="48">
        <v>3743</v>
      </c>
      <c r="G85" s="48">
        <v>4761</v>
      </c>
      <c r="H85" s="48">
        <v>5822</v>
      </c>
      <c r="I85" s="48">
        <v>9108</v>
      </c>
      <c r="J85" s="48">
        <v>5641</v>
      </c>
      <c r="K85" s="48">
        <v>28090</v>
      </c>
      <c r="L85" s="48">
        <v>64089</v>
      </c>
      <c r="M85" s="48">
        <v>102718</v>
      </c>
    </row>
    <row r="86" spans="1:13" outlineLevel="1" x14ac:dyDescent="0.2">
      <c r="B86" s="9" t="s">
        <v>146</v>
      </c>
      <c r="C86" s="27">
        <v>1036</v>
      </c>
      <c r="D86" s="27">
        <v>969</v>
      </c>
      <c r="E86" s="27">
        <v>1078</v>
      </c>
      <c r="F86" s="27">
        <v>7232</v>
      </c>
      <c r="G86" s="27">
        <v>4744</v>
      </c>
      <c r="H86" s="27">
        <v>8792</v>
      </c>
      <c r="I86" s="27">
        <v>15197</v>
      </c>
      <c r="J86" s="27">
        <v>19425</v>
      </c>
      <c r="K86" s="27">
        <v>9732</v>
      </c>
      <c r="L86" s="27">
        <v>11195</v>
      </c>
      <c r="M86" s="27">
        <v>11226</v>
      </c>
    </row>
    <row r="87" spans="1:13" outlineLevel="1" x14ac:dyDescent="0.2">
      <c r="B87" s="9" t="s">
        <v>147</v>
      </c>
      <c r="C87" s="27">
        <v>2102</v>
      </c>
      <c r="D87" s="27">
        <v>1546</v>
      </c>
      <c r="E87" s="27">
        <v>863</v>
      </c>
      <c r="F87" s="27">
        <v>428</v>
      </c>
      <c r="G87" s="27">
        <v>3365</v>
      </c>
      <c r="H87" s="27">
        <v>527</v>
      </c>
      <c r="I87" s="27">
        <v>1023</v>
      </c>
      <c r="J87" s="27">
        <v>1806</v>
      </c>
      <c r="K87" s="27">
        <v>50</v>
      </c>
      <c r="L87" s="27">
        <v>495</v>
      </c>
      <c r="M87" s="27">
        <v>15157</v>
      </c>
    </row>
    <row r="88" spans="1:13" outlineLevel="1" x14ac:dyDescent="0.2">
      <c r="B88" s="9" t="s">
        <v>148</v>
      </c>
      <c r="C88" s="27">
        <v>0</v>
      </c>
      <c r="D88" s="27">
        <v>0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8</v>
      </c>
      <c r="K88" s="27">
        <v>1</v>
      </c>
      <c r="L88" s="27">
        <v>171</v>
      </c>
      <c r="M88" s="27">
        <v>84</v>
      </c>
    </row>
    <row r="89" spans="1:13" outlineLevel="1" x14ac:dyDescent="0.2">
      <c r="B89" s="9" t="s">
        <v>149</v>
      </c>
      <c r="C89" s="27">
        <v>-3477</v>
      </c>
      <c r="D89" s="27">
        <v>-3134</v>
      </c>
      <c r="E89" s="27">
        <v>-36</v>
      </c>
      <c r="F89" s="27">
        <v>-11148</v>
      </c>
      <c r="G89" s="27">
        <v>-1461</v>
      </c>
      <c r="H89" s="27">
        <v>-19308</v>
      </c>
      <c r="I89" s="27">
        <v>-24787</v>
      </c>
      <c r="J89" s="27">
        <v>-11897</v>
      </c>
      <c r="K89" s="27">
        <v>-18211</v>
      </c>
      <c r="L89" s="27">
        <v>-26575</v>
      </c>
      <c r="M89" s="27">
        <v>-40616</v>
      </c>
    </row>
    <row r="90" spans="1:13" outlineLevel="1" x14ac:dyDescent="0.2">
      <c r="B90" s="9" t="s">
        <v>51</v>
      </c>
      <c r="C90" s="27">
        <v>-86</v>
      </c>
      <c r="D90" s="27">
        <v>-176</v>
      </c>
      <c r="E90" s="27">
        <v>-593</v>
      </c>
      <c r="F90" s="27">
        <v>-600</v>
      </c>
      <c r="G90" s="27">
        <v>-489</v>
      </c>
      <c r="H90" s="27">
        <v>-1128</v>
      </c>
      <c r="I90" s="27">
        <v>-976</v>
      </c>
      <c r="J90" s="27">
        <v>-1833</v>
      </c>
      <c r="K90" s="27">
        <v>-1069</v>
      </c>
      <c r="L90" s="27">
        <v>-3236</v>
      </c>
      <c r="M90" s="27">
        <v>-6042</v>
      </c>
    </row>
    <row r="91" spans="1:13" outlineLevel="1" x14ac:dyDescent="0.2">
      <c r="B91" s="9" t="s">
        <v>150</v>
      </c>
      <c r="C91" s="27">
        <v>0</v>
      </c>
      <c r="D91" s="27">
        <v>0</v>
      </c>
      <c r="E91" s="27">
        <v>0</v>
      </c>
      <c r="F91" s="27">
        <v>0</v>
      </c>
      <c r="G91" s="27">
        <v>0</v>
      </c>
      <c r="H91" s="27">
        <v>0</v>
      </c>
      <c r="I91" s="27">
        <v>0</v>
      </c>
      <c r="J91" s="27">
        <v>-85</v>
      </c>
      <c r="K91" s="27">
        <v>-862</v>
      </c>
      <c r="L91" s="27">
        <v>-1486</v>
      </c>
      <c r="M91" s="27">
        <v>-17502</v>
      </c>
    </row>
    <row r="92" spans="1:13" outlineLevel="1" x14ac:dyDescent="0.2">
      <c r="B92" s="9" t="s">
        <v>159</v>
      </c>
      <c r="C92" s="27">
        <v>0</v>
      </c>
      <c r="D92" s="27">
        <v>-5</v>
      </c>
      <c r="E92" s="27">
        <v>-36</v>
      </c>
      <c r="F92" s="27">
        <v>-9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</row>
    <row r="93" spans="1:13" outlineLevel="1" x14ac:dyDescent="0.2">
      <c r="B93" s="9" t="s">
        <v>151</v>
      </c>
      <c r="C93" s="27">
        <v>0</v>
      </c>
      <c r="D93" s="27">
        <v>0</v>
      </c>
      <c r="E93" s="27">
        <v>0</v>
      </c>
      <c r="F93" s="27">
        <v>0</v>
      </c>
      <c r="G93" s="27">
        <v>-4</v>
      </c>
      <c r="H93" s="27">
        <v>-8524</v>
      </c>
      <c r="I93" s="27">
        <v>-263</v>
      </c>
      <c r="J93" s="27">
        <v>-49</v>
      </c>
      <c r="K93" s="27">
        <v>-83</v>
      </c>
      <c r="L93" s="27">
        <v>-1007</v>
      </c>
      <c r="M93" s="27">
        <v>-1535</v>
      </c>
    </row>
    <row r="94" spans="1:13" outlineLevel="1" x14ac:dyDescent="0.2">
      <c r="B94" s="9" t="s">
        <v>160</v>
      </c>
      <c r="C94" s="27">
        <v>7</v>
      </c>
      <c r="D94" s="27">
        <v>7</v>
      </c>
      <c r="E94" s="27">
        <v>2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</row>
    <row r="95" spans="1:13" outlineLevel="1" x14ac:dyDescent="0.2">
      <c r="B95" s="9" t="s">
        <v>142</v>
      </c>
      <c r="C95" s="27">
        <v>18</v>
      </c>
      <c r="D95" s="27">
        <v>0</v>
      </c>
      <c r="E95" s="27">
        <v>0</v>
      </c>
      <c r="F95" s="27">
        <v>0</v>
      </c>
      <c r="G95" s="27">
        <v>-10</v>
      </c>
      <c r="H95" s="27">
        <v>-34</v>
      </c>
      <c r="I95" s="27">
        <v>-24</v>
      </c>
      <c r="J95" s="27">
        <v>0</v>
      </c>
      <c r="K95" s="27">
        <v>-124</v>
      </c>
      <c r="L95" s="27">
        <v>22</v>
      </c>
      <c r="M95" s="27">
        <v>-13000</v>
      </c>
    </row>
    <row r="96" spans="1:13" s="50" customFormat="1" outlineLevel="1" x14ac:dyDescent="0.2">
      <c r="A96" s="7"/>
      <c r="B96" s="17" t="s">
        <v>52</v>
      </c>
      <c r="C96" s="48">
        <v>-400</v>
      </c>
      <c r="D96" s="48">
        <v>-793</v>
      </c>
      <c r="E96" s="48">
        <v>1278</v>
      </c>
      <c r="F96" s="48">
        <v>-4097</v>
      </c>
      <c r="G96" s="48">
        <v>6145</v>
      </c>
      <c r="H96" s="48">
        <v>-19675</v>
      </c>
      <c r="I96" s="48">
        <v>-9830</v>
      </c>
      <c r="J96" s="48">
        <v>7375</v>
      </c>
      <c r="K96" s="48">
        <v>-10566</v>
      </c>
      <c r="L96" s="48">
        <v>-20421</v>
      </c>
      <c r="M96" s="48">
        <v>-52228</v>
      </c>
    </row>
    <row r="97" spans="1:13" s="8" customFormat="1" outlineLevel="1" x14ac:dyDescent="0.2">
      <c r="B97" s="12" t="s">
        <v>157</v>
      </c>
      <c r="C97" s="27">
        <v>0</v>
      </c>
      <c r="D97" s="27">
        <v>1988</v>
      </c>
      <c r="E97" s="27">
        <v>0</v>
      </c>
      <c r="F97" s="27">
        <v>0</v>
      </c>
      <c r="G97" s="27">
        <v>0</v>
      </c>
      <c r="H97" s="27">
        <v>4968</v>
      </c>
      <c r="I97" s="27">
        <v>4977</v>
      </c>
      <c r="J97" s="27">
        <v>0</v>
      </c>
      <c r="K97" s="27">
        <v>0</v>
      </c>
      <c r="L97" s="27">
        <v>0</v>
      </c>
      <c r="M97" s="27">
        <v>0</v>
      </c>
    </row>
    <row r="98" spans="1:13" outlineLevel="1" x14ac:dyDescent="0.2">
      <c r="B98" s="9" t="s">
        <v>152</v>
      </c>
      <c r="C98" s="27">
        <v>120</v>
      </c>
      <c r="D98" s="27">
        <v>167</v>
      </c>
      <c r="E98" s="27">
        <v>139</v>
      </c>
      <c r="F98" s="27">
        <v>137</v>
      </c>
      <c r="G98" s="27">
        <v>149</v>
      </c>
      <c r="H98" s="27">
        <v>194</v>
      </c>
      <c r="I98" s="27">
        <v>281</v>
      </c>
      <c r="J98" s="27">
        <v>355</v>
      </c>
      <c r="K98" s="27">
        <v>403</v>
      </c>
      <c r="L98" s="27">
        <v>490</v>
      </c>
      <c r="M98" s="27">
        <v>644</v>
      </c>
    </row>
    <row r="99" spans="1:13" outlineLevel="1" x14ac:dyDescent="0.2">
      <c r="B99" s="9" t="s">
        <v>116</v>
      </c>
      <c r="C99" s="27">
        <v>-587</v>
      </c>
      <c r="D99" s="27">
        <v>-739</v>
      </c>
      <c r="E99" s="27">
        <v>-909</v>
      </c>
      <c r="F99" s="27">
        <v>-1579</v>
      </c>
      <c r="G99" s="27">
        <v>0</v>
      </c>
      <c r="H99" s="27">
        <v>0</v>
      </c>
      <c r="I99" s="27">
        <v>0</v>
      </c>
      <c r="J99" s="27">
        <v>-10039</v>
      </c>
      <c r="K99" s="27">
        <v>-9533</v>
      </c>
      <c r="L99" s="27">
        <v>-33706</v>
      </c>
      <c r="M99" s="27">
        <v>-40086</v>
      </c>
    </row>
    <row r="100" spans="1:13" outlineLevel="1" x14ac:dyDescent="0.2">
      <c r="B100" s="9" t="s">
        <v>153</v>
      </c>
      <c r="C100" s="27">
        <v>0</v>
      </c>
      <c r="D100" s="27">
        <v>-176</v>
      </c>
      <c r="E100" s="27">
        <v>-612</v>
      </c>
      <c r="F100" s="27">
        <v>-1032</v>
      </c>
      <c r="G100" s="27">
        <v>-551</v>
      </c>
      <c r="H100" s="27">
        <v>-942</v>
      </c>
      <c r="I100" s="27">
        <v>-1904</v>
      </c>
      <c r="J100" s="27">
        <v>-1475</v>
      </c>
      <c r="K100" s="27">
        <v>-2783</v>
      </c>
      <c r="L100" s="27">
        <v>-6930</v>
      </c>
      <c r="M100" s="27">
        <v>-7948</v>
      </c>
    </row>
    <row r="101" spans="1:13" outlineLevel="1" x14ac:dyDescent="0.2">
      <c r="B101" s="9" t="s">
        <v>161</v>
      </c>
      <c r="C101" s="27">
        <v>0</v>
      </c>
      <c r="D101" s="27">
        <v>-673</v>
      </c>
      <c r="E101" s="27">
        <v>-812</v>
      </c>
      <c r="F101" s="27">
        <v>-16</v>
      </c>
      <c r="G101" s="27">
        <v>0</v>
      </c>
      <c r="H101" s="27">
        <v>0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</row>
    <row r="102" spans="1:13" outlineLevel="1" x14ac:dyDescent="0.2">
      <c r="B102" s="9" t="s">
        <v>154</v>
      </c>
      <c r="C102" s="27">
        <v>0</v>
      </c>
      <c r="D102" s="27">
        <v>0</v>
      </c>
      <c r="E102" s="27">
        <v>0</v>
      </c>
      <c r="F102" s="27">
        <v>0</v>
      </c>
      <c r="G102" s="27">
        <v>0</v>
      </c>
      <c r="H102" s="27">
        <v>0</v>
      </c>
      <c r="I102" s="27">
        <v>-1000</v>
      </c>
      <c r="J102" s="27">
        <v>0</v>
      </c>
      <c r="K102" s="27">
        <v>-1250</v>
      </c>
      <c r="L102" s="27">
        <v>-1250</v>
      </c>
      <c r="M102" s="27">
        <v>0</v>
      </c>
    </row>
    <row r="103" spans="1:13" outlineLevel="1" x14ac:dyDescent="0.2">
      <c r="B103" s="9" t="s">
        <v>53</v>
      </c>
      <c r="C103" s="27">
        <v>-213</v>
      </c>
      <c r="D103" s="27">
        <v>-261</v>
      </c>
      <c r="E103" s="27">
        <v>-341</v>
      </c>
      <c r="F103" s="27">
        <v>-371</v>
      </c>
      <c r="G103" s="27">
        <v>-390</v>
      </c>
      <c r="H103" s="27">
        <v>-395</v>
      </c>
      <c r="I103" s="27">
        <v>-399</v>
      </c>
      <c r="J103" s="27">
        <v>-398</v>
      </c>
      <c r="K103" s="27">
        <v>-395</v>
      </c>
      <c r="L103" s="27">
        <v>-834</v>
      </c>
      <c r="M103" s="27">
        <v>-974</v>
      </c>
    </row>
    <row r="104" spans="1:13" outlineLevel="1" x14ac:dyDescent="0.2">
      <c r="B104" s="9" t="s">
        <v>155</v>
      </c>
      <c r="C104" s="27">
        <v>0</v>
      </c>
      <c r="D104" s="27">
        <v>0</v>
      </c>
      <c r="E104" s="27">
        <v>0</v>
      </c>
      <c r="F104" s="27">
        <v>0</v>
      </c>
      <c r="G104" s="27">
        <v>0</v>
      </c>
      <c r="H104" s="27">
        <v>-17</v>
      </c>
      <c r="I104" s="27">
        <v>-83</v>
      </c>
      <c r="J104" s="27">
        <v>-58</v>
      </c>
      <c r="K104" s="27">
        <v>-74</v>
      </c>
      <c r="L104" s="27">
        <v>-129</v>
      </c>
      <c r="M104" s="27">
        <v>-101</v>
      </c>
    </row>
    <row r="105" spans="1:13" outlineLevel="1" x14ac:dyDescent="0.2">
      <c r="B105" s="9" t="s">
        <v>142</v>
      </c>
      <c r="C105" s="27">
        <v>4</v>
      </c>
      <c r="D105" s="27">
        <v>-15</v>
      </c>
      <c r="E105" s="27">
        <v>-9</v>
      </c>
      <c r="F105" s="27">
        <v>-5</v>
      </c>
      <c r="G105" s="27">
        <v>0</v>
      </c>
      <c r="H105" s="27">
        <v>-4</v>
      </c>
      <c r="I105" s="27">
        <v>-7</v>
      </c>
      <c r="J105" s="27">
        <v>-2</v>
      </c>
      <c r="K105" s="27">
        <v>-1</v>
      </c>
      <c r="L105" s="27">
        <v>0</v>
      </c>
      <c r="M105" s="27">
        <v>-9</v>
      </c>
    </row>
    <row r="106" spans="1:13" s="50" customFormat="1" outlineLevel="1" x14ac:dyDescent="0.2">
      <c r="A106" s="7"/>
      <c r="B106" s="17" t="s">
        <v>54</v>
      </c>
      <c r="C106" s="48">
        <v>-676</v>
      </c>
      <c r="D106" s="48">
        <v>291</v>
      </c>
      <c r="E106" s="48">
        <v>-2544</v>
      </c>
      <c r="F106" s="48">
        <v>-2866</v>
      </c>
      <c r="G106" s="48">
        <v>-792</v>
      </c>
      <c r="H106" s="48">
        <v>3804</v>
      </c>
      <c r="I106" s="48">
        <v>1865</v>
      </c>
      <c r="J106" s="48">
        <v>-11617</v>
      </c>
      <c r="K106" s="48">
        <v>-13633</v>
      </c>
      <c r="L106" s="48">
        <v>-42359</v>
      </c>
      <c r="M106" s="48">
        <v>-48474</v>
      </c>
    </row>
    <row r="107" spans="1:13" outlineLevel="1" x14ac:dyDescent="0.2">
      <c r="B107" s="9" t="s">
        <v>55</v>
      </c>
      <c r="C107" s="27">
        <v>0</v>
      </c>
      <c r="D107" s="27">
        <v>0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>
        <v>0</v>
      </c>
      <c r="L107" s="27">
        <v>0</v>
      </c>
      <c r="M107" s="27">
        <v>0</v>
      </c>
    </row>
    <row r="108" spans="1:13" s="49" customFormat="1" outlineLevel="1" x14ac:dyDescent="0.2">
      <c r="A108" s="7"/>
      <c r="B108" s="11" t="s">
        <v>56</v>
      </c>
      <c r="C108" s="52">
        <v>99</v>
      </c>
      <c r="D108" s="52">
        <v>1170</v>
      </c>
      <c r="E108" s="52">
        <v>2236</v>
      </c>
      <c r="F108" s="52">
        <v>-3220</v>
      </c>
      <c r="G108" s="52">
        <v>10114</v>
      </c>
      <c r="H108" s="52">
        <v>-10049</v>
      </c>
      <c r="I108" s="52">
        <v>1143</v>
      </c>
      <c r="J108" s="52">
        <v>1399</v>
      </c>
      <c r="K108" s="52">
        <v>3891</v>
      </c>
      <c r="L108" s="52">
        <v>1309</v>
      </c>
      <c r="M108" s="52">
        <v>2016</v>
      </c>
    </row>
    <row r="109" spans="1:13" s="49" customFormat="1" outlineLevel="1" x14ac:dyDescent="0.2">
      <c r="A109" s="7"/>
      <c r="B109" s="11" t="s">
        <v>57</v>
      </c>
      <c r="C109" s="52">
        <v>497</v>
      </c>
      <c r="D109" s="52">
        <v>596</v>
      </c>
      <c r="E109" s="52">
        <v>1766</v>
      </c>
      <c r="F109" s="52">
        <v>4002</v>
      </c>
      <c r="G109" s="52">
        <v>782</v>
      </c>
      <c r="H109" s="52">
        <v>10896</v>
      </c>
      <c r="I109" s="52">
        <v>847</v>
      </c>
      <c r="J109" s="52">
        <v>1990</v>
      </c>
      <c r="K109" s="52">
        <v>3389</v>
      </c>
      <c r="L109" s="52">
        <v>7280</v>
      </c>
      <c r="M109" s="52">
        <v>8589</v>
      </c>
    </row>
    <row r="110" spans="1:13" s="54" customFormat="1" ht="17" outlineLevel="1" thickBot="1" x14ac:dyDescent="0.25">
      <c r="A110" s="7"/>
      <c r="B110" s="19" t="s">
        <v>58</v>
      </c>
      <c r="C110" s="55">
        <v>596</v>
      </c>
      <c r="D110" s="55">
        <v>1766</v>
      </c>
      <c r="E110" s="55">
        <v>4002</v>
      </c>
      <c r="F110" s="55">
        <v>782</v>
      </c>
      <c r="G110" s="55">
        <v>10896</v>
      </c>
      <c r="H110" s="55">
        <v>847</v>
      </c>
      <c r="I110" s="55">
        <v>1990</v>
      </c>
      <c r="J110" s="55">
        <v>3389</v>
      </c>
      <c r="K110" s="55">
        <v>7280</v>
      </c>
      <c r="L110" s="55">
        <v>8589</v>
      </c>
      <c r="M110" s="55">
        <v>10605</v>
      </c>
    </row>
    <row r="111" spans="1:13" x14ac:dyDescent="0.2">
      <c r="B111" s="1"/>
    </row>
    <row r="112" spans="1:13" s="14" customFormat="1" ht="17" thickBot="1" x14ac:dyDescent="0.25">
      <c r="A112" s="4"/>
      <c r="B112" s="15" t="s">
        <v>59</v>
      </c>
    </row>
    <row r="113" spans="1:15" hidden="1" outlineLevel="2" x14ac:dyDescent="0.2">
      <c r="B113" s="9" t="s">
        <v>60</v>
      </c>
      <c r="C113" s="20">
        <f t="shared" ref="C113:L113" si="11">C5-C6-C12+C14+C15-C16+C18</f>
        <v>614</v>
      </c>
      <c r="D113" s="20">
        <f t="shared" si="11"/>
        <v>1666</v>
      </c>
      <c r="E113" s="20">
        <f t="shared" si="11"/>
        <v>3047</v>
      </c>
      <c r="F113" s="20">
        <f t="shared" si="11"/>
        <v>4141</v>
      </c>
      <c r="G113" s="20">
        <f t="shared" si="11"/>
        <v>2796</v>
      </c>
      <c r="H113" s="20">
        <f t="shared" si="11"/>
        <v>4332</v>
      </c>
      <c r="I113" s="20">
        <f t="shared" si="11"/>
        <v>9752</v>
      </c>
      <c r="J113" s="20">
        <f t="shared" si="11"/>
        <v>4368</v>
      </c>
      <c r="K113" s="20">
        <f t="shared" si="11"/>
        <v>29760</v>
      </c>
      <c r="L113" s="20">
        <f t="shared" si="11"/>
        <v>72880</v>
      </c>
      <c r="M113" s="20">
        <f t="shared" ref="M113" si="12">M5-M6-M12+M14+M15-M16+M18</f>
        <v>120067</v>
      </c>
      <c r="N113" s="20"/>
      <c r="O113" s="20"/>
    </row>
    <row r="114" spans="1:15" s="18" customFormat="1" outlineLevel="1" collapsed="1" x14ac:dyDescent="0.2">
      <c r="A114" s="7"/>
      <c r="B114" s="17" t="s">
        <v>61</v>
      </c>
      <c r="C114" s="24">
        <f t="shared" ref="C114:L114" si="13">C19-C113</f>
        <v>0</v>
      </c>
      <c r="D114" s="24">
        <f t="shared" si="13"/>
        <v>0</v>
      </c>
      <c r="E114" s="24">
        <f t="shared" si="13"/>
        <v>0</v>
      </c>
      <c r="F114" s="24">
        <f t="shared" si="13"/>
        <v>0</v>
      </c>
      <c r="G114" s="24">
        <f t="shared" si="13"/>
        <v>0</v>
      </c>
      <c r="H114" s="24">
        <f t="shared" si="13"/>
        <v>0</v>
      </c>
      <c r="I114" s="24">
        <f t="shared" si="13"/>
        <v>0</v>
      </c>
      <c r="J114" s="24">
        <f t="shared" si="13"/>
        <v>0</v>
      </c>
      <c r="K114" s="24">
        <f t="shared" si="13"/>
        <v>0</v>
      </c>
      <c r="L114" s="24">
        <f t="shared" si="13"/>
        <v>0</v>
      </c>
      <c r="M114" s="24">
        <f t="shared" ref="M114:N114" si="14">M19-M113</f>
        <v>0</v>
      </c>
      <c r="N114" s="24">
        <f t="shared" si="14"/>
        <v>0</v>
      </c>
      <c r="O114" s="24">
        <f t="shared" ref="O114" si="15">O19-O113</f>
        <v>0</v>
      </c>
    </row>
    <row r="115" spans="1:15" hidden="1" outlineLevel="2" x14ac:dyDescent="0.2">
      <c r="B115" s="9" t="s">
        <v>62</v>
      </c>
      <c r="C115" s="20">
        <f t="shared" ref="C115:L115" si="16">SUM(C30:C34)+SUM(C36:C41)</f>
        <v>7370</v>
      </c>
      <c r="D115" s="20">
        <f t="shared" si="16"/>
        <v>9841</v>
      </c>
      <c r="E115" s="20">
        <f t="shared" si="16"/>
        <v>11241</v>
      </c>
      <c r="F115" s="20">
        <f t="shared" si="16"/>
        <v>13292</v>
      </c>
      <c r="G115" s="20">
        <f t="shared" si="16"/>
        <v>17315</v>
      </c>
      <c r="H115" s="20">
        <f t="shared" si="16"/>
        <v>28791</v>
      </c>
      <c r="I115" s="20">
        <f t="shared" si="16"/>
        <v>44187</v>
      </c>
      <c r="J115" s="20">
        <f t="shared" si="16"/>
        <v>41182</v>
      </c>
      <c r="K115" s="20">
        <f t="shared" si="16"/>
        <v>65728</v>
      </c>
      <c r="L115" s="20">
        <f t="shared" si="16"/>
        <v>111601</v>
      </c>
      <c r="M115" s="20">
        <f t="shared" ref="M115:N115" si="17">SUM(M30:M34)+SUM(M36:M41)</f>
        <v>206803</v>
      </c>
      <c r="N115" s="20">
        <f t="shared" si="17"/>
        <v>0</v>
      </c>
      <c r="O115" s="20">
        <f t="shared" ref="O115" si="18">SUM(O30:O34)+SUM(O36:O41)</f>
        <v>0</v>
      </c>
    </row>
    <row r="116" spans="1:15" s="7" customFormat="1" outlineLevel="1" collapsed="1" x14ac:dyDescent="0.2">
      <c r="B116" s="11" t="s">
        <v>63</v>
      </c>
      <c r="C116" s="23">
        <f t="shared" ref="C116:L116" si="19">C43-C115</f>
        <v>0</v>
      </c>
      <c r="D116" s="23">
        <f t="shared" si="19"/>
        <v>0</v>
      </c>
      <c r="E116" s="23">
        <f t="shared" si="19"/>
        <v>0</v>
      </c>
      <c r="F116" s="23">
        <f t="shared" si="19"/>
        <v>0</v>
      </c>
      <c r="G116" s="23">
        <f t="shared" si="19"/>
        <v>0</v>
      </c>
      <c r="H116" s="23">
        <f t="shared" si="19"/>
        <v>0</v>
      </c>
      <c r="I116" s="23">
        <f t="shared" si="19"/>
        <v>0</v>
      </c>
      <c r="J116" s="23">
        <f t="shared" si="19"/>
        <v>0</v>
      </c>
      <c r="K116" s="23">
        <f t="shared" si="19"/>
        <v>0</v>
      </c>
      <c r="L116" s="23">
        <f t="shared" si="19"/>
        <v>0</v>
      </c>
      <c r="M116" s="23">
        <f t="shared" ref="M116:N116" si="20">M43-M115</f>
        <v>0</v>
      </c>
      <c r="N116" s="23">
        <f t="shared" si="20"/>
        <v>0</v>
      </c>
      <c r="O116" s="23">
        <f t="shared" ref="O116" si="21">O43-O115</f>
        <v>0</v>
      </c>
    </row>
    <row r="117" spans="1:15" hidden="1" outlineLevel="2" x14ac:dyDescent="0.2">
      <c r="B117" s="9" t="s">
        <v>64</v>
      </c>
      <c r="C117" s="20">
        <f t="shared" ref="C117:L117" si="22">SUM(C44:C46)+SUM(C48:C51)</f>
        <v>2814</v>
      </c>
      <c r="D117" s="20">
        <f t="shared" si="22"/>
        <v>4048</v>
      </c>
      <c r="E117" s="20">
        <f t="shared" si="22"/>
        <v>3770</v>
      </c>
      <c r="F117" s="20">
        <f t="shared" si="22"/>
        <v>3950</v>
      </c>
      <c r="G117" s="20">
        <f t="shared" si="22"/>
        <v>5111</v>
      </c>
      <c r="H117" s="20">
        <f t="shared" si="22"/>
        <v>11898</v>
      </c>
      <c r="I117" s="20">
        <f t="shared" si="22"/>
        <v>17575</v>
      </c>
      <c r="J117" s="20">
        <f t="shared" si="22"/>
        <v>19081</v>
      </c>
      <c r="K117" s="20">
        <f t="shared" si="22"/>
        <v>22750</v>
      </c>
      <c r="L117" s="20">
        <f t="shared" si="22"/>
        <v>32274</v>
      </c>
      <c r="M117" s="20">
        <f t="shared" ref="M117:N117" si="23">SUM(M44:M46)+SUM(M48:M51)</f>
        <v>49510</v>
      </c>
      <c r="N117" s="20">
        <f t="shared" si="23"/>
        <v>0</v>
      </c>
      <c r="O117" s="20">
        <f t="shared" ref="O117" si="24">SUM(O44:O46)+SUM(O48:O51)</f>
        <v>0</v>
      </c>
    </row>
    <row r="118" spans="1:15" s="7" customFormat="1" outlineLevel="1" collapsed="1" x14ac:dyDescent="0.2">
      <c r="B118" s="11" t="s">
        <v>65</v>
      </c>
      <c r="C118" s="23">
        <f t="shared" ref="C118:L118" si="25">C53-C117</f>
        <v>0</v>
      </c>
      <c r="D118" s="23">
        <f t="shared" si="25"/>
        <v>0</v>
      </c>
      <c r="E118" s="23">
        <f t="shared" si="25"/>
        <v>0</v>
      </c>
      <c r="F118" s="23">
        <f t="shared" si="25"/>
        <v>0</v>
      </c>
      <c r="G118" s="23">
        <f t="shared" si="25"/>
        <v>0</v>
      </c>
      <c r="H118" s="23">
        <f t="shared" si="25"/>
        <v>0</v>
      </c>
      <c r="I118" s="23">
        <f t="shared" si="25"/>
        <v>0</v>
      </c>
      <c r="J118" s="23">
        <f t="shared" si="25"/>
        <v>0</v>
      </c>
      <c r="K118" s="23">
        <f t="shared" si="25"/>
        <v>0</v>
      </c>
      <c r="L118" s="23">
        <f t="shared" si="25"/>
        <v>0</v>
      </c>
      <c r="M118" s="23">
        <f t="shared" ref="M118:N118" si="26">M53-M117</f>
        <v>0</v>
      </c>
      <c r="N118" s="23">
        <f t="shared" si="26"/>
        <v>0</v>
      </c>
      <c r="O118" s="23">
        <f t="shared" ref="O118" si="27">O53-O117</f>
        <v>0</v>
      </c>
    </row>
    <row r="119" spans="1:15" hidden="1" outlineLevel="2" x14ac:dyDescent="0.2">
      <c r="B119" s="9" t="s">
        <v>66</v>
      </c>
      <c r="C119" s="20">
        <f t="shared" ref="C119:L119" si="28">SUM(C54:C59)+C61</f>
        <v>4469</v>
      </c>
      <c r="D119" s="20">
        <f t="shared" si="28"/>
        <v>5762</v>
      </c>
      <c r="E119" s="20">
        <f t="shared" si="28"/>
        <v>7471</v>
      </c>
      <c r="F119" s="20">
        <f t="shared" si="28"/>
        <v>9342</v>
      </c>
      <c r="G119" s="20">
        <f t="shared" si="28"/>
        <v>12204</v>
      </c>
      <c r="H119" s="20">
        <f t="shared" si="28"/>
        <v>16893</v>
      </c>
      <c r="I119" s="20">
        <f t="shared" si="28"/>
        <v>26612</v>
      </c>
      <c r="J119" s="20">
        <f t="shared" si="28"/>
        <v>22101</v>
      </c>
      <c r="K119" s="20">
        <f t="shared" si="28"/>
        <v>42978</v>
      </c>
      <c r="L119" s="20">
        <f t="shared" si="28"/>
        <v>79327</v>
      </c>
      <c r="M119" s="20">
        <f t="shared" ref="M119:N119" si="29">SUM(M54:M59)+M61</f>
        <v>157293</v>
      </c>
      <c r="N119" s="20">
        <f t="shared" si="29"/>
        <v>0</v>
      </c>
      <c r="O119" s="20">
        <f t="shared" ref="O119" si="30">SUM(O54:O59)+O61</f>
        <v>0</v>
      </c>
    </row>
    <row r="120" spans="1:15" s="7" customFormat="1" outlineLevel="1" collapsed="1" x14ac:dyDescent="0.2">
      <c r="B120" s="11" t="s">
        <v>67</v>
      </c>
      <c r="C120" s="23">
        <f t="shared" ref="C120:L120" si="31">C62-C119</f>
        <v>0</v>
      </c>
      <c r="D120" s="23">
        <f t="shared" si="31"/>
        <v>0</v>
      </c>
      <c r="E120" s="23">
        <f t="shared" si="31"/>
        <v>0</v>
      </c>
      <c r="F120" s="23">
        <f t="shared" si="31"/>
        <v>0</v>
      </c>
      <c r="G120" s="23">
        <f t="shared" si="31"/>
        <v>0</v>
      </c>
      <c r="H120" s="23">
        <f t="shared" si="31"/>
        <v>0</v>
      </c>
      <c r="I120" s="23">
        <f t="shared" si="31"/>
        <v>0</v>
      </c>
      <c r="J120" s="23">
        <f t="shared" si="31"/>
        <v>0</v>
      </c>
      <c r="K120" s="23">
        <f t="shared" si="31"/>
        <v>0</v>
      </c>
      <c r="L120" s="23">
        <f t="shared" si="31"/>
        <v>0</v>
      </c>
      <c r="M120" s="23">
        <f t="shared" ref="M120:N120" si="32">M62-M119</f>
        <v>0</v>
      </c>
      <c r="N120" s="23">
        <f t="shared" si="32"/>
        <v>0</v>
      </c>
      <c r="O120" s="23">
        <f t="shared" ref="O120" si="33">O62-O119</f>
        <v>0</v>
      </c>
    </row>
    <row r="121" spans="1:15" s="18" customFormat="1" outlineLevel="1" x14ac:dyDescent="0.2">
      <c r="A121" s="7"/>
      <c r="B121" s="17" t="s">
        <v>77</v>
      </c>
      <c r="C121" s="22">
        <f>C43-(C53+C62)-87</f>
        <v>0</v>
      </c>
      <c r="D121" s="22">
        <f>D43-(D53+D62)-31</f>
        <v>0</v>
      </c>
      <c r="E121" s="22">
        <f t="shared" ref="E121:L121" si="34">E43-(E53+E62)</f>
        <v>0</v>
      </c>
      <c r="F121" s="22">
        <f t="shared" si="34"/>
        <v>0</v>
      </c>
      <c r="G121" s="22">
        <f t="shared" si="34"/>
        <v>0</v>
      </c>
      <c r="H121" s="22">
        <f t="shared" si="34"/>
        <v>0</v>
      </c>
      <c r="I121" s="22">
        <f t="shared" si="34"/>
        <v>0</v>
      </c>
      <c r="J121" s="22">
        <f t="shared" si="34"/>
        <v>0</v>
      </c>
      <c r="K121" s="22">
        <f t="shared" si="34"/>
        <v>0</v>
      </c>
      <c r="L121" s="22">
        <f t="shared" si="34"/>
        <v>0</v>
      </c>
      <c r="M121" s="22">
        <f t="shared" ref="M121:N121" si="35">M43-(M53+M62)</f>
        <v>0</v>
      </c>
      <c r="N121" s="22">
        <f t="shared" si="35"/>
        <v>0</v>
      </c>
      <c r="O121" s="22">
        <f t="shared" ref="O121" si="36">O43-(O53+O62)</f>
        <v>0</v>
      </c>
    </row>
    <row r="122" spans="1:15" hidden="1" outlineLevel="2" x14ac:dyDescent="0.2">
      <c r="B122" s="9" t="s">
        <v>68</v>
      </c>
      <c r="C122" s="20">
        <f t="shared" ref="C122:L122" si="37">SUM(C66:C84)</f>
        <v>1175</v>
      </c>
      <c r="D122" s="20">
        <f t="shared" si="37"/>
        <v>1672</v>
      </c>
      <c r="E122" s="20">
        <f t="shared" si="37"/>
        <v>3502</v>
      </c>
      <c r="F122" s="20">
        <f t="shared" si="37"/>
        <v>3743</v>
      </c>
      <c r="G122" s="20">
        <f t="shared" si="37"/>
        <v>4761</v>
      </c>
      <c r="H122" s="20">
        <f t="shared" si="37"/>
        <v>5822</v>
      </c>
      <c r="I122" s="20">
        <f t="shared" si="37"/>
        <v>9108</v>
      </c>
      <c r="J122" s="20">
        <f t="shared" si="37"/>
        <v>5641</v>
      </c>
      <c r="K122" s="20">
        <f t="shared" si="37"/>
        <v>28090</v>
      </c>
      <c r="L122" s="20">
        <f t="shared" si="37"/>
        <v>64089</v>
      </c>
      <c r="M122" s="20">
        <f t="shared" ref="M122:N122" si="38">SUM(M66:M84)</f>
        <v>102718</v>
      </c>
      <c r="N122" s="20">
        <f t="shared" si="38"/>
        <v>0</v>
      </c>
      <c r="O122" s="20">
        <f t="shared" ref="O122" si="39">SUM(O66:O84)</f>
        <v>0</v>
      </c>
    </row>
    <row r="123" spans="1:15" s="7" customFormat="1" outlineLevel="1" collapsed="1" x14ac:dyDescent="0.2">
      <c r="B123" s="11" t="s">
        <v>69</v>
      </c>
      <c r="C123" s="23">
        <f t="shared" ref="C123:L123" si="40">C85-C122</f>
        <v>0</v>
      </c>
      <c r="D123" s="23">
        <f t="shared" si="40"/>
        <v>0</v>
      </c>
      <c r="E123" s="23">
        <f t="shared" si="40"/>
        <v>0</v>
      </c>
      <c r="F123" s="23">
        <f t="shared" si="40"/>
        <v>0</v>
      </c>
      <c r="G123" s="23">
        <f t="shared" si="40"/>
        <v>0</v>
      </c>
      <c r="H123" s="23">
        <f t="shared" si="40"/>
        <v>0</v>
      </c>
      <c r="I123" s="23">
        <f t="shared" si="40"/>
        <v>0</v>
      </c>
      <c r="J123" s="23">
        <f t="shared" si="40"/>
        <v>0</v>
      </c>
      <c r="K123" s="23">
        <f t="shared" si="40"/>
        <v>0</v>
      </c>
      <c r="L123" s="23">
        <f t="shared" si="40"/>
        <v>0</v>
      </c>
      <c r="M123" s="23">
        <f t="shared" ref="M123:N123" si="41">M85-M122</f>
        <v>0</v>
      </c>
      <c r="N123" s="23">
        <f t="shared" si="41"/>
        <v>0</v>
      </c>
      <c r="O123" s="23">
        <f t="shared" ref="O123" si="42">O85-O122</f>
        <v>0</v>
      </c>
    </row>
    <row r="124" spans="1:15" hidden="1" outlineLevel="2" x14ac:dyDescent="0.2">
      <c r="B124" s="9" t="s">
        <v>70</v>
      </c>
      <c r="C124" s="20">
        <f t="shared" ref="C124:L124" si="43">SUM(C86:C95)</f>
        <v>-400</v>
      </c>
      <c r="D124" s="20">
        <f t="shared" si="43"/>
        <v>-793</v>
      </c>
      <c r="E124" s="20">
        <f t="shared" si="43"/>
        <v>1278</v>
      </c>
      <c r="F124" s="20">
        <f t="shared" si="43"/>
        <v>-4097</v>
      </c>
      <c r="G124" s="20">
        <f t="shared" si="43"/>
        <v>6145</v>
      </c>
      <c r="H124" s="20">
        <f t="shared" si="43"/>
        <v>-19675</v>
      </c>
      <c r="I124" s="20">
        <f t="shared" si="43"/>
        <v>-9830</v>
      </c>
      <c r="J124" s="20">
        <f t="shared" si="43"/>
        <v>7375</v>
      </c>
      <c r="K124" s="20">
        <f t="shared" si="43"/>
        <v>-10566</v>
      </c>
      <c r="L124" s="20">
        <f t="shared" si="43"/>
        <v>-20421</v>
      </c>
      <c r="M124" s="20">
        <f t="shared" ref="M124:N124" si="44">SUM(M86:M95)</f>
        <v>-52228</v>
      </c>
      <c r="N124" s="20">
        <f t="shared" si="44"/>
        <v>0</v>
      </c>
      <c r="O124" s="20">
        <f t="shared" ref="O124" si="45">SUM(O86:O95)</f>
        <v>0</v>
      </c>
    </row>
    <row r="125" spans="1:15" s="7" customFormat="1" outlineLevel="1" collapsed="1" x14ac:dyDescent="0.2">
      <c r="B125" s="11" t="s">
        <v>71</v>
      </c>
      <c r="C125" s="23">
        <f t="shared" ref="C125:L125" si="46">C96-C124</f>
        <v>0</v>
      </c>
      <c r="D125" s="23">
        <f t="shared" si="46"/>
        <v>0</v>
      </c>
      <c r="E125" s="23">
        <f t="shared" si="46"/>
        <v>0</v>
      </c>
      <c r="F125" s="23">
        <f t="shared" si="46"/>
        <v>0</v>
      </c>
      <c r="G125" s="23">
        <f t="shared" si="46"/>
        <v>0</v>
      </c>
      <c r="H125" s="23">
        <f t="shared" si="46"/>
        <v>0</v>
      </c>
      <c r="I125" s="23">
        <f t="shared" si="46"/>
        <v>0</v>
      </c>
      <c r="J125" s="23">
        <f t="shared" si="46"/>
        <v>0</v>
      </c>
      <c r="K125" s="23">
        <f t="shared" si="46"/>
        <v>0</v>
      </c>
      <c r="L125" s="23">
        <f t="shared" si="46"/>
        <v>0</v>
      </c>
      <c r="M125" s="23">
        <f t="shared" ref="M125:N125" si="47">M96-M124</f>
        <v>0</v>
      </c>
      <c r="N125" s="23">
        <f t="shared" si="47"/>
        <v>0</v>
      </c>
      <c r="O125" s="23">
        <f t="shared" ref="O125" si="48">O96-O124</f>
        <v>0</v>
      </c>
    </row>
    <row r="126" spans="1:15" hidden="1" outlineLevel="2" x14ac:dyDescent="0.2">
      <c r="B126" s="9" t="s">
        <v>72</v>
      </c>
      <c r="C126" s="20">
        <f>SUM(C97:C105)</f>
        <v>-676</v>
      </c>
      <c r="D126" s="20">
        <f t="shared" ref="D126:L126" si="49">SUM(D97:D105)</f>
        <v>291</v>
      </c>
      <c r="E126" s="20">
        <f t="shared" si="49"/>
        <v>-2544</v>
      </c>
      <c r="F126" s="20">
        <f t="shared" si="49"/>
        <v>-2866</v>
      </c>
      <c r="G126" s="20">
        <f t="shared" si="49"/>
        <v>-792</v>
      </c>
      <c r="H126" s="20">
        <f t="shared" si="49"/>
        <v>3804</v>
      </c>
      <c r="I126" s="20">
        <f t="shared" si="49"/>
        <v>1865</v>
      </c>
      <c r="J126" s="20">
        <f t="shared" si="49"/>
        <v>-11617</v>
      </c>
      <c r="K126" s="20">
        <f t="shared" si="49"/>
        <v>-13633</v>
      </c>
      <c r="L126" s="20">
        <f t="shared" si="49"/>
        <v>-42359</v>
      </c>
      <c r="M126" s="20">
        <f t="shared" ref="M126:N126" si="50">SUM(M97:M105)</f>
        <v>-48474</v>
      </c>
      <c r="N126" s="20">
        <f t="shared" si="50"/>
        <v>0</v>
      </c>
      <c r="O126" s="20">
        <f t="shared" ref="O126" si="51">SUM(O97:O105)</f>
        <v>0</v>
      </c>
    </row>
    <row r="127" spans="1:15" s="7" customFormat="1" outlineLevel="1" collapsed="1" x14ac:dyDescent="0.2">
      <c r="B127" s="11" t="s">
        <v>73</v>
      </c>
      <c r="C127" s="23">
        <f t="shared" ref="C127:L127" si="52">C106-C126</f>
        <v>0</v>
      </c>
      <c r="D127" s="23">
        <f t="shared" si="52"/>
        <v>0</v>
      </c>
      <c r="E127" s="23">
        <f t="shared" si="52"/>
        <v>0</v>
      </c>
      <c r="F127" s="23">
        <f t="shared" si="52"/>
        <v>0</v>
      </c>
      <c r="G127" s="23">
        <f t="shared" si="52"/>
        <v>0</v>
      </c>
      <c r="H127" s="23">
        <f t="shared" si="52"/>
        <v>0</v>
      </c>
      <c r="I127" s="23">
        <f t="shared" si="52"/>
        <v>0</v>
      </c>
      <c r="J127" s="23">
        <f t="shared" si="52"/>
        <v>0</v>
      </c>
      <c r="K127" s="23">
        <f t="shared" si="52"/>
        <v>0</v>
      </c>
      <c r="L127" s="23">
        <f t="shared" si="52"/>
        <v>0</v>
      </c>
      <c r="M127" s="23">
        <f t="shared" ref="M127:N127" si="53">M106-M126</f>
        <v>0</v>
      </c>
      <c r="N127" s="23">
        <f t="shared" si="53"/>
        <v>0</v>
      </c>
      <c r="O127" s="23">
        <f t="shared" ref="O127" si="54">O106-O126</f>
        <v>0</v>
      </c>
    </row>
    <row r="128" spans="1:15" hidden="1" outlineLevel="2" x14ac:dyDescent="0.2">
      <c r="B128" s="9" t="s">
        <v>75</v>
      </c>
      <c r="C128" s="20">
        <f t="shared" ref="C128:L128" si="55">C85+C96+C106+C107+C109</f>
        <v>596</v>
      </c>
      <c r="D128" s="20">
        <f t="shared" si="55"/>
        <v>1766</v>
      </c>
      <c r="E128" s="20">
        <f t="shared" si="55"/>
        <v>4002</v>
      </c>
      <c r="F128" s="20">
        <f t="shared" si="55"/>
        <v>782</v>
      </c>
      <c r="G128" s="20">
        <f t="shared" si="55"/>
        <v>10896</v>
      </c>
      <c r="H128" s="20">
        <f t="shared" si="55"/>
        <v>847</v>
      </c>
      <c r="I128" s="20">
        <f t="shared" si="55"/>
        <v>1990</v>
      </c>
      <c r="J128" s="20">
        <f t="shared" si="55"/>
        <v>3389</v>
      </c>
      <c r="K128" s="20">
        <f t="shared" si="55"/>
        <v>7280</v>
      </c>
      <c r="L128" s="20">
        <f t="shared" si="55"/>
        <v>8589</v>
      </c>
      <c r="M128" s="20">
        <f t="shared" ref="M128:N128" si="56">M85+M96+M106+M107+M109</f>
        <v>10605</v>
      </c>
      <c r="N128" s="20">
        <f t="shared" si="56"/>
        <v>0</v>
      </c>
      <c r="O128" s="20">
        <f t="shared" ref="O128" si="57">O85+O96+O106+O107+O109</f>
        <v>0</v>
      </c>
    </row>
    <row r="129" spans="1:15" s="18" customFormat="1" outlineLevel="1" collapsed="1" x14ac:dyDescent="0.2">
      <c r="A129" s="7"/>
      <c r="B129" s="17" t="s">
        <v>74</v>
      </c>
      <c r="C129" s="22">
        <f t="shared" ref="C129:L129" si="58">C110-C128</f>
        <v>0</v>
      </c>
      <c r="D129" s="22">
        <f t="shared" si="58"/>
        <v>0</v>
      </c>
      <c r="E129" s="22">
        <f t="shared" si="58"/>
        <v>0</v>
      </c>
      <c r="F129" s="22">
        <f t="shared" si="58"/>
        <v>0</v>
      </c>
      <c r="G129" s="22">
        <f t="shared" si="58"/>
        <v>0</v>
      </c>
      <c r="H129" s="22">
        <f t="shared" si="58"/>
        <v>0</v>
      </c>
      <c r="I129" s="22">
        <f t="shared" si="58"/>
        <v>0</v>
      </c>
      <c r="J129" s="22">
        <f t="shared" si="58"/>
        <v>0</v>
      </c>
      <c r="K129" s="22">
        <f t="shared" si="58"/>
        <v>0</v>
      </c>
      <c r="L129" s="22">
        <f t="shared" si="58"/>
        <v>0</v>
      </c>
      <c r="M129" s="22">
        <f t="shared" ref="M129:N129" si="59">M110-M128</f>
        <v>0</v>
      </c>
      <c r="N129" s="22">
        <f t="shared" si="59"/>
        <v>0</v>
      </c>
      <c r="O129" s="22">
        <f t="shared" ref="O129" si="60">O110-O128</f>
        <v>0</v>
      </c>
    </row>
    <row r="130" spans="1:15" x14ac:dyDescent="0.2">
      <c r="B130" s="8"/>
      <c r="F130" s="8"/>
      <c r="G130" s="8"/>
      <c r="H130" s="8"/>
      <c r="I130" s="8"/>
      <c r="J130" s="8"/>
      <c r="K130" s="8"/>
    </row>
    <row r="131" spans="1:15" s="14" customFormat="1" ht="17" thickBot="1" x14ac:dyDescent="0.25">
      <c r="A131" s="4"/>
      <c r="B131" s="15" t="s">
        <v>76</v>
      </c>
    </row>
    <row r="132" spans="1:15" outlineLevel="1" x14ac:dyDescent="0.2">
      <c r="B132" s="9" t="s">
        <v>4</v>
      </c>
      <c r="C132" s="29">
        <v>542</v>
      </c>
      <c r="D132" s="29">
        <v>589</v>
      </c>
      <c r="E132" s="29">
        <v>605</v>
      </c>
      <c r="F132" s="27">
        <v>606</v>
      </c>
      <c r="G132" s="27">
        <v>612</v>
      </c>
      <c r="H132" s="27">
        <v>620</v>
      </c>
      <c r="I132" s="27">
        <v>2510</v>
      </c>
      <c r="J132" s="27">
        <v>2470</v>
      </c>
      <c r="K132" s="27">
        <v>2500</v>
      </c>
      <c r="L132" s="27">
        <v>24400</v>
      </c>
      <c r="M132" s="27">
        <v>24300</v>
      </c>
      <c r="N132" s="27"/>
      <c r="O132" s="27"/>
    </row>
    <row r="133" spans="1:15" outlineLevel="1" x14ac:dyDescent="0.2">
      <c r="B133" s="9" t="s">
        <v>126</v>
      </c>
      <c r="C133" s="33">
        <f t="shared" ref="C133:G133" si="61">C140*C132</f>
        <v>21680</v>
      </c>
      <c r="D133" s="33">
        <f t="shared" si="61"/>
        <v>23560</v>
      </c>
      <c r="E133" s="33">
        <f t="shared" si="61"/>
        <v>24200</v>
      </c>
      <c r="F133" s="33">
        <f t="shared" si="61"/>
        <v>24240</v>
      </c>
      <c r="G133" s="33">
        <f t="shared" si="61"/>
        <v>24480</v>
      </c>
      <c r="H133" s="33">
        <f>H140*H132</f>
        <v>24800</v>
      </c>
      <c r="I133" s="33">
        <f t="shared" ref="I133:M133" si="62">I140*I132</f>
        <v>25100</v>
      </c>
      <c r="J133" s="33">
        <f t="shared" si="62"/>
        <v>24700</v>
      </c>
      <c r="K133" s="33">
        <f t="shared" si="62"/>
        <v>25000</v>
      </c>
      <c r="L133" s="33">
        <f t="shared" si="62"/>
        <v>24400</v>
      </c>
      <c r="M133" s="33">
        <f t="shared" si="62"/>
        <v>24300</v>
      </c>
      <c r="N133" s="27"/>
      <c r="O133" s="27"/>
    </row>
    <row r="134" spans="1:15" outlineLevel="1" x14ac:dyDescent="0.2">
      <c r="B134" s="12" t="s">
        <v>82</v>
      </c>
      <c r="C134" s="28">
        <v>0.39500000000000002</v>
      </c>
      <c r="D134" s="28">
        <v>0.48499999999999999</v>
      </c>
      <c r="E134" s="28">
        <v>0.56999999999999995</v>
      </c>
      <c r="F134" s="28">
        <v>0.61</v>
      </c>
      <c r="G134" s="28">
        <v>0.64</v>
      </c>
      <c r="H134" s="28">
        <v>0.64</v>
      </c>
      <c r="I134" s="28">
        <v>0.16</v>
      </c>
      <c r="J134" s="28">
        <v>0.16</v>
      </c>
      <c r="K134" s="28">
        <v>0.16</v>
      </c>
      <c r="L134" s="28">
        <v>3.4000000000000002E-2</v>
      </c>
      <c r="M134" s="28">
        <v>0.04</v>
      </c>
      <c r="N134" s="28"/>
      <c r="O134" s="27"/>
    </row>
    <row r="135" spans="1:15" outlineLevel="1" x14ac:dyDescent="0.2">
      <c r="B135" s="12" t="s">
        <v>125</v>
      </c>
      <c r="C135" s="84">
        <f t="shared" ref="C135" si="63">C134/C140</f>
        <v>9.8750000000000001E-3</v>
      </c>
      <c r="D135" s="84">
        <f t="shared" ref="D135" si="64">D134/D140</f>
        <v>1.2125E-2</v>
      </c>
      <c r="E135" s="84">
        <f t="shared" ref="E135" si="65">E134/E140</f>
        <v>1.4249999999999999E-2</v>
      </c>
      <c r="F135" s="84">
        <f t="shared" ref="F135:G135" si="66">F134/F140</f>
        <v>1.525E-2</v>
      </c>
      <c r="G135" s="8">
        <f t="shared" si="66"/>
        <v>1.6E-2</v>
      </c>
      <c r="H135" s="8">
        <f>H134/H140</f>
        <v>1.6E-2</v>
      </c>
      <c r="I135" s="8">
        <f t="shared" ref="I135:M135" si="67">I134/I140</f>
        <v>1.6E-2</v>
      </c>
      <c r="J135" s="8">
        <f t="shared" si="67"/>
        <v>1.6E-2</v>
      </c>
      <c r="K135" s="8">
        <f t="shared" si="67"/>
        <v>1.6E-2</v>
      </c>
      <c r="L135" s="8">
        <f t="shared" si="67"/>
        <v>3.4000000000000002E-2</v>
      </c>
      <c r="M135" s="8">
        <f t="shared" si="67"/>
        <v>0.04</v>
      </c>
      <c r="N135" s="28"/>
      <c r="O135" s="28"/>
    </row>
    <row r="136" spans="1:15" outlineLevel="1" x14ac:dyDescent="0.2">
      <c r="B136" s="9" t="s">
        <v>96</v>
      </c>
      <c r="C136" s="28">
        <v>124</v>
      </c>
      <c r="D136" s="28">
        <v>118</v>
      </c>
      <c r="E136" s="28">
        <v>144</v>
      </c>
      <c r="F136" s="28">
        <v>233</v>
      </c>
      <c r="G136" s="28">
        <v>355</v>
      </c>
      <c r="H136" s="28">
        <v>486</v>
      </c>
      <c r="I136" s="28">
        <v>611</v>
      </c>
      <c r="J136" s="28">
        <v>844</v>
      </c>
      <c r="K136" s="28">
        <v>894</v>
      </c>
      <c r="L136" s="28">
        <v>1300</v>
      </c>
      <c r="M136" s="28">
        <v>2400</v>
      </c>
      <c r="N136" s="28"/>
    </row>
    <row r="137" spans="1:15" outlineLevel="1" x14ac:dyDescent="0.2">
      <c r="B137" s="9" t="s">
        <v>97</v>
      </c>
      <c r="C137" s="28">
        <v>73</v>
      </c>
      <c r="D137" s="28">
        <v>68</v>
      </c>
      <c r="E137" s="28">
        <v>55</v>
      </c>
      <c r="F137" s="28">
        <v>29</v>
      </c>
      <c r="G137" s="28">
        <v>25</v>
      </c>
      <c r="H137" s="28">
        <v>612</v>
      </c>
      <c r="I137" s="28">
        <v>563</v>
      </c>
      <c r="J137" s="28">
        <v>699</v>
      </c>
      <c r="K137" s="28">
        <v>614</v>
      </c>
      <c r="L137" s="28">
        <v>593</v>
      </c>
      <c r="M137" s="28">
        <v>488</v>
      </c>
      <c r="N137" s="28"/>
      <c r="O137" s="28"/>
    </row>
    <row r="138" spans="1:15" outlineLevel="1" x14ac:dyDescent="0.2">
      <c r="B138" s="9" t="s">
        <v>103</v>
      </c>
      <c r="C138" s="80">
        <f t="shared" ref="C138:M138" si="68">(-1*C18)/C17</f>
        <v>0.17362045760430686</v>
      </c>
      <c r="D138" s="80">
        <f t="shared" si="68"/>
        <v>0.12545931758530185</v>
      </c>
      <c r="E138" s="80">
        <f t="shared" si="68"/>
        <v>4.6620775969962454E-2</v>
      </c>
      <c r="F138" s="80">
        <f t="shared" si="68"/>
        <v>-6.2885010266940447E-2</v>
      </c>
      <c r="G138" s="80">
        <f t="shared" si="68"/>
        <v>5.8585858585858588E-2</v>
      </c>
      <c r="H138" s="87">
        <f t="shared" si="68"/>
        <v>1.7464277613971423E-2</v>
      </c>
      <c r="I138" s="87">
        <f t="shared" si="68"/>
        <v>1.9012171813700834E-2</v>
      </c>
      <c r="J138" s="87">
        <f t="shared" si="68"/>
        <v>-4.4726142071274816E-2</v>
      </c>
      <c r="K138" s="87">
        <f t="shared" si="68"/>
        <v>0.1199952687917677</v>
      </c>
      <c r="L138" s="87">
        <f t="shared" si="68"/>
        <v>0.13264941803727417</v>
      </c>
      <c r="M138" s="87">
        <f t="shared" si="68"/>
        <v>0.15117002474372571</v>
      </c>
    </row>
    <row r="139" spans="1:15" outlineLevel="1" x14ac:dyDescent="0.2">
      <c r="B139" s="9" t="s">
        <v>104</v>
      </c>
      <c r="C139" s="27">
        <v>9227</v>
      </c>
      <c r="D139" s="27">
        <v>10299</v>
      </c>
      <c r="E139" s="27">
        <v>11528</v>
      </c>
      <c r="F139" s="27">
        <v>13277</v>
      </c>
      <c r="G139" s="27">
        <v>13775</v>
      </c>
      <c r="H139" s="27">
        <v>18975</v>
      </c>
      <c r="I139" s="27">
        <v>22473</v>
      </c>
      <c r="J139" s="27">
        <v>26196</v>
      </c>
      <c r="K139" s="27">
        <v>29600</v>
      </c>
      <c r="L139" s="27">
        <v>36000</v>
      </c>
      <c r="M139" s="28">
        <v>42000</v>
      </c>
      <c r="N139" s="28"/>
      <c r="O139" s="28"/>
    </row>
    <row r="140" spans="1:15" outlineLevel="1" x14ac:dyDescent="0.2">
      <c r="B140" s="9" t="s">
        <v>124</v>
      </c>
      <c r="C140" s="28">
        <v>40</v>
      </c>
      <c r="D140" s="28">
        <v>40</v>
      </c>
      <c r="E140" s="28">
        <v>40</v>
      </c>
      <c r="F140" s="28">
        <v>40</v>
      </c>
      <c r="G140" s="28">
        <v>40</v>
      </c>
      <c r="H140" s="28">
        <v>40</v>
      </c>
      <c r="I140" s="28">
        <v>10</v>
      </c>
      <c r="J140" s="28">
        <v>10</v>
      </c>
      <c r="K140" s="28">
        <v>10</v>
      </c>
      <c r="L140" s="28">
        <v>1</v>
      </c>
      <c r="M140" s="28">
        <v>1</v>
      </c>
      <c r="N140" s="28"/>
      <c r="O140" s="28"/>
    </row>
    <row r="141" spans="1:15" outlineLevel="1" x14ac:dyDescent="0.2"/>
    <row r="142" spans="1:15" x14ac:dyDescent="0.2">
      <c r="B142" s="1"/>
    </row>
    <row r="143" spans="1:15" s="14" customFormat="1" ht="17" thickBot="1" x14ac:dyDescent="0.25">
      <c r="A143" s="4"/>
      <c r="B143" s="15" t="s">
        <v>98</v>
      </c>
    </row>
    <row r="144" spans="1:15" s="18" customFormat="1" outlineLevel="1" x14ac:dyDescent="0.2">
      <c r="A144" s="7"/>
      <c r="B144" s="17" t="s">
        <v>7</v>
      </c>
      <c r="C144" s="76"/>
      <c r="D144" s="71">
        <f t="shared" ref="D144:K148" si="69">IF(C5=0,
IF(D5=0,0,IF(D5&gt;0,1,-1)),
(D5-C5)/ABS(C5)
)</f>
        <v>0.37924151696606784</v>
      </c>
      <c r="E144" s="71">
        <f t="shared" si="69"/>
        <v>0.4057887120115774</v>
      </c>
      <c r="F144" s="71">
        <f t="shared" si="69"/>
        <v>0.20609429689108502</v>
      </c>
      <c r="G144" s="71">
        <f t="shared" si="69"/>
        <v>-6.8111983612154314E-2</v>
      </c>
      <c r="H144" s="71">
        <f t="shared" si="69"/>
        <v>0.52729437625938813</v>
      </c>
      <c r="I144" s="71">
        <f t="shared" si="69"/>
        <v>0.61403298350824587</v>
      </c>
      <c r="J144" s="71">
        <f t="shared" si="69"/>
        <v>2.2293230289068887E-3</v>
      </c>
      <c r="K144" s="71">
        <f t="shared" si="69"/>
        <v>1.2585452658115222</v>
      </c>
      <c r="L144" s="71">
        <f t="shared" ref="L144:L148" si="70">IF(K5=0,
IF(L5=0,0,IF(L5&gt;0,1,-1)),
(L5-K5)/ABS(K5)
)</f>
        <v>1.1420340763599357</v>
      </c>
      <c r="M144" s="71">
        <f t="shared" ref="M144:M148" si="71">IF(L5=0,
IF(M5=0,0,IF(M5&gt;0,1,-1)),
(M5-L5)/ABS(L5)
)</f>
        <v>0.65473535790094795</v>
      </c>
    </row>
    <row r="145" spans="1:13" outlineLevel="1" x14ac:dyDescent="0.2">
      <c r="B145" s="9" t="s">
        <v>8</v>
      </c>
      <c r="C145" s="75"/>
      <c r="D145" s="70">
        <f t="shared" si="69"/>
        <v>0.29467939972714868</v>
      </c>
      <c r="E145" s="70">
        <f t="shared" si="69"/>
        <v>0.36705303828591501</v>
      </c>
      <c r="F145" s="70">
        <f t="shared" si="69"/>
        <v>0.16778006166495374</v>
      </c>
      <c r="G145" s="70">
        <f t="shared" si="69"/>
        <v>-8.690869086908691E-2</v>
      </c>
      <c r="H145" s="70">
        <f t="shared" si="69"/>
        <v>0.51301204819277113</v>
      </c>
      <c r="I145" s="70">
        <f t="shared" si="69"/>
        <v>0.50326485109093799</v>
      </c>
      <c r="J145" s="70">
        <f t="shared" si="69"/>
        <v>0.23085072571246953</v>
      </c>
      <c r="K145" s="70">
        <f t="shared" si="69"/>
        <v>0.43062489240833191</v>
      </c>
      <c r="L145" s="70">
        <f t="shared" si="70"/>
        <v>0.9637205944287347</v>
      </c>
      <c r="M145" s="70">
        <f t="shared" si="71"/>
        <v>0.91412114341738415</v>
      </c>
    </row>
    <row r="146" spans="1:13" s="18" customFormat="1" outlineLevel="1" x14ac:dyDescent="0.2">
      <c r="A146" s="7"/>
      <c r="B146" s="17" t="s">
        <v>9</v>
      </c>
      <c r="C146" s="76"/>
      <c r="D146" s="71">
        <f t="shared" si="69"/>
        <v>0.44539309854144432</v>
      </c>
      <c r="E146" s="71">
        <f t="shared" si="69"/>
        <v>0.43293133152842728</v>
      </c>
      <c r="F146" s="71">
        <f t="shared" si="69"/>
        <v>0.23170731707317074</v>
      </c>
      <c r="G146" s="71">
        <f t="shared" si="69"/>
        <v>-5.6198577604239297E-2</v>
      </c>
      <c r="H146" s="71">
        <f t="shared" si="69"/>
        <v>0.53605200945626474</v>
      </c>
      <c r="I146" s="71">
        <f t="shared" si="69"/>
        <v>0.68093497499038091</v>
      </c>
      <c r="J146" s="71">
        <f t="shared" si="69"/>
        <v>-0.12125894134477826</v>
      </c>
      <c r="K146" s="71">
        <f t="shared" si="69"/>
        <v>1.8849309716071894</v>
      </c>
      <c r="L146" s="71">
        <f t="shared" si="70"/>
        <v>1.208934335568046</v>
      </c>
      <c r="M146" s="71">
        <f t="shared" si="71"/>
        <v>0.56822130025138462</v>
      </c>
    </row>
    <row r="147" spans="1:13" outlineLevel="1" x14ac:dyDescent="0.2">
      <c r="B147" s="9" t="s">
        <v>10</v>
      </c>
      <c r="C147" s="75"/>
      <c r="D147" s="70">
        <f t="shared" si="69"/>
        <v>9.9173553719008267E-2</v>
      </c>
      <c r="E147" s="70">
        <f t="shared" si="69"/>
        <v>0.22829801777170197</v>
      </c>
      <c r="F147" s="70">
        <f t="shared" si="69"/>
        <v>0.32220367278797996</v>
      </c>
      <c r="G147" s="70">
        <f t="shared" si="69"/>
        <v>0.19065656565656566</v>
      </c>
      <c r="H147" s="70">
        <f t="shared" si="69"/>
        <v>0.38706256627783669</v>
      </c>
      <c r="I147" s="70">
        <f t="shared" si="69"/>
        <v>0.34250764525993882</v>
      </c>
      <c r="J147" s="70">
        <f t="shared" si="69"/>
        <v>0.3931283219438117</v>
      </c>
      <c r="K147" s="70">
        <f t="shared" si="69"/>
        <v>0.18204115002043875</v>
      </c>
      <c r="L147" s="70">
        <f t="shared" si="70"/>
        <v>0.4886455331412104</v>
      </c>
      <c r="M147" s="70">
        <f t="shared" si="71"/>
        <v>0.43232151153786585</v>
      </c>
    </row>
    <row r="148" spans="1:13" outlineLevel="1" x14ac:dyDescent="0.2">
      <c r="B148" s="12" t="s">
        <v>11</v>
      </c>
      <c r="C148" s="75"/>
      <c r="D148" s="70">
        <f t="shared" si="69"/>
        <v>0.10132890365448505</v>
      </c>
      <c r="E148" s="70">
        <f t="shared" si="69"/>
        <v>0.22926093514328807</v>
      </c>
      <c r="F148" s="70">
        <f t="shared" si="69"/>
        <v>0.21595092024539878</v>
      </c>
      <c r="G148" s="70">
        <f t="shared" si="69"/>
        <v>0.1029263370332997</v>
      </c>
      <c r="H148" s="70">
        <f t="shared" si="69"/>
        <v>0.77493138151875574</v>
      </c>
      <c r="I148" s="70">
        <f t="shared" si="69"/>
        <v>0.11649484536082474</v>
      </c>
      <c r="J148" s="70">
        <f t="shared" si="69"/>
        <v>0.1265004616805171</v>
      </c>
      <c r="K148" s="70">
        <f t="shared" si="69"/>
        <v>8.7704918032786891E-2</v>
      </c>
      <c r="L148" s="70">
        <f t="shared" si="70"/>
        <v>0.31537302185380556</v>
      </c>
      <c r="M148" s="70">
        <f t="shared" si="71"/>
        <v>0.31165855055857922</v>
      </c>
    </row>
    <row r="149" spans="1:13" outlineLevel="1" x14ac:dyDescent="0.2">
      <c r="B149" s="12" t="s">
        <v>12</v>
      </c>
      <c r="C149" s="75"/>
      <c r="D149" s="70">
        <f t="shared" ref="D149:K150" si="72">IF(C12=0,
IF(D12=0,0,IF(D12&gt;0,1,-1)),
(D12-C12)/ABS(C12)
)</f>
        <v>3.1492248062015504E-2</v>
      </c>
      <c r="E149" s="70">
        <f t="shared" si="72"/>
        <v>0.22686707374354156</v>
      </c>
      <c r="F149" s="70">
        <f t="shared" si="72"/>
        <v>0.28905053598774882</v>
      </c>
      <c r="G149" s="70">
        <f t="shared" si="72"/>
        <v>0.16483516483516483</v>
      </c>
      <c r="H149" s="70">
        <f t="shared" si="72"/>
        <v>0.49515553289138192</v>
      </c>
      <c r="I149" s="70">
        <f t="shared" si="72"/>
        <v>0.26773533424283763</v>
      </c>
      <c r="J149" s="70">
        <f t="shared" si="72"/>
        <v>0.49744417541027708</v>
      </c>
      <c r="K149" s="70">
        <f t="shared" si="72"/>
        <v>1.7696730147323033E-2</v>
      </c>
      <c r="L149" s="70">
        <f t="shared" ref="L149:L150" si="73">IF(K12=0,
IF(L12=0,0,IF(L12&gt;0,1,-1)),
(L12-K12)/ABS(K12)
)</f>
        <v>0.44805366757878012</v>
      </c>
      <c r="M149" s="70">
        <f t="shared" ref="M149:M150" si="74">IF(L12=0,
IF(M12=0,0,IF(M12&gt;0,1,-1)),
(M12-L12)/ABS(L12)
)</f>
        <v>0.40664431575739102</v>
      </c>
    </row>
    <row r="150" spans="1:13" s="18" customFormat="1" outlineLevel="1" x14ac:dyDescent="0.2">
      <c r="A150" s="7"/>
      <c r="B150" s="17" t="s">
        <v>13</v>
      </c>
      <c r="C150" s="76"/>
      <c r="D150" s="71">
        <f t="shared" si="72"/>
        <v>1.5890227576974565</v>
      </c>
      <c r="E150" s="71">
        <f t="shared" si="72"/>
        <v>0.65977249224405377</v>
      </c>
      <c r="F150" s="71">
        <f t="shared" si="72"/>
        <v>0.18504672897196262</v>
      </c>
      <c r="G150" s="71">
        <f t="shared" si="72"/>
        <v>-0.25184016824395372</v>
      </c>
      <c r="H150" s="71">
        <f t="shared" si="72"/>
        <v>0.59241040056219252</v>
      </c>
      <c r="I150" s="71">
        <f t="shared" si="72"/>
        <v>1.2155781112091792</v>
      </c>
      <c r="J150" s="71">
        <f t="shared" si="72"/>
        <v>-0.57932476844935765</v>
      </c>
      <c r="K150" s="71">
        <f t="shared" si="72"/>
        <v>6.8058712121212119</v>
      </c>
      <c r="L150" s="71">
        <f t="shared" si="73"/>
        <v>1.470368797767803</v>
      </c>
      <c r="M150" s="71">
        <f t="shared" si="74"/>
        <v>0.60076363055995485</v>
      </c>
    </row>
    <row r="151" spans="1:13" s="72" customFormat="1" outlineLevel="1" x14ac:dyDescent="0.2">
      <c r="A151" s="7"/>
      <c r="B151" s="73" t="s">
        <v>14</v>
      </c>
      <c r="C151" s="76"/>
      <c r="D151" s="74">
        <f t="shared" ref="D151:K151" si="75">IF(C17=0,
IF(D17=0,0,IF(D17&gt;0,1,-1)),
(D17-C17)/ABS(C17)
)</f>
        <v>1.5639300134589502</v>
      </c>
      <c r="E151" s="74">
        <f t="shared" si="75"/>
        <v>0.67769028871391079</v>
      </c>
      <c r="F151" s="74">
        <f t="shared" si="75"/>
        <v>0.21902377972465581</v>
      </c>
      <c r="G151" s="74">
        <f t="shared" si="75"/>
        <v>-0.23767967145790556</v>
      </c>
      <c r="H151" s="74">
        <f t="shared" si="75"/>
        <v>0.4845117845117845</v>
      </c>
      <c r="I151" s="74">
        <f t="shared" si="75"/>
        <v>1.2547062826037649</v>
      </c>
      <c r="J151" s="74">
        <f t="shared" si="75"/>
        <v>-0.57941856956040638</v>
      </c>
      <c r="K151" s="74">
        <f t="shared" si="75"/>
        <v>7.0884955752212386</v>
      </c>
      <c r="L151" s="74">
        <f t="shared" ref="L151" si="76">IF(K17=0,
IF(L17=0,0,IF(L17&gt;0,1,-1)),
(L17-K17)/ABS(K17)
)</f>
        <v>1.4846531432964694</v>
      </c>
      <c r="M151" s="74">
        <f t="shared" ref="M151" si="77">IF(L17=0,
IF(M17=0,0,IF(M17&gt;0,1,-1)),
(M17-L17)/ABS(L17)
)</f>
        <v>0.68340751672101496</v>
      </c>
    </row>
    <row r="152" spans="1:13" s="72" customFormat="1" outlineLevel="1" x14ac:dyDescent="0.2">
      <c r="A152" s="7"/>
      <c r="B152" s="73" t="s">
        <v>15</v>
      </c>
      <c r="C152" s="76"/>
      <c r="D152" s="74">
        <f t="shared" ref="D152:K152" si="78">IF(C19=0,
IF(D19=0,0,IF(D19&gt;0,1,-1)),
(D19-C19)/ABS(C19)
)</f>
        <v>1.7133550488599349</v>
      </c>
      <c r="E152" s="74">
        <f t="shared" si="78"/>
        <v>0.82893157262905159</v>
      </c>
      <c r="F152" s="74">
        <f t="shared" si="78"/>
        <v>0.35904168034131934</v>
      </c>
      <c r="G152" s="74">
        <f t="shared" si="78"/>
        <v>-0.32480077276020286</v>
      </c>
      <c r="H152" s="74">
        <f t="shared" si="78"/>
        <v>0.54935622317596566</v>
      </c>
      <c r="I152" s="74">
        <f t="shared" si="78"/>
        <v>1.2511542012927055</v>
      </c>
      <c r="J152" s="74">
        <f t="shared" si="78"/>
        <v>-0.55209187858900743</v>
      </c>
      <c r="K152" s="74">
        <f t="shared" si="78"/>
        <v>5.813186813186813</v>
      </c>
      <c r="L152" s="74">
        <f t="shared" ref="L152" si="79">IF(K19=0,
IF(L19=0,0,IF(L19&gt;0,1,-1)),
(L19-K19)/ABS(K19)
)</f>
        <v>1.4489247311827957</v>
      </c>
      <c r="M152" s="74">
        <f t="shared" ref="M152" si="80">IF(L19=0,
IF(M19=0,0,IF(M19&gt;0,1,-1)),
(M19-L19)/ABS(L19)
)</f>
        <v>0.6474615806805708</v>
      </c>
    </row>
    <row r="153" spans="1:13" x14ac:dyDescent="0.2">
      <c r="B153" s="1"/>
    </row>
    <row r="154" spans="1:13" s="14" customFormat="1" ht="17" thickBot="1" x14ac:dyDescent="0.25">
      <c r="A154" s="4"/>
      <c r="B154" s="15" t="s">
        <v>99</v>
      </c>
    </row>
    <row r="155" spans="1:13" outlineLevel="1" x14ac:dyDescent="0.2">
      <c r="B155" s="9" t="s">
        <v>100</v>
      </c>
      <c r="C155" s="70">
        <f t="shared" ref="C155:M155" si="81">C7/C5</f>
        <v>0.56107784431137719</v>
      </c>
      <c r="D155" s="70">
        <f t="shared" si="81"/>
        <v>0.58798842257597683</v>
      </c>
      <c r="E155" s="70">
        <f t="shared" si="81"/>
        <v>0.59934115709285563</v>
      </c>
      <c r="F155" s="70">
        <f t="shared" si="81"/>
        <v>0.61206896551724133</v>
      </c>
      <c r="G155" s="70">
        <f t="shared" si="81"/>
        <v>0.61989375343469499</v>
      </c>
      <c r="H155" s="70">
        <f t="shared" si="81"/>
        <v>0.62344827586206897</v>
      </c>
      <c r="I155" s="70">
        <f t="shared" si="81"/>
        <v>0.64929033216913135</v>
      </c>
      <c r="J155" s="70">
        <f t="shared" si="81"/>
        <v>0.56928894490991322</v>
      </c>
      <c r="K155" s="70">
        <f t="shared" si="81"/>
        <v>0.72717573290436954</v>
      </c>
      <c r="L155" s="70">
        <f t="shared" si="81"/>
        <v>0.74988697058169917</v>
      </c>
      <c r="M155" s="70">
        <f t="shared" si="81"/>
        <v>0.71068084357547079</v>
      </c>
    </row>
    <row r="156" spans="1:13" outlineLevel="1" x14ac:dyDescent="0.2">
      <c r="B156" s="9" t="s">
        <v>101</v>
      </c>
      <c r="C156" s="70">
        <f t="shared" ref="C156:K156" si="82">C13/C5</f>
        <v>0.14910179640718563</v>
      </c>
      <c r="D156" s="70">
        <f t="shared" si="82"/>
        <v>0.27988422575976846</v>
      </c>
      <c r="E156" s="70">
        <f t="shared" si="82"/>
        <v>0.33045089561457691</v>
      </c>
      <c r="F156" s="70">
        <f t="shared" si="82"/>
        <v>0.32468419255718678</v>
      </c>
      <c r="G156" s="70">
        <f t="shared" si="82"/>
        <v>0.2606704524638212</v>
      </c>
      <c r="H156" s="70">
        <f t="shared" si="82"/>
        <v>0.27178410794602698</v>
      </c>
      <c r="I156" s="70">
        <f t="shared" si="82"/>
        <v>0.37307720888756779</v>
      </c>
      <c r="J156" s="70">
        <f t="shared" si="82"/>
        <v>0.1565952398606065</v>
      </c>
      <c r="K156" s="70">
        <f t="shared" si="82"/>
        <v>0.54121663766783756</v>
      </c>
      <c r="L156" s="70">
        <f t="shared" ref="L156:M156" si="83">L13/L5</f>
        <v>0.62417526839697468</v>
      </c>
      <c r="M156" s="70">
        <f t="shared" si="83"/>
        <v>0.60381683631412719</v>
      </c>
    </row>
    <row r="157" spans="1:13" s="79" customFormat="1" outlineLevel="1" x14ac:dyDescent="0.2">
      <c r="A157" s="1"/>
      <c r="B157" s="77" t="s">
        <v>102</v>
      </c>
      <c r="C157" s="78">
        <f t="shared" ref="C157:K157" si="84">C19/C5</f>
        <v>0.12255489021956088</v>
      </c>
      <c r="D157" s="78">
        <f t="shared" si="84"/>
        <v>0.24109985528219971</v>
      </c>
      <c r="E157" s="78">
        <f t="shared" si="84"/>
        <v>0.3136709903232448</v>
      </c>
      <c r="F157" s="78">
        <f t="shared" si="84"/>
        <v>0.35344827586206895</v>
      </c>
      <c r="G157" s="78">
        <f t="shared" si="84"/>
        <v>0.25609085913170909</v>
      </c>
      <c r="H157" s="78">
        <f t="shared" si="84"/>
        <v>0.25979010494752625</v>
      </c>
      <c r="I157" s="78">
        <f t="shared" si="84"/>
        <v>0.36233930296499961</v>
      </c>
      <c r="J157" s="78">
        <f t="shared" si="84"/>
        <v>0.16193371394676356</v>
      </c>
      <c r="K157" s="78">
        <f t="shared" si="84"/>
        <v>0.4884934834706674</v>
      </c>
      <c r="L157" s="78">
        <f t="shared" ref="L157:M157" si="85">L19/L5</f>
        <v>0.55848027157712443</v>
      </c>
      <c r="M157" s="78">
        <f t="shared" si="85"/>
        <v>0.55602534060702613</v>
      </c>
    </row>
    <row r="158" spans="1:13" x14ac:dyDescent="0.2">
      <c r="B158" s="1"/>
    </row>
  </sheetData>
  <pageMargins left="0.7" right="0.7" top="0.75" bottom="0.75" header="0.3" footer="0.3"/>
  <ignoredErrors>
    <ignoredError sqref="C42:F42 C52:D52 E52:F52 G42:M42 G52:M52 C124 D124:M124 G126:M126 C126:F126" formulaRange="1"/>
    <ignoredError sqref="D149" formula="1"/>
    <ignoredError sqref="F123 G123:K123 C123:E123 C138:G138" evalError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41336-2E39-7442-9864-91E9B0A07818}">
  <dimension ref="A1:S146"/>
  <sheetViews>
    <sheetView zoomScale="150" zoomScaleNormal="150" workbookViewId="0">
      <pane xSplit="2" ySplit="3" topLeftCell="C96" activePane="bottomRight" state="frozen"/>
      <selection pane="topRight" activeCell="C1" sqref="C1"/>
      <selection pane="bottomLeft" activeCell="A4" sqref="A4"/>
      <selection pane="bottomRight" activeCell="J140" sqref="J140"/>
    </sheetView>
  </sheetViews>
  <sheetFormatPr baseColWidth="10" defaultRowHeight="16" outlineLevelRow="2" outlineLevelCol="1" x14ac:dyDescent="0.2"/>
  <cols>
    <col min="1" max="1" width="3.6640625" style="1" customWidth="1"/>
    <col min="2" max="2" width="33.33203125" style="9" customWidth="1"/>
    <col min="3" max="3" width="12" style="1" customWidth="1" outlineLevel="1"/>
    <col min="4" max="4" width="10.83203125" style="1" customWidth="1" outlineLevel="1"/>
    <col min="5" max="5" width="12" style="1" customWidth="1" outlineLevel="1"/>
    <col min="6" max="10" width="10.83203125" style="1" customWidth="1" outlineLevel="1"/>
    <col min="11" max="11" width="2" style="1" customWidth="1" outlineLevel="1"/>
    <col min="12" max="12" width="10.33203125" style="1" customWidth="1" outlineLevel="1"/>
    <col min="13" max="13" width="2.33203125" style="1" customWidth="1"/>
    <col min="14" max="14" width="10.83203125" style="1" customWidth="1"/>
    <col min="15" max="15" width="2.5" style="1" customWidth="1"/>
    <col min="16" max="17" width="10.83203125" style="1" customWidth="1"/>
    <col min="18" max="18" width="12" style="1" customWidth="1"/>
    <col min="19" max="19" width="2.33203125" style="1" customWidth="1"/>
    <col min="20" max="16384" width="10.83203125" style="1"/>
  </cols>
  <sheetData>
    <row r="1" spans="1:19" x14ac:dyDescent="0.2">
      <c r="B1" s="1"/>
    </row>
    <row r="2" spans="1:19" s="3" customFormat="1" x14ac:dyDescent="0.2">
      <c r="A2" s="2"/>
      <c r="B2" s="57" t="s">
        <v>0</v>
      </c>
      <c r="C2" s="3" t="s">
        <v>175</v>
      </c>
      <c r="D2" s="3" t="s">
        <v>174</v>
      </c>
      <c r="E2" s="3" t="s">
        <v>173</v>
      </c>
      <c r="F2" s="3" t="s">
        <v>118</v>
      </c>
      <c r="G2" s="3" t="s">
        <v>171</v>
      </c>
      <c r="H2" s="3" t="s">
        <v>169</v>
      </c>
      <c r="I2" s="3" t="s">
        <v>167</v>
      </c>
      <c r="J2" s="3" t="s">
        <v>180</v>
      </c>
      <c r="K2" s="2"/>
      <c r="L2" s="2"/>
      <c r="M2" s="2"/>
      <c r="N2" s="39"/>
      <c r="O2" s="2"/>
      <c r="P2" s="41"/>
      <c r="Q2" s="42"/>
      <c r="R2" s="43"/>
      <c r="S2" s="2"/>
    </row>
    <row r="3" spans="1:19" s="5" customFormat="1" x14ac:dyDescent="0.2">
      <c r="A3" s="4"/>
      <c r="B3" s="58" t="s">
        <v>78</v>
      </c>
      <c r="C3" s="3" t="s">
        <v>79</v>
      </c>
      <c r="D3" s="3" t="s">
        <v>80</v>
      </c>
      <c r="E3" s="3" t="s">
        <v>81</v>
      </c>
      <c r="F3" s="3" t="s">
        <v>172</v>
      </c>
      <c r="G3" s="3" t="s">
        <v>170</v>
      </c>
      <c r="H3" s="3" t="s">
        <v>168</v>
      </c>
      <c r="I3" s="3" t="s">
        <v>166</v>
      </c>
      <c r="J3" s="3" t="s">
        <v>179</v>
      </c>
      <c r="K3" s="4"/>
      <c r="L3" s="4"/>
      <c r="M3" s="4"/>
      <c r="N3" s="40"/>
      <c r="O3" s="4"/>
      <c r="P3" s="44" t="str">
        <f>I3</f>
        <v>Q3 2026</v>
      </c>
      <c r="Q3" s="5" t="str">
        <f>J3</f>
        <v>Q4 2026</v>
      </c>
      <c r="R3" s="45" t="s">
        <v>87</v>
      </c>
      <c r="S3" s="4"/>
    </row>
    <row r="4" spans="1:19" s="14" customFormat="1" ht="17" thickBot="1" x14ac:dyDescent="0.25">
      <c r="A4" s="4"/>
      <c r="B4" s="15" t="s">
        <v>6</v>
      </c>
      <c r="K4" s="4"/>
      <c r="L4" s="4"/>
      <c r="M4" s="4"/>
      <c r="N4" s="36" t="s">
        <v>85</v>
      </c>
      <c r="O4" s="4"/>
      <c r="P4" s="89" t="s">
        <v>86</v>
      </c>
      <c r="Q4" s="90"/>
      <c r="R4" s="91"/>
      <c r="S4" s="4"/>
    </row>
    <row r="5" spans="1:19" s="18" customFormat="1" outlineLevel="1" x14ac:dyDescent="0.2">
      <c r="A5" s="7"/>
      <c r="B5" s="17" t="s">
        <v>7</v>
      </c>
      <c r="C5" s="48">
        <v>26044</v>
      </c>
      <c r="D5" s="48">
        <v>30040</v>
      </c>
      <c r="E5" s="48">
        <v>35082</v>
      </c>
      <c r="F5" s="48">
        <v>39331</v>
      </c>
      <c r="G5" s="48">
        <v>44062</v>
      </c>
      <c r="H5" s="48">
        <v>46743</v>
      </c>
      <c r="I5" s="48">
        <v>57006</v>
      </c>
      <c r="J5" s="48">
        <v>68127</v>
      </c>
      <c r="K5" s="21"/>
      <c r="L5" s="21"/>
      <c r="M5" s="21"/>
      <c r="N5" s="56">
        <f t="shared" ref="N5:N18" si="0">SUM(G5:J5)</f>
        <v>215938</v>
      </c>
      <c r="O5" s="7"/>
      <c r="P5" s="64">
        <f t="shared" ref="P5:P26" si="1">I5</f>
        <v>57006</v>
      </c>
      <c r="Q5" s="51">
        <f t="shared" ref="Q5:Q26" si="2">J5</f>
        <v>68127</v>
      </c>
      <c r="R5" s="61">
        <f t="shared" ref="R5:R26" si="3">IF(P5=0,
IF(Q5=0,0,IF(Q5&gt;0,1,-1)),
(Q5-P5)/ABS(P5)
)</f>
        <v>0.1950847279233765</v>
      </c>
      <c r="S5" s="7"/>
    </row>
    <row r="6" spans="1:19" outlineLevel="1" x14ac:dyDescent="0.2">
      <c r="B6" s="9" t="s">
        <v>8</v>
      </c>
      <c r="C6" s="27">
        <v>5638</v>
      </c>
      <c r="D6" s="27">
        <v>7466</v>
      </c>
      <c r="E6" s="27">
        <v>8926</v>
      </c>
      <c r="F6" s="27">
        <v>10608</v>
      </c>
      <c r="G6" s="27">
        <v>17394</v>
      </c>
      <c r="H6" s="27">
        <v>12890</v>
      </c>
      <c r="I6" s="27">
        <v>15157</v>
      </c>
      <c r="J6" s="27">
        <v>17034</v>
      </c>
      <c r="K6" s="20"/>
      <c r="L6" s="20"/>
      <c r="M6" s="20"/>
      <c r="N6" s="37">
        <f>SUM(G6:J6)</f>
        <v>62475</v>
      </c>
      <c r="P6" s="46">
        <f t="shared" si="1"/>
        <v>15157</v>
      </c>
      <c r="Q6" s="20">
        <f t="shared" si="2"/>
        <v>17034</v>
      </c>
      <c r="R6" s="47">
        <f t="shared" si="3"/>
        <v>0.12383717094411822</v>
      </c>
    </row>
    <row r="7" spans="1:19" s="18" customFormat="1" outlineLevel="1" x14ac:dyDescent="0.2">
      <c r="A7" s="7"/>
      <c r="B7" s="17" t="s">
        <v>9</v>
      </c>
      <c r="C7" s="51">
        <f t="shared" ref="C7" si="4">C5-C6</f>
        <v>20406</v>
      </c>
      <c r="D7" s="51">
        <f>D5-D6</f>
        <v>22574</v>
      </c>
      <c r="E7" s="51">
        <f t="shared" ref="E7:I7" si="5">E5-E6</f>
        <v>26156</v>
      </c>
      <c r="F7" s="51">
        <f t="shared" si="5"/>
        <v>28723</v>
      </c>
      <c r="G7" s="51">
        <f t="shared" si="5"/>
        <v>26668</v>
      </c>
      <c r="H7" s="51">
        <f t="shared" si="5"/>
        <v>33853</v>
      </c>
      <c r="I7" s="51">
        <f t="shared" si="5"/>
        <v>41849</v>
      </c>
      <c r="J7" s="51">
        <f t="shared" ref="J7" si="6">J5-J6</f>
        <v>51093</v>
      </c>
      <c r="K7" s="21"/>
      <c r="L7" s="21"/>
      <c r="M7" s="21"/>
      <c r="N7" s="56">
        <f t="shared" si="0"/>
        <v>153463</v>
      </c>
      <c r="O7" s="7"/>
      <c r="P7" s="64">
        <f t="shared" si="1"/>
        <v>41849</v>
      </c>
      <c r="Q7" s="51">
        <f t="shared" si="2"/>
        <v>51093</v>
      </c>
      <c r="R7" s="61">
        <f t="shared" si="3"/>
        <v>0.22088938803794594</v>
      </c>
      <c r="S7" s="7"/>
    </row>
    <row r="8" spans="1:19" outlineLevel="1" x14ac:dyDescent="0.2">
      <c r="B8" s="9" t="s">
        <v>10</v>
      </c>
      <c r="C8" s="27">
        <v>2720</v>
      </c>
      <c r="D8" s="27">
        <v>3090</v>
      </c>
      <c r="E8" s="27">
        <v>3390</v>
      </c>
      <c r="F8" s="27">
        <v>3714</v>
      </c>
      <c r="G8" s="27">
        <v>3989</v>
      </c>
      <c r="H8" s="27">
        <v>4291</v>
      </c>
      <c r="I8" s="27">
        <v>4705</v>
      </c>
      <c r="J8" s="27">
        <v>5512</v>
      </c>
      <c r="K8" s="20"/>
      <c r="L8" s="20"/>
      <c r="M8" s="20"/>
      <c r="N8" s="37">
        <f t="shared" si="0"/>
        <v>18497</v>
      </c>
      <c r="P8" s="46">
        <f t="shared" si="1"/>
        <v>4705</v>
      </c>
      <c r="Q8" s="20">
        <f t="shared" si="2"/>
        <v>5512</v>
      </c>
      <c r="R8" s="47">
        <f t="shared" si="3"/>
        <v>0.17151965993623805</v>
      </c>
    </row>
    <row r="9" spans="1:19" s="8" customFormat="1" outlineLevel="1" x14ac:dyDescent="0.2">
      <c r="B9" s="12" t="s">
        <v>11</v>
      </c>
      <c r="C9" s="27">
        <v>777</v>
      </c>
      <c r="D9" s="27">
        <v>842</v>
      </c>
      <c r="E9" s="27">
        <v>897</v>
      </c>
      <c r="F9" s="27">
        <v>975</v>
      </c>
      <c r="G9" s="27">
        <v>1041</v>
      </c>
      <c r="H9" s="27">
        <v>1122</v>
      </c>
      <c r="I9" s="27">
        <v>1134</v>
      </c>
      <c r="J9" s="27">
        <v>1282</v>
      </c>
      <c r="K9" s="20"/>
      <c r="L9" s="20"/>
      <c r="M9" s="20"/>
      <c r="N9" s="37">
        <f t="shared" si="0"/>
        <v>4579</v>
      </c>
      <c r="P9" s="65">
        <f t="shared" si="1"/>
        <v>1134</v>
      </c>
      <c r="Q9" s="33">
        <f t="shared" si="2"/>
        <v>1282</v>
      </c>
      <c r="R9" s="62">
        <f t="shared" si="3"/>
        <v>0.13051146384479717</v>
      </c>
    </row>
    <row r="10" spans="1:19" s="8" customFormat="1" outlineLevel="1" x14ac:dyDescent="0.2">
      <c r="B10" s="12" t="s">
        <v>112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0"/>
      <c r="L10" s="20"/>
      <c r="M10" s="20"/>
      <c r="N10" s="37">
        <f t="shared" si="0"/>
        <v>0</v>
      </c>
      <c r="P10" s="65">
        <f t="shared" si="1"/>
        <v>0</v>
      </c>
      <c r="Q10" s="33">
        <f t="shared" si="2"/>
        <v>0</v>
      </c>
      <c r="R10" s="62">
        <f t="shared" si="3"/>
        <v>0</v>
      </c>
    </row>
    <row r="11" spans="1:19" outlineLevel="1" x14ac:dyDescent="0.2">
      <c r="B11" s="12" t="s">
        <v>12</v>
      </c>
      <c r="C11" s="20">
        <f t="shared" ref="C11:I11" si="7">SUM(C8:C10)</f>
        <v>3497</v>
      </c>
      <c r="D11" s="20">
        <f t="shared" si="7"/>
        <v>3932</v>
      </c>
      <c r="E11" s="20">
        <f t="shared" si="7"/>
        <v>4287</v>
      </c>
      <c r="F11" s="20">
        <f t="shared" si="7"/>
        <v>4689</v>
      </c>
      <c r="G11" s="20">
        <f t="shared" si="7"/>
        <v>5030</v>
      </c>
      <c r="H11" s="20">
        <f t="shared" si="7"/>
        <v>5413</v>
      </c>
      <c r="I11" s="20">
        <f t="shared" si="7"/>
        <v>5839</v>
      </c>
      <c r="J11" s="20">
        <f t="shared" ref="J11" si="8">SUM(J8:J10)</f>
        <v>6794</v>
      </c>
      <c r="K11" s="20"/>
      <c r="L11" s="20"/>
      <c r="M11" s="20"/>
      <c r="N11" s="37">
        <f t="shared" si="0"/>
        <v>23076</v>
      </c>
      <c r="P11" s="46">
        <f t="shared" si="1"/>
        <v>5839</v>
      </c>
      <c r="Q11" s="20">
        <f>J11</f>
        <v>6794</v>
      </c>
      <c r="R11" s="47">
        <f t="shared" si="3"/>
        <v>0.16355540332248672</v>
      </c>
    </row>
    <row r="12" spans="1:19" s="18" customFormat="1" outlineLevel="1" x14ac:dyDescent="0.2">
      <c r="A12" s="7"/>
      <c r="B12" s="17" t="s">
        <v>13</v>
      </c>
      <c r="C12" s="48">
        <v>16909</v>
      </c>
      <c r="D12" s="48">
        <v>18642</v>
      </c>
      <c r="E12" s="48">
        <v>21869</v>
      </c>
      <c r="F12" s="48">
        <v>24034</v>
      </c>
      <c r="G12" s="48">
        <v>21638</v>
      </c>
      <c r="H12" s="48">
        <v>28440</v>
      </c>
      <c r="I12" s="48">
        <v>36010</v>
      </c>
      <c r="J12" s="48">
        <v>44299</v>
      </c>
      <c r="K12" s="21"/>
      <c r="L12" s="21"/>
      <c r="M12" s="21"/>
      <c r="N12" s="56">
        <f t="shared" si="0"/>
        <v>130387</v>
      </c>
      <c r="O12" s="7"/>
      <c r="P12" s="64">
        <f t="shared" si="1"/>
        <v>36010</v>
      </c>
      <c r="Q12" s="51">
        <f t="shared" si="2"/>
        <v>44299</v>
      </c>
      <c r="R12" s="61">
        <f t="shared" si="3"/>
        <v>0.23018605942793668</v>
      </c>
      <c r="S12" s="7"/>
    </row>
    <row r="13" spans="1:19" outlineLevel="1" x14ac:dyDescent="0.2">
      <c r="B13" s="12" t="s">
        <v>113</v>
      </c>
      <c r="C13" s="27">
        <v>75</v>
      </c>
      <c r="D13" s="27">
        <v>189</v>
      </c>
      <c r="E13" s="27">
        <v>36</v>
      </c>
      <c r="F13" s="27">
        <v>733</v>
      </c>
      <c r="G13" s="27">
        <v>-180</v>
      </c>
      <c r="H13" s="27">
        <v>2236</v>
      </c>
      <c r="I13" s="27">
        <v>1363</v>
      </c>
      <c r="J13" s="27">
        <v>5604</v>
      </c>
      <c r="K13" s="20"/>
      <c r="L13" s="20"/>
      <c r="M13" s="20"/>
      <c r="N13" s="37">
        <f t="shared" si="0"/>
        <v>9023</v>
      </c>
      <c r="P13" s="46">
        <f t="shared" si="1"/>
        <v>1363</v>
      </c>
      <c r="Q13" s="20">
        <f t="shared" si="2"/>
        <v>5604</v>
      </c>
      <c r="R13" s="47">
        <f t="shared" si="3"/>
        <v>3.111518708730741</v>
      </c>
    </row>
    <row r="14" spans="1:19" outlineLevel="1" x14ac:dyDescent="0.2">
      <c r="B14" s="12" t="s">
        <v>122</v>
      </c>
      <c r="C14" s="27">
        <v>359</v>
      </c>
      <c r="D14" s="27">
        <v>444</v>
      </c>
      <c r="E14" s="27">
        <v>472</v>
      </c>
      <c r="F14" s="27">
        <v>511</v>
      </c>
      <c r="G14" s="27">
        <v>515</v>
      </c>
      <c r="H14" s="27">
        <v>592</v>
      </c>
      <c r="I14" s="27">
        <v>624</v>
      </c>
      <c r="J14" s="27">
        <v>568</v>
      </c>
      <c r="K14" s="20"/>
      <c r="L14" s="20"/>
      <c r="M14" s="20"/>
      <c r="N14" s="37">
        <f t="shared" si="0"/>
        <v>2299</v>
      </c>
      <c r="P14" s="46">
        <f t="shared" si="1"/>
        <v>624</v>
      </c>
      <c r="Q14" s="20">
        <f t="shared" si="2"/>
        <v>568</v>
      </c>
      <c r="R14" s="47">
        <f t="shared" si="3"/>
        <v>-8.9743589743589744E-2</v>
      </c>
    </row>
    <row r="15" spans="1:19" outlineLevel="1" x14ac:dyDescent="0.2">
      <c r="B15" s="12" t="s">
        <v>123</v>
      </c>
      <c r="C15" s="27">
        <v>64</v>
      </c>
      <c r="D15" s="27">
        <v>61</v>
      </c>
      <c r="E15" s="27">
        <v>61</v>
      </c>
      <c r="F15" s="27">
        <v>61</v>
      </c>
      <c r="G15" s="27">
        <v>63</v>
      </c>
      <c r="H15" s="27">
        <v>62</v>
      </c>
      <c r="I15" s="27">
        <v>61</v>
      </c>
      <c r="J15" s="27">
        <v>74</v>
      </c>
      <c r="K15" s="20"/>
      <c r="L15" s="20"/>
      <c r="M15" s="20"/>
      <c r="N15" s="37">
        <f t="shared" si="0"/>
        <v>260</v>
      </c>
      <c r="P15" s="46">
        <f t="shared" si="1"/>
        <v>61</v>
      </c>
      <c r="Q15" s="20">
        <f t="shared" si="2"/>
        <v>74</v>
      </c>
      <c r="R15" s="47">
        <f t="shared" si="3"/>
        <v>0.21311475409836064</v>
      </c>
    </row>
    <row r="16" spans="1:19" s="18" customFormat="1" outlineLevel="1" x14ac:dyDescent="0.2">
      <c r="A16" s="7"/>
      <c r="B16" s="17" t="s">
        <v>14</v>
      </c>
      <c r="C16" s="48">
        <v>17279</v>
      </c>
      <c r="D16" s="48">
        <v>19214</v>
      </c>
      <c r="E16" s="48">
        <v>22316</v>
      </c>
      <c r="F16" s="48">
        <v>25217</v>
      </c>
      <c r="G16" s="48">
        <v>21910</v>
      </c>
      <c r="H16" s="48">
        <v>31206</v>
      </c>
      <c r="I16" s="48">
        <v>37936</v>
      </c>
      <c r="J16" s="48">
        <v>50397</v>
      </c>
      <c r="K16" s="21"/>
      <c r="L16" s="21"/>
      <c r="M16" s="21"/>
      <c r="N16" s="56">
        <f t="shared" si="0"/>
        <v>141449</v>
      </c>
      <c r="O16" s="7"/>
      <c r="P16" s="64">
        <f t="shared" si="1"/>
        <v>37936</v>
      </c>
      <c r="Q16" s="51">
        <f t="shared" si="2"/>
        <v>50397</v>
      </c>
      <c r="R16" s="61">
        <f t="shared" si="3"/>
        <v>0.32847427245887811</v>
      </c>
      <c r="S16" s="7"/>
    </row>
    <row r="17" spans="1:19" outlineLevel="1" x14ac:dyDescent="0.2">
      <c r="B17" s="12" t="s">
        <v>83</v>
      </c>
      <c r="C17" s="27">
        <v>-2398</v>
      </c>
      <c r="D17" s="27">
        <v>-2615</v>
      </c>
      <c r="E17" s="27">
        <v>-3007</v>
      </c>
      <c r="F17" s="27">
        <v>-3126</v>
      </c>
      <c r="G17" s="27">
        <v>-3135</v>
      </c>
      <c r="H17" s="27">
        <v>-4784</v>
      </c>
      <c r="I17" s="27">
        <v>-6026</v>
      </c>
      <c r="J17" s="27">
        <v>-7437</v>
      </c>
      <c r="K17" s="20"/>
      <c r="L17" s="20"/>
      <c r="M17" s="20"/>
      <c r="N17" s="37">
        <f t="shared" si="0"/>
        <v>-21382</v>
      </c>
      <c r="P17" s="46">
        <f t="shared" si="1"/>
        <v>-6026</v>
      </c>
      <c r="Q17" s="20">
        <f t="shared" si="2"/>
        <v>-7437</v>
      </c>
      <c r="R17" s="47">
        <f t="shared" si="3"/>
        <v>-0.23415200796548291</v>
      </c>
    </row>
    <row r="18" spans="1:19" s="18" customFormat="1" outlineLevel="1" x14ac:dyDescent="0.2">
      <c r="A18" s="7"/>
      <c r="B18" s="17" t="s">
        <v>15</v>
      </c>
      <c r="C18" s="48">
        <v>14881</v>
      </c>
      <c r="D18" s="48">
        <v>16599</v>
      </c>
      <c r="E18" s="48">
        <v>19309</v>
      </c>
      <c r="F18" s="48">
        <v>22091</v>
      </c>
      <c r="G18" s="48">
        <v>18775</v>
      </c>
      <c r="H18" s="48">
        <v>26422</v>
      </c>
      <c r="I18" s="48">
        <v>31910</v>
      </c>
      <c r="J18" s="48">
        <v>42960</v>
      </c>
      <c r="K18" s="21"/>
      <c r="L18" s="21"/>
      <c r="M18" s="21"/>
      <c r="N18" s="56">
        <f t="shared" si="0"/>
        <v>120067</v>
      </c>
      <c r="O18" s="7"/>
      <c r="P18" s="64">
        <f t="shared" si="1"/>
        <v>31910</v>
      </c>
      <c r="Q18" s="51">
        <f t="shared" si="2"/>
        <v>42960</v>
      </c>
      <c r="R18" s="61">
        <f t="shared" si="3"/>
        <v>0.34628643058602321</v>
      </c>
      <c r="S18" s="7"/>
    </row>
    <row r="19" spans="1:19" outlineLevel="1" x14ac:dyDescent="0.2">
      <c r="B19" s="12" t="s">
        <v>16</v>
      </c>
      <c r="C19" s="27">
        <v>2462</v>
      </c>
      <c r="D19" s="27">
        <v>24578</v>
      </c>
      <c r="E19" s="27">
        <v>24533</v>
      </c>
      <c r="F19" s="27">
        <v>24489</v>
      </c>
      <c r="G19" s="27">
        <v>24441</v>
      </c>
      <c r="H19" s="27">
        <v>24366</v>
      </c>
      <c r="I19" s="27">
        <v>24327</v>
      </c>
      <c r="J19" s="27">
        <v>24304</v>
      </c>
      <c r="K19" s="20"/>
      <c r="L19" s="20"/>
      <c r="M19" s="20"/>
      <c r="N19" s="37">
        <f>AVERAGE(G19:J19)</f>
        <v>24359.5</v>
      </c>
      <c r="P19" s="46">
        <f t="shared" si="1"/>
        <v>24327</v>
      </c>
      <c r="Q19" s="20">
        <f t="shared" si="2"/>
        <v>24304</v>
      </c>
      <c r="R19" s="47">
        <f t="shared" si="3"/>
        <v>-9.4545155588440831E-4</v>
      </c>
    </row>
    <row r="20" spans="1:19" outlineLevel="1" x14ac:dyDescent="0.2">
      <c r="B20" s="12" t="s">
        <v>127</v>
      </c>
      <c r="C20" s="33">
        <f t="shared" ref="C20:I20" si="9">C19*C136</f>
        <v>24620</v>
      </c>
      <c r="D20" s="33">
        <f t="shared" si="9"/>
        <v>24578</v>
      </c>
      <c r="E20" s="33">
        <f t="shared" si="9"/>
        <v>24533</v>
      </c>
      <c r="F20" s="33">
        <f t="shared" si="9"/>
        <v>24489</v>
      </c>
      <c r="G20" s="33">
        <f t="shared" si="9"/>
        <v>24441</v>
      </c>
      <c r="H20" s="33">
        <f t="shared" si="9"/>
        <v>24366</v>
      </c>
      <c r="I20" s="33">
        <f t="shared" si="9"/>
        <v>24327</v>
      </c>
      <c r="J20" s="33">
        <f t="shared" ref="J20" si="10">J19*J136</f>
        <v>24304</v>
      </c>
      <c r="K20" s="20"/>
      <c r="L20" s="20"/>
      <c r="M20" s="20"/>
      <c r="N20" s="37">
        <f>AVERAGE(G20:J20)</f>
        <v>24359.5</v>
      </c>
      <c r="P20" s="46"/>
      <c r="Q20" s="20"/>
      <c r="R20" s="47"/>
    </row>
    <row r="21" spans="1:19" outlineLevel="1" x14ac:dyDescent="0.2">
      <c r="B21" s="12" t="s">
        <v>17</v>
      </c>
      <c r="C21" s="27">
        <v>2489</v>
      </c>
      <c r="D21" s="27">
        <v>24848</v>
      </c>
      <c r="E21" s="27">
        <v>24774</v>
      </c>
      <c r="F21" s="27">
        <v>24706</v>
      </c>
      <c r="G21" s="27">
        <v>24611</v>
      </c>
      <c r="H21" s="27">
        <v>24532</v>
      </c>
      <c r="I21" s="27">
        <v>24483</v>
      </c>
      <c r="J21" s="27">
        <v>24432</v>
      </c>
      <c r="K21" s="20"/>
      <c r="L21" s="20"/>
      <c r="M21" s="20"/>
      <c r="N21" s="37">
        <f>AVERAGE((G21:J21))</f>
        <v>24514.5</v>
      </c>
      <c r="P21" s="46">
        <f t="shared" si="1"/>
        <v>24483</v>
      </c>
      <c r="Q21" s="20">
        <f t="shared" si="2"/>
        <v>24432</v>
      </c>
      <c r="R21" s="47">
        <f t="shared" si="3"/>
        <v>-2.0830780541600293E-3</v>
      </c>
    </row>
    <row r="22" spans="1:19" outlineLevel="1" x14ac:dyDescent="0.2">
      <c r="B22" s="12" t="s">
        <v>128</v>
      </c>
      <c r="C22" s="33">
        <f t="shared" ref="C22:I22" si="11">C21*C136</f>
        <v>24890</v>
      </c>
      <c r="D22" s="33">
        <f t="shared" si="11"/>
        <v>24848</v>
      </c>
      <c r="E22" s="33">
        <f t="shared" si="11"/>
        <v>24774</v>
      </c>
      <c r="F22" s="33">
        <f t="shared" si="11"/>
        <v>24706</v>
      </c>
      <c r="G22" s="33">
        <f t="shared" si="11"/>
        <v>24611</v>
      </c>
      <c r="H22" s="33">
        <f t="shared" si="11"/>
        <v>24532</v>
      </c>
      <c r="I22" s="33">
        <f t="shared" si="11"/>
        <v>24483</v>
      </c>
      <c r="J22" s="33">
        <f t="shared" ref="J22" si="12">J21*J136</f>
        <v>24432</v>
      </c>
      <c r="K22" s="20"/>
      <c r="L22" s="20"/>
      <c r="M22" s="20"/>
      <c r="N22" s="37">
        <f>AVERAGE((G22:J22))</f>
        <v>24514.5</v>
      </c>
      <c r="P22" s="46"/>
      <c r="Q22" s="20"/>
      <c r="R22" s="47"/>
    </row>
    <row r="23" spans="1:19" outlineLevel="1" x14ac:dyDescent="0.2">
      <c r="B23" s="12" t="s">
        <v>18</v>
      </c>
      <c r="C23" s="30">
        <v>6.04</v>
      </c>
      <c r="D23" s="30">
        <v>0.68</v>
      </c>
      <c r="E23" s="30">
        <v>0.79</v>
      </c>
      <c r="F23" s="30">
        <v>0.9</v>
      </c>
      <c r="G23" s="30">
        <v>0.77</v>
      </c>
      <c r="H23" s="30">
        <v>1.08</v>
      </c>
      <c r="I23" s="30">
        <v>1.31</v>
      </c>
      <c r="J23" s="30">
        <v>1.77</v>
      </c>
      <c r="K23" s="25"/>
      <c r="L23" s="25"/>
      <c r="M23" s="25"/>
      <c r="N23" s="38">
        <f>SUM(G$18:J$18)/N19</f>
        <v>4.9289599540220452</v>
      </c>
      <c r="P23" s="66">
        <f t="shared" si="1"/>
        <v>1.31</v>
      </c>
      <c r="Q23" s="67">
        <f t="shared" si="2"/>
        <v>1.77</v>
      </c>
      <c r="R23" s="47">
        <f t="shared" si="3"/>
        <v>0.35114503816793891</v>
      </c>
    </row>
    <row r="24" spans="1:19" outlineLevel="1" x14ac:dyDescent="0.2">
      <c r="B24" s="12" t="s">
        <v>129</v>
      </c>
      <c r="C24" s="25">
        <f t="shared" ref="C24:I24" si="13">C23/C136</f>
        <v>0.60399999999999998</v>
      </c>
      <c r="D24" s="25">
        <f t="shared" si="13"/>
        <v>0.68</v>
      </c>
      <c r="E24" s="25">
        <f t="shared" si="13"/>
        <v>0.79</v>
      </c>
      <c r="F24" s="25">
        <f t="shared" si="13"/>
        <v>0.9</v>
      </c>
      <c r="G24" s="25">
        <f t="shared" si="13"/>
        <v>0.77</v>
      </c>
      <c r="H24" s="25">
        <f t="shared" si="13"/>
        <v>1.08</v>
      </c>
      <c r="I24" s="25">
        <f t="shared" si="13"/>
        <v>1.31</v>
      </c>
      <c r="J24" s="25">
        <f t="shared" ref="J24" si="14">J23/J136</f>
        <v>1.77</v>
      </c>
      <c r="K24" s="25"/>
      <c r="L24" s="25"/>
      <c r="M24" s="25"/>
      <c r="N24" s="38">
        <f t="shared" ref="N24:N26" si="15">SUM(G$18:J$18)/N20</f>
        <v>4.9289599540220452</v>
      </c>
      <c r="P24" s="66"/>
      <c r="Q24" s="67"/>
      <c r="R24" s="47"/>
    </row>
    <row r="25" spans="1:19" outlineLevel="1" x14ac:dyDescent="0.2">
      <c r="B25" s="12" t="s">
        <v>19</v>
      </c>
      <c r="C25" s="30">
        <v>5.98</v>
      </c>
      <c r="D25" s="30">
        <v>0.67</v>
      </c>
      <c r="E25" s="30">
        <v>0.78</v>
      </c>
      <c r="F25" s="30">
        <v>0.89</v>
      </c>
      <c r="G25" s="30">
        <v>0.76</v>
      </c>
      <c r="H25" s="30">
        <v>1.08</v>
      </c>
      <c r="I25" s="30">
        <v>1.3</v>
      </c>
      <c r="J25" s="30">
        <v>1.76</v>
      </c>
      <c r="K25" s="25"/>
      <c r="L25" s="25"/>
      <c r="M25" s="25"/>
      <c r="N25" s="38">
        <f t="shared" si="15"/>
        <v>4.8977951824430441</v>
      </c>
      <c r="P25" s="66"/>
      <c r="Q25" s="67"/>
      <c r="R25" s="47"/>
    </row>
    <row r="26" spans="1:19" s="16" customFormat="1" ht="17" outlineLevel="1" thickBot="1" x14ac:dyDescent="0.25">
      <c r="A26" s="1"/>
      <c r="B26" s="10" t="s">
        <v>130</v>
      </c>
      <c r="C26" s="83">
        <f t="shared" ref="C26:I26" si="16">C25/C136</f>
        <v>0.59800000000000009</v>
      </c>
      <c r="D26" s="83">
        <f t="shared" si="16"/>
        <v>0.67</v>
      </c>
      <c r="E26" s="83">
        <f t="shared" si="16"/>
        <v>0.78</v>
      </c>
      <c r="F26" s="83">
        <f t="shared" si="16"/>
        <v>0.89</v>
      </c>
      <c r="G26" s="83">
        <f t="shared" si="16"/>
        <v>0.76</v>
      </c>
      <c r="H26" s="83">
        <f t="shared" si="16"/>
        <v>1.08</v>
      </c>
      <c r="I26" s="83">
        <f t="shared" si="16"/>
        <v>1.3</v>
      </c>
      <c r="J26" s="83">
        <f t="shared" ref="J26" si="17">J25/J136</f>
        <v>1.76</v>
      </c>
      <c r="K26" s="25"/>
      <c r="L26" s="25"/>
      <c r="M26" s="25"/>
      <c r="N26" s="86">
        <f t="shared" si="15"/>
        <v>4.8977951824430441</v>
      </c>
      <c r="O26" s="1"/>
      <c r="P26" s="68">
        <f t="shared" si="1"/>
        <v>1.3</v>
      </c>
      <c r="Q26" s="69">
        <f t="shared" si="2"/>
        <v>1.76</v>
      </c>
      <c r="R26" s="63">
        <f t="shared" si="3"/>
        <v>0.35384615384615381</v>
      </c>
      <c r="S26" s="1"/>
    </row>
    <row r="27" spans="1:19" s="16" customFormat="1" ht="17" thickBot="1" x14ac:dyDescent="0.25">
      <c r="A27" s="1"/>
      <c r="B27" s="6"/>
      <c r="E27" s="6"/>
      <c r="F27" s="6"/>
      <c r="G27" s="6"/>
      <c r="H27" s="6"/>
      <c r="I27" s="6"/>
      <c r="J27" s="6"/>
      <c r="K27" s="8"/>
      <c r="L27" s="8"/>
      <c r="M27" s="8"/>
      <c r="O27" s="1"/>
      <c r="S27" s="1"/>
    </row>
    <row r="28" spans="1:19" s="14" customFormat="1" ht="17" thickBot="1" x14ac:dyDescent="0.25">
      <c r="A28" s="4"/>
      <c r="B28" s="15" t="s">
        <v>20</v>
      </c>
      <c r="K28" s="4"/>
      <c r="L28" s="4"/>
      <c r="M28" s="4"/>
      <c r="O28" s="4"/>
      <c r="S28" s="4"/>
    </row>
    <row r="29" spans="1:19" outlineLevel="1" x14ac:dyDescent="0.2">
      <c r="B29" s="9" t="s">
        <v>21</v>
      </c>
      <c r="C29" s="27">
        <v>7587</v>
      </c>
      <c r="D29" s="27">
        <v>8563</v>
      </c>
      <c r="E29" s="27">
        <v>9107</v>
      </c>
      <c r="F29" s="27">
        <v>8589</v>
      </c>
      <c r="G29" s="27">
        <v>15234</v>
      </c>
      <c r="H29" s="27">
        <v>11639</v>
      </c>
      <c r="I29" s="27">
        <v>11486</v>
      </c>
      <c r="J29" s="27">
        <v>10605</v>
      </c>
      <c r="K29" s="20"/>
      <c r="L29" s="20"/>
      <c r="M29" s="20"/>
    </row>
    <row r="30" spans="1:19" outlineLevel="1" x14ac:dyDescent="0.2">
      <c r="B30" s="9" t="s">
        <v>114</v>
      </c>
      <c r="C30" s="27">
        <v>23851</v>
      </c>
      <c r="D30" s="27">
        <v>26237</v>
      </c>
      <c r="E30" s="27">
        <v>29380</v>
      </c>
      <c r="F30" s="27">
        <v>34621</v>
      </c>
      <c r="G30" s="27">
        <v>38457</v>
      </c>
      <c r="H30" s="27">
        <v>45152</v>
      </c>
      <c r="I30" s="27">
        <v>49122</v>
      </c>
      <c r="J30" s="27">
        <v>51951</v>
      </c>
      <c r="K30" s="20"/>
      <c r="L30" s="20"/>
      <c r="M30" s="20"/>
    </row>
    <row r="31" spans="1:19" outlineLevel="1" x14ac:dyDescent="0.2">
      <c r="B31" s="9" t="s">
        <v>22</v>
      </c>
      <c r="C31" s="27">
        <v>12365</v>
      </c>
      <c r="D31" s="27">
        <v>14132</v>
      </c>
      <c r="E31" s="27">
        <v>17693</v>
      </c>
      <c r="F31" s="27">
        <v>23065</v>
      </c>
      <c r="G31" s="27">
        <v>22132</v>
      </c>
      <c r="H31" s="27">
        <v>27808</v>
      </c>
      <c r="I31" s="27">
        <v>33391</v>
      </c>
      <c r="J31" s="27">
        <v>38466</v>
      </c>
      <c r="K31" s="20"/>
      <c r="L31" s="20"/>
      <c r="M31" s="20"/>
    </row>
    <row r="32" spans="1:19" outlineLevel="1" x14ac:dyDescent="0.2">
      <c r="B32" s="9" t="s">
        <v>23</v>
      </c>
      <c r="C32" s="27">
        <v>5864</v>
      </c>
      <c r="D32" s="27">
        <v>6675</v>
      </c>
      <c r="E32" s="27">
        <v>7654</v>
      </c>
      <c r="F32" s="27">
        <v>10080</v>
      </c>
      <c r="G32" s="27">
        <v>11333</v>
      </c>
      <c r="H32" s="27">
        <v>14962</v>
      </c>
      <c r="I32" s="27">
        <v>19784</v>
      </c>
      <c r="J32" s="27">
        <v>21403</v>
      </c>
      <c r="K32" s="20"/>
      <c r="L32" s="20"/>
      <c r="M32" s="20"/>
    </row>
    <row r="33" spans="1:19" outlineLevel="1" x14ac:dyDescent="0.2">
      <c r="B33" s="9" t="s">
        <v>24</v>
      </c>
      <c r="C33" s="27">
        <v>4062</v>
      </c>
      <c r="D33" s="27">
        <v>4026</v>
      </c>
      <c r="E33" s="27">
        <v>3806</v>
      </c>
      <c r="F33" s="27">
        <v>3771</v>
      </c>
      <c r="G33" s="27">
        <v>2779</v>
      </c>
      <c r="H33" s="27">
        <v>2658</v>
      </c>
      <c r="I33" s="27">
        <v>2709</v>
      </c>
      <c r="J33" s="27">
        <v>3180</v>
      </c>
      <c r="K33" s="20"/>
      <c r="L33" s="20"/>
      <c r="M33" s="20"/>
    </row>
    <row r="34" spans="1:19" s="7" customFormat="1" outlineLevel="1" x14ac:dyDescent="0.2">
      <c r="B34" s="11" t="s">
        <v>25</v>
      </c>
      <c r="C34" s="52">
        <v>53729</v>
      </c>
      <c r="D34" s="52">
        <v>59633</v>
      </c>
      <c r="E34" s="52">
        <v>67640</v>
      </c>
      <c r="F34" s="52">
        <v>80126</v>
      </c>
      <c r="G34" s="52">
        <v>89935</v>
      </c>
      <c r="H34" s="52">
        <v>102219</v>
      </c>
      <c r="I34" s="52">
        <v>116492</v>
      </c>
      <c r="J34" s="52">
        <v>125605</v>
      </c>
      <c r="K34" s="21"/>
      <c r="L34" s="21"/>
      <c r="M34" s="21"/>
    </row>
    <row r="35" spans="1:19" outlineLevel="1" x14ac:dyDescent="0.2">
      <c r="B35" s="81" t="s">
        <v>26</v>
      </c>
      <c r="C35" s="27">
        <v>4006</v>
      </c>
      <c r="D35" s="27">
        <v>4885</v>
      </c>
      <c r="E35" s="27">
        <v>5343</v>
      </c>
      <c r="F35" s="27">
        <v>6283</v>
      </c>
      <c r="G35" s="27">
        <v>7136</v>
      </c>
      <c r="H35" s="27">
        <v>9141</v>
      </c>
      <c r="I35" s="27">
        <v>9780</v>
      </c>
      <c r="J35" s="27">
        <v>10383</v>
      </c>
      <c r="K35" s="20"/>
      <c r="L35" s="20"/>
      <c r="M35" s="20"/>
    </row>
    <row r="36" spans="1:19" outlineLevel="1" x14ac:dyDescent="0.2">
      <c r="B36" s="9" t="s">
        <v>132</v>
      </c>
      <c r="C36" s="27">
        <v>1532</v>
      </c>
      <c r="D36" s="27">
        <v>1556</v>
      </c>
      <c r="E36" s="27">
        <v>1755</v>
      </c>
      <c r="F36" s="27">
        <v>1793</v>
      </c>
      <c r="G36" s="27">
        <v>1810</v>
      </c>
      <c r="H36" s="27">
        <v>2084</v>
      </c>
      <c r="I36" s="27">
        <v>2281</v>
      </c>
      <c r="J36" s="27">
        <v>2867</v>
      </c>
      <c r="K36" s="20"/>
      <c r="L36" s="20"/>
      <c r="M36" s="20"/>
    </row>
    <row r="37" spans="1:19" outlineLevel="1" x14ac:dyDescent="0.2">
      <c r="B37" s="9" t="s">
        <v>27</v>
      </c>
      <c r="C37" s="27">
        <v>4453</v>
      </c>
      <c r="D37" s="27">
        <v>4622</v>
      </c>
      <c r="E37" s="27">
        <v>4724</v>
      </c>
      <c r="F37" s="27">
        <v>5188</v>
      </c>
      <c r="G37" s="27">
        <v>5498</v>
      </c>
      <c r="H37" s="27">
        <v>5755</v>
      </c>
      <c r="I37" s="27">
        <v>6261</v>
      </c>
      <c r="J37" s="27">
        <v>20832</v>
      </c>
      <c r="K37" s="20"/>
      <c r="L37" s="20"/>
      <c r="M37" s="20"/>
    </row>
    <row r="38" spans="1:19" outlineLevel="1" x14ac:dyDescent="0.2">
      <c r="B38" s="9" t="s">
        <v>133</v>
      </c>
      <c r="C38" s="27">
        <v>986</v>
      </c>
      <c r="D38" s="27">
        <v>952</v>
      </c>
      <c r="E38" s="27">
        <v>838</v>
      </c>
      <c r="F38" s="27">
        <v>807</v>
      </c>
      <c r="G38" s="27">
        <v>769</v>
      </c>
      <c r="H38" s="27">
        <v>755</v>
      </c>
      <c r="I38" s="27">
        <v>936</v>
      </c>
      <c r="J38" s="27">
        <v>3306</v>
      </c>
      <c r="K38" s="20"/>
      <c r="L38" s="20"/>
      <c r="M38" s="20"/>
    </row>
    <row r="39" spans="1:19" outlineLevel="1" x14ac:dyDescent="0.2">
      <c r="B39" s="9" t="s">
        <v>134</v>
      </c>
      <c r="C39" s="27">
        <v>7798</v>
      </c>
      <c r="D39" s="27">
        <v>9578</v>
      </c>
      <c r="E39" s="27">
        <v>10276</v>
      </c>
      <c r="F39" s="27">
        <v>10979</v>
      </c>
      <c r="G39" s="27">
        <v>13318</v>
      </c>
      <c r="H39" s="27">
        <v>13570</v>
      </c>
      <c r="I39" s="27">
        <v>13674</v>
      </c>
      <c r="J39" s="27">
        <v>13258</v>
      </c>
      <c r="K39" s="20"/>
      <c r="L39" s="20"/>
      <c r="M39" s="20"/>
    </row>
    <row r="40" spans="1:19" outlineLevel="1" x14ac:dyDescent="0.2">
      <c r="B40" s="9" t="s">
        <v>28</v>
      </c>
      <c r="C40" s="27">
        <v>4568</v>
      </c>
      <c r="D40" s="27">
        <v>4001</v>
      </c>
      <c r="E40" s="27">
        <v>5437</v>
      </c>
      <c r="F40" s="27">
        <v>6425</v>
      </c>
      <c r="G40" s="27">
        <v>6788</v>
      </c>
      <c r="H40" s="27">
        <v>7216</v>
      </c>
      <c r="I40" s="27">
        <v>11724</v>
      </c>
      <c r="J40" s="27">
        <v>30552</v>
      </c>
      <c r="K40" s="20"/>
      <c r="L40" s="20"/>
      <c r="M40" s="20"/>
    </row>
    <row r="41" spans="1:19" s="7" customFormat="1" outlineLevel="1" x14ac:dyDescent="0.2">
      <c r="B41" s="11" t="s">
        <v>29</v>
      </c>
      <c r="C41" s="53">
        <f t="shared" ref="C41:I41" si="18">SUM(C35:C40)</f>
        <v>23343</v>
      </c>
      <c r="D41" s="53">
        <f t="shared" si="18"/>
        <v>25594</v>
      </c>
      <c r="E41" s="53">
        <f t="shared" si="18"/>
        <v>28373</v>
      </c>
      <c r="F41" s="53">
        <f t="shared" si="18"/>
        <v>31475</v>
      </c>
      <c r="G41" s="53">
        <f t="shared" si="18"/>
        <v>35319</v>
      </c>
      <c r="H41" s="53">
        <f t="shared" si="18"/>
        <v>38521</v>
      </c>
      <c r="I41" s="53">
        <f t="shared" si="18"/>
        <v>44656</v>
      </c>
      <c r="J41" s="53">
        <f t="shared" ref="J41" si="19">SUM(J35:J40)</f>
        <v>81198</v>
      </c>
      <c r="K41" s="21"/>
      <c r="L41" s="21"/>
      <c r="M41" s="21"/>
    </row>
    <row r="42" spans="1:19" s="18" customFormat="1" outlineLevel="1" x14ac:dyDescent="0.2">
      <c r="A42" s="7"/>
      <c r="B42" s="17" t="s">
        <v>30</v>
      </c>
      <c r="C42" s="48">
        <v>77072</v>
      </c>
      <c r="D42" s="48">
        <v>85227</v>
      </c>
      <c r="E42" s="48">
        <v>96013</v>
      </c>
      <c r="F42" s="48">
        <v>111601</v>
      </c>
      <c r="G42" s="48">
        <v>125254</v>
      </c>
      <c r="H42" s="48">
        <v>140740</v>
      </c>
      <c r="I42" s="48">
        <v>161148</v>
      </c>
      <c r="J42" s="48">
        <v>206803</v>
      </c>
      <c r="K42" s="21"/>
      <c r="L42" s="21"/>
      <c r="M42" s="21"/>
      <c r="O42" s="7"/>
      <c r="S42" s="7"/>
    </row>
    <row r="43" spans="1:19" outlineLevel="1" x14ac:dyDescent="0.2">
      <c r="B43" s="9" t="s">
        <v>32</v>
      </c>
      <c r="C43" s="27">
        <v>1250</v>
      </c>
      <c r="D43" s="27">
        <v>0</v>
      </c>
      <c r="E43" s="27">
        <v>0</v>
      </c>
      <c r="F43" s="27">
        <v>0</v>
      </c>
      <c r="G43" s="27">
        <v>0</v>
      </c>
      <c r="H43" s="27">
        <v>0</v>
      </c>
      <c r="I43" s="27">
        <v>999</v>
      </c>
      <c r="J43" s="27">
        <v>999</v>
      </c>
      <c r="K43" s="20"/>
      <c r="L43" s="20"/>
      <c r="M43" s="20"/>
    </row>
    <row r="44" spans="1:19" outlineLevel="1" x14ac:dyDescent="0.2">
      <c r="B44" s="9" t="s">
        <v>31</v>
      </c>
      <c r="C44" s="27">
        <v>2715</v>
      </c>
      <c r="D44" s="27">
        <v>3680</v>
      </c>
      <c r="E44" s="27">
        <v>5353</v>
      </c>
      <c r="F44" s="27">
        <v>6310</v>
      </c>
      <c r="G44" s="27">
        <v>7331</v>
      </c>
      <c r="H44" s="27">
        <v>9064</v>
      </c>
      <c r="I44" s="27">
        <v>8624</v>
      </c>
      <c r="J44" s="27">
        <v>9812</v>
      </c>
      <c r="K44" s="20"/>
      <c r="L44" s="20"/>
      <c r="M44" s="20"/>
    </row>
    <row r="45" spans="1:19" outlineLevel="1" x14ac:dyDescent="0.2">
      <c r="B45" s="9" t="s">
        <v>135</v>
      </c>
      <c r="C45" s="27">
        <v>11258</v>
      </c>
      <c r="D45" s="27">
        <v>10289</v>
      </c>
      <c r="E45" s="27">
        <v>11126</v>
      </c>
      <c r="F45" s="27">
        <v>11737</v>
      </c>
      <c r="G45" s="27">
        <v>19211</v>
      </c>
      <c r="H45" s="27">
        <v>15193</v>
      </c>
      <c r="I45" s="27">
        <v>16452</v>
      </c>
      <c r="J45" s="27">
        <v>21352</v>
      </c>
      <c r="K45" s="20"/>
      <c r="L45" s="20"/>
      <c r="M45" s="20"/>
    </row>
    <row r="46" spans="1:19" s="7" customFormat="1" outlineLevel="1" x14ac:dyDescent="0.2">
      <c r="B46" s="11" t="s">
        <v>37</v>
      </c>
      <c r="C46" s="52">
        <v>15223</v>
      </c>
      <c r="D46" s="52">
        <v>13969</v>
      </c>
      <c r="E46" s="52">
        <v>16479</v>
      </c>
      <c r="F46" s="52">
        <v>18047</v>
      </c>
      <c r="G46" s="52">
        <v>26542</v>
      </c>
      <c r="H46" s="52">
        <v>24257</v>
      </c>
      <c r="I46" s="52">
        <v>26075</v>
      </c>
      <c r="J46" s="52">
        <v>32193</v>
      </c>
      <c r="K46" s="21"/>
      <c r="L46" s="21"/>
      <c r="M46" s="21"/>
    </row>
    <row r="47" spans="1:19" outlineLevel="1" x14ac:dyDescent="0.2">
      <c r="B47" s="9" t="s">
        <v>33</v>
      </c>
      <c r="C47" s="27">
        <v>8460</v>
      </c>
      <c r="D47" s="27">
        <v>8461</v>
      </c>
      <c r="E47" s="27">
        <v>8462</v>
      </c>
      <c r="F47" s="27">
        <v>8463</v>
      </c>
      <c r="G47" s="27">
        <v>8464</v>
      </c>
      <c r="H47" s="27">
        <v>8466</v>
      </c>
      <c r="I47" s="27">
        <v>7468</v>
      </c>
      <c r="J47" s="27">
        <v>7469</v>
      </c>
      <c r="K47" s="20"/>
      <c r="L47" s="20"/>
      <c r="M47" s="20"/>
    </row>
    <row r="48" spans="1:19" outlineLevel="1" x14ac:dyDescent="0.2">
      <c r="B48" s="9" t="s">
        <v>139</v>
      </c>
      <c r="C48" s="27">
        <v>0</v>
      </c>
      <c r="D48" s="27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0"/>
      <c r="L48" s="20"/>
      <c r="M48" s="20"/>
    </row>
    <row r="49" spans="1:19" outlineLevel="1" x14ac:dyDescent="0.2">
      <c r="B49" s="9" t="s">
        <v>136</v>
      </c>
      <c r="C49" s="27">
        <v>1281</v>
      </c>
      <c r="D49" s="27">
        <v>1304</v>
      </c>
      <c r="E49" s="27">
        <v>1490</v>
      </c>
      <c r="F49" s="27">
        <v>1519</v>
      </c>
      <c r="G49" s="27">
        <v>1521</v>
      </c>
      <c r="H49" s="27">
        <v>1831</v>
      </c>
      <c r="I49" s="27">
        <v>2014</v>
      </c>
      <c r="J49" s="27">
        <v>2572</v>
      </c>
      <c r="K49" s="20"/>
      <c r="L49" s="20"/>
      <c r="M49" s="20"/>
    </row>
    <row r="50" spans="1:19" outlineLevel="1" x14ac:dyDescent="0.2">
      <c r="B50" s="9" t="s">
        <v>34</v>
      </c>
      <c r="C50" s="27">
        <v>2966</v>
      </c>
      <c r="D50" s="27">
        <v>3336</v>
      </c>
      <c r="E50" s="27">
        <v>3683</v>
      </c>
      <c r="F50" s="27">
        <v>4245</v>
      </c>
      <c r="G50" s="27">
        <v>4884</v>
      </c>
      <c r="H50" s="27">
        <v>6055</v>
      </c>
      <c r="I50" s="27">
        <v>6694</v>
      </c>
      <c r="J50" s="27">
        <v>7306</v>
      </c>
      <c r="K50" s="20"/>
      <c r="L50" s="20"/>
      <c r="M50" s="20"/>
    </row>
    <row r="51" spans="1:19" s="7" customFormat="1" outlineLevel="1" x14ac:dyDescent="0.2">
      <c r="B51" s="11" t="s">
        <v>35</v>
      </c>
      <c r="C51" s="53">
        <f t="shared" ref="C51:I51" si="20">SUM(C47:C50)</f>
        <v>12707</v>
      </c>
      <c r="D51" s="53">
        <f t="shared" si="20"/>
        <v>13101</v>
      </c>
      <c r="E51" s="53">
        <f t="shared" si="20"/>
        <v>13635</v>
      </c>
      <c r="F51" s="53">
        <f t="shared" si="20"/>
        <v>14227</v>
      </c>
      <c r="G51" s="53">
        <f t="shared" si="20"/>
        <v>14869</v>
      </c>
      <c r="H51" s="53">
        <f t="shared" si="20"/>
        <v>16352</v>
      </c>
      <c r="I51" s="53">
        <f t="shared" si="20"/>
        <v>16176</v>
      </c>
      <c r="J51" s="53">
        <f t="shared" ref="J51" si="21">SUM(J47:J50)</f>
        <v>17347</v>
      </c>
      <c r="K51" s="21"/>
      <c r="L51" s="21"/>
      <c r="M51" s="21"/>
    </row>
    <row r="52" spans="1:19" s="18" customFormat="1" outlineLevel="1" x14ac:dyDescent="0.2">
      <c r="A52" s="7"/>
      <c r="B52" s="17" t="s">
        <v>36</v>
      </c>
      <c r="C52" s="48">
        <v>27930</v>
      </c>
      <c r="D52" s="48">
        <v>27070</v>
      </c>
      <c r="E52" s="48">
        <v>30114</v>
      </c>
      <c r="F52" s="48">
        <v>32274</v>
      </c>
      <c r="G52" s="48">
        <v>41411</v>
      </c>
      <c r="H52" s="48">
        <v>40609</v>
      </c>
      <c r="I52" s="48">
        <v>42251</v>
      </c>
      <c r="J52" s="48">
        <v>49510</v>
      </c>
      <c r="K52" s="21"/>
      <c r="L52" s="21"/>
      <c r="M52" s="21"/>
      <c r="O52" s="7"/>
      <c r="S52" s="7"/>
    </row>
    <row r="53" spans="1:19" outlineLevel="1" x14ac:dyDescent="0.2">
      <c r="B53" s="9" t="s">
        <v>38</v>
      </c>
      <c r="C53" s="27">
        <v>0</v>
      </c>
      <c r="D53" s="27">
        <v>0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0"/>
      <c r="L53" s="20"/>
      <c r="M53" s="20"/>
    </row>
    <row r="54" spans="1:19" outlineLevel="1" x14ac:dyDescent="0.2">
      <c r="B54" s="9" t="s">
        <v>39</v>
      </c>
      <c r="C54" s="27">
        <v>25</v>
      </c>
      <c r="D54" s="27">
        <v>25</v>
      </c>
      <c r="E54" s="27">
        <v>25</v>
      </c>
      <c r="F54" s="27">
        <v>24</v>
      </c>
      <c r="G54" s="27">
        <v>24</v>
      </c>
      <c r="H54" s="27">
        <v>24</v>
      </c>
      <c r="I54" s="27">
        <v>24</v>
      </c>
      <c r="J54" s="27">
        <v>24</v>
      </c>
      <c r="K54" s="20"/>
      <c r="L54" s="20"/>
      <c r="M54" s="20"/>
    </row>
    <row r="55" spans="1:19" outlineLevel="1" x14ac:dyDescent="0.2">
      <c r="B55" s="9" t="s">
        <v>137</v>
      </c>
      <c r="C55" s="27">
        <v>12651</v>
      </c>
      <c r="D55" s="27">
        <v>12115</v>
      </c>
      <c r="E55" s="27">
        <v>11821</v>
      </c>
      <c r="F55" s="27">
        <v>11237</v>
      </c>
      <c r="G55" s="27">
        <v>11475</v>
      </c>
      <c r="H55" s="27">
        <v>11200</v>
      </c>
      <c r="I55" s="27">
        <v>10626</v>
      </c>
      <c r="J55" s="27">
        <v>10118</v>
      </c>
      <c r="K55" s="20"/>
      <c r="L55" s="20"/>
      <c r="M55" s="20"/>
    </row>
    <row r="56" spans="1:19" outlineLevel="1" x14ac:dyDescent="0.2">
      <c r="B56" s="9" t="s">
        <v>138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0"/>
      <c r="L56" s="20"/>
      <c r="M56" s="20"/>
    </row>
    <row r="57" spans="1:19" outlineLevel="1" x14ac:dyDescent="0.2">
      <c r="B57" s="9" t="s">
        <v>41</v>
      </c>
      <c r="C57" s="27">
        <v>-132</v>
      </c>
      <c r="D57" s="27">
        <v>56</v>
      </c>
      <c r="E57" s="27">
        <v>103</v>
      </c>
      <c r="F57" s="27">
        <v>28</v>
      </c>
      <c r="G57" s="27">
        <v>186</v>
      </c>
      <c r="H57" s="27">
        <v>170</v>
      </c>
      <c r="I57" s="27">
        <v>339</v>
      </c>
      <c r="J57" s="27">
        <v>178</v>
      </c>
      <c r="K57" s="20"/>
      <c r="L57" s="20"/>
      <c r="M57" s="20"/>
    </row>
    <row r="58" spans="1:19" outlineLevel="1" x14ac:dyDescent="0.2">
      <c r="B58" s="9" t="s">
        <v>40</v>
      </c>
      <c r="C58" s="27">
        <v>36598</v>
      </c>
      <c r="D58" s="27">
        <v>45961</v>
      </c>
      <c r="E58" s="27">
        <v>53950</v>
      </c>
      <c r="F58" s="27">
        <v>68038</v>
      </c>
      <c r="G58" s="27">
        <v>72158</v>
      </c>
      <c r="H58" s="27">
        <v>88737</v>
      </c>
      <c r="I58" s="27">
        <v>107908</v>
      </c>
      <c r="J58" s="27">
        <v>146973</v>
      </c>
      <c r="K58" s="20"/>
      <c r="L58" s="20"/>
      <c r="M58" s="20"/>
    </row>
    <row r="59" spans="1:19" s="7" customFormat="1" outlineLevel="1" x14ac:dyDescent="0.2">
      <c r="B59" s="11" t="s">
        <v>42</v>
      </c>
      <c r="C59" s="52">
        <v>49142</v>
      </c>
      <c r="D59" s="52">
        <v>58157</v>
      </c>
      <c r="E59" s="52">
        <v>65899</v>
      </c>
      <c r="F59" s="52">
        <v>79327</v>
      </c>
      <c r="G59" s="52">
        <v>83843</v>
      </c>
      <c r="H59" s="52">
        <v>100131</v>
      </c>
      <c r="I59" s="52">
        <v>118897</v>
      </c>
      <c r="J59" s="52">
        <v>157293</v>
      </c>
      <c r="K59" s="21"/>
      <c r="L59" s="21"/>
      <c r="M59" s="21"/>
    </row>
    <row r="60" spans="1:19" outlineLevel="1" x14ac:dyDescent="0.2">
      <c r="B60" s="9" t="s">
        <v>115</v>
      </c>
      <c r="C60" s="27">
        <v>0</v>
      </c>
      <c r="D60" s="27">
        <v>0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0"/>
      <c r="L60" s="20"/>
      <c r="M60" s="20"/>
    </row>
    <row r="61" spans="1:19" s="8" customFormat="1" outlineLevel="1" x14ac:dyDescent="0.2">
      <c r="B61" s="12" t="s">
        <v>43</v>
      </c>
      <c r="C61" s="33">
        <f t="shared" ref="C61:I61" si="22">C59+C60</f>
        <v>49142</v>
      </c>
      <c r="D61" s="33">
        <f t="shared" si="22"/>
        <v>58157</v>
      </c>
      <c r="E61" s="33">
        <f t="shared" si="22"/>
        <v>65899</v>
      </c>
      <c r="F61" s="33">
        <f t="shared" si="22"/>
        <v>79327</v>
      </c>
      <c r="G61" s="33">
        <f t="shared" si="22"/>
        <v>83843</v>
      </c>
      <c r="H61" s="33">
        <f t="shared" si="22"/>
        <v>100131</v>
      </c>
      <c r="I61" s="33">
        <f t="shared" si="22"/>
        <v>118897</v>
      </c>
      <c r="J61" s="33">
        <f>J59+J60</f>
        <v>157293</v>
      </c>
      <c r="K61" s="33"/>
      <c r="L61" s="20"/>
      <c r="M61" s="20"/>
    </row>
    <row r="62" spans="1:19" s="13" customFormat="1" ht="17" outlineLevel="1" thickBot="1" x14ac:dyDescent="0.25">
      <c r="A62" s="7"/>
      <c r="B62" s="19" t="s">
        <v>44</v>
      </c>
      <c r="C62" s="55">
        <v>77072</v>
      </c>
      <c r="D62" s="55">
        <v>85227</v>
      </c>
      <c r="E62" s="55">
        <v>96013</v>
      </c>
      <c r="F62" s="55">
        <v>111601</v>
      </c>
      <c r="G62" s="55">
        <v>125254</v>
      </c>
      <c r="H62" s="55">
        <v>140740</v>
      </c>
      <c r="I62" s="55">
        <v>161148</v>
      </c>
      <c r="J62" s="55">
        <v>206803</v>
      </c>
      <c r="K62" s="21"/>
      <c r="L62" s="21"/>
      <c r="M62" s="21"/>
      <c r="O62" s="7"/>
      <c r="S62" s="7"/>
    </row>
    <row r="63" spans="1:19" x14ac:dyDescent="0.2">
      <c r="B63" s="1"/>
    </row>
    <row r="64" spans="1:19" s="14" customFormat="1" ht="17" thickBot="1" x14ac:dyDescent="0.25">
      <c r="A64" s="4"/>
      <c r="B64" s="15" t="s">
        <v>45</v>
      </c>
      <c r="K64" s="4"/>
      <c r="L64" s="4"/>
      <c r="M64" s="4"/>
      <c r="O64" s="4"/>
      <c r="S64" s="4"/>
    </row>
    <row r="65" spans="2:13" outlineLevel="1" x14ac:dyDescent="0.2">
      <c r="B65" s="9" t="s">
        <v>15</v>
      </c>
      <c r="C65" s="20">
        <f t="shared" ref="C65:I65" si="23">C18</f>
        <v>14881</v>
      </c>
      <c r="D65" s="20">
        <f t="shared" si="23"/>
        <v>16599</v>
      </c>
      <c r="E65" s="20">
        <f t="shared" si="23"/>
        <v>19309</v>
      </c>
      <c r="F65" s="20">
        <f t="shared" si="23"/>
        <v>22091</v>
      </c>
      <c r="G65" s="20">
        <f t="shared" si="23"/>
        <v>18775</v>
      </c>
      <c r="H65" s="20">
        <f t="shared" si="23"/>
        <v>26422</v>
      </c>
      <c r="I65" s="20">
        <f t="shared" si="23"/>
        <v>31910</v>
      </c>
      <c r="J65" s="20">
        <f t="shared" ref="J65" si="24">J18</f>
        <v>42960</v>
      </c>
      <c r="K65" s="20"/>
      <c r="L65" s="20"/>
      <c r="M65" s="20"/>
    </row>
    <row r="66" spans="2:13" outlineLevel="1" x14ac:dyDescent="0.2">
      <c r="B66" s="9" t="s">
        <v>140</v>
      </c>
      <c r="C66" s="27">
        <v>1011</v>
      </c>
      <c r="D66" s="27">
        <v>1153</v>
      </c>
      <c r="E66" s="27">
        <v>1252</v>
      </c>
      <c r="F66" s="27">
        <v>1321</v>
      </c>
      <c r="G66" s="27">
        <v>1474</v>
      </c>
      <c r="H66" s="27">
        <v>1624</v>
      </c>
      <c r="I66" s="27">
        <v>1655</v>
      </c>
      <c r="J66" s="27">
        <v>1633</v>
      </c>
      <c r="K66" s="20"/>
      <c r="L66" s="27"/>
      <c r="M66" s="20"/>
    </row>
    <row r="67" spans="2:13" outlineLevel="1" x14ac:dyDescent="0.2">
      <c r="B67" s="9" t="s">
        <v>141</v>
      </c>
      <c r="C67" s="27">
        <v>410</v>
      </c>
      <c r="D67" s="27">
        <v>433</v>
      </c>
      <c r="E67" s="27">
        <v>478</v>
      </c>
      <c r="F67" s="27">
        <v>543</v>
      </c>
      <c r="G67" s="27">
        <v>611</v>
      </c>
      <c r="H67" s="27">
        <v>668</v>
      </c>
      <c r="I67" s="27">
        <v>752</v>
      </c>
      <c r="J67" s="27">
        <v>811</v>
      </c>
      <c r="K67" s="27"/>
      <c r="L67" s="27"/>
      <c r="M67" s="20"/>
    </row>
    <row r="68" spans="2:13" outlineLevel="1" x14ac:dyDescent="0.2">
      <c r="B68" s="12" t="s">
        <v>134</v>
      </c>
      <c r="C68" s="27">
        <v>-1577</v>
      </c>
      <c r="D68" s="27">
        <v>-1699</v>
      </c>
      <c r="E68" s="27">
        <v>-602</v>
      </c>
      <c r="F68" s="27">
        <v>-598</v>
      </c>
      <c r="G68" s="27">
        <v>-2177</v>
      </c>
      <c r="H68" s="27">
        <v>18</v>
      </c>
      <c r="I68" s="27">
        <v>124</v>
      </c>
      <c r="J68" s="27">
        <v>611</v>
      </c>
      <c r="K68" s="27"/>
      <c r="L68" s="27"/>
      <c r="M68" s="20"/>
    </row>
    <row r="69" spans="2:13" outlineLevel="1" x14ac:dyDescent="0.2">
      <c r="B69" s="12" t="s">
        <v>158</v>
      </c>
      <c r="C69" s="27">
        <v>0</v>
      </c>
      <c r="D69" s="27">
        <v>0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/>
      <c r="L69" s="27"/>
      <c r="M69" s="20"/>
    </row>
    <row r="70" spans="2:13" outlineLevel="1" x14ac:dyDescent="0.2">
      <c r="B70" s="12" t="s">
        <v>156</v>
      </c>
      <c r="C70" s="27">
        <v>-69</v>
      </c>
      <c r="D70" s="27">
        <v>-195</v>
      </c>
      <c r="E70" s="27">
        <v>-37</v>
      </c>
      <c r="F70" s="27">
        <v>0</v>
      </c>
      <c r="G70" s="27">
        <v>0</v>
      </c>
      <c r="H70" s="27">
        <v>-2247</v>
      </c>
      <c r="I70" s="27">
        <v>-1354</v>
      </c>
      <c r="J70" s="27">
        <v>-5491</v>
      </c>
      <c r="K70" s="27"/>
      <c r="L70" s="27"/>
      <c r="M70" s="20"/>
    </row>
    <row r="71" spans="2:13" outlineLevel="1" x14ac:dyDescent="0.2">
      <c r="B71" s="9" t="s">
        <v>46</v>
      </c>
      <c r="C71" s="27">
        <v>0</v>
      </c>
      <c r="D71" s="27">
        <v>0</v>
      </c>
      <c r="E71" s="27">
        <v>0</v>
      </c>
      <c r="F71" s="27">
        <v>-727</v>
      </c>
      <c r="G71" s="27">
        <v>175</v>
      </c>
      <c r="H71" s="27">
        <v>0</v>
      </c>
      <c r="I71" s="27">
        <v>0</v>
      </c>
      <c r="J71" s="27">
        <v>0</v>
      </c>
      <c r="K71" s="27"/>
      <c r="L71" s="27"/>
      <c r="M71" s="20"/>
    </row>
    <row r="72" spans="2:13" outlineLevel="1" x14ac:dyDescent="0.2">
      <c r="B72" s="9" t="s">
        <v>121</v>
      </c>
      <c r="C72" s="27">
        <v>0</v>
      </c>
      <c r="D72" s="27">
        <v>0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/>
      <c r="L72" s="27"/>
      <c r="M72" s="20"/>
    </row>
    <row r="73" spans="2:13" outlineLevel="1" x14ac:dyDescent="0.2">
      <c r="B73" s="9" t="s">
        <v>142</v>
      </c>
      <c r="C73" s="27">
        <v>-145</v>
      </c>
      <c r="D73" s="27">
        <v>-143</v>
      </c>
      <c r="E73" s="27">
        <v>-79</v>
      </c>
      <c r="F73" s="27">
        <v>-138</v>
      </c>
      <c r="G73" s="27">
        <v>-98</v>
      </c>
      <c r="H73" s="27">
        <v>-100</v>
      </c>
      <c r="I73" s="27">
        <v>-80</v>
      </c>
      <c r="J73" s="27">
        <v>-9</v>
      </c>
      <c r="K73" s="27"/>
      <c r="L73" s="27"/>
      <c r="M73" s="20"/>
    </row>
    <row r="74" spans="2:13" outlineLevel="1" x14ac:dyDescent="0.2">
      <c r="B74" s="9" t="s">
        <v>163</v>
      </c>
      <c r="C74" s="27">
        <v>0</v>
      </c>
      <c r="D74" s="27">
        <v>0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/>
      <c r="L74" s="27"/>
      <c r="M74" s="20"/>
    </row>
    <row r="75" spans="2:13" outlineLevel="1" x14ac:dyDescent="0.2">
      <c r="B75" s="9" t="s">
        <v>162</v>
      </c>
      <c r="C75" s="27">
        <v>0</v>
      </c>
      <c r="D75" s="27">
        <v>0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7"/>
      <c r="L75" s="27"/>
      <c r="M75" s="20"/>
    </row>
    <row r="76" spans="2:13" outlineLevel="1" x14ac:dyDescent="0.2">
      <c r="B76" s="9" t="s">
        <v>164</v>
      </c>
      <c r="C76" s="27">
        <v>0</v>
      </c>
      <c r="D76" s="27">
        <v>0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7"/>
      <c r="L76" s="27"/>
      <c r="M76" s="20"/>
    </row>
    <row r="77" spans="2:13" outlineLevel="1" x14ac:dyDescent="0.2">
      <c r="B77" s="9" t="s">
        <v>165</v>
      </c>
      <c r="C77" s="27">
        <v>0</v>
      </c>
      <c r="D77" s="27">
        <v>0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/>
      <c r="L77" s="27"/>
      <c r="M77" s="20"/>
    </row>
    <row r="78" spans="2:13" outlineLevel="1" x14ac:dyDescent="0.2">
      <c r="B78" s="9" t="s">
        <v>47</v>
      </c>
      <c r="C78" s="27">
        <v>-2366</v>
      </c>
      <c r="D78" s="27">
        <v>-1767</v>
      </c>
      <c r="E78" s="27">
        <v>-3561</v>
      </c>
      <c r="F78" s="27">
        <v>-5370</v>
      </c>
      <c r="G78" s="27">
        <v>933</v>
      </c>
      <c r="H78" s="27">
        <v>-5675</v>
      </c>
      <c r="I78" s="27">
        <v>-5583</v>
      </c>
      <c r="J78" s="27">
        <v>-5073</v>
      </c>
      <c r="K78" s="27"/>
      <c r="L78" s="27"/>
      <c r="M78" s="20"/>
    </row>
    <row r="79" spans="2:13" outlineLevel="1" x14ac:dyDescent="0.2">
      <c r="B79" s="9" t="s">
        <v>48</v>
      </c>
      <c r="C79" s="27">
        <v>-577</v>
      </c>
      <c r="D79" s="27">
        <v>-803</v>
      </c>
      <c r="E79" s="27">
        <v>-978</v>
      </c>
      <c r="F79" s="27">
        <v>-2424</v>
      </c>
      <c r="G79" s="27">
        <v>-1258</v>
      </c>
      <c r="H79" s="27">
        <v>-3622</v>
      </c>
      <c r="I79" s="27">
        <v>-4823</v>
      </c>
      <c r="J79" s="27">
        <v>-1621</v>
      </c>
      <c r="K79" s="27"/>
      <c r="L79" s="27"/>
      <c r="M79" s="20"/>
    </row>
    <row r="80" spans="2:13" outlineLevel="1" x14ac:dyDescent="0.2">
      <c r="B80" s="9" t="s">
        <v>143</v>
      </c>
      <c r="C80" s="27">
        <v>-726</v>
      </c>
      <c r="D80" s="27">
        <v>714</v>
      </c>
      <c r="E80" s="27">
        <v>-714</v>
      </c>
      <c r="F80" s="27">
        <v>331</v>
      </c>
      <c r="G80" s="27">
        <v>560</v>
      </c>
      <c r="H80" s="27">
        <v>387</v>
      </c>
      <c r="I80" s="27">
        <v>-89</v>
      </c>
      <c r="J80" s="27">
        <v>-281</v>
      </c>
      <c r="K80" s="27"/>
      <c r="L80" s="27"/>
      <c r="M80" s="20"/>
    </row>
    <row r="81" spans="1:19" outlineLevel="1" x14ac:dyDescent="0.2">
      <c r="B81" s="9" t="s">
        <v>49</v>
      </c>
      <c r="C81" s="27">
        <v>-22</v>
      </c>
      <c r="D81" s="27">
        <v>823</v>
      </c>
      <c r="E81" s="27">
        <v>1689</v>
      </c>
      <c r="F81" s="27">
        <v>867</v>
      </c>
      <c r="G81" s="27">
        <v>941</v>
      </c>
      <c r="H81" s="27">
        <v>1314</v>
      </c>
      <c r="I81" s="27">
        <v>-223</v>
      </c>
      <c r="J81" s="27">
        <v>1064</v>
      </c>
      <c r="K81" s="27"/>
      <c r="L81" s="27"/>
      <c r="M81" s="20"/>
    </row>
    <row r="82" spans="1:19" outlineLevel="1" x14ac:dyDescent="0.2">
      <c r="B82" s="9" t="s">
        <v>144</v>
      </c>
      <c r="C82" s="27">
        <v>4202</v>
      </c>
      <c r="D82" s="27">
        <v>-888</v>
      </c>
      <c r="E82" s="27">
        <v>606</v>
      </c>
      <c r="F82" s="27">
        <v>360</v>
      </c>
      <c r="G82" s="27">
        <v>7128</v>
      </c>
      <c r="H82" s="27">
        <v>-4053</v>
      </c>
      <c r="I82" s="27">
        <v>1129</v>
      </c>
      <c r="J82" s="27">
        <v>1053</v>
      </c>
      <c r="K82" s="27"/>
      <c r="L82" s="27"/>
      <c r="M82" s="20"/>
    </row>
    <row r="83" spans="1:19" outlineLevel="1" x14ac:dyDescent="0.2">
      <c r="B83" s="9" t="s">
        <v>145</v>
      </c>
      <c r="C83" s="27">
        <v>323</v>
      </c>
      <c r="D83" s="27">
        <v>261</v>
      </c>
      <c r="E83" s="27">
        <v>266</v>
      </c>
      <c r="F83" s="27">
        <v>372</v>
      </c>
      <c r="G83" s="27">
        <v>350</v>
      </c>
      <c r="H83" s="27">
        <v>629</v>
      </c>
      <c r="I83" s="27">
        <v>332</v>
      </c>
      <c r="J83" s="27">
        <v>533</v>
      </c>
      <c r="K83" s="27"/>
      <c r="L83" s="27"/>
      <c r="M83" s="20"/>
    </row>
    <row r="84" spans="1:19" s="18" customFormat="1" outlineLevel="1" x14ac:dyDescent="0.2">
      <c r="A84" s="7"/>
      <c r="B84" s="17" t="s">
        <v>50</v>
      </c>
      <c r="C84" s="48">
        <v>15345</v>
      </c>
      <c r="D84" s="48">
        <v>14488</v>
      </c>
      <c r="E84" s="48">
        <v>17629</v>
      </c>
      <c r="F84" s="48">
        <v>16628</v>
      </c>
      <c r="G84" s="48">
        <v>27414</v>
      </c>
      <c r="H84" s="48">
        <v>15365</v>
      </c>
      <c r="I84" s="48">
        <v>23750</v>
      </c>
      <c r="J84" s="48">
        <v>36190</v>
      </c>
      <c r="K84" s="32"/>
      <c r="L84" s="32"/>
      <c r="M84" s="21"/>
      <c r="O84" s="7"/>
      <c r="S84" s="7"/>
    </row>
    <row r="85" spans="1:19" outlineLevel="1" x14ac:dyDescent="0.2">
      <c r="B85" s="9" t="s">
        <v>146</v>
      </c>
      <c r="C85" s="27">
        <v>4004</v>
      </c>
      <c r="D85" s="27">
        <v>4094</v>
      </c>
      <c r="E85" s="27">
        <v>1386</v>
      </c>
      <c r="F85" s="27">
        <v>1710</v>
      </c>
      <c r="G85" s="27">
        <v>3122</v>
      </c>
      <c r="H85" s="27">
        <v>3130</v>
      </c>
      <c r="I85" s="27">
        <v>2728</v>
      </c>
      <c r="J85" s="27">
        <v>2246</v>
      </c>
      <c r="K85" s="27"/>
      <c r="L85" s="27"/>
      <c r="M85" s="20"/>
    </row>
    <row r="86" spans="1:19" outlineLevel="1" x14ac:dyDescent="0.2">
      <c r="B86" s="9" t="s">
        <v>147</v>
      </c>
      <c r="C86" s="27">
        <v>149</v>
      </c>
      <c r="D86" s="27">
        <v>15</v>
      </c>
      <c r="E86" s="27">
        <v>154</v>
      </c>
      <c r="F86" s="27">
        <v>177</v>
      </c>
      <c r="G86" s="27">
        <v>467</v>
      </c>
      <c r="H86" s="27">
        <v>20</v>
      </c>
      <c r="I86" s="27">
        <v>0</v>
      </c>
      <c r="J86" s="27">
        <v>14670</v>
      </c>
      <c r="K86" s="27"/>
      <c r="L86" s="27"/>
      <c r="M86" s="20"/>
    </row>
    <row r="87" spans="1:19" outlineLevel="1" x14ac:dyDescent="0.2">
      <c r="B87" s="9" t="s">
        <v>148</v>
      </c>
      <c r="C87" s="27">
        <v>0</v>
      </c>
      <c r="D87" s="27">
        <v>0</v>
      </c>
      <c r="E87" s="27">
        <v>0</v>
      </c>
      <c r="F87" s="27">
        <v>0</v>
      </c>
      <c r="G87" s="27">
        <v>0</v>
      </c>
      <c r="H87" s="27">
        <v>70</v>
      </c>
      <c r="I87" s="27">
        <v>2</v>
      </c>
      <c r="J87" s="27">
        <v>12</v>
      </c>
      <c r="K87" s="27"/>
      <c r="L87" s="27"/>
      <c r="M87" s="20"/>
    </row>
    <row r="88" spans="1:19" outlineLevel="1" x14ac:dyDescent="0.2">
      <c r="B88" s="9" t="s">
        <v>149</v>
      </c>
      <c r="C88" s="27">
        <v>-9303</v>
      </c>
      <c r="D88" s="27">
        <v>-5744</v>
      </c>
      <c r="E88" s="27">
        <v>-4518</v>
      </c>
      <c r="F88" s="27">
        <v>-7010</v>
      </c>
      <c r="G88" s="27">
        <v>-6546</v>
      </c>
      <c r="H88" s="27">
        <v>-7812</v>
      </c>
      <c r="I88" s="27">
        <v>-5718</v>
      </c>
      <c r="J88" s="27">
        <v>-20540</v>
      </c>
      <c r="K88" s="27"/>
      <c r="L88" s="27"/>
      <c r="M88" s="20"/>
    </row>
    <row r="89" spans="1:19" outlineLevel="1" x14ac:dyDescent="0.2">
      <c r="B89" s="9" t="s">
        <v>51</v>
      </c>
      <c r="C89" s="27">
        <v>-369</v>
      </c>
      <c r="D89" s="27">
        <v>-977</v>
      </c>
      <c r="E89" s="27">
        <v>-813</v>
      </c>
      <c r="F89" s="27">
        <v>-1077</v>
      </c>
      <c r="G89" s="27">
        <v>-1227</v>
      </c>
      <c r="H89" s="27">
        <v>-1894</v>
      </c>
      <c r="I89" s="27">
        <v>-1637</v>
      </c>
      <c r="J89" s="27">
        <v>-1284</v>
      </c>
      <c r="K89" s="27"/>
      <c r="L89" s="27"/>
      <c r="M89" s="20"/>
    </row>
    <row r="90" spans="1:19" outlineLevel="1" x14ac:dyDescent="0.2">
      <c r="B90" s="9" t="s">
        <v>150</v>
      </c>
      <c r="C90" s="27">
        <v>0</v>
      </c>
      <c r="D90" s="27">
        <v>0</v>
      </c>
      <c r="E90" s="27">
        <v>0</v>
      </c>
      <c r="F90" s="27">
        <v>-478</v>
      </c>
      <c r="G90" s="27">
        <v>-649</v>
      </c>
      <c r="H90" s="27">
        <v>-346</v>
      </c>
      <c r="I90" s="27">
        <v>-3706</v>
      </c>
      <c r="J90" s="27">
        <v>-12800</v>
      </c>
      <c r="K90" s="27"/>
      <c r="L90" s="27"/>
      <c r="M90" s="20"/>
    </row>
    <row r="91" spans="1:19" outlineLevel="1" x14ac:dyDescent="0.2">
      <c r="B91" s="9" t="s">
        <v>159</v>
      </c>
      <c r="C91" s="27">
        <v>-135</v>
      </c>
      <c r="D91" s="27">
        <v>-294</v>
      </c>
      <c r="E91" s="27">
        <v>-407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/>
      <c r="L91" s="27"/>
      <c r="M91" s="20"/>
    </row>
    <row r="92" spans="1:19" outlineLevel="1" x14ac:dyDescent="0.2">
      <c r="B92" s="9" t="s">
        <v>151</v>
      </c>
      <c r="C92" s="27">
        <v>-39</v>
      </c>
      <c r="D92" s="27">
        <v>-278</v>
      </c>
      <c r="E92" s="27">
        <v>-147</v>
      </c>
      <c r="F92" s="27">
        <v>-542</v>
      </c>
      <c r="G92" s="27">
        <v>-383</v>
      </c>
      <c r="H92" s="27">
        <v>-294</v>
      </c>
      <c r="I92" s="27">
        <v>-694</v>
      </c>
      <c r="J92" s="27">
        <v>-165</v>
      </c>
      <c r="K92" s="27"/>
      <c r="L92" s="27"/>
      <c r="M92" s="20"/>
    </row>
    <row r="93" spans="1:19" outlineLevel="1" x14ac:dyDescent="0.2">
      <c r="B93" s="9" t="s">
        <v>160</v>
      </c>
      <c r="C93" s="27">
        <v>0</v>
      </c>
      <c r="D93" s="27">
        <v>0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/>
      <c r="L93" s="27"/>
      <c r="M93" s="20"/>
    </row>
    <row r="94" spans="1:19" outlineLevel="1" x14ac:dyDescent="0.2">
      <c r="B94" s="9" t="s">
        <v>142</v>
      </c>
      <c r="C94" s="27">
        <v>0</v>
      </c>
      <c r="D94" s="27">
        <v>0</v>
      </c>
      <c r="E94" s="27">
        <v>0</v>
      </c>
      <c r="F94" s="27">
        <v>22</v>
      </c>
      <c r="G94" s="27">
        <v>0</v>
      </c>
      <c r="H94" s="27">
        <v>0</v>
      </c>
      <c r="I94" s="27">
        <v>0</v>
      </c>
      <c r="J94" s="27">
        <v>-13000</v>
      </c>
      <c r="K94" s="27"/>
      <c r="L94" s="27"/>
      <c r="M94" s="20"/>
    </row>
    <row r="95" spans="1:19" s="18" customFormat="1" outlineLevel="1" x14ac:dyDescent="0.2">
      <c r="A95" s="7"/>
      <c r="B95" s="17" t="s">
        <v>52</v>
      </c>
      <c r="C95" s="48">
        <v>-5693</v>
      </c>
      <c r="D95" s="48">
        <v>-3184</v>
      </c>
      <c r="E95" s="48">
        <v>-4345</v>
      </c>
      <c r="F95" s="48">
        <v>-7198</v>
      </c>
      <c r="G95" s="48">
        <v>-5216</v>
      </c>
      <c r="H95" s="48">
        <v>-7126</v>
      </c>
      <c r="I95" s="48">
        <v>-9025</v>
      </c>
      <c r="J95" s="48">
        <v>-30861</v>
      </c>
      <c r="K95" s="32"/>
      <c r="L95" s="32"/>
      <c r="M95" s="21"/>
      <c r="O95" s="7"/>
      <c r="S95" s="7"/>
    </row>
    <row r="96" spans="1:19" outlineLevel="1" x14ac:dyDescent="0.2">
      <c r="B96" s="12" t="s">
        <v>157</v>
      </c>
      <c r="C96" s="27">
        <v>0</v>
      </c>
      <c r="D96" s="27">
        <v>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/>
      <c r="L96" s="27"/>
      <c r="M96" s="20"/>
    </row>
    <row r="97" spans="1:19" outlineLevel="1" x14ac:dyDescent="0.2">
      <c r="B97" s="9" t="s">
        <v>152</v>
      </c>
      <c r="C97" s="27">
        <v>285</v>
      </c>
      <c r="D97" s="27">
        <v>0</v>
      </c>
      <c r="E97" s="27">
        <v>204</v>
      </c>
      <c r="F97" s="27">
        <v>0</v>
      </c>
      <c r="G97" s="27">
        <v>370</v>
      </c>
      <c r="H97" s="27">
        <v>0</v>
      </c>
      <c r="I97" s="27">
        <v>274</v>
      </c>
      <c r="J97" s="27">
        <v>0</v>
      </c>
      <c r="K97" s="27"/>
      <c r="L97" s="27"/>
      <c r="M97" s="20"/>
    </row>
    <row r="98" spans="1:19" outlineLevel="1" x14ac:dyDescent="0.2">
      <c r="B98" s="9" t="s">
        <v>116</v>
      </c>
      <c r="C98" s="27">
        <v>-7740</v>
      </c>
      <c r="D98" s="27">
        <v>-7158</v>
      </c>
      <c r="E98" s="27">
        <v>-10998</v>
      </c>
      <c r="F98" s="27">
        <v>-7810</v>
      </c>
      <c r="G98" s="27">
        <v>-14095</v>
      </c>
      <c r="H98" s="27">
        <v>-9721</v>
      </c>
      <c r="I98" s="27">
        <v>-12456</v>
      </c>
      <c r="J98" s="27">
        <v>-3815</v>
      </c>
      <c r="K98" s="27"/>
      <c r="L98" s="27"/>
      <c r="M98" s="20"/>
    </row>
    <row r="99" spans="1:19" outlineLevel="1" x14ac:dyDescent="0.2">
      <c r="B99" s="9" t="s">
        <v>176</v>
      </c>
      <c r="C99" s="27">
        <v>0</v>
      </c>
      <c r="D99" s="27">
        <v>0</v>
      </c>
      <c r="E99" s="27">
        <v>0</v>
      </c>
      <c r="F99" s="27">
        <v>0</v>
      </c>
      <c r="G99" s="27">
        <v>-1532</v>
      </c>
      <c r="H99" s="27">
        <v>-1848</v>
      </c>
      <c r="I99" s="27">
        <v>-2429</v>
      </c>
      <c r="J99" s="27">
        <v>-2139</v>
      </c>
      <c r="K99" s="27"/>
      <c r="L99" s="27"/>
      <c r="M99" s="20"/>
    </row>
    <row r="100" spans="1:19" outlineLevel="1" x14ac:dyDescent="0.2">
      <c r="B100" s="9" t="s">
        <v>153</v>
      </c>
      <c r="C100" s="27">
        <v>-1752</v>
      </c>
      <c r="D100" s="27">
        <v>-1637</v>
      </c>
      <c r="E100" s="27">
        <v>-1680</v>
      </c>
      <c r="F100" s="27">
        <v>-1861</v>
      </c>
      <c r="G100" s="27">
        <v>0</v>
      </c>
      <c r="H100" s="27">
        <v>0</v>
      </c>
      <c r="I100" s="27">
        <v>0</v>
      </c>
      <c r="J100" s="27">
        <v>0</v>
      </c>
      <c r="K100" s="27"/>
      <c r="L100" s="27"/>
      <c r="M100" s="20"/>
    </row>
    <row r="101" spans="1:19" outlineLevel="1" x14ac:dyDescent="0.2">
      <c r="B101" s="9" t="s">
        <v>161</v>
      </c>
      <c r="C101" s="27">
        <v>0</v>
      </c>
      <c r="D101" s="27">
        <v>0</v>
      </c>
      <c r="E101" s="27">
        <v>0</v>
      </c>
      <c r="F101" s="27">
        <v>0</v>
      </c>
      <c r="G101" s="27">
        <v>0</v>
      </c>
      <c r="H101" s="27">
        <v>0</v>
      </c>
      <c r="I101" s="27">
        <v>0</v>
      </c>
      <c r="J101" s="27">
        <v>0</v>
      </c>
      <c r="K101" s="27"/>
      <c r="L101" s="27"/>
      <c r="M101" s="20"/>
    </row>
    <row r="102" spans="1:19" outlineLevel="1" x14ac:dyDescent="0.2">
      <c r="B102" s="9" t="s">
        <v>154</v>
      </c>
      <c r="C102" s="27">
        <v>0</v>
      </c>
      <c r="D102" s="27">
        <v>-1250</v>
      </c>
      <c r="E102" s="27">
        <v>0</v>
      </c>
      <c r="F102" s="27">
        <v>0</v>
      </c>
      <c r="G102" s="27">
        <v>0</v>
      </c>
      <c r="H102" s="27">
        <v>0</v>
      </c>
      <c r="I102" s="27">
        <v>0</v>
      </c>
      <c r="J102" s="27">
        <v>0</v>
      </c>
      <c r="K102" s="27"/>
      <c r="L102" s="27"/>
      <c r="M102" s="20"/>
    </row>
    <row r="103" spans="1:19" outlineLevel="1" x14ac:dyDescent="0.2">
      <c r="B103" s="9" t="s">
        <v>53</v>
      </c>
      <c r="C103" s="27">
        <v>-98</v>
      </c>
      <c r="D103" s="27">
        <v>-246</v>
      </c>
      <c r="E103" s="27">
        <v>-245</v>
      </c>
      <c r="F103" s="27">
        <v>-245</v>
      </c>
      <c r="G103" s="27">
        <v>-244</v>
      </c>
      <c r="H103" s="27">
        <v>-244</v>
      </c>
      <c r="I103" s="27">
        <v>-243</v>
      </c>
      <c r="J103" s="27">
        <v>-243</v>
      </c>
      <c r="K103" s="27"/>
      <c r="L103" s="27"/>
      <c r="M103" s="20"/>
    </row>
    <row r="104" spans="1:19" outlineLevel="1" x14ac:dyDescent="0.2">
      <c r="B104" s="9" t="s">
        <v>155</v>
      </c>
      <c r="C104" s="27">
        <v>-40</v>
      </c>
      <c r="D104" s="27">
        <v>-29</v>
      </c>
      <c r="E104" s="27">
        <v>-29</v>
      </c>
      <c r="F104" s="27">
        <v>-32</v>
      </c>
      <c r="G104" s="27">
        <v>-52</v>
      </c>
      <c r="H104" s="27">
        <v>-21</v>
      </c>
      <c r="I104" s="27">
        <v>-24</v>
      </c>
      <c r="J104" s="27">
        <v>-4</v>
      </c>
      <c r="K104" s="27"/>
      <c r="L104" s="27"/>
      <c r="M104" s="20"/>
    </row>
    <row r="105" spans="1:19" outlineLevel="1" x14ac:dyDescent="0.2">
      <c r="B105" s="9" t="s">
        <v>142</v>
      </c>
      <c r="C105" s="27">
        <v>0</v>
      </c>
      <c r="D105" s="27">
        <v>0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-9</v>
      </c>
      <c r="K105" s="27"/>
      <c r="L105" s="27"/>
      <c r="M105" s="20"/>
    </row>
    <row r="106" spans="1:19" s="18" customFormat="1" outlineLevel="1" x14ac:dyDescent="0.2">
      <c r="A106" s="7"/>
      <c r="B106" s="17" t="s">
        <v>54</v>
      </c>
      <c r="C106" s="48">
        <v>-9345</v>
      </c>
      <c r="D106" s="48">
        <v>-10320</v>
      </c>
      <c r="E106" s="48">
        <v>-12748</v>
      </c>
      <c r="F106" s="48">
        <v>-9948</v>
      </c>
      <c r="G106" s="48">
        <v>-15553</v>
      </c>
      <c r="H106" s="48">
        <v>-11834</v>
      </c>
      <c r="I106" s="48">
        <v>-14878</v>
      </c>
      <c r="J106" s="48">
        <v>-6210</v>
      </c>
      <c r="K106" s="32"/>
      <c r="L106" s="32"/>
      <c r="M106" s="21"/>
      <c r="O106" s="7"/>
      <c r="S106" s="7"/>
    </row>
    <row r="107" spans="1:19" outlineLevel="1" x14ac:dyDescent="0.2">
      <c r="B107" s="9" t="s">
        <v>55</v>
      </c>
      <c r="C107" s="27">
        <v>0</v>
      </c>
      <c r="D107" s="27">
        <v>0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0</v>
      </c>
      <c r="K107" s="27"/>
      <c r="L107" s="27"/>
      <c r="M107" s="20"/>
    </row>
    <row r="108" spans="1:19" s="7" customFormat="1" outlineLevel="1" x14ac:dyDescent="0.2">
      <c r="B108" s="11" t="s">
        <v>56</v>
      </c>
      <c r="C108" s="52">
        <v>307</v>
      </c>
      <c r="D108" s="52">
        <v>984</v>
      </c>
      <c r="E108" s="52">
        <v>536</v>
      </c>
      <c r="F108" s="52">
        <v>-518</v>
      </c>
      <c r="G108" s="52">
        <v>6645</v>
      </c>
      <c r="H108" s="52">
        <v>-3595</v>
      </c>
      <c r="I108" s="52">
        <v>-153</v>
      </c>
      <c r="J108" s="52">
        <v>-881</v>
      </c>
      <c r="K108" s="32"/>
      <c r="L108" s="32"/>
      <c r="M108" s="21"/>
    </row>
    <row r="109" spans="1:19" s="7" customFormat="1" outlineLevel="1" x14ac:dyDescent="0.2">
      <c r="B109" s="11" t="s">
        <v>57</v>
      </c>
      <c r="C109" s="52">
        <v>7280</v>
      </c>
      <c r="D109" s="52">
        <v>7587</v>
      </c>
      <c r="E109" s="52">
        <v>8571</v>
      </c>
      <c r="F109" s="52">
        <v>9107</v>
      </c>
      <c r="G109" s="52">
        <v>8589</v>
      </c>
      <c r="H109" s="52">
        <v>15234</v>
      </c>
      <c r="I109" s="52">
        <v>11639</v>
      </c>
      <c r="J109" s="52">
        <v>11486</v>
      </c>
      <c r="K109" s="21"/>
      <c r="L109" s="21"/>
      <c r="M109" s="21"/>
    </row>
    <row r="110" spans="1:19" s="13" customFormat="1" ht="17" outlineLevel="1" thickBot="1" x14ac:dyDescent="0.25">
      <c r="A110" s="7"/>
      <c r="B110" s="19" t="s">
        <v>58</v>
      </c>
      <c r="C110" s="48">
        <v>7587</v>
      </c>
      <c r="D110" s="48">
        <v>8571</v>
      </c>
      <c r="E110" s="48">
        <v>9107</v>
      </c>
      <c r="F110" s="48">
        <v>8589</v>
      </c>
      <c r="G110" s="48">
        <v>15234</v>
      </c>
      <c r="H110" s="48">
        <v>11639</v>
      </c>
      <c r="I110" s="48">
        <v>11486</v>
      </c>
      <c r="J110" s="48">
        <v>10605</v>
      </c>
      <c r="K110" s="21"/>
      <c r="L110" s="21"/>
      <c r="M110" s="21"/>
      <c r="O110" s="7"/>
      <c r="S110" s="7"/>
    </row>
    <row r="111" spans="1:19" x14ac:dyDescent="0.2">
      <c r="B111" s="1"/>
    </row>
    <row r="112" spans="1:19" s="14" customFormat="1" ht="17" thickBot="1" x14ac:dyDescent="0.25">
      <c r="A112" s="4"/>
      <c r="B112" s="15" t="s">
        <v>59</v>
      </c>
      <c r="K112" s="4"/>
      <c r="L112" s="4"/>
      <c r="M112" s="4"/>
      <c r="O112" s="4"/>
      <c r="S112" s="4"/>
    </row>
    <row r="113" spans="1:19" hidden="1" outlineLevel="2" x14ac:dyDescent="0.2">
      <c r="B113" s="9" t="s">
        <v>60</v>
      </c>
      <c r="C113" s="20">
        <f t="shared" ref="C113:I113" si="25">C5-C6-C11+C13+C14-C15+C17</f>
        <v>14881</v>
      </c>
      <c r="D113" s="20">
        <f t="shared" si="25"/>
        <v>16599</v>
      </c>
      <c r="E113" s="20">
        <f t="shared" si="25"/>
        <v>19309</v>
      </c>
      <c r="F113" s="20">
        <f t="shared" si="25"/>
        <v>22091</v>
      </c>
      <c r="G113" s="20">
        <f t="shared" si="25"/>
        <v>18775</v>
      </c>
      <c r="H113" s="20">
        <f t="shared" si="25"/>
        <v>26422</v>
      </c>
      <c r="I113" s="20">
        <f t="shared" si="25"/>
        <v>31910</v>
      </c>
      <c r="J113" s="20">
        <f t="shared" ref="J113" si="26">J5-J6-J11+J13+J14-J15+J17</f>
        <v>42960</v>
      </c>
      <c r="K113" s="20"/>
      <c r="L113" s="20"/>
      <c r="M113" s="20"/>
    </row>
    <row r="114" spans="1:19" s="18" customFormat="1" outlineLevel="1" collapsed="1" x14ac:dyDescent="0.2">
      <c r="A114" s="7"/>
      <c r="B114" s="17" t="s">
        <v>61</v>
      </c>
      <c r="C114" s="24">
        <f t="shared" ref="C114:I114" si="27">C18-C113</f>
        <v>0</v>
      </c>
      <c r="D114" s="24">
        <f t="shared" si="27"/>
        <v>0</v>
      </c>
      <c r="E114" s="24">
        <f t="shared" si="27"/>
        <v>0</v>
      </c>
      <c r="F114" s="24">
        <f t="shared" si="27"/>
        <v>0</v>
      </c>
      <c r="G114" s="24">
        <f t="shared" si="27"/>
        <v>0</v>
      </c>
      <c r="H114" s="24">
        <f t="shared" si="27"/>
        <v>0</v>
      </c>
      <c r="I114" s="24">
        <f t="shared" si="27"/>
        <v>0</v>
      </c>
      <c r="J114" s="24">
        <f t="shared" ref="J114" si="28">J18-J113</f>
        <v>0</v>
      </c>
      <c r="K114" s="26"/>
      <c r="L114" s="26"/>
      <c r="M114" s="26"/>
      <c r="O114" s="7"/>
      <c r="S114" s="7"/>
    </row>
    <row r="115" spans="1:19" hidden="1" outlineLevel="2" x14ac:dyDescent="0.2">
      <c r="B115" s="9" t="s">
        <v>62</v>
      </c>
      <c r="C115" s="20">
        <f t="shared" ref="C115:I115" si="29">SUM(C29:C33)+SUM(C35:C40)</f>
        <v>77072</v>
      </c>
      <c r="D115" s="20">
        <f t="shared" si="29"/>
        <v>85227</v>
      </c>
      <c r="E115" s="20">
        <f t="shared" si="29"/>
        <v>96013</v>
      </c>
      <c r="F115" s="20">
        <f t="shared" si="29"/>
        <v>111601</v>
      </c>
      <c r="G115" s="20">
        <f t="shared" si="29"/>
        <v>125254</v>
      </c>
      <c r="H115" s="20">
        <f t="shared" si="29"/>
        <v>140740</v>
      </c>
      <c r="I115" s="20">
        <f t="shared" si="29"/>
        <v>161148</v>
      </c>
      <c r="J115" s="20">
        <f t="shared" ref="J115" si="30">SUM(J29:J33)+SUM(J35:J40)</f>
        <v>206803</v>
      </c>
      <c r="K115" s="20"/>
      <c r="L115" s="20"/>
      <c r="M115" s="20"/>
    </row>
    <row r="116" spans="1:19" s="7" customFormat="1" outlineLevel="1" collapsed="1" x14ac:dyDescent="0.2">
      <c r="B116" s="11" t="s">
        <v>63</v>
      </c>
      <c r="C116" s="23">
        <f t="shared" ref="C116:I116" si="31">C42-C115</f>
        <v>0</v>
      </c>
      <c r="D116" s="23">
        <f t="shared" si="31"/>
        <v>0</v>
      </c>
      <c r="E116" s="23">
        <f t="shared" si="31"/>
        <v>0</v>
      </c>
      <c r="F116" s="23">
        <f t="shared" si="31"/>
        <v>0</v>
      </c>
      <c r="G116" s="23">
        <f t="shared" si="31"/>
        <v>0</v>
      </c>
      <c r="H116" s="23">
        <f t="shared" si="31"/>
        <v>0</v>
      </c>
      <c r="I116" s="23">
        <f t="shared" si="31"/>
        <v>0</v>
      </c>
      <c r="J116" s="23">
        <f t="shared" ref="J116" si="32">J42-J115</f>
        <v>0</v>
      </c>
      <c r="K116" s="26"/>
      <c r="L116" s="26"/>
      <c r="M116" s="26"/>
    </row>
    <row r="117" spans="1:19" hidden="1" outlineLevel="2" x14ac:dyDescent="0.2">
      <c r="B117" s="9" t="s">
        <v>64</v>
      </c>
      <c r="C117" s="20">
        <f t="shared" ref="C117:I117" si="33">SUM(C43:C45)+SUM(C47:C50)</f>
        <v>27930</v>
      </c>
      <c r="D117" s="20">
        <f t="shared" si="33"/>
        <v>27070</v>
      </c>
      <c r="E117" s="20">
        <f t="shared" si="33"/>
        <v>30114</v>
      </c>
      <c r="F117" s="20">
        <f t="shared" si="33"/>
        <v>32274</v>
      </c>
      <c r="G117" s="20">
        <f t="shared" si="33"/>
        <v>41411</v>
      </c>
      <c r="H117" s="20">
        <f t="shared" si="33"/>
        <v>40609</v>
      </c>
      <c r="I117" s="20">
        <f t="shared" si="33"/>
        <v>42251</v>
      </c>
      <c r="J117" s="20">
        <f t="shared" ref="J117" si="34">SUM(J43:J45)+SUM(J47:J50)</f>
        <v>49510</v>
      </c>
      <c r="K117" s="20"/>
      <c r="L117" s="20"/>
      <c r="M117" s="20"/>
    </row>
    <row r="118" spans="1:19" s="7" customFormat="1" outlineLevel="1" collapsed="1" x14ac:dyDescent="0.2">
      <c r="B118" s="11" t="s">
        <v>65</v>
      </c>
      <c r="C118" s="23">
        <f t="shared" ref="C118:I118" si="35">C52-C117</f>
        <v>0</v>
      </c>
      <c r="D118" s="23">
        <f t="shared" si="35"/>
        <v>0</v>
      </c>
      <c r="E118" s="23">
        <f t="shared" si="35"/>
        <v>0</v>
      </c>
      <c r="F118" s="23">
        <f t="shared" si="35"/>
        <v>0</v>
      </c>
      <c r="G118" s="23">
        <f t="shared" si="35"/>
        <v>0</v>
      </c>
      <c r="H118" s="23">
        <f t="shared" si="35"/>
        <v>0</v>
      </c>
      <c r="I118" s="23">
        <f t="shared" si="35"/>
        <v>0</v>
      </c>
      <c r="J118" s="23">
        <f t="shared" ref="J118" si="36">J52-J117</f>
        <v>0</v>
      </c>
      <c r="K118" s="26"/>
      <c r="L118" s="26"/>
      <c r="M118" s="26"/>
    </row>
    <row r="119" spans="1:19" hidden="1" outlineLevel="2" x14ac:dyDescent="0.2">
      <c r="B119" s="9" t="s">
        <v>66</v>
      </c>
      <c r="C119" s="20">
        <f t="shared" ref="C119:I119" si="37">SUM(C53:C58)+C60</f>
        <v>49142</v>
      </c>
      <c r="D119" s="20">
        <f t="shared" si="37"/>
        <v>58157</v>
      </c>
      <c r="E119" s="20">
        <f t="shared" si="37"/>
        <v>65899</v>
      </c>
      <c r="F119" s="20">
        <f t="shared" si="37"/>
        <v>79327</v>
      </c>
      <c r="G119" s="20">
        <f t="shared" si="37"/>
        <v>83843</v>
      </c>
      <c r="H119" s="20">
        <f t="shared" si="37"/>
        <v>100131</v>
      </c>
      <c r="I119" s="20">
        <f t="shared" si="37"/>
        <v>118897</v>
      </c>
      <c r="J119" s="20">
        <f t="shared" ref="J119" si="38">SUM(J53:J58)+J60</f>
        <v>157293</v>
      </c>
      <c r="K119" s="20"/>
      <c r="L119" s="20"/>
      <c r="M119" s="20"/>
    </row>
    <row r="120" spans="1:19" s="7" customFormat="1" outlineLevel="1" collapsed="1" x14ac:dyDescent="0.2">
      <c r="B120" s="11" t="s">
        <v>67</v>
      </c>
      <c r="C120" s="23">
        <f t="shared" ref="C120:I120" si="39">C61-C119</f>
        <v>0</v>
      </c>
      <c r="D120" s="23">
        <f t="shared" si="39"/>
        <v>0</v>
      </c>
      <c r="E120" s="23">
        <f t="shared" si="39"/>
        <v>0</v>
      </c>
      <c r="F120" s="23">
        <f t="shared" si="39"/>
        <v>0</v>
      </c>
      <c r="G120" s="23">
        <f t="shared" si="39"/>
        <v>0</v>
      </c>
      <c r="H120" s="23">
        <f t="shared" si="39"/>
        <v>0</v>
      </c>
      <c r="I120" s="23">
        <f t="shared" si="39"/>
        <v>0</v>
      </c>
      <c r="J120" s="23">
        <f t="shared" ref="J120" si="40">J61-J119</f>
        <v>0</v>
      </c>
      <c r="K120" s="26"/>
      <c r="L120" s="26"/>
      <c r="M120" s="26"/>
    </row>
    <row r="121" spans="1:19" s="18" customFormat="1" outlineLevel="1" x14ac:dyDescent="0.2">
      <c r="A121" s="7"/>
      <c r="B121" s="17" t="s">
        <v>77</v>
      </c>
      <c r="C121" s="22">
        <f t="shared" ref="C121:I121" si="41">C42-(C52+C61)</f>
        <v>0</v>
      </c>
      <c r="D121" s="22">
        <f t="shared" si="41"/>
        <v>0</v>
      </c>
      <c r="E121" s="22">
        <f t="shared" si="41"/>
        <v>0</v>
      </c>
      <c r="F121" s="22">
        <f t="shared" si="41"/>
        <v>0</v>
      </c>
      <c r="G121" s="22">
        <f t="shared" si="41"/>
        <v>0</v>
      </c>
      <c r="H121" s="22">
        <f t="shared" si="41"/>
        <v>0</v>
      </c>
      <c r="I121" s="22">
        <f t="shared" si="41"/>
        <v>0</v>
      </c>
      <c r="J121" s="22">
        <f t="shared" ref="J121" si="42">J42-(J52+J61)</f>
        <v>0</v>
      </c>
      <c r="K121" s="26"/>
      <c r="L121" s="26"/>
      <c r="M121" s="26"/>
      <c r="O121" s="7"/>
      <c r="S121" s="7"/>
    </row>
    <row r="122" spans="1:19" hidden="1" outlineLevel="2" x14ac:dyDescent="0.2">
      <c r="B122" s="9" t="s">
        <v>68</v>
      </c>
      <c r="C122" s="20">
        <f t="shared" ref="C122:I122" si="43">SUM(C65:C83)</f>
        <v>15345</v>
      </c>
      <c r="D122" s="20">
        <f t="shared" si="43"/>
        <v>14488</v>
      </c>
      <c r="E122" s="20">
        <f t="shared" si="43"/>
        <v>17629</v>
      </c>
      <c r="F122" s="20">
        <f t="shared" si="43"/>
        <v>16628</v>
      </c>
      <c r="G122" s="20">
        <f t="shared" si="43"/>
        <v>27414</v>
      </c>
      <c r="H122" s="20">
        <f t="shared" si="43"/>
        <v>15365</v>
      </c>
      <c r="I122" s="20">
        <f t="shared" si="43"/>
        <v>23750</v>
      </c>
      <c r="J122" s="20">
        <f t="shared" ref="J122" si="44">SUM(J65:J83)</f>
        <v>36190</v>
      </c>
      <c r="K122" s="20"/>
      <c r="L122" s="20"/>
      <c r="M122" s="20"/>
    </row>
    <row r="123" spans="1:19" s="7" customFormat="1" outlineLevel="1" collapsed="1" x14ac:dyDescent="0.2">
      <c r="B123" s="11" t="s">
        <v>69</v>
      </c>
      <c r="C123" s="23">
        <f t="shared" ref="C123:I123" si="45">C84-C122</f>
        <v>0</v>
      </c>
      <c r="D123" s="23">
        <f t="shared" si="45"/>
        <v>0</v>
      </c>
      <c r="E123" s="23">
        <f t="shared" si="45"/>
        <v>0</v>
      </c>
      <c r="F123" s="23">
        <f t="shared" si="45"/>
        <v>0</v>
      </c>
      <c r="G123" s="23">
        <f t="shared" si="45"/>
        <v>0</v>
      </c>
      <c r="H123" s="23">
        <f t="shared" si="45"/>
        <v>0</v>
      </c>
      <c r="I123" s="23">
        <f t="shared" si="45"/>
        <v>0</v>
      </c>
      <c r="J123" s="23">
        <f t="shared" ref="J123" si="46">J84-J122</f>
        <v>0</v>
      </c>
      <c r="K123" s="26"/>
      <c r="L123" s="26"/>
      <c r="M123" s="26"/>
    </row>
    <row r="124" spans="1:19" hidden="1" outlineLevel="2" x14ac:dyDescent="0.2">
      <c r="B124" s="9" t="s">
        <v>70</v>
      </c>
      <c r="C124" s="20">
        <f t="shared" ref="C124:I124" si="47">SUM(C85:C94)</f>
        <v>-5693</v>
      </c>
      <c r="D124" s="20">
        <f t="shared" si="47"/>
        <v>-3184</v>
      </c>
      <c r="E124" s="20">
        <f t="shared" si="47"/>
        <v>-4345</v>
      </c>
      <c r="F124" s="20">
        <f t="shared" si="47"/>
        <v>-7198</v>
      </c>
      <c r="G124" s="20">
        <f t="shared" si="47"/>
        <v>-5216</v>
      </c>
      <c r="H124" s="20">
        <f t="shared" si="47"/>
        <v>-7126</v>
      </c>
      <c r="I124" s="20">
        <f t="shared" si="47"/>
        <v>-9025</v>
      </c>
      <c r="J124" s="20">
        <f t="shared" ref="J124" si="48">SUM(J85:J94)</f>
        <v>-30861</v>
      </c>
      <c r="K124" s="20"/>
      <c r="L124" s="20"/>
      <c r="M124" s="20"/>
    </row>
    <row r="125" spans="1:19" s="7" customFormat="1" outlineLevel="1" collapsed="1" x14ac:dyDescent="0.2">
      <c r="B125" s="11" t="s">
        <v>71</v>
      </c>
      <c r="C125" s="23">
        <f t="shared" ref="C125:I125" si="49">C95-C124</f>
        <v>0</v>
      </c>
      <c r="D125" s="23">
        <f t="shared" si="49"/>
        <v>0</v>
      </c>
      <c r="E125" s="23">
        <f t="shared" si="49"/>
        <v>0</v>
      </c>
      <c r="F125" s="23">
        <f t="shared" si="49"/>
        <v>0</v>
      </c>
      <c r="G125" s="23">
        <f t="shared" si="49"/>
        <v>0</v>
      </c>
      <c r="H125" s="23">
        <f t="shared" si="49"/>
        <v>0</v>
      </c>
      <c r="I125" s="23">
        <f t="shared" si="49"/>
        <v>0</v>
      </c>
      <c r="J125" s="23">
        <f t="shared" ref="J125" si="50">J95-J124</f>
        <v>0</v>
      </c>
      <c r="K125" s="26"/>
      <c r="L125" s="26"/>
      <c r="M125" s="26"/>
    </row>
    <row r="126" spans="1:19" hidden="1" outlineLevel="2" x14ac:dyDescent="0.2">
      <c r="B126" s="9" t="s">
        <v>72</v>
      </c>
      <c r="C126" s="20">
        <f t="shared" ref="C126:I126" si="51">SUM(C96:C105)</f>
        <v>-9345</v>
      </c>
      <c r="D126" s="20">
        <f t="shared" si="51"/>
        <v>-10320</v>
      </c>
      <c r="E126" s="20">
        <f t="shared" si="51"/>
        <v>-12748</v>
      </c>
      <c r="F126" s="20">
        <f t="shared" si="51"/>
        <v>-9948</v>
      </c>
      <c r="G126" s="20">
        <f t="shared" si="51"/>
        <v>-15553</v>
      </c>
      <c r="H126" s="20">
        <f t="shared" si="51"/>
        <v>-11834</v>
      </c>
      <c r="I126" s="20">
        <f t="shared" si="51"/>
        <v>-14878</v>
      </c>
      <c r="J126" s="20">
        <f t="shared" ref="J126" si="52">SUM(J96:J105)</f>
        <v>-6210</v>
      </c>
      <c r="K126" s="20"/>
      <c r="L126" s="20"/>
      <c r="M126" s="20"/>
    </row>
    <row r="127" spans="1:19" s="7" customFormat="1" outlineLevel="1" collapsed="1" x14ac:dyDescent="0.2">
      <c r="B127" s="11" t="s">
        <v>73</v>
      </c>
      <c r="C127" s="23">
        <f t="shared" ref="C127:I127" si="53">C106-C126</f>
        <v>0</v>
      </c>
      <c r="D127" s="23">
        <f t="shared" si="53"/>
        <v>0</v>
      </c>
      <c r="E127" s="23">
        <f t="shared" si="53"/>
        <v>0</v>
      </c>
      <c r="F127" s="23">
        <f t="shared" si="53"/>
        <v>0</v>
      </c>
      <c r="G127" s="23">
        <f t="shared" si="53"/>
        <v>0</v>
      </c>
      <c r="H127" s="23">
        <f t="shared" si="53"/>
        <v>0</v>
      </c>
      <c r="I127" s="23">
        <f t="shared" si="53"/>
        <v>0</v>
      </c>
      <c r="J127" s="23">
        <f t="shared" ref="J127" si="54">J106-J126</f>
        <v>0</v>
      </c>
      <c r="K127" s="26"/>
      <c r="L127" s="26"/>
      <c r="M127" s="26"/>
    </row>
    <row r="128" spans="1:19" hidden="1" outlineLevel="2" x14ac:dyDescent="0.2">
      <c r="B128" s="9" t="s">
        <v>75</v>
      </c>
      <c r="C128" s="20">
        <f t="shared" ref="C128:I128" si="55">C84+C95+C106+C107+C109</f>
        <v>7587</v>
      </c>
      <c r="D128" s="20">
        <f t="shared" si="55"/>
        <v>8571</v>
      </c>
      <c r="E128" s="20">
        <f t="shared" si="55"/>
        <v>9107</v>
      </c>
      <c r="F128" s="20">
        <f t="shared" si="55"/>
        <v>8589</v>
      </c>
      <c r="G128" s="20">
        <f t="shared" si="55"/>
        <v>15234</v>
      </c>
      <c r="H128" s="20">
        <f t="shared" si="55"/>
        <v>11639</v>
      </c>
      <c r="I128" s="20">
        <f t="shared" si="55"/>
        <v>11486</v>
      </c>
      <c r="J128" s="20">
        <f t="shared" ref="J128" si="56">J84+J95+J106+J107+J109</f>
        <v>10605</v>
      </c>
      <c r="K128" s="20"/>
      <c r="L128" s="20"/>
      <c r="M128" s="20"/>
    </row>
    <row r="129" spans="1:19" s="18" customFormat="1" outlineLevel="1" collapsed="1" x14ac:dyDescent="0.2">
      <c r="A129" s="7"/>
      <c r="B129" s="17" t="s">
        <v>74</v>
      </c>
      <c r="C129" s="22">
        <f t="shared" ref="C129:I129" si="57">C110-C128</f>
        <v>0</v>
      </c>
      <c r="D129" s="22">
        <f t="shared" si="57"/>
        <v>0</v>
      </c>
      <c r="E129" s="22">
        <f t="shared" si="57"/>
        <v>0</v>
      </c>
      <c r="F129" s="22">
        <f t="shared" si="57"/>
        <v>0</v>
      </c>
      <c r="G129" s="22">
        <f t="shared" si="57"/>
        <v>0</v>
      </c>
      <c r="H129" s="22">
        <f t="shared" si="57"/>
        <v>0</v>
      </c>
      <c r="I129" s="22">
        <f t="shared" si="57"/>
        <v>0</v>
      </c>
      <c r="J129" s="22">
        <f t="shared" ref="J129" si="58">J110-J128</f>
        <v>0</v>
      </c>
      <c r="K129" s="26"/>
      <c r="L129" s="26"/>
      <c r="M129" s="26"/>
      <c r="O129" s="7"/>
      <c r="S129" s="7"/>
    </row>
    <row r="130" spans="1:19" x14ac:dyDescent="0.2">
      <c r="B130" s="8"/>
      <c r="E130" s="8"/>
      <c r="F130" s="8"/>
      <c r="G130" s="8"/>
      <c r="H130" s="8"/>
      <c r="I130" s="8"/>
      <c r="J130" s="8"/>
      <c r="K130" s="8"/>
      <c r="L130" s="8"/>
      <c r="M130" s="8"/>
    </row>
    <row r="131" spans="1:19" s="14" customFormat="1" ht="17" thickBot="1" x14ac:dyDescent="0.25">
      <c r="A131" s="4"/>
      <c r="B131" s="15" t="s">
        <v>76</v>
      </c>
      <c r="K131" s="4"/>
      <c r="L131" s="4"/>
      <c r="M131" s="4"/>
      <c r="O131" s="4"/>
      <c r="S131" s="4"/>
    </row>
    <row r="132" spans="1:19" outlineLevel="1" x14ac:dyDescent="0.2">
      <c r="B132" s="9" t="s">
        <v>4</v>
      </c>
      <c r="C132" s="27">
        <v>2460</v>
      </c>
      <c r="D132" s="27">
        <v>24530</v>
      </c>
      <c r="E132" s="27">
        <v>24490</v>
      </c>
      <c r="F132" s="27">
        <v>24400</v>
      </c>
      <c r="G132" s="27">
        <v>24400</v>
      </c>
      <c r="H132" s="27">
        <v>24300</v>
      </c>
      <c r="I132" s="27">
        <v>24300</v>
      </c>
      <c r="J132" s="27">
        <v>24300</v>
      </c>
      <c r="K132" s="20"/>
      <c r="L132" s="20"/>
      <c r="M132" s="20"/>
    </row>
    <row r="133" spans="1:19" outlineLevel="1" x14ac:dyDescent="0.2">
      <c r="B133" s="9" t="s">
        <v>126</v>
      </c>
      <c r="C133" s="33">
        <f t="shared" ref="C133:I133" si="59">C132*C136</f>
        <v>24600</v>
      </c>
      <c r="D133" s="33">
        <f t="shared" si="59"/>
        <v>24530</v>
      </c>
      <c r="E133" s="33">
        <f t="shared" si="59"/>
        <v>24490</v>
      </c>
      <c r="F133" s="33">
        <f t="shared" si="59"/>
        <v>24400</v>
      </c>
      <c r="G133" s="33">
        <f t="shared" si="59"/>
        <v>24400</v>
      </c>
      <c r="H133" s="33">
        <f t="shared" si="59"/>
        <v>24300</v>
      </c>
      <c r="I133" s="33">
        <f t="shared" si="59"/>
        <v>24300</v>
      </c>
      <c r="J133" s="33">
        <f t="shared" ref="J133" si="60">J132*J136</f>
        <v>24300</v>
      </c>
      <c r="K133" s="20"/>
      <c r="L133" s="20"/>
      <c r="M133" s="20"/>
    </row>
    <row r="134" spans="1:19" outlineLevel="1" x14ac:dyDescent="0.2">
      <c r="B134" s="12" t="s">
        <v>82</v>
      </c>
      <c r="C134" s="28">
        <v>0.04</v>
      </c>
      <c r="D134" s="28">
        <v>0.01</v>
      </c>
      <c r="E134" s="28">
        <v>0.01</v>
      </c>
      <c r="F134" s="28">
        <v>0.01</v>
      </c>
      <c r="G134" s="28">
        <v>0.01</v>
      </c>
      <c r="H134" s="28">
        <v>0.01</v>
      </c>
      <c r="I134" s="28">
        <v>0.01</v>
      </c>
      <c r="J134" s="28">
        <v>0.01</v>
      </c>
      <c r="K134" s="8"/>
      <c r="L134" s="8"/>
      <c r="M134" s="8"/>
    </row>
    <row r="135" spans="1:19" outlineLevel="1" x14ac:dyDescent="0.2">
      <c r="B135" s="85" t="s">
        <v>125</v>
      </c>
      <c r="C135" s="8">
        <f t="shared" ref="C135:I135" si="61">C134/C136</f>
        <v>4.0000000000000001E-3</v>
      </c>
      <c r="D135" s="8">
        <f t="shared" si="61"/>
        <v>0.01</v>
      </c>
      <c r="E135" s="8">
        <f t="shared" si="61"/>
        <v>0.01</v>
      </c>
      <c r="F135" s="8">
        <f t="shared" si="61"/>
        <v>0.01</v>
      </c>
      <c r="G135" s="8">
        <f t="shared" si="61"/>
        <v>0.01</v>
      </c>
      <c r="H135" s="8">
        <f t="shared" si="61"/>
        <v>0.01</v>
      </c>
      <c r="I135" s="8">
        <f t="shared" si="61"/>
        <v>0.01</v>
      </c>
      <c r="J135" s="8">
        <f t="shared" ref="J135" si="62">J134/J136</f>
        <v>0.01</v>
      </c>
      <c r="K135" s="8"/>
      <c r="L135" s="8"/>
      <c r="M135" s="8"/>
    </row>
    <row r="136" spans="1:19" outlineLevel="1" x14ac:dyDescent="0.2">
      <c r="B136" s="12" t="s">
        <v>124</v>
      </c>
      <c r="C136" s="28">
        <v>10</v>
      </c>
      <c r="D136" s="28">
        <v>1</v>
      </c>
      <c r="E136" s="28">
        <v>1</v>
      </c>
      <c r="F136" s="28">
        <v>1</v>
      </c>
      <c r="G136" s="28">
        <v>1</v>
      </c>
      <c r="H136" s="28">
        <v>1</v>
      </c>
      <c r="I136" s="28">
        <v>1</v>
      </c>
      <c r="J136" s="28">
        <v>1</v>
      </c>
      <c r="K136" s="8"/>
      <c r="L136" s="8"/>
      <c r="M136" s="8"/>
    </row>
    <row r="137" spans="1:19" x14ac:dyDescent="0.2">
      <c r="B137" s="1"/>
    </row>
    <row r="138" spans="1:19" s="59" customFormat="1" ht="17" thickBot="1" x14ac:dyDescent="0.25">
      <c r="A138" s="1"/>
      <c r="B138" s="15" t="s">
        <v>95</v>
      </c>
      <c r="C138" s="60"/>
      <c r="D138" s="60"/>
      <c r="E138" s="60"/>
      <c r="F138" s="60"/>
      <c r="G138" s="60"/>
      <c r="H138" s="60"/>
      <c r="I138" s="60"/>
      <c r="J138" s="60"/>
      <c r="K138" s="1"/>
      <c r="L138" s="1"/>
      <c r="M138" s="1"/>
      <c r="O138" s="4"/>
      <c r="S138" s="4"/>
    </row>
    <row r="139" spans="1:19" outlineLevel="1" x14ac:dyDescent="0.2">
      <c r="B139" s="9" t="s">
        <v>88</v>
      </c>
      <c r="C139" s="27">
        <v>27440</v>
      </c>
      <c r="D139" s="27">
        <v>31850</v>
      </c>
      <c r="E139" s="27">
        <v>36750</v>
      </c>
      <c r="F139" s="27">
        <v>42140</v>
      </c>
      <c r="G139" s="27">
        <v>44100</v>
      </c>
      <c r="H139" s="27">
        <v>52920</v>
      </c>
      <c r="I139" s="27">
        <v>63700</v>
      </c>
      <c r="J139" s="27">
        <v>77220</v>
      </c>
    </row>
    <row r="140" spans="1:19" outlineLevel="1" x14ac:dyDescent="0.2">
      <c r="B140" s="9" t="s">
        <v>89</v>
      </c>
      <c r="C140" s="27">
        <v>28560</v>
      </c>
      <c r="D140" s="27">
        <v>33150</v>
      </c>
      <c r="E140" s="27">
        <v>38250</v>
      </c>
      <c r="F140" s="27">
        <v>43860</v>
      </c>
      <c r="G140" s="27">
        <v>45900</v>
      </c>
      <c r="H140" s="27">
        <v>55080</v>
      </c>
      <c r="I140" s="27">
        <v>66300</v>
      </c>
      <c r="J140" s="27">
        <v>78780</v>
      </c>
    </row>
    <row r="141" spans="1:19" outlineLevel="1" x14ac:dyDescent="0.2">
      <c r="B141" s="9" t="s">
        <v>93</v>
      </c>
      <c r="C141" s="33">
        <f t="shared" ref="C141" si="63">D5</f>
        <v>30040</v>
      </c>
      <c r="D141" s="33">
        <f t="shared" ref="D141" si="64">E5</f>
        <v>35082</v>
      </c>
      <c r="E141" s="33">
        <f t="shared" ref="E141" si="65">F5</f>
        <v>39331</v>
      </c>
      <c r="F141" s="33">
        <f t="shared" ref="F141" si="66">G5</f>
        <v>44062</v>
      </c>
      <c r="G141" s="33">
        <f t="shared" ref="G141" si="67">H5</f>
        <v>46743</v>
      </c>
      <c r="H141" s="33">
        <f t="shared" ref="H141" si="68">I5</f>
        <v>57006</v>
      </c>
      <c r="I141" s="33">
        <f t="shared" ref="I141" si="69">J5</f>
        <v>68127</v>
      </c>
      <c r="J141" s="33">
        <f t="shared" ref="J141" si="70">K5</f>
        <v>0</v>
      </c>
    </row>
    <row r="142" spans="1:19" outlineLevel="1" x14ac:dyDescent="0.2">
      <c r="B142" s="9" t="s">
        <v>90</v>
      </c>
      <c r="C142" s="82" t="str">
        <f t="shared" ref="C142" si="71">IF(D5&gt;C140, "BEAT", IF(D5&lt;C139, "MISSED", "MET"))</f>
        <v>BEAT</v>
      </c>
      <c r="D142" s="82" t="str">
        <f t="shared" ref="D142" si="72">IF(E5&gt;D140, "BEAT", IF(E5&lt;D139, "MISSED", "MET"))</f>
        <v>BEAT</v>
      </c>
      <c r="E142" s="82" t="str">
        <f t="shared" ref="E142" si="73">IF(F5&gt;E140, "BEAT", IF(F5&lt;E139, "MISSED", "MET"))</f>
        <v>BEAT</v>
      </c>
      <c r="F142" s="82" t="str">
        <f t="shared" ref="F142" si="74">IF(G5&gt;F140, "BEAT", IF(G5&lt;F139, "MISSED", "MET"))</f>
        <v>BEAT</v>
      </c>
      <c r="G142" s="82" t="str">
        <f t="shared" ref="G142" si="75">IF(H5&gt;G140, "BEAT", IF(H5&lt;G139, "MISSED", "MET"))</f>
        <v>BEAT</v>
      </c>
      <c r="H142" s="82" t="str">
        <f t="shared" ref="H142" si="76">IF(I5&gt;H140, "BEAT", IF(I5&lt;H139, "MISSED", "MET"))</f>
        <v>BEAT</v>
      </c>
      <c r="I142" s="82" t="str">
        <f t="shared" ref="I142" si="77">IF(J5&gt;I140, "BEAT", IF(J5&lt;I139, "MISSED", "MET"))</f>
        <v>BEAT</v>
      </c>
      <c r="J142" s="82" t="str">
        <f t="shared" ref="J142" si="78">IF(K5&gt;J140, "BEAT", IF(K5&lt;J139, "MISSED", "MET"))</f>
        <v>MISSED</v>
      </c>
    </row>
    <row r="143" spans="1:19" outlineLevel="1" x14ac:dyDescent="0.2">
      <c r="B143" s="9" t="s">
        <v>91</v>
      </c>
      <c r="C143" s="30"/>
      <c r="D143" s="30"/>
      <c r="E143" s="30"/>
      <c r="F143" s="30"/>
      <c r="G143" s="30"/>
      <c r="H143" s="30"/>
      <c r="I143" s="30"/>
      <c r="J143" s="30"/>
    </row>
    <row r="144" spans="1:19" outlineLevel="1" x14ac:dyDescent="0.2">
      <c r="B144" s="9" t="s">
        <v>92</v>
      </c>
      <c r="C144" s="30"/>
      <c r="D144" s="30"/>
      <c r="E144" s="30"/>
      <c r="F144" s="30"/>
      <c r="G144" s="30"/>
      <c r="H144" s="30"/>
      <c r="I144" s="30"/>
      <c r="J144" s="30"/>
    </row>
    <row r="145" spans="2:13" outlineLevel="1" x14ac:dyDescent="0.2">
      <c r="B145" s="9" t="s">
        <v>94</v>
      </c>
      <c r="C145" s="25"/>
      <c r="D145" s="25"/>
      <c r="E145" s="25"/>
      <c r="F145" s="25"/>
      <c r="G145" s="25"/>
      <c r="H145" s="25"/>
      <c r="I145" s="25"/>
      <c r="J145" s="25"/>
      <c r="K145" s="20"/>
      <c r="L145" s="20"/>
      <c r="M145" s="20"/>
    </row>
    <row r="146" spans="2:13" outlineLevel="1" x14ac:dyDescent="0.2">
      <c r="B146" s="12" t="s">
        <v>90</v>
      </c>
      <c r="C146" s="82"/>
      <c r="D146" s="82"/>
      <c r="E146" s="82"/>
      <c r="F146" s="82"/>
      <c r="G146" s="82"/>
      <c r="H146" s="82"/>
      <c r="I146" s="82"/>
      <c r="J146" s="82"/>
      <c r="K146" s="8"/>
      <c r="L146" s="8"/>
      <c r="M146" s="8"/>
    </row>
  </sheetData>
  <mergeCells count="1">
    <mergeCell ref="P4:R4"/>
  </mergeCells>
  <phoneticPr fontId="5" type="noConversion"/>
  <pageMargins left="0.7" right="0.7" top="0.75" bottom="0.75" header="0.3" footer="0.3"/>
  <ignoredErrors>
    <ignoredError sqref="J124 J126 N5:N6 N8:N10 N12:N13 N21 N14:N19 N23:N26" formulaRange="1"/>
    <ignoredError sqref="J135 J26 J2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Statement Y</vt:lpstr>
      <vt:lpstr>Statement 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dumitras</dc:creator>
  <cp:lastModifiedBy>adi dumitras</cp:lastModifiedBy>
  <dcterms:created xsi:type="dcterms:W3CDTF">2025-11-16T22:36:04Z</dcterms:created>
  <dcterms:modified xsi:type="dcterms:W3CDTF">2026-06-02T22:34:02Z</dcterms:modified>
</cp:coreProperties>
</file>