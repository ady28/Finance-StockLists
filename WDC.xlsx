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E60BA008-79EF-444A-B337-EAD7A9D0591C}" xr6:coauthVersionLast="47" xr6:coauthVersionMax="47" xr10:uidLastSave="{00000000-0000-0000-0000-000000000000}"/>
  <bookViews>
    <workbookView xWindow="0" yWindow="0" windowWidth="25600" windowHeight="14400" firstSheet="4" activeTab="13"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Z177"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Z142" i="3"/>
  <c r="Z141" i="3"/>
  <c r="Y141" i="3"/>
  <c r="X141" i="3"/>
  <c r="W141" i="3"/>
  <c r="V141" i="3"/>
  <c r="U141" i="3"/>
  <c r="T141" i="3"/>
  <c r="Z140" i="3"/>
  <c r="Y140" i="3"/>
  <c r="X140" i="3"/>
  <c r="W140" i="3"/>
  <c r="V140" i="3"/>
  <c r="U140" i="3"/>
  <c r="T140" i="3"/>
  <c r="Z139" i="3"/>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X69" i="3" s="1"/>
  <c r="W68" i="3"/>
  <c r="W69" i="3" s="1"/>
  <c r="V68" i="3"/>
  <c r="V69" i="3" s="1"/>
  <c r="U68" i="3"/>
  <c r="U69" i="3" s="1"/>
  <c r="T68" i="3"/>
  <c r="T69" i="3" s="1"/>
  <c r="Z57" i="3"/>
  <c r="Y57" i="3"/>
  <c r="X57" i="3"/>
  <c r="W57" i="3"/>
  <c r="V57" i="3"/>
  <c r="U57" i="3"/>
  <c r="T57"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Z99" i="3" s="1"/>
  <c r="Y7" i="3"/>
  <c r="X7" i="3"/>
  <c r="W7" i="3"/>
  <c r="V7" i="3"/>
  <c r="U7" i="3"/>
  <c r="T7" i="3"/>
  <c r="AA115" i="3"/>
  <c r="W14" i="6"/>
  <c r="V14" i="6"/>
  <c r="U14" i="6"/>
  <c r="T14" i="6"/>
  <c r="S14" i="6"/>
  <c r="R14" i="6"/>
  <c r="Q14" i="6"/>
  <c r="P14" i="6"/>
  <c r="G14" i="6"/>
  <c r="F14" i="6"/>
  <c r="E14" i="6"/>
  <c r="D14" i="6"/>
  <c r="C14" i="6"/>
  <c r="R24" i="5"/>
  <c r="R23" i="5"/>
  <c r="B24" i="5"/>
  <c r="B23" i="5"/>
  <c r="Y22" i="5"/>
  <c r="X22" i="5"/>
  <c r="X24" i="5" s="1"/>
  <c r="W22" i="5"/>
  <c r="W24" i="5" s="1"/>
  <c r="V22" i="5"/>
  <c r="V24" i="5" s="1"/>
  <c r="U22" i="5"/>
  <c r="U24" i="5" s="1"/>
  <c r="T22" i="5"/>
  <c r="T24" i="5" s="1"/>
  <c r="S22" i="5"/>
  <c r="Z21" i="5"/>
  <c r="AA21" i="5" s="1"/>
  <c r="AE21" i="5" s="1"/>
  <c r="Y21" i="5"/>
  <c r="X21" i="5"/>
  <c r="X23" i="5" s="1"/>
  <c r="W21" i="5"/>
  <c r="W23" i="5" s="1"/>
  <c r="V21" i="5"/>
  <c r="V23" i="5" s="1"/>
  <c r="U21" i="5"/>
  <c r="U23" i="5" s="1"/>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91" i="17"/>
  <c r="B90" i="17"/>
  <c r="B89" i="17"/>
  <c r="Q211" i="3"/>
  <c r="G22" i="5" s="1"/>
  <c r="H22" i="5" s="1"/>
  <c r="I22" i="5" s="1"/>
  <c r="J22" i="5" s="1"/>
  <c r="K22" i="5" s="1"/>
  <c r="L22" i="5" s="1"/>
  <c r="AC209" i="3"/>
  <c r="AC208" i="3"/>
  <c r="AC207" i="3"/>
  <c r="B193" i="3"/>
  <c r="B192" i="3"/>
  <c r="B191" i="3"/>
  <c r="AA93" i="3"/>
  <c r="Q93" i="3"/>
  <c r="AC10" i="3"/>
  <c r="AA68" i="3"/>
  <c r="K68" i="3"/>
  <c r="J68" i="3"/>
  <c r="I68" i="3"/>
  <c r="H68" i="3"/>
  <c r="G68" i="3"/>
  <c r="F68" i="3"/>
  <c r="E68" i="3"/>
  <c r="D68" i="3"/>
  <c r="C68" i="3"/>
  <c r="L5" i="21"/>
  <c r="K5" i="21"/>
  <c r="J5" i="21"/>
  <c r="I5" i="21"/>
  <c r="H5" i="21"/>
  <c r="G5" i="21"/>
  <c r="F5" i="21"/>
  <c r="E5" i="21"/>
  <c r="D5" i="21"/>
  <c r="C5" i="21"/>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7" i="3"/>
  <c r="AC83" i="3"/>
  <c r="AC44" i="3"/>
  <c r="AC64" i="3"/>
  <c r="AA110" i="3"/>
  <c r="Q110" i="3"/>
  <c r="AC47" i="3"/>
  <c r="AA109" i="3"/>
  <c r="Q109" i="3"/>
  <c r="AC16" i="3"/>
  <c r="C13" i="10"/>
  <c r="C12" i="10"/>
  <c r="C11" i="10"/>
  <c r="G29" i="7"/>
  <c r="F29" i="7"/>
  <c r="E29" i="7"/>
  <c r="D29" i="7"/>
  <c r="C29" i="7"/>
  <c r="AC55" i="3"/>
  <c r="G14" i="7"/>
  <c r="F14" i="7"/>
  <c r="E14" i="7"/>
  <c r="D14" i="7"/>
  <c r="C14" i="7"/>
  <c r="AA106" i="3"/>
  <c r="AC106" i="3" s="1"/>
  <c r="Q106" i="3"/>
  <c r="E30" i="12"/>
  <c r="D30" i="12"/>
  <c r="AC38" i="3"/>
  <c r="AA76" i="3"/>
  <c r="H8" i="1"/>
  <c r="H7" i="1"/>
  <c r="H6" i="1"/>
  <c r="H5" i="1"/>
  <c r="H4" i="1"/>
  <c r="H3" i="1"/>
  <c r="F28" i="18"/>
  <c r="C28" i="18"/>
  <c r="F26" i="18"/>
  <c r="C26" i="18"/>
  <c r="F24" i="18"/>
  <c r="C24" i="18"/>
  <c r="AA193" i="3"/>
  <c r="AA191" i="3"/>
  <c r="G16" i="18"/>
  <c r="F16" i="18"/>
  <c r="D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7" i="3"/>
  <c r="AA146" i="3"/>
  <c r="Q146" i="3"/>
  <c r="AA141" i="3"/>
  <c r="Q141" i="3"/>
  <c r="G9" i="16"/>
  <c r="F6" i="16"/>
  <c r="G6" i="16"/>
  <c r="AC61" i="3"/>
  <c r="AC60" i="3"/>
  <c r="AC59" i="3"/>
  <c r="AC58" i="3"/>
  <c r="AC53" i="3"/>
  <c r="AC52" i="3"/>
  <c r="AC75"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K82" i="3"/>
  <c r="J82" i="3"/>
  <c r="I82" i="3"/>
  <c r="H82" i="3"/>
  <c r="G82" i="3"/>
  <c r="F82" i="3"/>
  <c r="E82" i="3"/>
  <c r="D82" i="3"/>
  <c r="C82" i="3"/>
  <c r="Q82" i="3"/>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Q96" i="3"/>
  <c r="Q95" i="3"/>
  <c r="Q94" i="3"/>
  <c r="Q92" i="3"/>
  <c r="Q91" i="3"/>
  <c r="Q89" i="3"/>
  <c r="Q88" i="3"/>
  <c r="Q25" i="3"/>
  <c r="G6" i="21" s="1"/>
  <c r="Q23"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5" i="20" l="1"/>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Z173" i="3"/>
  <c r="Z150" i="3"/>
  <c r="Z77" i="3"/>
  <c r="Z151" i="3" s="1"/>
  <c r="Z152" i="3" s="1"/>
  <c r="Z170" i="3"/>
  <c r="Y77" i="3"/>
  <c r="Y151" i="3" s="1"/>
  <c r="Y152" i="3" s="1"/>
  <c r="Y173" i="3"/>
  <c r="Y170" i="3"/>
  <c r="Y150" i="3"/>
  <c r="X173" i="3"/>
  <c r="X77" i="3"/>
  <c r="X151" i="3" s="1"/>
  <c r="X152" i="3" s="1"/>
  <c r="X170" i="3"/>
  <c r="X150" i="3"/>
  <c r="W77" i="3"/>
  <c r="W151" i="3" s="1"/>
  <c r="W152" i="3" s="1"/>
  <c r="W173" i="3"/>
  <c r="W170" i="3"/>
  <c r="W150" i="3"/>
  <c r="V77" i="3"/>
  <c r="V151" i="3" s="1"/>
  <c r="V152" i="3" s="1"/>
  <c r="V173" i="3"/>
  <c r="V170" i="3"/>
  <c r="V150" i="3"/>
  <c r="U77" i="3"/>
  <c r="U151" i="3" s="1"/>
  <c r="U152" i="3" s="1"/>
  <c r="U173" i="3"/>
  <c r="U170" i="3"/>
  <c r="U150" i="3"/>
  <c r="T173" i="3"/>
  <c r="T150" i="3"/>
  <c r="T77" i="3"/>
  <c r="T151" i="3" s="1"/>
  <c r="T152" i="3" s="1"/>
  <c r="T170" i="3"/>
  <c r="Z90" i="3"/>
  <c r="Y99" i="3"/>
  <c r="H60" i="20" s="1"/>
  <c r="Y90" i="3"/>
  <c r="X99" i="3"/>
  <c r="G60" i="20" s="1"/>
  <c r="X90" i="3"/>
  <c r="W99" i="3"/>
  <c r="W90" i="3"/>
  <c r="V99" i="3"/>
  <c r="V90" i="3"/>
  <c r="U99" i="3"/>
  <c r="T99" i="3"/>
  <c r="T90" i="3"/>
  <c r="U90" i="3"/>
  <c r="Y24" i="5"/>
  <c r="Z23" i="5"/>
  <c r="Y23" i="5"/>
  <c r="H6" i="5"/>
  <c r="I21" i="5"/>
  <c r="AC68" i="3"/>
  <c r="E48" i="17"/>
  <c r="Q147" i="3"/>
  <c r="G48" i="17" s="1"/>
  <c r="G11" i="21"/>
  <c r="E11" i="21"/>
  <c r="C64" i="12"/>
  <c r="C44"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0" i="12"/>
  <c r="C23" i="11"/>
  <c r="C25" i="14"/>
  <c r="AA134" i="3"/>
  <c r="AA130" i="3"/>
  <c r="F10" i="16"/>
  <c r="Q161" i="3"/>
  <c r="Q160" i="3"/>
  <c r="Q149" i="3"/>
  <c r="Q148" i="3"/>
  <c r="AA155" i="3"/>
  <c r="J66" i="20" s="1"/>
  <c r="I66" i="20"/>
  <c r="H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0" i="12"/>
  <c r="E35" i="7"/>
  <c r="F35" i="7"/>
  <c r="D35" i="7"/>
  <c r="C35" i="7"/>
  <c r="AC82" i="3"/>
  <c r="AC104" i="3" s="1"/>
  <c r="AA143" i="3"/>
  <c r="Q143" i="3"/>
  <c r="C30" i="12"/>
  <c r="G91" i="17"/>
  <c r="G90" i="17"/>
  <c r="D90" i="17"/>
  <c r="C90" i="17"/>
  <c r="G89" i="17"/>
  <c r="F20" i="18"/>
  <c r="C20" i="18"/>
  <c r="F18" i="18"/>
  <c r="C18" i="18"/>
  <c r="F10" i="18"/>
  <c r="C10" i="18"/>
  <c r="G94" i="17"/>
  <c r="F94" i="17"/>
  <c r="E94" i="17"/>
  <c r="D94" i="17"/>
  <c r="C94" i="17"/>
  <c r="F91" i="17"/>
  <c r="E91" i="17"/>
  <c r="D91" i="17"/>
  <c r="C91" i="17"/>
  <c r="F90" i="17"/>
  <c r="E90" i="17"/>
  <c r="F89" i="17"/>
  <c r="E89" i="17"/>
  <c r="D89" i="17"/>
  <c r="C89" i="17"/>
  <c r="AC28" i="3"/>
  <c r="G20" i="18"/>
  <c r="D20" i="18"/>
  <c r="G18" i="18"/>
  <c r="D18" i="18"/>
  <c r="C17" i="18"/>
  <c r="AA104" i="3"/>
  <c r="C15" i="18"/>
  <c r="C9" i="18"/>
  <c r="G10" i="18"/>
  <c r="C7" i="18"/>
  <c r="D10" i="18"/>
  <c r="G23" i="18"/>
  <c r="I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7" i="3"/>
  <c r="AC146" i="3"/>
  <c r="AC143" i="3"/>
  <c r="AA139" i="3"/>
  <c r="AC141" i="3"/>
  <c r="AC139" i="3"/>
  <c r="Q139" i="3"/>
  <c r="F9" i="16"/>
  <c r="F17" i="16"/>
  <c r="AC57" i="3"/>
  <c r="F16" i="16"/>
  <c r="F18" i="16" s="1"/>
  <c r="AC76" i="3"/>
  <c r="O22" i="6"/>
  <c r="O19" i="6"/>
  <c r="AC56" i="3"/>
  <c r="AC5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3" i="3"/>
  <c r="AC21" i="3"/>
  <c r="AC19" i="3"/>
  <c r="Q90" i="3"/>
  <c r="G82" i="17" s="1"/>
  <c r="E82" i="17"/>
  <c r="C82" i="17"/>
  <c r="F82" i="17"/>
  <c r="D82" i="17"/>
  <c r="AA7" i="5" l="1"/>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40" i="14" s="1"/>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F48" i="14"/>
  <c r="D48" i="14"/>
  <c r="C33" i="14"/>
  <c r="G48" i="14"/>
  <c r="E48" i="14"/>
  <c r="C40" i="14"/>
  <c r="D29" i="12"/>
  <c r="F28" i="12"/>
  <c r="E19" i="12"/>
  <c r="H18" i="12"/>
  <c r="I18" i="12" s="1"/>
  <c r="J18" i="12" s="1"/>
  <c r="K18" i="12" s="1"/>
  <c r="L18"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1" i="12"/>
  <c r="Q145" i="3"/>
  <c r="G46" i="17" s="1"/>
  <c r="F31" i="12"/>
  <c r="F46" i="17"/>
  <c r="E31" i="12"/>
  <c r="E46" i="17"/>
  <c r="D31" i="12"/>
  <c r="D46" i="17"/>
  <c r="C31" i="12"/>
  <c r="C46" i="17"/>
  <c r="AC107" i="3"/>
  <c r="Q107" i="3"/>
  <c r="Q156" i="3" s="1"/>
  <c r="E46" i="7"/>
  <c r="W10" i="6"/>
  <c r="U10" i="6"/>
  <c r="R10" i="6"/>
  <c r="AA77" i="3"/>
  <c r="F19" i="12"/>
  <c r="D19" i="12"/>
  <c r="G12" i="12"/>
  <c r="C29" i="12"/>
  <c r="E28" i="12"/>
  <c r="D28" i="12"/>
  <c r="G19" i="12"/>
  <c r="F12" i="12"/>
  <c r="E12" i="12"/>
  <c r="D12" i="12"/>
  <c r="G29" i="12"/>
  <c r="G8" i="8"/>
  <c r="D8" i="8"/>
  <c r="C46" i="7"/>
  <c r="G43" i="7"/>
  <c r="C43" i="7"/>
  <c r="D19" i="6"/>
  <c r="D36" i="7"/>
  <c r="D37" i="7" s="1"/>
  <c r="V19" i="6"/>
  <c r="S19" i="6"/>
  <c r="Q19" i="6"/>
  <c r="R15" i="5"/>
  <c r="R13" i="5"/>
  <c r="Q20" i="6"/>
  <c r="F21" i="6"/>
  <c r="F29" i="12"/>
  <c r="E29" i="12"/>
  <c r="G28" i="12"/>
  <c r="C28"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P153" i="3" l="1"/>
  <c r="P154" i="3"/>
  <c r="P158" i="3"/>
  <c r="O153" i="3"/>
  <c r="O154" i="3"/>
  <c r="O158" i="3"/>
  <c r="N153" i="3"/>
  <c r="N154" i="3"/>
  <c r="N158" i="3"/>
  <c r="M153" i="3"/>
  <c r="M154" i="3"/>
  <c r="M158" i="3"/>
  <c r="L153" i="3"/>
  <c r="L154" i="3"/>
  <c r="L158" i="3"/>
  <c r="AC77" i="3"/>
  <c r="AA151" i="3"/>
  <c r="AA152" i="3" s="1"/>
  <c r="J6" i="5"/>
  <c r="K21" i="5"/>
  <c r="E5" i="12"/>
  <c r="E6" i="11"/>
  <c r="C63" i="12"/>
  <c r="C43" i="12"/>
  <c r="C24" i="21"/>
  <c r="C26" i="21" s="1"/>
  <c r="I10" i="1" s="1"/>
  <c r="C51" i="12"/>
  <c r="AC181" i="3"/>
  <c r="AC180" i="3"/>
  <c r="AC165" i="3"/>
  <c r="AC166" i="3"/>
  <c r="F5" i="5"/>
  <c r="F20" i="5" s="1"/>
  <c r="F3" i="17"/>
  <c r="K56" i="19"/>
  <c r="E5" i="6"/>
  <c r="E6" i="7"/>
  <c r="E12" i="5"/>
  <c r="E5" i="8"/>
  <c r="E6" i="14"/>
  <c r="E40" i="14" s="1"/>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21" i="3"/>
  <c r="I28" i="17" s="1"/>
  <c r="I33" i="17" s="1"/>
  <c r="C22" i="16"/>
  <c r="AC156" i="3"/>
  <c r="AC138" i="3"/>
  <c r="L61" i="19"/>
  <c r="Q138" i="3"/>
  <c r="L70" i="19" s="1"/>
  <c r="C18" i="16"/>
  <c r="I18" i="17"/>
  <c r="F52" i="16"/>
  <c r="I75" i="17"/>
  <c r="F53" i="16"/>
  <c r="I76" i="17"/>
  <c r="F54" i="16"/>
  <c r="I77" i="17"/>
  <c r="AC167" i="3"/>
  <c r="C53" i="12"/>
  <c r="C33" i="16"/>
  <c r="F18" i="1"/>
  <c r="AC170" i="3"/>
  <c r="AC173" i="3"/>
  <c r="I67" i="17" s="1"/>
  <c r="C32" i="12"/>
  <c r="D32" i="12"/>
  <c r="F32" i="12"/>
  <c r="E32" i="12"/>
  <c r="G32" i="12"/>
  <c r="AC145" i="3"/>
  <c r="I46" i="17" s="1"/>
  <c r="AC144" i="3"/>
  <c r="I45" i="17" s="1"/>
  <c r="D10" i="8"/>
  <c r="G10" i="8"/>
  <c r="C11" i="12"/>
  <c r="C22" i="12"/>
  <c r="C17" i="12"/>
  <c r="C27" i="12"/>
  <c r="C10" i="8"/>
  <c r="F10" i="8"/>
  <c r="E10" i="8"/>
  <c r="E23" i="7"/>
  <c r="D23" i="7"/>
  <c r="F23" i="7"/>
  <c r="G23" i="7"/>
  <c r="C23" i="7"/>
  <c r="AC169" i="3" l="1"/>
  <c r="I63" i="17" s="1"/>
  <c r="C5" i="10"/>
  <c r="C46" i="12"/>
  <c r="C25" i="11"/>
  <c r="C66" i="12"/>
  <c r="K6" i="5"/>
  <c r="L21" i="5"/>
  <c r="L6" i="5" s="1"/>
  <c r="F5" i="12"/>
  <c r="F6" i="11"/>
  <c r="G3" i="17"/>
  <c r="L56" i="19"/>
  <c r="G5" i="5"/>
  <c r="G20" i="5" s="1"/>
  <c r="F5" i="8"/>
  <c r="F6" i="14"/>
  <c r="F40" i="14" s="1"/>
  <c r="F6" i="7"/>
  <c r="F5" i="6"/>
  <c r="F12" i="5"/>
  <c r="E10" i="6"/>
  <c r="E18" i="6"/>
  <c r="E12" i="7"/>
  <c r="E34" i="7"/>
  <c r="E27" i="7"/>
  <c r="E41" i="7"/>
  <c r="E19" i="7"/>
  <c r="E14" i="8"/>
  <c r="E26" i="8"/>
  <c r="E19" i="8"/>
  <c r="E32" i="8"/>
  <c r="D27" i="12"/>
  <c r="D11" i="12"/>
  <c r="D17" i="12"/>
  <c r="D22"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42" i="14"/>
  <c r="D42" i="14"/>
  <c r="G7" i="12"/>
  <c r="D7" i="12"/>
  <c r="C7" i="12"/>
  <c r="C42" i="14"/>
  <c r="C49" i="14" s="1"/>
  <c r="C27" i="8"/>
  <c r="C28" i="8" s="1"/>
  <c r="F7" i="12"/>
  <c r="F42" i="14"/>
  <c r="F27" i="8"/>
  <c r="F28" i="8" s="1"/>
  <c r="E7" i="12"/>
  <c r="E42" i="14"/>
  <c r="E27" i="8"/>
  <c r="E28" i="8" s="1"/>
  <c r="G5" i="12" l="1"/>
  <c r="G6" i="11"/>
  <c r="H7" i="14"/>
  <c r="G41" i="14"/>
  <c r="H5" i="5"/>
  <c r="H20" i="5" s="1"/>
  <c r="G12"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5" i="12" l="1"/>
  <c r="H6" i="11"/>
  <c r="G45" i="14"/>
  <c r="G43" i="14"/>
  <c r="H41" i="14"/>
  <c r="I7" i="14"/>
  <c r="H12" i="5"/>
  <c r="I5" i="5"/>
  <c r="I20" i="5" s="1"/>
  <c r="H6" i="14"/>
  <c r="H40" i="14" s="1"/>
  <c r="G10" i="6"/>
  <c r="G18" i="6"/>
  <c r="H5" i="6"/>
  <c r="G19" i="8"/>
  <c r="G14" i="8"/>
  <c r="G26" i="8"/>
  <c r="H5" i="8"/>
  <c r="G32" i="8"/>
  <c r="G19" i="7"/>
  <c r="G34" i="7"/>
  <c r="G41" i="7"/>
  <c r="G12" i="7"/>
  <c r="G27" i="7"/>
  <c r="H6" i="7"/>
  <c r="F11" i="12"/>
  <c r="F27" i="12"/>
  <c r="F22" i="12"/>
  <c r="F17" i="12"/>
  <c r="F14" i="12"/>
  <c r="E14" i="12"/>
  <c r="G14" i="12"/>
  <c r="C34" i="12"/>
  <c r="D14" i="12"/>
  <c r="D34" i="12"/>
  <c r="D43" i="14"/>
  <c r="G34" i="12"/>
  <c r="D45" i="14"/>
  <c r="C45" i="14"/>
  <c r="C43" i="14"/>
  <c r="F34" i="12"/>
  <c r="F46" i="14"/>
  <c r="F45" i="14"/>
  <c r="F43" i="14"/>
  <c r="G46" i="14"/>
  <c r="E34" i="12"/>
  <c r="E43" i="14"/>
  <c r="E46" i="14"/>
  <c r="E45" i="14"/>
  <c r="D46" i="14"/>
  <c r="I5" i="12" l="1"/>
  <c r="I6" i="11"/>
  <c r="H46" i="14"/>
  <c r="H44" i="14"/>
  <c r="H48" i="14" s="1"/>
  <c r="H42" i="14"/>
  <c r="J7" i="14"/>
  <c r="I41" i="14"/>
  <c r="I12" i="5"/>
  <c r="J5" i="5"/>
  <c r="J20" i="5" s="1"/>
  <c r="I6" i="14"/>
  <c r="I40" i="14" s="1"/>
  <c r="G27" i="12"/>
  <c r="G11" i="12"/>
  <c r="G22" i="12"/>
  <c r="G17" i="12"/>
  <c r="H18" i="6"/>
  <c r="H10" i="6"/>
  <c r="I5" i="6"/>
  <c r="H19" i="8"/>
  <c r="H14" i="8"/>
  <c r="I5" i="8"/>
  <c r="H26" i="8"/>
  <c r="H32" i="8"/>
  <c r="H12" i="7"/>
  <c r="H19" i="7"/>
  <c r="I6" i="7"/>
  <c r="H27" i="7"/>
  <c r="H34" i="7"/>
  <c r="H41" i="7"/>
  <c r="J5" i="12" l="1"/>
  <c r="J6" i="11"/>
  <c r="H47" i="14"/>
  <c r="H49" i="14"/>
  <c r="K7" i="14"/>
  <c r="J41" i="14"/>
  <c r="I44" i="14"/>
  <c r="I48" i="14" s="1"/>
  <c r="I42" i="14"/>
  <c r="I46" i="14"/>
  <c r="H22" i="12"/>
  <c r="H27" i="12"/>
  <c r="H11" i="12"/>
  <c r="H17" i="12"/>
  <c r="K5" i="5"/>
  <c r="K20" i="5" s="1"/>
  <c r="J12" i="5"/>
  <c r="J6" i="14"/>
  <c r="J40" i="14" s="1"/>
  <c r="I18" i="6"/>
  <c r="I10" i="6"/>
  <c r="J5" i="6"/>
  <c r="I14" i="8"/>
  <c r="J5" i="8"/>
  <c r="I19" i="8"/>
  <c r="I26" i="8"/>
  <c r="I32" i="8"/>
  <c r="I12" i="7"/>
  <c r="I34" i="7"/>
  <c r="I41" i="7"/>
  <c r="I19" i="7"/>
  <c r="I27" i="7"/>
  <c r="J6" i="7"/>
  <c r="K5" i="12" l="1"/>
  <c r="K6" i="11"/>
  <c r="K41" i="14"/>
  <c r="L7" i="14"/>
  <c r="J42" i="14"/>
  <c r="J44" i="14"/>
  <c r="J48" i="14" s="1"/>
  <c r="J46" i="14"/>
  <c r="I47" i="14"/>
  <c r="I49" i="14"/>
  <c r="I11" i="12"/>
  <c r="I22" i="12"/>
  <c r="I27" i="12"/>
  <c r="I17" i="12"/>
  <c r="L5" i="5"/>
  <c r="L20" i="5" s="1"/>
  <c r="K12" i="5"/>
  <c r="K6" i="14"/>
  <c r="K40" i="14" s="1"/>
  <c r="J10" i="6"/>
  <c r="J18" i="6"/>
  <c r="K5" i="6"/>
  <c r="K5" i="8"/>
  <c r="J14" i="8"/>
  <c r="J19" i="8"/>
  <c r="J26" i="8"/>
  <c r="J32" i="8"/>
  <c r="K6" i="7"/>
  <c r="J27" i="7"/>
  <c r="J19" i="7"/>
  <c r="J12" i="7"/>
  <c r="J41" i="7"/>
  <c r="J34" i="7"/>
  <c r="L5" i="12" l="1"/>
  <c r="L6" i="11"/>
  <c r="K46" i="14"/>
  <c r="K42" i="14"/>
  <c r="K44" i="14"/>
  <c r="K48" i="14" s="1"/>
  <c r="L41" i="14"/>
  <c r="J47" i="14"/>
  <c r="J49" i="14"/>
  <c r="J11" i="12"/>
  <c r="J27" i="12"/>
  <c r="J22" i="12"/>
  <c r="J17" i="12"/>
  <c r="L12" i="5"/>
  <c r="L6" i="14"/>
  <c r="L40" i="14" s="1"/>
  <c r="K10" i="6"/>
  <c r="K18" i="6"/>
  <c r="L5" i="6"/>
  <c r="K14" i="8"/>
  <c r="K19" i="8"/>
  <c r="L5" i="8"/>
  <c r="K26" i="8"/>
  <c r="K32" i="8"/>
  <c r="L6" i="7"/>
  <c r="K41" i="7"/>
  <c r="K34" i="7"/>
  <c r="K27" i="7"/>
  <c r="K19" i="7"/>
  <c r="K12" i="7"/>
  <c r="K49" i="14" l="1"/>
  <c r="K47" i="14"/>
  <c r="L44" i="14"/>
  <c r="L48" i="14" s="1"/>
  <c r="L46" i="14"/>
  <c r="L42" i="14"/>
  <c r="K22" i="12"/>
  <c r="K17" i="12"/>
  <c r="K11" i="12"/>
  <c r="K27" i="12"/>
  <c r="L18" i="6"/>
  <c r="L10" i="6"/>
  <c r="L26" i="8"/>
  <c r="L19" i="8"/>
  <c r="L14" i="8"/>
  <c r="L32" i="8"/>
  <c r="L34" i="7"/>
  <c r="L41" i="7"/>
  <c r="L19" i="7"/>
  <c r="L27" i="7"/>
  <c r="L12" i="7"/>
  <c r="AC65" i="3"/>
  <c r="L47" i="14" l="1"/>
  <c r="L49" i="14"/>
  <c r="L27" i="12"/>
  <c r="L22" i="12"/>
  <c r="L17" i="12"/>
  <c r="L11" i="12"/>
  <c r="H9" i="5" l="1"/>
  <c r="H13" i="5"/>
  <c r="H6" i="8" l="1"/>
  <c r="H6" i="6"/>
  <c r="H11" i="6" s="1"/>
  <c r="H6" i="12"/>
  <c r="H12"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2"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0" i="12" l="1"/>
  <c r="C54" i="12" s="1"/>
  <c r="C55" i="12" s="1"/>
  <c r="C7" i="13" s="1"/>
  <c r="I5" i="1" s="1"/>
  <c r="L12" i="12"/>
  <c r="J28" i="7"/>
  <c r="K12" i="12"/>
  <c r="J12" i="12"/>
  <c r="H7" i="12"/>
  <c r="H13"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4" i="12" s="1"/>
  <c r="H7" i="11"/>
  <c r="H10" i="11"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8" i="12" s="1"/>
  <c r="C41" i="12" s="1"/>
  <c r="C42" i="12" s="1"/>
  <c r="C45" i="12" s="1"/>
  <c r="C47" i="12" s="1"/>
  <c r="C6" i="13" s="1"/>
  <c r="I4" i="1"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3" i="12"/>
  <c r="J13" i="12"/>
  <c r="K13" i="12"/>
  <c r="L13" i="12"/>
  <c r="J8" i="12" l="1"/>
  <c r="J7" i="11"/>
  <c r="J10" i="11" s="1"/>
  <c r="L8" i="12"/>
  <c r="C58" i="12" s="1"/>
  <c r="C61" i="12" s="1"/>
  <c r="C62" i="12" s="1"/>
  <c r="C65" i="12" s="1"/>
  <c r="C67" i="12" s="1"/>
  <c r="C8" i="13" s="1"/>
  <c r="I6" i="1" s="1"/>
  <c r="L7" i="11"/>
  <c r="I8" i="12"/>
  <c r="I7" i="11"/>
  <c r="I10" i="11" s="1"/>
  <c r="K8" i="12"/>
  <c r="K7" i="11"/>
  <c r="K10" i="11" s="1"/>
  <c r="L10" i="11" l="1"/>
  <c r="C19" i="11" s="1"/>
  <c r="L8" i="11"/>
  <c r="L11" i="11" s="1"/>
  <c r="C20" i="11" s="1"/>
  <c r="I14" i="12"/>
  <c r="J14" i="12"/>
  <c r="K14" i="12"/>
  <c r="L14" i="12"/>
  <c r="C21" i="11" l="1"/>
  <c r="C24" i="11" s="1"/>
  <c r="C26" i="11" s="1"/>
  <c r="C5" i="13" s="1"/>
  <c r="I3" i="1" l="1"/>
  <c r="C9" i="13"/>
  <c r="AE6" i="5"/>
  <c r="AE22" i="5" s="1"/>
  <c r="AA9" i="5"/>
  <c r="AA13" i="5"/>
  <c r="I7" i="1" l="1"/>
  <c r="X6" i="6"/>
  <c r="X11" i="6" s="1"/>
  <c r="AB11" i="6" s="1"/>
  <c r="AE9" i="5"/>
  <c r="AB6" i="6" s="1"/>
  <c r="AA16" i="5"/>
  <c r="X13" i="6" l="1"/>
  <c r="X12" i="6"/>
  <c r="AB12" i="6" s="1"/>
  <c r="AB13" i="6" l="1"/>
  <c r="X14" i="6"/>
  <c r="X22" i="6" l="1"/>
  <c r="AB14" i="6"/>
  <c r="F27" i="1" s="1"/>
  <c r="C9" i="10" s="1"/>
  <c r="C10" i="10" s="1"/>
  <c r="C10" i="13" s="1"/>
  <c r="C11" i="13" s="1"/>
  <c r="I8"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<sst xmlns="http://schemas.openxmlformats.org/spreadsheetml/2006/main" count="773" uniqueCount="433">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</sst>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9424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3535.7563856638062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0.72946822509482157</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0.67989322559699872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1.0631768953068592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0.50818716392752861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645.59242105263149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2212</c:v>
                </c:pt>
                <c:pt idx="1">
                  <c:v>2409</c:v>
                </c:pt>
                <c:pt idx="2">
                  <c:v>2294</c:v>
                </c:pt>
                <c:pt idx="3">
                  <c:v>2605</c:v>
                </c:pt>
                <c:pt idx="4">
                  <c:v>2818</c:v>
                </c:pt>
                <c:pt idx="5">
                  <c:v>3017</c:v>
                </c:pt>
                <c:pt idx="6">
                  <c:v>3337</c:v>
                </c:pt>
                <c:pt idx="7">
                  <c:v>3747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334</c:v>
                </c:pt>
                <c:pt idx="1">
                  <c:v>560</c:v>
                </c:pt>
                <c:pt idx="2">
                  <c:v>760</c:v>
                </c:pt>
                <c:pt idx="3">
                  <c:v>680</c:v>
                </c:pt>
                <c:pt idx="4">
                  <c:v>792</c:v>
                </c:pt>
                <c:pt idx="5">
                  <c:v>908</c:v>
                </c:pt>
                <c:pt idx="6">
                  <c:v>1190</c:v>
                </c:pt>
                <c:pt idx="7">
                  <c:v>1563</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153</c:v>
                </c:pt>
                <c:pt idx="1">
                  <c:v>466</c:v>
                </c:pt>
                <c:pt idx="2">
                  <c:v>772</c:v>
                </c:pt>
                <c:pt idx="3">
                  <c:v>252</c:v>
                </c:pt>
                <c:pt idx="4">
                  <c:v>1182</c:v>
                </c:pt>
                <c:pt idx="5">
                  <c:v>1842</c:v>
                </c:pt>
                <c:pt idx="6">
                  <c:v>3205</c:v>
                </c:pt>
                <c:pt idx="7">
                  <c:v>3195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0.36437613019891502</c:v>
                </c:pt>
                <c:pt idx="1">
                  <c:v>0.37650477376504776</c:v>
                </c:pt>
                <c:pt idx="2">
                  <c:v>0.39755884917175238</c:v>
                </c:pt>
                <c:pt idx="3">
                  <c:v>0.40959692898272554</c:v>
                </c:pt>
                <c:pt idx="4">
                  <c:v>0.43541518807665008</c:v>
                </c:pt>
                <c:pt idx="5">
                  <c:v>0.45740802121312563</c:v>
                </c:pt>
                <c:pt idx="6">
                  <c:v>0.50224752771950854</c:v>
                </c:pt>
                <c:pt idx="7">
                  <c:v>0.54123298638911133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0.15099457504520797</c:v>
                </c:pt>
                <c:pt idx="1">
                  <c:v>0.23246160232461602</c:v>
                </c:pt>
                <c:pt idx="2">
                  <c:v>0.33129904097646035</c:v>
                </c:pt>
                <c:pt idx="3">
                  <c:v>0.26103646833013433</c:v>
                </c:pt>
                <c:pt idx="4">
                  <c:v>0.28105039034776436</c:v>
                </c:pt>
                <c:pt idx="5">
                  <c:v>0.30096121975472323</c:v>
                </c:pt>
                <c:pt idx="6">
                  <c:v>0.35660773149535513</c:v>
                </c:pt>
                <c:pt idx="7">
                  <c:v>0.41713370696557245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6.9168173598553345E-2</c:v>
                </c:pt>
                <c:pt idx="1">
                  <c:v>0.19344126193441261</c:v>
                </c:pt>
                <c:pt idx="2">
                  <c:v>0.33653007846556232</c:v>
                </c:pt>
                <c:pt idx="3">
                  <c:v>9.6737044145873322E-2</c:v>
                </c:pt>
                <c:pt idx="4">
                  <c:v>0.41944641589779985</c:v>
                </c:pt>
                <c:pt idx="5">
                  <c:v>0.61054027179317205</c:v>
                </c:pt>
                <c:pt idx="6">
                  <c:v>0.96044351213664969</c:v>
                </c:pt>
                <c:pt idx="7">
                  <c:v>0.8526821457165733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1909</c:v>
                </c:pt>
                <c:pt idx="1">
                  <c:v>2096</c:v>
                </c:pt>
                <c:pt idx="2">
                  <c:v>2007</c:v>
                </c:pt>
                <c:pt idx="3">
                  <c:v>2329</c:v>
                </c:pt>
                <c:pt idx="4">
                  <c:v>2510</c:v>
                </c:pt>
                <c:pt idx="5">
                  <c:v>2673</c:v>
                </c:pt>
                <c:pt idx="6">
                  <c:v>2972</c:v>
                </c:pt>
                <c:pt idx="7">
                  <c:v>3335</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139</c:v>
                </c:pt>
                <c:pt idx="1">
                  <c:v>140</c:v>
                </c:pt>
                <c:pt idx="2">
                  <c:v>137</c:v>
                </c:pt>
                <c:pt idx="3">
                  <c:v>140</c:v>
                </c:pt>
                <c:pt idx="4">
                  <c:v>146</c:v>
                </c:pt>
                <c:pt idx="5">
                  <c:v>176</c:v>
                </c:pt>
                <c:pt idx="6">
                  <c:v>179</c:v>
                </c:pt>
                <c:pt idx="7">
                  <c:v>225</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164</c:v>
                </c:pt>
                <c:pt idx="1">
                  <c:v>173</c:v>
                </c:pt>
                <c:pt idx="2">
                  <c:v>150</c:v>
                </c:pt>
                <c:pt idx="3">
                  <c:v>136</c:v>
                </c:pt>
                <c:pt idx="4">
                  <c:v>162</c:v>
                </c:pt>
                <c:pt idx="5">
                  <c:v>168</c:v>
                </c:pt>
                <c:pt idx="6">
                  <c:v>186</c:v>
                </c:pt>
                <c:pt idx="7">
                  <c:v>187</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-146</c:v>
                </c:pt>
                <c:pt idx="1">
                  <c:v>64</c:v>
                </c:pt>
                <c:pt idx="2">
                  <c:v>384</c:v>
                </c:pt>
                <c:pt idx="3">
                  <c:v>630</c:v>
                </c:pt>
                <c:pt idx="4">
                  <c:v>546</c:v>
                </c:pt>
                <c:pt idx="5">
                  <c:v>1146</c:v>
                </c:pt>
                <c:pt idx="6">
                  <c:v>2071</c:v>
                </c:pt>
                <c:pt idx="7">
                  <c:v>1236</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105.42</v>
    <v>2.1177000000000001</v>
    <v>11.994999999999999</v>
    <v>2.6764E-2</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474.54</v>
    <v>3</v>
    <v>Computers, Phones &amp; Household Electronics</v>
    <v>Stock</v>
    <v>46287.764522476566</v>
    <v>4</v>
    <v>438</v>
    <v>165908349265</v>
    <v>WESTERN DIGITAL CORPORATION</v>
    <v>WESTERN DIGITAL CORPORATION</v>
    <v>438.58</v>
    <v>18.954899999999999</v>
    <v>448.17</v>
    <v>460.16500000000002</v>
    <v>360541000</v>
    <v>WDC</v>
    <v>WESTERN DIGITAL CORPORATION (XNAS:WDC)</v>
    <v>5156355</v>
    <v>6519780</v>
    <v>2000</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50.16</v>
    <v>39.47</v>
    <v>-0.35</v>
    <v>-7.0030000000000005E-3</v>
    <v>US</v>
    <v>49.76</v>
    <v>Index</v>
    <v>10</v>
    <v>49.51</v>
    <v>10 Y TSY YLD NDX</v>
    <v>49.53</v>
    <v>49.98</v>
    <v>49.63</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opLeftCell="A2" zoomScale="160" zoomScaleNormal="160" workbookViewId="0">
      <selection activeCell="C53" sqref="C5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3" t="s">
        <v>17</v>
      </c>
      <c r="C2" s="244"/>
      <c r="E2" s="243" t="s">
        <v>291</v>
      </c>
      <c r="F2" s="244"/>
      <c r="H2" s="243" t="s">
        <v>332</v>
      </c>
      <c r="I2" s="244"/>
    </row>
    <row r="3" spans="2:9" x14ac:dyDescent="0.2">
      <c r="B3" s="185" t="s">
        <v>11</v>
      </c>
      <c r="C3" s="217" t="e" vm="1">
        <v>#VALUE!</v>
      </c>
      <c r="D3" s="2"/>
      <c r="E3" s="185" t="s">
        <v>243</v>
      </c>
      <c r="F3" s="187">
        <f ca="1">Statement!AC151</f>
        <v>183605.83500000002</v>
      </c>
      <c r="H3" s="185" t="str">
        <f>'AVG target price'!B5</f>
        <v>DCF price</v>
      </c>
      <c r="I3" s="211">
        <f>'AVG target price'!C5</f>
        <v>100.93902416944954</v>
      </c>
    </row>
    <row r="4" spans="2:9" x14ac:dyDescent="0.2">
      <c r="B4" s="185" t="s">
        <v>0</v>
      </c>
      <c r="C4" s="189" t="str" cm="1">
        <f t="array" aca="1" ref="C4" ca="1">_FV(C3,"Ticker symbol",TRUE)</f>
        <v>WDC</v>
      </c>
      <c r="E4" s="186" t="s">
        <v>187</v>
      </c>
      <c r="F4" s="188">
        <f ca="1">Statement!AC152</f>
        <v>183078.83500000002</v>
      </c>
      <c r="H4" s="185" t="str">
        <f>'AVG target price'!B6</f>
        <v>EV/EBIT price</v>
      </c>
      <c r="I4" s="211">
        <f>'AVG target price'!C6</f>
        <v>94.427400864147543</v>
      </c>
    </row>
    <row r="5" spans="2:9" x14ac:dyDescent="0.2">
      <c r="B5" s="185" t="s">
        <v>1</v>
      </c>
      <c r="C5" s="208" cm="1">
        <f t="array" aca="1" ref="C5" ca="1">_FV(C3,"Price",TRUE)</f>
        <v>460.16500000000002</v>
      </c>
      <c r="E5" s="185" t="s">
        <v>247</v>
      </c>
      <c r="F5" s="189">
        <f>Statement!AC25</f>
        <v>24.21</v>
      </c>
      <c r="H5" s="185" t="str">
        <f>'AVG target price'!B7</f>
        <v>PS price</v>
      </c>
      <c r="I5" s="211">
        <f>'AVG target price'!C7</f>
        <v>102.14368350380896</v>
      </c>
    </row>
    <row r="6" spans="2:9" x14ac:dyDescent="0.2">
      <c r="B6" s="185" t="s">
        <v>2</v>
      </c>
      <c r="C6" s="208" t="e" cm="1" vm="2">
        <f t="array" ref="C6">_FV(C3,"Price (Extended hours)",TRUE)</f>
        <v>#VALUE!</v>
      </c>
      <c r="E6" s="185" t="s">
        <v>241</v>
      </c>
      <c r="F6" s="190">
        <f ca="1">Statement!AC148</f>
        <v>19.007228418009088</v>
      </c>
      <c r="H6" s="185" t="str">
        <f>'AVG target price'!B8</f>
        <v>EV/FCFF price</v>
      </c>
      <c r="I6" s="211">
        <f>'AVG target price'!C8</f>
        <v>109.33715979297428</v>
      </c>
    </row>
    <row r="7" spans="2:9" x14ac:dyDescent="0.2">
      <c r="B7" s="185" t="s">
        <v>3</v>
      </c>
      <c r="C7" s="6" cm="1">
        <f t="array" aca="1" ref="C7" ca="1">_FV(C3,"Change")</f>
        <v>11.994999999999999</v>
      </c>
      <c r="E7" s="186" t="s">
        <v>200</v>
      </c>
      <c r="F7" s="191">
        <f ca="1">Statement!AC149</f>
        <v>13.651074870346003</v>
      </c>
      <c r="H7" s="184" t="str">
        <f>'AVG target price'!B9</f>
        <v>AVG price</v>
      </c>
      <c r="I7" s="212">
        <f>'AVG target price'!C9</f>
        <v>101.71181708259508</v>
      </c>
    </row>
    <row r="8" spans="2:9" x14ac:dyDescent="0.2">
      <c r="B8" s="185" t="s">
        <v>4</v>
      </c>
      <c r="C8" s="6" t="e" cm="1" vm="3">
        <f t="array" ref="C8">_FV(C3,"Change (extended hours)",TRUE)</f>
        <v>#VALUE!</v>
      </c>
      <c r="E8" s="185" t="s">
        <v>269</v>
      </c>
      <c r="F8" s="192">
        <f ca="1">Statement!AC159</f>
        <v>2.7226803549026637E-2</v>
      </c>
      <c r="H8" s="184" t="str">
        <f>'AVG target price'!B11</f>
        <v>Upside/Downside</v>
      </c>
      <c r="I8" s="213">
        <f ca="1">'AVG target price'!C11</f>
        <v>-0.77896663787425147</v>
      </c>
    </row>
    <row r="9" spans="2:9" x14ac:dyDescent="0.2">
      <c r="B9" s="185" t="s">
        <v>5</v>
      </c>
      <c r="C9" s="73" cm="1">
        <f t="array" aca="1" ref="C9" ca="1">_FV(C3,"Change (%)",TRUE)</f>
        <v>2.6764E-2</v>
      </c>
      <c r="E9" s="185" t="s">
        <v>292</v>
      </c>
      <c r="F9" s="192">
        <f ca="1">Statement!AC160</f>
        <v>5.2611563243619139E-2</v>
      </c>
    </row>
    <row r="10" spans="2:9" x14ac:dyDescent="0.2">
      <c r="B10" s="185" t="s">
        <v>6</v>
      </c>
      <c r="C10" s="73" t="e" cm="1" vm="4">
        <f t="array" ref="C10">_FV(C3,"Change % (extended hours)",TRUE)</f>
        <v>#VALUE!</v>
      </c>
      <c r="E10" s="185" t="s">
        <v>297</v>
      </c>
      <c r="F10" s="192">
        <f ca="1">Statement!AC162</f>
        <v>2.3490538849160209E-2</v>
      </c>
      <c r="H10" s="184" t="s">
        <v>371</v>
      </c>
      <c r="I10" s="212">
        <f>DDM!C26</f>
        <v>11.111111111111111</v>
      </c>
    </row>
    <row r="11" spans="2:9" x14ac:dyDescent="0.2">
      <c r="B11" s="185" t="s">
        <v>7</v>
      </c>
      <c r="C11" s="209" cm="1">
        <f t="array" aca="1" ref="C11" ca="1">_FV(C3,"52 week high",TRUE)</f>
        <v>799.87</v>
      </c>
      <c r="E11" s="186" t="s">
        <v>293</v>
      </c>
      <c r="F11" s="193">
        <f ca="1">Statement!AC161</f>
        <v>1.0865667749611551E-3</v>
      </c>
    </row>
    <row r="12" spans="2:9" x14ac:dyDescent="0.2">
      <c r="B12" s="185" t="s">
        <v>8</v>
      </c>
      <c r="C12" s="209" cm="1">
        <f t="array" aca="1" ref="C12" ca="1">_FV(C3,"52 week low",TRUE)</f>
        <v>105.42</v>
      </c>
      <c r="E12" s="185" t="s">
        <v>101</v>
      </c>
      <c r="F12" s="192">
        <f>Statement!AC121</f>
        <v>0.67989322559699872</v>
      </c>
    </row>
    <row r="13" spans="2:9" x14ac:dyDescent="0.2">
      <c r="B13" s="185" t="s">
        <v>9</v>
      </c>
      <c r="C13" s="209" cm="1">
        <f t="array" aca="1" ref="C13" ca="1">_FV(C3,"Beta")</f>
        <v>2.1177000000000001</v>
      </c>
      <c r="E13" s="185" t="s">
        <v>103</v>
      </c>
      <c r="F13" s="192">
        <f>Statement!AC123</f>
        <v>1.0631768953068592</v>
      </c>
    </row>
    <row r="14" spans="2:9" x14ac:dyDescent="0.2">
      <c r="B14" s="186" t="s">
        <v>10</v>
      </c>
      <c r="C14" s="210" cm="1">
        <f t="array" aca="1" ref="C14" ca="1">_FV(C3,"Volume average",TRUE)</f>
        <v>6519780</v>
      </c>
      <c r="E14" s="186" t="s">
        <v>104</v>
      </c>
      <c r="F14" s="193">
        <f>Statement!AC138</f>
        <v>0.50818716392752861</v>
      </c>
    </row>
    <row r="15" spans="2:9" x14ac:dyDescent="0.2">
      <c r="E15" s="185" t="s">
        <v>294</v>
      </c>
      <c r="F15" s="192">
        <f ca="1">Statement!AC174</f>
        <v>2.8702791498973874E-3</v>
      </c>
    </row>
    <row r="16" spans="2:9" x14ac:dyDescent="0.2">
      <c r="E16" s="186" t="s">
        <v>299</v>
      </c>
      <c r="F16" s="191">
        <f>Statement!AC173</f>
        <v>1.4598337950138505</v>
      </c>
    </row>
    <row r="17" spans="2:9" x14ac:dyDescent="0.2">
      <c r="B17" s="245" t="s">
        <v>89</v>
      </c>
      <c r="C17" s="245"/>
      <c r="E17" s="184" t="s">
        <v>300</v>
      </c>
      <c r="F17" s="194">
        <f>Statement!AC169</f>
        <v>2.5062656641604009E-3</v>
      </c>
    </row>
    <row r="18" spans="2:9" x14ac:dyDescent="0.2">
      <c r="B18" s="184" t="s">
        <v>12</v>
      </c>
      <c r="C18" s="69" t="s">
        <v>363</v>
      </c>
      <c r="E18" s="185" t="s">
        <v>301</v>
      </c>
      <c r="F18" s="190">
        <f>Statement!AC142</f>
        <v>42.713410112871273</v>
      </c>
      <c r="I18" s="50"/>
    </row>
    <row r="19" spans="2:9" x14ac:dyDescent="0.2">
      <c r="B19" s="184" t="s">
        <v>13</v>
      </c>
      <c r="C19" s="70">
        <v>1000000</v>
      </c>
      <c r="E19" s="185" t="s">
        <v>262</v>
      </c>
      <c r="F19" s="190">
        <f>Statement!AC144</f>
        <v>-5.9453971119133572E-2</v>
      </c>
    </row>
    <row r="20" spans="2:9" x14ac:dyDescent="0.2">
      <c r="B20" s="184" t="s">
        <v>90</v>
      </c>
      <c r="C20" s="69" t="s">
        <v>93</v>
      </c>
      <c r="E20" s="186" t="s">
        <v>302</v>
      </c>
      <c r="F20" s="191">
        <f>Statement!AC145</f>
        <v>0.85023584905660377</v>
      </c>
    </row>
    <row r="21" spans="2:9" x14ac:dyDescent="0.2">
      <c r="B21" s="184" t="s">
        <v>92</v>
      </c>
      <c r="C21" s="69" t="s">
        <v>93</v>
      </c>
      <c r="I21" s="50"/>
    </row>
    <row r="22" spans="2:9" x14ac:dyDescent="0.2">
      <c r="B22" s="184" t="s">
        <v>94</v>
      </c>
      <c r="C22" s="69" t="s">
        <v>91</v>
      </c>
    </row>
    <row r="25" spans="2:9" x14ac:dyDescent="0.2">
      <c r="B25" s="245" t="s">
        <v>106</v>
      </c>
      <c r="C25" s="245"/>
      <c r="E25" s="243" t="s">
        <v>345</v>
      </c>
      <c r="F25" s="244"/>
    </row>
    <row r="26" spans="2:9" x14ac:dyDescent="0.2">
      <c r="B26" s="184" t="s">
        <v>107</v>
      </c>
      <c r="C26" s="170">
        <v>0.21</v>
      </c>
      <c r="E26" s="185" t="e" vm="5">
        <v>#VALUE!</v>
      </c>
      <c r="F26" s="219" cm="1">
        <f t="array" aca="1" ref="F26" ca="1">_FV(E26,"Price")</f>
        <v>49.63</v>
      </c>
    </row>
    <row r="27" spans="2:9" x14ac:dyDescent="0.2">
      <c r="B27" s="184" t="s">
        <v>171</v>
      </c>
      <c r="C27" s="221">
        <v>3.5000000000000003E-2</v>
      </c>
      <c r="E27" s="186" t="s">
        <v>346</v>
      </c>
      <c r="F27" s="220">
        <f ca="1">F26/1000</f>
        <v>4.9630000000000001E-2</v>
      </c>
    </row>
    <row r="28" spans="2:9" x14ac:dyDescent="0.2">
      <c r="B28" s="184" t="s">
        <v>350</v>
      </c>
      <c r="C28" s="221">
        <v>0.1</v>
      </c>
    </row>
    <row r="29" spans="2:9" x14ac:dyDescent="0.2">
      <c r="B29" s="184" t="s">
        <v>370</v>
      </c>
      <c r="C29" s="221">
        <v>0.11</v>
      </c>
    </row>
    <row r="33" spans="2:8" x14ac:dyDescent="0.2">
      <c r="B33" s="242" t="s">
        <v>340</v>
      </c>
      <c r="C33" s="242"/>
      <c r="D33" s="242"/>
      <c r="E33" s="242"/>
      <c r="F33" s="242"/>
      <c r="G33" s="242"/>
      <c r="H33" s="242"/>
    </row>
    <row r="35" spans="2:8" x14ac:dyDescent="0.2">
      <c r="B35" s="16" t="s">
        <v>341</v>
      </c>
      <c r="C35" s="1" t="s">
        <v>418</v>
      </c>
    </row>
    <row r="36" spans="2:8" x14ac:dyDescent="0.2">
      <c r="B36" s="16" t="s">
        <v>342</v>
      </c>
      <c r="C36" s="1" t="s">
        <v>411</v>
      </c>
    </row>
    <row r="37" spans="2:8" x14ac:dyDescent="0.2">
      <c r="B37" s="16" t="s">
        <v>409</v>
      </c>
      <c r="C37" s="1" t="s">
        <v>412</v>
      </c>
    </row>
    <row r="38" spans="2:8" x14ac:dyDescent="0.2">
      <c r="B38" s="16"/>
      <c r="C38" s="1" t="s">
        <v>413</v>
      </c>
    </row>
    <row r="39" spans="2:8" x14ac:dyDescent="0.2">
      <c r="B39" s="16"/>
      <c r="C39" s="1" t="s">
        <v>414</v>
      </c>
    </row>
    <row r="40" spans="2:8" x14ac:dyDescent="0.2">
      <c r="B40" s="16" t="s">
        <v>410</v>
      </c>
      <c r="C40" s="1" t="s">
        <v>415</v>
      </c>
    </row>
    <row r="41" spans="2:8" x14ac:dyDescent="0.2">
      <c r="B41" s="16"/>
      <c r="C41" s="1" t="s">
        <v>416</v>
      </c>
    </row>
    <row r="42" spans="2:8" x14ac:dyDescent="0.2">
      <c r="B42" s="16"/>
      <c r="C42" s="1" t="s">
        <v>417</v>
      </c>
    </row>
    <row r="43" spans="2:8" x14ac:dyDescent="0.2">
      <c r="B43" s="16" t="s">
        <v>419</v>
      </c>
      <c r="C43" s="90">
        <v>4500</v>
      </c>
    </row>
    <row r="46" spans="2:8" ht="6" customHeight="1" x14ac:dyDescent="0.2">
      <c r="B46" s="242"/>
      <c r="C46" s="242"/>
      <c r="D46" s="242"/>
      <c r="E46" s="242"/>
      <c r="F46" s="242"/>
      <c r="G46" s="242"/>
      <c r="H46" s="242"/>
    </row>
    <row r="49" spans="2:8" x14ac:dyDescent="0.2">
      <c r="B49" s="242" t="s">
        <v>343</v>
      </c>
      <c r="C49" s="242"/>
      <c r="D49" s="242"/>
      <c r="E49" s="242"/>
      <c r="F49" s="242"/>
      <c r="G49" s="242"/>
      <c r="H49" s="242"/>
    </row>
    <row r="51" spans="2:8" x14ac:dyDescent="0.2">
      <c r="B51" s="41" t="s">
        <v>344</v>
      </c>
      <c r="C51" s="41" t="s">
        <v>429</v>
      </c>
      <c r="D51" s="41"/>
      <c r="E51" s="41" t="s">
        <v>427</v>
      </c>
    </row>
    <row r="52" spans="2:8" x14ac:dyDescent="0.2">
      <c r="B52" s="1" t="s">
        <v>400</v>
      </c>
      <c r="C52" s="1" t="s">
        <v>430</v>
      </c>
    </row>
    <row r="53" spans="2:8" x14ac:dyDescent="0.2">
      <c r="B53" s="1" t="s">
        <v>400</v>
      </c>
      <c r="C53" s="1" t="s">
        <v>432</v>
      </c>
    </row>
    <row r="54" spans="2:8" x14ac:dyDescent="0.2">
      <c r="B54" s="1" t="s">
        <v>400</v>
      </c>
      <c r="C54" s="1" t="s">
        <v>431</v>
      </c>
    </row>
    <row r="56" spans="2:8" x14ac:dyDescent="0.2">
      <c r="B56" s="41" t="s">
        <v>344</v>
      </c>
      <c r="C56" s="41" t="s">
        <v>426</v>
      </c>
      <c r="D56" s="41"/>
      <c r="E56" s="41" t="s">
        <v>387</v>
      </c>
    </row>
    <row r="57" spans="2:8" x14ac:dyDescent="0.2">
      <c r="B57" s="1" t="s">
        <v>400</v>
      </c>
      <c r="C57" s="1" t="s">
        <v>406</v>
      </c>
    </row>
    <row r="58" spans="2:8" x14ac:dyDescent="0.2">
      <c r="B58" s="1" t="s">
        <v>400</v>
      </c>
      <c r="C58" s="1" t="s">
        <v>407</v>
      </c>
    </row>
    <row r="59" spans="2:8" x14ac:dyDescent="0.2">
      <c r="B59" s="1" t="s">
        <v>400</v>
      </c>
      <c r="C59" s="1" t="s">
        <v>408</v>
      </c>
    </row>
    <row r="61" spans="2:8" x14ac:dyDescent="0.2">
      <c r="B61" s="41" t="s">
        <v>344</v>
      </c>
      <c r="C61" s="41" t="s">
        <v>398</v>
      </c>
      <c r="D61" s="41"/>
      <c r="E61" s="41" t="s">
        <v>399</v>
      </c>
    </row>
    <row r="62" spans="2:8" x14ac:dyDescent="0.2">
      <c r="B62" s="1" t="s">
        <v>400</v>
      </c>
      <c r="C62" s="1" t="s">
        <v>401</v>
      </c>
    </row>
    <row r="66" spans="2:8" ht="5" customHeight="1" x14ac:dyDescent="0.2">
      <c r="B66" s="242"/>
      <c r="C66" s="242"/>
      <c r="D66" s="242"/>
      <c r="E66" s="242"/>
      <c r="F66" s="242"/>
      <c r="G66" s="242"/>
      <c r="H66" s="242"/>
    </row>
    <row r="69" spans="2:8" x14ac:dyDescent="0.2">
      <c r="B69" s="242" t="s">
        <v>108</v>
      </c>
      <c r="C69" s="242"/>
      <c r="D69" s="242"/>
      <c r="E69" s="242"/>
      <c r="F69" s="242"/>
      <c r="G69" s="242"/>
      <c r="H69" s="242"/>
    </row>
    <row r="71" spans="2:8" x14ac:dyDescent="0.2">
      <c r="B71" s="41" t="s">
        <v>344</v>
      </c>
      <c r="C71" s="41" t="s">
        <v>364</v>
      </c>
      <c r="D71" s="41"/>
      <c r="E71" s="41" t="s">
        <v>369</v>
      </c>
    </row>
    <row r="76" spans="2:8" ht="5" customHeight="1" x14ac:dyDescent="0.2">
      <c r="B76" s="242"/>
      <c r="C76" s="242"/>
      <c r="D76" s="242"/>
      <c r="E76" s="242"/>
      <c r="F76" s="242"/>
      <c r="G76" s="242"/>
      <c r="H76" s="242"/>
    </row>
  </sheetData>
  <mergeCells count="12">
    <mergeCell ref="B2:C2"/>
    <mergeCell ref="B17:C17"/>
    <mergeCell ref="B25:C25"/>
    <mergeCell ref="E2:F2"/>
    <mergeCell ref="H2:I2"/>
    <mergeCell ref="E25:F25"/>
    <mergeCell ref="B69:H69"/>
    <mergeCell ref="B76:H76"/>
    <mergeCell ref="B33:H33"/>
    <mergeCell ref="B46:H46"/>
    <mergeCell ref="B49:H49"/>
    <mergeCell ref="B66:H6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70" zoomScaleNormal="150" workbookViewId="0">
      <pane xSplit="2" ySplit="3" topLeftCell="M206" activePane="bottomRight" state="frozen"/>
      <selection pane="topRight" activeCell="C1" sqref="C1"/>
      <selection pane="bottomLeft" activeCell="A4" sqref="A4"/>
      <selection pane="bottomRight" activeCell="Q211" sqref="Q21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386</v>
      </c>
      <c r="M2" s="9" t="s">
        <v>385</v>
      </c>
      <c r="N2" s="10" t="s">
        <v>383</v>
      </c>
      <c r="O2" s="10" t="s">
        <v>382</v>
      </c>
      <c r="P2" s="10" t="s">
        <v>381</v>
      </c>
      <c r="Q2" s="10" t="s">
        <v>428</v>
      </c>
      <c r="R2" s="7"/>
      <c r="S2" s="7"/>
      <c r="T2" s="10" t="s">
        <v>393</v>
      </c>
      <c r="U2" s="10" t="s">
        <v>391</v>
      </c>
      <c r="V2" s="10" t="s">
        <v>389</v>
      </c>
      <c r="W2" s="10" t="s">
        <v>381</v>
      </c>
      <c r="X2" s="203" t="s">
        <v>392</v>
      </c>
      <c r="Y2" s="203" t="s">
        <v>390</v>
      </c>
      <c r="Z2" s="203" t="s">
        <v>388</v>
      </c>
      <c r="AA2" s="203" t="s">
        <v>428</v>
      </c>
      <c r="AB2" s="7"/>
      <c r="AD2" s="7"/>
      <c r="AE2" s="7"/>
    </row>
    <row r="3" spans="1:31" s="13" customFormat="1" x14ac:dyDescent="0.2">
      <c r="A3" s="11"/>
      <c r="B3" s="12" t="s">
        <v>16</v>
      </c>
      <c r="L3" s="13">
        <v>2021</v>
      </c>
      <c r="M3" s="13">
        <v>2022</v>
      </c>
      <c r="N3" s="13">
        <v>2023</v>
      </c>
      <c r="O3" s="13">
        <v>2024</v>
      </c>
      <c r="P3" s="13">
        <v>2025</v>
      </c>
      <c r="Q3" s="13">
        <v>2026</v>
      </c>
      <c r="R3" s="11"/>
      <c r="S3" s="11"/>
      <c r="T3" s="10" t="s">
        <v>365</v>
      </c>
      <c r="U3" s="10" t="s">
        <v>87</v>
      </c>
      <c r="V3" s="10" t="s">
        <v>85</v>
      </c>
      <c r="W3" s="10" t="s">
        <v>84</v>
      </c>
      <c r="X3" s="203" t="s">
        <v>88</v>
      </c>
      <c r="Y3" s="203" t="s">
        <v>86</v>
      </c>
      <c r="Z3" s="203" t="s">
        <v>387</v>
      </c>
      <c r="AA3" s="203" t="s">
        <v>427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2212</v>
      </c>
      <c r="U5" s="18">
        <v>2409</v>
      </c>
      <c r="V5" s="18">
        <v>2294</v>
      </c>
      <c r="W5" s="18">
        <v>2605</v>
      </c>
      <c r="X5" s="18">
        <v>2818</v>
      </c>
      <c r="Y5" s="18">
        <v>3017</v>
      </c>
      <c r="Z5" s="18">
        <v>3337</v>
      </c>
      <c r="AA5" s="18">
        <v>3747</v>
      </c>
      <c r="AB5" s="16"/>
      <c r="AC5" s="18">
        <f>SUM(X5:AA5)</f>
        <v>12919</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1406</v>
      </c>
      <c r="U6" s="21">
        <v>1502</v>
      </c>
      <c r="V6" s="21">
        <v>1382</v>
      </c>
      <c r="W6" s="21">
        <v>1538</v>
      </c>
      <c r="X6" s="21">
        <v>1591</v>
      </c>
      <c r="Y6" s="21">
        <v>1637</v>
      </c>
      <c r="Z6" s="21">
        <v>1661</v>
      </c>
      <c r="AA6" s="21">
        <v>1719</v>
      </c>
      <c r="AC6" s="21">
        <f t="shared" ref="AC6:AC17" si="0">SUM(X6:AA6)</f>
        <v>6608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Y7" si="3">T5-T6</f>
        <v>806</v>
      </c>
      <c r="U7" s="22">
        <f t="shared" si="3"/>
        <v>907</v>
      </c>
      <c r="V7" s="22">
        <f t="shared" si="3"/>
        <v>912</v>
      </c>
      <c r="W7" s="22">
        <f t="shared" si="3"/>
        <v>1067</v>
      </c>
      <c r="X7" s="22">
        <f t="shared" si="3"/>
        <v>1227</v>
      </c>
      <c r="Y7" s="22">
        <f t="shared" si="3"/>
        <v>1380</v>
      </c>
      <c r="Z7" s="22">
        <f t="shared" ref="Z7:AA7" si="4">Z5-Z6</f>
        <v>1676</v>
      </c>
      <c r="AA7" s="22">
        <f t="shared" si="4"/>
        <v>2028</v>
      </c>
      <c r="AB7" s="16"/>
      <c r="AC7" s="22">
        <f t="shared" si="0"/>
        <v>6311</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262</v>
      </c>
      <c r="U8" s="21">
        <v>225</v>
      </c>
      <c r="V8" s="21">
        <v>245</v>
      </c>
      <c r="W8" s="21">
        <v>262</v>
      </c>
      <c r="X8" s="21">
        <v>294</v>
      </c>
      <c r="Y8" s="21">
        <v>289</v>
      </c>
      <c r="Z8" s="21">
        <v>294</v>
      </c>
      <c r="AA8" s="21">
        <v>284</v>
      </c>
      <c r="AC8" s="21">
        <f t="shared" si="0"/>
        <v>1161</v>
      </c>
    </row>
    <row r="9" spans="1:31" x14ac:dyDescent="0.2">
      <c r="B9" s="20" t="s">
        <v>384</v>
      </c>
      <c r="C9" s="21"/>
      <c r="D9" s="21"/>
      <c r="E9" s="21"/>
      <c r="F9" s="21"/>
      <c r="G9" s="21"/>
      <c r="H9" s="21"/>
      <c r="I9" s="21"/>
      <c r="J9" s="21"/>
      <c r="K9" s="21"/>
      <c r="L9" s="21">
        <v>1105</v>
      </c>
      <c r="M9" s="21">
        <v>1117</v>
      </c>
      <c r="N9" s="21">
        <v>807</v>
      </c>
      <c r="O9" s="21">
        <v>726</v>
      </c>
      <c r="P9" s="21">
        <v>568</v>
      </c>
      <c r="Q9" s="21">
        <v>551</v>
      </c>
      <c r="T9" s="21">
        <v>204</v>
      </c>
      <c r="U9" s="21">
        <v>132</v>
      </c>
      <c r="V9" s="21">
        <v>108</v>
      </c>
      <c r="W9" s="21">
        <v>124</v>
      </c>
      <c r="X9" s="21">
        <v>138</v>
      </c>
      <c r="Y9" s="21">
        <v>128</v>
      </c>
      <c r="Z9" s="21">
        <v>147</v>
      </c>
      <c r="AA9" s="21">
        <v>138</v>
      </c>
      <c r="AC9" s="21">
        <f t="shared" si="0"/>
        <v>551</v>
      </c>
    </row>
    <row r="10" spans="1:31" x14ac:dyDescent="0.2">
      <c r="B10" s="20" t="s">
        <v>394</v>
      </c>
      <c r="C10" s="21"/>
      <c r="D10" s="21"/>
      <c r="E10" s="21"/>
      <c r="F10" s="21"/>
      <c r="G10" s="21"/>
      <c r="H10" s="21"/>
      <c r="I10" s="21"/>
      <c r="J10" s="21"/>
      <c r="K10" s="21"/>
      <c r="L10" s="21">
        <v>3301</v>
      </c>
      <c r="M10" s="21">
        <v>3483</v>
      </c>
      <c r="N10" s="21">
        <v>1939</v>
      </c>
      <c r="O10" s="21">
        <v>2176</v>
      </c>
      <c r="P10" s="21">
        <v>1358</v>
      </c>
      <c r="Q10" s="21">
        <v>1858</v>
      </c>
      <c r="T10" s="21">
        <v>472</v>
      </c>
      <c r="U10" s="21">
        <v>347</v>
      </c>
      <c r="V10" s="21">
        <v>152</v>
      </c>
      <c r="W10" s="21">
        <v>387</v>
      </c>
      <c r="X10" s="21">
        <v>435</v>
      </c>
      <c r="Y10" s="21">
        <v>472</v>
      </c>
      <c r="Z10" s="21">
        <v>486</v>
      </c>
      <c r="AA10" s="21">
        <v>465</v>
      </c>
      <c r="AC10" s="21">
        <f t="shared" si="0"/>
        <v>1858</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334</v>
      </c>
      <c r="U11" s="18">
        <v>560</v>
      </c>
      <c r="V11" s="18">
        <v>760</v>
      </c>
      <c r="W11" s="18">
        <v>680</v>
      </c>
      <c r="X11" s="18">
        <v>792</v>
      </c>
      <c r="Y11" s="18">
        <v>908</v>
      </c>
      <c r="Z11" s="18">
        <v>1190</v>
      </c>
      <c r="AA11" s="18">
        <v>1563</v>
      </c>
      <c r="AB11" s="1"/>
      <c r="AC11" s="18">
        <f t="shared" si="0"/>
        <v>4453</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-92</v>
      </c>
      <c r="U12" s="62">
        <v>-84</v>
      </c>
      <c r="V12" s="62">
        <v>-81</v>
      </c>
      <c r="W12" s="62">
        <v>-333</v>
      </c>
      <c r="X12" s="62">
        <v>-42</v>
      </c>
      <c r="Y12" s="62">
        <v>-42</v>
      </c>
      <c r="Z12" s="62">
        <v>-26</v>
      </c>
      <c r="AA12" s="62">
        <v>1684</v>
      </c>
      <c r="AC12" s="62">
        <f t="shared" si="0"/>
        <v>1574</v>
      </c>
    </row>
    <row r="13" spans="1:31" x14ac:dyDescent="0.2">
      <c r="B13" s="23" t="s">
        <v>27</v>
      </c>
      <c r="C13" s="21"/>
      <c r="D13" s="21"/>
      <c r="E13" s="21"/>
      <c r="F13" s="21"/>
      <c r="G13" s="21"/>
      <c r="H13" s="21"/>
      <c r="I13" s="21"/>
      <c r="J13" s="21"/>
      <c r="K13" s="21"/>
      <c r="L13" s="21">
        <v>26</v>
      </c>
      <c r="M13" s="21">
        <v>30</v>
      </c>
      <c r="N13" s="62">
        <v>-10</v>
      </c>
      <c r="O13" s="62">
        <v>45</v>
      </c>
      <c r="P13" s="62">
        <v>-20</v>
      </c>
      <c r="Q13" s="62">
        <v>-25</v>
      </c>
      <c r="T13" s="21">
        <v>1</v>
      </c>
      <c r="U13" s="62">
        <v>-10</v>
      </c>
      <c r="V13" s="21">
        <v>1</v>
      </c>
      <c r="W13" s="21">
        <v>0</v>
      </c>
      <c r="X13" s="62">
        <v>-24</v>
      </c>
      <c r="Y13" s="62">
        <v>-7</v>
      </c>
      <c r="Z13" s="21">
        <v>6</v>
      </c>
      <c r="AA13" s="21">
        <v>0</v>
      </c>
      <c r="AC13" s="62">
        <f t="shared" si="0"/>
        <v>-25</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9905</v>
      </c>
      <c r="R14" s="1"/>
      <c r="S14" s="1"/>
      <c r="T14" s="18">
        <v>243</v>
      </c>
      <c r="U14" s="18">
        <v>466</v>
      </c>
      <c r="V14" s="18">
        <v>74</v>
      </c>
      <c r="W14" s="18">
        <v>347</v>
      </c>
      <c r="X14" s="18">
        <v>1337</v>
      </c>
      <c r="Y14" s="18">
        <v>1962</v>
      </c>
      <c r="Z14" s="18">
        <v>3359</v>
      </c>
      <c r="AA14" s="18">
        <v>3247</v>
      </c>
      <c r="AB14" s="1"/>
      <c r="AC14" s="18">
        <f t="shared" si="0"/>
        <v>9905</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-90</v>
      </c>
      <c r="U15" s="62">
        <v>0</v>
      </c>
      <c r="V15" s="62">
        <v>698</v>
      </c>
      <c r="W15" s="62">
        <v>-95</v>
      </c>
      <c r="X15" s="62">
        <v>-155</v>
      </c>
      <c r="Y15" s="62">
        <v>-120</v>
      </c>
      <c r="Z15" s="62">
        <v>-154</v>
      </c>
      <c r="AA15" s="62">
        <v>-52</v>
      </c>
      <c r="AC15" s="62">
        <f t="shared" si="0"/>
        <v>-481</v>
      </c>
    </row>
    <row r="16" spans="1:31" x14ac:dyDescent="0.2">
      <c r="B16" s="23" t="s">
        <v>333</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9424</v>
      </c>
      <c r="R17" s="60"/>
      <c r="S17" s="60"/>
      <c r="T17" s="18">
        <v>153</v>
      </c>
      <c r="U17" s="18">
        <v>466</v>
      </c>
      <c r="V17" s="18">
        <v>772</v>
      </c>
      <c r="W17" s="18">
        <v>252</v>
      </c>
      <c r="X17" s="18">
        <v>1182</v>
      </c>
      <c r="Y17" s="18">
        <v>1842</v>
      </c>
      <c r="Z17" s="18">
        <v>3205</v>
      </c>
      <c r="AA17" s="18">
        <v>3195</v>
      </c>
      <c r="AB17" s="1"/>
      <c r="AC17" s="61">
        <f t="shared" si="0"/>
        <v>9424</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344</v>
      </c>
      <c r="U18" s="21">
        <v>346</v>
      </c>
      <c r="V18" s="21">
        <v>348</v>
      </c>
      <c r="W18" s="21">
        <v>348</v>
      </c>
      <c r="X18" s="21">
        <v>345</v>
      </c>
      <c r="Y18" s="21">
        <v>341</v>
      </c>
      <c r="Z18" s="21">
        <v>342</v>
      </c>
      <c r="AA18" s="21">
        <v>350</v>
      </c>
      <c r="AC18" s="62">
        <f>AVERAGE(X18:AA18)</f>
        <v>344.5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Z19" si="7">T18*T$84</f>
        <v>434.47199999999998</v>
      </c>
      <c r="U19" s="25">
        <f t="shared" si="7"/>
        <v>436.99799999999999</v>
      </c>
      <c r="V19" s="25">
        <f t="shared" si="7"/>
        <v>348</v>
      </c>
      <c r="W19" s="25">
        <f t="shared" si="7"/>
        <v>348</v>
      </c>
      <c r="X19" s="25">
        <f t="shared" si="7"/>
        <v>345</v>
      </c>
      <c r="Y19" s="25">
        <f t="shared" si="7"/>
        <v>341</v>
      </c>
      <c r="Z19" s="25">
        <f t="shared" si="7"/>
        <v>342</v>
      </c>
      <c r="AA19" s="25">
        <f t="shared" ref="AA19" si="8">AA18*AA$84</f>
        <v>350</v>
      </c>
      <c r="AC19" s="25">
        <f>AC18*AC$84</f>
        <v>344.5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357</v>
      </c>
      <c r="V20" s="21">
        <v>358</v>
      </c>
      <c r="W20" s="21">
        <v>362</v>
      </c>
      <c r="X20" s="21">
        <v>376</v>
      </c>
      <c r="Y20" s="21">
        <v>381</v>
      </c>
      <c r="Z20" s="21">
        <v>387</v>
      </c>
      <c r="AA20" s="21">
        <v>389</v>
      </c>
      <c r="AC20" s="62">
        <f>AVERAGE(X20:AA20)</f>
        <v>383.25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Z21" si="11">T20*T$84</f>
        <v>450.89099999999996</v>
      </c>
      <c r="U21" s="25">
        <f t="shared" si="11"/>
        <v>450.89099999999996</v>
      </c>
      <c r="V21" s="25">
        <f t="shared" si="11"/>
        <v>358</v>
      </c>
      <c r="W21" s="25">
        <f t="shared" si="11"/>
        <v>362</v>
      </c>
      <c r="X21" s="25">
        <f t="shared" si="11"/>
        <v>376</v>
      </c>
      <c r="Y21" s="25">
        <f t="shared" si="11"/>
        <v>381</v>
      </c>
      <c r="Z21" s="25">
        <f t="shared" si="11"/>
        <v>387</v>
      </c>
      <c r="AA21" s="25">
        <f t="shared" ref="AA21" si="12">AA20*AA$84</f>
        <v>389</v>
      </c>
      <c r="AC21" s="25">
        <f>AC20*AC$84</f>
        <v>383.25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26.92</v>
      </c>
      <c r="T22" s="26">
        <v>0.43</v>
      </c>
      <c r="U22" s="26">
        <v>1.32</v>
      </c>
      <c r="V22" s="26">
        <v>2.17</v>
      </c>
      <c r="W22" s="26">
        <v>0.7</v>
      </c>
      <c r="X22" s="26">
        <v>3.34</v>
      </c>
      <c r="Y22" s="26">
        <v>5.27</v>
      </c>
      <c r="Z22" s="26">
        <v>9.26</v>
      </c>
      <c r="AA22" s="26">
        <v>9.1300000000000008</v>
      </c>
      <c r="AC22" s="26">
        <f>SUM(X22:AA22)</f>
        <v>27</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26.92</v>
      </c>
      <c r="T23" s="65">
        <f t="shared" ref="T23:Z23" si="14">T22/T$84</f>
        <v>0.34045922406967538</v>
      </c>
      <c r="U23" s="65">
        <f t="shared" si="14"/>
        <v>1.0451306413301664</v>
      </c>
      <c r="V23" s="65">
        <f t="shared" si="14"/>
        <v>2.17</v>
      </c>
      <c r="W23" s="65">
        <f t="shared" si="14"/>
        <v>0.7</v>
      </c>
      <c r="X23" s="65">
        <f t="shared" si="14"/>
        <v>3.34</v>
      </c>
      <c r="Y23" s="65">
        <f t="shared" si="14"/>
        <v>5.27</v>
      </c>
      <c r="Z23" s="65">
        <f t="shared" si="14"/>
        <v>9.26</v>
      </c>
      <c r="AA23" s="65">
        <f t="shared" ref="AA23" si="15">AA22/AA$84</f>
        <v>9.1300000000000008</v>
      </c>
      <c r="AC23" s="65">
        <f>AC22/AC$84</f>
        <v>27</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24.28</v>
      </c>
      <c r="T24" s="63">
        <v>0.42</v>
      </c>
      <c r="U24" s="26">
        <v>1.27</v>
      </c>
      <c r="V24" s="63">
        <v>2.11</v>
      </c>
      <c r="W24" s="26">
        <v>0.67</v>
      </c>
      <c r="X24" s="26">
        <v>3.07</v>
      </c>
      <c r="Y24" s="26">
        <v>4.7300000000000004</v>
      </c>
      <c r="Z24" s="26">
        <v>8.1999999999999993</v>
      </c>
      <c r="AA24" s="26">
        <v>8.2100000000000009</v>
      </c>
      <c r="AC24" s="26">
        <f>SUM(X24:AA24)</f>
        <v>24.21</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24.28</v>
      </c>
      <c r="R25" s="1"/>
      <c r="S25" s="1"/>
      <c r="T25" s="66">
        <f t="shared" ref="T25:Z25" si="17">T24/T$84</f>
        <v>0.33254156769596199</v>
      </c>
      <c r="U25" s="66">
        <f t="shared" si="17"/>
        <v>1.0055423594615995</v>
      </c>
      <c r="V25" s="66">
        <f t="shared" si="17"/>
        <v>2.11</v>
      </c>
      <c r="W25" s="66">
        <f t="shared" si="17"/>
        <v>0.67</v>
      </c>
      <c r="X25" s="66">
        <f t="shared" si="17"/>
        <v>3.07</v>
      </c>
      <c r="Y25" s="66">
        <f t="shared" si="17"/>
        <v>4.7300000000000004</v>
      </c>
      <c r="Z25" s="66">
        <f t="shared" si="17"/>
        <v>8.1999999999999993</v>
      </c>
      <c r="AA25" s="66">
        <f t="shared" ref="AA25" si="18">AA24/AA$84</f>
        <v>8.2100000000000009</v>
      </c>
      <c r="AB25" s="1"/>
      <c r="AC25" s="66">
        <f>AC24/AC$84</f>
        <v>24.21</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1705</v>
      </c>
      <c r="U28" s="21">
        <v>2291</v>
      </c>
      <c r="V28" s="21">
        <v>3477</v>
      </c>
      <c r="W28" s="21">
        <v>2114</v>
      </c>
      <c r="X28" s="21">
        <v>2048</v>
      </c>
      <c r="Y28" s="21">
        <v>1975</v>
      </c>
      <c r="Z28" s="21">
        <v>2050</v>
      </c>
      <c r="AA28" s="21">
        <v>1579</v>
      </c>
      <c r="AC28" s="21">
        <f>AA28</f>
        <v>1579</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2458</v>
      </c>
      <c r="U29" s="21">
        <v>2597</v>
      </c>
      <c r="V29" s="21">
        <v>1469</v>
      </c>
      <c r="W29" s="21">
        <v>1486</v>
      </c>
      <c r="X29" s="21">
        <v>1355</v>
      </c>
      <c r="Y29" s="21">
        <v>1685</v>
      </c>
      <c r="Z29" s="21">
        <v>1894</v>
      </c>
      <c r="AA29" s="21">
        <v>2026</v>
      </c>
      <c r="AC29" s="21">
        <f t="shared" ref="AC29:AC49" si="19">AA29</f>
        <v>2026</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3384</v>
      </c>
      <c r="U30" s="21">
        <v>3420</v>
      </c>
      <c r="V30" s="21">
        <v>1311</v>
      </c>
      <c r="W30" s="21">
        <v>1291</v>
      </c>
      <c r="X30" s="21">
        <v>1393</v>
      </c>
      <c r="Y30" s="21">
        <v>1349</v>
      </c>
      <c r="Z30" s="21">
        <v>1357</v>
      </c>
      <c r="AA30" s="21">
        <v>1511</v>
      </c>
      <c r="AC30" s="21">
        <f>AA30</f>
        <v>1511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8942</v>
      </c>
      <c r="U31" s="33">
        <v>9372</v>
      </c>
      <c r="V31" s="33">
        <v>8086</v>
      </c>
      <c r="W31" s="33">
        <v>5856</v>
      </c>
      <c r="X31" s="33">
        <v>6275</v>
      </c>
      <c r="Y31" s="33">
        <v>7531</v>
      </c>
      <c r="Z31" s="33">
        <v>6911</v>
      </c>
      <c r="AA31" s="33">
        <v>5634</v>
      </c>
      <c r="AB31" s="1"/>
      <c r="AC31" s="33">
        <f t="shared" si="19"/>
        <v>5634</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2917</v>
      </c>
      <c r="U32" s="21">
        <v>2930</v>
      </c>
      <c r="V32" s="21">
        <v>2347</v>
      </c>
      <c r="W32" s="21">
        <v>2343</v>
      </c>
      <c r="X32" s="21">
        <v>2345</v>
      </c>
      <c r="Y32" s="21">
        <v>2352</v>
      </c>
      <c r="Z32" s="21">
        <v>2422</v>
      </c>
      <c r="AA32" s="21">
        <v>2476</v>
      </c>
      <c r="AC32" s="21">
        <f t="shared" si="19"/>
        <v>2476</v>
      </c>
    </row>
    <row r="33" spans="1:31" x14ac:dyDescent="0.2">
      <c r="B33" s="20" t="s">
        <v>358</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8">
        <v>4321</v>
      </c>
      <c r="T34" s="21">
        <v>9812</v>
      </c>
      <c r="U34" s="21">
        <v>9729</v>
      </c>
      <c r="V34" s="21">
        <v>4319</v>
      </c>
      <c r="W34" s="21">
        <v>4319</v>
      </c>
      <c r="X34" s="228">
        <v>4319</v>
      </c>
      <c r="Y34" s="228">
        <v>4319</v>
      </c>
      <c r="Z34" s="228">
        <v>4321</v>
      </c>
      <c r="AA34" s="228">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Y35" si="21">T36-T31</f>
        <v>15829</v>
      </c>
      <c r="U35" s="35">
        <f t="shared" si="21"/>
        <v>16084</v>
      </c>
      <c r="V35" s="35">
        <f t="shared" si="21"/>
        <v>8282</v>
      </c>
      <c r="W35" s="35">
        <f t="shared" si="21"/>
        <v>8146</v>
      </c>
      <c r="X35" s="35">
        <f t="shared" si="21"/>
        <v>8084</v>
      </c>
      <c r="Y35" s="35">
        <f t="shared" si="21"/>
        <v>8080</v>
      </c>
      <c r="Z35" s="35">
        <f t="shared" ref="Z35:AA35" si="22">Z36-Z31</f>
        <v>8134</v>
      </c>
      <c r="AA35" s="35">
        <f t="shared" si="22"/>
        <v>8227</v>
      </c>
      <c r="AB35" s="1"/>
      <c r="AC35" s="35">
        <f t="shared" si="19"/>
        <v>8227</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24771</v>
      </c>
      <c r="U36" s="18">
        <v>25456</v>
      </c>
      <c r="V36" s="18">
        <v>16368</v>
      </c>
      <c r="W36" s="18">
        <v>14002</v>
      </c>
      <c r="X36" s="18">
        <v>14359</v>
      </c>
      <c r="Y36" s="18">
        <v>15611</v>
      </c>
      <c r="Z36" s="18">
        <v>15045</v>
      </c>
      <c r="AA36" s="18">
        <v>13861</v>
      </c>
      <c r="AB36" s="1"/>
      <c r="AC36" s="18">
        <f t="shared" si="19"/>
        <v>13861</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1578</v>
      </c>
      <c r="U37" s="21">
        <v>1627</v>
      </c>
      <c r="V37" s="21">
        <v>1287</v>
      </c>
      <c r="W37" s="21">
        <v>1266</v>
      </c>
      <c r="X37" s="21">
        <v>1533</v>
      </c>
      <c r="Y37" s="21">
        <v>1497</v>
      </c>
      <c r="Z37" s="21">
        <v>1587</v>
      </c>
      <c r="AA37" s="21">
        <v>1774</v>
      </c>
      <c r="AC37" s="21">
        <f t="shared" si="19"/>
        <v>1774</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1750</v>
      </c>
      <c r="U38" s="21">
        <v>150</v>
      </c>
      <c r="V38" s="21">
        <v>2426</v>
      </c>
      <c r="W38" s="21">
        <v>2226</v>
      </c>
      <c r="X38" s="21">
        <v>2226</v>
      </c>
      <c r="Y38" s="21">
        <v>2226</v>
      </c>
      <c r="Z38" s="21">
        <v>1581</v>
      </c>
      <c r="AA38" s="21">
        <v>1052</v>
      </c>
      <c r="AC38" s="21">
        <f t="shared" si="19"/>
        <v>1052</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6091</v>
      </c>
      <c r="U39" s="33">
        <v>4706</v>
      </c>
      <c r="V39" s="33">
        <v>5182</v>
      </c>
      <c r="W39" s="33">
        <v>5418</v>
      </c>
      <c r="X39" s="33">
        <v>5173</v>
      </c>
      <c r="Y39" s="33">
        <v>5179</v>
      </c>
      <c r="Z39" s="33">
        <v>4637</v>
      </c>
      <c r="AA39" s="33">
        <v>4240</v>
      </c>
      <c r="AB39" s="1"/>
      <c r="AC39" s="33">
        <f t="shared" si="19"/>
        <v>4240</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5650</v>
      </c>
      <c r="U40" s="21">
        <v>7216</v>
      </c>
      <c r="V40" s="21">
        <v>4907</v>
      </c>
      <c r="W40" s="21">
        <v>2485</v>
      </c>
      <c r="X40" s="21">
        <v>2457</v>
      </c>
      <c r="Y40" s="21">
        <v>2429</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Y41" si="24">T42-T39</f>
        <v>6808</v>
      </c>
      <c r="U41" s="35">
        <f t="shared" si="24"/>
        <v>8404</v>
      </c>
      <c r="V41" s="35">
        <f t="shared" si="24"/>
        <v>5780</v>
      </c>
      <c r="W41" s="35">
        <f t="shared" si="24"/>
        <v>3044</v>
      </c>
      <c r="X41" s="35">
        <f t="shared" si="24"/>
        <v>3069</v>
      </c>
      <c r="Y41" s="35">
        <f t="shared" si="24"/>
        <v>3092</v>
      </c>
      <c r="Z41" s="35">
        <f t="shared" ref="Z41:AA41" si="25">Z42-Z39</f>
        <v>728</v>
      </c>
      <c r="AA41" s="35">
        <f t="shared" si="25"/>
        <v>757</v>
      </c>
      <c r="AB41" s="1"/>
      <c r="AC41" s="35">
        <f t="shared" si="19"/>
        <v>757</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12899</v>
      </c>
      <c r="U42" s="18">
        <v>13110</v>
      </c>
      <c r="V42" s="18">
        <v>10962</v>
      </c>
      <c r="W42" s="18">
        <v>8462</v>
      </c>
      <c r="X42" s="18">
        <v>8242</v>
      </c>
      <c r="Y42" s="18">
        <v>8271</v>
      </c>
      <c r="Z42" s="18">
        <v>5365</v>
      </c>
      <c r="AA42" s="18">
        <v>4997</v>
      </c>
      <c r="AB42" s="1"/>
      <c r="AC42" s="18">
        <f t="shared" si="19"/>
        <v>4997</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0</v>
      </c>
      <c r="W43" s="62">
        <v>-95</v>
      </c>
      <c r="X43" s="62">
        <v>-583</v>
      </c>
      <c r="Y43" s="62">
        <v>-1109</v>
      </c>
      <c r="Z43" s="62">
        <v>-931</v>
      </c>
      <c r="AA43" s="62">
        <v>-2122</v>
      </c>
      <c r="AC43" s="62">
        <f t="shared" si="19"/>
        <v>-2122</v>
      </c>
    </row>
    <row r="44" spans="1:31" x14ac:dyDescent="0.2">
      <c r="B44" s="20" t="s">
        <v>337</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229</v>
      </c>
      <c r="Z44" s="62">
        <v>0</v>
      </c>
      <c r="AA44" s="62">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21">
        <v>4772</v>
      </c>
      <c r="U45" s="62">
        <v>4885</v>
      </c>
      <c r="V45" s="62">
        <v>4642</v>
      </c>
      <c r="W45" s="21">
        <v>4621</v>
      </c>
      <c r="X45" s="21">
        <v>4550</v>
      </c>
      <c r="Y45" s="21">
        <v>4502</v>
      </c>
      <c r="Z45" s="21">
        <v>3747</v>
      </c>
      <c r="AA45" s="21">
        <v>961</v>
      </c>
      <c r="AC45" s="62">
        <f t="shared" si="19"/>
        <v>961</v>
      </c>
    </row>
    <row r="46" spans="1:31" x14ac:dyDescent="0.2">
      <c r="B46" s="20" t="s">
        <v>338</v>
      </c>
      <c r="C46" s="21"/>
      <c r="D46" s="21"/>
      <c r="E46" s="21"/>
      <c r="F46" s="21"/>
      <c r="G46" s="21"/>
      <c r="H46" s="21"/>
      <c r="I46" s="21"/>
      <c r="J46" s="21"/>
      <c r="K46" s="21"/>
      <c r="L46" s="21">
        <v>7549</v>
      </c>
      <c r="M46" s="21">
        <v>9039</v>
      </c>
      <c r="N46" s="21">
        <v>7424</v>
      </c>
      <c r="O46" s="21">
        <v>6775</v>
      </c>
      <c r="P46" s="21">
        <v>762</v>
      </c>
      <c r="Q46" s="21">
        <v>9998</v>
      </c>
      <c r="T46" s="21">
        <v>7268</v>
      </c>
      <c r="U46" s="62">
        <v>7862</v>
      </c>
      <c r="V46" s="62">
        <v>521</v>
      </c>
      <c r="W46" s="21">
        <v>762</v>
      </c>
      <c r="X46" s="21">
        <v>1904</v>
      </c>
      <c r="Y46" s="21">
        <v>3697</v>
      </c>
      <c r="Z46" s="21">
        <v>6858</v>
      </c>
      <c r="AA46" s="21">
        <v>9998</v>
      </c>
      <c r="AC46" s="62">
        <f t="shared" si="19"/>
        <v>9998</v>
      </c>
    </row>
    <row r="47" spans="1:31" x14ac:dyDescent="0.2">
      <c r="B47" s="20" t="s">
        <v>333</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11643</v>
      </c>
      <c r="U48" s="33">
        <v>12117</v>
      </c>
      <c r="V48" s="33">
        <v>5177</v>
      </c>
      <c r="W48" s="33">
        <v>5311</v>
      </c>
      <c r="X48" s="33">
        <v>5888</v>
      </c>
      <c r="Y48" s="33">
        <v>7111</v>
      </c>
      <c r="Z48" s="33">
        <v>9680</v>
      </c>
      <c r="AA48" s="33">
        <v>8864</v>
      </c>
      <c r="AB48" s="1"/>
      <c r="AC48" s="33">
        <f t="shared" si="19"/>
        <v>8864</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24771</v>
      </c>
      <c r="U49" s="37">
        <v>25456</v>
      </c>
      <c r="V49" s="37">
        <v>16368</v>
      </c>
      <c r="W49" s="37">
        <v>14002</v>
      </c>
      <c r="X49" s="37">
        <v>14359</v>
      </c>
      <c r="Y49" s="37">
        <v>15611</v>
      </c>
      <c r="Z49" s="37">
        <v>15045</v>
      </c>
      <c r="AA49" s="37">
        <v>13861</v>
      </c>
      <c r="AB49" s="1"/>
      <c r="AC49" s="37">
        <f t="shared" si="19"/>
        <v>13861</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62">
        <v>135</v>
      </c>
      <c r="U52" s="21">
        <v>255</v>
      </c>
      <c r="V52" s="21">
        <v>365</v>
      </c>
      <c r="W52" s="21">
        <v>86</v>
      </c>
      <c r="X52" s="21">
        <v>88</v>
      </c>
      <c r="Y52" s="21">
        <v>180</v>
      </c>
      <c r="Z52" s="21">
        <v>276</v>
      </c>
      <c r="AA52" s="21">
        <v>99</v>
      </c>
      <c r="AC52" s="62">
        <f>SUM(X52:AA52)</f>
        <v>643</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62">
        <v>84</v>
      </c>
      <c r="U53" s="21">
        <v>161</v>
      </c>
      <c r="V53" s="21">
        <v>220</v>
      </c>
      <c r="W53" s="21">
        <v>45</v>
      </c>
      <c r="X53" s="21">
        <v>53</v>
      </c>
      <c r="Y53" s="21">
        <v>106</v>
      </c>
      <c r="Z53" s="21">
        <v>159</v>
      </c>
      <c r="AA53" s="21">
        <v>45</v>
      </c>
      <c r="AC53" s="62">
        <f t="shared" ref="AC53:AC57" si="26">SUM(X53:AA53)</f>
        <v>363</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-292</v>
      </c>
      <c r="U54" s="62">
        <v>-431</v>
      </c>
      <c r="V54" s="21">
        <v>96</v>
      </c>
      <c r="W54" s="62">
        <v>-17</v>
      </c>
      <c r="X54" s="21">
        <v>131</v>
      </c>
      <c r="Y54" s="62">
        <v>-199</v>
      </c>
      <c r="Z54" s="62">
        <v>-408</v>
      </c>
      <c r="AA54" s="62">
        <v>-133</v>
      </c>
      <c r="AC54" s="62">
        <f t="shared" si="26"/>
        <v>-609</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-76</v>
      </c>
      <c r="U55" s="62">
        <v>-112</v>
      </c>
      <c r="V55" s="62">
        <v>-429</v>
      </c>
      <c r="W55" s="62">
        <v>20</v>
      </c>
      <c r="X55" s="62">
        <v>-101</v>
      </c>
      <c r="Y55" s="62">
        <v>-55</v>
      </c>
      <c r="Z55" s="62">
        <v>-64</v>
      </c>
      <c r="AA55" s="62">
        <v>-154</v>
      </c>
      <c r="AC55" s="62">
        <f>SUM(X55:AA55)</f>
        <v>-374</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62">
        <v>216</v>
      </c>
      <c r="U56" s="21">
        <v>242</v>
      </c>
      <c r="V56" s="21">
        <v>302</v>
      </c>
      <c r="W56" s="62">
        <v>-34</v>
      </c>
      <c r="X56" s="21">
        <v>248</v>
      </c>
      <c r="Y56" s="21">
        <v>219</v>
      </c>
      <c r="Z56" s="62">
        <v>289</v>
      </c>
      <c r="AA56" s="62">
        <v>96</v>
      </c>
      <c r="AC56" s="62">
        <f t="shared" si="26"/>
        <v>852</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39-153-50-77-360</f>
        <v>-601</v>
      </c>
      <c r="U57" s="62">
        <f>-54+109-76-57-662</f>
        <v>-740</v>
      </c>
      <c r="V57" s="62">
        <f>-316-131-80-593</f>
        <v>-1120</v>
      </c>
      <c r="W57" s="62">
        <f>-50+428+85-312</f>
        <v>151</v>
      </c>
      <c r="X57" s="62">
        <f>-21+6-503+141</f>
        <v>-377</v>
      </c>
      <c r="Y57" s="62">
        <f>42+51-577+244</f>
        <v>-240</v>
      </c>
      <c r="Z57" s="62">
        <f>29+94-598+290</f>
        <v>-185</v>
      </c>
      <c r="AA57" s="62">
        <v>-99</v>
      </c>
      <c r="AC57" s="62">
        <f t="shared" si="26"/>
        <v>-901</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61">
        <v>34</v>
      </c>
      <c r="U58" s="18">
        <v>437</v>
      </c>
      <c r="V58" s="18">
        <v>945</v>
      </c>
      <c r="W58" s="18">
        <v>746</v>
      </c>
      <c r="X58" s="18">
        <v>672</v>
      </c>
      <c r="Y58" s="18">
        <v>1417</v>
      </c>
      <c r="Z58" s="18">
        <v>2540</v>
      </c>
      <c r="AA58" s="18">
        <v>1389</v>
      </c>
      <c r="AB58" s="1"/>
      <c r="AC58" s="61">
        <f>SUM(X58:AA58)</f>
        <v>6018</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-96</v>
      </c>
      <c r="U59" s="62">
        <v>-212</v>
      </c>
      <c r="V59" s="62">
        <v>-341</v>
      </c>
      <c r="W59" s="62">
        <v>-71</v>
      </c>
      <c r="X59" s="62">
        <v>-73</v>
      </c>
      <c r="Y59" s="62">
        <v>-165</v>
      </c>
      <c r="Z59" s="62">
        <v>-310</v>
      </c>
      <c r="AA59" s="62">
        <v>-108</v>
      </c>
      <c r="AC59" s="62">
        <f>SUM(X59:AA59)</f>
        <v>-656</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-45</v>
      </c>
      <c r="U61" s="61">
        <v>78</v>
      </c>
      <c r="V61" s="61">
        <v>220</v>
      </c>
      <c r="W61" s="61">
        <v>-70</v>
      </c>
      <c r="X61" s="61">
        <v>-57</v>
      </c>
      <c r="Y61" s="61">
        <v>-173</v>
      </c>
      <c r="Z61" s="61">
        <v>-318</v>
      </c>
      <c r="AA61" s="61">
        <v>-111</v>
      </c>
      <c r="AB61" s="1"/>
      <c r="AC61" s="61">
        <f t="shared" si="27"/>
        <v>-659</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0</v>
      </c>
      <c r="W62" s="62">
        <v>-149</v>
      </c>
      <c r="X62" s="62">
        <v>-553</v>
      </c>
      <c r="Y62" s="62">
        <v>-1168</v>
      </c>
      <c r="Z62" s="62">
        <v>-1920</v>
      </c>
      <c r="AA62" s="62">
        <v>-672</v>
      </c>
      <c r="AC62" s="62">
        <f t="shared" si="27"/>
        <v>-4313</v>
      </c>
    </row>
    <row r="63" spans="1:31" x14ac:dyDescent="0.2">
      <c r="B63" s="20" t="s">
        <v>288</v>
      </c>
      <c r="C63" s="62"/>
      <c r="D63" s="62"/>
      <c r="E63" s="62"/>
      <c r="F63" s="62"/>
      <c r="G63" s="62"/>
      <c r="H63" s="62"/>
      <c r="I63" s="62"/>
      <c r="J63" s="62"/>
      <c r="K63" s="62"/>
      <c r="L63" s="62">
        <v>0</v>
      </c>
      <c r="M63" s="62">
        <v>0</v>
      </c>
      <c r="N63" s="62">
        <v>0</v>
      </c>
      <c r="O63" s="62">
        <v>0</v>
      </c>
      <c r="P63" s="62">
        <v>-44</v>
      </c>
      <c r="Q63" s="62">
        <f>-174-10</f>
        <v>-184</v>
      </c>
      <c r="T63" s="62">
        <v>0</v>
      </c>
      <c r="U63" s="62">
        <v>0</v>
      </c>
      <c r="V63" s="62">
        <v>0</v>
      </c>
      <c r="W63" s="62">
        <v>-44</v>
      </c>
      <c r="X63" s="62">
        <v>-34</v>
      </c>
      <c r="Y63" s="62">
        <v>-77</v>
      </c>
      <c r="Z63" s="62">
        <v>-120</v>
      </c>
      <c r="AA63" s="62">
        <v>-54</v>
      </c>
      <c r="AC63" s="62">
        <f>SUM(X63:AA63)</f>
        <v>-285</v>
      </c>
    </row>
    <row r="64" spans="1:31" x14ac:dyDescent="0.2">
      <c r="B64" s="20" t="s">
        <v>336</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-102</v>
      </c>
      <c r="U65" s="71">
        <v>-103</v>
      </c>
      <c r="V65" s="71">
        <v>430</v>
      </c>
      <c r="W65" s="71">
        <v>-2042</v>
      </c>
      <c r="X65" s="71">
        <v>-678</v>
      </c>
      <c r="Y65" s="71">
        <v>-1381</v>
      </c>
      <c r="Z65" s="71">
        <v>-2283</v>
      </c>
      <c r="AA65" s="71">
        <v>-1749</v>
      </c>
      <c r="AB65" s="1"/>
      <c r="AC65" s="71">
        <f t="shared" si="27"/>
        <v>-6091</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153</v>
      </c>
      <c r="U68" s="64">
        <f t="shared" si="31"/>
        <v>466</v>
      </c>
      <c r="V68" s="64">
        <f t="shared" si="31"/>
        <v>1378</v>
      </c>
      <c r="W68" s="64">
        <f t="shared" si="31"/>
        <v>252</v>
      </c>
      <c r="X68" s="64">
        <f t="shared" si="31"/>
        <v>571</v>
      </c>
      <c r="Y68" s="64">
        <f t="shared" si="31"/>
        <v>739</v>
      </c>
      <c r="Z68" s="64">
        <f t="shared" si="31"/>
        <v>1016</v>
      </c>
      <c r="AA68" s="64">
        <f t="shared" ref="AA68:AC68" si="32">AA5-AA6-AA10+AA12+AA13+AA15-AA16</f>
        <v>3195</v>
      </c>
      <c r="AC68" s="64">
        <f t="shared" si="32"/>
        <v>5521</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5591</v>
      </c>
      <c r="R69" s="1"/>
      <c r="S69" s="1"/>
      <c r="T69" s="40">
        <f t="shared" ref="T69:Y69" si="35">T17-T68</f>
        <v>0</v>
      </c>
      <c r="U69" s="40">
        <f t="shared" si="35"/>
        <v>0</v>
      </c>
      <c r="V69" s="40">
        <f t="shared" si="35"/>
        <v>-606</v>
      </c>
      <c r="W69" s="40">
        <f t="shared" si="35"/>
        <v>0</v>
      </c>
      <c r="X69" s="40">
        <f t="shared" si="35"/>
        <v>611</v>
      </c>
      <c r="Y69" s="40">
        <f t="shared" si="35"/>
        <v>1103</v>
      </c>
      <c r="Z69" s="40">
        <f t="shared" ref="Z69:AA69" si="36">Z17-Z68</f>
        <v>2189</v>
      </c>
      <c r="AA69" s="40">
        <f t="shared" si="36"/>
        <v>0</v>
      </c>
      <c r="AB69" s="16"/>
      <c r="AC69" s="40">
        <f>AC17-AC68</f>
        <v>3903</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Z70" si="39">T36-(T42+T110)</f>
        <v>229</v>
      </c>
      <c r="U70" s="42">
        <f t="shared" si="39"/>
        <v>229</v>
      </c>
      <c r="V70" s="42">
        <f t="shared" si="39"/>
        <v>229</v>
      </c>
      <c r="W70" s="42">
        <f t="shared" si="39"/>
        <v>229</v>
      </c>
      <c r="X70" s="42">
        <f t="shared" si="39"/>
        <v>229</v>
      </c>
      <c r="Y70" s="42">
        <f t="shared" si="39"/>
        <v>229</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346</v>
      </c>
      <c r="U73" s="21">
        <v>348</v>
      </c>
      <c r="V73" s="21">
        <v>349</v>
      </c>
      <c r="W73" s="21">
        <v>345</v>
      </c>
      <c r="X73" s="21">
        <v>342</v>
      </c>
      <c r="Y73" s="21">
        <v>339</v>
      </c>
      <c r="Z73" s="21">
        <v>345</v>
      </c>
      <c r="AA73" s="21">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436.99799999999999</v>
      </c>
      <c r="U74" s="25">
        <f t="shared" ref="U74" si="44">U73*U84</f>
        <v>439.52399999999994</v>
      </c>
      <c r="V74" s="25">
        <f t="shared" ref="V74" si="45">V73*V84</f>
        <v>349</v>
      </c>
      <c r="W74" s="25">
        <f t="shared" ref="W74" si="46">W73*W84</f>
        <v>345</v>
      </c>
      <c r="X74" s="25">
        <f t="shared" ref="X74:Z74" si="47">X73*X84</f>
        <v>342</v>
      </c>
      <c r="Y74" s="25">
        <f t="shared" si="47"/>
        <v>339</v>
      </c>
      <c r="Z74" s="25">
        <f t="shared" si="47"/>
        <v>345</v>
      </c>
      <c r="AA74" s="25">
        <f t="shared" ref="AA74" si="48">AA73*AA84</f>
        <v>361</v>
      </c>
      <c r="AC74" s="24">
        <f>AA74</f>
        <v>361</v>
      </c>
    </row>
    <row r="75" spans="1:31" x14ac:dyDescent="0.2">
      <c r="B75" s="20" t="s">
        <v>238</v>
      </c>
      <c r="C75" s="25"/>
      <c r="D75" s="25"/>
      <c r="E75" s="25"/>
      <c r="F75" s="25"/>
      <c r="G75" s="25"/>
      <c r="H75" s="25"/>
      <c r="I75" s="25"/>
      <c r="J75" s="25"/>
      <c r="K75" s="25"/>
      <c r="L75" s="21">
        <v>4</v>
      </c>
      <c r="M75" s="21">
        <v>4</v>
      </c>
      <c r="N75" s="21">
        <v>0</v>
      </c>
      <c r="O75" s="21">
        <v>0</v>
      </c>
      <c r="P75" s="21">
        <v>12</v>
      </c>
      <c r="Q75" s="21">
        <v>38</v>
      </c>
      <c r="T75" s="21">
        <v>0</v>
      </c>
      <c r="U75" s="21">
        <v>0</v>
      </c>
      <c r="V75" s="21">
        <v>0</v>
      </c>
      <c r="W75" s="21">
        <v>12</v>
      </c>
      <c r="X75" s="21">
        <v>2</v>
      </c>
      <c r="Y75" s="21">
        <v>4</v>
      </c>
      <c r="Z75" s="21">
        <v>4</v>
      </c>
      <c r="AA75" s="21">
        <v>38</v>
      </c>
      <c r="AC75" s="21">
        <f>AA75</f>
        <v>38</v>
      </c>
    </row>
    <row r="76" spans="1:31" x14ac:dyDescent="0.2">
      <c r="B76" s="20" t="s">
        <v>239</v>
      </c>
      <c r="C76" s="25"/>
      <c r="D76" s="25"/>
      <c r="E76" s="25"/>
      <c r="F76" s="25"/>
      <c r="G76" s="25"/>
      <c r="H76" s="25"/>
      <c r="I76" s="25"/>
      <c r="J76" s="25"/>
      <c r="K76" s="25"/>
      <c r="L76" s="25">
        <f t="shared" ref="L76:O76" si="49">L75*L84</f>
        <v>5.0519999999999996</v>
      </c>
      <c r="M76" s="25">
        <f t="shared" si="49"/>
        <v>5.0519999999999996</v>
      </c>
      <c r="N76" s="25">
        <f t="shared" si="49"/>
        <v>0</v>
      </c>
      <c r="O76" s="25">
        <f t="shared" si="49"/>
        <v>0</v>
      </c>
      <c r="P76" s="25">
        <f>P75*P84</f>
        <v>12</v>
      </c>
      <c r="Q76" s="25">
        <f>Q75*Q84</f>
        <v>38</v>
      </c>
      <c r="T76" s="25">
        <f t="shared" ref="T76:Y76" si="50">T75*T84</f>
        <v>0</v>
      </c>
      <c r="U76" s="25">
        <f t="shared" si="50"/>
        <v>0</v>
      </c>
      <c r="V76" s="25">
        <f t="shared" si="50"/>
        <v>0</v>
      </c>
      <c r="W76" s="25">
        <f t="shared" si="50"/>
        <v>12</v>
      </c>
      <c r="X76" s="25">
        <f t="shared" si="50"/>
        <v>2</v>
      </c>
      <c r="Y76" s="25">
        <f t="shared" si="50"/>
        <v>4</v>
      </c>
      <c r="Z76" s="25">
        <f t="shared" ref="Z76:AA76" si="51">Z75*Z84</f>
        <v>4</v>
      </c>
      <c r="AA76" s="25">
        <f t="shared" si="51"/>
        <v>38</v>
      </c>
      <c r="AC76" s="24">
        <f>AA76</f>
        <v>38</v>
      </c>
    </row>
    <row r="77" spans="1:31" x14ac:dyDescent="0.2">
      <c r="B77" s="20" t="s">
        <v>240</v>
      </c>
      <c r="C77" s="25"/>
      <c r="D77" s="25"/>
      <c r="E77" s="25"/>
      <c r="F77" s="25"/>
      <c r="G77" s="25"/>
      <c r="H77" s="25"/>
      <c r="I77" s="25"/>
      <c r="J77" s="25"/>
      <c r="K77" s="25"/>
      <c r="L77" s="25">
        <f t="shared" ref="L77:O77" si="52">L74+L76</f>
        <v>395.31900000000002</v>
      </c>
      <c r="M77" s="25">
        <f t="shared" si="52"/>
        <v>401.63400000000001</v>
      </c>
      <c r="N77" s="25">
        <f t="shared" si="52"/>
        <v>406.68599999999998</v>
      </c>
      <c r="O77" s="25">
        <f t="shared" si="52"/>
        <v>433.20899999999995</v>
      </c>
      <c r="P77" s="25">
        <f>P74+P76</f>
        <v>357</v>
      </c>
      <c r="Q77" s="25">
        <f>Q74+Q76</f>
        <v>399</v>
      </c>
      <c r="T77" s="25">
        <f t="shared" ref="T77:Y77" si="53">T74+T76</f>
        <v>436.99799999999999</v>
      </c>
      <c r="U77" s="25">
        <f t="shared" si="53"/>
        <v>439.52399999999994</v>
      </c>
      <c r="V77" s="25">
        <f t="shared" si="53"/>
        <v>349</v>
      </c>
      <c r="W77" s="25">
        <f t="shared" si="53"/>
        <v>357</v>
      </c>
      <c r="X77" s="25">
        <f t="shared" si="53"/>
        <v>344</v>
      </c>
      <c r="Y77" s="25">
        <f t="shared" si="53"/>
        <v>343</v>
      </c>
      <c r="Z77" s="25">
        <f t="shared" ref="Z77:AA77" si="54">Z74+Z76</f>
        <v>349</v>
      </c>
      <c r="AA77" s="25">
        <f t="shared" si="54"/>
        <v>399</v>
      </c>
      <c r="AC77" s="24">
        <f>AA77</f>
        <v>399</v>
      </c>
    </row>
    <row r="78" spans="1:31" x14ac:dyDescent="0.2">
      <c r="B78" s="20" t="s">
        <v>279</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280</v>
      </c>
      <c r="C79" s="25"/>
      <c r="D79" s="25"/>
      <c r="E79" s="25"/>
      <c r="F79" s="25"/>
      <c r="G79" s="25"/>
      <c r="H79" s="25"/>
      <c r="I79" s="25"/>
      <c r="J79" s="25"/>
      <c r="K79" s="25"/>
      <c r="L79" s="25">
        <f t="shared" ref="L79:O79" si="55">L78*L84</f>
        <v>1.2629999999999999</v>
      </c>
      <c r="M79" s="25">
        <f t="shared" si="55"/>
        <v>1.2629999999999999</v>
      </c>
      <c r="N79" s="25">
        <f t="shared" si="55"/>
        <v>1.2629999999999999</v>
      </c>
      <c r="O79" s="25">
        <f t="shared" si="55"/>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v>
      </c>
      <c r="W80" s="44">
        <v>0.1</v>
      </c>
      <c r="X80" s="44">
        <v>0.1</v>
      </c>
      <c r="Y80" s="44">
        <v>0.125</v>
      </c>
      <c r="Z80" s="44">
        <v>0.125</v>
      </c>
      <c r="AA80" s="44">
        <v>0.15</v>
      </c>
      <c r="AC80" s="72">
        <f>SUM(X80:AA80)</f>
        <v>0.5</v>
      </c>
    </row>
    <row r="81" spans="1:31" x14ac:dyDescent="0.2">
      <c r="B81" s="23" t="s">
        <v>71</v>
      </c>
      <c r="C81" s="39"/>
      <c r="D81" s="45"/>
      <c r="E81" s="45"/>
      <c r="F81" s="45"/>
      <c r="G81" s="45"/>
      <c r="H81" s="45"/>
      <c r="I81" s="45"/>
      <c r="J81" s="45"/>
      <c r="K81" s="45"/>
      <c r="L81" s="45">
        <f t="shared" ref="L81:P81" si="56">L80/L84</f>
        <v>0</v>
      </c>
      <c r="M81" s="45">
        <f t="shared" si="56"/>
        <v>0</v>
      </c>
      <c r="N81" s="45">
        <f t="shared" si="56"/>
        <v>0</v>
      </c>
      <c r="O81" s="45">
        <f t="shared" si="56"/>
        <v>0</v>
      </c>
      <c r="P81" s="45">
        <f t="shared" si="56"/>
        <v>0.1</v>
      </c>
      <c r="Q81" s="45">
        <f t="shared" ref="Q81" si="57">Q80/Q84</f>
        <v>0.5</v>
      </c>
      <c r="T81" s="45">
        <f t="shared" ref="T81" si="58">T80/T84</f>
        <v>0</v>
      </c>
      <c r="U81" s="45">
        <f t="shared" ref="U81" si="59">U80/U84</f>
        <v>0</v>
      </c>
      <c r="V81" s="45">
        <f t="shared" ref="V81" si="60">V80/V84</f>
        <v>0</v>
      </c>
      <c r="W81" s="45">
        <f t="shared" ref="W81" si="61">W80/W84</f>
        <v>0.1</v>
      </c>
      <c r="X81" s="45">
        <f t="shared" ref="X81:Z81" si="62">X80/X84</f>
        <v>0.1</v>
      </c>
      <c r="Y81" s="45">
        <f t="shared" si="62"/>
        <v>0.125</v>
      </c>
      <c r="Z81" s="45">
        <f t="shared" si="62"/>
        <v>0.125</v>
      </c>
      <c r="AA81" s="45">
        <f t="shared" ref="AA81" si="63">AA80/AA84</f>
        <v>0.15</v>
      </c>
      <c r="AC81" s="72">
        <f>SUM(X81:AA81)</f>
        <v>0.5</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0.11434735706580366</v>
      </c>
      <c r="M82" s="46">
        <f t="shared" si="65"/>
        <v>0.29345266132830899</v>
      </c>
      <c r="N82" s="46">
        <f t="shared" si="65"/>
        <v>0</v>
      </c>
      <c r="O82" s="46">
        <f t="shared" si="65"/>
        <v>0</v>
      </c>
      <c r="P82" s="46">
        <f t="shared" si="65"/>
        <v>0</v>
      </c>
      <c r="Q82" s="46">
        <f t="shared" si="64"/>
        <v>4.8561332660272592E-2</v>
      </c>
      <c r="T82" s="46">
        <f t="shared" ref="T82:Z82" si="66">IF(AND(T14&gt;0,T15&lt;0),-(T15)/T14,0)</f>
        <v>0.37037037037037035</v>
      </c>
      <c r="U82" s="46">
        <f t="shared" si="66"/>
        <v>0</v>
      </c>
      <c r="V82" s="46">
        <f t="shared" si="66"/>
        <v>0</v>
      </c>
      <c r="W82" s="46">
        <f t="shared" si="66"/>
        <v>0.2737752161383285</v>
      </c>
      <c r="X82" s="46">
        <f t="shared" si="66"/>
        <v>0.11593118922961855</v>
      </c>
      <c r="Y82" s="46">
        <f t="shared" si="66"/>
        <v>6.1162079510703363E-2</v>
      </c>
      <c r="Z82" s="46">
        <f t="shared" si="66"/>
        <v>4.5846978267341472E-2</v>
      </c>
      <c r="AA82" s="46">
        <f t="shared" ref="AA82" si="67">IF(AND(AA14&gt;0,AA15&lt;0),-(AA15)/AA14,0)</f>
        <v>1.6014782876501387E-2</v>
      </c>
      <c r="AC82" s="46">
        <f>IF(AND(AC14&gt;0,AC15&lt;0),-(AC15)/AC14,0)</f>
        <v>4.8561332660272592E-2</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1.2629999999999999</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0.11056612693535044</v>
      </c>
      <c r="N88" s="48">
        <f t="shared" ref="N88:N93" si="70">IF(M5=0,
IF(N5=0,0,IF(N5&gt;0,1,-1)),
(N5-M5)/ABS(M5)
)</f>
        <v>-0.66716330548608527</v>
      </c>
      <c r="O88" s="48">
        <f t="shared" ref="O88:O93" si="71">IF(N5=0,
IF(O5=0,0,IF(O5&gt;0,1,-1)),
(O5-N5)/ABS(N5)
)</f>
        <v>9.9120703437250192E-3</v>
      </c>
      <c r="P88" s="48">
        <f t="shared" ref="P88:P93" si="72">IF(O5=0,
IF(P5=0,0,IF(P5&gt;0,1,-1)),
(P5-O5)/ABS(O5)
)</f>
        <v>0.50704448314073136</v>
      </c>
      <c r="Q88" s="48">
        <f t="shared" ref="Q88:Q92" si="73">IF(P5=0,
IF(Q5=0,0,IF(Q5&gt;0,1,-1)),
(Q5-P5)/ABS(P5)
)</f>
        <v>0.35703781512605043</v>
      </c>
      <c r="R88" s="1"/>
      <c r="S88" s="1"/>
      <c r="T88" s="48">
        <f t="shared" ref="T88:T94" si="74">IF(S5=0,
IF(T5=0,0,IF(T5&gt;0,1,-1)),
(T5-S5)/ABS(S5)
)</f>
        <v>1</v>
      </c>
      <c r="U88" s="48">
        <f t="shared" ref="U88:U94" si="75">IF(T5=0,
IF(U5=0,0,IF(U5&gt;0,1,-1)),
(U5-T5)/ABS(T5)
)</f>
        <v>8.9059674502712474E-2</v>
      </c>
      <c r="V88" s="48">
        <f t="shared" ref="V88:V94" si="76">IF(U5=0,
IF(V5=0,0,IF(V5&gt;0,1,-1)),
(V5-U5)/ABS(U5)
)</f>
        <v>-4.7737650477376506E-2</v>
      </c>
      <c r="W88" s="48">
        <f t="shared" ref="W88:W94" si="77">IF(V5=0,
IF(W5=0,0,IF(W5&gt;0,1,-1)),
(W5-V5)/ABS(V5)
)</f>
        <v>0.13557105492589364</v>
      </c>
      <c r="X88" s="48">
        <f t="shared" ref="X88:X94" si="78">IF(W5=0,
IF(X5=0,0,IF(X5&gt;0,1,-1)),
(X5-W5)/ABS(W5)
)</f>
        <v>8.1765834932821496E-2</v>
      </c>
      <c r="Y88" s="48">
        <f t="shared" ref="Y88:Y94" si="79">IF(X5=0,
IF(Y5=0,0,IF(Y5&gt;0,1,-1)),
(Y5-X5)/ABS(X5)
)</f>
        <v>7.0617459190915541E-2</v>
      </c>
      <c r="Z88" s="48">
        <f t="shared" ref="Z88:Z94" si="80">IF(Y5=0,
IF(Z5=0,0,IF(Z5&gt;0,1,-1)),
(Z5-Y5)/ABS(Y5)
)</f>
        <v>0.10606562810739145</v>
      </c>
      <c r="AA88" s="48">
        <f t="shared" ref="AA88:AA92" si="81">IF(Z5=0,
IF(AA5=0,0,IF(AA5&gt;0,1,-1)),
(AA5-Z5)/ABS(Z5)
)</f>
        <v>0.12286484866646688</v>
      </c>
      <c r="AB88" s="1"/>
      <c r="AC88" s="67"/>
      <c r="AD88" s="1"/>
      <c r="AE88" s="1"/>
    </row>
    <row r="89" spans="1:31" x14ac:dyDescent="0.2">
      <c r="B89" s="20" t="s">
        <v>20</v>
      </c>
      <c r="C89" s="49"/>
      <c r="D89" s="50"/>
      <c r="E89" s="50"/>
      <c r="F89" s="50"/>
      <c r="G89" s="50"/>
      <c r="H89" s="50"/>
      <c r="I89" s="50"/>
      <c r="J89" s="50"/>
      <c r="K89" s="50"/>
      <c r="L89" s="50">
        <f t="shared" si="68"/>
        <v>1</v>
      </c>
      <c r="M89" s="50">
        <f t="shared" si="69"/>
        <v>4.1770824933473109E-2</v>
      </c>
      <c r="N89" s="50">
        <f t="shared" si="70"/>
        <v>-0.62350027091880178</v>
      </c>
      <c r="O89" s="50">
        <f t="shared" si="71"/>
        <v>-6.5789473684210523E-2</v>
      </c>
      <c r="P89" s="50">
        <f t="shared" si="72"/>
        <v>0.28257042253521125</v>
      </c>
      <c r="Q89" s="50">
        <f t="shared" si="73"/>
        <v>0.13383665065202471</v>
      </c>
      <c r="T89" s="50">
        <f t="shared" si="74"/>
        <v>1</v>
      </c>
      <c r="U89" s="50">
        <f t="shared" si="75"/>
        <v>6.8278805120910391E-2</v>
      </c>
      <c r="V89" s="50">
        <f t="shared" si="76"/>
        <v>-7.9893475366178426E-2</v>
      </c>
      <c r="W89" s="50">
        <f t="shared" si="77"/>
        <v>0.11287988422575977</v>
      </c>
      <c r="X89" s="50">
        <f t="shared" si="78"/>
        <v>3.4460338101430427E-2</v>
      </c>
      <c r="Y89" s="50">
        <f t="shared" si="79"/>
        <v>2.8912633563796353E-2</v>
      </c>
      <c r="Z89" s="50">
        <f t="shared" si="80"/>
        <v>1.4660965180207697E-2</v>
      </c>
      <c r="AA89" s="50">
        <f t="shared" si="81"/>
        <v>3.4918723660445516E-2</v>
      </c>
      <c r="AC89" s="68"/>
    </row>
    <row r="90" spans="1:31" s="41" customFormat="1" x14ac:dyDescent="0.2">
      <c r="A90" s="16"/>
      <c r="B90" s="17" t="s">
        <v>21</v>
      </c>
      <c r="C90" s="47"/>
      <c r="D90" s="48"/>
      <c r="E90" s="48"/>
      <c r="F90" s="48"/>
      <c r="G90" s="48"/>
      <c r="H90" s="48"/>
      <c r="I90" s="48"/>
      <c r="J90" s="48"/>
      <c r="K90" s="48"/>
      <c r="L90" s="48">
        <f t="shared" si="68"/>
        <v>1</v>
      </c>
      <c r="M90" s="48">
        <f t="shared" si="69"/>
        <v>0.29927007299270075</v>
      </c>
      <c r="N90" s="48">
        <f t="shared" si="70"/>
        <v>-0.76319373510384747</v>
      </c>
      <c r="O90" s="48">
        <f t="shared" si="71"/>
        <v>0.27462257368799425</v>
      </c>
      <c r="P90" s="48">
        <f t="shared" si="72"/>
        <v>1.0823463056965594</v>
      </c>
      <c r="Q90" s="48">
        <f t="shared" si="73"/>
        <v>0.70937161430119178</v>
      </c>
      <c r="R90" s="1"/>
      <c r="S90" s="1"/>
      <c r="T90" s="48">
        <f t="shared" si="74"/>
        <v>1</v>
      </c>
      <c r="U90" s="48">
        <f t="shared" si="75"/>
        <v>0.12531017369727046</v>
      </c>
      <c r="V90" s="48">
        <f t="shared" si="76"/>
        <v>5.512679162072767E-3</v>
      </c>
      <c r="W90" s="48">
        <f t="shared" si="77"/>
        <v>0.16995614035087719</v>
      </c>
      <c r="X90" s="48">
        <f t="shared" si="78"/>
        <v>0.14995313964386128</v>
      </c>
      <c r="Y90" s="48">
        <f t="shared" si="79"/>
        <v>0.12469437652811736</v>
      </c>
      <c r="Z90" s="48">
        <f t="shared" si="80"/>
        <v>0.2144927536231884</v>
      </c>
      <c r="AA90" s="48">
        <f t="shared" si="81"/>
        <v>0.21002386634844869</v>
      </c>
      <c r="AB90" s="1"/>
      <c r="AC90" s="67"/>
      <c r="AD90" s="1"/>
      <c r="AE90" s="1"/>
    </row>
    <row r="91" spans="1:31" x14ac:dyDescent="0.2">
      <c r="B91" s="20" t="s">
        <v>23</v>
      </c>
      <c r="C91" s="49"/>
      <c r="D91" s="50"/>
      <c r="E91" s="50"/>
      <c r="F91" s="50"/>
      <c r="G91" s="50"/>
      <c r="H91" s="50"/>
      <c r="I91" s="50"/>
      <c r="J91" s="50"/>
      <c r="K91" s="50"/>
      <c r="L91" s="50">
        <f t="shared" si="68"/>
        <v>1</v>
      </c>
      <c r="M91" s="50">
        <f t="shared" si="69"/>
        <v>3.5666518056174767E-2</v>
      </c>
      <c r="N91" s="50">
        <f t="shared" si="70"/>
        <v>-0.57554885923374943</v>
      </c>
      <c r="O91" s="50">
        <f t="shared" si="71"/>
        <v>-3.6511156186612576E-2</v>
      </c>
      <c r="P91" s="50">
        <f t="shared" si="72"/>
        <v>4.6315789473684213E-2</v>
      </c>
      <c r="Q91" s="50">
        <f t="shared" si="73"/>
        <v>0.16800804828973842</v>
      </c>
      <c r="T91" s="50">
        <f t="shared" si="74"/>
        <v>1</v>
      </c>
      <c r="U91" s="50">
        <f t="shared" si="75"/>
        <v>-0.14122137404580154</v>
      </c>
      <c r="V91" s="50">
        <f t="shared" si="76"/>
        <v>8.8888888888888892E-2</v>
      </c>
      <c r="W91" s="50">
        <f t="shared" si="77"/>
        <v>6.9387755102040816E-2</v>
      </c>
      <c r="X91" s="50">
        <f t="shared" si="78"/>
        <v>0.12213740458015267</v>
      </c>
      <c r="Y91" s="50">
        <f t="shared" si="79"/>
        <v>-1.7006802721088437E-2</v>
      </c>
      <c r="Z91" s="50">
        <f t="shared" si="80"/>
        <v>1.7301038062283738E-2</v>
      </c>
      <c r="AA91" s="50">
        <f t="shared" si="81"/>
        <v>-3.4013605442176874E-2</v>
      </c>
      <c r="AC91" s="68"/>
    </row>
    <row r="92" spans="1:31" x14ac:dyDescent="0.2">
      <c r="B92" s="20" t="s">
        <v>22</v>
      </c>
      <c r="C92" s="49"/>
      <c r="D92" s="50"/>
      <c r="E92" s="50"/>
      <c r="F92" s="50"/>
      <c r="G92" s="50"/>
      <c r="H92" s="50"/>
      <c r="I92" s="50"/>
      <c r="J92" s="50"/>
      <c r="K92" s="50"/>
      <c r="L92" s="50">
        <f t="shared" si="68"/>
        <v>1</v>
      </c>
      <c r="M92" s="50">
        <f t="shared" si="69"/>
        <v>1.085972850678733E-2</v>
      </c>
      <c r="N92" s="50">
        <f t="shared" si="70"/>
        <v>-0.27752909579230078</v>
      </c>
      <c r="O92" s="50">
        <f t="shared" si="71"/>
        <v>-0.10037174721189591</v>
      </c>
      <c r="P92" s="50">
        <f t="shared" si="72"/>
        <v>-0.21763085399449036</v>
      </c>
      <c r="Q92" s="50">
        <f t="shared" si="73"/>
        <v>-2.9929577464788731E-2</v>
      </c>
      <c r="T92" s="50">
        <f t="shared" si="74"/>
        <v>1</v>
      </c>
      <c r="U92" s="50">
        <f t="shared" si="75"/>
        <v>-0.35294117647058826</v>
      </c>
      <c r="V92" s="50">
        <f t="shared" si="76"/>
        <v>-0.18181818181818182</v>
      </c>
      <c r="W92" s="50">
        <f t="shared" si="77"/>
        <v>0.14814814814814814</v>
      </c>
      <c r="X92" s="50">
        <f t="shared" si="78"/>
        <v>0.11290322580645161</v>
      </c>
      <c r="Y92" s="50">
        <f t="shared" si="79"/>
        <v>-7.2463768115942032E-2</v>
      </c>
      <c r="Z92" s="50">
        <f t="shared" si="80"/>
        <v>0.1484375</v>
      </c>
      <c r="AA92" s="50">
        <f t="shared" si="81"/>
        <v>-6.1224489795918366E-2</v>
      </c>
      <c r="AC92" s="68"/>
    </row>
    <row r="93" spans="1:31" x14ac:dyDescent="0.2">
      <c r="B93" s="23" t="s">
        <v>24</v>
      </c>
      <c r="C93" s="49"/>
      <c r="D93" s="50"/>
      <c r="E93" s="50"/>
      <c r="F93" s="50"/>
      <c r="G93" s="50"/>
      <c r="H93" s="50"/>
      <c r="I93" s="50"/>
      <c r="J93" s="50"/>
      <c r="K93" s="50"/>
      <c r="L93" s="50">
        <f>IF(K10=0,
IF(L10=0,0,IF(L10&gt;0,1,-1)),
(L10-K10)/ABS(K10)
)</f>
        <v>1</v>
      </c>
      <c r="M93" s="50">
        <f t="shared" si="69"/>
        <v>5.5134807634050285E-2</v>
      </c>
      <c r="N93" s="50">
        <f t="shared" si="70"/>
        <v>-0.44329600918748208</v>
      </c>
      <c r="O93" s="50">
        <f t="shared" si="71"/>
        <v>0.1222279525528623</v>
      </c>
      <c r="P93" s="50">
        <f t="shared" si="72"/>
        <v>-0.37591911764705882</v>
      </c>
      <c r="Q93" s="50">
        <f t="shared" ref="Q93" si="82">IF(P10=0,
IF(Q10=0,0,IF(Q10&gt;0,1,-1)),
(Q10-P10)/ABS(P10)
)</f>
        <v>0.36818851251840945</v>
      </c>
      <c r="T93" s="50">
        <f t="shared" si="74"/>
        <v>1</v>
      </c>
      <c r="U93" s="50">
        <f t="shared" si="75"/>
        <v>-0.26483050847457629</v>
      </c>
      <c r="V93" s="50">
        <f t="shared" si="76"/>
        <v>-0.56195965417867433</v>
      </c>
      <c r="W93" s="50">
        <f t="shared" si="77"/>
        <v>1.5460526315789473</v>
      </c>
      <c r="X93" s="50">
        <f t="shared" si="78"/>
        <v>0.12403100775193798</v>
      </c>
      <c r="Y93" s="50">
        <f t="shared" si="79"/>
        <v>8.5057471264367815E-2</v>
      </c>
      <c r="Z93" s="50">
        <f t="shared" si="80"/>
        <v>2.9661016949152543E-2</v>
      </c>
      <c r="AA93" s="50">
        <f t="shared" ref="AA93" si="83">IF(Z10=0,
IF(AA10=0,0,IF(AA10&gt;0,1,-1)),
(AA10-Z10)/ABS(Z10)
)</f>
        <v>-4.3209876543209874E-2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4"/>
        <v>1</v>
      </c>
      <c r="U94" s="48">
        <f t="shared" si="75"/>
        <v>0.67664670658682635</v>
      </c>
      <c r="V94" s="48">
        <f t="shared" si="76"/>
        <v>0.35714285714285715</v>
      </c>
      <c r="W94" s="48">
        <f t="shared" si="77"/>
        <v>-0.10526315789473684</v>
      </c>
      <c r="X94" s="48">
        <f t="shared" si="78"/>
        <v>0.16470588235294117</v>
      </c>
      <c r="Y94" s="48">
        <f t="shared" si="79"/>
        <v>0.14646464646464646</v>
      </c>
      <c r="Z94" s="48">
        <f t="shared" si="80"/>
        <v>0.31057268722466963</v>
      </c>
      <c r="AA94" s="48">
        <f t="shared" ref="AA94" si="84">IF(Z11=0,
IF(AA11=0,0,IF(AA11&gt;0,1,-1)),
(AA11-Z11)/ABS(Z11)
)</f>
        <v>0.3134453781512605</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1.290183387270766</v>
      </c>
      <c r="N95" s="52">
        <f t="shared" si="85"/>
        <v>-1.3999057936881771</v>
      </c>
      <c r="O95" s="52">
        <f t="shared" si="85"/>
        <v>0.12956419316843346</v>
      </c>
      <c r="P95" s="52">
        <f t="shared" si="85"/>
        <v>2.5290933694181326</v>
      </c>
      <c r="Q95" s="52">
        <f t="shared" si="85"/>
        <v>7.7654867256637168</v>
      </c>
      <c r="R95" s="1"/>
      <c r="S95" s="1"/>
      <c r="T95" s="52">
        <f t="shared" ref="T95" si="86">IF(S14=0,
IF(T14=0,0,IF(T14&gt;0,1,-1)),
(T14-S14)/ABS(S14)
)</f>
        <v>1</v>
      </c>
      <c r="U95" s="52">
        <f t="shared" ref="U95" si="87">IF(T14=0,
IF(U14=0,0,IF(U14&gt;0,1,-1)),
(U14-T14)/ABS(T14)
)</f>
        <v>0.91769547325102885</v>
      </c>
      <c r="V95" s="52">
        <f t="shared" ref="V95" si="88">IF(U14=0,
IF(V14=0,0,IF(V14&gt;0,1,-1)),
(V14-U14)/ABS(U14)
)</f>
        <v>-0.84120171673819744</v>
      </c>
      <c r="W95" s="52">
        <f t="shared" ref="W95" si="89">IF(V14=0,
IF(W14=0,0,IF(W14&gt;0,1,-1)),
(W14-V14)/ABS(V14)
)</f>
        <v>3.689189189189189</v>
      </c>
      <c r="X95" s="52">
        <f t="shared" ref="X95" si="90">IF(W14=0,
IF(X14=0,0,IF(X14&gt;0,1,-1)),
(X14-W14)/ABS(W14)
)</f>
        <v>2.8530259365994235</v>
      </c>
      <c r="Y95" s="52">
        <f t="shared" ref="Y95" si="91">IF(X14=0,
IF(Y14=0,0,IF(Y14&gt;0,1,-1)),
(Y14-X14)/ABS(X14)
)</f>
        <v>0.4674644727000748</v>
      </c>
      <c r="Z95" s="52">
        <f t="shared" ref="Z95" si="92">IF(Y14=0,
IF(Z14=0,0,IF(Z14&gt;0,1,-1)),
(Z14-Y14)/ABS(Y14)
)</f>
        <v>0.71202854230377166</v>
      </c>
      <c r="AA95" s="52">
        <f t="shared" ref="AA95" si="93">IF(Z14=0,
IF(AA14=0,0,IF(AA14&gt;0,1,-1)),
(AA14-Z14)/ABS(Z14)
)</f>
        <v>-3.3343256921702889E-2</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0.82704019488428748</v>
      </c>
      <c r="N96" s="52">
        <f t="shared" si="94"/>
        <v>-1.6133333333333333</v>
      </c>
      <c r="O96" s="52">
        <f t="shared" si="94"/>
        <v>0.16847826086956522</v>
      </c>
      <c r="P96" s="52">
        <f t="shared" si="94"/>
        <v>3.1477124183006535</v>
      </c>
      <c r="Q96" s="52">
        <f t="shared" si="94"/>
        <v>4.7358490566037732</v>
      </c>
      <c r="R96" s="1"/>
      <c r="S96" s="1"/>
      <c r="T96" s="52">
        <f t="shared" ref="T96" si="95">IF(S17=0,
IF(T17=0,0,IF(T17&gt;0,1,-1)),
(T17-S17)/ABS(S17)
)</f>
        <v>1</v>
      </c>
      <c r="U96" s="52">
        <f t="shared" ref="U96" si="96">IF(T17=0,
IF(U17=0,0,IF(U17&gt;0,1,-1)),
(U17-T17)/ABS(T17)
)</f>
        <v>2.0457516339869279</v>
      </c>
      <c r="V96" s="52">
        <f t="shared" ref="V96" si="97">IF(U17=0,
IF(V17=0,0,IF(V17&gt;0,1,-1)),
(V17-U17)/ABS(U17)
)</f>
        <v>0.6566523605150214</v>
      </c>
      <c r="W96" s="52">
        <f t="shared" ref="W96" si="98">IF(V17=0,
IF(W17=0,0,IF(W17&gt;0,1,-1)),
(W17-V17)/ABS(V17)
)</f>
        <v>-0.67357512953367871</v>
      </c>
      <c r="X96" s="52">
        <f t="shared" ref="X96" si="99">IF(W17=0,
IF(X17=0,0,IF(X17&gt;0,1,-1)),
(X17-W17)/ABS(W17)
)</f>
        <v>3.6904761904761907</v>
      </c>
      <c r="Y96" s="52">
        <f t="shared" ref="Y96" si="100">IF(X17=0,
IF(Y17=0,0,IF(Y17&gt;0,1,-1)),
(Y17-X17)/ABS(X17)
)</f>
        <v>0.55837563451776651</v>
      </c>
      <c r="Z96" s="52">
        <f t="shared" ref="Z96" si="101">IF(Y17=0,
IF(Z17=0,0,IF(Z17&gt;0,1,-1)),
(Z17-Y17)/ABS(Y17)
)</f>
        <v>0.73995656894679696</v>
      </c>
      <c r="AA96" s="52">
        <f t="shared" ref="AA96" si="102">IF(Z17=0,
IF(AA17=0,0,IF(AA17&gt;0,1,-1)),
(AA17-Z17)/ABS(Z17)
)</f>
        <v>-3.1201248049921998E-3</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0.26716700153646139</v>
      </c>
      <c r="M99" s="50">
        <f t="shared" si="103"/>
        <v>0.31256318842122066</v>
      </c>
      <c r="N99" s="50">
        <f t="shared" si="103"/>
        <v>0.22238209432454037</v>
      </c>
      <c r="O99" s="50">
        <f t="shared" si="103"/>
        <v>0.28067120468576856</v>
      </c>
      <c r="P99" s="50">
        <f t="shared" si="103"/>
        <v>0.38781512605042018</v>
      </c>
      <c r="Q99" s="50">
        <f t="shared" si="103"/>
        <v>0.48850530226797739</v>
      </c>
      <c r="T99" s="50">
        <f t="shared" ref="T99:Z99" si="104">T7/T5</f>
        <v>0.36437613019891502</v>
      </c>
      <c r="U99" s="50">
        <f t="shared" si="104"/>
        <v>0.37650477376504776</v>
      </c>
      <c r="V99" s="50">
        <f t="shared" si="104"/>
        <v>0.39755884917175238</v>
      </c>
      <c r="W99" s="50">
        <f t="shared" si="104"/>
        <v>0.40959692898272554</v>
      </c>
      <c r="X99" s="50">
        <f t="shared" si="104"/>
        <v>0.43541518807665008</v>
      </c>
      <c r="Y99" s="50">
        <f t="shared" si="104"/>
        <v>0.45740802121312563</v>
      </c>
      <c r="Z99" s="50">
        <f t="shared" si="104"/>
        <v>0.50224752771950854</v>
      </c>
      <c r="AA99" s="50">
        <f t="shared" ref="AA99" si="105">AA7/AA5</f>
        <v>0.54123298638911133</v>
      </c>
      <c r="AC99" s="50">
        <f>AC7/AC5</f>
        <v>0.48850530226797739</v>
      </c>
    </row>
    <row r="100" spans="1:31" x14ac:dyDescent="0.2">
      <c r="B100" s="20" t="s">
        <v>78</v>
      </c>
      <c r="C100" s="50"/>
      <c r="D100" s="50"/>
      <c r="E100" s="50"/>
      <c r="F100" s="50"/>
      <c r="G100" s="50"/>
      <c r="H100" s="50"/>
      <c r="I100" s="50"/>
      <c r="J100" s="50"/>
      <c r="K100" s="50"/>
      <c r="L100" s="50">
        <f t="shared" ref="L100:Q100" si="106">L11/L5</f>
        <v>7.2095496986171848E-2</v>
      </c>
      <c r="M100" s="50">
        <f t="shared" si="106"/>
        <v>0.12722822327462352</v>
      </c>
      <c r="N100" s="50">
        <f t="shared" si="106"/>
        <v>-8.7609912070343729E-2</v>
      </c>
      <c r="O100" s="50">
        <f t="shared" si="106"/>
        <v>-6.3796105746398601E-2</v>
      </c>
      <c r="P100" s="50">
        <f t="shared" si="106"/>
        <v>0.24516806722689075</v>
      </c>
      <c r="Q100" s="50">
        <f t="shared" si="106"/>
        <v>0.34468612121681247</v>
      </c>
      <c r="T100" s="50">
        <f t="shared" ref="T100:Z100" si="107">T11/T5</f>
        <v>0.15099457504520797</v>
      </c>
      <c r="U100" s="50">
        <f t="shared" si="107"/>
        <v>0.23246160232461602</v>
      </c>
      <c r="V100" s="50">
        <f t="shared" si="107"/>
        <v>0.33129904097646035</v>
      </c>
      <c r="W100" s="50">
        <f t="shared" si="107"/>
        <v>0.26103646833013433</v>
      </c>
      <c r="X100" s="50">
        <f t="shared" si="107"/>
        <v>0.28105039034776436</v>
      </c>
      <c r="Y100" s="50">
        <f t="shared" si="107"/>
        <v>0.30096121975472323</v>
      </c>
      <c r="Z100" s="50">
        <f t="shared" si="107"/>
        <v>0.35660773149535513</v>
      </c>
      <c r="AA100" s="50">
        <f t="shared" ref="AA100" si="108">AA11/AA5</f>
        <v>0.41713370696557245</v>
      </c>
      <c r="AC100" s="50">
        <f>AC11/AC5</f>
        <v>0.34468612121681247</v>
      </c>
    </row>
    <row r="101" spans="1:31" s="56" customFormat="1" x14ac:dyDescent="0.2">
      <c r="A101" s="1"/>
      <c r="B101" s="54" t="s">
        <v>79</v>
      </c>
      <c r="C101" s="55"/>
      <c r="D101" s="55"/>
      <c r="E101" s="55"/>
      <c r="F101" s="55"/>
      <c r="G101" s="55"/>
      <c r="H101" s="55"/>
      <c r="I101" s="55"/>
      <c r="J101" s="55"/>
      <c r="K101" s="55"/>
      <c r="L101" s="55">
        <f t="shared" ref="L101:Q101" si="109">L109/L5</f>
        <v>4.8516723791514005E-2</v>
      </c>
      <c r="M101" s="55">
        <f t="shared" si="109"/>
        <v>7.9816953120842873E-2</v>
      </c>
      <c r="N101" s="55">
        <f t="shared" si="109"/>
        <v>-0.14708233413269384</v>
      </c>
      <c r="O101" s="55">
        <f t="shared" si="109"/>
        <v>-0.12110178882380877</v>
      </c>
      <c r="P101" s="55">
        <f t="shared" si="109"/>
        <v>0.17258403361344538</v>
      </c>
      <c r="Q101" s="55">
        <f t="shared" si="109"/>
        <v>0.72946822509482157</v>
      </c>
      <c r="R101" s="1"/>
      <c r="S101" s="1"/>
      <c r="T101" s="55">
        <f t="shared" ref="T101:Z101" si="110">T109/T5</f>
        <v>6.9168173598553345E-2</v>
      </c>
      <c r="U101" s="55">
        <f t="shared" si="110"/>
        <v>0.19344126193441261</v>
      </c>
      <c r="V101" s="55">
        <f t="shared" si="110"/>
        <v>0.33653007846556232</v>
      </c>
      <c r="W101" s="55">
        <f t="shared" si="110"/>
        <v>9.6737044145873322E-2</v>
      </c>
      <c r="X101" s="55">
        <f t="shared" si="110"/>
        <v>0.41944641589779985</v>
      </c>
      <c r="Y101" s="55">
        <f t="shared" si="110"/>
        <v>0.61054027179317205</v>
      </c>
      <c r="Z101" s="55">
        <f t="shared" si="110"/>
        <v>0.96044351213664969</v>
      </c>
      <c r="AA101" s="55">
        <f t="shared" ref="AA101" si="111">AA109/AA5</f>
        <v>0.8526821457165733</v>
      </c>
      <c r="AB101" s="1"/>
      <c r="AC101" s="55">
        <f>AC109/AC5</f>
        <v>0.72946822509482157</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0.11434735706580366</v>
      </c>
      <c r="M104" s="81">
        <f t="shared" si="113"/>
        <v>0.29345266132830899</v>
      </c>
      <c r="N104" s="81">
        <f t="shared" si="113"/>
        <v>0</v>
      </c>
      <c r="O104" s="81">
        <f t="shared" si="113"/>
        <v>0</v>
      </c>
      <c r="P104" s="81">
        <f t="shared" si="113"/>
        <v>0</v>
      </c>
      <c r="Q104" s="81">
        <f t="shared" si="112"/>
        <v>4.8561332660272592E-2</v>
      </c>
      <c r="T104" s="81">
        <f t="shared" ref="T104:Z104" si="114">IF(AND(T82&gt;=0,T11&gt;=0),T82,0)</f>
        <v>0.37037037037037035</v>
      </c>
      <c r="U104" s="81">
        <f t="shared" si="114"/>
        <v>0</v>
      </c>
      <c r="V104" s="81">
        <f t="shared" si="114"/>
        <v>0</v>
      </c>
      <c r="W104" s="81">
        <f t="shared" si="114"/>
        <v>0.2737752161383285</v>
      </c>
      <c r="X104" s="81">
        <f t="shared" si="114"/>
        <v>0.11593118922961855</v>
      </c>
      <c r="Y104" s="81">
        <f t="shared" si="114"/>
        <v>6.1162079510703363E-2</v>
      </c>
      <c r="Z104" s="81">
        <f t="shared" si="114"/>
        <v>4.5846978267341472E-2</v>
      </c>
      <c r="AA104" s="81">
        <f t="shared" ref="AA104" si="115">IF(AND(AA82&gt;=0,AA11&gt;=0),AA82,0)</f>
        <v>1.6014782876501387E-2</v>
      </c>
      <c r="AC104" s="81">
        <f>IF(AND(AC82&gt;=0,AC11&gt;=0),AC82,0)</f>
        <v>4.8561332660272592E-2</v>
      </c>
    </row>
    <row r="105" spans="1:31" x14ac:dyDescent="0.2">
      <c r="B105" s="20" t="s">
        <v>177</v>
      </c>
      <c r="C105" s="25"/>
      <c r="D105" s="25"/>
      <c r="E105" s="25"/>
      <c r="F105" s="25"/>
      <c r="G105" s="25"/>
      <c r="H105" s="25"/>
      <c r="I105" s="25"/>
      <c r="J105" s="25"/>
      <c r="K105" s="25"/>
      <c r="L105" s="25">
        <f t="shared" ref="L105:Q105" si="116">L28+L33</f>
        <v>3370</v>
      </c>
      <c r="M105" s="25">
        <f t="shared" si="116"/>
        <v>2327</v>
      </c>
      <c r="N105" s="25">
        <f t="shared" si="116"/>
        <v>2023</v>
      </c>
      <c r="O105" s="25">
        <f t="shared" si="116"/>
        <v>1879</v>
      </c>
      <c r="P105" s="25">
        <f t="shared" si="116"/>
        <v>2114</v>
      </c>
      <c r="Q105" s="25">
        <f t="shared" si="116"/>
        <v>1579</v>
      </c>
      <c r="T105" s="25">
        <f t="shared" ref="T105:Z105" si="117">T28+T33</f>
        <v>1705</v>
      </c>
      <c r="U105" s="25">
        <f t="shared" si="117"/>
        <v>2291</v>
      </c>
      <c r="V105" s="25">
        <f t="shared" si="117"/>
        <v>3477</v>
      </c>
      <c r="W105" s="25">
        <f t="shared" si="117"/>
        <v>2114</v>
      </c>
      <c r="X105" s="25">
        <f t="shared" si="117"/>
        <v>2048</v>
      </c>
      <c r="Y105" s="25">
        <f t="shared" si="117"/>
        <v>1975</v>
      </c>
      <c r="Z105" s="25">
        <f t="shared" si="117"/>
        <v>2050</v>
      </c>
      <c r="AA105" s="25">
        <f t="shared" ref="AA105" si="118">AA28+AA33</f>
        <v>1579</v>
      </c>
      <c r="AC105" s="25">
        <f>AA105</f>
        <v>1579</v>
      </c>
    </row>
    <row r="106" spans="1:31" x14ac:dyDescent="0.2">
      <c r="B106" s="20" t="s">
        <v>168</v>
      </c>
      <c r="C106" s="25">
        <v>0</v>
      </c>
      <c r="D106" s="25">
        <v>0</v>
      </c>
      <c r="E106" s="25">
        <v>0</v>
      </c>
      <c r="F106" s="25">
        <v>0</v>
      </c>
      <c r="G106" s="25">
        <v>0</v>
      </c>
      <c r="H106" s="25">
        <v>0</v>
      </c>
      <c r="I106" s="25">
        <v>0</v>
      </c>
      <c r="J106" s="25">
        <v>0</v>
      </c>
      <c r="K106" s="25">
        <v>0</v>
      </c>
      <c r="L106" s="25">
        <f t="shared" ref="L106:Q106" si="119">L38+L40</f>
        <v>8725</v>
      </c>
      <c r="M106" s="25">
        <f t="shared" si="119"/>
        <v>7002</v>
      </c>
      <c r="N106" s="25">
        <f t="shared" si="119"/>
        <v>7070</v>
      </c>
      <c r="O106" s="25">
        <f t="shared" si="119"/>
        <v>7434</v>
      </c>
      <c r="P106" s="25">
        <f t="shared" si="119"/>
        <v>4711</v>
      </c>
      <c r="Q106" s="25">
        <f t="shared" si="119"/>
        <v>1052</v>
      </c>
      <c r="T106" s="25">
        <f t="shared" ref="T106:Z106" si="120">T38+T40</f>
        <v>7400</v>
      </c>
      <c r="U106" s="25">
        <f t="shared" si="120"/>
        <v>7366</v>
      </c>
      <c r="V106" s="25">
        <f t="shared" si="120"/>
        <v>7333</v>
      </c>
      <c r="W106" s="25">
        <f t="shared" si="120"/>
        <v>4711</v>
      </c>
      <c r="X106" s="25">
        <f t="shared" si="120"/>
        <v>4683</v>
      </c>
      <c r="Y106" s="25">
        <f t="shared" si="120"/>
        <v>4655</v>
      </c>
      <c r="Z106" s="25">
        <f t="shared" si="120"/>
        <v>1581</v>
      </c>
      <c r="AA106" s="25">
        <f t="shared" ref="AA106" si="121">AA38+AA40</f>
        <v>1052</v>
      </c>
      <c r="AC106" s="25">
        <f>AA106</f>
        <v>1052</v>
      </c>
    </row>
    <row r="107" spans="1:31" x14ac:dyDescent="0.2">
      <c r="B107" s="20" t="s">
        <v>161</v>
      </c>
      <c r="C107" s="25"/>
      <c r="D107" s="25"/>
      <c r="E107" s="25"/>
      <c r="F107" s="25"/>
      <c r="G107" s="25"/>
      <c r="H107" s="25"/>
      <c r="I107" s="25"/>
      <c r="J107" s="25"/>
      <c r="K107" s="25"/>
      <c r="L107" s="126">
        <f t="shared" ref="L107:Q107" si="122">L11*(1-L104)</f>
        <v>1080.4962243797195</v>
      </c>
      <c r="M107" s="126">
        <f t="shared" si="122"/>
        <v>1689.354686764013</v>
      </c>
      <c r="N107" s="126">
        <f t="shared" si="122"/>
        <v>-548</v>
      </c>
      <c r="O107" s="126">
        <f t="shared" si="122"/>
        <v>-403</v>
      </c>
      <c r="P107" s="25">
        <f t="shared" si="122"/>
        <v>2334</v>
      </c>
      <c r="Q107" s="25">
        <f t="shared" si="122"/>
        <v>4236.7563856638062</v>
      </c>
      <c r="T107" s="67"/>
      <c r="U107" s="67"/>
      <c r="V107" s="67"/>
      <c r="W107" s="67"/>
      <c r="X107" s="67"/>
      <c r="Y107" s="67"/>
      <c r="Z107" s="67"/>
      <c r="AA107" s="67"/>
      <c r="AC107" s="25">
        <f>AC11*(1-AC104)</f>
        <v>4236.7563856638062</v>
      </c>
    </row>
    <row r="108" spans="1:31" x14ac:dyDescent="0.2">
      <c r="B108" s="20" t="s">
        <v>303</v>
      </c>
      <c r="C108" s="25"/>
      <c r="D108" s="25"/>
      <c r="E108" s="25"/>
      <c r="F108" s="25"/>
      <c r="G108" s="25"/>
      <c r="H108" s="25"/>
      <c r="I108" s="25"/>
      <c r="J108" s="25"/>
      <c r="K108" s="25"/>
      <c r="L108" s="126">
        <f t="shared" ref="L108:Q108" si="123">L59+L60</f>
        <v>-1146</v>
      </c>
      <c r="M108" s="126">
        <f t="shared" si="123"/>
        <v>-1122</v>
      </c>
      <c r="N108" s="126">
        <f t="shared" si="123"/>
        <v>-821</v>
      </c>
      <c r="O108" s="126">
        <f t="shared" si="123"/>
        <v>-487</v>
      </c>
      <c r="P108" s="126">
        <f t="shared" si="123"/>
        <v>-412</v>
      </c>
      <c r="Q108" s="126">
        <f t="shared" si="123"/>
        <v>-418</v>
      </c>
      <c r="T108" s="126">
        <f t="shared" ref="T108:Z108" si="124">T59+T60</f>
        <v>-96</v>
      </c>
      <c r="U108" s="126">
        <f t="shared" si="124"/>
        <v>-212</v>
      </c>
      <c r="V108" s="126">
        <f t="shared" si="124"/>
        <v>-341</v>
      </c>
      <c r="W108" s="126">
        <f t="shared" si="124"/>
        <v>-71</v>
      </c>
      <c r="X108" s="126">
        <f t="shared" si="124"/>
        <v>-73</v>
      </c>
      <c r="Y108" s="126">
        <f t="shared" si="124"/>
        <v>-165</v>
      </c>
      <c r="Z108" s="126">
        <f t="shared" si="124"/>
        <v>-310</v>
      </c>
      <c r="AA108" s="126">
        <f t="shared" ref="AA108" si="125">AA59+AA60</f>
        <v>-108</v>
      </c>
      <c r="AC108" s="126">
        <f>AC59+AC60</f>
        <v>-656</v>
      </c>
    </row>
    <row r="109" spans="1:31" x14ac:dyDescent="0.2">
      <c r="B109" s="20" t="s">
        <v>334</v>
      </c>
      <c r="C109" s="25"/>
      <c r="D109" s="25"/>
      <c r="E109" s="25"/>
      <c r="F109" s="25"/>
      <c r="G109" s="25"/>
      <c r="H109" s="25"/>
      <c r="I109" s="25"/>
      <c r="J109" s="25"/>
      <c r="K109" s="25"/>
      <c r="L109" s="126">
        <f t="shared" ref="L109:Q109" si="126">L16+L17</f>
        <v>821</v>
      </c>
      <c r="M109" s="126">
        <f t="shared" si="126"/>
        <v>1500</v>
      </c>
      <c r="N109" s="126">
        <f t="shared" si="126"/>
        <v>-920</v>
      </c>
      <c r="O109" s="126">
        <f t="shared" si="126"/>
        <v>-765</v>
      </c>
      <c r="P109" s="126">
        <f t="shared" si="126"/>
        <v>1643</v>
      </c>
      <c r="Q109" s="126">
        <f t="shared" si="126"/>
        <v>9424</v>
      </c>
      <c r="T109" s="126">
        <f t="shared" ref="T109:Z109" si="127">T16+T17</f>
        <v>153</v>
      </c>
      <c r="U109" s="126">
        <f t="shared" si="127"/>
        <v>466</v>
      </c>
      <c r="V109" s="126">
        <f t="shared" si="127"/>
        <v>772</v>
      </c>
      <c r="W109" s="126">
        <f t="shared" si="127"/>
        <v>252</v>
      </c>
      <c r="X109" s="126">
        <f t="shared" si="127"/>
        <v>1182</v>
      </c>
      <c r="Y109" s="126">
        <f t="shared" si="127"/>
        <v>1842</v>
      </c>
      <c r="Z109" s="126">
        <f t="shared" si="127"/>
        <v>3205</v>
      </c>
      <c r="AA109" s="126">
        <f t="shared" ref="AA109" si="128">AA16+AA17</f>
        <v>3195</v>
      </c>
      <c r="AC109" s="126">
        <f>AC16+AC17</f>
        <v>9424</v>
      </c>
    </row>
    <row r="110" spans="1:31" x14ac:dyDescent="0.2">
      <c r="B110" s="20" t="s">
        <v>335</v>
      </c>
      <c r="C110" s="25"/>
      <c r="D110" s="25"/>
      <c r="E110" s="25"/>
      <c r="F110" s="25"/>
      <c r="G110" s="25"/>
      <c r="H110" s="25"/>
      <c r="I110" s="25"/>
      <c r="J110" s="25"/>
      <c r="K110" s="25"/>
      <c r="L110" s="126">
        <f t="shared" ref="L110:Q110" si="129">L48+L47</f>
        <v>10721</v>
      </c>
      <c r="M110" s="126">
        <f t="shared" si="129"/>
        <v>12221</v>
      </c>
      <c r="N110" s="126">
        <f t="shared" si="129"/>
        <v>10847</v>
      </c>
      <c r="O110" s="126">
        <f t="shared" si="129"/>
        <v>10818</v>
      </c>
      <c r="P110" s="126">
        <f t="shared" si="129"/>
        <v>5311</v>
      </c>
      <c r="Q110" s="126">
        <f t="shared" si="129"/>
        <v>8864</v>
      </c>
      <c r="T110" s="126">
        <f t="shared" ref="T110:Z110" si="130">T48+T47</f>
        <v>11643</v>
      </c>
      <c r="U110" s="126">
        <f t="shared" si="130"/>
        <v>12117</v>
      </c>
      <c r="V110" s="126">
        <f t="shared" si="130"/>
        <v>5177</v>
      </c>
      <c r="W110" s="126">
        <f t="shared" si="130"/>
        <v>5311</v>
      </c>
      <c r="X110" s="126">
        <f t="shared" si="130"/>
        <v>5888</v>
      </c>
      <c r="Y110" s="126">
        <f t="shared" si="130"/>
        <v>7111</v>
      </c>
      <c r="Z110" s="126">
        <f t="shared" si="130"/>
        <v>9680</v>
      </c>
      <c r="AA110" s="126">
        <f t="shared" ref="AA110" si="131">AA48+AA47</f>
        <v>8864</v>
      </c>
      <c r="AC110" s="126">
        <f>AC48+AC47</f>
        <v>8864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69.05</v>
      </c>
      <c r="U114" s="26">
        <v>61.42</v>
      </c>
      <c r="V114" s="26">
        <v>55.8</v>
      </c>
      <c r="W114" s="26">
        <v>63.83</v>
      </c>
      <c r="X114" s="26">
        <v>64.150000000000006</v>
      </c>
      <c r="Y114" s="26">
        <v>68.900000000000006</v>
      </c>
      <c r="Z114" s="26">
        <v>71.2</v>
      </c>
      <c r="AA114" s="26">
        <v>539</v>
      </c>
      <c r="AC114" s="63">
        <f ca="1">Overview!C5</f>
        <v>460.16500000000002</v>
      </c>
    </row>
    <row r="115" spans="1:31" x14ac:dyDescent="0.2">
      <c r="B115" s="20" t="s">
        <v>347</v>
      </c>
      <c r="C115" s="26"/>
      <c r="D115" s="26"/>
      <c r="E115" s="26"/>
      <c r="F115" s="26"/>
      <c r="G115" s="26"/>
      <c r="H115" s="26"/>
      <c r="I115" s="26"/>
      <c r="J115" s="26"/>
      <c r="K115" s="26"/>
      <c r="L115" s="65">
        <f t="shared" ref="L115:Q115" si="132">L114/L84</f>
        <v>41.575613618368962</v>
      </c>
      <c r="M115" s="65">
        <f t="shared" si="132"/>
        <v>29.255740300870947</v>
      </c>
      <c r="N115" s="65">
        <f t="shared" si="132"/>
        <v>30.926365795724468</v>
      </c>
      <c r="O115" s="65">
        <f t="shared" si="132"/>
        <v>59.992082343626286</v>
      </c>
      <c r="P115" s="65">
        <f t="shared" si="132"/>
        <v>63.83</v>
      </c>
      <c r="Q115" s="65">
        <f t="shared" si="132"/>
        <v>539</v>
      </c>
      <c r="T115" s="65">
        <f t="shared" ref="T115:Z115" si="133">T114/T84</f>
        <v>54.671417260490898</v>
      </c>
      <c r="U115" s="65">
        <f t="shared" si="133"/>
        <v>48.63024544734759</v>
      </c>
      <c r="V115" s="65">
        <f t="shared" si="133"/>
        <v>55.8</v>
      </c>
      <c r="W115" s="65">
        <f t="shared" si="133"/>
        <v>63.83</v>
      </c>
      <c r="X115" s="65">
        <f t="shared" si="133"/>
        <v>64.150000000000006</v>
      </c>
      <c r="Y115" s="65">
        <f t="shared" si="133"/>
        <v>68.900000000000006</v>
      </c>
      <c r="Z115" s="65">
        <f t="shared" si="133"/>
        <v>71.2</v>
      </c>
      <c r="AA115" s="65">
        <f t="shared" ref="AA115" si="134">AA114/AA84</f>
        <v>539</v>
      </c>
      <c r="AC115" s="65">
        <f ca="1">AC114/AC84</f>
        <v>460.16500000000002</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4.8516723791514005E-2</v>
      </c>
      <c r="M119" s="74">
        <f t="shared" si="135"/>
        <v>7.9816953120842873E-2</v>
      </c>
      <c r="N119" s="74">
        <f t="shared" si="135"/>
        <v>-0.14708233413269384</v>
      </c>
      <c r="O119" s="74">
        <f t="shared" si="135"/>
        <v>-0.12110178882380877</v>
      </c>
      <c r="P119" s="74">
        <f t="shared" si="135"/>
        <v>0.17258403361344538</v>
      </c>
      <c r="Q119" s="74">
        <f t="shared" si="135"/>
        <v>0.72946822509482157</v>
      </c>
      <c r="T119" s="77"/>
      <c r="U119" s="77"/>
      <c r="V119" s="77"/>
      <c r="W119" s="77"/>
      <c r="X119" s="77"/>
      <c r="Y119" s="77"/>
      <c r="Z119" s="77"/>
      <c r="AA119" s="77"/>
      <c r="AC119" s="74">
        <f>AC109/AC5</f>
        <v>0.72946822509482157</v>
      </c>
    </row>
    <row r="120" spans="1:31" x14ac:dyDescent="0.2">
      <c r="B120" s="20" t="s">
        <v>100</v>
      </c>
      <c r="L120" s="75">
        <f t="shared" ref="L120:Q120" si="136">L5/L36</f>
        <v>0.64755854890555642</v>
      </c>
      <c r="M120" s="75">
        <f t="shared" si="136"/>
        <v>0.71567843406070297</v>
      </c>
      <c r="N120" s="75">
        <f t="shared" si="136"/>
        <v>0.25604813950632443</v>
      </c>
      <c r="O120" s="75">
        <f t="shared" si="136"/>
        <v>0.26116255994708121</v>
      </c>
      <c r="P120" s="75">
        <f t="shared" si="136"/>
        <v>0.67990287101842595</v>
      </c>
      <c r="Q120" s="75">
        <f t="shared" si="136"/>
        <v>0.93203953538705719</v>
      </c>
      <c r="T120" s="78"/>
      <c r="U120" s="78"/>
      <c r="V120" s="78"/>
      <c r="W120" s="78"/>
      <c r="X120" s="78"/>
      <c r="Y120" s="78"/>
      <c r="Z120" s="78"/>
      <c r="AA120" s="78"/>
      <c r="AC120" s="75">
        <f>AC5/AC36</f>
        <v>0.93203953538705719</v>
      </c>
    </row>
    <row r="121" spans="1:31" x14ac:dyDescent="0.2">
      <c r="B121" s="32" t="s">
        <v>101</v>
      </c>
      <c r="L121" s="76">
        <f t="shared" ref="L121:O121" si="137">L119*L120</f>
        <v>3.1417419256084496E-2</v>
      </c>
      <c r="M121" s="76">
        <f t="shared" si="137"/>
        <v>5.7123272021021368E-2</v>
      </c>
      <c r="N121" s="76">
        <f t="shared" si="137"/>
        <v>-3.7660158008923819E-2</v>
      </c>
      <c r="O121" s="76">
        <f t="shared" si="137"/>
        <v>-3.1627253183396729E-2</v>
      </c>
      <c r="P121" s="76">
        <f>P119*P120</f>
        <v>0.11734037994572204</v>
      </c>
      <c r="Q121" s="76">
        <f>Q119*Q120</f>
        <v>0.67989322559699872</v>
      </c>
      <c r="T121" s="79"/>
      <c r="U121" s="79"/>
      <c r="V121" s="79"/>
      <c r="W121" s="79"/>
      <c r="X121" s="79"/>
      <c r="Y121" s="79"/>
      <c r="Z121" s="79"/>
      <c r="AA121" s="79"/>
      <c r="AC121" s="76">
        <f>AC119*AC120</f>
        <v>0.67989322559699872</v>
      </c>
    </row>
    <row r="122" spans="1:31" x14ac:dyDescent="0.2">
      <c r="B122" s="20" t="s">
        <v>102</v>
      </c>
      <c r="L122" s="75">
        <f t="shared" ref="L122:Q122" si="138">L36/L48</f>
        <v>2.4374591922395301</v>
      </c>
      <c r="M122" s="75">
        <f t="shared" si="138"/>
        <v>2.1486785042140579</v>
      </c>
      <c r="N122" s="75">
        <f t="shared" si="138"/>
        <v>2.2521434498017885</v>
      </c>
      <c r="O122" s="75">
        <f t="shared" si="138"/>
        <v>2.2359031244222591</v>
      </c>
      <c r="P122" s="75">
        <f t="shared" si="138"/>
        <v>2.6364149877612504</v>
      </c>
      <c r="Q122" s="75">
        <f t="shared" si="138"/>
        <v>1.5637409747292419</v>
      </c>
      <c r="T122" s="80"/>
      <c r="U122" s="80"/>
      <c r="V122" s="80"/>
      <c r="W122" s="80"/>
      <c r="X122" s="80"/>
      <c r="Y122" s="80"/>
      <c r="Z122" s="80"/>
      <c r="AA122" s="80"/>
      <c r="AC122" s="75">
        <f>AC36/AC48</f>
        <v>1.5637409747292419</v>
      </c>
    </row>
    <row r="123" spans="1:31" x14ac:dyDescent="0.2">
      <c r="B123" s="32" t="s">
        <v>103</v>
      </c>
      <c r="L123" s="76">
        <f t="shared" ref="L123:O123" si="139">L121*L122</f>
        <v>7.6578677362186376E-2</v>
      </c>
      <c r="M123" s="76">
        <f t="shared" si="139"/>
        <v>0.12273954668194094</v>
      </c>
      <c r="N123" s="76">
        <f t="shared" si="139"/>
        <v>-8.4816078178298143E-2</v>
      </c>
      <c r="O123" s="76">
        <f t="shared" si="139"/>
        <v>-7.0715474209650589E-2</v>
      </c>
      <c r="P123" s="76">
        <f>P121*P122</f>
        <v>0.30935793635850123</v>
      </c>
      <c r="Q123" s="76">
        <f>Q121*Q122</f>
        <v>1.0631768953068592</v>
      </c>
      <c r="T123" s="79"/>
      <c r="U123" s="79"/>
      <c r="V123" s="79"/>
      <c r="W123" s="79"/>
      <c r="X123" s="79"/>
      <c r="Y123" s="79"/>
      <c r="Z123" s="79"/>
      <c r="AA123" s="79"/>
      <c r="AC123" s="76">
        <f>AC121*AC122</f>
        <v>1.0631768953068592</v>
      </c>
    </row>
    <row r="125" spans="1:31" x14ac:dyDescent="0.2">
      <c r="B125" s="1"/>
    </row>
    <row r="126" spans="1:31" ht="17" thickBot="1" x14ac:dyDescent="0.25">
      <c r="B126" s="14" t="s">
        <v>232</v>
      </c>
      <c r="C126" s="171"/>
      <c r="D126" s="171"/>
      <c r="E126" s="171"/>
      <c r="F126" s="171"/>
      <c r="G126" s="171"/>
      <c r="H126" s="171"/>
      <c r="I126" s="171"/>
      <c r="J126" s="171"/>
      <c r="K126" s="171"/>
      <c r="L126" s="171"/>
      <c r="M126" s="171"/>
      <c r="N126" s="171"/>
      <c r="O126" s="171"/>
      <c r="P126" s="171"/>
      <c r="Q126" s="171"/>
      <c r="T126" s="171"/>
      <c r="U126" s="171"/>
      <c r="V126" s="171"/>
      <c r="W126" s="171"/>
      <c r="X126" s="171"/>
      <c r="Y126" s="171"/>
      <c r="Z126" s="171"/>
      <c r="AA126" s="171"/>
      <c r="AC126" s="171"/>
    </row>
    <row r="127" spans="1:31" x14ac:dyDescent="0.2">
      <c r="B127" s="20" t="s">
        <v>233</v>
      </c>
      <c r="C127" s="49"/>
      <c r="D127" s="49"/>
      <c r="E127" s="49"/>
      <c r="F127" s="49"/>
      <c r="G127" s="49"/>
      <c r="H127" s="49"/>
      <c r="I127" s="49"/>
      <c r="J127" s="49"/>
      <c r="K127" s="49"/>
      <c r="L127" s="49"/>
      <c r="M127" s="49"/>
      <c r="N127" s="49"/>
      <c r="O127" s="49"/>
      <c r="P127" s="49"/>
      <c r="Q127" s="49"/>
      <c r="T127" s="21">
        <v>4200</v>
      </c>
      <c r="U127" s="21">
        <v>3750</v>
      </c>
      <c r="V127" s="21">
        <v>2300</v>
      </c>
      <c r="W127" s="21">
        <v>2600</v>
      </c>
      <c r="X127" s="21">
        <v>2800</v>
      </c>
      <c r="Y127" s="21">
        <v>3100</v>
      </c>
      <c r="Z127" s="21">
        <v>3550</v>
      </c>
      <c r="AA127" s="21">
        <v>4000</v>
      </c>
      <c r="AC127" s="49"/>
    </row>
    <row r="128" spans="1:31" x14ac:dyDescent="0.2">
      <c r="B128" s="20" t="s">
        <v>234</v>
      </c>
      <c r="C128" s="49"/>
      <c r="D128" s="49"/>
      <c r="E128" s="49"/>
      <c r="F128" s="49"/>
      <c r="G128" s="49"/>
      <c r="H128" s="49"/>
      <c r="I128" s="49"/>
      <c r="J128" s="49"/>
      <c r="K128" s="49"/>
      <c r="L128" s="49"/>
      <c r="M128" s="49"/>
      <c r="N128" s="49"/>
      <c r="O128" s="49"/>
      <c r="P128" s="49"/>
      <c r="Q128" s="49"/>
      <c r="T128" s="21">
        <v>4400</v>
      </c>
      <c r="U128" s="21">
        <v>3950</v>
      </c>
      <c r="V128" s="21">
        <v>2600</v>
      </c>
      <c r="W128" s="21">
        <v>2800</v>
      </c>
      <c r="X128" s="21">
        <v>3000</v>
      </c>
      <c r="Y128" s="21">
        <v>3300</v>
      </c>
      <c r="Z128" s="21">
        <v>3750</v>
      </c>
      <c r="AA128" s="21">
        <v>4200</v>
      </c>
      <c r="AC128" s="49"/>
    </row>
    <row r="129" spans="2:29" x14ac:dyDescent="0.2">
      <c r="B129" s="20" t="s">
        <v>235</v>
      </c>
      <c r="C129" s="49"/>
      <c r="D129" s="49"/>
      <c r="E129" s="49"/>
      <c r="F129" s="49"/>
      <c r="G129" s="49"/>
      <c r="H129" s="49"/>
      <c r="I129" s="49"/>
      <c r="J129" s="49"/>
      <c r="K129" s="49"/>
      <c r="L129" s="49"/>
      <c r="M129" s="49"/>
      <c r="N129" s="49"/>
      <c r="O129" s="49"/>
      <c r="P129" s="49"/>
      <c r="Q129" s="49"/>
      <c r="T129" s="25">
        <f t="shared" ref="T129" si="140">U5</f>
        <v>2409</v>
      </c>
      <c r="U129" s="25">
        <f t="shared" ref="U129" si="141">V5</f>
        <v>2294</v>
      </c>
      <c r="V129" s="25">
        <f t="shared" ref="V129" si="142">W5</f>
        <v>2605</v>
      </c>
      <c r="W129" s="25">
        <f t="shared" ref="W129" si="143">X5</f>
        <v>2818</v>
      </c>
      <c r="X129" s="25">
        <f t="shared" ref="X129" si="144">Y5</f>
        <v>3017</v>
      </c>
      <c r="Y129" s="25">
        <f t="shared" ref="Y129" si="145">Z5</f>
        <v>3337</v>
      </c>
      <c r="Z129" s="25">
        <f t="shared" ref="Z129" si="146">AA5</f>
        <v>3747</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5" t="str">
        <f t="shared" ref="T130:Y130" si="148">IF(T129&gt;T128, "BEAT", IF(T129&lt;T127, "MISSED", "MET"))</f>
        <v>MISSED</v>
      </c>
      <c r="U130" s="225" t="str">
        <f t="shared" si="148"/>
        <v>MISSED</v>
      </c>
      <c r="V130" s="225" t="str">
        <f t="shared" si="148"/>
        <v>BEAT</v>
      </c>
      <c r="W130" s="225" t="str">
        <f t="shared" si="148"/>
        <v>BEAT</v>
      </c>
      <c r="X130" s="225" t="str">
        <f t="shared" si="148"/>
        <v>BEAT</v>
      </c>
      <c r="Y130" s="225" t="str">
        <f t="shared" si="148"/>
        <v>BEAT</v>
      </c>
      <c r="Z130" s="225" t="str">
        <f>IF(Z129&gt;Z128, "BEAT", IF(Z129&lt;Z127, "MISSED", "MET"))</f>
        <v>MET</v>
      </c>
      <c r="AA130" s="225" t="str">
        <f>IF(AA129&gt;AA128, "BEAT", IF(AA129&lt;AA127, "MISSED", "MET"))</f>
        <v>MISSED</v>
      </c>
      <c r="AC130" s="49"/>
    </row>
    <row r="131" spans="2:29" x14ac:dyDescent="0.2">
      <c r="B131" s="20" t="s">
        <v>366</v>
      </c>
      <c r="C131" s="49"/>
      <c r="D131" s="49"/>
      <c r="E131" s="49"/>
      <c r="F131" s="49"/>
      <c r="G131" s="49"/>
      <c r="H131" s="49"/>
      <c r="I131" s="49"/>
      <c r="J131" s="49"/>
      <c r="K131" s="49"/>
      <c r="L131" s="49"/>
      <c r="M131" s="49"/>
      <c r="N131" s="49"/>
      <c r="O131" s="49"/>
      <c r="P131" s="49"/>
      <c r="Q131" s="49"/>
      <c r="T131" s="26">
        <v>1.75</v>
      </c>
      <c r="U131" s="26">
        <v>0.9</v>
      </c>
      <c r="V131" s="26">
        <v>1.25</v>
      </c>
      <c r="W131" s="26">
        <v>1.39</v>
      </c>
      <c r="X131" s="26">
        <v>1.73</v>
      </c>
      <c r="Y131" s="26">
        <v>2.15</v>
      </c>
      <c r="Z131" s="26">
        <v>3.1</v>
      </c>
      <c r="AA131" s="26">
        <v>3.85</v>
      </c>
      <c r="AC131" s="49"/>
    </row>
    <row r="132" spans="2:29" x14ac:dyDescent="0.2">
      <c r="B132" s="20" t="s">
        <v>367</v>
      </c>
      <c r="C132" s="49"/>
      <c r="D132" s="49"/>
      <c r="E132" s="49"/>
      <c r="F132" s="49"/>
      <c r="G132" s="49"/>
      <c r="H132" s="49"/>
      <c r="I132" s="49"/>
      <c r="J132" s="49"/>
      <c r="K132" s="49"/>
      <c r="L132" s="49"/>
      <c r="M132" s="49"/>
      <c r="N132" s="49"/>
      <c r="O132" s="49"/>
      <c r="P132" s="49"/>
      <c r="Q132" s="49"/>
      <c r="T132" s="26">
        <v>2.0499999999999998</v>
      </c>
      <c r="U132" s="26">
        <v>1.2</v>
      </c>
      <c r="V132" s="26">
        <v>1.65</v>
      </c>
      <c r="W132" s="26">
        <v>1.69</v>
      </c>
      <c r="X132" s="26">
        <v>2.0299999999999998</v>
      </c>
      <c r="Y132" s="26">
        <v>2.4500000000000002</v>
      </c>
      <c r="Z132" s="26">
        <v>3.4</v>
      </c>
      <c r="AA132" s="26">
        <v>4.1500000000000004</v>
      </c>
      <c r="AC132" s="49"/>
    </row>
    <row r="133" spans="2:29" x14ac:dyDescent="0.2">
      <c r="B133" s="20" t="s">
        <v>368</v>
      </c>
      <c r="C133" s="49"/>
      <c r="D133" s="49"/>
      <c r="E133" s="49"/>
      <c r="F133" s="49"/>
      <c r="G133" s="49"/>
      <c r="H133" s="49"/>
      <c r="I133" s="49"/>
      <c r="J133" s="49"/>
      <c r="K133" s="49"/>
      <c r="L133" s="49"/>
      <c r="M133" s="49"/>
      <c r="N133" s="49"/>
      <c r="O133" s="49"/>
      <c r="P133" s="49"/>
      <c r="Q133" s="49"/>
      <c r="T133" s="229">
        <f t="shared" ref="T133" si="149">U24</f>
        <v>1.27</v>
      </c>
      <c r="U133" s="229">
        <f t="shared" ref="U133" si="150">V24</f>
        <v>2.11</v>
      </c>
      <c r="V133" s="229">
        <f t="shared" ref="V133" si="151">W24</f>
        <v>0.67</v>
      </c>
      <c r="W133" s="229">
        <f t="shared" ref="W133" si="152">X24</f>
        <v>3.07</v>
      </c>
      <c r="X133" s="229">
        <f t="shared" ref="X133" si="153">Y24</f>
        <v>4.7300000000000004</v>
      </c>
      <c r="Y133" s="229">
        <f t="shared" ref="Y133" si="154">Z24</f>
        <v>8.1999999999999993</v>
      </c>
      <c r="Z133" s="229">
        <f t="shared" ref="Z133" si="155">AA24</f>
        <v>8.2100000000000009</v>
      </c>
      <c r="AA133" s="229">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5" t="str">
        <f t="shared" ref="T134:Y134" si="157">IF(T133&gt;T132, "BEAT", IF(T133&lt;T131, "MISSED", "MET"))</f>
        <v>MISSED</v>
      </c>
      <c r="U134" s="225" t="str">
        <f t="shared" si="157"/>
        <v>BEAT</v>
      </c>
      <c r="V134" s="225" t="str">
        <f t="shared" si="157"/>
        <v>MISSED</v>
      </c>
      <c r="W134" s="225" t="str">
        <f t="shared" si="157"/>
        <v>BEAT</v>
      </c>
      <c r="X134" s="225" t="str">
        <f t="shared" si="157"/>
        <v>BEAT</v>
      </c>
      <c r="Y134" s="225" t="str">
        <f t="shared" si="157"/>
        <v>BEAT</v>
      </c>
      <c r="Z134" s="225" t="str">
        <f>IF(Z133&gt;Z132, "BEAT", IF(Z133&lt;Z131, "MISSED", "MET"))</f>
        <v>BEAT</v>
      </c>
      <c r="AA134" s="225" t="str">
        <f>IF(AA133&gt;AA132, "BEAT", IF(AA133&lt;AA131, "MISSED", "MET"))</f>
        <v>MISSED</v>
      </c>
      <c r="AC134" s="49"/>
    </row>
    <row r="136" spans="2:29" x14ac:dyDescent="0.2">
      <c r="B136" s="1"/>
    </row>
    <row r="137" spans="2:29" ht="17" thickBot="1" x14ac:dyDescent="0.25">
      <c r="B137" s="14" t="s">
        <v>252</v>
      </c>
      <c r="C137" s="171"/>
      <c r="D137" s="171"/>
      <c r="E137" s="171"/>
      <c r="F137" s="171"/>
      <c r="G137" s="171"/>
      <c r="H137" s="171"/>
      <c r="I137" s="171"/>
      <c r="J137" s="171"/>
      <c r="K137" s="171"/>
      <c r="L137" s="171"/>
      <c r="M137" s="171"/>
      <c r="N137" s="171"/>
      <c r="O137" s="171"/>
      <c r="P137" s="171"/>
      <c r="Q137" s="171"/>
      <c r="T137" s="171"/>
      <c r="U137" s="171"/>
      <c r="V137" s="171"/>
      <c r="W137" s="171"/>
      <c r="X137" s="171"/>
      <c r="Y137" s="171"/>
      <c r="Z137" s="171"/>
      <c r="AA137" s="171"/>
      <c r="AC137" s="171"/>
    </row>
    <row r="138" spans="2:29" x14ac:dyDescent="0.2">
      <c r="B138" s="20" t="s">
        <v>104</v>
      </c>
      <c r="C138" s="81"/>
      <c r="D138" s="81"/>
      <c r="E138" s="81"/>
      <c r="F138" s="81"/>
      <c r="G138" s="81"/>
      <c r="H138" s="81"/>
      <c r="I138" s="81"/>
      <c r="J138" s="81"/>
      <c r="K138" s="81"/>
      <c r="L138" s="81">
        <f t="shared" ref="L138:Q138" si="158">L107/(L106+L110-L105)</f>
        <v>6.7211758172413497E-2</v>
      </c>
      <c r="M138" s="81">
        <f t="shared" si="158"/>
        <v>9.9985480987453412E-2</v>
      </c>
      <c r="N138" s="81">
        <f t="shared" si="158"/>
        <v>-3.4478419529382159E-2</v>
      </c>
      <c r="O138" s="81">
        <f t="shared" si="158"/>
        <v>-2.4613693275514565E-2</v>
      </c>
      <c r="P138" s="81">
        <f t="shared" si="158"/>
        <v>0.29514415781487102</v>
      </c>
      <c r="Q138" s="81">
        <f t="shared" si="158"/>
        <v>0.50818716392752861</v>
      </c>
      <c r="T138" s="49"/>
      <c r="U138" s="49"/>
      <c r="V138" s="49"/>
      <c r="W138" s="49"/>
      <c r="X138" s="49"/>
      <c r="Y138" s="49"/>
      <c r="Z138" s="49"/>
      <c r="AA138" s="49"/>
      <c r="AC138" s="81">
        <f>AC107/(AC106+AC110-AC105)</f>
        <v>0.50818716392752861</v>
      </c>
    </row>
    <row r="139" spans="2:29" x14ac:dyDescent="0.2">
      <c r="B139" s="20" t="s">
        <v>138</v>
      </c>
      <c r="L139" s="118">
        <f t="shared" ref="L139:P139" si="159">L29/L5*365</f>
        <v>48.682484339912541</v>
      </c>
      <c r="M139" s="118">
        <f t="shared" si="159"/>
        <v>54.459639227371895</v>
      </c>
      <c r="N139" s="118">
        <f t="shared" si="159"/>
        <v>93.248601119104706</v>
      </c>
      <c r="O139" s="118">
        <f t="shared" si="159"/>
        <v>125.15276238720912</v>
      </c>
      <c r="P139" s="118">
        <f t="shared" si="159"/>
        <v>56.97373949579832</v>
      </c>
      <c r="Q139" s="118">
        <f t="shared" ref="Q139:Q140" si="160">Q29/Q5*365</f>
        <v>57.240498490595243</v>
      </c>
      <c r="T139" s="118">
        <f t="shared" ref="T139:Z139" si="161">T29/T5*90</f>
        <v>100.00904159132007</v>
      </c>
      <c r="U139" s="118">
        <f t="shared" si="161"/>
        <v>97.023661270236616</v>
      </c>
      <c r="V139" s="118">
        <f t="shared" si="161"/>
        <v>57.632955536181342</v>
      </c>
      <c r="W139" s="118">
        <f t="shared" si="161"/>
        <v>51.339731285988485</v>
      </c>
      <c r="X139" s="118">
        <f t="shared" si="161"/>
        <v>43.275372604684172</v>
      </c>
      <c r="Y139" s="118">
        <f t="shared" si="161"/>
        <v>50.265164070268483</v>
      </c>
      <c r="Z139" s="118">
        <f t="shared" si="161"/>
        <v>51.081810008990111</v>
      </c>
      <c r="AA139" s="118">
        <f t="shared" ref="AA139" si="162">AA29/AA5*90</f>
        <v>48.662930344275416</v>
      </c>
      <c r="AC139" s="118">
        <f>AC29/AC5*365</f>
        <v>57.240498490595243</v>
      </c>
    </row>
    <row r="140" spans="2:29" x14ac:dyDescent="0.2">
      <c r="B140" s="20" t="s">
        <v>139</v>
      </c>
      <c r="L140" s="118">
        <f t="shared" ref="L140:P140" si="163">L30/L6*365</f>
        <v>106.43012660269333</v>
      </c>
      <c r="M140" s="118">
        <f t="shared" si="163"/>
        <v>102.78427122842326</v>
      </c>
      <c r="N140" s="118">
        <f t="shared" si="163"/>
        <v>277.5020559210526</v>
      </c>
      <c r="O140" s="118">
        <f t="shared" si="163"/>
        <v>268.44850352112672</v>
      </c>
      <c r="P140" s="118">
        <f t="shared" si="163"/>
        <v>80.853637611530544</v>
      </c>
      <c r="Q140" s="118">
        <f t="shared" si="160"/>
        <v>83.461713075060544</v>
      </c>
      <c r="T140" s="118">
        <f t="shared" ref="T140:Z140" si="164">T30/T6*365</f>
        <v>878.49217638691323</v>
      </c>
      <c r="U140" s="118">
        <f t="shared" si="164"/>
        <v>831.09187749667115</v>
      </c>
      <c r="V140" s="118">
        <f t="shared" si="164"/>
        <v>346.24819102749638</v>
      </c>
      <c r="W140" s="118">
        <f t="shared" si="164"/>
        <v>306.38166449934982</v>
      </c>
      <c r="X140" s="118">
        <f t="shared" si="164"/>
        <v>319.5757385292269</v>
      </c>
      <c r="Y140" s="118">
        <f t="shared" si="164"/>
        <v>300.7849725106903</v>
      </c>
      <c r="Z140" s="118">
        <f t="shared" si="164"/>
        <v>298.19686935580978</v>
      </c>
      <c r="AA140" s="118">
        <f t="shared" ref="AA140" si="165">AA30/AA6*365</f>
        <v>320.83478766724841</v>
      </c>
      <c r="AC140" s="118">
        <f>AC30/AC6*365</f>
        <v>83.461713075060544</v>
      </c>
    </row>
    <row r="141" spans="2:29" x14ac:dyDescent="0.2">
      <c r="B141" s="20" t="s">
        <v>140</v>
      </c>
      <c r="L141" s="118">
        <f t="shared" ref="L141:Q141" si="166">L37/L6*365</f>
        <v>56.923635190710428</v>
      </c>
      <c r="M141" s="118">
        <f t="shared" si="166"/>
        <v>53.737131356916173</v>
      </c>
      <c r="N141" s="118">
        <f t="shared" si="166"/>
        <v>97.028166118421055</v>
      </c>
      <c r="O141" s="118">
        <f t="shared" si="166"/>
        <v>113.33956866197184</v>
      </c>
      <c r="P141" s="118">
        <f t="shared" si="166"/>
        <v>79.287920384351409</v>
      </c>
      <c r="Q141" s="118">
        <f t="shared" si="166"/>
        <v>97.9888014527845</v>
      </c>
      <c r="T141" s="118">
        <f t="shared" ref="T141:Z141" si="167">T37/T6*90</f>
        <v>101.0099573257468</v>
      </c>
      <c r="U141" s="118">
        <f t="shared" si="167"/>
        <v>97.490013315579233</v>
      </c>
      <c r="V141" s="118">
        <f t="shared" si="167"/>
        <v>83.813314037626625</v>
      </c>
      <c r="W141" s="118">
        <f t="shared" si="167"/>
        <v>74.083224967490253</v>
      </c>
      <c r="X141" s="118">
        <f t="shared" si="167"/>
        <v>86.719044626021372</v>
      </c>
      <c r="Y141" s="118">
        <f t="shared" si="167"/>
        <v>82.30299328039095</v>
      </c>
      <c r="Z141" s="118">
        <f t="shared" si="167"/>
        <v>85.990367248645398</v>
      </c>
      <c r="AA141" s="118">
        <f t="shared" ref="AA141" si="168">AA37/AA6*90</f>
        <v>92.879581151832454</v>
      </c>
      <c r="AC141" s="118">
        <f>AC37/AC6*365</f>
        <v>97.9888014527845</v>
      </c>
    </row>
    <row r="142" spans="2:29" x14ac:dyDescent="0.2">
      <c r="B142" s="20" t="s">
        <v>141</v>
      </c>
      <c r="L142" s="118">
        <f>L139+L140-L141</f>
        <v>98.188975751895441</v>
      </c>
      <c r="M142" s="118">
        <f t="shared" ref="M142:P142" si="169">M139+M140-M141</f>
        <v>103.50677909887901</v>
      </c>
      <c r="N142" s="118">
        <f t="shared" si="169"/>
        <v>273.72249092173627</v>
      </c>
      <c r="O142" s="118">
        <f t="shared" si="169"/>
        <v>280.26169724636401</v>
      </c>
      <c r="P142" s="118">
        <f t="shared" si="169"/>
        <v>58.539456722977448</v>
      </c>
      <c r="Q142" s="118">
        <f t="shared" ref="Q142" si="170">Q139+Q140-Q141</f>
        <v>42.713410112871273</v>
      </c>
      <c r="T142" s="118">
        <f t="shared" ref="T142" si="171">T139+T140-T141</f>
        <v>877.49126065248652</v>
      </c>
      <c r="U142" s="118">
        <f t="shared" ref="U142" si="172">U139+U140-U141</f>
        <v>830.62552545132849</v>
      </c>
      <c r="V142" s="118">
        <f t="shared" ref="V142" si="173">V139+V140-V141</f>
        <v>320.06783252605106</v>
      </c>
      <c r="W142" s="118">
        <f t="shared" ref="W142" si="174">W139+W140-W141</f>
        <v>283.63817081784805</v>
      </c>
      <c r="X142" s="118">
        <f t="shared" ref="X142:Z142" si="175">X139+X140-X141</f>
        <v>276.1320665078897</v>
      </c>
      <c r="Y142" s="118">
        <f t="shared" si="175"/>
        <v>268.74714330056781</v>
      </c>
      <c r="Z142" s="118">
        <f t="shared" si="175"/>
        <v>263.28831211615449</v>
      </c>
      <c r="AA142" s="118">
        <f t="shared" ref="AA142" si="176">AA139+AA140-AA141</f>
        <v>276.61813685969139</v>
      </c>
      <c r="AC142" s="118">
        <f t="shared" ref="AC142" si="177">AC139+AC140-AC141</f>
        <v>42.713410112871273</v>
      </c>
    </row>
    <row r="143" spans="2:29" x14ac:dyDescent="0.2">
      <c r="B143" s="20" t="s">
        <v>255</v>
      </c>
      <c r="L143" s="118">
        <f t="shared" ref="L143:Q143" si="178">L106/L48</f>
        <v>0.81382333737524482</v>
      </c>
      <c r="M143" s="118">
        <f t="shared" si="178"/>
        <v>0.57294820391130019</v>
      </c>
      <c r="N143" s="118">
        <f t="shared" si="178"/>
        <v>0.65179312252235644</v>
      </c>
      <c r="O143" s="118">
        <f t="shared" si="178"/>
        <v>0.68718801996672207</v>
      </c>
      <c r="P143" s="118">
        <f t="shared" si="178"/>
        <v>0.88702692524948223</v>
      </c>
      <c r="Q143" s="118">
        <f t="shared" si="178"/>
        <v>0.11868231046931407</v>
      </c>
      <c r="T143" s="118">
        <f t="shared" ref="T143:Z143" si="179">T106/T48</f>
        <v>0.63557502361934204</v>
      </c>
      <c r="U143" s="118">
        <f t="shared" si="179"/>
        <v>0.60790624742097876</v>
      </c>
      <c r="V143" s="118">
        <f t="shared" si="179"/>
        <v>1.4164574077651149</v>
      </c>
      <c r="W143" s="118">
        <f t="shared" si="179"/>
        <v>0.88702692524948223</v>
      </c>
      <c r="X143" s="118">
        <f t="shared" si="179"/>
        <v>0.79534646739130432</v>
      </c>
      <c r="Y143" s="118">
        <f t="shared" si="179"/>
        <v>0.65461960343130365</v>
      </c>
      <c r="Z143" s="118">
        <f t="shared" si="179"/>
        <v>0.16332644628099174</v>
      </c>
      <c r="AA143" s="118">
        <f t="shared" ref="AA143" si="180">AA106/AA48</f>
        <v>0.11868231046931407</v>
      </c>
      <c r="AC143" s="118">
        <f>AC106/AC48</f>
        <v>0.11868231046931407</v>
      </c>
    </row>
    <row r="144" spans="2:29" x14ac:dyDescent="0.2">
      <c r="B144" s="20" t="s">
        <v>259</v>
      </c>
      <c r="L144" s="179">
        <f t="shared" ref="L144:Q144" si="181">(L106-L105)/L48</f>
        <v>0.49948698815409009</v>
      </c>
      <c r="M144" s="179">
        <f t="shared" si="181"/>
        <v>0.38253825382538253</v>
      </c>
      <c r="N144" s="179">
        <f t="shared" si="181"/>
        <v>0.46528994191942474</v>
      </c>
      <c r="O144" s="179">
        <f t="shared" si="181"/>
        <v>0.51349602514327974</v>
      </c>
      <c r="P144" s="179">
        <f t="shared" si="181"/>
        <v>0.48898512521182452</v>
      </c>
      <c r="Q144" s="179">
        <f t="shared" si="181"/>
        <v>-5.9453971119133572E-2</v>
      </c>
      <c r="T144" s="179">
        <f t="shared" ref="T144:Z144" si="182">(T106-T105)/T48</f>
        <v>0.48913510263677745</v>
      </c>
      <c r="U144" s="179">
        <f t="shared" si="182"/>
        <v>0.41883304448295783</v>
      </c>
      <c r="V144" s="179">
        <f t="shared" si="182"/>
        <v>0.74483291481553027</v>
      </c>
      <c r="W144" s="179">
        <f t="shared" si="182"/>
        <v>0.48898512521182452</v>
      </c>
      <c r="X144" s="179">
        <f t="shared" si="182"/>
        <v>0.44752038043478259</v>
      </c>
      <c r="Y144" s="179">
        <f t="shared" si="182"/>
        <v>0.37688088876388692</v>
      </c>
      <c r="Z144" s="179">
        <f t="shared" si="182"/>
        <v>-4.8450413223140497E-2</v>
      </c>
      <c r="AA144" s="179">
        <f t="shared" ref="AA144" si="183">(AA106-AA105)/AA48</f>
        <v>-5.9453971119133572E-2</v>
      </c>
      <c r="AC144" s="179">
        <f>(AC106-AC105)/AC48</f>
        <v>-5.9453971119133572E-2</v>
      </c>
    </row>
    <row r="145" spans="2:29" x14ac:dyDescent="0.2">
      <c r="B145" s="20" t="s">
        <v>256</v>
      </c>
      <c r="L145" s="118">
        <f t="shared" ref="L145:Q145" si="184">(L105+L29)/L39</f>
        <v>1.1554414784394251</v>
      </c>
      <c r="M145" s="118">
        <f t="shared" si="184"/>
        <v>0.97975940423906815</v>
      </c>
      <c r="N145" s="118">
        <f t="shared" si="184"/>
        <v>0.66635995583364005</v>
      </c>
      <c r="O145" s="118">
        <f t="shared" si="184"/>
        <v>0.66453096763594544</v>
      </c>
      <c r="P145" s="118">
        <f t="shared" si="184"/>
        <v>0.66445182724252494</v>
      </c>
      <c r="Q145" s="118">
        <f t="shared" si="184"/>
        <v>0.85023584905660377</v>
      </c>
      <c r="T145" s="118">
        <f t="shared" ref="T145:Z145" si="185">(T105+T29)/T39</f>
        <v>0.68346741093416519</v>
      </c>
      <c r="U145" s="118">
        <f t="shared" si="185"/>
        <v>1.0386740331491713</v>
      </c>
      <c r="V145" s="118">
        <f t="shared" si="185"/>
        <v>0.95445773832497105</v>
      </c>
      <c r="W145" s="118">
        <f t="shared" si="185"/>
        <v>0.66445182724252494</v>
      </c>
      <c r="X145" s="118">
        <f t="shared" si="185"/>
        <v>0.65783877827179582</v>
      </c>
      <c r="Y145" s="118">
        <f t="shared" si="185"/>
        <v>0.70670013516122798</v>
      </c>
      <c r="Z145" s="118">
        <f t="shared" si="185"/>
        <v>0.85054992452016387</v>
      </c>
      <c r="AA145" s="118">
        <f t="shared" ref="AA145" si="186">(AA105+AA29)/AA39</f>
        <v>0.85023584905660377</v>
      </c>
      <c r="AC145" s="118">
        <f>(AC105+AC29)/AC39</f>
        <v>0.85023584905660377</v>
      </c>
    </row>
    <row r="146" spans="2:29" x14ac:dyDescent="0.2">
      <c r="B146" s="20" t="s">
        <v>257</v>
      </c>
      <c r="L146" s="118">
        <f t="shared" ref="L146:Q146" si="187">L31/L39</f>
        <v>2.0034907597535936</v>
      </c>
      <c r="M146" s="118">
        <f t="shared" si="187"/>
        <v>1.8050410540385717</v>
      </c>
      <c r="N146" s="118">
        <f t="shared" si="187"/>
        <v>1.4512329775487671</v>
      </c>
      <c r="O146" s="118">
        <f t="shared" si="187"/>
        <v>1.3241333990471498</v>
      </c>
      <c r="P146" s="118">
        <f t="shared" si="187"/>
        <v>1.0808416389811739</v>
      </c>
      <c r="Q146" s="118">
        <f t="shared" si="187"/>
        <v>1.3287735849056603</v>
      </c>
      <c r="T146" s="118">
        <f t="shared" ref="T146:Z146" si="188">T31/T39</f>
        <v>1.4680676407814808</v>
      </c>
      <c r="U146" s="118">
        <f t="shared" si="188"/>
        <v>1.9915002124946877</v>
      </c>
      <c r="V146" s="118">
        <f t="shared" si="188"/>
        <v>1.5604013894249325</v>
      </c>
      <c r="W146" s="118">
        <f t="shared" si="188"/>
        <v>1.0808416389811739</v>
      </c>
      <c r="X146" s="118">
        <f t="shared" si="188"/>
        <v>1.2130291900251304</v>
      </c>
      <c r="Y146" s="118">
        <f t="shared" si="188"/>
        <v>1.4541417262019696</v>
      </c>
      <c r="Z146" s="118">
        <f t="shared" si="188"/>
        <v>1.4904032779814536</v>
      </c>
      <c r="AA146" s="118">
        <f t="shared" ref="AA146" si="189">AA31/AA39</f>
        <v>1.3287735849056603</v>
      </c>
      <c r="AC146" s="118">
        <f>AC31/AC39</f>
        <v>1.3287735849056603</v>
      </c>
    </row>
    <row r="147" spans="2:29" x14ac:dyDescent="0.2">
      <c r="B147" s="20" t="s">
        <v>263</v>
      </c>
      <c r="L147" s="181">
        <f t="shared" ref="L147:Q147" si="190">IF(L12&gt;=0,"N/A",IF(L11&lt;=0,"N/A",L11/-L12))</f>
        <v>3.8244514106583072</v>
      </c>
      <c r="M147" s="181">
        <f t="shared" si="190"/>
        <v>8.0234899328859068</v>
      </c>
      <c r="N147" s="181" t="str">
        <f t="shared" si="190"/>
        <v>N/A</v>
      </c>
      <c r="O147" s="181" t="str">
        <f t="shared" si="190"/>
        <v>N/A</v>
      </c>
      <c r="P147" s="181">
        <f t="shared" si="190"/>
        <v>7.4807692307692308</v>
      </c>
      <c r="Q147" s="181">
        <f t="shared" si="190"/>
        <v>39.061403508771932</v>
      </c>
      <c r="T147" s="181">
        <f t="shared" ref="T147:Z147" si="191">IF(T12&gt;=0,"N/A",IF(T11&lt;=0,"N/A",T11/-T12))</f>
        <v>3.6304347826086958</v>
      </c>
      <c r="U147" s="181">
        <f t="shared" si="191"/>
        <v>6.666666666666667</v>
      </c>
      <c r="V147" s="181">
        <f t="shared" si="191"/>
        <v>9.3827160493827169</v>
      </c>
      <c r="W147" s="181">
        <f t="shared" si="191"/>
        <v>2.0420420420420422</v>
      </c>
      <c r="X147" s="181">
        <f t="shared" si="191"/>
        <v>18.857142857142858</v>
      </c>
      <c r="Y147" s="181">
        <f t="shared" si="191"/>
        <v>21.61904761904762</v>
      </c>
      <c r="Z147" s="181">
        <f t="shared" si="191"/>
        <v>45.769230769230766</v>
      </c>
      <c r="AA147" s="181" t="str">
        <f t="shared" ref="AA147" si="192">IF(AA12&gt;=0,"N/A",IF(AA11&lt;=0,"N/A",AA11/-AA12))</f>
        <v>N/A</v>
      </c>
      <c r="AC147" s="181" t="str">
        <f>IF(AC12&gt;=0,"N/A",IF(AC11&lt;=0,"N/A",AC11/-AC12))</f>
        <v>N/A</v>
      </c>
    </row>
    <row r="148" spans="2:29" x14ac:dyDescent="0.2">
      <c r="B148" s="20" t="s">
        <v>241</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22.199341021416803</v>
      </c>
      <c r="T148" s="49"/>
      <c r="U148" s="49"/>
      <c r="V148" s="49"/>
      <c r="W148" s="49"/>
      <c r="X148" s="49"/>
      <c r="Y148" s="49"/>
      <c r="Z148" s="49"/>
      <c r="AA148" s="49"/>
      <c r="AC148" s="72">
        <f ca="1">AC115/Statement!AC25</f>
        <v>19.007228418009088</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13.651074870346003</v>
      </c>
    </row>
    <row r="150" spans="2:29" x14ac:dyDescent="0.2">
      <c r="B150" s="20" t="s">
        <v>242</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2.0519883191617283</v>
      </c>
      <c r="U150" s="72">
        <f>U115/(Statement!U48/Statement!U74)</f>
        <v>1.7639811834612527</v>
      </c>
      <c r="V150" s="72">
        <f>V115/(Statement!V48/Statement!V74)</f>
        <v>3.7616766467065865</v>
      </c>
      <c r="W150" s="72">
        <f>W115/(Statement!W48/Statement!W74)</f>
        <v>4.1463660327621916</v>
      </c>
      <c r="X150" s="72">
        <f>X115/(Statement!X48/Statement!X74)</f>
        <v>3.7261039402173917</v>
      </c>
      <c r="Y150" s="72">
        <f>Y115/(Statement!Y48/Statement!Y74)</f>
        <v>3.284643510054845</v>
      </c>
      <c r="Z150" s="72">
        <f>Z115/(Statement!Z48/Statement!Z74)</f>
        <v>2.5376033057851242</v>
      </c>
      <c r="AA150" s="72">
        <f>AA115/(Statement!AA48/Statement!AA74)</f>
        <v>21.951601985559567</v>
      </c>
      <c r="AC150" s="72">
        <f ca="1">AC115/(Statement!AC48/Statement!AC74)</f>
        <v>18.740925654332131</v>
      </c>
    </row>
    <row r="151" spans="2:29" x14ac:dyDescent="0.2">
      <c r="B151" s="20" t="s">
        <v>243</v>
      </c>
      <c r="L151" s="143">
        <f>Statement!L115*Statement!L77</f>
        <v>16435.63</v>
      </c>
      <c r="M151" s="143">
        <f>Statement!M115*Statement!M77</f>
        <v>11750.100000000002</v>
      </c>
      <c r="N151" s="143">
        <f>Statement!N115*Statement!N77</f>
        <v>12577.32</v>
      </c>
      <c r="O151" s="143">
        <f>Statement!O115*Statement!O77</f>
        <v>25989.109999999997</v>
      </c>
      <c r="P151" s="143">
        <f>Statement!P115*Statement!P77</f>
        <v>22787.309999999998</v>
      </c>
      <c r="Q151" s="143">
        <f>Statement!Q115*Statement!Q77</f>
        <v>215061</v>
      </c>
      <c r="T151" s="143">
        <f>Statement!T115*Statement!T77</f>
        <v>23891.3</v>
      </c>
      <c r="U151" s="143">
        <f>Statement!U115*Statement!U77</f>
        <v>21374.16</v>
      </c>
      <c r="V151" s="143">
        <f>Statement!V115*Statement!V77</f>
        <v>19474.2</v>
      </c>
      <c r="W151" s="143">
        <f>Statement!W115*Statement!W77</f>
        <v>22787.309999999998</v>
      </c>
      <c r="X151" s="143">
        <f>Statement!X115*Statement!X77</f>
        <v>22067.600000000002</v>
      </c>
      <c r="Y151" s="143">
        <f>Statement!Y115*Statement!Y77</f>
        <v>23632.7</v>
      </c>
      <c r="Z151" s="143">
        <f>Statement!Z115*Statement!Z77</f>
        <v>24848.799999999999</v>
      </c>
      <c r="AA151" s="143">
        <f>Statement!AA115*Statement!AA77</f>
        <v>215061</v>
      </c>
      <c r="AC151" s="143">
        <f ca="1">Statement!AC115*Statement!AC77</f>
        <v>183605.83500000002</v>
      </c>
    </row>
    <row r="152" spans="2:29" x14ac:dyDescent="0.2">
      <c r="B152" s="20" t="s">
        <v>187</v>
      </c>
      <c r="L152" s="143">
        <f t="shared" ref="L152:Q152" si="193">L151+L106-L105+L47+L44</f>
        <v>21790.63</v>
      </c>
      <c r="M152" s="143">
        <f t="shared" si="193"/>
        <v>16425.100000000002</v>
      </c>
      <c r="N152" s="143">
        <f t="shared" si="193"/>
        <v>18500.32</v>
      </c>
      <c r="O152" s="143">
        <f t="shared" si="193"/>
        <v>31773.11</v>
      </c>
      <c r="P152" s="143">
        <f t="shared" si="193"/>
        <v>25613.309999999998</v>
      </c>
      <c r="Q152" s="143">
        <f t="shared" si="193"/>
        <v>214534</v>
      </c>
      <c r="T152" s="143">
        <f t="shared" ref="T152:Z152" si="194">T151+T106-T105+T47+T44</f>
        <v>29815.3</v>
      </c>
      <c r="U152" s="143">
        <f t="shared" si="194"/>
        <v>26678.16</v>
      </c>
      <c r="V152" s="143">
        <f t="shared" si="194"/>
        <v>23559.200000000001</v>
      </c>
      <c r="W152" s="143">
        <f t="shared" si="194"/>
        <v>25613.309999999998</v>
      </c>
      <c r="X152" s="143">
        <f t="shared" si="194"/>
        <v>24931.600000000002</v>
      </c>
      <c r="Y152" s="143">
        <f t="shared" si="194"/>
        <v>26541.7</v>
      </c>
      <c r="Z152" s="143">
        <f t="shared" si="194"/>
        <v>24379.8</v>
      </c>
      <c r="AA152" s="143">
        <f t="shared" ref="AA152" si="195">AA151+AA106-AA105+AA47+AA44</f>
        <v>214534</v>
      </c>
      <c r="AC152" s="143">
        <f ca="1">AC151+AC106-AC105+AC47+AC44</f>
        <v>183078.83500000002</v>
      </c>
    </row>
    <row r="153" spans="2:29" x14ac:dyDescent="0.2">
      <c r="B153" s="20" t="s">
        <v>264</v>
      </c>
      <c r="L153" s="183">
        <f t="shared" ref="L153:Q153" si="196">L152/L5</f>
        <v>1.2877100815506441</v>
      </c>
      <c r="M153" s="183">
        <f t="shared" si="196"/>
        <v>0.87400095780343756</v>
      </c>
      <c r="N153" s="183">
        <f t="shared" si="196"/>
        <v>2.9576850519584332</v>
      </c>
      <c r="O153" s="183">
        <f t="shared" si="196"/>
        <v>5.0297783758113033</v>
      </c>
      <c r="P153" s="183">
        <f t="shared" si="196"/>
        <v>2.6904737394957983</v>
      </c>
      <c r="Q153" s="183">
        <f t="shared" si="196"/>
        <v>16.606084062233919</v>
      </c>
      <c r="T153" s="49"/>
      <c r="U153" s="49"/>
      <c r="V153" s="49"/>
      <c r="W153" s="49"/>
      <c r="X153" s="49"/>
      <c r="Y153" s="49"/>
      <c r="Z153" s="49"/>
      <c r="AA153" s="49"/>
      <c r="AC153" s="183">
        <f ca="1">AC152/AC5</f>
        <v>14.171285316200946</v>
      </c>
    </row>
    <row r="154" spans="2:29" x14ac:dyDescent="0.2">
      <c r="B154" s="20" t="s">
        <v>203</v>
      </c>
      <c r="L154" s="183">
        <f t="shared" ref="L154:Q154" si="197">L152/L11</f>
        <v>17.861172131147541</v>
      </c>
      <c r="M154" s="183">
        <f t="shared" si="197"/>
        <v>6.8695524884985373</v>
      </c>
      <c r="N154" s="183">
        <f t="shared" si="197"/>
        <v>-33.759708029197078</v>
      </c>
      <c r="O154" s="183">
        <f t="shared" si="197"/>
        <v>-78.841464019851117</v>
      </c>
      <c r="P154" s="183">
        <f t="shared" si="197"/>
        <v>10.973997429305912</v>
      </c>
      <c r="Q154" s="183">
        <f t="shared" si="197"/>
        <v>48.177408488659331</v>
      </c>
      <c r="T154" s="49"/>
      <c r="U154" s="49"/>
      <c r="V154" s="49"/>
      <c r="W154" s="49"/>
      <c r="X154" s="49"/>
      <c r="Y154" s="49"/>
      <c r="Z154" s="49"/>
      <c r="AA154" s="49"/>
      <c r="AC154" s="183">
        <f ca="1">AC152/AC11</f>
        <v>41.113594206153159</v>
      </c>
    </row>
    <row r="155" spans="2:29" x14ac:dyDescent="0.2">
      <c r="B155" s="20" t="s">
        <v>265</v>
      </c>
      <c r="L155" s="64">
        <f t="shared" ref="L155:Q155" si="198">L58-L53+L108+L64</f>
        <v>434</v>
      </c>
      <c r="M155" s="64">
        <f t="shared" si="198"/>
        <v>432</v>
      </c>
      <c r="N155" s="64">
        <f t="shared" si="198"/>
        <v>-1547</v>
      </c>
      <c r="O155" s="64">
        <f t="shared" si="198"/>
        <v>-1076</v>
      </c>
      <c r="P155" s="64">
        <f t="shared" si="198"/>
        <v>1014</v>
      </c>
      <c r="Q155" s="64">
        <f t="shared" si="198"/>
        <v>3307</v>
      </c>
      <c r="T155" s="64">
        <f t="shared" ref="T155:Z155" si="199">T58-T53+T108+T64</f>
        <v>-146</v>
      </c>
      <c r="U155" s="64">
        <f t="shared" si="199"/>
        <v>64</v>
      </c>
      <c r="V155" s="64">
        <f t="shared" si="199"/>
        <v>384</v>
      </c>
      <c r="W155" s="64">
        <f t="shared" si="199"/>
        <v>630</v>
      </c>
      <c r="X155" s="64">
        <f t="shared" si="199"/>
        <v>546</v>
      </c>
      <c r="Y155" s="64">
        <f t="shared" si="199"/>
        <v>1146</v>
      </c>
      <c r="Z155" s="64">
        <f t="shared" si="199"/>
        <v>2071</v>
      </c>
      <c r="AA155" s="64">
        <f t="shared" ref="AA155" si="200">AA58-AA53+AA108+AA64</f>
        <v>1236</v>
      </c>
      <c r="AC155" s="64">
        <f>AC58-AC53+AC108+AC64</f>
        <v>4999</v>
      </c>
    </row>
    <row r="156" spans="2:29" x14ac:dyDescent="0.2">
      <c r="B156" s="20" t="s">
        <v>266</v>
      </c>
      <c r="L156" s="64">
        <f t="shared" ref="L156:Q156" si="201">L107+L52+L108+L54+L56+L57+L55</f>
        <v>971.49622437971948</v>
      </c>
      <c r="M156" s="64">
        <f t="shared" si="201"/>
        <v>421.35468676401297</v>
      </c>
      <c r="N156" s="64">
        <f t="shared" si="201"/>
        <v>-449</v>
      </c>
      <c r="O156" s="64">
        <f t="shared" si="201"/>
        <v>-629</v>
      </c>
      <c r="P156" s="64">
        <f t="shared" si="201"/>
        <v>1342</v>
      </c>
      <c r="Q156" s="64">
        <f t="shared" si="201"/>
        <v>3535.7563856638062</v>
      </c>
      <c r="T156" s="49"/>
      <c r="U156" s="49"/>
      <c r="V156" s="49"/>
      <c r="W156" s="49"/>
      <c r="X156" s="49"/>
      <c r="Y156" s="49"/>
      <c r="Z156" s="49"/>
      <c r="AA156" s="49"/>
      <c r="AC156" s="64">
        <f>AC107+AC52+AC108+AC54+AC56+AC57</f>
        <v>3565.7563856638062</v>
      </c>
    </row>
    <row r="157" spans="2:29" x14ac:dyDescent="0.2">
      <c r="B157" s="20" t="s">
        <v>267</v>
      </c>
      <c r="L157" s="72">
        <f>L151/L155</f>
        <v>37.870115207373274</v>
      </c>
      <c r="M157" s="72">
        <f t="shared" ref="M157:P157" si="202">M151/M155</f>
        <v>27.199305555555561</v>
      </c>
      <c r="N157" s="72">
        <f t="shared" si="202"/>
        <v>-8.1301357466063351</v>
      </c>
      <c r="O157" s="72">
        <f t="shared" si="202"/>
        <v>-24.15344795539033</v>
      </c>
      <c r="P157" s="72">
        <f t="shared" si="202"/>
        <v>22.472692307692306</v>
      </c>
      <c r="Q157" s="72">
        <f t="shared" ref="Q157" si="203">Q151/Q155</f>
        <v>65.032053220441483</v>
      </c>
      <c r="T157" s="49"/>
      <c r="U157" s="49"/>
      <c r="V157" s="49"/>
      <c r="W157" s="49"/>
      <c r="X157" s="49"/>
      <c r="Y157" s="49"/>
      <c r="Z157" s="49"/>
      <c r="AA157" s="49"/>
      <c r="AC157" s="72">
        <f t="shared" ref="AC157:AC158" ca="1" si="204">AC151/AC155</f>
        <v>36.728512702540513</v>
      </c>
    </row>
    <row r="158" spans="2:29" x14ac:dyDescent="0.2">
      <c r="B158" s="20" t="s">
        <v>268</v>
      </c>
      <c r="L158" s="72">
        <f>L152/L156</f>
        <v>22.429968797781868</v>
      </c>
      <c r="M158" s="72">
        <f t="shared" ref="M158:P158" si="205">M152/M156</f>
        <v>38.981647804001206</v>
      </c>
      <c r="N158" s="72">
        <f t="shared" si="205"/>
        <v>-41.203385300668153</v>
      </c>
      <c r="O158" s="72">
        <f t="shared" si="205"/>
        <v>-50.513688394276627</v>
      </c>
      <c r="P158" s="72">
        <f t="shared" si="205"/>
        <v>19.085923994038748</v>
      </c>
      <c r="Q158" s="72">
        <f t="shared" ref="Q158" si="206">Q152/Q156</f>
        <v>60.675560360961683</v>
      </c>
      <c r="T158" s="49"/>
      <c r="U158" s="49"/>
      <c r="V158" s="49"/>
      <c r="W158" s="49"/>
      <c r="X158" s="49"/>
      <c r="Y158" s="49"/>
      <c r="Z158" s="49"/>
      <c r="AA158" s="49"/>
      <c r="AC158" s="72">
        <f t="shared" ca="1" si="204"/>
        <v>51.343618351515005</v>
      </c>
    </row>
    <row r="159" spans="2:29" x14ac:dyDescent="0.2">
      <c r="B159" s="20" t="s">
        <v>269</v>
      </c>
      <c r="L159" s="74">
        <f>L155/L151</f>
        <v>2.6406045889327028E-2</v>
      </c>
      <c r="M159" s="74">
        <f t="shared" ref="M159:P159" si="207">M155/M151</f>
        <v>3.6765644547705971E-2</v>
      </c>
      <c r="N159" s="74">
        <f t="shared" si="207"/>
        <v>-0.12299917629510898</v>
      </c>
      <c r="O159" s="74">
        <f t="shared" si="207"/>
        <v>-4.1401956434829822E-2</v>
      </c>
      <c r="P159" s="74">
        <f t="shared" si="207"/>
        <v>4.4498451111605546E-2</v>
      </c>
      <c r="Q159" s="74">
        <f t="shared" ref="Q159" si="208">Q155/Q151</f>
        <v>1.537703256285426E-2</v>
      </c>
      <c r="T159" s="49"/>
      <c r="U159" s="49"/>
      <c r="V159" s="49"/>
      <c r="W159" s="49"/>
      <c r="X159" s="49"/>
      <c r="Y159" s="49"/>
      <c r="Z159" s="49"/>
      <c r="AA159" s="49"/>
      <c r="AC159" s="74">
        <f t="shared" ref="AC159" ca="1" si="209">AC155/AC151</f>
        <v>2.7226803549026637E-2</v>
      </c>
    </row>
    <row r="160" spans="2:29" x14ac:dyDescent="0.2">
      <c r="B160" s="20" t="s">
        <v>270</v>
      </c>
      <c r="L160" s="74">
        <f t="shared" ref="L160:Q160" si="210">L25/L115</f>
        <v>5.065701771091221E-2</v>
      </c>
      <c r="M160" s="74">
        <f t="shared" si="210"/>
        <v>0.12855209742895804</v>
      </c>
      <c r="N160" s="74">
        <f t="shared" si="210"/>
        <v>-7.4500768049155147E-2</v>
      </c>
      <c r="O160" s="74">
        <f t="shared" si="210"/>
        <v>-3.3126567242972152E-2</v>
      </c>
      <c r="P160" s="74">
        <f t="shared" si="210"/>
        <v>6.9716434278552411E-2</v>
      </c>
      <c r="Q160" s="74">
        <f t="shared" si="210"/>
        <v>4.5046382189239335E-2</v>
      </c>
      <c r="T160" s="49"/>
      <c r="U160" s="49"/>
      <c r="V160" s="49"/>
      <c r="W160" s="49"/>
      <c r="X160" s="49"/>
      <c r="Y160" s="49"/>
      <c r="Z160" s="49"/>
      <c r="AA160" s="49"/>
      <c r="AC160" s="74">
        <f ca="1">AC25/AC115</f>
        <v>5.2611563243619139E-2</v>
      </c>
    </row>
    <row r="161" spans="2:29" x14ac:dyDescent="0.2">
      <c r="B161" s="20" t="s">
        <v>271</v>
      </c>
      <c r="L161" s="154">
        <f t="shared" ref="L161:Q161" si="211">L81/L115</f>
        <v>0</v>
      </c>
      <c r="M161" s="154">
        <f t="shared" si="211"/>
        <v>0</v>
      </c>
      <c r="N161" s="154">
        <f t="shared" si="211"/>
        <v>0</v>
      </c>
      <c r="O161" s="154">
        <f t="shared" si="211"/>
        <v>0</v>
      </c>
      <c r="P161" s="154">
        <f t="shared" si="211"/>
        <v>1.5666614444618519E-3</v>
      </c>
      <c r="Q161" s="154">
        <f t="shared" si="211"/>
        <v>9.2764378478664194E-4</v>
      </c>
      <c r="T161" s="49"/>
      <c r="U161" s="49"/>
      <c r="V161" s="49"/>
      <c r="W161" s="49"/>
      <c r="X161" s="49"/>
      <c r="Y161" s="49"/>
      <c r="Z161" s="49"/>
      <c r="AA161" s="49"/>
      <c r="AC161" s="154">
        <f ca="1">AC81/AC115</f>
        <v>1.0865667749611551E-3</v>
      </c>
    </row>
    <row r="162" spans="2:29" x14ac:dyDescent="0.2">
      <c r="B162" s="20" t="s">
        <v>296</v>
      </c>
      <c r="L162" s="154">
        <f t="shared" ref="L162:Q162" si="212">-L62/L151</f>
        <v>0</v>
      </c>
      <c r="M162" s="154">
        <f t="shared" si="212"/>
        <v>0</v>
      </c>
      <c r="N162" s="154">
        <f t="shared" si="212"/>
        <v>0</v>
      </c>
      <c r="O162" s="154">
        <f t="shared" si="212"/>
        <v>0</v>
      </c>
      <c r="P162" s="154">
        <f t="shared" si="212"/>
        <v>6.5387270371096906E-3</v>
      </c>
      <c r="Q162" s="154">
        <f t="shared" si="212"/>
        <v>1.2052394436927197E-2</v>
      </c>
      <c r="T162" s="49"/>
      <c r="U162" s="49"/>
      <c r="V162" s="49"/>
      <c r="W162" s="49"/>
      <c r="X162" s="49"/>
      <c r="Y162" s="49"/>
      <c r="Z162" s="49"/>
      <c r="AA162" s="49"/>
      <c r="AC162" s="154">
        <f ca="1">-AC62/AC151</f>
        <v>2.3490538849160209E-2</v>
      </c>
    </row>
    <row r="163" spans="2:29" x14ac:dyDescent="0.2">
      <c r="B163" s="20" t="s">
        <v>298</v>
      </c>
      <c r="L163" s="154">
        <f t="shared" ref="L163:Q163" si="213">-(L62+L63)/L151</f>
        <v>0</v>
      </c>
      <c r="M163" s="154">
        <f t="shared" si="213"/>
        <v>0</v>
      </c>
      <c r="N163" s="154">
        <f t="shared" si="213"/>
        <v>0</v>
      </c>
      <c r="O163" s="154">
        <f t="shared" si="213"/>
        <v>0</v>
      </c>
      <c r="P163" s="154">
        <f t="shared" si="213"/>
        <v>8.4696262963904045E-3</v>
      </c>
      <c r="Q163" s="154">
        <f t="shared" si="213"/>
        <v>1.2907965646955981E-2</v>
      </c>
      <c r="T163" s="49"/>
      <c r="U163" s="49"/>
      <c r="V163" s="49"/>
      <c r="W163" s="49"/>
      <c r="X163" s="49"/>
      <c r="Y163" s="49"/>
      <c r="Z163" s="49"/>
      <c r="AA163" s="49"/>
      <c r="AC163" s="154">
        <f ca="1">-(AC62+AC63)/AC151</f>
        <v>2.5042777099104716E-2</v>
      </c>
    </row>
    <row r="164" spans="2:29" x14ac:dyDescent="0.2">
      <c r="B164" s="20" t="s">
        <v>348</v>
      </c>
      <c r="L164" s="154">
        <f t="shared" ref="L164:Q164" si="214">L156/L5</f>
        <v>5.7410248456430654E-2</v>
      </c>
      <c r="M164" s="154">
        <f t="shared" si="214"/>
        <v>2.2420831520460437E-2</v>
      </c>
      <c r="N164" s="154">
        <f t="shared" si="214"/>
        <v>-7.1782573940847319E-2</v>
      </c>
      <c r="O164" s="154">
        <f t="shared" si="214"/>
        <v>-9.9572581921798325E-2</v>
      </c>
      <c r="P164" s="154">
        <f t="shared" si="214"/>
        <v>0.14096638655462185</v>
      </c>
      <c r="Q164" s="154">
        <f t="shared" si="214"/>
        <v>0.27368653809612248</v>
      </c>
      <c r="T164" s="49"/>
      <c r="U164" s="49"/>
      <c r="V164" s="49"/>
      <c r="W164" s="49"/>
      <c r="X164" s="49"/>
      <c r="Y164" s="49"/>
      <c r="Z164" s="49"/>
      <c r="AA164" s="49"/>
      <c r="AC164" s="154">
        <f>AC156/AC5</f>
        <v>0.27600869925410682</v>
      </c>
    </row>
    <row r="165" spans="2:29" x14ac:dyDescent="0.2">
      <c r="B165" s="20" t="s">
        <v>349</v>
      </c>
      <c r="L165" s="154">
        <f t="shared" ref="L165:Q165" si="215">L155/L5</f>
        <v>2.5647086632785723E-2</v>
      </c>
      <c r="M165" s="154">
        <f t="shared" si="215"/>
        <v>2.2987282498802747E-2</v>
      </c>
      <c r="N165" s="154">
        <f t="shared" si="215"/>
        <v>-0.24732214228617105</v>
      </c>
      <c r="O165" s="154">
        <f t="shared" si="215"/>
        <v>-0.17033401931296502</v>
      </c>
      <c r="P165" s="154">
        <f t="shared" si="215"/>
        <v>0.1065126050420168</v>
      </c>
      <c r="Q165" s="154">
        <f t="shared" si="215"/>
        <v>0.25597956498180974</v>
      </c>
      <c r="T165" s="49"/>
      <c r="U165" s="49"/>
      <c r="V165" s="49"/>
      <c r="W165" s="49"/>
      <c r="X165" s="49"/>
      <c r="Y165" s="49"/>
      <c r="Z165" s="49"/>
      <c r="AA165" s="49"/>
      <c r="AC165" s="154">
        <f>AC155/AC5</f>
        <v>0.38694945429212785</v>
      </c>
    </row>
    <row r="166" spans="2:29" x14ac:dyDescent="0.2">
      <c r="B166" s="20" t="s">
        <v>274</v>
      </c>
      <c r="L166" s="154">
        <f t="shared" ref="L166:Q166" si="216">-L63/L155</f>
        <v>0</v>
      </c>
      <c r="M166" s="154">
        <f t="shared" si="216"/>
        <v>0</v>
      </c>
      <c r="N166" s="154">
        <f t="shared" si="216"/>
        <v>0</v>
      </c>
      <c r="O166" s="154">
        <f t="shared" si="216"/>
        <v>0</v>
      </c>
      <c r="P166" s="154">
        <f t="shared" si="216"/>
        <v>4.3392504930966469E-2</v>
      </c>
      <c r="Q166" s="154">
        <f t="shared" si="216"/>
        <v>5.5639552464469305E-2</v>
      </c>
      <c r="T166" s="49"/>
      <c r="U166" s="49"/>
      <c r="V166" s="49"/>
      <c r="W166" s="49"/>
      <c r="X166" s="49"/>
      <c r="Y166" s="49"/>
      <c r="Z166" s="49"/>
      <c r="AA166" s="49"/>
      <c r="AC166" s="154">
        <f>-AC63/AC155</f>
        <v>5.7011402280456092E-2</v>
      </c>
    </row>
    <row r="167" spans="2:29" x14ac:dyDescent="0.2">
      <c r="B167" s="20" t="s">
        <v>276</v>
      </c>
      <c r="L167" s="154">
        <f t="shared" ref="L167:Q167" si="217">-L62/L155</f>
        <v>0</v>
      </c>
      <c r="M167" s="154">
        <f t="shared" si="217"/>
        <v>0</v>
      </c>
      <c r="N167" s="154">
        <f t="shared" si="217"/>
        <v>0</v>
      </c>
      <c r="O167" s="154">
        <f t="shared" si="217"/>
        <v>0</v>
      </c>
      <c r="P167" s="154">
        <f t="shared" si="217"/>
        <v>0.14694280078895464</v>
      </c>
      <c r="Q167" s="154">
        <f t="shared" si="217"/>
        <v>0.78379195645600241</v>
      </c>
      <c r="T167" s="49"/>
      <c r="U167" s="49"/>
      <c r="V167" s="49"/>
      <c r="W167" s="49"/>
      <c r="X167" s="49"/>
      <c r="Y167" s="49"/>
      <c r="Z167" s="49"/>
      <c r="AA167" s="49"/>
      <c r="AC167" s="154">
        <f>-AC62/AC155</f>
        <v>0.86277255451090218</v>
      </c>
    </row>
    <row r="168" spans="2:29" x14ac:dyDescent="0.2">
      <c r="B168" s="20" t="s">
        <v>287</v>
      </c>
      <c r="L168" s="154">
        <f t="shared" ref="L168:Q168" si="218">(-L63-L62)/L155</f>
        <v>0</v>
      </c>
      <c r="M168" s="154">
        <f t="shared" si="218"/>
        <v>0</v>
      </c>
      <c r="N168" s="154">
        <f t="shared" si="218"/>
        <v>0</v>
      </c>
      <c r="O168" s="154">
        <f t="shared" si="218"/>
        <v>0</v>
      </c>
      <c r="P168" s="154">
        <f t="shared" si="218"/>
        <v>0.19033530571992111</v>
      </c>
      <c r="Q168" s="154">
        <f t="shared" si="218"/>
        <v>0.83943150892047169</v>
      </c>
      <c r="T168" s="49"/>
      <c r="U168" s="49"/>
      <c r="V168" s="49"/>
      <c r="W168" s="49"/>
      <c r="X168" s="49"/>
      <c r="Y168" s="49"/>
      <c r="Z168" s="49"/>
      <c r="AA168" s="49"/>
      <c r="AC168" s="154">
        <f>(-AC63-AC62)/AC155</f>
        <v>0.91978395679135827</v>
      </c>
    </row>
    <row r="169" spans="2:29" x14ac:dyDescent="0.2">
      <c r="B169" s="20" t="s">
        <v>281</v>
      </c>
      <c r="L169" s="154">
        <f t="shared" ref="L169:Q169" si="219">L79/L77</f>
        <v>3.1948881789137375E-3</v>
      </c>
      <c r="M169" s="154">
        <f t="shared" si="219"/>
        <v>3.1446540880503142E-3</v>
      </c>
      <c r="N169" s="154">
        <f t="shared" si="219"/>
        <v>3.105590062111801E-3</v>
      </c>
      <c r="O169" s="154">
        <f t="shared" si="219"/>
        <v>2.9154518950437317E-3</v>
      </c>
      <c r="P169" s="154">
        <f t="shared" si="219"/>
        <v>2.8011204481792717E-3</v>
      </c>
      <c r="Q169" s="154">
        <f t="shared" si="219"/>
        <v>2.5062656641604009E-3</v>
      </c>
      <c r="T169" s="49"/>
      <c r="U169" s="49"/>
      <c r="V169" s="49"/>
      <c r="W169" s="49"/>
      <c r="X169" s="49"/>
      <c r="Y169" s="49"/>
      <c r="Z169" s="49"/>
      <c r="AA169" s="49"/>
      <c r="AC169" s="154">
        <f>AC79/AC77</f>
        <v>2.5062656641604009E-3</v>
      </c>
    </row>
    <row r="170" spans="2:29" x14ac:dyDescent="0.2">
      <c r="B170" s="20" t="s">
        <v>282</v>
      </c>
      <c r="L170" s="72">
        <f t="shared" ref="L170:Q170" si="220">L105/L74</f>
        <v>8.6351139091954998</v>
      </c>
      <c r="M170" s="72">
        <f t="shared" si="220"/>
        <v>5.8676389750417313</v>
      </c>
      <c r="N170" s="72">
        <f t="shared" si="220"/>
        <v>4.9743536782677547</v>
      </c>
      <c r="O170" s="72">
        <f t="shared" si="220"/>
        <v>4.3373983458330745</v>
      </c>
      <c r="P170" s="72">
        <f t="shared" si="220"/>
        <v>6.1275362318840578</v>
      </c>
      <c r="Q170" s="72">
        <f t="shared" si="220"/>
        <v>4.3739612188365653</v>
      </c>
      <c r="T170" s="72">
        <f t="shared" ref="T170:Z170" si="221">T105/T74</f>
        <v>3.9016196870466229</v>
      </c>
      <c r="U170" s="72">
        <f t="shared" si="221"/>
        <v>5.2124571126946426</v>
      </c>
      <c r="V170" s="72">
        <f t="shared" si="221"/>
        <v>9.9627507163323781</v>
      </c>
      <c r="W170" s="72">
        <f t="shared" si="221"/>
        <v>6.1275362318840578</v>
      </c>
      <c r="X170" s="72">
        <f t="shared" si="221"/>
        <v>5.9883040935672511</v>
      </c>
      <c r="Y170" s="72">
        <f t="shared" si="221"/>
        <v>5.8259587020648969</v>
      </c>
      <c r="Z170" s="72">
        <f t="shared" si="221"/>
        <v>5.9420289855072461</v>
      </c>
      <c r="AA170" s="72">
        <f t="shared" ref="AA170" si="222">AA105/AA74</f>
        <v>4.3739612188365653</v>
      </c>
      <c r="AC170" s="72">
        <f>AC105/AC74</f>
        <v>4.3739612188365653</v>
      </c>
    </row>
    <row r="171" spans="2:29" x14ac:dyDescent="0.2">
      <c r="B171" s="20" t="s">
        <v>284</v>
      </c>
      <c r="L171" s="154">
        <f t="shared" ref="L171:Q171" si="223">L53/L58</f>
        <v>0.16754478398314016</v>
      </c>
      <c r="M171" s="154">
        <f t="shared" si="223"/>
        <v>0.17340425531914894</v>
      </c>
      <c r="N171" s="154">
        <f t="shared" si="223"/>
        <v>-0.77941176470588236</v>
      </c>
      <c r="O171" s="154">
        <f t="shared" si="223"/>
        <v>-1.0034013605442176</v>
      </c>
      <c r="P171" s="154">
        <f t="shared" si="223"/>
        <v>0.15671200473092844</v>
      </c>
      <c r="Q171" s="154">
        <f t="shared" si="223"/>
        <v>5.1921608551794347E-2</v>
      </c>
      <c r="T171" s="154">
        <f t="shared" ref="T171:Z171" si="224">T53/T58</f>
        <v>2.4705882352941178</v>
      </c>
      <c r="U171" s="154">
        <f t="shared" si="224"/>
        <v>0.36842105263157893</v>
      </c>
      <c r="V171" s="154">
        <f t="shared" si="224"/>
        <v>0.23280423280423279</v>
      </c>
      <c r="W171" s="154">
        <f t="shared" si="224"/>
        <v>6.0321715817694369E-2</v>
      </c>
      <c r="X171" s="154">
        <f t="shared" si="224"/>
        <v>7.8869047619047616E-2</v>
      </c>
      <c r="Y171" s="154">
        <f t="shared" si="224"/>
        <v>7.4805928016937195E-2</v>
      </c>
      <c r="Z171" s="154">
        <f t="shared" si="224"/>
        <v>6.2598425196850396E-2</v>
      </c>
      <c r="AA171" s="154">
        <f t="shared" ref="AA171" si="225">AA53/AA58</f>
        <v>3.2397408207343416E-2</v>
      </c>
      <c r="AC171" s="154">
        <f>AC53/AC58</f>
        <v>6.0319042871385842E-2</v>
      </c>
    </row>
    <row r="172" spans="2:29" x14ac:dyDescent="0.2">
      <c r="B172" s="20" t="s">
        <v>285</v>
      </c>
      <c r="L172" s="154">
        <f t="shared" ref="L172:Q172" si="226">L53/L5</f>
        <v>1.8792104952133317E-2</v>
      </c>
      <c r="M172" s="154">
        <f t="shared" si="226"/>
        <v>1.7346884478263182E-2</v>
      </c>
      <c r="N172" s="154">
        <f t="shared" si="226"/>
        <v>5.0839328537170263E-2</v>
      </c>
      <c r="O172" s="154">
        <f t="shared" si="226"/>
        <v>4.6699382618331488E-2</v>
      </c>
      <c r="P172" s="154">
        <f t="shared" si="226"/>
        <v>2.7836134453781514E-2</v>
      </c>
      <c r="Q172" s="154">
        <f t="shared" si="226"/>
        <v>1.5790695874293676E-2</v>
      </c>
      <c r="T172" s="154">
        <f t="shared" ref="T172:Z172" si="227">T53/T5</f>
        <v>3.7974683544303799E-2</v>
      </c>
      <c r="U172" s="154">
        <f t="shared" si="227"/>
        <v>6.6832710668327105E-2</v>
      </c>
      <c r="V172" s="154">
        <f t="shared" si="227"/>
        <v>9.5902353966870094E-2</v>
      </c>
      <c r="W172" s="154">
        <f t="shared" si="227"/>
        <v>1.7274472168905951E-2</v>
      </c>
      <c r="X172" s="154">
        <f t="shared" si="227"/>
        <v>1.8807665010645847E-2</v>
      </c>
      <c r="Y172" s="154">
        <f t="shared" si="227"/>
        <v>3.5134239310573419E-2</v>
      </c>
      <c r="Z172" s="154">
        <f t="shared" si="227"/>
        <v>4.7647587653581062E-2</v>
      </c>
      <c r="AA172" s="154">
        <f t="shared" ref="AA172" si="228">AA53/AA5</f>
        <v>1.2009607686148919E-2</v>
      </c>
      <c r="AC172" s="154">
        <f>AC53/AC5</f>
        <v>2.8098150011610805E-2</v>
      </c>
    </row>
    <row r="173" spans="2:29" x14ac:dyDescent="0.2">
      <c r="B173" s="20" t="s">
        <v>290</v>
      </c>
      <c r="L173" s="72">
        <f t="shared" ref="L173:Q173" si="229">(L105-L106)/L74</f>
        <v>-13.72137536609552</v>
      </c>
      <c r="M173" s="72">
        <f t="shared" si="229"/>
        <v>-11.788230429015941</v>
      </c>
      <c r="N173" s="72">
        <f t="shared" si="229"/>
        <v>-12.410065750972496</v>
      </c>
      <c r="O173" s="72">
        <f t="shared" si="229"/>
        <v>-12.822909958011032</v>
      </c>
      <c r="P173" s="72">
        <f t="shared" si="229"/>
        <v>-7.5275362318840582</v>
      </c>
      <c r="Q173" s="72">
        <f t="shared" si="229"/>
        <v>1.4598337950138505</v>
      </c>
      <c r="T173" s="72">
        <f t="shared" ref="T173:Z173" si="230">(T105-T106)/T74</f>
        <v>-13.032096256733441</v>
      </c>
      <c r="U173" s="72">
        <f t="shared" si="230"/>
        <v>-11.546582211665349</v>
      </c>
      <c r="V173" s="72">
        <f t="shared" si="230"/>
        <v>-11.048710601719197</v>
      </c>
      <c r="W173" s="72">
        <f t="shared" si="230"/>
        <v>-7.5275362318840582</v>
      </c>
      <c r="X173" s="72">
        <f t="shared" si="230"/>
        <v>-7.704678362573099</v>
      </c>
      <c r="Y173" s="72">
        <f t="shared" si="230"/>
        <v>-7.9056047197640114</v>
      </c>
      <c r="Z173" s="72">
        <f t="shared" si="230"/>
        <v>1.3594202898550725</v>
      </c>
      <c r="AA173" s="72">
        <f t="shared" ref="AA173" si="231">(AA105-AA106)/AA74</f>
        <v>1.4598337950138505</v>
      </c>
      <c r="AC173" s="72">
        <f>(AC105-AC106)/AC74</f>
        <v>1.4598337950138505</v>
      </c>
    </row>
    <row r="174" spans="2:29" x14ac:dyDescent="0.2">
      <c r="B174" s="20" t="s">
        <v>295</v>
      </c>
      <c r="L174" s="154">
        <f t="shared" ref="L174:Q174" si="232">(L105-L106)/L151</f>
        <v>-0.32581653395701898</v>
      </c>
      <c r="M174" s="154">
        <f t="shared" si="232"/>
        <v>-0.39786895430677177</v>
      </c>
      <c r="N174" s="154">
        <f t="shared" si="232"/>
        <v>-0.40127785569580804</v>
      </c>
      <c r="O174" s="154">
        <f t="shared" si="232"/>
        <v>-0.21374337174301083</v>
      </c>
      <c r="P174" s="154">
        <f t="shared" si="232"/>
        <v>-0.11396694037163668</v>
      </c>
      <c r="Q174" s="154">
        <f t="shared" si="232"/>
        <v>2.4504675417672196E-3</v>
      </c>
      <c r="T174" s="49"/>
      <c r="U174" s="49"/>
      <c r="V174" s="49"/>
      <c r="W174" s="49"/>
      <c r="X174" s="49"/>
      <c r="Y174" s="49"/>
      <c r="Z174" s="49"/>
      <c r="AA174" s="49"/>
      <c r="AC174" s="154">
        <f ca="1">(AC105-AC106)/AC151</f>
        <v>2.8702791498973874E-3</v>
      </c>
    </row>
    <row r="175" spans="2:29" x14ac:dyDescent="0.2">
      <c r="B175" s="20" t="s">
        <v>304</v>
      </c>
      <c r="L175" s="154">
        <f t="shared" ref="L175:Q175" si="233">-L108/L5</f>
        <v>6.7722491431272902E-2</v>
      </c>
      <c r="M175" s="154">
        <f t="shared" si="233"/>
        <v>5.9703080934390466E-2</v>
      </c>
      <c r="N175" s="154">
        <f t="shared" si="233"/>
        <v>0.13125499600319745</v>
      </c>
      <c r="O175" s="154">
        <f t="shared" si="233"/>
        <v>7.7093557068228596E-2</v>
      </c>
      <c r="P175" s="154">
        <f t="shared" si="233"/>
        <v>4.3277310924369747E-2</v>
      </c>
      <c r="Q175" s="154">
        <f t="shared" si="233"/>
        <v>3.2355445467915474E-2</v>
      </c>
      <c r="T175" s="154">
        <f t="shared" ref="T175:Z175" si="234">-T108/T5</f>
        <v>4.3399638336347197E-2</v>
      </c>
      <c r="U175" s="154">
        <f t="shared" si="234"/>
        <v>8.8003320880033209E-2</v>
      </c>
      <c r="V175" s="154">
        <f t="shared" si="234"/>
        <v>0.14864864864864866</v>
      </c>
      <c r="W175" s="154">
        <f t="shared" si="234"/>
        <v>2.72552783109405E-2</v>
      </c>
      <c r="X175" s="154">
        <f t="shared" si="234"/>
        <v>2.5904897090134847E-2</v>
      </c>
      <c r="Y175" s="154">
        <f t="shared" si="234"/>
        <v>5.4690089492873718E-2</v>
      </c>
      <c r="Z175" s="154">
        <f t="shared" si="234"/>
        <v>9.2897812406353017E-2</v>
      </c>
      <c r="AA175" s="154">
        <f t="shared" ref="AA175" si="235">-AA108/AA5</f>
        <v>2.8823058446757407E-2</v>
      </c>
      <c r="AC175" s="154">
        <f>-AC108/AC5</f>
        <v>5.0777923987924765E-2</v>
      </c>
    </row>
    <row r="176" spans="2:29" x14ac:dyDescent="0.2">
      <c r="B176" s="20" t="s">
        <v>305</v>
      </c>
      <c r="L176" s="154">
        <f t="shared" ref="L176:Q176" si="236">-(L108/L58)</f>
        <v>0.60379346680716539</v>
      </c>
      <c r="M176" s="154">
        <f t="shared" si="236"/>
        <v>0.59680851063829787</v>
      </c>
      <c r="N176" s="154">
        <f t="shared" si="236"/>
        <v>-2.0122549019607843</v>
      </c>
      <c r="O176" s="154">
        <f t="shared" si="236"/>
        <v>-1.6564625850340136</v>
      </c>
      <c r="P176" s="154">
        <f t="shared" si="236"/>
        <v>0.24364281490242459</v>
      </c>
      <c r="Q176" s="154">
        <f t="shared" si="236"/>
        <v>0.10638839399338254</v>
      </c>
      <c r="T176" s="154">
        <f t="shared" ref="T176:Z176" si="237">-(T108/T58)</f>
        <v>2.8235294117647061</v>
      </c>
      <c r="U176" s="154">
        <f t="shared" si="237"/>
        <v>0.48512585812356979</v>
      </c>
      <c r="V176" s="154">
        <f t="shared" si="237"/>
        <v>0.36084656084656086</v>
      </c>
      <c r="W176" s="154">
        <f t="shared" si="237"/>
        <v>9.5174262734584444E-2</v>
      </c>
      <c r="X176" s="154">
        <f t="shared" si="237"/>
        <v>0.10863095238095238</v>
      </c>
      <c r="Y176" s="154">
        <f t="shared" si="237"/>
        <v>0.11644318983768526</v>
      </c>
      <c r="Z176" s="154">
        <f t="shared" si="237"/>
        <v>0.12204724409448819</v>
      </c>
      <c r="AA176" s="154">
        <f t="shared" ref="AA176" si="238">-(AA108/AA58)</f>
        <v>7.775377969762419E-2</v>
      </c>
      <c r="AC176" s="154">
        <f>-(AC108/AC58)</f>
        <v>0.10900631439016284</v>
      </c>
    </row>
    <row r="177" spans="1:31" x14ac:dyDescent="0.2">
      <c r="B177" s="20" t="s">
        <v>306</v>
      </c>
      <c r="L177" s="154">
        <f t="shared" ref="L177:Q177" si="239">-L108/L52</f>
        <v>0.9455445544554455</v>
      </c>
      <c r="M177" s="154">
        <f t="shared" si="239"/>
        <v>1.2077502691065662</v>
      </c>
      <c r="N177" s="154">
        <f t="shared" si="239"/>
        <v>0.99154589371980673</v>
      </c>
      <c r="O177" s="154">
        <f t="shared" si="239"/>
        <v>0.85739436619718312</v>
      </c>
      <c r="P177" s="154">
        <f t="shared" si="239"/>
        <v>0.91352549889135259</v>
      </c>
      <c r="Q177" s="154">
        <f t="shared" si="239"/>
        <v>1.1146666666666667</v>
      </c>
      <c r="T177" s="154">
        <f t="shared" ref="T177:Z177" si="240">-T108/T52</f>
        <v>0.71111111111111114</v>
      </c>
      <c r="U177" s="154">
        <f t="shared" si="240"/>
        <v>0.83137254901960789</v>
      </c>
      <c r="V177" s="154">
        <f t="shared" si="240"/>
        <v>0.9342465753424658</v>
      </c>
      <c r="W177" s="154">
        <f t="shared" si="240"/>
        <v>0.82558139534883723</v>
      </c>
      <c r="X177" s="154">
        <f t="shared" si="240"/>
        <v>0.82954545454545459</v>
      </c>
      <c r="Y177" s="154">
        <f t="shared" si="240"/>
        <v>0.91666666666666663</v>
      </c>
      <c r="Z177" s="154">
        <f t="shared" si="240"/>
        <v>1.1231884057971016</v>
      </c>
      <c r="AA177" s="154">
        <f t="shared" ref="AA177" si="241">-AA108/AA52</f>
        <v>1.0909090909090908</v>
      </c>
      <c r="AC177" s="154">
        <f>-AC108/AC52</f>
        <v>1.0202177293934682</v>
      </c>
    </row>
    <row r="178" spans="1:31" x14ac:dyDescent="0.2">
      <c r="B178" s="20" t="s">
        <v>362</v>
      </c>
      <c r="L178" s="224">
        <f t="shared" ref="L178:Q178" si="242">L5/L36</f>
        <v>0.64755854890555642</v>
      </c>
      <c r="M178" s="224">
        <f t="shared" si="242"/>
        <v>0.71567843406070297</v>
      </c>
      <c r="N178" s="224">
        <f t="shared" si="242"/>
        <v>0.25604813950632443</v>
      </c>
      <c r="O178" s="224">
        <f t="shared" si="242"/>
        <v>0.26116255994708121</v>
      </c>
      <c r="P178" s="224">
        <f t="shared" si="242"/>
        <v>0.67990287101842595</v>
      </c>
      <c r="Q178" s="224">
        <f t="shared" si="242"/>
        <v>0.93203953538705719</v>
      </c>
      <c r="T178" s="49"/>
      <c r="U178" s="49"/>
      <c r="V178" s="49"/>
      <c r="W178" s="49"/>
      <c r="X178" s="49"/>
      <c r="Y178" s="49"/>
      <c r="Z178" s="49"/>
      <c r="AA178" s="49"/>
      <c r="AC178" s="224">
        <f>AC5/AC36</f>
        <v>0.93203953538705719</v>
      </c>
    </row>
    <row r="179" spans="1:31" x14ac:dyDescent="0.2">
      <c r="B179" s="20" t="s">
        <v>359</v>
      </c>
      <c r="L179" s="226">
        <f t="shared" ref="L179:Q179" si="243">IF(AND(L11&gt;0,L106&gt;0),L106/L11,"N/A")</f>
        <v>7.1516393442622954</v>
      </c>
      <c r="M179" s="226">
        <f t="shared" si="243"/>
        <v>2.9284818067754079</v>
      </c>
      <c r="N179" s="226" t="str">
        <f t="shared" si="243"/>
        <v>N/A</v>
      </c>
      <c r="O179" s="226" t="str">
        <f t="shared" si="243"/>
        <v>N/A</v>
      </c>
      <c r="P179" s="226">
        <f t="shared" si="243"/>
        <v>2.0184233076263927</v>
      </c>
      <c r="Q179" s="226">
        <f t="shared" si="243"/>
        <v>0.23624522793622277</v>
      </c>
      <c r="T179" s="49"/>
      <c r="U179" s="49"/>
      <c r="V179" s="49"/>
      <c r="W179" s="49"/>
      <c r="X179" s="49"/>
      <c r="Y179" s="49"/>
      <c r="Z179" s="49"/>
      <c r="AA179" s="49"/>
      <c r="AC179" s="226">
        <f>IF(AND(AC11&gt;0,AC106&gt;0),AC106/AC11,"N/A")</f>
        <v>0.23624522793622277</v>
      </c>
    </row>
    <row r="180" spans="1:31" x14ac:dyDescent="0.2">
      <c r="B180" s="20" t="s">
        <v>360</v>
      </c>
      <c r="L180" s="226">
        <f t="shared" ref="L180:Q180" si="244">IF(AND(L11&gt;0,L106&gt;0),(L106-L105)/L11,"N/A")</f>
        <v>4.389344262295082</v>
      </c>
      <c r="M180" s="226">
        <f t="shared" si="244"/>
        <v>1.9552488498536178</v>
      </c>
      <c r="N180" s="226" t="str">
        <f t="shared" si="244"/>
        <v>N/A</v>
      </c>
      <c r="O180" s="226" t="str">
        <f t="shared" si="244"/>
        <v>N/A</v>
      </c>
      <c r="P180" s="226">
        <f t="shared" si="244"/>
        <v>1.1126820908311912</v>
      </c>
      <c r="Q180" s="226">
        <f t="shared" si="244"/>
        <v>-0.1183471816752751</v>
      </c>
      <c r="T180" s="49"/>
      <c r="U180" s="49"/>
      <c r="V180" s="49"/>
      <c r="W180" s="49"/>
      <c r="X180" s="49"/>
      <c r="Y180" s="49"/>
      <c r="Z180" s="49"/>
      <c r="AA180" s="49"/>
      <c r="AC180" s="226">
        <f>IF(AND(AC11&gt;0,AC106&gt;0),(AC106-AC105)/AC11,"N/A")</f>
        <v>-0.1183471816752751</v>
      </c>
    </row>
    <row r="181" spans="1:31" x14ac:dyDescent="0.2">
      <c r="B181" s="20" t="s">
        <v>361</v>
      </c>
      <c r="L181" s="226">
        <f t="shared" ref="L181:Q181" si="245">L5/(L106+L110-L105)</f>
        <v>1.0526250311022642</v>
      </c>
      <c r="M181" s="226">
        <f t="shared" si="245"/>
        <v>1.1122750946969697</v>
      </c>
      <c r="N181" s="226">
        <f t="shared" si="245"/>
        <v>0.39354473386183464</v>
      </c>
      <c r="O181" s="226">
        <f t="shared" si="245"/>
        <v>0.38581811518964149</v>
      </c>
      <c r="P181" s="226">
        <f t="shared" si="245"/>
        <v>1.2038442083965604</v>
      </c>
      <c r="Q181" s="226">
        <f t="shared" si="245"/>
        <v>1.5495981768022071</v>
      </c>
      <c r="T181" s="49"/>
      <c r="U181" s="49"/>
      <c r="V181" s="49"/>
      <c r="W181" s="49"/>
      <c r="X181" s="49"/>
      <c r="Y181" s="49"/>
      <c r="Z181" s="49"/>
      <c r="AA181" s="49"/>
      <c r="AC181" s="226">
        <f>AC5/(AC106+AC110-AC105)</f>
        <v>1.5495981768022071</v>
      </c>
    </row>
    <row r="183" spans="1:31" x14ac:dyDescent="0.2">
      <c r="B183" s="1"/>
    </row>
    <row r="184" spans="1:31" s="15" customFormat="1" ht="17" thickBot="1" x14ac:dyDescent="0.25">
      <c r="A184" s="11"/>
      <c r="B184" s="14" t="s">
        <v>80</v>
      </c>
      <c r="R184" s="1"/>
      <c r="S184" s="1"/>
      <c r="AB184" s="1"/>
      <c r="AD184" s="1"/>
      <c r="AE184" s="1"/>
    </row>
    <row r="185" spans="1:31" x14ac:dyDescent="0.2">
      <c r="B185" s="20" t="s">
        <v>395</v>
      </c>
      <c r="C185" s="62"/>
      <c r="D185" s="62"/>
      <c r="E185" s="62"/>
      <c r="F185" s="62"/>
      <c r="G185" s="62"/>
      <c r="H185" s="62"/>
      <c r="I185" s="62"/>
      <c r="J185" s="62"/>
      <c r="K185" s="62"/>
      <c r="L185" s="21">
        <v>5723</v>
      </c>
      <c r="M185" s="21">
        <v>8017</v>
      </c>
      <c r="N185" s="21">
        <v>4753</v>
      </c>
      <c r="O185" s="21">
        <v>5052</v>
      </c>
      <c r="P185" s="21">
        <v>8341</v>
      </c>
      <c r="Q185" s="21">
        <v>11490</v>
      </c>
      <c r="T185" s="21">
        <v>1909</v>
      </c>
      <c r="U185" s="21">
        <v>2096</v>
      </c>
      <c r="V185" s="21">
        <v>2007</v>
      </c>
      <c r="W185" s="21">
        <v>2329</v>
      </c>
      <c r="X185" s="21">
        <v>2510</v>
      </c>
      <c r="Y185" s="21">
        <v>2673</v>
      </c>
      <c r="Z185" s="21">
        <v>2972</v>
      </c>
      <c r="AA185" s="21">
        <v>3335</v>
      </c>
      <c r="AC185" s="62">
        <f>SUM(X185:AA185)</f>
        <v>11490</v>
      </c>
    </row>
    <row r="186" spans="1:31" x14ac:dyDescent="0.2">
      <c r="B186" s="20" t="s">
        <v>396</v>
      </c>
      <c r="C186" s="62"/>
      <c r="D186" s="62"/>
      <c r="E186" s="62"/>
      <c r="F186" s="62"/>
      <c r="G186" s="62"/>
      <c r="H186" s="62"/>
      <c r="I186" s="62"/>
      <c r="J186" s="62"/>
      <c r="K186" s="62"/>
      <c r="L186" s="21">
        <v>7281</v>
      </c>
      <c r="M186" s="21">
        <v>7076</v>
      </c>
      <c r="N186" s="21">
        <v>691</v>
      </c>
      <c r="O186" s="21">
        <v>577</v>
      </c>
      <c r="P186" s="21">
        <v>556</v>
      </c>
      <c r="Q186" s="21">
        <v>726</v>
      </c>
      <c r="T186" s="21">
        <v>139</v>
      </c>
      <c r="U186" s="21">
        <v>140</v>
      </c>
      <c r="V186" s="21">
        <v>137</v>
      </c>
      <c r="W186" s="21">
        <v>140</v>
      </c>
      <c r="X186" s="21">
        <v>146</v>
      </c>
      <c r="Y186" s="21">
        <v>176</v>
      </c>
      <c r="Z186" s="21">
        <v>179</v>
      </c>
      <c r="AA186" s="21">
        <v>225</v>
      </c>
      <c r="AC186" s="62">
        <f t="shared" ref="AC186:AC187" si="246">SUM(X186:AA186)</f>
        <v>726</v>
      </c>
    </row>
    <row r="187" spans="1:31" x14ac:dyDescent="0.2">
      <c r="B187" s="20" t="s">
        <v>397</v>
      </c>
      <c r="C187" s="62"/>
      <c r="D187" s="62"/>
      <c r="E187" s="62"/>
      <c r="F187" s="62"/>
      <c r="G187" s="62"/>
      <c r="H187" s="62"/>
      <c r="I187" s="62"/>
      <c r="J187" s="62"/>
      <c r="K187" s="62"/>
      <c r="L187" s="21">
        <v>3918</v>
      </c>
      <c r="M187" s="21">
        <v>3700</v>
      </c>
      <c r="N187" s="21">
        <v>811</v>
      </c>
      <c r="O187" s="21">
        <v>688</v>
      </c>
      <c r="P187" s="21">
        <v>623</v>
      </c>
      <c r="Q187" s="21">
        <v>703</v>
      </c>
      <c r="T187" s="21">
        <v>164</v>
      </c>
      <c r="U187" s="21">
        <v>173</v>
      </c>
      <c r="V187" s="21">
        <v>150</v>
      </c>
      <c r="W187" s="21">
        <v>136</v>
      </c>
      <c r="X187" s="21">
        <v>162</v>
      </c>
      <c r="Y187" s="21">
        <v>168</v>
      </c>
      <c r="Z187" s="21">
        <v>186</v>
      </c>
      <c r="AA187" s="21">
        <v>187</v>
      </c>
      <c r="AC187" s="62">
        <f t="shared" si="246"/>
        <v>703</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315</v>
      </c>
      <c r="C190" s="171"/>
      <c r="D190" s="171"/>
      <c r="E190" s="171"/>
      <c r="F190" s="171"/>
      <c r="G190" s="171"/>
      <c r="H190" s="171"/>
      <c r="I190" s="171"/>
      <c r="J190" s="171"/>
      <c r="K190" s="171"/>
      <c r="L190" s="171"/>
      <c r="M190" s="171"/>
      <c r="N190" s="171"/>
      <c r="O190" s="171"/>
      <c r="P190" s="171"/>
      <c r="Q190" s="171"/>
      <c r="T190" s="171"/>
      <c r="U190" s="171"/>
      <c r="V190" s="171"/>
      <c r="W190" s="171"/>
      <c r="X190" s="171"/>
      <c r="Y190" s="171"/>
      <c r="Z190" s="171"/>
      <c r="AA190" s="171"/>
      <c r="AC190" s="171"/>
    </row>
    <row r="191" spans="1:31" x14ac:dyDescent="0.2">
      <c r="B191" s="20" t="str">
        <f>B185</f>
        <v>Cloud</v>
      </c>
      <c r="C191" s="81"/>
      <c r="D191" s="81"/>
      <c r="E191" s="81"/>
      <c r="F191" s="81"/>
      <c r="G191" s="81"/>
      <c r="H191" s="81"/>
      <c r="I191" s="81"/>
      <c r="J191" s="81"/>
      <c r="K191" s="81"/>
      <c r="L191" s="81">
        <f t="shared" ref="L191:L193" si="247">IF(K185=0,
IF(L185=0,0,IF(L185&gt;0,1,-1)),
(L185-K185)/ABS(K185)
)</f>
        <v>1</v>
      </c>
      <c r="M191" s="81">
        <f t="shared" ref="M191:M193" si="248">IF(L185=0,
IF(M185=0,0,IF(M185&gt;0,1,-1)),
(M185-L185)/ABS(L185)
)</f>
        <v>0.4008387209505504</v>
      </c>
      <c r="N191" s="81">
        <f t="shared" ref="N191:N193" si="249">IF(M185=0,
IF(N185=0,0,IF(N185&gt;0,1,-1)),
(N185-M185)/ABS(M185)
)</f>
        <v>-0.40713483846825493</v>
      </c>
      <c r="O191" s="81">
        <f t="shared" ref="O191:O193" si="250">IF(N185=0,
IF(O185=0,0,IF(O185&gt;0,1,-1)),
(O185-N185)/ABS(N185)
)</f>
        <v>6.2907637281716805E-2</v>
      </c>
      <c r="P191" s="81">
        <f t="shared" ref="P191:P193" si="251">IF(O185=0,
IF(P185=0,0,IF(P185&gt;0,1,-1)),
(P185-O185)/ABS(O185)
)</f>
        <v>0.65102929532858278</v>
      </c>
      <c r="Q191" s="81">
        <f t="shared" ref="Q191:Q193" si="252">IF(P185=0,
IF(Q185=0,0,IF(Q185&gt;0,1,-1)),
(Q185-P185)/ABS(P185)
)</f>
        <v>0.37753266994365187</v>
      </c>
      <c r="T191" s="81">
        <f t="shared" ref="T191:T193" si="253">IF(S185=0,
IF(T185=0,0,IF(T185&gt;0,1,-1)),
(T185-S185)/ABS(S185)
)</f>
        <v>1</v>
      </c>
      <c r="U191" s="81">
        <f t="shared" ref="U191:U193" si="254">IF(T185=0,
IF(U185=0,0,IF(U185&gt;0,1,-1)),
(U185-T185)/ABS(T185)
)</f>
        <v>9.7957045573598744E-2</v>
      </c>
      <c r="V191" s="81">
        <f t="shared" ref="V191:V193" si="255">IF(U185=0,
IF(V185=0,0,IF(V185&gt;0,1,-1)),
(V185-U185)/ABS(U185)
)</f>
        <v>-4.2461832061068704E-2</v>
      </c>
      <c r="W191" s="81">
        <f t="shared" ref="W191:W193" si="256">IF(V185=0,
IF(W185=0,0,IF(W185&gt;0,1,-1)),
(W185-V185)/ABS(V185)
)</f>
        <v>0.16043846537120079</v>
      </c>
      <c r="X191" s="81">
        <f t="shared" ref="X191:X193" si="257">IF(W185=0,
IF(X185=0,0,IF(X185&gt;0,1,-1)),
(X185-W185)/ABS(W185)
)</f>
        <v>7.7715757835981114E-2</v>
      </c>
      <c r="Y191" s="81">
        <f t="shared" ref="Y191:Y193" si="258">IF(X185=0,
IF(Y185=0,0,IF(Y185&gt;0,1,-1)),
(Y185-X185)/ABS(X185)
)</f>
        <v>6.4940239043824705E-2</v>
      </c>
      <c r="Z191" s="81">
        <f t="shared" ref="Z191:Z193" si="259">IF(Y185=0,
IF(Z185=0,0,IF(Z185&gt;0,1,-1)),
(Z185-Y185)/ABS(Y185)
)</f>
        <v>0.11185933408155631</v>
      </c>
      <c r="AA191" s="81">
        <f t="shared" ref="AA191:AA193" si="260">IF(Z185=0,
IF(AA185=0,0,IF(AA185&gt;0,1,-1)),
(AA185-Z185)/ABS(Z185)
)</f>
        <v>0.12213997308209959</v>
      </c>
      <c r="AC191" s="49"/>
    </row>
    <row r="192" spans="1:31" x14ac:dyDescent="0.2">
      <c r="B192" s="20" t="str">
        <f>B186</f>
        <v>Client</v>
      </c>
      <c r="L192" s="81">
        <f t="shared" si="247"/>
        <v>1</v>
      </c>
      <c r="M192" s="81">
        <f t="shared" si="248"/>
        <v>-2.8155473149292679E-2</v>
      </c>
      <c r="N192" s="81">
        <f t="shared" si="249"/>
        <v>-0.90234595816845675</v>
      </c>
      <c r="O192" s="81">
        <f t="shared" si="250"/>
        <v>-0.16497829232995659</v>
      </c>
      <c r="P192" s="81">
        <f t="shared" si="251"/>
        <v>-3.6395147313691506E-2</v>
      </c>
      <c r="Q192" s="81">
        <f t="shared" si="252"/>
        <v>0.30575539568345322</v>
      </c>
      <c r="T192" s="81">
        <f t="shared" si="253"/>
        <v>1</v>
      </c>
      <c r="U192" s="81">
        <f t="shared" si="254"/>
        <v>7.1942446043165471E-3</v>
      </c>
      <c r="V192" s="81">
        <f t="shared" si="255"/>
        <v>-2.1428571428571429E-2</v>
      </c>
      <c r="W192" s="81">
        <f t="shared" si="256"/>
        <v>2.1897810218978103E-2</v>
      </c>
      <c r="X192" s="81">
        <f t="shared" si="257"/>
        <v>4.2857142857142858E-2</v>
      </c>
      <c r="Y192" s="81">
        <f t="shared" si="258"/>
        <v>0.20547945205479451</v>
      </c>
      <c r="Z192" s="81">
        <f t="shared" si="259"/>
        <v>1.7045454545454544E-2</v>
      </c>
      <c r="AA192" s="81">
        <f t="shared" si="260"/>
        <v>0.25698324022346369</v>
      </c>
      <c r="AC192" s="49"/>
    </row>
    <row r="193" spans="1:31" x14ac:dyDescent="0.2">
      <c r="B193" s="20" t="str">
        <f>B187</f>
        <v>Consumer</v>
      </c>
      <c r="L193" s="81">
        <f t="shared" si="247"/>
        <v>1</v>
      </c>
      <c r="M193" s="81">
        <f t="shared" si="248"/>
        <v>-5.5640632976008166E-2</v>
      </c>
      <c r="N193" s="81">
        <f t="shared" si="249"/>
        <v>-0.78081081081081083</v>
      </c>
      <c r="O193" s="81">
        <f t="shared" si="250"/>
        <v>-0.15166461159062886</v>
      </c>
      <c r="P193" s="81">
        <f t="shared" si="251"/>
        <v>-9.4476744186046513E-2</v>
      </c>
      <c r="Q193" s="81">
        <f t="shared" si="252"/>
        <v>0.12841091492776885</v>
      </c>
      <c r="T193" s="81">
        <f t="shared" si="253"/>
        <v>1</v>
      </c>
      <c r="U193" s="81">
        <f t="shared" si="254"/>
        <v>5.4878048780487805E-2</v>
      </c>
      <c r="V193" s="81">
        <f t="shared" si="255"/>
        <v>-0.13294797687861271</v>
      </c>
      <c r="W193" s="81">
        <f t="shared" si="256"/>
        <v>-9.3333333333333338E-2</v>
      </c>
      <c r="X193" s="81">
        <f t="shared" si="257"/>
        <v>0.19117647058823528</v>
      </c>
      <c r="Y193" s="81">
        <f t="shared" si="258"/>
        <v>3.7037037037037035E-2</v>
      </c>
      <c r="Z193" s="81">
        <f t="shared" si="259"/>
        <v>0.10714285714285714</v>
      </c>
      <c r="AA193" s="81">
        <f t="shared" si="260"/>
        <v>5.3763440860215058E-3</v>
      </c>
      <c r="AC193" s="49"/>
    </row>
    <row r="195" spans="1:31" x14ac:dyDescent="0.2">
      <c r="B195" s="1"/>
    </row>
    <row r="196" spans="1:31" ht="17" thickBot="1" x14ac:dyDescent="0.25">
      <c r="B196" s="14" t="s">
        <v>316</v>
      </c>
      <c r="C196" s="171"/>
      <c r="D196" s="171"/>
      <c r="E196" s="171"/>
      <c r="F196" s="171"/>
      <c r="G196" s="171"/>
      <c r="H196" s="171"/>
      <c r="I196" s="171"/>
      <c r="J196" s="171"/>
      <c r="K196" s="171"/>
      <c r="L196" s="171"/>
      <c r="M196" s="171"/>
      <c r="N196" s="171"/>
      <c r="O196" s="171"/>
      <c r="P196" s="171"/>
      <c r="Q196" s="171"/>
      <c r="T196" s="171"/>
      <c r="U196" s="171"/>
      <c r="V196" s="171"/>
      <c r="W196" s="171"/>
      <c r="X196" s="171"/>
      <c r="Y196" s="171"/>
      <c r="Z196" s="171"/>
      <c r="AA196" s="171"/>
      <c r="AC196" s="171"/>
    </row>
    <row r="197" spans="1:31" x14ac:dyDescent="0.2">
      <c r="B197" s="20" t="s">
        <v>288</v>
      </c>
      <c r="C197" s="81"/>
      <c r="D197" s="81"/>
      <c r="E197" s="81"/>
      <c r="F197" s="81"/>
      <c r="G197" s="81"/>
      <c r="H197" s="81"/>
      <c r="I197" s="81"/>
      <c r="J197" s="81"/>
      <c r="K197" s="81"/>
      <c r="L197" s="81">
        <f t="shared" ref="L197:Q197" si="261">IF(K63=0,
IF(L63=0,0,IF(L63&gt;0,1,-1)),
(L63-K63)/K63
)</f>
        <v>0</v>
      </c>
      <c r="M197" s="81">
        <f t="shared" si="261"/>
        <v>0</v>
      </c>
      <c r="N197" s="81">
        <f t="shared" si="261"/>
        <v>0</v>
      </c>
      <c r="O197" s="81">
        <f t="shared" si="261"/>
        <v>0</v>
      </c>
      <c r="P197" s="81">
        <f t="shared" si="261"/>
        <v>-1</v>
      </c>
      <c r="Q197" s="81">
        <f t="shared" si="261"/>
        <v>3.1818181818181817</v>
      </c>
      <c r="T197" s="49"/>
      <c r="U197" s="49"/>
      <c r="V197" s="49"/>
      <c r="W197" s="49"/>
      <c r="X197" s="49"/>
      <c r="Y197" s="49"/>
      <c r="Z197" s="49"/>
      <c r="AA197" s="49"/>
      <c r="AC197" s="49"/>
    </row>
    <row r="199" spans="1:31" x14ac:dyDescent="0.2">
      <c r="B199" s="1"/>
    </row>
    <row r="200" spans="1:31" ht="17" thickBot="1" x14ac:dyDescent="0.25">
      <c r="B200" s="14" t="s">
        <v>354</v>
      </c>
      <c r="C200" s="171"/>
      <c r="D200" s="171"/>
      <c r="E200" s="171"/>
      <c r="F200" s="171"/>
      <c r="G200" s="171"/>
      <c r="H200" s="171"/>
      <c r="I200" s="171"/>
      <c r="J200" s="171"/>
      <c r="K200" s="171"/>
      <c r="L200" s="171"/>
      <c r="M200" s="171"/>
      <c r="N200" s="171"/>
      <c r="O200" s="171"/>
      <c r="P200" s="171"/>
      <c r="Q200" s="171"/>
      <c r="T200" s="171"/>
      <c r="U200" s="171"/>
      <c r="V200" s="171"/>
      <c r="W200" s="171"/>
      <c r="X200" s="171"/>
      <c r="Y200" s="171"/>
      <c r="Z200" s="171"/>
      <c r="AA200" s="171"/>
      <c r="AC200" s="171"/>
    </row>
    <row r="201" spans="1:31" x14ac:dyDescent="0.2">
      <c r="B201" s="20" t="s">
        <v>355</v>
      </c>
      <c r="L201" s="143">
        <v>100</v>
      </c>
      <c r="M201" s="143">
        <f>100*(1+((M115-$M115)/ABS($M115)))</f>
        <v>100</v>
      </c>
      <c r="N201" s="143">
        <f t="shared" ref="N201:P201" si="262">100*(1+((N115-$M115)/ABS($M115)))</f>
        <v>105.7104194857916</v>
      </c>
      <c r="O201" s="143">
        <f t="shared" si="262"/>
        <v>205.06089309878212</v>
      </c>
      <c r="P201" s="143">
        <f t="shared" si="262"/>
        <v>218.17940460081186</v>
      </c>
      <c r="Q201" s="143">
        <f t="shared" ref="Q201" si="263">100*(1+((Q115-$M115)/ABS($M115)))</f>
        <v>1842.37347767253</v>
      </c>
      <c r="T201" s="49"/>
      <c r="U201" s="49"/>
      <c r="V201" s="49"/>
      <c r="W201" s="49"/>
      <c r="X201" s="49"/>
      <c r="Y201" s="49"/>
      <c r="Z201" s="49"/>
      <c r="AA201" s="49"/>
      <c r="AC201" s="49"/>
    </row>
    <row r="202" spans="1:31" x14ac:dyDescent="0.2">
      <c r="B202" s="20" t="s">
        <v>356</v>
      </c>
      <c r="L202" s="143">
        <v>100</v>
      </c>
      <c r="M202" s="143">
        <f>100*(1+((M5-$M5)/ABS($M5)))</f>
        <v>100</v>
      </c>
      <c r="N202" s="143">
        <f>100*(1+((N5-$M5)/ABS($M5)))</f>
        <v>33.283669451391475</v>
      </c>
      <c r="O202" s="143">
        <f>100*(1+((O5-$M5)/ABS($M5)))</f>
        <v>33.613579524290962</v>
      </c>
      <c r="P202" s="143">
        <f>100*(1+((P5-$M5)/ABS($M5)))</f>
        <v>50.657159580694945</v>
      </c>
      <c r="Q202" s="143">
        <f>100*(1+((Q5-$M5)/ABS($M5)))</f>
        <v>68.74368115787793</v>
      </c>
      <c r="T202" s="49"/>
      <c r="U202" s="49"/>
      <c r="V202" s="49"/>
      <c r="W202" s="49"/>
      <c r="X202" s="49"/>
      <c r="Y202" s="49"/>
      <c r="Z202" s="49"/>
      <c r="AA202" s="49"/>
      <c r="AC202" s="49"/>
    </row>
    <row r="203" spans="1:31" x14ac:dyDescent="0.2">
      <c r="B203" s="20" t="s">
        <v>357</v>
      </c>
      <c r="L203" s="143">
        <v>100</v>
      </c>
      <c r="M203" s="143">
        <f>100*(1+((M25-$M25)/ABS($M25)))</f>
        <v>100</v>
      </c>
      <c r="N203" s="143">
        <f t="shared" ref="N203:P203" si="264">100*(1+((N25-$M25)/ABS($M25)))</f>
        <v>-61.263157894736842</v>
      </c>
      <c r="O203" s="143">
        <f t="shared" si="264"/>
        <v>-52.84210526315789</v>
      </c>
      <c r="P203" s="143">
        <f t="shared" si="264"/>
        <v>118.32315789473684</v>
      </c>
      <c r="Q203" s="143">
        <f t="shared" ref="Q203" si="265">100*(1+((Q25-$M25)/ABS($M25)))</f>
        <v>645.59242105263149</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402</v>
      </c>
      <c r="C207" s="62"/>
      <c r="D207" s="62"/>
      <c r="E207" s="62"/>
      <c r="F207" s="62"/>
      <c r="G207" s="62"/>
      <c r="H207" s="62"/>
      <c r="I207" s="62"/>
      <c r="J207" s="62"/>
      <c r="K207" s="62"/>
      <c r="L207" s="62">
        <v>541</v>
      </c>
      <c r="M207" s="62">
        <v>645</v>
      </c>
      <c r="N207" s="62">
        <v>412</v>
      </c>
      <c r="O207" s="62">
        <v>443</v>
      </c>
      <c r="P207" s="62">
        <v>696</v>
      </c>
      <c r="Q207" s="62">
        <v>872</v>
      </c>
      <c r="T207" s="62">
        <v>165</v>
      </c>
      <c r="U207" s="62">
        <v>176</v>
      </c>
      <c r="V207" s="62">
        <v>166</v>
      </c>
      <c r="W207" s="62">
        <v>190</v>
      </c>
      <c r="X207" s="62">
        <v>204</v>
      </c>
      <c r="Y207" s="62">
        <v>215</v>
      </c>
      <c r="Z207" s="62">
        <v>222</v>
      </c>
      <c r="AA207" s="62">
        <v>231</v>
      </c>
      <c r="AC207" s="62">
        <f>SUM(X207:AA207)</f>
        <v>872</v>
      </c>
    </row>
    <row r="208" spans="1:31" x14ac:dyDescent="0.2">
      <c r="B208" s="235" t="s">
        <v>403</v>
      </c>
      <c r="C208" s="62"/>
      <c r="D208" s="62"/>
      <c r="E208" s="62"/>
      <c r="F208" s="62"/>
      <c r="G208" s="62"/>
      <c r="H208" s="62"/>
      <c r="I208" s="62"/>
      <c r="J208" s="62"/>
      <c r="K208" s="62"/>
      <c r="L208" s="62">
        <v>0</v>
      </c>
      <c r="M208" s="62">
        <v>0</v>
      </c>
      <c r="N208" s="62">
        <v>0</v>
      </c>
      <c r="O208" s="62">
        <v>0</v>
      </c>
      <c r="P208" s="62">
        <v>610</v>
      </c>
      <c r="Q208" s="62">
        <v>783</v>
      </c>
      <c r="T208" s="62">
        <v>141</v>
      </c>
      <c r="U208" s="62">
        <v>154</v>
      </c>
      <c r="V208" s="62">
        <v>145</v>
      </c>
      <c r="W208" s="62">
        <v>170</v>
      </c>
      <c r="X208" s="62">
        <v>183</v>
      </c>
      <c r="Y208" s="62">
        <v>192</v>
      </c>
      <c r="Z208" s="62">
        <v>199</v>
      </c>
      <c r="AA208" s="62">
        <v>209</v>
      </c>
      <c r="AC208" s="62">
        <f t="shared" ref="AC208:AC209" si="266">SUM(X208:AA208)</f>
        <v>783</v>
      </c>
    </row>
    <row r="209" spans="2:29" x14ac:dyDescent="0.2">
      <c r="B209" s="235" t="s">
        <v>404</v>
      </c>
      <c r="C209" s="62"/>
      <c r="D209" s="62"/>
      <c r="E209" s="62"/>
      <c r="F209" s="62"/>
      <c r="G209" s="62"/>
      <c r="H209" s="62"/>
      <c r="I209" s="62"/>
      <c r="J209" s="62"/>
      <c r="K209" s="62"/>
      <c r="L209" s="62">
        <v>0</v>
      </c>
      <c r="M209" s="62">
        <v>0</v>
      </c>
      <c r="N209" s="62">
        <v>0</v>
      </c>
      <c r="O209" s="62">
        <v>0</v>
      </c>
      <c r="P209" s="62">
        <v>87</v>
      </c>
      <c r="Q209" s="62">
        <v>89</v>
      </c>
      <c r="T209" s="62">
        <v>24</v>
      </c>
      <c r="U209" s="62">
        <v>22</v>
      </c>
      <c r="V209" s="62">
        <v>21</v>
      </c>
      <c r="W209" s="62">
        <v>20</v>
      </c>
      <c r="X209" s="62">
        <v>21</v>
      </c>
      <c r="Y209" s="62">
        <v>23</v>
      </c>
      <c r="Z209" s="62">
        <v>23</v>
      </c>
      <c r="AA209" s="62">
        <v>22</v>
      </c>
      <c r="AC209" s="62">
        <f t="shared" si="266"/>
        <v>89</v>
      </c>
    </row>
    <row r="210" spans="2:29" x14ac:dyDescent="0.2">
      <c r="B210" s="235"/>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6" t="s">
        <v>405</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AA211" si="267">T185/T208</f>
        <v>13.539007092198581</v>
      </c>
      <c r="U211" s="63">
        <f t="shared" si="267"/>
        <v>13.61038961038961</v>
      </c>
      <c r="V211" s="63">
        <f t="shared" si="267"/>
        <v>13.841379310344827</v>
      </c>
      <c r="W211" s="63">
        <f t="shared" si="267"/>
        <v>13.7</v>
      </c>
      <c r="X211" s="63">
        <f t="shared" si="267"/>
        <v>13.71584699453552</v>
      </c>
      <c r="Y211" s="63">
        <f t="shared" si="267"/>
        <v>13.921875</v>
      </c>
      <c r="Z211" s="63">
        <f t="shared" si="267"/>
        <v>14.93467336683417</v>
      </c>
      <c r="AA211" s="63">
        <f t="shared" si="267"/>
        <v>15.956937799043063</v>
      </c>
      <c r="AC211" s="63">
        <f t="shared" ref="AC211" si="268">AC185/AC208</f>
        <v>14.674329501915709</v>
      </c>
    </row>
    <row r="212" spans="2:29" x14ac:dyDescent="0.2">
      <c r="B212" s="235"/>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278</v>
      </c>
    </row>
    <row r="4" spans="2:7" x14ac:dyDescent="0.2">
      <c r="B4" s="242" t="s">
        <v>237</v>
      </c>
      <c r="C4" s="242"/>
      <c r="E4" s="242" t="s">
        <v>244</v>
      </c>
      <c r="F4" s="242"/>
      <c r="G4" s="242"/>
    </row>
    <row r="5" spans="2:7" x14ac:dyDescent="0.2">
      <c r="B5" s="20" t="s">
        <v>1</v>
      </c>
      <c r="C5" s="172">
        <f ca="1">Overview!C5</f>
        <v>460.16500000000002</v>
      </c>
      <c r="E5" s="12"/>
      <c r="F5" s="132" t="s">
        <v>245</v>
      </c>
      <c r="G5" s="132" t="s">
        <v>246</v>
      </c>
    </row>
    <row r="6" spans="2:7" x14ac:dyDescent="0.2">
      <c r="B6" s="20" t="s">
        <v>243</v>
      </c>
      <c r="C6" s="173">
        <f ca="1">Statement!AC151</f>
        <v>183605.83500000002</v>
      </c>
      <c r="E6" s="20" t="s">
        <v>19</v>
      </c>
      <c r="F6" s="178">
        <f>IF(Statement!M5&lt;=0,"N/A",_xlfn.RRI(4,Statement!M5,Statement!Q5))</f>
        <v>-8.9440780255571894E-2</v>
      </c>
      <c r="G6" s="178" t="str">
        <f>IF(Statement!H5&lt;=0,"N/A",_xlfn.RRI(9,Statement!H5,Statement!Q5))</f>
        <v>N/A</v>
      </c>
    </row>
    <row r="7" spans="2:7" x14ac:dyDescent="0.2">
      <c r="B7" s="20" t="s">
        <v>187</v>
      </c>
      <c r="C7" s="173">
        <f ca="1">Statement!AC152</f>
        <v>183078.83500000002</v>
      </c>
      <c r="E7" s="20" t="s">
        <v>30</v>
      </c>
      <c r="F7" s="178">
        <f>IF(OR(Statement!M17&lt;=0, Statement!Q17&lt;=0), "N/A", _xlfn.RRI(4, Statement!M17, Statement!Q17))</f>
        <v>0.58320081438886584</v>
      </c>
      <c r="G7" s="178" t="str">
        <f>IF(OR(Statement!H17&lt;=0, Statement!Q17&lt;=0), "N/A", _xlfn.RRI(9, Statement!H17, Statement!Q17))</f>
        <v>N/A</v>
      </c>
    </row>
    <row r="8" spans="2:7" x14ac:dyDescent="0.2">
      <c r="B8" s="20" t="s">
        <v>241</v>
      </c>
      <c r="C8" s="174">
        <f ca="1">Statement!AC148</f>
        <v>19.007228418009088</v>
      </c>
      <c r="E8" s="20" t="s">
        <v>247</v>
      </c>
      <c r="F8" s="178">
        <f>IF(OR(Statement!M25&lt;=0, Statement!Q25&lt;=0), "N/A", _xlfn.RRI(4, Statement!M25, Statement!Q25))</f>
        <v>0.59400473021836042</v>
      </c>
      <c r="G8" s="178" t="str">
        <f>IF(OR(Statement!H25&lt;=0, Statement!Q25&lt;=0), "N/A", _xlfn.RRI(9, Statement!H25, Statement!Q25))</f>
        <v>N/A</v>
      </c>
    </row>
    <row r="9" spans="2:7" x14ac:dyDescent="0.2">
      <c r="B9" s="20" t="s">
        <v>200</v>
      </c>
      <c r="C9" s="174">
        <f ca="1">Statement!AC149</f>
        <v>13.651074870346003</v>
      </c>
      <c r="E9" s="20" t="s">
        <v>248</v>
      </c>
      <c r="F9" s="178" t="str">
        <f>IF(Statement!M81&lt;=0,"N/A",_xlfn.RRI(4,Statement!M81,Statement!Q81))</f>
        <v>N/A</v>
      </c>
      <c r="G9" s="178" t="str">
        <f>IF(Statement!H81&lt;=0,"N/A",_xlfn.RRI(9,Statement!H81,Statement!Q81))</f>
        <v>N/A</v>
      </c>
    </row>
    <row r="10" spans="2:7" x14ac:dyDescent="0.2">
      <c r="B10" s="20" t="s">
        <v>242</v>
      </c>
      <c r="C10" s="174">
        <f ca="1">Statement!AC150</f>
        <v>18.740925654332131</v>
      </c>
      <c r="E10" s="20" t="s">
        <v>1</v>
      </c>
      <c r="F10" s="178">
        <f>IF(Statement!M115&lt;=0,"N/A",_xlfn.RRI(4,Statement!M115,Statement!Q115))</f>
        <v>1.0717837303819895</v>
      </c>
      <c r="G10" s="178" t="str">
        <f>IF(Statement!H115&lt;=0,"N/A",_xlfn.RRI(9,Statement!H115,Statement!Q115))</f>
        <v>N/A</v>
      </c>
    </row>
    <row r="11" spans="2:7" x14ac:dyDescent="0.2">
      <c r="B11" s="20" t="s">
        <v>264</v>
      </c>
      <c r="C11" s="174">
        <f ca="1">Statement!AC153</f>
        <v>14.171285316200946</v>
      </c>
    </row>
    <row r="12" spans="2:7" x14ac:dyDescent="0.2">
      <c r="B12" s="20" t="s">
        <v>203</v>
      </c>
      <c r="C12" s="174">
        <f ca="1">Statement!AC154</f>
        <v>41.113594206153159</v>
      </c>
    </row>
    <row r="15" spans="2:7" x14ac:dyDescent="0.2">
      <c r="B15" s="242" t="s">
        <v>76</v>
      </c>
      <c r="C15" s="242"/>
      <c r="E15" s="242" t="s">
        <v>250</v>
      </c>
      <c r="F15" s="242"/>
    </row>
    <row r="16" spans="2:7" x14ac:dyDescent="0.2">
      <c r="B16" s="20" t="s">
        <v>77</v>
      </c>
      <c r="C16" s="175">
        <f>Statement!AC99</f>
        <v>0.48850530226797739</v>
      </c>
      <c r="E16" s="20" t="s">
        <v>30</v>
      </c>
      <c r="F16" s="173">
        <f>Statement!AC17</f>
        <v>9424</v>
      </c>
    </row>
    <row r="17" spans="2:6" x14ac:dyDescent="0.2">
      <c r="B17" s="20" t="s">
        <v>78</v>
      </c>
      <c r="C17" s="175">
        <f>Statement!AC100</f>
        <v>0.34468612121681247</v>
      </c>
      <c r="E17" s="20" t="s">
        <v>251</v>
      </c>
      <c r="F17" s="173">
        <f>Statement!AC58</f>
        <v>6018</v>
      </c>
    </row>
    <row r="18" spans="2:6" x14ac:dyDescent="0.2">
      <c r="B18" s="20" t="s">
        <v>79</v>
      </c>
      <c r="C18" s="175">
        <f>Statement!AC101</f>
        <v>0.72946822509482157</v>
      </c>
      <c r="E18" s="20" t="s">
        <v>258</v>
      </c>
      <c r="F18" s="177">
        <f>IF(OR(F16&lt;=0, F17&lt;=0),"N/A",F16-F17)</f>
        <v>3406</v>
      </c>
    </row>
    <row r="21" spans="2:6" x14ac:dyDescent="0.2">
      <c r="B21" s="242" t="s">
        <v>249</v>
      </c>
      <c r="C21" s="242"/>
      <c r="E21" s="242" t="s">
        <v>253</v>
      </c>
      <c r="F21" s="242"/>
    </row>
    <row r="22" spans="2:6" x14ac:dyDescent="0.2">
      <c r="B22" s="20" t="s">
        <v>99</v>
      </c>
      <c r="C22" s="175">
        <f>Statement!AC119</f>
        <v>0.72946822509482157</v>
      </c>
      <c r="E22" s="20" t="s">
        <v>101</v>
      </c>
      <c r="F22" s="175">
        <f>C24</f>
        <v>0.67989322559699872</v>
      </c>
    </row>
    <row r="23" spans="2:6" x14ac:dyDescent="0.2">
      <c r="B23" s="20" t="s">
        <v>100</v>
      </c>
      <c r="C23" s="174">
        <f>Statement!AC120</f>
        <v>0.93203953538705719</v>
      </c>
      <c r="E23" s="20" t="s">
        <v>103</v>
      </c>
      <c r="F23" s="175">
        <f>C26</f>
        <v>1.0631768953068592</v>
      </c>
    </row>
    <row r="24" spans="2:6" x14ac:dyDescent="0.2">
      <c r="B24" s="32" t="s">
        <v>101</v>
      </c>
      <c r="C24" s="176">
        <f>Statement!AC121</f>
        <v>0.67989322559699872</v>
      </c>
      <c r="E24" s="20" t="s">
        <v>104</v>
      </c>
      <c r="F24" s="175">
        <f>Statement!AC138</f>
        <v>0.50818716392752861</v>
      </c>
    </row>
    <row r="25" spans="2:6" x14ac:dyDescent="0.2">
      <c r="B25" s="20" t="s">
        <v>102</v>
      </c>
      <c r="C25" s="174">
        <f>Statement!AC122</f>
        <v>1.5637409747292419</v>
      </c>
    </row>
    <row r="26" spans="2:6" x14ac:dyDescent="0.2">
      <c r="B26" s="32" t="s">
        <v>103</v>
      </c>
      <c r="C26" s="176">
        <f>Statement!AC123</f>
        <v>1.0631768953068592</v>
      </c>
    </row>
    <row r="29" spans="2:6" x14ac:dyDescent="0.2">
      <c r="B29" s="242" t="s">
        <v>254</v>
      </c>
      <c r="C29" s="242"/>
      <c r="E29" s="242" t="s">
        <v>260</v>
      </c>
      <c r="F29" s="242"/>
    </row>
    <row r="30" spans="2:6" x14ac:dyDescent="0.2">
      <c r="B30" s="20" t="s">
        <v>138</v>
      </c>
      <c r="C30" s="174">
        <f>Statement!AC139</f>
        <v>57.240498490595243</v>
      </c>
      <c r="E30" s="20" t="s">
        <v>261</v>
      </c>
      <c r="F30" s="180">
        <f>Statement!AC143</f>
        <v>0.11868231046931407</v>
      </c>
    </row>
    <row r="31" spans="2:6" x14ac:dyDescent="0.2">
      <c r="B31" s="20" t="s">
        <v>139</v>
      </c>
      <c r="C31" s="174">
        <f>Statement!AC140</f>
        <v>83.461713075060544</v>
      </c>
      <c r="E31" s="20" t="s">
        <v>262</v>
      </c>
      <c r="F31" s="180">
        <f>Statement!AC144</f>
        <v>-5.9453971119133572E-2</v>
      </c>
    </row>
    <row r="32" spans="2:6" x14ac:dyDescent="0.2">
      <c r="B32" s="20" t="s">
        <v>140</v>
      </c>
      <c r="C32" s="174">
        <f>Statement!AC141</f>
        <v>97.9888014527845</v>
      </c>
      <c r="E32" s="20" t="s">
        <v>257</v>
      </c>
      <c r="F32" s="180">
        <f>Statement!AC146</f>
        <v>1.3287735849056603</v>
      </c>
    </row>
    <row r="33" spans="2:6" x14ac:dyDescent="0.2">
      <c r="B33" s="20" t="s">
        <v>141</v>
      </c>
      <c r="C33" s="174">
        <f>Statement!AC142</f>
        <v>42.713410112871273</v>
      </c>
      <c r="E33" s="20" t="s">
        <v>256</v>
      </c>
      <c r="F33" s="180">
        <f>Statement!AC145</f>
        <v>0.85023584905660377</v>
      </c>
    </row>
    <row r="34" spans="2:6" x14ac:dyDescent="0.2">
      <c r="E34" s="20" t="s">
        <v>263</v>
      </c>
      <c r="F34" s="182" t="str">
        <f>Statement!AC147</f>
        <v>N/A</v>
      </c>
    </row>
    <row r="37" spans="2:6" x14ac:dyDescent="0.2">
      <c r="B37" s="242" t="s">
        <v>272</v>
      </c>
      <c r="C37" s="242"/>
      <c r="E37" s="242" t="s">
        <v>275</v>
      </c>
      <c r="F37" s="242"/>
    </row>
    <row r="38" spans="2:6" x14ac:dyDescent="0.2">
      <c r="B38" s="20" t="s">
        <v>270</v>
      </c>
      <c r="C38" s="175">
        <f ca="1">Statement!AC160</f>
        <v>5.2611563243619139E-2</v>
      </c>
      <c r="E38" s="20" t="s">
        <v>274</v>
      </c>
      <c r="F38" s="175">
        <f>Statement!AC166</f>
        <v>5.7011402280456092E-2</v>
      </c>
    </row>
    <row r="39" spans="2:6" x14ac:dyDescent="0.2">
      <c r="B39" s="54" t="s">
        <v>273</v>
      </c>
      <c r="C39" s="215">
        <f ca="1">Statement!AC159</f>
        <v>2.7226803549026637E-2</v>
      </c>
      <c r="E39" s="20" t="s">
        <v>276</v>
      </c>
      <c r="F39" s="175">
        <f>Statement!AC167</f>
        <v>0.86277255451090218</v>
      </c>
    </row>
    <row r="40" spans="2:6" x14ac:dyDescent="0.2">
      <c r="B40" s="20" t="s">
        <v>271</v>
      </c>
      <c r="C40" s="175">
        <f ca="1">Statement!AC161</f>
        <v>1.0865667749611551E-3</v>
      </c>
      <c r="E40" s="20" t="s">
        <v>277</v>
      </c>
      <c r="F40" s="175">
        <f>Statement!AC168</f>
        <v>0.91978395679135827</v>
      </c>
    </row>
    <row r="41" spans="2:6" x14ac:dyDescent="0.2">
      <c r="B41" s="20" t="s">
        <v>296</v>
      </c>
      <c r="C41" s="175">
        <f ca="1">Statement!AC162</f>
        <v>2.3490538849160209E-2</v>
      </c>
    </row>
    <row r="42" spans="2:6" x14ac:dyDescent="0.2">
      <c r="B42" s="20" t="s">
        <v>298</v>
      </c>
      <c r="C42" s="175">
        <f ca="1">Statement!AC163</f>
        <v>2.5042777099104716E-2</v>
      </c>
    </row>
    <row r="45" spans="2:6" x14ac:dyDescent="0.2">
      <c r="B45" s="242" t="s">
        <v>283</v>
      </c>
      <c r="C45" s="242"/>
      <c r="E45" s="242" t="s">
        <v>289</v>
      </c>
      <c r="F45" s="242"/>
    </row>
    <row r="46" spans="2:6" x14ac:dyDescent="0.2">
      <c r="B46" s="20" t="s">
        <v>281</v>
      </c>
      <c r="C46" s="175">
        <f>Statement!AC169</f>
        <v>2.5062656641604009E-3</v>
      </c>
      <c r="E46" s="20" t="s">
        <v>282</v>
      </c>
      <c r="F46" s="174">
        <f>Statement!AC170</f>
        <v>4.3739612188365653</v>
      </c>
    </row>
    <row r="47" spans="2:6" x14ac:dyDescent="0.2">
      <c r="E47" s="20" t="s">
        <v>290</v>
      </c>
      <c r="F47" s="174">
        <f>Statement!AC173</f>
        <v>1.4598337950138505</v>
      </c>
    </row>
    <row r="48" spans="2:6" x14ac:dyDescent="0.2">
      <c r="E48" s="20" t="s">
        <v>295</v>
      </c>
      <c r="F48" s="175">
        <f ca="1">Statement!AC174</f>
        <v>2.8702791498973874E-3</v>
      </c>
    </row>
    <row r="51" spans="2:6" x14ac:dyDescent="0.2">
      <c r="B51" s="242" t="s">
        <v>286</v>
      </c>
      <c r="C51" s="242"/>
      <c r="E51" s="242" t="s">
        <v>307</v>
      </c>
      <c r="F51" s="242"/>
    </row>
    <row r="52" spans="2:6" x14ac:dyDescent="0.2">
      <c r="B52" s="20" t="s">
        <v>284</v>
      </c>
      <c r="C52" s="175">
        <f>Statement!AC171</f>
        <v>6.0319042871385842E-2</v>
      </c>
      <c r="E52" s="20" t="s">
        <v>308</v>
      </c>
      <c r="F52" s="175">
        <f>Statement!AC175</f>
        <v>5.0777923987924765E-2</v>
      </c>
    </row>
    <row r="53" spans="2:6" x14ac:dyDescent="0.2">
      <c r="B53" s="20" t="s">
        <v>285</v>
      </c>
      <c r="C53" s="175">
        <f>Statement!AC172</f>
        <v>2.8098150011610805E-2</v>
      </c>
      <c r="E53" s="20" t="s">
        <v>305</v>
      </c>
      <c r="F53" s="175">
        <f>Statement!AC176</f>
        <v>0.10900631439016284</v>
      </c>
    </row>
    <row r="54" spans="2:6" x14ac:dyDescent="0.2">
      <c r="E54" s="20" t="s">
        <v>306</v>
      </c>
      <c r="F54" s="175">
        <f>Statement!AC177</f>
        <v>1.0202177293934682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237</v>
      </c>
      <c r="C5" s="14"/>
      <c r="D5" s="14"/>
      <c r="E5" s="14"/>
      <c r="F5" s="14"/>
      <c r="G5" s="14"/>
      <c r="I5" s="14"/>
    </row>
    <row r="6" spans="2:9" x14ac:dyDescent="0.2">
      <c r="B6" s="20" t="s">
        <v>1</v>
      </c>
      <c r="C6" s="172">
        <f>Statement!M114</f>
        <v>36.950000000000003</v>
      </c>
      <c r="D6" s="172">
        <f>Statement!N114</f>
        <v>39.06</v>
      </c>
      <c r="E6" s="172">
        <f>Statement!O114</f>
        <v>75.77</v>
      </c>
      <c r="F6" s="172">
        <f>Statement!P114</f>
        <v>63.83</v>
      </c>
      <c r="G6" s="172">
        <f>Statement!Q114</f>
        <v>539</v>
      </c>
      <c r="I6" s="172">
        <f ca="1">Statement!AC114</f>
        <v>460.16500000000002</v>
      </c>
    </row>
    <row r="7" spans="2:9" x14ac:dyDescent="0.2">
      <c r="B7" s="20" t="s">
        <v>243</v>
      </c>
      <c r="C7" s="173">
        <f>Statement!M151</f>
        <v>11750.100000000002</v>
      </c>
      <c r="D7" s="173">
        <f>Statement!N151</f>
        <v>12577.32</v>
      </c>
      <c r="E7" s="173">
        <f>Statement!O151</f>
        <v>25989.109999999997</v>
      </c>
      <c r="F7" s="173">
        <f>Statement!P151</f>
        <v>22787.309999999998</v>
      </c>
      <c r="G7" s="173">
        <f>Statement!Q151</f>
        <v>215061</v>
      </c>
      <c r="I7" s="173">
        <f ca="1">Statement!AC151</f>
        <v>183605.83500000002</v>
      </c>
    </row>
    <row r="8" spans="2:9" x14ac:dyDescent="0.2">
      <c r="B8" s="20" t="s">
        <v>187</v>
      </c>
      <c r="C8" s="173">
        <f>Statement!M152</f>
        <v>16425.100000000002</v>
      </c>
      <c r="D8" s="173">
        <f>Statement!N152</f>
        <v>18500.32</v>
      </c>
      <c r="E8" s="173">
        <f>Statement!O152</f>
        <v>31773.11</v>
      </c>
      <c r="F8" s="173">
        <f>Statement!P152</f>
        <v>25613.309999999998</v>
      </c>
      <c r="G8" s="173">
        <f>Statement!Q152</f>
        <v>214534</v>
      </c>
      <c r="I8" s="173">
        <f ca="1">Statement!AC152</f>
        <v>183078.83500000002</v>
      </c>
    </row>
    <row r="9" spans="2:9" x14ac:dyDescent="0.2">
      <c r="B9" s="20" t="s">
        <v>241</v>
      </c>
      <c r="C9" s="174">
        <f>Statement!M148</f>
        <v>7.7789473684210533</v>
      </c>
      <c r="D9" s="174">
        <f>Statement!N148</f>
        <v>-13.422680412371134</v>
      </c>
      <c r="E9" s="174">
        <f>Statement!O148</f>
        <v>-30.187250996015937</v>
      </c>
      <c r="F9" s="174">
        <f>Statement!P148</f>
        <v>14.343820224719099</v>
      </c>
      <c r="G9" s="174">
        <f>Statement!Q148</f>
        <v>22.199341021416803</v>
      </c>
      <c r="I9" s="174">
        <f ca="1">Statement!AC148</f>
        <v>19.007228418009088</v>
      </c>
    </row>
    <row r="10" spans="2:9" x14ac:dyDescent="0.2">
      <c r="B10" s="20" t="s">
        <v>200</v>
      </c>
      <c r="C10" s="174">
        <f>Statement!M149</f>
        <v>0.62130580535305702</v>
      </c>
      <c r="D10" s="174">
        <f>Statement!N149</f>
        <v>1.9857841726618706</v>
      </c>
      <c r="E10" s="174">
        <f>Statement!O149</f>
        <v>3.9102453696374857</v>
      </c>
      <c r="F10" s="174">
        <f>Statement!P149</f>
        <v>2.407034663865546</v>
      </c>
      <c r="G10" s="174">
        <f>Statement!Q149</f>
        <v>16.19371389316758</v>
      </c>
      <c r="I10" s="174">
        <f ca="1">Statement!AC149</f>
        <v>13.651074870346003</v>
      </c>
    </row>
    <row r="11" spans="2:9" x14ac:dyDescent="0.2">
      <c r="B11" s="20" t="s">
        <v>242</v>
      </c>
      <c r="C11" s="174">
        <f>Statement!M150</f>
        <v>0.9493740283119223</v>
      </c>
      <c r="D11" s="174">
        <f>Statement!N150</f>
        <v>1.159520604775514</v>
      </c>
      <c r="E11" s="174">
        <f>Statement!O150</f>
        <v>2.40239508227029</v>
      </c>
      <c r="F11" s="174">
        <f>Statement!P150</f>
        <v>4.1463660327621916</v>
      </c>
      <c r="G11" s="174">
        <f>Statement!Q150</f>
        <v>21.951601985559567</v>
      </c>
      <c r="I11" s="174">
        <f ca="1">Statement!AC150</f>
        <v>18.740925654332131</v>
      </c>
    </row>
    <row r="12" spans="2:9" x14ac:dyDescent="0.2">
      <c r="B12" s="20" t="s">
        <v>264</v>
      </c>
      <c r="C12" s="174">
        <f>Statement!M153</f>
        <v>0.87400095780343756</v>
      </c>
      <c r="D12" s="174">
        <f>Statement!N153</f>
        <v>2.9576850519584332</v>
      </c>
      <c r="E12" s="174">
        <f>Statement!O153</f>
        <v>5.0297783758113033</v>
      </c>
      <c r="F12" s="174">
        <f>Statement!P153</f>
        <v>2.6904737394957983</v>
      </c>
      <c r="G12" s="174">
        <f>Statement!Q153</f>
        <v>16.606084062233919</v>
      </c>
      <c r="I12" s="174">
        <f ca="1">Statement!AC153</f>
        <v>14.171285316200946</v>
      </c>
    </row>
    <row r="13" spans="2:9" x14ac:dyDescent="0.2">
      <c r="B13" s="20" t="s">
        <v>203</v>
      </c>
      <c r="C13" s="174">
        <f>Statement!M154</f>
        <v>6.8695524884985373</v>
      </c>
      <c r="D13" s="174">
        <f>Statement!N154</f>
        <v>-33.759708029197078</v>
      </c>
      <c r="E13" s="174">
        <f>Statement!O154</f>
        <v>-78.841464019851117</v>
      </c>
      <c r="F13" s="174">
        <f>Statement!P154</f>
        <v>10.973997429305912</v>
      </c>
      <c r="G13" s="174">
        <f>Statement!Q154</f>
        <v>48.177408488659331</v>
      </c>
      <c r="I13" s="174">
        <f ca="1">Statement!AC154</f>
        <v>41.113594206153159</v>
      </c>
    </row>
    <row r="15" spans="2:9" ht="17" thickBot="1" x14ac:dyDescent="0.25">
      <c r="B15" s="14" t="s">
        <v>76</v>
      </c>
      <c r="C15" s="14"/>
      <c r="D15" s="14"/>
      <c r="E15" s="14"/>
      <c r="F15" s="14"/>
      <c r="G15" s="14"/>
      <c r="I15" s="14"/>
    </row>
    <row r="16" spans="2:9" x14ac:dyDescent="0.2">
      <c r="B16" s="20" t="s">
        <v>77</v>
      </c>
      <c r="C16" s="175">
        <f>Statement!M99</f>
        <v>0.31256318842122066</v>
      </c>
      <c r="D16" s="175">
        <f>Statement!N99</f>
        <v>0.22238209432454037</v>
      </c>
      <c r="E16" s="175">
        <f>Statement!O99</f>
        <v>0.28067120468576856</v>
      </c>
      <c r="F16" s="175">
        <f>Statement!P99</f>
        <v>0.38781512605042018</v>
      </c>
      <c r="G16" s="175">
        <f>Statement!Q99</f>
        <v>0.48850530226797739</v>
      </c>
      <c r="I16" s="175">
        <f>Statement!AC99</f>
        <v>0.48850530226797739</v>
      </c>
    </row>
    <row r="17" spans="2:9" x14ac:dyDescent="0.2">
      <c r="B17" s="20" t="s">
        <v>78</v>
      </c>
      <c r="C17" s="175">
        <f>Statement!M100</f>
        <v>0.12722822327462352</v>
      </c>
      <c r="D17" s="175">
        <f>Statement!N100</f>
        <v>-8.7609912070343729E-2</v>
      </c>
      <c r="E17" s="175">
        <f>Statement!O100</f>
        <v>-6.3796105746398601E-2</v>
      </c>
      <c r="F17" s="175">
        <f>Statement!P100</f>
        <v>0.24516806722689075</v>
      </c>
      <c r="G17" s="175">
        <f>Statement!Q100</f>
        <v>0.34468612121681247</v>
      </c>
      <c r="I17" s="175">
        <f>Statement!AC100</f>
        <v>0.34468612121681247</v>
      </c>
    </row>
    <row r="18" spans="2:9" x14ac:dyDescent="0.2">
      <c r="B18" s="20" t="s">
        <v>79</v>
      </c>
      <c r="C18" s="175">
        <f>Statement!M101</f>
        <v>7.9816953120842873E-2</v>
      </c>
      <c r="D18" s="175">
        <f>Statement!N101</f>
        <v>-0.14708233413269384</v>
      </c>
      <c r="E18" s="175">
        <f>Statement!O101</f>
        <v>-0.12110178882380877</v>
      </c>
      <c r="F18" s="175">
        <f>Statement!P101</f>
        <v>0.17258403361344538</v>
      </c>
      <c r="G18" s="175">
        <f>Statement!Q101</f>
        <v>0.72946822509482157</v>
      </c>
      <c r="I18" s="175">
        <f>Statement!AC101</f>
        <v>0.72946822509482157</v>
      </c>
    </row>
    <row r="20" spans="2:9" ht="17" thickBot="1" x14ac:dyDescent="0.25">
      <c r="B20" s="14" t="s">
        <v>250</v>
      </c>
      <c r="C20" s="14"/>
      <c r="D20" s="14"/>
      <c r="E20" s="14"/>
      <c r="F20" s="14"/>
      <c r="G20" s="14"/>
      <c r="I20" s="14"/>
    </row>
    <row r="21" spans="2:9" x14ac:dyDescent="0.2">
      <c r="B21" s="20" t="s">
        <v>30</v>
      </c>
      <c r="C21" s="177">
        <f>Statement!M17</f>
        <v>1500</v>
      </c>
      <c r="D21" s="177">
        <f>Statement!N17</f>
        <v>-920</v>
      </c>
      <c r="E21" s="177">
        <f>Statement!O17</f>
        <v>-765</v>
      </c>
      <c r="F21" s="177">
        <f>Statement!P17</f>
        <v>1643</v>
      </c>
      <c r="G21" s="177">
        <f>Statement!Q17</f>
        <v>9424</v>
      </c>
      <c r="I21" s="177">
        <f>Statement!AC17</f>
        <v>9424</v>
      </c>
    </row>
    <row r="22" spans="2:9" x14ac:dyDescent="0.2">
      <c r="B22" s="20" t="s">
        <v>251</v>
      </c>
      <c r="C22" s="177">
        <f>Statement!M58</f>
        <v>1880</v>
      </c>
      <c r="D22" s="177">
        <f>Statement!N58</f>
        <v>-408</v>
      </c>
      <c r="E22" s="177">
        <f>Statement!O58</f>
        <v>-294</v>
      </c>
      <c r="F22" s="177">
        <f>Statement!P58</f>
        <v>1691</v>
      </c>
      <c r="G22" s="177">
        <f>Statement!Q58</f>
        <v>3929</v>
      </c>
      <c r="I22" s="177">
        <f>Statement!AC58</f>
        <v>6018</v>
      </c>
    </row>
    <row r="23" spans="2:9" x14ac:dyDescent="0.2">
      <c r="B23" s="20" t="s">
        <v>258</v>
      </c>
      <c r="C23" s="195">
        <f>IF(OR(C21&lt;=0, C22&lt;=0),"N/A",C21-C22)</f>
        <v>-380</v>
      </c>
      <c r="D23" s="195" t="str">
        <f t="shared" ref="D23:I23" si="0">IF(OR(D21&lt;=0, D22&lt;=0),"N/A",D21-D22)</f>
        <v>N/A</v>
      </c>
      <c r="E23" s="195" t="str">
        <f t="shared" si="0"/>
        <v>N/A</v>
      </c>
      <c r="F23" s="195">
        <f t="shared" si="0"/>
        <v>-48</v>
      </c>
      <c r="G23" s="195">
        <f t="shared" si="0"/>
        <v>5495</v>
      </c>
      <c r="I23" s="195">
        <f t="shared" si="0"/>
        <v>3406</v>
      </c>
    </row>
    <row r="25" spans="2:9" ht="17" thickBot="1" x14ac:dyDescent="0.25">
      <c r="B25" s="14" t="s">
        <v>249</v>
      </c>
      <c r="C25" s="14"/>
      <c r="D25" s="14"/>
      <c r="E25" s="14"/>
      <c r="F25" s="14"/>
      <c r="G25" s="14"/>
      <c r="I25" s="14"/>
    </row>
    <row r="26" spans="2:9" x14ac:dyDescent="0.2">
      <c r="B26" s="20" t="s">
        <v>99</v>
      </c>
      <c r="C26" s="175">
        <f>Statement!M119</f>
        <v>7.9816953120842873E-2</v>
      </c>
      <c r="D26" s="175">
        <f>Statement!N119</f>
        <v>-0.14708233413269384</v>
      </c>
      <c r="E26" s="175">
        <f>Statement!O119</f>
        <v>-0.12110178882380877</v>
      </c>
      <c r="F26" s="175">
        <f>Statement!P119</f>
        <v>0.17258403361344538</v>
      </c>
      <c r="G26" s="175">
        <f>Statement!Q119</f>
        <v>0.72946822509482157</v>
      </c>
      <c r="I26" s="175">
        <f>Statement!AC119</f>
        <v>0.72946822509482157</v>
      </c>
    </row>
    <row r="27" spans="2:9" x14ac:dyDescent="0.2">
      <c r="B27" s="20" t="s">
        <v>100</v>
      </c>
      <c r="C27" s="214">
        <f>Statement!M120</f>
        <v>0.71567843406070297</v>
      </c>
      <c r="D27" s="214">
        <f>Statement!N120</f>
        <v>0.25604813950632443</v>
      </c>
      <c r="E27" s="214">
        <f>Statement!O120</f>
        <v>0.26116255994708121</v>
      </c>
      <c r="F27" s="214">
        <f>Statement!P120</f>
        <v>0.67990287101842595</v>
      </c>
      <c r="G27" s="214">
        <f>Statement!Q120</f>
        <v>0.93203953538705719</v>
      </c>
      <c r="I27" s="214">
        <f>Statement!AC120</f>
        <v>0.93203953538705719</v>
      </c>
    </row>
    <row r="28" spans="2:9" x14ac:dyDescent="0.2">
      <c r="B28" s="32" t="s">
        <v>101</v>
      </c>
      <c r="C28" s="176">
        <f>Statement!M121</f>
        <v>5.7123272021021368E-2</v>
      </c>
      <c r="D28" s="176">
        <f>Statement!N121</f>
        <v>-3.7660158008923819E-2</v>
      </c>
      <c r="E28" s="176">
        <f>Statement!O121</f>
        <v>-3.1627253183396729E-2</v>
      </c>
      <c r="F28" s="176">
        <f>Statement!P121</f>
        <v>0.11734037994572204</v>
      </c>
      <c r="G28" s="176">
        <f>Statement!Q121</f>
        <v>0.67989322559699872</v>
      </c>
      <c r="I28" s="176">
        <f>Statement!AC121</f>
        <v>0.67989322559699872</v>
      </c>
    </row>
    <row r="29" spans="2:9" x14ac:dyDescent="0.2">
      <c r="B29" s="20" t="s">
        <v>102</v>
      </c>
      <c r="C29" s="214">
        <f>Statement!M122</f>
        <v>2.1486785042140579</v>
      </c>
      <c r="D29" s="214">
        <f>Statement!N122</f>
        <v>2.2521434498017885</v>
      </c>
      <c r="E29" s="214">
        <f>Statement!O122</f>
        <v>2.2359031244222591</v>
      </c>
      <c r="F29" s="214">
        <f>Statement!P122</f>
        <v>2.6364149877612504</v>
      </c>
      <c r="G29" s="214">
        <f>Statement!Q122</f>
        <v>1.5637409747292419</v>
      </c>
      <c r="I29" s="214">
        <f>Statement!AC122</f>
        <v>1.5637409747292419</v>
      </c>
    </row>
    <row r="30" spans="2:9" x14ac:dyDescent="0.2">
      <c r="B30" s="32" t="s">
        <v>103</v>
      </c>
      <c r="C30" s="176">
        <f>Statement!M123</f>
        <v>0.12273954668194094</v>
      </c>
      <c r="D30" s="176">
        <f>Statement!N123</f>
        <v>-8.4816078178298143E-2</v>
      </c>
      <c r="E30" s="176">
        <f>Statement!O123</f>
        <v>-7.0715474209650589E-2</v>
      </c>
      <c r="F30" s="176">
        <f>Statement!P123</f>
        <v>0.30935793635850123</v>
      </c>
      <c r="G30" s="176">
        <f>Statement!Q123</f>
        <v>1.0631768953068592</v>
      </c>
      <c r="I30" s="176">
        <f>Statement!AC123</f>
        <v>1.0631768953068592</v>
      </c>
    </row>
    <row r="32" spans="2:9" ht="17" thickBot="1" x14ac:dyDescent="0.25">
      <c r="B32" s="14" t="s">
        <v>309</v>
      </c>
      <c r="C32" s="14"/>
      <c r="D32" s="14"/>
      <c r="E32" s="14"/>
      <c r="F32" s="14"/>
      <c r="G32" s="14"/>
      <c r="I32" s="14"/>
    </row>
    <row r="33" spans="2:9" x14ac:dyDescent="0.2">
      <c r="B33" s="20" t="s">
        <v>101</v>
      </c>
      <c r="C33" s="175">
        <f>C28</f>
        <v>5.7123272021021368E-2</v>
      </c>
      <c r="D33" s="175">
        <f t="shared" ref="D33:G33" si="1">D28</f>
        <v>-3.7660158008923819E-2</v>
      </c>
      <c r="E33" s="175">
        <f t="shared" si="1"/>
        <v>-3.1627253183396729E-2</v>
      </c>
      <c r="F33" s="175">
        <f t="shared" si="1"/>
        <v>0.11734037994572204</v>
      </c>
      <c r="G33" s="175">
        <f t="shared" si="1"/>
        <v>0.67989322559699872</v>
      </c>
      <c r="I33" s="175">
        <f>I28</f>
        <v>0.67989322559699872</v>
      </c>
    </row>
    <row r="34" spans="2:9" x14ac:dyDescent="0.2">
      <c r="B34" s="20" t="s">
        <v>103</v>
      </c>
      <c r="C34" s="175">
        <f>C30</f>
        <v>0.12273954668194094</v>
      </c>
      <c r="D34" s="175">
        <f t="shared" ref="D34:G34" si="2">D30</f>
        <v>-8.4816078178298143E-2</v>
      </c>
      <c r="E34" s="175">
        <f t="shared" si="2"/>
        <v>-7.0715474209650589E-2</v>
      </c>
      <c r="F34" s="175">
        <f t="shared" si="2"/>
        <v>0.30935793635850123</v>
      </c>
      <c r="G34" s="175">
        <f t="shared" si="2"/>
        <v>1.0631768953068592</v>
      </c>
      <c r="I34" s="175">
        <f>I30</f>
        <v>1.0631768953068592</v>
      </c>
    </row>
    <row r="35" spans="2:9" x14ac:dyDescent="0.2">
      <c r="B35" s="20" t="s">
        <v>104</v>
      </c>
      <c r="C35" s="175">
        <f>Statement!M138</f>
        <v>9.9985480987453412E-2</v>
      </c>
      <c r="D35" s="175">
        <f>Statement!N138</f>
        <v>-3.4478419529382159E-2</v>
      </c>
      <c r="E35" s="175">
        <f>Statement!O138</f>
        <v>-2.4613693275514565E-2</v>
      </c>
      <c r="F35" s="175">
        <f>Statement!P138</f>
        <v>0.29514415781487102</v>
      </c>
      <c r="G35" s="175">
        <f>Statement!Q138</f>
        <v>0.50818716392752861</v>
      </c>
      <c r="I35" s="175">
        <f>Statement!AC138</f>
        <v>0.50818716392752861</v>
      </c>
    </row>
    <row r="37" spans="2:9" ht="17" thickBot="1" x14ac:dyDescent="0.25">
      <c r="B37" s="14" t="s">
        <v>254</v>
      </c>
      <c r="C37" s="14"/>
      <c r="D37" s="14"/>
      <c r="E37" s="14"/>
      <c r="F37" s="14"/>
      <c r="G37" s="14"/>
      <c r="I37" s="14"/>
    </row>
    <row r="38" spans="2:9" x14ac:dyDescent="0.2">
      <c r="B38" s="20" t="s">
        <v>138</v>
      </c>
      <c r="C38" s="174">
        <f>Statement!M139</f>
        <v>54.459639227371895</v>
      </c>
      <c r="D38" s="174">
        <f>Statement!N139</f>
        <v>93.248601119104706</v>
      </c>
      <c r="E38" s="174">
        <f>Statement!O139</f>
        <v>125.15276238720912</v>
      </c>
      <c r="F38" s="174">
        <f>Statement!P139</f>
        <v>56.97373949579832</v>
      </c>
      <c r="G38" s="174">
        <f>Statement!Q139</f>
        <v>57.240498490595243</v>
      </c>
      <c r="I38" s="174">
        <f>Statement!AC139</f>
        <v>57.240498490595243</v>
      </c>
    </row>
    <row r="39" spans="2:9" x14ac:dyDescent="0.2">
      <c r="B39" s="20" t="s">
        <v>139</v>
      </c>
      <c r="C39" s="174">
        <f>Statement!M140</f>
        <v>102.78427122842326</v>
      </c>
      <c r="D39" s="174">
        <f>Statement!N140</f>
        <v>277.5020559210526</v>
      </c>
      <c r="E39" s="174">
        <f>Statement!O140</f>
        <v>268.44850352112672</v>
      </c>
      <c r="F39" s="174">
        <f>Statement!P140</f>
        <v>80.853637611530544</v>
      </c>
      <c r="G39" s="174">
        <f>Statement!Q140</f>
        <v>83.461713075060544</v>
      </c>
      <c r="I39" s="174">
        <f>Statement!AC140</f>
        <v>83.461713075060544</v>
      </c>
    </row>
    <row r="40" spans="2:9" x14ac:dyDescent="0.2">
      <c r="B40" s="20" t="s">
        <v>140</v>
      </c>
      <c r="C40" s="174">
        <f>Statement!M141</f>
        <v>53.737131356916173</v>
      </c>
      <c r="D40" s="174">
        <f>Statement!N141</f>
        <v>97.028166118421055</v>
      </c>
      <c r="E40" s="174">
        <f>Statement!O141</f>
        <v>113.33956866197184</v>
      </c>
      <c r="F40" s="174">
        <f>Statement!P141</f>
        <v>79.287920384351409</v>
      </c>
      <c r="G40" s="174">
        <f>Statement!Q141</f>
        <v>97.9888014527845</v>
      </c>
      <c r="I40" s="174">
        <f>Statement!AC141</f>
        <v>97.9888014527845</v>
      </c>
    </row>
    <row r="41" spans="2:9" x14ac:dyDescent="0.2">
      <c r="B41" s="20" t="s">
        <v>141</v>
      </c>
      <c r="C41" s="174">
        <f>Statement!M142</f>
        <v>103.50677909887901</v>
      </c>
      <c r="D41" s="174">
        <f>Statement!N142</f>
        <v>273.72249092173627</v>
      </c>
      <c r="E41" s="174">
        <f>Statement!O142</f>
        <v>280.26169724636401</v>
      </c>
      <c r="F41" s="174">
        <f>Statement!P142</f>
        <v>58.539456722977448</v>
      </c>
      <c r="G41" s="174">
        <f>Statement!Q142</f>
        <v>42.713410112871273</v>
      </c>
      <c r="I41" s="174">
        <f>Statement!AC142</f>
        <v>42.713410112871273</v>
      </c>
    </row>
    <row r="43" spans="2:9" ht="17" thickBot="1" x14ac:dyDescent="0.25">
      <c r="B43" s="14" t="s">
        <v>260</v>
      </c>
      <c r="C43" s="14"/>
      <c r="D43" s="14"/>
      <c r="E43" s="14"/>
      <c r="F43" s="14"/>
      <c r="G43" s="14"/>
      <c r="I43" s="14"/>
    </row>
    <row r="44" spans="2:9" x14ac:dyDescent="0.2">
      <c r="B44" s="20" t="s">
        <v>261</v>
      </c>
      <c r="C44" s="180">
        <f>Statement!M143</f>
        <v>0.57294820391130019</v>
      </c>
      <c r="D44" s="180">
        <f>Statement!N143</f>
        <v>0.65179312252235644</v>
      </c>
      <c r="E44" s="180">
        <f>Statement!O143</f>
        <v>0.68718801996672207</v>
      </c>
      <c r="F44" s="180">
        <f>Statement!P143</f>
        <v>0.88702692524948223</v>
      </c>
      <c r="G44" s="180">
        <f>Statement!Q143</f>
        <v>0.11868231046931407</v>
      </c>
      <c r="I44" s="180">
        <f>Statement!AC143</f>
        <v>0.11868231046931407</v>
      </c>
    </row>
    <row r="45" spans="2:9" x14ac:dyDescent="0.2">
      <c r="B45" s="20" t="s">
        <v>262</v>
      </c>
      <c r="C45" s="180">
        <f>Statement!M144</f>
        <v>0.38253825382538253</v>
      </c>
      <c r="D45" s="180">
        <f>Statement!N144</f>
        <v>0.46528994191942474</v>
      </c>
      <c r="E45" s="180">
        <f>Statement!O144</f>
        <v>0.51349602514327974</v>
      </c>
      <c r="F45" s="180">
        <f>Statement!P144</f>
        <v>0.48898512521182452</v>
      </c>
      <c r="G45" s="180">
        <f>Statement!Q144</f>
        <v>-5.9453971119133572E-2</v>
      </c>
      <c r="I45" s="180">
        <f>Statement!AC144</f>
        <v>-5.9453971119133572E-2</v>
      </c>
    </row>
    <row r="46" spans="2:9" x14ac:dyDescent="0.2">
      <c r="B46" s="20" t="s">
        <v>256</v>
      </c>
      <c r="C46" s="180">
        <f>Statement!M145</f>
        <v>0.97975940423906815</v>
      </c>
      <c r="D46" s="180">
        <f>Statement!N145</f>
        <v>0.66635995583364005</v>
      </c>
      <c r="E46" s="180">
        <f>Statement!O145</f>
        <v>0.66453096763594544</v>
      </c>
      <c r="F46" s="180">
        <f>Statement!P145</f>
        <v>0.66445182724252494</v>
      </c>
      <c r="G46" s="180">
        <f>Statement!Q145</f>
        <v>0.85023584905660377</v>
      </c>
      <c r="I46" s="180">
        <f>Statement!AC145</f>
        <v>0.85023584905660377</v>
      </c>
    </row>
    <row r="47" spans="2:9" x14ac:dyDescent="0.2">
      <c r="B47" s="20" t="s">
        <v>257</v>
      </c>
      <c r="C47" s="180">
        <f>Statement!M146</f>
        <v>1.8050410540385717</v>
      </c>
      <c r="D47" s="180">
        <f>Statement!N146</f>
        <v>1.4512329775487671</v>
      </c>
      <c r="E47" s="180">
        <f>Statement!O146</f>
        <v>1.3241333990471498</v>
      </c>
      <c r="F47" s="180">
        <f>Statement!P146</f>
        <v>1.0808416389811739</v>
      </c>
      <c r="G47" s="180">
        <f>Statement!Q146</f>
        <v>1.3287735849056603</v>
      </c>
      <c r="I47" s="180">
        <f>Statement!AC146</f>
        <v>1.3287735849056603</v>
      </c>
    </row>
    <row r="48" spans="2:9" x14ac:dyDescent="0.2">
      <c r="B48" s="20" t="s">
        <v>263</v>
      </c>
      <c r="C48" s="182">
        <f>Statement!M147</f>
        <v>8.0234899328859068</v>
      </c>
      <c r="D48" s="182" t="str">
        <f>Statement!N147</f>
        <v>N/A</v>
      </c>
      <c r="E48" s="182" t="str">
        <f>Statement!O147</f>
        <v>N/A</v>
      </c>
      <c r="F48" s="182">
        <f>Statement!P147</f>
        <v>7.4807692307692308</v>
      </c>
      <c r="G48" s="182">
        <f>Statement!Q147</f>
        <v>39.061403508771932</v>
      </c>
      <c r="I48" s="182" t="str">
        <f>Statement!AC147</f>
        <v>N/A</v>
      </c>
    </row>
    <row r="50" spans="2:9" ht="17" thickBot="1" x14ac:dyDescent="0.25">
      <c r="B50" s="14" t="s">
        <v>272</v>
      </c>
      <c r="C50" s="14"/>
      <c r="D50" s="14"/>
      <c r="E50" s="14"/>
      <c r="F50" s="14"/>
      <c r="G50" s="14"/>
      <c r="I50" s="14"/>
    </row>
    <row r="51" spans="2:9" x14ac:dyDescent="0.2">
      <c r="B51" s="20" t="s">
        <v>270</v>
      </c>
      <c r="C51" s="175">
        <f>Statement!M160</f>
        <v>0.12855209742895804</v>
      </c>
      <c r="D51" s="175">
        <f>Statement!N160</f>
        <v>-7.4500768049155147E-2</v>
      </c>
      <c r="E51" s="175">
        <f>Statement!O160</f>
        <v>-3.3126567242972152E-2</v>
      </c>
      <c r="F51" s="175">
        <f>Statement!P160</f>
        <v>6.9716434278552411E-2</v>
      </c>
      <c r="G51" s="175">
        <f>Statement!Q160</f>
        <v>4.5046382189239335E-2</v>
      </c>
      <c r="I51" s="175">
        <f ca="1">Statement!AC160</f>
        <v>5.2611563243619139E-2</v>
      </c>
    </row>
    <row r="52" spans="2:9" x14ac:dyDescent="0.2">
      <c r="B52" s="20" t="s">
        <v>273</v>
      </c>
      <c r="C52" s="175">
        <f>Statement!M159</f>
        <v>3.6765644547705971E-2</v>
      </c>
      <c r="D52" s="175">
        <f>Statement!N159</f>
        <v>-0.12299917629510898</v>
      </c>
      <c r="E52" s="175">
        <f>Statement!O159</f>
        <v>-4.1401956434829822E-2</v>
      </c>
      <c r="F52" s="175">
        <f>Statement!P159</f>
        <v>4.4498451111605546E-2</v>
      </c>
      <c r="G52" s="175">
        <f>Statement!Q159</f>
        <v>1.537703256285426E-2</v>
      </c>
      <c r="I52" s="175">
        <f ca="1">Statement!AC159</f>
        <v>2.7226803549026637E-2</v>
      </c>
    </row>
    <row r="53" spans="2:9" x14ac:dyDescent="0.2">
      <c r="B53" s="20" t="s">
        <v>271</v>
      </c>
      <c r="C53" s="175">
        <f>Statement!M161</f>
        <v>0</v>
      </c>
      <c r="D53" s="175">
        <f>Statement!N161</f>
        <v>0</v>
      </c>
      <c r="E53" s="175">
        <f>Statement!O161</f>
        <v>0</v>
      </c>
      <c r="F53" s="175">
        <f>Statement!P161</f>
        <v>1.5666614444618519E-3</v>
      </c>
      <c r="G53" s="175">
        <f>Statement!Q161</f>
        <v>9.2764378478664194E-4</v>
      </c>
      <c r="I53" s="175">
        <f ca="1">Statement!AC161</f>
        <v>1.0865667749611551E-3</v>
      </c>
    </row>
    <row r="54" spans="2:9" x14ac:dyDescent="0.2">
      <c r="B54" s="20" t="s">
        <v>296</v>
      </c>
      <c r="C54" s="175">
        <f>Statement!M162</f>
        <v>0</v>
      </c>
      <c r="D54" s="175">
        <f>Statement!N162</f>
        <v>0</v>
      </c>
      <c r="E54" s="175">
        <f>Statement!O162</f>
        <v>0</v>
      </c>
      <c r="F54" s="175">
        <f>Statement!P162</f>
        <v>6.5387270371096906E-3</v>
      </c>
      <c r="G54" s="175">
        <f>Statement!Q162</f>
        <v>1.2052394436927197E-2</v>
      </c>
      <c r="I54" s="175">
        <f ca="1">Statement!AC162</f>
        <v>2.3490538849160209E-2</v>
      </c>
    </row>
    <row r="55" spans="2:9" x14ac:dyDescent="0.2">
      <c r="B55" s="20" t="s">
        <v>298</v>
      </c>
      <c r="C55" s="175">
        <f>Statement!M163</f>
        <v>0</v>
      </c>
      <c r="D55" s="175">
        <f>Statement!N163</f>
        <v>0</v>
      </c>
      <c r="E55" s="175">
        <f>Statement!O163</f>
        <v>0</v>
      </c>
      <c r="F55" s="175">
        <f>Statement!P163</f>
        <v>8.4696262963904045E-3</v>
      </c>
      <c r="G55" s="175">
        <f>Statement!Q163</f>
        <v>1.2907965646955981E-2</v>
      </c>
      <c r="I55" s="175">
        <f ca="1">Statement!AC163</f>
        <v>2.5042777099104716E-2</v>
      </c>
    </row>
    <row r="57" spans="2:9" ht="17" thickBot="1" x14ac:dyDescent="0.25">
      <c r="B57" s="14" t="s">
        <v>275</v>
      </c>
      <c r="C57" s="14"/>
      <c r="D57" s="14"/>
      <c r="E57" s="14"/>
      <c r="F57" s="14"/>
      <c r="G57" s="14"/>
      <c r="I57" s="14"/>
    </row>
    <row r="58" spans="2:9" x14ac:dyDescent="0.2">
      <c r="B58" s="20" t="s">
        <v>274</v>
      </c>
      <c r="C58" s="175">
        <f>Statement!M166</f>
        <v>0</v>
      </c>
      <c r="D58" s="175">
        <f>Statement!N166</f>
        <v>0</v>
      </c>
      <c r="E58" s="175">
        <f>Statement!O166</f>
        <v>0</v>
      </c>
      <c r="F58" s="175">
        <f>Statement!P166</f>
        <v>4.3392504930966469E-2</v>
      </c>
      <c r="G58" s="175">
        <f>Statement!Q166</f>
        <v>5.5639552464469305E-2</v>
      </c>
      <c r="I58" s="175">
        <f>Statement!AC166</f>
        <v>5.7011402280456092E-2</v>
      </c>
    </row>
    <row r="59" spans="2:9" x14ac:dyDescent="0.2">
      <c r="B59" s="20" t="s">
        <v>276</v>
      </c>
      <c r="C59" s="175">
        <f>Statement!M167</f>
        <v>0</v>
      </c>
      <c r="D59" s="175">
        <f>Statement!N167</f>
        <v>0</v>
      </c>
      <c r="E59" s="175">
        <f>Statement!O167</f>
        <v>0</v>
      </c>
      <c r="F59" s="175">
        <f>Statement!P167</f>
        <v>0.14694280078895464</v>
      </c>
      <c r="G59" s="175">
        <f>Statement!Q167</f>
        <v>0.78379195645600241</v>
      </c>
      <c r="I59" s="175">
        <f>Statement!AC167</f>
        <v>0.86277255451090218</v>
      </c>
    </row>
    <row r="60" spans="2:9" x14ac:dyDescent="0.2">
      <c r="B60" s="20" t="s">
        <v>277</v>
      </c>
      <c r="C60" s="175">
        <f>Statement!M168</f>
        <v>0</v>
      </c>
      <c r="D60" s="175">
        <f>Statement!N168</f>
        <v>0</v>
      </c>
      <c r="E60" s="175">
        <f>Statement!O168</f>
        <v>0</v>
      </c>
      <c r="F60" s="175">
        <f>Statement!P168</f>
        <v>0.19033530571992111</v>
      </c>
      <c r="G60" s="175">
        <f>Statement!Q168</f>
        <v>0.83943150892047169</v>
      </c>
      <c r="I60" s="175">
        <f>Statement!AC168</f>
        <v>0.91978395679135827</v>
      </c>
    </row>
    <row r="62" spans="2:9" ht="17" thickBot="1" x14ac:dyDescent="0.25">
      <c r="B62" s="14" t="s">
        <v>283</v>
      </c>
      <c r="C62" s="14"/>
      <c r="D62" s="14"/>
      <c r="E62" s="14"/>
      <c r="F62" s="14"/>
      <c r="G62" s="14"/>
      <c r="I62" s="14"/>
    </row>
    <row r="63" spans="2:9" x14ac:dyDescent="0.2">
      <c r="B63" s="20" t="s">
        <v>281</v>
      </c>
      <c r="C63" s="175">
        <f>Statement!M169</f>
        <v>3.1446540880503142E-3</v>
      </c>
      <c r="D63" s="175">
        <f>Statement!N169</f>
        <v>3.105590062111801E-3</v>
      </c>
      <c r="E63" s="175">
        <f>Statement!O169</f>
        <v>2.9154518950437317E-3</v>
      </c>
      <c r="F63" s="175">
        <f>Statement!P169</f>
        <v>2.8011204481792717E-3</v>
      </c>
      <c r="G63" s="175">
        <f>Statement!Q169</f>
        <v>2.5062656641604009E-3</v>
      </c>
      <c r="I63" s="175">
        <f>Statement!AC169</f>
        <v>2.5062656641604009E-3</v>
      </c>
    </row>
    <row r="65" spans="2:9" ht="17" thickBot="1" x14ac:dyDescent="0.25">
      <c r="B65" s="14" t="s">
        <v>289</v>
      </c>
      <c r="C65" s="14"/>
      <c r="D65" s="14"/>
      <c r="E65" s="14"/>
      <c r="F65" s="14"/>
      <c r="G65" s="14"/>
      <c r="I65" s="14"/>
    </row>
    <row r="66" spans="2:9" x14ac:dyDescent="0.2">
      <c r="B66" s="20" t="s">
        <v>282</v>
      </c>
      <c r="C66" s="174">
        <f>Statement!M170</f>
        <v>5.8676389750417313</v>
      </c>
      <c r="D66" s="174">
        <f>Statement!N170</f>
        <v>4.9743536782677547</v>
      </c>
      <c r="E66" s="174">
        <f>Statement!O170</f>
        <v>4.3373983458330745</v>
      </c>
      <c r="F66" s="174">
        <f>Statement!P170</f>
        <v>6.1275362318840578</v>
      </c>
      <c r="G66" s="174">
        <f>Statement!Q170</f>
        <v>4.3739612188365653</v>
      </c>
      <c r="I66" s="174">
        <f>Statement!AC170</f>
        <v>4.3739612188365653</v>
      </c>
    </row>
    <row r="67" spans="2:9" x14ac:dyDescent="0.2">
      <c r="B67" s="20" t="s">
        <v>290</v>
      </c>
      <c r="C67" s="174">
        <f>Statement!M173</f>
        <v>-11.788230429015941</v>
      </c>
      <c r="D67" s="174">
        <f>Statement!N173</f>
        <v>-12.410065750972496</v>
      </c>
      <c r="E67" s="174">
        <f>Statement!O173</f>
        <v>-12.822909958011032</v>
      </c>
      <c r="F67" s="174">
        <f>Statement!P173</f>
        <v>-7.5275362318840582</v>
      </c>
      <c r="G67" s="174">
        <f>Statement!Q173</f>
        <v>1.4598337950138505</v>
      </c>
      <c r="I67" s="174">
        <f>Statement!AC173</f>
        <v>1.4598337950138505</v>
      </c>
    </row>
    <row r="68" spans="2:9" x14ac:dyDescent="0.2">
      <c r="B68" s="20" t="s">
        <v>295</v>
      </c>
      <c r="C68" s="196">
        <f>Statement!M174</f>
        <v>-0.39786895430677177</v>
      </c>
      <c r="D68" s="196">
        <f>Statement!N174</f>
        <v>-0.40127785569580804</v>
      </c>
      <c r="E68" s="196">
        <f>Statement!O174</f>
        <v>-0.21374337174301083</v>
      </c>
      <c r="F68" s="196">
        <f>Statement!P174</f>
        <v>-0.11396694037163668</v>
      </c>
      <c r="G68" s="196">
        <f>Statement!Q174</f>
        <v>2.4504675417672196E-3</v>
      </c>
      <c r="I68" s="196">
        <f ca="1">Statement!AC174</f>
        <v>2.8702791498973874E-3</v>
      </c>
    </row>
    <row r="70" spans="2:9" ht="17" thickBot="1" x14ac:dyDescent="0.25">
      <c r="B70" s="14" t="s">
        <v>310</v>
      </c>
      <c r="C70" s="14"/>
      <c r="D70" s="14"/>
      <c r="E70" s="14"/>
      <c r="F70" s="14"/>
      <c r="G70" s="14"/>
      <c r="I70" s="14"/>
    </row>
    <row r="71" spans="2:9" x14ac:dyDescent="0.2">
      <c r="B71" s="20" t="s">
        <v>284</v>
      </c>
      <c r="C71" s="175">
        <f>Statement!M171</f>
        <v>0.17340425531914894</v>
      </c>
      <c r="D71" s="175">
        <f>Statement!N171</f>
        <v>-0.77941176470588236</v>
      </c>
      <c r="E71" s="175">
        <f>Statement!O171</f>
        <v>-1.0034013605442176</v>
      </c>
      <c r="F71" s="175">
        <f>Statement!P171</f>
        <v>0.15671200473092844</v>
      </c>
      <c r="G71" s="175">
        <f>Statement!Q171</f>
        <v>5.1921608551794347E-2</v>
      </c>
      <c r="I71" s="175">
        <f>Statement!AC171</f>
        <v>6.0319042871385842E-2</v>
      </c>
    </row>
    <row r="72" spans="2:9" x14ac:dyDescent="0.2">
      <c r="B72" s="20" t="s">
        <v>285</v>
      </c>
      <c r="C72" s="175">
        <f>Statement!M172</f>
        <v>1.7346884478263182E-2</v>
      </c>
      <c r="D72" s="175">
        <f>Statement!N172</f>
        <v>5.0839328537170263E-2</v>
      </c>
      <c r="E72" s="175">
        <f>Statement!O172</f>
        <v>4.6699382618331488E-2</v>
      </c>
      <c r="F72" s="175">
        <f>Statement!P172</f>
        <v>2.7836134453781514E-2</v>
      </c>
      <c r="G72" s="175">
        <f>Statement!Q172</f>
        <v>1.5790695874293676E-2</v>
      </c>
      <c r="I72" s="175">
        <f>Statement!AC172</f>
        <v>2.8098150011610805E-2</v>
      </c>
    </row>
    <row r="74" spans="2:9" ht="17" thickBot="1" x14ac:dyDescent="0.25">
      <c r="B74" s="14" t="s">
        <v>311</v>
      </c>
      <c r="C74" s="14"/>
      <c r="D74" s="14"/>
      <c r="E74" s="14"/>
      <c r="F74" s="14"/>
      <c r="G74" s="14"/>
      <c r="I74" s="14"/>
    </row>
    <row r="75" spans="2:9" x14ac:dyDescent="0.2">
      <c r="B75" s="20" t="s">
        <v>308</v>
      </c>
      <c r="C75" s="175">
        <f>Statement!M175</f>
        <v>5.9703080934390466E-2</v>
      </c>
      <c r="D75" s="175">
        <f>Statement!N175</f>
        <v>0.13125499600319745</v>
      </c>
      <c r="E75" s="175">
        <f>Statement!O175</f>
        <v>7.7093557068228596E-2</v>
      </c>
      <c r="F75" s="175">
        <f>Statement!P175</f>
        <v>4.3277310924369747E-2</v>
      </c>
      <c r="G75" s="175">
        <f>Statement!Q175</f>
        <v>3.2355445467915474E-2</v>
      </c>
      <c r="I75" s="175">
        <f>Statement!AC175</f>
        <v>5.0777923987924765E-2</v>
      </c>
    </row>
    <row r="76" spans="2:9" x14ac:dyDescent="0.2">
      <c r="B76" s="20" t="s">
        <v>305</v>
      </c>
      <c r="C76" s="175">
        <f>Statement!M176</f>
        <v>0.59680851063829787</v>
      </c>
      <c r="D76" s="175">
        <f>Statement!N176</f>
        <v>-2.0122549019607843</v>
      </c>
      <c r="E76" s="175">
        <f>Statement!O176</f>
        <v>-1.6564625850340136</v>
      </c>
      <c r="F76" s="175">
        <f>Statement!P176</f>
        <v>0.24364281490242459</v>
      </c>
      <c r="G76" s="175">
        <f>Statement!Q176</f>
        <v>0.10638839399338254</v>
      </c>
      <c r="I76" s="175">
        <f>Statement!AC176</f>
        <v>0.10900631439016284</v>
      </c>
    </row>
    <row r="77" spans="2:9" x14ac:dyDescent="0.2">
      <c r="B77" s="20" t="s">
        <v>306</v>
      </c>
      <c r="C77" s="175">
        <f>Statement!M177</f>
        <v>1.2077502691065662</v>
      </c>
      <c r="D77" s="175">
        <f>Statement!N177</f>
        <v>0.99154589371980673</v>
      </c>
      <c r="E77" s="175">
        <f>Statement!O177</f>
        <v>0.85739436619718312</v>
      </c>
      <c r="F77" s="175">
        <f>Statement!P177</f>
        <v>0.91352549889135259</v>
      </c>
      <c r="G77" s="175">
        <f>Statement!Q177</f>
        <v>1.1146666666666667</v>
      </c>
      <c r="I77" s="175">
        <f>Statement!AC177</f>
        <v>1.0202177293934682</v>
      </c>
    </row>
    <row r="79" spans="2:9" ht="17" thickBot="1" x14ac:dyDescent="0.25">
      <c r="B79" s="14" t="s">
        <v>121</v>
      </c>
      <c r="C79" s="14"/>
      <c r="D79" s="14"/>
      <c r="E79" s="14"/>
      <c r="F79" s="14"/>
      <c r="G79" s="14"/>
      <c r="I79" s="14"/>
    </row>
    <row r="80" spans="2:9" x14ac:dyDescent="0.2">
      <c r="B80" s="20" t="s">
        <v>19</v>
      </c>
      <c r="C80" s="175">
        <f>Statement!M88</f>
        <v>0.11056612693535044</v>
      </c>
      <c r="D80" s="175">
        <f>Statement!N88</f>
        <v>-0.66716330548608527</v>
      </c>
      <c r="E80" s="175">
        <f>Statement!O88</f>
        <v>9.9120703437250192E-3</v>
      </c>
      <c r="F80" s="175">
        <f>Statement!P88</f>
        <v>0.50704448314073136</v>
      </c>
      <c r="G80" s="175">
        <f>Statement!Q88</f>
        <v>0.35703781512605043</v>
      </c>
      <c r="I80" s="197"/>
    </row>
    <row r="81" spans="2:9" x14ac:dyDescent="0.2">
      <c r="B81" s="20" t="s">
        <v>20</v>
      </c>
      <c r="C81" s="175">
        <f>Statement!M89</f>
        <v>4.1770824933473109E-2</v>
      </c>
      <c r="D81" s="175">
        <f>Statement!N89</f>
        <v>-0.62350027091880178</v>
      </c>
      <c r="E81" s="175">
        <f>Statement!O89</f>
        <v>-6.5789473684210523E-2</v>
      </c>
      <c r="F81" s="175">
        <f>Statement!P89</f>
        <v>0.28257042253521125</v>
      </c>
      <c r="G81" s="175">
        <f>Statement!Q89</f>
        <v>0.13383665065202471</v>
      </c>
      <c r="I81" s="197"/>
    </row>
    <row r="82" spans="2:9" x14ac:dyDescent="0.2">
      <c r="B82" s="20" t="s">
        <v>21</v>
      </c>
      <c r="C82" s="175">
        <f>Statement!M90</f>
        <v>0.29927007299270075</v>
      </c>
      <c r="D82" s="175">
        <f>Statement!N90</f>
        <v>-0.76319373510384747</v>
      </c>
      <c r="E82" s="175">
        <f>Statement!O90</f>
        <v>0.27462257368799425</v>
      </c>
      <c r="F82" s="175">
        <f>Statement!P90</f>
        <v>1.0823463056965594</v>
      </c>
      <c r="G82" s="175">
        <f>Statement!Q90</f>
        <v>0.70937161430119178</v>
      </c>
      <c r="I82" s="197"/>
    </row>
    <row r="83" spans="2:9" x14ac:dyDescent="0.2">
      <c r="B83" s="20" t="s">
        <v>24</v>
      </c>
      <c r="C83" s="175">
        <f>Statement!M93</f>
        <v>5.5134807634050285E-2</v>
      </c>
      <c r="D83" s="175">
        <f>Statement!N93</f>
        <v>-0.44329600918748208</v>
      </c>
      <c r="E83" s="175">
        <f>Statement!O93</f>
        <v>0.1222279525528623</v>
      </c>
      <c r="F83" s="175">
        <f>Statement!P93</f>
        <v>-0.37591911764705882</v>
      </c>
      <c r="G83" s="175">
        <f>Statement!Q93</f>
        <v>0.36818851251840945</v>
      </c>
      <c r="I83" s="197"/>
    </row>
    <row r="84" spans="2:9" x14ac:dyDescent="0.2">
      <c r="B84" s="20" t="s">
        <v>312</v>
      </c>
      <c r="C84" s="175">
        <f>Statement!M94</f>
        <v>0.95983606557377055</v>
      </c>
      <c r="D84" s="175">
        <f>Statement!N94</f>
        <v>-1.2291928063571727</v>
      </c>
      <c r="E84" s="175">
        <f>Statement!O94</f>
        <v>0.26459854014598538</v>
      </c>
      <c r="F84" s="175">
        <f>Statement!P94</f>
        <v>6.7915632754342434</v>
      </c>
      <c r="G84" s="175">
        <f>Statement!Q94</f>
        <v>0.9078834618680377</v>
      </c>
      <c r="I84" s="197"/>
    </row>
    <row r="85" spans="2:9" x14ac:dyDescent="0.2">
      <c r="B85" s="20" t="s">
        <v>313</v>
      </c>
      <c r="C85" s="175">
        <f>Statement!M96</f>
        <v>0.82704019488428748</v>
      </c>
      <c r="D85" s="175">
        <f>Statement!N96</f>
        <v>-1.6133333333333333</v>
      </c>
      <c r="E85" s="175">
        <f>Statement!O96</f>
        <v>0.16847826086956522</v>
      </c>
      <c r="F85" s="175">
        <f>Statement!P96</f>
        <v>3.1477124183006535</v>
      </c>
      <c r="G85" s="175">
        <f>Statement!Q96</f>
        <v>4.7358490566037732</v>
      </c>
      <c r="I85" s="197"/>
    </row>
    <row r="88" spans="2:9" ht="17" thickBot="1" x14ac:dyDescent="0.25">
      <c r="B88" s="14" t="s">
        <v>314</v>
      </c>
      <c r="C88" s="14"/>
      <c r="D88" s="14"/>
      <c r="E88" s="14"/>
      <c r="F88" s="14"/>
      <c r="G88" s="14"/>
      <c r="I88" s="14"/>
    </row>
    <row r="89" spans="2:9" x14ac:dyDescent="0.2">
      <c r="B89" s="20" t="str">
        <f>Statement!B191</f>
        <v>Cloud</v>
      </c>
      <c r="C89" s="175">
        <f>Statement!M191</f>
        <v>0.4008387209505504</v>
      </c>
      <c r="D89" s="175">
        <f>Statement!N191</f>
        <v>-0.40713483846825493</v>
      </c>
      <c r="E89" s="175">
        <f>Statement!O191</f>
        <v>6.2907637281716805E-2</v>
      </c>
      <c r="F89" s="175">
        <f>Statement!P191</f>
        <v>0.65102929532858278</v>
      </c>
      <c r="G89" s="175">
        <f>Statement!Q191</f>
        <v>0.37753266994365187</v>
      </c>
      <c r="I89" s="197"/>
    </row>
    <row r="90" spans="2:9" x14ac:dyDescent="0.2">
      <c r="B90" s="20" t="str">
        <f>Statement!B192</f>
        <v>Client</v>
      </c>
      <c r="C90" s="175">
        <f>Statement!M192</f>
        <v>-2.8155473149292679E-2</v>
      </c>
      <c r="D90" s="175">
        <f>Statement!N192</f>
        <v>-0.90234595816845675</v>
      </c>
      <c r="E90" s="175">
        <f>Statement!O192</f>
        <v>-0.16497829232995659</v>
      </c>
      <c r="F90" s="175">
        <f>Statement!P192</f>
        <v>-3.6395147313691506E-2</v>
      </c>
      <c r="G90" s="175">
        <f>Statement!Q192</f>
        <v>0.30575539568345322</v>
      </c>
      <c r="I90" s="197"/>
    </row>
    <row r="91" spans="2:9" x14ac:dyDescent="0.2">
      <c r="B91" s="20" t="str">
        <f>Statement!B193</f>
        <v>Consumer</v>
      </c>
      <c r="C91" s="175">
        <f>Statement!M193</f>
        <v>-5.5640632976008166E-2</v>
      </c>
      <c r="D91" s="175">
        <f>Statement!N193</f>
        <v>-0.78081081081081083</v>
      </c>
      <c r="E91" s="175">
        <f>Statement!O193</f>
        <v>-0.15166461159062886</v>
      </c>
      <c r="F91" s="175">
        <f>Statement!P193</f>
        <v>-9.4476744186046513E-2</v>
      </c>
      <c r="G91" s="175">
        <f>Statement!Q193</f>
        <v>0.12841091492776885</v>
      </c>
      <c r="I91" s="197"/>
    </row>
    <row r="93" spans="2:9" ht="17" thickBot="1" x14ac:dyDescent="0.25">
      <c r="B93" s="14" t="s">
        <v>316</v>
      </c>
      <c r="C93" s="14"/>
      <c r="D93" s="14"/>
      <c r="E93" s="14"/>
      <c r="F93" s="14"/>
      <c r="G93" s="14"/>
      <c r="I93" s="14"/>
    </row>
    <row r="94" spans="2:9" x14ac:dyDescent="0.2">
      <c r="B94" s="20" t="s">
        <v>288</v>
      </c>
      <c r="C94" s="175">
        <f>Statement!M197</f>
        <v>0</v>
      </c>
      <c r="D94" s="175">
        <f>Statement!N197</f>
        <v>0</v>
      </c>
      <c r="E94" s="175">
        <f>Statement!O197</f>
        <v>0</v>
      </c>
      <c r="F94" s="175">
        <f>Statement!P197</f>
        <v>-1</v>
      </c>
      <c r="G94" s="175">
        <f>Statement!Q197</f>
        <v>3.1818181818181817</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19"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317</v>
      </c>
      <c r="D3" s="247"/>
      <c r="F3" s="248" t="s">
        <v>318</v>
      </c>
      <c r="G3" s="247"/>
    </row>
    <row r="4" spans="2:7" x14ac:dyDescent="0.2">
      <c r="B4" s="8"/>
      <c r="C4" s="10" t="str">
        <f>Statement!Z2</f>
        <v>03.04.2026</v>
      </c>
      <c r="D4" s="203" t="str">
        <f>Statement!AA2</f>
        <v>03.07.2026</v>
      </c>
      <c r="F4" s="204" t="str">
        <f>Statement!W2</f>
        <v>27.06.2025</v>
      </c>
      <c r="G4" s="203" t="str">
        <f>Statement!AA2</f>
        <v>03.07.2026</v>
      </c>
    </row>
    <row r="5" spans="2:7" x14ac:dyDescent="0.2">
      <c r="B5" s="8" t="s">
        <v>323</v>
      </c>
      <c r="C5" s="10" t="str">
        <f>Statement!Z3</f>
        <v>Q3 2026</v>
      </c>
      <c r="D5" s="203" t="str">
        <f>Statement!AA3</f>
        <v>Q4 2026</v>
      </c>
      <c r="F5" s="204" t="str">
        <f>Statement!W3</f>
        <v>Q4 2025</v>
      </c>
      <c r="G5" s="203" t="str">
        <f>Statement!AA3</f>
        <v>Q4 2026</v>
      </c>
    </row>
    <row r="6" spans="2:7" x14ac:dyDescent="0.2">
      <c r="B6" s="205" t="s">
        <v>19</v>
      </c>
      <c r="C6" s="199">
        <f>Statement!Z5</f>
        <v>3337</v>
      </c>
      <c r="D6" s="198">
        <f>Statement!AA5</f>
        <v>3747</v>
      </c>
      <c r="F6" s="199">
        <f>Statement!W5</f>
        <v>2605</v>
      </c>
      <c r="G6" s="198">
        <f>Statement!AA5</f>
        <v>3747</v>
      </c>
    </row>
    <row r="7" spans="2:7" x14ac:dyDescent="0.2">
      <c r="B7" s="206" t="s">
        <v>319</v>
      </c>
      <c r="C7" s="249">
        <f>Statement!AA88</f>
        <v>0.12286484866646688</v>
      </c>
      <c r="D7" s="250"/>
      <c r="F7" s="249">
        <f>IF(F6=0,
IF(G6=0,0,IF(G6&gt;0,1,-1)),
(G6-F6)/ABS(F6)
)</f>
        <v>0.43838771593090209</v>
      </c>
      <c r="G7" s="250"/>
    </row>
    <row r="8" spans="2:7" x14ac:dyDescent="0.2">
      <c r="B8" s="207" t="s">
        <v>20</v>
      </c>
      <c r="C8" s="200">
        <f>Statement!Z6</f>
        <v>1661</v>
      </c>
      <c r="D8" s="198">
        <f>Statement!AA6</f>
        <v>1719</v>
      </c>
      <c r="F8" s="200">
        <f>Statement!W6</f>
        <v>1538</v>
      </c>
      <c r="G8" s="198">
        <f>Statement!AA6</f>
        <v>1719</v>
      </c>
    </row>
    <row r="9" spans="2:7" x14ac:dyDescent="0.2">
      <c r="B9" s="206" t="s">
        <v>319</v>
      </c>
      <c r="C9" s="249">
        <f>Statement!AA89</f>
        <v>3.4918723660445516E-2</v>
      </c>
      <c r="D9" s="250"/>
      <c r="F9" s="249">
        <f>IF(F8=0,
IF(G8=0,0,IF(G8&gt;0,1,-1)),
(G8-F8)/ABS(F8)
)</f>
        <v>0.1176853055916775</v>
      </c>
      <c r="G9" s="250"/>
    </row>
    <row r="10" spans="2:7" x14ac:dyDescent="0.2">
      <c r="B10" s="207" t="s">
        <v>21</v>
      </c>
      <c r="C10" s="200">
        <f>Statement!Z7</f>
        <v>1676</v>
      </c>
      <c r="D10" s="198">
        <f>Statement!AA7</f>
        <v>2028</v>
      </c>
      <c r="F10" s="200">
        <f>Statement!W7</f>
        <v>1067</v>
      </c>
      <c r="G10" s="198">
        <f>Statement!AA7</f>
        <v>2028</v>
      </c>
    </row>
    <row r="11" spans="2:7" x14ac:dyDescent="0.2">
      <c r="B11" s="206" t="s">
        <v>319</v>
      </c>
      <c r="C11" s="249">
        <f>Statement!AA90</f>
        <v>0.21002386634844869</v>
      </c>
      <c r="D11" s="250"/>
      <c r="F11" s="249">
        <f>IF(F10=0,
IF(G10=0,0,IF(G10&gt;0,1,-1)),
(G10-F10)/ABS(F10)
)</f>
        <v>0.90065604498594187</v>
      </c>
      <c r="G11" s="250"/>
    </row>
    <row r="12" spans="2:7" x14ac:dyDescent="0.2">
      <c r="B12" s="207" t="s">
        <v>24</v>
      </c>
      <c r="C12" s="200">
        <f>Statement!Z10</f>
        <v>486</v>
      </c>
      <c r="D12" s="200">
        <f>Statement!AA10</f>
        <v>465</v>
      </c>
      <c r="F12" s="200">
        <f>Statement!W10</f>
        <v>387</v>
      </c>
      <c r="G12" s="198">
        <f>Statement!AA10</f>
        <v>465</v>
      </c>
    </row>
    <row r="13" spans="2:7" x14ac:dyDescent="0.2">
      <c r="B13" s="206" t="s">
        <v>319</v>
      </c>
      <c r="C13" s="249">
        <f>Statement!AA93</f>
        <v>-4.3209876543209874E-2</v>
      </c>
      <c r="D13" s="250"/>
      <c r="F13" s="249">
        <f>IF(F12=0,
IF(G12=0,0,IF(G12&gt;0,1,-1)),
(G12-F12)/ABS(F12)
)</f>
        <v>0.20155038759689922</v>
      </c>
      <c r="G13" s="250"/>
    </row>
    <row r="14" spans="2:7" x14ac:dyDescent="0.2">
      <c r="B14" s="207" t="s">
        <v>320</v>
      </c>
      <c r="C14" s="200">
        <f>Statement!Z11</f>
        <v>1190</v>
      </c>
      <c r="D14" s="198">
        <f>Statement!AA11</f>
        <v>1563</v>
      </c>
      <c r="F14" s="200">
        <f>Statement!W11</f>
        <v>680</v>
      </c>
      <c r="G14" s="198">
        <f>Statement!AA11</f>
        <v>1563</v>
      </c>
    </row>
    <row r="15" spans="2:7" x14ac:dyDescent="0.2">
      <c r="B15" s="206" t="s">
        <v>319</v>
      </c>
      <c r="C15" s="249">
        <f>Statement!AA94</f>
        <v>0.3134453781512605</v>
      </c>
      <c r="D15" s="250"/>
      <c r="F15" s="249">
        <f>IF(F14=0,
IF(G14=0,0,IF(G14&gt;0,1,-1)),
(G14-F14)/ABS(F14)
)</f>
        <v>1.2985294117647059</v>
      </c>
      <c r="G15" s="250"/>
    </row>
    <row r="16" spans="2:7" x14ac:dyDescent="0.2">
      <c r="B16" s="207" t="s">
        <v>30</v>
      </c>
      <c r="C16" s="200">
        <f>Statement!Z17</f>
        <v>3205</v>
      </c>
      <c r="D16" s="198">
        <f>Statement!AA17</f>
        <v>3195</v>
      </c>
      <c r="F16" s="200">
        <f>Statement!W17</f>
        <v>252</v>
      </c>
      <c r="G16" s="198">
        <f>Statement!AA17</f>
        <v>3195</v>
      </c>
    </row>
    <row r="17" spans="2:7" x14ac:dyDescent="0.2">
      <c r="B17" s="206" t="s">
        <v>319</v>
      </c>
      <c r="C17" s="249">
        <f>Statement!AA96</f>
        <v>-3.1201248049921998E-3</v>
      </c>
      <c r="D17" s="250"/>
      <c r="F17" s="249">
        <f>IF(F16=0,
IF(G16=0,0,IF(G16&gt;0,1,-1)),
(G16-F16)/ABS(F16)
)</f>
        <v>11.678571428571429</v>
      </c>
      <c r="G17" s="250"/>
    </row>
    <row r="18" spans="2:7" x14ac:dyDescent="0.2">
      <c r="B18" s="207" t="s">
        <v>321</v>
      </c>
      <c r="C18" s="200">
        <f>Statement!Z21</f>
        <v>387</v>
      </c>
      <c r="D18" s="198">
        <f>Statement!AA21</f>
        <v>389</v>
      </c>
      <c r="F18" s="200">
        <f>Statement!W21</f>
        <v>362</v>
      </c>
      <c r="G18" s="198">
        <f>Statement!AA21</f>
        <v>389</v>
      </c>
    </row>
    <row r="19" spans="2:7" x14ac:dyDescent="0.2">
      <c r="B19" s="206" t="s">
        <v>319</v>
      </c>
      <c r="C19" s="249">
        <f>IF(C18=0,
IF(D18=0,0,IF(D18&gt;0,1,-1)),
(D18-C18)/ABS(C18)
)</f>
        <v>5.1679586563307496E-3</v>
      </c>
      <c r="D19" s="250"/>
      <c r="F19" s="249">
        <f>IF(F18=0,
IF(G18=0,0,IF(G18&gt;0,1,-1)),
(G18-F18)/ABS(F18)
)</f>
        <v>7.4585635359116026E-2</v>
      </c>
      <c r="G19" s="250"/>
    </row>
    <row r="20" spans="2:7" x14ac:dyDescent="0.2">
      <c r="B20" s="207" t="s">
        <v>37</v>
      </c>
      <c r="C20" s="201">
        <f>Statement!Z25</f>
        <v>8.1999999999999993</v>
      </c>
      <c r="D20" s="202">
        <f>Statement!AA25</f>
        <v>8.2100000000000009</v>
      </c>
      <c r="F20" s="201">
        <f>Statement!W25</f>
        <v>0.67</v>
      </c>
      <c r="G20" s="202">
        <f>Statement!AA25</f>
        <v>8.2100000000000009</v>
      </c>
    </row>
    <row r="21" spans="2:7" x14ac:dyDescent="0.2">
      <c r="B21" s="206" t="s">
        <v>319</v>
      </c>
      <c r="C21" s="249">
        <f>IF(C20=0,
IF(D20=0,0,IF(D20&gt;0,1,-1)),
(D20-C20)/ABS(C20)
)</f>
        <v>1.219512195122142E-3</v>
      </c>
      <c r="D21" s="250"/>
      <c r="F21" s="249">
        <f>IF(F20=0,
IF(G20=0,0,IF(G20&gt;0,1,-1)),
(G20-F20)/ABS(F20)
)</f>
        <v>11.253731343283583</v>
      </c>
      <c r="G21" s="250"/>
    </row>
    <row r="23" spans="2:7" x14ac:dyDescent="0.2">
      <c r="B23" s="8" t="s">
        <v>322</v>
      </c>
      <c r="C23" s="10" t="str">
        <f>C5</f>
        <v>Q3 2026</v>
      </c>
      <c r="D23" s="203" t="str">
        <f>D5</f>
        <v>Q4 2026</v>
      </c>
      <c r="F23" s="204" t="str">
        <f>F5</f>
        <v>Q4 2025</v>
      </c>
      <c r="G23" s="203" t="str">
        <f>G5</f>
        <v>Q4 2026</v>
      </c>
    </row>
    <row r="24" spans="2:7" x14ac:dyDescent="0.2">
      <c r="B24" s="20" t="str">
        <f>Statement!B185</f>
        <v>Cloud</v>
      </c>
      <c r="C24" s="200">
        <f>Statement!Z185</f>
        <v>2972</v>
      </c>
      <c r="D24" s="198">
        <f>Statement!AA185</f>
        <v>3335</v>
      </c>
      <c r="F24" s="200">
        <f>Statement!W185</f>
        <v>2329</v>
      </c>
      <c r="G24" s="198">
        <f>Statement!AA185</f>
        <v>3335</v>
      </c>
    </row>
    <row r="25" spans="2:7" x14ac:dyDescent="0.2">
      <c r="B25" s="206" t="s">
        <v>319</v>
      </c>
      <c r="C25" s="249">
        <f>IF(C24=0,
IF(D24=0,0,IF(D24&gt;0,1,-1)),
(D24-C24)/ABS(C24)
)</f>
        <v>0.12213997308209959</v>
      </c>
      <c r="D25" s="250"/>
      <c r="F25" s="249">
        <f>IF(F24=0,
IF(G24=0,0,IF(G24&gt;0,1,-1)),
(G24-F24)/ABS(F24)
)</f>
        <v>0.43194504079003865</v>
      </c>
      <c r="G25" s="250"/>
    </row>
    <row r="26" spans="2:7" x14ac:dyDescent="0.2">
      <c r="B26" s="20" t="str">
        <f>Statement!B186</f>
        <v>Client</v>
      </c>
      <c r="C26" s="200">
        <f>Statement!Z186</f>
        <v>179</v>
      </c>
      <c r="D26" s="198">
        <f>Statement!AA186</f>
        <v>225</v>
      </c>
      <c r="F26" s="200">
        <f>Statement!W186</f>
        <v>140</v>
      </c>
      <c r="G26" s="198">
        <f>Statement!AA186</f>
        <v>225</v>
      </c>
    </row>
    <row r="27" spans="2:7" x14ac:dyDescent="0.2">
      <c r="B27" s="206" t="s">
        <v>319</v>
      </c>
      <c r="C27" s="249">
        <f>IF(C26=0,
IF(D26=0,0,IF(D26&gt;0,1,-1)),
(D26-C26)/ABS(C26)
)</f>
        <v>0.25698324022346369</v>
      </c>
      <c r="D27" s="250"/>
      <c r="F27" s="249">
        <f>IF(F26=0,
IF(G26=0,0,IF(G26&gt;0,1,-1)),
(G26-F26)/ABS(F26)
)</f>
        <v>0.6071428571428571</v>
      </c>
      <c r="G27" s="250"/>
    </row>
    <row r="28" spans="2:7" x14ac:dyDescent="0.2">
      <c r="B28" s="20" t="str">
        <f>Statement!B187</f>
        <v>Consumer</v>
      </c>
      <c r="C28" s="200">
        <f>Statement!Z187</f>
        <v>186</v>
      </c>
      <c r="D28" s="198">
        <f>Statement!AA187</f>
        <v>187</v>
      </c>
      <c r="F28" s="200">
        <f>Statement!W187</f>
        <v>136</v>
      </c>
      <c r="G28" s="198">
        <f>Statement!AA187</f>
        <v>187</v>
      </c>
    </row>
    <row r="29" spans="2:7" x14ac:dyDescent="0.2">
      <c r="B29" s="206" t="s">
        <v>319</v>
      </c>
      <c r="C29" s="249">
        <f>IF(C28=0,
IF(D28=0,0,IF(D28&gt;0,1,-1)),
(D28-C28)/ABS(C28)
)</f>
        <v>5.3763440860215058E-3</v>
      </c>
      <c r="D29" s="250"/>
      <c r="F29" s="249">
        <f>IF(F28=0,
IF(G28=0,0,IF(G28&gt;0,1,-1)),
(G28-F28)/ABS(F28)
)</f>
        <v>0.375</v>
      </c>
      <c r="G29" s="250"/>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9424</v>
      </c>
    </row>
    <row r="60" spans="2:12" x14ac:dyDescent="0.2">
      <c r="B60" s="20" t="s">
        <v>265</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266</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3535.7563856638062</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0.72946822509482157</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8">
        <f>Statement!H121</f>
        <v>0</v>
      </c>
      <c r="D68" s="218">
        <f>Statement!I121</f>
        <v>0</v>
      </c>
      <c r="E68" s="218">
        <f>Statement!J121</f>
        <v>0</v>
      </c>
      <c r="F68" s="218">
        <f>Statement!K121</f>
        <v>0</v>
      </c>
      <c r="G68" s="218">
        <f>Statement!L121</f>
        <v>3.1417419256084496E-2</v>
      </c>
      <c r="H68" s="218">
        <f>Statement!M121</f>
        <v>5.7123272021021368E-2</v>
      </c>
      <c r="I68" s="218">
        <f>Statement!N121</f>
        <v>-3.7660158008923819E-2</v>
      </c>
      <c r="J68" s="218">
        <f>Statement!O121</f>
        <v>-3.1627253183396729E-2</v>
      </c>
      <c r="K68" s="218">
        <f>Statement!P121</f>
        <v>0.11734037994572204</v>
      </c>
      <c r="L68" s="218">
        <f>Statement!Q121</f>
        <v>0.67989322559699872</v>
      </c>
    </row>
    <row r="69" spans="2:12" x14ac:dyDescent="0.2">
      <c r="B69" s="20" t="s">
        <v>103</v>
      </c>
      <c r="C69" s="218">
        <f>Statement!H123</f>
        <v>0</v>
      </c>
      <c r="D69" s="218">
        <f>Statement!I123</f>
        <v>0</v>
      </c>
      <c r="E69" s="218">
        <f>Statement!J123</f>
        <v>0</v>
      </c>
      <c r="F69" s="218">
        <f>Statement!K123</f>
        <v>0</v>
      </c>
      <c r="G69" s="218">
        <f>Statement!L123</f>
        <v>7.6578677362186376E-2</v>
      </c>
      <c r="H69" s="218">
        <f>Statement!M123</f>
        <v>0.12273954668194094</v>
      </c>
      <c r="I69" s="218">
        <f>Statement!N123</f>
        <v>-8.4816078178298143E-2</v>
      </c>
      <c r="J69" s="218">
        <f>Statement!O123</f>
        <v>-7.0715474209650589E-2</v>
      </c>
      <c r="K69" s="218">
        <f>Statement!P123</f>
        <v>0.30935793635850123</v>
      </c>
      <c r="L69" s="218">
        <f>Statement!Q123</f>
        <v>1.0631768953068592</v>
      </c>
    </row>
    <row r="70" spans="2:12" x14ac:dyDescent="0.2">
      <c r="B70" s="20" t="s">
        <v>104</v>
      </c>
      <c r="C70" s="218">
        <f>Statement!H138</f>
        <v>0</v>
      </c>
      <c r="D70" s="218">
        <f>Statement!I138</f>
        <v>0</v>
      </c>
      <c r="E70" s="218">
        <f>Statement!J138</f>
        <v>0</v>
      </c>
      <c r="F70" s="218">
        <f>Statement!K138</f>
        <v>0</v>
      </c>
      <c r="G70" s="218">
        <f>Statement!L138</f>
        <v>6.7211758172413497E-2</v>
      </c>
      <c r="H70" s="218">
        <f>Statement!M138</f>
        <v>9.9985480987453412E-2</v>
      </c>
      <c r="I70" s="218">
        <f>Statement!N138</f>
        <v>-3.4478419529382159E-2</v>
      </c>
      <c r="J70" s="218">
        <f>Statement!O138</f>
        <v>-2.4613693275514565E-2</v>
      </c>
      <c r="K70" s="218">
        <f>Statement!P138</f>
        <v>0.29514415781487102</v>
      </c>
      <c r="L70" s="218">
        <f>Statement!Q138</f>
        <v>0.50818716392752861</v>
      </c>
    </row>
    <row r="71" spans="2:12" x14ac:dyDescent="0.2">
      <c r="B71" s="20" t="s">
        <v>355</v>
      </c>
      <c r="C71" s="227">
        <f>Statement!H201</f>
        <v>0</v>
      </c>
      <c r="D71" s="227">
        <f>Statement!I201</f>
        <v>0</v>
      </c>
      <c r="E71" s="227">
        <f>Statement!J201</f>
        <v>0</v>
      </c>
      <c r="F71" s="227">
        <f>Statement!K201</f>
        <v>0</v>
      </c>
      <c r="G71" s="227">
        <f>Statement!L201</f>
        <v>100</v>
      </c>
      <c r="H71" s="227">
        <f>Statement!M201</f>
        <v>100</v>
      </c>
      <c r="I71" s="227">
        <f>Statement!N201</f>
        <v>105.7104194857916</v>
      </c>
      <c r="J71" s="227">
        <f>Statement!O201</f>
        <v>205.06089309878212</v>
      </c>
      <c r="K71" s="227">
        <f>Statement!P201</f>
        <v>218.17940460081186</v>
      </c>
      <c r="L71" s="227">
        <f>Statement!Q201</f>
        <v>1842.37347767253</v>
      </c>
    </row>
    <row r="72" spans="2:12" x14ac:dyDescent="0.2">
      <c r="B72" s="20" t="s">
        <v>356</v>
      </c>
      <c r="C72" s="227">
        <f>Statement!H202</f>
        <v>0</v>
      </c>
      <c r="D72" s="227">
        <f>Statement!I202</f>
        <v>0</v>
      </c>
      <c r="E72" s="227">
        <f>Statement!J202</f>
        <v>0</v>
      </c>
      <c r="F72" s="227">
        <f>Statement!K202</f>
        <v>0</v>
      </c>
      <c r="G72" s="227">
        <f>Statement!L202</f>
        <v>100</v>
      </c>
      <c r="H72" s="227">
        <f>Statement!M202</f>
        <v>100</v>
      </c>
      <c r="I72" s="227">
        <f>Statement!N202</f>
        <v>33.283669451391475</v>
      </c>
      <c r="J72" s="227">
        <f>Statement!O202</f>
        <v>33.613579524290962</v>
      </c>
      <c r="K72" s="227">
        <f>Statement!P202</f>
        <v>50.657159580694945</v>
      </c>
      <c r="L72" s="227">
        <f>Statement!Q202</f>
        <v>68.74368115787793</v>
      </c>
    </row>
    <row r="73" spans="2:12" x14ac:dyDescent="0.2">
      <c r="B73" s="20" t="s">
        <v>357</v>
      </c>
      <c r="C73" s="227">
        <f>Statement!H203</f>
        <v>0</v>
      </c>
      <c r="D73" s="227">
        <f>Statement!I203</f>
        <v>0</v>
      </c>
      <c r="E73" s="227">
        <f>Statement!J203</f>
        <v>0</v>
      </c>
      <c r="F73" s="227">
        <f>Statement!K203</f>
        <v>0</v>
      </c>
      <c r="G73" s="227">
        <f>Statement!L203</f>
        <v>100</v>
      </c>
      <c r="H73" s="227">
        <f>Statement!M203</f>
        <v>100</v>
      </c>
      <c r="I73" s="227">
        <f>Statement!N203</f>
        <v>-61.263157894736842</v>
      </c>
      <c r="J73" s="227">
        <f>Statement!O203</f>
        <v>-52.84210526315789</v>
      </c>
      <c r="K73" s="227">
        <f>Statement!P203</f>
        <v>118.32315789473684</v>
      </c>
      <c r="L73" s="227">
        <f>Statement!Q203</f>
        <v>645.59242105263149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2212</v>
      </c>
      <c r="D57" s="64">
        <f>Statement!U5</f>
        <v>2409</v>
      </c>
      <c r="E57" s="64">
        <f>Statement!V5</f>
        <v>2294</v>
      </c>
      <c r="F57" s="64">
        <f>Statement!W5</f>
        <v>2605</v>
      </c>
      <c r="G57" s="64">
        <f>Statement!X5</f>
        <v>2818</v>
      </c>
      <c r="H57" s="64">
        <f>Statement!Y5</f>
        <v>3017</v>
      </c>
      <c r="I57" s="64">
        <f>Statement!Z5</f>
        <v>3337</v>
      </c>
      <c r="J57" s="64">
        <f>Statement!AA5</f>
        <v>3747</v>
      </c>
    </row>
    <row r="58" spans="2:10" x14ac:dyDescent="0.2">
      <c r="B58" s="20" t="s">
        <v>25</v>
      </c>
      <c r="C58" s="64">
        <f>Statement!T11</f>
        <v>334</v>
      </c>
      <c r="D58" s="64">
        <f>Statement!U11</f>
        <v>560</v>
      </c>
      <c r="E58" s="64">
        <f>Statement!V11</f>
        <v>760</v>
      </c>
      <c r="F58" s="64">
        <f>Statement!W11</f>
        <v>680</v>
      </c>
      <c r="G58" s="64">
        <f>Statement!X11</f>
        <v>792</v>
      </c>
      <c r="H58" s="64">
        <f>Statement!Y11</f>
        <v>908</v>
      </c>
      <c r="I58" s="64">
        <f>Statement!Z11</f>
        <v>1190</v>
      </c>
      <c r="J58" s="64">
        <f>Statement!AA11</f>
        <v>1563</v>
      </c>
    </row>
    <row r="59" spans="2:10" x14ac:dyDescent="0.2">
      <c r="B59" s="20" t="s">
        <v>30</v>
      </c>
      <c r="C59" s="64">
        <f>Statement!T17</f>
        <v>153</v>
      </c>
      <c r="D59" s="64">
        <f>Statement!U17</f>
        <v>466</v>
      </c>
      <c r="E59" s="64">
        <f>Statement!V17</f>
        <v>772</v>
      </c>
      <c r="F59" s="64">
        <f>Statement!W17</f>
        <v>252</v>
      </c>
      <c r="G59" s="64">
        <f>Statement!X17</f>
        <v>1182</v>
      </c>
      <c r="H59" s="64">
        <f>Statement!Y17</f>
        <v>1842</v>
      </c>
      <c r="I59" s="64">
        <f>Statement!Z17</f>
        <v>3205</v>
      </c>
      <c r="J59" s="64">
        <f>Statement!AA17</f>
        <v>3195</v>
      </c>
    </row>
    <row r="60" spans="2:10" x14ac:dyDescent="0.2">
      <c r="B60" s="20" t="s">
        <v>77</v>
      </c>
      <c r="C60" s="58">
        <f>Statement!T99</f>
        <v>0.36437613019891502</v>
      </c>
      <c r="D60" s="58">
        <f>Statement!U99</f>
        <v>0.37650477376504776</v>
      </c>
      <c r="E60" s="58">
        <f>Statement!V99</f>
        <v>0.39755884917175238</v>
      </c>
      <c r="F60" s="58">
        <f>Statement!W99</f>
        <v>0.40959692898272554</v>
      </c>
      <c r="G60" s="58">
        <f>Statement!X99</f>
        <v>0.43541518807665008</v>
      </c>
      <c r="H60" s="58">
        <f>Statement!Y99</f>
        <v>0.45740802121312563</v>
      </c>
      <c r="I60" s="58">
        <f>Statement!Z99</f>
        <v>0.50224752771950854</v>
      </c>
      <c r="J60" s="58">
        <f>Statement!AA99</f>
        <v>0.54123298638911133</v>
      </c>
    </row>
    <row r="61" spans="2:10" x14ac:dyDescent="0.2">
      <c r="B61" s="20" t="s">
        <v>78</v>
      </c>
      <c r="C61" s="58">
        <f>Statement!T100</f>
        <v>0.15099457504520797</v>
      </c>
      <c r="D61" s="58">
        <f>Statement!U100</f>
        <v>0.23246160232461602</v>
      </c>
      <c r="E61" s="58">
        <f>Statement!V100</f>
        <v>0.33129904097646035</v>
      </c>
      <c r="F61" s="58">
        <f>Statement!W100</f>
        <v>0.26103646833013433</v>
      </c>
      <c r="G61" s="58">
        <f>Statement!X100</f>
        <v>0.28105039034776436</v>
      </c>
      <c r="H61" s="58">
        <f>Statement!Y100</f>
        <v>0.30096121975472323</v>
      </c>
      <c r="I61" s="58">
        <f>Statement!Z100</f>
        <v>0.35660773149535513</v>
      </c>
      <c r="J61" s="58">
        <f>Statement!AA100</f>
        <v>0.41713370696557245</v>
      </c>
    </row>
    <row r="62" spans="2:10" x14ac:dyDescent="0.2">
      <c r="B62" s="20" t="s">
        <v>79</v>
      </c>
      <c r="C62" s="58">
        <f>Statement!T101</f>
        <v>6.9168173598553345E-2</v>
      </c>
      <c r="D62" s="58">
        <f>Statement!U101</f>
        <v>0.19344126193441261</v>
      </c>
      <c r="E62" s="58">
        <f>Statement!V101</f>
        <v>0.33653007846556232</v>
      </c>
      <c r="F62" s="58">
        <f>Statement!W101</f>
        <v>9.6737044145873322E-2</v>
      </c>
      <c r="G62" s="58">
        <f>Statement!X101</f>
        <v>0.41944641589779985</v>
      </c>
      <c r="H62" s="58">
        <f>Statement!Y101</f>
        <v>0.61054027179317205</v>
      </c>
      <c r="I62" s="58">
        <f>Statement!Z101</f>
        <v>0.96044351213664969</v>
      </c>
      <c r="J62" s="58">
        <f>Statement!AA101</f>
        <v>0.8526821457165733</v>
      </c>
    </row>
    <row r="63" spans="2:10" x14ac:dyDescent="0.2">
      <c r="B63" s="20" t="str">
        <f>"Revenue "&amp;Statement!B185</f>
        <v>Revenue Cloud</v>
      </c>
      <c r="C63" s="64">
        <f>Statement!T185</f>
        <v>1909</v>
      </c>
      <c r="D63" s="64">
        <f>Statement!U185</f>
        <v>2096</v>
      </c>
      <c r="E63" s="64">
        <f>Statement!V185</f>
        <v>2007</v>
      </c>
      <c r="F63" s="64">
        <f>Statement!W185</f>
        <v>2329</v>
      </c>
      <c r="G63" s="64">
        <f>Statement!X185</f>
        <v>2510</v>
      </c>
      <c r="H63" s="64">
        <f>Statement!Y185</f>
        <v>2673</v>
      </c>
      <c r="I63" s="64">
        <f>Statement!Z185</f>
        <v>2972</v>
      </c>
      <c r="J63" s="64">
        <f>Statement!AA185</f>
        <v>3335</v>
      </c>
    </row>
    <row r="64" spans="2:10" x14ac:dyDescent="0.2">
      <c r="B64" s="20" t="str">
        <f>"Revenue "&amp;Statement!B186</f>
        <v>Revenue Client</v>
      </c>
      <c r="C64" s="64">
        <f>Statement!T186</f>
        <v>139</v>
      </c>
      <c r="D64" s="64">
        <f>Statement!U186</f>
        <v>140</v>
      </c>
      <c r="E64" s="64">
        <f>Statement!V186</f>
        <v>137</v>
      </c>
      <c r="F64" s="64">
        <f>Statement!W186</f>
        <v>140</v>
      </c>
      <c r="G64" s="64">
        <f>Statement!X186</f>
        <v>146</v>
      </c>
      <c r="H64" s="64">
        <f>Statement!Y186</f>
        <v>176</v>
      </c>
      <c r="I64" s="64">
        <f>Statement!Z186</f>
        <v>179</v>
      </c>
      <c r="J64" s="64">
        <f>Statement!AA186</f>
        <v>225</v>
      </c>
    </row>
    <row r="65" spans="2:10" x14ac:dyDescent="0.2">
      <c r="B65" s="20" t="str">
        <f>"Revenue "&amp;Statement!B187</f>
        <v>Revenue Consumer</v>
      </c>
      <c r="C65" s="64">
        <f>Statement!T187</f>
        <v>164</v>
      </c>
      <c r="D65" s="64">
        <f>Statement!U187</f>
        <v>173</v>
      </c>
      <c r="E65" s="64">
        <f>Statement!V187</f>
        <v>150</v>
      </c>
      <c r="F65" s="64">
        <f>Statement!W187</f>
        <v>136</v>
      </c>
      <c r="G65" s="64">
        <f>Statement!X187</f>
        <v>162</v>
      </c>
      <c r="H65" s="64">
        <f>Statement!Y187</f>
        <v>168</v>
      </c>
      <c r="I65" s="64">
        <f>Statement!Z187</f>
        <v>186</v>
      </c>
      <c r="J65" s="64">
        <f>Statement!AA187</f>
        <v>187</v>
      </c>
    </row>
    <row r="66" spans="2:10" x14ac:dyDescent="0.2">
      <c r="B66" s="20" t="s">
        <v>265</v>
      </c>
      <c r="C66" s="64">
        <f>Statement!T155</f>
        <v>-146</v>
      </c>
      <c r="D66" s="64">
        <f>Statement!U155</f>
        <v>64</v>
      </c>
      <c r="E66" s="64">
        <f>Statement!V155</f>
        <v>384</v>
      </c>
      <c r="F66" s="64">
        <f>Statement!W155</f>
        <v>630</v>
      </c>
      <c r="G66" s="64">
        <f>Statement!X155</f>
        <v>546</v>
      </c>
      <c r="H66" s="64">
        <f>Statement!Y155</f>
        <v>1146</v>
      </c>
      <c r="I66" s="64">
        <f>Statement!Z155</f>
        <v>2071</v>
      </c>
      <c r="J66" s="64">
        <f>Statement!AA155</f>
        <v>1236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5"/>
  <sheetViews>
    <sheetView topLeftCell="A12" zoomScale="184" zoomScaleNormal="75" workbookViewId="0">
      <selection activeCell="I15" sqref="I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2" t="s">
        <v>112</v>
      </c>
      <c r="D2" s="242"/>
      <c r="E2" s="242"/>
      <c r="F2" s="242"/>
      <c r="G2" s="254"/>
      <c r="H2" s="255" t="s">
        <v>113</v>
      </c>
      <c r="I2" s="242"/>
      <c r="J2" s="242"/>
      <c r="K2" s="242"/>
      <c r="L2" s="242"/>
      <c r="O2" s="5"/>
      <c r="S2" s="242" t="s">
        <v>112</v>
      </c>
      <c r="T2" s="242"/>
      <c r="U2" s="242"/>
      <c r="V2" s="242"/>
      <c r="W2" s="242"/>
      <c r="X2" s="242"/>
      <c r="Y2" s="242"/>
      <c r="Z2" s="242"/>
      <c r="AA2" s="242" t="s">
        <v>113</v>
      </c>
      <c r="AB2" s="242"/>
      <c r="AC2" s="242"/>
      <c r="AE2" s="85" t="s">
        <v>114</v>
      </c>
    </row>
    <row r="3" spans="1:31" ht="10" customHeight="1" x14ac:dyDescent="0.2">
      <c r="O3" s="5"/>
    </row>
    <row r="4" spans="1:31" ht="16" customHeight="1" x14ac:dyDescent="0.2">
      <c r="A4" s="86"/>
      <c r="B4" s="60"/>
      <c r="C4" s="251" t="s">
        <v>115</v>
      </c>
      <c r="D4" s="251"/>
      <c r="E4" s="251"/>
      <c r="F4" s="251"/>
      <c r="G4" s="251"/>
      <c r="H4" s="251"/>
      <c r="I4" s="251"/>
      <c r="J4" s="251"/>
      <c r="K4" s="251"/>
      <c r="L4" s="251"/>
      <c r="O4" s="5"/>
      <c r="S4" s="252" t="s">
        <v>115</v>
      </c>
      <c r="T4" s="253"/>
      <c r="U4" s="253"/>
      <c r="V4" s="253"/>
      <c r="W4" s="253"/>
      <c r="X4" s="253"/>
      <c r="Y4" s="253"/>
      <c r="Z4" s="253"/>
      <c r="AA4" s="253"/>
      <c r="AB4" s="253"/>
      <c r="AC4" s="253"/>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14541.744000000001</v>
      </c>
      <c r="I6" s="64">
        <f t="shared" ref="I6:L6" si="1">I21*I22</f>
        <v>16948.402632000005</v>
      </c>
      <c r="J6" s="64">
        <f t="shared" si="1"/>
        <v>17711.080750440004</v>
      </c>
      <c r="K6" s="64">
        <f t="shared" si="1"/>
        <v>16825.526712918003</v>
      </c>
      <c r="L6" s="64">
        <f t="shared" si="1"/>
        <v>14385.825339544892</v>
      </c>
      <c r="N6" s="90" t="s">
        <v>422</v>
      </c>
      <c r="O6" s="5"/>
      <c r="Q6" s="90" t="s">
        <v>422</v>
      </c>
      <c r="R6" s="1" t="str">
        <f>B6</f>
        <v>Cloud</v>
      </c>
      <c r="S6" s="88">
        <f>Statement!T185</f>
        <v>1909</v>
      </c>
      <c r="T6" s="88">
        <f>Statement!U185</f>
        <v>2096</v>
      </c>
      <c r="U6" s="88">
        <f>Statement!V185</f>
        <v>2007</v>
      </c>
      <c r="V6" s="88">
        <f>Statement!W185</f>
        <v>2329</v>
      </c>
      <c r="W6" s="88">
        <f>Statement!X185</f>
        <v>2510</v>
      </c>
      <c r="X6" s="88">
        <f>Statement!Y185</f>
        <v>2673</v>
      </c>
      <c r="Y6" s="88">
        <f>Statement!Z185</f>
        <v>2972</v>
      </c>
      <c r="Z6" s="89">
        <f>Statement!AA185</f>
        <v>3335</v>
      </c>
      <c r="AA6" s="64">
        <f>AA21*AA22</f>
        <v>3606.8025000000007</v>
      </c>
      <c r="AB6" s="64"/>
      <c r="AC6" s="64"/>
      <c r="AE6" s="64">
        <f>SUM(X6:AA6)</f>
        <v>12586.802500000002</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420</v>
      </c>
      <c r="O7" s="5"/>
      <c r="Q7" s="90" t="s">
        <v>420</v>
      </c>
      <c r="R7" s="1" t="str">
        <f t="shared" ref="R7:R8" si="3">B7</f>
        <v>Client</v>
      </c>
      <c r="S7" s="88">
        <f>Statement!T186</f>
        <v>139</v>
      </c>
      <c r="T7" s="88">
        <f>Statement!U186</f>
        <v>140</v>
      </c>
      <c r="U7" s="88">
        <f>Statement!V186</f>
        <v>137</v>
      </c>
      <c r="V7" s="88">
        <f>Statement!W186</f>
        <v>140</v>
      </c>
      <c r="W7" s="88">
        <f>Statement!X186</f>
        <v>146</v>
      </c>
      <c r="X7" s="88">
        <f>Statement!Y186</f>
        <v>176</v>
      </c>
      <c r="Y7" s="88">
        <f>Statement!Z186</f>
        <v>179</v>
      </c>
      <c r="Z7" s="89">
        <f>Statement!AA186</f>
        <v>225</v>
      </c>
      <c r="AA7" s="64">
        <f t="shared" ref="AA7:AA8" si="4">Z7*(1+AA14)</f>
        <v>236.25</v>
      </c>
      <c r="AB7" s="64"/>
      <c r="AC7" s="64"/>
      <c r="AE7" s="64">
        <f t="shared" ref="AE7:AE8" si="5">SUM(X7:AA7)</f>
        <v>816.25</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421</v>
      </c>
      <c r="O8" s="5"/>
      <c r="Q8" s="90" t="s">
        <v>421</v>
      </c>
      <c r="R8" s="1" t="str">
        <f t="shared" si="3"/>
        <v>Consumer</v>
      </c>
      <c r="S8" s="88">
        <f>Statement!T187</f>
        <v>164</v>
      </c>
      <c r="T8" s="88">
        <f>Statement!U187</f>
        <v>173</v>
      </c>
      <c r="U8" s="88">
        <f>Statement!V187</f>
        <v>150</v>
      </c>
      <c r="V8" s="88">
        <f>Statement!W187</f>
        <v>136</v>
      </c>
      <c r="W8" s="88">
        <f>Statement!X187</f>
        <v>162</v>
      </c>
      <c r="X8" s="88">
        <f>Statement!Y187</f>
        <v>168</v>
      </c>
      <c r="Y8" s="88">
        <f>Statement!Z187</f>
        <v>186</v>
      </c>
      <c r="Z8" s="89">
        <f>Statement!AA187</f>
        <v>187</v>
      </c>
      <c r="AA8" s="64">
        <f t="shared" si="4"/>
        <v>192.61</v>
      </c>
      <c r="AB8" s="64"/>
      <c r="AC8" s="64"/>
      <c r="AE8" s="64">
        <f t="shared" si="5"/>
        <v>733.61</v>
      </c>
    </row>
    <row r="9" spans="1:31" x14ac:dyDescent="0.2">
      <c r="B9" s="16" t="s">
        <v>120</v>
      </c>
      <c r="C9" s="92">
        <f>Statement!M5</f>
        <v>18793</v>
      </c>
      <c r="D9" s="92">
        <f>Statement!N5</f>
        <v>6255</v>
      </c>
      <c r="E9" s="92">
        <f>Statement!O5</f>
        <v>6317</v>
      </c>
      <c r="F9" s="92">
        <f>Statement!P5</f>
        <v>9520</v>
      </c>
      <c r="G9" s="93">
        <f>Statement!Q5</f>
        <v>12919</v>
      </c>
      <c r="H9" s="94">
        <f>SUM(H6:H8)</f>
        <v>16236.374</v>
      </c>
      <c r="I9" s="94">
        <f t="shared" ref="I9:L9" si="7">SUM(I6:I8)</f>
        <v>18918.407432000004</v>
      </c>
      <c r="J9" s="94">
        <f t="shared" si="7"/>
        <v>19922.571870440002</v>
      </c>
      <c r="K9" s="94">
        <f t="shared" si="7"/>
        <v>18994.116240918</v>
      </c>
      <c r="L9" s="94">
        <f t="shared" si="7"/>
        <v>16383.598759144892</v>
      </c>
      <c r="O9" s="5"/>
      <c r="R9" s="16" t="s">
        <v>120</v>
      </c>
      <c r="S9" s="92">
        <f>Statement!T5</f>
        <v>2212</v>
      </c>
      <c r="T9" s="92">
        <f>Statement!U5</f>
        <v>2409</v>
      </c>
      <c r="U9" s="92">
        <f>Statement!V5</f>
        <v>2294</v>
      </c>
      <c r="V9" s="92">
        <f>Statement!W5</f>
        <v>2605</v>
      </c>
      <c r="W9" s="92">
        <f>Statement!X5</f>
        <v>2818</v>
      </c>
      <c r="X9" s="92">
        <f>Statement!Y5</f>
        <v>3017</v>
      </c>
      <c r="Y9" s="92">
        <f>Statement!Z5</f>
        <v>3337</v>
      </c>
      <c r="Z9" s="93">
        <f>Statement!AA5</f>
        <v>3747</v>
      </c>
      <c r="AA9" s="94">
        <f>SUM(AA6:AA8)</f>
        <v>4035.6625000000008</v>
      </c>
      <c r="AB9" s="94"/>
      <c r="AC9" s="94"/>
      <c r="AE9" s="94">
        <f>SUM(X9:AA9)</f>
        <v>14136.6625</v>
      </c>
    </row>
    <row r="10" spans="1:31" x14ac:dyDescent="0.2">
      <c r="O10" s="5"/>
      <c r="Q10" s="91"/>
    </row>
    <row r="11" spans="1:31" x14ac:dyDescent="0.2">
      <c r="C11" s="251" t="s">
        <v>121</v>
      </c>
      <c r="D11" s="251"/>
      <c r="E11" s="251"/>
      <c r="F11" s="251"/>
      <c r="G11" s="251"/>
      <c r="H11" s="251"/>
      <c r="I11" s="251"/>
      <c r="J11" s="251"/>
      <c r="K11" s="251"/>
      <c r="L11" s="251"/>
      <c r="O11" s="5"/>
      <c r="Q11" s="91"/>
      <c r="S11" s="252" t="s">
        <v>121</v>
      </c>
      <c r="T11" s="253"/>
      <c r="U11" s="253"/>
      <c r="V11" s="253"/>
      <c r="W11" s="253"/>
      <c r="X11" s="253"/>
      <c r="Y11" s="253"/>
      <c r="Z11" s="253"/>
      <c r="AA11" s="253"/>
      <c r="AB11" s="253"/>
      <c r="AC11" s="253"/>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Q1 2025</v>
      </c>
      <c r="T12" s="12" t="str">
        <f t="shared" si="9"/>
        <v>Q2 2025</v>
      </c>
      <c r="U12" s="12" t="str">
        <f t="shared" si="9"/>
        <v>Q3 2025</v>
      </c>
      <c r="V12" s="12" t="str">
        <f t="shared" si="9"/>
        <v>Q4 2025</v>
      </c>
      <c r="W12" s="12" t="str">
        <f t="shared" si="9"/>
        <v>Q1 2026</v>
      </c>
      <c r="X12" s="12" t="str">
        <f t="shared" si="9"/>
        <v>Q2 2026</v>
      </c>
      <c r="Y12" s="12" t="str">
        <f t="shared" si="9"/>
        <v>Q3 2026</v>
      </c>
      <c r="Z12" s="12" t="str">
        <f t="shared" si="9"/>
        <v>Q4 2026</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0.26560000000000006</v>
      </c>
      <c r="I13" s="95">
        <f t="shared" ref="I13" si="12">I6/H6-1</f>
        <v>0.1655000000000002</v>
      </c>
      <c r="J13" s="95">
        <f t="shared" ref="J13" si="13">J6/I6-1</f>
        <v>4.4999999999999929E-2</v>
      </c>
      <c r="K13" s="95">
        <f t="shared" ref="K13" si="14">K6/J6-1</f>
        <v>-5.0000000000000044E-2</v>
      </c>
      <c r="L13" s="95">
        <f t="shared" ref="L13" si="15">L6/K6-1</f>
        <v>-0.14500000000000002</v>
      </c>
      <c r="O13" s="5"/>
      <c r="Q13" s="91"/>
      <c r="R13" s="1" t="str">
        <f>R6</f>
        <v>Cloud</v>
      </c>
      <c r="S13" s="47"/>
      <c r="T13" s="95">
        <f t="shared" ref="T13:AA16" si="16">T6/S6-1</f>
        <v>9.7957045573598744E-2</v>
      </c>
      <c r="U13" s="95">
        <f t="shared" si="16"/>
        <v>-4.2461832061068683E-2</v>
      </c>
      <c r="V13" s="95">
        <f t="shared" si="16"/>
        <v>0.16043846537120077</v>
      </c>
      <c r="W13" s="95">
        <f t="shared" si="16"/>
        <v>7.7715757835981059E-2</v>
      </c>
      <c r="X13" s="95">
        <f t="shared" si="16"/>
        <v>6.4940239043824732E-2</v>
      </c>
      <c r="Y13" s="95">
        <f t="shared" si="16"/>
        <v>0.11185933408155635</v>
      </c>
      <c r="Z13" s="96">
        <f t="shared" si="16"/>
        <v>0.12213997308209956</v>
      </c>
      <c r="AA13" s="95">
        <f t="shared" si="16"/>
        <v>8.1500000000000128E-2</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7.194244604316502E-3</v>
      </c>
      <c r="U14" s="95">
        <f t="shared" si="16"/>
        <v>-2.1428571428571463E-2</v>
      </c>
      <c r="V14" s="95">
        <f t="shared" si="16"/>
        <v>2.1897810218978186E-2</v>
      </c>
      <c r="W14" s="95">
        <f t="shared" si="16"/>
        <v>4.2857142857142927E-2</v>
      </c>
      <c r="X14" s="95">
        <f t="shared" si="16"/>
        <v>0.20547945205479445</v>
      </c>
      <c r="Y14" s="95">
        <f t="shared" si="16"/>
        <v>1.7045454545454586E-2</v>
      </c>
      <c r="Z14" s="96">
        <f t="shared" si="16"/>
        <v>0.25698324022346375</v>
      </c>
      <c r="AA14" s="97">
        <v>0.05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5.4878048780487854E-2</v>
      </c>
      <c r="U15" s="95">
        <f t="shared" si="16"/>
        <v>-0.13294797687861271</v>
      </c>
      <c r="V15" s="95">
        <f t="shared" si="16"/>
        <v>-9.3333333333333379E-2</v>
      </c>
      <c r="W15" s="95">
        <f t="shared" si="16"/>
        <v>0.19117647058823528</v>
      </c>
      <c r="X15" s="95">
        <f t="shared" si="16"/>
        <v>3.7037037037036979E-2</v>
      </c>
      <c r="Y15" s="95">
        <f t="shared" si="16"/>
        <v>0.10714285714285721</v>
      </c>
      <c r="Z15" s="96">
        <f t="shared" si="16"/>
        <v>5.3763440860215006E-3</v>
      </c>
      <c r="AA15" s="97">
        <v>0.03</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0.25678256831024071</v>
      </c>
      <c r="I16" s="103">
        <f t="shared" si="19"/>
        <v>0.16518672408014279</v>
      </c>
      <c r="J16" s="103">
        <f t="shared" si="19"/>
        <v>5.3078698196417973E-2</v>
      </c>
      <c r="K16" s="103">
        <f t="shared" si="19"/>
        <v>-4.6603201411941853E-2</v>
      </c>
      <c r="L16" s="103">
        <f t="shared" si="19"/>
        <v>-0.13743821763865016</v>
      </c>
      <c r="O16" s="5"/>
      <c r="Q16" s="91"/>
      <c r="R16" s="16" t="str">
        <f>R9</f>
        <v>Total</v>
      </c>
      <c r="S16" s="47"/>
      <c r="T16" s="103">
        <f t="shared" si="16"/>
        <v>8.9059674502712571E-2</v>
      </c>
      <c r="U16" s="103">
        <f t="shared" si="16"/>
        <v>-4.7737650477376548E-2</v>
      </c>
      <c r="V16" s="103">
        <f t="shared" si="16"/>
        <v>0.13557105492589372</v>
      </c>
      <c r="W16" s="103">
        <f t="shared" si="16"/>
        <v>8.1765834932821413E-2</v>
      </c>
      <c r="X16" s="103">
        <f t="shared" si="16"/>
        <v>7.0617459190915444E-2</v>
      </c>
      <c r="Y16" s="103">
        <f t="shared" si="16"/>
        <v>0.10606562810739151</v>
      </c>
      <c r="Z16" s="104">
        <f t="shared" si="16"/>
        <v>0.12286484866646696</v>
      </c>
      <c r="AA16" s="103">
        <f t="shared" si="16"/>
        <v>7.7038297304510506E-2</v>
      </c>
      <c r="AB16" s="103"/>
      <c r="AC16" s="103"/>
    </row>
    <row r="17" spans="1:31" x14ac:dyDescent="0.2">
      <c r="O17" s="5"/>
      <c r="Q17" s="91"/>
    </row>
    <row r="18" spans="1:31" x14ac:dyDescent="0.2">
      <c r="O18" s="5"/>
      <c r="Q18" s="91"/>
    </row>
    <row r="19" spans="1:31" ht="16" customHeight="1" x14ac:dyDescent="0.2">
      <c r="A19" s="86"/>
      <c r="B19" s="60"/>
      <c r="C19" s="251" t="s">
        <v>423</v>
      </c>
      <c r="D19" s="251"/>
      <c r="E19" s="251"/>
      <c r="F19" s="251"/>
      <c r="G19" s="251"/>
      <c r="H19" s="251"/>
      <c r="I19" s="251"/>
      <c r="J19" s="251"/>
      <c r="K19" s="251"/>
      <c r="L19" s="251"/>
      <c r="O19" s="5"/>
      <c r="S19" s="252" t="s">
        <v>115</v>
      </c>
      <c r="T19" s="253"/>
      <c r="U19" s="253"/>
      <c r="V19" s="253"/>
      <c r="W19" s="253"/>
      <c r="X19" s="253"/>
      <c r="Y19" s="253"/>
      <c r="Z19" s="253"/>
      <c r="AA19" s="253"/>
      <c r="AB19" s="253"/>
      <c r="AC19" s="253"/>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Q1 2025</v>
      </c>
      <c r="T20" s="12" t="str">
        <f t="shared" ref="T20:AC20" si="21">T5</f>
        <v>Q2 2025</v>
      </c>
      <c r="U20" s="12" t="str">
        <f t="shared" si="21"/>
        <v>Q3 2025</v>
      </c>
      <c r="V20" s="12" t="str">
        <f t="shared" si="21"/>
        <v>Q4 2025</v>
      </c>
      <c r="W20" s="12" t="str">
        <f t="shared" si="21"/>
        <v>Q1 2026</v>
      </c>
      <c r="X20" s="12" t="str">
        <f t="shared" si="21"/>
        <v>Q2 2026</v>
      </c>
      <c r="Y20" s="12" t="str">
        <f t="shared" si="21"/>
        <v>Q3 2026</v>
      </c>
      <c r="Z20" s="12" t="str">
        <f t="shared" si="21"/>
        <v>Q4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40">
        <f>G21*(1+H23)</f>
        <v>884.79</v>
      </c>
      <c r="I21" s="240">
        <f t="shared" ref="I21:L21" si="22">H21*(1+I23)</f>
        <v>982.1169000000001</v>
      </c>
      <c r="J21" s="240">
        <f t="shared" si="22"/>
        <v>1080.3285900000003</v>
      </c>
      <c r="K21" s="240">
        <f t="shared" si="22"/>
        <v>1080.3285900000003</v>
      </c>
      <c r="L21" s="240">
        <f t="shared" si="22"/>
        <v>972.29573100000027</v>
      </c>
      <c r="N21" s="90" t="s">
        <v>424</v>
      </c>
      <c r="O21" s="5"/>
      <c r="Q21" s="90" t="s">
        <v>424</v>
      </c>
      <c r="R21" s="1" t="str">
        <f>B21</f>
        <v>Nearline exabytes</v>
      </c>
      <c r="S21" s="88">
        <f>Statement!T208</f>
        <v>141</v>
      </c>
      <c r="T21" s="88">
        <f>Statement!U208</f>
        <v>154</v>
      </c>
      <c r="U21" s="88">
        <f>Statement!V208</f>
        <v>145</v>
      </c>
      <c r="V21" s="88">
        <f>Statement!W208</f>
        <v>170</v>
      </c>
      <c r="W21" s="88">
        <f>Statement!X208</f>
        <v>183</v>
      </c>
      <c r="X21" s="88">
        <f>Statement!Y208</f>
        <v>192</v>
      </c>
      <c r="Y21" s="88">
        <f>Statement!Z208</f>
        <v>199</v>
      </c>
      <c r="Z21" s="89">
        <f>Statement!AA208</f>
        <v>209</v>
      </c>
      <c r="AA21" s="64">
        <f>Z21*(1+AA23)</f>
        <v>219.45000000000002</v>
      </c>
      <c r="AB21" s="64"/>
      <c r="AC21" s="64"/>
      <c r="AE21" s="64">
        <f>SUM(X21:AA21)</f>
        <v>819.45</v>
      </c>
    </row>
    <row r="22" spans="1:31" x14ac:dyDescent="0.2">
      <c r="B22" s="1" t="str">
        <f>Statement!B211</f>
        <v>Price per Exabyte</v>
      </c>
      <c r="C22" s="237">
        <f>Statement!M211</f>
        <v>0</v>
      </c>
      <c r="D22" s="237">
        <f>Statement!N211</f>
        <v>0</v>
      </c>
      <c r="E22" s="237">
        <f>Statement!O211</f>
        <v>0</v>
      </c>
      <c r="F22" s="237">
        <f>Statement!P211</f>
        <v>13.673770491803278</v>
      </c>
      <c r="G22" s="238">
        <f>Statement!Q211</f>
        <v>14.674329501915709</v>
      </c>
      <c r="H22" s="241">
        <f>G22*(1+H24)</f>
        <v>16.435249042145596</v>
      </c>
      <c r="I22" s="241">
        <f t="shared" ref="I22:L22" si="23">H22*(1+I24)</f>
        <v>17.257011494252875</v>
      </c>
      <c r="J22" s="241">
        <f t="shared" si="23"/>
        <v>16.39416091954023</v>
      </c>
      <c r="K22" s="241">
        <f t="shared" si="23"/>
        <v>15.574452873563217</v>
      </c>
      <c r="L22" s="241">
        <f t="shared" si="23"/>
        <v>14.795730229885056</v>
      </c>
      <c r="N22" s="90" t="s">
        <v>425</v>
      </c>
      <c r="O22" s="5"/>
      <c r="Q22" s="90" t="s">
        <v>425</v>
      </c>
      <c r="R22" s="1" t="str">
        <f t="shared" ref="R22" si="24">B22</f>
        <v>Price per Exabyte</v>
      </c>
      <c r="S22" s="237">
        <f>Statement!T211</f>
        <v>13.539007092198581</v>
      </c>
      <c r="T22" s="237">
        <f>Statement!U211</f>
        <v>13.61038961038961</v>
      </c>
      <c r="U22" s="237">
        <f>Statement!V211</f>
        <v>13.841379310344827</v>
      </c>
      <c r="V22" s="237">
        <f>Statement!W211</f>
        <v>13.7</v>
      </c>
      <c r="W22" s="237">
        <f>Statement!X211</f>
        <v>13.71584699453552</v>
      </c>
      <c r="X22" s="237">
        <f>Statement!Y211</f>
        <v>13.921875</v>
      </c>
      <c r="Y22" s="237">
        <f>Statement!Z211</f>
        <v>14.93467336683417</v>
      </c>
      <c r="Z22" s="238">
        <f>Statement!AA211</f>
        <v>15.956937799043063</v>
      </c>
      <c r="AA22" s="239">
        <f>Z22*(1+AA24)</f>
        <v>16.435645933014357</v>
      </c>
      <c r="AB22" s="64"/>
      <c r="AC22" s="64"/>
      <c r="AE22" s="239">
        <f>AE6/AE21</f>
        <v>15.360061626700837</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0.13</v>
      </c>
      <c r="I23" s="97">
        <v>0.11</v>
      </c>
      <c r="J23" s="97">
        <v>0.1</v>
      </c>
      <c r="K23" s="97">
        <v>0</v>
      </c>
      <c r="L23" s="97">
        <v>-0.1</v>
      </c>
      <c r="O23" s="5"/>
      <c r="R23" s="122" t="str">
        <f>R21&amp;" growth"</f>
        <v>Nearline exabytes growth</v>
      </c>
      <c r="S23" s="47"/>
      <c r="T23" s="95">
        <f>T21/S21-1</f>
        <v>9.219858156028371E-2</v>
      </c>
      <c r="U23" s="95">
        <f t="shared" ref="U23:Y23" si="26">U21/T21-1</f>
        <v>-5.8441558441558406E-2</v>
      </c>
      <c r="V23" s="95">
        <f t="shared" si="26"/>
        <v>0.17241379310344818</v>
      </c>
      <c r="W23" s="95">
        <f t="shared" si="26"/>
        <v>7.6470588235294068E-2</v>
      </c>
      <c r="X23" s="95">
        <f t="shared" si="26"/>
        <v>4.9180327868852514E-2</v>
      </c>
      <c r="Y23" s="95">
        <f t="shared" si="26"/>
        <v>3.6458333333333259E-2</v>
      </c>
      <c r="Z23" s="96">
        <f t="shared" ref="Z23" si="27">Z21/Y21-1</f>
        <v>5.0251256281407031E-2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0.12</v>
      </c>
      <c r="I24" s="97">
        <v>0.05</v>
      </c>
      <c r="J24" s="97">
        <v>-0.05</v>
      </c>
      <c r="K24" s="97">
        <v>-0.05</v>
      </c>
      <c r="L24" s="97">
        <v>-0.05</v>
      </c>
      <c r="O24" s="5"/>
      <c r="R24" s="122" t="str">
        <f>R22&amp;" growth"</f>
        <v>Price per Exabyte growth</v>
      </c>
      <c r="S24" s="47"/>
      <c r="T24" s="95">
        <f t="shared" ref="T24:Y24" si="29">T22/S22-1</f>
        <v>5.27235990829511E-3</v>
      </c>
      <c r="U24" s="95">
        <f t="shared" si="29"/>
        <v>1.6971571466175339E-2</v>
      </c>
      <c r="V24" s="95">
        <f t="shared" si="29"/>
        <v>-1.0214250124564006E-2</v>
      </c>
      <c r="W24" s="95">
        <f t="shared" si="29"/>
        <v>1.1567149296001222E-3</v>
      </c>
      <c r="X24" s="95">
        <f t="shared" si="29"/>
        <v>1.5021165338645392E-2</v>
      </c>
      <c r="Y24" s="95">
        <f t="shared" si="29"/>
        <v>7.2748704239491424E-2</v>
      </c>
      <c r="Z24" s="96">
        <f t="shared" ref="Z24" si="30">Z22/Y22-1</f>
        <v>6.8449065279128307E-2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D5" zoomScale="178" zoomScaleNormal="100" workbookViewId="0">
      <selection activeCell="I21" sqref="I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2" t="s">
        <v>112</v>
      </c>
      <c r="D2" s="242"/>
      <c r="E2" s="242"/>
      <c r="F2" s="242"/>
      <c r="G2" s="254"/>
      <c r="H2" s="255" t="s">
        <v>113</v>
      </c>
      <c r="I2" s="242"/>
      <c r="J2" s="242"/>
      <c r="K2" s="242"/>
      <c r="L2" s="242"/>
      <c r="P2" s="242" t="s">
        <v>112</v>
      </c>
      <c r="Q2" s="242"/>
      <c r="R2" s="242"/>
      <c r="S2" s="242"/>
      <c r="T2" s="242"/>
      <c r="U2" s="242"/>
      <c r="V2" s="242"/>
      <c r="W2" s="242"/>
      <c r="X2" s="242" t="s">
        <v>113</v>
      </c>
      <c r="Y2" s="242"/>
      <c r="Z2" s="242"/>
      <c r="AB2" s="85" t="s">
        <v>114</v>
      </c>
    </row>
    <row r="3" spans="1:30" ht="10" customHeight="1" x14ac:dyDescent="0.2"/>
    <row r="4" spans="1:30" ht="16" customHeight="1" x14ac:dyDescent="0.2">
      <c r="A4" s="86"/>
      <c r="B4" s="60"/>
      <c r="C4" s="251" t="s">
        <v>115</v>
      </c>
      <c r="D4" s="251"/>
      <c r="E4" s="251"/>
      <c r="F4" s="251"/>
      <c r="G4" s="251"/>
      <c r="H4" s="251"/>
      <c r="I4" s="251"/>
      <c r="J4" s="251"/>
      <c r="K4" s="251"/>
      <c r="L4" s="251"/>
      <c r="P4" s="253" t="s">
        <v>115</v>
      </c>
      <c r="Q4" s="253"/>
      <c r="R4" s="253"/>
      <c r="S4" s="253"/>
      <c r="T4" s="253"/>
      <c r="U4" s="253"/>
      <c r="V4" s="253"/>
      <c r="W4" s="253"/>
      <c r="X4" s="253"/>
      <c r="Y4" s="253"/>
      <c r="Z4" s="253"/>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c r="O6" s="16" t="s">
        <v>19</v>
      </c>
      <c r="P6" s="92">
        <f>Revenue!S9</f>
        <v>2212</v>
      </c>
      <c r="Q6" s="92">
        <f>Revenue!T9</f>
        <v>2409</v>
      </c>
      <c r="R6" s="92">
        <f>Revenue!U9</f>
        <v>2294</v>
      </c>
      <c r="S6" s="92">
        <f>Revenue!V9</f>
        <v>2605</v>
      </c>
      <c r="T6" s="92">
        <f>Revenue!W9</f>
        <v>2818</v>
      </c>
      <c r="U6" s="92">
        <f>Revenue!X9</f>
        <v>3017</v>
      </c>
      <c r="V6" s="92">
        <f>Revenue!Y9</f>
        <v>3337</v>
      </c>
      <c r="W6" s="93">
        <f>Revenue!Z9</f>
        <v>3747</v>
      </c>
      <c r="X6" s="92">
        <f>Revenue!AA9</f>
        <v>4035.6625000000008</v>
      </c>
      <c r="Y6" s="94"/>
      <c r="Z6" s="94"/>
      <c r="AB6" s="92">
        <f>Revenue!AE9</f>
        <v>14136.6625</v>
      </c>
    </row>
    <row r="7" spans="1:30" x14ac:dyDescent="0.2">
      <c r="N7" s="91"/>
    </row>
    <row r="8" spans="1:30" x14ac:dyDescent="0.2">
      <c r="N8" s="91"/>
    </row>
    <row r="9" spans="1:30" x14ac:dyDescent="0.2">
      <c r="C9" s="251" t="s">
        <v>124</v>
      </c>
      <c r="D9" s="251"/>
      <c r="E9" s="251"/>
      <c r="F9" s="251"/>
      <c r="G9" s="251"/>
      <c r="H9" s="251"/>
      <c r="I9" s="251"/>
      <c r="J9" s="251"/>
      <c r="K9" s="251"/>
      <c r="L9" s="251"/>
      <c r="N9" s="91"/>
      <c r="P9" s="253" t="s">
        <v>125</v>
      </c>
      <c r="Q9" s="253"/>
      <c r="R9" s="253"/>
      <c r="S9" s="253"/>
      <c r="T9" s="253"/>
      <c r="U9" s="253"/>
      <c r="V9" s="253"/>
      <c r="W9" s="253"/>
      <c r="X9" s="253"/>
      <c r="Y9" s="253"/>
      <c r="Z9" s="253"/>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7306.3683000000001</v>
      </c>
      <c r="I11" s="108">
        <f t="shared" ref="I11:L11" si="3">I6*I19</f>
        <v>9080.8355673600017</v>
      </c>
      <c r="J11" s="108">
        <f t="shared" si="3"/>
        <v>9363.6087791068003</v>
      </c>
      <c r="K11" s="108">
        <f t="shared" si="3"/>
        <v>9307.116958049819</v>
      </c>
      <c r="L11" s="108">
        <f t="shared" si="3"/>
        <v>9010.9793175296909</v>
      </c>
      <c r="N11" s="91"/>
      <c r="O11" s="16" t="str">
        <f t="shared" ref="O11:O14" si="4">B11</f>
        <v>COGS</v>
      </c>
      <c r="P11" s="106">
        <f>Statement!T6</f>
        <v>1406</v>
      </c>
      <c r="Q11" s="106">
        <f>Statement!U6</f>
        <v>1502</v>
      </c>
      <c r="R11" s="106">
        <f>Statement!V6</f>
        <v>1382</v>
      </c>
      <c r="S11" s="106">
        <f>Statement!W6</f>
        <v>1538</v>
      </c>
      <c r="T11" s="106">
        <f>Statement!X6</f>
        <v>1591</v>
      </c>
      <c r="U11" s="106">
        <f>Statement!Y6</f>
        <v>1637</v>
      </c>
      <c r="V11" s="106">
        <f>Statement!Z6</f>
        <v>1661</v>
      </c>
      <c r="W11" s="107">
        <f>Statement!AA6</f>
        <v>1719</v>
      </c>
      <c r="X11" s="108">
        <f>X6*X19</f>
        <v>1493.1951250000002</v>
      </c>
      <c r="Y11" s="108"/>
      <c r="Z11" s="108"/>
      <c r="AB11" s="108">
        <f>SUM(U11:X11)</f>
        <v>6510.1951250000002</v>
      </c>
    </row>
    <row r="12" spans="1:30" x14ac:dyDescent="0.2">
      <c r="B12" s="1" t="str">
        <f>Statement!B8</f>
        <v>R&amp;D</v>
      </c>
      <c r="C12" s="98">
        <f>Statement!M8</f>
        <v>2323</v>
      </c>
      <c r="D12" s="98">
        <f>Statement!N8</f>
        <v>986</v>
      </c>
      <c r="E12" s="98">
        <f>Statement!O8</f>
        <v>950</v>
      </c>
      <c r="F12" s="98">
        <f>Statement!P8</f>
        <v>994</v>
      </c>
      <c r="G12" s="99">
        <f>Statement!Q8</f>
        <v>1161</v>
      </c>
      <c r="H12" s="24">
        <f>H6*H20</f>
        <v>1298.9099200000001</v>
      </c>
      <c r="I12" s="24">
        <f>I6*I20</f>
        <v>1324.2885202400005</v>
      </c>
      <c r="J12" s="24">
        <f>J6*J20</f>
        <v>1793.0314683396002</v>
      </c>
      <c r="K12" s="24">
        <f>K6*K20</f>
        <v>1709.47046168262</v>
      </c>
      <c r="L12" s="24">
        <f>L6*L20</f>
        <v>1638.3598759144893</v>
      </c>
      <c r="N12" s="91"/>
      <c r="O12" s="39" t="str">
        <f t="shared" si="4"/>
        <v>R&amp;D</v>
      </c>
      <c r="P12" s="98">
        <f>Statement!T8</f>
        <v>262</v>
      </c>
      <c r="Q12" s="98">
        <f>Statement!U8</f>
        <v>225</v>
      </c>
      <c r="R12" s="98">
        <f>Statement!V8</f>
        <v>245</v>
      </c>
      <c r="S12" s="98">
        <f>Statement!W8</f>
        <v>262</v>
      </c>
      <c r="T12" s="98">
        <f>Statement!X8</f>
        <v>294</v>
      </c>
      <c r="U12" s="98">
        <f>Statement!Y8</f>
        <v>289</v>
      </c>
      <c r="V12" s="98">
        <f>Statement!Z8</f>
        <v>294</v>
      </c>
      <c r="W12" s="99">
        <f>Statement!AA8</f>
        <v>284</v>
      </c>
      <c r="X12" s="25">
        <f>X20*X$6</f>
        <v>322.85300000000007</v>
      </c>
      <c r="Y12" s="24"/>
      <c r="Z12" s="24"/>
      <c r="AB12" s="24">
        <f t="shared" ref="AB12:AB14" si="5">SUM(U12:X12)</f>
        <v>1189.8530000000001</v>
      </c>
    </row>
    <row r="13" spans="1:30" x14ac:dyDescent="0.2">
      <c r="B13" s="1" t="str">
        <f>Statement!B9</f>
        <v>SG&amp;A</v>
      </c>
      <c r="C13" s="98">
        <f>Statement!M9</f>
        <v>1117</v>
      </c>
      <c r="D13" s="98">
        <f>Statement!N9</f>
        <v>807</v>
      </c>
      <c r="E13" s="98">
        <f>Statement!O9</f>
        <v>726</v>
      </c>
      <c r="F13" s="98">
        <f>Statement!P9</f>
        <v>568</v>
      </c>
      <c r="G13" s="99">
        <f>Statement!Q9</f>
        <v>551</v>
      </c>
      <c r="H13" s="24">
        <f>H6*H21</f>
        <v>649.45496000000003</v>
      </c>
      <c r="I13" s="24">
        <f>I6*I21</f>
        <v>945.92037160000018</v>
      </c>
      <c r="J13" s="24">
        <f>J6*J21</f>
        <v>1195.3543122264</v>
      </c>
      <c r="K13" s="24">
        <f>K6*K21</f>
        <v>1519.5292992734401</v>
      </c>
      <c r="L13" s="24">
        <f>L6*L21</f>
        <v>1802.1958635059382</v>
      </c>
      <c r="M13" s="90"/>
      <c r="N13" s="90"/>
      <c r="O13" s="39" t="str">
        <f t="shared" si="4"/>
        <v>SG&amp;A</v>
      </c>
      <c r="P13" s="98">
        <f>Statement!T9</f>
        <v>204</v>
      </c>
      <c r="Q13" s="98">
        <f>Statement!U9</f>
        <v>132</v>
      </c>
      <c r="R13" s="98">
        <f>Statement!V9</f>
        <v>108</v>
      </c>
      <c r="S13" s="98">
        <f>Statement!W9</f>
        <v>124</v>
      </c>
      <c r="T13" s="98">
        <f>Statement!X9</f>
        <v>138</v>
      </c>
      <c r="U13" s="98">
        <f>Statement!Y9</f>
        <v>128</v>
      </c>
      <c r="V13" s="98">
        <f>Statement!Z9</f>
        <v>147</v>
      </c>
      <c r="W13" s="99">
        <f>Statement!AA9</f>
        <v>138</v>
      </c>
      <c r="X13" s="25">
        <f>X21*X$6</f>
        <v>161.42650000000003</v>
      </c>
      <c r="Y13" s="24"/>
      <c r="Z13" s="24"/>
      <c r="AB13" s="24">
        <f t="shared" si="5"/>
        <v>574.42650000000003</v>
      </c>
    </row>
    <row r="14" spans="1:30" x14ac:dyDescent="0.2">
      <c r="B14" s="16" t="s">
        <v>24</v>
      </c>
      <c r="C14" s="106">
        <f>Statement!M10</f>
        <v>3483</v>
      </c>
      <c r="D14" s="106">
        <f>Statement!N10</f>
        <v>1939</v>
      </c>
      <c r="E14" s="106">
        <f>Statement!O10</f>
        <v>2176</v>
      </c>
      <c r="F14" s="106">
        <f>Statement!P10</f>
        <v>1358</v>
      </c>
      <c r="G14" s="107">
        <f>Statement!Q10</f>
        <v>1858</v>
      </c>
      <c r="H14" s="108">
        <f>SUM(H12:H13)</f>
        <v>1948.3648800000001</v>
      </c>
      <c r="I14" s="108">
        <f>SUM(I12:I13)</f>
        <v>2270.2088918400004</v>
      </c>
      <c r="J14" s="108">
        <f>SUM(J12:J13)</f>
        <v>2988.385780566</v>
      </c>
      <c r="K14" s="108">
        <f>SUM(K12:K13)</f>
        <v>3228.9997609560601</v>
      </c>
      <c r="L14" s="108">
        <f>SUM(L12:L13)</f>
        <v>3440.5557394204275</v>
      </c>
      <c r="M14" s="90"/>
      <c r="N14" s="90"/>
      <c r="O14" s="16" t="str">
        <f t="shared" si="4"/>
        <v>OpEx</v>
      </c>
      <c r="P14" s="106">
        <f>Statement!T10</f>
        <v>472</v>
      </c>
      <c r="Q14" s="106">
        <f>Statement!U10</f>
        <v>347</v>
      </c>
      <c r="R14" s="106">
        <f>Statement!V10</f>
        <v>152</v>
      </c>
      <c r="S14" s="106">
        <f>Statement!W10</f>
        <v>387</v>
      </c>
      <c r="T14" s="106">
        <f>Statement!X10</f>
        <v>435</v>
      </c>
      <c r="U14" s="106">
        <f>Statement!Y10</f>
        <v>472</v>
      </c>
      <c r="V14" s="106">
        <f>Statement!Z10</f>
        <v>486</v>
      </c>
      <c r="W14" s="107">
        <f>Statement!AA10</f>
        <v>465</v>
      </c>
      <c r="X14" s="108">
        <f>SUM(X12:X13)</f>
        <v>484.2795000000001</v>
      </c>
      <c r="Y14" s="108"/>
      <c r="Z14" s="108"/>
      <c r="AB14" s="108">
        <f t="shared" si="5"/>
        <v>1907.2795000000001</v>
      </c>
    </row>
    <row r="17" spans="2:26" x14ac:dyDescent="0.2">
      <c r="C17" s="251" t="s">
        <v>127</v>
      </c>
      <c r="D17" s="251"/>
      <c r="E17" s="251"/>
      <c r="F17" s="251"/>
      <c r="G17" s="251"/>
      <c r="H17" s="251"/>
      <c r="I17" s="251"/>
      <c r="J17" s="251"/>
      <c r="K17" s="251"/>
      <c r="L17" s="251"/>
      <c r="P17" s="253" t="s">
        <v>127</v>
      </c>
      <c r="Q17" s="253"/>
      <c r="R17" s="253"/>
      <c r="S17" s="253"/>
      <c r="T17" s="253"/>
      <c r="U17" s="253"/>
      <c r="V17" s="253"/>
      <c r="W17" s="253"/>
      <c r="X17" s="253"/>
      <c r="Y17" s="253"/>
      <c r="Z17" s="253"/>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0.48</v>
      </c>
      <c r="J19" s="97">
        <v>0.47</v>
      </c>
      <c r="K19" s="97">
        <v>0.49</v>
      </c>
      <c r="L19" s="97">
        <v>0.55000000000000004</v>
      </c>
      <c r="O19" s="16" t="str">
        <f>O11</f>
        <v>COGS</v>
      </c>
      <c r="P19" s="103">
        <f t="shared" ref="P19:W21" si="9">P11/P$6</f>
        <v>0.63562386980108498</v>
      </c>
      <c r="Q19" s="103">
        <f t="shared" si="9"/>
        <v>0.62349522623495224</v>
      </c>
      <c r="R19" s="103">
        <f t="shared" si="9"/>
        <v>0.60244115082824756</v>
      </c>
      <c r="S19" s="103">
        <f t="shared" si="9"/>
        <v>0.59040307101727452</v>
      </c>
      <c r="T19" s="103">
        <f t="shared" si="9"/>
        <v>0.56458481192334986</v>
      </c>
      <c r="U19" s="103">
        <f t="shared" si="9"/>
        <v>0.54259197878687437</v>
      </c>
      <c r="V19" s="103">
        <f t="shared" si="9"/>
        <v>0.49775247228049146</v>
      </c>
      <c r="W19" s="104">
        <f t="shared" si="9"/>
        <v>0.45876701361088873</v>
      </c>
      <c r="X19" s="97">
        <v>0.37</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0.08</v>
      </c>
      <c r="I20" s="97">
        <v>7.0000000000000007E-2</v>
      </c>
      <c r="J20" s="97">
        <v>0.09</v>
      </c>
      <c r="K20" s="97">
        <v>0.09</v>
      </c>
      <c r="L20" s="97">
        <v>0.1</v>
      </c>
      <c r="O20" s="1" t="str">
        <f>O12</f>
        <v>R&amp;D</v>
      </c>
      <c r="P20" s="95">
        <f t="shared" si="9"/>
        <v>0.11844484629294756</v>
      </c>
      <c r="Q20" s="95">
        <f t="shared" si="9"/>
        <v>9.3399750933997508E-2</v>
      </c>
      <c r="R20" s="95">
        <f t="shared" si="9"/>
        <v>0.10680034873583261</v>
      </c>
      <c r="S20" s="95">
        <f t="shared" si="9"/>
        <v>0.10057581573896353</v>
      </c>
      <c r="T20" s="95">
        <f t="shared" si="9"/>
        <v>0.10432931156848829</v>
      </c>
      <c r="U20" s="95">
        <f t="shared" si="9"/>
        <v>9.5790520384487904E-2</v>
      </c>
      <c r="V20" s="95">
        <f t="shared" si="9"/>
        <v>8.8103086604734787E-2</v>
      </c>
      <c r="W20" s="96">
        <f t="shared" si="9"/>
        <v>7.5793968508139839E-2</v>
      </c>
      <c r="X20" s="97">
        <v>0.08</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0.04</v>
      </c>
      <c r="I21" s="97">
        <v>0.05</v>
      </c>
      <c r="J21" s="97">
        <v>0.06</v>
      </c>
      <c r="K21" s="97">
        <v>0.08</v>
      </c>
      <c r="L21" s="97">
        <v>0.11</v>
      </c>
      <c r="O21" s="1" t="str">
        <f>O13</f>
        <v>SG&amp;A</v>
      </c>
      <c r="P21" s="95">
        <f t="shared" si="9"/>
        <v>9.2224231464737794E-2</v>
      </c>
      <c r="Q21" s="95">
        <f t="shared" si="9"/>
        <v>5.4794520547945202E-2</v>
      </c>
      <c r="R21" s="95">
        <f t="shared" si="9"/>
        <v>4.7079337401918046E-2</v>
      </c>
      <c r="S21" s="95">
        <f t="shared" si="9"/>
        <v>4.7600767754318617E-2</v>
      </c>
      <c r="T21" s="95">
        <f t="shared" si="9"/>
        <v>4.8970901348474094E-2</v>
      </c>
      <c r="U21" s="95">
        <f t="shared" si="9"/>
        <v>4.2426251242956577E-2</v>
      </c>
      <c r="V21" s="95">
        <f t="shared" si="9"/>
        <v>4.4051543302367394E-2</v>
      </c>
      <c r="W21" s="96">
        <f t="shared" si="9"/>
        <v>3.6829463570856688E-2</v>
      </c>
      <c r="X21" s="97">
        <v>0.04</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0.12000000000000001</v>
      </c>
      <c r="I22" s="103">
        <f t="shared" si="11"/>
        <v>0.12</v>
      </c>
      <c r="J22" s="103">
        <f t="shared" si="11"/>
        <v>0.15</v>
      </c>
      <c r="K22" s="103">
        <f t="shared" si="11"/>
        <v>0.17</v>
      </c>
      <c r="L22" s="103">
        <f t="shared" si="11"/>
        <v>0.21000000000000002</v>
      </c>
      <c r="O22" s="16" t="str">
        <f t="shared" ref="O22" si="12">O14</f>
        <v>OpEx</v>
      </c>
      <c r="P22" s="103">
        <f t="shared" ref="P22:V22" si="13">P14/P$6</f>
        <v>0.21338155515370705</v>
      </c>
      <c r="Q22" s="103">
        <f t="shared" si="13"/>
        <v>0.14404317144043172</v>
      </c>
      <c r="R22" s="103">
        <f t="shared" si="13"/>
        <v>6.6259808195292064E-2</v>
      </c>
      <c r="S22" s="103">
        <f t="shared" si="13"/>
        <v>0.14856046065259118</v>
      </c>
      <c r="T22" s="103">
        <f t="shared" si="13"/>
        <v>0.15436479772888573</v>
      </c>
      <c r="U22" s="103">
        <f t="shared" si="13"/>
        <v>0.1564468014584024</v>
      </c>
      <c r="V22" s="103">
        <f t="shared" si="13"/>
        <v>0.14563979622415343</v>
      </c>
      <c r="W22" s="104">
        <f t="shared" ref="W22:X22" si="14">W14/W$6</f>
        <v>0.12409927942353884</v>
      </c>
      <c r="X22" s="103">
        <f t="shared" si="14"/>
        <v>0.12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6" zoomScale="189" zoomScaleNormal="100" workbookViewId="0">
      <selection activeCell="J46" sqref="J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115</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16236.374</v>
      </c>
      <c r="I7" s="92">
        <f>Revenue!I9</f>
        <v>18918.407432000004</v>
      </c>
      <c r="J7" s="92">
        <f>Revenue!J9</f>
        <v>19922.571870440002</v>
      </c>
      <c r="K7" s="92">
        <f>Revenue!K9</f>
        <v>18994.116240918</v>
      </c>
      <c r="L7" s="92">
        <f>Revenue!L9</f>
        <v>16383.598759144892</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7306.3683000000001</v>
      </c>
      <c r="I8" s="112">
        <f>'COGS &amp; OpEx'!I11</f>
        <v>9080.8355673600017</v>
      </c>
      <c r="J8" s="112">
        <f>'COGS &amp; OpEx'!J11</f>
        <v>9363.6087791068003</v>
      </c>
      <c r="K8" s="112">
        <f>'COGS &amp; OpEx'!K11</f>
        <v>9307.116958049819</v>
      </c>
      <c r="L8" s="112">
        <f>'COGS &amp; OpEx'!L11</f>
        <v>9010.9793175296909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131</v>
      </c>
      <c r="D11" s="251"/>
      <c r="E11" s="251"/>
      <c r="F11" s="251"/>
      <c r="G11" s="251"/>
      <c r="H11" s="251"/>
      <c r="I11" s="251"/>
      <c r="J11" s="251"/>
      <c r="K11" s="251"/>
      <c r="L11" s="251"/>
      <c r="N11" s="91"/>
      <c r="P11" s="256"/>
      <c r="Q11" s="256"/>
      <c r="R11" s="256"/>
      <c r="S11" s="256"/>
      <c r="T11" s="256"/>
      <c r="U11" s="256"/>
      <c r="V11" s="256"/>
      <c r="W11" s="256"/>
      <c r="X11" s="256"/>
      <c r="Y11" s="256"/>
      <c r="Z11" s="256"/>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2580.0265534246578</v>
      </c>
      <c r="I13" s="25">
        <f>I20*I7/365</f>
        <v>3006.2126878246581</v>
      </c>
      <c r="J13" s="25">
        <f>J20*J7/365</f>
        <v>3165.7785437959456</v>
      </c>
      <c r="K13" s="25">
        <f>K20*K7/365</f>
        <v>3018.243128693819</v>
      </c>
      <c r="L13" s="25">
        <f>L20*L7/365</f>
        <v>2603.4211726860376</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1541.343449589041</v>
      </c>
      <c r="I14" s="126">
        <f t="shared" ref="I14:L14" si="2">I21*I8/365</f>
        <v>1915.6831196896442</v>
      </c>
      <c r="J14" s="126">
        <f t="shared" si="2"/>
        <v>1975.3366465512975</v>
      </c>
      <c r="K14" s="126">
        <f t="shared" si="2"/>
        <v>1963.4191938899617</v>
      </c>
      <c r="L14" s="126">
        <f t="shared" si="2"/>
        <v>1900.9463217802361</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1801.5702657534246</v>
      </c>
      <c r="I15" s="24">
        <f>I22*I8/365</f>
        <v>2239.1101398969868</v>
      </c>
      <c r="J15" s="24">
        <f>J22*J8/365</f>
        <v>2308.8350414235947</v>
      </c>
      <c r="K15" s="24">
        <f>K22*K8/365</f>
        <v>2294.9055512999553</v>
      </c>
      <c r="L15" s="24">
        <f>L22*L8/365</f>
        <v>2221.8853111717044</v>
      </c>
      <c r="N15" s="91"/>
      <c r="P15" s="117"/>
      <c r="Q15" s="117"/>
      <c r="R15" s="117"/>
      <c r="S15" s="117"/>
      <c r="T15" s="117"/>
      <c r="U15" s="117"/>
      <c r="V15" s="117"/>
      <c r="W15" s="117"/>
      <c r="X15" s="25"/>
      <c r="Y15" s="24"/>
      <c r="Z15" s="24"/>
      <c r="AB15" s="24"/>
    </row>
    <row r="16" spans="1:28" x14ac:dyDescent="0.2">
      <c r="D16" s="24"/>
    </row>
    <row r="18" spans="2:12" x14ac:dyDescent="0.2">
      <c r="C18" s="251" t="s">
        <v>136</v>
      </c>
      <c r="D18" s="251"/>
      <c r="E18" s="251"/>
      <c r="F18" s="251"/>
      <c r="G18" s="251"/>
      <c r="H18" s="251"/>
      <c r="I18" s="251"/>
      <c r="J18" s="251"/>
      <c r="K18" s="251"/>
      <c r="L18" s="251"/>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77</v>
      </c>
      <c r="I21" s="102">
        <v>77</v>
      </c>
      <c r="J21" s="102">
        <v>77</v>
      </c>
      <c r="K21" s="102">
        <v>77</v>
      </c>
      <c r="L21" s="102">
        <v>77</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90</v>
      </c>
      <c r="I22" s="102">
        <v>90</v>
      </c>
      <c r="J22" s="102">
        <v>90</v>
      </c>
      <c r="K22" s="102">
        <v>90</v>
      </c>
      <c r="L22" s="102">
        <v>90</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45</v>
      </c>
      <c r="I23" s="118">
        <f t="shared" si="5"/>
        <v>45</v>
      </c>
      <c r="J23" s="118">
        <f t="shared" si="5"/>
        <v>45</v>
      </c>
      <c r="K23" s="118">
        <f t="shared" si="5"/>
        <v>45</v>
      </c>
      <c r="L23" s="118">
        <f t="shared" si="5"/>
        <v>45</v>
      </c>
    </row>
    <row r="25" spans="2:12" x14ac:dyDescent="0.2">
      <c r="B25" s="256"/>
      <c r="C25" s="256"/>
    </row>
    <row r="26" spans="2:12" x14ac:dyDescent="0.2">
      <c r="B26" s="109"/>
      <c r="C26" s="251" t="s">
        <v>142</v>
      </c>
      <c r="D26" s="251"/>
      <c r="E26" s="251"/>
      <c r="F26" s="251"/>
      <c r="G26" s="251"/>
      <c r="H26" s="251"/>
      <c r="I26" s="251"/>
      <c r="J26" s="251"/>
      <c r="K26" s="251"/>
      <c r="L26" s="251"/>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-554.02655342465778</v>
      </c>
      <c r="I28" s="126">
        <f t="shared" ref="I28:L29" si="7">-(I13-H13)</f>
        <v>-426.18613440000036</v>
      </c>
      <c r="J28" s="126">
        <f t="shared" si="7"/>
        <v>-159.56585597128742</v>
      </c>
      <c r="K28" s="126">
        <f t="shared" si="7"/>
        <v>147.53541510212654</v>
      </c>
      <c r="L28" s="126">
        <f t="shared" si="7"/>
        <v>414.82195600778141</v>
      </c>
    </row>
    <row r="29" spans="2:12" x14ac:dyDescent="0.2">
      <c r="B29" s="1" t="s">
        <v>144</v>
      </c>
      <c r="C29" s="114">
        <f>Statement!M55</f>
        <v>-22</v>
      </c>
      <c r="D29" s="114">
        <f>Statement!N55</f>
        <v>-60</v>
      </c>
      <c r="E29" s="114">
        <f>Statement!O55</f>
        <v>356</v>
      </c>
      <c r="F29" s="114">
        <f>Statement!P55</f>
        <v>-409</v>
      </c>
      <c r="G29" s="115">
        <f>Statement!Q55</f>
        <v>-218</v>
      </c>
      <c r="H29" s="126">
        <f>-(H14-G14)</f>
        <v>-30.343449589041029</v>
      </c>
      <c r="I29" s="126">
        <f t="shared" si="7"/>
        <v>-374.33967010060314</v>
      </c>
      <c r="J29" s="126">
        <f t="shared" si="7"/>
        <v>-59.65352686165329</v>
      </c>
      <c r="K29" s="126">
        <f t="shared" si="7"/>
        <v>11.917452661335801</v>
      </c>
      <c r="L29" s="126">
        <f t="shared" si="7"/>
        <v>62.472872109725586</v>
      </c>
    </row>
    <row r="30" spans="2:12" x14ac:dyDescent="0.2">
      <c r="B30" s="1" t="s">
        <v>145</v>
      </c>
      <c r="C30" s="114">
        <f>Statement!M56</f>
        <v>-129</v>
      </c>
      <c r="D30" s="114">
        <f>Statement!N56</f>
        <v>-459</v>
      </c>
      <c r="E30" s="114">
        <f>Statement!O56</f>
        <v>244</v>
      </c>
      <c r="F30" s="114">
        <f>Statement!P56</f>
        <v>307</v>
      </c>
      <c r="G30" s="115">
        <f>Statement!Q56</f>
        <v>385</v>
      </c>
      <c r="H30" s="64">
        <f>H15-G15</f>
        <v>27.570265753424565</v>
      </c>
      <c r="I30" s="64">
        <f t="shared" ref="I30:L30" si="8">I15-H15</f>
        <v>437.5398741435622</v>
      </c>
      <c r="J30" s="64">
        <f t="shared" si="8"/>
        <v>69.724901526607937</v>
      </c>
      <c r="K30" s="64">
        <f t="shared" si="8"/>
        <v>-13.929490123639425</v>
      </c>
      <c r="L30" s="64">
        <f t="shared" si="8"/>
        <v>-73.020240128250862</v>
      </c>
    </row>
    <row r="31" spans="2:12" x14ac:dyDescent="0.2">
      <c r="B31" s="109"/>
      <c r="C31" s="109"/>
    </row>
    <row r="32" spans="2:12" x14ac:dyDescent="0.2">
      <c r="B32" s="109"/>
      <c r="C32" s="109"/>
    </row>
    <row r="33" spans="2:12" x14ac:dyDescent="0.2">
      <c r="B33" s="109"/>
      <c r="C33" s="251" t="s">
        <v>146</v>
      </c>
      <c r="D33" s="251"/>
      <c r="E33" s="251"/>
      <c r="F33" s="251"/>
      <c r="G33" s="251"/>
      <c r="H33" s="251"/>
      <c r="I33" s="251"/>
      <c r="J33" s="251"/>
      <c r="K33" s="251"/>
      <c r="L33" s="251"/>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-1530.9821772602743</v>
      </c>
      <c r="I35" s="126">
        <f t="shared" ref="I35:L35" si="10">I36+I28+I29+I30</f>
        <v>-1308.9063019570415</v>
      </c>
      <c r="J35" s="126">
        <f t="shared" si="10"/>
        <v>-1743.3002309415331</v>
      </c>
      <c r="K35" s="126">
        <f t="shared" si="10"/>
        <v>-804.18243440607716</v>
      </c>
      <c r="L35" s="126">
        <f t="shared" si="10"/>
        <v>76.602612806358309</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-974.18243999999993</v>
      </c>
      <c r="I36" s="64">
        <f>I7*I37</f>
        <v>-945.92037160000018</v>
      </c>
      <c r="J36" s="64">
        <f>J7*J37</f>
        <v>-1593.8057496352003</v>
      </c>
      <c r="K36" s="64">
        <f>K7*K37</f>
        <v>-949.70581204590007</v>
      </c>
      <c r="L36" s="64">
        <f>L7*L37</f>
        <v>-327.67197518289782</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51" t="s">
        <v>149</v>
      </c>
      <c r="D40" s="251"/>
      <c r="E40" s="251"/>
      <c r="F40" s="251"/>
      <c r="G40" s="251"/>
      <c r="H40" s="251"/>
      <c r="I40" s="251"/>
      <c r="J40" s="251"/>
      <c r="K40" s="251"/>
      <c r="L40" s="251"/>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811.81870000000004</v>
      </c>
      <c r="I42" s="25">
        <f>I7*I43</f>
        <v>945.92037160000018</v>
      </c>
      <c r="J42" s="25">
        <f>J7*J43</f>
        <v>1095.7414528742001</v>
      </c>
      <c r="K42" s="25">
        <f>K7*K43</f>
        <v>1044.67639325049</v>
      </c>
      <c r="L42" s="25">
        <f>L7*L43</f>
        <v>901.09793175296909</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0.90909090909090906</v>
      </c>
      <c r="J44" s="123">
        <f t="shared" si="13"/>
        <v>1</v>
      </c>
      <c r="K44" s="123">
        <f t="shared" si="13"/>
        <v>1.0999999999999999</v>
      </c>
      <c r="L44" s="123">
        <f t="shared" si="13"/>
        <v>1.0999999999999999</v>
      </c>
    </row>
    <row r="45" spans="2:12" x14ac:dyDescent="0.2">
      <c r="B45" s="1" t="s">
        <v>59</v>
      </c>
      <c r="C45" s="114">
        <f>-Statement!M108</f>
        <v>1122</v>
      </c>
      <c r="D45" s="114">
        <f>-Statement!N108</f>
        <v>821</v>
      </c>
      <c r="E45" s="114">
        <f>-Statement!O108</f>
        <v>487</v>
      </c>
      <c r="F45" s="114">
        <f>-Statement!P108</f>
        <v>412</v>
      </c>
      <c r="G45" s="115">
        <f>-Statement!Q108</f>
        <v>418</v>
      </c>
      <c r="H45" s="25">
        <f>H7*H46</f>
        <v>893.00057000000004</v>
      </c>
      <c r="I45" s="25">
        <f>I7*I46</f>
        <v>1040.5124087600002</v>
      </c>
      <c r="J45" s="25">
        <f>J7*J46</f>
        <v>1095.7414528742001</v>
      </c>
      <c r="K45" s="25">
        <f>K7*K46</f>
        <v>949.70581204590007</v>
      </c>
      <c r="L45" s="25">
        <f>L7*L46</f>
        <v>819.17993795724465</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abSelected="1" topLeftCell="D27"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2" t="s">
        <v>112</v>
      </c>
      <c r="D2" s="242"/>
      <c r="E2" s="242"/>
      <c r="F2" s="242"/>
      <c r="G2" s="254"/>
      <c r="H2" s="255" t="s">
        <v>113</v>
      </c>
      <c r="I2" s="242"/>
      <c r="J2" s="242"/>
      <c r="K2" s="242"/>
      <c r="L2" s="242"/>
      <c r="S2" s="256"/>
      <c r="T2" s="256"/>
      <c r="U2" s="256"/>
      <c r="V2" s="256"/>
      <c r="W2" s="256"/>
      <c r="X2" s="256"/>
      <c r="Y2" s="256"/>
      <c r="Z2" s="256"/>
      <c r="AA2" s="256"/>
      <c r="AB2" s="256"/>
      <c r="AC2" s="256"/>
      <c r="AE2" s="109"/>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7306.3683000000001</v>
      </c>
      <c r="I7" s="112">
        <f>'COGS &amp; OpEx'!I11</f>
        <v>9080.8355673600017</v>
      </c>
      <c r="J7" s="112">
        <f>'COGS &amp; OpEx'!J11</f>
        <v>9363.6087791068003</v>
      </c>
      <c r="K7" s="112">
        <f>'COGS &amp; OpEx'!K11</f>
        <v>9307.116958049819</v>
      </c>
      <c r="L7" s="112">
        <f>'COGS &amp; OpEx'!L11</f>
        <v>9010.9793175296909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8930.0056999999997</v>
      </c>
      <c r="I8" s="94">
        <f t="shared" si="1"/>
        <v>9837.5718646400019</v>
      </c>
      <c r="J8" s="94">
        <f t="shared" si="1"/>
        <v>10558.963091333202</v>
      </c>
      <c r="K8" s="94">
        <f t="shared" si="1"/>
        <v>9686.9992828681807</v>
      </c>
      <c r="L8" s="94">
        <f t="shared" si="1"/>
        <v>7372.6194416152011</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1948.3648800000001</v>
      </c>
      <c r="I9" s="112">
        <f>'COGS &amp; OpEx'!I14</f>
        <v>2270.2088918400004</v>
      </c>
      <c r="J9" s="112">
        <f>'COGS &amp; OpEx'!J14</f>
        <v>2988.385780566</v>
      </c>
      <c r="K9" s="112">
        <f>'COGS &amp; OpEx'!K14</f>
        <v>3228.9997609560601</v>
      </c>
      <c r="L9" s="112">
        <f>'COGS &amp; OpEx'!L14</f>
        <v>3440.5557394204275</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6981.6408199999996</v>
      </c>
      <c r="I10" s="94">
        <f t="shared" si="2"/>
        <v>7567.3629728000014</v>
      </c>
      <c r="J10" s="94">
        <f t="shared" si="2"/>
        <v>7570.5773107672021</v>
      </c>
      <c r="K10" s="94">
        <f t="shared" si="2"/>
        <v>6457.9995219121211</v>
      </c>
      <c r="L10" s="94">
        <f t="shared" si="2"/>
        <v>3932.0637021947737</v>
      </c>
      <c r="N10" s="90"/>
      <c r="Q10" s="90"/>
      <c r="S10" s="88"/>
      <c r="T10" s="88"/>
      <c r="U10" s="88"/>
      <c r="V10" s="88"/>
      <c r="W10" s="88"/>
      <c r="X10" s="88"/>
      <c r="Y10" s="88"/>
      <c r="Z10" s="88"/>
      <c r="AA10" s="64"/>
      <c r="AB10" s="64"/>
      <c r="AC10" s="64"/>
      <c r="AE10" s="64"/>
    </row>
    <row r="13" spans="1:31" x14ac:dyDescent="0.2">
      <c r="C13" s="251" t="s">
        <v>157</v>
      </c>
      <c r="D13" s="251"/>
      <c r="E13" s="251"/>
      <c r="F13" s="251"/>
      <c r="G13" s="251"/>
      <c r="H13" s="251"/>
      <c r="I13" s="251"/>
      <c r="J13" s="251"/>
      <c r="K13" s="251"/>
      <c r="L13" s="25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4.8561332660272592E-2</v>
      </c>
      <c r="H15" s="129">
        <f>Overview!$C$26</f>
        <v>0.21</v>
      </c>
      <c r="I15" s="129">
        <f>Overview!$C$26</f>
        <v>0.21</v>
      </c>
      <c r="J15" s="129">
        <f>Overview!$C$26</f>
        <v>0.21</v>
      </c>
      <c r="K15" s="129">
        <f>Overview!$C$26</f>
        <v>0.21</v>
      </c>
      <c r="L15" s="129">
        <f>Overview!$C$26</f>
        <v>0.21</v>
      </c>
      <c r="N15" s="1" t="s">
        <v>162</v>
      </c>
    </row>
    <row r="18" spans="2:14" x14ac:dyDescent="0.2">
      <c r="C18" s="251" t="s">
        <v>158</v>
      </c>
      <c r="D18" s="251"/>
      <c r="E18" s="251"/>
      <c r="F18" s="251"/>
      <c r="G18" s="251"/>
      <c r="H18" s="251"/>
      <c r="I18" s="251"/>
      <c r="J18" s="251"/>
      <c r="K18" s="251"/>
      <c r="L18" s="251"/>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811.81870000000004</v>
      </c>
      <c r="I20" s="88">
        <f>'WC &amp; Investments'!I42</f>
        <v>945.92037160000018</v>
      </c>
      <c r="J20" s="88">
        <f>'WC &amp; Investments'!J42</f>
        <v>1095.7414528742001</v>
      </c>
      <c r="K20" s="88">
        <f>'WC &amp; Investments'!K42</f>
        <v>1044.67639325049</v>
      </c>
      <c r="L20" s="88">
        <f>'WC &amp; Investments'!L42</f>
        <v>901.09793175296909</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893.00057000000004</v>
      </c>
      <c r="I21" s="88">
        <f>'WC &amp; Investments'!I45</f>
        <v>1040.5124087600002</v>
      </c>
      <c r="J21" s="88">
        <f>'WC &amp; Investments'!J45</f>
        <v>1095.7414528742001</v>
      </c>
      <c r="K21" s="88">
        <f>'WC &amp; Investments'!K45</f>
        <v>949.70581204590007</v>
      </c>
      <c r="L21" s="88">
        <f>'WC &amp; Investments'!L45</f>
        <v>819.17993795724465</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-1530.9821772602743</v>
      </c>
      <c r="I22" s="88">
        <f>'WC &amp; Investments'!I35</f>
        <v>-1308.9063019570415</v>
      </c>
      <c r="J22" s="88">
        <f>'WC &amp; Investments'!J35</f>
        <v>-1743.3002309415331</v>
      </c>
      <c r="K22" s="88">
        <f>'WC &amp; Investments'!K35</f>
        <v>-804.18243440607716</v>
      </c>
      <c r="L22" s="88">
        <f>'WC &amp; Investments'!L35</f>
        <v>76.602612806358309</v>
      </c>
      <c r="N22" s="1" t="s">
        <v>159</v>
      </c>
    </row>
    <row r="25" spans="2:14" x14ac:dyDescent="0.2">
      <c r="C25" s="251" t="s">
        <v>266</v>
      </c>
      <c r="D25" s="251"/>
      <c r="E25" s="251"/>
      <c r="F25" s="251"/>
      <c r="G25" s="251"/>
      <c r="H25" s="251"/>
      <c r="I25" s="251"/>
      <c r="J25" s="251"/>
      <c r="K25" s="251"/>
      <c r="L25" s="251"/>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2334</v>
      </c>
      <c r="G27" s="131">
        <f t="shared" si="6"/>
        <v>4236.7563856638062</v>
      </c>
      <c r="H27" s="126">
        <f t="shared" si="6"/>
        <v>5515.4962477999998</v>
      </c>
      <c r="I27" s="126">
        <f t="shared" si="6"/>
        <v>5978.2167485120017</v>
      </c>
      <c r="J27" s="126">
        <f t="shared" si="6"/>
        <v>5980.7560755060904</v>
      </c>
      <c r="K27" s="126">
        <f t="shared" si="6"/>
        <v>5101.8196223105761</v>
      </c>
      <c r="L27" s="126">
        <f t="shared" si="6"/>
        <v>3106.3303247338713</v>
      </c>
    </row>
    <row r="28" spans="2:14" x14ac:dyDescent="0.2">
      <c r="B28" s="16" t="s">
        <v>266</v>
      </c>
      <c r="C28" s="94">
        <f>C27+C20-C21+C22</f>
        <v>421.35468676401297</v>
      </c>
      <c r="D28" s="94">
        <f t="shared" ref="D28:L28" si="7">D27+D20-D21+D22</f>
        <v>-449</v>
      </c>
      <c r="E28" s="94">
        <f t="shared" si="7"/>
        <v>-629</v>
      </c>
      <c r="F28" s="94">
        <f t="shared" si="7"/>
        <v>1342</v>
      </c>
      <c r="G28" s="127">
        <f t="shared" si="7"/>
        <v>3535.7563856638062</v>
      </c>
      <c r="H28" s="94">
        <f t="shared" si="7"/>
        <v>3903.3322005397249</v>
      </c>
      <c r="I28" s="94">
        <f t="shared" si="7"/>
        <v>4574.7184093949609</v>
      </c>
      <c r="J28" s="94">
        <f t="shared" si="7"/>
        <v>4237.4558445645571</v>
      </c>
      <c r="K28" s="94">
        <f t="shared" si="7"/>
        <v>4392.6077691090886</v>
      </c>
      <c r="L28" s="94">
        <f t="shared" si="7"/>
        <v>3264.8509313359541</v>
      </c>
    </row>
    <row r="31" spans="2:14" x14ac:dyDescent="0.2">
      <c r="C31" s="251" t="s">
        <v>76</v>
      </c>
      <c r="D31" s="251"/>
      <c r="E31" s="251"/>
      <c r="F31" s="251"/>
      <c r="G31" s="251"/>
      <c r="H31" s="251"/>
      <c r="I31" s="251"/>
      <c r="J31" s="251"/>
      <c r="K31" s="251"/>
      <c r="L31" s="251"/>
    </row>
    <row r="32" spans="2:14" x14ac:dyDescent="0.2">
      <c r="B32" s="16" t="s">
        <v>339</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6">
        <f>H8/H6</f>
        <v>0.54999999999999993</v>
      </c>
      <c r="I33" s="216">
        <f t="shared" ref="I33:L33" si="9">I8/I6</f>
        <v>0.52</v>
      </c>
      <c r="J33" s="216">
        <f t="shared" si="9"/>
        <v>0.53</v>
      </c>
      <c r="K33" s="216">
        <f t="shared" si="9"/>
        <v>0.51</v>
      </c>
      <c r="L33" s="216">
        <f t="shared" si="9"/>
        <v>0.44999999999999996</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6">
        <f>H10/H6</f>
        <v>0.43</v>
      </c>
      <c r="I34" s="216">
        <f t="shared" ref="I34:L34" si="10">I10/I6</f>
        <v>0.4</v>
      </c>
      <c r="J34" s="216">
        <f t="shared" si="10"/>
        <v>0.38000000000000006</v>
      </c>
      <c r="K34" s="216">
        <f t="shared" si="10"/>
        <v>0.34000000000000008</v>
      </c>
      <c r="L34" s="216">
        <f t="shared" si="10"/>
        <v>0.23999999999999996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2" t="s">
        <v>165</v>
      </c>
      <c r="C4" s="242"/>
    </row>
    <row r="5" spans="1:3" ht="17" customHeight="1" x14ac:dyDescent="0.2">
      <c r="B5" s="1" t="s">
        <v>166</v>
      </c>
      <c r="C5" s="136">
        <f>Statement!AC77</f>
        <v>399</v>
      </c>
    </row>
    <row r="6" spans="1:3" ht="17" customHeight="1" x14ac:dyDescent="0.2">
      <c r="B6" s="1" t="s">
        <v>1</v>
      </c>
      <c r="C6" s="133">
        <f ca="1">Overview!C5</f>
        <v>460.16500000000002</v>
      </c>
    </row>
    <row r="7" spans="1:3" ht="17" customHeight="1" x14ac:dyDescent="0.2">
      <c r="B7" s="1" t="s">
        <v>167</v>
      </c>
      <c r="C7" s="134">
        <f ca="1">C5*C6</f>
        <v>183605.83500000002</v>
      </c>
    </row>
    <row r="8" spans="1:3" ht="17" customHeight="1" x14ac:dyDescent="0.2">
      <c r="B8" s="1" t="s">
        <v>168</v>
      </c>
      <c r="C8" s="112">
        <f>Statement!AC106</f>
        <v>1052</v>
      </c>
    </row>
    <row r="9" spans="1:3" ht="17" customHeight="1" x14ac:dyDescent="0.2">
      <c r="B9" s="1" t="s">
        <v>169</v>
      </c>
      <c r="C9" s="135">
        <f ca="1">Overview!F27</f>
        <v>4.9630000000000001E-2</v>
      </c>
    </row>
    <row r="10" spans="1:3" ht="17" customHeight="1" x14ac:dyDescent="0.2">
      <c r="B10" s="1" t="s">
        <v>9</v>
      </c>
      <c r="C10" s="133">
        <f ca="1">Overview!C13</f>
        <v>2.1177000000000001</v>
      </c>
    </row>
    <row r="11" spans="1:3" ht="17" customHeight="1" x14ac:dyDescent="0.2">
      <c r="B11" s="1" t="s">
        <v>170</v>
      </c>
      <c r="C11" s="135">
        <f>[1]Sheet1!$C$12</f>
        <v>4.3999999999999997E-2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2" t="s">
        <v>172</v>
      </c>
      <c r="C15" s="242"/>
    </row>
    <row r="16" spans="1:3" ht="17" customHeight="1" x14ac:dyDescent="0.2">
      <c r="B16" s="1" t="s">
        <v>173</v>
      </c>
      <c r="C16" s="46">
        <f ca="1">C8/(C8+C7)</f>
        <v>5.697023362155198E-3</v>
      </c>
    </row>
    <row r="17" spans="2:3" ht="17" customHeight="1" x14ac:dyDescent="0.2">
      <c r="B17" s="1" t="s">
        <v>174</v>
      </c>
      <c r="C17" s="46">
        <f ca="1">C7/(C8+C7)</f>
        <v>0.99430297663784484</v>
      </c>
    </row>
    <row r="18" spans="2:3" ht="17" customHeight="1" x14ac:dyDescent="0.2">
      <c r="B18" s="1" t="s">
        <v>175</v>
      </c>
      <c r="C18" s="46">
        <f>C13*(1-C12)</f>
        <v>2.7650000000000004E-2</v>
      </c>
    </row>
    <row r="19" spans="2:3" ht="17" customHeight="1" x14ac:dyDescent="0.2">
      <c r="B19" s="1" t="s">
        <v>176</v>
      </c>
      <c r="C19" s="46">
        <f ca="1">C9+C10*C11</f>
        <v>0.14280880000000001</v>
      </c>
    </row>
    <row r="20" spans="2:3" ht="17" customHeight="1" x14ac:dyDescent="0.2">
      <c r="B20" s="1" t="s">
        <v>164</v>
      </c>
      <c r="C20" s="46">
        <f ca="1">(C17*C19)+(C16*C18)</f>
        <v>0.14215273762604225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266</v>
      </c>
      <c r="C7" s="112">
        <f>'FCF &amp; Other'!C28</f>
        <v>421.35468676401297</v>
      </c>
      <c r="D7" s="112">
        <f>'FCF &amp; Other'!D28</f>
        <v>-449</v>
      </c>
      <c r="E7" s="112">
        <f>'FCF &amp; Other'!E28</f>
        <v>-629</v>
      </c>
      <c r="F7" s="112">
        <f>'FCF &amp; Other'!F28</f>
        <v>1342</v>
      </c>
      <c r="G7" s="113">
        <f>'FCF &amp; Other'!G28</f>
        <v>3535.7563856638062</v>
      </c>
      <c r="H7" s="112">
        <f>'FCF &amp; Other'!H28</f>
        <v>3903.3322005397249</v>
      </c>
      <c r="I7" s="112">
        <f>'FCF &amp; Other'!I28</f>
        <v>4574.7184093949609</v>
      </c>
      <c r="J7" s="112">
        <f>'FCF &amp; Other'!J28</f>
        <v>4237.4558445645571</v>
      </c>
      <c r="K7" s="112">
        <f>'FCF &amp; Other'!K28</f>
        <v>4392.6077691090886</v>
      </c>
      <c r="L7" s="112">
        <f>'FCF &amp; Other'!L28</f>
        <v>3264.8509313359541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38986.161121246972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H7/(1+$C$15)^H9</f>
        <v>3548.4838186724769</v>
      </c>
      <c r="I10" s="126">
        <f t="shared" ref="I10:L10" si="0">I7/(1+$C$15)^I9</f>
        <v>3780.7590160288928</v>
      </c>
      <c r="J10" s="126">
        <f t="shared" si="0"/>
        <v>3183.6632941882463</v>
      </c>
      <c r="K10" s="126">
        <f t="shared" si="0"/>
        <v>3000.2102104426526</v>
      </c>
      <c r="L10" s="126">
        <f t="shared" si="0"/>
        <v>2027.2155598760348</v>
      </c>
      <c r="N10" s="91"/>
    </row>
    <row r="11" spans="1:28" x14ac:dyDescent="0.2">
      <c r="B11" s="1" t="s">
        <v>182</v>
      </c>
      <c r="C11" s="137"/>
      <c r="D11" s="137"/>
      <c r="E11" s="137"/>
      <c r="F11" s="137"/>
      <c r="G11" s="138"/>
      <c r="H11" s="137"/>
      <c r="I11" s="137"/>
      <c r="J11" s="137"/>
      <c r="K11" s="137"/>
      <c r="L11" s="126">
        <f>L8/(1+C15)^L9</f>
        <v>24207.338744402059</v>
      </c>
    </row>
    <row r="13" spans="1:28" x14ac:dyDescent="0.2">
      <c r="B13" s="242" t="s">
        <v>183</v>
      </c>
      <c r="C13" s="242"/>
    </row>
    <row r="14" spans="1:28" x14ac:dyDescent="0.2">
      <c r="B14" s="1" t="s">
        <v>184</v>
      </c>
      <c r="C14" s="140">
        <v>1.4999999999999999E-2</v>
      </c>
    </row>
    <row r="15" spans="1:28" x14ac:dyDescent="0.2">
      <c r="B15" s="1" t="s">
        <v>164</v>
      </c>
      <c r="C15" s="135">
        <f>IF(Overview!C28&gt;0,Overview!C28,WACC!C20)</f>
        <v>0.1</v>
      </c>
    </row>
    <row r="18" spans="2:3" x14ac:dyDescent="0.2">
      <c r="B18" s="242" t="s">
        <v>185</v>
      </c>
      <c r="C18" s="242"/>
    </row>
    <row r="19" spans="2:3" x14ac:dyDescent="0.2">
      <c r="B19" s="1" t="s">
        <v>186</v>
      </c>
      <c r="C19" s="64">
        <f>SUM(H10:L10)</f>
        <v>15540.331899208302</v>
      </c>
    </row>
    <row r="20" spans="2:3" x14ac:dyDescent="0.2">
      <c r="B20" s="1" t="s">
        <v>182</v>
      </c>
      <c r="C20" s="64">
        <f>L11</f>
        <v>24207.338744402059</v>
      </c>
    </row>
    <row r="21" spans="2:3" x14ac:dyDescent="0.2">
      <c r="B21" s="16" t="s">
        <v>187</v>
      </c>
      <c r="C21" s="94">
        <f>C19+C20</f>
        <v>39747.670643610363</v>
      </c>
    </row>
    <row r="22" spans="2:3" x14ac:dyDescent="0.2">
      <c r="B22" s="1" t="s">
        <v>188</v>
      </c>
      <c r="C22" s="88">
        <f>Statement!AC105</f>
        <v>1579</v>
      </c>
    </row>
    <row r="23" spans="2:3" x14ac:dyDescent="0.2">
      <c r="B23" s="1" t="s">
        <v>189</v>
      </c>
      <c r="C23" s="88">
        <f>Statement!AC106</f>
        <v>1052</v>
      </c>
    </row>
    <row r="24" spans="2:3" x14ac:dyDescent="0.2">
      <c r="B24" s="16" t="s">
        <v>190</v>
      </c>
      <c r="C24" s="94">
        <f>C21+C22-C23</f>
        <v>40274.670643610363</v>
      </c>
    </row>
    <row r="25" spans="2:3" x14ac:dyDescent="0.2">
      <c r="B25" s="1" t="s">
        <v>68</v>
      </c>
      <c r="C25" s="88">
        <f>Statement!AC77</f>
        <v>399</v>
      </c>
    </row>
    <row r="26" spans="2:3" x14ac:dyDescent="0.2">
      <c r="B26" s="141" t="s">
        <v>191</v>
      </c>
      <c r="C26" s="142">
        <f>C24/C25</f>
        <v>100.93902416944954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E13" zoomScale="192" zoomScaleNormal="100" workbookViewId="0">
      <selection activeCell="H19" sqref="H1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2" t="s">
        <v>112</v>
      </c>
      <c r="D2" s="242"/>
      <c r="E2" s="242"/>
      <c r="F2" s="242"/>
      <c r="G2" s="254"/>
      <c r="H2" s="255" t="s">
        <v>113</v>
      </c>
      <c r="I2" s="242"/>
      <c r="J2" s="242"/>
      <c r="K2" s="242"/>
      <c r="L2" s="242"/>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6981.6408199999996</v>
      </c>
      <c r="I7" s="92">
        <f>'FCF &amp; Other'!I10</f>
        <v>7567.3629728000014</v>
      </c>
      <c r="J7" s="92">
        <f>'FCF &amp; Other'!J10</f>
        <v>7570.5773107672021</v>
      </c>
      <c r="K7" s="92">
        <f>'FCF &amp; Other'!K10</f>
        <v>6457.9995219121211</v>
      </c>
      <c r="L7" s="92">
        <f>'FCF &amp; Other'!L10</f>
        <v>3932.0637021947737</v>
      </c>
      <c r="N7" s="91"/>
    </row>
    <row r="8" spans="1:14" x14ac:dyDescent="0.2">
      <c r="B8" s="16" t="s">
        <v>266</v>
      </c>
      <c r="C8" s="92">
        <f>'FCF &amp; Other'!C28</f>
        <v>421.35468676401297</v>
      </c>
      <c r="D8" s="92">
        <f>'FCF &amp; Other'!D28</f>
        <v>-449</v>
      </c>
      <c r="E8" s="92">
        <f>'FCF &amp; Other'!E28</f>
        <v>-629</v>
      </c>
      <c r="F8" s="92">
        <f>'FCF &amp; Other'!F28</f>
        <v>1342</v>
      </c>
      <c r="G8" s="93">
        <f>'FCF &amp; Other'!G28</f>
        <v>3535.7563856638062</v>
      </c>
      <c r="H8" s="92">
        <f>'FCF &amp; Other'!H28</f>
        <v>3903.3322005397249</v>
      </c>
      <c r="I8" s="92">
        <f>'FCF &amp; Other'!I28</f>
        <v>4574.7184093949609</v>
      </c>
      <c r="J8" s="92">
        <f>'FCF &amp; Other'!J28</f>
        <v>4237.4558445645571</v>
      </c>
      <c r="K8" s="92">
        <f>'FCF &amp; Other'!K28</f>
        <v>4392.6077691090886</v>
      </c>
      <c r="L8" s="92">
        <f>'FCF &amp; Other'!L28</f>
        <v>3264.8509313359541</v>
      </c>
      <c r="N8" s="91"/>
    </row>
    <row r="9" spans="1:14" x14ac:dyDescent="0.2">
      <c r="N9" s="91"/>
    </row>
    <row r="10" spans="1:14" x14ac:dyDescent="0.2">
      <c r="C10" s="251" t="s">
        <v>121</v>
      </c>
      <c r="D10" s="251"/>
      <c r="E10" s="251"/>
      <c r="F10" s="251"/>
      <c r="G10" s="251"/>
      <c r="H10" s="251"/>
      <c r="I10" s="251"/>
      <c r="J10" s="251"/>
      <c r="K10" s="251"/>
      <c r="L10" s="251"/>
      <c r="N10" s="91"/>
    </row>
    <row r="11" spans="1:14" x14ac:dyDescent="0.2">
      <c r="B11" s="16" t="s">
        <v>194</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7"/>
      <c r="D12" s="95">
        <f>(D6-C6)/C6</f>
        <v>-0.66716330548608527</v>
      </c>
      <c r="E12" s="95">
        <f t="shared" ref="E12:L12" si="1">(E6-D6)/D6</f>
        <v>9.9120703437250192E-3</v>
      </c>
      <c r="F12" s="95">
        <f t="shared" si="1"/>
        <v>0.50704448314073136</v>
      </c>
      <c r="G12" s="96">
        <f t="shared" si="1"/>
        <v>0.35703781512605043</v>
      </c>
      <c r="H12" s="95">
        <f t="shared" si="1"/>
        <v>0.25678256831024071</v>
      </c>
      <c r="I12" s="95">
        <f t="shared" si="1"/>
        <v>0.16518672408014276</v>
      </c>
      <c r="J12" s="95">
        <f t="shared" si="1"/>
        <v>5.3078698196417966E-2</v>
      </c>
      <c r="K12" s="95">
        <f t="shared" si="1"/>
        <v>-4.6603201411941859E-2</v>
      </c>
      <c r="L12" s="95">
        <f t="shared" si="1"/>
        <v>-0.13743821763865016</v>
      </c>
      <c r="N12" s="91"/>
    </row>
    <row r="13" spans="1:14" x14ac:dyDescent="0.2">
      <c r="B13" s="1" t="s">
        <v>156</v>
      </c>
      <c r="C13" s="137"/>
      <c r="D13" s="95">
        <f>IF(C7=0,
IF(D7=0,0,IF(D7&gt;0,1,-1)),
(D7-C7)/ABS(C7)
)</f>
        <v>-1.2291928063571727</v>
      </c>
      <c r="E13" s="95">
        <f t="shared" ref="E13:L13" si="2">IF(D7=0,
IF(E7=0,0,IF(E7&gt;0,1,-1)),
(E7-D7)/ABS(D7)
)</f>
        <v>0.26459854014598538</v>
      </c>
      <c r="F13" s="95">
        <f t="shared" si="2"/>
        <v>6.7915632754342434</v>
      </c>
      <c r="G13" s="96">
        <f t="shared" si="2"/>
        <v>0.9078834618680377</v>
      </c>
      <c r="H13" s="95">
        <f t="shared" si="2"/>
        <v>0.56785107118796307</v>
      </c>
      <c r="I13" s="95">
        <f t="shared" si="2"/>
        <v>8.3894627051295634E-2</v>
      </c>
      <c r="J13" s="95">
        <f t="shared" si="2"/>
        <v>4.2476328659722337E-4</v>
      </c>
      <c r="K13" s="95">
        <f t="shared" si="2"/>
        <v>-0.14696075915805323</v>
      </c>
      <c r="L13" s="95">
        <f t="shared" si="2"/>
        <v>-0.39113285950963556</v>
      </c>
      <c r="N13" s="91"/>
    </row>
    <row r="14" spans="1:14" x14ac:dyDescent="0.2">
      <c r="B14" s="1" t="s">
        <v>266</v>
      </c>
      <c r="C14" s="137"/>
      <c r="D14" s="95">
        <f>IF(C8=0,
IF(D8=0,0,IF(D8&gt;0,1,-1)),
(D8-C8)/ABS(C8)
)</f>
        <v>-2.0656105511684277</v>
      </c>
      <c r="E14" s="95">
        <f t="shared" ref="E14:L14" si="3">IF(D8=0,
IF(E8=0,0,IF(E8&gt;0,1,-1)),
(E8-D8)/ABS(D8)
)</f>
        <v>-0.40089086859688194</v>
      </c>
      <c r="F14" s="95">
        <f t="shared" si="3"/>
        <v>3.1335453100158981</v>
      </c>
      <c r="G14" s="96">
        <f t="shared" si="3"/>
        <v>1.6346917925959807</v>
      </c>
      <c r="H14" s="95">
        <f t="shared" si="3"/>
        <v>0.10395959867775496</v>
      </c>
      <c r="I14" s="95">
        <f t="shared" si="3"/>
        <v>0.17200334851397006</v>
      </c>
      <c r="J14" s="95">
        <f t="shared" si="3"/>
        <v>-7.3723131053875984E-2</v>
      </c>
      <c r="K14" s="95">
        <f t="shared" si="3"/>
        <v>3.6614405019357796E-2</v>
      </c>
      <c r="L14" s="95">
        <f t="shared" si="3"/>
        <v>-0.2567397084037546</v>
      </c>
      <c r="N14" s="91"/>
    </row>
    <row r="15" spans="1:14" x14ac:dyDescent="0.2">
      <c r="N15" s="91"/>
    </row>
    <row r="16" spans="1:14" x14ac:dyDescent="0.2">
      <c r="C16" s="251" t="s">
        <v>195</v>
      </c>
      <c r="D16" s="251"/>
      <c r="E16" s="251"/>
      <c r="F16" s="251"/>
      <c r="G16" s="251"/>
      <c r="H16" s="251"/>
      <c r="I16" s="251"/>
      <c r="J16" s="251"/>
      <c r="K16" s="251"/>
      <c r="L16" s="251"/>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196</v>
      </c>
      <c r="C18" s="100">
        <f>Statement!M21</f>
        <v>399.10799999999995</v>
      </c>
      <c r="D18" s="100">
        <f>Statement!N21</f>
        <v>401.63399999999996</v>
      </c>
      <c r="E18" s="100">
        <f>Statement!O21</f>
        <v>411.73799999999994</v>
      </c>
      <c r="F18" s="100">
        <f>Statement!P21</f>
        <v>359</v>
      </c>
      <c r="G18" s="101">
        <f>Statement!Q21</f>
        <v>388.13838550247112</v>
      </c>
      <c r="H18" s="143">
        <f>G18*(1+H19)</f>
        <v>419.18945634266885</v>
      </c>
      <c r="I18" s="143">
        <f t="shared" ref="I18:L18" si="5">H18*(1+I19)</f>
        <v>448.53271828665567</v>
      </c>
      <c r="J18" s="143">
        <f t="shared" si="5"/>
        <v>461.98869983525537</v>
      </c>
      <c r="K18" s="143">
        <f t="shared" si="5"/>
        <v>471.22847383196051</v>
      </c>
      <c r="L18" s="143">
        <f t="shared" si="5"/>
        <v>475.94075857028014</v>
      </c>
      <c r="N18" s="91"/>
    </row>
    <row r="19" spans="2:14" x14ac:dyDescent="0.2">
      <c r="B19" s="1" t="s">
        <v>197</v>
      </c>
      <c r="C19" s="137"/>
      <c r="D19" s="144">
        <f>D18/C18-1</f>
        <v>6.3291139240506666E-3</v>
      </c>
      <c r="E19" s="144">
        <f t="shared" ref="E19:G19" si="6">E18/D18-1</f>
        <v>2.515723270440251E-2</v>
      </c>
      <c r="F19" s="144">
        <f t="shared" si="6"/>
        <v>-0.12808630731193127</v>
      </c>
      <c r="G19" s="145">
        <f t="shared" si="6"/>
        <v>8.1165419226939095E-2</v>
      </c>
      <c r="H19" s="146">
        <v>0.08</v>
      </c>
      <c r="I19" s="97">
        <v>7.0000000000000007E-2</v>
      </c>
      <c r="J19" s="97">
        <v>0.03</v>
      </c>
      <c r="K19" s="97">
        <v>0.02</v>
      </c>
      <c r="L19" s="97">
        <v>0.01</v>
      </c>
      <c r="N19" s="91"/>
    </row>
    <row r="20" spans="2:14" x14ac:dyDescent="0.2">
      <c r="N20" s="91"/>
    </row>
    <row r="21" spans="2:14" x14ac:dyDescent="0.2">
      <c r="C21" s="251" t="s">
        <v>198</v>
      </c>
      <c r="D21" s="251"/>
      <c r="E21" s="251"/>
      <c r="F21" s="251"/>
      <c r="G21" s="251"/>
      <c r="H21" s="251"/>
      <c r="I21" s="251"/>
      <c r="J21" s="251"/>
      <c r="K21" s="251"/>
      <c r="L21" s="251"/>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7">
        <f>Statement!M114</f>
        <v>36.950000000000003</v>
      </c>
      <c r="D23" s="147">
        <f>Statement!N114</f>
        <v>39.06</v>
      </c>
      <c r="E23" s="147">
        <f>Statement!O114</f>
        <v>75.77</v>
      </c>
      <c r="F23" s="147">
        <f>Statement!P114</f>
        <v>63.83</v>
      </c>
      <c r="G23" s="148">
        <f>Statement!Q114</f>
        <v>539</v>
      </c>
      <c r="H23" s="137"/>
      <c r="I23" s="137"/>
      <c r="J23" s="137"/>
      <c r="K23" s="137"/>
      <c r="L23" s="137"/>
      <c r="N23" s="91"/>
    </row>
    <row r="24" spans="2:14" x14ac:dyDescent="0.2">
      <c r="N24" s="91"/>
    </row>
    <row r="25" spans="2:14" x14ac:dyDescent="0.2">
      <c r="N25" s="91"/>
    </row>
    <row r="26" spans="2:14" x14ac:dyDescent="0.2">
      <c r="C26" s="251" t="s">
        <v>199</v>
      </c>
      <c r="D26" s="251"/>
      <c r="E26" s="251"/>
      <c r="F26" s="251"/>
      <c r="G26" s="251"/>
      <c r="H26" s="251"/>
      <c r="I26" s="251"/>
      <c r="J26" s="251"/>
      <c r="K26" s="251"/>
      <c r="L26" s="251"/>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200</v>
      </c>
      <c r="C28" s="149">
        <f>C23/(C6/C18)</f>
        <v>0.78470923216091093</v>
      </c>
      <c r="D28" s="149">
        <f t="shared" ref="D28:G28" si="9">D23/(D6/D18)</f>
        <v>2.5080454100719423</v>
      </c>
      <c r="E28" s="149">
        <f t="shared" si="9"/>
        <v>4.9386399018521443</v>
      </c>
      <c r="F28" s="149">
        <f t="shared" si="9"/>
        <v>2.407034663865546</v>
      </c>
      <c r="G28" s="150">
        <f t="shared" si="9"/>
        <v>16.19371389316758</v>
      </c>
      <c r="H28" s="137"/>
      <c r="I28" s="137"/>
      <c r="J28" s="137"/>
      <c r="K28" s="137"/>
      <c r="L28" s="137"/>
      <c r="N28" s="91"/>
    </row>
    <row r="29" spans="2:14" x14ac:dyDescent="0.2">
      <c r="B29" s="1" t="s">
        <v>201</v>
      </c>
      <c r="C29" s="143">
        <f>C23*C18</f>
        <v>14747.040599999998</v>
      </c>
      <c r="D29" s="143">
        <f t="shared" ref="D29:G29" si="10">D23*D18</f>
        <v>15687.82404</v>
      </c>
      <c r="E29" s="143">
        <f t="shared" si="10"/>
        <v>31197.388259999992</v>
      </c>
      <c r="F29" s="143">
        <f t="shared" si="10"/>
        <v>22914.97</v>
      </c>
      <c r="G29" s="151">
        <f t="shared" si="10"/>
        <v>209206.58978583192</v>
      </c>
      <c r="H29" s="137"/>
      <c r="I29" s="137"/>
      <c r="J29" s="137"/>
      <c r="K29" s="137"/>
      <c r="L29" s="137"/>
      <c r="N29" s="91"/>
    </row>
    <row r="30" spans="2:14" x14ac:dyDescent="0.2">
      <c r="B30" s="1" t="s">
        <v>168</v>
      </c>
      <c r="C30" s="88">
        <f>Statement!M106</f>
        <v>7002</v>
      </c>
      <c r="D30" s="152">
        <f>Statement!N106</f>
        <v>7070</v>
      </c>
      <c r="E30" s="152">
        <f>Statement!O106</f>
        <v>7434</v>
      </c>
      <c r="F30" s="152">
        <f>Statement!P106</f>
        <v>4711</v>
      </c>
      <c r="G30" s="153">
        <f>Statement!Q106</f>
        <v>1052</v>
      </c>
      <c r="H30" s="137"/>
      <c r="I30" s="137"/>
      <c r="J30" s="137"/>
      <c r="K30" s="137"/>
      <c r="L30" s="137"/>
      <c r="N30" s="91"/>
    </row>
    <row r="31" spans="2:14" x14ac:dyDescent="0.2">
      <c r="B31" s="1" t="s">
        <v>177</v>
      </c>
      <c r="C31" s="152">
        <f>Statement!M105</f>
        <v>2327</v>
      </c>
      <c r="D31" s="152">
        <f>Statement!N105</f>
        <v>2023</v>
      </c>
      <c r="E31" s="152">
        <f>Statement!O105</f>
        <v>1879</v>
      </c>
      <c r="F31" s="152">
        <f>Statement!P105</f>
        <v>2114</v>
      </c>
      <c r="G31" s="153">
        <f>Statement!Q105</f>
        <v>1579</v>
      </c>
      <c r="H31" s="137"/>
      <c r="I31" s="137"/>
      <c r="J31" s="137"/>
      <c r="K31" s="137"/>
      <c r="L31" s="137"/>
      <c r="N31" s="91"/>
    </row>
    <row r="32" spans="2:14" x14ac:dyDescent="0.2">
      <c r="B32" s="1" t="s">
        <v>202</v>
      </c>
      <c r="C32" s="143">
        <f>C29+C30-C31</f>
        <v>19422.0406</v>
      </c>
      <c r="D32" s="143">
        <f t="shared" ref="D32:G32" si="11">D29+D30-D31</f>
        <v>20734.82404</v>
      </c>
      <c r="E32" s="143">
        <f t="shared" si="11"/>
        <v>36752.388259999992</v>
      </c>
      <c r="F32" s="143">
        <f t="shared" si="11"/>
        <v>25511.97</v>
      </c>
      <c r="G32" s="151">
        <f t="shared" si="11"/>
        <v>208679.58978583192</v>
      </c>
      <c r="H32" s="137"/>
      <c r="I32" s="137"/>
      <c r="J32" s="137"/>
      <c r="K32" s="137"/>
      <c r="L32" s="137"/>
      <c r="N32" s="91"/>
    </row>
    <row r="33" spans="2:14" x14ac:dyDescent="0.2">
      <c r="B33" s="16" t="s">
        <v>203</v>
      </c>
      <c r="C33" s="149">
        <f>C32/C7</f>
        <v>8.1229780844834796</v>
      </c>
      <c r="D33" s="149">
        <f t="shared" ref="D33:G33" si="12">D32/D7</f>
        <v>-37.8372701459854</v>
      </c>
      <c r="E33" s="149">
        <f t="shared" si="12"/>
        <v>-91.196993200992537</v>
      </c>
      <c r="F33" s="149">
        <f t="shared" si="12"/>
        <v>10.930578406169666</v>
      </c>
      <c r="G33" s="150">
        <f t="shared" si="12"/>
        <v>46.862697010067805</v>
      </c>
      <c r="H33" s="137"/>
      <c r="I33" s="137"/>
      <c r="J33" s="137"/>
      <c r="K33" s="137"/>
      <c r="L33" s="137"/>
      <c r="N33" s="91"/>
    </row>
    <row r="34" spans="2:14" x14ac:dyDescent="0.2">
      <c r="B34" s="16" t="s">
        <v>325</v>
      </c>
      <c r="C34" s="149">
        <f>C32/C8</f>
        <v>46.094279261874334</v>
      </c>
      <c r="D34" s="149">
        <f t="shared" ref="D34:G34" si="13">D32/D8</f>
        <v>-46.180008997772831</v>
      </c>
      <c r="E34" s="149">
        <f t="shared" si="13"/>
        <v>-58.429870047694742</v>
      </c>
      <c r="F34" s="149">
        <f t="shared" si="13"/>
        <v>19.010409836065573</v>
      </c>
      <c r="G34" s="150">
        <f t="shared" si="13"/>
        <v>59.019787288499579</v>
      </c>
      <c r="H34" s="137"/>
      <c r="I34" s="137"/>
      <c r="J34" s="137"/>
      <c r="K34" s="137"/>
      <c r="L34" s="137"/>
      <c r="N34" s="91"/>
    </row>
    <row r="35" spans="2:14" x14ac:dyDescent="0.2">
      <c r="N35" s="91"/>
    </row>
    <row r="36" spans="2:14" x14ac:dyDescent="0.2">
      <c r="N36" s="91"/>
    </row>
    <row r="37" spans="2:14" x14ac:dyDescent="0.2">
      <c r="B37" s="242" t="s">
        <v>204</v>
      </c>
      <c r="C37" s="242"/>
      <c r="N37" s="91"/>
    </row>
    <row r="38" spans="2:14" x14ac:dyDescent="0.2">
      <c r="B38" s="1" t="s">
        <v>205</v>
      </c>
      <c r="C38" s="64">
        <f>L7</f>
        <v>3932.0637021947737</v>
      </c>
    </row>
    <row r="39" spans="2:14" x14ac:dyDescent="0.2">
      <c r="B39" s="1" t="s">
        <v>164</v>
      </c>
      <c r="C39" s="135">
        <f>IF(Overview!C28&gt;0,Overview!C28,WACC!C20)</f>
        <v>0.1</v>
      </c>
    </row>
    <row r="40" spans="2:14" x14ac:dyDescent="0.2">
      <c r="B40" s="39" t="s">
        <v>206</v>
      </c>
      <c r="C40" s="105">
        <v>15</v>
      </c>
    </row>
    <row r="41" spans="2:14" x14ac:dyDescent="0.2">
      <c r="B41" s="1" t="s">
        <v>202</v>
      </c>
      <c r="C41" s="24">
        <f>(C38*C40)</f>
        <v>58980.955532921602</v>
      </c>
    </row>
    <row r="42" spans="2:14" x14ac:dyDescent="0.2">
      <c r="B42" s="1" t="s">
        <v>352</v>
      </c>
      <c r="C42" s="24">
        <f>C41/(1+C39)^5-G30+G31</f>
        <v>37149.532944794868</v>
      </c>
    </row>
    <row r="43" spans="2:14" x14ac:dyDescent="0.2">
      <c r="B43" s="1" t="s">
        <v>188</v>
      </c>
      <c r="C43" s="88">
        <f>Statement!AC105</f>
        <v>1579</v>
      </c>
    </row>
    <row r="44" spans="2:14" x14ac:dyDescent="0.2">
      <c r="B44" s="1" t="s">
        <v>189</v>
      </c>
      <c r="C44" s="88">
        <f>Statement!AC106</f>
        <v>1052</v>
      </c>
    </row>
    <row r="45" spans="2:14" x14ac:dyDescent="0.2">
      <c r="B45" s="1" t="s">
        <v>190</v>
      </c>
      <c r="C45" s="24">
        <f>C42+C43-C44</f>
        <v>37676.532944794868</v>
      </c>
    </row>
    <row r="46" spans="2:14" x14ac:dyDescent="0.2">
      <c r="B46" s="1" t="s">
        <v>68</v>
      </c>
      <c r="C46" s="88">
        <f>Statement!AC77</f>
        <v>399</v>
      </c>
    </row>
    <row r="47" spans="2:14" x14ac:dyDescent="0.2">
      <c r="B47" s="141" t="s">
        <v>208</v>
      </c>
      <c r="C47" s="142">
        <f>C45/C46</f>
        <v>94.427400864147543</v>
      </c>
    </row>
    <row r="49" spans="2:3" x14ac:dyDescent="0.2">
      <c r="B49" s="242" t="s">
        <v>209</v>
      </c>
      <c r="C49" s="242"/>
    </row>
    <row r="50" spans="2:3" x14ac:dyDescent="0.2">
      <c r="B50" s="1" t="s">
        <v>210</v>
      </c>
      <c r="C50" s="64">
        <f>L6</f>
        <v>16383.598759144892</v>
      </c>
    </row>
    <row r="51" spans="2:3" x14ac:dyDescent="0.2">
      <c r="B51" s="1" t="s">
        <v>351</v>
      </c>
      <c r="C51" s="135">
        <f>IF(Overview!C29&gt;0,Overview!C29,WACC!C19)</f>
        <v>0.11</v>
      </c>
    </row>
    <row r="52" spans="2:3" x14ac:dyDescent="0.2">
      <c r="B52" s="39" t="s">
        <v>211</v>
      </c>
      <c r="C52" s="105">
        <v>5</v>
      </c>
    </row>
    <row r="53" spans="2:3" x14ac:dyDescent="0.2">
      <c r="B53" s="1" t="s">
        <v>207</v>
      </c>
      <c r="C53" s="24">
        <f>L18</f>
        <v>475.94075857028014</v>
      </c>
    </row>
    <row r="54" spans="2:3" x14ac:dyDescent="0.2">
      <c r="B54" s="1" t="s">
        <v>191</v>
      </c>
      <c r="C54" s="24">
        <f>(C50*C52)/C53</f>
        <v>172.11804688004668</v>
      </c>
    </row>
    <row r="55" spans="2:3" x14ac:dyDescent="0.2">
      <c r="B55" s="141" t="s">
        <v>208</v>
      </c>
      <c r="C55" s="142">
        <f>C54/(1+C51)^5</f>
        <v>102.14368350380896</v>
      </c>
    </row>
    <row r="57" spans="2:3" x14ac:dyDescent="0.2">
      <c r="B57" s="242" t="s">
        <v>326</v>
      </c>
      <c r="C57" s="242"/>
    </row>
    <row r="58" spans="2:3" x14ac:dyDescent="0.2">
      <c r="B58" s="1" t="s">
        <v>212</v>
      </c>
      <c r="C58" s="64">
        <f>L8</f>
        <v>3264.8509313359541</v>
      </c>
    </row>
    <row r="59" spans="2:3" x14ac:dyDescent="0.2">
      <c r="B59" s="1" t="s">
        <v>164</v>
      </c>
      <c r="C59" s="135">
        <f>IF(Overview!C28&gt;0,Overview!C28,WACC!C20)</f>
        <v>0.1</v>
      </c>
    </row>
    <row r="60" spans="2:3" x14ac:dyDescent="0.2">
      <c r="B60" s="39" t="s">
        <v>353</v>
      </c>
      <c r="C60" s="105">
        <v>21</v>
      </c>
    </row>
    <row r="61" spans="2:3" x14ac:dyDescent="0.2">
      <c r="B61" s="1" t="s">
        <v>202</v>
      </c>
      <c r="C61" s="24">
        <f>(C58*C60)</f>
        <v>68561.869558055041</v>
      </c>
    </row>
    <row r="62" spans="2:3" x14ac:dyDescent="0.2">
      <c r="B62" s="1" t="s">
        <v>352</v>
      </c>
      <c r="C62" s="24">
        <f>C61/(1+C59)^5-G30+G31</f>
        <v>43098.526757396736</v>
      </c>
    </row>
    <row r="63" spans="2:3" x14ac:dyDescent="0.2">
      <c r="B63" s="1" t="s">
        <v>188</v>
      </c>
      <c r="C63" s="88">
        <f>Statement!AC105</f>
        <v>1579</v>
      </c>
    </row>
    <row r="64" spans="2:3" x14ac:dyDescent="0.2">
      <c r="B64" s="1" t="s">
        <v>189</v>
      </c>
      <c r="C64" s="88">
        <f>Statement!AC106</f>
        <v>1052</v>
      </c>
    </row>
    <row r="65" spans="2:3" x14ac:dyDescent="0.2">
      <c r="B65" s="1" t="s">
        <v>190</v>
      </c>
      <c r="C65" s="24">
        <f>C62+C63-C64</f>
        <v>43625.526757396736</v>
      </c>
    </row>
    <row r="66" spans="2:3" x14ac:dyDescent="0.2">
      <c r="B66" s="1" t="s">
        <v>68</v>
      </c>
      <c r="C66" s="88">
        <f>Statement!AC77</f>
        <v>399</v>
      </c>
    </row>
    <row r="67" spans="2:3" x14ac:dyDescent="0.2">
      <c r="B67" s="141" t="s">
        <v>208</v>
      </c>
      <c r="C67" s="142">
        <f>C65/C66</f>
        <v>109.33715979297428</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2" t="s">
        <v>214</v>
      </c>
      <c r="C4" s="242"/>
      <c r="N4" s="91"/>
    </row>
    <row r="5" spans="1:14" x14ac:dyDescent="0.2">
      <c r="B5" s="1" t="s">
        <v>215</v>
      </c>
      <c r="C5" s="133">
        <f>DCF!C26</f>
        <v>100.93902416944954</v>
      </c>
    </row>
    <row r="6" spans="1:14" x14ac:dyDescent="0.2">
      <c r="B6" s="1" t="s">
        <v>216</v>
      </c>
      <c r="C6" s="133">
        <f>Multiples!C47</f>
        <v>94.427400864147543</v>
      </c>
    </row>
    <row r="7" spans="1:14" x14ac:dyDescent="0.2">
      <c r="B7" s="1" t="s">
        <v>217</v>
      </c>
      <c r="C7" s="133">
        <f>Multiples!C55</f>
        <v>102.14368350380896</v>
      </c>
    </row>
    <row r="8" spans="1:14" x14ac:dyDescent="0.2">
      <c r="B8" s="1" t="s">
        <v>327</v>
      </c>
      <c r="C8" s="133">
        <f>Multiples!C67</f>
        <v>109.33715979297428</v>
      </c>
    </row>
    <row r="9" spans="1:14" x14ac:dyDescent="0.2">
      <c r="B9" s="141" t="s">
        <v>218</v>
      </c>
      <c r="C9" s="142">
        <f>AVERAGE(C5:C8)</f>
        <v>101.71181708259508</v>
      </c>
    </row>
    <row r="10" spans="1:14" x14ac:dyDescent="0.2">
      <c r="B10" s="1" t="s">
        <v>219</v>
      </c>
      <c r="C10" s="133">
        <f ca="1">Overview!C5</f>
        <v>460.16500000000002</v>
      </c>
    </row>
    <row r="11" spans="1:14" x14ac:dyDescent="0.2">
      <c r="B11" s="1" t="s">
        <v>220</v>
      </c>
      <c r="C11" s="154">
        <f ca="1">(C9-C10)/C10</f>
        <v>-0.77896663787425147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4"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372</v>
      </c>
    </row>
    <row r="2" spans="1:14" x14ac:dyDescent="0.2">
      <c r="A2" s="4"/>
      <c r="C2" s="242" t="s">
        <v>112</v>
      </c>
      <c r="D2" s="242"/>
      <c r="E2" s="242"/>
      <c r="F2" s="242"/>
      <c r="G2" s="254"/>
      <c r="H2" s="255" t="s">
        <v>113</v>
      </c>
      <c r="I2" s="242"/>
      <c r="J2" s="242"/>
      <c r="K2" s="242"/>
      <c r="L2" s="242"/>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30">
        <f>Statement!M25</f>
        <v>3.7608867775138561</v>
      </c>
      <c r="D6" s="230">
        <f>Statement!N25</f>
        <v>-2.3040380047505939</v>
      </c>
      <c r="E6" s="230">
        <f>Statement!O25</f>
        <v>-1.9873317498020586</v>
      </c>
      <c r="F6" s="230">
        <f>Statement!P25</f>
        <v>4.45</v>
      </c>
      <c r="G6" s="231">
        <f>Statement!Q25</f>
        <v>24.28</v>
      </c>
      <c r="H6" s="137"/>
      <c r="I6" s="137"/>
      <c r="J6" s="137"/>
      <c r="K6" s="137"/>
      <c r="L6" s="137"/>
      <c r="N6" s="91"/>
    </row>
    <row r="7" spans="1:14" x14ac:dyDescent="0.2">
      <c r="B7" s="16" t="s">
        <v>373</v>
      </c>
      <c r="C7" s="230">
        <f>Statement!M81</f>
        <v>0</v>
      </c>
      <c r="D7" s="230">
        <f>Statement!N81</f>
        <v>0</v>
      </c>
      <c r="E7" s="230">
        <f>Statement!O81</f>
        <v>0</v>
      </c>
      <c r="F7" s="230">
        <f>Statement!P81</f>
        <v>0.1</v>
      </c>
      <c r="G7" s="231">
        <f>Statement!Q81</f>
        <v>0.5</v>
      </c>
      <c r="H7" s="137"/>
      <c r="I7" s="137"/>
      <c r="J7" s="137"/>
      <c r="K7" s="137"/>
      <c r="L7" s="137"/>
      <c r="N7" s="91"/>
    </row>
    <row r="8" spans="1:14" x14ac:dyDescent="0.2">
      <c r="N8" s="91"/>
    </row>
    <row r="9" spans="1:14" x14ac:dyDescent="0.2">
      <c r="C9" s="251" t="s">
        <v>121</v>
      </c>
      <c r="D9" s="251"/>
      <c r="E9" s="251"/>
      <c r="F9" s="251"/>
      <c r="G9" s="251"/>
      <c r="H9" s="251"/>
      <c r="I9" s="251"/>
      <c r="J9" s="251"/>
      <c r="K9" s="251"/>
      <c r="L9" s="251"/>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247</v>
      </c>
      <c r="C11" s="137"/>
      <c r="D11" s="95">
        <f>(D6-C6)/C6</f>
        <v>-1.6126315789473684</v>
      </c>
      <c r="E11" s="95">
        <f>(E6-D6)/D6</f>
        <v>-0.13745704467353956</v>
      </c>
      <c r="F11" s="95">
        <f>(F6-E6)/E6</f>
        <v>-3.2391832669322711</v>
      </c>
      <c r="G11" s="96">
        <f>(G6-F6)/F6</f>
        <v>4.4561797752808987</v>
      </c>
      <c r="H11" s="137"/>
      <c r="I11" s="137"/>
      <c r="J11" s="137"/>
      <c r="K11" s="137"/>
      <c r="L11" s="137"/>
      <c r="N11" s="91"/>
    </row>
    <row r="12" spans="1:14" x14ac:dyDescent="0.2">
      <c r="B12" s="1" t="s">
        <v>248</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51" t="s">
        <v>374</v>
      </c>
      <c r="D14" s="251"/>
      <c r="E14" s="251"/>
      <c r="F14" s="251"/>
      <c r="G14" s="251"/>
      <c r="H14" s="251"/>
      <c r="I14" s="251"/>
      <c r="J14" s="251"/>
      <c r="K14" s="251"/>
      <c r="L14" s="251"/>
      <c r="N14" s="91"/>
    </row>
    <row r="15" spans="1:14" x14ac:dyDescent="0.2">
      <c r="B15" s="16" t="s">
        <v>339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375</v>
      </c>
      <c r="C16" s="95">
        <f>C7/C6</f>
        <v>0</v>
      </c>
      <c r="D16" s="95">
        <f t="shared" ref="D16:G16" si="2">D7/D6</f>
        <v>0</v>
      </c>
      <c r="E16" s="95">
        <f t="shared" si="2"/>
        <v>0</v>
      </c>
      <c r="F16" s="95">
        <f t="shared" si="2"/>
        <v>2.247191011235955E-2</v>
      </c>
      <c r="G16" s="96">
        <f t="shared" si="2"/>
        <v>2.059308072487644E-2</v>
      </c>
      <c r="H16" s="137"/>
      <c r="I16" s="137"/>
      <c r="J16" s="137"/>
      <c r="K16" s="137"/>
      <c r="L16" s="137"/>
      <c r="N16" s="91"/>
    </row>
    <row r="17" spans="2:14" x14ac:dyDescent="0.2">
      <c r="N17" s="91"/>
    </row>
    <row r="18" spans="2:14" x14ac:dyDescent="0.2">
      <c r="N18" s="91"/>
    </row>
    <row r="19" spans="2:14" x14ac:dyDescent="0.2">
      <c r="N19" s="91"/>
    </row>
    <row r="20" spans="2:14" x14ac:dyDescent="0.2">
      <c r="B20" s="242" t="s">
        <v>376</v>
      </c>
      <c r="C20" s="242"/>
      <c r="N20" s="91"/>
    </row>
    <row r="21" spans="2:14" x14ac:dyDescent="0.2">
      <c r="B21" s="1" t="s">
        <v>377</v>
      </c>
      <c r="C21" s="232">
        <f>G7</f>
        <v>0.5</v>
      </c>
    </row>
    <row r="22" spans="2:14" x14ac:dyDescent="0.2">
      <c r="B22" s="1" t="s">
        <v>378</v>
      </c>
      <c r="C22" s="233">
        <v>1</v>
      </c>
    </row>
    <row r="23" spans="2:14" x14ac:dyDescent="0.2">
      <c r="B23" s="39" t="s">
        <v>379</v>
      </c>
      <c r="C23" s="234">
        <f>C21*(1+C22)</f>
        <v>1</v>
      </c>
    </row>
    <row r="24" spans="2:14" x14ac:dyDescent="0.2">
      <c r="B24" s="1" t="s">
        <v>351</v>
      </c>
      <c r="C24" s="135">
        <f>IF(Overview!C29&gt;0,Overview!C29,WACC!C19)</f>
        <v>0.11</v>
      </c>
    </row>
    <row r="25" spans="2:14" x14ac:dyDescent="0.2">
      <c r="B25" s="39" t="s">
        <v>380</v>
      </c>
      <c r="C25" s="233">
        <v>0.02</v>
      </c>
    </row>
    <row r="26" spans="2:14" x14ac:dyDescent="0.2">
      <c r="B26" s="141" t="s">
        <v>208</v>
      </c>
      <c r="C26" s="142">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37"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266</v>
      </c>
      <c r="C7" s="112">
        <f>'FCF &amp; Other'!C28</f>
        <v>421.35468676401297</v>
      </c>
      <c r="D7" s="112">
        <f>'FCF &amp; Other'!D28</f>
        <v>-449</v>
      </c>
      <c r="E7" s="112">
        <f>'FCF &amp; Other'!E28</f>
        <v>-629</v>
      </c>
      <c r="F7" s="112">
        <f>'FCF &amp; Other'!F28</f>
        <v>1342</v>
      </c>
      <c r="G7" s="113">
        <f>'FCF &amp; Other'!G28</f>
        <v>3535.7563856638062</v>
      </c>
      <c r="H7" s="126">
        <f>G7*(1+$C$17)</f>
        <v>4702.5559929328629</v>
      </c>
      <c r="I7" s="126">
        <f t="shared" ref="I7:L7" si="0">H7*(1+$C$17)</f>
        <v>6254.3994706007079</v>
      </c>
      <c r="J7" s="126">
        <f t="shared" si="0"/>
        <v>8318.3512958989413</v>
      </c>
      <c r="K7" s="126">
        <f t="shared" si="0"/>
        <v>11063.407223545593</v>
      </c>
      <c r="L7" s="126">
        <f t="shared" si="0"/>
        <v>14714.33160731564</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187607.72799327443</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H7/(1+$C$21)^H9</f>
        <v>4275.0509026662385</v>
      </c>
      <c r="I10" s="126">
        <f t="shared" ref="I10:L10" si="1">I7/(1+$C$21)^I9</f>
        <v>5168.9251823146342</v>
      </c>
      <c r="J10" s="126">
        <f t="shared" si="1"/>
        <v>6249.7004477076925</v>
      </c>
      <c r="K10" s="126">
        <f t="shared" si="1"/>
        <v>7556.4559958647569</v>
      </c>
      <c r="L10" s="126">
        <f t="shared" si="1"/>
        <v>9136.4422495455692</v>
      </c>
      <c r="N10" s="91"/>
    </row>
    <row r="11" spans="1:28" x14ac:dyDescent="0.2">
      <c r="B11" s="1" t="s">
        <v>182</v>
      </c>
      <c r="C11" s="137"/>
      <c r="D11" s="137"/>
      <c r="E11" s="137"/>
      <c r="F11" s="137"/>
      <c r="G11" s="138"/>
      <c r="H11" s="137"/>
      <c r="I11" s="137"/>
      <c r="J11" s="137"/>
      <c r="K11" s="137"/>
      <c r="L11" s="126">
        <f>L8/(1+C21)^L9</f>
        <v>116489.63868170603</v>
      </c>
    </row>
    <row r="13" spans="1:28" ht="17" thickBot="1" x14ac:dyDescent="0.25"/>
    <row r="14" spans="1:28" x14ac:dyDescent="0.2">
      <c r="B14" s="257" t="s">
        <v>222</v>
      </c>
      <c r="C14" s="258"/>
    </row>
    <row r="15" spans="1:28" x14ac:dyDescent="0.2">
      <c r="B15" s="155" t="s">
        <v>223</v>
      </c>
      <c r="C15" s="156">
        <f ca="1">Overview!C5</f>
        <v>460.16500000000002</v>
      </c>
    </row>
    <row r="16" spans="1:28" x14ac:dyDescent="0.2">
      <c r="B16" s="155" t="s">
        <v>224</v>
      </c>
      <c r="C16" s="156">
        <f>C36</f>
        <v>413.85931706317149</v>
      </c>
    </row>
    <row r="17" spans="2:9" ht="17" thickBot="1" x14ac:dyDescent="0.25">
      <c r="B17" s="157" t="s">
        <v>328</v>
      </c>
      <c r="C17" s="158">
        <v>0.33</v>
      </c>
      <c r="E17" s="259" t="s">
        <v>225</v>
      </c>
      <c r="F17" s="259"/>
      <c r="G17" s="259"/>
      <c r="H17" s="259"/>
      <c r="I17" s="259"/>
    </row>
    <row r="18" spans="2:9" ht="17" thickBot="1" x14ac:dyDescent="0.25"/>
    <row r="19" spans="2:9" x14ac:dyDescent="0.2">
      <c r="B19" s="257" t="s">
        <v>183</v>
      </c>
      <c r="C19" s="258"/>
    </row>
    <row r="20" spans="2:9" x14ac:dyDescent="0.2">
      <c r="B20" s="159" t="s">
        <v>184</v>
      </c>
      <c r="C20" s="160">
        <v>0.02</v>
      </c>
    </row>
    <row r="21" spans="2:9" x14ac:dyDescent="0.2">
      <c r="B21" s="159" t="s">
        <v>164</v>
      </c>
      <c r="C21" s="222">
        <f>IF(Overview!C28&gt;0,Overview!C28,WACC!C20)</f>
        <v>0.1</v>
      </c>
    </row>
    <row r="22" spans="2:9" x14ac:dyDescent="0.2">
      <c r="B22" s="159" t="s">
        <v>68</v>
      </c>
      <c r="C22" s="223">
        <f>Statement!AC74</f>
        <v>361</v>
      </c>
    </row>
    <row r="23" spans="2:9" x14ac:dyDescent="0.2">
      <c r="B23" s="159" t="s">
        <v>226</v>
      </c>
      <c r="C23" s="161">
        <f ca="1">C15*C22</f>
        <v>166119.565</v>
      </c>
    </row>
    <row r="24" spans="2:9" x14ac:dyDescent="0.2">
      <c r="B24" s="159" t="s">
        <v>177</v>
      </c>
      <c r="C24" s="223">
        <f>Statement!AC105</f>
        <v>1579</v>
      </c>
    </row>
    <row r="25" spans="2:9" x14ac:dyDescent="0.2">
      <c r="B25" s="159" t="s">
        <v>168</v>
      </c>
      <c r="C25" s="223">
        <f>Statement!AC106</f>
        <v>1052</v>
      </c>
    </row>
    <row r="26" spans="2:9" ht="17" thickBot="1" x14ac:dyDescent="0.25">
      <c r="B26" s="157" t="s">
        <v>227</v>
      </c>
      <c r="C26" s="162">
        <f ca="1">C23+C25-C24</f>
        <v>165592.565</v>
      </c>
    </row>
    <row r="27" spans="2:9" ht="17" thickBot="1" x14ac:dyDescent="0.25"/>
    <row r="28" spans="2:9" x14ac:dyDescent="0.2">
      <c r="B28" s="257" t="s">
        <v>185</v>
      </c>
      <c r="C28" s="258"/>
    </row>
    <row r="29" spans="2:9" x14ac:dyDescent="0.2">
      <c r="B29" s="159" t="s">
        <v>186</v>
      </c>
      <c r="C29" s="161">
        <f>SUM(H10:L10)</f>
        <v>32386.574778098893</v>
      </c>
    </row>
    <row r="30" spans="2:9" x14ac:dyDescent="0.2">
      <c r="B30" s="159" t="s">
        <v>182</v>
      </c>
      <c r="C30" s="161">
        <f>L11</f>
        <v>116489.63868170603</v>
      </c>
    </row>
    <row r="31" spans="2:9" x14ac:dyDescent="0.2">
      <c r="B31" s="163" t="s">
        <v>187</v>
      </c>
      <c r="C31" s="164">
        <f>C29+C30</f>
        <v>148876.21345980492</v>
      </c>
    </row>
    <row r="32" spans="2:9" x14ac:dyDescent="0.2">
      <c r="B32" s="159" t="s">
        <v>188</v>
      </c>
      <c r="C32" s="165">
        <f>C24</f>
        <v>1579</v>
      </c>
    </row>
    <row r="33" spans="2:12" x14ac:dyDescent="0.2">
      <c r="B33" s="159" t="s">
        <v>189</v>
      </c>
      <c r="C33" s="165">
        <f>C25</f>
        <v>1052</v>
      </c>
    </row>
    <row r="34" spans="2:12" x14ac:dyDescent="0.2">
      <c r="B34" s="163" t="s">
        <v>190</v>
      </c>
      <c r="C34" s="164">
        <f>C31+C32-C33</f>
        <v>149403.21345980492</v>
      </c>
    </row>
    <row r="35" spans="2:12" x14ac:dyDescent="0.2">
      <c r="B35" s="159" t="s">
        <v>68</v>
      </c>
      <c r="C35" s="161">
        <f>C22</f>
        <v>361</v>
      </c>
    </row>
    <row r="36" spans="2:12" ht="17" thickBot="1" x14ac:dyDescent="0.25">
      <c r="B36" s="166" t="s">
        <v>191</v>
      </c>
      <c r="C36" s="167">
        <f>C34/C35</f>
        <v>413.85931706317149</v>
      </c>
    </row>
    <row r="39" spans="2:12" x14ac:dyDescent="0.2">
      <c r="C39" s="251" t="s">
        <v>228</v>
      </c>
      <c r="D39" s="251"/>
      <c r="E39" s="251"/>
      <c r="F39" s="251"/>
      <c r="G39" s="251"/>
      <c r="H39" s="251"/>
      <c r="I39" s="251"/>
      <c r="J39" s="251"/>
      <c r="K39" s="251"/>
      <c r="L39" s="251"/>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266</v>
      </c>
      <c r="C41" s="112">
        <f>C7</f>
        <v>421.35468676401297</v>
      </c>
      <c r="D41" s="112">
        <f t="shared" si="2"/>
        <v>-449</v>
      </c>
      <c r="E41" s="112">
        <f t="shared" si="2"/>
        <v>-629</v>
      </c>
      <c r="F41" s="112">
        <f t="shared" si="2"/>
        <v>1342</v>
      </c>
      <c r="G41" s="113">
        <f t="shared" si="2"/>
        <v>3535.7563856638062</v>
      </c>
      <c r="H41" s="143">
        <f t="shared" si="2"/>
        <v>4702.5559929328629</v>
      </c>
      <c r="I41" s="143">
        <f t="shared" si="2"/>
        <v>6254.3994706007079</v>
      </c>
      <c r="J41" s="143">
        <f t="shared" si="2"/>
        <v>8318.3512958989413</v>
      </c>
      <c r="K41" s="143">
        <f t="shared" si="2"/>
        <v>11063.407223545593</v>
      </c>
      <c r="L41" s="143">
        <f t="shared" si="2"/>
        <v>14714.33160731564</v>
      </c>
    </row>
    <row r="42" spans="2:12" x14ac:dyDescent="0.2">
      <c r="B42" s="1" t="s">
        <v>156</v>
      </c>
      <c r="C42" s="112">
        <f>'FCF &amp; Other'!C10</f>
        <v>2391</v>
      </c>
      <c r="D42" s="112">
        <f>'FCF &amp; Other'!D10</f>
        <v>-548</v>
      </c>
      <c r="E42" s="112">
        <f>'FCF &amp; Other'!E10</f>
        <v>-403</v>
      </c>
      <c r="F42" s="112">
        <f>'FCF &amp; Other'!F10</f>
        <v>2334</v>
      </c>
      <c r="G42" s="113">
        <f>'FCF &amp; Other'!G10</f>
        <v>4453</v>
      </c>
      <c r="H42" s="143">
        <f>H41/H43</f>
        <v>4275.0509026662385</v>
      </c>
      <c r="I42" s="143">
        <f t="shared" ref="I42:L42" si="3">I41/I43</f>
        <v>5685.8177005460975</v>
      </c>
      <c r="J42" s="143">
        <f t="shared" si="3"/>
        <v>7562.1375417263098</v>
      </c>
      <c r="K42" s="143">
        <f t="shared" si="3"/>
        <v>10057.642930495993</v>
      </c>
      <c r="L42" s="143">
        <f t="shared" si="3"/>
        <v>13376.665097559671</v>
      </c>
    </row>
    <row r="43" spans="2:12" x14ac:dyDescent="0.2">
      <c r="B43" s="122" t="s">
        <v>329</v>
      </c>
      <c r="C43" s="95">
        <f>C41/C42</f>
        <v>0.1762252976846562</v>
      </c>
      <c r="D43" s="95">
        <f t="shared" ref="D43:G43" si="4">D41/D42</f>
        <v>0.81934306569343063</v>
      </c>
      <c r="E43" s="95">
        <f t="shared" si="4"/>
        <v>1.5607940446650124</v>
      </c>
      <c r="F43" s="95">
        <f t="shared" si="4"/>
        <v>0.57497857754927162</v>
      </c>
      <c r="G43" s="96">
        <f t="shared" si="4"/>
        <v>0.79401670461796681</v>
      </c>
      <c r="H43" s="168">
        <v>1.1000000000000001</v>
      </c>
      <c r="I43" s="168">
        <v>1.1000000000000001</v>
      </c>
      <c r="J43" s="168">
        <v>1.1000000000000001</v>
      </c>
      <c r="K43" s="168">
        <v>1.1000000000000001</v>
      </c>
      <c r="L43" s="168">
        <v>1.1000000000000001</v>
      </c>
    </row>
    <row r="44" spans="2:12" x14ac:dyDescent="0.2">
      <c r="B44" s="1" t="s">
        <v>19</v>
      </c>
      <c r="C44" s="112">
        <f>Revenue!C9</f>
        <v>18793</v>
      </c>
      <c r="D44" s="112">
        <f>Revenue!D9</f>
        <v>6255</v>
      </c>
      <c r="E44" s="112">
        <f>Revenue!E9</f>
        <v>6317</v>
      </c>
      <c r="F44" s="112">
        <f>Revenue!F9</f>
        <v>9520</v>
      </c>
      <c r="G44" s="113">
        <f>Revenue!G9</f>
        <v>12919</v>
      </c>
      <c r="H44" s="143">
        <f>H41/H45</f>
        <v>470255.59929328627</v>
      </c>
      <c r="I44" s="143">
        <f t="shared" ref="I44:L44" si="5">I41/I45</f>
        <v>312719.97353003541</v>
      </c>
      <c r="J44" s="143">
        <f t="shared" si="5"/>
        <v>198055.98323568905</v>
      </c>
      <c r="K44" s="143">
        <f t="shared" si="5"/>
        <v>158048.67462207988</v>
      </c>
      <c r="L44" s="143">
        <f t="shared" si="5"/>
        <v>98095.544048770942</v>
      </c>
    </row>
    <row r="45" spans="2:12" x14ac:dyDescent="0.2">
      <c r="B45" s="122" t="s">
        <v>330</v>
      </c>
      <c r="C45" s="95">
        <f>C41/C44</f>
        <v>2.2420831520460437E-2</v>
      </c>
      <c r="D45" s="95">
        <f t="shared" ref="D45:G45" si="6">D41/D44</f>
        <v>-7.1782573940847319E-2</v>
      </c>
      <c r="E45" s="95">
        <f t="shared" si="6"/>
        <v>-9.9572581921798325E-2</v>
      </c>
      <c r="F45" s="95">
        <f t="shared" si="6"/>
        <v>0.14096638655462185</v>
      </c>
      <c r="G45" s="96">
        <f t="shared" si="6"/>
        <v>0.27368653809612248</v>
      </c>
      <c r="H45" s="168">
        <v>0.01</v>
      </c>
      <c r="I45" s="168">
        <v>0.02</v>
      </c>
      <c r="J45" s="168">
        <v>4.2000000000000003E-2</v>
      </c>
      <c r="K45" s="168">
        <v>7.0000000000000007E-2</v>
      </c>
      <c r="L45" s="168">
        <v>0.15</v>
      </c>
    </row>
    <row r="46" spans="2:12" x14ac:dyDescent="0.2">
      <c r="B46" s="122" t="s">
        <v>331</v>
      </c>
      <c r="C46" s="137"/>
      <c r="D46" s="95">
        <f>D41/C41-1</f>
        <v>-2.0656105511684277</v>
      </c>
      <c r="E46" s="95">
        <f t="shared" ref="E46:L47" si="7">E41/D41-1</f>
        <v>0.40089086859688194</v>
      </c>
      <c r="F46" s="95">
        <f t="shared" si="7"/>
        <v>-3.1335453100158981</v>
      </c>
      <c r="G46" s="96">
        <f t="shared" si="7"/>
        <v>1.634691792595981</v>
      </c>
      <c r="H46" s="169">
        <f t="shared" si="7"/>
        <v>0.33000000000000007</v>
      </c>
      <c r="I46" s="169">
        <f t="shared" si="7"/>
        <v>0.33000000000000007</v>
      </c>
      <c r="J46" s="169">
        <f t="shared" si="7"/>
        <v>0.33000000000000007</v>
      </c>
      <c r="K46" s="169">
        <f t="shared" si="7"/>
        <v>0.33000000000000007</v>
      </c>
      <c r="L46" s="169">
        <f t="shared" si="7"/>
        <v>0.33000000000000007</v>
      </c>
    </row>
    <row r="47" spans="2:12" x14ac:dyDescent="0.2">
      <c r="B47" s="122" t="s">
        <v>229</v>
      </c>
      <c r="C47" s="137"/>
      <c r="D47" s="95">
        <f>D42/C42-1</f>
        <v>-1.2291928063571727</v>
      </c>
      <c r="E47" s="95">
        <f t="shared" si="7"/>
        <v>-0.26459854014598538</v>
      </c>
      <c r="F47" s="95">
        <f t="shared" si="7"/>
        <v>-6.7915632754342434</v>
      </c>
      <c r="G47" s="96">
        <f t="shared" si="7"/>
        <v>0.90788346186803781</v>
      </c>
      <c r="H47" s="169">
        <f t="shared" si="7"/>
        <v>-3.9961620780094687E-2</v>
      </c>
      <c r="I47" s="169">
        <f t="shared" si="7"/>
        <v>0.33000000000000007</v>
      </c>
      <c r="J47" s="169">
        <f t="shared" si="7"/>
        <v>0.33000000000000007</v>
      </c>
      <c r="K47" s="169">
        <f t="shared" si="7"/>
        <v>0.33000000000000007</v>
      </c>
      <c r="L47" s="169">
        <f t="shared" si="7"/>
        <v>0.33000000000000007</v>
      </c>
    </row>
    <row r="48" spans="2:12" x14ac:dyDescent="0.2">
      <c r="B48" s="122" t="s">
        <v>230</v>
      </c>
      <c r="C48" s="137"/>
      <c r="D48" s="95">
        <f>D44/C44-1</f>
        <v>-0.66716330548608527</v>
      </c>
      <c r="E48" s="95">
        <f t="shared" ref="E48:L48" si="8">E44/D44-1</f>
        <v>9.912070343724988E-3</v>
      </c>
      <c r="F48" s="95">
        <f t="shared" si="8"/>
        <v>0.50704448314073125</v>
      </c>
      <c r="G48" s="96">
        <f t="shared" si="8"/>
        <v>0.35703781512605048</v>
      </c>
      <c r="H48" s="169">
        <f t="shared" si="8"/>
        <v>35.400309566784294</v>
      </c>
      <c r="I48" s="169">
        <f t="shared" si="8"/>
        <v>-0.33499999999999996</v>
      </c>
      <c r="J48" s="169">
        <f t="shared" si="8"/>
        <v>-0.36666666666666681</v>
      </c>
      <c r="K48" s="169">
        <f t="shared" si="8"/>
        <v>-0.20199999999999996</v>
      </c>
      <c r="L48" s="169">
        <f t="shared" si="8"/>
        <v>-0.37933333333333319</v>
      </c>
    </row>
    <row r="49" spans="2:12" x14ac:dyDescent="0.2">
      <c r="B49" s="122" t="s">
        <v>231</v>
      </c>
      <c r="C49" s="95">
        <f>C42/C44</f>
        <v>0.12722822327462352</v>
      </c>
      <c r="D49" s="95">
        <f t="shared" ref="D49:L49" si="9">D42/D44</f>
        <v>-8.7609912070343729E-2</v>
      </c>
      <c r="E49" s="95">
        <f t="shared" si="9"/>
        <v>-6.3796105746398601E-2</v>
      </c>
      <c r="F49" s="95">
        <f t="shared" si="9"/>
        <v>0.24516806722689075</v>
      </c>
      <c r="G49" s="96">
        <f t="shared" si="9"/>
        <v>0.34468612121681247</v>
      </c>
      <c r="H49" s="169">
        <f t="shared" si="9"/>
        <v>9.0909090909090905E-3</v>
      </c>
      <c r="I49" s="169">
        <f t="shared" si="9"/>
        <v>1.8181818181818181E-2</v>
      </c>
      <c r="J49" s="169">
        <f t="shared" si="9"/>
        <v>3.8181818181818185E-2</v>
      </c>
      <c r="K49" s="169">
        <f t="shared" si="9"/>
        <v>6.3636363636363644E-2</v>
      </c>
      <c r="L49" s="169">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2026-09-22T18:21:46Z</dcterms:modified>
</cp:coreProperties>
</file>