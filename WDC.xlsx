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7DD9A01-26BE-6246-BE2A-00AE83E16C19}" xr6:coauthVersionLast="47" xr6:coauthVersionMax="47" xr10:uidLastSave="{00000000-0000-0000-0000-000000000000}"/>
  <bookViews>
    <workbookView xWindow="0" yWindow="0" windowWidth="25600" windowHeight="14400" firstSheet="10"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3" l="1"/>
  <c r="C9" i="13"/>
  <c r="C83" i="12"/>
  <c r="C81" i="12"/>
  <c r="C80" i="12"/>
  <c r="C79" i="12"/>
  <c r="C75" i="12"/>
  <c r="C74" i="12"/>
  <c r="C77" i="12"/>
  <c r="G36" i="12"/>
  <c r="F36" i="12"/>
  <c r="E36" i="12"/>
  <c r="D36" i="12"/>
  <c r="C36" i="12"/>
  <c r="G15" i="8"/>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Z177"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Z57" i="3"/>
  <c r="Y57" i="3"/>
  <c r="X57" i="3"/>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AA68"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7" i="3"/>
  <c r="AC83" i="3"/>
  <c r="AC44" i="3"/>
  <c r="AC64" i="3"/>
  <c r="AA110" i="3"/>
  <c r="Q110" i="3"/>
  <c r="AC47" i="3"/>
  <c r="AA109" i="3"/>
  <c r="Q109" i="3"/>
  <c r="AC16" i="3"/>
  <c r="C13" i="10"/>
  <c r="C12" i="10"/>
  <c r="C11" i="10"/>
  <c r="G29" i="7"/>
  <c r="F29" i="7"/>
  <c r="E29" i="7"/>
  <c r="D29" i="7"/>
  <c r="C29" i="7"/>
  <c r="AC55" i="3"/>
  <c r="G14" i="7"/>
  <c r="F14" i="7"/>
  <c r="E14" i="7"/>
  <c r="D14" i="7"/>
  <c r="C14" i="7"/>
  <c r="AA106" i="3"/>
  <c r="AC106" i="3" s="1"/>
  <c r="Q106" i="3"/>
  <c r="E31" i="12"/>
  <c r="D31" i="12"/>
  <c r="AC38" i="3"/>
  <c r="AA76" i="3"/>
  <c r="H8" i="1"/>
  <c r="H7" i="1"/>
  <c r="H6" i="1"/>
  <c r="H5" i="1"/>
  <c r="H4" i="1"/>
  <c r="H3" i="1"/>
  <c r="F28" i="18"/>
  <c r="C28" i="18"/>
  <c r="F26" i="18"/>
  <c r="C26" i="18"/>
  <c r="F24" i="18"/>
  <c r="C24" i="18"/>
  <c r="AA193" i="3"/>
  <c r="AA191" i="3"/>
  <c r="G16" i="18"/>
  <c r="F16" i="18"/>
  <c r="D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7"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Q96" i="3"/>
  <c r="Q95" i="3"/>
  <c r="Q94" i="3"/>
  <c r="Q92" i="3"/>
  <c r="Q91" i="3"/>
  <c r="Q89" i="3"/>
  <c r="Q88" i="3"/>
  <c r="Q25" i="3"/>
  <c r="G6" i="21" s="1"/>
  <c r="Q23"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C78" i="12" l="1"/>
  <c r="C82" i="12" s="1"/>
  <c r="C84" i="12" s="1"/>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AC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H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I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7" i="3"/>
  <c r="AC146" i="3"/>
  <c r="AC143" i="3"/>
  <c r="AA139" i="3"/>
  <c r="AC141" i="3"/>
  <c r="AC139" i="3"/>
  <c r="Q139" i="3"/>
  <c r="F9" i="16"/>
  <c r="F17" i="16"/>
  <c r="AC57" i="3"/>
  <c r="F16" i="16"/>
  <c r="F18" i="16" s="1"/>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3" i="3"/>
  <c r="AC21" i="3"/>
  <c r="AC19" i="3"/>
  <c r="Q90" i="3"/>
  <c r="G82" i="17" s="1"/>
  <c r="E82" i="17"/>
  <c r="C82" i="17"/>
  <c r="F82" i="17"/>
  <c r="D82" i="17"/>
  <c r="AA7" i="5" l="1"/>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P153" i="3" l="1"/>
  <c r="P154" i="3"/>
  <c r="P158" i="3"/>
  <c r="O153" i="3"/>
  <c r="O154" i="3"/>
  <c r="O158" i="3"/>
  <c r="N153" i="3"/>
  <c r="N154" i="3"/>
  <c r="N158" i="3"/>
  <c r="M153" i="3"/>
  <c r="M154" i="3"/>
  <c r="M158" i="3"/>
  <c r="L153" i="3"/>
  <c r="L154" i="3"/>
  <c r="L158" i="3"/>
  <c r="AC77" i="3"/>
  <c r="AA151" i="3"/>
  <c r="AA152" i="3" s="1"/>
  <c r="J6" i="5"/>
  <c r="K21" i="5"/>
  <c r="E5" i="12"/>
  <c r="E6" i="11"/>
  <c r="C67" i="12"/>
  <c r="C46" i="12"/>
  <c r="C24" i="21"/>
  <c r="C26" i="21" s="1"/>
  <c r="I10" i="1" s="1"/>
  <c r="C54" i="12"/>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21" i="3"/>
  <c r="I28" i="17" s="1"/>
  <c r="I33" i="17" s="1"/>
  <c r="C22" i="16"/>
  <c r="AC156" i="3"/>
  <c r="AC138" i="3"/>
  <c r="L61" i="19"/>
  <c r="Q138" i="3"/>
  <c r="L70"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AC169" i="3" l="1"/>
  <c r="I63" i="17"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G5" i="12" l="1"/>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66" i="12" l="1"/>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L9" i="12"/>
  <c r="I3" i="1" l="1"/>
  <c r="AE6" i="5"/>
  <c r="AE22" i="5" s="1"/>
  <c r="AA9" i="5"/>
  <c r="AA13" i="5"/>
  <c r="I7" i="1" l="1"/>
  <c r="X6" i="6"/>
  <c r="X11" i="6" s="1"/>
  <c r="AB11" i="6" s="1"/>
  <c r="AE9" i="5"/>
  <c r="AB6" i="6" s="1"/>
  <c r="AA16" i="5"/>
  <c r="X13" i="6" l="1"/>
  <c r="X12" i="6"/>
  <c r="AB12" i="6" s="1"/>
  <c r="AB13" i="6" l="1"/>
  <c r="X14" i="6"/>
  <c r="X22" i="6" l="1"/>
  <c r="AB14" i="6"/>
  <c r="F27" i="1" s="1"/>
  <c r="C9" i="10" s="1"/>
  <c r="C10" i="10" s="1"/>
  <c r="C11" i="13" s="1"/>
  <c r="C12" i="13" s="1"/>
  <c r="I8"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<sst xmlns="http://schemas.openxmlformats.org/spreadsheetml/2006/main" count="780" uniqueCount="434">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</sst>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9424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3535.7563856638062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0.72946822509482157</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0.67989322559699872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1.0631768953068592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0.50818716392752861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645.59242105263149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1182</c:v>
                </c:pt>
                <c:pt idx="5">
                  <c:v>1842</c:v>
                </c:pt>
                <c:pt idx="6">
                  <c:v>3205</c:v>
                </c:pt>
                <c:pt idx="7">
                  <c:v>3195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0.41944641589779985</c:v>
                </c:pt>
                <c:pt idx="5">
                  <c:v>0.61054027179317205</c:v>
                </c:pt>
                <c:pt idx="6">
                  <c:v>0.96044351213664969</c:v>
                </c:pt>
                <c:pt idx="7">
                  <c:v>0.8526821457165733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1146</c:v>
                </c:pt>
                <c:pt idx="6">
                  <c:v>2071</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105.42</v>
    <v>2.1183000000000001</v>
    <v>6.5</v>
    <v>1.4435E-2</v>
    <v>-0.81</v>
    <v>-1.7730000000000001E-3</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461.98</v>
    <v>3</v>
    <v>Computers, Phones &amp; Household Electronics</v>
    <v>Stock</v>
    <v>46290.999708008596</v>
    <v>4</v>
    <v>447.69</v>
    <v>164698734210</v>
    <v>WESTERN DIGITAL CORPORATION</v>
    <v>WESTERN DIGITAL CORPORATION</v>
    <v>455.24</v>
    <v>18.548999999999999</v>
    <v>450.31</v>
    <v>456.81</v>
    <v>456</v>
    <v>360541000</v>
    <v>WDC</v>
    <v>WESTERN DIGITAL CORPORATION (XNAS:WDC)</v>
    <v>5941924</v>
    <v>6317508</v>
    <v>2000</v>
  </rv>
  <rv s="4">
    <v>5</v>
  </rv>
  <rv s="0">
    <v>https://www.bing.com/financeapi/forcetrigger?t=a33knm&amp;q=10+Y+TSY+YLD+NDX&amp;form=skydnc</v>
    <v>Learn more on Bing</v>
  </rv>
  <rv s="5">
    <v>7</v>
    <v>10 Y TSY YLD NDX</v>
    <v>8</v>
    <v>9</v>
    <v>Finance</v>
    <v>10</v>
    <v>en-US</v>
    <v>a33knm</v>
    <v>268435456</v>
    <v>1</v>
    <v>Powered by Refinitiv</v>
    <v>52.3</v>
    <v>39.47</v>
    <v>0.22</v>
    <v>4.2620000000000002E-3</v>
    <v>US</v>
    <v>52.3</v>
    <v>Index</v>
    <v>7</v>
    <v>51.62</v>
    <v>10 Y TSY YLD NDX</v>
    <v>51.86</v>
    <v>51.62</v>
    <v>51.84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opLeftCell="A2" zoomScale="160" zoomScaleNormal="160" workbookViewId="0">
      <selection activeCell="C53" sqref="C5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4" t="s">
        <v>17</v>
      </c>
      <c r="C2" s="245"/>
      <c r="E2" s="244" t="s">
        <v>286</v>
      </c>
      <c r="F2" s="245"/>
      <c r="H2" s="244" t="s">
        <v>324</v>
      </c>
      <c r="I2" s="245"/>
    </row>
    <row r="3" spans="2:9" x14ac:dyDescent="0.2">
      <c r="B3" s="181" t="s">
        <v>11</v>
      </c>
      <c r="C3" s="213" t="e" vm="1">
        <v>#VALUE!</v>
      </c>
      <c r="D3" s="2"/>
      <c r="E3" s="181" t="s">
        <v>238</v>
      </c>
      <c r="F3" s="183">
        <f ca="1">Statement!AC151</f>
        <v>182267.19</v>
      </c>
      <c r="H3" s="181" t="str">
        <f>'AVG target price'!B5</f>
        <v>DCF price</v>
      </c>
      <c r="I3" s="207">
        <f>'AVG target price'!C5</f>
        <v>100.93902416944954</v>
      </c>
    </row>
    <row r="4" spans="2:9" x14ac:dyDescent="0.2">
      <c r="B4" s="181" t="s">
        <v>0</v>
      </c>
      <c r="C4" s="185" t="str" cm="1">
        <f t="array" aca="1" ref="C4" ca="1">_FV(C3,"Ticker symbol",TRUE)</f>
        <v>WDC</v>
      </c>
      <c r="E4" s="182" t="s">
        <v>187</v>
      </c>
      <c r="F4" s="184">
        <f ca="1">Statement!AC152</f>
        <v>181740.19</v>
      </c>
      <c r="H4" s="181" t="str">
        <f>'AVG target price'!B6</f>
        <v>EV/EBIT price</v>
      </c>
      <c r="I4" s="207">
        <f>'AVG target price'!C6</f>
        <v>126.97405835620837</v>
      </c>
    </row>
    <row r="5" spans="2:9" x14ac:dyDescent="0.2">
      <c r="B5" s="181" t="s">
        <v>1</v>
      </c>
      <c r="C5" s="204" cm="1">
        <f t="array" aca="1" ref="C5" ca="1">_FV(C3,"Price",TRUE)</f>
        <v>456.81</v>
      </c>
      <c r="E5" s="181" t="s">
        <v>242</v>
      </c>
      <c r="F5" s="185">
        <f>Statement!AC25</f>
        <v>24.21</v>
      </c>
      <c r="H5" s="181" t="str">
        <f>'AVG target price'!B7</f>
        <v>PS price</v>
      </c>
      <c r="I5" s="207">
        <f>'AVG target price'!C7</f>
        <v>122.57242020457076</v>
      </c>
    </row>
    <row r="6" spans="2:9" x14ac:dyDescent="0.2">
      <c r="B6" s="181" t="s">
        <v>2</v>
      </c>
      <c r="C6" s="204" cm="1">
        <f t="array" aca="1" ref="C6" ca="1">_FV(C3,"Price (Extended hours)",TRUE)</f>
        <v>456</v>
      </c>
      <c r="E6" s="181" t="s">
        <v>236</v>
      </c>
      <c r="F6" s="186">
        <f ca="1">Statement!AC148</f>
        <v>18.868649318463444</v>
      </c>
      <c r="H6" s="181" t="str">
        <f>'AVG target price'!B8</f>
        <v>EV/FCFF price</v>
      </c>
      <c r="I6" s="207">
        <f>'AVG target price'!C8</f>
        <v>141.88381728503509</v>
      </c>
    </row>
    <row r="7" spans="2:9" x14ac:dyDescent="0.2">
      <c r="B7" s="181" t="s">
        <v>3</v>
      </c>
      <c r="C7" s="6" cm="1">
        <f t="array" aca="1" ref="C7" ca="1">_FV(C3,"Change")</f>
        <v>6.5</v>
      </c>
      <c r="E7" s="182" t="s">
        <v>200</v>
      </c>
      <c r="F7" s="187">
        <f ca="1">Statement!AC149</f>
        <v>13.551546752844647</v>
      </c>
      <c r="H7" s="180" t="str">
        <f>'AVG target price'!B10</f>
        <v>AVG price</v>
      </c>
      <c r="I7" s="208">
        <f>'AVG target price'!C10</f>
        <v>136.10678192151076</v>
      </c>
    </row>
    <row r="8" spans="2:9" x14ac:dyDescent="0.2">
      <c r="B8" s="181" t="s">
        <v>4</v>
      </c>
      <c r="C8" s="6" cm="1">
        <f t="array" aca="1" ref="C8" ca="1">_FV(C3,"Change (extended hours)",TRUE)</f>
        <v>-0.81</v>
      </c>
      <c r="E8" s="181" t="s">
        <v>264</v>
      </c>
      <c r="F8" s="188">
        <f ca="1">Statement!AC159</f>
        <v>2.7426768361327125E-2</v>
      </c>
      <c r="H8" s="180" t="str">
        <f>'AVG target price'!B12</f>
        <v>Upside/Downside</v>
      </c>
      <c r="I8" s="209">
        <f ca="1">'AVG target price'!C12</f>
        <v>-0.70204946931654133</v>
      </c>
    </row>
    <row r="9" spans="2:9" x14ac:dyDescent="0.2">
      <c r="B9" s="181" t="s">
        <v>5</v>
      </c>
      <c r="C9" s="73" cm="1">
        <f t="array" aca="1" ref="C9" ca="1">_FV(C3,"Change (%)",TRUE)</f>
        <v>1.4435E-2</v>
      </c>
      <c r="E9" s="181" t="s">
        <v>287</v>
      </c>
      <c r="F9" s="188">
        <f ca="1">Statement!AC160</f>
        <v>5.2997964142641366E-2</v>
      </c>
    </row>
    <row r="10" spans="2:9" x14ac:dyDescent="0.2">
      <c r="B10" s="181" t="s">
        <v>6</v>
      </c>
      <c r="C10" s="73" cm="1">
        <f t="array" aca="1" ref="C10" ca="1">_FV(C3,"Change % (extended hours)",TRUE)</f>
        <v>-1.7730000000000001E-3</v>
      </c>
      <c r="E10" s="181" t="s">
        <v>292</v>
      </c>
      <c r="F10" s="188">
        <f ca="1">Statement!AC162</f>
        <v>2.3663063001080994E-2</v>
      </c>
      <c r="H10" s="180" t="s">
        <v>362</v>
      </c>
      <c r="I10" s="208">
        <f>DDM!C26</f>
        <v>11.111111111111111</v>
      </c>
    </row>
    <row r="11" spans="2:9" x14ac:dyDescent="0.2">
      <c r="B11" s="181" t="s">
        <v>7</v>
      </c>
      <c r="C11" s="205" cm="1">
        <f t="array" aca="1" ref="C11" ca="1">_FV(C3,"52 week high",TRUE)</f>
        <v>799.87</v>
      </c>
      <c r="E11" s="182" t="s">
        <v>288</v>
      </c>
      <c r="F11" s="189">
        <f ca="1">Statement!AC161</f>
        <v>1.0945469670103544E-3</v>
      </c>
    </row>
    <row r="12" spans="2:9" x14ac:dyDescent="0.2">
      <c r="B12" s="181" t="s">
        <v>8</v>
      </c>
      <c r="C12" s="205" cm="1">
        <f t="array" aca="1" ref="C12" ca="1">_FV(C3,"52 week low",TRUE)</f>
        <v>105.42</v>
      </c>
      <c r="E12" s="181" t="s">
        <v>101</v>
      </c>
      <c r="F12" s="188">
        <f>Statement!AC121</f>
        <v>0.67989322559699872</v>
      </c>
    </row>
    <row r="13" spans="2:9" x14ac:dyDescent="0.2">
      <c r="B13" s="181" t="s">
        <v>9</v>
      </c>
      <c r="C13" s="205" cm="1">
        <f t="array" aca="1" ref="C13" ca="1">_FV(C3,"Beta")</f>
        <v>2.1183000000000001</v>
      </c>
      <c r="E13" s="181" t="s">
        <v>103</v>
      </c>
      <c r="F13" s="188">
        <f>Statement!AC123</f>
        <v>1.0631768953068592</v>
      </c>
    </row>
    <row r="14" spans="2:9" x14ac:dyDescent="0.2">
      <c r="B14" s="182" t="s">
        <v>10</v>
      </c>
      <c r="C14" s="206" cm="1">
        <f t="array" aca="1" ref="C14" ca="1">_FV(C3,"Volume average",TRUE)</f>
        <v>6317508</v>
      </c>
      <c r="E14" s="182" t="s">
        <v>104</v>
      </c>
      <c r="F14" s="189">
        <f>Statement!AC138</f>
        <v>0.50818716392752861</v>
      </c>
    </row>
    <row r="15" spans="2:9" x14ac:dyDescent="0.2">
      <c r="E15" s="181" t="s">
        <v>289</v>
      </c>
      <c r="F15" s="188">
        <f ca="1">Statement!AC174</f>
        <v>2.8913596572153221E-3</v>
      </c>
    </row>
    <row r="16" spans="2:9" x14ac:dyDescent="0.2">
      <c r="E16" s="182" t="s">
        <v>294</v>
      </c>
      <c r="F16" s="187">
        <f>Statement!AC173</f>
        <v>1.4598337950138505</v>
      </c>
    </row>
    <row r="17" spans="2:9" x14ac:dyDescent="0.2">
      <c r="B17" s="246" t="s">
        <v>89</v>
      </c>
      <c r="C17" s="246"/>
      <c r="E17" s="180" t="s">
        <v>295</v>
      </c>
      <c r="F17" s="190">
        <f>Statement!AC169</f>
        <v>2.5062656641604009E-3</v>
      </c>
    </row>
    <row r="18" spans="2:9" x14ac:dyDescent="0.2">
      <c r="B18" s="180" t="s">
        <v>12</v>
      </c>
      <c r="C18" s="69" t="s">
        <v>354</v>
      </c>
      <c r="E18" s="181" t="s">
        <v>296</v>
      </c>
      <c r="F18" s="186">
        <f>Statement!AC142</f>
        <v>42.713410112871273</v>
      </c>
      <c r="I18" s="50"/>
    </row>
    <row r="19" spans="2:9" x14ac:dyDescent="0.2">
      <c r="B19" s="180" t="s">
        <v>13</v>
      </c>
      <c r="C19" s="70">
        <v>1000000</v>
      </c>
      <c r="E19" s="181" t="s">
        <v>257</v>
      </c>
      <c r="F19" s="186">
        <f>Statement!AC144</f>
        <v>-5.9453971119133572E-2</v>
      </c>
    </row>
    <row r="20" spans="2:9" x14ac:dyDescent="0.2">
      <c r="B20" s="180" t="s">
        <v>90</v>
      </c>
      <c r="C20" s="69" t="s">
        <v>93</v>
      </c>
      <c r="E20" s="182" t="s">
        <v>297</v>
      </c>
      <c r="F20" s="187">
        <f>Statement!AC145</f>
        <v>0.85023584905660377</v>
      </c>
    </row>
    <row r="21" spans="2:9" x14ac:dyDescent="0.2">
      <c r="B21" s="180" t="s">
        <v>92</v>
      </c>
      <c r="C21" s="69" t="s">
        <v>93</v>
      </c>
      <c r="I21" s="50"/>
    </row>
    <row r="22" spans="2:9" x14ac:dyDescent="0.2">
      <c r="B22" s="180" t="s">
        <v>94</v>
      </c>
      <c r="C22" s="69" t="s">
        <v>91</v>
      </c>
    </row>
    <row r="25" spans="2:9" x14ac:dyDescent="0.2">
      <c r="B25" s="246" t="s">
        <v>106</v>
      </c>
      <c r="C25" s="246"/>
      <c r="E25" s="244" t="s">
        <v>337</v>
      </c>
      <c r="F25" s="245"/>
    </row>
    <row r="26" spans="2:9" x14ac:dyDescent="0.2">
      <c r="B26" s="180" t="s">
        <v>107</v>
      </c>
      <c r="C26" s="166">
        <v>0.21</v>
      </c>
      <c r="E26" s="181" t="e" vm="2">
        <v>#VALUE!</v>
      </c>
      <c r="F26" s="215" cm="1">
        <f t="array" aca="1" ref="F26" ca="1">_FV(E26,"Price")</f>
        <v>51.84</v>
      </c>
    </row>
    <row r="27" spans="2:9" x14ac:dyDescent="0.2">
      <c r="B27" s="180" t="s">
        <v>171</v>
      </c>
      <c r="C27" s="217">
        <v>3.5000000000000003E-2</v>
      </c>
      <c r="E27" s="182" t="s">
        <v>338</v>
      </c>
      <c r="F27" s="216">
        <f ca="1">F26/1000</f>
        <v>5.1840000000000004E-2</v>
      </c>
    </row>
    <row r="28" spans="2:9" x14ac:dyDescent="0.2">
      <c r="B28" s="180" t="s">
        <v>342</v>
      </c>
      <c r="C28" s="217">
        <v>0.1</v>
      </c>
    </row>
    <row r="29" spans="2:9" x14ac:dyDescent="0.2">
      <c r="B29" s="180" t="s">
        <v>361</v>
      </c>
      <c r="C29" s="217">
        <v>0.11</v>
      </c>
    </row>
    <row r="33" spans="2:8" x14ac:dyDescent="0.2">
      <c r="B33" s="241" t="s">
        <v>332</v>
      </c>
      <c r="C33" s="241"/>
      <c r="D33" s="241"/>
      <c r="E33" s="241"/>
      <c r="F33" s="241"/>
      <c r="G33" s="241"/>
      <c r="H33" s="241"/>
    </row>
    <row r="35" spans="2:8" x14ac:dyDescent="0.2">
      <c r="B35" s="16" t="s">
        <v>333</v>
      </c>
      <c r="C35" s="1" t="s">
        <v>409</v>
      </c>
    </row>
    <row r="36" spans="2:8" x14ac:dyDescent="0.2">
      <c r="B36" s="16" t="s">
        <v>334</v>
      </c>
      <c r="C36" s="1" t="s">
        <v>402</v>
      </c>
    </row>
    <row r="37" spans="2:8" x14ac:dyDescent="0.2">
      <c r="B37" s="16" t="s">
        <v>400</v>
      </c>
      <c r="C37" s="1" t="s">
        <v>403</v>
      </c>
    </row>
    <row r="38" spans="2:8" x14ac:dyDescent="0.2">
      <c r="B38" s="16"/>
      <c r="C38" s="1" t="s">
        <v>404</v>
      </c>
    </row>
    <row r="39" spans="2:8" x14ac:dyDescent="0.2">
      <c r="B39" s="16"/>
      <c r="C39" s="1" t="s">
        <v>405</v>
      </c>
    </row>
    <row r="40" spans="2:8" x14ac:dyDescent="0.2">
      <c r="B40" s="16" t="s">
        <v>401</v>
      </c>
      <c r="C40" s="1" t="s">
        <v>406</v>
      </c>
    </row>
    <row r="41" spans="2:8" x14ac:dyDescent="0.2">
      <c r="B41" s="16"/>
      <c r="C41" s="1" t="s">
        <v>407</v>
      </c>
    </row>
    <row r="42" spans="2:8" x14ac:dyDescent="0.2">
      <c r="B42" s="16"/>
      <c r="C42" s="1" t="s">
        <v>408</v>
      </c>
    </row>
    <row r="43" spans="2:8" x14ac:dyDescent="0.2">
      <c r="B43" s="16" t="s">
        <v>410</v>
      </c>
      <c r="C43" s="90">
        <v>4500</v>
      </c>
    </row>
    <row r="46" spans="2:8" ht="6" customHeight="1" x14ac:dyDescent="0.2">
      <c r="B46" s="241"/>
      <c r="C46" s="241"/>
      <c r="D46" s="241"/>
      <c r="E46" s="241"/>
      <c r="F46" s="241"/>
      <c r="G46" s="241"/>
      <c r="H46" s="241"/>
    </row>
    <row r="49" spans="2:8" x14ac:dyDescent="0.2">
      <c r="B49" s="241" t="s">
        <v>335</v>
      </c>
      <c r="C49" s="241"/>
      <c r="D49" s="241"/>
      <c r="E49" s="241"/>
      <c r="F49" s="241"/>
      <c r="G49" s="241"/>
      <c r="H49" s="241"/>
    </row>
    <row r="51" spans="2:8" x14ac:dyDescent="0.2">
      <c r="B51" s="41" t="s">
        <v>336</v>
      </c>
      <c r="C51" s="41" t="s">
        <v>420</v>
      </c>
      <c r="D51" s="41"/>
      <c r="E51" s="41" t="s">
        <v>418</v>
      </c>
    </row>
    <row r="52" spans="2:8" x14ac:dyDescent="0.2">
      <c r="B52" s="1" t="s">
        <v>391</v>
      </c>
      <c r="C52" s="1" t="s">
        <v>421</v>
      </c>
    </row>
    <row r="53" spans="2:8" x14ac:dyDescent="0.2">
      <c r="B53" s="1" t="s">
        <v>391</v>
      </c>
      <c r="C53" s="1" t="s">
        <v>423</v>
      </c>
    </row>
    <row r="54" spans="2:8" x14ac:dyDescent="0.2">
      <c r="B54" s="1" t="s">
        <v>391</v>
      </c>
      <c r="C54" s="1" t="s">
        <v>422</v>
      </c>
    </row>
    <row r="56" spans="2:8" x14ac:dyDescent="0.2">
      <c r="B56" s="41" t="s">
        <v>336</v>
      </c>
      <c r="C56" s="41" t="s">
        <v>417</v>
      </c>
      <c r="D56" s="41"/>
      <c r="E56" s="41" t="s">
        <v>378</v>
      </c>
    </row>
    <row r="57" spans="2:8" x14ac:dyDescent="0.2">
      <c r="B57" s="1" t="s">
        <v>391</v>
      </c>
      <c r="C57" s="1" t="s">
        <v>397</v>
      </c>
    </row>
    <row r="58" spans="2:8" x14ac:dyDescent="0.2">
      <c r="B58" s="1" t="s">
        <v>391</v>
      </c>
      <c r="C58" s="1" t="s">
        <v>398</v>
      </c>
    </row>
    <row r="59" spans="2:8" x14ac:dyDescent="0.2">
      <c r="B59" s="1" t="s">
        <v>391</v>
      </c>
      <c r="C59" s="1" t="s">
        <v>399</v>
      </c>
    </row>
    <row r="61" spans="2:8" x14ac:dyDescent="0.2">
      <c r="B61" s="41" t="s">
        <v>336</v>
      </c>
      <c r="C61" s="41" t="s">
        <v>389</v>
      </c>
      <c r="D61" s="41"/>
      <c r="E61" s="41" t="s">
        <v>390</v>
      </c>
    </row>
    <row r="62" spans="2:8" x14ac:dyDescent="0.2">
      <c r="B62" s="1" t="s">
        <v>391</v>
      </c>
      <c r="C62" s="1" t="s">
        <v>392</v>
      </c>
    </row>
    <row r="66" spans="2:8" ht="5" customHeight="1" x14ac:dyDescent="0.2">
      <c r="B66" s="241"/>
      <c r="C66" s="241"/>
      <c r="D66" s="241"/>
      <c r="E66" s="241"/>
      <c r="F66" s="241"/>
      <c r="G66" s="241"/>
      <c r="H66" s="241"/>
    </row>
    <row r="69" spans="2:8" x14ac:dyDescent="0.2">
      <c r="B69" s="241" t="s">
        <v>108</v>
      </c>
      <c r="C69" s="241"/>
      <c r="D69" s="241"/>
      <c r="E69" s="241"/>
      <c r="F69" s="241"/>
      <c r="G69" s="241"/>
      <c r="H69" s="241"/>
    </row>
    <row r="71" spans="2:8" x14ac:dyDescent="0.2">
      <c r="B71" s="41" t="s">
        <v>336</v>
      </c>
      <c r="C71" s="41" t="s">
        <v>355</v>
      </c>
      <c r="D71" s="41"/>
      <c r="E71" s="41" t="s">
        <v>360</v>
      </c>
    </row>
    <row r="76" spans="2:8" ht="5" customHeight="1" x14ac:dyDescent="0.2">
      <c r="B76" s="241"/>
      <c r="C76" s="241"/>
      <c r="D76" s="241"/>
      <c r="E76" s="241"/>
      <c r="F76" s="241"/>
      <c r="G76" s="241"/>
      <c r="H76" s="241"/>
    </row>
  </sheetData>
  <mergeCells count="12">
    <mergeCell ref="B2:C2"/>
    <mergeCell ref="B17:C17"/>
    <mergeCell ref="B25:C25"/>
    <mergeCell ref="E2:F2"/>
    <mergeCell ref="H2:I2"/>
    <mergeCell ref="E25:F25"/>
    <mergeCell ref="B69:H69"/>
    <mergeCell ref="B76:H76"/>
    <mergeCell ref="B33:H33"/>
    <mergeCell ref="B46:H46"/>
    <mergeCell ref="B49:H49"/>
    <mergeCell ref="B66:H6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70" zoomScaleNormal="150" workbookViewId="0">
      <pane xSplit="2" ySplit="3" topLeftCell="M206" activePane="bottomRight" state="frozen"/>
      <selection pane="topRight" activeCell="C1" sqref="C1"/>
      <selection pane="bottomLeft" activeCell="A4" sqref="A4"/>
      <selection pane="bottomRight" activeCell="Q211" sqref="Q21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419</v>
      </c>
      <c r="R2" s="7"/>
      <c r="S2" s="7"/>
      <c r="T2" s="10" t="s">
        <v>384</v>
      </c>
      <c r="U2" s="10" t="s">
        <v>382</v>
      </c>
      <c r="V2" s="10" t="s">
        <v>380</v>
      </c>
      <c r="W2" s="10" t="s">
        <v>372</v>
      </c>
      <c r="X2" s="199" t="s">
        <v>383</v>
      </c>
      <c r="Y2" s="199" t="s">
        <v>381</v>
      </c>
      <c r="Z2" s="199" t="s">
        <v>379</v>
      </c>
      <c r="AA2" s="199" t="s">
        <v>419</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375</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385</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1684</v>
      </c>
      <c r="AC12" s="62">
        <f t="shared" si="0"/>
        <v>1574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9905</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9424</v>
      </c>
      <c r="R17" s="60"/>
      <c r="S17" s="60"/>
      <c r="T17" s="18">
        <v>153</v>
      </c>
      <c r="U17" s="18">
        <v>466</v>
      </c>
      <c r="V17" s="18">
        <v>772</v>
      </c>
      <c r="W17" s="18">
        <v>252</v>
      </c>
      <c r="X17" s="18">
        <v>1182</v>
      </c>
      <c r="Y17" s="18">
        <v>1842</v>
      </c>
      <c r="Z17" s="18">
        <v>3205</v>
      </c>
      <c r="AA17" s="18">
        <v>3195</v>
      </c>
      <c r="AB17" s="1"/>
      <c r="AC17" s="61">
        <f t="shared" si="0"/>
        <v>9424</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26.92</v>
      </c>
      <c r="T22" s="26">
        <v>0.43</v>
      </c>
      <c r="U22" s="26">
        <v>1.32</v>
      </c>
      <c r="V22" s="26">
        <v>2.17</v>
      </c>
      <c r="W22" s="26">
        <v>0.7</v>
      </c>
      <c r="X22" s="26">
        <v>3.34</v>
      </c>
      <c r="Y22" s="26">
        <v>5.27</v>
      </c>
      <c r="Z22" s="26">
        <v>9.26</v>
      </c>
      <c r="AA22" s="26">
        <v>9.1300000000000008</v>
      </c>
      <c r="AC22" s="26">
        <f>SUM(X22:AA22)</f>
        <v>27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26.92</v>
      </c>
      <c r="T23" s="65">
        <f t="shared" ref="T23:Z23" si="14">T22/T$84</f>
        <v>0.34045922406967538</v>
      </c>
      <c r="U23" s="65">
        <f t="shared" si="14"/>
        <v>1.0451306413301664</v>
      </c>
      <c r="V23" s="65">
        <f t="shared" si="14"/>
        <v>2.17</v>
      </c>
      <c r="W23" s="65">
        <f t="shared" si="14"/>
        <v>0.7</v>
      </c>
      <c r="X23" s="65">
        <f t="shared" si="14"/>
        <v>3.34</v>
      </c>
      <c r="Y23" s="65">
        <f t="shared" si="14"/>
        <v>5.27</v>
      </c>
      <c r="Z23" s="65">
        <f t="shared" si="14"/>
        <v>9.26</v>
      </c>
      <c r="AA23" s="65">
        <f t="shared" ref="AA23" si="15">AA22/AA$84</f>
        <v>9.1300000000000008</v>
      </c>
      <c r="AC23" s="65">
        <f>AC22/AC$84</f>
        <v>27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24.28</v>
      </c>
      <c r="T24" s="63">
        <v>0.42</v>
      </c>
      <c r="U24" s="26">
        <v>1.27</v>
      </c>
      <c r="V24" s="63">
        <v>2.11</v>
      </c>
      <c r="W24" s="26">
        <v>0.67</v>
      </c>
      <c r="X24" s="26">
        <v>3.07</v>
      </c>
      <c r="Y24" s="26">
        <v>4.7300000000000004</v>
      </c>
      <c r="Z24" s="26">
        <v>8.1999999999999993</v>
      </c>
      <c r="AA24" s="26">
        <v>8.2100000000000009</v>
      </c>
      <c r="AC24" s="26">
        <f>SUM(X24:AA24)</f>
        <v>24.21</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24.28</v>
      </c>
      <c r="R25" s="1"/>
      <c r="S25" s="1"/>
      <c r="T25" s="66">
        <f t="shared" ref="T25:Z25" si="17">T24/T$84</f>
        <v>0.33254156769596199</v>
      </c>
      <c r="U25" s="66">
        <f t="shared" si="17"/>
        <v>1.0055423594615995</v>
      </c>
      <c r="V25" s="66">
        <f t="shared" si="17"/>
        <v>2.11</v>
      </c>
      <c r="W25" s="66">
        <f t="shared" si="17"/>
        <v>0.67</v>
      </c>
      <c r="X25" s="66">
        <f t="shared" si="17"/>
        <v>3.07</v>
      </c>
      <c r="Y25" s="66">
        <f t="shared" si="17"/>
        <v>4.7300000000000004</v>
      </c>
      <c r="Z25" s="66">
        <f t="shared" si="17"/>
        <v>8.1999999999999993</v>
      </c>
      <c r="AA25" s="66">
        <f t="shared" ref="AA25" si="18">AA24/AA$84</f>
        <v>8.2100000000000009</v>
      </c>
      <c r="AB25" s="1"/>
      <c r="AC25" s="66">
        <f>AC24/AC$84</f>
        <v>24.21</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9812</v>
      </c>
      <c r="U34" s="21">
        <v>9729</v>
      </c>
      <c r="V34" s="21">
        <v>4319</v>
      </c>
      <c r="W34" s="21">
        <v>4319</v>
      </c>
      <c r="X34" s="224">
        <v>4319</v>
      </c>
      <c r="Y34" s="224">
        <v>4319</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180</v>
      </c>
      <c r="Z52" s="21">
        <v>276</v>
      </c>
      <c r="AA52" s="21">
        <v>99</v>
      </c>
      <c r="AC52" s="62">
        <f>SUM(X52:AA52)</f>
        <v>643</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106</v>
      </c>
      <c r="Z53" s="21">
        <v>159</v>
      </c>
      <c r="AA53" s="21">
        <v>45</v>
      </c>
      <c r="AC53" s="62">
        <f t="shared" ref="AC53:AC57" si="26">SUM(X53:AA53)</f>
        <v>363</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-199</v>
      </c>
      <c r="Z54" s="62">
        <v>-408</v>
      </c>
      <c r="AA54" s="62">
        <v>-133</v>
      </c>
      <c r="AC54" s="62">
        <f t="shared" si="26"/>
        <v>-609</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-55</v>
      </c>
      <c r="Z55" s="62">
        <v>-64</v>
      </c>
      <c r="AA55" s="62">
        <v>-154</v>
      </c>
      <c r="AC55" s="62">
        <f>SUM(X55:AA55)</f>
        <v>-374</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21">
        <v>219</v>
      </c>
      <c r="Z56" s="62">
        <v>289</v>
      </c>
      <c r="AA56" s="62">
        <v>96</v>
      </c>
      <c r="AC56" s="62">
        <f t="shared" si="26"/>
        <v>852</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f>42+51-577+244</f>
        <v>-240</v>
      </c>
      <c r="Z57" s="62">
        <f>29+94-598+290</f>
        <v>-185</v>
      </c>
      <c r="AA57" s="62">
        <v>-99</v>
      </c>
      <c r="AC57" s="62">
        <f t="shared" si="26"/>
        <v>-901</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1417</v>
      </c>
      <c r="Z58" s="18">
        <v>2540</v>
      </c>
      <c r="AA58" s="18">
        <v>1389</v>
      </c>
      <c r="AB58" s="1"/>
      <c r="AC58" s="61">
        <f>SUM(X58:AA58)</f>
        <v>6018</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-165</v>
      </c>
      <c r="Z59" s="62">
        <v>-310</v>
      </c>
      <c r="AA59" s="62">
        <v>-108</v>
      </c>
      <c r="AC59" s="62">
        <f>SUM(X59:AA59)</f>
        <v>-656</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-173</v>
      </c>
      <c r="Z61" s="61">
        <v>-318</v>
      </c>
      <c r="AA61" s="61">
        <v>-111</v>
      </c>
      <c r="AB61" s="1"/>
      <c r="AC61" s="61">
        <f t="shared" si="27"/>
        <v>-659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-1168</v>
      </c>
      <c r="Z62" s="62">
        <v>-1920</v>
      </c>
      <c r="AA62" s="62">
        <v>-672</v>
      </c>
      <c r="AC62" s="62">
        <f t="shared" si="27"/>
        <v>-4313</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-77</v>
      </c>
      <c r="Z63" s="62">
        <v>-120</v>
      </c>
      <c r="AA63" s="62">
        <v>-54</v>
      </c>
      <c r="AC63" s="62">
        <f>SUM(X63:AA63)</f>
        <v>-285</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-1381</v>
      </c>
      <c r="Z65" s="71">
        <v>-2283</v>
      </c>
      <c r="AA65" s="71">
        <v>-1749</v>
      </c>
      <c r="AB65" s="1"/>
      <c r="AC65" s="71">
        <f t="shared" si="27"/>
        <v>-6091</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3195</v>
      </c>
      <c r="AC68" s="64">
        <f t="shared" si="32"/>
        <v>5521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5591</v>
      </c>
      <c r="R69" s="1"/>
      <c r="S69" s="1"/>
      <c r="T69" s="40">
        <f t="shared" ref="T69:Y69" si="35">T17-T68</f>
        <v>0</v>
      </c>
      <c r="U69" s="40">
        <f t="shared" si="35"/>
        <v>0</v>
      </c>
      <c r="V69" s="40">
        <f t="shared" si="35"/>
        <v>-606</v>
      </c>
      <c r="W69" s="40">
        <f t="shared" si="35"/>
        <v>0</v>
      </c>
      <c r="X69" s="40">
        <f t="shared" si="35"/>
        <v>611</v>
      </c>
      <c r="Y69" s="40">
        <f t="shared" si="35"/>
        <v>1103</v>
      </c>
      <c r="Z69" s="40">
        <f t="shared" ref="Z69:AA69" si="36">Z17-Z68</f>
        <v>2189</v>
      </c>
      <c r="AA69" s="40">
        <f t="shared" si="36"/>
        <v>0</v>
      </c>
      <c r="AB69" s="16"/>
      <c r="AC69" s="40">
        <f>AC17-AC68</f>
        <v>3903</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234</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235</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4.8561332660272592E-2</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7.7654867256637168</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4.7358490566037732</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3.6904761904761907</v>
      </c>
      <c r="Y96" s="52">
        <f t="shared" ref="Y96" si="100">IF(X17=0,
IF(Y17=0,0,IF(Y17&gt;0,1,-1)),
(Y17-X17)/ABS(X17)
)</f>
        <v>0.55837563451776651</v>
      </c>
      <c r="Z96" s="52">
        <f t="shared" ref="Z96" si="101">IF(Y17=0,
IF(Z17=0,0,IF(Z17&gt;0,1,-1)),
(Z17-Y17)/ABS(Y17)
)</f>
        <v>0.73995656894679696</v>
      </c>
      <c r="AA96" s="52">
        <f t="shared" ref="AA96" si="102">IF(Z17=0,
IF(AA17=0,0,IF(AA17&gt;0,1,-1)),
(AA17-Z17)/ABS(Z17)
)</f>
        <v>-3.1201248049921998E-3</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0.72946822509482157</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0.41944641589779985</v>
      </c>
      <c r="Y101" s="55">
        <f t="shared" si="110"/>
        <v>0.61054027179317205</v>
      </c>
      <c r="Z101" s="55">
        <f t="shared" si="110"/>
        <v>0.96044351213664969</v>
      </c>
      <c r="AA101" s="55">
        <f t="shared" ref="AA101" si="111">AA109/AA5</f>
        <v>0.8526821457165733</v>
      </c>
      <c r="AB101" s="1"/>
      <c r="AC101" s="55">
        <f>AC109/AC5</f>
        <v>0.72946822509482157</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4.8561332660272592E-2</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4236.7563856638062</v>
      </c>
      <c r="T107" s="67"/>
      <c r="U107" s="67"/>
      <c r="V107" s="67"/>
      <c r="W107" s="67"/>
      <c r="X107" s="67"/>
      <c r="Y107" s="67"/>
      <c r="Z107" s="67"/>
      <c r="AA107" s="67"/>
      <c r="AC107" s="25">
        <f>AC11*(1-AC104)</f>
        <v>4236.7563856638062</v>
      </c>
    </row>
    <row r="108" spans="1:31" x14ac:dyDescent="0.2">
      <c r="B108" s="20" t="s">
        <v>298</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-165</v>
      </c>
      <c r="Z108" s="126">
        <f t="shared" si="124"/>
        <v>-310</v>
      </c>
      <c r="AA108" s="126">
        <f t="shared" ref="AA108" si="125">AA59+AA60</f>
        <v>-108</v>
      </c>
      <c r="AC108" s="126">
        <f>AC59+AC60</f>
        <v>-656</v>
      </c>
    </row>
    <row r="109" spans="1:31" x14ac:dyDescent="0.2">
      <c r="B109" s="20" t="s">
        <v>326</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9424</v>
      </c>
      <c r="T109" s="126">
        <f t="shared" ref="T109:Z109" si="127">T16+T17</f>
        <v>153</v>
      </c>
      <c r="U109" s="126">
        <f t="shared" si="127"/>
        <v>466</v>
      </c>
      <c r="V109" s="126">
        <f t="shared" si="127"/>
        <v>772</v>
      </c>
      <c r="W109" s="126">
        <f t="shared" si="127"/>
        <v>252</v>
      </c>
      <c r="X109" s="126">
        <f t="shared" si="127"/>
        <v>1182</v>
      </c>
      <c r="Y109" s="126">
        <f t="shared" si="127"/>
        <v>1842</v>
      </c>
      <c r="Z109" s="126">
        <f t="shared" si="127"/>
        <v>3205</v>
      </c>
      <c r="AA109" s="126">
        <f t="shared" ref="AA109" si="128">AA16+AA17</f>
        <v>3195</v>
      </c>
      <c r="AC109" s="126">
        <f>AC16+AC17</f>
        <v>9424</v>
      </c>
    </row>
    <row r="110" spans="1:31" x14ac:dyDescent="0.2">
      <c r="B110" s="20" t="s">
        <v>327</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456.81</v>
      </c>
    </row>
    <row r="115" spans="1:31" x14ac:dyDescent="0.2">
      <c r="B115" s="20" t="s">
        <v>339</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456.81</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0.72946822509482157</v>
      </c>
      <c r="T119" s="77"/>
      <c r="U119" s="77"/>
      <c r="V119" s="77"/>
      <c r="W119" s="77"/>
      <c r="X119" s="77"/>
      <c r="Y119" s="77"/>
      <c r="Z119" s="77"/>
      <c r="AA119" s="77"/>
      <c r="AC119" s="74">
        <f>AC109/AC5</f>
        <v>0.72946822509482157</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0.67989322559699872</v>
      </c>
      <c r="T121" s="79"/>
      <c r="U121" s="79"/>
      <c r="V121" s="79"/>
      <c r="W121" s="79"/>
      <c r="X121" s="79"/>
      <c r="Y121" s="79"/>
      <c r="Z121" s="79"/>
      <c r="AA121" s="79"/>
      <c r="AC121" s="76">
        <f>AC119*AC120</f>
        <v>0.67989322559699872</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1.0631768953068592</v>
      </c>
      <c r="T123" s="79"/>
      <c r="U123" s="79"/>
      <c r="V123" s="79"/>
      <c r="W123" s="79"/>
      <c r="X123" s="79"/>
      <c r="Y123" s="79"/>
      <c r="Z123" s="79"/>
      <c r="AA123" s="79"/>
      <c r="AC123" s="76">
        <f>AC121*AC122</f>
        <v>1.0631768953068592</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MISSED</v>
      </c>
      <c r="U130" s="221" t="str">
        <f t="shared" si="148"/>
        <v>MISSED</v>
      </c>
      <c r="V130" s="221" t="str">
        <f t="shared" si="148"/>
        <v>BEAT</v>
      </c>
      <c r="W130" s="221" t="str">
        <f t="shared" si="148"/>
        <v>BEAT</v>
      </c>
      <c r="X130" s="221" t="str">
        <f t="shared" si="148"/>
        <v>BEAT</v>
      </c>
      <c r="Y130" s="221" t="str">
        <f t="shared" si="148"/>
        <v>BEAT</v>
      </c>
      <c r="Z130" s="221" t="str">
        <f>IF(Z129&gt;Z128, "BEAT", IF(Z129&lt;Z127, "MISSED", "MET"))</f>
        <v>MET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358</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1.27</v>
      </c>
      <c r="U133" s="225">
        <f t="shared" ref="U133" si="150">V24</f>
        <v>2.11</v>
      </c>
      <c r="V133" s="225">
        <f t="shared" ref="V133" si="151">W24</f>
        <v>0.67</v>
      </c>
      <c r="W133" s="225">
        <f t="shared" ref="W133" si="152">X24</f>
        <v>3.07</v>
      </c>
      <c r="X133" s="225">
        <f t="shared" ref="X133" si="153">Y24</f>
        <v>4.7300000000000004</v>
      </c>
      <c r="Y133" s="225">
        <f t="shared" ref="Y133" si="154">Z24</f>
        <v>8.1999999999999993</v>
      </c>
      <c r="Z133" s="225">
        <f t="shared" ref="Z133" si="155">AA24</f>
        <v>8.2100000000000009</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MISSED</v>
      </c>
      <c r="U134" s="221" t="str">
        <f t="shared" si="157"/>
        <v>BEAT</v>
      </c>
      <c r="V134" s="221" t="str">
        <f t="shared" si="157"/>
        <v>MISSED</v>
      </c>
      <c r="W134" s="221" t="str">
        <f t="shared" si="157"/>
        <v>BEAT</v>
      </c>
      <c r="X134" s="221" t="str">
        <f t="shared" si="157"/>
        <v>BEAT</v>
      </c>
      <c r="Y134" s="221" t="str">
        <f t="shared" si="157"/>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0.50818716392752861</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250</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254</v>
      </c>
      <c r="L144" s="175">
        <f t="shared" ref="L144:Q144" si="181">(L106-L105)/L48</f>
        <v>0.49948698815409009</v>
      </c>
      <c r="M144" s="175">
        <f t="shared" si="181"/>
        <v>0.38253825382538253</v>
      </c>
      <c r="N144" s="175">
        <f t="shared" si="181"/>
        <v>0.46528994191942474</v>
      </c>
      <c r="O144" s="175">
        <f t="shared" si="181"/>
        <v>0.51349602514327974</v>
      </c>
      <c r="P144" s="175">
        <f t="shared" si="181"/>
        <v>0.48898512521182452</v>
      </c>
      <c r="Q144" s="175">
        <f t="shared" si="181"/>
        <v>-5.9453971119133572E-2</v>
      </c>
      <c r="T144" s="175">
        <f t="shared" ref="T144:Z144" si="182">(T106-T105)/T48</f>
        <v>0.48913510263677745</v>
      </c>
      <c r="U144" s="175">
        <f t="shared" si="182"/>
        <v>0.41883304448295783</v>
      </c>
      <c r="V144" s="175">
        <f t="shared" si="182"/>
        <v>0.74483291481553027</v>
      </c>
      <c r="W144" s="175">
        <f t="shared" si="182"/>
        <v>0.48898512521182452</v>
      </c>
      <c r="X144" s="175">
        <f t="shared" si="182"/>
        <v>0.44752038043478259</v>
      </c>
      <c r="Y144" s="175">
        <f t="shared" si="182"/>
        <v>0.37688088876388692</v>
      </c>
      <c r="Z144" s="175">
        <f t="shared" si="182"/>
        <v>-4.8450413223140497E-2</v>
      </c>
      <c r="AA144" s="175">
        <f t="shared" ref="AA144" si="183">(AA106-AA105)/AA48</f>
        <v>-5.9453971119133572E-2</v>
      </c>
      <c r="AC144" s="175">
        <f>(AC106-AC105)/AC48</f>
        <v>-5.9453971119133572E-2</v>
      </c>
    </row>
    <row r="145" spans="2:29" x14ac:dyDescent="0.2">
      <c r="B145" s="20" t="s">
        <v>251</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252</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258</v>
      </c>
      <c r="L147" s="177">
        <f t="shared" ref="L147:Q147" si="190">IF(L12&gt;=0,"N/A",IF(L11&lt;=0,"N/A",L11/-L12))</f>
        <v>3.8244514106583072</v>
      </c>
      <c r="M147" s="177">
        <f t="shared" si="190"/>
        <v>8.0234899328859068</v>
      </c>
      <c r="N147" s="177" t="str">
        <f t="shared" si="190"/>
        <v>N/A</v>
      </c>
      <c r="O147" s="177" t="str">
        <f t="shared" si="190"/>
        <v>N/A</v>
      </c>
      <c r="P147" s="177">
        <f t="shared" si="190"/>
        <v>7.4807692307692308</v>
      </c>
      <c r="Q147" s="177">
        <f t="shared" si="190"/>
        <v>39.061403508771932</v>
      </c>
      <c r="T147" s="177">
        <f t="shared" ref="T147:Z147" si="191">IF(T12&gt;=0,"N/A",IF(T11&lt;=0,"N/A",T11/-T12))</f>
        <v>3.6304347826086958</v>
      </c>
      <c r="U147" s="177">
        <f t="shared" si="191"/>
        <v>6.666666666666667</v>
      </c>
      <c r="V147" s="177">
        <f t="shared" si="191"/>
        <v>9.3827160493827169</v>
      </c>
      <c r="W147" s="177">
        <f t="shared" si="191"/>
        <v>2.0420420420420422</v>
      </c>
      <c r="X147" s="177">
        <f t="shared" si="191"/>
        <v>18.857142857142858</v>
      </c>
      <c r="Y147" s="177">
        <f t="shared" si="191"/>
        <v>21.61904761904762</v>
      </c>
      <c r="Z147" s="177">
        <f t="shared" si="191"/>
        <v>45.769230769230766</v>
      </c>
      <c r="AA147" s="177" t="str">
        <f t="shared" ref="AA147" si="192">IF(AA12&gt;=0,"N/A",IF(AA11&lt;=0,"N/A",AA11/-AA12))</f>
        <v>N/A</v>
      </c>
      <c r="AC147" s="177" t="str">
        <f>IF(AC12&gt;=0,"N/A",IF(AC11&lt;=0,"N/A",AC11/-AC12))</f>
        <v>N/A</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22.199341021416803</v>
      </c>
      <c r="T148" s="49"/>
      <c r="U148" s="49"/>
      <c r="V148" s="49"/>
      <c r="W148" s="49"/>
      <c r="X148" s="49"/>
      <c r="Y148" s="49"/>
      <c r="Z148" s="49"/>
      <c r="AA148" s="49"/>
      <c r="AC148" s="72">
        <f ca="1">AC115/Statement!AC25</f>
        <v>18.868649318463444</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13.551546752844647</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18.604288131768953</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23891.3</v>
      </c>
      <c r="U151" s="141">
        <f>Statement!U115*Statement!U77</f>
        <v>21374.16</v>
      </c>
      <c r="V151" s="141">
        <f>Statement!V115*Statement!V77</f>
        <v>19474.2</v>
      </c>
      <c r="W151" s="141">
        <f>Statement!W115*Statement!W77</f>
        <v>22787.309999999998</v>
      </c>
      <c r="X151" s="141">
        <f>Statement!X115*Statement!X77</f>
        <v>22067.600000000002</v>
      </c>
      <c r="Y151" s="141">
        <f>Statement!Y115*Statement!Y77</f>
        <v>23632.7</v>
      </c>
      <c r="Z151" s="141">
        <f>Statement!Z115*Statement!Z77</f>
        <v>24848.799999999999</v>
      </c>
      <c r="AA151" s="141">
        <f>Statement!AA115*Statement!AA77</f>
        <v>215061</v>
      </c>
      <c r="AC151" s="141">
        <f ca="1">Statement!AC115*Statement!AC77</f>
        <v>182267.19</v>
      </c>
    </row>
    <row r="152" spans="2:29" x14ac:dyDescent="0.2">
      <c r="B152" s="20" t="s">
        <v>187</v>
      </c>
      <c r="L152" s="141">
        <f t="shared" ref="L152:Q152" si="193">L151+L106-L105+L47+L44</f>
        <v>21790.63</v>
      </c>
      <c r="M152" s="141">
        <f t="shared" si="193"/>
        <v>16425.100000000002</v>
      </c>
      <c r="N152" s="141">
        <f t="shared" si="193"/>
        <v>18500.32</v>
      </c>
      <c r="O152" s="141">
        <f t="shared" si="193"/>
        <v>31773.11</v>
      </c>
      <c r="P152" s="141">
        <f t="shared" si="193"/>
        <v>25613.309999999998</v>
      </c>
      <c r="Q152" s="141">
        <f t="shared" si="193"/>
        <v>214534</v>
      </c>
      <c r="T152" s="141">
        <f t="shared" ref="T152:Z152" si="194">T151+T106-T105+T47+T44</f>
        <v>29815.3</v>
      </c>
      <c r="U152" s="141">
        <f t="shared" si="194"/>
        <v>26678.16</v>
      </c>
      <c r="V152" s="141">
        <f t="shared" si="194"/>
        <v>23559.200000000001</v>
      </c>
      <c r="W152" s="141">
        <f t="shared" si="194"/>
        <v>25613.309999999998</v>
      </c>
      <c r="X152" s="141">
        <f t="shared" si="194"/>
        <v>24931.600000000002</v>
      </c>
      <c r="Y152" s="141">
        <f t="shared" si="194"/>
        <v>26541.7</v>
      </c>
      <c r="Z152" s="141">
        <f t="shared" si="194"/>
        <v>24379.8</v>
      </c>
      <c r="AA152" s="141">
        <f t="shared" ref="AA152" si="195">AA151+AA106-AA105+AA47+AA44</f>
        <v>214534</v>
      </c>
      <c r="AC152" s="141">
        <f ca="1">AC151+AC106-AC105+AC47+AC44</f>
        <v>181740.19</v>
      </c>
    </row>
    <row r="153" spans="2:29" x14ac:dyDescent="0.2">
      <c r="B153" s="20" t="s">
        <v>259</v>
      </c>
      <c r="L153" s="179">
        <f t="shared" ref="L153:Q153" si="196">L152/L5</f>
        <v>1.2877100815506441</v>
      </c>
      <c r="M153" s="179">
        <f t="shared" si="196"/>
        <v>0.87400095780343756</v>
      </c>
      <c r="N153" s="179">
        <f t="shared" si="196"/>
        <v>2.9576850519584332</v>
      </c>
      <c r="O153" s="179">
        <f t="shared" si="196"/>
        <v>5.0297783758113033</v>
      </c>
      <c r="P153" s="179">
        <f t="shared" si="196"/>
        <v>2.6904737394957983</v>
      </c>
      <c r="Q153" s="179">
        <f t="shared" si="196"/>
        <v>16.606084062233919</v>
      </c>
      <c r="T153" s="49"/>
      <c r="U153" s="49"/>
      <c r="V153" s="49"/>
      <c r="W153" s="49"/>
      <c r="X153" s="49"/>
      <c r="Y153" s="49"/>
      <c r="Z153" s="49"/>
      <c r="AA153" s="49"/>
      <c r="AC153" s="179">
        <f ca="1">AC152/AC5</f>
        <v>14.067667002089944</v>
      </c>
    </row>
    <row r="154" spans="2:29" x14ac:dyDescent="0.2">
      <c r="B154" s="20" t="s">
        <v>203</v>
      </c>
      <c r="L154" s="179">
        <f t="shared" ref="L154:Q154" si="197">L152/L11</f>
        <v>17.861172131147541</v>
      </c>
      <c r="M154" s="179">
        <f t="shared" si="197"/>
        <v>6.8695524884985373</v>
      </c>
      <c r="N154" s="179">
        <f t="shared" si="197"/>
        <v>-33.759708029197078</v>
      </c>
      <c r="O154" s="179">
        <f t="shared" si="197"/>
        <v>-78.841464019851117</v>
      </c>
      <c r="P154" s="179">
        <f t="shared" si="197"/>
        <v>10.973997429305912</v>
      </c>
      <c r="Q154" s="179">
        <f t="shared" si="197"/>
        <v>48.177408488659331</v>
      </c>
      <c r="T154" s="49"/>
      <c r="U154" s="49"/>
      <c r="V154" s="49"/>
      <c r="W154" s="49"/>
      <c r="X154" s="49"/>
      <c r="Y154" s="49"/>
      <c r="Z154" s="49"/>
      <c r="AA154" s="49"/>
      <c r="AC154" s="179">
        <f ca="1">AC152/AC11</f>
        <v>40.812977767796994</v>
      </c>
    </row>
    <row r="155" spans="2:29" x14ac:dyDescent="0.2">
      <c r="B155" s="20" t="s">
        <v>260</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1146</v>
      </c>
      <c r="Z155" s="64">
        <f t="shared" si="199"/>
        <v>2071</v>
      </c>
      <c r="AA155" s="64">
        <f t="shared" ref="AA155" si="200">AA58-AA53+AA108+AA64</f>
        <v>1236</v>
      </c>
      <c r="AC155" s="64">
        <f>AC58-AC53+AC108+AC64</f>
        <v>4999</v>
      </c>
    </row>
    <row r="156" spans="2:29" x14ac:dyDescent="0.2">
      <c r="B156" s="20" t="s">
        <v>261</v>
      </c>
      <c r="L156" s="64">
        <f t="shared" ref="L156:Q156" si="201">L107+L52+L108+L54+L56+L57+L55</f>
        <v>971.49622437971948</v>
      </c>
      <c r="M156" s="64">
        <f t="shared" si="201"/>
        <v>421.35468676401297</v>
      </c>
      <c r="N156" s="64">
        <f t="shared" si="201"/>
        <v>-449</v>
      </c>
      <c r="O156" s="64">
        <f t="shared" si="201"/>
        <v>-629</v>
      </c>
      <c r="P156" s="64">
        <f t="shared" si="201"/>
        <v>1342</v>
      </c>
      <c r="Q156" s="64">
        <f t="shared" si="201"/>
        <v>3535.7563856638062</v>
      </c>
      <c r="T156" s="49"/>
      <c r="U156" s="49"/>
      <c r="V156" s="49"/>
      <c r="W156" s="49"/>
      <c r="X156" s="49"/>
      <c r="Y156" s="49"/>
      <c r="Z156" s="49"/>
      <c r="AA156" s="49"/>
      <c r="AC156" s="64">
        <f>AC107+AC52+AC108+AC54+AC56+AC57</f>
        <v>3565.7563856638062</v>
      </c>
    </row>
    <row r="157" spans="2:29" x14ac:dyDescent="0.2">
      <c r="B157" s="20" t="s">
        <v>262</v>
      </c>
      <c r="L157" s="72">
        <f>L151/L155</f>
        <v>37.870115207373274</v>
      </c>
      <c r="M157" s="72">
        <f t="shared" ref="M157:P157" si="202">M151/M155</f>
        <v>27.199305555555561</v>
      </c>
      <c r="N157" s="72">
        <f t="shared" si="202"/>
        <v>-8.1301357466063351</v>
      </c>
      <c r="O157" s="72">
        <f t="shared" si="202"/>
        <v>-24.15344795539033</v>
      </c>
      <c r="P157" s="72">
        <f t="shared" si="202"/>
        <v>22.472692307692306</v>
      </c>
      <c r="Q157" s="72">
        <f t="shared" ref="Q157" si="203">Q151/Q155</f>
        <v>65.032053220441483</v>
      </c>
      <c r="T157" s="49"/>
      <c r="U157" s="49"/>
      <c r="V157" s="49"/>
      <c r="W157" s="49"/>
      <c r="X157" s="49"/>
      <c r="Y157" s="49"/>
      <c r="Z157" s="49"/>
      <c r="AA157" s="49"/>
      <c r="AC157" s="72">
        <f t="shared" ref="AC157:AC158" ca="1" si="204">AC151/AC155</f>
        <v>36.460730146029206</v>
      </c>
    </row>
    <row r="158" spans="2:29" x14ac:dyDescent="0.2">
      <c r="B158" s="20" t="s">
        <v>263</v>
      </c>
      <c r="L158" s="72">
        <f>L152/L156</f>
        <v>22.429968797781868</v>
      </c>
      <c r="M158" s="72">
        <f t="shared" ref="M158:P158" si="205">M152/M156</f>
        <v>38.981647804001206</v>
      </c>
      <c r="N158" s="72">
        <f t="shared" si="205"/>
        <v>-41.203385300668153</v>
      </c>
      <c r="O158" s="72">
        <f t="shared" si="205"/>
        <v>-50.513688394276627</v>
      </c>
      <c r="P158" s="72">
        <f t="shared" si="205"/>
        <v>19.085923994038748</v>
      </c>
      <c r="Q158" s="72">
        <f t="shared" ref="Q158" si="206">Q152/Q156</f>
        <v>60.675560360961683</v>
      </c>
      <c r="T158" s="49"/>
      <c r="U158" s="49"/>
      <c r="V158" s="49"/>
      <c r="W158" s="49"/>
      <c r="X158" s="49"/>
      <c r="Y158" s="49"/>
      <c r="Z158" s="49"/>
      <c r="AA158" s="49"/>
      <c r="AC158" s="72">
        <f t="shared" ca="1" si="204"/>
        <v>50.968201509976964</v>
      </c>
    </row>
    <row r="159" spans="2:29" x14ac:dyDescent="0.2">
      <c r="B159" s="20" t="s">
        <v>264</v>
      </c>
      <c r="L159" s="74">
        <f>L155/L151</f>
        <v>2.6406045889327028E-2</v>
      </c>
      <c r="M159" s="74">
        <f t="shared" ref="M159:P159" si="207">M155/M151</f>
        <v>3.6765644547705971E-2</v>
      </c>
      <c r="N159" s="74">
        <f t="shared" si="207"/>
        <v>-0.12299917629510898</v>
      </c>
      <c r="O159" s="74">
        <f t="shared" si="207"/>
        <v>-4.1401956434829822E-2</v>
      </c>
      <c r="P159" s="74">
        <f t="shared" si="207"/>
        <v>4.4498451111605546E-2</v>
      </c>
      <c r="Q159" s="74">
        <f t="shared" ref="Q159" si="208">Q155/Q151</f>
        <v>1.537703256285426E-2</v>
      </c>
      <c r="T159" s="49"/>
      <c r="U159" s="49"/>
      <c r="V159" s="49"/>
      <c r="W159" s="49"/>
      <c r="X159" s="49"/>
      <c r="Y159" s="49"/>
      <c r="Z159" s="49"/>
      <c r="AA159" s="49"/>
      <c r="AC159" s="74">
        <f t="shared" ref="AC159" ca="1" si="209">AC155/AC151</f>
        <v>2.7426768361327125E-2</v>
      </c>
    </row>
    <row r="160" spans="2:29" x14ac:dyDescent="0.2">
      <c r="B160" s="20" t="s">
        <v>265</v>
      </c>
      <c r="L160" s="74">
        <f t="shared" ref="L160:Q160" si="210">L25/L115</f>
        <v>5.065701771091221E-2</v>
      </c>
      <c r="M160" s="74">
        <f t="shared" si="210"/>
        <v>0.12855209742895804</v>
      </c>
      <c r="N160" s="74">
        <f t="shared" si="210"/>
        <v>-7.4500768049155147E-2</v>
      </c>
      <c r="O160" s="74">
        <f t="shared" si="210"/>
        <v>-3.3126567242972152E-2</v>
      </c>
      <c r="P160" s="74">
        <f t="shared" si="210"/>
        <v>6.9716434278552411E-2</v>
      </c>
      <c r="Q160" s="74">
        <f t="shared" si="210"/>
        <v>4.5046382189239335E-2</v>
      </c>
      <c r="T160" s="49"/>
      <c r="U160" s="49"/>
      <c r="V160" s="49"/>
      <c r="W160" s="49"/>
      <c r="X160" s="49"/>
      <c r="Y160" s="49"/>
      <c r="Z160" s="49"/>
      <c r="AA160" s="49"/>
      <c r="AC160" s="74">
        <f ca="1">AC25/AC115</f>
        <v>5.2997964142641366E-2</v>
      </c>
    </row>
    <row r="161" spans="2:29" x14ac:dyDescent="0.2">
      <c r="B161" s="20" t="s">
        <v>266</v>
      </c>
      <c r="L161" s="152">
        <f t="shared" ref="L161:Q161" si="211">L81/L115</f>
        <v>0</v>
      </c>
      <c r="M161" s="152">
        <f t="shared" si="211"/>
        <v>0</v>
      </c>
      <c r="N161" s="152">
        <f t="shared" si="211"/>
        <v>0</v>
      </c>
      <c r="O161" s="152">
        <f t="shared" si="211"/>
        <v>0</v>
      </c>
      <c r="P161" s="152">
        <f t="shared" si="211"/>
        <v>1.5666614444618519E-3</v>
      </c>
      <c r="Q161" s="152">
        <f t="shared" si="211"/>
        <v>9.2764378478664194E-4</v>
      </c>
      <c r="T161" s="49"/>
      <c r="U161" s="49"/>
      <c r="V161" s="49"/>
      <c r="W161" s="49"/>
      <c r="X161" s="49"/>
      <c r="Y161" s="49"/>
      <c r="Z161" s="49"/>
      <c r="AA161" s="49"/>
      <c r="AC161" s="152">
        <f ca="1">AC81/AC115</f>
        <v>1.0945469670103544E-3</v>
      </c>
    </row>
    <row r="162" spans="2:29" x14ac:dyDescent="0.2">
      <c r="B162" s="20" t="s">
        <v>291</v>
      </c>
      <c r="L162" s="152">
        <f t="shared" ref="L162:Q162" si="212">-L62/L151</f>
        <v>0</v>
      </c>
      <c r="M162" s="152">
        <f t="shared" si="212"/>
        <v>0</v>
      </c>
      <c r="N162" s="152">
        <f t="shared" si="212"/>
        <v>0</v>
      </c>
      <c r="O162" s="152">
        <f t="shared" si="212"/>
        <v>0</v>
      </c>
      <c r="P162" s="152">
        <f t="shared" si="212"/>
        <v>6.5387270371096906E-3</v>
      </c>
      <c r="Q162" s="152">
        <f t="shared" si="212"/>
        <v>1.2052394436927197E-2</v>
      </c>
      <c r="T162" s="49"/>
      <c r="U162" s="49"/>
      <c r="V162" s="49"/>
      <c r="W162" s="49"/>
      <c r="X162" s="49"/>
      <c r="Y162" s="49"/>
      <c r="Z162" s="49"/>
      <c r="AA162" s="49"/>
      <c r="AC162" s="152">
        <f ca="1">-AC62/AC151</f>
        <v>2.3663063001080994E-2</v>
      </c>
    </row>
    <row r="163" spans="2:29" x14ac:dyDescent="0.2">
      <c r="B163" s="20" t="s">
        <v>293</v>
      </c>
      <c r="L163" s="152">
        <f t="shared" ref="L163:Q163" si="213">-(L62+L63)/L151</f>
        <v>0</v>
      </c>
      <c r="M163" s="152">
        <f t="shared" si="213"/>
        <v>0</v>
      </c>
      <c r="N163" s="152">
        <f t="shared" si="213"/>
        <v>0</v>
      </c>
      <c r="O163" s="152">
        <f t="shared" si="213"/>
        <v>0</v>
      </c>
      <c r="P163" s="152">
        <f t="shared" si="213"/>
        <v>8.4696262963904045E-3</v>
      </c>
      <c r="Q163" s="152">
        <f t="shared" si="213"/>
        <v>1.2907965646955981E-2</v>
      </c>
      <c r="T163" s="49"/>
      <c r="U163" s="49"/>
      <c r="V163" s="49"/>
      <c r="W163" s="49"/>
      <c r="X163" s="49"/>
      <c r="Y163" s="49"/>
      <c r="Z163" s="49"/>
      <c r="AA163" s="49"/>
      <c r="AC163" s="152">
        <f ca="1">-(AC62+AC63)/AC151</f>
        <v>2.5226701525381503E-2</v>
      </c>
    </row>
    <row r="164" spans="2:29" x14ac:dyDescent="0.2">
      <c r="B164" s="20" t="s">
        <v>340</v>
      </c>
      <c r="L164" s="152">
        <f t="shared" ref="L164:Q164" si="214">L156/L5</f>
        <v>5.7410248456430654E-2</v>
      </c>
      <c r="M164" s="152">
        <f t="shared" si="214"/>
        <v>2.2420831520460437E-2</v>
      </c>
      <c r="N164" s="152">
        <f t="shared" si="214"/>
        <v>-7.1782573940847319E-2</v>
      </c>
      <c r="O164" s="152">
        <f t="shared" si="214"/>
        <v>-9.9572581921798325E-2</v>
      </c>
      <c r="P164" s="152">
        <f t="shared" si="214"/>
        <v>0.14096638655462185</v>
      </c>
      <c r="Q164" s="152">
        <f t="shared" si="214"/>
        <v>0.27368653809612248</v>
      </c>
      <c r="T164" s="49"/>
      <c r="U164" s="49"/>
      <c r="V164" s="49"/>
      <c r="W164" s="49"/>
      <c r="X164" s="49"/>
      <c r="Y164" s="49"/>
      <c r="Z164" s="49"/>
      <c r="AA164" s="49"/>
      <c r="AC164" s="152">
        <f>AC156/AC5</f>
        <v>0.27600869925410682</v>
      </c>
    </row>
    <row r="165" spans="2:29" x14ac:dyDescent="0.2">
      <c r="B165" s="20" t="s">
        <v>341</v>
      </c>
      <c r="L165" s="152">
        <f t="shared" ref="L165:Q165" si="215">L155/L5</f>
        <v>2.5647086632785723E-2</v>
      </c>
      <c r="M165" s="152">
        <f t="shared" si="215"/>
        <v>2.2987282498802747E-2</v>
      </c>
      <c r="N165" s="152">
        <f t="shared" si="215"/>
        <v>-0.24732214228617105</v>
      </c>
      <c r="O165" s="152">
        <f t="shared" si="215"/>
        <v>-0.17033401931296502</v>
      </c>
      <c r="P165" s="152">
        <f t="shared" si="215"/>
        <v>0.1065126050420168</v>
      </c>
      <c r="Q165" s="152">
        <f t="shared" si="215"/>
        <v>0.25597956498180974</v>
      </c>
      <c r="T165" s="49"/>
      <c r="U165" s="49"/>
      <c r="V165" s="49"/>
      <c r="W165" s="49"/>
      <c r="X165" s="49"/>
      <c r="Y165" s="49"/>
      <c r="Z165" s="49"/>
      <c r="AA165" s="49"/>
      <c r="AC165" s="152">
        <f>AC155/AC5</f>
        <v>0.38694945429212785</v>
      </c>
    </row>
    <row r="166" spans="2:29" x14ac:dyDescent="0.2">
      <c r="B166" s="20" t="s">
        <v>269</v>
      </c>
      <c r="L166" s="152">
        <f t="shared" ref="L166:Q166" si="216">-L63/L155</f>
        <v>0</v>
      </c>
      <c r="M166" s="152">
        <f t="shared" si="216"/>
        <v>0</v>
      </c>
      <c r="N166" s="152">
        <f t="shared" si="216"/>
        <v>0</v>
      </c>
      <c r="O166" s="152">
        <f t="shared" si="216"/>
        <v>0</v>
      </c>
      <c r="P166" s="152">
        <f t="shared" si="216"/>
        <v>4.3392504930966469E-2</v>
      </c>
      <c r="Q166" s="152">
        <f t="shared" si="216"/>
        <v>5.5639552464469305E-2</v>
      </c>
      <c r="T166" s="49"/>
      <c r="U166" s="49"/>
      <c r="V166" s="49"/>
      <c r="W166" s="49"/>
      <c r="X166" s="49"/>
      <c r="Y166" s="49"/>
      <c r="Z166" s="49"/>
      <c r="AA166" s="49"/>
      <c r="AC166" s="152">
        <f>-AC63/AC155</f>
        <v>5.7011402280456092E-2</v>
      </c>
    </row>
    <row r="167" spans="2:29" x14ac:dyDescent="0.2">
      <c r="B167" s="20" t="s">
        <v>271</v>
      </c>
      <c r="L167" s="152">
        <f t="shared" ref="L167:Q167" si="217">-L62/L155</f>
        <v>0</v>
      </c>
      <c r="M167" s="152">
        <f t="shared" si="217"/>
        <v>0</v>
      </c>
      <c r="N167" s="152">
        <f t="shared" si="217"/>
        <v>0</v>
      </c>
      <c r="O167" s="152">
        <f t="shared" si="217"/>
        <v>0</v>
      </c>
      <c r="P167" s="152">
        <f t="shared" si="217"/>
        <v>0.14694280078895464</v>
      </c>
      <c r="Q167" s="152">
        <f t="shared" si="217"/>
        <v>0.78379195645600241</v>
      </c>
      <c r="T167" s="49"/>
      <c r="U167" s="49"/>
      <c r="V167" s="49"/>
      <c r="W167" s="49"/>
      <c r="X167" s="49"/>
      <c r="Y167" s="49"/>
      <c r="Z167" s="49"/>
      <c r="AA167" s="49"/>
      <c r="AC167" s="152">
        <f>-AC62/AC155</f>
        <v>0.86277255451090218</v>
      </c>
    </row>
    <row r="168" spans="2:29" x14ac:dyDescent="0.2">
      <c r="B168" s="20" t="s">
        <v>282</v>
      </c>
      <c r="L168" s="152">
        <f t="shared" ref="L168:Q168" si="218">(-L63-L62)/L155</f>
        <v>0</v>
      </c>
      <c r="M168" s="152">
        <f t="shared" si="218"/>
        <v>0</v>
      </c>
      <c r="N168" s="152">
        <f t="shared" si="218"/>
        <v>0</v>
      </c>
      <c r="O168" s="152">
        <f t="shared" si="218"/>
        <v>0</v>
      </c>
      <c r="P168" s="152">
        <f t="shared" si="218"/>
        <v>0.19033530571992111</v>
      </c>
      <c r="Q168" s="152">
        <f t="shared" si="218"/>
        <v>0.83943150892047169</v>
      </c>
      <c r="T168" s="49"/>
      <c r="U168" s="49"/>
      <c r="V168" s="49"/>
      <c r="W168" s="49"/>
      <c r="X168" s="49"/>
      <c r="Y168" s="49"/>
      <c r="Z168" s="49"/>
      <c r="AA168" s="49"/>
      <c r="AC168" s="152">
        <f>(-AC63-AC62)/AC155</f>
        <v>0.91978395679135827</v>
      </c>
    </row>
    <row r="169" spans="2:29" x14ac:dyDescent="0.2">
      <c r="B169" s="20" t="s">
        <v>276</v>
      </c>
      <c r="L169" s="152">
        <f t="shared" ref="L169:Q169" si="219">L79/L77</f>
        <v>3.1948881789137375E-3</v>
      </c>
      <c r="M169" s="152">
        <f t="shared" si="219"/>
        <v>3.1446540880503142E-3</v>
      </c>
      <c r="N169" s="152">
        <f t="shared" si="219"/>
        <v>3.105590062111801E-3</v>
      </c>
      <c r="O169" s="152">
        <f t="shared" si="219"/>
        <v>2.9154518950437317E-3</v>
      </c>
      <c r="P169" s="152">
        <f t="shared" si="219"/>
        <v>2.8011204481792717E-3</v>
      </c>
      <c r="Q169" s="152">
        <f t="shared" si="219"/>
        <v>2.5062656641604009E-3</v>
      </c>
      <c r="T169" s="49"/>
      <c r="U169" s="49"/>
      <c r="V169" s="49"/>
      <c r="W169" s="49"/>
      <c r="X169" s="49"/>
      <c r="Y169" s="49"/>
      <c r="Z169" s="49"/>
      <c r="AA169" s="49"/>
      <c r="AC169" s="152">
        <f>AC79/AC77</f>
        <v>2.5062656641604009E-3</v>
      </c>
    </row>
    <row r="170" spans="2:29" x14ac:dyDescent="0.2">
      <c r="B170" s="20" t="s">
        <v>277</v>
      </c>
      <c r="L170" s="72">
        <f t="shared" ref="L170:Q170" si="220">L105/L74</f>
        <v>8.6351139091954998</v>
      </c>
      <c r="M170" s="72">
        <f t="shared" si="220"/>
        <v>5.8676389750417313</v>
      </c>
      <c r="N170" s="72">
        <f t="shared" si="220"/>
        <v>4.9743536782677547</v>
      </c>
      <c r="O170" s="72">
        <f t="shared" si="220"/>
        <v>4.3373983458330745</v>
      </c>
      <c r="P170" s="72">
        <f t="shared" si="220"/>
        <v>6.1275362318840578</v>
      </c>
      <c r="Q170" s="72">
        <f t="shared" si="220"/>
        <v>4.3739612188365653</v>
      </c>
      <c r="T170" s="72">
        <f t="shared" ref="T170:Z170" si="221">T105/T74</f>
        <v>3.9016196870466229</v>
      </c>
      <c r="U170" s="72">
        <f t="shared" si="221"/>
        <v>5.2124571126946426</v>
      </c>
      <c r="V170" s="72">
        <f t="shared" si="221"/>
        <v>9.9627507163323781</v>
      </c>
      <c r="W170" s="72">
        <f t="shared" si="221"/>
        <v>6.1275362318840578</v>
      </c>
      <c r="X170" s="72">
        <f t="shared" si="221"/>
        <v>5.9883040935672511</v>
      </c>
      <c r="Y170" s="72">
        <f t="shared" si="221"/>
        <v>5.8259587020648969</v>
      </c>
      <c r="Z170" s="72">
        <f t="shared" si="221"/>
        <v>5.9420289855072461</v>
      </c>
      <c r="AA170" s="72">
        <f t="shared" ref="AA170" si="222">AA105/AA74</f>
        <v>4.3739612188365653</v>
      </c>
      <c r="AC170" s="72">
        <f>AC105/AC74</f>
        <v>4.3739612188365653</v>
      </c>
    </row>
    <row r="171" spans="2:29" x14ac:dyDescent="0.2">
      <c r="B171" s="20" t="s">
        <v>279</v>
      </c>
      <c r="L171" s="152">
        <f t="shared" ref="L171:Q171" si="223">L53/L58</f>
        <v>0.16754478398314016</v>
      </c>
      <c r="M171" s="152">
        <f t="shared" si="223"/>
        <v>0.17340425531914894</v>
      </c>
      <c r="N171" s="152">
        <f t="shared" si="223"/>
        <v>-0.77941176470588236</v>
      </c>
      <c r="O171" s="152">
        <f t="shared" si="223"/>
        <v>-1.0034013605442176</v>
      </c>
      <c r="P171" s="152">
        <f t="shared" si="223"/>
        <v>0.15671200473092844</v>
      </c>
      <c r="Q171" s="152">
        <f t="shared" si="223"/>
        <v>5.1921608551794347E-2</v>
      </c>
      <c r="T171" s="152">
        <f t="shared" ref="T171:Z171" si="224">T53/T58</f>
        <v>2.4705882352941178</v>
      </c>
      <c r="U171" s="152">
        <f t="shared" si="224"/>
        <v>0.36842105263157893</v>
      </c>
      <c r="V171" s="152">
        <f t="shared" si="224"/>
        <v>0.23280423280423279</v>
      </c>
      <c r="W171" s="152">
        <f t="shared" si="224"/>
        <v>6.0321715817694369E-2</v>
      </c>
      <c r="X171" s="152">
        <f t="shared" si="224"/>
        <v>7.8869047619047616E-2</v>
      </c>
      <c r="Y171" s="152">
        <f t="shared" si="224"/>
        <v>7.4805928016937195E-2</v>
      </c>
      <c r="Z171" s="152">
        <f t="shared" si="224"/>
        <v>6.2598425196850396E-2</v>
      </c>
      <c r="AA171" s="152">
        <f t="shared" ref="AA171" si="225">AA53/AA58</f>
        <v>3.2397408207343416E-2</v>
      </c>
      <c r="AC171" s="152">
        <f>AC53/AC58</f>
        <v>6.0319042871385842E-2</v>
      </c>
    </row>
    <row r="172" spans="2:29" x14ac:dyDescent="0.2">
      <c r="B172" s="20" t="s">
        <v>280</v>
      </c>
      <c r="L172" s="152">
        <f t="shared" ref="L172:Q172" si="226">L53/L5</f>
        <v>1.8792104952133317E-2</v>
      </c>
      <c r="M172" s="152">
        <f t="shared" si="226"/>
        <v>1.7346884478263182E-2</v>
      </c>
      <c r="N172" s="152">
        <f t="shared" si="226"/>
        <v>5.0839328537170263E-2</v>
      </c>
      <c r="O172" s="152">
        <f t="shared" si="226"/>
        <v>4.6699382618331488E-2</v>
      </c>
      <c r="P172" s="152">
        <f t="shared" si="226"/>
        <v>2.7836134453781514E-2</v>
      </c>
      <c r="Q172" s="152">
        <f t="shared" si="226"/>
        <v>1.5790695874293676E-2</v>
      </c>
      <c r="T172" s="152">
        <f t="shared" ref="T172:Z172" si="227">T53/T5</f>
        <v>3.7974683544303799E-2</v>
      </c>
      <c r="U172" s="152">
        <f t="shared" si="227"/>
        <v>6.6832710668327105E-2</v>
      </c>
      <c r="V172" s="152">
        <f t="shared" si="227"/>
        <v>9.5902353966870094E-2</v>
      </c>
      <c r="W172" s="152">
        <f t="shared" si="227"/>
        <v>1.7274472168905951E-2</v>
      </c>
      <c r="X172" s="152">
        <f t="shared" si="227"/>
        <v>1.8807665010645847E-2</v>
      </c>
      <c r="Y172" s="152">
        <f t="shared" si="227"/>
        <v>3.5134239310573419E-2</v>
      </c>
      <c r="Z172" s="152">
        <f t="shared" si="227"/>
        <v>4.7647587653581062E-2</v>
      </c>
      <c r="AA172" s="152">
        <f t="shared" ref="AA172" si="228">AA53/AA5</f>
        <v>1.2009607686148919E-2</v>
      </c>
      <c r="AC172" s="152">
        <f>AC53/AC5</f>
        <v>2.8098150011610805E-2</v>
      </c>
    </row>
    <row r="173" spans="2:29" x14ac:dyDescent="0.2">
      <c r="B173" s="20" t="s">
        <v>285</v>
      </c>
      <c r="L173" s="72">
        <f t="shared" ref="L173:Q173" si="229">(L105-L106)/L74</f>
        <v>-13.72137536609552</v>
      </c>
      <c r="M173" s="72">
        <f t="shared" si="229"/>
        <v>-11.788230429015941</v>
      </c>
      <c r="N173" s="72">
        <f t="shared" si="229"/>
        <v>-12.410065750972496</v>
      </c>
      <c r="O173" s="72">
        <f t="shared" si="229"/>
        <v>-12.822909958011032</v>
      </c>
      <c r="P173" s="72">
        <f t="shared" si="229"/>
        <v>-7.5275362318840582</v>
      </c>
      <c r="Q173" s="72">
        <f t="shared" si="229"/>
        <v>1.4598337950138505</v>
      </c>
      <c r="T173" s="72">
        <f t="shared" ref="T173:Z173" si="230">(T105-T106)/T74</f>
        <v>-13.032096256733441</v>
      </c>
      <c r="U173" s="72">
        <f t="shared" si="230"/>
        <v>-11.546582211665349</v>
      </c>
      <c r="V173" s="72">
        <f t="shared" si="230"/>
        <v>-11.048710601719197</v>
      </c>
      <c r="W173" s="72">
        <f t="shared" si="230"/>
        <v>-7.5275362318840582</v>
      </c>
      <c r="X173" s="72">
        <f t="shared" si="230"/>
        <v>-7.704678362573099</v>
      </c>
      <c r="Y173" s="72">
        <f t="shared" si="230"/>
        <v>-7.9056047197640114</v>
      </c>
      <c r="Z173" s="72">
        <f t="shared" si="230"/>
        <v>1.3594202898550725</v>
      </c>
      <c r="AA173" s="72">
        <f t="shared" ref="AA173" si="231">(AA105-AA106)/AA74</f>
        <v>1.4598337950138505</v>
      </c>
      <c r="AC173" s="72">
        <f>(AC105-AC106)/AC74</f>
        <v>1.4598337950138505</v>
      </c>
    </row>
    <row r="174" spans="2:29" x14ac:dyDescent="0.2">
      <c r="B174" s="20" t="s">
        <v>290</v>
      </c>
      <c r="L174" s="152">
        <f t="shared" ref="L174:Q174" si="232">(L105-L106)/L151</f>
        <v>-0.32581653395701898</v>
      </c>
      <c r="M174" s="152">
        <f t="shared" si="232"/>
        <v>-0.39786895430677177</v>
      </c>
      <c r="N174" s="152">
        <f t="shared" si="232"/>
        <v>-0.40127785569580804</v>
      </c>
      <c r="O174" s="152">
        <f t="shared" si="232"/>
        <v>-0.21374337174301083</v>
      </c>
      <c r="P174" s="152">
        <f t="shared" si="232"/>
        <v>-0.11396694037163668</v>
      </c>
      <c r="Q174" s="152">
        <f t="shared" si="232"/>
        <v>2.4504675417672196E-3</v>
      </c>
      <c r="T174" s="49"/>
      <c r="U174" s="49"/>
      <c r="V174" s="49"/>
      <c r="W174" s="49"/>
      <c r="X174" s="49"/>
      <c r="Y174" s="49"/>
      <c r="Z174" s="49"/>
      <c r="AA174" s="49"/>
      <c r="AC174" s="152">
        <f ca="1">(AC105-AC106)/AC151</f>
        <v>2.8913596572153221E-3</v>
      </c>
    </row>
    <row r="175" spans="2:29" x14ac:dyDescent="0.2">
      <c r="B175" s="20" t="s">
        <v>299</v>
      </c>
      <c r="L175" s="152">
        <f t="shared" ref="L175:Q175" si="233">-L108/L5</f>
        <v>6.7722491431272902E-2</v>
      </c>
      <c r="M175" s="152">
        <f t="shared" si="233"/>
        <v>5.9703080934390466E-2</v>
      </c>
      <c r="N175" s="152">
        <f t="shared" si="233"/>
        <v>0.13125499600319745</v>
      </c>
      <c r="O175" s="152">
        <f t="shared" si="233"/>
        <v>7.7093557068228596E-2</v>
      </c>
      <c r="P175" s="152">
        <f t="shared" si="233"/>
        <v>4.3277310924369747E-2</v>
      </c>
      <c r="Q175" s="152">
        <f t="shared" si="233"/>
        <v>3.2355445467915474E-2</v>
      </c>
      <c r="T175" s="152">
        <f t="shared" ref="T175:Z175" si="234">-T108/T5</f>
        <v>4.3399638336347197E-2</v>
      </c>
      <c r="U175" s="152">
        <f t="shared" si="234"/>
        <v>8.8003320880033209E-2</v>
      </c>
      <c r="V175" s="152">
        <f t="shared" si="234"/>
        <v>0.14864864864864866</v>
      </c>
      <c r="W175" s="152">
        <f t="shared" si="234"/>
        <v>2.72552783109405E-2</v>
      </c>
      <c r="X175" s="152">
        <f t="shared" si="234"/>
        <v>2.5904897090134847E-2</v>
      </c>
      <c r="Y175" s="152">
        <f t="shared" si="234"/>
        <v>5.4690089492873718E-2</v>
      </c>
      <c r="Z175" s="152">
        <f t="shared" si="234"/>
        <v>9.2897812406353017E-2</v>
      </c>
      <c r="AA175" s="152">
        <f t="shared" ref="AA175" si="235">-AA108/AA5</f>
        <v>2.8823058446757407E-2</v>
      </c>
      <c r="AC175" s="152">
        <f>-AC108/AC5</f>
        <v>5.0777923987924765E-2</v>
      </c>
    </row>
    <row r="176" spans="2:29" x14ac:dyDescent="0.2">
      <c r="B176" s="20" t="s">
        <v>300</v>
      </c>
      <c r="L176" s="152">
        <f t="shared" ref="L176:Q176" si="236">-(L108/L58)</f>
        <v>0.60379346680716539</v>
      </c>
      <c r="M176" s="152">
        <f t="shared" si="236"/>
        <v>0.59680851063829787</v>
      </c>
      <c r="N176" s="152">
        <f t="shared" si="236"/>
        <v>-2.0122549019607843</v>
      </c>
      <c r="O176" s="152">
        <f t="shared" si="236"/>
        <v>-1.6564625850340136</v>
      </c>
      <c r="P176" s="152">
        <f t="shared" si="236"/>
        <v>0.24364281490242459</v>
      </c>
      <c r="Q176" s="152">
        <f t="shared" si="236"/>
        <v>0.10638839399338254</v>
      </c>
      <c r="T176" s="152">
        <f t="shared" ref="T176:Z176" si="237">-(T108/T58)</f>
        <v>2.8235294117647061</v>
      </c>
      <c r="U176" s="152">
        <f t="shared" si="237"/>
        <v>0.48512585812356979</v>
      </c>
      <c r="V176" s="152">
        <f t="shared" si="237"/>
        <v>0.36084656084656086</v>
      </c>
      <c r="W176" s="152">
        <f t="shared" si="237"/>
        <v>9.5174262734584444E-2</v>
      </c>
      <c r="X176" s="152">
        <f t="shared" si="237"/>
        <v>0.10863095238095238</v>
      </c>
      <c r="Y176" s="152">
        <f t="shared" si="237"/>
        <v>0.11644318983768526</v>
      </c>
      <c r="Z176" s="152">
        <f t="shared" si="237"/>
        <v>0.12204724409448819</v>
      </c>
      <c r="AA176" s="152">
        <f t="shared" ref="AA176" si="238">-(AA108/AA58)</f>
        <v>7.775377969762419E-2</v>
      </c>
      <c r="AC176" s="152">
        <f>-(AC108/AC58)</f>
        <v>0.10900631439016284</v>
      </c>
    </row>
    <row r="177" spans="1:31" x14ac:dyDescent="0.2">
      <c r="B177" s="20" t="s">
        <v>301</v>
      </c>
      <c r="L177" s="152">
        <f t="shared" ref="L177:Q177" si="239">-L108/L52</f>
        <v>0.9455445544554455</v>
      </c>
      <c r="M177" s="152">
        <f t="shared" si="239"/>
        <v>1.2077502691065662</v>
      </c>
      <c r="N177" s="152">
        <f t="shared" si="239"/>
        <v>0.99154589371980673</v>
      </c>
      <c r="O177" s="152">
        <f t="shared" si="239"/>
        <v>0.85739436619718312</v>
      </c>
      <c r="P177" s="152">
        <f t="shared" si="239"/>
        <v>0.91352549889135259</v>
      </c>
      <c r="Q177" s="152">
        <f t="shared" si="239"/>
        <v>1.1146666666666667</v>
      </c>
      <c r="T177" s="152">
        <f t="shared" ref="T177:Z177" si="240">-T108/T52</f>
        <v>0.71111111111111114</v>
      </c>
      <c r="U177" s="152">
        <f t="shared" si="240"/>
        <v>0.83137254901960789</v>
      </c>
      <c r="V177" s="152">
        <f t="shared" si="240"/>
        <v>0.9342465753424658</v>
      </c>
      <c r="W177" s="152">
        <f t="shared" si="240"/>
        <v>0.82558139534883723</v>
      </c>
      <c r="X177" s="152">
        <f t="shared" si="240"/>
        <v>0.82954545454545459</v>
      </c>
      <c r="Y177" s="152">
        <f t="shared" si="240"/>
        <v>0.91666666666666663</v>
      </c>
      <c r="Z177" s="152">
        <f t="shared" si="240"/>
        <v>1.1231884057971016</v>
      </c>
      <c r="AA177" s="152">
        <f t="shared" ref="AA177" si="241">-AA108/AA52</f>
        <v>1.0909090909090908</v>
      </c>
      <c r="AC177" s="152">
        <f>-AC108/AC52</f>
        <v>1.0202177293934682</v>
      </c>
    </row>
    <row r="178" spans="1:31" x14ac:dyDescent="0.2">
      <c r="B178" s="20" t="s">
        <v>353</v>
      </c>
      <c r="L178" s="220">
        <f t="shared" ref="L178:Q178" si="242">L5/L36</f>
        <v>0.64755854890555642</v>
      </c>
      <c r="M178" s="220">
        <f t="shared" si="242"/>
        <v>0.71567843406070297</v>
      </c>
      <c r="N178" s="220">
        <f t="shared" si="242"/>
        <v>0.25604813950632443</v>
      </c>
      <c r="O178" s="220">
        <f t="shared" si="242"/>
        <v>0.26116255994708121</v>
      </c>
      <c r="P178" s="220">
        <f t="shared" si="242"/>
        <v>0.67990287101842595</v>
      </c>
      <c r="Q178" s="220">
        <f t="shared" si="242"/>
        <v>0.93203953538705719</v>
      </c>
      <c r="T178" s="49"/>
      <c r="U178" s="49"/>
      <c r="V178" s="49"/>
      <c r="W178" s="49"/>
      <c r="X178" s="49"/>
      <c r="Y178" s="49"/>
      <c r="Z178" s="49"/>
      <c r="AA178" s="49"/>
      <c r="AC178" s="220">
        <f>AC5/AC36</f>
        <v>0.93203953538705719</v>
      </c>
    </row>
    <row r="179" spans="1:31" x14ac:dyDescent="0.2">
      <c r="B179" s="20" t="s">
        <v>350</v>
      </c>
      <c r="L179" s="222">
        <f t="shared" ref="L179:Q179" si="243">IF(AND(L11&gt;0,L106&gt;0),L106/L11,"N/A")</f>
        <v>7.1516393442622954</v>
      </c>
      <c r="M179" s="222">
        <f t="shared" si="243"/>
        <v>2.9284818067754079</v>
      </c>
      <c r="N179" s="222" t="str">
        <f t="shared" si="243"/>
        <v>N/A</v>
      </c>
      <c r="O179" s="222" t="str">
        <f t="shared" si="243"/>
        <v>N/A</v>
      </c>
      <c r="P179" s="222">
        <f t="shared" si="243"/>
        <v>2.0184233076263927</v>
      </c>
      <c r="Q179" s="222">
        <f t="shared" si="243"/>
        <v>0.23624522793622277</v>
      </c>
      <c r="T179" s="49"/>
      <c r="U179" s="49"/>
      <c r="V179" s="49"/>
      <c r="W179" s="49"/>
      <c r="X179" s="49"/>
      <c r="Y179" s="49"/>
      <c r="Z179" s="49"/>
      <c r="AA179" s="49"/>
      <c r="AC179" s="222">
        <f>IF(AND(AC11&gt;0,AC106&gt;0),AC106/AC11,"N/A")</f>
        <v>0.23624522793622277</v>
      </c>
    </row>
    <row r="180" spans="1:31" x14ac:dyDescent="0.2">
      <c r="B180" s="20" t="s">
        <v>351</v>
      </c>
      <c r="L180" s="222">
        <f t="shared" ref="L180:Q180" si="244">IF(AND(L11&gt;0,L106&gt;0),(L106-L105)/L11,"N/A")</f>
        <v>4.389344262295082</v>
      </c>
      <c r="M180" s="222">
        <f t="shared" si="244"/>
        <v>1.9552488498536178</v>
      </c>
      <c r="N180" s="222" t="str">
        <f t="shared" si="244"/>
        <v>N/A</v>
      </c>
      <c r="O180" s="222" t="str">
        <f t="shared" si="244"/>
        <v>N/A</v>
      </c>
      <c r="P180" s="222">
        <f t="shared" si="244"/>
        <v>1.1126820908311912</v>
      </c>
      <c r="Q180" s="222">
        <f t="shared" si="244"/>
        <v>-0.1183471816752751</v>
      </c>
      <c r="T180" s="49"/>
      <c r="U180" s="49"/>
      <c r="V180" s="49"/>
      <c r="W180" s="49"/>
      <c r="X180" s="49"/>
      <c r="Y180" s="49"/>
      <c r="Z180" s="49"/>
      <c r="AA180" s="49"/>
      <c r="AC180" s="222">
        <f>IF(AND(AC11&gt;0,AC106&gt;0),(AC106-AC105)/AC11,"N/A")</f>
        <v>-0.1183471816752751</v>
      </c>
    </row>
    <row r="181" spans="1:31" x14ac:dyDescent="0.2">
      <c r="B181" s="20" t="s">
        <v>352</v>
      </c>
      <c r="L181" s="222">
        <f t="shared" ref="L181:Q181" si="245">L5/(L106+L110-L105)</f>
        <v>1.0526250311022642</v>
      </c>
      <c r="M181" s="222">
        <f t="shared" si="245"/>
        <v>1.1122750946969697</v>
      </c>
      <c r="N181" s="222">
        <f t="shared" si="245"/>
        <v>0.39354473386183464</v>
      </c>
      <c r="O181" s="222">
        <f t="shared" si="245"/>
        <v>0.38581811518964149</v>
      </c>
      <c r="P181" s="222">
        <f t="shared" si="245"/>
        <v>1.2038442083965604</v>
      </c>
      <c r="Q181" s="222">
        <f t="shared" si="245"/>
        <v>1.5495981768022071</v>
      </c>
      <c r="T181" s="49"/>
      <c r="U181" s="49"/>
      <c r="V181" s="49"/>
      <c r="W181" s="49"/>
      <c r="X181" s="49"/>
      <c r="Y181" s="49"/>
      <c r="Z181" s="49"/>
      <c r="AA181" s="49"/>
      <c r="AC181" s="222">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386</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387</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6">SUM(X186:AA186)</f>
        <v>726</v>
      </c>
    </row>
    <row r="187" spans="1:31" x14ac:dyDescent="0.2">
      <c r="B187" s="20" t="s">
        <v>388</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6"/>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7">IF(K185=0,
IF(L185=0,0,IF(L185&gt;0,1,-1)),
(L185-K185)/ABS(K185)
)</f>
        <v>1</v>
      </c>
      <c r="M191" s="81">
        <f t="shared" ref="M191:M193" si="248">IF(L185=0,
IF(M185=0,0,IF(M185&gt;0,1,-1)),
(M185-L185)/ABS(L185)
)</f>
        <v>0.4008387209505504</v>
      </c>
      <c r="N191" s="81">
        <f t="shared" ref="N191:N193" si="249">IF(M185=0,
IF(N185=0,0,IF(N185&gt;0,1,-1)),
(N185-M185)/ABS(M185)
)</f>
        <v>-0.40713483846825493</v>
      </c>
      <c r="O191" s="81">
        <f t="shared" ref="O191:O193" si="250">IF(N185=0,
IF(O185=0,0,IF(O185&gt;0,1,-1)),
(O185-N185)/ABS(N185)
)</f>
        <v>6.2907637281716805E-2</v>
      </c>
      <c r="P191" s="81">
        <f t="shared" ref="P191:P193" si="251">IF(O185=0,
IF(P185=0,0,IF(P185&gt;0,1,-1)),
(P185-O185)/ABS(O185)
)</f>
        <v>0.65102929532858278</v>
      </c>
      <c r="Q191" s="81">
        <f t="shared" ref="Q191:Q193" si="252">IF(P185=0,
IF(Q185=0,0,IF(Q185&gt;0,1,-1)),
(Q185-P185)/ABS(P185)
)</f>
        <v>0.37753266994365187</v>
      </c>
      <c r="T191" s="81">
        <f t="shared" ref="T191:T193" si="253">IF(S185=0,
IF(T185=0,0,IF(T185&gt;0,1,-1)),
(T185-S185)/ABS(S185)
)</f>
        <v>1</v>
      </c>
      <c r="U191" s="81">
        <f t="shared" ref="U191:U193" si="254">IF(T185=0,
IF(U185=0,0,IF(U185&gt;0,1,-1)),
(U185-T185)/ABS(T185)
)</f>
        <v>9.7957045573598744E-2</v>
      </c>
      <c r="V191" s="81">
        <f t="shared" ref="V191:V193" si="255">IF(U185=0,
IF(V185=0,0,IF(V185&gt;0,1,-1)),
(V185-U185)/ABS(U185)
)</f>
        <v>-4.2461832061068704E-2</v>
      </c>
      <c r="W191" s="81">
        <f t="shared" ref="W191:W193" si="256">IF(V185=0,
IF(W185=0,0,IF(W185&gt;0,1,-1)),
(W185-V185)/ABS(V185)
)</f>
        <v>0.16043846537120079</v>
      </c>
      <c r="X191" s="81">
        <f t="shared" ref="X191:X193" si="257">IF(W185=0,
IF(X185=0,0,IF(X185&gt;0,1,-1)),
(X185-W185)/ABS(W185)
)</f>
        <v>7.7715757835981114E-2</v>
      </c>
      <c r="Y191" s="81">
        <f t="shared" ref="Y191:Y193" si="258">IF(X185=0,
IF(Y185=0,0,IF(Y185&gt;0,1,-1)),
(Y185-X185)/ABS(X185)
)</f>
        <v>6.4940239043824705E-2</v>
      </c>
      <c r="Z191" s="81">
        <f t="shared" ref="Z191:Z193" si="259">IF(Y185=0,
IF(Z185=0,0,IF(Z185&gt;0,1,-1)),
(Z185-Y185)/ABS(Y185)
)</f>
        <v>0.11185933408155631</v>
      </c>
      <c r="AA191" s="81">
        <f t="shared" ref="AA191:AA193" si="260">IF(Z185=0,
IF(AA185=0,0,IF(AA185&gt;0,1,-1)),
(AA185-Z185)/ABS(Z185)
)</f>
        <v>0.12213997308209959</v>
      </c>
      <c r="AC191" s="49"/>
    </row>
    <row r="192" spans="1:31" x14ac:dyDescent="0.2">
      <c r="B192" s="20" t="str">
        <f>B186</f>
        <v>Client</v>
      </c>
      <c r="L192" s="81">
        <f t="shared" si="247"/>
        <v>1</v>
      </c>
      <c r="M192" s="81">
        <f t="shared" si="248"/>
        <v>-2.8155473149292679E-2</v>
      </c>
      <c r="N192" s="81">
        <f t="shared" si="249"/>
        <v>-0.90234595816845675</v>
      </c>
      <c r="O192" s="81">
        <f t="shared" si="250"/>
        <v>-0.16497829232995659</v>
      </c>
      <c r="P192" s="81">
        <f t="shared" si="251"/>
        <v>-3.6395147313691506E-2</v>
      </c>
      <c r="Q192" s="81">
        <f t="shared" si="252"/>
        <v>0.30575539568345322</v>
      </c>
      <c r="T192" s="81">
        <f t="shared" si="253"/>
        <v>1</v>
      </c>
      <c r="U192" s="81">
        <f t="shared" si="254"/>
        <v>7.1942446043165471E-3</v>
      </c>
      <c r="V192" s="81">
        <f t="shared" si="255"/>
        <v>-2.1428571428571429E-2</v>
      </c>
      <c r="W192" s="81">
        <f t="shared" si="256"/>
        <v>2.1897810218978103E-2</v>
      </c>
      <c r="X192" s="81">
        <f t="shared" si="257"/>
        <v>4.2857142857142858E-2</v>
      </c>
      <c r="Y192" s="81">
        <f t="shared" si="258"/>
        <v>0.20547945205479451</v>
      </c>
      <c r="Z192" s="81">
        <f t="shared" si="259"/>
        <v>1.7045454545454544E-2</v>
      </c>
      <c r="AA192" s="81">
        <f t="shared" si="260"/>
        <v>0.25698324022346369</v>
      </c>
      <c r="AC192" s="49"/>
    </row>
    <row r="193" spans="1:31" x14ac:dyDescent="0.2">
      <c r="B193" s="20" t="str">
        <f>B187</f>
        <v>Consumer</v>
      </c>
      <c r="L193" s="81">
        <f t="shared" si="247"/>
        <v>1</v>
      </c>
      <c r="M193" s="81">
        <f t="shared" si="248"/>
        <v>-5.5640632976008166E-2</v>
      </c>
      <c r="N193" s="81">
        <f t="shared" si="249"/>
        <v>-0.78081081081081083</v>
      </c>
      <c r="O193" s="81">
        <f t="shared" si="250"/>
        <v>-0.15166461159062886</v>
      </c>
      <c r="P193" s="81">
        <f t="shared" si="251"/>
        <v>-9.4476744186046513E-2</v>
      </c>
      <c r="Q193" s="81">
        <f t="shared" si="252"/>
        <v>0.12841091492776885</v>
      </c>
      <c r="T193" s="81">
        <f t="shared" si="253"/>
        <v>1</v>
      </c>
      <c r="U193" s="81">
        <f t="shared" si="254"/>
        <v>5.4878048780487805E-2</v>
      </c>
      <c r="V193" s="81">
        <f t="shared" si="255"/>
        <v>-0.13294797687861271</v>
      </c>
      <c r="W193" s="81">
        <f t="shared" si="256"/>
        <v>-9.3333333333333338E-2</v>
      </c>
      <c r="X193" s="81">
        <f t="shared" si="257"/>
        <v>0.19117647058823528</v>
      </c>
      <c r="Y193" s="81">
        <f t="shared" si="258"/>
        <v>3.7037037037037035E-2</v>
      </c>
      <c r="Z193" s="81">
        <f t="shared" si="259"/>
        <v>0.10714285714285714</v>
      </c>
      <c r="AA193" s="81">
        <f t="shared" si="260"/>
        <v>5.3763440860215058E-3</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61">IF(K63=0,
IF(L63=0,0,IF(L63&gt;0,1,-1)),
(L63-K63)/K63
)</f>
        <v>0</v>
      </c>
      <c r="M197" s="81">
        <f t="shared" si="261"/>
        <v>0</v>
      </c>
      <c r="N197" s="81">
        <f t="shared" si="261"/>
        <v>0</v>
      </c>
      <c r="O197" s="81">
        <f t="shared" si="261"/>
        <v>0</v>
      </c>
      <c r="P197" s="81">
        <f t="shared" si="261"/>
        <v>-1</v>
      </c>
      <c r="Q197" s="81">
        <f t="shared" si="261"/>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62">100*(1+((N115-$M115)/ABS($M115)))</f>
        <v>105.7104194857916</v>
      </c>
      <c r="O201" s="141">
        <f t="shared" si="262"/>
        <v>205.06089309878212</v>
      </c>
      <c r="P201" s="141">
        <f t="shared" si="262"/>
        <v>218.17940460081186</v>
      </c>
      <c r="Q201" s="141">
        <f t="shared" ref="Q201" si="263">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64">100*(1+((N25-$M25)/ABS($M25)))</f>
        <v>-61.263157894736842</v>
      </c>
      <c r="O203" s="141">
        <f t="shared" si="264"/>
        <v>-52.84210526315789</v>
      </c>
      <c r="P203" s="141">
        <f t="shared" si="264"/>
        <v>118.32315789473684</v>
      </c>
      <c r="Q203" s="141">
        <f t="shared" ref="Q203" si="265">100*(1+((Q25-$M25)/ABS($M25)))</f>
        <v>645.59242105263149</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393</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1" t="s">
        <v>394</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6">SUM(X208:AA208)</f>
        <v>783</v>
      </c>
    </row>
    <row r="209" spans="2:29" x14ac:dyDescent="0.2">
      <c r="B209" s="231" t="s">
        <v>395</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6"/>
        <v>89</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396</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7">T185/T208</f>
        <v>13.539007092198581</v>
      </c>
      <c r="U211" s="63">
        <f t="shared" si="267"/>
        <v>13.61038961038961</v>
      </c>
      <c r="V211" s="63">
        <f t="shared" si="267"/>
        <v>13.841379310344827</v>
      </c>
      <c r="W211" s="63">
        <f t="shared" si="267"/>
        <v>13.7</v>
      </c>
      <c r="X211" s="63">
        <f t="shared" si="267"/>
        <v>13.71584699453552</v>
      </c>
      <c r="Y211" s="63">
        <f t="shared" si="267"/>
        <v>13.921875</v>
      </c>
      <c r="Z211" s="63">
        <f t="shared" si="267"/>
        <v>14.93467336683417</v>
      </c>
      <c r="AA211" s="63">
        <f t="shared" si="267"/>
        <v>15.956937799043063</v>
      </c>
      <c r="AC211" s="63">
        <f t="shared" ref="AC211" si="268">AC185/AC208</f>
        <v>14.674329501915709</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1" t="s">
        <v>232</v>
      </c>
      <c r="C4" s="241"/>
      <c r="E4" s="241" t="s">
        <v>239</v>
      </c>
      <c r="F4" s="241"/>
      <c r="G4" s="241"/>
    </row>
    <row r="5" spans="2:7" x14ac:dyDescent="0.2">
      <c r="B5" s="20" t="s">
        <v>1</v>
      </c>
      <c r="C5" s="168">
        <f ca="1">Overview!C5</f>
        <v>456.81</v>
      </c>
      <c r="E5" s="12"/>
      <c r="F5" s="132" t="s">
        <v>240</v>
      </c>
      <c r="G5" s="132" t="s">
        <v>241</v>
      </c>
    </row>
    <row r="6" spans="2:7" x14ac:dyDescent="0.2">
      <c r="B6" s="20" t="s">
        <v>238</v>
      </c>
      <c r="C6" s="169">
        <f ca="1">Statement!AC151</f>
        <v>182267.19</v>
      </c>
      <c r="E6" s="20" t="s">
        <v>19</v>
      </c>
      <c r="F6" s="174">
        <f>IF(Statement!M5&lt;=0,"N/A",_xlfn.RRI(4,Statement!M5,Statement!Q5))</f>
        <v>-8.9440780255571894E-2</v>
      </c>
      <c r="G6" s="174" t="str">
        <f>IF(Statement!H5&lt;=0,"N/A",_xlfn.RRI(9,Statement!H5,Statement!Q5))</f>
        <v>N/A</v>
      </c>
    </row>
    <row r="7" spans="2:7" x14ac:dyDescent="0.2">
      <c r="B7" s="20" t="s">
        <v>187</v>
      </c>
      <c r="C7" s="169">
        <f ca="1">Statement!AC152</f>
        <v>181740.19</v>
      </c>
      <c r="E7" s="20" t="s">
        <v>30</v>
      </c>
      <c r="F7" s="174">
        <f>IF(OR(Statement!M17&lt;=0, Statement!Q17&lt;=0), "N/A", _xlfn.RRI(4, Statement!M17, Statement!Q17))</f>
        <v>0.58320081438886584</v>
      </c>
      <c r="G7" s="174" t="str">
        <f>IF(OR(Statement!H17&lt;=0, Statement!Q17&lt;=0), "N/A", _xlfn.RRI(9, Statement!H17, Statement!Q17))</f>
        <v>N/A</v>
      </c>
    </row>
    <row r="8" spans="2:7" x14ac:dyDescent="0.2">
      <c r="B8" s="20" t="s">
        <v>236</v>
      </c>
      <c r="C8" s="170">
        <f ca="1">Statement!AC148</f>
        <v>18.868649318463444</v>
      </c>
      <c r="E8" s="20" t="s">
        <v>242</v>
      </c>
      <c r="F8" s="174">
        <f>IF(OR(Statement!M25&lt;=0, Statement!Q25&lt;=0), "N/A", _xlfn.RRI(4, Statement!M25, Statement!Q25))</f>
        <v>0.59400473021836042</v>
      </c>
      <c r="G8" s="174" t="str">
        <f>IF(OR(Statement!H25&lt;=0, Statement!Q25&lt;=0), "N/A", _xlfn.RRI(9, Statement!H25, Statement!Q25))</f>
        <v>N/A</v>
      </c>
    </row>
    <row r="9" spans="2:7" x14ac:dyDescent="0.2">
      <c r="B9" s="20" t="s">
        <v>200</v>
      </c>
      <c r="C9" s="170">
        <f ca="1">Statement!AC149</f>
        <v>13.551546752844647</v>
      </c>
      <c r="E9" s="20" t="s">
        <v>243</v>
      </c>
      <c r="F9" s="174" t="str">
        <f>IF(Statement!M81&lt;=0,"N/A",_xlfn.RRI(4,Statement!M81,Statement!Q81))</f>
        <v>N/A</v>
      </c>
      <c r="G9" s="174" t="str">
        <f>IF(Statement!H81&lt;=0,"N/A",_xlfn.RRI(9,Statement!H81,Statement!Q81))</f>
        <v>N/A</v>
      </c>
    </row>
    <row r="10" spans="2:7" x14ac:dyDescent="0.2">
      <c r="B10" s="20" t="s">
        <v>237</v>
      </c>
      <c r="C10" s="170">
        <f ca="1">Statement!AC150</f>
        <v>18.604288131768953</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14.067667002089944</v>
      </c>
    </row>
    <row r="12" spans="2:7" x14ac:dyDescent="0.2">
      <c r="B12" s="20" t="s">
        <v>203</v>
      </c>
      <c r="C12" s="170">
        <f ca="1">Statement!AC154</f>
        <v>40.812977767796994</v>
      </c>
    </row>
    <row r="15" spans="2:7" x14ac:dyDescent="0.2">
      <c r="B15" s="241" t="s">
        <v>76</v>
      </c>
      <c r="C15" s="241"/>
      <c r="E15" s="241" t="s">
        <v>245</v>
      </c>
      <c r="F15" s="241"/>
    </row>
    <row r="16" spans="2:7" x14ac:dyDescent="0.2">
      <c r="B16" s="20" t="s">
        <v>77</v>
      </c>
      <c r="C16" s="171">
        <f>Statement!AC99</f>
        <v>0.48850530226797739</v>
      </c>
      <c r="E16" s="20" t="s">
        <v>30</v>
      </c>
      <c r="F16" s="169">
        <f>Statement!AC17</f>
        <v>9424</v>
      </c>
    </row>
    <row r="17" spans="2:6" x14ac:dyDescent="0.2">
      <c r="B17" s="20" t="s">
        <v>78</v>
      </c>
      <c r="C17" s="171">
        <f>Statement!AC100</f>
        <v>0.34468612121681247</v>
      </c>
      <c r="E17" s="20" t="s">
        <v>246</v>
      </c>
      <c r="F17" s="169">
        <f>Statement!AC58</f>
        <v>6018</v>
      </c>
    </row>
    <row r="18" spans="2:6" x14ac:dyDescent="0.2">
      <c r="B18" s="20" t="s">
        <v>79</v>
      </c>
      <c r="C18" s="171">
        <f>Statement!AC101</f>
        <v>0.72946822509482157</v>
      </c>
      <c r="E18" s="20" t="s">
        <v>253</v>
      </c>
      <c r="F18" s="173">
        <f>IF(OR(F16&lt;=0, F17&lt;=0),"N/A",F16-F17)</f>
        <v>3406</v>
      </c>
    </row>
    <row r="21" spans="2:6" x14ac:dyDescent="0.2">
      <c r="B21" s="241" t="s">
        <v>244</v>
      </c>
      <c r="C21" s="241"/>
      <c r="E21" s="241" t="s">
        <v>248</v>
      </c>
      <c r="F21" s="241"/>
    </row>
    <row r="22" spans="2:6" x14ac:dyDescent="0.2">
      <c r="B22" s="20" t="s">
        <v>99</v>
      </c>
      <c r="C22" s="171">
        <f>Statement!AC119</f>
        <v>0.72946822509482157</v>
      </c>
      <c r="E22" s="20" t="s">
        <v>101</v>
      </c>
      <c r="F22" s="171">
        <f>C24</f>
        <v>0.67989322559699872</v>
      </c>
    </row>
    <row r="23" spans="2:6" x14ac:dyDescent="0.2">
      <c r="B23" s="20" t="s">
        <v>100</v>
      </c>
      <c r="C23" s="170">
        <f>Statement!AC120</f>
        <v>0.93203953538705719</v>
      </c>
      <c r="E23" s="20" t="s">
        <v>103</v>
      </c>
      <c r="F23" s="171">
        <f>C26</f>
        <v>1.0631768953068592</v>
      </c>
    </row>
    <row r="24" spans="2:6" x14ac:dyDescent="0.2">
      <c r="B24" s="32" t="s">
        <v>101</v>
      </c>
      <c r="C24" s="172">
        <f>Statement!AC121</f>
        <v>0.67989322559699872</v>
      </c>
      <c r="E24" s="20" t="s">
        <v>104</v>
      </c>
      <c r="F24" s="171">
        <f>Statement!AC138</f>
        <v>0.50818716392752861</v>
      </c>
    </row>
    <row r="25" spans="2:6" x14ac:dyDescent="0.2">
      <c r="B25" s="20" t="s">
        <v>102</v>
      </c>
      <c r="C25" s="170">
        <f>Statement!AC122</f>
        <v>1.5637409747292419</v>
      </c>
    </row>
    <row r="26" spans="2:6" x14ac:dyDescent="0.2">
      <c r="B26" s="32" t="s">
        <v>103</v>
      </c>
      <c r="C26" s="172">
        <f>Statement!AC123</f>
        <v>1.0631768953068592</v>
      </c>
    </row>
    <row r="29" spans="2:6" x14ac:dyDescent="0.2">
      <c r="B29" s="241" t="s">
        <v>249</v>
      </c>
      <c r="C29" s="241"/>
      <c r="E29" s="241" t="s">
        <v>255</v>
      </c>
      <c r="F29" s="241"/>
    </row>
    <row r="30" spans="2:6" x14ac:dyDescent="0.2">
      <c r="B30" s="20" t="s">
        <v>138</v>
      </c>
      <c r="C30" s="170">
        <f>Statement!AC139</f>
        <v>57.240498490595243</v>
      </c>
      <c r="E30" s="20" t="s">
        <v>256</v>
      </c>
      <c r="F30" s="176">
        <f>Statement!AC143</f>
        <v>0.11868231046931407</v>
      </c>
    </row>
    <row r="31" spans="2:6" x14ac:dyDescent="0.2">
      <c r="B31" s="20" t="s">
        <v>139</v>
      </c>
      <c r="C31" s="170">
        <f>Statement!AC140</f>
        <v>83.461713075060544</v>
      </c>
      <c r="E31" s="20" t="s">
        <v>257</v>
      </c>
      <c r="F31" s="176">
        <f>Statement!AC144</f>
        <v>-5.9453971119133572E-2</v>
      </c>
    </row>
    <row r="32" spans="2:6" x14ac:dyDescent="0.2">
      <c r="B32" s="20" t="s">
        <v>140</v>
      </c>
      <c r="C32" s="170">
        <f>Statement!AC141</f>
        <v>97.9888014527845</v>
      </c>
      <c r="E32" s="20" t="s">
        <v>252</v>
      </c>
      <c r="F32" s="176">
        <f>Statement!AC146</f>
        <v>1.3287735849056603</v>
      </c>
    </row>
    <row r="33" spans="2:6" x14ac:dyDescent="0.2">
      <c r="B33" s="20" t="s">
        <v>141</v>
      </c>
      <c r="C33" s="170">
        <f>Statement!AC142</f>
        <v>42.713410112871273</v>
      </c>
      <c r="E33" s="20" t="s">
        <v>251</v>
      </c>
      <c r="F33" s="176">
        <f>Statement!AC145</f>
        <v>0.85023584905660377</v>
      </c>
    </row>
    <row r="34" spans="2:6" x14ac:dyDescent="0.2">
      <c r="E34" s="20" t="s">
        <v>258</v>
      </c>
      <c r="F34" s="178" t="str">
        <f>Statement!AC147</f>
        <v>N/A</v>
      </c>
    </row>
    <row r="37" spans="2:6" x14ac:dyDescent="0.2">
      <c r="B37" s="241" t="s">
        <v>267</v>
      </c>
      <c r="C37" s="241"/>
      <c r="E37" s="241" t="s">
        <v>270</v>
      </c>
      <c r="F37" s="241"/>
    </row>
    <row r="38" spans="2:6" x14ac:dyDescent="0.2">
      <c r="B38" s="20" t="s">
        <v>265</v>
      </c>
      <c r="C38" s="171">
        <f ca="1">Statement!AC160</f>
        <v>5.2997964142641366E-2</v>
      </c>
      <c r="E38" s="20" t="s">
        <v>269</v>
      </c>
      <c r="F38" s="171">
        <f>Statement!AC166</f>
        <v>5.7011402280456092E-2</v>
      </c>
    </row>
    <row r="39" spans="2:6" x14ac:dyDescent="0.2">
      <c r="B39" s="54" t="s">
        <v>268</v>
      </c>
      <c r="C39" s="211">
        <f ca="1">Statement!AC159</f>
        <v>2.7426768361327125E-2</v>
      </c>
      <c r="E39" s="20" t="s">
        <v>271</v>
      </c>
      <c r="F39" s="171">
        <f>Statement!AC167</f>
        <v>0.86277255451090218</v>
      </c>
    </row>
    <row r="40" spans="2:6" x14ac:dyDescent="0.2">
      <c r="B40" s="20" t="s">
        <v>266</v>
      </c>
      <c r="C40" s="171">
        <f ca="1">Statement!AC161</f>
        <v>1.0945469670103544E-3</v>
      </c>
      <c r="E40" s="20" t="s">
        <v>272</v>
      </c>
      <c r="F40" s="171">
        <f>Statement!AC168</f>
        <v>0.91978395679135827</v>
      </c>
    </row>
    <row r="41" spans="2:6" x14ac:dyDescent="0.2">
      <c r="B41" s="20" t="s">
        <v>291</v>
      </c>
      <c r="C41" s="171">
        <f ca="1">Statement!AC162</f>
        <v>2.3663063001080994E-2</v>
      </c>
    </row>
    <row r="42" spans="2:6" x14ac:dyDescent="0.2">
      <c r="B42" s="20" t="s">
        <v>293</v>
      </c>
      <c r="C42" s="171">
        <f ca="1">Statement!AC163</f>
        <v>2.5226701525381503E-2</v>
      </c>
    </row>
    <row r="45" spans="2:6" x14ac:dyDescent="0.2">
      <c r="B45" s="241" t="s">
        <v>278</v>
      </c>
      <c r="C45" s="241"/>
      <c r="E45" s="241" t="s">
        <v>284</v>
      </c>
      <c r="F45" s="241"/>
    </row>
    <row r="46" spans="2:6" x14ac:dyDescent="0.2">
      <c r="B46" s="20" t="s">
        <v>276</v>
      </c>
      <c r="C46" s="171">
        <f>Statement!AC169</f>
        <v>2.5062656641604009E-3</v>
      </c>
      <c r="E46" s="20" t="s">
        <v>277</v>
      </c>
      <c r="F46" s="170">
        <f>Statement!AC170</f>
        <v>4.3739612188365653</v>
      </c>
    </row>
    <row r="47" spans="2:6" x14ac:dyDescent="0.2">
      <c r="E47" s="20" t="s">
        <v>285</v>
      </c>
      <c r="F47" s="170">
        <f>Statement!AC173</f>
        <v>1.4598337950138505</v>
      </c>
    </row>
    <row r="48" spans="2:6" x14ac:dyDescent="0.2">
      <c r="E48" s="20" t="s">
        <v>290</v>
      </c>
      <c r="F48" s="171">
        <f ca="1">Statement!AC174</f>
        <v>2.8913596572153221E-3</v>
      </c>
    </row>
    <row r="51" spans="2:6" x14ac:dyDescent="0.2">
      <c r="B51" s="241" t="s">
        <v>281</v>
      </c>
      <c r="C51" s="241"/>
      <c r="E51" s="241" t="s">
        <v>302</v>
      </c>
      <c r="F51" s="241"/>
    </row>
    <row r="52" spans="2:6" x14ac:dyDescent="0.2">
      <c r="B52" s="20" t="s">
        <v>279</v>
      </c>
      <c r="C52" s="171">
        <f>Statement!AC171</f>
        <v>6.0319042871385842E-2</v>
      </c>
      <c r="E52" s="20" t="s">
        <v>303</v>
      </c>
      <c r="F52" s="171">
        <f>Statement!AC175</f>
        <v>5.0777923987924765E-2</v>
      </c>
    </row>
    <row r="53" spans="2:6" x14ac:dyDescent="0.2">
      <c r="B53" s="20" t="s">
        <v>280</v>
      </c>
      <c r="C53" s="171">
        <f>Statement!AC172</f>
        <v>2.8098150011610805E-2</v>
      </c>
      <c r="E53" s="20" t="s">
        <v>300</v>
      </c>
      <c r="F53" s="171">
        <f>Statement!AC176</f>
        <v>0.10900631439016284</v>
      </c>
    </row>
    <row r="54" spans="2:6" x14ac:dyDescent="0.2">
      <c r="E54" s="20" t="s">
        <v>301</v>
      </c>
      <c r="F54" s="171">
        <f>Statement!AC177</f>
        <v>1.0202177293934682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456.81</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182267.19</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181740.19</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22.199341021416803</v>
      </c>
      <c r="I9" s="170">
        <f ca="1">Statement!AC148</f>
        <v>18.868649318463444</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13.551546752844647</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18.604288131768953</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14.067667002089944</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40.812977767796994</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0.48850530226797739</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0.34468612121681247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0.72946822509482157</v>
      </c>
      <c r="I18" s="171">
        <f>Statement!AC101</f>
        <v>0.72946822509482157</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9424</v>
      </c>
      <c r="I21" s="173">
        <f>Statement!AC17</f>
        <v>9424</v>
      </c>
    </row>
    <row r="22" spans="2:9" x14ac:dyDescent="0.2">
      <c r="B22" s="20" t="s">
        <v>246</v>
      </c>
      <c r="C22" s="173">
        <f>Statement!M58</f>
        <v>1880</v>
      </c>
      <c r="D22" s="173">
        <f>Statement!N58</f>
        <v>-408</v>
      </c>
      <c r="E22" s="173">
        <f>Statement!O58</f>
        <v>-294</v>
      </c>
      <c r="F22" s="173">
        <f>Statement!P58</f>
        <v>1691</v>
      </c>
      <c r="G22" s="173">
        <f>Statement!Q58</f>
        <v>3929</v>
      </c>
      <c r="I22" s="173">
        <f>Statement!AC58</f>
        <v>6018</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5495</v>
      </c>
      <c r="I23" s="191">
        <f t="shared" si="0"/>
        <v>3406</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0.72946822509482157</v>
      </c>
      <c r="I26" s="171">
        <f>Statement!AC119</f>
        <v>0.72946822509482157</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0.93203953538705719</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0.67989322559699872</v>
      </c>
      <c r="I28" s="172">
        <f>Statement!AC121</f>
        <v>0.67989322559699872</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1.5637409747292419</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1.0631768953068592</v>
      </c>
      <c r="I30" s="172">
        <f>Statement!AC123</f>
        <v>1.0631768953068592</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0.67989322559699872</v>
      </c>
      <c r="I33" s="171">
        <f>I28</f>
        <v>0.67989322559699872</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1.0631768953068592</v>
      </c>
      <c r="I34" s="171">
        <f>I30</f>
        <v>1.0631768953068592</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0.50818716392752861</v>
      </c>
      <c r="I35" s="171">
        <f>Statement!AC138</f>
        <v>0.50818716392752861</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57.240498490595243</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83.461713075060544</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97.9888014527845</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42.713410112871273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0.11868231046931407</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-5.9453971119133572E-2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0.85023584905660377</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1.3287735849056603</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t="str">
        <f>Statement!AC147</f>
        <v>N/A</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4.5046382189239335E-2</v>
      </c>
      <c r="I51" s="171">
        <f ca="1">Statement!AC160</f>
        <v>5.2997964142641366E-2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2.7426768361327125E-2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1.0945469670103544E-3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2.3663063001080994E-2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2.5226701525381503E-2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5.7011402280456092E-2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0.86277255451090218</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0.91978395679135827</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4.3739612188365653</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1.4598337950138505</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2.8913596572153221E-3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6.0319042871385842E-2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2.8098150011610805E-2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5.0777923987924765E-2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0.10900631439016284</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1.0202177293934682</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4.7358490566037732</v>
      </c>
      <c r="I85" s="193"/>
    </row>
    <row r="88" spans="2:9" ht="17" thickBot="1" x14ac:dyDescent="0.25">
      <c r="B88" s="14" t="s">
        <v>309</v>
      </c>
      <c r="C88" s="14"/>
      <c r="D88" s="14"/>
      <c r="E88" s="14"/>
      <c r="F88" s="14"/>
      <c r="G88" s="14"/>
      <c r="I88" s="14"/>
    </row>
    <row r="89" spans="2:9" x14ac:dyDescent="0.2">
      <c r="B89" s="20" t="str">
        <f>Statement!B191</f>
        <v>Cloud</v>
      </c>
      <c r="C89" s="171">
        <f>Statement!M191</f>
        <v>0.4008387209505504</v>
      </c>
      <c r="D89" s="171">
        <f>Statement!N191</f>
        <v>-0.40713483846825493</v>
      </c>
      <c r="E89" s="171">
        <f>Statement!O191</f>
        <v>6.2907637281716805E-2</v>
      </c>
      <c r="F89" s="171">
        <f>Statement!P191</f>
        <v>0.65102929532858278</v>
      </c>
      <c r="G89" s="171">
        <f>Statement!Q191</f>
        <v>0.37753266994365187</v>
      </c>
      <c r="I89" s="193"/>
    </row>
    <row r="90" spans="2:9" x14ac:dyDescent="0.2">
      <c r="B90" s="20" t="str">
        <f>Statement!B192</f>
        <v>Client</v>
      </c>
      <c r="C90" s="171">
        <f>Statement!M192</f>
        <v>-2.8155473149292679E-2</v>
      </c>
      <c r="D90" s="171">
        <f>Statement!N192</f>
        <v>-0.90234595816845675</v>
      </c>
      <c r="E90" s="171">
        <f>Statement!O192</f>
        <v>-0.16497829232995659</v>
      </c>
      <c r="F90" s="171">
        <f>Statement!P192</f>
        <v>-3.6395147313691506E-2</v>
      </c>
      <c r="G90" s="171">
        <f>Statement!Q192</f>
        <v>0.30575539568345322</v>
      </c>
      <c r="I90" s="193"/>
    </row>
    <row r="91" spans="2:9" x14ac:dyDescent="0.2">
      <c r="B91" s="20" t="str">
        <f>Statement!B193</f>
        <v>Consumer</v>
      </c>
      <c r="C91" s="171">
        <f>Statement!M193</f>
        <v>-5.5640632976008166E-2</v>
      </c>
      <c r="D91" s="171">
        <f>Statement!N193</f>
        <v>-0.78081081081081083</v>
      </c>
      <c r="E91" s="171">
        <f>Statement!O193</f>
        <v>-0.15166461159062886</v>
      </c>
      <c r="F91" s="171">
        <f>Statement!P193</f>
        <v>-9.4476744186046513E-2</v>
      </c>
      <c r="G91" s="171">
        <f>Statement!Q193</f>
        <v>0.12841091492776885</v>
      </c>
      <c r="I91" s="193"/>
    </row>
    <row r="93" spans="2:9" ht="17" thickBot="1" x14ac:dyDescent="0.25">
      <c r="B93" s="14" t="s">
        <v>311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7" t="s">
        <v>312</v>
      </c>
      <c r="D3" s="248"/>
      <c r="F3" s="249" t="s">
        <v>313</v>
      </c>
      <c r="G3" s="248"/>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3337</v>
      </c>
      <c r="D6" s="194">
        <f>Statement!AA5</f>
        <v>3747</v>
      </c>
      <c r="F6" s="195">
        <f>Statement!W5</f>
        <v>2605</v>
      </c>
      <c r="G6" s="194">
        <f>Statement!AA5</f>
        <v>3747</v>
      </c>
    </row>
    <row r="7" spans="2:7" x14ac:dyDescent="0.2">
      <c r="B7" s="202" t="s">
        <v>314</v>
      </c>
      <c r="C7" s="250">
        <f>Statement!AA88</f>
        <v>0.12286484866646688</v>
      </c>
      <c r="D7" s="251"/>
      <c r="F7" s="250">
        <f>IF(F6=0,
IF(G6=0,0,IF(G6&gt;0,1,-1)),
(G6-F6)/ABS(F6)
)</f>
        <v>0.43838771593090209</v>
      </c>
      <c r="G7" s="251"/>
    </row>
    <row r="8" spans="2:7" x14ac:dyDescent="0.2">
      <c r="B8" s="203" t="s">
        <v>20</v>
      </c>
      <c r="C8" s="196">
        <f>Statement!Z6</f>
        <v>1661</v>
      </c>
      <c r="D8" s="194">
        <f>Statement!AA6</f>
        <v>1719</v>
      </c>
      <c r="F8" s="196">
        <f>Statement!W6</f>
        <v>1538</v>
      </c>
      <c r="G8" s="194">
        <f>Statement!AA6</f>
        <v>1719</v>
      </c>
    </row>
    <row r="9" spans="2:7" x14ac:dyDescent="0.2">
      <c r="B9" s="202" t="s">
        <v>314</v>
      </c>
      <c r="C9" s="250">
        <f>Statement!AA89</f>
        <v>3.4918723660445516E-2</v>
      </c>
      <c r="D9" s="251"/>
      <c r="F9" s="250">
        <f>IF(F8=0,
IF(G8=0,0,IF(G8&gt;0,1,-1)),
(G8-F8)/ABS(F8)
)</f>
        <v>0.1176853055916775</v>
      </c>
      <c r="G9" s="251"/>
    </row>
    <row r="10" spans="2:7" x14ac:dyDescent="0.2">
      <c r="B10" s="203" t="s">
        <v>21</v>
      </c>
      <c r="C10" s="196">
        <f>Statement!Z7</f>
        <v>1676</v>
      </c>
      <c r="D10" s="194">
        <f>Statement!AA7</f>
        <v>2028</v>
      </c>
      <c r="F10" s="196">
        <f>Statement!W7</f>
        <v>1067</v>
      </c>
      <c r="G10" s="194">
        <f>Statement!AA7</f>
        <v>2028</v>
      </c>
    </row>
    <row r="11" spans="2:7" x14ac:dyDescent="0.2">
      <c r="B11" s="202" t="s">
        <v>314</v>
      </c>
      <c r="C11" s="250">
        <f>Statement!AA90</f>
        <v>0.21002386634844869</v>
      </c>
      <c r="D11" s="251"/>
      <c r="F11" s="250">
        <f>IF(F10=0,
IF(G10=0,0,IF(G10&gt;0,1,-1)),
(G10-F10)/ABS(F10)
)</f>
        <v>0.90065604498594187</v>
      </c>
      <c r="G11" s="251"/>
    </row>
    <row r="12" spans="2:7" x14ac:dyDescent="0.2">
      <c r="B12" s="203" t="s">
        <v>24</v>
      </c>
      <c r="C12" s="196">
        <f>Statement!Z10</f>
        <v>486</v>
      </c>
      <c r="D12" s="196">
        <f>Statement!AA10</f>
        <v>465</v>
      </c>
      <c r="F12" s="196">
        <f>Statement!W10</f>
        <v>387</v>
      </c>
      <c r="G12" s="194">
        <f>Statement!AA10</f>
        <v>465</v>
      </c>
    </row>
    <row r="13" spans="2:7" x14ac:dyDescent="0.2">
      <c r="B13" s="202" t="s">
        <v>314</v>
      </c>
      <c r="C13" s="250">
        <f>Statement!AA93</f>
        <v>-4.3209876543209874E-2</v>
      </c>
      <c r="D13" s="251"/>
      <c r="F13" s="250">
        <f>IF(F12=0,
IF(G12=0,0,IF(G12&gt;0,1,-1)),
(G12-F12)/ABS(F12)
)</f>
        <v>0.20155038759689922</v>
      </c>
      <c r="G13" s="251"/>
    </row>
    <row r="14" spans="2:7" x14ac:dyDescent="0.2">
      <c r="B14" s="203" t="s">
        <v>315</v>
      </c>
      <c r="C14" s="196">
        <f>Statement!Z11</f>
        <v>1190</v>
      </c>
      <c r="D14" s="194">
        <f>Statement!AA11</f>
        <v>1563</v>
      </c>
      <c r="F14" s="196">
        <f>Statement!W11</f>
        <v>680</v>
      </c>
      <c r="G14" s="194">
        <f>Statement!AA11</f>
        <v>1563</v>
      </c>
    </row>
    <row r="15" spans="2:7" x14ac:dyDescent="0.2">
      <c r="B15" s="202" t="s">
        <v>314</v>
      </c>
      <c r="C15" s="250">
        <f>Statement!AA94</f>
        <v>0.3134453781512605</v>
      </c>
      <c r="D15" s="251"/>
      <c r="F15" s="250">
        <f>IF(F14=0,
IF(G14=0,0,IF(G14&gt;0,1,-1)),
(G14-F14)/ABS(F14)
)</f>
        <v>1.2985294117647059</v>
      </c>
      <c r="G15" s="251"/>
    </row>
    <row r="16" spans="2:7" x14ac:dyDescent="0.2">
      <c r="B16" s="203" t="s">
        <v>30</v>
      </c>
      <c r="C16" s="196">
        <f>Statement!Z17</f>
        <v>3205</v>
      </c>
      <c r="D16" s="194">
        <f>Statement!AA17</f>
        <v>3195</v>
      </c>
      <c r="F16" s="196">
        <f>Statement!W17</f>
        <v>252</v>
      </c>
      <c r="G16" s="194">
        <f>Statement!AA17</f>
        <v>3195</v>
      </c>
    </row>
    <row r="17" spans="2:7" x14ac:dyDescent="0.2">
      <c r="B17" s="202" t="s">
        <v>314</v>
      </c>
      <c r="C17" s="250">
        <f>Statement!AA96</f>
        <v>-3.1201248049921998E-3</v>
      </c>
      <c r="D17" s="251"/>
      <c r="F17" s="250">
        <f>IF(F16=0,
IF(G16=0,0,IF(G16&gt;0,1,-1)),
(G16-F16)/ABS(F16)
)</f>
        <v>11.678571428571429</v>
      </c>
      <c r="G17" s="251"/>
    </row>
    <row r="18" spans="2:7" x14ac:dyDescent="0.2">
      <c r="B18" s="203" t="s">
        <v>316</v>
      </c>
      <c r="C18" s="196">
        <f>Statement!Z21</f>
        <v>387</v>
      </c>
      <c r="D18" s="194">
        <f>Statement!AA21</f>
        <v>389</v>
      </c>
      <c r="F18" s="196">
        <f>Statement!W21</f>
        <v>362</v>
      </c>
      <c r="G18" s="194">
        <f>Statement!AA21</f>
        <v>389</v>
      </c>
    </row>
    <row r="19" spans="2:7" x14ac:dyDescent="0.2">
      <c r="B19" s="202" t="s">
        <v>314</v>
      </c>
      <c r="C19" s="250">
        <f>IF(C18=0,
IF(D18=0,0,IF(D18&gt;0,1,-1)),
(D18-C18)/ABS(C18)
)</f>
        <v>5.1679586563307496E-3</v>
      </c>
      <c r="D19" s="251"/>
      <c r="F19" s="250">
        <f>IF(F18=0,
IF(G18=0,0,IF(G18&gt;0,1,-1)),
(G18-F18)/ABS(F18)
)</f>
        <v>7.4585635359116026E-2</v>
      </c>
      <c r="G19" s="251"/>
    </row>
    <row r="20" spans="2:7" x14ac:dyDescent="0.2">
      <c r="B20" s="203" t="s">
        <v>37</v>
      </c>
      <c r="C20" s="197">
        <f>Statement!Z25</f>
        <v>8.1999999999999993</v>
      </c>
      <c r="D20" s="198">
        <f>Statement!AA25</f>
        <v>8.2100000000000009</v>
      </c>
      <c r="F20" s="197">
        <f>Statement!W25</f>
        <v>0.67</v>
      </c>
      <c r="G20" s="198">
        <f>Statement!AA25</f>
        <v>8.2100000000000009</v>
      </c>
    </row>
    <row r="21" spans="2:7" x14ac:dyDescent="0.2">
      <c r="B21" s="202" t="s">
        <v>314</v>
      </c>
      <c r="C21" s="250">
        <f>IF(C20=0,
IF(D20=0,0,IF(D20&gt;0,1,-1)),
(D20-C20)/ABS(C20)
)</f>
        <v>1.219512195122142E-3</v>
      </c>
      <c r="D21" s="251"/>
      <c r="F21" s="250">
        <f>IF(F20=0,
IF(G20=0,0,IF(G20&gt;0,1,-1)),
(G20-F20)/ABS(F20)
)</f>
        <v>11.253731343283583</v>
      </c>
      <c r="G21" s="251"/>
    </row>
    <row r="23" spans="2:7" x14ac:dyDescent="0.2">
      <c r="B23" s="8" t="s">
        <v>317</v>
      </c>
      <c r="C23" s="10" t="str">
        <f>C5</f>
        <v>Q3 2026</v>
      </c>
      <c r="D23" s="199" t="str">
        <f>D5</f>
        <v>Q4 2026</v>
      </c>
      <c r="F23" s="200" t="str">
        <f>F5</f>
        <v>Q4 2025</v>
      </c>
      <c r="G23" s="199" t="str">
        <f>G5</f>
        <v>Q4 2026</v>
      </c>
    </row>
    <row r="24" spans="2:7" x14ac:dyDescent="0.2">
      <c r="B24" s="20" t="str">
        <f>Statement!B185</f>
        <v>Cloud</v>
      </c>
      <c r="C24" s="196">
        <f>Statement!Z185</f>
        <v>2972</v>
      </c>
      <c r="D24" s="194">
        <f>Statement!AA185</f>
        <v>3335</v>
      </c>
      <c r="F24" s="196">
        <f>Statement!W185</f>
        <v>2329</v>
      </c>
      <c r="G24" s="194">
        <f>Statement!AA185</f>
        <v>3335</v>
      </c>
    </row>
    <row r="25" spans="2:7" x14ac:dyDescent="0.2">
      <c r="B25" s="202" t="s">
        <v>314</v>
      </c>
      <c r="C25" s="250">
        <f>IF(C24=0,
IF(D24=0,0,IF(D24&gt;0,1,-1)),
(D24-C24)/ABS(C24)
)</f>
        <v>0.12213997308209959</v>
      </c>
      <c r="D25" s="251"/>
      <c r="F25" s="250">
        <f>IF(F24=0,
IF(G24=0,0,IF(G24&gt;0,1,-1)),
(G24-F24)/ABS(F24)
)</f>
        <v>0.43194504079003865</v>
      </c>
      <c r="G25" s="251"/>
    </row>
    <row r="26" spans="2:7" x14ac:dyDescent="0.2">
      <c r="B26" s="20" t="str">
        <f>Statement!B186</f>
        <v>Client</v>
      </c>
      <c r="C26" s="196">
        <f>Statement!Z186</f>
        <v>179</v>
      </c>
      <c r="D26" s="194">
        <f>Statement!AA186</f>
        <v>225</v>
      </c>
      <c r="F26" s="196">
        <f>Statement!W186</f>
        <v>140</v>
      </c>
      <c r="G26" s="194">
        <f>Statement!AA186</f>
        <v>225</v>
      </c>
    </row>
    <row r="27" spans="2:7" x14ac:dyDescent="0.2">
      <c r="B27" s="202" t="s">
        <v>314</v>
      </c>
      <c r="C27" s="250">
        <f>IF(C26=0,
IF(D26=0,0,IF(D26&gt;0,1,-1)),
(D26-C26)/ABS(C26)
)</f>
        <v>0.25698324022346369</v>
      </c>
      <c r="D27" s="251"/>
      <c r="F27" s="250">
        <f>IF(F26=0,
IF(G26=0,0,IF(G26&gt;0,1,-1)),
(G26-F26)/ABS(F26)
)</f>
        <v>0.6071428571428571</v>
      </c>
      <c r="G27" s="251"/>
    </row>
    <row r="28" spans="2:7" x14ac:dyDescent="0.2">
      <c r="B28" s="20" t="str">
        <f>Statement!B187</f>
        <v>Consumer</v>
      </c>
      <c r="C28" s="196">
        <f>Statement!Z187</f>
        <v>186</v>
      </c>
      <c r="D28" s="194">
        <f>Statement!AA187</f>
        <v>187</v>
      </c>
      <c r="F28" s="196">
        <f>Statement!W187</f>
        <v>136</v>
      </c>
      <c r="G28" s="194">
        <f>Statement!AA187</f>
        <v>187</v>
      </c>
    </row>
    <row r="29" spans="2:7" x14ac:dyDescent="0.2">
      <c r="B29" s="202" t="s">
        <v>314</v>
      </c>
      <c r="C29" s="250">
        <f>IF(C28=0,
IF(D28=0,0,IF(D28&gt;0,1,-1)),
(D28-C28)/ABS(C28)
)</f>
        <v>5.3763440860215058E-3</v>
      </c>
      <c r="D29" s="251"/>
      <c r="F29" s="250">
        <f>IF(F28=0,
IF(G28=0,0,IF(G28&gt;0,1,-1)),
(G28-F28)/ABS(F28)
)</f>
        <v>0.375</v>
      </c>
      <c r="G29" s="251"/>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9424</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3535.7563856638062</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0.72946822509482157</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0.67989322559699872</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1.0631768953068592</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0.50818716392752861</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645.59242105263149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1182</v>
      </c>
      <c r="H59" s="64">
        <f>Statement!Y17</f>
        <v>1842</v>
      </c>
      <c r="I59" s="64">
        <f>Statement!Z17</f>
        <v>3205</v>
      </c>
      <c r="J59" s="64">
        <f>Statement!AA17</f>
        <v>3195</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0.41944641589779985</v>
      </c>
      <c r="H62" s="58">
        <f>Statement!Y101</f>
        <v>0.61054027179317205</v>
      </c>
      <c r="I62" s="58">
        <f>Statement!Z101</f>
        <v>0.96044351213664969</v>
      </c>
      <c r="J62" s="58">
        <f>Statement!AA101</f>
        <v>0.8526821457165733</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260</v>
      </c>
      <c r="C66" s="64">
        <f>Statement!T155</f>
        <v>-146</v>
      </c>
      <c r="D66" s="64">
        <f>Statement!U155</f>
        <v>64</v>
      </c>
      <c r="E66" s="64">
        <f>Statement!V155</f>
        <v>384</v>
      </c>
      <c r="F66" s="64">
        <f>Statement!W155</f>
        <v>630</v>
      </c>
      <c r="G66" s="64">
        <f>Statement!X155</f>
        <v>546</v>
      </c>
      <c r="H66" s="64">
        <f>Statement!Y155</f>
        <v>1146</v>
      </c>
      <c r="I66" s="64">
        <f>Statement!Z155</f>
        <v>2071</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A12"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1" t="s">
        <v>112</v>
      </c>
      <c r="D2" s="241"/>
      <c r="E2" s="241"/>
      <c r="F2" s="241"/>
      <c r="G2" s="242"/>
      <c r="H2" s="243" t="s">
        <v>113</v>
      </c>
      <c r="I2" s="241"/>
      <c r="J2" s="241"/>
      <c r="K2" s="241"/>
      <c r="L2" s="241"/>
      <c r="O2" s="5"/>
      <c r="S2" s="241" t="s">
        <v>112</v>
      </c>
      <c r="T2" s="241"/>
      <c r="U2" s="241"/>
      <c r="V2" s="241"/>
      <c r="W2" s="241"/>
      <c r="X2" s="241"/>
      <c r="Y2" s="241"/>
      <c r="Z2" s="241"/>
      <c r="AA2" s="241" t="s">
        <v>113</v>
      </c>
      <c r="AB2" s="241"/>
      <c r="AC2" s="241"/>
      <c r="AE2" s="85" t="s">
        <v>114</v>
      </c>
    </row>
    <row r="3" spans="1:31" ht="10" customHeight="1" x14ac:dyDescent="0.2">
      <c r="O3" s="5"/>
    </row>
    <row r="4" spans="1:31" ht="16" customHeight="1" x14ac:dyDescent="0.2">
      <c r="A4" s="86"/>
      <c r="B4" s="60"/>
      <c r="C4" s="240" t="s">
        <v>115</v>
      </c>
      <c r="D4" s="240"/>
      <c r="E4" s="240"/>
      <c r="F4" s="240"/>
      <c r="G4" s="240"/>
      <c r="H4" s="240"/>
      <c r="I4" s="240"/>
      <c r="J4" s="240"/>
      <c r="K4" s="240"/>
      <c r="L4" s="240"/>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413</v>
      </c>
      <c r="O6" s="5"/>
      <c r="Q6" s="90" t="s">
        <v>413</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411</v>
      </c>
      <c r="O7" s="5"/>
      <c r="Q7" s="90" t="s">
        <v>411</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412</v>
      </c>
      <c r="O8" s="5"/>
      <c r="Q8" s="90" t="s">
        <v>412</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40" t="s">
        <v>121</v>
      </c>
      <c r="D11" s="240"/>
      <c r="E11" s="240"/>
      <c r="F11" s="240"/>
      <c r="G11" s="240"/>
      <c r="H11" s="240"/>
      <c r="I11" s="240"/>
      <c r="J11" s="240"/>
      <c r="K11" s="240"/>
      <c r="L11" s="240"/>
      <c r="O11" s="5"/>
      <c r="Q11" s="91"/>
      <c r="S11" s="252" t="s">
        <v>121</v>
      </c>
      <c r="T11" s="253"/>
      <c r="U11" s="253"/>
      <c r="V11" s="253"/>
      <c r="W11" s="253"/>
      <c r="X11" s="253"/>
      <c r="Y11" s="253"/>
      <c r="Z11" s="253"/>
      <c r="AA11" s="253"/>
      <c r="AB11" s="253"/>
      <c r="AC11" s="253"/>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40" t="s">
        <v>414</v>
      </c>
      <c r="D19" s="240"/>
      <c r="E19" s="240"/>
      <c r="F19" s="240"/>
      <c r="G19" s="240"/>
      <c r="H19" s="240"/>
      <c r="I19" s="240"/>
      <c r="J19" s="240"/>
      <c r="K19" s="240"/>
      <c r="L19" s="240"/>
      <c r="O19" s="5"/>
      <c r="S19" s="252" t="s">
        <v>115</v>
      </c>
      <c r="T19" s="253"/>
      <c r="U19" s="253"/>
      <c r="V19" s="253"/>
      <c r="W19" s="253"/>
      <c r="X19" s="253"/>
      <c r="Y19" s="253"/>
      <c r="Z19" s="253"/>
      <c r="AA19" s="253"/>
      <c r="AB19" s="253"/>
      <c r="AC19" s="253"/>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884.79</v>
      </c>
      <c r="I21" s="236">
        <f t="shared" ref="I21:L21" si="22">H21*(1+I23)</f>
        <v>982.1169000000001</v>
      </c>
      <c r="J21" s="236">
        <f t="shared" si="22"/>
        <v>1080.3285900000003</v>
      </c>
      <c r="K21" s="236">
        <f t="shared" si="22"/>
        <v>1080.3285900000003</v>
      </c>
      <c r="L21" s="236">
        <f t="shared" si="22"/>
        <v>972.29573100000027</v>
      </c>
      <c r="N21" s="90" t="s">
        <v>415</v>
      </c>
      <c r="O21" s="5"/>
      <c r="Q21" s="90" t="s">
        <v>415</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16.435249042145596</v>
      </c>
      <c r="I22" s="237">
        <f t="shared" ref="I22:L22" si="23">H22*(1+I24)</f>
        <v>17.257011494252875</v>
      </c>
      <c r="J22" s="237">
        <f t="shared" si="23"/>
        <v>16.39416091954023</v>
      </c>
      <c r="K22" s="237">
        <f t="shared" si="23"/>
        <v>15.574452873563217</v>
      </c>
      <c r="L22" s="237">
        <f t="shared" si="23"/>
        <v>14.795730229885056</v>
      </c>
      <c r="N22" s="90" t="s">
        <v>416</v>
      </c>
      <c r="O22" s="5"/>
      <c r="Q22" s="90" t="s">
        <v>416</v>
      </c>
      <c r="R22" s="1" t="str">
        <f t="shared" ref="R22" si="24">B22</f>
        <v>Price per Exabyte</v>
      </c>
      <c r="S22" s="233">
        <f>Statement!T211</f>
        <v>13.539007092198581</v>
      </c>
      <c r="T22" s="233">
        <f>Statement!U211</f>
        <v>13.61038961038961</v>
      </c>
      <c r="U22" s="233">
        <f>Statement!V211</f>
        <v>13.841379310344827</v>
      </c>
      <c r="V22" s="233">
        <f>Statement!W211</f>
        <v>13.7</v>
      </c>
      <c r="W22" s="233">
        <f>Statement!X211</f>
        <v>13.71584699453552</v>
      </c>
      <c r="X22" s="233">
        <f>Statement!Y211</f>
        <v>13.921875</v>
      </c>
      <c r="Y22" s="233">
        <f>Statement!Z211</f>
        <v>14.93467336683417</v>
      </c>
      <c r="Z22" s="234">
        <f>Statement!AA211</f>
        <v>15.956937799043063</v>
      </c>
      <c r="AA22" s="235">
        <f>Z22*(1+AA24)</f>
        <v>16.435645933014357</v>
      </c>
      <c r="AB22" s="64"/>
      <c r="AC22" s="64"/>
      <c r="AE22" s="235">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D5"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1" t="s">
        <v>112</v>
      </c>
      <c r="D2" s="241"/>
      <c r="E2" s="241"/>
      <c r="F2" s="241"/>
      <c r="G2" s="242"/>
      <c r="H2" s="243" t="s">
        <v>113</v>
      </c>
      <c r="I2" s="241"/>
      <c r="J2" s="241"/>
      <c r="K2" s="241"/>
      <c r="L2" s="241"/>
      <c r="P2" s="241" t="s">
        <v>112</v>
      </c>
      <c r="Q2" s="241"/>
      <c r="R2" s="241"/>
      <c r="S2" s="241"/>
      <c r="T2" s="241"/>
      <c r="U2" s="241"/>
      <c r="V2" s="241"/>
      <c r="W2" s="241"/>
      <c r="X2" s="241" t="s">
        <v>113</v>
      </c>
      <c r="Y2" s="241"/>
      <c r="Z2" s="241"/>
      <c r="AB2" s="85" t="s">
        <v>114</v>
      </c>
    </row>
    <row r="3" spans="1:30" ht="10" customHeight="1" x14ac:dyDescent="0.2"/>
    <row r="4" spans="1:30" ht="16" customHeight="1" x14ac:dyDescent="0.2">
      <c r="A4" s="86"/>
      <c r="B4" s="60"/>
      <c r="C4" s="240" t="s">
        <v>115</v>
      </c>
      <c r="D4" s="240"/>
      <c r="E4" s="240"/>
      <c r="F4" s="240"/>
      <c r="G4" s="240"/>
      <c r="H4" s="240"/>
      <c r="I4" s="240"/>
      <c r="J4" s="240"/>
      <c r="K4" s="240"/>
      <c r="L4" s="240"/>
      <c r="P4" s="253" t="s">
        <v>115</v>
      </c>
      <c r="Q4" s="253"/>
      <c r="R4" s="253"/>
      <c r="S4" s="253"/>
      <c r="T4" s="253"/>
      <c r="U4" s="253"/>
      <c r="V4" s="253"/>
      <c r="W4" s="253"/>
      <c r="X4" s="253"/>
      <c r="Y4" s="253"/>
      <c r="Z4" s="253"/>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40" t="s">
        <v>124</v>
      </c>
      <c r="D9" s="240"/>
      <c r="E9" s="240"/>
      <c r="F9" s="240"/>
      <c r="G9" s="240"/>
      <c r="H9" s="240"/>
      <c r="I9" s="240"/>
      <c r="J9" s="240"/>
      <c r="K9" s="240"/>
      <c r="L9" s="240"/>
      <c r="N9" s="91"/>
      <c r="P9" s="253" t="s">
        <v>125</v>
      </c>
      <c r="Q9" s="253"/>
      <c r="R9" s="253"/>
      <c r="S9" s="253"/>
      <c r="T9" s="253"/>
      <c r="U9" s="253"/>
      <c r="V9" s="253"/>
      <c r="W9" s="253"/>
      <c r="X9" s="253"/>
      <c r="Y9" s="253"/>
      <c r="Z9" s="253"/>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40" t="s">
        <v>127</v>
      </c>
      <c r="D17" s="240"/>
      <c r="E17" s="240"/>
      <c r="F17" s="240"/>
      <c r="G17" s="240"/>
      <c r="H17" s="240"/>
      <c r="I17" s="240"/>
      <c r="J17" s="240"/>
      <c r="K17" s="240"/>
      <c r="L17" s="240"/>
      <c r="P17" s="253" t="s">
        <v>127</v>
      </c>
      <c r="Q17" s="253"/>
      <c r="R17" s="253"/>
      <c r="S17" s="253"/>
      <c r="T17" s="253"/>
      <c r="U17" s="253"/>
      <c r="V17" s="253"/>
      <c r="W17" s="253"/>
      <c r="X17" s="253"/>
      <c r="Y17" s="253"/>
      <c r="Z17" s="253"/>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1" t="s">
        <v>112</v>
      </c>
      <c r="D3" s="241"/>
      <c r="E3" s="241"/>
      <c r="F3" s="241"/>
      <c r="G3" s="242"/>
      <c r="H3" s="243" t="s">
        <v>113</v>
      </c>
      <c r="I3" s="241"/>
      <c r="J3" s="241"/>
      <c r="K3" s="241"/>
      <c r="L3" s="241"/>
      <c r="P3" s="254"/>
      <c r="Q3" s="254"/>
      <c r="R3" s="254"/>
      <c r="S3" s="254"/>
      <c r="T3" s="254"/>
      <c r="U3" s="254"/>
      <c r="V3" s="254"/>
      <c r="W3" s="254"/>
      <c r="X3" s="254"/>
      <c r="Y3" s="254"/>
      <c r="Z3" s="254"/>
      <c r="AB3" s="109"/>
    </row>
    <row r="4" spans="1:28" ht="10" customHeight="1" x14ac:dyDescent="0.2"/>
    <row r="5" spans="1:28" ht="16" customHeight="1" x14ac:dyDescent="0.2">
      <c r="A5" s="86"/>
      <c r="B5" s="60"/>
      <c r="C5" s="240" t="s">
        <v>115</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0" t="s">
        <v>131</v>
      </c>
      <c r="D11" s="240"/>
      <c r="E11" s="240"/>
      <c r="F11" s="240"/>
      <c r="G11" s="240"/>
      <c r="H11" s="240"/>
      <c r="I11" s="240"/>
      <c r="J11" s="240"/>
      <c r="K11" s="240"/>
      <c r="L11" s="240"/>
      <c r="N11" s="91"/>
      <c r="P11" s="254"/>
      <c r="Q11" s="254"/>
      <c r="R11" s="254"/>
      <c r="S11" s="254"/>
      <c r="T11" s="254"/>
      <c r="U11" s="254"/>
      <c r="V11" s="254"/>
      <c r="W11" s="254"/>
      <c r="X11" s="254"/>
      <c r="Y11" s="254"/>
      <c r="Z11" s="254"/>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40" t="s">
        <v>136</v>
      </c>
      <c r="D18" s="240"/>
      <c r="E18" s="240"/>
      <c r="F18" s="240"/>
      <c r="G18" s="240"/>
      <c r="H18" s="240"/>
      <c r="I18" s="240"/>
      <c r="J18" s="240"/>
      <c r="K18" s="240"/>
      <c r="L18" s="240"/>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4"/>
      <c r="C25" s="254"/>
    </row>
    <row r="26" spans="2:12" x14ac:dyDescent="0.2">
      <c r="B26" s="109"/>
      <c r="C26" s="240" t="s">
        <v>142</v>
      </c>
      <c r="D26" s="240"/>
      <c r="E26" s="240"/>
      <c r="F26" s="240"/>
      <c r="G26" s="240"/>
      <c r="H26" s="240"/>
      <c r="I26" s="240"/>
      <c r="J26" s="240"/>
      <c r="K26" s="240"/>
      <c r="L26" s="240"/>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40" t="s">
        <v>146</v>
      </c>
      <c r="D33" s="240"/>
      <c r="E33" s="240"/>
      <c r="F33" s="240"/>
      <c r="G33" s="240"/>
      <c r="H33" s="240"/>
      <c r="I33" s="240"/>
      <c r="J33" s="240"/>
      <c r="K33" s="240"/>
      <c r="L33" s="240"/>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40" t="s">
        <v>149</v>
      </c>
      <c r="D40" s="240"/>
      <c r="E40" s="240"/>
      <c r="F40" s="240"/>
      <c r="G40" s="240"/>
      <c r="H40" s="240"/>
      <c r="I40" s="240"/>
      <c r="J40" s="240"/>
      <c r="K40" s="240"/>
      <c r="L40" s="240"/>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1" t="s">
        <v>112</v>
      </c>
      <c r="D2" s="241"/>
      <c r="E2" s="241"/>
      <c r="F2" s="241"/>
      <c r="G2" s="242"/>
      <c r="H2" s="243" t="s">
        <v>113</v>
      </c>
      <c r="I2" s="241"/>
      <c r="J2" s="241"/>
      <c r="K2" s="241"/>
      <c r="L2" s="241"/>
      <c r="S2" s="254"/>
      <c r="T2" s="254"/>
      <c r="U2" s="254"/>
      <c r="V2" s="254"/>
      <c r="W2" s="254"/>
      <c r="X2" s="254"/>
      <c r="Y2" s="254"/>
      <c r="Z2" s="254"/>
      <c r="AA2" s="254"/>
      <c r="AB2" s="254"/>
      <c r="AC2" s="254"/>
      <c r="AE2" s="109"/>
    </row>
    <row r="3" spans="1:31" ht="10" customHeight="1" x14ac:dyDescent="0.2"/>
    <row r="4" spans="1:31" ht="16" customHeight="1" x14ac:dyDescent="0.2">
      <c r="A4" s="86"/>
      <c r="B4" s="60"/>
      <c r="C4" s="240" t="s">
        <v>18</v>
      </c>
      <c r="D4" s="240"/>
      <c r="E4" s="240"/>
      <c r="F4" s="240"/>
      <c r="G4" s="240"/>
      <c r="H4" s="240"/>
      <c r="I4" s="240"/>
      <c r="J4" s="240"/>
      <c r="K4" s="240"/>
      <c r="L4" s="240"/>
      <c r="S4" s="254"/>
      <c r="T4" s="254"/>
      <c r="U4" s="254"/>
      <c r="V4" s="254"/>
      <c r="W4" s="254"/>
      <c r="X4" s="254"/>
      <c r="Y4" s="254"/>
      <c r="Z4" s="254"/>
      <c r="AA4" s="254"/>
      <c r="AB4" s="254"/>
      <c r="AC4" s="254"/>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40" t="s">
        <v>157</v>
      </c>
      <c r="D13" s="240"/>
      <c r="E13" s="240"/>
      <c r="F13" s="240"/>
      <c r="G13" s="240"/>
      <c r="H13" s="240"/>
      <c r="I13" s="240"/>
      <c r="J13" s="240"/>
      <c r="K13" s="240"/>
      <c r="L13" s="24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4.8561332660272592E-2</v>
      </c>
      <c r="H15" s="129">
        <f>Overview!$C$26</f>
        <v>0.21</v>
      </c>
      <c r="I15" s="129">
        <f>Overview!$C$26</f>
        <v>0.21</v>
      </c>
      <c r="J15" s="129">
        <f>Overview!$C$26</f>
        <v>0.21</v>
      </c>
      <c r="K15" s="129">
        <f>Overview!$C$26</f>
        <v>0.21</v>
      </c>
      <c r="L15" s="129">
        <f>Overview!$C$26</f>
        <v>0.21</v>
      </c>
      <c r="N15" s="1" t="s">
        <v>162</v>
      </c>
    </row>
    <row r="18" spans="2:14" x14ac:dyDescent="0.2">
      <c r="C18" s="240" t="s">
        <v>158</v>
      </c>
      <c r="D18" s="240"/>
      <c r="E18" s="240"/>
      <c r="F18" s="240"/>
      <c r="G18" s="240"/>
      <c r="H18" s="240"/>
      <c r="I18" s="240"/>
      <c r="J18" s="240"/>
      <c r="K18" s="240"/>
      <c r="L18" s="240"/>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40" t="s">
        <v>261</v>
      </c>
      <c r="D25" s="240"/>
      <c r="E25" s="240"/>
      <c r="F25" s="240"/>
      <c r="G25" s="240"/>
      <c r="H25" s="240"/>
      <c r="I25" s="240"/>
      <c r="J25" s="240"/>
      <c r="K25" s="240"/>
      <c r="L25" s="240"/>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4236.7563856638062</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261</v>
      </c>
      <c r="C28" s="94">
        <f>C27+C20-C21+C22</f>
        <v>421.35468676401297</v>
      </c>
      <c r="D28" s="94">
        <f t="shared" ref="D28:L28" si="7">D27+D20-D21+D22</f>
        <v>-449</v>
      </c>
      <c r="E28" s="94">
        <f t="shared" si="7"/>
        <v>-629</v>
      </c>
      <c r="F28" s="94">
        <f t="shared" si="7"/>
        <v>1342</v>
      </c>
      <c r="G28" s="127">
        <f t="shared" si="7"/>
        <v>3535.7563856638062</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40" t="s">
        <v>76</v>
      </c>
      <c r="D31" s="240"/>
      <c r="E31" s="240"/>
      <c r="F31" s="240"/>
      <c r="G31" s="240"/>
      <c r="H31" s="240"/>
      <c r="I31" s="240"/>
      <c r="J31" s="240"/>
      <c r="K31" s="240"/>
      <c r="L31" s="240"/>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0.52</v>
      </c>
      <c r="J33" s="212">
        <f t="shared" si="9"/>
        <v>0.53</v>
      </c>
      <c r="K33" s="212">
        <f t="shared" si="9"/>
        <v>0.51</v>
      </c>
      <c r="L33" s="212">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0.43</v>
      </c>
      <c r="I34" s="212">
        <f t="shared" ref="I34:L34" si="10">I10/I6</f>
        <v>0.4</v>
      </c>
      <c r="J34" s="212">
        <f t="shared" si="10"/>
        <v>0.38000000000000006</v>
      </c>
      <c r="K34" s="212">
        <f t="shared" si="10"/>
        <v>0.34000000000000008</v>
      </c>
      <c r="L34" s="212">
        <f t="shared" si="10"/>
        <v>0.23999999999999996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1" t="s">
        <v>165</v>
      </c>
      <c r="C4" s="241"/>
    </row>
    <row r="5" spans="1:3" ht="17" customHeight="1" x14ac:dyDescent="0.2">
      <c r="B5" s="1" t="s">
        <v>166</v>
      </c>
      <c r="C5" s="136">
        <f>Statement!AC77</f>
        <v>399</v>
      </c>
    </row>
    <row r="6" spans="1:3" ht="17" customHeight="1" x14ac:dyDescent="0.2">
      <c r="B6" s="1" t="s">
        <v>1</v>
      </c>
      <c r="C6" s="133">
        <f ca="1">Overview!C5</f>
        <v>456.81</v>
      </c>
    </row>
    <row r="7" spans="1:3" ht="17" customHeight="1" x14ac:dyDescent="0.2">
      <c r="B7" s="1" t="s">
        <v>167</v>
      </c>
      <c r="C7" s="134">
        <f ca="1">C5*C6</f>
        <v>182267.19</v>
      </c>
    </row>
    <row r="8" spans="1:3" ht="17" customHeight="1" x14ac:dyDescent="0.2">
      <c r="B8" s="1" t="s">
        <v>168</v>
      </c>
      <c r="C8" s="112">
        <f>Statement!AC106</f>
        <v>1052</v>
      </c>
    </row>
    <row r="9" spans="1:3" ht="17" customHeight="1" x14ac:dyDescent="0.2">
      <c r="B9" s="1" t="s">
        <v>169</v>
      </c>
      <c r="C9" s="135">
        <f ca="1">Overview!F27</f>
        <v>5.1840000000000004E-2</v>
      </c>
    </row>
    <row r="10" spans="1:3" ht="17" customHeight="1" x14ac:dyDescent="0.2">
      <c r="B10" s="1" t="s">
        <v>9</v>
      </c>
      <c r="C10" s="133">
        <f ca="1">Overview!C13</f>
        <v>2.1183000000000001</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1" t="s">
        <v>172</v>
      </c>
      <c r="C15" s="241"/>
    </row>
    <row r="16" spans="1:3" ht="17" customHeight="1" x14ac:dyDescent="0.2">
      <c r="B16" s="1" t="s">
        <v>173</v>
      </c>
      <c r="C16" s="46">
        <f ca="1">C8/(C8+C7)</f>
        <v>5.7386245269794179E-3</v>
      </c>
    </row>
    <row r="17" spans="2:3" ht="17" customHeight="1" x14ac:dyDescent="0.2">
      <c r="B17" s="1" t="s">
        <v>174</v>
      </c>
      <c r="C17" s="46">
        <f ca="1">C7/(C8+C7)</f>
        <v>0.99426137547302063</v>
      </c>
    </row>
    <row r="18" spans="2:3" ht="17" customHeight="1" x14ac:dyDescent="0.2">
      <c r="B18" s="1" t="s">
        <v>175</v>
      </c>
      <c r="C18" s="46">
        <f>C13*(1-C12)</f>
        <v>2.7650000000000004E-2</v>
      </c>
    </row>
    <row r="19" spans="2:3" ht="17" customHeight="1" x14ac:dyDescent="0.2">
      <c r="B19" s="1" t="s">
        <v>176</v>
      </c>
      <c r="C19" s="46">
        <f ca="1">C9+C10*C11</f>
        <v>0.1471635</v>
      </c>
    </row>
    <row r="20" spans="2:3" ht="17" customHeight="1" x14ac:dyDescent="0.2">
      <c r="B20" s="1" t="s">
        <v>164</v>
      </c>
      <c r="C20" s="46">
        <f ca="1">(C17*C19)+(C16*C18)</f>
        <v>0.14647765689759487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1" t="s">
        <v>112</v>
      </c>
      <c r="D3" s="241"/>
      <c r="E3" s="241"/>
      <c r="F3" s="241"/>
      <c r="G3" s="242"/>
      <c r="H3" s="243" t="s">
        <v>113</v>
      </c>
      <c r="I3" s="241"/>
      <c r="J3" s="241"/>
      <c r="K3" s="241"/>
      <c r="L3" s="241"/>
      <c r="P3" s="254"/>
      <c r="Q3" s="254"/>
      <c r="R3" s="254"/>
      <c r="S3" s="254"/>
      <c r="T3" s="254"/>
      <c r="U3" s="254"/>
      <c r="V3" s="254"/>
      <c r="W3" s="254"/>
      <c r="X3" s="254"/>
      <c r="Y3" s="254"/>
      <c r="Z3" s="254"/>
      <c r="AB3" s="109"/>
    </row>
    <row r="4" spans="1:28" ht="10" customHeight="1" x14ac:dyDescent="0.2"/>
    <row r="5" spans="1:28" ht="16" customHeight="1" x14ac:dyDescent="0.2">
      <c r="A5" s="86"/>
      <c r="B5" s="60"/>
      <c r="C5" s="240" t="s">
        <v>179</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1" t="s">
        <v>183</v>
      </c>
      <c r="C13" s="241"/>
    </row>
    <row r="14" spans="1:28" x14ac:dyDescent="0.2">
      <c r="B14" s="1" t="s">
        <v>184</v>
      </c>
      <c r="C14" s="140">
        <v>1.4999999999999999E-2</v>
      </c>
    </row>
    <row r="15" spans="1:28" x14ac:dyDescent="0.2">
      <c r="B15" s="1" t="s">
        <v>164</v>
      </c>
      <c r="C15" s="135">
        <f>IF(Overview!C28&gt;0,Overview!C28,WACC!C20)</f>
        <v>0.1</v>
      </c>
    </row>
    <row r="18" spans="2:3" x14ac:dyDescent="0.2">
      <c r="B18" s="241" t="s">
        <v>185</v>
      </c>
      <c r="C18" s="241"/>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238" t="s">
        <v>191</v>
      </c>
      <c r="C26" s="239">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69"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1" t="s">
        <v>112</v>
      </c>
      <c r="D2" s="241"/>
      <c r="E2" s="241"/>
      <c r="F2" s="241"/>
      <c r="G2" s="242"/>
      <c r="H2" s="243" t="s">
        <v>113</v>
      </c>
      <c r="I2" s="241"/>
      <c r="J2" s="241"/>
      <c r="K2" s="241"/>
      <c r="L2" s="241"/>
    </row>
    <row r="3" spans="1:14" ht="10" customHeight="1" x14ac:dyDescent="0.2"/>
    <row r="4" spans="1:14" ht="16" customHeight="1" x14ac:dyDescent="0.2">
      <c r="A4" s="86"/>
      <c r="B4" s="60"/>
      <c r="C4" s="240" t="s">
        <v>193</v>
      </c>
      <c r="D4" s="240"/>
      <c r="E4" s="240"/>
      <c r="F4" s="240"/>
      <c r="G4" s="240"/>
      <c r="H4" s="240"/>
      <c r="I4" s="240"/>
      <c r="J4" s="240"/>
      <c r="K4" s="240"/>
      <c r="L4" s="24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261</v>
      </c>
      <c r="C8" s="92">
        <f>'FCF &amp; Other'!C28</f>
        <v>421.35468676401297</v>
      </c>
      <c r="D8" s="92">
        <f>'FCF &amp; Other'!D28</f>
        <v>-449</v>
      </c>
      <c r="E8" s="92">
        <f>'FCF &amp; Other'!E28</f>
        <v>-629</v>
      </c>
      <c r="F8" s="92">
        <f>'FCF &amp; Other'!F28</f>
        <v>1342</v>
      </c>
      <c r="G8" s="93">
        <f>'FCF &amp; Other'!G28</f>
        <v>3535.7563856638062</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B9" s="16" t="s">
        <v>319</v>
      </c>
      <c r="C9" s="137"/>
      <c r="D9" s="137"/>
      <c r="E9" s="137"/>
      <c r="F9" s="137"/>
      <c r="G9" s="138"/>
      <c r="H9" s="92">
        <f>DCF!H10</f>
        <v>3548.4838186724769</v>
      </c>
      <c r="I9" s="92">
        <f>DCF!I10</f>
        <v>3780.7590160288928</v>
      </c>
      <c r="J9" s="92">
        <f>DCF!J10</f>
        <v>3183.6632941882463</v>
      </c>
      <c r="K9" s="92">
        <f>DCF!K10</f>
        <v>3000.2102104426526</v>
      </c>
      <c r="L9" s="92">
        <f>DCF!L10</f>
        <v>2027.2155598760348</v>
      </c>
      <c r="N9" s="91"/>
    </row>
    <row r="10" spans="1:14" x14ac:dyDescent="0.2">
      <c r="N10" s="91"/>
    </row>
    <row r="11" spans="1:14" x14ac:dyDescent="0.2">
      <c r="C11" s="240" t="s">
        <v>121</v>
      </c>
      <c r="D11" s="240"/>
      <c r="E11" s="240"/>
      <c r="F11" s="240"/>
      <c r="G11" s="240"/>
      <c r="H11" s="240"/>
      <c r="I11" s="240"/>
      <c r="J11" s="240"/>
      <c r="K11" s="240"/>
      <c r="L11" s="240"/>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0.25678256831024071</v>
      </c>
      <c r="I13" s="95">
        <f t="shared" si="1"/>
        <v>0.16518672408014276</v>
      </c>
      <c r="J13" s="95">
        <f t="shared" si="1"/>
        <v>5.3078698196417966E-2</v>
      </c>
      <c r="K13" s="95">
        <f t="shared" si="1"/>
        <v>-4.6603201411941859E-2</v>
      </c>
      <c r="L13" s="95">
        <f t="shared" si="1"/>
        <v>-0.13743821763865016</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0.56785107118796307</v>
      </c>
      <c r="I14" s="95">
        <f t="shared" si="2"/>
        <v>8.3894627051295634E-2</v>
      </c>
      <c r="J14" s="95">
        <f t="shared" si="2"/>
        <v>4.2476328659722337E-4</v>
      </c>
      <c r="K14" s="95">
        <f t="shared" si="2"/>
        <v>-0.14696075915805323</v>
      </c>
      <c r="L14" s="95">
        <f t="shared" si="2"/>
        <v>-0.39113285950963556</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1.6346917925959807</v>
      </c>
      <c r="H15" s="95">
        <f t="shared" si="3"/>
        <v>0.10395959867775496</v>
      </c>
      <c r="I15" s="95">
        <f t="shared" si="3"/>
        <v>0.17200334851397006</v>
      </c>
      <c r="J15" s="95">
        <f t="shared" si="3"/>
        <v>-7.3723131053875984E-2</v>
      </c>
      <c r="K15" s="95">
        <f t="shared" si="3"/>
        <v>3.6614405019357796E-2</v>
      </c>
      <c r="L15" s="95">
        <f t="shared" si="3"/>
        <v>-0.2567397084037546</v>
      </c>
      <c r="N15" s="91"/>
    </row>
    <row r="16" spans="1:14" x14ac:dyDescent="0.2">
      <c r="N16" s="91"/>
    </row>
    <row r="17" spans="2:14" x14ac:dyDescent="0.2">
      <c r="C17" s="240" t="s">
        <v>195</v>
      </c>
      <c r="D17" s="240"/>
      <c r="E17" s="240"/>
      <c r="F17" s="240"/>
      <c r="G17" s="240"/>
      <c r="H17" s="240"/>
      <c r="I17" s="240"/>
      <c r="J17" s="240"/>
      <c r="K17" s="240"/>
      <c r="L17" s="240"/>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419.18945634266885</v>
      </c>
      <c r="I19" s="141">
        <f t="shared" ref="I19:L19" si="5">H19*(1+I20)</f>
        <v>448.53271828665567</v>
      </c>
      <c r="J19" s="141">
        <f t="shared" si="5"/>
        <v>461.98869983525537</v>
      </c>
      <c r="K19" s="141">
        <f t="shared" si="5"/>
        <v>471.22847383196051</v>
      </c>
      <c r="L19" s="141">
        <f t="shared" si="5"/>
        <v>475.94075857028014</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0.08</v>
      </c>
      <c r="I20" s="97">
        <v>7.0000000000000007E-2</v>
      </c>
      <c r="J20" s="97">
        <v>0.03</v>
      </c>
      <c r="K20" s="97">
        <v>0.02</v>
      </c>
      <c r="L20" s="97">
        <v>0.01</v>
      </c>
      <c r="N20" s="91"/>
    </row>
    <row r="21" spans="2:14" x14ac:dyDescent="0.2">
      <c r="N21" s="91"/>
    </row>
    <row r="22" spans="2:14" x14ac:dyDescent="0.2">
      <c r="C22" s="240" t="s">
        <v>198</v>
      </c>
      <c r="D22" s="240"/>
      <c r="E22" s="240"/>
      <c r="F22" s="240"/>
      <c r="G22" s="240"/>
      <c r="H22" s="240"/>
      <c r="I22" s="240"/>
      <c r="J22" s="240"/>
      <c r="K22" s="240"/>
      <c r="L22" s="240"/>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40" t="s">
        <v>199</v>
      </c>
      <c r="D27" s="240"/>
      <c r="E27" s="240"/>
      <c r="F27" s="240"/>
      <c r="G27" s="240"/>
      <c r="H27" s="240"/>
      <c r="I27" s="240"/>
      <c r="J27" s="240"/>
      <c r="K27" s="240"/>
      <c r="L27" s="240"/>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59.019787288499579</v>
      </c>
      <c r="H35" s="137"/>
      <c r="I35" s="137"/>
      <c r="J35" s="137"/>
      <c r="K35" s="137"/>
      <c r="L35" s="137"/>
      <c r="N35" s="91"/>
    </row>
    <row r="36" spans="2:14" x14ac:dyDescent="0.2">
      <c r="B36" s="16" t="s">
        <v>429</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41" t="s">
        <v>204</v>
      </c>
      <c r="C39" s="241"/>
      <c r="N39" s="91"/>
    </row>
    <row r="40" spans="2:14" x14ac:dyDescent="0.2">
      <c r="B40" s="1" t="s">
        <v>205</v>
      </c>
      <c r="C40" s="64">
        <f>L7</f>
        <v>3932.0637021947737</v>
      </c>
    </row>
    <row r="41" spans="2:14" x14ac:dyDescent="0.2">
      <c r="B41" s="1" t="s">
        <v>164</v>
      </c>
      <c r="C41" s="135">
        <f>IF(Overview!C28&gt;0,Overview!C28,WACC!C20)</f>
        <v>0.1</v>
      </c>
    </row>
    <row r="42" spans="2:14" x14ac:dyDescent="0.2">
      <c r="B42" s="39" t="s">
        <v>206</v>
      </c>
      <c r="C42" s="105">
        <v>15</v>
      </c>
    </row>
    <row r="43" spans="2:14" x14ac:dyDescent="0.2">
      <c r="B43" s="1" t="s">
        <v>425</v>
      </c>
      <c r="C43" s="24">
        <f>(C40*C42)</f>
        <v>58980.955532921602</v>
      </c>
    </row>
    <row r="44" spans="2:14" x14ac:dyDescent="0.2">
      <c r="B44" s="1" t="s">
        <v>426</v>
      </c>
      <c r="C44" s="24">
        <f>C43/(1+C41)^5</f>
        <v>36622.532944794868</v>
      </c>
    </row>
    <row r="45" spans="2:14" x14ac:dyDescent="0.2">
      <c r="B45" s="16" t="s">
        <v>424</v>
      </c>
      <c r="C45" s="108">
        <f>SUM(H9:K9)+C44</f>
        <v>50135.649284127139</v>
      </c>
    </row>
    <row r="46" spans="2:14" x14ac:dyDescent="0.2">
      <c r="B46" s="1" t="s">
        <v>188</v>
      </c>
      <c r="C46" s="88">
        <f>Statement!AC105</f>
        <v>1579</v>
      </c>
    </row>
    <row r="47" spans="2:14" x14ac:dyDescent="0.2">
      <c r="B47" s="1" t="s">
        <v>189</v>
      </c>
      <c r="C47" s="88">
        <f>Statement!AC106</f>
        <v>1052</v>
      </c>
    </row>
    <row r="48" spans="2:14" x14ac:dyDescent="0.2">
      <c r="B48" s="16" t="s">
        <v>190</v>
      </c>
      <c r="C48" s="108">
        <f>C45+C46-C47</f>
        <v>50662.649284127139</v>
      </c>
    </row>
    <row r="49" spans="2:3" x14ac:dyDescent="0.2">
      <c r="B49" s="1" t="s">
        <v>68</v>
      </c>
      <c r="C49" s="88">
        <f>Statement!AC77</f>
        <v>399</v>
      </c>
    </row>
    <row r="50" spans="2:3" x14ac:dyDescent="0.2">
      <c r="B50" s="238" t="s">
        <v>208</v>
      </c>
      <c r="C50" s="239">
        <f>C48/C49</f>
        <v>126.97405835620837</v>
      </c>
    </row>
    <row r="52" spans="2:3" x14ac:dyDescent="0.2">
      <c r="B52" s="241" t="s">
        <v>209</v>
      </c>
      <c r="C52" s="241"/>
    </row>
    <row r="53" spans="2:3" x14ac:dyDescent="0.2">
      <c r="B53" s="1" t="s">
        <v>210</v>
      </c>
      <c r="C53" s="64">
        <f>L6</f>
        <v>16383.598759144892</v>
      </c>
    </row>
    <row r="54" spans="2:3" x14ac:dyDescent="0.2">
      <c r="B54" s="1" t="s">
        <v>343</v>
      </c>
      <c r="C54" s="135">
        <f>IF(Overview!C29&gt;0,Overview!C29,WACC!C19)</f>
        <v>0.11</v>
      </c>
    </row>
    <row r="55" spans="2:3" x14ac:dyDescent="0.2">
      <c r="B55" s="39" t="s">
        <v>211</v>
      </c>
      <c r="C55" s="105">
        <v>6</v>
      </c>
    </row>
    <row r="56" spans="2:3" x14ac:dyDescent="0.2">
      <c r="B56" s="1" t="s">
        <v>207</v>
      </c>
      <c r="C56" s="24">
        <f>L19</f>
        <v>475.94075857028014</v>
      </c>
    </row>
    <row r="57" spans="2:3" x14ac:dyDescent="0.2">
      <c r="B57" s="1" t="s">
        <v>191</v>
      </c>
      <c r="C57" s="24">
        <f>(C53*C55)/C56</f>
        <v>206.54165625605603</v>
      </c>
    </row>
    <row r="58" spans="2:3" x14ac:dyDescent="0.2">
      <c r="B58" s="238" t="s">
        <v>208</v>
      </c>
      <c r="C58" s="239">
        <f>C57/(1+C54)^5</f>
        <v>122.57242020457076</v>
      </c>
    </row>
    <row r="60" spans="2:3" x14ac:dyDescent="0.2">
      <c r="B60" s="241" t="s">
        <v>321</v>
      </c>
      <c r="C60" s="241"/>
    </row>
    <row r="61" spans="2:3" x14ac:dyDescent="0.2">
      <c r="B61" s="1" t="s">
        <v>428</v>
      </c>
      <c r="C61" s="64">
        <f>L8</f>
        <v>3264.8509313359541</v>
      </c>
    </row>
    <row r="62" spans="2:3" x14ac:dyDescent="0.2">
      <c r="B62" s="1" t="s">
        <v>164</v>
      </c>
      <c r="C62" s="135">
        <f>IF(Overview!C28&gt;0,Overview!C28,WACC!C20)</f>
        <v>0.1</v>
      </c>
    </row>
    <row r="63" spans="2:3" x14ac:dyDescent="0.2">
      <c r="B63" s="39" t="s">
        <v>344</v>
      </c>
      <c r="C63" s="105">
        <v>21</v>
      </c>
    </row>
    <row r="64" spans="2:3" x14ac:dyDescent="0.2">
      <c r="B64" s="1" t="s">
        <v>425</v>
      </c>
      <c r="C64" s="24">
        <f>(C61*C63)</f>
        <v>68561.869558055041</v>
      </c>
    </row>
    <row r="65" spans="2:3" x14ac:dyDescent="0.2">
      <c r="B65" s="1" t="s">
        <v>427</v>
      </c>
      <c r="C65" s="24">
        <f>C64/(1+C62)^5</f>
        <v>42571.526757396736</v>
      </c>
    </row>
    <row r="66" spans="2:3" x14ac:dyDescent="0.2">
      <c r="B66" s="16" t="s">
        <v>424</v>
      </c>
      <c r="C66" s="108">
        <f>SUM(H9:K9)+C65</f>
        <v>56084.643096729007</v>
      </c>
    </row>
    <row r="67" spans="2:3" x14ac:dyDescent="0.2">
      <c r="B67" s="1" t="s">
        <v>188</v>
      </c>
      <c r="C67" s="88">
        <f>Statement!AC105</f>
        <v>1579</v>
      </c>
    </row>
    <row r="68" spans="2:3" x14ac:dyDescent="0.2">
      <c r="B68" s="1" t="s">
        <v>189</v>
      </c>
      <c r="C68" s="88">
        <f>Statement!AC106</f>
        <v>1052</v>
      </c>
    </row>
    <row r="69" spans="2:3" x14ac:dyDescent="0.2">
      <c r="B69" s="16" t="s">
        <v>190</v>
      </c>
      <c r="C69" s="108">
        <f>C66+C67-C68</f>
        <v>56611.643096729007</v>
      </c>
    </row>
    <row r="70" spans="2:3" x14ac:dyDescent="0.2">
      <c r="B70" s="1" t="s">
        <v>68</v>
      </c>
      <c r="C70" s="88">
        <f>Statement!AC77</f>
        <v>399</v>
      </c>
    </row>
    <row r="71" spans="2:3" x14ac:dyDescent="0.2">
      <c r="B71" s="238" t="s">
        <v>208</v>
      </c>
      <c r="C71" s="239">
        <f>C69/C70</f>
        <v>141.88381728503509</v>
      </c>
    </row>
    <row r="73" spans="2:3" x14ac:dyDescent="0.2">
      <c r="B73" s="241" t="s">
        <v>430</v>
      </c>
      <c r="C73" s="241"/>
    </row>
    <row r="74" spans="2:3" x14ac:dyDescent="0.2">
      <c r="B74" s="1" t="s">
        <v>431</v>
      </c>
      <c r="C74" s="64">
        <f>L6</f>
        <v>16383.598759144892</v>
      </c>
    </row>
    <row r="75" spans="2:3" x14ac:dyDescent="0.2">
      <c r="B75" s="1" t="s">
        <v>164</v>
      </c>
      <c r="C75" s="135">
        <f>IF(Overview!C28&gt;0,Overview!C28,WACC!C20)</f>
        <v>0.1</v>
      </c>
    </row>
    <row r="76" spans="2:3" x14ac:dyDescent="0.2">
      <c r="B76" s="39" t="s">
        <v>432</v>
      </c>
      <c r="C76" s="105">
        <v>6</v>
      </c>
    </row>
    <row r="77" spans="2:3" x14ac:dyDescent="0.2">
      <c r="B77" s="1" t="s">
        <v>425</v>
      </c>
      <c r="C77" s="24">
        <f>(C74*C76)</f>
        <v>98301.592554869349</v>
      </c>
    </row>
    <row r="78" spans="2:3" x14ac:dyDescent="0.2">
      <c r="B78" s="1" t="s">
        <v>427</v>
      </c>
      <c r="C78" s="24">
        <f>C77/(1+C75)^5</f>
        <v>61037.554907991456</v>
      </c>
    </row>
    <row r="79" spans="2:3" x14ac:dyDescent="0.2">
      <c r="B79" s="16" t="s">
        <v>424</v>
      </c>
      <c r="C79" s="108">
        <f>SUM(H9:K9)+C78</f>
        <v>74550.671247323728</v>
      </c>
    </row>
    <row r="80" spans="2:3" x14ac:dyDescent="0.2">
      <c r="B80" s="1" t="s">
        <v>188</v>
      </c>
      <c r="C80" s="88">
        <f>Statement!AC105</f>
        <v>1579</v>
      </c>
    </row>
    <row r="81" spans="2:3" x14ac:dyDescent="0.2">
      <c r="B81" s="1" t="s">
        <v>189</v>
      </c>
      <c r="C81" s="88">
        <f>Statement!AC106</f>
        <v>1052</v>
      </c>
    </row>
    <row r="82" spans="2:3" x14ac:dyDescent="0.2">
      <c r="B82" s="16" t="s">
        <v>190</v>
      </c>
      <c r="C82" s="108">
        <f>C79+C80-C81</f>
        <v>75077.671247323728</v>
      </c>
    </row>
    <row r="83" spans="2:3" x14ac:dyDescent="0.2">
      <c r="B83" s="1" t="s">
        <v>68</v>
      </c>
      <c r="C83" s="88">
        <f>Statement!AC77</f>
        <v>399</v>
      </c>
    </row>
    <row r="84" spans="2:3" x14ac:dyDescent="0.2">
      <c r="B84" s="238" t="s">
        <v>208</v>
      </c>
      <c r="C84" s="239">
        <f>C82/C83</f>
        <v>188.16458959229004</v>
      </c>
    </row>
  </sheetData>
  <mergeCells count="11">
    <mergeCell ref="B73:C73"/>
    <mergeCell ref="C27:L27"/>
    <mergeCell ref="B39:C39"/>
    <mergeCell ref="B52:C52"/>
    <mergeCell ref="B60:C60"/>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tabSelected="1"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1" t="s">
        <v>213</v>
      </c>
      <c r="C4" s="241"/>
      <c r="N4" s="91"/>
    </row>
    <row r="5" spans="1:14" x14ac:dyDescent="0.2">
      <c r="B5" s="1" t="s">
        <v>214</v>
      </c>
      <c r="C5" s="133">
        <f>DCF!C26</f>
        <v>100.93902416944954</v>
      </c>
    </row>
    <row r="6" spans="1:14" x14ac:dyDescent="0.2">
      <c r="B6" s="1" t="s">
        <v>215</v>
      </c>
      <c r="C6" s="133">
        <f>Multiples!C50</f>
        <v>126.97405835620837</v>
      </c>
    </row>
    <row r="7" spans="1:14" x14ac:dyDescent="0.2">
      <c r="B7" s="1" t="s">
        <v>216</v>
      </c>
      <c r="C7" s="133">
        <f>Multiples!C58</f>
        <v>122.57242020457076</v>
      </c>
    </row>
    <row r="8" spans="1:14" x14ac:dyDescent="0.2">
      <c r="B8" s="1" t="s">
        <v>322</v>
      </c>
      <c r="C8" s="133">
        <f>Multiples!C71</f>
        <v>141.88381728503509</v>
      </c>
    </row>
    <row r="9" spans="1:14" x14ac:dyDescent="0.2">
      <c r="B9" s="1" t="s">
        <v>433</v>
      </c>
      <c r="C9" s="133">
        <f>Multiples!C84</f>
        <v>188.16458959229004</v>
      </c>
    </row>
    <row r="10" spans="1:14" x14ac:dyDescent="0.2">
      <c r="B10" s="238" t="s">
        <v>217</v>
      </c>
      <c r="C10" s="239">
        <f>AVERAGE(C5:C9)</f>
        <v>136.10678192151076</v>
      </c>
    </row>
    <row r="11" spans="1:14" x14ac:dyDescent="0.2">
      <c r="B11" s="1" t="s">
        <v>218</v>
      </c>
      <c r="C11" s="133">
        <f ca="1">Overview!C5</f>
        <v>456.81</v>
      </c>
    </row>
    <row r="12" spans="1:14" x14ac:dyDescent="0.2">
      <c r="B12" s="1" t="s">
        <v>219</v>
      </c>
      <c r="C12" s="152">
        <f ca="1">(C10-C11)/C11</f>
        <v>-0.70204946931654133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E23" sqref="E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1" t="s">
        <v>112</v>
      </c>
      <c r="D2" s="241"/>
      <c r="E2" s="241"/>
      <c r="F2" s="241"/>
      <c r="G2" s="242"/>
      <c r="H2" s="243" t="s">
        <v>113</v>
      </c>
      <c r="I2" s="241"/>
      <c r="J2" s="241"/>
      <c r="K2" s="241"/>
      <c r="L2" s="241"/>
    </row>
    <row r="3" spans="1:14" ht="10" customHeight="1" x14ac:dyDescent="0.2"/>
    <row r="4" spans="1:14" ht="16" customHeight="1" x14ac:dyDescent="0.2">
      <c r="A4" s="86"/>
      <c r="B4" s="60"/>
      <c r="C4" s="240" t="s">
        <v>193</v>
      </c>
      <c r="D4" s="240"/>
      <c r="E4" s="240"/>
      <c r="F4" s="240"/>
      <c r="G4" s="240"/>
      <c r="H4" s="240"/>
      <c r="I4" s="240"/>
      <c r="J4" s="240"/>
      <c r="K4" s="240"/>
      <c r="L4" s="240"/>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3.7608867775138561</v>
      </c>
      <c r="D6" s="226">
        <f>Statement!N25</f>
        <v>-2.3040380047505939</v>
      </c>
      <c r="E6" s="226">
        <f>Statement!O25</f>
        <v>-1.9873317498020586</v>
      </c>
      <c r="F6" s="226">
        <f>Statement!P25</f>
        <v>4.45</v>
      </c>
      <c r="G6" s="227">
        <f>Statement!Q25</f>
        <v>24.28</v>
      </c>
      <c r="H6" s="137"/>
      <c r="I6" s="137"/>
      <c r="J6" s="137"/>
      <c r="K6" s="137"/>
      <c r="L6" s="137"/>
      <c r="N6" s="91"/>
    </row>
    <row r="7" spans="1:14" x14ac:dyDescent="0.2">
      <c r="B7" s="16" t="s">
        <v>364</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40" t="s">
        <v>121</v>
      </c>
      <c r="D9" s="240"/>
      <c r="E9" s="240"/>
      <c r="F9" s="240"/>
      <c r="G9" s="240"/>
      <c r="H9" s="240"/>
      <c r="I9" s="240"/>
      <c r="J9" s="240"/>
      <c r="K9" s="240"/>
      <c r="L9" s="240"/>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-1.6126315789473684</v>
      </c>
      <c r="E11" s="95">
        <f>(E6-D6)/D6</f>
        <v>-0.13745704467353956</v>
      </c>
      <c r="F11" s="95">
        <f>(F6-E6)/E6</f>
        <v>-3.2391832669322711</v>
      </c>
      <c r="G11" s="96">
        <f>(G6-F6)/F6</f>
        <v>4.4561797752808987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40" t="s">
        <v>365</v>
      </c>
      <c r="D14" s="240"/>
      <c r="E14" s="240"/>
      <c r="F14" s="240"/>
      <c r="G14" s="240"/>
      <c r="H14" s="240"/>
      <c r="I14" s="240"/>
      <c r="J14" s="240"/>
      <c r="K14" s="240"/>
      <c r="L14" s="240"/>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v>
      </c>
      <c r="D16" s="95">
        <f t="shared" ref="D16:G16" si="2">D7/D6</f>
        <v>0</v>
      </c>
      <c r="E16" s="95">
        <f t="shared" si="2"/>
        <v>0</v>
      </c>
      <c r="F16" s="95">
        <f t="shared" si="2"/>
        <v>2.247191011235955E-2</v>
      </c>
      <c r="G16" s="96">
        <f t="shared" si="2"/>
        <v>2.059308072487644E-2</v>
      </c>
      <c r="H16" s="137"/>
      <c r="I16" s="137"/>
      <c r="J16" s="137"/>
      <c r="K16" s="137"/>
      <c r="L16" s="137"/>
      <c r="N16" s="91"/>
    </row>
    <row r="17" spans="2:14" x14ac:dyDescent="0.2">
      <c r="N17" s="91"/>
    </row>
    <row r="18" spans="2:14" x14ac:dyDescent="0.2">
      <c r="N18" s="91"/>
    </row>
    <row r="19" spans="2:14" x14ac:dyDescent="0.2">
      <c r="N19" s="91"/>
    </row>
    <row r="20" spans="2:14" x14ac:dyDescent="0.2">
      <c r="B20" s="241" t="s">
        <v>367</v>
      </c>
      <c r="C20" s="241"/>
      <c r="N20" s="91"/>
    </row>
    <row r="21" spans="2:14" x14ac:dyDescent="0.2">
      <c r="B21" s="1" t="s">
        <v>368</v>
      </c>
      <c r="C21" s="228">
        <f>G7</f>
        <v>0.5</v>
      </c>
    </row>
    <row r="22" spans="2:14" x14ac:dyDescent="0.2">
      <c r="B22" s="1" t="s">
        <v>369</v>
      </c>
      <c r="C22" s="229">
        <v>1</v>
      </c>
    </row>
    <row r="23" spans="2:14" x14ac:dyDescent="0.2">
      <c r="B23" s="39" t="s">
        <v>370</v>
      </c>
      <c r="C23" s="230">
        <f>C21*(1+C22)</f>
        <v>1</v>
      </c>
    </row>
    <row r="24" spans="2:14" x14ac:dyDescent="0.2">
      <c r="B24" s="1" t="s">
        <v>343</v>
      </c>
      <c r="C24" s="135">
        <f>IF(Overview!C29&gt;0,Overview!C29,WACC!C19)</f>
        <v>0.11</v>
      </c>
    </row>
    <row r="25" spans="2:14" x14ac:dyDescent="0.2">
      <c r="B25" s="39" t="s">
        <v>371</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8" zoomScale="209" zoomScaleNormal="100" workbookViewId="0">
      <selection activeCell="B36" sqref="B36"/>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1" t="s">
        <v>112</v>
      </c>
      <c r="D3" s="241"/>
      <c r="E3" s="241"/>
      <c r="F3" s="241"/>
      <c r="G3" s="242"/>
      <c r="H3" s="243" t="s">
        <v>113</v>
      </c>
      <c r="I3" s="241"/>
      <c r="J3" s="241"/>
      <c r="K3" s="241"/>
      <c r="L3" s="241"/>
      <c r="P3" s="254"/>
      <c r="Q3" s="254"/>
      <c r="R3" s="254"/>
      <c r="S3" s="254"/>
      <c r="T3" s="254"/>
      <c r="U3" s="254"/>
      <c r="V3" s="254"/>
      <c r="W3" s="254"/>
      <c r="X3" s="254"/>
      <c r="Y3" s="254"/>
      <c r="Z3" s="254"/>
      <c r="AB3" s="109"/>
    </row>
    <row r="4" spans="1:28" ht="10" customHeight="1" x14ac:dyDescent="0.2"/>
    <row r="5" spans="1:28" ht="16" customHeight="1" x14ac:dyDescent="0.2">
      <c r="A5" s="86"/>
      <c r="B5" s="60"/>
      <c r="C5" s="240" t="s">
        <v>179</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26">
        <f>G7*(1+$C$17)</f>
        <v>4790.9499025744572</v>
      </c>
      <c r="I7" s="126">
        <f t="shared" ref="I7:L7" si="0">H7*(1+$C$17)</f>
        <v>6491.7371179883894</v>
      </c>
      <c r="J7" s="126">
        <f t="shared" si="0"/>
        <v>8796.3037948742676</v>
      </c>
      <c r="K7" s="126">
        <f t="shared" si="0"/>
        <v>11918.991642054632</v>
      </c>
      <c r="L7" s="126">
        <f t="shared" si="0"/>
        <v>16150.233674984027</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205915.47935604636</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4355.4090023404151</v>
      </c>
      <c r="I10" s="126">
        <f t="shared" ref="I10:L10" si="1">I7/(1+$C$21)^I9</f>
        <v>5365.0719983375111</v>
      </c>
      <c r="J10" s="126">
        <f t="shared" si="1"/>
        <v>6608.7932343157509</v>
      </c>
      <c r="K10" s="126">
        <f t="shared" si="1"/>
        <v>8140.8316659071297</v>
      </c>
      <c r="L10" s="126">
        <f t="shared" si="1"/>
        <v>10028.0244611856</v>
      </c>
      <c r="N10" s="91"/>
    </row>
    <row r="11" spans="1:28" x14ac:dyDescent="0.2">
      <c r="B11" s="1" t="s">
        <v>182</v>
      </c>
      <c r="C11" s="137"/>
      <c r="D11" s="137"/>
      <c r="E11" s="137"/>
      <c r="F11" s="137"/>
      <c r="G11" s="138"/>
      <c r="H11" s="137"/>
      <c r="I11" s="137"/>
      <c r="J11" s="137"/>
      <c r="K11" s="137"/>
      <c r="L11" s="126">
        <f>L8/(1+C21)^L9</f>
        <v>127857.31188011641</v>
      </c>
    </row>
    <row r="13" spans="1:28" ht="17" thickBot="1" x14ac:dyDescent="0.25"/>
    <row r="14" spans="1:28" x14ac:dyDescent="0.2">
      <c r="B14" s="255" t="s">
        <v>221</v>
      </c>
      <c r="C14" s="256"/>
    </row>
    <row r="15" spans="1:28" x14ac:dyDescent="0.2">
      <c r="B15" s="153" t="s">
        <v>222</v>
      </c>
      <c r="C15" s="154">
        <f ca="1">Overview!C5</f>
        <v>456.81</v>
      </c>
    </row>
    <row r="16" spans="1:28" x14ac:dyDescent="0.2">
      <c r="B16" s="153" t="s">
        <v>223</v>
      </c>
      <c r="C16" s="154">
        <f>C36</f>
        <v>451.19790094793024</v>
      </c>
    </row>
    <row r="17" spans="2:9" ht="17" thickBot="1" x14ac:dyDescent="0.25">
      <c r="B17" s="155" t="s">
        <v>323</v>
      </c>
      <c r="C17" s="156">
        <v>0.35499999999999998</v>
      </c>
      <c r="E17" s="257" t="s">
        <v>224</v>
      </c>
      <c r="F17" s="257"/>
      <c r="G17" s="257"/>
      <c r="H17" s="257"/>
      <c r="I17" s="257"/>
    </row>
    <row r="18" spans="2:9" ht="17" thickBot="1" x14ac:dyDescent="0.25"/>
    <row r="19" spans="2:9" x14ac:dyDescent="0.2">
      <c r="B19" s="255" t="s">
        <v>183</v>
      </c>
      <c r="C19" s="256"/>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164908.41</v>
      </c>
    </row>
    <row r="24" spans="2:9" x14ac:dyDescent="0.2">
      <c r="B24" s="157" t="s">
        <v>177</v>
      </c>
      <c r="C24" s="219">
        <f>Statement!AC105</f>
        <v>1579</v>
      </c>
    </row>
    <row r="25" spans="2:9" x14ac:dyDescent="0.2">
      <c r="B25" s="157" t="s">
        <v>168</v>
      </c>
      <c r="C25" s="219">
        <f>Statement!AC106</f>
        <v>1052</v>
      </c>
    </row>
    <row r="26" spans="2:9" ht="17" thickBot="1" x14ac:dyDescent="0.25">
      <c r="B26" s="155" t="s">
        <v>226</v>
      </c>
      <c r="C26" s="160">
        <f ca="1">C23+C25-C24</f>
        <v>164381.41</v>
      </c>
    </row>
    <row r="27" spans="2:9" ht="17" thickBot="1" x14ac:dyDescent="0.25"/>
    <row r="28" spans="2:9" x14ac:dyDescent="0.2">
      <c r="B28" s="255" t="s">
        <v>185</v>
      </c>
      <c r="C28" s="256"/>
    </row>
    <row r="29" spans="2:9" x14ac:dyDescent="0.2">
      <c r="B29" s="157" t="s">
        <v>186</v>
      </c>
      <c r="C29" s="159">
        <f>SUM(H10:L10)</f>
        <v>34498.130362086406</v>
      </c>
    </row>
    <row r="30" spans="2:9" x14ac:dyDescent="0.2">
      <c r="B30" s="157" t="s">
        <v>182</v>
      </c>
      <c r="C30" s="159">
        <f>L11</f>
        <v>127857.31188011641</v>
      </c>
    </row>
    <row r="31" spans="2:9" x14ac:dyDescent="0.2">
      <c r="B31" s="161" t="s">
        <v>187</v>
      </c>
      <c r="C31" s="162">
        <f>C29+C30</f>
        <v>162355.44224220281</v>
      </c>
    </row>
    <row r="32" spans="2:9" x14ac:dyDescent="0.2">
      <c r="B32" s="157" t="s">
        <v>188</v>
      </c>
      <c r="C32" s="163">
        <f>C24</f>
        <v>1579</v>
      </c>
    </row>
    <row r="33" spans="2:3" x14ac:dyDescent="0.2">
      <c r="B33" s="157" t="s">
        <v>189</v>
      </c>
      <c r="C33" s="163">
        <f>C25</f>
        <v>1052</v>
      </c>
    </row>
    <row r="34" spans="2:3" x14ac:dyDescent="0.2">
      <c r="B34" s="161" t="s">
        <v>190</v>
      </c>
      <c r="C34" s="162">
        <f>C31+C32-C33</f>
        <v>162882.44224220281</v>
      </c>
    </row>
    <row r="35" spans="2:3" x14ac:dyDescent="0.2">
      <c r="B35" s="157" t="s">
        <v>68</v>
      </c>
      <c r="C35" s="159">
        <f>C22</f>
        <v>361</v>
      </c>
    </row>
    <row r="36" spans="2:3" ht="17" thickBot="1" x14ac:dyDescent="0.25">
      <c r="B36" s="164" t="s">
        <v>191</v>
      </c>
      <c r="C36" s="165">
        <f>C34/C35</f>
        <v>451.19790094793024</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2026-09-26T21:01:44Z</dcterms:modified>
</cp:coreProperties>
</file>