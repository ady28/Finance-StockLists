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dumitrasadrian/MyStockData/Finance-StockLists/"/>
    </mc:Choice>
  </mc:AlternateContent>
  <xr:revisionPtr revIDLastSave="0" documentId="13_ncr:1_{1312497E-BDDF-9E47-9A55-240E593AE8EB}" xr6:coauthVersionLast="47" xr6:coauthVersionMax="47" xr10:uidLastSave="{00000000-0000-0000-0000-000000000000}"/>
  <bookViews>
    <workbookView xWindow="0" yWindow="400" windowWidth="20480" windowHeight="1286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1" i="6" l="1"/>
  <c r="K11" i="6"/>
  <c r="J11" i="6"/>
  <c r="I11" i="6"/>
  <c r="H11" i="6"/>
  <c r="X11" i="6"/>
  <c r="AB11" i="6" s="1"/>
  <c r="W14" i="6"/>
  <c r="V14" i="6"/>
  <c r="U14" i="6"/>
  <c r="T14" i="6"/>
  <c r="S14" i="6"/>
  <c r="R14" i="6"/>
  <c r="Q14" i="6"/>
  <c r="P14" i="6"/>
  <c r="G14" i="6"/>
  <c r="F14" i="6"/>
  <c r="E14" i="6"/>
  <c r="D14" i="6"/>
  <c r="C14" i="6"/>
  <c r="AA22" i="5"/>
  <c r="AA21" i="5"/>
  <c r="Z24" i="5"/>
  <c r="Z23" i="5"/>
  <c r="Y24" i="5"/>
  <c r="X24" i="5"/>
  <c r="W24" i="5"/>
  <c r="V24" i="5"/>
  <c r="U24" i="5"/>
  <c r="Y23" i="5"/>
  <c r="X23" i="5"/>
  <c r="W23" i="5"/>
  <c r="V23" i="5"/>
  <c r="U23" i="5"/>
  <c r="T24" i="5"/>
  <c r="R24" i="5"/>
  <c r="T23" i="5"/>
  <c r="R23" i="5"/>
  <c r="H22" i="5"/>
  <c r="I22" i="5" s="1"/>
  <c r="J22" i="5" s="1"/>
  <c r="K22" i="5" s="1"/>
  <c r="L22" i="5" s="1"/>
  <c r="H21" i="5"/>
  <c r="G24" i="5"/>
  <c r="G23" i="5"/>
  <c r="F24" i="5"/>
  <c r="E24" i="5"/>
  <c r="F23" i="5"/>
  <c r="E23" i="5"/>
  <c r="D24" i="5"/>
  <c r="D23" i="5"/>
  <c r="B24" i="5"/>
  <c r="B23" i="5"/>
  <c r="Z22" i="5"/>
  <c r="Y22" i="5"/>
  <c r="X22" i="5"/>
  <c r="W22" i="5"/>
  <c r="V22" i="5"/>
  <c r="U22" i="5"/>
  <c r="T22" i="5"/>
  <c r="S22" i="5"/>
  <c r="Z21" i="5"/>
  <c r="Y21" i="5"/>
  <c r="X21" i="5"/>
  <c r="W21" i="5"/>
  <c r="V21" i="5"/>
  <c r="U21" i="5"/>
  <c r="T21" i="5"/>
  <c r="S21" i="5"/>
  <c r="G22" i="5"/>
  <c r="F22" i="5"/>
  <c r="E22" i="5"/>
  <c r="D22" i="5"/>
  <c r="C22" i="5"/>
  <c r="G21" i="5"/>
  <c r="F21" i="5"/>
  <c r="E21" i="5"/>
  <c r="D21" i="5"/>
  <c r="C21" i="5"/>
  <c r="AE20" i="5"/>
  <c r="AC20" i="5"/>
  <c r="AB20" i="5"/>
  <c r="AA20" i="5"/>
  <c r="Z20" i="5"/>
  <c r="Y20" i="5"/>
  <c r="X20" i="5"/>
  <c r="W20" i="5"/>
  <c r="V20" i="5"/>
  <c r="U20" i="5"/>
  <c r="T20" i="5"/>
  <c r="S20" i="5"/>
  <c r="L20" i="5"/>
  <c r="K20" i="5"/>
  <c r="J20" i="5"/>
  <c r="I20" i="5"/>
  <c r="H20" i="5"/>
  <c r="G20" i="5"/>
  <c r="F20" i="5"/>
  <c r="E20" i="5"/>
  <c r="D20" i="5"/>
  <c r="C20" i="5"/>
  <c r="B22" i="5"/>
  <c r="R22" i="5" s="1"/>
  <c r="B21" i="5"/>
  <c r="R21" i="5" s="1"/>
  <c r="AE21" i="5"/>
  <c r="B65" i="20"/>
  <c r="B64" i="20"/>
  <c r="B63" i="20"/>
  <c r="B67" i="19"/>
  <c r="B66" i="19"/>
  <c r="B65" i="19"/>
  <c r="B28" i="18"/>
  <c r="B26" i="18"/>
  <c r="B24" i="18"/>
  <c r="G12" i="18"/>
  <c r="F12" i="18"/>
  <c r="D12" i="18"/>
  <c r="C12" i="18"/>
  <c r="B91" i="17"/>
  <c r="B90" i="17"/>
  <c r="B89" i="17"/>
  <c r="AC211" i="3"/>
  <c r="AA211" i="3"/>
  <c r="Z211" i="3"/>
  <c r="Y211" i="3"/>
  <c r="X211" i="3"/>
  <c r="W211" i="3"/>
  <c r="V211" i="3"/>
  <c r="U211" i="3"/>
  <c r="T211" i="3"/>
  <c r="Q211" i="3"/>
  <c r="AC209" i="3"/>
  <c r="AC208" i="3"/>
  <c r="AC207" i="3"/>
  <c r="B193" i="3"/>
  <c r="B192" i="3"/>
  <c r="B191" i="3"/>
  <c r="T57" i="3"/>
  <c r="X57" i="3"/>
  <c r="V57" i="3"/>
  <c r="U57" i="3"/>
  <c r="Y57" i="3"/>
  <c r="Z57" i="3"/>
  <c r="W57" i="3"/>
  <c r="AA57" i="3"/>
  <c r="M57" i="3"/>
  <c r="N57" i="3"/>
  <c r="O57" i="3"/>
  <c r="P57" i="3"/>
  <c r="Q57" i="3"/>
  <c r="AA93" i="3"/>
  <c r="Z93" i="3"/>
  <c r="Y93" i="3"/>
  <c r="X93" i="3"/>
  <c r="W93" i="3"/>
  <c r="V93" i="3"/>
  <c r="U93" i="3"/>
  <c r="T93" i="3"/>
  <c r="Q93" i="3"/>
  <c r="P93" i="3"/>
  <c r="O93" i="3"/>
  <c r="N93" i="3"/>
  <c r="M93" i="3"/>
  <c r="AC10" i="3"/>
  <c r="AA68" i="3"/>
  <c r="Z68" i="3"/>
  <c r="Y68" i="3"/>
  <c r="X68" i="3"/>
  <c r="W68" i="3"/>
  <c r="V68" i="3"/>
  <c r="U68" i="3"/>
  <c r="T68" i="3"/>
  <c r="N68" i="3"/>
  <c r="L68" i="3"/>
  <c r="K68" i="3"/>
  <c r="J68" i="3"/>
  <c r="I68" i="3"/>
  <c r="H68" i="3"/>
  <c r="G68" i="3"/>
  <c r="F68" i="3"/>
  <c r="E68" i="3"/>
  <c r="D68" i="3"/>
  <c r="C68" i="3"/>
  <c r="M68" i="3"/>
  <c r="O12" i="3"/>
  <c r="O68" i="3" s="1"/>
  <c r="P12" i="3"/>
  <c r="P68" i="3" s="1"/>
  <c r="Q12" i="3"/>
  <c r="Q68" i="3" s="1"/>
  <c r="L5" i="21"/>
  <c r="K5" i="21"/>
  <c r="J5" i="21"/>
  <c r="I5" i="21"/>
  <c r="H5" i="21"/>
  <c r="G5" i="21"/>
  <c r="F5" i="21"/>
  <c r="E5" i="21"/>
  <c r="D5" i="21"/>
  <c r="C5" i="21"/>
  <c r="P25" i="3"/>
  <c r="F6" i="21" s="1"/>
  <c r="P23" i="3"/>
  <c r="AA133" i="3"/>
  <c r="Z133" i="3"/>
  <c r="Y133" i="3"/>
  <c r="X133" i="3"/>
  <c r="W133" i="3"/>
  <c r="V133" i="3"/>
  <c r="U133" i="3"/>
  <c r="T133" i="3"/>
  <c r="AA108" i="3"/>
  <c r="H73" i="19"/>
  <c r="G73" i="19"/>
  <c r="F73" i="19"/>
  <c r="E73" i="19"/>
  <c r="D73" i="19"/>
  <c r="C73" i="19"/>
  <c r="H72" i="19"/>
  <c r="G72" i="19"/>
  <c r="F72" i="19"/>
  <c r="E72" i="19"/>
  <c r="D72" i="19"/>
  <c r="C72" i="19"/>
  <c r="H71" i="19"/>
  <c r="G71" i="19"/>
  <c r="F71" i="19"/>
  <c r="E71" i="19"/>
  <c r="D71" i="19"/>
  <c r="C71" i="19"/>
  <c r="Q178" i="3"/>
  <c r="P178" i="3"/>
  <c r="O178" i="3"/>
  <c r="N178" i="3"/>
  <c r="M178" i="3"/>
  <c r="AC33" i="3"/>
  <c r="Q202" i="3"/>
  <c r="L72" i="19" s="1"/>
  <c r="P202" i="3"/>
  <c r="K72" i="19" s="1"/>
  <c r="O202" i="3"/>
  <c r="J72" i="19" s="1"/>
  <c r="N202" i="3"/>
  <c r="I72" i="19" s="1"/>
  <c r="G10" i="16"/>
  <c r="Q115" i="3"/>
  <c r="P115" i="3"/>
  <c r="O115" i="3"/>
  <c r="N115" i="3"/>
  <c r="M115"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7" i="3"/>
  <c r="P197" i="3"/>
  <c r="O197" i="3"/>
  <c r="N197" i="3"/>
  <c r="M197"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AC106" i="3" s="1"/>
  <c r="Z106" i="3"/>
  <c r="Y106" i="3"/>
  <c r="X106" i="3"/>
  <c r="W106" i="3"/>
  <c r="V106" i="3"/>
  <c r="U106" i="3"/>
  <c r="T106" i="3"/>
  <c r="Q106" i="3"/>
  <c r="P106" i="3"/>
  <c r="O106" i="3"/>
  <c r="E30" i="12" s="1"/>
  <c r="N106" i="3"/>
  <c r="D30" i="12" s="1"/>
  <c r="M106" i="3"/>
  <c r="AC38" i="3"/>
  <c r="AA76" i="3"/>
  <c r="Z193" i="3"/>
  <c r="Y193" i="3"/>
  <c r="X193" i="3"/>
  <c r="W193" i="3"/>
  <c r="V193" i="3"/>
  <c r="U193" i="3"/>
  <c r="T193" i="3"/>
  <c r="Z192" i="3"/>
  <c r="Y192" i="3"/>
  <c r="X192" i="3"/>
  <c r="W192" i="3"/>
  <c r="V192" i="3"/>
  <c r="U192" i="3"/>
  <c r="T192" i="3"/>
  <c r="Z191" i="3"/>
  <c r="Y191" i="3"/>
  <c r="X191" i="3"/>
  <c r="W191" i="3"/>
  <c r="V191" i="3"/>
  <c r="U191" i="3"/>
  <c r="T191" i="3"/>
  <c r="Z172" i="3"/>
  <c r="Y172" i="3"/>
  <c r="X172" i="3"/>
  <c r="W172" i="3"/>
  <c r="V172" i="3"/>
  <c r="U172" i="3"/>
  <c r="T172" i="3"/>
  <c r="Z171" i="3"/>
  <c r="Y171" i="3"/>
  <c r="X171" i="3"/>
  <c r="W171" i="3"/>
  <c r="V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8" i="18"/>
  <c r="F28" i="18"/>
  <c r="D28" i="18"/>
  <c r="C28" i="18"/>
  <c r="G26" i="18"/>
  <c r="F26" i="18"/>
  <c r="D26" i="18"/>
  <c r="C26" i="18"/>
  <c r="G24" i="18"/>
  <c r="F24" i="18"/>
  <c r="D24" i="18"/>
  <c r="C24" i="18"/>
  <c r="AA193" i="3"/>
  <c r="AA192" i="3"/>
  <c r="AA191" i="3"/>
  <c r="G16" i="18"/>
  <c r="F16" i="18"/>
  <c r="D16" i="18"/>
  <c r="C16" i="18"/>
  <c r="G14" i="18"/>
  <c r="F14" i="18"/>
  <c r="D14" i="18"/>
  <c r="C14" i="18"/>
  <c r="G8" i="18"/>
  <c r="F8" i="18"/>
  <c r="D8" i="18"/>
  <c r="C8" i="18"/>
  <c r="G6" i="18"/>
  <c r="F6" i="18"/>
  <c r="D6" i="18"/>
  <c r="C6" i="18"/>
  <c r="G5" i="18"/>
  <c r="G4" i="18"/>
  <c r="F5" i="18"/>
  <c r="F4" i="18"/>
  <c r="D5" i="18"/>
  <c r="D4" i="18"/>
  <c r="C5" i="18"/>
  <c r="C4" i="18"/>
  <c r="Q193" i="3"/>
  <c r="P193" i="3"/>
  <c r="O193" i="3"/>
  <c r="N193" i="3"/>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AC63" i="3"/>
  <c r="AA172" i="3"/>
  <c r="Q172" i="3"/>
  <c r="P172" i="3"/>
  <c r="O172" i="3"/>
  <c r="N172" i="3"/>
  <c r="M172" i="3"/>
  <c r="AA171" i="3"/>
  <c r="Q171" i="3"/>
  <c r="P171" i="3"/>
  <c r="O171" i="3"/>
  <c r="N171" i="3"/>
  <c r="M171" i="3"/>
  <c r="AA147" i="3"/>
  <c r="P147" i="3"/>
  <c r="N147" i="3"/>
  <c r="M147" i="3"/>
  <c r="AA146" i="3"/>
  <c r="Q146" i="3"/>
  <c r="P146" i="3"/>
  <c r="O146" i="3"/>
  <c r="N146" i="3"/>
  <c r="M146" i="3"/>
  <c r="AA141" i="3"/>
  <c r="Q141" i="3"/>
  <c r="P141" i="3"/>
  <c r="O141" i="3"/>
  <c r="N141" i="3"/>
  <c r="M141"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Z7" i="5"/>
  <c r="AA7" i="5" s="1"/>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7"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H6" i="5" l="1"/>
  <c r="I21" i="5"/>
  <c r="AA6" i="5"/>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I56" i="19"/>
  <c r="AC179" i="3"/>
  <c r="Q179" i="3"/>
  <c r="P179" i="3"/>
  <c r="O179" i="3"/>
  <c r="N179" i="3"/>
  <c r="M179" i="3"/>
  <c r="AA105" i="3"/>
  <c r="Z105" i="3"/>
  <c r="Y105" i="3"/>
  <c r="X105" i="3"/>
  <c r="W105" i="3"/>
  <c r="V105" i="3"/>
  <c r="U105" i="3"/>
  <c r="T105" i="3"/>
  <c r="Q105" i="3"/>
  <c r="P105" i="3"/>
  <c r="O105" i="3"/>
  <c r="N105" i="3"/>
  <c r="M105" i="3"/>
  <c r="Q203" i="3"/>
  <c r="L73" i="19" s="1"/>
  <c r="P203" i="3"/>
  <c r="K73" i="19" s="1"/>
  <c r="O203" i="3"/>
  <c r="J73" i="19" s="1"/>
  <c r="N203" i="3"/>
  <c r="I73" i="19" s="1"/>
  <c r="Q201" i="3"/>
  <c r="L71" i="19" s="1"/>
  <c r="P201" i="3"/>
  <c r="K71" i="19" s="1"/>
  <c r="O201" i="3"/>
  <c r="J71" i="19" s="1"/>
  <c r="N201" i="3"/>
  <c r="I71" i="19" s="1"/>
  <c r="F30" i="12"/>
  <c r="C23" i="11"/>
  <c r="C25" i="14"/>
  <c r="Z134" i="3"/>
  <c r="Y134" i="3"/>
  <c r="X134" i="3"/>
  <c r="W134" i="3"/>
  <c r="V134" i="3"/>
  <c r="U134" i="3"/>
  <c r="T134" i="3"/>
  <c r="AA134" i="3"/>
  <c r="Z130" i="3"/>
  <c r="Y130" i="3"/>
  <c r="X130" i="3"/>
  <c r="W130" i="3"/>
  <c r="V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6" i="20" s="1"/>
  <c r="Z155" i="3"/>
  <c r="I66" i="20" s="1"/>
  <c r="Y155" i="3"/>
  <c r="H66" i="20" s="1"/>
  <c r="X155" i="3"/>
  <c r="G66" i="20" s="1"/>
  <c r="W155" i="3"/>
  <c r="F66" i="20" s="1"/>
  <c r="V155" i="3"/>
  <c r="E66" i="20" s="1"/>
  <c r="U155" i="3"/>
  <c r="D66" i="20" s="1"/>
  <c r="T155" i="3"/>
  <c r="C66" i="20" s="1"/>
  <c r="J61" i="20"/>
  <c r="I61" i="20"/>
  <c r="H61" i="20"/>
  <c r="G61" i="20"/>
  <c r="F61" i="20"/>
  <c r="E61" i="20"/>
  <c r="D61" i="20"/>
  <c r="C61" i="20"/>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X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AC108" i="3"/>
  <c r="D23" i="17"/>
  <c r="E23" i="17"/>
  <c r="F23" i="17"/>
  <c r="G23" i="17"/>
  <c r="C23" i="17"/>
  <c r="AC140" i="3"/>
  <c r="I39" i="17" s="1"/>
  <c r="AC171" i="3"/>
  <c r="I71" i="17" s="1"/>
  <c r="AC172" i="3"/>
  <c r="AC78" i="3"/>
  <c r="Q79" i="3"/>
  <c r="P79" i="3"/>
  <c r="N79" i="3"/>
  <c r="M79" i="3"/>
  <c r="O79" i="3"/>
  <c r="AC147" i="3"/>
  <c r="AC146" i="3"/>
  <c r="AC143" i="3"/>
  <c r="AA139" i="3"/>
  <c r="AC141" i="3"/>
  <c r="AC139" i="3"/>
  <c r="Q139" i="3"/>
  <c r="P139" i="3"/>
  <c r="O139" i="3"/>
  <c r="N139" i="3"/>
  <c r="M139" i="3"/>
  <c r="F9" i="16"/>
  <c r="F17" i="16"/>
  <c r="AC57" i="3"/>
  <c r="F16" i="16"/>
  <c r="F18" i="16" s="1"/>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I6" i="5" l="1"/>
  <c r="J21" i="5"/>
  <c r="D5" i="12"/>
  <c r="D6" i="11"/>
  <c r="Q181" i="3"/>
  <c r="Q180" i="3"/>
  <c r="P181" i="3"/>
  <c r="P180" i="3"/>
  <c r="O181" i="3"/>
  <c r="O180" i="3"/>
  <c r="N181" i="3"/>
  <c r="N180" i="3"/>
  <c r="M181" i="3"/>
  <c r="M180" i="3"/>
  <c r="E3" i="17"/>
  <c r="J56" i="19"/>
  <c r="E5" i="5"/>
  <c r="D6" i="14"/>
  <c r="D40" i="14" s="1"/>
  <c r="D6" i="7"/>
  <c r="D5" i="6"/>
  <c r="D5" i="8"/>
  <c r="D12"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38" i="3"/>
  <c r="J70" i="19" s="1"/>
  <c r="N138" i="3"/>
  <c r="I70" i="19" s="1"/>
  <c r="M138" i="3"/>
  <c r="H70" i="19" s="1"/>
  <c r="K61" i="19"/>
  <c r="P138" i="3"/>
  <c r="K70"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5" i="5"/>
  <c r="R13"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21" i="5"/>
  <c r="E5" i="12"/>
  <c r="E6" i="11"/>
  <c r="C63" i="12"/>
  <c r="C43" i="12"/>
  <c r="C24" i="21"/>
  <c r="C26" i="21" s="1"/>
  <c r="I10" i="1" s="1"/>
  <c r="C51" i="12"/>
  <c r="AC181" i="3"/>
  <c r="AC180" i="3"/>
  <c r="AC165" i="3"/>
  <c r="AC166" i="3"/>
  <c r="F5" i="5"/>
  <c r="F3" i="17"/>
  <c r="K56" i="19"/>
  <c r="E5" i="6"/>
  <c r="E6" i="7"/>
  <c r="E12"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70"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6" i="5" l="1"/>
  <c r="L21" i="5"/>
  <c r="L6" i="5" s="1"/>
  <c r="F5" i="12"/>
  <c r="F6" i="11"/>
  <c r="G3" i="17"/>
  <c r="L56" i="19"/>
  <c r="G5" i="5"/>
  <c r="F5" i="8"/>
  <c r="F6" i="14"/>
  <c r="F40" i="14" s="1"/>
  <c r="F6" i="7"/>
  <c r="F5" i="6"/>
  <c r="F12"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G12" i="5"/>
  <c r="G5" i="6"/>
  <c r="G5" i="8"/>
  <c r="G6" i="7"/>
  <c r="G6" i="14"/>
  <c r="G40" i="14" s="1"/>
  <c r="F19" i="8"/>
  <c r="F14" i="8"/>
  <c r="F26" i="8"/>
  <c r="F32" i="8"/>
  <c r="F27" i="7"/>
  <c r="F34" i="7"/>
  <c r="F41" i="7"/>
  <c r="F12" i="7"/>
  <c r="F19" i="7"/>
  <c r="F18" i="6"/>
  <c r="F10" i="6"/>
  <c r="E22" i="12"/>
  <c r="E17" i="12"/>
  <c r="E11" i="12"/>
  <c r="E27" i="12"/>
  <c r="F13" i="12"/>
  <c r="C59" i="12"/>
  <c r="C39" i="12"/>
  <c r="C15" i="11"/>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2" i="5"/>
  <c r="I5" i="5"/>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2" i="5"/>
  <c r="J5" i="5"/>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J12"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K12"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2"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9" i="5" l="1"/>
  <c r="H13" i="5"/>
  <c r="H6" i="8" l="1"/>
  <c r="H6" i="6"/>
  <c r="H6" i="12"/>
  <c r="H12"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2" i="12" s="1"/>
  <c r="I16" i="5"/>
  <c r="J6" i="12"/>
  <c r="J16" i="5"/>
  <c r="H14" i="7"/>
  <c r="H29" i="7" s="1"/>
  <c r="H15" i="7"/>
  <c r="H30" i="7" s="1"/>
  <c r="H10" i="8"/>
  <c r="H33" i="8"/>
  <c r="I6" i="8"/>
  <c r="I6" i="6"/>
  <c r="J6" i="8"/>
  <c r="J6" i="6"/>
  <c r="K6" i="8"/>
  <c r="K7" i="7"/>
  <c r="K6" i="6"/>
  <c r="L6" i="8"/>
  <c r="L7" i="7"/>
  <c r="L6" i="6"/>
  <c r="I13" i="7"/>
  <c r="I28" i="7" s="1"/>
  <c r="I36" i="7"/>
  <c r="I42" i="7"/>
  <c r="I45" i="7"/>
  <c r="I21" i="8" s="1"/>
  <c r="J13" i="7"/>
  <c r="J36" i="7"/>
  <c r="J42" i="7"/>
  <c r="J45" i="7"/>
  <c r="J21" i="8" s="1"/>
  <c r="C50" i="12" l="1"/>
  <c r="C54" i="12" s="1"/>
  <c r="C55" i="12" s="1"/>
  <c r="C7" i="13" s="1"/>
  <c r="I5" i="1"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H10" i="11"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C42" i="12" s="1"/>
  <c r="C45" i="12" s="1"/>
  <c r="C47" i="12" s="1"/>
  <c r="C6" i="13" s="1"/>
  <c r="I4" i="1"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J10" i="11" s="1"/>
  <c r="L8" i="12"/>
  <c r="C58" i="12" s="1"/>
  <c r="C61" i="12" s="1"/>
  <c r="C62" i="12" s="1"/>
  <c r="C65" i="12" s="1"/>
  <c r="C67" i="12" s="1"/>
  <c r="C8" i="13" s="1"/>
  <c r="I6" i="1" s="1"/>
  <c r="L7" i="11"/>
  <c r="I8" i="12"/>
  <c r="I7" i="11"/>
  <c r="I10" i="11" s="1"/>
  <c r="K8" i="12"/>
  <c r="K7" i="11"/>
  <c r="K10" i="11" s="1"/>
  <c r="L10" i="11" l="1"/>
  <c r="C19" i="11" s="1"/>
  <c r="L8" i="11"/>
  <c r="L11" i="11" s="1"/>
  <c r="C20" i="11" s="1"/>
  <c r="I14" i="12"/>
  <c r="J14" i="12"/>
  <c r="K14" i="12"/>
  <c r="L14" i="12"/>
  <c r="C21" i="11" l="1"/>
  <c r="C24" i="11" s="1"/>
  <c r="C26" i="11" s="1"/>
  <c r="C5" i="13" s="1"/>
  <c r="I3" i="1" l="1"/>
  <c r="C9" i="13"/>
  <c r="AE6" i="5"/>
  <c r="AE22" i="5" s="1"/>
  <c r="AA9" i="5"/>
  <c r="AA13" i="5"/>
  <c r="I7" i="1" l="1"/>
  <c r="X6" i="6"/>
  <c r="AE9" i="5"/>
  <c r="AB6" i="6" s="1"/>
  <c r="AA16" i="5"/>
  <c r="X13" i="6" l="1"/>
  <c r="X12" i="6"/>
  <c r="AB12" i="6" s="1"/>
  <c r="AB13" i="6" l="1"/>
  <c r="X14" i="6"/>
  <c r="X22" i="6" l="1"/>
  <c r="AB14" i="6"/>
  <c r="F26" i="1"/>
  <c r="F27" i="1" s="1"/>
  <c r="C9" i="10" s="1"/>
  <c r="C14" i="1"/>
  <c r="C13" i="1"/>
  <c r="C10" i="10" s="1"/>
  <c r="C10" i="13" s="1"/>
  <c r="C11" i="13" s="1"/>
  <c r="I8" i="1" s="1"/>
  <c r="C12" i="1"/>
  <c r="C11" i="1"/>
  <c r="C10" i="1"/>
  <c r="C9" i="1"/>
  <c r="C8" i="1"/>
  <c r="C7" i="1"/>
  <c r="C6" i="1"/>
  <c r="C5" i="1"/>
  <c r="C4" i="1"/>
  <c r="C19" i="10" l="1"/>
  <c r="C15" i="14"/>
  <c r="C23" i="14" s="1"/>
  <c r="C26" i="14" s="1"/>
  <c r="AC114" i="3"/>
  <c r="C5" i="16"/>
  <c r="C6" i="10"/>
  <c r="C7" i="10" s="1"/>
  <c r="C17" i="10" l="1"/>
  <c r="C16" i="10"/>
  <c r="C20" i="10" s="1"/>
  <c r="C21" i="14" s="1"/>
  <c r="AC115" i="3"/>
  <c r="I6" i="17"/>
  <c r="H10" i="14" l="1"/>
  <c r="I10" i="14"/>
  <c r="J10" i="14"/>
  <c r="K10" i="14"/>
  <c r="L10" i="14"/>
  <c r="L8" i="14"/>
  <c r="L11" i="14" s="1"/>
  <c r="C30" i="14" s="1"/>
  <c r="AC151" i="3"/>
  <c r="AC150" i="3"/>
  <c r="AC148" i="3"/>
  <c r="AC160" i="3"/>
  <c r="AC149" i="3"/>
  <c r="AC161" i="3"/>
  <c r="C29" i="14" l="1"/>
  <c r="C31" i="14"/>
  <c r="C34" i="14" s="1"/>
  <c r="C36" i="14" s="1"/>
  <c r="C16" i="14" s="1"/>
  <c r="I10" i="17"/>
  <c r="C9" i="16"/>
  <c r="F7" i="1"/>
  <c r="C10" i="16"/>
  <c r="I11" i="17"/>
  <c r="I53" i="17"/>
  <c r="C40" i="16"/>
  <c r="F11" i="1"/>
  <c r="F9" i="1"/>
  <c r="C38" i="16"/>
  <c r="I51" i="17"/>
  <c r="C8" i="16"/>
  <c r="I9" i="17"/>
  <c r="F6" i="1"/>
  <c r="F3" i="1"/>
  <c r="I7" i="17"/>
  <c r="AC162" i="3"/>
  <c r="C6" i="16"/>
  <c r="AC152" i="3"/>
  <c r="AC163" i="3"/>
  <c r="AC157" i="3"/>
  <c r="AC174" i="3"/>
  <c r="AC159" i="3"/>
  <c r="C7" i="16" l="1"/>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<sst xmlns="http://schemas.openxmlformats.org/spreadsheetml/2006/main" count="763" uniqueCount="428">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</sst>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0_);_(* \(#,##0\);_(* &quot;-&quot;_);_(@_)"/>
    <numFmt numFmtId="165" formatCode="_([$$-409]* #,##0.00_);_([$$-409]* \(#,##0.00\);_([$$-409]* &quot;-&quot;??_);_(@_)"/>
    <numFmt numFmtId="166" formatCode="0.00_);[Red]\(0.00\)"/>
    <numFmt numFmtId="167" formatCode="#,##0.0_);[Red]\(#,##0.0\)"/>
    <numFmt numFmtId="168" formatCode="0.00_);\(0.00\)"/>
    <numFmt numFmtId="169" formatCode="0.0%"/>
    <numFmt numFmtId="170" formatCode="#,##0.0_);\(#,##0.0\)"/>
    <numFmt numFmtId="171" formatCode="0.0"/>
    <numFmt numFmtId="172"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5"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6" fontId="9" fillId="2" borderId="0" xfId="0" applyNumberFormat="1" applyFont="1" applyFill="1"/>
    <xf numFmtId="166" fontId="10" fillId="2" borderId="0" xfId="0" applyNumberFormat="1" applyFont="1" applyFill="1"/>
    <xf numFmtId="0" fontId="10" fillId="7" borderId="7" xfId="0" applyFont="1" applyFill="1" applyBorder="1"/>
    <xf numFmtId="166"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164" fontId="7" fillId="9" borderId="8" xfId="0" applyNumberFormat="1" applyFont="1" applyFill="1" applyBorder="1"/>
    <xf numFmtId="0" fontId="7" fillId="2" borderId="8" xfId="0" applyFont="1" applyFill="1" applyBorder="1"/>
    <xf numFmtId="164"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7"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8" fontId="9" fillId="2" borderId="0" xfId="0" applyNumberFormat="1" applyFont="1" applyFill="1"/>
    <xf numFmtId="37" fontId="0" fillId="2" borderId="0" xfId="0" applyNumberFormat="1" applyFill="1"/>
    <xf numFmtId="168" fontId="10" fillId="2" borderId="0" xfId="0" applyNumberFormat="1" applyFont="1" applyFill="1"/>
    <xf numFmtId="168"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9" fontId="0" fillId="2" borderId="4" xfId="1" applyNumberFormat="1" applyFont="1" applyFill="1" applyBorder="1" applyAlignment="1">
      <alignment horizontal="left"/>
    </xf>
    <xf numFmtId="169" fontId="10" fillId="2" borderId="0" xfId="1" applyNumberFormat="1" applyFont="1" applyFill="1"/>
    <xf numFmtId="2" fontId="10" fillId="2" borderId="0" xfId="1" applyNumberFormat="1" applyFont="1" applyFill="1"/>
    <xf numFmtId="169" fontId="7" fillId="2" borderId="0" xfId="1" applyNumberFormat="1" applyFont="1" applyFill="1"/>
    <xf numFmtId="169" fontId="0" fillId="13" borderId="0" xfId="1" applyNumberFormat="1" applyFont="1" applyFill="1"/>
    <xf numFmtId="2" fontId="0" fillId="13" borderId="0" xfId="1" applyNumberFormat="1" applyFont="1" applyFill="1"/>
    <xf numFmtId="169"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9" fontId="18" fillId="2" borderId="0" xfId="1" applyNumberFormat="1" applyFont="1" applyFill="1"/>
    <xf numFmtId="169" fontId="18" fillId="2" borderId="14" xfId="1" applyNumberFormat="1" applyFont="1" applyFill="1" applyBorder="1"/>
    <xf numFmtId="169"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1" fontId="0" fillId="3" borderId="0" xfId="0" applyNumberFormat="1" applyFill="1"/>
    <xf numFmtId="169" fontId="20" fillId="2" borderId="0" xfId="1" applyNumberFormat="1" applyFont="1" applyFill="1"/>
    <xf numFmtId="169"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70" fontId="0" fillId="12" borderId="0" xfId="0" applyNumberFormat="1" applyFill="1"/>
    <xf numFmtId="170"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9" fontId="18" fillId="12" borderId="0" xfId="1" applyNumberFormat="1" applyFont="1" applyFill="1"/>
    <xf numFmtId="169" fontId="18" fillId="12" borderId="14" xfId="1" applyNumberFormat="1" applyFont="1" applyFill="1" applyBorder="1"/>
    <xf numFmtId="170"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8" fontId="0" fillId="9" borderId="16" xfId="0" applyNumberFormat="1" applyFill="1" applyBorder="1"/>
    <xf numFmtId="3" fontId="0" fillId="2" borderId="0" xfId="0" applyNumberFormat="1" applyFill="1"/>
    <xf numFmtId="169" fontId="23" fillId="12" borderId="0" xfId="0" applyNumberFormat="1" applyFont="1" applyFill="1"/>
    <xf numFmtId="169" fontId="23" fillId="12" borderId="14" xfId="0" applyNumberFormat="1" applyFont="1" applyFill="1" applyBorder="1"/>
    <xf numFmtId="169"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9" fontId="0" fillId="2" borderId="0" xfId="1" applyNumberFormat="1" applyFont="1" applyFill="1"/>
    <xf numFmtId="0" fontId="0" fillId="9" borderId="19" xfId="0" applyFill="1" applyBorder="1"/>
    <xf numFmtId="168"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8"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9" fontId="10" fillId="17" borderId="0" xfId="1" applyNumberFormat="1" applyFont="1" applyFill="1"/>
    <xf numFmtId="169" fontId="7" fillId="17" borderId="0" xfId="1" applyNumberFormat="1" applyFont="1" applyFill="1"/>
    <xf numFmtId="37" fontId="0" fillId="17" borderId="0" xfId="0" applyNumberFormat="1" applyFill="1"/>
    <xf numFmtId="169" fontId="10" fillId="17" borderId="0" xfId="1" applyNumberFormat="1" applyFont="1" applyFill="1" applyAlignment="1">
      <alignment horizontal="right"/>
    </xf>
    <xf numFmtId="170" fontId="10" fillId="12" borderId="0" xfId="0" applyNumberFormat="1" applyFont="1" applyFill="1"/>
    <xf numFmtId="168" fontId="0" fillId="17" borderId="0" xfId="0" applyNumberFormat="1" applyFill="1"/>
    <xf numFmtId="2" fontId="0" fillId="2" borderId="0" xfId="0" applyNumberFormat="1" applyFill="1" applyAlignment="1">
      <alignment horizontal="right"/>
    </xf>
    <xf numFmtId="168" fontId="0" fillId="17" borderId="0" xfId="0" applyNumberFormat="1" applyFill="1" applyAlignment="1">
      <alignment horizontal="right"/>
    </xf>
    <xf numFmtId="171"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9" fontId="0" fillId="17" borderId="4" xfId="1" applyNumberFormat="1" applyFont="1" applyFill="1" applyBorder="1"/>
    <xf numFmtId="169" fontId="0" fillId="17" borderId="6" xfId="1" applyNumberFormat="1" applyFont="1" applyFill="1" applyBorder="1"/>
    <xf numFmtId="169" fontId="0" fillId="17" borderId="16" xfId="1" applyNumberFormat="1" applyFont="1" applyFill="1" applyBorder="1"/>
    <xf numFmtId="37" fontId="0" fillId="17" borderId="0" xfId="0" applyNumberFormat="1" applyFill="1" applyAlignment="1">
      <alignment horizontal="right"/>
    </xf>
    <xf numFmtId="169"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9" fontId="0" fillId="17" borderId="10" xfId="1" applyNumberFormat="1" applyFont="1" applyFill="1" applyBorder="1"/>
    <xf numFmtId="2" fontId="10" fillId="17" borderId="0" xfId="1" applyNumberFormat="1" applyFont="1" applyFill="1"/>
    <xf numFmtId="169"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70" fontId="16" fillId="2" borderId="0" xfId="0" applyNumberFormat="1" applyFont="1" applyFill="1"/>
    <xf numFmtId="170" fontId="16" fillId="2" borderId="14" xfId="0" applyNumberFormat="1" applyFont="1" applyFill="1" applyBorder="1"/>
    <xf numFmtId="170" fontId="0" fillId="2" borderId="0" xfId="0" applyNumberFormat="1" applyFill="1"/>
    <xf numFmtId="37" fontId="10" fillId="2" borderId="0" xfId="1" applyNumberFormat="1" applyFont="1" applyFill="1"/>
    <xf numFmtId="172" fontId="10" fillId="2" borderId="0" xfId="1"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9" fontId="18" fillId="17" borderId="5" xfId="1" applyNumberFormat="1" applyFont="1" applyFill="1" applyBorder="1" applyAlignment="1">
      <alignment horizontal="center"/>
    </xf>
    <xf numFmtId="169"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 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16922</c:v>
                </c:pt>
                <c:pt idx="1">
                  <c:v>18793</c:v>
                </c:pt>
                <c:pt idx="2">
                  <c:v>6255</c:v>
                </c:pt>
                <c:pt idx="3">
                  <c:v>6317</c:v>
                </c:pt>
                <c:pt idx="4">
                  <c:v>9520</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1220</c:v>
                </c:pt>
                <c:pt idx="1">
                  <c:v>2391</c:v>
                </c:pt>
                <c:pt idx="2">
                  <c:v>-548</c:v>
                </c:pt>
                <c:pt idx="3">
                  <c:v>-403</c:v>
                </c:pt>
                <c:pt idx="4">
                  <c:v>2334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821</c:v>
                </c:pt>
                <c:pt idx="1">
                  <c:v>1500</c:v>
                </c:pt>
                <c:pt idx="2">
                  <c:v>-920</c:v>
                </c:pt>
                <c:pt idx="3">
                  <c:v>-765</c:v>
                </c:pt>
                <c:pt idx="4">
                  <c:v>1643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434</c:v>
                </c:pt>
                <c:pt idx="1">
                  <c:v>432</c:v>
                </c:pt>
                <c:pt idx="2">
                  <c:v>-1547</c:v>
                </c:pt>
                <c:pt idx="3">
                  <c:v>-1076</c:v>
                </c:pt>
                <c:pt idx="4">
                  <c:v>1014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971.49622437971948</c:v>
                </c:pt>
                <c:pt idx="1">
                  <c:v>421.35468676401297</c:v>
                </c:pt>
                <c:pt idx="2">
                  <c:v>-449</c:v>
                </c:pt>
                <c:pt idx="3">
                  <c:v>-629</c:v>
                </c:pt>
                <c:pt idx="4">
                  <c:v>1342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0.26716700153646139</c:v>
                </c:pt>
                <c:pt idx="1">
                  <c:v>0.31256318842122066</c:v>
                </c:pt>
                <c:pt idx="2">
                  <c:v>0.22238209432454037</c:v>
                </c:pt>
                <c:pt idx="3">
                  <c:v>0.28067120468576856</c:v>
                </c:pt>
                <c:pt idx="4">
                  <c:v>0.38781512605042018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7.2095496986171848E-2</c:v>
                </c:pt>
                <c:pt idx="1">
                  <c:v>0.12722822327462352</c:v>
                </c:pt>
                <c:pt idx="2">
                  <c:v>-8.7609912070343729E-2</c:v>
                </c:pt>
                <c:pt idx="3">
                  <c:v>-6.3796105746398601E-2</c:v>
                </c:pt>
                <c:pt idx="4">
                  <c:v>0.24516806722689075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4.8516723791514005E-2</c:v>
                </c:pt>
                <c:pt idx="1">
                  <c:v>7.9816953120842873E-2</c:v>
                </c:pt>
                <c:pt idx="2">
                  <c:v>-0.14708233413269384</c:v>
                </c:pt>
                <c:pt idx="3">
                  <c:v>-0.12110178882380877</c:v>
                </c:pt>
                <c:pt idx="4">
                  <c:v>0.17258403361344538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5723</c:v>
                </c:pt>
                <c:pt idx="1">
                  <c:v>8017</c:v>
                </c:pt>
                <c:pt idx="2">
                  <c:v>4753</c:v>
                </c:pt>
                <c:pt idx="3">
                  <c:v>5052</c:v>
                </c:pt>
                <c:pt idx="4">
                  <c:v>8341</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7281</c:v>
                </c:pt>
                <c:pt idx="1">
                  <c:v>7076</c:v>
                </c:pt>
                <c:pt idx="2">
                  <c:v>691</c:v>
                </c:pt>
                <c:pt idx="3">
                  <c:v>577</c:v>
                </c:pt>
                <c:pt idx="4">
                  <c:v>556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3918</c:v>
                </c:pt>
                <c:pt idx="1">
                  <c:v>3700</c:v>
                </c:pt>
                <c:pt idx="2">
                  <c:v>811</c:v>
                </c:pt>
                <c:pt idx="3">
                  <c:v>688</c:v>
                </c:pt>
                <c:pt idx="4">
                  <c:v>623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3.1417419256084496E-2</c:v>
                </c:pt>
                <c:pt idx="1">
                  <c:v>5.7123272021021368E-2</c:v>
                </c:pt>
                <c:pt idx="2">
                  <c:v>-3.7660158008923819E-2</c:v>
                </c:pt>
                <c:pt idx="3">
                  <c:v>-3.1627253183396729E-2</c:v>
                </c:pt>
                <c:pt idx="4">
                  <c:v>0.11734037994572204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7.6578677362186376E-2</c:v>
                </c:pt>
                <c:pt idx="1">
                  <c:v>0.12273954668194094</c:v>
                </c:pt>
                <c:pt idx="2">
                  <c:v>-8.4816078178298143E-2</c:v>
                </c:pt>
                <c:pt idx="3">
                  <c:v>-7.0715474209650589E-2</c:v>
                </c:pt>
                <c:pt idx="4">
                  <c:v>0.30935793635850123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6.7211758172413497E-2</c:v>
                </c:pt>
                <c:pt idx="1">
                  <c:v>9.9985480987453412E-2</c:v>
                </c:pt>
                <c:pt idx="2">
                  <c:v>-3.4478419529382159E-2</c:v>
                </c:pt>
                <c:pt idx="3">
                  <c:v>-2.4613693275514565E-2</c:v>
                </c:pt>
                <c:pt idx="4">
                  <c:v>0.29514415781487102</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70.367549038278426</c:v>
                </c:pt>
                <c:pt idx="2">
                  <c:v>74.385831270234249</c:v>
                </c:pt>
                <c:pt idx="3">
                  <c:v>144.29632450961719</c:v>
                </c:pt>
                <c:pt idx="4">
                  <c:v>121.55779851456865</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111.05661269353504</c:v>
                </c:pt>
                <c:pt idx="2">
                  <c:v>36.963715872828274</c:v>
                </c:pt>
                <c:pt idx="3">
                  <c:v>37.330102824725209</c:v>
                </c:pt>
                <c:pt idx="4">
                  <c:v>56.258125517078362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178.57142857142856</c:v>
                </c:pt>
                <c:pt idx="2">
                  <c:v>-109.39849624060152</c:v>
                </c:pt>
                <c:pt idx="3">
                  <c:v>-94.36090225563909</c:v>
                </c:pt>
                <c:pt idx="4">
                  <c:v>167.29323308270676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2004</c:v>
                </c:pt>
                <c:pt idx="1">
                  <c:v>2212</c:v>
                </c:pt>
                <c:pt idx="2">
                  <c:v>2409</c:v>
                </c:pt>
                <c:pt idx="3">
                  <c:v>2294</c:v>
                </c:pt>
                <c:pt idx="4">
                  <c:v>2605</c:v>
                </c:pt>
                <c:pt idx="5">
                  <c:v>2818</c:v>
                </c:pt>
                <c:pt idx="6">
                  <c:v>3017</c:v>
                </c:pt>
                <c:pt idx="7">
                  <c:v>3337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-91</c:v>
                </c:pt>
                <c:pt idx="1">
                  <c:v>334</c:v>
                </c:pt>
                <c:pt idx="2">
                  <c:v>560</c:v>
                </c:pt>
                <c:pt idx="3">
                  <c:v>760</c:v>
                </c:pt>
                <c:pt idx="4">
                  <c:v>680</c:v>
                </c:pt>
                <c:pt idx="5">
                  <c:v>792</c:v>
                </c:pt>
                <c:pt idx="6">
                  <c:v>908</c:v>
                </c:pt>
                <c:pt idx="7">
                  <c:v>1190</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-246</c:v>
                </c:pt>
                <c:pt idx="1">
                  <c:v>153</c:v>
                </c:pt>
                <c:pt idx="2">
                  <c:v>466</c:v>
                </c:pt>
                <c:pt idx="3">
                  <c:v>772</c:v>
                </c:pt>
                <c:pt idx="4">
                  <c:v>252</c:v>
                </c:pt>
                <c:pt idx="5">
                  <c:v>1182</c:v>
                </c:pt>
                <c:pt idx="6">
                  <c:v>1842</c:v>
                </c:pt>
                <c:pt idx="7">
                  <c:v>3205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0.34780439121756485</c:v>
                </c:pt>
                <c:pt idx="1">
                  <c:v>0.36437613019891502</c:v>
                </c:pt>
                <c:pt idx="2">
                  <c:v>0.37650477376504776</c:v>
                </c:pt>
                <c:pt idx="3">
                  <c:v>0.39755884917175238</c:v>
                </c:pt>
                <c:pt idx="4">
                  <c:v>0.40959692898272554</c:v>
                </c:pt>
                <c:pt idx="5">
                  <c:v>0.43541518807665008</c:v>
                </c:pt>
                <c:pt idx="6">
                  <c:v>0.45740802121312563</c:v>
                </c:pt>
                <c:pt idx="7">
                  <c:v>0.50224752771950854</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-4.5409181636726546E-2</c:v>
                </c:pt>
                <c:pt idx="1">
                  <c:v>0.15099457504520797</c:v>
                </c:pt>
                <c:pt idx="2">
                  <c:v>0.23246160232461602</c:v>
                </c:pt>
                <c:pt idx="3">
                  <c:v>0.33129904097646035</c:v>
                </c:pt>
                <c:pt idx="4">
                  <c:v>0.26103646833013433</c:v>
                </c:pt>
                <c:pt idx="5">
                  <c:v>0.28105039034776436</c:v>
                </c:pt>
                <c:pt idx="6">
                  <c:v>0.30096121975472323</c:v>
                </c:pt>
                <c:pt idx="7">
                  <c:v>0.35660773149535513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-0.12275449101796407</c:v>
                </c:pt>
                <c:pt idx="1">
                  <c:v>6.9168173598553345E-2</c:v>
                </c:pt>
                <c:pt idx="2">
                  <c:v>0.19344126193441261</c:v>
                </c:pt>
                <c:pt idx="3">
                  <c:v>0.33653007846556232</c:v>
                </c:pt>
                <c:pt idx="4">
                  <c:v>9.6737044145873322E-2</c:v>
                </c:pt>
                <c:pt idx="5">
                  <c:v>0.41944641589779985</c:v>
                </c:pt>
                <c:pt idx="6">
                  <c:v>0.61054027179317205</c:v>
                </c:pt>
                <c:pt idx="7">
                  <c:v>0.96044351213664969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1712</c:v>
                </c:pt>
                <c:pt idx="1">
                  <c:v>1909</c:v>
                </c:pt>
                <c:pt idx="2">
                  <c:v>2096</c:v>
                </c:pt>
                <c:pt idx="3">
                  <c:v>2007</c:v>
                </c:pt>
                <c:pt idx="4">
                  <c:v>2329</c:v>
                </c:pt>
                <c:pt idx="5">
                  <c:v>2510</c:v>
                </c:pt>
                <c:pt idx="6">
                  <c:v>2673</c:v>
                </c:pt>
                <c:pt idx="7">
                  <c:v>2972</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137</c:v>
                </c:pt>
                <c:pt idx="1">
                  <c:v>139</c:v>
                </c:pt>
                <c:pt idx="2">
                  <c:v>140</c:v>
                </c:pt>
                <c:pt idx="3">
                  <c:v>137</c:v>
                </c:pt>
                <c:pt idx="4">
                  <c:v>140</c:v>
                </c:pt>
                <c:pt idx="5">
                  <c:v>146</c:v>
                </c:pt>
                <c:pt idx="6">
                  <c:v>176</c:v>
                </c:pt>
                <c:pt idx="7">
                  <c:v>179</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155</c:v>
                </c:pt>
                <c:pt idx="1">
                  <c:v>164</c:v>
                </c:pt>
                <c:pt idx="2">
                  <c:v>173</c:v>
                </c:pt>
                <c:pt idx="3">
                  <c:v>150</c:v>
                </c:pt>
                <c:pt idx="4">
                  <c:v>136</c:v>
                </c:pt>
                <c:pt idx="5">
                  <c:v>162</c:v>
                </c:pt>
                <c:pt idx="6">
                  <c:v>168</c:v>
                </c:pt>
                <c:pt idx="7">
                  <c:v>186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181</c:v>
                </c:pt>
                <c:pt idx="1">
                  <c:v>-146</c:v>
                </c:pt>
                <c:pt idx="2">
                  <c:v>64</c:v>
                </c:pt>
                <c:pt idx="3">
                  <c:v>384</c:v>
                </c:pt>
                <c:pt idx="4">
                  <c:v>630</c:v>
                </c:pt>
                <c:pt idx="5">
                  <c:v>546</c:v>
                </c:pt>
                <c:pt idx="6">
                  <c:v>1146</c:v>
                </c:pt>
                <c:pt idx="7">
                  <c:v>2071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68.665000000000006</v>
    <v>2.1682999999999999</v>
    <v>-34.409999999999997</v>
    <v>-6.9107000000000002E-2</v>
    <v>1.59</v>
    <v>3.4300000000000003E-3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467.26</v>
    <v>3</v>
    <v>Computers, Phones &amp; Household Electronics</v>
    <v>Stock</v>
    <v>46231.985171839842</v>
    <v>4</v>
    <v>422.11</v>
    <v>159763600171</v>
    <v>WESTERN DIGITAL CORPORATION</v>
    <v>WESTERN DIGITAL CORPORATION</v>
    <v>466.09</v>
    <v>32.448399999999999</v>
    <v>497.92</v>
    <v>463.51</v>
    <v>465.1</v>
    <v>344682100</v>
    <v>WDC</v>
    <v>WESTERN DIGITAL CORPORATION (XNAS:WDC)</v>
    <v>10484193</v>
    <v>8802793</v>
    <v>2000</v>
  </rv>
  <rv s="4">
    <v>5</v>
  </rv>
  <rv s="0">
    <v>https://www.bing.com/financeapi/forcetrigger?t=a33knm&amp;q=10+Y+TSY+YLD+NDX&amp;form=skydnc</v>
    <v>Learn more on Bing</v>
  </rv>
  <rv s="5">
    <v>7</v>
    <v>10 Y TSY YLD NDX</v>
    <v>8</v>
    <v>9</v>
    <v>Finance</v>
    <v>10</v>
    <v>en-US</v>
    <v>a33knm</v>
    <v>268435456</v>
    <v>1</v>
    <v>Powered by Refinitiv</v>
    <v>47.14</v>
    <v>39.47</v>
    <v>-0.37</v>
    <v>-7.9719999999999999E-3</v>
    <v>US</v>
    <v>46.35</v>
    <v>Index</v>
    <v>7</v>
    <v>45.88</v>
    <v>10 Y TSY YLD NDX</v>
    <v>46.3</v>
    <v>46.41</v>
    <v>46.04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1"/>
  <sheetViews>
    <sheetView tabSelected="1" topLeftCell="A47" zoomScale="160" zoomScaleNormal="160" workbookViewId="0">
      <selection activeCell="C52" sqref="C5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161764.99</v>
      </c>
      <c r="H3" s="185" t="str">
        <f>'AVG target price'!B5</f>
        <v>DCF price</v>
      </c>
      <c r="I3" s="211">
        <f>'AVG target price'!C5</f>
        <v>95.364395292812304</v>
      </c>
    </row>
    <row r="4" spans="2:9" x14ac:dyDescent="0.2">
      <c r="B4" s="185" t="s">
        <v>0</v>
      </c>
      <c r="C4" s="189" t="str" cm="1">
        <f t="array" aca="1" ref="C4" ca="1">_FV(C3,"Ticker symbol",TRUE)</f>
        <v>WDC</v>
      </c>
      <c r="E4" s="186" t="s">
        <v>187</v>
      </c>
      <c r="F4" s="188">
        <f ca="1">Statement!AC152</f>
        <v>161295.99</v>
      </c>
      <c r="H4" s="185" t="str">
        <f>'AVG target price'!B6</f>
        <v>EV/EBIT price</v>
      </c>
      <c r="I4" s="211">
        <f>'AVG target price'!C6</f>
        <v>86.345607301413906</v>
      </c>
    </row>
    <row r="5" spans="2:9" x14ac:dyDescent="0.2">
      <c r="B5" s="185" t="s">
        <v>1</v>
      </c>
      <c r="C5" s="208" cm="1">
        <f t="array" aca="1" ref="C5" ca="1">_FV(C3,"Price",TRUE)</f>
        <v>463.51</v>
      </c>
      <c r="E5" s="185" t="s">
        <v>247</v>
      </c>
      <c r="F5" s="189">
        <f>Statement!AC25</f>
        <v>16.670000000000002</v>
      </c>
      <c r="H5" s="185" t="str">
        <f>'AVG target price'!B7</f>
        <v>PS price</v>
      </c>
      <c r="I5" s="211">
        <f>'AVG target price'!C7</f>
        <v>77.829611435761151</v>
      </c>
    </row>
    <row r="6" spans="2:9" x14ac:dyDescent="0.2">
      <c r="B6" s="185" t="s">
        <v>2</v>
      </c>
      <c r="C6" s="208" cm="1">
        <f t="array" aca="1" ref="C6" ca="1">_FV(C3,"Price (Extended hours)",TRUE)</f>
        <v>465.1</v>
      </c>
      <c r="E6" s="185" t="s">
        <v>241</v>
      </c>
      <c r="F6" s="190">
        <f ca="1">Statement!AC148</f>
        <v>27.805038992201556</v>
      </c>
      <c r="H6" s="185" t="str">
        <f>'AVG target price'!B8</f>
        <v>EV/FCFF price</v>
      </c>
      <c r="I6" s="211">
        <f>'AVG target price'!C8</f>
        <v>111.63936238705232</v>
      </c>
    </row>
    <row r="7" spans="2:9" x14ac:dyDescent="0.2">
      <c r="B7" s="185" t="s">
        <v>3</v>
      </c>
      <c r="C7" s="6" cm="1">
        <f t="array" aca="1" ref="C7" ca="1">_FV(C3,"Change")</f>
        <v>-34.409999999999997</v>
      </c>
      <c r="E7" s="186" t="s">
        <v>200</v>
      </c>
      <c r="F7" s="191">
        <f ca="1">Statement!AC149</f>
        <v>14.817993971299991</v>
      </c>
      <c r="H7" s="184" t="str">
        <f>'AVG target price'!B9</f>
        <v>AVG price</v>
      </c>
      <c r="I7" s="212">
        <f>'AVG target price'!C9</f>
        <v>92.794744104259919</v>
      </c>
    </row>
    <row r="8" spans="2:9" x14ac:dyDescent="0.2">
      <c r="B8" s="185" t="s">
        <v>4</v>
      </c>
      <c r="C8" s="6" cm="1">
        <f t="array" aca="1" ref="C8" ca="1">_FV(C3,"Change (extended hours)",TRUE)</f>
        <v>1.59</v>
      </c>
      <c r="E8" s="185" t="s">
        <v>269</v>
      </c>
      <c r="F8" s="192">
        <f ca="1">Statement!AC159</f>
        <v>2.7156679575722781E-2</v>
      </c>
      <c r="H8" s="184" t="str">
        <f>'AVG target price'!B11</f>
        <v>Upside/Downside</v>
      </c>
      <c r="I8" s="213">
        <f ca="1">'AVG target price'!C11</f>
        <v>-0.79979990916213262</v>
      </c>
    </row>
    <row r="9" spans="2:9" x14ac:dyDescent="0.2">
      <c r="B9" s="185" t="s">
        <v>5</v>
      </c>
      <c r="C9" s="73" cm="1">
        <f t="array" aca="1" ref="C9" ca="1">_FV(C3,"Change (%)",TRUE)</f>
        <v>-6.9107000000000002E-2</v>
      </c>
      <c r="E9" s="185" t="s">
        <v>292</v>
      </c>
      <c r="F9" s="192">
        <f ca="1">Statement!AC160</f>
        <v>3.5964704105628791E-2</v>
      </c>
    </row>
    <row r="10" spans="2:9" x14ac:dyDescent="0.2">
      <c r="B10" s="185" t="s">
        <v>6</v>
      </c>
      <c r="C10" s="73" cm="1">
        <f t="array" aca="1" ref="C10" ca="1">_FV(C3,"Change % (extended hours)",TRUE)</f>
        <v>3.4300000000000003E-3</v>
      </c>
      <c r="E10" s="185" t="s">
        <v>297</v>
      </c>
      <c r="F10" s="192">
        <f ca="1">Statement!AC162</f>
        <v>2.3429049759159878E-2</v>
      </c>
      <c r="H10" s="184" t="s">
        <v>372</v>
      </c>
      <c r="I10" s="212">
        <f>DDM!C26</f>
        <v>1.666666666666667</v>
      </c>
    </row>
    <row r="11" spans="2:9" x14ac:dyDescent="0.2">
      <c r="B11" s="185" t="s">
        <v>7</v>
      </c>
      <c r="C11" s="209" cm="1">
        <f t="array" aca="1" ref="C11" ca="1">_FV(C3,"52 week high",TRUE)</f>
        <v>799.87</v>
      </c>
      <c r="E11" s="186" t="s">
        <v>293</v>
      </c>
      <c r="F11" s="193">
        <f ca="1">Statement!AC161</f>
        <v>9.7085284028392059E-4</v>
      </c>
    </row>
    <row r="12" spans="2:9" x14ac:dyDescent="0.2">
      <c r="B12" s="185" t="s">
        <v>8</v>
      </c>
      <c r="C12" s="209" cm="1">
        <f t="array" aca="1" ref="C12" ca="1">_FV(C3,"52 week low",TRUE)</f>
        <v>68.665000000000006</v>
      </c>
      <c r="E12" s="185" t="s">
        <v>101</v>
      </c>
      <c r="F12" s="192">
        <f>Statement!AC121</f>
        <v>0.43077434363575939</v>
      </c>
    </row>
    <row r="13" spans="2:9" x14ac:dyDescent="0.2">
      <c r="B13" s="185" t="s">
        <v>9</v>
      </c>
      <c r="C13" s="209" cm="1">
        <f t="array" aca="1" ref="C13" ca="1">_FV(C3,"Beta")</f>
        <v>2.1682999999999999</v>
      </c>
      <c r="E13" s="185" t="s">
        <v>103</v>
      </c>
      <c r="F13" s="192">
        <f>Statement!AC123</f>
        <v>0.66952479338842974</v>
      </c>
    </row>
    <row r="14" spans="2:9" x14ac:dyDescent="0.2">
      <c r="B14" s="186" t="s">
        <v>10</v>
      </c>
      <c r="C14" s="210" cm="1">
        <f t="array" aca="1" ref="C14" ca="1">_FV(C3,"Volume average",TRUE)</f>
        <v>8802793</v>
      </c>
      <c r="E14" s="186" t="s">
        <v>104</v>
      </c>
      <c r="F14" s="193">
        <f>Statement!AC138</f>
        <v>0.35858763972040686</v>
      </c>
    </row>
    <row r="15" spans="2:9" x14ac:dyDescent="0.2">
      <c r="E15" s="185" t="s">
        <v>294</v>
      </c>
      <c r="F15" s="192">
        <f ca="1">Statement!AC174</f>
        <v>2.8992676351044812E-3</v>
      </c>
    </row>
    <row r="16" spans="2:9" x14ac:dyDescent="0.2">
      <c r="E16" s="186" t="s">
        <v>299</v>
      </c>
      <c r="F16" s="191">
        <f>Statement!AC173</f>
        <v>1.3594202898550725</v>
      </c>
    </row>
    <row r="17" spans="2:9" x14ac:dyDescent="0.2">
      <c r="B17" s="245" t="s">
        <v>89</v>
      </c>
      <c r="C17" s="245"/>
      <c r="E17" s="184" t="s">
        <v>300</v>
      </c>
      <c r="F17" s="194">
        <f>Statement!AC169</f>
        <v>2.8653295128939827E-3</v>
      </c>
    </row>
    <row r="18" spans="2:9" x14ac:dyDescent="0.2">
      <c r="B18" s="184" t="s">
        <v>12</v>
      </c>
      <c r="C18" s="69" t="s">
        <v>363</v>
      </c>
      <c r="E18" s="185" t="s">
        <v>301</v>
      </c>
      <c r="F18" s="190">
        <f>Statement!AC142</f>
        <v>45.63792664889867</v>
      </c>
      <c r="I18" s="50"/>
    </row>
    <row r="19" spans="2:9" x14ac:dyDescent="0.2">
      <c r="B19" s="184" t="s">
        <v>13</v>
      </c>
      <c r="C19" s="70">
        <v>1000000</v>
      </c>
      <c r="E19" s="185" t="s">
        <v>262</v>
      </c>
      <c r="F19" s="190">
        <f>Statement!AC144</f>
        <v>-4.8450413223140497E-2</v>
      </c>
    </row>
    <row r="20" spans="2:9" x14ac:dyDescent="0.2">
      <c r="B20" s="184" t="s">
        <v>90</v>
      </c>
      <c r="C20" s="69" t="s">
        <v>93</v>
      </c>
      <c r="E20" s="186" t="s">
        <v>302</v>
      </c>
      <c r="F20" s="191">
        <f>Statement!AC145</f>
        <v>0.85054992452016387</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2">
        <v>#VALUE!</v>
      </c>
      <c r="F26" s="219" cm="1">
        <f t="array" aca="1" ref="F26" ca="1">_FV(E26,"Price")</f>
        <v>46.04</v>
      </c>
    </row>
    <row r="27" spans="2:9" x14ac:dyDescent="0.2">
      <c r="B27" s="184" t="s">
        <v>171</v>
      </c>
      <c r="C27" s="221">
        <v>3.5000000000000003E-2</v>
      </c>
      <c r="E27" s="186" t="s">
        <v>346</v>
      </c>
      <c r="F27" s="220">
        <f ca="1">F26/1000</f>
        <v>4.6039999999999998E-2</v>
      </c>
    </row>
    <row r="28" spans="2:9" x14ac:dyDescent="0.2">
      <c r="B28" s="184" t="s">
        <v>350</v>
      </c>
      <c r="C28" s="221">
        <v>0.1</v>
      </c>
    </row>
    <row r="29" spans="2:9" x14ac:dyDescent="0.2">
      <c r="B29" s="184" t="s">
        <v>371</v>
      </c>
      <c r="C29" s="221">
        <v>0.11</v>
      </c>
    </row>
    <row r="33" spans="2:8" x14ac:dyDescent="0.2">
      <c r="B33" s="242" t="s">
        <v>340</v>
      </c>
      <c r="C33" s="242"/>
      <c r="D33" s="242"/>
      <c r="E33" s="242"/>
      <c r="F33" s="242"/>
      <c r="G33" s="242"/>
      <c r="H33" s="242"/>
    </row>
    <row r="35" spans="2:8" x14ac:dyDescent="0.2">
      <c r="B35" s="16" t="s">
        <v>341</v>
      </c>
      <c r="C35" s="1" t="s">
        <v>419</v>
      </c>
    </row>
    <row r="36" spans="2:8" x14ac:dyDescent="0.2">
      <c r="B36" s="16" t="s">
        <v>342</v>
      </c>
      <c r="C36" s="1" t="s">
        <v>412</v>
      </c>
    </row>
    <row r="37" spans="2:8" x14ac:dyDescent="0.2">
      <c r="B37" s="16" t="s">
        <v>410</v>
      </c>
      <c r="C37" s="1" t="s">
        <v>413</v>
      </c>
    </row>
    <row r="38" spans="2:8" x14ac:dyDescent="0.2">
      <c r="B38" s="16"/>
      <c r="C38" s="1" t="s">
        <v>414</v>
      </c>
    </row>
    <row r="39" spans="2:8" x14ac:dyDescent="0.2">
      <c r="B39" s="16"/>
      <c r="C39" s="1" t="s">
        <v>415</v>
      </c>
    </row>
    <row r="40" spans="2:8" x14ac:dyDescent="0.2">
      <c r="B40" s="16" t="s">
        <v>411</v>
      </c>
      <c r="C40" s="1" t="s">
        <v>416</v>
      </c>
    </row>
    <row r="41" spans="2:8" x14ac:dyDescent="0.2">
      <c r="B41" s="16"/>
      <c r="C41" s="1" t="s">
        <v>417</v>
      </c>
    </row>
    <row r="42" spans="2:8" x14ac:dyDescent="0.2">
      <c r="B42" s="16"/>
      <c r="C42" s="1" t="s">
        <v>418</v>
      </c>
    </row>
    <row r="43" spans="2:8" x14ac:dyDescent="0.2">
      <c r="B43" s="16" t="s">
        <v>420</v>
      </c>
      <c r="C43" s="90">
        <v>4500</v>
      </c>
    </row>
    <row r="46" spans="2:8" ht="6" customHeight="1" x14ac:dyDescent="0.2">
      <c r="B46" s="242"/>
      <c r="C46" s="242"/>
      <c r="D46" s="242"/>
      <c r="E46" s="242"/>
      <c r="F46" s="242"/>
      <c r="G46" s="242"/>
      <c r="H46" s="242"/>
    </row>
    <row r="49" spans="2:8" x14ac:dyDescent="0.2">
      <c r="B49" s="242" t="s">
        <v>343</v>
      </c>
      <c r="C49" s="242"/>
      <c r="D49" s="242"/>
      <c r="E49" s="242"/>
      <c r="F49" s="242"/>
      <c r="G49" s="242"/>
      <c r="H49" s="242"/>
    </row>
    <row r="51" spans="2:8" x14ac:dyDescent="0.2">
      <c r="B51" s="41" t="s">
        <v>344</v>
      </c>
      <c r="C51" s="41" t="s">
        <v>427</v>
      </c>
      <c r="D51" s="41"/>
      <c r="E51" s="41" t="s">
        <v>388</v>
      </c>
    </row>
    <row r="52" spans="2:8" x14ac:dyDescent="0.2">
      <c r="B52" s="1" t="s">
        <v>401</v>
      </c>
      <c r="C52" s="1" t="s">
        <v>407</v>
      </c>
    </row>
    <row r="53" spans="2:8" x14ac:dyDescent="0.2">
      <c r="B53" s="1" t="s">
        <v>401</v>
      </c>
      <c r="C53" s="1" t="s">
        <v>408</v>
      </c>
    </row>
    <row r="54" spans="2:8" x14ac:dyDescent="0.2">
      <c r="B54" s="1" t="s">
        <v>401</v>
      </c>
      <c r="C54" s="1" t="s">
        <v>409</v>
      </c>
    </row>
    <row r="56" spans="2:8" x14ac:dyDescent="0.2">
      <c r="B56" s="41" t="s">
        <v>344</v>
      </c>
      <c r="C56" s="41" t="s">
        <v>399</v>
      </c>
      <c r="D56" s="41"/>
      <c r="E56" s="41" t="s">
        <v>400</v>
      </c>
    </row>
    <row r="57" spans="2:8" x14ac:dyDescent="0.2">
      <c r="B57" s="1" t="s">
        <v>401</v>
      </c>
      <c r="C57" s="1" t="s">
        <v>402</v>
      </c>
    </row>
    <row r="61" spans="2:8" ht="5" customHeight="1" x14ac:dyDescent="0.2">
      <c r="B61" s="242"/>
      <c r="C61" s="242"/>
      <c r="D61" s="242"/>
      <c r="E61" s="242"/>
      <c r="F61" s="242"/>
      <c r="G61" s="242"/>
      <c r="H61" s="242"/>
    </row>
    <row r="64" spans="2:8" x14ac:dyDescent="0.2">
      <c r="B64" s="242" t="s">
        <v>108</v>
      </c>
      <c r="C64" s="242"/>
      <c r="D64" s="242"/>
      <c r="E64" s="242"/>
      <c r="F64" s="242"/>
      <c r="G64" s="242"/>
      <c r="H64" s="242"/>
    </row>
    <row r="66" spans="2:8" x14ac:dyDescent="0.2">
      <c r="B66" s="41" t="s">
        <v>344</v>
      </c>
      <c r="C66" s="41" t="s">
        <v>364</v>
      </c>
      <c r="D66" s="41"/>
      <c r="E66" s="41" t="s">
        <v>370</v>
      </c>
    </row>
    <row r="71" spans="2:8" ht="5" customHeight="1" x14ac:dyDescent="0.2">
      <c r="B71" s="242"/>
      <c r="C71" s="242"/>
      <c r="D71" s="242"/>
      <c r="E71" s="242"/>
      <c r="F71" s="242"/>
      <c r="G71" s="242"/>
      <c r="H71" s="242"/>
    </row>
  </sheetData>
  <mergeCells count="12">
    <mergeCell ref="B2:C2"/>
    <mergeCell ref="B17:C17"/>
    <mergeCell ref="B25:C25"/>
    <mergeCell ref="E2:F2"/>
    <mergeCell ref="H2:I2"/>
    <mergeCell ref="E25:F25"/>
    <mergeCell ref="B64:H64"/>
    <mergeCell ref="B71:H71"/>
    <mergeCell ref="B33:H33"/>
    <mergeCell ref="B46:H46"/>
    <mergeCell ref="B49:H49"/>
    <mergeCell ref="B61:H6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W30" activePane="bottomRight" state="frozen"/>
      <selection pane="topRight" activeCell="C1" sqref="C1"/>
      <selection pane="bottomLeft" activeCell="A4" sqref="A4"/>
      <selection pane="bottomRight" activeCell="Q211" sqref="Q21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16922</v>
      </c>
      <c r="N5" s="18">
        <v>18793</v>
      </c>
      <c r="O5" s="18">
        <v>6255</v>
      </c>
      <c r="P5" s="18">
        <v>6317</v>
      </c>
      <c r="Q5" s="18">
        <v>9520</v>
      </c>
      <c r="R5" s="16"/>
      <c r="S5" s="16"/>
      <c r="T5" s="18">
        <v>2004</v>
      </c>
      <c r="U5" s="18">
        <v>2212</v>
      </c>
      <c r="V5" s="18">
        <v>2409</v>
      </c>
      <c r="W5" s="18">
        <v>2294</v>
      </c>
      <c r="X5" s="18">
        <v>2605</v>
      </c>
      <c r="Y5" s="18">
        <v>2818</v>
      </c>
      <c r="Z5" s="18">
        <v>3017</v>
      </c>
      <c r="AA5" s="18">
        <v>3337</v>
      </c>
      <c r="AB5" s="16"/>
      <c r="AC5" s="18">
        <f>SUM(X5:AA5)</f>
        <v>11777</v>
      </c>
      <c r="AD5" s="16"/>
      <c r="AE5" s="16"/>
    </row>
    <row r="6" spans="1:31" x14ac:dyDescent="0.2">
      <c r="B6" s="20" t="s">
        <v>20</v>
      </c>
      <c r="C6" s="21"/>
      <c r="D6" s="21"/>
      <c r="E6" s="21"/>
      <c r="F6" s="21"/>
      <c r="G6" s="21"/>
      <c r="H6" s="21"/>
      <c r="I6" s="21"/>
      <c r="J6" s="21"/>
      <c r="K6" s="21"/>
      <c r="L6" s="21"/>
      <c r="M6" s="21">
        <v>12401</v>
      </c>
      <c r="N6" s="21">
        <v>12919</v>
      </c>
      <c r="O6" s="21">
        <v>4864</v>
      </c>
      <c r="P6" s="21">
        <v>4544</v>
      </c>
      <c r="Q6" s="21">
        <v>5828</v>
      </c>
      <c r="T6" s="21">
        <v>1307</v>
      </c>
      <c r="U6" s="21">
        <v>1406</v>
      </c>
      <c r="V6" s="21">
        <v>1502</v>
      </c>
      <c r="W6" s="21">
        <v>1382</v>
      </c>
      <c r="X6" s="21">
        <v>1538</v>
      </c>
      <c r="Y6" s="21">
        <v>1591</v>
      </c>
      <c r="Z6" s="21">
        <v>1637</v>
      </c>
      <c r="AA6" s="21">
        <v>1661</v>
      </c>
      <c r="AC6" s="21">
        <f t="shared" ref="AC6:AC17" si="0">SUM(X6:AA6)</f>
        <v>6427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4521</v>
      </c>
      <c r="N7" s="22">
        <f t="shared" si="1"/>
        <v>5874</v>
      </c>
      <c r="O7" s="22">
        <f t="shared" si="1"/>
        <v>1391</v>
      </c>
      <c r="P7" s="22">
        <f t="shared" si="1"/>
        <v>1773</v>
      </c>
      <c r="Q7" s="22">
        <f t="shared" si="1"/>
        <v>3692</v>
      </c>
      <c r="R7" s="16"/>
      <c r="S7" s="16"/>
      <c r="T7" s="22">
        <f t="shared" ref="T7:Z7" si="2">T5-T6</f>
        <v>697</v>
      </c>
      <c r="U7" s="22">
        <f t="shared" si="2"/>
        <v>806</v>
      </c>
      <c r="V7" s="22">
        <f t="shared" si="2"/>
        <v>907</v>
      </c>
      <c r="W7" s="22">
        <f t="shared" si="2"/>
        <v>912</v>
      </c>
      <c r="X7" s="22">
        <f t="shared" si="2"/>
        <v>1067</v>
      </c>
      <c r="Y7" s="22">
        <f t="shared" si="2"/>
        <v>1227</v>
      </c>
      <c r="Z7" s="22">
        <f t="shared" si="2"/>
        <v>1380</v>
      </c>
      <c r="AA7" s="22">
        <f t="shared" ref="AA7" si="3">AA5-AA6</f>
        <v>1676</v>
      </c>
      <c r="AB7" s="16"/>
      <c r="AC7" s="22">
        <f t="shared" si="0"/>
        <v>5350</v>
      </c>
      <c r="AD7" s="16"/>
      <c r="AE7" s="16"/>
    </row>
    <row r="8" spans="1:31" x14ac:dyDescent="0.2">
      <c r="B8" s="20" t="s">
        <v>22</v>
      </c>
      <c r="C8" s="21"/>
      <c r="D8" s="21"/>
      <c r="E8" s="21"/>
      <c r="F8" s="21"/>
      <c r="G8" s="21"/>
      <c r="H8" s="21"/>
      <c r="I8" s="21"/>
      <c r="J8" s="21"/>
      <c r="K8" s="21"/>
      <c r="L8" s="21"/>
      <c r="M8" s="21">
        <v>2243</v>
      </c>
      <c r="N8" s="21">
        <v>2323</v>
      </c>
      <c r="O8" s="21">
        <v>986</v>
      </c>
      <c r="P8" s="21">
        <v>950</v>
      </c>
      <c r="Q8" s="21">
        <v>994</v>
      </c>
      <c r="T8" s="21">
        <v>267</v>
      </c>
      <c r="U8" s="21">
        <v>262</v>
      </c>
      <c r="V8" s="21">
        <v>225</v>
      </c>
      <c r="W8" s="21">
        <v>245</v>
      </c>
      <c r="X8" s="21">
        <v>262</v>
      </c>
      <c r="Y8" s="21">
        <v>294</v>
      </c>
      <c r="Z8" s="21">
        <v>289</v>
      </c>
      <c r="AA8" s="21">
        <v>294</v>
      </c>
      <c r="AC8" s="21">
        <f t="shared" si="0"/>
        <v>1139</v>
      </c>
    </row>
    <row r="9" spans="1:31" x14ac:dyDescent="0.2">
      <c r="B9" s="20" t="s">
        <v>385</v>
      </c>
      <c r="C9" s="21"/>
      <c r="D9" s="21"/>
      <c r="E9" s="21"/>
      <c r="F9" s="21"/>
      <c r="G9" s="21"/>
      <c r="H9" s="21"/>
      <c r="I9" s="21"/>
      <c r="J9" s="21"/>
      <c r="K9" s="21"/>
      <c r="L9" s="21"/>
      <c r="M9" s="21">
        <v>1105</v>
      </c>
      <c r="N9" s="21">
        <v>1117</v>
      </c>
      <c r="O9" s="21">
        <v>807</v>
      </c>
      <c r="P9" s="21">
        <v>726</v>
      </c>
      <c r="Q9" s="21">
        <v>568</v>
      </c>
      <c r="T9" s="21">
        <v>184</v>
      </c>
      <c r="U9" s="21">
        <v>204</v>
      </c>
      <c r="V9" s="21">
        <v>132</v>
      </c>
      <c r="W9" s="21">
        <v>108</v>
      </c>
      <c r="X9" s="21">
        <v>124</v>
      </c>
      <c r="Y9" s="21">
        <v>138</v>
      </c>
      <c r="Z9" s="21">
        <v>128</v>
      </c>
      <c r="AA9" s="21">
        <v>147</v>
      </c>
      <c r="AC9" s="21">
        <f t="shared" si="0"/>
        <v>537</v>
      </c>
    </row>
    <row r="10" spans="1:31" x14ac:dyDescent="0.2">
      <c r="B10" s="20" t="s">
        <v>395</v>
      </c>
      <c r="C10" s="21"/>
      <c r="D10" s="21"/>
      <c r="E10" s="21"/>
      <c r="F10" s="21"/>
      <c r="G10" s="21"/>
      <c r="H10" s="21"/>
      <c r="I10" s="21"/>
      <c r="J10" s="21"/>
      <c r="K10" s="21"/>
      <c r="L10" s="21"/>
      <c r="M10" s="21">
        <v>3301</v>
      </c>
      <c r="N10" s="21">
        <v>3483</v>
      </c>
      <c r="O10" s="21">
        <v>1939</v>
      </c>
      <c r="P10" s="21">
        <v>2176</v>
      </c>
      <c r="Q10" s="21">
        <v>1358</v>
      </c>
      <c r="T10" s="21">
        <v>788</v>
      </c>
      <c r="U10" s="21">
        <v>472</v>
      </c>
      <c r="V10" s="21">
        <v>347</v>
      </c>
      <c r="W10" s="21">
        <v>152</v>
      </c>
      <c r="X10" s="21">
        <v>387</v>
      </c>
      <c r="Y10" s="21">
        <v>435</v>
      </c>
      <c r="Z10" s="21">
        <v>472</v>
      </c>
      <c r="AA10" s="21">
        <v>486</v>
      </c>
      <c r="AC10" s="21">
        <f t="shared" si="0"/>
        <v>1780</v>
      </c>
    </row>
    <row r="11" spans="1:31" s="19" customFormat="1" x14ac:dyDescent="0.2">
      <c r="A11" s="16"/>
      <c r="B11" s="17" t="s">
        <v>25</v>
      </c>
      <c r="C11" s="18"/>
      <c r="D11" s="18"/>
      <c r="E11" s="18"/>
      <c r="F11" s="18"/>
      <c r="G11" s="18"/>
      <c r="H11" s="18"/>
      <c r="I11" s="18"/>
      <c r="J11" s="18"/>
      <c r="K11" s="18"/>
      <c r="L11" s="18"/>
      <c r="M11" s="18">
        <v>1220</v>
      </c>
      <c r="N11" s="18">
        <v>2391</v>
      </c>
      <c r="O11" s="61">
        <v>-548</v>
      </c>
      <c r="P11" s="61">
        <v>-403</v>
      </c>
      <c r="Q11" s="18">
        <v>2334</v>
      </c>
      <c r="R11" s="16"/>
      <c r="S11" s="16"/>
      <c r="T11" s="61">
        <v>-91</v>
      </c>
      <c r="U11" s="18">
        <v>334</v>
      </c>
      <c r="V11" s="18">
        <v>560</v>
      </c>
      <c r="W11" s="18">
        <v>760</v>
      </c>
      <c r="X11" s="18">
        <v>680</v>
      </c>
      <c r="Y11" s="18">
        <v>792</v>
      </c>
      <c r="Z11" s="18">
        <v>908</v>
      </c>
      <c r="AA11" s="18">
        <v>1190</v>
      </c>
      <c r="AB11" s="1"/>
      <c r="AC11" s="18">
        <f t="shared" si="0"/>
        <v>3570</v>
      </c>
      <c r="AD11" s="1"/>
      <c r="AE11" s="1"/>
    </row>
    <row r="12" spans="1:31" x14ac:dyDescent="0.2">
      <c r="B12" s="23" t="s">
        <v>26</v>
      </c>
      <c r="C12" s="21"/>
      <c r="D12" s="21"/>
      <c r="E12" s="21"/>
      <c r="F12" s="21"/>
      <c r="G12" s="21"/>
      <c r="H12" s="21"/>
      <c r="I12" s="21"/>
      <c r="J12" s="21"/>
      <c r="K12" s="21"/>
      <c r="L12" s="21"/>
      <c r="M12" s="62">
        <v>-319</v>
      </c>
      <c r="N12" s="62">
        <v>-298</v>
      </c>
      <c r="O12" s="62">
        <f>19-310</f>
        <v>-291</v>
      </c>
      <c r="P12" s="62">
        <f>33-414</f>
        <v>-381</v>
      </c>
      <c r="Q12" s="62">
        <f>45-357</f>
        <v>-312</v>
      </c>
      <c r="T12" s="62">
        <v>-102</v>
      </c>
      <c r="U12" s="62">
        <v>-92</v>
      </c>
      <c r="V12" s="62">
        <v>-84</v>
      </c>
      <c r="W12" s="62">
        <v>-81</v>
      </c>
      <c r="X12" s="62">
        <v>-333</v>
      </c>
      <c r="Y12" s="62">
        <v>-42</v>
      </c>
      <c r="Z12" s="62">
        <v>-42</v>
      </c>
      <c r="AA12" s="62">
        <v>-26</v>
      </c>
      <c r="AC12" s="62">
        <f t="shared" si="0"/>
        <v>-443</v>
      </c>
    </row>
    <row r="13" spans="1:31" x14ac:dyDescent="0.2">
      <c r="B13" s="23" t="s">
        <v>27</v>
      </c>
      <c r="C13" s="21"/>
      <c r="D13" s="21"/>
      <c r="E13" s="21"/>
      <c r="F13" s="21"/>
      <c r="G13" s="21"/>
      <c r="H13" s="21"/>
      <c r="I13" s="21"/>
      <c r="J13" s="21"/>
      <c r="K13" s="21"/>
      <c r="L13" s="21"/>
      <c r="M13" s="21">
        <v>26</v>
      </c>
      <c r="N13" s="21">
        <v>30</v>
      </c>
      <c r="O13" s="62">
        <v>-10</v>
      </c>
      <c r="P13" s="62">
        <v>45</v>
      </c>
      <c r="Q13" s="62">
        <v>-20</v>
      </c>
      <c r="T13" s="62">
        <v>0</v>
      </c>
      <c r="U13" s="21">
        <v>1</v>
      </c>
      <c r="V13" s="62">
        <v>-10</v>
      </c>
      <c r="W13" s="21">
        <v>1</v>
      </c>
      <c r="X13" s="21">
        <v>0</v>
      </c>
      <c r="Y13" s="62">
        <v>-24</v>
      </c>
      <c r="Z13" s="62">
        <v>-7</v>
      </c>
      <c r="AA13" s="21">
        <v>6</v>
      </c>
      <c r="AC13" s="62">
        <f t="shared" si="0"/>
        <v>-25</v>
      </c>
    </row>
    <row r="14" spans="1:31" s="19" customFormat="1" x14ac:dyDescent="0.2">
      <c r="A14" s="16"/>
      <c r="B14" s="17" t="s">
        <v>28</v>
      </c>
      <c r="C14" s="18"/>
      <c r="D14" s="18"/>
      <c r="E14" s="18"/>
      <c r="F14" s="18"/>
      <c r="G14" s="18"/>
      <c r="H14" s="18"/>
      <c r="I14" s="18"/>
      <c r="J14" s="18"/>
      <c r="K14" s="18"/>
      <c r="L14" s="18"/>
      <c r="M14" s="18">
        <v>927</v>
      </c>
      <c r="N14" s="18">
        <v>2123</v>
      </c>
      <c r="O14" s="61">
        <v>-849</v>
      </c>
      <c r="P14" s="61">
        <v>-739</v>
      </c>
      <c r="Q14" s="18">
        <v>1130</v>
      </c>
      <c r="R14" s="1"/>
      <c r="S14" s="1"/>
      <c r="T14" s="61">
        <v>-193</v>
      </c>
      <c r="U14" s="18">
        <v>243</v>
      </c>
      <c r="V14" s="18">
        <v>466</v>
      </c>
      <c r="W14" s="18">
        <v>74</v>
      </c>
      <c r="X14" s="18">
        <v>347</v>
      </c>
      <c r="Y14" s="18">
        <v>1337</v>
      </c>
      <c r="Z14" s="18">
        <v>1962</v>
      </c>
      <c r="AA14" s="18">
        <v>3359</v>
      </c>
      <c r="AB14" s="1"/>
      <c r="AC14" s="18">
        <f t="shared" si="0"/>
        <v>7005</v>
      </c>
      <c r="AD14" s="1"/>
      <c r="AE14" s="1"/>
    </row>
    <row r="15" spans="1:31" x14ac:dyDescent="0.2">
      <c r="B15" s="23" t="s">
        <v>29</v>
      </c>
      <c r="C15" s="21"/>
      <c r="D15" s="21"/>
      <c r="E15" s="21"/>
      <c r="F15" s="21"/>
      <c r="G15" s="21"/>
      <c r="H15" s="21"/>
      <c r="I15" s="21"/>
      <c r="J15" s="21"/>
      <c r="K15" s="21"/>
      <c r="L15" s="21"/>
      <c r="M15" s="62">
        <v>-106</v>
      </c>
      <c r="N15" s="62">
        <v>-623</v>
      </c>
      <c r="O15" s="62">
        <v>-53</v>
      </c>
      <c r="P15" s="62">
        <v>-26</v>
      </c>
      <c r="Q15" s="62">
        <v>513</v>
      </c>
      <c r="T15" s="62">
        <v>-53</v>
      </c>
      <c r="U15" s="62">
        <v>-90</v>
      </c>
      <c r="V15" s="62">
        <v>0</v>
      </c>
      <c r="W15" s="62">
        <v>698</v>
      </c>
      <c r="X15" s="62">
        <v>-95</v>
      </c>
      <c r="Y15" s="62">
        <v>-155</v>
      </c>
      <c r="Z15" s="62">
        <v>-120</v>
      </c>
      <c r="AA15" s="62">
        <v>-154</v>
      </c>
      <c r="AC15" s="62">
        <f t="shared" si="0"/>
        <v>-524</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821</v>
      </c>
      <c r="N17" s="18">
        <v>1500</v>
      </c>
      <c r="O17" s="61">
        <v>-920</v>
      </c>
      <c r="P17" s="61">
        <v>-765</v>
      </c>
      <c r="Q17" s="18">
        <v>1643</v>
      </c>
      <c r="R17" s="60"/>
      <c r="S17" s="60"/>
      <c r="T17" s="61">
        <v>-246</v>
      </c>
      <c r="U17" s="18">
        <v>153</v>
      </c>
      <c r="V17" s="18">
        <v>466</v>
      </c>
      <c r="W17" s="18">
        <v>772</v>
      </c>
      <c r="X17" s="18">
        <v>252</v>
      </c>
      <c r="Y17" s="18">
        <v>1182</v>
      </c>
      <c r="Z17" s="18">
        <v>1842</v>
      </c>
      <c r="AA17" s="18">
        <v>3205</v>
      </c>
      <c r="AB17" s="1"/>
      <c r="AC17" s="61">
        <f t="shared" si="0"/>
        <v>6481</v>
      </c>
      <c r="AD17" s="1"/>
      <c r="AE17" s="1"/>
    </row>
    <row r="18" spans="1:31" x14ac:dyDescent="0.2">
      <c r="B18" s="23" t="s">
        <v>31</v>
      </c>
      <c r="C18" s="21"/>
      <c r="D18" s="21"/>
      <c r="E18" s="21"/>
      <c r="F18" s="21"/>
      <c r="G18" s="21"/>
      <c r="H18" s="21"/>
      <c r="I18" s="21"/>
      <c r="J18" s="21"/>
      <c r="K18" s="21"/>
      <c r="L18" s="21"/>
      <c r="M18" s="21">
        <v>305</v>
      </c>
      <c r="N18" s="21">
        <v>312</v>
      </c>
      <c r="O18" s="21">
        <v>318</v>
      </c>
      <c r="P18" s="21">
        <v>326</v>
      </c>
      <c r="Q18" s="21">
        <v>347</v>
      </c>
      <c r="R18" s="60"/>
      <c r="S18" s="60"/>
      <c r="T18" s="21">
        <v>333</v>
      </c>
      <c r="U18" s="21">
        <v>344</v>
      </c>
      <c r="V18" s="21">
        <v>346</v>
      </c>
      <c r="W18" s="21">
        <v>348</v>
      </c>
      <c r="X18" s="21">
        <v>348</v>
      </c>
      <c r="Y18" s="21">
        <v>345</v>
      </c>
      <c r="Z18" s="21">
        <v>341</v>
      </c>
      <c r="AA18" s="21">
        <v>342</v>
      </c>
      <c r="AC18" s="62">
        <f>AVERAGE(X18:AA18)</f>
        <v>344</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305</v>
      </c>
      <c r="N19" s="25">
        <f t="shared" si="4"/>
        <v>312</v>
      </c>
      <c r="O19" s="25">
        <f t="shared" si="4"/>
        <v>318</v>
      </c>
      <c r="P19" s="25">
        <f t="shared" si="4"/>
        <v>326</v>
      </c>
      <c r="Q19" s="25">
        <f t="shared" si="4"/>
        <v>347</v>
      </c>
      <c r="T19" s="25">
        <f t="shared" ref="T19:AA19" si="5">T18*T$84</f>
        <v>333</v>
      </c>
      <c r="U19" s="25">
        <f t="shared" si="5"/>
        <v>344</v>
      </c>
      <c r="V19" s="25">
        <f t="shared" si="5"/>
        <v>346</v>
      </c>
      <c r="W19" s="25">
        <f t="shared" si="5"/>
        <v>348</v>
      </c>
      <c r="X19" s="25">
        <f t="shared" si="5"/>
        <v>348</v>
      </c>
      <c r="Y19" s="25">
        <f t="shared" si="5"/>
        <v>345</v>
      </c>
      <c r="Z19" s="25">
        <f t="shared" si="5"/>
        <v>341</v>
      </c>
      <c r="AA19" s="25">
        <f t="shared" si="5"/>
        <v>342</v>
      </c>
      <c r="AC19" s="25">
        <f>AC18*AC$84</f>
        <v>344</v>
      </c>
    </row>
    <row r="20" spans="1:31" x14ac:dyDescent="0.2">
      <c r="B20" s="23" t="s">
        <v>33</v>
      </c>
      <c r="C20" s="21"/>
      <c r="D20" s="21"/>
      <c r="E20" s="21"/>
      <c r="F20" s="21"/>
      <c r="G20" s="21"/>
      <c r="H20" s="21"/>
      <c r="I20" s="21"/>
      <c r="J20" s="21"/>
      <c r="K20" s="21"/>
      <c r="L20" s="21"/>
      <c r="M20" s="21">
        <v>309</v>
      </c>
      <c r="N20" s="21">
        <v>316</v>
      </c>
      <c r="O20" s="21">
        <v>318</v>
      </c>
      <c r="P20" s="21">
        <v>326</v>
      </c>
      <c r="Q20" s="21">
        <v>359</v>
      </c>
      <c r="T20" s="21">
        <v>333</v>
      </c>
      <c r="U20" s="21">
        <v>357</v>
      </c>
      <c r="V20" s="21">
        <v>357</v>
      </c>
      <c r="W20" s="21">
        <v>358</v>
      </c>
      <c r="X20" s="21">
        <v>362</v>
      </c>
      <c r="Y20" s="21">
        <v>376</v>
      </c>
      <c r="Z20" s="21">
        <v>381</v>
      </c>
      <c r="AA20" s="21">
        <v>387</v>
      </c>
      <c r="AC20" s="62">
        <f>AVERAGE(X20:AA20)</f>
        <v>376.5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309</v>
      </c>
      <c r="N21" s="25">
        <f t="shared" si="6"/>
        <v>316</v>
      </c>
      <c r="O21" s="25">
        <f t="shared" si="6"/>
        <v>318</v>
      </c>
      <c r="P21" s="25">
        <f t="shared" si="6"/>
        <v>326</v>
      </c>
      <c r="Q21" s="25">
        <f t="shared" si="6"/>
        <v>359</v>
      </c>
      <c r="T21" s="25">
        <f t="shared" ref="T21:AA21" si="7">T20*T$84</f>
        <v>333</v>
      </c>
      <c r="U21" s="25">
        <f t="shared" si="7"/>
        <v>357</v>
      </c>
      <c r="V21" s="25">
        <f t="shared" si="7"/>
        <v>357</v>
      </c>
      <c r="W21" s="25">
        <f t="shared" si="7"/>
        <v>358</v>
      </c>
      <c r="X21" s="25">
        <f t="shared" si="7"/>
        <v>362</v>
      </c>
      <c r="Y21" s="25">
        <f t="shared" si="7"/>
        <v>376</v>
      </c>
      <c r="Z21" s="25">
        <f t="shared" si="7"/>
        <v>381</v>
      </c>
      <c r="AA21" s="25">
        <f t="shared" si="7"/>
        <v>387</v>
      </c>
      <c r="AC21" s="25">
        <f>AC20*AC$84</f>
        <v>376.5</v>
      </c>
    </row>
    <row r="22" spans="1:31" x14ac:dyDescent="0.2">
      <c r="B22" s="23" t="s">
        <v>35</v>
      </c>
      <c r="C22" s="26"/>
      <c r="D22" s="26"/>
      <c r="E22" s="26"/>
      <c r="F22" s="26"/>
      <c r="G22" s="26"/>
      <c r="H22" s="26"/>
      <c r="I22" s="26"/>
      <c r="J22" s="26"/>
      <c r="K22" s="26"/>
      <c r="L22" s="26"/>
      <c r="M22" s="26">
        <v>2.69</v>
      </c>
      <c r="N22" s="26">
        <v>4.8099999999999996</v>
      </c>
      <c r="O22" s="63">
        <v>-2.91</v>
      </c>
      <c r="P22" s="63">
        <v>-2.5099999999999998</v>
      </c>
      <c r="Q22" s="26">
        <v>4.6100000000000003</v>
      </c>
      <c r="T22" s="63">
        <v>-0.77</v>
      </c>
      <c r="U22" s="26">
        <v>0.43</v>
      </c>
      <c r="V22" s="26">
        <v>1.32</v>
      </c>
      <c r="W22" s="26">
        <v>2.17</v>
      </c>
      <c r="X22" s="26">
        <v>0.7</v>
      </c>
      <c r="Y22" s="26">
        <v>3.34</v>
      </c>
      <c r="Z22" s="26">
        <v>5.27</v>
      </c>
      <c r="AA22" s="26">
        <v>9.26</v>
      </c>
      <c r="AC22" s="26">
        <f>SUM(X22:AA22)</f>
        <v>18.57</v>
      </c>
    </row>
    <row r="23" spans="1:31" x14ac:dyDescent="0.2">
      <c r="B23" s="23" t="s">
        <v>36</v>
      </c>
      <c r="C23" s="27"/>
      <c r="D23" s="27"/>
      <c r="E23" s="27"/>
      <c r="F23" s="27"/>
      <c r="G23" s="27"/>
      <c r="H23" s="27"/>
      <c r="I23" s="27"/>
      <c r="J23" s="27"/>
      <c r="K23" s="27"/>
      <c r="L23" s="27"/>
      <c r="M23" s="65">
        <f>M22/M$84</f>
        <v>2.69</v>
      </c>
      <c r="N23" s="65">
        <f>N22/N$84</f>
        <v>4.8099999999999996</v>
      </c>
      <c r="O23" s="65">
        <f>O22/O$84</f>
        <v>-2.91</v>
      </c>
      <c r="P23" s="65">
        <f>P22/P$84</f>
        <v>-2.5099999999999998</v>
      </c>
      <c r="Q23" s="65">
        <f>Q22/Q$84</f>
        <v>4.6100000000000003</v>
      </c>
      <c r="T23" s="65">
        <f t="shared" ref="T23:AA23" si="8">T22/T$84</f>
        <v>-0.77</v>
      </c>
      <c r="U23" s="65">
        <f t="shared" si="8"/>
        <v>0.43</v>
      </c>
      <c r="V23" s="65">
        <f t="shared" si="8"/>
        <v>1.32</v>
      </c>
      <c r="W23" s="65">
        <f t="shared" si="8"/>
        <v>2.17</v>
      </c>
      <c r="X23" s="65">
        <f t="shared" si="8"/>
        <v>0.7</v>
      </c>
      <c r="Y23" s="65">
        <f t="shared" si="8"/>
        <v>3.34</v>
      </c>
      <c r="Z23" s="65">
        <f t="shared" si="8"/>
        <v>5.27</v>
      </c>
      <c r="AA23" s="65">
        <f t="shared" si="8"/>
        <v>9.26</v>
      </c>
      <c r="AC23" s="65">
        <f>AC22/AC$84</f>
        <v>18.57</v>
      </c>
    </row>
    <row r="24" spans="1:31" x14ac:dyDescent="0.2">
      <c r="B24" s="23" t="s">
        <v>37</v>
      </c>
      <c r="C24" s="26"/>
      <c r="D24" s="26"/>
      <c r="E24" s="26"/>
      <c r="F24" s="26"/>
      <c r="G24" s="26"/>
      <c r="H24" s="26"/>
      <c r="I24" s="26"/>
      <c r="J24" s="26"/>
      <c r="K24" s="26"/>
      <c r="L24" s="26"/>
      <c r="M24" s="26">
        <v>2.66</v>
      </c>
      <c r="N24" s="26">
        <v>4.75</v>
      </c>
      <c r="O24" s="63">
        <v>-2.91</v>
      </c>
      <c r="P24" s="63">
        <v>-2.5099999999999998</v>
      </c>
      <c r="Q24" s="26">
        <v>4.45</v>
      </c>
      <c r="T24" s="63">
        <v>-0.77</v>
      </c>
      <c r="U24" s="63">
        <v>0.42</v>
      </c>
      <c r="V24" s="26">
        <v>1.27</v>
      </c>
      <c r="W24" s="63">
        <v>2.11</v>
      </c>
      <c r="X24" s="26">
        <v>0.67</v>
      </c>
      <c r="Y24" s="26">
        <v>3.07</v>
      </c>
      <c r="Z24" s="26">
        <v>4.7300000000000004</v>
      </c>
      <c r="AA24" s="26">
        <v>8.1999999999999993</v>
      </c>
      <c r="AC24" s="26">
        <f>SUM(X24:AA24)</f>
        <v>16.670000000000002</v>
      </c>
    </row>
    <row r="25" spans="1:31" s="30" customFormat="1" ht="17" thickBot="1" x14ac:dyDescent="0.25">
      <c r="A25" s="1"/>
      <c r="B25" s="28" t="s">
        <v>38</v>
      </c>
      <c r="C25" s="29"/>
      <c r="D25" s="29"/>
      <c r="E25" s="29"/>
      <c r="F25" s="29"/>
      <c r="G25" s="29"/>
      <c r="H25" s="29"/>
      <c r="I25" s="29"/>
      <c r="J25" s="29"/>
      <c r="K25" s="29"/>
      <c r="L25" s="29"/>
      <c r="M25" s="66">
        <f>M24/M$84</f>
        <v>2.66</v>
      </c>
      <c r="N25" s="66">
        <f>N24/N$84</f>
        <v>4.75</v>
      </c>
      <c r="O25" s="66">
        <f>O24/O$84</f>
        <v>-2.91</v>
      </c>
      <c r="P25" s="66">
        <f>P24/P$84</f>
        <v>-2.5099999999999998</v>
      </c>
      <c r="Q25" s="66">
        <f>Q24/Q$84</f>
        <v>4.45</v>
      </c>
      <c r="R25" s="1"/>
      <c r="S25" s="1"/>
      <c r="T25" s="66">
        <f t="shared" ref="T25:AA25" si="9">T24/T$84</f>
        <v>-0.77</v>
      </c>
      <c r="U25" s="66">
        <f t="shared" si="9"/>
        <v>0.42</v>
      </c>
      <c r="V25" s="66">
        <f t="shared" si="9"/>
        <v>1.27</v>
      </c>
      <c r="W25" s="66">
        <f t="shared" si="9"/>
        <v>2.11</v>
      </c>
      <c r="X25" s="66">
        <f t="shared" si="9"/>
        <v>0.67</v>
      </c>
      <c r="Y25" s="66">
        <f t="shared" si="9"/>
        <v>3.07</v>
      </c>
      <c r="Z25" s="66">
        <f t="shared" si="9"/>
        <v>4.7300000000000004</v>
      </c>
      <c r="AA25" s="66">
        <f t="shared" si="9"/>
        <v>8.1999999999999993</v>
      </c>
      <c r="AB25" s="1"/>
      <c r="AC25" s="66">
        <f>AC24/AC$84</f>
        <v>16.670000000000002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3370</v>
      </c>
      <c r="N28" s="21">
        <v>2327</v>
      </c>
      <c r="O28" s="21">
        <v>2023</v>
      </c>
      <c r="P28" s="21">
        <v>1879</v>
      </c>
      <c r="Q28" s="21">
        <v>2114</v>
      </c>
      <c r="T28" s="21">
        <v>1879</v>
      </c>
      <c r="U28" s="21">
        <v>1705</v>
      </c>
      <c r="V28" s="21">
        <v>2291</v>
      </c>
      <c r="W28" s="21">
        <v>3477</v>
      </c>
      <c r="X28" s="21">
        <v>2114</v>
      </c>
      <c r="Y28" s="21">
        <v>2048</v>
      </c>
      <c r="Z28" s="21">
        <v>1975</v>
      </c>
      <c r="AA28" s="21">
        <v>2050</v>
      </c>
      <c r="AC28" s="21">
        <f>AA28</f>
        <v>2050</v>
      </c>
    </row>
    <row r="29" spans="1:31" x14ac:dyDescent="0.2">
      <c r="B29" s="20" t="s">
        <v>41</v>
      </c>
      <c r="C29" s="21"/>
      <c r="D29" s="21"/>
      <c r="E29" s="21"/>
      <c r="F29" s="21"/>
      <c r="G29" s="21"/>
      <c r="H29" s="21"/>
      <c r="I29" s="21"/>
      <c r="J29" s="21"/>
      <c r="K29" s="21"/>
      <c r="L29" s="21"/>
      <c r="M29" s="21">
        <v>2257</v>
      </c>
      <c r="N29" s="21">
        <v>2804</v>
      </c>
      <c r="O29" s="21">
        <v>1598</v>
      </c>
      <c r="P29" s="21">
        <v>2166</v>
      </c>
      <c r="Q29" s="21">
        <v>1486</v>
      </c>
      <c r="T29" s="21">
        <v>2166</v>
      </c>
      <c r="U29" s="21">
        <v>2458</v>
      </c>
      <c r="V29" s="21">
        <v>2597</v>
      </c>
      <c r="W29" s="21">
        <v>1469</v>
      </c>
      <c r="X29" s="21">
        <v>1486</v>
      </c>
      <c r="Y29" s="21">
        <v>1355</v>
      </c>
      <c r="Z29" s="21">
        <v>1685</v>
      </c>
      <c r="AA29" s="21">
        <v>1894</v>
      </c>
      <c r="AC29" s="21">
        <f t="shared" ref="AC29:AC49" si="10">AA29</f>
        <v>1894</v>
      </c>
    </row>
    <row r="30" spans="1:31" x14ac:dyDescent="0.2">
      <c r="B30" s="20" t="s">
        <v>134</v>
      </c>
      <c r="C30" s="21"/>
      <c r="D30" s="21"/>
      <c r="E30" s="21"/>
      <c r="F30" s="21"/>
      <c r="G30" s="21"/>
      <c r="H30" s="21"/>
      <c r="I30" s="21"/>
      <c r="J30" s="21"/>
      <c r="K30" s="21"/>
      <c r="L30" s="21"/>
      <c r="M30" s="21">
        <v>3616</v>
      </c>
      <c r="N30" s="21">
        <v>3638</v>
      </c>
      <c r="O30" s="21">
        <v>3698</v>
      </c>
      <c r="P30" s="21">
        <v>3342</v>
      </c>
      <c r="Q30" s="21">
        <v>1291</v>
      </c>
      <c r="T30" s="21">
        <v>3342</v>
      </c>
      <c r="U30" s="21">
        <v>3384</v>
      </c>
      <c r="V30" s="21">
        <v>3420</v>
      </c>
      <c r="W30" s="21">
        <v>1311</v>
      </c>
      <c r="X30" s="21">
        <v>1291</v>
      </c>
      <c r="Y30" s="21">
        <v>1393</v>
      </c>
      <c r="Z30" s="21">
        <v>1349</v>
      </c>
      <c r="AA30" s="21">
        <v>1357</v>
      </c>
      <c r="AC30" s="21">
        <f>AA30</f>
        <v>1357</v>
      </c>
    </row>
    <row r="31" spans="1:31" s="34" customFormat="1" x14ac:dyDescent="0.2">
      <c r="A31" s="16"/>
      <c r="B31" s="32" t="s">
        <v>42</v>
      </c>
      <c r="C31" s="33"/>
      <c r="D31" s="33"/>
      <c r="E31" s="33"/>
      <c r="F31" s="33"/>
      <c r="G31" s="33"/>
      <c r="H31" s="33"/>
      <c r="I31" s="33"/>
      <c r="J31" s="33"/>
      <c r="K31" s="33"/>
      <c r="L31" s="33"/>
      <c r="M31" s="33">
        <v>9757</v>
      </c>
      <c r="N31" s="33">
        <v>9453</v>
      </c>
      <c r="O31" s="33">
        <v>7886</v>
      </c>
      <c r="P31" s="33">
        <v>8060</v>
      </c>
      <c r="Q31" s="33">
        <v>5856</v>
      </c>
      <c r="R31" s="1"/>
      <c r="S31" s="1"/>
      <c r="T31" s="33">
        <v>8060</v>
      </c>
      <c r="U31" s="33">
        <v>8942</v>
      </c>
      <c r="V31" s="33">
        <v>9372</v>
      </c>
      <c r="W31" s="33">
        <v>8086</v>
      </c>
      <c r="X31" s="33">
        <v>5856</v>
      </c>
      <c r="Y31" s="33">
        <v>6275</v>
      </c>
      <c r="Z31" s="33">
        <v>7531</v>
      </c>
      <c r="AA31" s="33">
        <v>6911</v>
      </c>
      <c r="AB31" s="1"/>
      <c r="AC31" s="33">
        <f t="shared" si="10"/>
        <v>6911</v>
      </c>
      <c r="AD31" s="1"/>
      <c r="AE31" s="1"/>
    </row>
    <row r="32" spans="1:31" x14ac:dyDescent="0.2">
      <c r="B32" s="20" t="s">
        <v>43</v>
      </c>
      <c r="C32" s="21"/>
      <c r="D32" s="21"/>
      <c r="E32" s="21"/>
      <c r="F32" s="21"/>
      <c r="G32" s="21"/>
      <c r="H32" s="21"/>
      <c r="I32" s="21"/>
      <c r="J32" s="21"/>
      <c r="K32" s="21"/>
      <c r="L32" s="21"/>
      <c r="M32" s="21">
        <v>3188</v>
      </c>
      <c r="N32" s="21">
        <v>3670</v>
      </c>
      <c r="O32" s="21">
        <v>3620</v>
      </c>
      <c r="P32" s="21">
        <v>3167</v>
      </c>
      <c r="Q32" s="21">
        <v>2343</v>
      </c>
      <c r="T32" s="21">
        <v>3167</v>
      </c>
      <c r="U32" s="21">
        <v>2917</v>
      </c>
      <c r="V32" s="21">
        <v>2930</v>
      </c>
      <c r="W32" s="21">
        <v>2347</v>
      </c>
      <c r="X32" s="21">
        <v>2343</v>
      </c>
      <c r="Y32" s="21">
        <v>2345</v>
      </c>
      <c r="Z32" s="21">
        <v>2352</v>
      </c>
      <c r="AA32" s="21">
        <v>2422</v>
      </c>
      <c r="AC32" s="21">
        <f t="shared" si="10"/>
        <v>2422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10066</v>
      </c>
      <c r="N34" s="21">
        <v>10041</v>
      </c>
      <c r="O34" s="21">
        <v>10037</v>
      </c>
      <c r="P34" s="21">
        <v>10032</v>
      </c>
      <c r="Q34" s="21">
        <v>4319</v>
      </c>
      <c r="T34" s="21">
        <v>10032</v>
      </c>
      <c r="U34" s="21">
        <v>9812</v>
      </c>
      <c r="V34" s="21">
        <v>9729</v>
      </c>
      <c r="W34" s="21">
        <v>4319</v>
      </c>
      <c r="X34" s="21">
        <v>4319</v>
      </c>
      <c r="Y34" s="228">
        <v>4319</v>
      </c>
      <c r="Z34" s="228">
        <v>4319</v>
      </c>
      <c r="AA34" s="228">
        <v>4321</v>
      </c>
      <c r="AC34" s="21">
        <f t="shared" si="10"/>
        <v>4321</v>
      </c>
    </row>
    <row r="35" spans="1:31" s="34" customFormat="1" x14ac:dyDescent="0.2">
      <c r="A35" s="16"/>
      <c r="B35" s="32" t="s">
        <v>45</v>
      </c>
      <c r="C35" s="35"/>
      <c r="D35" s="35"/>
      <c r="E35" s="35"/>
      <c r="F35" s="35"/>
      <c r="G35" s="35"/>
      <c r="H35" s="35"/>
      <c r="I35" s="35"/>
      <c r="J35" s="35"/>
      <c r="K35" s="35"/>
      <c r="L35" s="35"/>
      <c r="M35" s="35">
        <f t="shared" ref="M35:O35" si="11">M36-M31</f>
        <v>16375</v>
      </c>
      <c r="N35" s="35">
        <f t="shared" si="11"/>
        <v>16806</v>
      </c>
      <c r="O35" s="35">
        <f t="shared" si="11"/>
        <v>16543</v>
      </c>
      <c r="P35" s="35">
        <f>P36-P31</f>
        <v>16128</v>
      </c>
      <c r="Q35" s="35">
        <f>Q36-Q31</f>
        <v>8146</v>
      </c>
      <c r="R35" s="1"/>
      <c r="S35" s="1"/>
      <c r="T35" s="35">
        <f t="shared" ref="T35:Z35" si="12">T36-T31</f>
        <v>16128</v>
      </c>
      <c r="U35" s="35">
        <f t="shared" si="12"/>
        <v>15829</v>
      </c>
      <c r="V35" s="35">
        <f t="shared" si="12"/>
        <v>16084</v>
      </c>
      <c r="W35" s="35">
        <f t="shared" si="12"/>
        <v>8282</v>
      </c>
      <c r="X35" s="35">
        <f t="shared" si="12"/>
        <v>8146</v>
      </c>
      <c r="Y35" s="35">
        <f t="shared" si="12"/>
        <v>8084</v>
      </c>
      <c r="Z35" s="35">
        <f t="shared" si="12"/>
        <v>8080</v>
      </c>
      <c r="AA35" s="35">
        <f t="shared" ref="AA35" si="13">AA36-AA31</f>
        <v>8134</v>
      </c>
      <c r="AB35" s="1"/>
      <c r="AC35" s="35">
        <f t="shared" si="10"/>
        <v>8134</v>
      </c>
      <c r="AD35" s="1"/>
      <c r="AE35" s="1"/>
    </row>
    <row r="36" spans="1:31" s="19" customFormat="1" x14ac:dyDescent="0.2">
      <c r="A36" s="16"/>
      <c r="B36" s="17" t="s">
        <v>46</v>
      </c>
      <c r="C36" s="18"/>
      <c r="D36" s="18"/>
      <c r="E36" s="18"/>
      <c r="F36" s="18"/>
      <c r="G36" s="18"/>
      <c r="H36" s="18"/>
      <c r="I36" s="18"/>
      <c r="J36" s="18"/>
      <c r="K36" s="18"/>
      <c r="L36" s="18"/>
      <c r="M36" s="18">
        <v>26132</v>
      </c>
      <c r="N36" s="18">
        <v>26259</v>
      </c>
      <c r="O36" s="18">
        <v>24429</v>
      </c>
      <c r="P36" s="18">
        <v>24188</v>
      </c>
      <c r="Q36" s="18">
        <v>14002</v>
      </c>
      <c r="R36" s="1"/>
      <c r="S36" s="1"/>
      <c r="T36" s="18">
        <v>24188</v>
      </c>
      <c r="U36" s="18">
        <v>24771</v>
      </c>
      <c r="V36" s="18">
        <v>25456</v>
      </c>
      <c r="W36" s="18">
        <v>16368</v>
      </c>
      <c r="X36" s="18">
        <v>14002</v>
      </c>
      <c r="Y36" s="18">
        <v>14359</v>
      </c>
      <c r="Z36" s="18">
        <v>15611</v>
      </c>
      <c r="AA36" s="18">
        <v>15045</v>
      </c>
      <c r="AB36" s="1"/>
      <c r="AC36" s="18">
        <f t="shared" si="10"/>
        <v>15045</v>
      </c>
      <c r="AD36" s="1"/>
      <c r="AE36" s="1"/>
    </row>
    <row r="37" spans="1:31" x14ac:dyDescent="0.2">
      <c r="B37" s="20" t="s">
        <v>47</v>
      </c>
      <c r="C37" s="21"/>
      <c r="D37" s="21"/>
      <c r="E37" s="21"/>
      <c r="F37" s="21"/>
      <c r="G37" s="21"/>
      <c r="H37" s="21"/>
      <c r="I37" s="21"/>
      <c r="J37" s="21"/>
      <c r="K37" s="21"/>
      <c r="L37" s="21"/>
      <c r="M37" s="21">
        <v>1934</v>
      </c>
      <c r="N37" s="21">
        <v>1902</v>
      </c>
      <c r="O37" s="21">
        <v>1293</v>
      </c>
      <c r="P37" s="21">
        <v>1411</v>
      </c>
      <c r="Q37" s="21">
        <v>1266</v>
      </c>
      <c r="T37" s="21">
        <v>1411</v>
      </c>
      <c r="U37" s="21">
        <v>1578</v>
      </c>
      <c r="V37" s="21">
        <v>1627</v>
      </c>
      <c r="W37" s="21">
        <v>1287</v>
      </c>
      <c r="X37" s="21">
        <v>1266</v>
      </c>
      <c r="Y37" s="21">
        <v>1533</v>
      </c>
      <c r="Z37" s="21">
        <v>1497</v>
      </c>
      <c r="AA37" s="21">
        <v>1587</v>
      </c>
      <c r="AC37" s="21">
        <f t="shared" si="10"/>
        <v>1587</v>
      </c>
    </row>
    <row r="38" spans="1:31" x14ac:dyDescent="0.2">
      <c r="B38" s="20" t="s">
        <v>168</v>
      </c>
      <c r="C38" s="21"/>
      <c r="D38" s="21"/>
      <c r="E38" s="21"/>
      <c r="F38" s="21"/>
      <c r="G38" s="21"/>
      <c r="H38" s="21"/>
      <c r="I38" s="21"/>
      <c r="J38" s="21"/>
      <c r="K38" s="21"/>
      <c r="L38" s="21"/>
      <c r="M38" s="21">
        <v>251</v>
      </c>
      <c r="N38" s="21">
        <v>0</v>
      </c>
      <c r="O38" s="21">
        <v>1213</v>
      </c>
      <c r="P38" s="21">
        <v>1750</v>
      </c>
      <c r="Q38" s="21">
        <v>2226</v>
      </c>
      <c r="T38" s="21">
        <v>1750</v>
      </c>
      <c r="U38" s="21">
        <v>1750</v>
      </c>
      <c r="V38" s="21">
        <v>150</v>
      </c>
      <c r="W38" s="21">
        <v>2426</v>
      </c>
      <c r="X38" s="21">
        <v>2226</v>
      </c>
      <c r="Y38" s="21">
        <v>2226</v>
      </c>
      <c r="Z38" s="21">
        <v>2226</v>
      </c>
      <c r="AA38" s="21">
        <v>1581</v>
      </c>
      <c r="AC38" s="21">
        <f t="shared" si="10"/>
        <v>1581</v>
      </c>
    </row>
    <row r="39" spans="1:31" s="34" customFormat="1" x14ac:dyDescent="0.2">
      <c r="A39" s="16"/>
      <c r="B39" s="32" t="s">
        <v>48</v>
      </c>
      <c r="C39" s="33"/>
      <c r="D39" s="33"/>
      <c r="E39" s="33"/>
      <c r="F39" s="33"/>
      <c r="G39" s="33"/>
      <c r="H39" s="33"/>
      <c r="I39" s="33"/>
      <c r="J39" s="33"/>
      <c r="K39" s="33"/>
      <c r="L39" s="33"/>
      <c r="M39" s="33">
        <v>4870</v>
      </c>
      <c r="N39" s="33">
        <v>5237</v>
      </c>
      <c r="O39" s="33">
        <v>5434</v>
      </c>
      <c r="P39" s="33">
        <v>6087</v>
      </c>
      <c r="Q39" s="33">
        <v>5418</v>
      </c>
      <c r="R39" s="60"/>
      <c r="S39" s="60"/>
      <c r="T39" s="33">
        <v>6087</v>
      </c>
      <c r="U39" s="33">
        <v>6091</v>
      </c>
      <c r="V39" s="33">
        <v>4706</v>
      </c>
      <c r="W39" s="33">
        <v>5182</v>
      </c>
      <c r="X39" s="33">
        <v>5418</v>
      </c>
      <c r="Y39" s="33">
        <v>5173</v>
      </c>
      <c r="Z39" s="33">
        <v>5179</v>
      </c>
      <c r="AA39" s="33">
        <v>4637</v>
      </c>
      <c r="AB39" s="1"/>
      <c r="AC39" s="33">
        <f t="shared" si="10"/>
        <v>4637</v>
      </c>
      <c r="AD39" s="1"/>
      <c r="AE39" s="1"/>
    </row>
    <row r="40" spans="1:31" x14ac:dyDescent="0.2">
      <c r="B40" s="20" t="s">
        <v>168</v>
      </c>
      <c r="C40" s="21"/>
      <c r="D40" s="21"/>
      <c r="E40" s="21"/>
      <c r="F40" s="21"/>
      <c r="G40" s="21"/>
      <c r="H40" s="21"/>
      <c r="I40" s="21"/>
      <c r="J40" s="21"/>
      <c r="K40" s="21"/>
      <c r="L40" s="21"/>
      <c r="M40" s="21">
        <v>8474</v>
      </c>
      <c r="N40" s="21">
        <v>7002</v>
      </c>
      <c r="O40" s="21">
        <v>5857</v>
      </c>
      <c r="P40" s="21">
        <v>5684</v>
      </c>
      <c r="Q40" s="21">
        <v>2485</v>
      </c>
      <c r="T40" s="21">
        <v>5684</v>
      </c>
      <c r="U40" s="21">
        <v>5650</v>
      </c>
      <c r="V40" s="21">
        <v>7216</v>
      </c>
      <c r="W40" s="21">
        <v>4907</v>
      </c>
      <c r="X40" s="21">
        <v>2485</v>
      </c>
      <c r="Y40" s="21">
        <v>2457</v>
      </c>
      <c r="Z40" s="21">
        <v>2429</v>
      </c>
      <c r="AA40" s="21">
        <v>0</v>
      </c>
      <c r="AC40" s="21">
        <f t="shared" si="10"/>
        <v>0</v>
      </c>
    </row>
    <row r="41" spans="1:31" s="34" customFormat="1" x14ac:dyDescent="0.2">
      <c r="A41" s="16"/>
      <c r="B41" s="32" t="s">
        <v>49</v>
      </c>
      <c r="C41" s="35"/>
      <c r="D41" s="35"/>
      <c r="E41" s="35"/>
      <c r="F41" s="35"/>
      <c r="G41" s="35"/>
      <c r="H41" s="35"/>
      <c r="I41" s="35"/>
      <c r="J41" s="35"/>
      <c r="K41" s="35"/>
      <c r="L41" s="35"/>
      <c r="M41" s="35">
        <f t="shared" ref="M41:O41" si="14">M42-M39</f>
        <v>10541</v>
      </c>
      <c r="N41" s="35">
        <f t="shared" si="14"/>
        <v>8801</v>
      </c>
      <c r="O41" s="35">
        <f t="shared" si="14"/>
        <v>7272</v>
      </c>
      <c r="P41" s="35">
        <f>P42-P39</f>
        <v>7054</v>
      </c>
      <c r="Q41" s="35">
        <f>Q42-Q39</f>
        <v>3044</v>
      </c>
      <c r="R41" s="1"/>
      <c r="S41" s="1"/>
      <c r="T41" s="35">
        <f t="shared" ref="T41:Z41" si="15">T42-T39</f>
        <v>7054</v>
      </c>
      <c r="U41" s="35">
        <f t="shared" si="15"/>
        <v>6808</v>
      </c>
      <c r="V41" s="35">
        <f t="shared" si="15"/>
        <v>8404</v>
      </c>
      <c r="W41" s="35">
        <f t="shared" si="15"/>
        <v>5780</v>
      </c>
      <c r="X41" s="35">
        <f t="shared" si="15"/>
        <v>3044</v>
      </c>
      <c r="Y41" s="35">
        <f t="shared" si="15"/>
        <v>3069</v>
      </c>
      <c r="Z41" s="35">
        <f t="shared" si="15"/>
        <v>3092</v>
      </c>
      <c r="AA41" s="35">
        <f t="shared" ref="AA41" si="16">AA42-AA39</f>
        <v>728</v>
      </c>
      <c r="AB41" s="1"/>
      <c r="AC41" s="35">
        <f t="shared" si="10"/>
        <v>728</v>
      </c>
      <c r="AD41" s="1"/>
      <c r="AE41" s="1"/>
    </row>
    <row r="42" spans="1:31" s="19" customFormat="1" x14ac:dyDescent="0.2">
      <c r="A42" s="16"/>
      <c r="B42" s="17" t="s">
        <v>50</v>
      </c>
      <c r="C42" s="18"/>
      <c r="D42" s="18"/>
      <c r="E42" s="18"/>
      <c r="F42" s="18"/>
      <c r="G42" s="18"/>
      <c r="H42" s="18"/>
      <c r="I42" s="18"/>
      <c r="J42" s="18"/>
      <c r="K42" s="18"/>
      <c r="L42" s="18"/>
      <c r="M42" s="18">
        <v>15411</v>
      </c>
      <c r="N42" s="18">
        <v>14038</v>
      </c>
      <c r="O42" s="18">
        <v>12706</v>
      </c>
      <c r="P42" s="18">
        <v>13141</v>
      </c>
      <c r="Q42" s="18">
        <v>8462</v>
      </c>
      <c r="R42" s="1"/>
      <c r="S42" s="1"/>
      <c r="T42" s="18">
        <v>13141</v>
      </c>
      <c r="U42" s="18">
        <v>12899</v>
      </c>
      <c r="V42" s="18">
        <v>13110</v>
      </c>
      <c r="W42" s="18">
        <v>10962</v>
      </c>
      <c r="X42" s="18">
        <v>8462</v>
      </c>
      <c r="Y42" s="18">
        <v>8242</v>
      </c>
      <c r="Z42" s="18">
        <v>8271</v>
      </c>
      <c r="AA42" s="18">
        <v>5365</v>
      </c>
      <c r="AB42" s="1"/>
      <c r="AC42" s="18">
        <f t="shared" si="10"/>
        <v>5365</v>
      </c>
      <c r="AD42" s="1"/>
      <c r="AE42" s="1"/>
    </row>
    <row r="43" spans="1:31" x14ac:dyDescent="0.2">
      <c r="B43" s="20" t="s">
        <v>52</v>
      </c>
      <c r="C43" s="21"/>
      <c r="D43" s="21"/>
      <c r="E43" s="21"/>
      <c r="F43" s="21"/>
      <c r="G43" s="21"/>
      <c r="H43" s="21"/>
      <c r="I43" s="21"/>
      <c r="J43" s="21"/>
      <c r="K43" s="21"/>
      <c r="L43" s="21"/>
      <c r="M43" s="62">
        <v>0</v>
      </c>
      <c r="N43" s="62">
        <v>0</v>
      </c>
      <c r="O43" s="62">
        <v>0</v>
      </c>
      <c r="P43" s="62">
        <v>0</v>
      </c>
      <c r="Q43" s="62">
        <v>-95</v>
      </c>
      <c r="T43" s="62">
        <v>0</v>
      </c>
      <c r="U43" s="62">
        <v>0</v>
      </c>
      <c r="V43" s="62">
        <v>0</v>
      </c>
      <c r="W43" s="62">
        <v>0</v>
      </c>
      <c r="X43" s="62">
        <v>-95</v>
      </c>
      <c r="Y43" s="62">
        <v>-583</v>
      </c>
      <c r="Z43" s="62">
        <v>-1109</v>
      </c>
      <c r="AA43" s="62">
        <v>-931</v>
      </c>
      <c r="AC43" s="62">
        <f t="shared" si="10"/>
        <v>-931</v>
      </c>
    </row>
    <row r="44" spans="1:31" x14ac:dyDescent="0.2">
      <c r="B44" s="20" t="s">
        <v>337</v>
      </c>
      <c r="C44" s="21"/>
      <c r="D44" s="21"/>
      <c r="E44" s="21"/>
      <c r="F44" s="21"/>
      <c r="G44" s="21"/>
      <c r="H44" s="21"/>
      <c r="I44" s="21"/>
      <c r="J44" s="21"/>
      <c r="K44" s="21"/>
      <c r="L44" s="21"/>
      <c r="M44" s="62">
        <v>0</v>
      </c>
      <c r="N44" s="62">
        <v>0</v>
      </c>
      <c r="O44" s="62">
        <v>876</v>
      </c>
      <c r="P44" s="62">
        <v>229</v>
      </c>
      <c r="Q44" s="62">
        <v>229</v>
      </c>
      <c r="T44" s="62">
        <v>229</v>
      </c>
      <c r="U44" s="62">
        <v>229</v>
      </c>
      <c r="V44" s="62">
        <v>229</v>
      </c>
      <c r="W44" s="62">
        <v>229</v>
      </c>
      <c r="X44" s="62">
        <v>229</v>
      </c>
      <c r="Y44" s="62">
        <v>229</v>
      </c>
      <c r="Z44" s="62">
        <v>229</v>
      </c>
      <c r="AA44" s="62">
        <v>0</v>
      </c>
      <c r="AC44" s="62">
        <f t="shared" si="10"/>
        <v>0</v>
      </c>
    </row>
    <row r="45" spans="1:31" x14ac:dyDescent="0.2">
      <c r="B45" s="20" t="s">
        <v>51</v>
      </c>
      <c r="C45" s="21"/>
      <c r="D45" s="21"/>
      <c r="E45" s="21"/>
      <c r="F45" s="21"/>
      <c r="G45" s="21"/>
      <c r="H45" s="21"/>
      <c r="I45" s="21"/>
      <c r="J45" s="21"/>
      <c r="K45" s="21"/>
      <c r="L45" s="21"/>
      <c r="M45" s="21">
        <v>3608</v>
      </c>
      <c r="N45" s="21">
        <v>3733</v>
      </c>
      <c r="O45" s="21">
        <v>3936</v>
      </c>
      <c r="P45" s="21">
        <v>4752</v>
      </c>
      <c r="Q45" s="21">
        <v>4621</v>
      </c>
      <c r="T45" s="21">
        <v>4752</v>
      </c>
      <c r="U45" s="21">
        <v>4772</v>
      </c>
      <c r="V45" s="62">
        <v>4885</v>
      </c>
      <c r="W45" s="62">
        <v>4642</v>
      </c>
      <c r="X45" s="21">
        <v>4621</v>
      </c>
      <c r="Y45" s="21">
        <v>4550</v>
      </c>
      <c r="Z45" s="21">
        <v>4502</v>
      </c>
      <c r="AA45" s="21">
        <v>3747</v>
      </c>
      <c r="AC45" s="62">
        <f t="shared" si="10"/>
        <v>3747</v>
      </c>
    </row>
    <row r="46" spans="1:31" x14ac:dyDescent="0.2">
      <c r="B46" s="20" t="s">
        <v>338</v>
      </c>
      <c r="C46" s="21"/>
      <c r="D46" s="21"/>
      <c r="E46" s="21"/>
      <c r="F46" s="21"/>
      <c r="G46" s="21"/>
      <c r="H46" s="21"/>
      <c r="I46" s="21"/>
      <c r="J46" s="21"/>
      <c r="K46" s="21"/>
      <c r="L46" s="21"/>
      <c r="M46" s="21">
        <v>7549</v>
      </c>
      <c r="N46" s="21">
        <v>9039</v>
      </c>
      <c r="O46" s="21">
        <v>7424</v>
      </c>
      <c r="P46" s="21">
        <v>6775</v>
      </c>
      <c r="Q46" s="21">
        <v>762</v>
      </c>
      <c r="T46" s="21">
        <v>6775</v>
      </c>
      <c r="U46" s="21">
        <v>7268</v>
      </c>
      <c r="V46" s="62">
        <v>7862</v>
      </c>
      <c r="W46" s="62">
        <v>521</v>
      </c>
      <c r="X46" s="21">
        <v>762</v>
      </c>
      <c r="Y46" s="21">
        <v>1904</v>
      </c>
      <c r="Z46" s="21">
        <v>3697</v>
      </c>
      <c r="AA46" s="21">
        <v>6858</v>
      </c>
      <c r="AC46" s="62">
        <f t="shared" si="10"/>
        <v>6858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33">
        <v>10721</v>
      </c>
      <c r="N48" s="33">
        <v>12221</v>
      </c>
      <c r="O48" s="33">
        <v>10847</v>
      </c>
      <c r="P48" s="33">
        <v>10818</v>
      </c>
      <c r="Q48" s="33">
        <v>5311</v>
      </c>
      <c r="R48" s="1"/>
      <c r="S48" s="1"/>
      <c r="T48" s="33">
        <v>10818</v>
      </c>
      <c r="U48" s="33">
        <v>11643</v>
      </c>
      <c r="V48" s="33">
        <v>12117</v>
      </c>
      <c r="W48" s="33">
        <v>5177</v>
      </c>
      <c r="X48" s="33">
        <v>5311</v>
      </c>
      <c r="Y48" s="33">
        <v>5888</v>
      </c>
      <c r="Z48" s="33">
        <v>7111</v>
      </c>
      <c r="AA48" s="33">
        <v>9680</v>
      </c>
      <c r="AB48" s="1"/>
      <c r="AC48" s="33">
        <f t="shared" si="10"/>
        <v>9680</v>
      </c>
      <c r="AD48" s="1"/>
      <c r="AE48" s="1"/>
    </row>
    <row r="49" spans="1:31" s="38" customFormat="1" ht="17" thickBot="1" x14ac:dyDescent="0.25">
      <c r="A49" s="16"/>
      <c r="B49" s="36" t="s">
        <v>54</v>
      </c>
      <c r="C49" s="37"/>
      <c r="D49" s="37"/>
      <c r="E49" s="37"/>
      <c r="F49" s="37"/>
      <c r="G49" s="37"/>
      <c r="H49" s="37"/>
      <c r="I49" s="37"/>
      <c r="J49" s="37"/>
      <c r="K49" s="37"/>
      <c r="L49" s="37"/>
      <c r="M49" s="37">
        <v>26132</v>
      </c>
      <c r="N49" s="37">
        <v>26259</v>
      </c>
      <c r="O49" s="37">
        <v>24429</v>
      </c>
      <c r="P49" s="37">
        <v>24188</v>
      </c>
      <c r="Q49" s="37">
        <v>14002</v>
      </c>
      <c r="R49" s="1"/>
      <c r="S49" s="1"/>
      <c r="T49" s="37">
        <v>24188</v>
      </c>
      <c r="U49" s="37">
        <v>24771</v>
      </c>
      <c r="V49" s="37">
        <v>25456</v>
      </c>
      <c r="W49" s="37">
        <v>16368</v>
      </c>
      <c r="X49" s="37">
        <v>14002</v>
      </c>
      <c r="Y49" s="37">
        <v>14359</v>
      </c>
      <c r="Z49" s="37">
        <v>15611</v>
      </c>
      <c r="AA49" s="37">
        <v>15045</v>
      </c>
      <c r="AB49" s="1"/>
      <c r="AC49" s="37">
        <f t="shared" si="10"/>
        <v>15045</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1212</v>
      </c>
      <c r="N52" s="21">
        <v>929</v>
      </c>
      <c r="O52" s="21">
        <v>828</v>
      </c>
      <c r="P52" s="21">
        <v>568</v>
      </c>
      <c r="Q52" s="21">
        <v>451</v>
      </c>
      <c r="T52" s="62">
        <v>138</v>
      </c>
      <c r="U52" s="62">
        <v>135</v>
      </c>
      <c r="V52" s="21">
        <v>255</v>
      </c>
      <c r="W52" s="21">
        <v>365</v>
      </c>
      <c r="X52" s="21">
        <v>86</v>
      </c>
      <c r="Y52" s="21">
        <v>88</v>
      </c>
      <c r="Z52" s="21">
        <v>180</v>
      </c>
      <c r="AA52" s="21">
        <v>276</v>
      </c>
      <c r="AC52" s="62">
        <f>SUM(X52:AA52)</f>
        <v>630</v>
      </c>
    </row>
    <row r="53" spans="1:31" x14ac:dyDescent="0.2">
      <c r="B53" s="23" t="s">
        <v>57</v>
      </c>
      <c r="C53" s="62"/>
      <c r="D53" s="62"/>
      <c r="E53" s="62"/>
      <c r="F53" s="62"/>
      <c r="G53" s="62"/>
      <c r="H53" s="62"/>
      <c r="I53" s="62"/>
      <c r="J53" s="62"/>
      <c r="K53" s="62"/>
      <c r="L53" s="62"/>
      <c r="M53" s="21">
        <v>318</v>
      </c>
      <c r="N53" s="21">
        <v>326</v>
      </c>
      <c r="O53" s="21">
        <v>318</v>
      </c>
      <c r="P53" s="21">
        <v>295</v>
      </c>
      <c r="Q53" s="21">
        <v>265</v>
      </c>
      <c r="T53" s="62">
        <v>69</v>
      </c>
      <c r="U53" s="62">
        <v>84</v>
      </c>
      <c r="V53" s="21">
        <v>161</v>
      </c>
      <c r="W53" s="21">
        <v>220</v>
      </c>
      <c r="X53" s="21">
        <v>45</v>
      </c>
      <c r="Y53" s="21">
        <v>53</v>
      </c>
      <c r="Z53" s="21">
        <v>106</v>
      </c>
      <c r="AA53" s="21">
        <v>159</v>
      </c>
      <c r="AC53" s="62">
        <f t="shared" ref="AC53:AC57" si="17">SUM(X53:AA53)</f>
        <v>363</v>
      </c>
    </row>
    <row r="54" spans="1:31" x14ac:dyDescent="0.2">
      <c r="B54" s="23" t="s">
        <v>95</v>
      </c>
      <c r="C54" s="62"/>
      <c r="D54" s="62"/>
      <c r="E54" s="62"/>
      <c r="F54" s="62"/>
      <c r="G54" s="62"/>
      <c r="H54" s="62"/>
      <c r="I54" s="62"/>
      <c r="J54" s="62"/>
      <c r="K54" s="62"/>
      <c r="L54" s="62"/>
      <c r="M54" s="62">
        <v>121</v>
      </c>
      <c r="N54" s="62">
        <v>-546</v>
      </c>
      <c r="O54" s="62">
        <v>1206</v>
      </c>
      <c r="P54" s="62">
        <v>-568</v>
      </c>
      <c r="Q54" s="62">
        <v>79</v>
      </c>
      <c r="T54" s="62">
        <v>-366</v>
      </c>
      <c r="U54" s="62">
        <v>-292</v>
      </c>
      <c r="V54" s="62">
        <v>-431</v>
      </c>
      <c r="W54" s="21">
        <v>96</v>
      </c>
      <c r="X54" s="62">
        <v>-17</v>
      </c>
      <c r="Y54" s="21">
        <v>131</v>
      </c>
      <c r="Z54" s="62">
        <v>-199</v>
      </c>
      <c r="AA54" s="62">
        <v>-408</v>
      </c>
      <c r="AC54" s="62">
        <f t="shared" si="17"/>
        <v>-493</v>
      </c>
    </row>
    <row r="55" spans="1:31" x14ac:dyDescent="0.2">
      <c r="B55" s="23" t="s">
        <v>144</v>
      </c>
      <c r="C55" s="62"/>
      <c r="D55" s="62"/>
      <c r="E55" s="62"/>
      <c r="F55" s="62"/>
      <c r="G55" s="62"/>
      <c r="H55" s="62"/>
      <c r="I55" s="62"/>
      <c r="J55" s="62"/>
      <c r="K55" s="62"/>
      <c r="L55" s="62"/>
      <c r="M55" s="62">
        <v>-546</v>
      </c>
      <c r="N55" s="62">
        <v>-22</v>
      </c>
      <c r="O55" s="62">
        <v>-60</v>
      </c>
      <c r="P55" s="62">
        <v>356</v>
      </c>
      <c r="Q55" s="62">
        <v>-409</v>
      </c>
      <c r="T55" s="62">
        <v>-127</v>
      </c>
      <c r="U55" s="62">
        <v>-76</v>
      </c>
      <c r="V55" s="62">
        <v>-112</v>
      </c>
      <c r="W55" s="62">
        <v>-429</v>
      </c>
      <c r="X55" s="62">
        <v>20</v>
      </c>
      <c r="Y55" s="62">
        <v>-101</v>
      </c>
      <c r="Z55" s="62">
        <v>-55</v>
      </c>
      <c r="AA55" s="62">
        <v>-64</v>
      </c>
      <c r="AC55" s="62">
        <f>SUM(X55:AA55)</f>
        <v>-200</v>
      </c>
    </row>
    <row r="56" spans="1:31" x14ac:dyDescent="0.2">
      <c r="B56" s="23" t="s">
        <v>96</v>
      </c>
      <c r="C56" s="62"/>
      <c r="D56" s="62"/>
      <c r="E56" s="62"/>
      <c r="F56" s="62"/>
      <c r="G56" s="62"/>
      <c r="H56" s="62"/>
      <c r="I56" s="62"/>
      <c r="J56" s="62"/>
      <c r="K56" s="62"/>
      <c r="L56" s="62"/>
      <c r="M56" s="62">
        <v>11</v>
      </c>
      <c r="N56" s="62">
        <v>-129</v>
      </c>
      <c r="O56" s="62">
        <v>-459</v>
      </c>
      <c r="P56" s="62">
        <v>244</v>
      </c>
      <c r="Q56" s="62">
        <v>307</v>
      </c>
      <c r="T56" s="62">
        <v>33</v>
      </c>
      <c r="U56" s="62">
        <v>216</v>
      </c>
      <c r="V56" s="21">
        <v>242</v>
      </c>
      <c r="W56" s="21">
        <v>302</v>
      </c>
      <c r="X56" s="62">
        <v>-34</v>
      </c>
      <c r="Y56" s="21">
        <v>248</v>
      </c>
      <c r="Z56" s="21">
        <v>219</v>
      </c>
      <c r="AA56" s="62">
        <v>289</v>
      </c>
      <c r="AC56" s="62">
        <f t="shared" si="17"/>
        <v>722</v>
      </c>
    </row>
    <row r="57" spans="1:31" x14ac:dyDescent="0.2">
      <c r="B57" s="23" t="s">
        <v>97</v>
      </c>
      <c r="C57" s="62"/>
      <c r="D57" s="62"/>
      <c r="E57" s="62"/>
      <c r="F57" s="62"/>
      <c r="G57" s="62"/>
      <c r="H57" s="62"/>
      <c r="I57" s="62"/>
      <c r="J57" s="62"/>
      <c r="K57" s="62"/>
      <c r="L57" s="62"/>
      <c r="M57" s="62">
        <f>-9+257+95+162-266</f>
        <v>239</v>
      </c>
      <c r="N57" s="62">
        <f>-78+246-74-123-349</f>
        <v>-378</v>
      </c>
      <c r="O57" s="62">
        <f>-28-352+130-162-183</f>
        <v>-595</v>
      </c>
      <c r="P57" s="62">
        <f>21+197-474+259-342</f>
        <v>-339</v>
      </c>
      <c r="Q57" s="62">
        <f>-39-366+348-46-905</f>
        <v>-1008</v>
      </c>
      <c r="T57" s="62">
        <f>3+507+50+162-164</f>
        <v>558</v>
      </c>
      <c r="U57" s="62">
        <f>39-153-50-77-360</f>
        <v>-601</v>
      </c>
      <c r="V57" s="62">
        <f>-54+109-76-57-662</f>
        <v>-740</v>
      </c>
      <c r="W57" s="62">
        <f>-316-131-80-593</f>
        <v>-1120</v>
      </c>
      <c r="X57" s="62">
        <f>-50+428+85-312</f>
        <v>151</v>
      </c>
      <c r="Y57" s="62">
        <f>-21+6-503+141</f>
        <v>-377</v>
      </c>
      <c r="Z57" s="62">
        <f>42+51-577+244</f>
        <v>-240</v>
      </c>
      <c r="AA57" s="62">
        <f>29+94-598+290</f>
        <v>-185</v>
      </c>
      <c r="AC57" s="62">
        <f t="shared" si="17"/>
        <v>-651</v>
      </c>
    </row>
    <row r="58" spans="1:31" s="19" customFormat="1" x14ac:dyDescent="0.2">
      <c r="A58" s="16"/>
      <c r="B58" s="17" t="s">
        <v>58</v>
      </c>
      <c r="C58" s="61"/>
      <c r="D58" s="61"/>
      <c r="E58" s="61"/>
      <c r="F58" s="61"/>
      <c r="G58" s="61"/>
      <c r="H58" s="61"/>
      <c r="I58" s="61"/>
      <c r="J58" s="61"/>
      <c r="K58" s="61"/>
      <c r="L58" s="61"/>
      <c r="M58" s="18">
        <v>1898</v>
      </c>
      <c r="N58" s="18">
        <v>1880</v>
      </c>
      <c r="O58" s="61">
        <v>-408</v>
      </c>
      <c r="P58" s="61">
        <v>-294</v>
      </c>
      <c r="Q58" s="18">
        <v>1691</v>
      </c>
      <c r="R58" s="1"/>
      <c r="S58" s="1"/>
      <c r="T58" s="61">
        <v>366</v>
      </c>
      <c r="U58" s="61">
        <v>34</v>
      </c>
      <c r="V58" s="18">
        <v>437</v>
      </c>
      <c r="W58" s="18">
        <v>945</v>
      </c>
      <c r="X58" s="18">
        <v>746</v>
      </c>
      <c r="Y58" s="18">
        <v>672</v>
      </c>
      <c r="Z58" s="18">
        <v>1417</v>
      </c>
      <c r="AA58" s="18">
        <v>2540</v>
      </c>
      <c r="AB58" s="1"/>
      <c r="AC58" s="61">
        <f>SUM(X58:AA58)</f>
        <v>5375</v>
      </c>
      <c r="AD58" s="1"/>
      <c r="AE58" s="1"/>
    </row>
    <row r="59" spans="1:31" x14ac:dyDescent="0.2">
      <c r="B59" s="20" t="s">
        <v>59</v>
      </c>
      <c r="C59" s="62"/>
      <c r="D59" s="62"/>
      <c r="E59" s="62"/>
      <c r="F59" s="62"/>
      <c r="G59" s="62"/>
      <c r="H59" s="62"/>
      <c r="I59" s="62"/>
      <c r="J59" s="62"/>
      <c r="K59" s="62"/>
      <c r="L59" s="62"/>
      <c r="M59" s="62">
        <v>-1146</v>
      </c>
      <c r="N59" s="62">
        <v>-1122</v>
      </c>
      <c r="O59" s="62">
        <v>-821</v>
      </c>
      <c r="P59" s="62">
        <v>-487</v>
      </c>
      <c r="Q59" s="62">
        <v>-412</v>
      </c>
      <c r="T59" s="62">
        <v>-116</v>
      </c>
      <c r="U59" s="62">
        <v>-96</v>
      </c>
      <c r="V59" s="62">
        <v>-212</v>
      </c>
      <c r="W59" s="62">
        <v>-341</v>
      </c>
      <c r="X59" s="62">
        <v>-71</v>
      </c>
      <c r="Y59" s="62">
        <v>-73</v>
      </c>
      <c r="Z59" s="62">
        <v>-165</v>
      </c>
      <c r="AA59" s="62">
        <v>-310</v>
      </c>
      <c r="AC59" s="62">
        <f>SUM(X59:AA59)</f>
        <v>-619</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-765</v>
      </c>
      <c r="N61" s="61">
        <v>-1192</v>
      </c>
      <c r="O61" s="61">
        <v>-762</v>
      </c>
      <c r="P61" s="61">
        <v>-27</v>
      </c>
      <c r="Q61" s="61">
        <v>150</v>
      </c>
      <c r="R61" s="1"/>
      <c r="S61" s="1"/>
      <c r="T61" s="61">
        <v>-58</v>
      </c>
      <c r="U61" s="61">
        <v>-45</v>
      </c>
      <c r="V61" s="61">
        <v>78</v>
      </c>
      <c r="W61" s="61">
        <v>220</v>
      </c>
      <c r="X61" s="61">
        <v>-70</v>
      </c>
      <c r="Y61" s="61">
        <v>-57</v>
      </c>
      <c r="Z61" s="61">
        <v>-173</v>
      </c>
      <c r="AA61" s="61">
        <v>-318</v>
      </c>
      <c r="AB61" s="1"/>
      <c r="AC61" s="61">
        <f t="shared" si="18"/>
        <v>-618</v>
      </c>
      <c r="AD61" s="1"/>
      <c r="AE61" s="1"/>
    </row>
    <row r="62" spans="1:31" x14ac:dyDescent="0.2">
      <c r="B62" s="20" t="s">
        <v>61</v>
      </c>
      <c r="C62" s="62"/>
      <c r="D62" s="62"/>
      <c r="E62" s="62"/>
      <c r="F62" s="62"/>
      <c r="G62" s="62"/>
      <c r="H62" s="62"/>
      <c r="I62" s="62"/>
      <c r="J62" s="62"/>
      <c r="K62" s="62"/>
      <c r="L62" s="62"/>
      <c r="M62" s="62">
        <v>0</v>
      </c>
      <c r="N62" s="62">
        <v>0</v>
      </c>
      <c r="O62" s="62">
        <v>0</v>
      </c>
      <c r="P62" s="62">
        <v>0</v>
      </c>
      <c r="Q62" s="62">
        <v>-149</v>
      </c>
      <c r="T62" s="62">
        <v>0</v>
      </c>
      <c r="U62" s="62">
        <v>0</v>
      </c>
      <c r="V62" s="62">
        <v>0</v>
      </c>
      <c r="W62" s="62">
        <v>0</v>
      </c>
      <c r="X62" s="62">
        <v>-149</v>
      </c>
      <c r="Y62" s="62">
        <v>-553</v>
      </c>
      <c r="Z62" s="62">
        <v>-1168</v>
      </c>
      <c r="AA62" s="62">
        <v>-1920</v>
      </c>
      <c r="AC62" s="62">
        <f t="shared" si="18"/>
        <v>-3790</v>
      </c>
    </row>
    <row r="63" spans="1:31" x14ac:dyDescent="0.2">
      <c r="B63" s="20" t="s">
        <v>288</v>
      </c>
      <c r="C63" s="62"/>
      <c r="D63" s="62"/>
      <c r="E63" s="62"/>
      <c r="F63" s="62"/>
      <c r="G63" s="62"/>
      <c r="H63" s="62"/>
      <c r="I63" s="62"/>
      <c r="J63" s="62"/>
      <c r="K63" s="62"/>
      <c r="L63" s="62"/>
      <c r="M63" s="62">
        <v>0</v>
      </c>
      <c r="N63" s="62">
        <v>0</v>
      </c>
      <c r="O63" s="62">
        <v>0</v>
      </c>
      <c r="P63" s="62">
        <v>0</v>
      </c>
      <c r="Q63" s="62">
        <v>-44</v>
      </c>
      <c r="T63" s="62">
        <v>0</v>
      </c>
      <c r="U63" s="62">
        <v>0</v>
      </c>
      <c r="V63" s="62">
        <v>0</v>
      </c>
      <c r="W63" s="62">
        <v>0</v>
      </c>
      <c r="X63" s="62">
        <v>-44</v>
      </c>
      <c r="Y63" s="62">
        <v>-34</v>
      </c>
      <c r="Z63" s="62">
        <v>-77</v>
      </c>
      <c r="AA63" s="62">
        <v>-120</v>
      </c>
      <c r="AC63" s="62">
        <f>SUM(X63:AA63)</f>
        <v>-275</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-817</v>
      </c>
      <c r="N65" s="71">
        <v>-1718</v>
      </c>
      <c r="O65" s="71">
        <v>875</v>
      </c>
      <c r="P65" s="71">
        <v>187</v>
      </c>
      <c r="Q65" s="71">
        <v>-1612</v>
      </c>
      <c r="R65" s="1"/>
      <c r="S65" s="1"/>
      <c r="T65" s="71">
        <v>-319</v>
      </c>
      <c r="U65" s="71">
        <v>-102</v>
      </c>
      <c r="V65" s="71">
        <v>-103</v>
      </c>
      <c r="W65" s="71">
        <v>430</v>
      </c>
      <c r="X65" s="71">
        <v>-2042</v>
      </c>
      <c r="Y65" s="71">
        <v>-678</v>
      </c>
      <c r="Z65" s="71">
        <v>-1381</v>
      </c>
      <c r="AA65" s="71">
        <v>-2283</v>
      </c>
      <c r="AB65" s="1"/>
      <c r="AC65" s="71">
        <f t="shared" si="18"/>
        <v>-6384</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821</v>
      </c>
      <c r="N68" s="64">
        <f t="shared" ref="N68:Q68" si="20">N5-N6-N10+N12+N13+N15-N16</f>
        <v>1500</v>
      </c>
      <c r="O68" s="64">
        <f t="shared" si="20"/>
        <v>-902</v>
      </c>
      <c r="P68" s="64">
        <f t="shared" si="20"/>
        <v>-765</v>
      </c>
      <c r="Q68" s="64">
        <f t="shared" si="20"/>
        <v>2515</v>
      </c>
      <c r="T68" s="64">
        <f t="shared" ref="T68:AC68" si="21">T5-T6-T10+T12+T13+T15-T16</f>
        <v>-246</v>
      </c>
      <c r="U68" s="64">
        <f t="shared" si="21"/>
        <v>153</v>
      </c>
      <c r="V68" s="64">
        <f t="shared" si="21"/>
        <v>466</v>
      </c>
      <c r="W68" s="64">
        <f t="shared" si="21"/>
        <v>1378</v>
      </c>
      <c r="X68" s="64">
        <f t="shared" si="21"/>
        <v>252</v>
      </c>
      <c r="Y68" s="64">
        <f t="shared" si="21"/>
        <v>571</v>
      </c>
      <c r="Z68" s="64">
        <f t="shared" si="21"/>
        <v>739</v>
      </c>
      <c r="AA68" s="64">
        <f t="shared" si="21"/>
        <v>1016</v>
      </c>
      <c r="AC68" s="64">
        <f t="shared" si="21"/>
        <v>2578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-18</v>
      </c>
      <c r="P69" s="40">
        <f t="shared" si="22"/>
        <v>0</v>
      </c>
      <c r="Q69" s="40">
        <f t="shared" si="22"/>
        <v>-872</v>
      </c>
      <c r="R69" s="1"/>
      <c r="S69" s="1"/>
      <c r="T69" s="40">
        <f t="shared" ref="T69:Z69" si="23">T17-T68</f>
        <v>0</v>
      </c>
      <c r="U69" s="40">
        <f t="shared" si="23"/>
        <v>0</v>
      </c>
      <c r="V69" s="40">
        <f t="shared" si="23"/>
        <v>0</v>
      </c>
      <c r="W69" s="40">
        <f t="shared" si="23"/>
        <v>-606</v>
      </c>
      <c r="X69" s="40">
        <f t="shared" si="23"/>
        <v>0</v>
      </c>
      <c r="Y69" s="40">
        <f t="shared" si="23"/>
        <v>611</v>
      </c>
      <c r="Z69" s="40">
        <f t="shared" si="23"/>
        <v>1103</v>
      </c>
      <c r="AA69" s="40">
        <f t="shared" ref="AA69" si="24">AA17-AA68</f>
        <v>2189</v>
      </c>
      <c r="AB69" s="16"/>
      <c r="AC69" s="40">
        <f>AC17-AC68</f>
        <v>3903</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876</v>
      </c>
      <c r="P70" s="42">
        <f t="shared" si="25"/>
        <v>229</v>
      </c>
      <c r="Q70" s="42">
        <f t="shared" si="25"/>
        <v>229</v>
      </c>
      <c r="R70" s="1"/>
      <c r="S70" s="1"/>
      <c r="T70" s="42">
        <f t="shared" ref="T70:AA70" si="26">T36-(T42+T110)</f>
        <v>229</v>
      </c>
      <c r="U70" s="42">
        <f t="shared" si="26"/>
        <v>229</v>
      </c>
      <c r="V70" s="42">
        <f t="shared" si="26"/>
        <v>229</v>
      </c>
      <c r="W70" s="42">
        <f t="shared" si="26"/>
        <v>229</v>
      </c>
      <c r="X70" s="42">
        <f t="shared" si="26"/>
        <v>229</v>
      </c>
      <c r="Y70" s="42">
        <f t="shared" si="26"/>
        <v>229</v>
      </c>
      <c r="Z70" s="42">
        <f t="shared" si="26"/>
        <v>229</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309</v>
      </c>
      <c r="N73" s="43">
        <v>314</v>
      </c>
      <c r="O73" s="21">
        <v>322</v>
      </c>
      <c r="P73" s="21">
        <v>343</v>
      </c>
      <c r="Q73" s="21">
        <v>345</v>
      </c>
      <c r="T73" s="21">
        <v>343</v>
      </c>
      <c r="U73" s="21">
        <v>346</v>
      </c>
      <c r="V73" s="21">
        <v>348</v>
      </c>
      <c r="W73" s="21">
        <v>349</v>
      </c>
      <c r="X73" s="21">
        <v>345</v>
      </c>
      <c r="Y73" s="21">
        <v>342</v>
      </c>
      <c r="Z73" s="21">
        <v>339</v>
      </c>
      <c r="AA73" s="21">
        <v>345</v>
      </c>
      <c r="AC73" s="24">
        <f>AA73</f>
        <v>345</v>
      </c>
    </row>
    <row r="74" spans="1:31" x14ac:dyDescent="0.2">
      <c r="B74" s="20" t="s">
        <v>69</v>
      </c>
      <c r="C74" s="25"/>
      <c r="D74" s="25"/>
      <c r="E74" s="25"/>
      <c r="F74" s="25"/>
      <c r="G74" s="25"/>
      <c r="H74" s="25"/>
      <c r="I74" s="25"/>
      <c r="J74" s="25"/>
      <c r="K74" s="25"/>
      <c r="L74" s="25"/>
      <c r="M74" s="25">
        <f t="shared" ref="M74:Q74" si="27">M73*M84</f>
        <v>309</v>
      </c>
      <c r="N74" s="25">
        <f t="shared" si="27"/>
        <v>314</v>
      </c>
      <c r="O74" s="25">
        <f t="shared" si="27"/>
        <v>322</v>
      </c>
      <c r="P74" s="25">
        <f t="shared" si="27"/>
        <v>343</v>
      </c>
      <c r="Q74" s="25">
        <f t="shared" si="27"/>
        <v>345</v>
      </c>
      <c r="T74" s="25">
        <f t="shared" ref="T74" si="28">T73*T84</f>
        <v>343</v>
      </c>
      <c r="U74" s="25">
        <f t="shared" ref="U74" si="29">U73*U84</f>
        <v>346</v>
      </c>
      <c r="V74" s="25">
        <f t="shared" ref="V74" si="30">V73*V84</f>
        <v>348</v>
      </c>
      <c r="W74" s="25">
        <f t="shared" ref="W74" si="31">W73*W84</f>
        <v>349</v>
      </c>
      <c r="X74" s="25">
        <f t="shared" ref="X74" si="32">X73*X84</f>
        <v>345</v>
      </c>
      <c r="Y74" s="25">
        <f t="shared" ref="Y74" si="33">Y73*Y84</f>
        <v>342</v>
      </c>
      <c r="Z74" s="25">
        <f t="shared" ref="Z74:AA74" si="34">Z73*Z84</f>
        <v>339</v>
      </c>
      <c r="AA74" s="25">
        <f t="shared" si="34"/>
        <v>345</v>
      </c>
      <c r="AC74" s="24">
        <f>AA74</f>
        <v>345</v>
      </c>
    </row>
    <row r="75" spans="1:31" x14ac:dyDescent="0.2">
      <c r="B75" s="20" t="s">
        <v>238</v>
      </c>
      <c r="C75" s="25"/>
      <c r="D75" s="25"/>
      <c r="E75" s="25"/>
      <c r="F75" s="25"/>
      <c r="G75" s="25"/>
      <c r="H75" s="25"/>
      <c r="I75" s="25"/>
      <c r="J75" s="25"/>
      <c r="K75" s="25"/>
      <c r="L75" s="25"/>
      <c r="M75" s="21">
        <v>4</v>
      </c>
      <c r="N75" s="21">
        <v>4</v>
      </c>
      <c r="O75" s="21">
        <v>0</v>
      </c>
      <c r="P75" s="21">
        <v>0</v>
      </c>
      <c r="Q75" s="21">
        <v>12</v>
      </c>
      <c r="T75" s="21">
        <v>0</v>
      </c>
      <c r="U75" s="21">
        <v>0</v>
      </c>
      <c r="V75" s="21">
        <v>0</v>
      </c>
      <c r="W75" s="21">
        <v>0</v>
      </c>
      <c r="X75" s="21">
        <v>12</v>
      </c>
      <c r="Y75" s="21">
        <v>2</v>
      </c>
      <c r="Z75" s="21">
        <v>4</v>
      </c>
      <c r="AA75" s="21">
        <v>4</v>
      </c>
      <c r="AC75" s="21">
        <f>AA75</f>
        <v>4</v>
      </c>
    </row>
    <row r="76" spans="1:31" x14ac:dyDescent="0.2">
      <c r="B76" s="20" t="s">
        <v>239</v>
      </c>
      <c r="C76" s="25"/>
      <c r="D76" s="25"/>
      <c r="E76" s="25"/>
      <c r="F76" s="25"/>
      <c r="G76" s="25"/>
      <c r="H76" s="25"/>
      <c r="I76" s="25"/>
      <c r="J76" s="25"/>
      <c r="K76" s="25"/>
      <c r="L76" s="25"/>
      <c r="M76" s="25">
        <f t="shared" ref="M76:P76" si="35">M75*M84</f>
        <v>4</v>
      </c>
      <c r="N76" s="25">
        <f t="shared" si="35"/>
        <v>4</v>
      </c>
      <c r="O76" s="25">
        <f t="shared" si="35"/>
        <v>0</v>
      </c>
      <c r="P76" s="25">
        <f t="shared" si="35"/>
        <v>0</v>
      </c>
      <c r="Q76" s="25">
        <f>Q75*Q84</f>
        <v>12</v>
      </c>
      <c r="T76" s="25">
        <f t="shared" ref="T76:Z76" si="36">T75*T84</f>
        <v>0</v>
      </c>
      <c r="U76" s="25">
        <f t="shared" si="36"/>
        <v>0</v>
      </c>
      <c r="V76" s="25">
        <f t="shared" si="36"/>
        <v>0</v>
      </c>
      <c r="W76" s="25">
        <f t="shared" si="36"/>
        <v>0</v>
      </c>
      <c r="X76" s="25">
        <f t="shared" si="36"/>
        <v>12</v>
      </c>
      <c r="Y76" s="25">
        <f t="shared" si="36"/>
        <v>2</v>
      </c>
      <c r="Z76" s="25">
        <f t="shared" si="36"/>
        <v>4</v>
      </c>
      <c r="AA76" s="25">
        <f t="shared" ref="AA76" si="37">AA75*AA84</f>
        <v>4</v>
      </c>
      <c r="AC76" s="24">
        <f>AA76</f>
        <v>4</v>
      </c>
    </row>
    <row r="77" spans="1:31" x14ac:dyDescent="0.2">
      <c r="B77" s="20" t="s">
        <v>240</v>
      </c>
      <c r="C77" s="25"/>
      <c r="D77" s="25"/>
      <c r="E77" s="25"/>
      <c r="F77" s="25"/>
      <c r="G77" s="25"/>
      <c r="H77" s="25"/>
      <c r="I77" s="25"/>
      <c r="J77" s="25"/>
      <c r="K77" s="25"/>
      <c r="L77" s="25"/>
      <c r="M77" s="25">
        <f t="shared" ref="M77:P77" si="38">M74+M76</f>
        <v>313</v>
      </c>
      <c r="N77" s="25">
        <f t="shared" si="38"/>
        <v>318</v>
      </c>
      <c r="O77" s="25">
        <f t="shared" si="38"/>
        <v>322</v>
      </c>
      <c r="P77" s="25">
        <f t="shared" si="38"/>
        <v>343</v>
      </c>
      <c r="Q77" s="25">
        <f>Q74+Q76</f>
        <v>357</v>
      </c>
      <c r="T77" s="25">
        <f t="shared" ref="T77:Z77" si="39">T74+T76</f>
        <v>343</v>
      </c>
      <c r="U77" s="25">
        <f t="shared" si="39"/>
        <v>346</v>
      </c>
      <c r="V77" s="25">
        <f t="shared" si="39"/>
        <v>348</v>
      </c>
      <c r="W77" s="25">
        <f t="shared" si="39"/>
        <v>349</v>
      </c>
      <c r="X77" s="25">
        <f t="shared" si="39"/>
        <v>357</v>
      </c>
      <c r="Y77" s="25">
        <f t="shared" si="39"/>
        <v>344</v>
      </c>
      <c r="Z77" s="25">
        <f t="shared" si="39"/>
        <v>343</v>
      </c>
      <c r="AA77" s="25">
        <f t="shared" ref="AA77" si="40">AA74+AA76</f>
        <v>349</v>
      </c>
      <c r="AC77" s="24">
        <f>AA77</f>
        <v>349</v>
      </c>
    </row>
    <row r="78" spans="1:31" x14ac:dyDescent="0.2">
      <c r="B78" s="20" t="s">
        <v>279</v>
      </c>
      <c r="C78" s="25"/>
      <c r="D78" s="25"/>
      <c r="E78" s="25"/>
      <c r="F78" s="25"/>
      <c r="G78" s="25"/>
      <c r="H78" s="25"/>
      <c r="I78" s="25"/>
      <c r="J78" s="25"/>
      <c r="K78" s="25"/>
      <c r="L78" s="25"/>
      <c r="M78" s="21">
        <v>1</v>
      </c>
      <c r="N78" s="21">
        <v>1</v>
      </c>
      <c r="O78" s="21">
        <v>1</v>
      </c>
      <c r="P78" s="21">
        <v>1</v>
      </c>
      <c r="Q78" s="21">
        <v>1</v>
      </c>
      <c r="T78" s="68"/>
      <c r="U78" s="68"/>
      <c r="V78" s="68"/>
      <c r="W78" s="68"/>
      <c r="X78" s="68"/>
      <c r="Y78" s="68"/>
      <c r="Z78" s="68"/>
      <c r="AA78" s="68"/>
      <c r="AC78" s="24">
        <f>Q78</f>
        <v>1</v>
      </c>
    </row>
    <row r="79" spans="1:31" x14ac:dyDescent="0.2">
      <c r="B79" s="20" t="s">
        <v>280</v>
      </c>
      <c r="C79" s="25"/>
      <c r="D79" s="25"/>
      <c r="E79" s="25"/>
      <c r="F79" s="25"/>
      <c r="G79" s="25"/>
      <c r="H79" s="25"/>
      <c r="I79" s="25"/>
      <c r="J79" s="25"/>
      <c r="K79" s="25"/>
      <c r="L79" s="25"/>
      <c r="M79" s="25">
        <f t="shared" ref="M79:P79" si="41">M78*M84</f>
        <v>1</v>
      </c>
      <c r="N79" s="25">
        <f t="shared" si="41"/>
        <v>1</v>
      </c>
      <c r="O79" s="25">
        <f t="shared" si="41"/>
        <v>1</v>
      </c>
      <c r="P79" s="25">
        <f t="shared" si="41"/>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c r="M80" s="44">
        <v>0</v>
      </c>
      <c r="N80" s="44">
        <v>0</v>
      </c>
      <c r="O80" s="44">
        <v>0</v>
      </c>
      <c r="P80" s="44">
        <v>0</v>
      </c>
      <c r="Q80" s="44">
        <v>0.1</v>
      </c>
      <c r="T80" s="44">
        <v>0</v>
      </c>
      <c r="U80" s="44">
        <v>0</v>
      </c>
      <c r="V80" s="44">
        <v>0</v>
      </c>
      <c r="W80" s="44">
        <v>0</v>
      </c>
      <c r="X80" s="44">
        <v>0.1</v>
      </c>
      <c r="Y80" s="44">
        <v>0.1</v>
      </c>
      <c r="Z80" s="44">
        <v>0.125</v>
      </c>
      <c r="AA80" s="44">
        <v>0.125</v>
      </c>
      <c r="AC80" s="72">
        <f>SUM(X80:AA80)</f>
        <v>0.45</v>
      </c>
    </row>
    <row r="81" spans="1:31" x14ac:dyDescent="0.2">
      <c r="B81" s="23" t="s">
        <v>71</v>
      </c>
      <c r="C81" s="39"/>
      <c r="D81" s="45"/>
      <c r="E81" s="45"/>
      <c r="F81" s="45"/>
      <c r="G81" s="45"/>
      <c r="H81" s="45"/>
      <c r="I81" s="45"/>
      <c r="J81" s="45"/>
      <c r="K81" s="45"/>
      <c r="L81" s="45"/>
      <c r="M81" s="45">
        <f t="shared" ref="M81:Q81" si="42">M80/M84</f>
        <v>0</v>
      </c>
      <c r="N81" s="45">
        <f t="shared" si="42"/>
        <v>0</v>
      </c>
      <c r="O81" s="45">
        <f t="shared" si="42"/>
        <v>0</v>
      </c>
      <c r="P81" s="45">
        <f t="shared" si="42"/>
        <v>0</v>
      </c>
      <c r="Q81" s="45">
        <f t="shared" si="42"/>
        <v>0.1</v>
      </c>
      <c r="T81" s="45">
        <f t="shared" ref="T81" si="43">T80/T84</f>
        <v>0</v>
      </c>
      <c r="U81" s="45">
        <f t="shared" ref="U81" si="44">U80/U84</f>
        <v>0</v>
      </c>
      <c r="V81" s="45">
        <f t="shared" ref="V81" si="45">V80/V84</f>
        <v>0</v>
      </c>
      <c r="W81" s="45">
        <f t="shared" ref="W81" si="46">W80/W84</f>
        <v>0</v>
      </c>
      <c r="X81" s="45">
        <f t="shared" ref="X81" si="47">X80/X84</f>
        <v>0.1</v>
      </c>
      <c r="Y81" s="45">
        <f t="shared" ref="Y81" si="48">Y80/Y84</f>
        <v>0.1</v>
      </c>
      <c r="Z81" s="45">
        <f t="shared" ref="Z81:AA81" si="49">Z80/Z84</f>
        <v>0.125</v>
      </c>
      <c r="AA81" s="45">
        <f t="shared" si="49"/>
        <v>0.125</v>
      </c>
      <c r="AC81" s="72">
        <f>SUM(X81:AA81)</f>
        <v>0.45</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0.11434735706580366</v>
      </c>
      <c r="N82" s="46">
        <f t="shared" si="50"/>
        <v>0.29345266132830899</v>
      </c>
      <c r="O82" s="46">
        <f t="shared" si="50"/>
        <v>0</v>
      </c>
      <c r="P82" s="46">
        <f t="shared" si="50"/>
        <v>0</v>
      </c>
      <c r="Q82" s="46">
        <f t="shared" si="50"/>
        <v>0</v>
      </c>
      <c r="T82" s="46">
        <f t="shared" ref="T82:AA82" si="51">IF(AND(T14&gt;0,T15&lt;0),-(T15)/T14,0)</f>
        <v>0</v>
      </c>
      <c r="U82" s="46">
        <f t="shared" si="51"/>
        <v>0.37037037037037035</v>
      </c>
      <c r="V82" s="46">
        <f t="shared" si="51"/>
        <v>0</v>
      </c>
      <c r="W82" s="46">
        <f t="shared" si="51"/>
        <v>0</v>
      </c>
      <c r="X82" s="46">
        <f t="shared" si="51"/>
        <v>0.2737752161383285</v>
      </c>
      <c r="Y82" s="46">
        <f t="shared" si="51"/>
        <v>0.11593118922961855</v>
      </c>
      <c r="Z82" s="46">
        <f t="shared" si="51"/>
        <v>6.1162079510703363E-2</v>
      </c>
      <c r="AA82" s="46">
        <f t="shared" si="51"/>
        <v>4.5846978267341472E-2</v>
      </c>
      <c r="AC82" s="46">
        <f>IF(AND(AC14&gt;0,AC15&lt;0),-(AC15)/AC14,0)</f>
        <v>7.4803711634546757E-2</v>
      </c>
    </row>
    <row r="83" spans="1:31" x14ac:dyDescent="0.2">
      <c r="B83" s="20" t="s">
        <v>73</v>
      </c>
      <c r="C83" s="21"/>
      <c r="D83" s="21"/>
      <c r="E83" s="21"/>
      <c r="F83" s="21"/>
      <c r="G83" s="21"/>
      <c r="H83" s="21"/>
      <c r="I83" s="21"/>
      <c r="J83" s="21"/>
      <c r="K83" s="21"/>
      <c r="L83" s="21"/>
      <c r="M83" s="21">
        <v>65600</v>
      </c>
      <c r="N83" s="21">
        <v>65000</v>
      </c>
      <c r="O83" s="21">
        <v>53000</v>
      </c>
      <c r="P83" s="21">
        <v>51000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0.11056612693535044</v>
      </c>
      <c r="O88" s="48">
        <f t="shared" si="52"/>
        <v>-0.66716330548608527</v>
      </c>
      <c r="P88" s="48">
        <f t="shared" si="52"/>
        <v>9.9120703437250192E-3</v>
      </c>
      <c r="Q88" s="48">
        <f t="shared" si="52"/>
        <v>0.50704448314073136</v>
      </c>
      <c r="R88" s="1"/>
      <c r="S88" s="1"/>
      <c r="T88" s="48">
        <f t="shared" ref="T88:AA92" si="53">IF(S5=0,
IF(T5=0,0,IF(T5&gt;0,1,-1)),
(T5-S5)/ABS(S5)
)</f>
        <v>1</v>
      </c>
      <c r="U88" s="48">
        <f t="shared" si="53"/>
        <v>0.10379241516966067</v>
      </c>
      <c r="V88" s="48">
        <f t="shared" si="53"/>
        <v>8.9059674502712474E-2</v>
      </c>
      <c r="W88" s="48">
        <f t="shared" si="53"/>
        <v>-4.7737650477376506E-2</v>
      </c>
      <c r="X88" s="48">
        <f t="shared" si="53"/>
        <v>0.13557105492589364</v>
      </c>
      <c r="Y88" s="48">
        <f t="shared" si="53"/>
        <v>8.1765834932821496E-2</v>
      </c>
      <c r="Z88" s="48">
        <f t="shared" si="53"/>
        <v>7.0617459190915541E-2</v>
      </c>
      <c r="AA88" s="48">
        <f t="shared" si="53"/>
        <v>0.10606562810739145</v>
      </c>
      <c r="AB88" s="1"/>
      <c r="AC88" s="67"/>
      <c r="AD88" s="1"/>
      <c r="AE88" s="1"/>
    </row>
    <row r="89" spans="1:31" x14ac:dyDescent="0.2">
      <c r="B89" s="20" t="s">
        <v>20</v>
      </c>
      <c r="C89" s="49"/>
      <c r="D89" s="50"/>
      <c r="E89" s="50"/>
      <c r="F89" s="50"/>
      <c r="G89" s="50"/>
      <c r="H89" s="50"/>
      <c r="I89" s="50"/>
      <c r="J89" s="50"/>
      <c r="K89" s="50"/>
      <c r="L89" s="50"/>
      <c r="M89" s="50">
        <f t="shared" si="52"/>
        <v>1</v>
      </c>
      <c r="N89" s="50">
        <f t="shared" si="52"/>
        <v>4.1770824933473109E-2</v>
      </c>
      <c r="O89" s="50">
        <f t="shared" si="52"/>
        <v>-0.62350027091880178</v>
      </c>
      <c r="P89" s="50">
        <f t="shared" si="52"/>
        <v>-6.5789473684210523E-2</v>
      </c>
      <c r="Q89" s="50">
        <f t="shared" si="52"/>
        <v>0.28257042253521125</v>
      </c>
      <c r="T89" s="50">
        <f t="shared" si="53"/>
        <v>1</v>
      </c>
      <c r="U89" s="50">
        <f t="shared" si="53"/>
        <v>7.5745983167559303E-2</v>
      </c>
      <c r="V89" s="50">
        <f t="shared" si="53"/>
        <v>6.8278805120910391E-2</v>
      </c>
      <c r="W89" s="50">
        <f t="shared" si="53"/>
        <v>-7.9893475366178426E-2</v>
      </c>
      <c r="X89" s="50">
        <f t="shared" si="53"/>
        <v>0.11287988422575977</v>
      </c>
      <c r="Y89" s="50">
        <f t="shared" si="53"/>
        <v>3.4460338101430427E-2</v>
      </c>
      <c r="Z89" s="50">
        <f t="shared" si="53"/>
        <v>2.8912633563796353E-2</v>
      </c>
      <c r="AA89" s="50">
        <f t="shared" si="53"/>
        <v>1.4660965180207697E-2</v>
      </c>
      <c r="AC89" s="68"/>
    </row>
    <row r="90" spans="1:31" s="41" customFormat="1" x14ac:dyDescent="0.2">
      <c r="A90" s="16"/>
      <c r="B90" s="17" t="s">
        <v>21</v>
      </c>
      <c r="C90" s="47"/>
      <c r="D90" s="48"/>
      <c r="E90" s="48"/>
      <c r="F90" s="48"/>
      <c r="G90" s="48"/>
      <c r="H90" s="48"/>
      <c r="I90" s="48"/>
      <c r="J90" s="48"/>
      <c r="K90" s="48"/>
      <c r="L90" s="48"/>
      <c r="M90" s="48">
        <f t="shared" si="52"/>
        <v>1</v>
      </c>
      <c r="N90" s="48">
        <f t="shared" si="52"/>
        <v>0.29927007299270075</v>
      </c>
      <c r="O90" s="48">
        <f t="shared" si="52"/>
        <v>-0.76319373510384747</v>
      </c>
      <c r="P90" s="48">
        <f t="shared" si="52"/>
        <v>0.27462257368799425</v>
      </c>
      <c r="Q90" s="48">
        <f t="shared" si="52"/>
        <v>1.0823463056965594</v>
      </c>
      <c r="R90" s="1"/>
      <c r="S90" s="1"/>
      <c r="T90" s="48">
        <f t="shared" si="53"/>
        <v>1</v>
      </c>
      <c r="U90" s="48">
        <f t="shared" si="53"/>
        <v>0.15638450502152079</v>
      </c>
      <c r="V90" s="48">
        <f t="shared" si="53"/>
        <v>0.12531017369727046</v>
      </c>
      <c r="W90" s="48">
        <f t="shared" si="53"/>
        <v>5.512679162072767E-3</v>
      </c>
      <c r="X90" s="48">
        <f t="shared" si="53"/>
        <v>0.16995614035087719</v>
      </c>
      <c r="Y90" s="48">
        <f t="shared" si="53"/>
        <v>0.14995313964386128</v>
      </c>
      <c r="Z90" s="48">
        <f t="shared" si="53"/>
        <v>0.12469437652811736</v>
      </c>
      <c r="AA90" s="48">
        <f t="shared" si="53"/>
        <v>0.2144927536231884</v>
      </c>
      <c r="AB90" s="1"/>
      <c r="AC90" s="67"/>
      <c r="AD90" s="1"/>
      <c r="AE90" s="1"/>
    </row>
    <row r="91" spans="1:31" x14ac:dyDescent="0.2">
      <c r="B91" s="20" t="s">
        <v>23</v>
      </c>
      <c r="C91" s="49"/>
      <c r="D91" s="50"/>
      <c r="E91" s="50"/>
      <c r="F91" s="50"/>
      <c r="G91" s="50"/>
      <c r="H91" s="50"/>
      <c r="I91" s="50"/>
      <c r="J91" s="50"/>
      <c r="K91" s="50"/>
      <c r="L91" s="50"/>
      <c r="M91" s="50">
        <f t="shared" si="52"/>
        <v>1</v>
      </c>
      <c r="N91" s="50">
        <f t="shared" si="52"/>
        <v>3.5666518056174767E-2</v>
      </c>
      <c r="O91" s="50">
        <f t="shared" si="52"/>
        <v>-0.57554885923374943</v>
      </c>
      <c r="P91" s="50">
        <f t="shared" si="52"/>
        <v>-3.6511156186612576E-2</v>
      </c>
      <c r="Q91" s="50">
        <f t="shared" si="52"/>
        <v>4.6315789473684213E-2</v>
      </c>
      <c r="T91" s="50">
        <f t="shared" si="53"/>
        <v>1</v>
      </c>
      <c r="U91" s="50">
        <f t="shared" si="53"/>
        <v>-1.8726591760299626E-2</v>
      </c>
      <c r="V91" s="50">
        <f t="shared" si="53"/>
        <v>-0.14122137404580154</v>
      </c>
      <c r="W91" s="50">
        <f t="shared" si="53"/>
        <v>8.8888888888888892E-2</v>
      </c>
      <c r="X91" s="50">
        <f t="shared" si="53"/>
        <v>6.9387755102040816E-2</v>
      </c>
      <c r="Y91" s="50">
        <f t="shared" si="53"/>
        <v>0.12213740458015267</v>
      </c>
      <c r="Z91" s="50">
        <f t="shared" si="53"/>
        <v>-1.7006802721088437E-2</v>
      </c>
      <c r="AA91" s="50">
        <f t="shared" si="53"/>
        <v>1.7301038062283738E-2</v>
      </c>
      <c r="AC91" s="68"/>
    </row>
    <row r="92" spans="1:31" x14ac:dyDescent="0.2">
      <c r="B92" s="20" t="s">
        <v>22</v>
      </c>
      <c r="C92" s="49"/>
      <c r="D92" s="50"/>
      <c r="E92" s="50"/>
      <c r="F92" s="50"/>
      <c r="G92" s="50"/>
      <c r="H92" s="50"/>
      <c r="I92" s="50"/>
      <c r="J92" s="50"/>
      <c r="K92" s="50"/>
      <c r="L92" s="50"/>
      <c r="M92" s="50">
        <f t="shared" si="52"/>
        <v>1</v>
      </c>
      <c r="N92" s="50">
        <f t="shared" si="52"/>
        <v>1.085972850678733E-2</v>
      </c>
      <c r="O92" s="50">
        <f t="shared" si="52"/>
        <v>-0.27752909579230078</v>
      </c>
      <c r="P92" s="50">
        <f t="shared" si="52"/>
        <v>-0.10037174721189591</v>
      </c>
      <c r="Q92" s="50">
        <f t="shared" si="52"/>
        <v>-0.21763085399449036</v>
      </c>
      <c r="T92" s="50">
        <f t="shared" si="53"/>
        <v>1</v>
      </c>
      <c r="U92" s="50">
        <f t="shared" si="53"/>
        <v>0.10869565217391304</v>
      </c>
      <c r="V92" s="50">
        <f t="shared" si="53"/>
        <v>-0.35294117647058826</v>
      </c>
      <c r="W92" s="50">
        <f t="shared" si="53"/>
        <v>-0.18181818181818182</v>
      </c>
      <c r="X92" s="50">
        <f t="shared" si="53"/>
        <v>0.14814814814814814</v>
      </c>
      <c r="Y92" s="50">
        <f t="shared" si="53"/>
        <v>0.11290322580645161</v>
      </c>
      <c r="Z92" s="50">
        <f t="shared" si="53"/>
        <v>-7.2463768115942032E-2</v>
      </c>
      <c r="AA92" s="50">
        <f t="shared" si="53"/>
        <v>0.1484375</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5.5134807634050285E-2</v>
      </c>
      <c r="O93" s="50">
        <f t="shared" si="54"/>
        <v>-0.44329600918748208</v>
      </c>
      <c r="P93" s="50">
        <f t="shared" si="54"/>
        <v>0.1222279525528623</v>
      </c>
      <c r="Q93" s="50">
        <f t="shared" si="54"/>
        <v>-0.37591911764705882</v>
      </c>
      <c r="T93" s="50">
        <f t="shared" ref="T93:AA93" si="55">IF(S10=0,
IF(T10=0,0,IF(T10&gt;0,1,-1)),
(T10-S10)/ABS(S10)
)</f>
        <v>1</v>
      </c>
      <c r="U93" s="50">
        <f t="shared" si="55"/>
        <v>-0.40101522842639592</v>
      </c>
      <c r="V93" s="50">
        <f t="shared" si="55"/>
        <v>-0.26483050847457629</v>
      </c>
      <c r="W93" s="50">
        <f t="shared" si="55"/>
        <v>-0.56195965417867433</v>
      </c>
      <c r="X93" s="50">
        <f t="shared" si="55"/>
        <v>1.5460526315789473</v>
      </c>
      <c r="Y93" s="50">
        <f t="shared" si="55"/>
        <v>0.12403100775193798</v>
      </c>
      <c r="Z93" s="50">
        <f t="shared" si="55"/>
        <v>8.5057471264367815E-2</v>
      </c>
      <c r="AA93" s="50">
        <f t="shared" si="55"/>
        <v>2.9661016949152543E-2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0.95983606557377055</v>
      </c>
      <c r="O94" s="48">
        <f>IF(N11=0,
IF(O11=0,0,IF(O11&gt;0,1,-1)),
(O11-N11)/ABS(N11)
)</f>
        <v>-1.2291928063571727</v>
      </c>
      <c r="P94" s="48">
        <f>IF(O11=0,
IF(P11=0,0,IF(P11&gt;0,1,-1)),
(P11-O11)/ABS(O11)
)</f>
        <v>0.26459854014598538</v>
      </c>
      <c r="Q94" s="48">
        <f>IF(P11=0,
IF(Q11=0,0,IF(Q11&gt;0,1,-1)),
(Q11-P11)/ABS(P11)
)</f>
        <v>6.7915632754342434</v>
      </c>
      <c r="R94" s="1"/>
      <c r="S94" s="1"/>
      <c r="T94" s="48">
        <f t="shared" ref="T94:AA94" si="56">IF(S11=0,
IF(T11=0,0,IF(T11&gt;0,1,-1)),
(T11-S11)/ABS(S11)
)</f>
        <v>-1</v>
      </c>
      <c r="U94" s="48">
        <f t="shared" si="56"/>
        <v>4.6703296703296706</v>
      </c>
      <c r="V94" s="48">
        <f t="shared" si="56"/>
        <v>0.67664670658682635</v>
      </c>
      <c r="W94" s="48">
        <f t="shared" si="56"/>
        <v>0.35714285714285715</v>
      </c>
      <c r="X94" s="48">
        <f t="shared" si="56"/>
        <v>-0.10526315789473684</v>
      </c>
      <c r="Y94" s="48">
        <f t="shared" si="56"/>
        <v>0.16470588235294117</v>
      </c>
      <c r="Z94" s="48">
        <f t="shared" si="56"/>
        <v>0.14646464646464646</v>
      </c>
      <c r="AA94" s="48">
        <f t="shared" si="56"/>
        <v>0.31057268722466963</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1.290183387270766</v>
      </c>
      <c r="O95" s="52">
        <f>IF(N14=0,
IF(O14=0,0,IF(O14&gt;0,1,-1)),
(O14-N14)/ABS(N14)
)</f>
        <v>-1.3999057936881771</v>
      </c>
      <c r="P95" s="52">
        <f>IF(O14=0,
IF(P14=0,0,IF(P14&gt;0,1,-1)),
(P14-O14)/ABS(O14)
)</f>
        <v>0.12956419316843346</v>
      </c>
      <c r="Q95" s="52">
        <f>IF(P14=0,
IF(Q14=0,0,IF(Q14&gt;0,1,-1)),
(Q14-P14)/ABS(P14)
)</f>
        <v>2.5290933694181326</v>
      </c>
      <c r="R95" s="1"/>
      <c r="S95" s="1"/>
      <c r="T95" s="52">
        <f t="shared" ref="T95:AA95" si="57">IF(S14=0,
IF(T14=0,0,IF(T14&gt;0,1,-1)),
(T14-S14)/ABS(S14)
)</f>
        <v>-1</v>
      </c>
      <c r="U95" s="52">
        <f t="shared" si="57"/>
        <v>2.2590673575129534</v>
      </c>
      <c r="V95" s="52">
        <f t="shared" si="57"/>
        <v>0.91769547325102885</v>
      </c>
      <c r="W95" s="52">
        <f t="shared" si="57"/>
        <v>-0.84120171673819744</v>
      </c>
      <c r="X95" s="52">
        <f t="shared" si="57"/>
        <v>3.689189189189189</v>
      </c>
      <c r="Y95" s="52">
        <f t="shared" si="57"/>
        <v>2.8530259365994235</v>
      </c>
      <c r="Z95" s="52">
        <f t="shared" si="57"/>
        <v>0.4674644727000748</v>
      </c>
      <c r="AA95" s="52">
        <f t="shared" si="57"/>
        <v>0.71202854230377166</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0.82704019488428748</v>
      </c>
      <c r="O96" s="52">
        <f>IF(N17=0,
IF(O17=0,0,IF(O17&gt;0,1,-1)),
(O17-N17)/ABS(N17)
)</f>
        <v>-1.6133333333333333</v>
      </c>
      <c r="P96" s="52">
        <f>IF(O17=0,
IF(P17=0,0,IF(P17&gt;0,1,-1)),
(P17-O17)/ABS(O17)
)</f>
        <v>0.16847826086956522</v>
      </c>
      <c r="Q96" s="52">
        <f>IF(P17=0,
IF(Q17=0,0,IF(Q17&gt;0,1,-1)),
(Q17-P17)/ABS(P17)
)</f>
        <v>3.1477124183006535</v>
      </c>
      <c r="R96" s="1"/>
      <c r="S96" s="1"/>
      <c r="T96" s="52">
        <f t="shared" ref="T96:AA96" si="58">IF(S17=0,
IF(T17=0,0,IF(T17&gt;0,1,-1)),
(T17-S17)/ABS(S17)
)</f>
        <v>-1</v>
      </c>
      <c r="U96" s="52">
        <f t="shared" si="58"/>
        <v>1.6219512195121952</v>
      </c>
      <c r="V96" s="52">
        <f t="shared" si="58"/>
        <v>2.0457516339869279</v>
      </c>
      <c r="W96" s="52">
        <f t="shared" si="58"/>
        <v>0.6566523605150214</v>
      </c>
      <c r="X96" s="52">
        <f t="shared" si="58"/>
        <v>-0.67357512953367871</v>
      </c>
      <c r="Y96" s="52">
        <f t="shared" si="58"/>
        <v>3.6904761904761907</v>
      </c>
      <c r="Z96" s="52">
        <f t="shared" si="58"/>
        <v>0.55837563451776651</v>
      </c>
      <c r="AA96" s="52">
        <f t="shared" si="58"/>
        <v>0.73995656894679696</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0.26716700153646139</v>
      </c>
      <c r="N99" s="50">
        <f>N7/N5</f>
        <v>0.31256318842122066</v>
      </c>
      <c r="O99" s="50">
        <f>O7/O5</f>
        <v>0.22238209432454037</v>
      </c>
      <c r="P99" s="50">
        <f>P7/P5</f>
        <v>0.28067120468576856</v>
      </c>
      <c r="Q99" s="50">
        <f>Q7/Q5</f>
        <v>0.38781512605042018</v>
      </c>
      <c r="T99" s="50">
        <f t="shared" ref="T99:AA99" si="59">T7/T5</f>
        <v>0.34780439121756485</v>
      </c>
      <c r="U99" s="50">
        <f t="shared" si="59"/>
        <v>0.36437613019891502</v>
      </c>
      <c r="V99" s="50">
        <f t="shared" si="59"/>
        <v>0.37650477376504776</v>
      </c>
      <c r="W99" s="50">
        <f t="shared" si="59"/>
        <v>0.39755884917175238</v>
      </c>
      <c r="X99" s="50">
        <f t="shared" si="59"/>
        <v>0.40959692898272554</v>
      </c>
      <c r="Y99" s="50">
        <f t="shared" si="59"/>
        <v>0.43541518807665008</v>
      </c>
      <c r="Z99" s="50">
        <f t="shared" si="59"/>
        <v>0.45740802121312563</v>
      </c>
      <c r="AA99" s="50">
        <f t="shared" si="59"/>
        <v>0.50224752771950854</v>
      </c>
      <c r="AC99" s="50">
        <f>AC7/AC5</f>
        <v>0.45427528232996517</v>
      </c>
    </row>
    <row r="100" spans="1:31" x14ac:dyDescent="0.2">
      <c r="B100" s="20" t="s">
        <v>78</v>
      </c>
      <c r="C100" s="50"/>
      <c r="D100" s="50"/>
      <c r="E100" s="50"/>
      <c r="F100" s="50"/>
      <c r="G100" s="50"/>
      <c r="H100" s="50"/>
      <c r="I100" s="50"/>
      <c r="J100" s="50"/>
      <c r="K100" s="50"/>
      <c r="L100" s="50"/>
      <c r="M100" s="50">
        <f>M11/M5</f>
        <v>7.2095496986171848E-2</v>
      </c>
      <c r="N100" s="50">
        <f>N11/N5</f>
        <v>0.12722822327462352</v>
      </c>
      <c r="O100" s="50">
        <f>O11/O5</f>
        <v>-8.7609912070343729E-2</v>
      </c>
      <c r="P100" s="50">
        <f>P11/P5</f>
        <v>-6.3796105746398601E-2</v>
      </c>
      <c r="Q100" s="50">
        <f>Q11/Q5</f>
        <v>0.24516806722689075</v>
      </c>
      <c r="T100" s="50">
        <f t="shared" ref="T100:AA100" si="60">T11/T5</f>
        <v>-4.5409181636726546E-2</v>
      </c>
      <c r="U100" s="50">
        <f t="shared" si="60"/>
        <v>0.15099457504520797</v>
      </c>
      <c r="V100" s="50">
        <f t="shared" si="60"/>
        <v>0.23246160232461602</v>
      </c>
      <c r="W100" s="50">
        <f t="shared" si="60"/>
        <v>0.33129904097646035</v>
      </c>
      <c r="X100" s="50">
        <f t="shared" si="60"/>
        <v>0.26103646833013433</v>
      </c>
      <c r="Y100" s="50">
        <f t="shared" si="60"/>
        <v>0.28105039034776436</v>
      </c>
      <c r="Z100" s="50">
        <f t="shared" si="60"/>
        <v>0.30096121975472323</v>
      </c>
      <c r="AA100" s="50">
        <f t="shared" si="60"/>
        <v>0.35660773149535513</v>
      </c>
      <c r="AC100" s="50">
        <f>AC11/AC5</f>
        <v>0.30313322577906088</v>
      </c>
    </row>
    <row r="101" spans="1:31" s="56" customFormat="1" x14ac:dyDescent="0.2">
      <c r="A101" s="1"/>
      <c r="B101" s="54" t="s">
        <v>79</v>
      </c>
      <c r="C101" s="55"/>
      <c r="D101" s="55"/>
      <c r="E101" s="55"/>
      <c r="F101" s="55"/>
      <c r="G101" s="55"/>
      <c r="H101" s="55"/>
      <c r="I101" s="55"/>
      <c r="J101" s="55"/>
      <c r="K101" s="55"/>
      <c r="L101" s="55"/>
      <c r="M101" s="55">
        <f>M109/M5</f>
        <v>4.8516723791514005E-2</v>
      </c>
      <c r="N101" s="55">
        <f>N109/N5</f>
        <v>7.9816953120842873E-2</v>
      </c>
      <c r="O101" s="55">
        <f>O109/O5</f>
        <v>-0.14708233413269384</v>
      </c>
      <c r="P101" s="55">
        <f>P109/P5</f>
        <v>-0.12110178882380877</v>
      </c>
      <c r="Q101" s="55">
        <f>Q109/Q5</f>
        <v>0.17258403361344538</v>
      </c>
      <c r="R101" s="1"/>
      <c r="S101" s="1"/>
      <c r="T101" s="55">
        <f t="shared" ref="T101:AA101" si="61">T109/T5</f>
        <v>-0.12275449101796407</v>
      </c>
      <c r="U101" s="55">
        <f t="shared" si="61"/>
        <v>6.9168173598553345E-2</v>
      </c>
      <c r="V101" s="55">
        <f t="shared" si="61"/>
        <v>0.19344126193441261</v>
      </c>
      <c r="W101" s="55">
        <f t="shared" si="61"/>
        <v>0.33653007846556232</v>
      </c>
      <c r="X101" s="55">
        <f t="shared" si="61"/>
        <v>9.6737044145873322E-2</v>
      </c>
      <c r="Y101" s="55">
        <f t="shared" si="61"/>
        <v>0.41944641589779985</v>
      </c>
      <c r="Z101" s="55">
        <f t="shared" si="61"/>
        <v>0.61054027179317205</v>
      </c>
      <c r="AA101" s="55">
        <f t="shared" si="61"/>
        <v>0.96044351213664969</v>
      </c>
      <c r="AB101" s="1"/>
      <c r="AC101" s="55">
        <f>AC109/AC5</f>
        <v>0.55030992612719709</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0.11434735706580366</v>
      </c>
      <c r="N104" s="81">
        <f t="shared" si="62"/>
        <v>0.29345266132830899</v>
      </c>
      <c r="O104" s="81">
        <f t="shared" si="62"/>
        <v>0</v>
      </c>
      <c r="P104" s="81">
        <f t="shared" si="62"/>
        <v>0</v>
      </c>
      <c r="Q104" s="81">
        <f t="shared" si="62"/>
        <v>0</v>
      </c>
      <c r="T104" s="81">
        <f t="shared" ref="T104:AA104" si="63">IF(AND(T82&gt;=0,T11&gt;=0),T82,0)</f>
        <v>0</v>
      </c>
      <c r="U104" s="81">
        <f t="shared" si="63"/>
        <v>0.37037037037037035</v>
      </c>
      <c r="V104" s="81">
        <f t="shared" si="63"/>
        <v>0</v>
      </c>
      <c r="W104" s="81">
        <f t="shared" si="63"/>
        <v>0</v>
      </c>
      <c r="X104" s="81">
        <f t="shared" si="63"/>
        <v>0.2737752161383285</v>
      </c>
      <c r="Y104" s="81">
        <f t="shared" si="63"/>
        <v>0.11593118922961855</v>
      </c>
      <c r="Z104" s="81">
        <f t="shared" si="63"/>
        <v>6.1162079510703363E-2</v>
      </c>
      <c r="AA104" s="81">
        <f t="shared" si="63"/>
        <v>4.5846978267341472E-2</v>
      </c>
      <c r="AC104" s="81">
        <f>IF(AND(AC82&gt;=0,AC11&gt;=0),AC82,0)</f>
        <v>7.4803711634546757E-2</v>
      </c>
    </row>
    <row r="105" spans="1:31" x14ac:dyDescent="0.2">
      <c r="B105" s="20" t="s">
        <v>177</v>
      </c>
      <c r="C105" s="25"/>
      <c r="D105" s="25"/>
      <c r="E105" s="25"/>
      <c r="F105" s="25"/>
      <c r="G105" s="25"/>
      <c r="H105" s="25"/>
      <c r="I105" s="25"/>
      <c r="J105" s="25"/>
      <c r="K105" s="25"/>
      <c r="L105" s="25"/>
      <c r="M105" s="25">
        <f>M28+M33</f>
        <v>3370</v>
      </c>
      <c r="N105" s="25">
        <f>N28+N33</f>
        <v>2327</v>
      </c>
      <c r="O105" s="25">
        <f>O28+O33</f>
        <v>2023</v>
      </c>
      <c r="P105" s="25">
        <f>P28+P33</f>
        <v>1879</v>
      </c>
      <c r="Q105" s="25">
        <f>Q28+Q33</f>
        <v>2114</v>
      </c>
      <c r="T105" s="25">
        <f t="shared" ref="T105:AA105" si="64">T28+T33</f>
        <v>1879</v>
      </c>
      <c r="U105" s="25">
        <f t="shared" si="64"/>
        <v>1705</v>
      </c>
      <c r="V105" s="25">
        <f t="shared" si="64"/>
        <v>2291</v>
      </c>
      <c r="W105" s="25">
        <f t="shared" si="64"/>
        <v>3477</v>
      </c>
      <c r="X105" s="25">
        <f t="shared" si="64"/>
        <v>2114</v>
      </c>
      <c r="Y105" s="25">
        <f t="shared" si="64"/>
        <v>2048</v>
      </c>
      <c r="Z105" s="25">
        <f t="shared" si="64"/>
        <v>1975</v>
      </c>
      <c r="AA105" s="25">
        <f t="shared" si="64"/>
        <v>2050</v>
      </c>
      <c r="AC105" s="25">
        <f>AA105</f>
        <v>2050</v>
      </c>
    </row>
    <row r="106" spans="1:31" x14ac:dyDescent="0.2">
      <c r="B106" s="20" t="s">
        <v>168</v>
      </c>
      <c r="C106" s="25">
        <v>0</v>
      </c>
      <c r="D106" s="25">
        <v>0</v>
      </c>
      <c r="E106" s="25">
        <v>0</v>
      </c>
      <c r="F106" s="25">
        <v>0</v>
      </c>
      <c r="G106" s="25">
        <v>0</v>
      </c>
      <c r="H106" s="25">
        <v>0</v>
      </c>
      <c r="I106" s="25">
        <v>0</v>
      </c>
      <c r="J106" s="25">
        <v>0</v>
      </c>
      <c r="K106" s="25">
        <v>0</v>
      </c>
      <c r="L106" s="25">
        <v>0</v>
      </c>
      <c r="M106" s="25">
        <f>M38+M40</f>
        <v>8725</v>
      </c>
      <c r="N106" s="25">
        <f>N38+N40</f>
        <v>7002</v>
      </c>
      <c r="O106" s="25">
        <f>O38+O40</f>
        <v>7070</v>
      </c>
      <c r="P106" s="25">
        <f>P38+P40</f>
        <v>7434</v>
      </c>
      <c r="Q106" s="25">
        <f>Q38+Q40</f>
        <v>4711</v>
      </c>
      <c r="T106" s="25">
        <f t="shared" ref="T106:AA106" si="65">T38+T40</f>
        <v>7434</v>
      </c>
      <c r="U106" s="25">
        <f t="shared" si="65"/>
        <v>7400</v>
      </c>
      <c r="V106" s="25">
        <f t="shared" si="65"/>
        <v>7366</v>
      </c>
      <c r="W106" s="25">
        <f t="shared" si="65"/>
        <v>7333</v>
      </c>
      <c r="X106" s="25">
        <f t="shared" si="65"/>
        <v>4711</v>
      </c>
      <c r="Y106" s="25">
        <f t="shared" si="65"/>
        <v>4683</v>
      </c>
      <c r="Z106" s="25">
        <f t="shared" si="65"/>
        <v>4655</v>
      </c>
      <c r="AA106" s="25">
        <f t="shared" si="65"/>
        <v>1581</v>
      </c>
      <c r="AC106" s="25">
        <f>AA106</f>
        <v>1581</v>
      </c>
    </row>
    <row r="107" spans="1:31" x14ac:dyDescent="0.2">
      <c r="B107" s="20" t="s">
        <v>161</v>
      </c>
      <c r="C107" s="25"/>
      <c r="D107" s="25"/>
      <c r="E107" s="25"/>
      <c r="F107" s="25"/>
      <c r="G107" s="25"/>
      <c r="H107" s="25"/>
      <c r="I107" s="25"/>
      <c r="J107" s="25"/>
      <c r="K107" s="25"/>
      <c r="L107" s="25"/>
      <c r="M107" s="126">
        <f>M11*(1-M104)</f>
        <v>1080.4962243797195</v>
      </c>
      <c r="N107" s="126">
        <f>N11*(1-N104)</f>
        <v>1689.354686764013</v>
      </c>
      <c r="O107" s="126">
        <f>O11*(1-O104)</f>
        <v>-548</v>
      </c>
      <c r="P107" s="126">
        <f>P11*(1-P104)</f>
        <v>-403</v>
      </c>
      <c r="Q107" s="25">
        <f>Q11*(1-Q104)</f>
        <v>2334</v>
      </c>
      <c r="T107" s="67"/>
      <c r="U107" s="67"/>
      <c r="V107" s="67"/>
      <c r="W107" s="67"/>
      <c r="X107" s="67"/>
      <c r="Y107" s="67"/>
      <c r="Z107" s="67"/>
      <c r="AA107" s="67"/>
      <c r="AC107" s="25">
        <f>AC11*(1-AC104)</f>
        <v>3302.9507494646678</v>
      </c>
    </row>
    <row r="108" spans="1:31" x14ac:dyDescent="0.2">
      <c r="B108" s="20" t="s">
        <v>303</v>
      </c>
      <c r="C108" s="25"/>
      <c r="D108" s="25"/>
      <c r="E108" s="25"/>
      <c r="F108" s="25"/>
      <c r="G108" s="25"/>
      <c r="H108" s="25"/>
      <c r="I108" s="25"/>
      <c r="J108" s="25"/>
      <c r="K108" s="25"/>
      <c r="L108" s="25"/>
      <c r="M108" s="126">
        <f>M59+M60</f>
        <v>-1146</v>
      </c>
      <c r="N108" s="126">
        <f>N59+N60</f>
        <v>-1122</v>
      </c>
      <c r="O108" s="126">
        <f>O59+O60</f>
        <v>-821</v>
      </c>
      <c r="P108" s="126">
        <f>P59+P60</f>
        <v>-487</v>
      </c>
      <c r="Q108" s="126">
        <f>Q59+Q60</f>
        <v>-412</v>
      </c>
      <c r="T108" s="126">
        <f t="shared" ref="T108:AA108" si="66">T59+T60</f>
        <v>-116</v>
      </c>
      <c r="U108" s="126">
        <f t="shared" si="66"/>
        <v>-96</v>
      </c>
      <c r="V108" s="126">
        <f t="shared" si="66"/>
        <v>-212</v>
      </c>
      <c r="W108" s="126">
        <f t="shared" si="66"/>
        <v>-341</v>
      </c>
      <c r="X108" s="126">
        <f t="shared" si="66"/>
        <v>-71</v>
      </c>
      <c r="Y108" s="126">
        <f t="shared" si="66"/>
        <v>-73</v>
      </c>
      <c r="Z108" s="126">
        <f t="shared" si="66"/>
        <v>-165</v>
      </c>
      <c r="AA108" s="126">
        <f t="shared" si="66"/>
        <v>-310</v>
      </c>
      <c r="AC108" s="126">
        <f>AC59+AC60</f>
        <v>-619</v>
      </c>
    </row>
    <row r="109" spans="1:31" x14ac:dyDescent="0.2">
      <c r="B109" s="20" t="s">
        <v>334</v>
      </c>
      <c r="C109" s="25"/>
      <c r="D109" s="25"/>
      <c r="E109" s="25"/>
      <c r="F109" s="25"/>
      <c r="G109" s="25"/>
      <c r="H109" s="25"/>
      <c r="I109" s="25"/>
      <c r="J109" s="25"/>
      <c r="K109" s="25"/>
      <c r="L109" s="25"/>
      <c r="M109" s="126">
        <f>M16+M17</f>
        <v>821</v>
      </c>
      <c r="N109" s="126">
        <f>N16+N17</f>
        <v>1500</v>
      </c>
      <c r="O109" s="126">
        <f>O16+O17</f>
        <v>-920</v>
      </c>
      <c r="P109" s="126">
        <f>P16+P17</f>
        <v>-765</v>
      </c>
      <c r="Q109" s="126">
        <f>Q16+Q17</f>
        <v>1643</v>
      </c>
      <c r="T109" s="126">
        <f t="shared" ref="T109:AA109" si="67">T16+T17</f>
        <v>-246</v>
      </c>
      <c r="U109" s="126">
        <f t="shared" si="67"/>
        <v>153</v>
      </c>
      <c r="V109" s="126">
        <f t="shared" si="67"/>
        <v>466</v>
      </c>
      <c r="W109" s="126">
        <f t="shared" si="67"/>
        <v>772</v>
      </c>
      <c r="X109" s="126">
        <f t="shared" si="67"/>
        <v>252</v>
      </c>
      <c r="Y109" s="126">
        <f t="shared" si="67"/>
        <v>1182</v>
      </c>
      <c r="Z109" s="126">
        <f t="shared" si="67"/>
        <v>1842</v>
      </c>
      <c r="AA109" s="126">
        <f t="shared" si="67"/>
        <v>3205</v>
      </c>
      <c r="AC109" s="126">
        <f>AC16+AC17</f>
        <v>6481</v>
      </c>
    </row>
    <row r="110" spans="1:31" x14ac:dyDescent="0.2">
      <c r="B110" s="20" t="s">
        <v>335</v>
      </c>
      <c r="C110" s="25"/>
      <c r="D110" s="25"/>
      <c r="E110" s="25"/>
      <c r="F110" s="25"/>
      <c r="G110" s="25"/>
      <c r="H110" s="25"/>
      <c r="I110" s="25"/>
      <c r="J110" s="25"/>
      <c r="K110" s="25"/>
      <c r="L110" s="25"/>
      <c r="M110" s="126">
        <f>M48+M47</f>
        <v>10721</v>
      </c>
      <c r="N110" s="126">
        <f>N48+N47</f>
        <v>12221</v>
      </c>
      <c r="O110" s="126">
        <f>O48+O47</f>
        <v>10847</v>
      </c>
      <c r="P110" s="126">
        <f>P48+P47</f>
        <v>10818</v>
      </c>
      <c r="Q110" s="126">
        <f>Q48+Q47</f>
        <v>5311</v>
      </c>
      <c r="T110" s="126">
        <f t="shared" ref="T110:AA110" si="68">T48+T47</f>
        <v>10818</v>
      </c>
      <c r="U110" s="126">
        <f t="shared" si="68"/>
        <v>11643</v>
      </c>
      <c r="V110" s="126">
        <f t="shared" si="68"/>
        <v>12117</v>
      </c>
      <c r="W110" s="126">
        <f t="shared" si="68"/>
        <v>5177</v>
      </c>
      <c r="X110" s="126">
        <f t="shared" si="68"/>
        <v>5311</v>
      </c>
      <c r="Y110" s="126">
        <f t="shared" si="68"/>
        <v>5888</v>
      </c>
      <c r="Z110" s="126">
        <f t="shared" si="68"/>
        <v>7111</v>
      </c>
      <c r="AA110" s="126">
        <f t="shared" si="68"/>
        <v>9680</v>
      </c>
      <c r="AC110" s="126">
        <f>AC48+AC47</f>
        <v>9680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52.51</v>
      </c>
      <c r="N114" s="26">
        <v>36.950000000000003</v>
      </c>
      <c r="O114" s="26">
        <v>39.06</v>
      </c>
      <c r="P114" s="26">
        <v>75.77</v>
      </c>
      <c r="Q114" s="26">
        <v>63.83</v>
      </c>
      <c r="T114" s="68"/>
      <c r="U114" s="68"/>
      <c r="V114" s="68"/>
      <c r="W114" s="68"/>
      <c r="X114" s="68"/>
      <c r="Y114" s="68"/>
      <c r="Z114" s="68"/>
      <c r="AA114" s="68"/>
      <c r="AC114" s="63">
        <f ca="1">Overview!C5</f>
        <v>463.51</v>
      </c>
    </row>
    <row r="115" spans="1:31" x14ac:dyDescent="0.2">
      <c r="B115" s="20" t="s">
        <v>347</v>
      </c>
      <c r="C115" s="26"/>
      <c r="D115" s="26"/>
      <c r="E115" s="26"/>
      <c r="F115" s="26"/>
      <c r="G115" s="26"/>
      <c r="H115" s="26"/>
      <c r="I115" s="26"/>
      <c r="J115" s="26"/>
      <c r="K115" s="26"/>
      <c r="L115" s="26"/>
      <c r="M115" s="65">
        <f>M114/M84</f>
        <v>52.51</v>
      </c>
      <c r="N115" s="65">
        <f>N114/N84</f>
        <v>36.950000000000003</v>
      </c>
      <c r="O115" s="65">
        <f>O114/O84</f>
        <v>39.06</v>
      </c>
      <c r="P115" s="65">
        <f>P114/P84</f>
        <v>75.77</v>
      </c>
      <c r="Q115" s="65">
        <f>Q114/Q84</f>
        <v>63.83</v>
      </c>
      <c r="T115" s="68"/>
      <c r="U115" s="68"/>
      <c r="V115" s="68"/>
      <c r="W115" s="68"/>
      <c r="X115" s="68"/>
      <c r="Y115" s="68"/>
      <c r="Z115" s="68"/>
      <c r="AA115" s="68"/>
      <c r="AC115" s="65">
        <f ca="1">AC114/AC84</f>
        <v>463.51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4.8516723791514005E-2</v>
      </c>
      <c r="N119" s="74">
        <f>N109/N5</f>
        <v>7.9816953120842873E-2</v>
      </c>
      <c r="O119" s="74">
        <f>O109/O5</f>
        <v>-0.14708233413269384</v>
      </c>
      <c r="P119" s="74">
        <f>P109/P5</f>
        <v>-0.12110178882380877</v>
      </c>
      <c r="Q119" s="74">
        <f>Q109/Q5</f>
        <v>0.17258403361344538</v>
      </c>
      <c r="T119" s="77"/>
      <c r="U119" s="77"/>
      <c r="V119" s="77"/>
      <c r="W119" s="77"/>
      <c r="X119" s="77"/>
      <c r="Y119" s="77"/>
      <c r="Z119" s="77"/>
      <c r="AA119" s="77"/>
      <c r="AC119" s="74">
        <f>AC109/AC5</f>
        <v>0.55030992612719709</v>
      </c>
    </row>
    <row r="120" spans="1:31" x14ac:dyDescent="0.2">
      <c r="B120" s="20" t="s">
        <v>100</v>
      </c>
      <c r="M120" s="75">
        <f>M5/M36</f>
        <v>0.64755854890555642</v>
      </c>
      <c r="N120" s="75">
        <f>N5/N36</f>
        <v>0.71567843406070297</v>
      </c>
      <c r="O120" s="75">
        <f>O5/O36</f>
        <v>0.25604813950632443</v>
      </c>
      <c r="P120" s="75">
        <f>P5/P36</f>
        <v>0.26116255994708121</v>
      </c>
      <c r="Q120" s="75">
        <f>Q5/Q36</f>
        <v>0.67990287101842595</v>
      </c>
      <c r="T120" s="78"/>
      <c r="U120" s="78"/>
      <c r="V120" s="78"/>
      <c r="W120" s="78"/>
      <c r="X120" s="78"/>
      <c r="Y120" s="78"/>
      <c r="Z120" s="78"/>
      <c r="AA120" s="78"/>
      <c r="AC120" s="75">
        <f>AC5/AC36</f>
        <v>0.78278497839813888</v>
      </c>
    </row>
    <row r="121" spans="1:31" x14ac:dyDescent="0.2">
      <c r="B121" s="32" t="s">
        <v>101</v>
      </c>
      <c r="M121" s="76">
        <f t="shared" ref="M121:P121" si="69">M119*M120</f>
        <v>3.1417419256084496E-2</v>
      </c>
      <c r="N121" s="76">
        <f t="shared" si="69"/>
        <v>5.7123272021021368E-2</v>
      </c>
      <c r="O121" s="76">
        <f t="shared" si="69"/>
        <v>-3.7660158008923819E-2</v>
      </c>
      <c r="P121" s="76">
        <f t="shared" si="69"/>
        <v>-3.1627253183396729E-2</v>
      </c>
      <c r="Q121" s="76">
        <f>Q119*Q120</f>
        <v>0.11734037994572204</v>
      </c>
      <c r="T121" s="79"/>
      <c r="U121" s="79"/>
      <c r="V121" s="79"/>
      <c r="W121" s="79"/>
      <c r="X121" s="79"/>
      <c r="Y121" s="79"/>
      <c r="Z121" s="79"/>
      <c r="AA121" s="79"/>
      <c r="AC121" s="76">
        <f>AC119*AC120</f>
        <v>0.43077434363575939</v>
      </c>
    </row>
    <row r="122" spans="1:31" x14ac:dyDescent="0.2">
      <c r="B122" s="20" t="s">
        <v>102</v>
      </c>
      <c r="M122" s="75">
        <f>M36/M48</f>
        <v>2.4374591922395301</v>
      </c>
      <c r="N122" s="75">
        <f>N36/N48</f>
        <v>2.1486785042140579</v>
      </c>
      <c r="O122" s="75">
        <f>O36/O48</f>
        <v>2.2521434498017885</v>
      </c>
      <c r="P122" s="75">
        <f>P36/P48</f>
        <v>2.2359031244222591</v>
      </c>
      <c r="Q122" s="75">
        <f>Q36/Q48</f>
        <v>2.6364149877612504</v>
      </c>
      <c r="T122" s="80"/>
      <c r="U122" s="80"/>
      <c r="V122" s="80"/>
      <c r="W122" s="80"/>
      <c r="X122" s="80"/>
      <c r="Y122" s="80"/>
      <c r="Z122" s="80"/>
      <c r="AA122" s="80"/>
      <c r="AC122" s="75">
        <f>AC36/AC48</f>
        <v>1.5542355371900827</v>
      </c>
    </row>
    <row r="123" spans="1:31" x14ac:dyDescent="0.2">
      <c r="B123" s="32" t="s">
        <v>103</v>
      </c>
      <c r="M123" s="76">
        <f t="shared" ref="M123:P123" si="70">M121*M122</f>
        <v>7.6578677362186376E-2</v>
      </c>
      <c r="N123" s="76">
        <f t="shared" si="70"/>
        <v>0.12273954668194094</v>
      </c>
      <c r="O123" s="76">
        <f t="shared" si="70"/>
        <v>-8.4816078178298143E-2</v>
      </c>
      <c r="P123" s="76">
        <f t="shared" si="70"/>
        <v>-7.0715474209650589E-2</v>
      </c>
      <c r="Q123" s="76">
        <f>Q121*Q122</f>
        <v>0.30935793635850123</v>
      </c>
      <c r="T123" s="79"/>
      <c r="U123" s="79"/>
      <c r="V123" s="79"/>
      <c r="W123" s="79"/>
      <c r="X123" s="79"/>
      <c r="Y123" s="79"/>
      <c r="Z123" s="79"/>
      <c r="AA123" s="79"/>
      <c r="AC123" s="76">
        <f>AC121*AC122</f>
        <v>0.66952479338842974</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4000</v>
      </c>
      <c r="U127" s="21">
        <v>4200</v>
      </c>
      <c r="V127" s="21">
        <v>3750</v>
      </c>
      <c r="W127" s="21">
        <v>2300</v>
      </c>
      <c r="X127" s="21">
        <v>2600</v>
      </c>
      <c r="Y127" s="21">
        <v>2800</v>
      </c>
      <c r="Z127" s="21">
        <v>3100</v>
      </c>
      <c r="AA127" s="21">
        <v>3550</v>
      </c>
      <c r="AC127" s="49"/>
    </row>
    <row r="128" spans="1:31" x14ac:dyDescent="0.2">
      <c r="B128" s="20" t="s">
        <v>234</v>
      </c>
      <c r="C128" s="49"/>
      <c r="D128" s="49"/>
      <c r="E128" s="49"/>
      <c r="F128" s="49"/>
      <c r="G128" s="49"/>
      <c r="H128" s="49"/>
      <c r="I128" s="49"/>
      <c r="J128" s="49"/>
      <c r="K128" s="49"/>
      <c r="L128" s="49"/>
      <c r="M128" s="49"/>
      <c r="N128" s="49"/>
      <c r="O128" s="49"/>
      <c r="P128" s="49"/>
      <c r="Q128" s="49"/>
      <c r="T128" s="21">
        <v>4200</v>
      </c>
      <c r="U128" s="21">
        <v>4400</v>
      </c>
      <c r="V128" s="21">
        <v>3950</v>
      </c>
      <c r="W128" s="21">
        <v>2600</v>
      </c>
      <c r="X128" s="21">
        <v>2800</v>
      </c>
      <c r="Y128" s="21">
        <v>3000</v>
      </c>
      <c r="Z128" s="21">
        <v>3300</v>
      </c>
      <c r="AA128" s="21">
        <v>3750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1">U5</f>
        <v>2212</v>
      </c>
      <c r="U129" s="25">
        <f t="shared" si="71"/>
        <v>2409</v>
      </c>
      <c r="V129" s="25">
        <f t="shared" si="71"/>
        <v>2294</v>
      </c>
      <c r="W129" s="25">
        <f t="shared" si="71"/>
        <v>2605</v>
      </c>
      <c r="X129" s="25">
        <f t="shared" si="71"/>
        <v>2818</v>
      </c>
      <c r="Y129" s="25">
        <f t="shared" si="71"/>
        <v>3017</v>
      </c>
      <c r="Z129" s="25">
        <f t="shared" si="71"/>
        <v>3337</v>
      </c>
      <c r="AA129" s="25">
        <f t="shared" si="71"/>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2">IF(T129&gt;T128, "BEAT", IF(T129&lt;T127, "MISSED", "MET"))</f>
        <v>MISSED</v>
      </c>
      <c r="U130" s="225" t="str">
        <f t="shared" si="72"/>
        <v>MISSED</v>
      </c>
      <c r="V130" s="225" t="str">
        <f t="shared" si="72"/>
        <v>MISSED</v>
      </c>
      <c r="W130" s="225" t="str">
        <f t="shared" si="72"/>
        <v>BEAT</v>
      </c>
      <c r="X130" s="225" t="str">
        <f t="shared" si="72"/>
        <v>BEAT</v>
      </c>
      <c r="Y130" s="225" t="str">
        <f t="shared" si="72"/>
        <v>BEAT</v>
      </c>
      <c r="Z130" s="225" t="str">
        <f t="shared" si="72"/>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1.55</v>
      </c>
      <c r="U131" s="26">
        <v>1.75</v>
      </c>
      <c r="V131" s="26">
        <v>0.9</v>
      </c>
      <c r="W131" s="26">
        <v>1.25</v>
      </c>
      <c r="X131" s="26">
        <v>1.39</v>
      </c>
      <c r="Y131" s="26">
        <v>1.73</v>
      </c>
      <c r="Z131" s="26">
        <v>2.15</v>
      </c>
      <c r="AA131" s="26">
        <v>3.1</v>
      </c>
      <c r="AC131" s="49"/>
    </row>
    <row r="132" spans="2:29" x14ac:dyDescent="0.2">
      <c r="B132" s="20" t="s">
        <v>368</v>
      </c>
      <c r="C132" s="49"/>
      <c r="D132" s="49"/>
      <c r="E132" s="49"/>
      <c r="F132" s="49"/>
      <c r="G132" s="49"/>
      <c r="H132" s="49"/>
      <c r="I132" s="49"/>
      <c r="J132" s="49"/>
      <c r="K132" s="49"/>
      <c r="L132" s="49"/>
      <c r="M132" s="49"/>
      <c r="N132" s="49"/>
      <c r="O132" s="49"/>
      <c r="P132" s="49"/>
      <c r="Q132" s="49"/>
      <c r="T132" s="26">
        <v>1.85</v>
      </c>
      <c r="U132" s="26">
        <v>2.0499999999999998</v>
      </c>
      <c r="V132" s="26">
        <v>1.2</v>
      </c>
      <c r="W132" s="26">
        <v>1.65</v>
      </c>
      <c r="X132" s="26">
        <v>1.69</v>
      </c>
      <c r="Y132" s="26">
        <v>2.0299999999999998</v>
      </c>
      <c r="Z132" s="26">
        <v>2.4500000000000002</v>
      </c>
      <c r="AA132" s="26">
        <v>3.4</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3">U24</f>
        <v>0.42</v>
      </c>
      <c r="U133" s="229">
        <f t="shared" si="73"/>
        <v>1.27</v>
      </c>
      <c r="V133" s="229">
        <f t="shared" si="73"/>
        <v>2.11</v>
      </c>
      <c r="W133" s="229">
        <f t="shared" si="73"/>
        <v>0.67</v>
      </c>
      <c r="X133" s="229">
        <f t="shared" si="73"/>
        <v>3.07</v>
      </c>
      <c r="Y133" s="229">
        <f t="shared" si="73"/>
        <v>4.7300000000000004</v>
      </c>
      <c r="Z133" s="229">
        <f t="shared" si="73"/>
        <v>8.1999999999999993</v>
      </c>
      <c r="AA133" s="229">
        <f t="shared" si="73"/>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4">IF(T133&gt;T132, "BEAT", IF(T133&lt;T131, "MISSED", "MET"))</f>
        <v>MISSED</v>
      </c>
      <c r="U134" s="225" t="str">
        <f t="shared" si="74"/>
        <v>MISSED</v>
      </c>
      <c r="V134" s="225" t="str">
        <f t="shared" si="74"/>
        <v>BEAT</v>
      </c>
      <c r="W134" s="225" t="str">
        <f t="shared" si="74"/>
        <v>MISSED</v>
      </c>
      <c r="X134" s="225" t="str">
        <f t="shared" si="74"/>
        <v>BEAT</v>
      </c>
      <c r="Y134" s="225" t="str">
        <f t="shared" si="74"/>
        <v>BEAT</v>
      </c>
      <c r="Z134" s="225" t="str">
        <f t="shared" si="74"/>
        <v>BEAT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6.7211758172413497E-2</v>
      </c>
      <c r="N138" s="81">
        <f>N107/(N106+N110-N105)</f>
        <v>9.9985480987453412E-2</v>
      </c>
      <c r="O138" s="81">
        <f>O107/(O106+O110-O105)</f>
        <v>-3.4478419529382159E-2</v>
      </c>
      <c r="P138" s="81">
        <f>P107/(P106+P110-P105)</f>
        <v>-2.4613693275514565E-2</v>
      </c>
      <c r="Q138" s="81">
        <f>Q107/(Q106+Q110-Q105)</f>
        <v>0.29514415781487102</v>
      </c>
      <c r="T138" s="49"/>
      <c r="U138" s="49"/>
      <c r="V138" s="49"/>
      <c r="W138" s="49"/>
      <c r="X138" s="49"/>
      <c r="Y138" s="49"/>
      <c r="Z138" s="49"/>
      <c r="AA138" s="49"/>
      <c r="AC138" s="81">
        <f>AC107/(AC106+AC110-AC105)</f>
        <v>0.35858763972040686</v>
      </c>
    </row>
    <row r="139" spans="2:29" x14ac:dyDescent="0.2">
      <c r="B139" s="20" t="s">
        <v>138</v>
      </c>
      <c r="M139" s="118">
        <f t="shared" ref="M139:Q140" si="75">M29/M5*365</f>
        <v>48.682484339912541</v>
      </c>
      <c r="N139" s="118">
        <f t="shared" si="75"/>
        <v>54.459639227371895</v>
      </c>
      <c r="O139" s="118">
        <f t="shared" si="75"/>
        <v>93.248601119104706</v>
      </c>
      <c r="P139" s="118">
        <f t="shared" si="75"/>
        <v>125.15276238720912</v>
      </c>
      <c r="Q139" s="118">
        <f t="shared" si="75"/>
        <v>56.97373949579832</v>
      </c>
      <c r="T139" s="118">
        <f t="shared" ref="T139:AA139" si="76">T29/T5*90</f>
        <v>97.275449101796411</v>
      </c>
      <c r="U139" s="118">
        <f t="shared" si="76"/>
        <v>100.00904159132007</v>
      </c>
      <c r="V139" s="118">
        <f t="shared" si="76"/>
        <v>97.023661270236616</v>
      </c>
      <c r="W139" s="118">
        <f t="shared" si="76"/>
        <v>57.632955536181342</v>
      </c>
      <c r="X139" s="118">
        <f t="shared" si="76"/>
        <v>51.339731285988485</v>
      </c>
      <c r="Y139" s="118">
        <f t="shared" si="76"/>
        <v>43.275372604684172</v>
      </c>
      <c r="Z139" s="118">
        <f t="shared" si="76"/>
        <v>50.265164070268483</v>
      </c>
      <c r="AA139" s="118">
        <f t="shared" si="76"/>
        <v>51.081810008990111</v>
      </c>
      <c r="AC139" s="118">
        <f>AC29/AC5*365</f>
        <v>58.700008491126773</v>
      </c>
    </row>
    <row r="140" spans="2:29" x14ac:dyDescent="0.2">
      <c r="B140" s="20" t="s">
        <v>139</v>
      </c>
      <c r="M140" s="118">
        <f t="shared" si="75"/>
        <v>106.43012660269333</v>
      </c>
      <c r="N140" s="118">
        <f t="shared" si="75"/>
        <v>102.78427122842326</v>
      </c>
      <c r="O140" s="118">
        <f t="shared" si="75"/>
        <v>277.5020559210526</v>
      </c>
      <c r="P140" s="118">
        <f t="shared" si="75"/>
        <v>268.44850352112672</v>
      </c>
      <c r="Q140" s="118">
        <f t="shared" si="75"/>
        <v>80.853637611530544</v>
      </c>
      <c r="T140" s="118">
        <f t="shared" ref="T140:AA140" si="77">T30/T6*365</f>
        <v>933.3052792654936</v>
      </c>
      <c r="U140" s="118">
        <f t="shared" si="77"/>
        <v>878.49217638691323</v>
      </c>
      <c r="V140" s="118">
        <f t="shared" si="77"/>
        <v>831.09187749667115</v>
      </c>
      <c r="W140" s="118">
        <f t="shared" si="77"/>
        <v>346.24819102749638</v>
      </c>
      <c r="X140" s="118">
        <f t="shared" si="77"/>
        <v>306.38166449934982</v>
      </c>
      <c r="Y140" s="118">
        <f t="shared" si="77"/>
        <v>319.5757385292269</v>
      </c>
      <c r="Z140" s="118">
        <f t="shared" si="77"/>
        <v>300.7849725106903</v>
      </c>
      <c r="AA140" s="118">
        <f t="shared" si="77"/>
        <v>298.19686935580978</v>
      </c>
      <c r="AC140" s="118">
        <f>AC30/AC6*365</f>
        <v>77.066282869145795</v>
      </c>
    </row>
    <row r="141" spans="2:29" x14ac:dyDescent="0.2">
      <c r="B141" s="20" t="s">
        <v>140</v>
      </c>
      <c r="M141" s="118">
        <f>M37/M6*365</f>
        <v>56.923635190710428</v>
      </c>
      <c r="N141" s="118">
        <f>N37/N6*365</f>
        <v>53.737131356916173</v>
      </c>
      <c r="O141" s="118">
        <f>O37/O6*365</f>
        <v>97.028166118421055</v>
      </c>
      <c r="P141" s="118">
        <f>P37/P6*365</f>
        <v>113.33956866197184</v>
      </c>
      <c r="Q141" s="118">
        <f>Q37/Q6*365</f>
        <v>79.287920384351409</v>
      </c>
      <c r="T141" s="118">
        <f t="shared" ref="T141:AA141" si="78">T37/T6*90</f>
        <v>97.161438408569239</v>
      </c>
      <c r="U141" s="118">
        <f t="shared" si="78"/>
        <v>101.0099573257468</v>
      </c>
      <c r="V141" s="118">
        <f t="shared" si="78"/>
        <v>97.490013315579233</v>
      </c>
      <c r="W141" s="118">
        <f t="shared" si="78"/>
        <v>83.813314037626625</v>
      </c>
      <c r="X141" s="118">
        <f t="shared" si="78"/>
        <v>74.083224967490253</v>
      </c>
      <c r="Y141" s="118">
        <f t="shared" si="78"/>
        <v>86.719044626021372</v>
      </c>
      <c r="Z141" s="118">
        <f t="shared" si="78"/>
        <v>82.30299328039095</v>
      </c>
      <c r="AA141" s="118">
        <f t="shared" si="78"/>
        <v>85.990367248645398</v>
      </c>
      <c r="AC141" s="118">
        <f>AC37/AC6*365</f>
        <v>90.128364711373891</v>
      </c>
    </row>
    <row r="142" spans="2:29" x14ac:dyDescent="0.2">
      <c r="B142" s="20" t="s">
        <v>141</v>
      </c>
      <c r="M142" s="118">
        <f>M139+M140-M141</f>
        <v>98.188975751895441</v>
      </c>
      <c r="N142" s="118">
        <f t="shared" ref="N142:Q142" si="79">N139+N140-N141</f>
        <v>103.50677909887901</v>
      </c>
      <c r="O142" s="118">
        <f t="shared" si="79"/>
        <v>273.72249092173627</v>
      </c>
      <c r="P142" s="118">
        <f t="shared" si="79"/>
        <v>280.26169724636401</v>
      </c>
      <c r="Q142" s="118">
        <f t="shared" si="79"/>
        <v>58.539456722977448</v>
      </c>
      <c r="T142" s="118">
        <f t="shared" ref="T142" si="80">T139+T140-T141</f>
        <v>933.41928995872081</v>
      </c>
      <c r="U142" s="118">
        <f t="shared" ref="U142" si="81">U139+U140-U141</f>
        <v>877.49126065248652</v>
      </c>
      <c r="V142" s="118">
        <f t="shared" ref="V142" si="82">V139+V140-V141</f>
        <v>830.62552545132849</v>
      </c>
      <c r="W142" s="118">
        <f t="shared" ref="W142" si="83">W139+W140-W141</f>
        <v>320.06783252605106</v>
      </c>
      <c r="X142" s="118">
        <f t="shared" ref="X142" si="84">X139+X140-X141</f>
        <v>283.63817081784805</v>
      </c>
      <c r="Y142" s="118">
        <f t="shared" ref="Y142" si="85">Y139+Y140-Y141</f>
        <v>276.1320665078897</v>
      </c>
      <c r="Z142" s="118">
        <f t="shared" ref="Z142:AA142" si="86">Z139+Z140-Z141</f>
        <v>268.74714330056781</v>
      </c>
      <c r="AA142" s="118">
        <f t="shared" si="86"/>
        <v>263.28831211615449</v>
      </c>
      <c r="AC142" s="118">
        <f t="shared" ref="AC142" si="87">AC139+AC140-AC141</f>
        <v>45.63792664889867</v>
      </c>
    </row>
    <row r="143" spans="2:29" x14ac:dyDescent="0.2">
      <c r="B143" s="20" t="s">
        <v>255</v>
      </c>
      <c r="M143" s="118">
        <f>M106/M48</f>
        <v>0.81382333737524482</v>
      </c>
      <c r="N143" s="118">
        <f>N106/N48</f>
        <v>0.57294820391130019</v>
      </c>
      <c r="O143" s="118">
        <f>O106/O48</f>
        <v>0.65179312252235644</v>
      </c>
      <c r="P143" s="118">
        <f>P106/P48</f>
        <v>0.68718801996672207</v>
      </c>
      <c r="Q143" s="118">
        <f>Q106/Q48</f>
        <v>0.88702692524948223</v>
      </c>
      <c r="T143" s="118">
        <f t="shared" ref="T143:AA143" si="88">T106/T48</f>
        <v>0.68718801996672207</v>
      </c>
      <c r="U143" s="118">
        <f t="shared" si="88"/>
        <v>0.63557502361934204</v>
      </c>
      <c r="V143" s="118">
        <f t="shared" si="88"/>
        <v>0.60790624742097876</v>
      </c>
      <c r="W143" s="118">
        <f t="shared" si="88"/>
        <v>1.4164574077651149</v>
      </c>
      <c r="X143" s="118">
        <f t="shared" si="88"/>
        <v>0.88702692524948223</v>
      </c>
      <c r="Y143" s="118">
        <f t="shared" si="88"/>
        <v>0.79534646739130432</v>
      </c>
      <c r="Z143" s="118">
        <f t="shared" si="88"/>
        <v>0.65461960343130365</v>
      </c>
      <c r="AA143" s="118">
        <f t="shared" si="88"/>
        <v>0.16332644628099174</v>
      </c>
      <c r="AC143" s="118">
        <f>AC106/AC48</f>
        <v>0.16332644628099174</v>
      </c>
    </row>
    <row r="144" spans="2:29" x14ac:dyDescent="0.2">
      <c r="B144" s="20" t="s">
        <v>259</v>
      </c>
      <c r="M144" s="179">
        <f>(M106-M105)/M48</f>
        <v>0.49948698815409009</v>
      </c>
      <c r="N144" s="179">
        <f>(N106-N105)/N48</f>
        <v>0.38253825382538253</v>
      </c>
      <c r="O144" s="179">
        <f>(O106-O105)/O48</f>
        <v>0.46528994191942474</v>
      </c>
      <c r="P144" s="179">
        <f>(P106-P105)/P48</f>
        <v>0.51349602514327974</v>
      </c>
      <c r="Q144" s="179">
        <f>(Q106-Q105)/Q48</f>
        <v>0.48898512521182452</v>
      </c>
      <c r="T144" s="179">
        <f t="shared" ref="T144:AA144" si="89">(T106-T105)/T48</f>
        <v>0.51349602514327974</v>
      </c>
      <c r="U144" s="179">
        <f t="shared" si="89"/>
        <v>0.48913510263677745</v>
      </c>
      <c r="V144" s="179">
        <f t="shared" si="89"/>
        <v>0.41883304448295783</v>
      </c>
      <c r="W144" s="179">
        <f t="shared" si="89"/>
        <v>0.74483291481553027</v>
      </c>
      <c r="X144" s="179">
        <f t="shared" si="89"/>
        <v>0.48898512521182452</v>
      </c>
      <c r="Y144" s="179">
        <f t="shared" si="89"/>
        <v>0.44752038043478259</v>
      </c>
      <c r="Z144" s="179">
        <f t="shared" si="89"/>
        <v>0.37688088876388692</v>
      </c>
      <c r="AA144" s="179">
        <f t="shared" si="89"/>
        <v>-4.8450413223140497E-2</v>
      </c>
      <c r="AC144" s="179">
        <f>(AC106-AC105)/AC48</f>
        <v>-4.8450413223140497E-2</v>
      </c>
    </row>
    <row r="145" spans="2:29" x14ac:dyDescent="0.2">
      <c r="B145" s="20" t="s">
        <v>256</v>
      </c>
      <c r="M145" s="118">
        <f>(M105+M29)/M39</f>
        <v>1.1554414784394251</v>
      </c>
      <c r="N145" s="118">
        <f>(N105+N29)/N39</f>
        <v>0.97975940423906815</v>
      </c>
      <c r="O145" s="118">
        <f>(O105+O29)/O39</f>
        <v>0.66635995583364005</v>
      </c>
      <c r="P145" s="118">
        <f>(P105+P29)/P39</f>
        <v>0.66453096763594544</v>
      </c>
      <c r="Q145" s="118">
        <f>(Q105+Q29)/Q39</f>
        <v>0.66445182724252494</v>
      </c>
      <c r="T145" s="118">
        <f t="shared" ref="T145:AA145" si="90">(T105+T29)/T39</f>
        <v>0.66453096763594544</v>
      </c>
      <c r="U145" s="118">
        <f t="shared" si="90"/>
        <v>0.68346741093416519</v>
      </c>
      <c r="V145" s="118">
        <f t="shared" si="90"/>
        <v>1.0386740331491713</v>
      </c>
      <c r="W145" s="118">
        <f t="shared" si="90"/>
        <v>0.95445773832497105</v>
      </c>
      <c r="X145" s="118">
        <f t="shared" si="90"/>
        <v>0.66445182724252494</v>
      </c>
      <c r="Y145" s="118">
        <f t="shared" si="90"/>
        <v>0.65783877827179582</v>
      </c>
      <c r="Z145" s="118">
        <f t="shared" si="90"/>
        <v>0.70670013516122798</v>
      </c>
      <c r="AA145" s="118">
        <f t="shared" si="90"/>
        <v>0.85054992452016387</v>
      </c>
      <c r="AC145" s="118">
        <f>(AC105+AC29)/AC39</f>
        <v>0.85054992452016387</v>
      </c>
    </row>
    <row r="146" spans="2:29" x14ac:dyDescent="0.2">
      <c r="B146" s="20" t="s">
        <v>257</v>
      </c>
      <c r="M146" s="118">
        <f>M31/M39</f>
        <v>2.0034907597535936</v>
      </c>
      <c r="N146" s="118">
        <f>N31/N39</f>
        <v>1.8050410540385717</v>
      </c>
      <c r="O146" s="118">
        <f>O31/O39</f>
        <v>1.4512329775487671</v>
      </c>
      <c r="P146" s="118">
        <f>P31/P39</f>
        <v>1.3241333990471498</v>
      </c>
      <c r="Q146" s="118">
        <f>Q31/Q39</f>
        <v>1.0808416389811739</v>
      </c>
      <c r="T146" s="118">
        <f t="shared" ref="T146:AA146" si="91">T31/T39</f>
        <v>1.3241333990471498</v>
      </c>
      <c r="U146" s="118">
        <f t="shared" si="91"/>
        <v>1.4680676407814808</v>
      </c>
      <c r="V146" s="118">
        <f t="shared" si="91"/>
        <v>1.9915002124946877</v>
      </c>
      <c r="W146" s="118">
        <f t="shared" si="91"/>
        <v>1.5604013894249325</v>
      </c>
      <c r="X146" s="118">
        <f t="shared" si="91"/>
        <v>1.0808416389811739</v>
      </c>
      <c r="Y146" s="118">
        <f t="shared" si="91"/>
        <v>1.2130291900251304</v>
      </c>
      <c r="Z146" s="118">
        <f t="shared" si="91"/>
        <v>1.4541417262019696</v>
      </c>
      <c r="AA146" s="118">
        <f t="shared" si="91"/>
        <v>1.4904032779814536</v>
      </c>
      <c r="AC146" s="118">
        <f>AC31/AC39</f>
        <v>1.4904032779814536</v>
      </c>
    </row>
    <row r="147" spans="2:29" x14ac:dyDescent="0.2">
      <c r="B147" s="20" t="s">
        <v>263</v>
      </c>
      <c r="M147" s="181">
        <f>IF(M12&gt;=0,"N/A",IF(M11&lt;=0,"N/A",M11/-M12))</f>
        <v>3.8244514106583072</v>
      </c>
      <c r="N147" s="181">
        <f>IF(N12&gt;=0,"N/A",IF(N11&lt;=0,"N/A",N11/-N12))</f>
        <v>8.0234899328859068</v>
      </c>
      <c r="O147" s="181" t="str">
        <f>IF(O12&gt;=0,"N/A",IF(O11&lt;=0,"N/A",O11/-O12))</f>
        <v>N/A</v>
      </c>
      <c r="P147" s="181" t="str">
        <f>IF(P12&gt;=0,"N/A",IF(P11&lt;=0,"N/A",P11/-P12))</f>
        <v>N/A</v>
      </c>
      <c r="Q147" s="181">
        <f>IF(Q12&gt;=0,"N/A",IF(Q11&lt;=0,"N/A",Q11/-Q12))</f>
        <v>7.4807692307692308</v>
      </c>
      <c r="T147" s="181" t="str">
        <f t="shared" ref="T147:AA147" si="92">IF(T12&gt;=0,"N/A",IF(T11&lt;=0,"N/A",T11/-T12))</f>
        <v>N/A</v>
      </c>
      <c r="U147" s="181">
        <f t="shared" si="92"/>
        <v>3.6304347826086958</v>
      </c>
      <c r="V147" s="181">
        <f t="shared" si="92"/>
        <v>6.666666666666667</v>
      </c>
      <c r="W147" s="181">
        <f t="shared" si="92"/>
        <v>9.3827160493827169</v>
      </c>
      <c r="X147" s="181">
        <f t="shared" si="92"/>
        <v>2.0420420420420422</v>
      </c>
      <c r="Y147" s="181">
        <f t="shared" si="92"/>
        <v>18.857142857142858</v>
      </c>
      <c r="Z147" s="181">
        <f t="shared" si="92"/>
        <v>21.61904761904762</v>
      </c>
      <c r="AA147" s="181">
        <f t="shared" si="92"/>
        <v>45.769230769230766</v>
      </c>
      <c r="AC147" s="181">
        <f>IF(AC12&gt;=0,"N/A",IF(AC11&lt;=0,"N/A",AC11/-AC12))</f>
        <v>8.0586907449209928</v>
      </c>
    </row>
    <row r="148" spans="2:29" x14ac:dyDescent="0.2">
      <c r="B148" s="20" t="s">
        <v>241</v>
      </c>
      <c r="M148" s="72">
        <f>M115/Statement!M25</f>
        <v>19.740601503759397</v>
      </c>
      <c r="N148" s="72">
        <f>N115/Statement!N25</f>
        <v>7.7789473684210533</v>
      </c>
      <c r="O148" s="72">
        <f>O115/Statement!O25</f>
        <v>-13.422680412371134</v>
      </c>
      <c r="P148" s="72">
        <f>P115/Statement!P25</f>
        <v>-30.187250996015937</v>
      </c>
      <c r="Q148" s="72">
        <f>Q115/Statement!Q25</f>
        <v>14.343820224719099</v>
      </c>
      <c r="T148" s="49"/>
      <c r="U148" s="49"/>
      <c r="V148" s="49"/>
      <c r="W148" s="49"/>
      <c r="X148" s="49"/>
      <c r="Y148" s="49"/>
      <c r="Z148" s="49"/>
      <c r="AA148" s="49"/>
      <c r="AC148" s="72">
        <f ca="1">AC115/Statement!AC25</f>
        <v>27.805038992201556</v>
      </c>
    </row>
    <row r="149" spans="2:29" x14ac:dyDescent="0.2">
      <c r="B149" s="20" t="s">
        <v>200</v>
      </c>
      <c r="M149" s="72">
        <f>M115/(Statement!M5/Statement!M21)</f>
        <v>0.95884588110152458</v>
      </c>
      <c r="N149" s="72">
        <f>N115/(Statement!N5/Statement!N21)</f>
        <v>0.62130580535305702</v>
      </c>
      <c r="O149" s="72">
        <f>O115/(Statement!O5/Statement!O21)</f>
        <v>1.9857841726618706</v>
      </c>
      <c r="P149" s="72">
        <f>P115/(Statement!P5/Statement!P21)</f>
        <v>3.9102453696374861</v>
      </c>
      <c r="Q149" s="72">
        <f>Q115/(Statement!Q5/Statement!Q21)</f>
        <v>2.407034663865546</v>
      </c>
      <c r="T149" s="49"/>
      <c r="U149" s="49"/>
      <c r="V149" s="49"/>
      <c r="W149" s="49"/>
      <c r="X149" s="49"/>
      <c r="Y149" s="49"/>
      <c r="Z149" s="49"/>
      <c r="AA149" s="49"/>
      <c r="AC149" s="72">
        <f ca="1">AC115/(Statement!AC5/Statement!AC21)</f>
        <v>14.817993971299991</v>
      </c>
    </row>
    <row r="150" spans="2:29" x14ac:dyDescent="0.2">
      <c r="B150" s="20" t="s">
        <v>242</v>
      </c>
      <c r="M150" s="72">
        <f>M115/(Statement!M48/Statement!M74)</f>
        <v>1.5134399776140286</v>
      </c>
      <c r="N150" s="72">
        <f>N115/(Statement!N48/Statement!N74)</f>
        <v>0.94937402831192208</v>
      </c>
      <c r="O150" s="72">
        <f>O115/(Statement!O48/Statement!O74)</f>
        <v>1.159520604775514</v>
      </c>
      <c r="P150" s="72">
        <f>P115/(Statement!P48/Statement!P74)</f>
        <v>2.4023950822702904</v>
      </c>
      <c r="Q150" s="72">
        <f>Q115/(Statement!Q48/Statement!Q74)</f>
        <v>4.1463660327621916</v>
      </c>
      <c r="T150" s="49"/>
      <c r="U150" s="49"/>
      <c r="V150" s="49"/>
      <c r="W150" s="49"/>
      <c r="X150" s="49"/>
      <c r="Y150" s="49"/>
      <c r="Z150" s="49"/>
      <c r="AA150" s="49"/>
      <c r="AC150" s="72">
        <f ca="1">AC115/(Statement!AC48/Statement!AC74)</f>
        <v>16.519726239669421</v>
      </c>
    </row>
    <row r="151" spans="2:29" x14ac:dyDescent="0.2">
      <c r="B151" s="20" t="s">
        <v>243</v>
      </c>
      <c r="M151" s="143">
        <f>Statement!M115*Statement!M77</f>
        <v>16435.63</v>
      </c>
      <c r="N151" s="143">
        <f>Statement!N115*Statement!N77</f>
        <v>11750.1</v>
      </c>
      <c r="O151" s="143">
        <f>Statement!O115*Statement!O77</f>
        <v>12577.320000000002</v>
      </c>
      <c r="P151" s="143">
        <f>Statement!P115*Statement!P77</f>
        <v>25989.109999999997</v>
      </c>
      <c r="Q151" s="143">
        <f>Statement!Q115*Statement!Q77</f>
        <v>22787.309999999998</v>
      </c>
      <c r="T151" s="49"/>
      <c r="U151" s="49"/>
      <c r="V151" s="49"/>
      <c r="W151" s="49"/>
      <c r="X151" s="49"/>
      <c r="Y151" s="49"/>
      <c r="Z151" s="49"/>
      <c r="AA151" s="49"/>
      <c r="AC151" s="143">
        <f ca="1">Statement!AC115*Statement!AC77</f>
        <v>161764.99</v>
      </c>
    </row>
    <row r="152" spans="2:29" x14ac:dyDescent="0.2">
      <c r="B152" s="20" t="s">
        <v>187</v>
      </c>
      <c r="M152" s="143">
        <f>M151+M106-M105+M47+M44</f>
        <v>21790.63</v>
      </c>
      <c r="N152" s="143">
        <f>N151+N106-N105+N47+N44</f>
        <v>16425.099999999999</v>
      </c>
      <c r="O152" s="143">
        <f>O151+O106-O105+O47+O44</f>
        <v>18500.32</v>
      </c>
      <c r="P152" s="143">
        <f>P151+P106-P105+P47+P44</f>
        <v>31773.11</v>
      </c>
      <c r="Q152" s="143">
        <f>Q151+Q106-Q105+Q47+Q44</f>
        <v>25613.309999999998</v>
      </c>
      <c r="T152" s="49"/>
      <c r="U152" s="49"/>
      <c r="V152" s="49"/>
      <c r="W152" s="49"/>
      <c r="X152" s="49"/>
      <c r="Y152" s="49"/>
      <c r="Z152" s="49"/>
      <c r="AA152" s="49"/>
      <c r="AC152" s="143">
        <f ca="1">AC151+AC106-AC105+AC47+AC44</f>
        <v>161295.99</v>
      </c>
    </row>
    <row r="153" spans="2:29" x14ac:dyDescent="0.2">
      <c r="B153" s="20" t="s">
        <v>264</v>
      </c>
      <c r="M153" s="183">
        <f>M152/M5</f>
        <v>1.2877100815506441</v>
      </c>
      <c r="N153" s="183">
        <f>N152/N5</f>
        <v>0.87400095780343734</v>
      </c>
      <c r="O153" s="183">
        <f>O152/O5</f>
        <v>2.9576850519584332</v>
      </c>
      <c r="P153" s="183">
        <f>P152/P5</f>
        <v>5.0297783758113033</v>
      </c>
      <c r="Q153" s="183">
        <f>Q152/Q5</f>
        <v>2.6904737394957983</v>
      </c>
      <c r="T153" s="49"/>
      <c r="U153" s="49"/>
      <c r="V153" s="49"/>
      <c r="W153" s="49"/>
      <c r="X153" s="49"/>
      <c r="Y153" s="49"/>
      <c r="Z153" s="49"/>
      <c r="AA153" s="49"/>
      <c r="AC153" s="183">
        <f ca="1">AC152/AC5</f>
        <v>13.695846989895559</v>
      </c>
    </row>
    <row r="154" spans="2:29" x14ac:dyDescent="0.2">
      <c r="B154" s="20" t="s">
        <v>203</v>
      </c>
      <c r="M154" s="183">
        <f>M152/M11</f>
        <v>17.861172131147541</v>
      </c>
      <c r="N154" s="183">
        <f>N152/N11</f>
        <v>6.8695524884985355</v>
      </c>
      <c r="O154" s="183">
        <f>O152/O11</f>
        <v>-33.759708029197078</v>
      </c>
      <c r="P154" s="183">
        <f>P152/P11</f>
        <v>-78.841464019851117</v>
      </c>
      <c r="Q154" s="183">
        <f>Q152/Q11</f>
        <v>10.973997429305912</v>
      </c>
      <c r="T154" s="49"/>
      <c r="U154" s="49"/>
      <c r="V154" s="49"/>
      <c r="W154" s="49"/>
      <c r="X154" s="49"/>
      <c r="Y154" s="49"/>
      <c r="Z154" s="49"/>
      <c r="AA154" s="49"/>
      <c r="AC154" s="183">
        <f ca="1">AC152/AC11</f>
        <v>45.180949579831932</v>
      </c>
    </row>
    <row r="155" spans="2:29" x14ac:dyDescent="0.2">
      <c r="B155" s="20" t="s">
        <v>265</v>
      </c>
      <c r="M155" s="64">
        <f>M58-M53+M108+M64</f>
        <v>434</v>
      </c>
      <c r="N155" s="64">
        <f>N58-N53+N108+N64</f>
        <v>432</v>
      </c>
      <c r="O155" s="64">
        <f>O58-O53+O108+O64</f>
        <v>-1547</v>
      </c>
      <c r="P155" s="64">
        <f>P58-P53+P108+P64</f>
        <v>-1076</v>
      </c>
      <c r="Q155" s="64">
        <f>Q58-Q53+Q108+Q64</f>
        <v>1014</v>
      </c>
      <c r="T155" s="64">
        <f t="shared" ref="T155:AA155" si="93">T58-T53+T108+T64</f>
        <v>181</v>
      </c>
      <c r="U155" s="64">
        <f t="shared" si="93"/>
        <v>-146</v>
      </c>
      <c r="V155" s="64">
        <f t="shared" si="93"/>
        <v>64</v>
      </c>
      <c r="W155" s="64">
        <f t="shared" si="93"/>
        <v>384</v>
      </c>
      <c r="X155" s="64">
        <f t="shared" si="93"/>
        <v>630</v>
      </c>
      <c r="Y155" s="64">
        <f t="shared" si="93"/>
        <v>546</v>
      </c>
      <c r="Z155" s="64">
        <f t="shared" si="93"/>
        <v>1146</v>
      </c>
      <c r="AA155" s="64">
        <f t="shared" si="93"/>
        <v>2071</v>
      </c>
      <c r="AC155" s="64">
        <f>AC58-AC53+AC108+AC64</f>
        <v>4393</v>
      </c>
    </row>
    <row r="156" spans="2:29" x14ac:dyDescent="0.2">
      <c r="B156" s="20" t="s">
        <v>266</v>
      </c>
      <c r="M156" s="64">
        <f>M107+M52+M108+M54+M56+M57+M55</f>
        <v>971.49622437971948</v>
      </c>
      <c r="N156" s="64">
        <f>N107+N52+N108+N54+N56+N57+N55</f>
        <v>421.35468676401297</v>
      </c>
      <c r="O156" s="64">
        <f>O107+O52+O108+O54+O56+O57+O55</f>
        <v>-449</v>
      </c>
      <c r="P156" s="64">
        <f>P107+P52+P108+P54+P56+P57+P55</f>
        <v>-629</v>
      </c>
      <c r="Q156" s="64">
        <f>Q107+Q52+Q108+Q54+Q56+Q57+Q55</f>
        <v>1342</v>
      </c>
      <c r="T156" s="49"/>
      <c r="U156" s="49"/>
      <c r="V156" s="49"/>
      <c r="W156" s="49"/>
      <c r="X156" s="49"/>
      <c r="Y156" s="49"/>
      <c r="Z156" s="49"/>
      <c r="AA156" s="49"/>
      <c r="AC156" s="64">
        <f>AC107+AC52+AC108+AC54+AC56+AC57</f>
        <v>2891.9507494646678</v>
      </c>
    </row>
    <row r="157" spans="2:29" x14ac:dyDescent="0.2">
      <c r="B157" s="20" t="s">
        <v>267</v>
      </c>
      <c r="M157" s="72">
        <f>M151/M155</f>
        <v>37.870115207373274</v>
      </c>
      <c r="N157" s="72">
        <f t="shared" ref="N157:Q157" si="94">N151/N155</f>
        <v>27.199305555555558</v>
      </c>
      <c r="O157" s="72">
        <f t="shared" si="94"/>
        <v>-8.1301357466063351</v>
      </c>
      <c r="P157" s="72">
        <f t="shared" si="94"/>
        <v>-24.15344795539033</v>
      </c>
      <c r="Q157" s="72">
        <f t="shared" si="94"/>
        <v>22.472692307692306</v>
      </c>
      <c r="T157" s="49"/>
      <c r="U157" s="49"/>
      <c r="V157" s="49"/>
      <c r="W157" s="49"/>
      <c r="X157" s="49"/>
      <c r="Y157" s="49"/>
      <c r="Z157" s="49"/>
      <c r="AA157" s="49"/>
      <c r="AC157" s="72">
        <f t="shared" ref="AC157:AC158" ca="1" si="95">AC151/AC155</f>
        <v>36.823353061689048</v>
      </c>
    </row>
    <row r="158" spans="2:29" x14ac:dyDescent="0.2">
      <c r="B158" s="20" t="s">
        <v>268</v>
      </c>
      <c r="M158" s="72">
        <f>M152/M156</f>
        <v>22.429968797781868</v>
      </c>
      <c r="N158" s="72">
        <f t="shared" ref="N158:Q158" si="96">N152/N156</f>
        <v>38.981647804001199</v>
      </c>
      <c r="O158" s="72">
        <f t="shared" si="96"/>
        <v>-41.203385300668153</v>
      </c>
      <c r="P158" s="72">
        <f t="shared" si="96"/>
        <v>-50.513688394276627</v>
      </c>
      <c r="Q158" s="72">
        <f t="shared" si="96"/>
        <v>19.085923994038748</v>
      </c>
      <c r="T158" s="49"/>
      <c r="U158" s="49"/>
      <c r="V158" s="49"/>
      <c r="W158" s="49"/>
      <c r="X158" s="49"/>
      <c r="Y158" s="49"/>
      <c r="Z158" s="49"/>
      <c r="AA158" s="49"/>
      <c r="AC158" s="72">
        <f t="shared" ca="1" si="95"/>
        <v>55.774113729238877</v>
      </c>
    </row>
    <row r="159" spans="2:29" x14ac:dyDescent="0.2">
      <c r="B159" s="20" t="s">
        <v>269</v>
      </c>
      <c r="M159" s="74">
        <f>M155/M151</f>
        <v>2.6406045889327028E-2</v>
      </c>
      <c r="N159" s="74">
        <f t="shared" ref="N159:Q159" si="97">N155/N151</f>
        <v>3.6765644547705978E-2</v>
      </c>
      <c r="O159" s="74">
        <f t="shared" si="97"/>
        <v>-0.12299917629510895</v>
      </c>
      <c r="P159" s="74">
        <f t="shared" si="97"/>
        <v>-4.1401956434829822E-2</v>
      </c>
      <c r="Q159" s="74">
        <f t="shared" si="97"/>
        <v>4.4498451111605546E-2</v>
      </c>
      <c r="T159" s="49"/>
      <c r="U159" s="49"/>
      <c r="V159" s="49"/>
      <c r="W159" s="49"/>
      <c r="X159" s="49"/>
      <c r="Y159" s="49"/>
      <c r="Z159" s="49"/>
      <c r="AA159" s="49"/>
      <c r="AC159" s="74">
        <f t="shared" ref="AC159" ca="1" si="98">AC155/AC151</f>
        <v>2.7156679575722781E-2</v>
      </c>
    </row>
    <row r="160" spans="2:29" x14ac:dyDescent="0.2">
      <c r="B160" s="20" t="s">
        <v>270</v>
      </c>
      <c r="M160" s="74">
        <f>M25/M115</f>
        <v>5.065701771091221E-2</v>
      </c>
      <c r="N160" s="74">
        <f>N25/N115</f>
        <v>0.12855209742895804</v>
      </c>
      <c r="O160" s="74">
        <f>O25/O115</f>
        <v>-7.4500768049155147E-2</v>
      </c>
      <c r="P160" s="74">
        <f>P25/P115</f>
        <v>-3.3126567242972152E-2</v>
      </c>
      <c r="Q160" s="74">
        <f>Q25/Q115</f>
        <v>6.9716434278552411E-2</v>
      </c>
      <c r="T160" s="49"/>
      <c r="U160" s="49"/>
      <c r="V160" s="49"/>
      <c r="W160" s="49"/>
      <c r="X160" s="49"/>
      <c r="Y160" s="49"/>
      <c r="Z160" s="49"/>
      <c r="AA160" s="49"/>
      <c r="AC160" s="74">
        <f ca="1">AC25/AC115</f>
        <v>3.5964704105628791E-2</v>
      </c>
    </row>
    <row r="161" spans="2:29" x14ac:dyDescent="0.2">
      <c r="B161" s="20" t="s">
        <v>271</v>
      </c>
      <c r="M161" s="154">
        <f>M81/M115</f>
        <v>0</v>
      </c>
      <c r="N161" s="154">
        <f>N81/N115</f>
        <v>0</v>
      </c>
      <c r="O161" s="154">
        <f>O81/O115</f>
        <v>0</v>
      </c>
      <c r="P161" s="154">
        <f>P81/P115</f>
        <v>0</v>
      </c>
      <c r="Q161" s="154">
        <f>Q81/Q115</f>
        <v>1.5666614444618519E-3</v>
      </c>
      <c r="T161" s="49"/>
      <c r="U161" s="49"/>
      <c r="V161" s="49"/>
      <c r="W161" s="49"/>
      <c r="X161" s="49"/>
      <c r="Y161" s="49"/>
      <c r="Z161" s="49"/>
      <c r="AA161" s="49"/>
      <c r="AC161" s="154">
        <f ca="1">AC81/AC115</f>
        <v>9.7085284028392059E-4</v>
      </c>
    </row>
    <row r="162" spans="2:29" x14ac:dyDescent="0.2">
      <c r="B162" s="20" t="s">
        <v>296</v>
      </c>
      <c r="M162" s="154">
        <f>-M62/M151</f>
        <v>0</v>
      </c>
      <c r="N162" s="154">
        <f>-N62/N151</f>
        <v>0</v>
      </c>
      <c r="O162" s="154">
        <f>-O62/O151</f>
        <v>0</v>
      </c>
      <c r="P162" s="154">
        <f>-P62/P151</f>
        <v>0</v>
      </c>
      <c r="Q162" s="154">
        <f>-Q62/Q151</f>
        <v>6.5387270371096906E-3</v>
      </c>
      <c r="T162" s="49"/>
      <c r="U162" s="49"/>
      <c r="V162" s="49"/>
      <c r="W162" s="49"/>
      <c r="X162" s="49"/>
      <c r="Y162" s="49"/>
      <c r="Z162" s="49"/>
      <c r="AA162" s="49"/>
      <c r="AC162" s="154">
        <f ca="1">-AC62/AC151</f>
        <v>2.3429049759159878E-2</v>
      </c>
    </row>
    <row r="163" spans="2:29" x14ac:dyDescent="0.2">
      <c r="B163" s="20" t="s">
        <v>298</v>
      </c>
      <c r="M163" s="154">
        <f>-(M62+M63)/M151</f>
        <v>0</v>
      </c>
      <c r="N163" s="154">
        <f>-(N62+N63)/N151</f>
        <v>0</v>
      </c>
      <c r="O163" s="154">
        <f>-(O62+O63)/O151</f>
        <v>0</v>
      </c>
      <c r="P163" s="154">
        <f>-(P62+P63)/P151</f>
        <v>0</v>
      </c>
      <c r="Q163" s="154">
        <f>-(Q62+Q63)/Q151</f>
        <v>8.4696262963904045E-3</v>
      </c>
      <c r="T163" s="49"/>
      <c r="U163" s="49"/>
      <c r="V163" s="49"/>
      <c r="W163" s="49"/>
      <c r="X163" s="49"/>
      <c r="Y163" s="49"/>
      <c r="Z163" s="49"/>
      <c r="AA163" s="49"/>
      <c r="AC163" s="154">
        <f ca="1">-(AC62+AC63)/AC151</f>
        <v>2.5129046773346941E-2</v>
      </c>
    </row>
    <row r="164" spans="2:29" x14ac:dyDescent="0.2">
      <c r="B164" s="20" t="s">
        <v>348</v>
      </c>
      <c r="M164" s="154">
        <f>M156/M5</f>
        <v>5.7410248456430654E-2</v>
      </c>
      <c r="N164" s="154">
        <f>N156/N5</f>
        <v>2.2420831520460437E-2</v>
      </c>
      <c r="O164" s="154">
        <f>O156/O5</f>
        <v>-7.1782573940847319E-2</v>
      </c>
      <c r="P164" s="154">
        <f>P156/P5</f>
        <v>-9.9572581921798325E-2</v>
      </c>
      <c r="Q164" s="154">
        <f>Q156/Q5</f>
        <v>0.14096638655462185</v>
      </c>
      <c r="T164" s="49"/>
      <c r="U164" s="49"/>
      <c r="V164" s="49"/>
      <c r="W164" s="49"/>
      <c r="X164" s="49"/>
      <c r="Y164" s="49"/>
      <c r="Z164" s="49"/>
      <c r="AA164" s="49"/>
      <c r="AC164" s="154">
        <f>AC156/AC5</f>
        <v>0.24555920433596568</v>
      </c>
    </row>
    <row r="165" spans="2:29" x14ac:dyDescent="0.2">
      <c r="B165" s="20" t="s">
        <v>349</v>
      </c>
      <c r="M165" s="154">
        <f>M155/M5</f>
        <v>2.5647086632785723E-2</v>
      </c>
      <c r="N165" s="154">
        <f>N155/N5</f>
        <v>2.2987282498802747E-2</v>
      </c>
      <c r="O165" s="154">
        <f>O155/O5</f>
        <v>-0.24732214228617105</v>
      </c>
      <c r="P165" s="154">
        <f>P155/P5</f>
        <v>-0.17033401931296502</v>
      </c>
      <c r="Q165" s="154">
        <f>Q155/Q5</f>
        <v>0.1065126050420168</v>
      </c>
      <c r="T165" s="49"/>
      <c r="U165" s="49"/>
      <c r="V165" s="49"/>
      <c r="W165" s="49"/>
      <c r="X165" s="49"/>
      <c r="Y165" s="49"/>
      <c r="Z165" s="49"/>
      <c r="AA165" s="49"/>
      <c r="AC165" s="154">
        <f>AC155/AC5</f>
        <v>0.37301519911692282</v>
      </c>
    </row>
    <row r="166" spans="2:29" x14ac:dyDescent="0.2">
      <c r="B166" s="20" t="s">
        <v>274</v>
      </c>
      <c r="M166" s="154">
        <f>-M63/M155</f>
        <v>0</v>
      </c>
      <c r="N166" s="154">
        <f>-N63/N155</f>
        <v>0</v>
      </c>
      <c r="O166" s="154">
        <f>-O63/O155</f>
        <v>0</v>
      </c>
      <c r="P166" s="154">
        <f>-P63/P155</f>
        <v>0</v>
      </c>
      <c r="Q166" s="154">
        <f>-Q63/Q155</f>
        <v>4.3392504930966469E-2</v>
      </c>
      <c r="T166" s="49"/>
      <c r="U166" s="49"/>
      <c r="V166" s="49"/>
      <c r="W166" s="49"/>
      <c r="X166" s="49"/>
      <c r="Y166" s="49"/>
      <c r="Z166" s="49"/>
      <c r="AA166" s="49"/>
      <c r="AC166" s="154">
        <f>-AC63/AC155</f>
        <v>6.2599590257227403E-2</v>
      </c>
    </row>
    <row r="167" spans="2:29" x14ac:dyDescent="0.2">
      <c r="B167" s="20" t="s">
        <v>276</v>
      </c>
      <c r="M167" s="154">
        <f>-M62/M155</f>
        <v>0</v>
      </c>
      <c r="N167" s="154">
        <f>-N62/N155</f>
        <v>0</v>
      </c>
      <c r="O167" s="154">
        <f>-O62/O155</f>
        <v>0</v>
      </c>
      <c r="P167" s="154">
        <f>-P62/P155</f>
        <v>0</v>
      </c>
      <c r="Q167" s="154">
        <f>-Q62/Q155</f>
        <v>0.14694280078895464</v>
      </c>
      <c r="T167" s="49"/>
      <c r="U167" s="49"/>
      <c r="V167" s="49"/>
      <c r="W167" s="49"/>
      <c r="X167" s="49"/>
      <c r="Y167" s="49"/>
      <c r="Z167" s="49"/>
      <c r="AA167" s="49"/>
      <c r="AC167" s="154">
        <f>-AC62/AC155</f>
        <v>0.86273617118142498</v>
      </c>
    </row>
    <row r="168" spans="2:29" x14ac:dyDescent="0.2">
      <c r="B168" s="20" t="s">
        <v>287</v>
      </c>
      <c r="M168" s="154">
        <f>(-M63-M62)/M155</f>
        <v>0</v>
      </c>
      <c r="N168" s="154">
        <f>(-N63-N62)/N155</f>
        <v>0</v>
      </c>
      <c r="O168" s="154">
        <f>(-O63-O62)/O155</f>
        <v>0</v>
      </c>
      <c r="P168" s="154">
        <f>(-P63-P62)/P155</f>
        <v>0</v>
      </c>
      <c r="Q168" s="154">
        <f>(-Q63-Q62)/Q155</f>
        <v>0.19033530571992111</v>
      </c>
      <c r="T168" s="49"/>
      <c r="U168" s="49"/>
      <c r="V168" s="49"/>
      <c r="W168" s="49"/>
      <c r="X168" s="49"/>
      <c r="Y168" s="49"/>
      <c r="Z168" s="49"/>
      <c r="AA168" s="49"/>
      <c r="AC168" s="154">
        <f>(-AC63-AC62)/AC155</f>
        <v>0.92533576143865237</v>
      </c>
    </row>
    <row r="169" spans="2:29" x14ac:dyDescent="0.2">
      <c r="B169" s="20" t="s">
        <v>281</v>
      </c>
      <c r="M169" s="154">
        <f>M79/M77</f>
        <v>3.1948881789137379E-3</v>
      </c>
      <c r="N169" s="154">
        <f>N79/N77</f>
        <v>3.1446540880503146E-3</v>
      </c>
      <c r="O169" s="154">
        <f>O79/O77</f>
        <v>3.105590062111801E-3</v>
      </c>
      <c r="P169" s="154">
        <f>P79/P77</f>
        <v>2.9154518950437317E-3</v>
      </c>
      <c r="Q169" s="154">
        <f>Q79/Q77</f>
        <v>2.8011204481792717E-3</v>
      </c>
      <c r="T169" s="49"/>
      <c r="U169" s="49"/>
      <c r="V169" s="49"/>
      <c r="W169" s="49"/>
      <c r="X169" s="49"/>
      <c r="Y169" s="49"/>
      <c r="Z169" s="49"/>
      <c r="AA169" s="49"/>
      <c r="AC169" s="154">
        <f>AC79/AC77</f>
        <v>2.8653295128939827E-3</v>
      </c>
    </row>
    <row r="170" spans="2:29" x14ac:dyDescent="0.2">
      <c r="B170" s="20" t="s">
        <v>282</v>
      </c>
      <c r="M170" s="72">
        <f>M105/M74</f>
        <v>10.906148867313917</v>
      </c>
      <c r="N170" s="72">
        <f>N105/N74</f>
        <v>7.4108280254777066</v>
      </c>
      <c r="O170" s="72">
        <f>O105/O74</f>
        <v>6.2826086956521738</v>
      </c>
      <c r="P170" s="72">
        <f>P105/P74</f>
        <v>5.4781341107871722</v>
      </c>
      <c r="Q170" s="72">
        <f>Q105/Q74</f>
        <v>6.1275362318840578</v>
      </c>
      <c r="T170" s="72">
        <f t="shared" ref="T170:AA170" si="99">T105/T74</f>
        <v>5.4781341107871722</v>
      </c>
      <c r="U170" s="72">
        <f t="shared" si="99"/>
        <v>4.9277456647398843</v>
      </c>
      <c r="V170" s="72">
        <f t="shared" si="99"/>
        <v>6.583333333333333</v>
      </c>
      <c r="W170" s="72">
        <f t="shared" si="99"/>
        <v>9.9627507163323781</v>
      </c>
      <c r="X170" s="72">
        <f t="shared" si="99"/>
        <v>6.1275362318840578</v>
      </c>
      <c r="Y170" s="72">
        <f t="shared" si="99"/>
        <v>5.9883040935672511</v>
      </c>
      <c r="Z170" s="72">
        <f t="shared" si="99"/>
        <v>5.8259587020648969</v>
      </c>
      <c r="AA170" s="72">
        <f t="shared" si="99"/>
        <v>5.9420289855072461</v>
      </c>
      <c r="AC170" s="72">
        <f>AC105/AC74</f>
        <v>5.9420289855072461</v>
      </c>
    </row>
    <row r="171" spans="2:29" x14ac:dyDescent="0.2">
      <c r="B171" s="20" t="s">
        <v>284</v>
      </c>
      <c r="M171" s="154">
        <f>M53/M58</f>
        <v>0.16754478398314016</v>
      </c>
      <c r="N171" s="154">
        <f>N53/N58</f>
        <v>0.17340425531914894</v>
      </c>
      <c r="O171" s="154">
        <f>O53/O58</f>
        <v>-0.77941176470588236</v>
      </c>
      <c r="P171" s="154">
        <f>P53/P58</f>
        <v>-1.0034013605442176</v>
      </c>
      <c r="Q171" s="154">
        <f>Q53/Q58</f>
        <v>0.15671200473092844</v>
      </c>
      <c r="T171" s="154">
        <f t="shared" ref="T171:AA171" si="100">T53/T58</f>
        <v>0.18852459016393441</v>
      </c>
      <c r="U171" s="154">
        <f t="shared" si="100"/>
        <v>2.4705882352941178</v>
      </c>
      <c r="V171" s="154">
        <f t="shared" si="100"/>
        <v>0.36842105263157893</v>
      </c>
      <c r="W171" s="154">
        <f t="shared" si="100"/>
        <v>0.23280423280423279</v>
      </c>
      <c r="X171" s="154">
        <f t="shared" si="100"/>
        <v>6.0321715817694369E-2</v>
      </c>
      <c r="Y171" s="154">
        <f t="shared" si="100"/>
        <v>7.8869047619047616E-2</v>
      </c>
      <c r="Z171" s="154">
        <f t="shared" si="100"/>
        <v>7.4805928016937195E-2</v>
      </c>
      <c r="AA171" s="154">
        <f t="shared" si="100"/>
        <v>6.2598425196850396E-2</v>
      </c>
      <c r="AC171" s="154">
        <f>AC53/AC58</f>
        <v>6.7534883720930236E-2</v>
      </c>
    </row>
    <row r="172" spans="2:29" x14ac:dyDescent="0.2">
      <c r="B172" s="20" t="s">
        <v>285</v>
      </c>
      <c r="M172" s="154">
        <f>M53/M5</f>
        <v>1.8792104952133317E-2</v>
      </c>
      <c r="N172" s="154">
        <f>N53/N5</f>
        <v>1.7346884478263182E-2</v>
      </c>
      <c r="O172" s="154">
        <f>O53/O5</f>
        <v>5.0839328537170263E-2</v>
      </c>
      <c r="P172" s="154">
        <f>P53/P5</f>
        <v>4.6699382618331488E-2</v>
      </c>
      <c r="Q172" s="154">
        <f>Q53/Q5</f>
        <v>2.7836134453781514E-2</v>
      </c>
      <c r="T172" s="154">
        <f t="shared" ref="T172:AA172" si="101">T53/T5</f>
        <v>3.4431137724550899E-2</v>
      </c>
      <c r="U172" s="154">
        <f t="shared" si="101"/>
        <v>3.7974683544303799E-2</v>
      </c>
      <c r="V172" s="154">
        <f t="shared" si="101"/>
        <v>6.6832710668327105E-2</v>
      </c>
      <c r="W172" s="154">
        <f t="shared" si="101"/>
        <v>9.5902353966870094E-2</v>
      </c>
      <c r="X172" s="154">
        <f t="shared" si="101"/>
        <v>1.7274472168905951E-2</v>
      </c>
      <c r="Y172" s="154">
        <f t="shared" si="101"/>
        <v>1.8807665010645847E-2</v>
      </c>
      <c r="Z172" s="154">
        <f t="shared" si="101"/>
        <v>3.5134239310573419E-2</v>
      </c>
      <c r="AA172" s="154">
        <f t="shared" si="101"/>
        <v>4.7647587653581062E-2</v>
      </c>
      <c r="AC172" s="154">
        <f>AC53/AC5</f>
        <v>3.0822790184257452E-2</v>
      </c>
    </row>
    <row r="173" spans="2:29" x14ac:dyDescent="0.2">
      <c r="B173" s="20" t="s">
        <v>290</v>
      </c>
      <c r="M173" s="72">
        <f>(M105-M106)/M74</f>
        <v>-17.33009708737864</v>
      </c>
      <c r="N173" s="72">
        <f>(N105-N106)/N74</f>
        <v>-14.888535031847134</v>
      </c>
      <c r="O173" s="72">
        <f>(O105-O106)/O74</f>
        <v>-15.673913043478262</v>
      </c>
      <c r="P173" s="72">
        <f>(P105-P106)/P74</f>
        <v>-16.195335276967931</v>
      </c>
      <c r="Q173" s="72">
        <f>(Q105-Q106)/Q74</f>
        <v>-7.5275362318840582</v>
      </c>
      <c r="T173" s="72">
        <f t="shared" ref="T173:AA173" si="102">(T105-T106)/T74</f>
        <v>-16.195335276967931</v>
      </c>
      <c r="U173" s="72">
        <f t="shared" si="102"/>
        <v>-16.459537572254334</v>
      </c>
      <c r="V173" s="72">
        <f t="shared" si="102"/>
        <v>-14.583333333333334</v>
      </c>
      <c r="W173" s="72">
        <f t="shared" si="102"/>
        <v>-11.048710601719197</v>
      </c>
      <c r="X173" s="72">
        <f t="shared" si="102"/>
        <v>-7.5275362318840582</v>
      </c>
      <c r="Y173" s="72">
        <f t="shared" si="102"/>
        <v>-7.704678362573099</v>
      </c>
      <c r="Z173" s="72">
        <f t="shared" si="102"/>
        <v>-7.9056047197640114</v>
      </c>
      <c r="AA173" s="72">
        <f t="shared" si="102"/>
        <v>1.3594202898550725</v>
      </c>
      <c r="AC173" s="72">
        <f>(AC105-AC106)/AC74</f>
        <v>1.3594202898550725</v>
      </c>
    </row>
    <row r="174" spans="2:29" x14ac:dyDescent="0.2">
      <c r="B174" s="20" t="s">
        <v>295</v>
      </c>
      <c r="M174" s="154">
        <f>(M105-M106)/M151</f>
        <v>-0.32581653395701898</v>
      </c>
      <c r="N174" s="154">
        <f>(N105-N106)/N151</f>
        <v>-0.39786895430677183</v>
      </c>
      <c r="O174" s="154">
        <f>(O105-O106)/O151</f>
        <v>-0.40127785569580798</v>
      </c>
      <c r="P174" s="154">
        <f>(P105-P106)/P151</f>
        <v>-0.21374337174301083</v>
      </c>
      <c r="Q174" s="154">
        <f>(Q105-Q106)/Q151</f>
        <v>-0.11396694037163668</v>
      </c>
      <c r="T174" s="49"/>
      <c r="U174" s="49"/>
      <c r="V174" s="49"/>
      <c r="W174" s="49"/>
      <c r="X174" s="49"/>
      <c r="Y174" s="49"/>
      <c r="Z174" s="49"/>
      <c r="AA174" s="49"/>
      <c r="AC174" s="154">
        <f ca="1">(AC105-AC106)/AC151</f>
        <v>2.8992676351044812E-3</v>
      </c>
    </row>
    <row r="175" spans="2:29" x14ac:dyDescent="0.2">
      <c r="B175" s="20" t="s">
        <v>304</v>
      </c>
      <c r="M175" s="154">
        <f>-M108/M5</f>
        <v>6.7722491431272902E-2</v>
      </c>
      <c r="N175" s="154">
        <f>-N108/N5</f>
        <v>5.9703080934390466E-2</v>
      </c>
      <c r="O175" s="154">
        <f>-O108/O5</f>
        <v>0.13125499600319745</v>
      </c>
      <c r="P175" s="154">
        <f>-P108/P5</f>
        <v>7.7093557068228596E-2</v>
      </c>
      <c r="Q175" s="154">
        <f>-Q108/Q5</f>
        <v>4.3277310924369747E-2</v>
      </c>
      <c r="T175" s="154">
        <f t="shared" ref="T175:AA175" si="103">-T108/T5</f>
        <v>5.7884231536926151E-2</v>
      </c>
      <c r="U175" s="154">
        <f t="shared" si="103"/>
        <v>4.3399638336347197E-2</v>
      </c>
      <c r="V175" s="154">
        <f t="shared" si="103"/>
        <v>8.8003320880033209E-2</v>
      </c>
      <c r="W175" s="154">
        <f t="shared" si="103"/>
        <v>0.14864864864864866</v>
      </c>
      <c r="X175" s="154">
        <f t="shared" si="103"/>
        <v>2.72552783109405E-2</v>
      </c>
      <c r="Y175" s="154">
        <f t="shared" si="103"/>
        <v>2.5904897090134847E-2</v>
      </c>
      <c r="Z175" s="154">
        <f t="shared" si="103"/>
        <v>5.4690089492873718E-2</v>
      </c>
      <c r="AA175" s="154">
        <f t="shared" si="103"/>
        <v>9.2897812406353017E-2</v>
      </c>
      <c r="AC175" s="154">
        <f>-AC108/AC5</f>
        <v>5.2560074721915595E-2</v>
      </c>
    </row>
    <row r="176" spans="2:29" x14ac:dyDescent="0.2">
      <c r="B176" s="20" t="s">
        <v>305</v>
      </c>
      <c r="M176" s="154">
        <f>-(M108/M58)</f>
        <v>0.60379346680716539</v>
      </c>
      <c r="N176" s="154">
        <f>-(N108/N58)</f>
        <v>0.59680851063829787</v>
      </c>
      <c r="O176" s="154">
        <f>-(O108/O58)</f>
        <v>-2.0122549019607843</v>
      </c>
      <c r="P176" s="154">
        <f>-(P108/P58)</f>
        <v>-1.6564625850340136</v>
      </c>
      <c r="Q176" s="154">
        <f>-(Q108/Q58)</f>
        <v>0.24364281490242459</v>
      </c>
      <c r="T176" s="154">
        <f t="shared" ref="T176:AA176" si="104">-(T108/T58)</f>
        <v>0.31693989071038253</v>
      </c>
      <c r="U176" s="154">
        <f t="shared" si="104"/>
        <v>2.8235294117647061</v>
      </c>
      <c r="V176" s="154">
        <f t="shared" si="104"/>
        <v>0.48512585812356979</v>
      </c>
      <c r="W176" s="154">
        <f t="shared" si="104"/>
        <v>0.36084656084656086</v>
      </c>
      <c r="X176" s="154">
        <f t="shared" si="104"/>
        <v>9.5174262734584444E-2</v>
      </c>
      <c r="Y176" s="154">
        <f t="shared" si="104"/>
        <v>0.10863095238095238</v>
      </c>
      <c r="Z176" s="154">
        <f t="shared" si="104"/>
        <v>0.11644318983768526</v>
      </c>
      <c r="AA176" s="154">
        <f t="shared" si="104"/>
        <v>0.12204724409448819</v>
      </c>
      <c r="AC176" s="154">
        <f>-(AC108/AC58)</f>
        <v>0.11516279069767442</v>
      </c>
    </row>
    <row r="177" spans="1:31" x14ac:dyDescent="0.2">
      <c r="B177" s="20" t="s">
        <v>306</v>
      </c>
      <c r="M177" s="154">
        <f>-M108/M52</f>
        <v>0.9455445544554455</v>
      </c>
      <c r="N177" s="154">
        <f>-N108/N52</f>
        <v>1.2077502691065662</v>
      </c>
      <c r="O177" s="154">
        <f>-O108/O52</f>
        <v>0.99154589371980673</v>
      </c>
      <c r="P177" s="154">
        <f>-P108/P52</f>
        <v>0.85739436619718312</v>
      </c>
      <c r="Q177" s="154">
        <f>-Q108/Q52</f>
        <v>0.91352549889135259</v>
      </c>
      <c r="T177" s="154">
        <f t="shared" ref="T177:AA177" si="105">-T108/T52</f>
        <v>0.84057971014492749</v>
      </c>
      <c r="U177" s="154">
        <f t="shared" si="105"/>
        <v>0.71111111111111114</v>
      </c>
      <c r="V177" s="154">
        <f t="shared" si="105"/>
        <v>0.83137254901960789</v>
      </c>
      <c r="W177" s="154">
        <f t="shared" si="105"/>
        <v>0.9342465753424658</v>
      </c>
      <c r="X177" s="154">
        <f t="shared" si="105"/>
        <v>0.82558139534883723</v>
      </c>
      <c r="Y177" s="154">
        <f t="shared" si="105"/>
        <v>0.82954545454545459</v>
      </c>
      <c r="Z177" s="154">
        <f t="shared" si="105"/>
        <v>0.91666666666666663</v>
      </c>
      <c r="AA177" s="154">
        <f t="shared" si="105"/>
        <v>1.1231884057971016</v>
      </c>
      <c r="AC177" s="154">
        <f>-AC108/AC52</f>
        <v>0.98253968253968249</v>
      </c>
    </row>
    <row r="178" spans="1:31" x14ac:dyDescent="0.2">
      <c r="B178" s="20" t="s">
        <v>362</v>
      </c>
      <c r="M178" s="224">
        <f>M5/M36</f>
        <v>0.64755854890555642</v>
      </c>
      <c r="N178" s="224">
        <f>N5/N36</f>
        <v>0.71567843406070297</v>
      </c>
      <c r="O178" s="224">
        <f>O5/O36</f>
        <v>0.25604813950632443</v>
      </c>
      <c r="P178" s="224">
        <f>P5/P36</f>
        <v>0.26116255994708121</v>
      </c>
      <c r="Q178" s="224">
        <f>Q5/Q36</f>
        <v>0.67990287101842595</v>
      </c>
      <c r="T178" s="49"/>
      <c r="U178" s="49"/>
      <c r="V178" s="49"/>
      <c r="W178" s="49"/>
      <c r="X178" s="49"/>
      <c r="Y178" s="49"/>
      <c r="Z178" s="49"/>
      <c r="AA178" s="49"/>
      <c r="AC178" s="224">
        <f>AC5/AC36</f>
        <v>0.78278497839813888</v>
      </c>
    </row>
    <row r="179" spans="1:31" x14ac:dyDescent="0.2">
      <c r="B179" s="20" t="s">
        <v>359</v>
      </c>
      <c r="M179" s="226">
        <f>IF(AND(M11&gt;0,M106&gt;0),M106/M11,"N/A")</f>
        <v>7.1516393442622954</v>
      </c>
      <c r="N179" s="226">
        <f>IF(AND(N11&gt;0,N106&gt;0),N106/N11,"N/A")</f>
        <v>2.9284818067754079</v>
      </c>
      <c r="O179" s="226" t="str">
        <f>IF(AND(O11&gt;0,O106&gt;0),O106/O11,"N/A")</f>
        <v>N/A</v>
      </c>
      <c r="P179" s="226" t="str">
        <f>IF(AND(P11&gt;0,P106&gt;0),P106/P11,"N/A")</f>
        <v>N/A</v>
      </c>
      <c r="Q179" s="226">
        <f>IF(AND(Q11&gt;0,Q106&gt;0),Q106/Q11,"N/A")</f>
        <v>2.0184233076263927</v>
      </c>
      <c r="T179" s="49"/>
      <c r="U179" s="49"/>
      <c r="V179" s="49"/>
      <c r="W179" s="49"/>
      <c r="X179" s="49"/>
      <c r="Y179" s="49"/>
      <c r="Z179" s="49"/>
      <c r="AA179" s="49"/>
      <c r="AC179" s="226">
        <f>IF(AND(AC11&gt;0,AC106&gt;0),AC106/AC11,"N/A")</f>
        <v>0.44285714285714284</v>
      </c>
    </row>
    <row r="180" spans="1:31" x14ac:dyDescent="0.2">
      <c r="B180" s="20" t="s">
        <v>360</v>
      </c>
      <c r="M180" s="226">
        <f>IF(AND(M11&gt;0,M106&gt;0),(M106-M105)/M11,"N/A")</f>
        <v>4.389344262295082</v>
      </c>
      <c r="N180" s="226">
        <f>IF(AND(N11&gt;0,N106&gt;0),(N106-N105)/N11,"N/A")</f>
        <v>1.9552488498536178</v>
      </c>
      <c r="O180" s="226" t="str">
        <f>IF(AND(O11&gt;0,O106&gt;0),(O106-O105)/O11,"N/A")</f>
        <v>N/A</v>
      </c>
      <c r="P180" s="226" t="str">
        <f>IF(AND(P11&gt;0,P106&gt;0),(P106-P105)/P11,"N/A")</f>
        <v>N/A</v>
      </c>
      <c r="Q180" s="226">
        <f>IF(AND(Q11&gt;0,Q106&gt;0),(Q106-Q105)/Q11,"N/A")</f>
        <v>1.1126820908311912</v>
      </c>
      <c r="T180" s="49"/>
      <c r="U180" s="49"/>
      <c r="V180" s="49"/>
      <c r="W180" s="49"/>
      <c r="X180" s="49"/>
      <c r="Y180" s="49"/>
      <c r="Z180" s="49"/>
      <c r="AA180" s="49"/>
      <c r="AC180" s="226">
        <f>IF(AND(AC11&gt;0,AC106&gt;0),(AC106-AC105)/AC11,"N/A")</f>
        <v>-0.13137254901960785</v>
      </c>
    </row>
    <row r="181" spans="1:31" x14ac:dyDescent="0.2">
      <c r="B181" s="20" t="s">
        <v>361</v>
      </c>
      <c r="M181" s="226">
        <f>M5/(M106+M110-M105)</f>
        <v>1.0526250311022642</v>
      </c>
      <c r="N181" s="226">
        <f>N5/(N106+N110-N105)</f>
        <v>1.1122750946969697</v>
      </c>
      <c r="O181" s="226">
        <f>O5/(O106+O110-O105)</f>
        <v>0.39354473386183464</v>
      </c>
      <c r="P181" s="226">
        <f>P5/(P106+P110-P105)</f>
        <v>0.38581811518964149</v>
      </c>
      <c r="Q181" s="226">
        <f>Q5/(Q106+Q110-Q105)</f>
        <v>1.2038442083965604</v>
      </c>
      <c r="T181" s="49"/>
      <c r="U181" s="49"/>
      <c r="V181" s="49"/>
      <c r="W181" s="49"/>
      <c r="X181" s="49"/>
      <c r="Y181" s="49"/>
      <c r="Z181" s="49"/>
      <c r="AA181" s="49"/>
      <c r="AC181" s="226">
        <f>AC5/(AC106+AC110-AC105)</f>
        <v>1.2785799587449789</v>
      </c>
    </row>
    <row r="183" spans="1:31" x14ac:dyDescent="0.2">
      <c r="B183" s="1"/>
    </row>
    <row r="184" spans="1:31" s="15" customFormat="1" ht="17" thickBot="1" x14ac:dyDescent="0.25">
      <c r="A184" s="11"/>
      <c r="B184" s="14" t="s">
        <v>80</v>
      </c>
      <c r="R184" s="1"/>
      <c r="S184" s="1"/>
      <c r="AB184" s="1"/>
      <c r="AD184" s="1"/>
      <c r="AE184" s="1"/>
    </row>
    <row r="185" spans="1:31" x14ac:dyDescent="0.2">
      <c r="B185" s="20" t="s">
        <v>396</v>
      </c>
      <c r="C185" s="62"/>
      <c r="D185" s="62"/>
      <c r="E185" s="62"/>
      <c r="F185" s="62"/>
      <c r="G185" s="62"/>
      <c r="H185" s="62"/>
      <c r="I185" s="62"/>
      <c r="J185" s="62"/>
      <c r="K185" s="62"/>
      <c r="L185" s="62"/>
      <c r="M185" s="21">
        <v>5723</v>
      </c>
      <c r="N185" s="21">
        <v>8017</v>
      </c>
      <c r="O185" s="21">
        <v>4753</v>
      </c>
      <c r="P185" s="21">
        <v>5052</v>
      </c>
      <c r="Q185" s="21">
        <v>8341</v>
      </c>
      <c r="T185" s="21">
        <v>1712</v>
      </c>
      <c r="U185" s="21">
        <v>1909</v>
      </c>
      <c r="V185" s="21">
        <v>2096</v>
      </c>
      <c r="W185" s="21">
        <v>2007</v>
      </c>
      <c r="X185" s="21">
        <v>2329</v>
      </c>
      <c r="Y185" s="21">
        <v>2510</v>
      </c>
      <c r="Z185" s="21">
        <v>2673</v>
      </c>
      <c r="AA185" s="21">
        <v>2972</v>
      </c>
      <c r="AC185" s="62">
        <f>SUM(X185:AA185)</f>
        <v>10484</v>
      </c>
    </row>
    <row r="186" spans="1:31" x14ac:dyDescent="0.2">
      <c r="B186" s="20" t="s">
        <v>397</v>
      </c>
      <c r="C186" s="62"/>
      <c r="D186" s="62"/>
      <c r="E186" s="62"/>
      <c r="F186" s="62"/>
      <c r="G186" s="62"/>
      <c r="H186" s="62"/>
      <c r="I186" s="62"/>
      <c r="J186" s="62"/>
      <c r="K186" s="62"/>
      <c r="L186" s="62"/>
      <c r="M186" s="21">
        <v>7281</v>
      </c>
      <c r="N186" s="21">
        <v>7076</v>
      </c>
      <c r="O186" s="21">
        <v>691</v>
      </c>
      <c r="P186" s="21">
        <v>577</v>
      </c>
      <c r="Q186" s="21">
        <v>556</v>
      </c>
      <c r="T186" s="21">
        <v>137</v>
      </c>
      <c r="U186" s="21">
        <v>139</v>
      </c>
      <c r="V186" s="21">
        <v>140</v>
      </c>
      <c r="W186" s="21">
        <v>137</v>
      </c>
      <c r="X186" s="21">
        <v>140</v>
      </c>
      <c r="Y186" s="21">
        <v>146</v>
      </c>
      <c r="Z186" s="21">
        <v>176</v>
      </c>
      <c r="AA186" s="21">
        <v>179</v>
      </c>
      <c r="AC186" s="62">
        <f t="shared" ref="AC186:AC187" si="106">SUM(X186:AA186)</f>
        <v>641</v>
      </c>
    </row>
    <row r="187" spans="1:31" x14ac:dyDescent="0.2">
      <c r="B187" s="20" t="s">
        <v>398</v>
      </c>
      <c r="C187" s="62"/>
      <c r="D187" s="62"/>
      <c r="E187" s="62"/>
      <c r="F187" s="62"/>
      <c r="G187" s="62"/>
      <c r="H187" s="62"/>
      <c r="I187" s="62"/>
      <c r="J187" s="62"/>
      <c r="K187" s="62"/>
      <c r="L187" s="62"/>
      <c r="M187" s="21">
        <v>3918</v>
      </c>
      <c r="N187" s="21">
        <v>3700</v>
      </c>
      <c r="O187" s="21">
        <v>811</v>
      </c>
      <c r="P187" s="21">
        <v>688</v>
      </c>
      <c r="Q187" s="21">
        <v>623</v>
      </c>
      <c r="T187" s="21">
        <v>155</v>
      </c>
      <c r="U187" s="21">
        <v>164</v>
      </c>
      <c r="V187" s="21">
        <v>173</v>
      </c>
      <c r="W187" s="21">
        <v>150</v>
      </c>
      <c r="X187" s="21">
        <v>136</v>
      </c>
      <c r="Y187" s="21">
        <v>162</v>
      </c>
      <c r="Z187" s="21">
        <v>168</v>
      </c>
      <c r="AA187" s="21">
        <v>186</v>
      </c>
      <c r="AC187" s="62">
        <f t="shared" si="106"/>
        <v>652</v>
      </c>
    </row>
    <row r="188" spans="1:31" x14ac:dyDescent="0.2">
      <c r="C188" s="21"/>
      <c r="D188" s="21"/>
      <c r="E188" s="21"/>
      <c r="F188" s="21"/>
      <c r="G188" s="21"/>
      <c r="H188" s="21"/>
      <c r="I188" s="21"/>
      <c r="J188" s="21"/>
      <c r="K188" s="21"/>
      <c r="L188" s="21"/>
      <c r="M188" s="21"/>
      <c r="AC188" s="62"/>
    </row>
    <row r="189" spans="1:31" x14ac:dyDescent="0.2">
      <c r="B189" s="1"/>
    </row>
    <row r="190" spans="1:31" ht="17" thickBot="1" x14ac:dyDescent="0.25">
      <c r="B190" s="14" t="s">
        <v>315</v>
      </c>
      <c r="C190" s="171"/>
      <c r="D190" s="171"/>
      <c r="E190" s="171"/>
      <c r="F190" s="171"/>
      <c r="G190" s="171"/>
      <c r="H190" s="171"/>
      <c r="I190" s="171"/>
      <c r="J190" s="171"/>
      <c r="K190" s="171"/>
      <c r="L190" s="171"/>
      <c r="M190" s="171"/>
      <c r="N190" s="171"/>
      <c r="O190" s="171"/>
      <c r="P190" s="171"/>
      <c r="Q190" s="171"/>
      <c r="T190" s="171"/>
      <c r="U190" s="171"/>
      <c r="V190" s="171"/>
      <c r="W190" s="171"/>
      <c r="X190" s="171"/>
      <c r="Y190" s="171"/>
      <c r="Z190" s="171"/>
      <c r="AA190" s="171"/>
      <c r="AC190" s="171"/>
    </row>
    <row r="191" spans="1:31" x14ac:dyDescent="0.2">
      <c r="B191" s="20" t="str">
        <f>B185</f>
        <v>Cloud</v>
      </c>
      <c r="C191" s="81"/>
      <c r="D191" s="81"/>
      <c r="E191" s="81"/>
      <c r="F191" s="81"/>
      <c r="G191" s="81"/>
      <c r="H191" s="81"/>
      <c r="I191" s="81"/>
      <c r="J191" s="81"/>
      <c r="K191" s="81"/>
      <c r="L191" s="81"/>
      <c r="M191" s="81">
        <f t="shared" ref="M191:Q193" si="107">IF(L185=0,
IF(M185=0,0,IF(M185&gt;0,1,-1)),
(M185-L185)/ABS(L185)
)</f>
        <v>1</v>
      </c>
      <c r="N191" s="81">
        <f t="shared" si="107"/>
        <v>0.4008387209505504</v>
      </c>
      <c r="O191" s="81">
        <f t="shared" si="107"/>
        <v>-0.40713483846825493</v>
      </c>
      <c r="P191" s="81">
        <f t="shared" si="107"/>
        <v>6.2907637281716805E-2</v>
      </c>
      <c r="Q191" s="81">
        <f t="shared" si="107"/>
        <v>0.65102929532858278</v>
      </c>
      <c r="T191" s="81">
        <f t="shared" ref="T191:AA193" si="108">IF(S185=0,
IF(T185=0,0,IF(T185&gt;0,1,-1)),
(T185-S185)/ABS(S185)
)</f>
        <v>1</v>
      </c>
      <c r="U191" s="81">
        <f t="shared" si="108"/>
        <v>0.11507009345794393</v>
      </c>
      <c r="V191" s="81">
        <f t="shared" si="108"/>
        <v>9.7957045573598744E-2</v>
      </c>
      <c r="W191" s="81">
        <f t="shared" si="108"/>
        <v>-4.2461832061068704E-2</v>
      </c>
      <c r="X191" s="81">
        <f t="shared" si="108"/>
        <v>0.16043846537120079</v>
      </c>
      <c r="Y191" s="81">
        <f t="shared" si="108"/>
        <v>7.7715757835981114E-2</v>
      </c>
      <c r="Z191" s="81">
        <f t="shared" si="108"/>
        <v>6.4940239043824705E-2</v>
      </c>
      <c r="AA191" s="81">
        <f t="shared" si="108"/>
        <v>0.11185933408155631</v>
      </c>
      <c r="AC191" s="49"/>
    </row>
    <row r="192" spans="1:31" x14ac:dyDescent="0.2">
      <c r="B192" s="20" t="str">
        <f>B186</f>
        <v>Client</v>
      </c>
      <c r="M192" s="81">
        <f t="shared" si="107"/>
        <v>1</v>
      </c>
      <c r="N192" s="81">
        <f t="shared" si="107"/>
        <v>-2.8155473149292679E-2</v>
      </c>
      <c r="O192" s="81">
        <f t="shared" si="107"/>
        <v>-0.90234595816845675</v>
      </c>
      <c r="P192" s="81">
        <f t="shared" si="107"/>
        <v>-0.16497829232995659</v>
      </c>
      <c r="Q192" s="81">
        <f t="shared" si="107"/>
        <v>-3.6395147313691506E-2</v>
      </c>
      <c r="T192" s="81">
        <f t="shared" si="108"/>
        <v>1</v>
      </c>
      <c r="U192" s="81">
        <f t="shared" si="108"/>
        <v>1.4598540145985401E-2</v>
      </c>
      <c r="V192" s="81">
        <f t="shared" si="108"/>
        <v>7.1942446043165471E-3</v>
      </c>
      <c r="W192" s="81">
        <f t="shared" si="108"/>
        <v>-2.1428571428571429E-2</v>
      </c>
      <c r="X192" s="81">
        <f t="shared" si="108"/>
        <v>2.1897810218978103E-2</v>
      </c>
      <c r="Y192" s="81">
        <f t="shared" si="108"/>
        <v>4.2857142857142858E-2</v>
      </c>
      <c r="Z192" s="81">
        <f t="shared" si="108"/>
        <v>0.20547945205479451</v>
      </c>
      <c r="AA192" s="81">
        <f t="shared" si="108"/>
        <v>1.7045454545454544E-2</v>
      </c>
      <c r="AC192" s="49"/>
    </row>
    <row r="193" spans="1:31" x14ac:dyDescent="0.2">
      <c r="B193" s="20" t="str">
        <f>B187</f>
        <v>Consumer</v>
      </c>
      <c r="M193" s="81">
        <f t="shared" si="107"/>
        <v>1</v>
      </c>
      <c r="N193" s="81">
        <f t="shared" si="107"/>
        <v>-5.5640632976008166E-2</v>
      </c>
      <c r="O193" s="81">
        <f t="shared" si="107"/>
        <v>-0.78081081081081083</v>
      </c>
      <c r="P193" s="81">
        <f t="shared" si="107"/>
        <v>-0.15166461159062886</v>
      </c>
      <c r="Q193" s="81">
        <f t="shared" si="107"/>
        <v>-9.4476744186046513E-2</v>
      </c>
      <c r="T193" s="81">
        <f t="shared" si="108"/>
        <v>1</v>
      </c>
      <c r="U193" s="81">
        <f t="shared" si="108"/>
        <v>5.8064516129032261E-2</v>
      </c>
      <c r="V193" s="81">
        <f t="shared" si="108"/>
        <v>5.4878048780487805E-2</v>
      </c>
      <c r="W193" s="81">
        <f t="shared" si="108"/>
        <v>-0.13294797687861271</v>
      </c>
      <c r="X193" s="81">
        <f t="shared" si="108"/>
        <v>-9.3333333333333338E-2</v>
      </c>
      <c r="Y193" s="81">
        <f t="shared" si="108"/>
        <v>0.19117647058823528</v>
      </c>
      <c r="Z193" s="81">
        <f t="shared" si="108"/>
        <v>3.7037037037037035E-2</v>
      </c>
      <c r="AA193" s="81">
        <f t="shared" si="108"/>
        <v>0.10714285714285714</v>
      </c>
      <c r="AC193" s="49"/>
    </row>
    <row r="195" spans="1:31" x14ac:dyDescent="0.2">
      <c r="B195" s="1"/>
    </row>
    <row r="196" spans="1:31" ht="17" thickBot="1" x14ac:dyDescent="0.25">
      <c r="B196" s="14" t="s">
        <v>316</v>
      </c>
      <c r="C196" s="171"/>
      <c r="D196" s="171"/>
      <c r="E196" s="171"/>
      <c r="F196" s="171"/>
      <c r="G196" s="171"/>
      <c r="H196" s="171"/>
      <c r="I196" s="171"/>
      <c r="J196" s="171"/>
      <c r="K196" s="171"/>
      <c r="L196" s="171"/>
      <c r="M196" s="171"/>
      <c r="N196" s="171"/>
      <c r="O196" s="171"/>
      <c r="P196" s="171"/>
      <c r="Q196" s="171"/>
      <c r="T196" s="171"/>
      <c r="U196" s="171"/>
      <c r="V196" s="171"/>
      <c r="W196" s="171"/>
      <c r="X196" s="171"/>
      <c r="Y196" s="171"/>
      <c r="Z196" s="171"/>
      <c r="AA196" s="171"/>
      <c r="AC196" s="171"/>
    </row>
    <row r="197" spans="1:31" x14ac:dyDescent="0.2">
      <c r="B197" s="20" t="s">
        <v>288</v>
      </c>
      <c r="C197" s="81"/>
      <c r="D197" s="81"/>
      <c r="E197" s="81"/>
      <c r="F197" s="81"/>
      <c r="G197" s="81"/>
      <c r="H197" s="81"/>
      <c r="I197" s="81"/>
      <c r="J197" s="81"/>
      <c r="K197" s="81"/>
      <c r="L197" s="81"/>
      <c r="M197" s="81">
        <f>IF(L63=0,
IF(M63=0,0,IF(M63&gt;0,1,-1)),
(M63-L63)/L63
)</f>
        <v>0</v>
      </c>
      <c r="N197" s="81">
        <f>IF(M63=0,
IF(N63=0,0,IF(N63&gt;0,1,-1)),
(N63-M63)/M63
)</f>
        <v>0</v>
      </c>
      <c r="O197" s="81">
        <f>IF(N63=0,
IF(O63=0,0,IF(O63&gt;0,1,-1)),
(O63-N63)/N63
)</f>
        <v>0</v>
      </c>
      <c r="P197" s="81">
        <f>IF(O63=0,
IF(P63=0,0,IF(P63&gt;0,1,-1)),
(P63-O63)/O63
)</f>
        <v>0</v>
      </c>
      <c r="Q197" s="81">
        <f>IF(P63=0,
IF(Q63=0,0,IF(Q63&gt;0,1,-1)),
(Q63-P63)/P63
)</f>
        <v>-1</v>
      </c>
      <c r="T197" s="49"/>
      <c r="U197" s="49"/>
      <c r="V197" s="49"/>
      <c r="W197" s="49"/>
      <c r="X197" s="49"/>
      <c r="Y197" s="49"/>
      <c r="Z197" s="49"/>
      <c r="AA197" s="49"/>
      <c r="AC197" s="49"/>
    </row>
    <row r="199" spans="1:31" x14ac:dyDescent="0.2">
      <c r="B199" s="1"/>
    </row>
    <row r="200" spans="1:31" ht="17" thickBot="1" x14ac:dyDescent="0.25">
      <c r="B200" s="14" t="s">
        <v>354</v>
      </c>
      <c r="C200" s="171"/>
      <c r="D200" s="171"/>
      <c r="E200" s="171"/>
      <c r="F200" s="171"/>
      <c r="G200" s="171"/>
      <c r="H200" s="171"/>
      <c r="I200" s="171"/>
      <c r="J200" s="171"/>
      <c r="K200" s="171"/>
      <c r="L200" s="171"/>
      <c r="M200" s="171"/>
      <c r="N200" s="171"/>
      <c r="O200" s="171"/>
      <c r="P200" s="171"/>
      <c r="Q200" s="171"/>
      <c r="T200" s="171"/>
      <c r="U200" s="171"/>
      <c r="V200" s="171"/>
      <c r="W200" s="171"/>
      <c r="X200" s="171"/>
      <c r="Y200" s="171"/>
      <c r="Z200" s="171"/>
      <c r="AA200" s="171"/>
      <c r="AC200" s="171"/>
    </row>
    <row r="201" spans="1:31" x14ac:dyDescent="0.2">
      <c r="B201" s="20" t="s">
        <v>355</v>
      </c>
      <c r="M201" s="143">
        <v>100</v>
      </c>
      <c r="N201" s="143">
        <f>100*(1+((N115-$M115)/ABS($M115)))</f>
        <v>70.367549038278426</v>
      </c>
      <c r="O201" s="143">
        <f t="shared" ref="O201:Q201" si="109">100*(1+((O115-$M115)/ABS($M115)))</f>
        <v>74.385831270234249</v>
      </c>
      <c r="P201" s="143">
        <f t="shared" si="109"/>
        <v>144.29632450961719</v>
      </c>
      <c r="Q201" s="143">
        <f t="shared" si="109"/>
        <v>121.55779851456865</v>
      </c>
      <c r="T201" s="49"/>
      <c r="U201" s="49"/>
      <c r="V201" s="49"/>
      <c r="W201" s="49"/>
      <c r="X201" s="49"/>
      <c r="Y201" s="49"/>
      <c r="Z201" s="49"/>
      <c r="AA201" s="49"/>
      <c r="AC201" s="49"/>
    </row>
    <row r="202" spans="1:31" x14ac:dyDescent="0.2">
      <c r="B202" s="20" t="s">
        <v>356</v>
      </c>
      <c r="M202" s="143">
        <v>100</v>
      </c>
      <c r="N202" s="143">
        <f>100*(1+((N5-$M5)/ABS($M5)))</f>
        <v>111.05661269353504</v>
      </c>
      <c r="O202" s="143">
        <f>100*(1+((O5-$M5)/ABS($M5)))</f>
        <v>36.963715872828274</v>
      </c>
      <c r="P202" s="143">
        <f>100*(1+((P5-$M5)/ABS($M5)))</f>
        <v>37.330102824725209</v>
      </c>
      <c r="Q202" s="143">
        <f>100*(1+((Q5-$M5)/ABS($M5)))</f>
        <v>56.258125517078362</v>
      </c>
      <c r="T202" s="49"/>
      <c r="U202" s="49"/>
      <c r="V202" s="49"/>
      <c r="W202" s="49"/>
      <c r="X202" s="49"/>
      <c r="Y202" s="49"/>
      <c r="Z202" s="49"/>
      <c r="AA202" s="49"/>
      <c r="AC202" s="49"/>
    </row>
    <row r="203" spans="1:31" x14ac:dyDescent="0.2">
      <c r="B203" s="20" t="s">
        <v>357</v>
      </c>
      <c r="M203" s="143">
        <v>100</v>
      </c>
      <c r="N203" s="143">
        <f>100*(1+((N25-$M25)/ABS($M25)))</f>
        <v>178.57142857142856</v>
      </c>
      <c r="O203" s="143">
        <f t="shared" ref="O203:Q203" si="110">100*(1+((O25-$M25)/ABS($M25)))</f>
        <v>-109.39849624060152</v>
      </c>
      <c r="P203" s="143">
        <f t="shared" si="110"/>
        <v>-94.36090225563909</v>
      </c>
      <c r="Q203" s="143">
        <f t="shared" si="110"/>
        <v>167.29323308270676</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403</v>
      </c>
      <c r="C207" s="62"/>
      <c r="D207" s="62"/>
      <c r="E207" s="62"/>
      <c r="F207" s="62"/>
      <c r="G207" s="62"/>
      <c r="H207" s="62"/>
      <c r="I207" s="62"/>
      <c r="J207" s="62"/>
      <c r="K207" s="62"/>
      <c r="L207" s="62"/>
      <c r="M207" s="62">
        <v>541</v>
      </c>
      <c r="N207" s="62">
        <v>645</v>
      </c>
      <c r="O207" s="62">
        <v>412</v>
      </c>
      <c r="P207" s="62">
        <v>443</v>
      </c>
      <c r="Q207" s="62">
        <v>696</v>
      </c>
      <c r="T207" s="62">
        <v>144</v>
      </c>
      <c r="U207" s="62">
        <v>165</v>
      </c>
      <c r="V207" s="62">
        <v>176</v>
      </c>
      <c r="W207" s="62">
        <v>166</v>
      </c>
      <c r="X207" s="62">
        <v>190</v>
      </c>
      <c r="Y207" s="62">
        <v>204</v>
      </c>
      <c r="Z207" s="62">
        <v>215</v>
      </c>
      <c r="AA207" s="62">
        <v>222</v>
      </c>
      <c r="AC207" s="62">
        <f>SUM(X207:AA207)</f>
        <v>831</v>
      </c>
    </row>
    <row r="208" spans="1:31" x14ac:dyDescent="0.2">
      <c r="B208" s="235" t="s">
        <v>404</v>
      </c>
      <c r="C208" s="62"/>
      <c r="D208" s="62"/>
      <c r="E208" s="62"/>
      <c r="F208" s="62"/>
      <c r="G208" s="62"/>
      <c r="H208" s="62"/>
      <c r="I208" s="62"/>
      <c r="J208" s="62"/>
      <c r="K208" s="62"/>
      <c r="L208" s="62"/>
      <c r="M208" s="62">
        <v>0</v>
      </c>
      <c r="N208" s="62">
        <v>0</v>
      </c>
      <c r="O208" s="62">
        <v>0</v>
      </c>
      <c r="P208" s="62">
        <v>0</v>
      </c>
      <c r="Q208" s="62">
        <v>610</v>
      </c>
      <c r="T208" s="62">
        <v>125</v>
      </c>
      <c r="U208" s="62">
        <v>141</v>
      </c>
      <c r="V208" s="62">
        <v>154</v>
      </c>
      <c r="W208" s="62">
        <v>145</v>
      </c>
      <c r="X208" s="62">
        <v>170</v>
      </c>
      <c r="Y208" s="62">
        <v>183</v>
      </c>
      <c r="Z208" s="62">
        <v>192</v>
      </c>
      <c r="AA208" s="62">
        <v>199</v>
      </c>
      <c r="AC208" s="62">
        <f t="shared" ref="AC208:AC209" si="111">SUM(X208:AA208)</f>
        <v>744</v>
      </c>
    </row>
    <row r="209" spans="2:29" x14ac:dyDescent="0.2">
      <c r="B209" s="235" t="s">
        <v>405</v>
      </c>
      <c r="C209" s="62"/>
      <c r="D209" s="62"/>
      <c r="E209" s="62"/>
      <c r="F209" s="62"/>
      <c r="G209" s="62"/>
      <c r="H209" s="62"/>
      <c r="I209" s="62"/>
      <c r="J209" s="62"/>
      <c r="K209" s="62"/>
      <c r="L209" s="62"/>
      <c r="M209" s="62">
        <v>0</v>
      </c>
      <c r="N209" s="62">
        <v>0</v>
      </c>
      <c r="O209" s="62">
        <v>0</v>
      </c>
      <c r="P209" s="62">
        <v>0</v>
      </c>
      <c r="Q209" s="62">
        <v>87</v>
      </c>
      <c r="T209" s="62">
        <v>19</v>
      </c>
      <c r="U209" s="62">
        <v>24</v>
      </c>
      <c r="V209" s="62">
        <v>22</v>
      </c>
      <c r="W209" s="62">
        <v>21</v>
      </c>
      <c r="X209" s="62">
        <v>20</v>
      </c>
      <c r="Y209" s="62">
        <v>21</v>
      </c>
      <c r="Z209" s="62">
        <v>23</v>
      </c>
      <c r="AA209" s="62">
        <v>23</v>
      </c>
      <c r="AC209" s="62">
        <f t="shared" si="111"/>
        <v>87</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6" t="s">
        <v>406</v>
      </c>
      <c r="C211" s="62"/>
      <c r="D211" s="62"/>
      <c r="E211" s="62"/>
      <c r="F211" s="62"/>
      <c r="G211" s="62"/>
      <c r="H211" s="62"/>
      <c r="I211" s="62"/>
      <c r="J211" s="62"/>
      <c r="K211" s="62"/>
      <c r="L211" s="62"/>
      <c r="M211" s="63">
        <v>0</v>
      </c>
      <c r="N211" s="63">
        <v>0</v>
      </c>
      <c r="O211" s="63">
        <v>0</v>
      </c>
      <c r="P211" s="63">
        <v>0</v>
      </c>
      <c r="Q211" s="63">
        <f>Q185/Q208</f>
        <v>13.673770491803278</v>
      </c>
      <c r="T211" s="63">
        <f t="shared" ref="T211:AC211" si="112">T185/T208</f>
        <v>13.696</v>
      </c>
      <c r="U211" s="63">
        <f t="shared" si="112"/>
        <v>13.539007092198581</v>
      </c>
      <c r="V211" s="63">
        <f t="shared" si="112"/>
        <v>13.61038961038961</v>
      </c>
      <c r="W211" s="63">
        <f t="shared" si="112"/>
        <v>13.841379310344827</v>
      </c>
      <c r="X211" s="63">
        <f t="shared" si="112"/>
        <v>13.7</v>
      </c>
      <c r="Y211" s="63">
        <f t="shared" si="112"/>
        <v>13.71584699453552</v>
      </c>
      <c r="Z211" s="63">
        <f t="shared" si="112"/>
        <v>13.921875</v>
      </c>
      <c r="AA211" s="63">
        <f t="shared" si="112"/>
        <v>14.93467336683417</v>
      </c>
      <c r="AC211" s="63">
        <f t="shared" si="112"/>
        <v>14.091397849462366</v>
      </c>
    </row>
    <row r="212" spans="2:29" x14ac:dyDescent="0.2">
      <c r="B212" s="235"/>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2" t="s">
        <v>237</v>
      </c>
      <c r="C4" s="242"/>
      <c r="E4" s="242" t="s">
        <v>244</v>
      </c>
      <c r="F4" s="242"/>
      <c r="G4" s="242"/>
    </row>
    <row r="5" spans="2:7" x14ac:dyDescent="0.2">
      <c r="B5" s="20" t="s">
        <v>1</v>
      </c>
      <c r="C5" s="172">
        <f ca="1">Overview!C5</f>
        <v>463.51</v>
      </c>
      <c r="E5" s="12"/>
      <c r="F5" s="132" t="s">
        <v>245</v>
      </c>
      <c r="G5" s="132" t="s">
        <v>246</v>
      </c>
    </row>
    <row r="6" spans="2:7" x14ac:dyDescent="0.2">
      <c r="B6" s="20" t="s">
        <v>243</v>
      </c>
      <c r="C6" s="173">
        <f ca="1">Statement!AC151</f>
        <v>161764.99</v>
      </c>
      <c r="E6" s="20" t="s">
        <v>19</v>
      </c>
      <c r="F6" s="178">
        <f>IF(Statement!M5&lt;=0,"N/A",_xlfn.RRI(4,Statement!M5,Statement!Q5))</f>
        <v>-0.13394332277977927</v>
      </c>
      <c r="G6" s="178" t="str">
        <f>IF(Statement!H5&lt;=0,"N/A",_xlfn.RRI(9,Statement!H5,Statement!Q5))</f>
        <v>N/A</v>
      </c>
    </row>
    <row r="7" spans="2:7" x14ac:dyDescent="0.2">
      <c r="B7" s="20" t="s">
        <v>187</v>
      </c>
      <c r="C7" s="173">
        <f ca="1">Statement!AC152</f>
        <v>161295.99</v>
      </c>
      <c r="E7" s="20" t="s">
        <v>30</v>
      </c>
      <c r="F7" s="178">
        <f>IF(OR(Statement!M17&lt;=0, Statement!Q17&lt;=0), "N/A", _xlfn.RRI(4, Statement!M17, Statement!Q17))</f>
        <v>0.1893881344333388</v>
      </c>
      <c r="G7" s="178" t="str">
        <f>IF(OR(Statement!H17&lt;=0, Statement!Q17&lt;=0), "N/A", _xlfn.RRI(9, Statement!H17, Statement!Q17))</f>
        <v>N/A</v>
      </c>
    </row>
    <row r="8" spans="2:7" x14ac:dyDescent="0.2">
      <c r="B8" s="20" t="s">
        <v>241</v>
      </c>
      <c r="C8" s="174">
        <f ca="1">Statement!AC148</f>
        <v>27.805038992201556</v>
      </c>
      <c r="E8" s="20" t="s">
        <v>247</v>
      </c>
      <c r="F8" s="178">
        <f>IF(OR(Statement!M25&lt;=0, Statement!Q25&lt;=0), "N/A", _xlfn.RRI(4, Statement!M25, Statement!Q25))</f>
        <v>0.13728573964150814</v>
      </c>
      <c r="G8" s="178" t="str">
        <f>IF(OR(Statement!H25&lt;=0, Statement!Q25&lt;=0), "N/A", _xlfn.RRI(9, Statement!H25, Statement!Q25))</f>
        <v>N/A</v>
      </c>
    </row>
    <row r="9" spans="2:7" x14ac:dyDescent="0.2">
      <c r="B9" s="20" t="s">
        <v>200</v>
      </c>
      <c r="C9" s="174">
        <f ca="1">Statement!AC149</f>
        <v>14.817993971299991</v>
      </c>
      <c r="E9" s="20" t="s">
        <v>248</v>
      </c>
      <c r="F9" s="178" t="str">
        <f>IF(Statement!M81&lt;=0,"N/A",_xlfn.RRI(4,Statement!M81,Statement!Q81))</f>
        <v>N/A</v>
      </c>
      <c r="G9" s="178" t="str">
        <f>IF(Statement!H81&lt;=0,"N/A",_xlfn.RRI(9,Statement!H81,Statement!Q81))</f>
        <v>N/A</v>
      </c>
    </row>
    <row r="10" spans="2:7" x14ac:dyDescent="0.2">
      <c r="B10" s="20" t="s">
        <v>242</v>
      </c>
      <c r="C10" s="174">
        <f ca="1">Statement!AC150</f>
        <v>16.519726239669421</v>
      </c>
      <c r="E10" s="20" t="s">
        <v>1</v>
      </c>
      <c r="F10" s="178">
        <f>IF(Statement!M115&lt;=0,"N/A",_xlfn.RRI(4,Statement!M115,Statement!Q115))</f>
        <v>5.0015491536152146E-2</v>
      </c>
      <c r="G10" s="178" t="str">
        <f>IF(Statement!H115&lt;=0,"N/A",_xlfn.RRI(9,Statement!H115,Statement!Q115))</f>
        <v>N/A</v>
      </c>
    </row>
    <row r="11" spans="2:7" x14ac:dyDescent="0.2">
      <c r="B11" s="20" t="s">
        <v>264</v>
      </c>
      <c r="C11" s="174">
        <f ca="1">Statement!AC153</f>
        <v>13.695846989895559</v>
      </c>
    </row>
    <row r="12" spans="2:7" x14ac:dyDescent="0.2">
      <c r="B12" s="20" t="s">
        <v>203</v>
      </c>
      <c r="C12" s="174">
        <f ca="1">Statement!AC154</f>
        <v>45.180949579831932</v>
      </c>
    </row>
    <row r="15" spans="2:7" x14ac:dyDescent="0.2">
      <c r="B15" s="242" t="s">
        <v>76</v>
      </c>
      <c r="C15" s="242"/>
      <c r="E15" s="242" t="s">
        <v>250</v>
      </c>
      <c r="F15" s="242"/>
    </row>
    <row r="16" spans="2:7" x14ac:dyDescent="0.2">
      <c r="B16" s="20" t="s">
        <v>77</v>
      </c>
      <c r="C16" s="175">
        <f>Statement!AC99</f>
        <v>0.45427528232996517</v>
      </c>
      <c r="E16" s="20" t="s">
        <v>30</v>
      </c>
      <c r="F16" s="173">
        <f>Statement!AC17</f>
        <v>6481</v>
      </c>
    </row>
    <row r="17" spans="2:6" x14ac:dyDescent="0.2">
      <c r="B17" s="20" t="s">
        <v>78</v>
      </c>
      <c r="C17" s="175">
        <f>Statement!AC100</f>
        <v>0.30313322577906088</v>
      </c>
      <c r="E17" s="20" t="s">
        <v>251</v>
      </c>
      <c r="F17" s="173">
        <f>Statement!AC58</f>
        <v>5375</v>
      </c>
    </row>
    <row r="18" spans="2:6" x14ac:dyDescent="0.2">
      <c r="B18" s="20" t="s">
        <v>79</v>
      </c>
      <c r="C18" s="175">
        <f>Statement!AC101</f>
        <v>0.55030992612719709</v>
      </c>
      <c r="E18" s="20" t="s">
        <v>258</v>
      </c>
      <c r="F18" s="177">
        <f>IF(OR(F16&lt;=0, F17&lt;=0),"N/A",F16-F17)</f>
        <v>1106</v>
      </c>
    </row>
    <row r="21" spans="2:6" x14ac:dyDescent="0.2">
      <c r="B21" s="242" t="s">
        <v>249</v>
      </c>
      <c r="C21" s="242"/>
      <c r="E21" s="242" t="s">
        <v>253</v>
      </c>
      <c r="F21" s="242"/>
    </row>
    <row r="22" spans="2:6" x14ac:dyDescent="0.2">
      <c r="B22" s="20" t="s">
        <v>99</v>
      </c>
      <c r="C22" s="175">
        <f>Statement!AC119</f>
        <v>0.55030992612719709</v>
      </c>
      <c r="E22" s="20" t="s">
        <v>101</v>
      </c>
      <c r="F22" s="175">
        <f>C24</f>
        <v>0.43077434363575939</v>
      </c>
    </row>
    <row r="23" spans="2:6" x14ac:dyDescent="0.2">
      <c r="B23" s="20" t="s">
        <v>100</v>
      </c>
      <c r="C23" s="174">
        <f>Statement!AC120</f>
        <v>0.78278497839813888</v>
      </c>
      <c r="E23" s="20" t="s">
        <v>103</v>
      </c>
      <c r="F23" s="175">
        <f>C26</f>
        <v>0.66952479338842974</v>
      </c>
    </row>
    <row r="24" spans="2:6" x14ac:dyDescent="0.2">
      <c r="B24" s="32" t="s">
        <v>101</v>
      </c>
      <c r="C24" s="176">
        <f>Statement!AC121</f>
        <v>0.43077434363575939</v>
      </c>
      <c r="E24" s="20" t="s">
        <v>104</v>
      </c>
      <c r="F24" s="175">
        <f>Statement!AC138</f>
        <v>0.35858763972040686</v>
      </c>
    </row>
    <row r="25" spans="2:6" x14ac:dyDescent="0.2">
      <c r="B25" s="20" t="s">
        <v>102</v>
      </c>
      <c r="C25" s="174">
        <f>Statement!AC122</f>
        <v>1.5542355371900827</v>
      </c>
    </row>
    <row r="26" spans="2:6" x14ac:dyDescent="0.2">
      <c r="B26" s="32" t="s">
        <v>103</v>
      </c>
      <c r="C26" s="176">
        <f>Statement!AC123</f>
        <v>0.66952479338842974</v>
      </c>
    </row>
    <row r="29" spans="2:6" x14ac:dyDescent="0.2">
      <c r="B29" s="242" t="s">
        <v>254</v>
      </c>
      <c r="C29" s="242"/>
      <c r="E29" s="242" t="s">
        <v>260</v>
      </c>
      <c r="F29" s="242"/>
    </row>
    <row r="30" spans="2:6" x14ac:dyDescent="0.2">
      <c r="B30" s="20" t="s">
        <v>138</v>
      </c>
      <c r="C30" s="174">
        <f>Statement!AC139</f>
        <v>58.700008491126773</v>
      </c>
      <c r="E30" s="20" t="s">
        <v>261</v>
      </c>
      <c r="F30" s="180">
        <f>Statement!AC143</f>
        <v>0.16332644628099174</v>
      </c>
    </row>
    <row r="31" spans="2:6" x14ac:dyDescent="0.2">
      <c r="B31" s="20" t="s">
        <v>139</v>
      </c>
      <c r="C31" s="174">
        <f>Statement!AC140</f>
        <v>77.066282869145795</v>
      </c>
      <c r="E31" s="20" t="s">
        <v>262</v>
      </c>
      <c r="F31" s="180">
        <f>Statement!AC144</f>
        <v>-4.8450413223140497E-2</v>
      </c>
    </row>
    <row r="32" spans="2:6" x14ac:dyDescent="0.2">
      <c r="B32" s="20" t="s">
        <v>140</v>
      </c>
      <c r="C32" s="174">
        <f>Statement!AC141</f>
        <v>90.128364711373891</v>
      </c>
      <c r="E32" s="20" t="s">
        <v>257</v>
      </c>
      <c r="F32" s="180">
        <f>Statement!AC146</f>
        <v>1.4904032779814536</v>
      </c>
    </row>
    <row r="33" spans="2:6" x14ac:dyDescent="0.2">
      <c r="B33" s="20" t="s">
        <v>141</v>
      </c>
      <c r="C33" s="174">
        <f>Statement!AC142</f>
        <v>45.63792664889867</v>
      </c>
      <c r="E33" s="20" t="s">
        <v>256</v>
      </c>
      <c r="F33" s="180">
        <f>Statement!AC145</f>
        <v>0.85054992452016387</v>
      </c>
    </row>
    <row r="34" spans="2:6" x14ac:dyDescent="0.2">
      <c r="E34" s="20" t="s">
        <v>263</v>
      </c>
      <c r="F34" s="182">
        <f>Statement!AC147</f>
        <v>8.0586907449209928</v>
      </c>
    </row>
    <row r="37" spans="2:6" x14ac:dyDescent="0.2">
      <c r="B37" s="242" t="s">
        <v>272</v>
      </c>
      <c r="C37" s="242"/>
      <c r="E37" s="242" t="s">
        <v>275</v>
      </c>
      <c r="F37" s="242"/>
    </row>
    <row r="38" spans="2:6" x14ac:dyDescent="0.2">
      <c r="B38" s="20" t="s">
        <v>270</v>
      </c>
      <c r="C38" s="175">
        <f ca="1">Statement!AC160</f>
        <v>3.5964704105628791E-2</v>
      </c>
      <c r="E38" s="20" t="s">
        <v>274</v>
      </c>
      <c r="F38" s="175">
        <f>Statement!AC166</f>
        <v>6.2599590257227403E-2</v>
      </c>
    </row>
    <row r="39" spans="2:6" x14ac:dyDescent="0.2">
      <c r="B39" s="54" t="s">
        <v>273</v>
      </c>
      <c r="C39" s="215">
        <f ca="1">Statement!AC159</f>
        <v>2.7156679575722781E-2</v>
      </c>
      <c r="E39" s="20" t="s">
        <v>276</v>
      </c>
      <c r="F39" s="175">
        <f>Statement!AC167</f>
        <v>0.86273617118142498</v>
      </c>
    </row>
    <row r="40" spans="2:6" x14ac:dyDescent="0.2">
      <c r="B40" s="20" t="s">
        <v>271</v>
      </c>
      <c r="C40" s="175">
        <f ca="1">Statement!AC161</f>
        <v>9.7085284028392059E-4</v>
      </c>
      <c r="E40" s="20" t="s">
        <v>277</v>
      </c>
      <c r="F40" s="175">
        <f>Statement!AC168</f>
        <v>0.92533576143865237</v>
      </c>
    </row>
    <row r="41" spans="2:6" x14ac:dyDescent="0.2">
      <c r="B41" s="20" t="s">
        <v>296</v>
      </c>
      <c r="C41" s="175">
        <f ca="1">Statement!AC162</f>
        <v>2.3429049759159878E-2</v>
      </c>
    </row>
    <row r="42" spans="2:6" x14ac:dyDescent="0.2">
      <c r="B42" s="20" t="s">
        <v>298</v>
      </c>
      <c r="C42" s="175">
        <f ca="1">Statement!AC163</f>
        <v>2.5129046773346941E-2</v>
      </c>
    </row>
    <row r="45" spans="2:6" x14ac:dyDescent="0.2">
      <c r="B45" s="242" t="s">
        <v>283</v>
      </c>
      <c r="C45" s="242"/>
      <c r="E45" s="242" t="s">
        <v>289</v>
      </c>
      <c r="F45" s="242"/>
    </row>
    <row r="46" spans="2:6" x14ac:dyDescent="0.2">
      <c r="B46" s="20" t="s">
        <v>281</v>
      </c>
      <c r="C46" s="175">
        <f>Statement!AC169</f>
        <v>2.8653295128939827E-3</v>
      </c>
      <c r="E46" s="20" t="s">
        <v>282</v>
      </c>
      <c r="F46" s="174">
        <f>Statement!AC170</f>
        <v>5.9420289855072461</v>
      </c>
    </row>
    <row r="47" spans="2:6" x14ac:dyDescent="0.2">
      <c r="E47" s="20" t="s">
        <v>290</v>
      </c>
      <c r="F47" s="174">
        <f>Statement!AC173</f>
        <v>1.3594202898550725</v>
      </c>
    </row>
    <row r="48" spans="2:6" x14ac:dyDescent="0.2">
      <c r="E48" s="20" t="s">
        <v>295</v>
      </c>
      <c r="F48" s="175">
        <f ca="1">Statement!AC174</f>
        <v>2.8992676351044812E-3</v>
      </c>
    </row>
    <row r="51" spans="2:6" x14ac:dyDescent="0.2">
      <c r="B51" s="242" t="s">
        <v>286</v>
      </c>
      <c r="C51" s="242"/>
      <c r="E51" s="242" t="s">
        <v>307</v>
      </c>
      <c r="F51" s="242"/>
    </row>
    <row r="52" spans="2:6" x14ac:dyDescent="0.2">
      <c r="B52" s="20" t="s">
        <v>284</v>
      </c>
      <c r="C52" s="175">
        <f>Statement!AC171</f>
        <v>6.7534883720930236E-2</v>
      </c>
      <c r="E52" s="20" t="s">
        <v>308</v>
      </c>
      <c r="F52" s="175">
        <f>Statement!AC175</f>
        <v>5.2560074721915595E-2</v>
      </c>
    </row>
    <row r="53" spans="2:6" x14ac:dyDescent="0.2">
      <c r="B53" s="20" t="s">
        <v>285</v>
      </c>
      <c r="C53" s="175">
        <f>Statement!AC172</f>
        <v>3.0822790184257452E-2</v>
      </c>
      <c r="E53" s="20" t="s">
        <v>305</v>
      </c>
      <c r="F53" s="175">
        <f>Statement!AC176</f>
        <v>0.11516279069767442</v>
      </c>
    </row>
    <row r="54" spans="2:6" x14ac:dyDescent="0.2">
      <c r="E54" s="20" t="s">
        <v>306</v>
      </c>
      <c r="F54" s="175">
        <f>Statement!AC177</f>
        <v>0.98253968253968249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52.51</v>
      </c>
      <c r="D6" s="172">
        <f>Statement!N114</f>
        <v>36.950000000000003</v>
      </c>
      <c r="E6" s="172">
        <f>Statement!O114</f>
        <v>39.06</v>
      </c>
      <c r="F6" s="172">
        <f>Statement!P114</f>
        <v>75.77</v>
      </c>
      <c r="G6" s="172">
        <f>Statement!Q114</f>
        <v>63.83</v>
      </c>
      <c r="I6" s="172">
        <f ca="1">Statement!AC114</f>
        <v>463.51</v>
      </c>
    </row>
    <row r="7" spans="2:9" x14ac:dyDescent="0.2">
      <c r="B7" s="20" t="s">
        <v>243</v>
      </c>
      <c r="C7" s="173">
        <f>Statement!M151</f>
        <v>16435.63</v>
      </c>
      <c r="D7" s="173">
        <f>Statement!N151</f>
        <v>11750.1</v>
      </c>
      <c r="E7" s="173">
        <f>Statement!O151</f>
        <v>12577.320000000002</v>
      </c>
      <c r="F7" s="173">
        <f>Statement!P151</f>
        <v>25989.109999999997</v>
      </c>
      <c r="G7" s="173">
        <f>Statement!Q151</f>
        <v>22787.309999999998</v>
      </c>
      <c r="I7" s="173">
        <f ca="1">Statement!AC151</f>
        <v>161764.99</v>
      </c>
    </row>
    <row r="8" spans="2:9" x14ac:dyDescent="0.2">
      <c r="B8" s="20" t="s">
        <v>187</v>
      </c>
      <c r="C8" s="173">
        <f>Statement!M152</f>
        <v>21790.63</v>
      </c>
      <c r="D8" s="173">
        <f>Statement!N152</f>
        <v>16425.099999999999</v>
      </c>
      <c r="E8" s="173">
        <f>Statement!O152</f>
        <v>18500.32</v>
      </c>
      <c r="F8" s="173">
        <f>Statement!P152</f>
        <v>31773.11</v>
      </c>
      <c r="G8" s="173">
        <f>Statement!Q152</f>
        <v>25613.309999999998</v>
      </c>
      <c r="I8" s="173">
        <f ca="1">Statement!AC152</f>
        <v>161295.99</v>
      </c>
    </row>
    <row r="9" spans="2:9" x14ac:dyDescent="0.2">
      <c r="B9" s="20" t="s">
        <v>241</v>
      </c>
      <c r="C9" s="174">
        <f>Statement!M148</f>
        <v>19.740601503759397</v>
      </c>
      <c r="D9" s="174">
        <f>Statement!N148</f>
        <v>7.7789473684210533</v>
      </c>
      <c r="E9" s="174">
        <f>Statement!O148</f>
        <v>-13.422680412371134</v>
      </c>
      <c r="F9" s="174">
        <f>Statement!P148</f>
        <v>-30.187250996015937</v>
      </c>
      <c r="G9" s="174">
        <f>Statement!Q148</f>
        <v>14.343820224719099</v>
      </c>
      <c r="I9" s="174">
        <f ca="1">Statement!AC148</f>
        <v>27.805038992201556</v>
      </c>
    </row>
    <row r="10" spans="2:9" x14ac:dyDescent="0.2">
      <c r="B10" s="20" t="s">
        <v>200</v>
      </c>
      <c r="C10" s="174">
        <f>Statement!M149</f>
        <v>0.95884588110152458</v>
      </c>
      <c r="D10" s="174">
        <f>Statement!N149</f>
        <v>0.62130580535305702</v>
      </c>
      <c r="E10" s="174">
        <f>Statement!O149</f>
        <v>1.9857841726618706</v>
      </c>
      <c r="F10" s="174">
        <f>Statement!P149</f>
        <v>3.9102453696374861</v>
      </c>
      <c r="G10" s="174">
        <f>Statement!Q149</f>
        <v>2.407034663865546</v>
      </c>
      <c r="I10" s="174">
        <f ca="1">Statement!AC149</f>
        <v>14.817993971299991</v>
      </c>
    </row>
    <row r="11" spans="2:9" x14ac:dyDescent="0.2">
      <c r="B11" s="20" t="s">
        <v>242</v>
      </c>
      <c r="C11" s="174">
        <f>Statement!M150</f>
        <v>1.5134399776140286</v>
      </c>
      <c r="D11" s="174">
        <f>Statement!N150</f>
        <v>0.94937402831192208</v>
      </c>
      <c r="E11" s="174">
        <f>Statement!O150</f>
        <v>1.159520604775514</v>
      </c>
      <c r="F11" s="174">
        <f>Statement!P150</f>
        <v>2.4023950822702904</v>
      </c>
      <c r="G11" s="174">
        <f>Statement!Q150</f>
        <v>4.1463660327621916</v>
      </c>
      <c r="I11" s="174">
        <f ca="1">Statement!AC150</f>
        <v>16.519726239669421</v>
      </c>
    </row>
    <row r="12" spans="2:9" x14ac:dyDescent="0.2">
      <c r="B12" s="20" t="s">
        <v>264</v>
      </c>
      <c r="C12" s="174">
        <f>Statement!M153</f>
        <v>1.2877100815506441</v>
      </c>
      <c r="D12" s="174">
        <f>Statement!N153</f>
        <v>0.87400095780343734</v>
      </c>
      <c r="E12" s="174">
        <f>Statement!O153</f>
        <v>2.9576850519584332</v>
      </c>
      <c r="F12" s="174">
        <f>Statement!P153</f>
        <v>5.0297783758113033</v>
      </c>
      <c r="G12" s="174">
        <f>Statement!Q153</f>
        <v>2.6904737394957983</v>
      </c>
      <c r="I12" s="174">
        <f ca="1">Statement!AC153</f>
        <v>13.695846989895559</v>
      </c>
    </row>
    <row r="13" spans="2:9" x14ac:dyDescent="0.2">
      <c r="B13" s="20" t="s">
        <v>203</v>
      </c>
      <c r="C13" s="174">
        <f>Statement!M154</f>
        <v>17.861172131147541</v>
      </c>
      <c r="D13" s="174">
        <f>Statement!N154</f>
        <v>6.8695524884985355</v>
      </c>
      <c r="E13" s="174">
        <f>Statement!O154</f>
        <v>-33.759708029197078</v>
      </c>
      <c r="F13" s="174">
        <f>Statement!P154</f>
        <v>-78.841464019851117</v>
      </c>
      <c r="G13" s="174">
        <f>Statement!Q154</f>
        <v>10.973997429305912</v>
      </c>
      <c r="I13" s="174">
        <f ca="1">Statement!AC154</f>
        <v>45.180949579831932</v>
      </c>
    </row>
    <row r="15" spans="2:9" ht="17" thickBot="1" x14ac:dyDescent="0.25">
      <c r="B15" s="14" t="s">
        <v>76</v>
      </c>
      <c r="C15" s="14"/>
      <c r="D15" s="14"/>
      <c r="E15" s="14"/>
      <c r="F15" s="14"/>
      <c r="G15" s="14"/>
      <c r="I15" s="14"/>
    </row>
    <row r="16" spans="2:9" x14ac:dyDescent="0.2">
      <c r="B16" s="20" t="s">
        <v>77</v>
      </c>
      <c r="C16" s="175">
        <f>Statement!M99</f>
        <v>0.26716700153646139</v>
      </c>
      <c r="D16" s="175">
        <f>Statement!N99</f>
        <v>0.31256318842122066</v>
      </c>
      <c r="E16" s="175">
        <f>Statement!O99</f>
        <v>0.22238209432454037</v>
      </c>
      <c r="F16" s="175">
        <f>Statement!P99</f>
        <v>0.28067120468576856</v>
      </c>
      <c r="G16" s="175">
        <f>Statement!Q99</f>
        <v>0.38781512605042018</v>
      </c>
      <c r="I16" s="175">
        <f>Statement!AC99</f>
        <v>0.45427528232996517</v>
      </c>
    </row>
    <row r="17" spans="2:9" x14ac:dyDescent="0.2">
      <c r="B17" s="20" t="s">
        <v>78</v>
      </c>
      <c r="C17" s="175">
        <f>Statement!M100</f>
        <v>7.2095496986171848E-2</v>
      </c>
      <c r="D17" s="175">
        <f>Statement!N100</f>
        <v>0.12722822327462352</v>
      </c>
      <c r="E17" s="175">
        <f>Statement!O100</f>
        <v>-8.7609912070343729E-2</v>
      </c>
      <c r="F17" s="175">
        <f>Statement!P100</f>
        <v>-6.3796105746398601E-2</v>
      </c>
      <c r="G17" s="175">
        <f>Statement!Q100</f>
        <v>0.24516806722689075</v>
      </c>
      <c r="I17" s="175">
        <f>Statement!AC100</f>
        <v>0.30313322577906088</v>
      </c>
    </row>
    <row r="18" spans="2:9" x14ac:dyDescent="0.2">
      <c r="B18" s="20" t="s">
        <v>79</v>
      </c>
      <c r="C18" s="175">
        <f>Statement!M101</f>
        <v>4.8516723791514005E-2</v>
      </c>
      <c r="D18" s="175">
        <f>Statement!N101</f>
        <v>7.9816953120842873E-2</v>
      </c>
      <c r="E18" s="175">
        <f>Statement!O101</f>
        <v>-0.14708233413269384</v>
      </c>
      <c r="F18" s="175">
        <f>Statement!P101</f>
        <v>-0.12110178882380877</v>
      </c>
      <c r="G18" s="175">
        <f>Statement!Q101</f>
        <v>0.17258403361344538</v>
      </c>
      <c r="I18" s="175">
        <f>Statement!AC101</f>
        <v>0.55030992612719709</v>
      </c>
    </row>
    <row r="20" spans="2:9" ht="17" thickBot="1" x14ac:dyDescent="0.25">
      <c r="B20" s="14" t="s">
        <v>250</v>
      </c>
      <c r="C20" s="14"/>
      <c r="D20" s="14"/>
      <c r="E20" s="14"/>
      <c r="F20" s="14"/>
      <c r="G20" s="14"/>
      <c r="I20" s="14"/>
    </row>
    <row r="21" spans="2:9" x14ac:dyDescent="0.2">
      <c r="B21" s="20" t="s">
        <v>30</v>
      </c>
      <c r="C21" s="177">
        <f>Statement!M17</f>
        <v>821</v>
      </c>
      <c r="D21" s="177">
        <f>Statement!N17</f>
        <v>1500</v>
      </c>
      <c r="E21" s="177">
        <f>Statement!O17</f>
        <v>-920</v>
      </c>
      <c r="F21" s="177">
        <f>Statement!P17</f>
        <v>-765</v>
      </c>
      <c r="G21" s="177">
        <f>Statement!Q17</f>
        <v>1643</v>
      </c>
      <c r="I21" s="177">
        <f>Statement!AC17</f>
        <v>6481</v>
      </c>
    </row>
    <row r="22" spans="2:9" x14ac:dyDescent="0.2">
      <c r="B22" s="20" t="s">
        <v>251</v>
      </c>
      <c r="C22" s="177">
        <f>Statement!M58</f>
        <v>1898</v>
      </c>
      <c r="D22" s="177">
        <f>Statement!N58</f>
        <v>1880</v>
      </c>
      <c r="E22" s="177">
        <f>Statement!O58</f>
        <v>-408</v>
      </c>
      <c r="F22" s="177">
        <f>Statement!P58</f>
        <v>-294</v>
      </c>
      <c r="G22" s="177">
        <f>Statement!Q58</f>
        <v>1691</v>
      </c>
      <c r="I22" s="177">
        <f>Statement!AC58</f>
        <v>5375</v>
      </c>
    </row>
    <row r="23" spans="2:9" x14ac:dyDescent="0.2">
      <c r="B23" s="20" t="s">
        <v>258</v>
      </c>
      <c r="C23" s="195">
        <f>IF(OR(C21&lt;=0, C22&lt;=0),"N/A",C21-C22)</f>
        <v>-1077</v>
      </c>
      <c r="D23" s="195">
        <f t="shared" ref="D23:I23" si="0">IF(OR(D21&lt;=0, D22&lt;=0),"N/A",D21-D22)</f>
        <v>-380</v>
      </c>
      <c r="E23" s="195" t="str">
        <f t="shared" si="0"/>
        <v>N/A</v>
      </c>
      <c r="F23" s="195" t="str">
        <f t="shared" si="0"/>
        <v>N/A</v>
      </c>
      <c r="G23" s="195">
        <f t="shared" si="0"/>
        <v>-48</v>
      </c>
      <c r="I23" s="195">
        <f t="shared" si="0"/>
        <v>1106</v>
      </c>
    </row>
    <row r="25" spans="2:9" ht="17" thickBot="1" x14ac:dyDescent="0.25">
      <c r="B25" s="14" t="s">
        <v>249</v>
      </c>
      <c r="C25" s="14"/>
      <c r="D25" s="14"/>
      <c r="E25" s="14"/>
      <c r="F25" s="14"/>
      <c r="G25" s="14"/>
      <c r="I25" s="14"/>
    </row>
    <row r="26" spans="2:9" x14ac:dyDescent="0.2">
      <c r="B26" s="20" t="s">
        <v>99</v>
      </c>
      <c r="C26" s="175">
        <f>Statement!M119</f>
        <v>4.8516723791514005E-2</v>
      </c>
      <c r="D26" s="175">
        <f>Statement!N119</f>
        <v>7.9816953120842873E-2</v>
      </c>
      <c r="E26" s="175">
        <f>Statement!O119</f>
        <v>-0.14708233413269384</v>
      </c>
      <c r="F26" s="175">
        <f>Statement!P119</f>
        <v>-0.12110178882380877</v>
      </c>
      <c r="G26" s="175">
        <f>Statement!Q119</f>
        <v>0.17258403361344538</v>
      </c>
      <c r="I26" s="175">
        <f>Statement!AC119</f>
        <v>0.55030992612719709</v>
      </c>
    </row>
    <row r="27" spans="2:9" x14ac:dyDescent="0.2">
      <c r="B27" s="20" t="s">
        <v>100</v>
      </c>
      <c r="C27" s="214">
        <f>Statement!M120</f>
        <v>0.64755854890555642</v>
      </c>
      <c r="D27" s="214">
        <f>Statement!N120</f>
        <v>0.71567843406070297</v>
      </c>
      <c r="E27" s="214">
        <f>Statement!O120</f>
        <v>0.25604813950632443</v>
      </c>
      <c r="F27" s="214">
        <f>Statement!P120</f>
        <v>0.26116255994708121</v>
      </c>
      <c r="G27" s="214">
        <f>Statement!Q120</f>
        <v>0.67990287101842595</v>
      </c>
      <c r="I27" s="214">
        <f>Statement!AC120</f>
        <v>0.78278497839813888</v>
      </c>
    </row>
    <row r="28" spans="2:9" x14ac:dyDescent="0.2">
      <c r="B28" s="32" t="s">
        <v>101</v>
      </c>
      <c r="C28" s="176">
        <f>Statement!M121</f>
        <v>3.1417419256084496E-2</v>
      </c>
      <c r="D28" s="176">
        <f>Statement!N121</f>
        <v>5.7123272021021368E-2</v>
      </c>
      <c r="E28" s="176">
        <f>Statement!O121</f>
        <v>-3.7660158008923819E-2</v>
      </c>
      <c r="F28" s="176">
        <f>Statement!P121</f>
        <v>-3.1627253183396729E-2</v>
      </c>
      <c r="G28" s="176">
        <f>Statement!Q121</f>
        <v>0.11734037994572204</v>
      </c>
      <c r="I28" s="176">
        <f>Statement!AC121</f>
        <v>0.43077434363575939</v>
      </c>
    </row>
    <row r="29" spans="2:9" x14ac:dyDescent="0.2">
      <c r="B29" s="20" t="s">
        <v>102</v>
      </c>
      <c r="C29" s="214">
        <f>Statement!M122</f>
        <v>2.4374591922395301</v>
      </c>
      <c r="D29" s="214">
        <f>Statement!N122</f>
        <v>2.1486785042140579</v>
      </c>
      <c r="E29" s="214">
        <f>Statement!O122</f>
        <v>2.2521434498017885</v>
      </c>
      <c r="F29" s="214">
        <f>Statement!P122</f>
        <v>2.2359031244222591</v>
      </c>
      <c r="G29" s="214">
        <f>Statement!Q122</f>
        <v>2.6364149877612504</v>
      </c>
      <c r="I29" s="214">
        <f>Statement!AC122</f>
        <v>1.5542355371900827</v>
      </c>
    </row>
    <row r="30" spans="2:9" x14ac:dyDescent="0.2">
      <c r="B30" s="32" t="s">
        <v>103</v>
      </c>
      <c r="C30" s="176">
        <f>Statement!M123</f>
        <v>7.6578677362186376E-2</v>
      </c>
      <c r="D30" s="176">
        <f>Statement!N123</f>
        <v>0.12273954668194094</v>
      </c>
      <c r="E30" s="176">
        <f>Statement!O123</f>
        <v>-8.4816078178298143E-2</v>
      </c>
      <c r="F30" s="176">
        <f>Statement!P123</f>
        <v>-7.0715474209650589E-2</v>
      </c>
      <c r="G30" s="176">
        <f>Statement!Q123</f>
        <v>0.30935793635850123</v>
      </c>
      <c r="I30" s="176">
        <f>Statement!AC123</f>
        <v>0.66952479338842974</v>
      </c>
    </row>
    <row r="32" spans="2:9" ht="17" thickBot="1" x14ac:dyDescent="0.25">
      <c r="B32" s="14" t="s">
        <v>309</v>
      </c>
      <c r="C32" s="14"/>
      <c r="D32" s="14"/>
      <c r="E32" s="14"/>
      <c r="F32" s="14"/>
      <c r="G32" s="14"/>
      <c r="I32" s="14"/>
    </row>
    <row r="33" spans="2:9" x14ac:dyDescent="0.2">
      <c r="B33" s="20" t="s">
        <v>101</v>
      </c>
      <c r="C33" s="175">
        <f>C28</f>
        <v>3.1417419256084496E-2</v>
      </c>
      <c r="D33" s="175">
        <f t="shared" ref="D33:G33" si="1">D28</f>
        <v>5.7123272021021368E-2</v>
      </c>
      <c r="E33" s="175">
        <f t="shared" si="1"/>
        <v>-3.7660158008923819E-2</v>
      </c>
      <c r="F33" s="175">
        <f t="shared" si="1"/>
        <v>-3.1627253183396729E-2</v>
      </c>
      <c r="G33" s="175">
        <f t="shared" si="1"/>
        <v>0.11734037994572204</v>
      </c>
      <c r="I33" s="175">
        <f>I28</f>
        <v>0.43077434363575939</v>
      </c>
    </row>
    <row r="34" spans="2:9" x14ac:dyDescent="0.2">
      <c r="B34" s="20" t="s">
        <v>103</v>
      </c>
      <c r="C34" s="175">
        <f>C30</f>
        <v>7.6578677362186376E-2</v>
      </c>
      <c r="D34" s="175">
        <f t="shared" ref="D34:G34" si="2">D30</f>
        <v>0.12273954668194094</v>
      </c>
      <c r="E34" s="175">
        <f t="shared" si="2"/>
        <v>-8.4816078178298143E-2</v>
      </c>
      <c r="F34" s="175">
        <f t="shared" si="2"/>
        <v>-7.0715474209650589E-2</v>
      </c>
      <c r="G34" s="175">
        <f t="shared" si="2"/>
        <v>0.30935793635850123</v>
      </c>
      <c r="I34" s="175">
        <f>I30</f>
        <v>0.66952479338842974</v>
      </c>
    </row>
    <row r="35" spans="2:9" x14ac:dyDescent="0.2">
      <c r="B35" s="20" t="s">
        <v>104</v>
      </c>
      <c r="C35" s="175">
        <f>Statement!M138</f>
        <v>6.7211758172413497E-2</v>
      </c>
      <c r="D35" s="175">
        <f>Statement!N138</f>
        <v>9.9985480987453412E-2</v>
      </c>
      <c r="E35" s="175">
        <f>Statement!O138</f>
        <v>-3.4478419529382159E-2</v>
      </c>
      <c r="F35" s="175">
        <f>Statement!P138</f>
        <v>-2.4613693275514565E-2</v>
      </c>
      <c r="G35" s="175">
        <f>Statement!Q138</f>
        <v>0.29514415781487102</v>
      </c>
      <c r="I35" s="175">
        <f>Statement!AC138</f>
        <v>0.35858763972040686</v>
      </c>
    </row>
    <row r="37" spans="2:9" ht="17" thickBot="1" x14ac:dyDescent="0.25">
      <c r="B37" s="14" t="s">
        <v>254</v>
      </c>
      <c r="C37" s="14"/>
      <c r="D37" s="14"/>
      <c r="E37" s="14"/>
      <c r="F37" s="14"/>
      <c r="G37" s="14"/>
      <c r="I37" s="14"/>
    </row>
    <row r="38" spans="2:9" x14ac:dyDescent="0.2">
      <c r="B38" s="20" t="s">
        <v>138</v>
      </c>
      <c r="C38" s="174">
        <f>Statement!M139</f>
        <v>48.682484339912541</v>
      </c>
      <c r="D38" s="174">
        <f>Statement!N139</f>
        <v>54.459639227371895</v>
      </c>
      <c r="E38" s="174">
        <f>Statement!O139</f>
        <v>93.248601119104706</v>
      </c>
      <c r="F38" s="174">
        <f>Statement!P139</f>
        <v>125.15276238720912</v>
      </c>
      <c r="G38" s="174">
        <f>Statement!Q139</f>
        <v>56.97373949579832</v>
      </c>
      <c r="I38" s="174">
        <f>Statement!AC139</f>
        <v>58.700008491126773</v>
      </c>
    </row>
    <row r="39" spans="2:9" x14ac:dyDescent="0.2">
      <c r="B39" s="20" t="s">
        <v>139</v>
      </c>
      <c r="C39" s="174">
        <f>Statement!M140</f>
        <v>106.43012660269333</v>
      </c>
      <c r="D39" s="174">
        <f>Statement!N140</f>
        <v>102.78427122842326</v>
      </c>
      <c r="E39" s="174">
        <f>Statement!O140</f>
        <v>277.5020559210526</v>
      </c>
      <c r="F39" s="174">
        <f>Statement!P140</f>
        <v>268.44850352112672</v>
      </c>
      <c r="G39" s="174">
        <f>Statement!Q140</f>
        <v>80.853637611530544</v>
      </c>
      <c r="I39" s="174">
        <f>Statement!AC140</f>
        <v>77.066282869145795</v>
      </c>
    </row>
    <row r="40" spans="2:9" x14ac:dyDescent="0.2">
      <c r="B40" s="20" t="s">
        <v>140</v>
      </c>
      <c r="C40" s="174">
        <f>Statement!M141</f>
        <v>56.923635190710428</v>
      </c>
      <c r="D40" s="174">
        <f>Statement!N141</f>
        <v>53.737131356916173</v>
      </c>
      <c r="E40" s="174">
        <f>Statement!O141</f>
        <v>97.028166118421055</v>
      </c>
      <c r="F40" s="174">
        <f>Statement!P141</f>
        <v>113.33956866197184</v>
      </c>
      <c r="G40" s="174">
        <f>Statement!Q141</f>
        <v>79.287920384351409</v>
      </c>
      <c r="I40" s="174">
        <f>Statement!AC141</f>
        <v>90.128364711373891</v>
      </c>
    </row>
    <row r="41" spans="2:9" x14ac:dyDescent="0.2">
      <c r="B41" s="20" t="s">
        <v>141</v>
      </c>
      <c r="C41" s="174">
        <f>Statement!M142</f>
        <v>98.188975751895441</v>
      </c>
      <c r="D41" s="174">
        <f>Statement!N142</f>
        <v>103.50677909887901</v>
      </c>
      <c r="E41" s="174">
        <f>Statement!O142</f>
        <v>273.72249092173627</v>
      </c>
      <c r="F41" s="174">
        <f>Statement!P142</f>
        <v>280.26169724636401</v>
      </c>
      <c r="G41" s="174">
        <f>Statement!Q142</f>
        <v>58.539456722977448</v>
      </c>
      <c r="I41" s="174">
        <f>Statement!AC142</f>
        <v>45.63792664889867</v>
      </c>
    </row>
    <row r="43" spans="2:9" ht="17" thickBot="1" x14ac:dyDescent="0.25">
      <c r="B43" s="14" t="s">
        <v>260</v>
      </c>
      <c r="C43" s="14"/>
      <c r="D43" s="14"/>
      <c r="E43" s="14"/>
      <c r="F43" s="14"/>
      <c r="G43" s="14"/>
      <c r="I43" s="14"/>
    </row>
    <row r="44" spans="2:9" x14ac:dyDescent="0.2">
      <c r="B44" s="20" t="s">
        <v>261</v>
      </c>
      <c r="C44" s="180">
        <f>Statement!M143</f>
        <v>0.81382333737524482</v>
      </c>
      <c r="D44" s="180">
        <f>Statement!N143</f>
        <v>0.57294820391130019</v>
      </c>
      <c r="E44" s="180">
        <f>Statement!O143</f>
        <v>0.65179312252235644</v>
      </c>
      <c r="F44" s="180">
        <f>Statement!P143</f>
        <v>0.68718801996672207</v>
      </c>
      <c r="G44" s="180">
        <f>Statement!Q143</f>
        <v>0.88702692524948223</v>
      </c>
      <c r="I44" s="180">
        <f>Statement!AC143</f>
        <v>0.16332644628099174</v>
      </c>
    </row>
    <row r="45" spans="2:9" x14ac:dyDescent="0.2">
      <c r="B45" s="20" t="s">
        <v>262</v>
      </c>
      <c r="C45" s="180">
        <f>Statement!M144</f>
        <v>0.49948698815409009</v>
      </c>
      <c r="D45" s="180">
        <f>Statement!N144</f>
        <v>0.38253825382538253</v>
      </c>
      <c r="E45" s="180">
        <f>Statement!O144</f>
        <v>0.46528994191942474</v>
      </c>
      <c r="F45" s="180">
        <f>Statement!P144</f>
        <v>0.51349602514327974</v>
      </c>
      <c r="G45" s="180">
        <f>Statement!Q144</f>
        <v>0.48898512521182452</v>
      </c>
      <c r="I45" s="180">
        <f>Statement!AC144</f>
        <v>-4.8450413223140497E-2</v>
      </c>
    </row>
    <row r="46" spans="2:9" x14ac:dyDescent="0.2">
      <c r="B46" s="20" t="s">
        <v>256</v>
      </c>
      <c r="C46" s="180">
        <f>Statement!M145</f>
        <v>1.1554414784394251</v>
      </c>
      <c r="D46" s="180">
        <f>Statement!N145</f>
        <v>0.97975940423906815</v>
      </c>
      <c r="E46" s="180">
        <f>Statement!O145</f>
        <v>0.66635995583364005</v>
      </c>
      <c r="F46" s="180">
        <f>Statement!P145</f>
        <v>0.66453096763594544</v>
      </c>
      <c r="G46" s="180">
        <f>Statement!Q145</f>
        <v>0.66445182724252494</v>
      </c>
      <c r="I46" s="180">
        <f>Statement!AC145</f>
        <v>0.85054992452016387</v>
      </c>
    </row>
    <row r="47" spans="2:9" x14ac:dyDescent="0.2">
      <c r="B47" s="20" t="s">
        <v>257</v>
      </c>
      <c r="C47" s="180">
        <f>Statement!M146</f>
        <v>2.0034907597535936</v>
      </c>
      <c r="D47" s="180">
        <f>Statement!N146</f>
        <v>1.8050410540385717</v>
      </c>
      <c r="E47" s="180">
        <f>Statement!O146</f>
        <v>1.4512329775487671</v>
      </c>
      <c r="F47" s="180">
        <f>Statement!P146</f>
        <v>1.3241333990471498</v>
      </c>
      <c r="G47" s="180">
        <f>Statement!Q146</f>
        <v>1.0808416389811739</v>
      </c>
      <c r="I47" s="180">
        <f>Statement!AC146</f>
        <v>1.4904032779814536</v>
      </c>
    </row>
    <row r="48" spans="2:9" x14ac:dyDescent="0.2">
      <c r="B48" s="20" t="s">
        <v>263</v>
      </c>
      <c r="C48" s="182">
        <f>Statement!M147</f>
        <v>3.8244514106583072</v>
      </c>
      <c r="D48" s="182">
        <f>Statement!N147</f>
        <v>8.0234899328859068</v>
      </c>
      <c r="E48" s="182" t="str">
        <f>Statement!O147</f>
        <v>N/A</v>
      </c>
      <c r="F48" s="182" t="str">
        <f>Statement!P147</f>
        <v>N/A</v>
      </c>
      <c r="G48" s="182">
        <f>Statement!Q147</f>
        <v>7.4807692307692308</v>
      </c>
      <c r="I48" s="182">
        <f>Statement!AC147</f>
        <v>8.0586907449209928</v>
      </c>
    </row>
    <row r="50" spans="2:9" ht="17" thickBot="1" x14ac:dyDescent="0.25">
      <c r="B50" s="14" t="s">
        <v>272</v>
      </c>
      <c r="C50" s="14"/>
      <c r="D50" s="14"/>
      <c r="E50" s="14"/>
      <c r="F50" s="14"/>
      <c r="G50" s="14"/>
      <c r="I50" s="14"/>
    </row>
    <row r="51" spans="2:9" x14ac:dyDescent="0.2">
      <c r="B51" s="20" t="s">
        <v>270</v>
      </c>
      <c r="C51" s="175">
        <f>Statement!M160</f>
        <v>5.065701771091221E-2</v>
      </c>
      <c r="D51" s="175">
        <f>Statement!N160</f>
        <v>0.12855209742895804</v>
      </c>
      <c r="E51" s="175">
        <f>Statement!O160</f>
        <v>-7.4500768049155147E-2</v>
      </c>
      <c r="F51" s="175">
        <f>Statement!P160</f>
        <v>-3.3126567242972152E-2</v>
      </c>
      <c r="G51" s="175">
        <f>Statement!Q160</f>
        <v>6.9716434278552411E-2</v>
      </c>
      <c r="I51" s="175">
        <f ca="1">Statement!AC160</f>
        <v>3.5964704105628791E-2</v>
      </c>
    </row>
    <row r="52" spans="2:9" x14ac:dyDescent="0.2">
      <c r="B52" s="20" t="s">
        <v>273</v>
      </c>
      <c r="C52" s="175">
        <f>Statement!M159</f>
        <v>2.6406045889327028E-2</v>
      </c>
      <c r="D52" s="175">
        <f>Statement!N159</f>
        <v>3.6765644547705978E-2</v>
      </c>
      <c r="E52" s="175">
        <f>Statement!O159</f>
        <v>-0.12299917629510895</v>
      </c>
      <c r="F52" s="175">
        <f>Statement!P159</f>
        <v>-4.1401956434829822E-2</v>
      </c>
      <c r="G52" s="175">
        <f>Statement!Q159</f>
        <v>4.4498451111605546E-2</v>
      </c>
      <c r="I52" s="175">
        <f ca="1">Statement!AC159</f>
        <v>2.7156679575722781E-2</v>
      </c>
    </row>
    <row r="53" spans="2:9" x14ac:dyDescent="0.2">
      <c r="B53" s="20" t="s">
        <v>271</v>
      </c>
      <c r="C53" s="175">
        <f>Statement!M161</f>
        <v>0</v>
      </c>
      <c r="D53" s="175">
        <f>Statement!N161</f>
        <v>0</v>
      </c>
      <c r="E53" s="175">
        <f>Statement!O161</f>
        <v>0</v>
      </c>
      <c r="F53" s="175">
        <f>Statement!P161</f>
        <v>0</v>
      </c>
      <c r="G53" s="175">
        <f>Statement!Q161</f>
        <v>1.5666614444618519E-3</v>
      </c>
      <c r="I53" s="175">
        <f ca="1">Statement!AC161</f>
        <v>9.7085284028392059E-4</v>
      </c>
    </row>
    <row r="54" spans="2:9" x14ac:dyDescent="0.2">
      <c r="B54" s="20" t="s">
        <v>296</v>
      </c>
      <c r="C54" s="175">
        <f>Statement!M162</f>
        <v>0</v>
      </c>
      <c r="D54" s="175">
        <f>Statement!N162</f>
        <v>0</v>
      </c>
      <c r="E54" s="175">
        <f>Statement!O162</f>
        <v>0</v>
      </c>
      <c r="F54" s="175">
        <f>Statement!P162</f>
        <v>0</v>
      </c>
      <c r="G54" s="175">
        <f>Statement!Q162</f>
        <v>6.5387270371096906E-3</v>
      </c>
      <c r="I54" s="175">
        <f ca="1">Statement!AC162</f>
        <v>2.3429049759159878E-2</v>
      </c>
    </row>
    <row r="55" spans="2:9" x14ac:dyDescent="0.2">
      <c r="B55" s="20" t="s">
        <v>298</v>
      </c>
      <c r="C55" s="175">
        <f>Statement!M163</f>
        <v>0</v>
      </c>
      <c r="D55" s="175">
        <f>Statement!N163</f>
        <v>0</v>
      </c>
      <c r="E55" s="175">
        <f>Statement!O163</f>
        <v>0</v>
      </c>
      <c r="F55" s="175">
        <f>Statement!P163</f>
        <v>0</v>
      </c>
      <c r="G55" s="175">
        <f>Statement!Q163</f>
        <v>8.4696262963904045E-3</v>
      </c>
      <c r="I55" s="175">
        <f ca="1">Statement!AC163</f>
        <v>2.5129046773346941E-2</v>
      </c>
    </row>
    <row r="57" spans="2:9" ht="17" thickBot="1" x14ac:dyDescent="0.25">
      <c r="B57" s="14" t="s">
        <v>275</v>
      </c>
      <c r="C57" s="14"/>
      <c r="D57" s="14"/>
      <c r="E57" s="14"/>
      <c r="F57" s="14"/>
      <c r="G57" s="14"/>
      <c r="I57" s="14"/>
    </row>
    <row r="58" spans="2:9" x14ac:dyDescent="0.2">
      <c r="B58" s="20" t="s">
        <v>274</v>
      </c>
      <c r="C58" s="175">
        <f>Statement!M166</f>
        <v>0</v>
      </c>
      <c r="D58" s="175">
        <f>Statement!N166</f>
        <v>0</v>
      </c>
      <c r="E58" s="175">
        <f>Statement!O166</f>
        <v>0</v>
      </c>
      <c r="F58" s="175">
        <f>Statement!P166</f>
        <v>0</v>
      </c>
      <c r="G58" s="175">
        <f>Statement!Q166</f>
        <v>4.3392504930966469E-2</v>
      </c>
      <c r="I58" s="175">
        <f>Statement!AC166</f>
        <v>6.2599590257227403E-2</v>
      </c>
    </row>
    <row r="59" spans="2:9" x14ac:dyDescent="0.2">
      <c r="B59" s="20" t="s">
        <v>276</v>
      </c>
      <c r="C59" s="175">
        <f>Statement!M167</f>
        <v>0</v>
      </c>
      <c r="D59" s="175">
        <f>Statement!N167</f>
        <v>0</v>
      </c>
      <c r="E59" s="175">
        <f>Statement!O167</f>
        <v>0</v>
      </c>
      <c r="F59" s="175">
        <f>Statement!P167</f>
        <v>0</v>
      </c>
      <c r="G59" s="175">
        <f>Statement!Q167</f>
        <v>0.14694280078895464</v>
      </c>
      <c r="I59" s="175">
        <f>Statement!AC167</f>
        <v>0.86273617118142498</v>
      </c>
    </row>
    <row r="60" spans="2:9" x14ac:dyDescent="0.2">
      <c r="B60" s="20" t="s">
        <v>277</v>
      </c>
      <c r="C60" s="175">
        <f>Statement!M168</f>
        <v>0</v>
      </c>
      <c r="D60" s="175">
        <f>Statement!N168</f>
        <v>0</v>
      </c>
      <c r="E60" s="175">
        <f>Statement!O168</f>
        <v>0</v>
      </c>
      <c r="F60" s="175">
        <f>Statement!P168</f>
        <v>0</v>
      </c>
      <c r="G60" s="175">
        <f>Statement!Q168</f>
        <v>0.19033530571992111</v>
      </c>
      <c r="I60" s="175">
        <f>Statement!AC168</f>
        <v>0.92533576143865237</v>
      </c>
    </row>
    <row r="62" spans="2:9" ht="17" thickBot="1" x14ac:dyDescent="0.25">
      <c r="B62" s="14" t="s">
        <v>283</v>
      </c>
      <c r="C62" s="14"/>
      <c r="D62" s="14"/>
      <c r="E62" s="14"/>
      <c r="F62" s="14"/>
      <c r="G62" s="14"/>
      <c r="I62" s="14"/>
    </row>
    <row r="63" spans="2:9" x14ac:dyDescent="0.2">
      <c r="B63" s="20" t="s">
        <v>281</v>
      </c>
      <c r="C63" s="175">
        <f>Statement!M169</f>
        <v>3.1948881789137379E-3</v>
      </c>
      <c r="D63" s="175">
        <f>Statement!N169</f>
        <v>3.1446540880503146E-3</v>
      </c>
      <c r="E63" s="175">
        <f>Statement!O169</f>
        <v>3.105590062111801E-3</v>
      </c>
      <c r="F63" s="175">
        <f>Statement!P169</f>
        <v>2.9154518950437317E-3</v>
      </c>
      <c r="G63" s="175">
        <f>Statement!Q169</f>
        <v>2.8011204481792717E-3</v>
      </c>
      <c r="I63" s="175">
        <f>Statement!AC169</f>
        <v>2.8653295128939827E-3</v>
      </c>
    </row>
    <row r="65" spans="2:9" ht="17" thickBot="1" x14ac:dyDescent="0.25">
      <c r="B65" s="14" t="s">
        <v>289</v>
      </c>
      <c r="C65" s="14"/>
      <c r="D65" s="14"/>
      <c r="E65" s="14"/>
      <c r="F65" s="14"/>
      <c r="G65" s="14"/>
      <c r="I65" s="14"/>
    </row>
    <row r="66" spans="2:9" x14ac:dyDescent="0.2">
      <c r="B66" s="20" t="s">
        <v>282</v>
      </c>
      <c r="C66" s="174">
        <f>Statement!M170</f>
        <v>10.906148867313917</v>
      </c>
      <c r="D66" s="174">
        <f>Statement!N170</f>
        <v>7.4108280254777066</v>
      </c>
      <c r="E66" s="174">
        <f>Statement!O170</f>
        <v>6.2826086956521738</v>
      </c>
      <c r="F66" s="174">
        <f>Statement!P170</f>
        <v>5.4781341107871722</v>
      </c>
      <c r="G66" s="174">
        <f>Statement!Q170</f>
        <v>6.1275362318840578</v>
      </c>
      <c r="I66" s="174">
        <f>Statement!AC170</f>
        <v>5.9420289855072461</v>
      </c>
    </row>
    <row r="67" spans="2:9" x14ac:dyDescent="0.2">
      <c r="B67" s="20" t="s">
        <v>290</v>
      </c>
      <c r="C67" s="174">
        <f>Statement!M173</f>
        <v>-17.33009708737864</v>
      </c>
      <c r="D67" s="174">
        <f>Statement!N173</f>
        <v>-14.888535031847134</v>
      </c>
      <c r="E67" s="174">
        <f>Statement!O173</f>
        <v>-15.673913043478262</v>
      </c>
      <c r="F67" s="174">
        <f>Statement!P173</f>
        <v>-16.195335276967931</v>
      </c>
      <c r="G67" s="174">
        <f>Statement!Q173</f>
        <v>-7.5275362318840582</v>
      </c>
      <c r="I67" s="174">
        <f>Statement!AC173</f>
        <v>1.3594202898550725</v>
      </c>
    </row>
    <row r="68" spans="2:9" x14ac:dyDescent="0.2">
      <c r="B68" s="20" t="s">
        <v>295</v>
      </c>
      <c r="C68" s="196">
        <f>Statement!M174</f>
        <v>-0.32581653395701898</v>
      </c>
      <c r="D68" s="196">
        <f>Statement!N174</f>
        <v>-0.39786895430677183</v>
      </c>
      <c r="E68" s="196">
        <f>Statement!O174</f>
        <v>-0.40127785569580798</v>
      </c>
      <c r="F68" s="196">
        <f>Statement!P174</f>
        <v>-0.21374337174301083</v>
      </c>
      <c r="G68" s="196">
        <f>Statement!Q174</f>
        <v>-0.11396694037163668</v>
      </c>
      <c r="I68" s="196">
        <f ca="1">Statement!AC174</f>
        <v>2.8992676351044812E-3</v>
      </c>
    </row>
    <row r="70" spans="2:9" ht="17" thickBot="1" x14ac:dyDescent="0.25">
      <c r="B70" s="14" t="s">
        <v>310</v>
      </c>
      <c r="C70" s="14"/>
      <c r="D70" s="14"/>
      <c r="E70" s="14"/>
      <c r="F70" s="14"/>
      <c r="G70" s="14"/>
      <c r="I70" s="14"/>
    </row>
    <row r="71" spans="2:9" x14ac:dyDescent="0.2">
      <c r="B71" s="20" t="s">
        <v>284</v>
      </c>
      <c r="C71" s="175">
        <f>Statement!M171</f>
        <v>0.16754478398314016</v>
      </c>
      <c r="D71" s="175">
        <f>Statement!N171</f>
        <v>0.17340425531914894</v>
      </c>
      <c r="E71" s="175">
        <f>Statement!O171</f>
        <v>-0.77941176470588236</v>
      </c>
      <c r="F71" s="175">
        <f>Statement!P171</f>
        <v>-1.0034013605442176</v>
      </c>
      <c r="G71" s="175">
        <f>Statement!Q171</f>
        <v>0.15671200473092844</v>
      </c>
      <c r="I71" s="175">
        <f>Statement!AC171</f>
        <v>6.7534883720930236E-2</v>
      </c>
    </row>
    <row r="72" spans="2:9" x14ac:dyDescent="0.2">
      <c r="B72" s="20" t="s">
        <v>285</v>
      </c>
      <c r="C72" s="175">
        <f>Statement!M172</f>
        <v>1.8792104952133317E-2</v>
      </c>
      <c r="D72" s="175">
        <f>Statement!N172</f>
        <v>1.7346884478263182E-2</v>
      </c>
      <c r="E72" s="175">
        <f>Statement!O172</f>
        <v>5.0839328537170263E-2</v>
      </c>
      <c r="F72" s="175">
        <f>Statement!P172</f>
        <v>4.6699382618331488E-2</v>
      </c>
      <c r="G72" s="175">
        <f>Statement!Q172</f>
        <v>2.7836134453781514E-2</v>
      </c>
      <c r="I72" s="175">
        <f>Statement!AC172</f>
        <v>3.0822790184257452E-2</v>
      </c>
    </row>
    <row r="74" spans="2:9" ht="17" thickBot="1" x14ac:dyDescent="0.25">
      <c r="B74" s="14" t="s">
        <v>311</v>
      </c>
      <c r="C74" s="14"/>
      <c r="D74" s="14"/>
      <c r="E74" s="14"/>
      <c r="F74" s="14"/>
      <c r="G74" s="14"/>
      <c r="I74" s="14"/>
    </row>
    <row r="75" spans="2:9" x14ac:dyDescent="0.2">
      <c r="B75" s="20" t="s">
        <v>308</v>
      </c>
      <c r="C75" s="175">
        <f>Statement!M175</f>
        <v>6.7722491431272902E-2</v>
      </c>
      <c r="D75" s="175">
        <f>Statement!N175</f>
        <v>5.9703080934390466E-2</v>
      </c>
      <c r="E75" s="175">
        <f>Statement!O175</f>
        <v>0.13125499600319745</v>
      </c>
      <c r="F75" s="175">
        <f>Statement!P175</f>
        <v>7.7093557068228596E-2</v>
      </c>
      <c r="G75" s="175">
        <f>Statement!Q175</f>
        <v>4.3277310924369747E-2</v>
      </c>
      <c r="I75" s="175">
        <f>Statement!AC175</f>
        <v>5.2560074721915595E-2</v>
      </c>
    </row>
    <row r="76" spans="2:9" x14ac:dyDescent="0.2">
      <c r="B76" s="20" t="s">
        <v>305</v>
      </c>
      <c r="C76" s="175">
        <f>Statement!M176</f>
        <v>0.60379346680716539</v>
      </c>
      <c r="D76" s="175">
        <f>Statement!N176</f>
        <v>0.59680851063829787</v>
      </c>
      <c r="E76" s="175">
        <f>Statement!O176</f>
        <v>-2.0122549019607843</v>
      </c>
      <c r="F76" s="175">
        <f>Statement!P176</f>
        <v>-1.6564625850340136</v>
      </c>
      <c r="G76" s="175">
        <f>Statement!Q176</f>
        <v>0.24364281490242459</v>
      </c>
      <c r="I76" s="175">
        <f>Statement!AC176</f>
        <v>0.11516279069767442</v>
      </c>
    </row>
    <row r="77" spans="2:9" x14ac:dyDescent="0.2">
      <c r="B77" s="20" t="s">
        <v>306</v>
      </c>
      <c r="C77" s="175">
        <f>Statement!M177</f>
        <v>0.9455445544554455</v>
      </c>
      <c r="D77" s="175">
        <f>Statement!N177</f>
        <v>1.2077502691065662</v>
      </c>
      <c r="E77" s="175">
        <f>Statement!O177</f>
        <v>0.99154589371980673</v>
      </c>
      <c r="F77" s="175">
        <f>Statement!P177</f>
        <v>0.85739436619718312</v>
      </c>
      <c r="G77" s="175">
        <f>Statement!Q177</f>
        <v>0.91352549889135259</v>
      </c>
      <c r="I77" s="175">
        <f>Statement!AC177</f>
        <v>0.98253968253968249</v>
      </c>
    </row>
    <row r="79" spans="2:9" ht="17" thickBot="1" x14ac:dyDescent="0.25">
      <c r="B79" s="14" t="s">
        <v>121</v>
      </c>
      <c r="C79" s="14"/>
      <c r="D79" s="14"/>
      <c r="E79" s="14"/>
      <c r="F79" s="14"/>
      <c r="G79" s="14"/>
      <c r="I79" s="14"/>
    </row>
    <row r="80" spans="2:9" x14ac:dyDescent="0.2">
      <c r="B80" s="20" t="s">
        <v>19</v>
      </c>
      <c r="C80" s="175">
        <f>Statement!M88</f>
        <v>1</v>
      </c>
      <c r="D80" s="175">
        <f>Statement!N88</f>
        <v>0.11056612693535044</v>
      </c>
      <c r="E80" s="175">
        <f>Statement!O88</f>
        <v>-0.66716330548608527</v>
      </c>
      <c r="F80" s="175">
        <f>Statement!P88</f>
        <v>9.9120703437250192E-3</v>
      </c>
      <c r="G80" s="175">
        <f>Statement!Q88</f>
        <v>0.50704448314073136</v>
      </c>
      <c r="I80" s="197"/>
    </row>
    <row r="81" spans="2:9" x14ac:dyDescent="0.2">
      <c r="B81" s="20" t="s">
        <v>20</v>
      </c>
      <c r="C81" s="175">
        <f>Statement!M89</f>
        <v>1</v>
      </c>
      <c r="D81" s="175">
        <f>Statement!N89</f>
        <v>4.1770824933473109E-2</v>
      </c>
      <c r="E81" s="175">
        <f>Statement!O89</f>
        <v>-0.62350027091880178</v>
      </c>
      <c r="F81" s="175">
        <f>Statement!P89</f>
        <v>-6.5789473684210523E-2</v>
      </c>
      <c r="G81" s="175">
        <f>Statement!Q89</f>
        <v>0.28257042253521125</v>
      </c>
      <c r="I81" s="197"/>
    </row>
    <row r="82" spans="2:9" x14ac:dyDescent="0.2">
      <c r="B82" s="20" t="s">
        <v>21</v>
      </c>
      <c r="C82" s="175">
        <f>Statement!M90</f>
        <v>1</v>
      </c>
      <c r="D82" s="175">
        <f>Statement!N90</f>
        <v>0.29927007299270075</v>
      </c>
      <c r="E82" s="175">
        <f>Statement!O90</f>
        <v>-0.76319373510384747</v>
      </c>
      <c r="F82" s="175">
        <f>Statement!P90</f>
        <v>0.27462257368799425</v>
      </c>
      <c r="G82" s="175">
        <f>Statement!Q90</f>
        <v>1.0823463056965594</v>
      </c>
      <c r="I82" s="197"/>
    </row>
    <row r="83" spans="2:9" x14ac:dyDescent="0.2">
      <c r="B83" s="20" t="s">
        <v>24</v>
      </c>
      <c r="C83" s="175">
        <f>Statement!M93</f>
        <v>1</v>
      </c>
      <c r="D83" s="175">
        <f>Statement!N93</f>
        <v>5.5134807634050285E-2</v>
      </c>
      <c r="E83" s="175">
        <f>Statement!O93</f>
        <v>-0.44329600918748208</v>
      </c>
      <c r="F83" s="175">
        <f>Statement!P93</f>
        <v>0.1222279525528623</v>
      </c>
      <c r="G83" s="175">
        <f>Statement!Q93</f>
        <v>-0.37591911764705882</v>
      </c>
      <c r="I83" s="197"/>
    </row>
    <row r="84" spans="2:9" x14ac:dyDescent="0.2">
      <c r="B84" s="20" t="s">
        <v>312</v>
      </c>
      <c r="C84" s="175">
        <f>Statement!M94</f>
        <v>1</v>
      </c>
      <c r="D84" s="175">
        <f>Statement!N94</f>
        <v>0.95983606557377055</v>
      </c>
      <c r="E84" s="175">
        <f>Statement!O94</f>
        <v>-1.2291928063571727</v>
      </c>
      <c r="F84" s="175">
        <f>Statement!P94</f>
        <v>0.26459854014598538</v>
      </c>
      <c r="G84" s="175">
        <f>Statement!Q94</f>
        <v>6.7915632754342434</v>
      </c>
      <c r="I84" s="197"/>
    </row>
    <row r="85" spans="2:9" x14ac:dyDescent="0.2">
      <c r="B85" s="20" t="s">
        <v>313</v>
      </c>
      <c r="C85" s="175">
        <f>Statement!M96</f>
        <v>1</v>
      </c>
      <c r="D85" s="175">
        <f>Statement!N96</f>
        <v>0.82704019488428748</v>
      </c>
      <c r="E85" s="175">
        <f>Statement!O96</f>
        <v>-1.6133333333333333</v>
      </c>
      <c r="F85" s="175">
        <f>Statement!P96</f>
        <v>0.16847826086956522</v>
      </c>
      <c r="G85" s="175">
        <f>Statement!Q96</f>
        <v>3.1477124183006535</v>
      </c>
      <c r="I85" s="197"/>
    </row>
    <row r="88" spans="2:9" ht="17" thickBot="1" x14ac:dyDescent="0.25">
      <c r="B88" s="14" t="s">
        <v>314</v>
      </c>
      <c r="C88" s="14"/>
      <c r="D88" s="14"/>
      <c r="E88" s="14"/>
      <c r="F88" s="14"/>
      <c r="G88" s="14"/>
      <c r="I88" s="14"/>
    </row>
    <row r="89" spans="2:9" x14ac:dyDescent="0.2">
      <c r="B89" s="20" t="str">
        <f>Statement!B191</f>
        <v>Cloud</v>
      </c>
      <c r="C89" s="175">
        <f>Statement!M191</f>
        <v>1</v>
      </c>
      <c r="D89" s="175">
        <f>Statement!N191</f>
        <v>0.4008387209505504</v>
      </c>
      <c r="E89" s="175">
        <f>Statement!O191</f>
        <v>-0.40713483846825493</v>
      </c>
      <c r="F89" s="175">
        <f>Statement!P191</f>
        <v>6.2907637281716805E-2</v>
      </c>
      <c r="G89" s="175">
        <f>Statement!Q191</f>
        <v>0.65102929532858278</v>
      </c>
      <c r="I89" s="197"/>
    </row>
    <row r="90" spans="2:9" x14ac:dyDescent="0.2">
      <c r="B90" s="20" t="str">
        <f>Statement!B192</f>
        <v>Client</v>
      </c>
      <c r="C90" s="175">
        <f>Statement!M192</f>
        <v>1</v>
      </c>
      <c r="D90" s="175">
        <f>Statement!N192</f>
        <v>-2.8155473149292679E-2</v>
      </c>
      <c r="E90" s="175">
        <f>Statement!O192</f>
        <v>-0.90234595816845675</v>
      </c>
      <c r="F90" s="175">
        <f>Statement!P192</f>
        <v>-0.16497829232995659</v>
      </c>
      <c r="G90" s="175">
        <f>Statement!Q192</f>
        <v>-3.6395147313691506E-2</v>
      </c>
      <c r="I90" s="197"/>
    </row>
    <row r="91" spans="2:9" x14ac:dyDescent="0.2">
      <c r="B91" s="20" t="str">
        <f>Statement!B193</f>
        <v>Consumer</v>
      </c>
      <c r="C91" s="175">
        <f>Statement!M193</f>
        <v>1</v>
      </c>
      <c r="D91" s="175">
        <f>Statement!N193</f>
        <v>-5.5640632976008166E-2</v>
      </c>
      <c r="E91" s="175">
        <f>Statement!O193</f>
        <v>-0.78081081081081083</v>
      </c>
      <c r="F91" s="175">
        <f>Statement!P193</f>
        <v>-0.15166461159062886</v>
      </c>
      <c r="G91" s="175">
        <f>Statement!Q193</f>
        <v>-9.4476744186046513E-2</v>
      </c>
      <c r="I91" s="197"/>
    </row>
    <row r="93" spans="2:9" ht="17" thickBot="1" x14ac:dyDescent="0.25">
      <c r="B93" s="14" t="s">
        <v>316</v>
      </c>
      <c r="C93" s="14"/>
      <c r="D93" s="14"/>
      <c r="E93" s="14"/>
      <c r="F93" s="14"/>
      <c r="G93" s="14"/>
      <c r="I93" s="14"/>
    </row>
    <row r="94" spans="2:9" x14ac:dyDescent="0.2">
      <c r="B94" s="20" t="s">
        <v>288</v>
      </c>
      <c r="C94" s="175">
        <f>Statement!M197</f>
        <v>0</v>
      </c>
      <c r="D94" s="175">
        <f>Statement!N197</f>
        <v>0</v>
      </c>
      <c r="E94" s="175">
        <f>Statement!O197</f>
        <v>0</v>
      </c>
      <c r="F94" s="175">
        <f>Statement!P197</f>
        <v>0</v>
      </c>
      <c r="G94" s="175">
        <f>Statement!Q197</f>
        <v>-1</v>
      </c>
      <c r="I94"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8"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317</v>
      </c>
      <c r="D3" s="247"/>
      <c r="F3" s="248" t="s">
        <v>318</v>
      </c>
      <c r="G3" s="247"/>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3017</v>
      </c>
      <c r="D6" s="198">
        <f>Statement!AA5</f>
        <v>3337</v>
      </c>
      <c r="F6" s="199">
        <f>Statement!W5</f>
        <v>2294</v>
      </c>
      <c r="G6" s="198">
        <f>Statement!AA5</f>
        <v>3337</v>
      </c>
    </row>
    <row r="7" spans="2:7" x14ac:dyDescent="0.2">
      <c r="B7" s="206" t="s">
        <v>319</v>
      </c>
      <c r="C7" s="249">
        <f>Statement!AA88</f>
        <v>0.10606562810739145</v>
      </c>
      <c r="D7" s="250"/>
      <c r="F7" s="249">
        <f>IF(F6=0,
IF(G6=0,0,IF(G6&gt;0,1,-1)),
(G6-F6)/ABS(F6)
)</f>
        <v>0.45466434176111598</v>
      </c>
      <c r="G7" s="250"/>
    </row>
    <row r="8" spans="2:7" x14ac:dyDescent="0.2">
      <c r="B8" s="207" t="s">
        <v>20</v>
      </c>
      <c r="C8" s="200">
        <f>Statement!Z6</f>
        <v>1637</v>
      </c>
      <c r="D8" s="198">
        <f>Statement!AA6</f>
        <v>1661</v>
      </c>
      <c r="F8" s="200">
        <f>Statement!W6</f>
        <v>1382</v>
      </c>
      <c r="G8" s="198">
        <f>Statement!AA6</f>
        <v>1661</v>
      </c>
    </row>
    <row r="9" spans="2:7" x14ac:dyDescent="0.2">
      <c r="B9" s="206" t="s">
        <v>319</v>
      </c>
      <c r="C9" s="249">
        <f>Statement!AA89</f>
        <v>1.4660965180207697E-2</v>
      </c>
      <c r="D9" s="250"/>
      <c r="F9" s="249">
        <f>IF(F8=0,
IF(G8=0,0,IF(G8&gt;0,1,-1)),
(G8-F8)/ABS(F8)
)</f>
        <v>0.20188133140376266</v>
      </c>
      <c r="G9" s="250"/>
    </row>
    <row r="10" spans="2:7" x14ac:dyDescent="0.2">
      <c r="B10" s="207" t="s">
        <v>21</v>
      </c>
      <c r="C10" s="200">
        <f>Statement!Z7</f>
        <v>1380</v>
      </c>
      <c r="D10" s="198">
        <f>Statement!AA7</f>
        <v>1676</v>
      </c>
      <c r="F10" s="200">
        <f>Statement!W7</f>
        <v>912</v>
      </c>
      <c r="G10" s="198">
        <f>Statement!AA7</f>
        <v>1676</v>
      </c>
    </row>
    <row r="11" spans="2:7" x14ac:dyDescent="0.2">
      <c r="B11" s="206" t="s">
        <v>319</v>
      </c>
      <c r="C11" s="249">
        <f>Statement!AA90</f>
        <v>0.2144927536231884</v>
      </c>
      <c r="D11" s="250"/>
      <c r="F11" s="249">
        <f>IF(F10=0,
IF(G10=0,0,IF(G10&gt;0,1,-1)),
(G10-F10)/ABS(F10)
)</f>
        <v>0.83771929824561409</v>
      </c>
      <c r="G11" s="250"/>
    </row>
    <row r="12" spans="2:7" x14ac:dyDescent="0.2">
      <c r="B12" s="207" t="s">
        <v>24</v>
      </c>
      <c r="C12" s="200">
        <f>Statement!Z10</f>
        <v>472</v>
      </c>
      <c r="D12" s="200">
        <f>Statement!AA10</f>
        <v>486</v>
      </c>
      <c r="F12" s="200">
        <f>Statement!W10</f>
        <v>152</v>
      </c>
      <c r="G12" s="198">
        <f>Statement!AA10</f>
        <v>486</v>
      </c>
    </row>
    <row r="13" spans="2:7" x14ac:dyDescent="0.2">
      <c r="B13" s="206" t="s">
        <v>319</v>
      </c>
      <c r="C13" s="249">
        <f>Statement!AA93</f>
        <v>2.9661016949152543E-2</v>
      </c>
      <c r="D13" s="250"/>
      <c r="F13" s="249">
        <f>IF(F12=0,
IF(G12=0,0,IF(G12&gt;0,1,-1)),
(G12-F12)/ABS(F12)
)</f>
        <v>2.1973684210526314</v>
      </c>
      <c r="G13" s="250"/>
    </row>
    <row r="14" spans="2:7" x14ac:dyDescent="0.2">
      <c r="B14" s="207" t="s">
        <v>320</v>
      </c>
      <c r="C14" s="200">
        <f>Statement!Z11</f>
        <v>908</v>
      </c>
      <c r="D14" s="198">
        <f>Statement!AA11</f>
        <v>1190</v>
      </c>
      <c r="F14" s="200">
        <f>Statement!W11</f>
        <v>760</v>
      </c>
      <c r="G14" s="198">
        <f>Statement!AA11</f>
        <v>1190</v>
      </c>
    </row>
    <row r="15" spans="2:7" x14ac:dyDescent="0.2">
      <c r="B15" s="206" t="s">
        <v>319</v>
      </c>
      <c r="C15" s="249">
        <f>Statement!AA94</f>
        <v>0.31057268722466963</v>
      </c>
      <c r="D15" s="250"/>
      <c r="F15" s="249">
        <f>IF(F14=0,
IF(G14=0,0,IF(G14&gt;0,1,-1)),
(G14-F14)/ABS(F14)
)</f>
        <v>0.56578947368421051</v>
      </c>
      <c r="G15" s="250"/>
    </row>
    <row r="16" spans="2:7" x14ac:dyDescent="0.2">
      <c r="B16" s="207" t="s">
        <v>30</v>
      </c>
      <c r="C16" s="200">
        <f>Statement!Z17</f>
        <v>1842</v>
      </c>
      <c r="D16" s="198">
        <f>Statement!AA17</f>
        <v>3205</v>
      </c>
      <c r="F16" s="200">
        <f>Statement!W17</f>
        <v>772</v>
      </c>
      <c r="G16" s="198">
        <f>Statement!AA17</f>
        <v>3205</v>
      </c>
    </row>
    <row r="17" spans="2:7" x14ac:dyDescent="0.2">
      <c r="B17" s="206" t="s">
        <v>319</v>
      </c>
      <c r="C17" s="249">
        <f>Statement!AA96</f>
        <v>0.73995656894679696</v>
      </c>
      <c r="D17" s="250"/>
      <c r="F17" s="249">
        <f>IF(F16=0,
IF(G16=0,0,IF(G16&gt;0,1,-1)),
(G16-F16)/ABS(F16)
)</f>
        <v>3.1515544041450778</v>
      </c>
      <c r="G17" s="250"/>
    </row>
    <row r="18" spans="2:7" x14ac:dyDescent="0.2">
      <c r="B18" s="207" t="s">
        <v>321</v>
      </c>
      <c r="C18" s="200">
        <f>Statement!Z21</f>
        <v>381</v>
      </c>
      <c r="D18" s="198">
        <f>Statement!AA21</f>
        <v>387</v>
      </c>
      <c r="F18" s="200">
        <f>Statement!W21</f>
        <v>358</v>
      </c>
      <c r="G18" s="198">
        <f>Statement!AA21</f>
        <v>387</v>
      </c>
    </row>
    <row r="19" spans="2:7" x14ac:dyDescent="0.2">
      <c r="B19" s="206" t="s">
        <v>319</v>
      </c>
      <c r="C19" s="249">
        <f>IF(C18=0,
IF(D18=0,0,IF(D18&gt;0,1,-1)),
(D18-C18)/ABS(C18)
)</f>
        <v>1.5748031496062992E-2</v>
      </c>
      <c r="D19" s="250"/>
      <c r="F19" s="249">
        <f>IF(F18=0,
IF(G18=0,0,IF(G18&gt;0,1,-1)),
(G18-F18)/ABS(F18)
)</f>
        <v>8.1005586592178769E-2</v>
      </c>
      <c r="G19" s="250"/>
    </row>
    <row r="20" spans="2:7" x14ac:dyDescent="0.2">
      <c r="B20" s="207" t="s">
        <v>37</v>
      </c>
      <c r="C20" s="201">
        <f>Statement!Z25</f>
        <v>4.7300000000000004</v>
      </c>
      <c r="D20" s="202">
        <f>Statement!AA25</f>
        <v>8.1999999999999993</v>
      </c>
      <c r="F20" s="201">
        <f>Statement!W25</f>
        <v>2.11</v>
      </c>
      <c r="G20" s="202">
        <f>Statement!AA25</f>
        <v>8.1999999999999993</v>
      </c>
    </row>
    <row r="21" spans="2:7" x14ac:dyDescent="0.2">
      <c r="B21" s="206" t="s">
        <v>319</v>
      </c>
      <c r="C21" s="249">
        <f>IF(C20=0,
IF(D20=0,0,IF(D20&gt;0,1,-1)),
(D20-C20)/ABS(C20)
)</f>
        <v>0.73361522198731466</v>
      </c>
      <c r="D21" s="250"/>
      <c r="F21" s="249">
        <f>IF(F20=0,
IF(G20=0,0,IF(G20&gt;0,1,-1)),
(G20-F20)/ABS(F20)
)</f>
        <v>2.8862559241706163</v>
      </c>
      <c r="G21" s="250"/>
    </row>
    <row r="23" spans="2:7" x14ac:dyDescent="0.2">
      <c r="B23" s="8" t="s">
        <v>322</v>
      </c>
      <c r="C23" s="10" t="str">
        <f>C5</f>
        <v>Q2 2026</v>
      </c>
      <c r="D23" s="203" t="str">
        <f>D5</f>
        <v>Q3 2026</v>
      </c>
      <c r="F23" s="204" t="str">
        <f>F5</f>
        <v>Q3 2025</v>
      </c>
      <c r="G23" s="203" t="str">
        <f>G5</f>
        <v>Q3 2026</v>
      </c>
    </row>
    <row r="24" spans="2:7" x14ac:dyDescent="0.2">
      <c r="B24" s="20" t="str">
        <f>Statement!B185</f>
        <v>Cloud</v>
      </c>
      <c r="C24" s="200">
        <f>Statement!Z185</f>
        <v>2673</v>
      </c>
      <c r="D24" s="198">
        <f>Statement!AA185</f>
        <v>2972</v>
      </c>
      <c r="F24" s="200">
        <f>Statement!W185</f>
        <v>2007</v>
      </c>
      <c r="G24" s="198">
        <f>Statement!AA185</f>
        <v>2972</v>
      </c>
    </row>
    <row r="25" spans="2:7" x14ac:dyDescent="0.2">
      <c r="B25" s="206" t="s">
        <v>319</v>
      </c>
      <c r="C25" s="249">
        <f>IF(C24=0,
IF(D24=0,0,IF(D24&gt;0,1,-1)),
(D24-C24)/ABS(C24)
)</f>
        <v>0.11185933408155631</v>
      </c>
      <c r="D25" s="250"/>
      <c r="F25" s="249">
        <f>IF(F24=0,
IF(G24=0,0,IF(G24&gt;0,1,-1)),
(G24-F24)/ABS(F24)
)</f>
        <v>0.48081714000996512</v>
      </c>
      <c r="G25" s="250"/>
    </row>
    <row r="26" spans="2:7" x14ac:dyDescent="0.2">
      <c r="B26" s="20" t="str">
        <f>Statement!B186</f>
        <v>Client</v>
      </c>
      <c r="C26" s="200">
        <f>Statement!Z186</f>
        <v>176</v>
      </c>
      <c r="D26" s="198">
        <f>Statement!AA186</f>
        <v>179</v>
      </c>
      <c r="F26" s="200">
        <f>Statement!W186</f>
        <v>137</v>
      </c>
      <c r="G26" s="198">
        <f>Statement!AA186</f>
        <v>179</v>
      </c>
    </row>
    <row r="27" spans="2:7" x14ac:dyDescent="0.2">
      <c r="B27" s="206" t="s">
        <v>319</v>
      </c>
      <c r="C27" s="249">
        <f>IF(C26=0,
IF(D26=0,0,IF(D26&gt;0,1,-1)),
(D26-C26)/ABS(C26)
)</f>
        <v>1.7045454545454544E-2</v>
      </c>
      <c r="D27" s="250"/>
      <c r="F27" s="249">
        <f>IF(F26=0,
IF(G26=0,0,IF(G26&gt;0,1,-1)),
(G26-F26)/ABS(F26)
)</f>
        <v>0.30656934306569344</v>
      </c>
      <c r="G27" s="250"/>
    </row>
    <row r="28" spans="2:7" x14ac:dyDescent="0.2">
      <c r="B28" s="20" t="str">
        <f>Statement!B187</f>
        <v>Consumer</v>
      </c>
      <c r="C28" s="200">
        <f>Statement!Z187</f>
        <v>168</v>
      </c>
      <c r="D28" s="198">
        <f>Statement!AA187</f>
        <v>186</v>
      </c>
      <c r="F28" s="200">
        <f>Statement!W187</f>
        <v>150</v>
      </c>
      <c r="G28" s="198">
        <f>Statement!AA187</f>
        <v>186</v>
      </c>
    </row>
    <row r="29" spans="2:7" x14ac:dyDescent="0.2">
      <c r="B29" s="206" t="s">
        <v>319</v>
      </c>
      <c r="C29" s="249">
        <f>IF(C28=0,
IF(D28=0,0,IF(D28&gt;0,1,-1)),
(D28-C28)/ABS(C28)
)</f>
        <v>0.10714285714285714</v>
      </c>
      <c r="D29" s="250"/>
      <c r="F29" s="249">
        <f>IF(F28=0,
IF(G28=0,0,IF(G28&gt;0,1,-1)),
(G28-F28)/ABS(F28)
)</f>
        <v>0.24</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9"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16922</v>
      </c>
      <c r="I57" s="24">
        <f>Statement!N5</f>
        <v>18793</v>
      </c>
      <c r="J57" s="24">
        <f>Statement!O5</f>
        <v>6255</v>
      </c>
      <c r="K57" s="24">
        <f>Statement!P5</f>
        <v>6317</v>
      </c>
      <c r="L57" s="24">
        <f>Statement!Q5</f>
        <v>9520</v>
      </c>
    </row>
    <row r="58" spans="2:12" x14ac:dyDescent="0.2">
      <c r="B58" s="20" t="s">
        <v>25</v>
      </c>
      <c r="C58" s="64">
        <f>Statement!H11</f>
        <v>0</v>
      </c>
      <c r="D58" s="64">
        <f>Statement!I11</f>
        <v>0</v>
      </c>
      <c r="E58" s="64">
        <f>Statement!J11</f>
        <v>0</v>
      </c>
      <c r="F58" s="64">
        <f>Statement!K11</f>
        <v>0</v>
      </c>
      <c r="G58" s="64">
        <f>Statement!L11</f>
        <v>0</v>
      </c>
      <c r="H58" s="64">
        <f>Statement!M11</f>
        <v>1220</v>
      </c>
      <c r="I58" s="64">
        <f>Statement!N11</f>
        <v>2391</v>
      </c>
      <c r="J58" s="64">
        <f>Statement!O11</f>
        <v>-548</v>
      </c>
      <c r="K58" s="64">
        <f>Statement!P11</f>
        <v>-403</v>
      </c>
      <c r="L58" s="64">
        <f>Statement!Q11</f>
        <v>2334</v>
      </c>
    </row>
    <row r="59" spans="2:12" x14ac:dyDescent="0.2">
      <c r="B59" s="20" t="s">
        <v>30</v>
      </c>
      <c r="C59" s="64">
        <f>Statement!H17</f>
        <v>0</v>
      </c>
      <c r="D59" s="64">
        <f>Statement!I17</f>
        <v>0</v>
      </c>
      <c r="E59" s="64">
        <f>Statement!J17</f>
        <v>0</v>
      </c>
      <c r="F59" s="64">
        <f>Statement!K17</f>
        <v>0</v>
      </c>
      <c r="G59" s="64">
        <f>Statement!L17</f>
        <v>0</v>
      </c>
      <c r="H59" s="64">
        <f>Statement!M17</f>
        <v>821</v>
      </c>
      <c r="I59" s="64">
        <f>Statement!N17</f>
        <v>1500</v>
      </c>
      <c r="J59" s="64">
        <f>Statement!O17</f>
        <v>-920</v>
      </c>
      <c r="K59" s="64">
        <f>Statement!P17</f>
        <v>-765</v>
      </c>
      <c r="L59" s="64">
        <f>Statement!Q17</f>
        <v>1643</v>
      </c>
    </row>
    <row r="60" spans="2:12" x14ac:dyDescent="0.2">
      <c r="B60" s="20" t="s">
        <v>265</v>
      </c>
      <c r="C60" s="64">
        <f>Statement!H155</f>
        <v>0</v>
      </c>
      <c r="D60" s="64">
        <f>Statement!I155</f>
        <v>0</v>
      </c>
      <c r="E60" s="64">
        <f>Statement!J155</f>
        <v>0</v>
      </c>
      <c r="F60" s="64">
        <f>Statement!K155</f>
        <v>0</v>
      </c>
      <c r="G60" s="64">
        <f>Statement!L155</f>
        <v>0</v>
      </c>
      <c r="H60" s="64">
        <f>Statement!M155</f>
        <v>434</v>
      </c>
      <c r="I60" s="64">
        <f>Statement!N155</f>
        <v>432</v>
      </c>
      <c r="J60" s="64">
        <f>Statement!O155</f>
        <v>-1547</v>
      </c>
      <c r="K60" s="64">
        <f>Statement!P155</f>
        <v>-1076</v>
      </c>
      <c r="L60" s="64">
        <f>Statement!Q155</f>
        <v>1014</v>
      </c>
    </row>
    <row r="61" spans="2:12" x14ac:dyDescent="0.2">
      <c r="B61" s="20" t="s">
        <v>266</v>
      </c>
      <c r="C61" s="64">
        <f>Statement!H156</f>
        <v>0</v>
      </c>
      <c r="D61" s="64">
        <f>Statement!I156</f>
        <v>0</v>
      </c>
      <c r="E61" s="64">
        <f>Statement!J156</f>
        <v>0</v>
      </c>
      <c r="F61" s="64">
        <f>Statement!K156</f>
        <v>0</v>
      </c>
      <c r="G61" s="64">
        <f>Statement!L156</f>
        <v>0</v>
      </c>
      <c r="H61" s="64">
        <f>Statement!M156</f>
        <v>971.49622437971948</v>
      </c>
      <c r="I61" s="64">
        <f>Statement!N156</f>
        <v>421.35468676401297</v>
      </c>
      <c r="J61" s="64">
        <f>Statement!O156</f>
        <v>-449</v>
      </c>
      <c r="K61" s="64">
        <f>Statement!P156</f>
        <v>-629</v>
      </c>
      <c r="L61" s="64">
        <f>Statement!Q156</f>
        <v>1342</v>
      </c>
    </row>
    <row r="62" spans="2:12" x14ac:dyDescent="0.2">
      <c r="B62" s="20" t="s">
        <v>77</v>
      </c>
      <c r="C62" s="58">
        <f>Statement!H99</f>
        <v>0</v>
      </c>
      <c r="D62" s="58">
        <f>Statement!I99</f>
        <v>0</v>
      </c>
      <c r="E62" s="58">
        <f>Statement!J99</f>
        <v>0</v>
      </c>
      <c r="F62" s="58">
        <f>Statement!K99</f>
        <v>0</v>
      </c>
      <c r="G62" s="58">
        <f>Statement!L99</f>
        <v>0</v>
      </c>
      <c r="H62" s="58">
        <f>Statement!M99</f>
        <v>0.26716700153646139</v>
      </c>
      <c r="I62" s="58">
        <f>Statement!N99</f>
        <v>0.31256318842122066</v>
      </c>
      <c r="J62" s="58">
        <f>Statement!O99</f>
        <v>0.22238209432454037</v>
      </c>
      <c r="K62" s="58">
        <f>Statement!P99</f>
        <v>0.28067120468576856</v>
      </c>
      <c r="L62" s="58">
        <f>Statement!Q99</f>
        <v>0.38781512605042018</v>
      </c>
    </row>
    <row r="63" spans="2:12" x14ac:dyDescent="0.2">
      <c r="B63" s="20" t="s">
        <v>78</v>
      </c>
      <c r="C63" s="58">
        <f>Statement!H100</f>
        <v>0</v>
      </c>
      <c r="D63" s="58">
        <f>Statement!I100</f>
        <v>0</v>
      </c>
      <c r="E63" s="58">
        <f>Statement!J100</f>
        <v>0</v>
      </c>
      <c r="F63" s="58">
        <f>Statement!K100</f>
        <v>0</v>
      </c>
      <c r="G63" s="58">
        <f>Statement!L100</f>
        <v>0</v>
      </c>
      <c r="H63" s="58">
        <f>Statement!M100</f>
        <v>7.2095496986171848E-2</v>
      </c>
      <c r="I63" s="58">
        <f>Statement!N100</f>
        <v>0.12722822327462352</v>
      </c>
      <c r="J63" s="58">
        <f>Statement!O100</f>
        <v>-8.7609912070343729E-2</v>
      </c>
      <c r="K63" s="58">
        <f>Statement!P100</f>
        <v>-6.3796105746398601E-2</v>
      </c>
      <c r="L63" s="58">
        <f>Statement!Q100</f>
        <v>0.24516806722689075</v>
      </c>
    </row>
    <row r="64" spans="2:12" x14ac:dyDescent="0.2">
      <c r="B64" s="20" t="s">
        <v>79</v>
      </c>
      <c r="C64" s="58">
        <f>Statement!H101</f>
        <v>0</v>
      </c>
      <c r="D64" s="58">
        <f>Statement!I101</f>
        <v>0</v>
      </c>
      <c r="E64" s="58">
        <f>Statement!J101</f>
        <v>0</v>
      </c>
      <c r="F64" s="58">
        <f>Statement!K101</f>
        <v>0</v>
      </c>
      <c r="G64" s="58">
        <f>Statement!L101</f>
        <v>0</v>
      </c>
      <c r="H64" s="58">
        <f>Statement!M101</f>
        <v>4.8516723791514005E-2</v>
      </c>
      <c r="I64" s="58">
        <f>Statement!N101</f>
        <v>7.9816953120842873E-2</v>
      </c>
      <c r="J64" s="58">
        <f>Statement!O101</f>
        <v>-0.14708233413269384</v>
      </c>
      <c r="K64" s="58">
        <f>Statement!P101</f>
        <v>-0.12110178882380877</v>
      </c>
      <c r="L64" s="58">
        <f>Statement!Q101</f>
        <v>0.17258403361344538</v>
      </c>
    </row>
    <row r="65" spans="2:12" x14ac:dyDescent="0.2">
      <c r="B65" s="20" t="str">
        <f>"Revenue "&amp;Statement!B185</f>
        <v>Revenue Cloud</v>
      </c>
      <c r="C65" s="64">
        <f>Statement!H185</f>
        <v>0</v>
      </c>
      <c r="D65" s="64">
        <f>Statement!I185</f>
        <v>0</v>
      </c>
      <c r="E65" s="64">
        <f>Statement!J185</f>
        <v>0</v>
      </c>
      <c r="F65" s="64">
        <f>Statement!K185</f>
        <v>0</v>
      </c>
      <c r="G65" s="64">
        <f>Statement!L185</f>
        <v>0</v>
      </c>
      <c r="H65" s="64">
        <f>Statement!M185</f>
        <v>5723</v>
      </c>
      <c r="I65" s="64">
        <f>Statement!N185</f>
        <v>8017</v>
      </c>
      <c r="J65" s="64">
        <f>Statement!O185</f>
        <v>4753</v>
      </c>
      <c r="K65" s="64">
        <f>Statement!P185</f>
        <v>5052</v>
      </c>
      <c r="L65" s="64">
        <f>Statement!Q185</f>
        <v>8341</v>
      </c>
    </row>
    <row r="66" spans="2:12" x14ac:dyDescent="0.2">
      <c r="B66" s="20" t="str">
        <f>"Revenue "&amp;Statement!B186</f>
        <v>Revenue Client</v>
      </c>
      <c r="C66" s="64">
        <f>Statement!H186</f>
        <v>0</v>
      </c>
      <c r="D66" s="64">
        <f>Statement!I186</f>
        <v>0</v>
      </c>
      <c r="E66" s="64">
        <f>Statement!J186</f>
        <v>0</v>
      </c>
      <c r="F66" s="64">
        <f>Statement!K186</f>
        <v>0</v>
      </c>
      <c r="G66" s="64">
        <f>Statement!L186</f>
        <v>0</v>
      </c>
      <c r="H66" s="64">
        <f>Statement!M186</f>
        <v>7281</v>
      </c>
      <c r="I66" s="64">
        <f>Statement!N186</f>
        <v>7076</v>
      </c>
      <c r="J66" s="64">
        <f>Statement!O186</f>
        <v>691</v>
      </c>
      <c r="K66" s="64">
        <f>Statement!P186</f>
        <v>577</v>
      </c>
      <c r="L66" s="64">
        <f>Statement!Q186</f>
        <v>556</v>
      </c>
    </row>
    <row r="67" spans="2:12" x14ac:dyDescent="0.2">
      <c r="B67" s="20" t="str">
        <f>"Revenue "&amp;Statement!B187</f>
        <v>Revenue Consumer</v>
      </c>
      <c r="C67" s="64">
        <f>Statement!H187</f>
        <v>0</v>
      </c>
      <c r="D67" s="64">
        <f>Statement!I187</f>
        <v>0</v>
      </c>
      <c r="E67" s="64">
        <f>Statement!J187</f>
        <v>0</v>
      </c>
      <c r="F67" s="64">
        <f>Statement!K187</f>
        <v>0</v>
      </c>
      <c r="G67" s="64">
        <f>Statement!L187</f>
        <v>0</v>
      </c>
      <c r="H67" s="64">
        <f>Statement!M187</f>
        <v>3918</v>
      </c>
      <c r="I67" s="64">
        <f>Statement!N187</f>
        <v>3700</v>
      </c>
      <c r="J67" s="64">
        <f>Statement!O187</f>
        <v>811</v>
      </c>
      <c r="K67" s="64">
        <f>Statement!P187</f>
        <v>688</v>
      </c>
      <c r="L67" s="64">
        <f>Statement!Q187</f>
        <v>623</v>
      </c>
    </row>
    <row r="68" spans="2:12" x14ac:dyDescent="0.2">
      <c r="B68" s="20" t="s">
        <v>101</v>
      </c>
      <c r="C68" s="218">
        <f>Statement!H121</f>
        <v>0</v>
      </c>
      <c r="D68" s="218">
        <f>Statement!I121</f>
        <v>0</v>
      </c>
      <c r="E68" s="218">
        <f>Statement!J121</f>
        <v>0</v>
      </c>
      <c r="F68" s="218">
        <f>Statement!K121</f>
        <v>0</v>
      </c>
      <c r="G68" s="218">
        <f>Statement!L121</f>
        <v>0</v>
      </c>
      <c r="H68" s="218">
        <f>Statement!M121</f>
        <v>3.1417419256084496E-2</v>
      </c>
      <c r="I68" s="218">
        <f>Statement!N121</f>
        <v>5.7123272021021368E-2</v>
      </c>
      <c r="J68" s="218">
        <f>Statement!O121</f>
        <v>-3.7660158008923819E-2</v>
      </c>
      <c r="K68" s="218">
        <f>Statement!P121</f>
        <v>-3.1627253183396729E-2</v>
      </c>
      <c r="L68" s="218">
        <f>Statement!Q121</f>
        <v>0.11734037994572204</v>
      </c>
    </row>
    <row r="69" spans="2:12" x14ac:dyDescent="0.2">
      <c r="B69" s="20" t="s">
        <v>103</v>
      </c>
      <c r="C69" s="218">
        <f>Statement!H123</f>
        <v>0</v>
      </c>
      <c r="D69" s="218">
        <f>Statement!I123</f>
        <v>0</v>
      </c>
      <c r="E69" s="218">
        <f>Statement!J123</f>
        <v>0</v>
      </c>
      <c r="F69" s="218">
        <f>Statement!K123</f>
        <v>0</v>
      </c>
      <c r="G69" s="218">
        <f>Statement!L123</f>
        <v>0</v>
      </c>
      <c r="H69" s="218">
        <f>Statement!M123</f>
        <v>7.6578677362186376E-2</v>
      </c>
      <c r="I69" s="218">
        <f>Statement!N123</f>
        <v>0.12273954668194094</v>
      </c>
      <c r="J69" s="218">
        <f>Statement!O123</f>
        <v>-8.4816078178298143E-2</v>
      </c>
      <c r="K69" s="218">
        <f>Statement!P123</f>
        <v>-7.0715474209650589E-2</v>
      </c>
      <c r="L69" s="218">
        <f>Statement!Q123</f>
        <v>0.30935793635850123</v>
      </c>
    </row>
    <row r="70" spans="2:12" x14ac:dyDescent="0.2">
      <c r="B70" s="20" t="s">
        <v>104</v>
      </c>
      <c r="C70" s="218">
        <f>Statement!H138</f>
        <v>0</v>
      </c>
      <c r="D70" s="218">
        <f>Statement!I138</f>
        <v>0</v>
      </c>
      <c r="E70" s="218">
        <f>Statement!J138</f>
        <v>0</v>
      </c>
      <c r="F70" s="218">
        <f>Statement!K138</f>
        <v>0</v>
      </c>
      <c r="G70" s="218">
        <f>Statement!L138</f>
        <v>0</v>
      </c>
      <c r="H70" s="218">
        <f>Statement!M138</f>
        <v>6.7211758172413497E-2</v>
      </c>
      <c r="I70" s="218">
        <f>Statement!N138</f>
        <v>9.9985480987453412E-2</v>
      </c>
      <c r="J70" s="218">
        <f>Statement!O138</f>
        <v>-3.4478419529382159E-2</v>
      </c>
      <c r="K70" s="218">
        <f>Statement!P138</f>
        <v>-2.4613693275514565E-2</v>
      </c>
      <c r="L70" s="218">
        <f>Statement!Q138</f>
        <v>0.29514415781487102</v>
      </c>
    </row>
    <row r="71" spans="2:12" x14ac:dyDescent="0.2">
      <c r="B71" s="20" t="s">
        <v>355</v>
      </c>
      <c r="C71" s="227">
        <f>Statement!H201</f>
        <v>0</v>
      </c>
      <c r="D71" s="227">
        <f>Statement!I201</f>
        <v>0</v>
      </c>
      <c r="E71" s="227">
        <f>Statement!J201</f>
        <v>0</v>
      </c>
      <c r="F71" s="227">
        <f>Statement!K201</f>
        <v>0</v>
      </c>
      <c r="G71" s="227">
        <f>Statement!L201</f>
        <v>0</v>
      </c>
      <c r="H71" s="227">
        <f>Statement!M201</f>
        <v>100</v>
      </c>
      <c r="I71" s="227">
        <f>Statement!N201</f>
        <v>70.367549038278426</v>
      </c>
      <c r="J71" s="227">
        <f>Statement!O201</f>
        <v>74.385831270234249</v>
      </c>
      <c r="K71" s="227">
        <f>Statement!P201</f>
        <v>144.29632450961719</v>
      </c>
      <c r="L71" s="227">
        <f>Statement!Q201</f>
        <v>121.55779851456865</v>
      </c>
    </row>
    <row r="72" spans="2:12" x14ac:dyDescent="0.2">
      <c r="B72" s="20" t="s">
        <v>356</v>
      </c>
      <c r="C72" s="227">
        <f>Statement!H202</f>
        <v>0</v>
      </c>
      <c r="D72" s="227">
        <f>Statement!I202</f>
        <v>0</v>
      </c>
      <c r="E72" s="227">
        <f>Statement!J202</f>
        <v>0</v>
      </c>
      <c r="F72" s="227">
        <f>Statement!K202</f>
        <v>0</v>
      </c>
      <c r="G72" s="227">
        <f>Statement!L202</f>
        <v>0</v>
      </c>
      <c r="H72" s="227">
        <f>Statement!M202</f>
        <v>100</v>
      </c>
      <c r="I72" s="227">
        <f>Statement!N202</f>
        <v>111.05661269353504</v>
      </c>
      <c r="J72" s="227">
        <f>Statement!O202</f>
        <v>36.963715872828274</v>
      </c>
      <c r="K72" s="227">
        <f>Statement!P202</f>
        <v>37.330102824725209</v>
      </c>
      <c r="L72" s="227">
        <f>Statement!Q202</f>
        <v>56.258125517078362</v>
      </c>
    </row>
    <row r="73" spans="2:12" x14ac:dyDescent="0.2">
      <c r="B73" s="20" t="s">
        <v>357</v>
      </c>
      <c r="C73" s="227">
        <f>Statement!H203</f>
        <v>0</v>
      </c>
      <c r="D73" s="227">
        <f>Statement!I203</f>
        <v>0</v>
      </c>
      <c r="E73" s="227">
        <f>Statement!J203</f>
        <v>0</v>
      </c>
      <c r="F73" s="227">
        <f>Statement!K203</f>
        <v>0</v>
      </c>
      <c r="G73" s="227">
        <f>Statement!L203</f>
        <v>0</v>
      </c>
      <c r="H73" s="227">
        <f>Statement!M203</f>
        <v>100</v>
      </c>
      <c r="I73" s="227">
        <f>Statement!N203</f>
        <v>178.57142857142856</v>
      </c>
      <c r="J73" s="227">
        <f>Statement!O203</f>
        <v>-109.39849624060152</v>
      </c>
      <c r="K73" s="227">
        <f>Statement!P203</f>
        <v>-94.36090225563909</v>
      </c>
      <c r="L73" s="227">
        <f>Statement!Q203</f>
        <v>167.29323308270676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2004</v>
      </c>
      <c r="D57" s="64">
        <f>Statement!U5</f>
        <v>2212</v>
      </c>
      <c r="E57" s="64">
        <f>Statement!V5</f>
        <v>2409</v>
      </c>
      <c r="F57" s="64">
        <f>Statement!W5</f>
        <v>2294</v>
      </c>
      <c r="G57" s="64">
        <f>Statement!X5</f>
        <v>2605</v>
      </c>
      <c r="H57" s="64">
        <f>Statement!Y5</f>
        <v>2818</v>
      </c>
      <c r="I57" s="64">
        <f>Statement!Z5</f>
        <v>3017</v>
      </c>
      <c r="J57" s="64">
        <f>Statement!AA5</f>
        <v>3337</v>
      </c>
    </row>
    <row r="58" spans="2:10" x14ac:dyDescent="0.2">
      <c r="B58" s="20" t="s">
        <v>25</v>
      </c>
      <c r="C58" s="64">
        <f>Statement!T11</f>
        <v>-91</v>
      </c>
      <c r="D58" s="64">
        <f>Statement!U11</f>
        <v>334</v>
      </c>
      <c r="E58" s="64">
        <f>Statement!V11</f>
        <v>560</v>
      </c>
      <c r="F58" s="64">
        <f>Statement!W11</f>
        <v>760</v>
      </c>
      <c r="G58" s="64">
        <f>Statement!X11</f>
        <v>680</v>
      </c>
      <c r="H58" s="64">
        <f>Statement!Y11</f>
        <v>792</v>
      </c>
      <c r="I58" s="64">
        <f>Statement!Z11</f>
        <v>908</v>
      </c>
      <c r="J58" s="64">
        <f>Statement!AA11</f>
        <v>1190</v>
      </c>
    </row>
    <row r="59" spans="2:10" x14ac:dyDescent="0.2">
      <c r="B59" s="20" t="s">
        <v>30</v>
      </c>
      <c r="C59" s="64">
        <f>Statement!T17</f>
        <v>-246</v>
      </c>
      <c r="D59" s="64">
        <f>Statement!U17</f>
        <v>153</v>
      </c>
      <c r="E59" s="64">
        <f>Statement!V17</f>
        <v>466</v>
      </c>
      <c r="F59" s="64">
        <f>Statement!W17</f>
        <v>772</v>
      </c>
      <c r="G59" s="64">
        <f>Statement!X17</f>
        <v>252</v>
      </c>
      <c r="H59" s="64">
        <f>Statement!Y17</f>
        <v>1182</v>
      </c>
      <c r="I59" s="64">
        <f>Statement!Z17</f>
        <v>1842</v>
      </c>
      <c r="J59" s="64">
        <f>Statement!AA17</f>
        <v>3205</v>
      </c>
    </row>
    <row r="60" spans="2:10" x14ac:dyDescent="0.2">
      <c r="B60" s="20" t="s">
        <v>77</v>
      </c>
      <c r="C60" s="58">
        <f>Statement!T99</f>
        <v>0.34780439121756485</v>
      </c>
      <c r="D60" s="58">
        <f>Statement!U99</f>
        <v>0.36437613019891502</v>
      </c>
      <c r="E60" s="58">
        <f>Statement!V99</f>
        <v>0.37650477376504776</v>
      </c>
      <c r="F60" s="58">
        <f>Statement!W99</f>
        <v>0.39755884917175238</v>
      </c>
      <c r="G60" s="58">
        <f>Statement!X99</f>
        <v>0.40959692898272554</v>
      </c>
      <c r="H60" s="58">
        <f>Statement!Y99</f>
        <v>0.43541518807665008</v>
      </c>
      <c r="I60" s="58">
        <f>Statement!Z99</f>
        <v>0.45740802121312563</v>
      </c>
      <c r="J60" s="58">
        <f>Statement!AA99</f>
        <v>0.50224752771950854</v>
      </c>
    </row>
    <row r="61" spans="2:10" x14ac:dyDescent="0.2">
      <c r="B61" s="20" t="s">
        <v>78</v>
      </c>
      <c r="C61" s="58">
        <f>Statement!T100</f>
        <v>-4.5409181636726546E-2</v>
      </c>
      <c r="D61" s="58">
        <f>Statement!U100</f>
        <v>0.15099457504520797</v>
      </c>
      <c r="E61" s="58">
        <f>Statement!V100</f>
        <v>0.23246160232461602</v>
      </c>
      <c r="F61" s="58">
        <f>Statement!W100</f>
        <v>0.33129904097646035</v>
      </c>
      <c r="G61" s="58">
        <f>Statement!X100</f>
        <v>0.26103646833013433</v>
      </c>
      <c r="H61" s="58">
        <f>Statement!Y100</f>
        <v>0.28105039034776436</v>
      </c>
      <c r="I61" s="58">
        <f>Statement!Z100</f>
        <v>0.30096121975472323</v>
      </c>
      <c r="J61" s="58">
        <f>Statement!AA100</f>
        <v>0.35660773149535513</v>
      </c>
    </row>
    <row r="62" spans="2:10" x14ac:dyDescent="0.2">
      <c r="B62" s="20" t="s">
        <v>79</v>
      </c>
      <c r="C62" s="58">
        <f>Statement!T101</f>
        <v>-0.12275449101796407</v>
      </c>
      <c r="D62" s="58">
        <f>Statement!U101</f>
        <v>6.9168173598553345E-2</v>
      </c>
      <c r="E62" s="58">
        <f>Statement!V101</f>
        <v>0.19344126193441261</v>
      </c>
      <c r="F62" s="58">
        <f>Statement!W101</f>
        <v>0.33653007846556232</v>
      </c>
      <c r="G62" s="58">
        <f>Statement!X101</f>
        <v>9.6737044145873322E-2</v>
      </c>
      <c r="H62" s="58">
        <f>Statement!Y101</f>
        <v>0.41944641589779985</v>
      </c>
      <c r="I62" s="58">
        <f>Statement!Z101</f>
        <v>0.61054027179317205</v>
      </c>
      <c r="J62" s="58">
        <f>Statement!AA101</f>
        <v>0.96044351213664969</v>
      </c>
    </row>
    <row r="63" spans="2:10" x14ac:dyDescent="0.2">
      <c r="B63" s="20" t="str">
        <f>"Revenue "&amp;Statement!B185</f>
        <v>Revenue Cloud</v>
      </c>
      <c r="C63" s="64">
        <f>Statement!T185</f>
        <v>1712</v>
      </c>
      <c r="D63" s="64">
        <f>Statement!U185</f>
        <v>1909</v>
      </c>
      <c r="E63" s="64">
        <f>Statement!V185</f>
        <v>2096</v>
      </c>
      <c r="F63" s="64">
        <f>Statement!W185</f>
        <v>2007</v>
      </c>
      <c r="G63" s="64">
        <f>Statement!X185</f>
        <v>2329</v>
      </c>
      <c r="H63" s="64">
        <f>Statement!Y185</f>
        <v>2510</v>
      </c>
      <c r="I63" s="64">
        <f>Statement!Z185</f>
        <v>2673</v>
      </c>
      <c r="J63" s="64">
        <f>Statement!AA185</f>
        <v>2972</v>
      </c>
    </row>
    <row r="64" spans="2:10" x14ac:dyDescent="0.2">
      <c r="B64" s="20" t="str">
        <f>"Revenue "&amp;Statement!B186</f>
        <v>Revenue Client</v>
      </c>
      <c r="C64" s="64">
        <f>Statement!T186</f>
        <v>137</v>
      </c>
      <c r="D64" s="64">
        <f>Statement!U186</f>
        <v>139</v>
      </c>
      <c r="E64" s="64">
        <f>Statement!V186</f>
        <v>140</v>
      </c>
      <c r="F64" s="64">
        <f>Statement!W186</f>
        <v>137</v>
      </c>
      <c r="G64" s="64">
        <f>Statement!X186</f>
        <v>140</v>
      </c>
      <c r="H64" s="64">
        <f>Statement!Y186</f>
        <v>146</v>
      </c>
      <c r="I64" s="64">
        <f>Statement!Z186</f>
        <v>176</v>
      </c>
      <c r="J64" s="64">
        <f>Statement!AA186</f>
        <v>179</v>
      </c>
    </row>
    <row r="65" spans="2:10" x14ac:dyDescent="0.2">
      <c r="B65" s="20" t="str">
        <f>"Revenue "&amp;Statement!B187</f>
        <v>Revenue Consumer</v>
      </c>
      <c r="C65" s="64">
        <f>Statement!T187</f>
        <v>155</v>
      </c>
      <c r="D65" s="64">
        <f>Statement!U187</f>
        <v>164</v>
      </c>
      <c r="E65" s="64">
        <f>Statement!V187</f>
        <v>173</v>
      </c>
      <c r="F65" s="64">
        <f>Statement!W187</f>
        <v>150</v>
      </c>
      <c r="G65" s="64">
        <f>Statement!X187</f>
        <v>136</v>
      </c>
      <c r="H65" s="64">
        <f>Statement!Y187</f>
        <v>162</v>
      </c>
      <c r="I65" s="64">
        <f>Statement!Z187</f>
        <v>168</v>
      </c>
      <c r="J65" s="64">
        <f>Statement!AA187</f>
        <v>186</v>
      </c>
    </row>
    <row r="66" spans="2:10" x14ac:dyDescent="0.2">
      <c r="B66" s="20" t="s">
        <v>265</v>
      </c>
      <c r="C66" s="64">
        <f>Statement!T155</f>
        <v>181</v>
      </c>
      <c r="D66" s="64">
        <f>Statement!U155</f>
        <v>-146</v>
      </c>
      <c r="E66" s="64">
        <f>Statement!V155</f>
        <v>64</v>
      </c>
      <c r="F66" s="64">
        <f>Statement!W155</f>
        <v>384</v>
      </c>
      <c r="G66" s="64">
        <f>Statement!X155</f>
        <v>630</v>
      </c>
      <c r="H66" s="64">
        <f>Statement!Y155</f>
        <v>546</v>
      </c>
      <c r="I66" s="64">
        <f>Statement!Z155</f>
        <v>1146</v>
      </c>
      <c r="J66" s="64">
        <f>Statement!AA155</f>
        <v>2071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B1" zoomScale="184" zoomScaleNormal="75" workbookViewId="0">
      <selection activeCell="L15" sqref="L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2" t="s">
        <v>112</v>
      </c>
      <c r="D2" s="242"/>
      <c r="E2" s="242"/>
      <c r="F2" s="242"/>
      <c r="G2" s="254"/>
      <c r="H2" s="255" t="s">
        <v>113</v>
      </c>
      <c r="I2" s="242"/>
      <c r="J2" s="242"/>
      <c r="K2" s="242"/>
      <c r="L2" s="242"/>
      <c r="O2" s="5"/>
      <c r="S2" s="242" t="s">
        <v>112</v>
      </c>
      <c r="T2" s="242"/>
      <c r="U2" s="242"/>
      <c r="V2" s="242"/>
      <c r="W2" s="242"/>
      <c r="X2" s="242"/>
      <c r="Y2" s="242"/>
      <c r="Z2" s="242"/>
      <c r="AA2" s="242" t="s">
        <v>113</v>
      </c>
      <c r="AB2" s="242"/>
      <c r="AC2" s="242"/>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Cloud</v>
      </c>
      <c r="C6" s="88">
        <f>Statement!M185</f>
        <v>5723</v>
      </c>
      <c r="D6" s="88">
        <f>Statement!N185</f>
        <v>8017</v>
      </c>
      <c r="E6" s="88">
        <f>Statement!O185</f>
        <v>4753</v>
      </c>
      <c r="F6" s="88">
        <f>Statement!P185</f>
        <v>5052</v>
      </c>
      <c r="G6" s="89">
        <f>Statement!Q185</f>
        <v>8341</v>
      </c>
      <c r="H6" s="64">
        <f>H21*H22</f>
        <v>11051.824999999999</v>
      </c>
      <c r="I6" s="64">
        <f t="shared" ref="I6:L6" si="1">I21*I22</f>
        <v>15085.741125</v>
      </c>
      <c r="J6" s="64">
        <f t="shared" si="1"/>
        <v>15764.599475625</v>
      </c>
      <c r="K6" s="64">
        <f t="shared" si="1"/>
        <v>14976.369501843748</v>
      </c>
      <c r="L6" s="64">
        <f t="shared" si="1"/>
        <v>12804.795924076405</v>
      </c>
      <c r="N6" s="90" t="s">
        <v>423</v>
      </c>
      <c r="O6" s="5"/>
      <c r="Q6" s="90" t="s">
        <v>423</v>
      </c>
      <c r="R6" s="1" t="str">
        <f>B6</f>
        <v>Cloud</v>
      </c>
      <c r="S6" s="88">
        <f>Statement!T185</f>
        <v>1712</v>
      </c>
      <c r="T6" s="88">
        <f>Statement!U185</f>
        <v>1909</v>
      </c>
      <c r="U6" s="88">
        <f>Statement!V185</f>
        <v>2096</v>
      </c>
      <c r="V6" s="88">
        <f>Statement!W185</f>
        <v>2007</v>
      </c>
      <c r="W6" s="88">
        <f>Statement!X185</f>
        <v>2329</v>
      </c>
      <c r="X6" s="88">
        <f>Statement!Y185</f>
        <v>2510</v>
      </c>
      <c r="Y6" s="88">
        <f>Statement!Z185</f>
        <v>2673</v>
      </c>
      <c r="Z6" s="89">
        <f>Statement!AA185</f>
        <v>2972</v>
      </c>
      <c r="AA6" s="64">
        <f>AA21*AA22</f>
        <v>3214.2179999999998</v>
      </c>
      <c r="AB6" s="64"/>
      <c r="AC6" s="64"/>
      <c r="AE6" s="64">
        <f>SUM(X6:AA6)</f>
        <v>11369.218000000001</v>
      </c>
    </row>
    <row r="7" spans="1:31" x14ac:dyDescent="0.2">
      <c r="B7" s="1" t="str">
        <f>Statement!B186</f>
        <v>Client</v>
      </c>
      <c r="C7" s="88">
        <f>Statement!M186</f>
        <v>7281</v>
      </c>
      <c r="D7" s="88">
        <f>Statement!N186</f>
        <v>7076</v>
      </c>
      <c r="E7" s="88">
        <f>Statement!O186</f>
        <v>691</v>
      </c>
      <c r="F7" s="88">
        <f>Statement!P186</f>
        <v>577</v>
      </c>
      <c r="G7" s="89">
        <f>Statement!Q186</f>
        <v>556</v>
      </c>
      <c r="H7" s="64">
        <f t="shared" ref="H7:L7" si="2">G7*(1+H14)</f>
        <v>683.88</v>
      </c>
      <c r="I7" s="64">
        <f t="shared" si="2"/>
        <v>820.65599999999995</v>
      </c>
      <c r="J7" s="64">
        <f t="shared" si="2"/>
        <v>902.72159999999997</v>
      </c>
      <c r="K7" s="64">
        <f t="shared" si="2"/>
        <v>947.85767999999996</v>
      </c>
      <c r="L7" s="64">
        <f t="shared" si="2"/>
        <v>853.071912</v>
      </c>
      <c r="N7" s="90" t="s">
        <v>421</v>
      </c>
      <c r="O7" s="5"/>
      <c r="Q7" s="90" t="s">
        <v>421</v>
      </c>
      <c r="R7" s="1" t="str">
        <f t="shared" ref="R7:R8" si="3">B7</f>
        <v>Client</v>
      </c>
      <c r="S7" s="88">
        <f>Statement!T186</f>
        <v>137</v>
      </c>
      <c r="T7" s="88">
        <f>Statement!U186</f>
        <v>139</v>
      </c>
      <c r="U7" s="88">
        <f>Statement!V186</f>
        <v>140</v>
      </c>
      <c r="V7" s="88">
        <f>Statement!W186</f>
        <v>137</v>
      </c>
      <c r="W7" s="88">
        <f>Statement!X186</f>
        <v>140</v>
      </c>
      <c r="X7" s="88">
        <f>Statement!Y186</f>
        <v>146</v>
      </c>
      <c r="Y7" s="88">
        <f>Statement!Z186</f>
        <v>176</v>
      </c>
      <c r="Z7" s="89">
        <f>Statement!AA186</f>
        <v>179</v>
      </c>
      <c r="AA7" s="64">
        <f t="shared" ref="AA7:AA8" si="4">Z7*(1+AA14)</f>
        <v>187.95000000000002</v>
      </c>
      <c r="AB7" s="64"/>
      <c r="AC7" s="64"/>
      <c r="AE7" s="64">
        <f t="shared" ref="AE7:AE8" si="5">SUM(X7:AA7)</f>
        <v>688.95</v>
      </c>
    </row>
    <row r="8" spans="1:31" x14ac:dyDescent="0.2">
      <c r="B8" s="1" t="str">
        <f>Statement!B187</f>
        <v>Consumer</v>
      </c>
      <c r="C8" s="88">
        <f>Statement!M187</f>
        <v>3918</v>
      </c>
      <c r="D8" s="88">
        <f>Statement!N187</f>
        <v>3700</v>
      </c>
      <c r="E8" s="88">
        <f>Statement!O187</f>
        <v>811</v>
      </c>
      <c r="F8" s="88">
        <f>Statement!P187</f>
        <v>688</v>
      </c>
      <c r="G8" s="89">
        <f>Statement!Q187</f>
        <v>623</v>
      </c>
      <c r="H8" s="64">
        <f t="shared" ref="H8:L8" si="6">G8*(1+H15)</f>
        <v>703.9899999999999</v>
      </c>
      <c r="I8" s="64">
        <f t="shared" si="6"/>
        <v>788.46879999999999</v>
      </c>
      <c r="J8" s="64">
        <f t="shared" si="6"/>
        <v>906.73911999999996</v>
      </c>
      <c r="K8" s="64">
        <f t="shared" si="6"/>
        <v>816.06520799999998</v>
      </c>
      <c r="L8" s="64">
        <f t="shared" si="6"/>
        <v>775.26194759999998</v>
      </c>
      <c r="N8" s="90" t="s">
        <v>422</v>
      </c>
      <c r="O8" s="5"/>
      <c r="Q8" s="90" t="s">
        <v>422</v>
      </c>
      <c r="R8" s="1" t="str">
        <f t="shared" si="3"/>
        <v>Consumer</v>
      </c>
      <c r="S8" s="88">
        <f>Statement!T187</f>
        <v>155</v>
      </c>
      <c r="T8" s="88">
        <f>Statement!U187</f>
        <v>164</v>
      </c>
      <c r="U8" s="88">
        <f>Statement!V187</f>
        <v>173</v>
      </c>
      <c r="V8" s="88">
        <f>Statement!W187</f>
        <v>150</v>
      </c>
      <c r="W8" s="88">
        <f>Statement!X187</f>
        <v>136</v>
      </c>
      <c r="X8" s="88">
        <f>Statement!Y187</f>
        <v>162</v>
      </c>
      <c r="Y8" s="88">
        <f>Statement!Z187</f>
        <v>168</v>
      </c>
      <c r="Z8" s="89">
        <f>Statement!AA187</f>
        <v>186</v>
      </c>
      <c r="AA8" s="64">
        <f t="shared" si="4"/>
        <v>191.58</v>
      </c>
      <c r="AB8" s="64"/>
      <c r="AC8" s="64"/>
      <c r="AE8" s="64">
        <f t="shared" si="5"/>
        <v>707.58</v>
      </c>
    </row>
    <row r="9" spans="1:31" x14ac:dyDescent="0.2">
      <c r="B9" s="16" t="s">
        <v>120</v>
      </c>
      <c r="C9" s="92">
        <f>Statement!M5</f>
        <v>16922</v>
      </c>
      <c r="D9" s="92">
        <f>Statement!N5</f>
        <v>18793</v>
      </c>
      <c r="E9" s="92">
        <f>Statement!O5</f>
        <v>6255</v>
      </c>
      <c r="F9" s="92">
        <f>Statement!P5</f>
        <v>6317</v>
      </c>
      <c r="G9" s="93">
        <f>Statement!Q5</f>
        <v>9520</v>
      </c>
      <c r="H9" s="94">
        <f>SUM(H6:H8)</f>
        <v>12439.694999999998</v>
      </c>
      <c r="I9" s="94">
        <f t="shared" ref="I9:L9" si="7">SUM(I6:I8)</f>
        <v>16694.865924999998</v>
      </c>
      <c r="J9" s="94">
        <f t="shared" si="7"/>
        <v>17574.060195624999</v>
      </c>
      <c r="K9" s="94">
        <f t="shared" si="7"/>
        <v>16740.292389843748</v>
      </c>
      <c r="L9" s="94">
        <f t="shared" si="7"/>
        <v>14433.129783676404</v>
      </c>
      <c r="O9" s="5"/>
      <c r="R9" s="16" t="s">
        <v>120</v>
      </c>
      <c r="S9" s="92">
        <f>Statement!T5</f>
        <v>2004</v>
      </c>
      <c r="T9" s="92">
        <f>Statement!U5</f>
        <v>2212</v>
      </c>
      <c r="U9" s="92">
        <f>Statement!V5</f>
        <v>2409</v>
      </c>
      <c r="V9" s="92">
        <f>Statement!W5</f>
        <v>2294</v>
      </c>
      <c r="W9" s="92">
        <f>Statement!X5</f>
        <v>2605</v>
      </c>
      <c r="X9" s="92">
        <f>Statement!Y5</f>
        <v>2818</v>
      </c>
      <c r="Y9" s="92">
        <f>Statement!Z5</f>
        <v>3017</v>
      </c>
      <c r="Z9" s="93">
        <f>Statement!AA5</f>
        <v>3337</v>
      </c>
      <c r="AA9" s="94">
        <f>SUM(AA6:AA8)</f>
        <v>3593.7479999999996</v>
      </c>
      <c r="AB9" s="94"/>
      <c r="AC9" s="94"/>
      <c r="AE9" s="94">
        <f>SUM(X9:AA9)</f>
        <v>12765.748</v>
      </c>
    </row>
    <row r="10" spans="1:31" x14ac:dyDescent="0.2">
      <c r="O10" s="5"/>
      <c r="Q10" s="91"/>
    </row>
    <row r="11" spans="1:31" x14ac:dyDescent="0.2">
      <c r="C11" s="251" t="s">
        <v>121</v>
      </c>
      <c r="D11" s="251"/>
      <c r="E11" s="251"/>
      <c r="F11" s="251"/>
      <c r="G11" s="251"/>
      <c r="H11" s="251"/>
      <c r="I11" s="251"/>
      <c r="J11" s="251"/>
      <c r="K11" s="251"/>
      <c r="L11" s="251"/>
      <c r="O11" s="5"/>
      <c r="Q11" s="91"/>
      <c r="S11" s="252" t="s">
        <v>121</v>
      </c>
      <c r="T11" s="253"/>
      <c r="U11" s="253"/>
      <c r="V11" s="253"/>
      <c r="W11" s="253"/>
      <c r="X11" s="253"/>
      <c r="Y11" s="253"/>
      <c r="Z11" s="253"/>
      <c r="AA11" s="253"/>
      <c r="AB11" s="253"/>
      <c r="AC11" s="253"/>
    </row>
    <row r="12" spans="1:31" x14ac:dyDescent="0.2">
      <c r="B12" s="16" t="s">
        <v>122</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122</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Cloud</v>
      </c>
      <c r="C13" s="47"/>
      <c r="D13" s="95">
        <f t="shared" ref="D13:G13" si="10">D6/C6-1</f>
        <v>0.4008387209505504</v>
      </c>
      <c r="E13" s="95">
        <f t="shared" si="10"/>
        <v>-0.40713483846825493</v>
      </c>
      <c r="F13" s="95">
        <f t="shared" si="10"/>
        <v>6.2907637281716777E-2</v>
      </c>
      <c r="G13" s="96">
        <f t="shared" si="10"/>
        <v>0.65102929532858278</v>
      </c>
      <c r="H13" s="95">
        <f t="shared" ref="H13" si="11">H6/G6-1</f>
        <v>0.32499999999999996</v>
      </c>
      <c r="I13" s="95">
        <f t="shared" ref="I13" si="12">I6/H6-1</f>
        <v>0.36500000000000021</v>
      </c>
      <c r="J13" s="95">
        <f t="shared" ref="J13" si="13">J6/I6-1</f>
        <v>4.4999999999999929E-2</v>
      </c>
      <c r="K13" s="95">
        <f t="shared" ref="K13" si="14">K6/J6-1</f>
        <v>-5.0000000000000155E-2</v>
      </c>
      <c r="L13" s="95">
        <f t="shared" ref="L13" si="15">L6/K6-1</f>
        <v>-0.14500000000000002</v>
      </c>
      <c r="O13" s="5"/>
      <c r="Q13" s="91"/>
      <c r="R13" s="1" t="str">
        <f>R6</f>
        <v>Cloud</v>
      </c>
      <c r="S13" s="47"/>
      <c r="T13" s="95">
        <f t="shared" ref="T13:AA16" si="16">T6/S6-1</f>
        <v>0.11507009345794383</v>
      </c>
      <c r="U13" s="95">
        <f t="shared" si="16"/>
        <v>9.7957045573598744E-2</v>
      </c>
      <c r="V13" s="95">
        <f t="shared" si="16"/>
        <v>-4.2461832061068683E-2</v>
      </c>
      <c r="W13" s="95">
        <f t="shared" si="16"/>
        <v>0.16043846537120077</v>
      </c>
      <c r="X13" s="95">
        <f t="shared" si="16"/>
        <v>7.7715757835981059E-2</v>
      </c>
      <c r="Y13" s="95">
        <f t="shared" si="16"/>
        <v>6.4940239043824732E-2</v>
      </c>
      <c r="Z13" s="96">
        <f t="shared" si="16"/>
        <v>0.11185933408155635</v>
      </c>
      <c r="AA13" s="95">
        <f t="shared" si="16"/>
        <v>8.1499999999999906E-2</v>
      </c>
      <c r="AB13" s="95"/>
      <c r="AC13" s="95"/>
    </row>
    <row r="14" spans="1:31" x14ac:dyDescent="0.2">
      <c r="B14" s="1" t="str">
        <f>B7</f>
        <v>Client</v>
      </c>
      <c r="C14" s="47"/>
      <c r="D14" s="95">
        <f t="shared" ref="D14:G14" si="17">D7/C7-1</f>
        <v>-2.8155473149292676E-2</v>
      </c>
      <c r="E14" s="95">
        <f t="shared" si="17"/>
        <v>-0.90234595816845675</v>
      </c>
      <c r="F14" s="95">
        <f t="shared" si="17"/>
        <v>-0.16497829232995653</v>
      </c>
      <c r="G14" s="96">
        <f t="shared" si="17"/>
        <v>-3.6395147313691534E-2</v>
      </c>
      <c r="H14" s="97">
        <v>0.23</v>
      </c>
      <c r="I14" s="97">
        <v>0.2</v>
      </c>
      <c r="J14" s="97">
        <v>0.1</v>
      </c>
      <c r="K14" s="97">
        <v>0.05</v>
      </c>
      <c r="L14" s="97">
        <v>-0.1</v>
      </c>
      <c r="O14" s="5"/>
      <c r="Q14" s="91"/>
      <c r="R14" s="1" t="str">
        <f>R7</f>
        <v>Client</v>
      </c>
      <c r="S14" s="47"/>
      <c r="T14" s="95">
        <f t="shared" si="16"/>
        <v>1.4598540145985384E-2</v>
      </c>
      <c r="U14" s="95">
        <f t="shared" si="16"/>
        <v>7.194244604316502E-3</v>
      </c>
      <c r="V14" s="95">
        <f t="shared" si="16"/>
        <v>-2.1428571428571463E-2</v>
      </c>
      <c r="W14" s="95">
        <f t="shared" si="16"/>
        <v>2.1897810218978186E-2</v>
      </c>
      <c r="X14" s="95">
        <f t="shared" si="16"/>
        <v>4.2857142857142927E-2</v>
      </c>
      <c r="Y14" s="95">
        <f t="shared" si="16"/>
        <v>0.20547945205479445</v>
      </c>
      <c r="Z14" s="96">
        <f t="shared" si="16"/>
        <v>1.7045454545454586E-2</v>
      </c>
      <c r="AA14" s="97">
        <v>0.05</v>
      </c>
      <c r="AB14" s="95"/>
      <c r="AC14" s="95"/>
    </row>
    <row r="15" spans="1:31" x14ac:dyDescent="0.2">
      <c r="B15" s="1" t="str">
        <f>B8</f>
        <v>Consumer</v>
      </c>
      <c r="C15" s="47"/>
      <c r="D15" s="95">
        <f t="shared" ref="D15:G15" si="18">D8/C8-1</f>
        <v>-5.5640632976008186E-2</v>
      </c>
      <c r="E15" s="95">
        <f t="shared" si="18"/>
        <v>-0.78081081081081083</v>
      </c>
      <c r="F15" s="95">
        <f t="shared" si="18"/>
        <v>-0.15166461159062883</v>
      </c>
      <c r="G15" s="96">
        <f t="shared" si="18"/>
        <v>-9.4476744186046457E-2</v>
      </c>
      <c r="H15" s="97">
        <v>0.13</v>
      </c>
      <c r="I15" s="97">
        <v>0.12</v>
      </c>
      <c r="J15" s="97">
        <v>0.15</v>
      </c>
      <c r="K15" s="97">
        <v>-0.1</v>
      </c>
      <c r="L15" s="97">
        <v>-0.05</v>
      </c>
      <c r="O15" s="5"/>
      <c r="Q15" s="91"/>
      <c r="R15" s="1" t="str">
        <f>R8</f>
        <v>Consumer</v>
      </c>
      <c r="S15" s="47"/>
      <c r="T15" s="95">
        <f t="shared" si="16"/>
        <v>5.8064516129032295E-2</v>
      </c>
      <c r="U15" s="95">
        <f t="shared" si="16"/>
        <v>5.4878048780487854E-2</v>
      </c>
      <c r="V15" s="95">
        <f t="shared" si="16"/>
        <v>-0.13294797687861271</v>
      </c>
      <c r="W15" s="95">
        <f t="shared" si="16"/>
        <v>-9.3333333333333379E-2</v>
      </c>
      <c r="X15" s="95">
        <f t="shared" si="16"/>
        <v>0.19117647058823528</v>
      </c>
      <c r="Y15" s="95">
        <f t="shared" si="16"/>
        <v>3.7037037037036979E-2</v>
      </c>
      <c r="Z15" s="96">
        <f t="shared" si="16"/>
        <v>0.10714285714285721</v>
      </c>
      <c r="AA15" s="97">
        <v>0.03</v>
      </c>
      <c r="AB15" s="95"/>
      <c r="AC15" s="95"/>
    </row>
    <row r="16" spans="1:31" x14ac:dyDescent="0.2">
      <c r="B16" s="16" t="str">
        <f>B9</f>
        <v>Total</v>
      </c>
      <c r="C16" s="47"/>
      <c r="D16" s="103">
        <f t="shared" ref="D16:L16" si="19">D9/C9-1</f>
        <v>0.1105661269353504</v>
      </c>
      <c r="E16" s="103">
        <f t="shared" si="19"/>
        <v>-0.66716330548608527</v>
      </c>
      <c r="F16" s="103">
        <f t="shared" si="19"/>
        <v>9.912070343724988E-3</v>
      </c>
      <c r="G16" s="104">
        <f t="shared" si="19"/>
        <v>0.50704448314073125</v>
      </c>
      <c r="H16" s="103">
        <f t="shared" si="19"/>
        <v>0.30669065126050388</v>
      </c>
      <c r="I16" s="103">
        <f t="shared" si="19"/>
        <v>0.34206392721043399</v>
      </c>
      <c r="J16" s="103">
        <f t="shared" si="19"/>
        <v>5.2662553540393287E-2</v>
      </c>
      <c r="K16" s="103">
        <f t="shared" si="19"/>
        <v>-4.7443094908074523E-2</v>
      </c>
      <c r="L16" s="103">
        <f t="shared" si="19"/>
        <v>-0.13782092644732347</v>
      </c>
      <c r="O16" s="5"/>
      <c r="Q16" s="91"/>
      <c r="R16" s="16" t="str">
        <f>R9</f>
        <v>Total</v>
      </c>
      <c r="S16" s="47"/>
      <c r="T16" s="103">
        <f t="shared" si="16"/>
        <v>0.10379241516966076</v>
      </c>
      <c r="U16" s="103">
        <f t="shared" si="16"/>
        <v>8.9059674502712571E-2</v>
      </c>
      <c r="V16" s="103">
        <f t="shared" si="16"/>
        <v>-4.7737650477376548E-2</v>
      </c>
      <c r="W16" s="103">
        <f t="shared" si="16"/>
        <v>0.13557105492589372</v>
      </c>
      <c r="X16" s="103">
        <f t="shared" si="16"/>
        <v>8.1765834932821413E-2</v>
      </c>
      <c r="Y16" s="103">
        <f t="shared" si="16"/>
        <v>7.0617459190915444E-2</v>
      </c>
      <c r="Z16" s="104">
        <f t="shared" si="16"/>
        <v>0.10606562810739151</v>
      </c>
      <c r="AA16" s="103">
        <f t="shared" si="16"/>
        <v>7.6939766257116959E-2</v>
      </c>
      <c r="AB16" s="103"/>
      <c r="AC16" s="103"/>
    </row>
    <row r="17" spans="1:31" x14ac:dyDescent="0.2">
      <c r="O17" s="5"/>
      <c r="Q17" s="91"/>
    </row>
    <row r="18" spans="1:31" x14ac:dyDescent="0.2">
      <c r="O18" s="5"/>
      <c r="Q18" s="91"/>
    </row>
    <row r="19" spans="1:31" ht="16" customHeight="1" x14ac:dyDescent="0.2">
      <c r="A19" s="86"/>
      <c r="B19" s="60"/>
      <c r="C19" s="251" t="s">
        <v>424</v>
      </c>
      <c r="D19" s="251"/>
      <c r="E19" s="251"/>
      <c r="F19" s="251"/>
      <c r="G19" s="251"/>
      <c r="H19" s="251"/>
      <c r="I19" s="251"/>
      <c r="J19" s="251"/>
      <c r="K19" s="251"/>
      <c r="L19" s="251"/>
      <c r="O19" s="5"/>
      <c r="S19" s="252" t="s">
        <v>115</v>
      </c>
      <c r="T19" s="253"/>
      <c r="U19" s="253"/>
      <c r="V19" s="253"/>
      <c r="W19" s="253"/>
      <c r="X19" s="253"/>
      <c r="Y19" s="253"/>
      <c r="Z19" s="253"/>
      <c r="AA19" s="253"/>
      <c r="AB19" s="253"/>
      <c r="AC19" s="253"/>
      <c r="AE19" s="87"/>
    </row>
    <row r="20" spans="1:31" x14ac:dyDescent="0.2">
      <c r="B20" s="16"/>
      <c r="C20" s="12">
        <f>C5</f>
        <v>2021</v>
      </c>
      <c r="D20" s="12">
        <f t="shared" ref="D20:L20" si="20">D5</f>
        <v>2022</v>
      </c>
      <c r="E20" s="12">
        <f t="shared" si="20"/>
        <v>2023</v>
      </c>
      <c r="F20" s="12">
        <f t="shared" si="20"/>
        <v>2024</v>
      </c>
      <c r="G20" s="12">
        <f t="shared" si="20"/>
        <v>2025</v>
      </c>
      <c r="H20" s="12">
        <f t="shared" si="20"/>
        <v>2026</v>
      </c>
      <c r="I20" s="12">
        <f t="shared" si="20"/>
        <v>2027</v>
      </c>
      <c r="J20" s="12">
        <f t="shared" si="20"/>
        <v>2028</v>
      </c>
      <c r="K20" s="12">
        <f t="shared" si="20"/>
        <v>2029</v>
      </c>
      <c r="L20" s="12">
        <f t="shared" si="20"/>
        <v>2030</v>
      </c>
      <c r="O20" s="5"/>
      <c r="R20" s="16"/>
      <c r="S20" s="12" t="str">
        <f>S5</f>
        <v>Q4 2024</v>
      </c>
      <c r="T20" s="12" t="str">
        <f t="shared" ref="T20:AC20" si="21">T5</f>
        <v>Q1 2025</v>
      </c>
      <c r="U20" s="12" t="str">
        <f t="shared" si="21"/>
        <v>Q2 2025</v>
      </c>
      <c r="V20" s="12" t="str">
        <f t="shared" si="21"/>
        <v>Q3 2025</v>
      </c>
      <c r="W20" s="12" t="str">
        <f t="shared" si="21"/>
        <v>Q4 2025</v>
      </c>
      <c r="X20" s="12" t="str">
        <f t="shared" si="21"/>
        <v>Q1 2026</v>
      </c>
      <c r="Y20" s="12" t="str">
        <f t="shared" si="21"/>
        <v>Q2 2026</v>
      </c>
      <c r="Z20" s="12" t="str">
        <f t="shared" si="21"/>
        <v>Q3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0</v>
      </c>
      <c r="G21" s="89">
        <f>Statement!Q208</f>
        <v>610</v>
      </c>
      <c r="H21" s="240">
        <f>G21*(1+H23)</f>
        <v>762.5</v>
      </c>
      <c r="I21" s="240">
        <f t="shared" ref="I21:L21" si="22">H21*(1+I23)</f>
        <v>991.25</v>
      </c>
      <c r="J21" s="240">
        <f t="shared" si="22"/>
        <v>1090.375</v>
      </c>
      <c r="K21" s="240">
        <f t="shared" si="22"/>
        <v>1090.375</v>
      </c>
      <c r="L21" s="240">
        <f t="shared" si="22"/>
        <v>981.33749999999998</v>
      </c>
      <c r="N21" s="90" t="s">
        <v>425</v>
      </c>
      <c r="O21" s="5"/>
      <c r="Q21" s="90" t="s">
        <v>425</v>
      </c>
      <c r="R21" s="1" t="str">
        <f>B21</f>
        <v>Nearline exabytes</v>
      </c>
      <c r="S21" s="88">
        <f>Statement!T208</f>
        <v>125</v>
      </c>
      <c r="T21" s="88">
        <f>Statement!U208</f>
        <v>141</v>
      </c>
      <c r="U21" s="88">
        <f>Statement!V208</f>
        <v>154</v>
      </c>
      <c r="V21" s="88">
        <f>Statement!W208</f>
        <v>145</v>
      </c>
      <c r="W21" s="88">
        <f>Statement!X208</f>
        <v>170</v>
      </c>
      <c r="X21" s="88">
        <f>Statement!Y208</f>
        <v>183</v>
      </c>
      <c r="Y21" s="88">
        <f>Statement!Z208</f>
        <v>192</v>
      </c>
      <c r="Z21" s="89">
        <f>Statement!AA208</f>
        <v>199</v>
      </c>
      <c r="AA21" s="64">
        <f>Z21*(1+AA23)</f>
        <v>208.95000000000002</v>
      </c>
      <c r="AB21" s="64"/>
      <c r="AC21" s="64"/>
      <c r="AE21" s="64">
        <f>SUM(X21:AA21)</f>
        <v>782.95</v>
      </c>
    </row>
    <row r="22" spans="1:31" x14ac:dyDescent="0.2">
      <c r="B22" s="1" t="str">
        <f>Statement!B211</f>
        <v>Price per Exabyte</v>
      </c>
      <c r="C22" s="237">
        <f>Statement!M211</f>
        <v>0</v>
      </c>
      <c r="D22" s="237">
        <f>Statement!N211</f>
        <v>0</v>
      </c>
      <c r="E22" s="237">
        <f>Statement!O211</f>
        <v>0</v>
      </c>
      <c r="F22" s="237">
        <f>Statement!P211</f>
        <v>0</v>
      </c>
      <c r="G22" s="238">
        <f>Statement!Q211</f>
        <v>13.673770491803278</v>
      </c>
      <c r="H22" s="241">
        <f>G22*(1+H24)</f>
        <v>14.494196721311475</v>
      </c>
      <c r="I22" s="241">
        <f t="shared" ref="I22:L22" si="23">H22*(1+I24)</f>
        <v>15.21890655737705</v>
      </c>
      <c r="J22" s="241">
        <f t="shared" si="23"/>
        <v>14.457961229508197</v>
      </c>
      <c r="K22" s="241">
        <f t="shared" si="23"/>
        <v>13.735063168032786</v>
      </c>
      <c r="L22" s="241">
        <f t="shared" si="23"/>
        <v>13.048310009631146</v>
      </c>
      <c r="N22" s="90" t="s">
        <v>426</v>
      </c>
      <c r="O22" s="5"/>
      <c r="Q22" s="90" t="s">
        <v>426</v>
      </c>
      <c r="R22" s="1" t="str">
        <f t="shared" ref="R22" si="24">B22</f>
        <v>Price per Exabyte</v>
      </c>
      <c r="S22" s="237">
        <f>Statement!T211</f>
        <v>13.696</v>
      </c>
      <c r="T22" s="237">
        <f>Statement!U211</f>
        <v>13.539007092198581</v>
      </c>
      <c r="U22" s="237">
        <f>Statement!V211</f>
        <v>13.61038961038961</v>
      </c>
      <c r="V22" s="237">
        <f>Statement!W211</f>
        <v>13.841379310344827</v>
      </c>
      <c r="W22" s="237">
        <f>Statement!X211</f>
        <v>13.7</v>
      </c>
      <c r="X22" s="237">
        <f>Statement!Y211</f>
        <v>13.71584699453552</v>
      </c>
      <c r="Y22" s="237">
        <f>Statement!Z211</f>
        <v>13.921875</v>
      </c>
      <c r="Z22" s="238">
        <f>Statement!AA211</f>
        <v>14.93467336683417</v>
      </c>
      <c r="AA22" s="239">
        <f>Z22*(1+AA24)</f>
        <v>15.382713567839195</v>
      </c>
      <c r="AB22" s="64"/>
      <c r="AC22" s="64"/>
      <c r="AE22" s="239">
        <f>AE6/AE21</f>
        <v>14.521001341081806</v>
      </c>
    </row>
    <row r="23" spans="1:31" x14ac:dyDescent="0.2">
      <c r="B23" s="122" t="str">
        <f>B21&amp;" growth"</f>
        <v>Nearline exabytes growth</v>
      </c>
      <c r="C23" s="47"/>
      <c r="D23" s="95" t="e">
        <f>D21/C21-1</f>
        <v>#DIV/0!</v>
      </c>
      <c r="E23" s="95" t="e">
        <f t="shared" ref="E23:F23" si="25">E21/D21-1</f>
        <v>#DIV/0!</v>
      </c>
      <c r="F23" s="95" t="e">
        <f t="shared" si="25"/>
        <v>#DIV/0!</v>
      </c>
      <c r="G23" s="96" t="e">
        <f>G21/F21-1</f>
        <v>#DIV/0!</v>
      </c>
      <c r="H23" s="97">
        <v>0.25</v>
      </c>
      <c r="I23" s="97">
        <v>0.3</v>
      </c>
      <c r="J23" s="97">
        <v>0.1</v>
      </c>
      <c r="K23" s="97">
        <v>0</v>
      </c>
      <c r="L23" s="97">
        <v>-0.1</v>
      </c>
      <c r="O23" s="5"/>
      <c r="R23" s="122" t="str">
        <f>R21&amp;" growth"</f>
        <v>Nearline exabytes growth</v>
      </c>
      <c r="S23" s="47"/>
      <c r="T23" s="95">
        <f>T21/S21-1</f>
        <v>0.12799999999999989</v>
      </c>
      <c r="U23" s="95">
        <f t="shared" ref="U23:Y23" si="26">U21/T21-1</f>
        <v>9.219858156028371E-2</v>
      </c>
      <c r="V23" s="95">
        <f t="shared" si="26"/>
        <v>-5.8441558441558406E-2</v>
      </c>
      <c r="W23" s="95">
        <f t="shared" si="26"/>
        <v>0.17241379310344818</v>
      </c>
      <c r="X23" s="95">
        <f t="shared" si="26"/>
        <v>7.6470588235294068E-2</v>
      </c>
      <c r="Y23" s="95">
        <f t="shared" si="26"/>
        <v>4.9180327868852514E-2</v>
      </c>
      <c r="Z23" s="96">
        <f t="shared" ref="Z23" si="27">Z21/Y21-1</f>
        <v>3.6458333333333259E-2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t="e">
        <f>G22/F22-1</f>
        <v>#DIV/0!</v>
      </c>
      <c r="H24" s="97">
        <v>0.06</v>
      </c>
      <c r="I24" s="97">
        <v>0.05</v>
      </c>
      <c r="J24" s="97">
        <v>-0.05</v>
      </c>
      <c r="K24" s="97">
        <v>-0.05</v>
      </c>
      <c r="L24" s="97">
        <v>-0.05</v>
      </c>
      <c r="O24" s="5"/>
      <c r="R24" s="122" t="str">
        <f>R22&amp;" growth"</f>
        <v>Price per Exabyte growth</v>
      </c>
      <c r="S24" s="47"/>
      <c r="T24" s="95">
        <f t="shared" ref="T24:Y24" si="29">T22/S22-1</f>
        <v>-1.1462683104659699E-2</v>
      </c>
      <c r="U24" s="95">
        <f t="shared" si="29"/>
        <v>5.27235990829511E-3</v>
      </c>
      <c r="V24" s="95">
        <f t="shared" si="29"/>
        <v>1.6971571466175339E-2</v>
      </c>
      <c r="W24" s="95">
        <f t="shared" si="29"/>
        <v>-1.0214250124564006E-2</v>
      </c>
      <c r="X24" s="95">
        <f t="shared" si="29"/>
        <v>1.1567149296001222E-3</v>
      </c>
      <c r="Y24" s="95">
        <f t="shared" si="29"/>
        <v>1.5021165338645392E-2</v>
      </c>
      <c r="Z24" s="96">
        <f t="shared" ref="Z24" si="30">Z22/Y22-1</f>
        <v>7.2748704239491424E-2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2" t="s">
        <v>112</v>
      </c>
      <c r="D2" s="242"/>
      <c r="E2" s="242"/>
      <c r="F2" s="242"/>
      <c r="G2" s="254"/>
      <c r="H2" s="255" t="s">
        <v>113</v>
      </c>
      <c r="I2" s="242"/>
      <c r="J2" s="242"/>
      <c r="K2" s="242"/>
      <c r="L2" s="242"/>
      <c r="P2" s="242" t="s">
        <v>112</v>
      </c>
      <c r="Q2" s="242"/>
      <c r="R2" s="242"/>
      <c r="S2" s="242"/>
      <c r="T2" s="242"/>
      <c r="U2" s="242"/>
      <c r="V2" s="242"/>
      <c r="W2" s="242"/>
      <c r="X2" s="242" t="s">
        <v>113</v>
      </c>
      <c r="Y2" s="242"/>
      <c r="Z2" s="242"/>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c r="O6" s="16" t="s">
        <v>19</v>
      </c>
      <c r="P6" s="92">
        <f>Revenue!S9</f>
        <v>2004</v>
      </c>
      <c r="Q6" s="92">
        <f>Revenue!T9</f>
        <v>2212</v>
      </c>
      <c r="R6" s="92">
        <f>Revenue!U9</f>
        <v>2409</v>
      </c>
      <c r="S6" s="92">
        <f>Revenue!V9</f>
        <v>2294</v>
      </c>
      <c r="T6" s="92">
        <f>Revenue!W9</f>
        <v>2605</v>
      </c>
      <c r="U6" s="92">
        <f>Revenue!X9</f>
        <v>2818</v>
      </c>
      <c r="V6" s="92">
        <f>Revenue!Y9</f>
        <v>3017</v>
      </c>
      <c r="W6" s="93">
        <f>Revenue!Z9</f>
        <v>3337</v>
      </c>
      <c r="X6" s="92">
        <f>Revenue!AA9</f>
        <v>3593.7479999999996</v>
      </c>
      <c r="Y6" s="94"/>
      <c r="Z6" s="94"/>
      <c r="AB6" s="92">
        <f>Revenue!AE9</f>
        <v>12765.748</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12401</v>
      </c>
      <c r="D11" s="106">
        <f>Statement!N6</f>
        <v>12919</v>
      </c>
      <c r="E11" s="106">
        <f>Statement!O6</f>
        <v>4864</v>
      </c>
      <c r="F11" s="106">
        <f>Statement!P6</f>
        <v>4544</v>
      </c>
      <c r="G11" s="107">
        <f>Statement!Q6</f>
        <v>5828</v>
      </c>
      <c r="H11" s="108">
        <f>H6*H19</f>
        <v>6219.8474999999989</v>
      </c>
      <c r="I11" s="108">
        <f t="shared" ref="I11:L11" si="3">I6*I19</f>
        <v>8013.5356439999987</v>
      </c>
      <c r="J11" s="108">
        <f t="shared" si="3"/>
        <v>8259.8082919437493</v>
      </c>
      <c r="K11" s="108">
        <f t="shared" si="3"/>
        <v>8202.7432710234352</v>
      </c>
      <c r="L11" s="108">
        <f t="shared" si="3"/>
        <v>7938.2213810220228</v>
      </c>
      <c r="N11" s="91"/>
      <c r="O11" s="16" t="str">
        <f t="shared" ref="O11:O14" si="4">B11</f>
        <v>COGS</v>
      </c>
      <c r="P11" s="106">
        <f>Statement!T6</f>
        <v>1307</v>
      </c>
      <c r="Q11" s="106">
        <f>Statement!U6</f>
        <v>1406</v>
      </c>
      <c r="R11" s="106">
        <f>Statement!V6</f>
        <v>1502</v>
      </c>
      <c r="S11" s="106">
        <f>Statement!W6</f>
        <v>1382</v>
      </c>
      <c r="T11" s="106">
        <f>Statement!X6</f>
        <v>1538</v>
      </c>
      <c r="U11" s="106">
        <f>Statement!Y6</f>
        <v>1591</v>
      </c>
      <c r="V11" s="106">
        <f>Statement!Z6</f>
        <v>1637</v>
      </c>
      <c r="W11" s="107">
        <f>Statement!AA6</f>
        <v>1661</v>
      </c>
      <c r="X11" s="108">
        <f>X6*X19</f>
        <v>1329.6867599999998</v>
      </c>
      <c r="Y11" s="108"/>
      <c r="Z11" s="108"/>
      <c r="AB11" s="108">
        <f>SUM(U11:X11)</f>
        <v>6218.6867599999996</v>
      </c>
    </row>
    <row r="12" spans="1:30" x14ac:dyDescent="0.2">
      <c r="B12" s="1" t="str">
        <f>Statement!B8</f>
        <v>R&amp;D</v>
      </c>
      <c r="C12" s="98">
        <f>Statement!M8</f>
        <v>2243</v>
      </c>
      <c r="D12" s="98">
        <f>Statement!N8</f>
        <v>2323</v>
      </c>
      <c r="E12" s="98">
        <f>Statement!O8</f>
        <v>986</v>
      </c>
      <c r="F12" s="98">
        <f>Statement!P8</f>
        <v>950</v>
      </c>
      <c r="G12" s="99">
        <f>Statement!Q8</f>
        <v>994</v>
      </c>
      <c r="H12" s="24">
        <f>H6*H20</f>
        <v>1119.5725499999999</v>
      </c>
      <c r="I12" s="24">
        <f>I6*I20</f>
        <v>1335.5892739999999</v>
      </c>
      <c r="J12" s="24">
        <f>J6*J20</f>
        <v>1581.6654176062498</v>
      </c>
      <c r="K12" s="24">
        <f>K6*K20</f>
        <v>1506.6263150859372</v>
      </c>
      <c r="L12" s="24">
        <f>L6*L20</f>
        <v>1443.3129783676404</v>
      </c>
      <c r="N12" s="91"/>
      <c r="O12" s="39" t="str">
        <f t="shared" si="4"/>
        <v>R&amp;D</v>
      </c>
      <c r="P12" s="98">
        <f>Statement!T8</f>
        <v>267</v>
      </c>
      <c r="Q12" s="98">
        <f>Statement!U8</f>
        <v>262</v>
      </c>
      <c r="R12" s="98">
        <f>Statement!V8</f>
        <v>225</v>
      </c>
      <c r="S12" s="98">
        <f>Statement!W8</f>
        <v>245</v>
      </c>
      <c r="T12" s="98">
        <f>Statement!X8</f>
        <v>262</v>
      </c>
      <c r="U12" s="98">
        <f>Statement!Y8</f>
        <v>294</v>
      </c>
      <c r="V12" s="98">
        <f>Statement!Z8</f>
        <v>289</v>
      </c>
      <c r="W12" s="99">
        <f>Statement!AA8</f>
        <v>294</v>
      </c>
      <c r="X12" s="25">
        <f>X20*X$6</f>
        <v>287.49983999999995</v>
      </c>
      <c r="Y12" s="24"/>
      <c r="Z12" s="24"/>
      <c r="AB12" s="24">
        <f t="shared" ref="AB12:AB14" si="5">SUM(U12:X12)</f>
        <v>1164.4998399999999</v>
      </c>
    </row>
    <row r="13" spans="1:30" x14ac:dyDescent="0.2">
      <c r="B13" s="1" t="str">
        <f>Statement!B9</f>
        <v>SG&amp;A</v>
      </c>
      <c r="C13" s="98">
        <f>Statement!M9</f>
        <v>1105</v>
      </c>
      <c r="D13" s="98">
        <f>Statement!N9</f>
        <v>1117</v>
      </c>
      <c r="E13" s="98">
        <f>Statement!O9</f>
        <v>807</v>
      </c>
      <c r="F13" s="98">
        <f>Statement!P9</f>
        <v>726</v>
      </c>
      <c r="G13" s="99">
        <f>Statement!Q9</f>
        <v>568</v>
      </c>
      <c r="H13" s="24">
        <f>H6*H21</f>
        <v>559.78627499999993</v>
      </c>
      <c r="I13" s="24">
        <f>I6*I21</f>
        <v>834.74329624999996</v>
      </c>
      <c r="J13" s="24">
        <f>J6*J21</f>
        <v>1054.4436117374999</v>
      </c>
      <c r="K13" s="24">
        <f>K6*K21</f>
        <v>1339.2233911874998</v>
      </c>
      <c r="L13" s="24">
        <f>L6*L21</f>
        <v>1587.6442762044044</v>
      </c>
      <c r="M13" s="90"/>
      <c r="N13" s="90"/>
      <c r="O13" s="39" t="str">
        <f t="shared" si="4"/>
        <v>SG&amp;A</v>
      </c>
      <c r="P13" s="98">
        <f>Statement!T9</f>
        <v>184</v>
      </c>
      <c r="Q13" s="98">
        <f>Statement!U9</f>
        <v>204</v>
      </c>
      <c r="R13" s="98">
        <f>Statement!V9</f>
        <v>132</v>
      </c>
      <c r="S13" s="98">
        <f>Statement!W9</f>
        <v>108</v>
      </c>
      <c r="T13" s="98">
        <f>Statement!X9</f>
        <v>124</v>
      </c>
      <c r="U13" s="98">
        <f>Statement!Y9</f>
        <v>138</v>
      </c>
      <c r="V13" s="98">
        <f>Statement!Z9</f>
        <v>128</v>
      </c>
      <c r="W13" s="99">
        <f>Statement!AA9</f>
        <v>147</v>
      </c>
      <c r="X13" s="25">
        <f>X21*X$6</f>
        <v>143.74991999999997</v>
      </c>
      <c r="Y13" s="24"/>
      <c r="Z13" s="24"/>
      <c r="AB13" s="24">
        <f t="shared" si="5"/>
        <v>556.74991999999997</v>
      </c>
    </row>
    <row r="14" spans="1:30" x14ac:dyDescent="0.2">
      <c r="B14" s="16" t="s">
        <v>24</v>
      </c>
      <c r="C14" s="106">
        <f>Statement!M10</f>
        <v>3301</v>
      </c>
      <c r="D14" s="106">
        <f>Statement!N10</f>
        <v>3483</v>
      </c>
      <c r="E14" s="106">
        <f>Statement!O10</f>
        <v>1939</v>
      </c>
      <c r="F14" s="106">
        <f>Statement!P10</f>
        <v>2176</v>
      </c>
      <c r="G14" s="107">
        <f>Statement!Q10</f>
        <v>1358</v>
      </c>
      <c r="H14" s="108">
        <f>SUM(H12:H13)</f>
        <v>1679.3588249999998</v>
      </c>
      <c r="I14" s="108">
        <f>SUM(I12:I13)</f>
        <v>2170.3325702499997</v>
      </c>
      <c r="J14" s="108">
        <f>SUM(J12:J13)</f>
        <v>2636.1090293437496</v>
      </c>
      <c r="K14" s="108">
        <f>SUM(K12:K13)</f>
        <v>2845.8497062734368</v>
      </c>
      <c r="L14" s="108">
        <f>SUM(L12:L13)</f>
        <v>3030.9572545720448</v>
      </c>
      <c r="M14" s="90"/>
      <c r="N14" s="90"/>
      <c r="O14" s="16" t="str">
        <f t="shared" si="4"/>
        <v>OpEx</v>
      </c>
      <c r="P14" s="106">
        <f>Statement!T10</f>
        <v>788</v>
      </c>
      <c r="Q14" s="106">
        <f>Statement!U10</f>
        <v>472</v>
      </c>
      <c r="R14" s="106">
        <f>Statement!V10</f>
        <v>347</v>
      </c>
      <c r="S14" s="106">
        <f>Statement!W10</f>
        <v>152</v>
      </c>
      <c r="T14" s="106">
        <f>Statement!X10</f>
        <v>387</v>
      </c>
      <c r="U14" s="106">
        <f>Statement!Y10</f>
        <v>435</v>
      </c>
      <c r="V14" s="106">
        <f>Statement!Z10</f>
        <v>472</v>
      </c>
      <c r="W14" s="107">
        <f>Statement!AA10</f>
        <v>486</v>
      </c>
      <c r="X14" s="108">
        <f>SUM(X12:X13)</f>
        <v>431.24975999999992</v>
      </c>
      <c r="Y14" s="108"/>
      <c r="Z14" s="108"/>
      <c r="AB14" s="108">
        <f t="shared" si="5"/>
        <v>1824.2497599999999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0.73283299846353855</v>
      </c>
      <c r="D19" s="103">
        <f t="shared" si="8"/>
        <v>0.68743681157877934</v>
      </c>
      <c r="E19" s="103">
        <f t="shared" si="8"/>
        <v>0.77761790567545963</v>
      </c>
      <c r="F19" s="103">
        <f t="shared" si="8"/>
        <v>0.71932879531423144</v>
      </c>
      <c r="G19" s="104">
        <f t="shared" si="8"/>
        <v>0.61218487394957988</v>
      </c>
      <c r="H19" s="97">
        <v>0.5</v>
      </c>
      <c r="I19" s="97">
        <v>0.48</v>
      </c>
      <c r="J19" s="97">
        <v>0.47</v>
      </c>
      <c r="K19" s="97">
        <v>0.49</v>
      </c>
      <c r="L19" s="97">
        <v>0.55000000000000004</v>
      </c>
      <c r="O19" s="16" t="str">
        <f>O11</f>
        <v>COGS</v>
      </c>
      <c r="P19" s="103">
        <f t="shared" ref="P19:W21" si="9">P11/P$6</f>
        <v>0.6521956087824351</v>
      </c>
      <c r="Q19" s="103">
        <f t="shared" si="9"/>
        <v>0.63562386980108498</v>
      </c>
      <c r="R19" s="103">
        <f t="shared" si="9"/>
        <v>0.62349522623495224</v>
      </c>
      <c r="S19" s="103">
        <f t="shared" si="9"/>
        <v>0.60244115082824756</v>
      </c>
      <c r="T19" s="103">
        <f t="shared" si="9"/>
        <v>0.59040307101727452</v>
      </c>
      <c r="U19" s="103">
        <f t="shared" si="9"/>
        <v>0.56458481192334986</v>
      </c>
      <c r="V19" s="103">
        <f t="shared" si="9"/>
        <v>0.54259197878687437</v>
      </c>
      <c r="W19" s="104">
        <f t="shared" si="9"/>
        <v>0.49775247228049146</v>
      </c>
      <c r="X19" s="97">
        <v>0.37</v>
      </c>
      <c r="Y19" s="97"/>
      <c r="Z19" s="97"/>
    </row>
    <row r="20" spans="2:26" x14ac:dyDescent="0.2">
      <c r="B20" s="1" t="str">
        <f>B12</f>
        <v>R&amp;D</v>
      </c>
      <c r="C20" s="95">
        <f t="shared" si="8"/>
        <v>0.13254934404916677</v>
      </c>
      <c r="D20" s="95">
        <f t="shared" si="8"/>
        <v>0.12360985473314531</v>
      </c>
      <c r="E20" s="95">
        <f t="shared" si="8"/>
        <v>0.15763389288569143</v>
      </c>
      <c r="F20" s="95">
        <f t="shared" si="8"/>
        <v>0.15038784233022004</v>
      </c>
      <c r="G20" s="96">
        <f t="shared" si="8"/>
        <v>0.10441176470588236</v>
      </c>
      <c r="H20" s="97">
        <v>0.09</v>
      </c>
      <c r="I20" s="97">
        <v>0.08</v>
      </c>
      <c r="J20" s="97">
        <v>0.09</v>
      </c>
      <c r="K20" s="97">
        <v>0.09</v>
      </c>
      <c r="L20" s="97">
        <v>0.1</v>
      </c>
      <c r="O20" s="1" t="str">
        <f>O12</f>
        <v>R&amp;D</v>
      </c>
      <c r="P20" s="95">
        <f t="shared" si="9"/>
        <v>0.13323353293413173</v>
      </c>
      <c r="Q20" s="95">
        <f t="shared" si="9"/>
        <v>0.11844484629294756</v>
      </c>
      <c r="R20" s="95">
        <f t="shared" si="9"/>
        <v>9.3399750933997508E-2</v>
      </c>
      <c r="S20" s="95">
        <f t="shared" si="9"/>
        <v>0.10680034873583261</v>
      </c>
      <c r="T20" s="95">
        <f t="shared" si="9"/>
        <v>0.10057581573896353</v>
      </c>
      <c r="U20" s="95">
        <f t="shared" si="9"/>
        <v>0.10432931156848829</v>
      </c>
      <c r="V20" s="95">
        <f t="shared" si="9"/>
        <v>9.5790520384487904E-2</v>
      </c>
      <c r="W20" s="96">
        <f t="shared" si="9"/>
        <v>8.8103086604734787E-2</v>
      </c>
      <c r="X20" s="97">
        <v>0.08</v>
      </c>
      <c r="Y20" s="97"/>
      <c r="Z20" s="97"/>
    </row>
    <row r="21" spans="2:26" x14ac:dyDescent="0.2">
      <c r="B21" s="1" t="str">
        <f>B13</f>
        <v>SG&amp;A</v>
      </c>
      <c r="C21" s="95">
        <f t="shared" si="8"/>
        <v>6.5299609975180237E-2</v>
      </c>
      <c r="D21" s="95">
        <f t="shared" si="8"/>
        <v>5.9437024423987656E-2</v>
      </c>
      <c r="E21" s="95">
        <f t="shared" si="8"/>
        <v>0.12901678657074339</v>
      </c>
      <c r="F21" s="95">
        <f t="shared" si="8"/>
        <v>0.11492797213867342</v>
      </c>
      <c r="G21" s="96">
        <f t="shared" si="8"/>
        <v>5.9663865546218491E-2</v>
      </c>
      <c r="H21" s="97">
        <v>4.4999999999999998E-2</v>
      </c>
      <c r="I21" s="97">
        <v>0.05</v>
      </c>
      <c r="J21" s="97">
        <v>0.06</v>
      </c>
      <c r="K21" s="97">
        <v>0.08</v>
      </c>
      <c r="L21" s="97">
        <v>0.11</v>
      </c>
      <c r="O21" s="1" t="str">
        <f>O13</f>
        <v>SG&amp;A</v>
      </c>
      <c r="P21" s="95">
        <f t="shared" si="9"/>
        <v>9.1816367265469059E-2</v>
      </c>
      <c r="Q21" s="95">
        <f t="shared" si="9"/>
        <v>9.2224231464737794E-2</v>
      </c>
      <c r="R21" s="95">
        <f t="shared" si="9"/>
        <v>5.4794520547945202E-2</v>
      </c>
      <c r="S21" s="95">
        <f t="shared" si="9"/>
        <v>4.7079337401918046E-2</v>
      </c>
      <c r="T21" s="95">
        <f t="shared" si="9"/>
        <v>4.7600767754318617E-2</v>
      </c>
      <c r="U21" s="95">
        <f t="shared" si="9"/>
        <v>4.8970901348474094E-2</v>
      </c>
      <c r="V21" s="95">
        <f t="shared" si="9"/>
        <v>4.2426251242956577E-2</v>
      </c>
      <c r="W21" s="96">
        <f t="shared" si="9"/>
        <v>4.4051543302367394E-2</v>
      </c>
      <c r="X21" s="97">
        <v>0.04</v>
      </c>
      <c r="Y21" s="97"/>
      <c r="Z21" s="97"/>
    </row>
    <row r="22" spans="2:26" x14ac:dyDescent="0.2">
      <c r="B22" s="16" t="str">
        <f t="shared" ref="B22" si="10">B14</f>
        <v>OpEx</v>
      </c>
      <c r="C22" s="103">
        <f>C14/C$6</f>
        <v>0.19507150455028957</v>
      </c>
      <c r="D22" s="103">
        <f t="shared" ref="D22:L22" si="11">D14/D$6</f>
        <v>0.18533496514659714</v>
      </c>
      <c r="E22" s="103">
        <f t="shared" si="11"/>
        <v>0.30999200639488411</v>
      </c>
      <c r="F22" s="103">
        <f t="shared" si="11"/>
        <v>0.34446731043216716</v>
      </c>
      <c r="G22" s="104">
        <f t="shared" si="11"/>
        <v>0.1426470588235294</v>
      </c>
      <c r="H22" s="103">
        <f t="shared" si="11"/>
        <v>0.13500000000000001</v>
      </c>
      <c r="I22" s="103">
        <f t="shared" si="11"/>
        <v>0.13</v>
      </c>
      <c r="J22" s="103">
        <f t="shared" si="11"/>
        <v>0.15</v>
      </c>
      <c r="K22" s="103">
        <f t="shared" si="11"/>
        <v>0.16999999999999998</v>
      </c>
      <c r="L22" s="103">
        <f t="shared" si="11"/>
        <v>0.21</v>
      </c>
      <c r="O22" s="16" t="str">
        <f t="shared" ref="O22" si="12">O14</f>
        <v>OpEx</v>
      </c>
      <c r="P22" s="103">
        <f t="shared" ref="P22:V22" si="13">P14/P$6</f>
        <v>0.39321357285429143</v>
      </c>
      <c r="Q22" s="103">
        <f t="shared" si="13"/>
        <v>0.21338155515370705</v>
      </c>
      <c r="R22" s="103">
        <f t="shared" si="13"/>
        <v>0.14404317144043172</v>
      </c>
      <c r="S22" s="103">
        <f t="shared" si="13"/>
        <v>6.6259808195292064E-2</v>
      </c>
      <c r="T22" s="103">
        <f t="shared" si="13"/>
        <v>0.14856046065259118</v>
      </c>
      <c r="U22" s="103">
        <f t="shared" si="13"/>
        <v>0.15436479772888573</v>
      </c>
      <c r="V22" s="103">
        <f t="shared" si="13"/>
        <v>0.1564468014584024</v>
      </c>
      <c r="W22" s="104">
        <f t="shared" ref="W22:X22" si="14">W14/W$6</f>
        <v>0.14563979622415343</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9"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Revenue!C9</f>
        <v>16922</v>
      </c>
      <c r="D7" s="92">
        <f>Revenue!D9</f>
        <v>18793</v>
      </c>
      <c r="E7" s="92">
        <f>Revenue!E9</f>
        <v>6255</v>
      </c>
      <c r="F7" s="92">
        <f>Revenue!F9</f>
        <v>6317</v>
      </c>
      <c r="G7" s="93">
        <f>Revenue!G9</f>
        <v>9520</v>
      </c>
      <c r="H7" s="92">
        <f>Revenue!H9</f>
        <v>12439.694999999998</v>
      </c>
      <c r="I7" s="92">
        <f>Revenue!I9</f>
        <v>16694.865924999998</v>
      </c>
      <c r="J7" s="92">
        <f>Revenue!J9</f>
        <v>17574.060195624999</v>
      </c>
      <c r="K7" s="92">
        <f>Revenue!K9</f>
        <v>16740.292389843748</v>
      </c>
      <c r="L7" s="92">
        <f>Revenue!L9</f>
        <v>14433.129783676404</v>
      </c>
      <c r="N7" s="91"/>
      <c r="O7" s="16"/>
      <c r="P7" s="92"/>
      <c r="Q7" s="92"/>
      <c r="R7" s="92"/>
      <c r="S7" s="92"/>
      <c r="T7" s="92"/>
      <c r="U7" s="92"/>
      <c r="V7" s="92"/>
      <c r="W7" s="92"/>
      <c r="X7" s="94"/>
      <c r="Y7" s="94"/>
      <c r="Z7" s="94"/>
      <c r="AB7" s="94"/>
    </row>
    <row r="8" spans="1:28" x14ac:dyDescent="0.2">
      <c r="B8" s="39" t="s">
        <v>20</v>
      </c>
      <c r="C8" s="112">
        <f>'COGS &amp; OpEx'!C11</f>
        <v>12401</v>
      </c>
      <c r="D8" s="112">
        <f>'COGS &amp; OpEx'!D11</f>
        <v>12919</v>
      </c>
      <c r="E8" s="112">
        <f>'COGS &amp; OpEx'!E11</f>
        <v>4864</v>
      </c>
      <c r="F8" s="112">
        <f>'COGS &amp; OpEx'!F11</f>
        <v>4544</v>
      </c>
      <c r="G8" s="113">
        <f>'COGS &amp; OpEx'!G11</f>
        <v>5828</v>
      </c>
      <c r="H8" s="112">
        <f>'COGS &amp; OpEx'!H11</f>
        <v>6219.8474999999989</v>
      </c>
      <c r="I8" s="112">
        <f>'COGS &amp; OpEx'!I11</f>
        <v>8013.5356439999987</v>
      </c>
      <c r="J8" s="112">
        <f>'COGS &amp; OpEx'!J11</f>
        <v>8259.8082919437493</v>
      </c>
      <c r="K8" s="112">
        <f>'COGS &amp; OpEx'!K11</f>
        <v>8202.7432710234352</v>
      </c>
      <c r="L8" s="112">
        <f>'COGS &amp; OpEx'!L11</f>
        <v>7938.2213810220228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2257</v>
      </c>
      <c r="D13" s="114">
        <f>Statement!N29</f>
        <v>2804</v>
      </c>
      <c r="E13" s="114">
        <f>Statement!O29</f>
        <v>1598</v>
      </c>
      <c r="F13" s="114">
        <f>Statement!P29</f>
        <v>2166</v>
      </c>
      <c r="G13" s="115">
        <f>Statement!Q29</f>
        <v>1486</v>
      </c>
      <c r="H13" s="25">
        <f>H20*H7/365</f>
        <v>1976.7186575342462</v>
      </c>
      <c r="I13" s="25">
        <f>I20*I7/365</f>
        <v>2652.8828045205478</v>
      </c>
      <c r="J13" s="25">
        <f>J20*J7/365</f>
        <v>2792.5903872499998</v>
      </c>
      <c r="K13" s="25">
        <f>K20*K7/365</f>
        <v>2660.1012564683215</v>
      </c>
      <c r="L13" s="25">
        <f>L20*L7/365</f>
        <v>2293.4836368581682</v>
      </c>
      <c r="N13" s="91"/>
      <c r="O13" s="16"/>
      <c r="P13" s="116"/>
      <c r="Q13" s="116"/>
      <c r="R13" s="116"/>
      <c r="S13" s="116"/>
      <c r="T13" s="116"/>
      <c r="U13" s="116"/>
      <c r="V13" s="116"/>
      <c r="W13" s="116"/>
      <c r="X13" s="108"/>
      <c r="Y13" s="108"/>
      <c r="Z13" s="108"/>
      <c r="AB13" s="24"/>
    </row>
    <row r="14" spans="1:28" x14ac:dyDescent="0.2">
      <c r="B14" s="39" t="s">
        <v>134</v>
      </c>
      <c r="C14" s="114">
        <f>Statement!M30</f>
        <v>3616</v>
      </c>
      <c r="D14" s="114">
        <f>Statement!N30</f>
        <v>3638</v>
      </c>
      <c r="E14" s="114">
        <f>Statement!O30</f>
        <v>3698</v>
      </c>
      <c r="F14" s="114">
        <f>Statement!P30</f>
        <v>3342</v>
      </c>
      <c r="G14" s="115">
        <f>Statement!Q30</f>
        <v>1291</v>
      </c>
      <c r="H14" s="126">
        <f>H21*H8/365</f>
        <v>1312.1322123287669</v>
      </c>
      <c r="I14" s="126">
        <f t="shared" ref="I14:L14" si="2">I21*I8/365</f>
        <v>1690.5266975013697</v>
      </c>
      <c r="J14" s="126">
        <f t="shared" si="2"/>
        <v>1742.48010542375</v>
      </c>
      <c r="K14" s="126">
        <f t="shared" si="2"/>
        <v>1730.4417311474097</v>
      </c>
      <c r="L14" s="126">
        <f t="shared" si="2"/>
        <v>1674.6384831197145</v>
      </c>
      <c r="N14" s="91"/>
      <c r="O14" s="16"/>
      <c r="P14" s="116"/>
      <c r="Q14" s="116"/>
      <c r="R14" s="116"/>
      <c r="S14" s="116"/>
      <c r="T14" s="116"/>
      <c r="U14" s="116"/>
      <c r="V14" s="116"/>
      <c r="W14" s="116"/>
      <c r="X14" s="108"/>
      <c r="Y14" s="108"/>
      <c r="Z14" s="108"/>
      <c r="AB14" s="24"/>
    </row>
    <row r="15" spans="1:28" x14ac:dyDescent="0.2">
      <c r="B15" s="1" t="s">
        <v>135</v>
      </c>
      <c r="C15" s="114">
        <f>Statement!M37</f>
        <v>1934</v>
      </c>
      <c r="D15" s="114">
        <f>Statement!N37</f>
        <v>1902</v>
      </c>
      <c r="E15" s="114">
        <f>Statement!O37</f>
        <v>1293</v>
      </c>
      <c r="F15" s="114">
        <f>Statement!P37</f>
        <v>1411</v>
      </c>
      <c r="G15" s="115">
        <f>Statement!Q37</f>
        <v>1266</v>
      </c>
      <c r="H15" s="24">
        <f>H22*H8/365</f>
        <v>1533.6610273972601</v>
      </c>
      <c r="I15" s="24">
        <f>I22*I8/365</f>
        <v>1975.9402957808218</v>
      </c>
      <c r="J15" s="24">
        <f>J22*J8/365</f>
        <v>2036.6650582874997</v>
      </c>
      <c r="K15" s="24">
        <f>K22*K8/365</f>
        <v>2022.5942312112579</v>
      </c>
      <c r="L15" s="24">
        <f>L22*L8/365</f>
        <v>1957.3696555944714</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48.682484339912541</v>
      </c>
      <c r="D20" s="118">
        <f>D13/D7*365</f>
        <v>54.459639227371895</v>
      </c>
      <c r="E20" s="118">
        <f>E13/E7*365</f>
        <v>93.248601119104706</v>
      </c>
      <c r="F20" s="118">
        <f>F13/F7*365</f>
        <v>125.15276238720912</v>
      </c>
      <c r="G20" s="119">
        <f>G13/G7*365</f>
        <v>56.97373949579832</v>
      </c>
      <c r="H20" s="102">
        <v>58</v>
      </c>
      <c r="I20" s="102">
        <v>58</v>
      </c>
      <c r="J20" s="102">
        <v>58</v>
      </c>
      <c r="K20" s="102">
        <v>58</v>
      </c>
      <c r="L20" s="102">
        <v>58</v>
      </c>
    </row>
    <row r="21" spans="2:12" x14ac:dyDescent="0.2">
      <c r="B21" s="1" t="s">
        <v>139</v>
      </c>
      <c r="C21" s="118">
        <f>C14/C8*365</f>
        <v>106.43012660269333</v>
      </c>
      <c r="D21" s="118">
        <f t="shared" ref="D21:G21" si="4">D14/D8*365</f>
        <v>102.78427122842326</v>
      </c>
      <c r="E21" s="118">
        <f t="shared" si="4"/>
        <v>277.5020559210526</v>
      </c>
      <c r="F21" s="118">
        <f t="shared" si="4"/>
        <v>268.44850352112672</v>
      </c>
      <c r="G21" s="119">
        <f t="shared" si="4"/>
        <v>80.853637611530544</v>
      </c>
      <c r="H21" s="102">
        <v>77</v>
      </c>
      <c r="I21" s="102">
        <v>77</v>
      </c>
      <c r="J21" s="102">
        <v>77</v>
      </c>
      <c r="K21" s="102">
        <v>77</v>
      </c>
      <c r="L21" s="102">
        <v>77</v>
      </c>
    </row>
    <row r="22" spans="2:12" x14ac:dyDescent="0.2">
      <c r="B22" s="1" t="s">
        <v>140</v>
      </c>
      <c r="C22" s="118">
        <f>C15/C8*365</f>
        <v>56.923635190710428</v>
      </c>
      <c r="D22" s="118">
        <f>D15/D8*365</f>
        <v>53.737131356916173</v>
      </c>
      <c r="E22" s="118">
        <f>E15/E8*365</f>
        <v>97.028166118421055</v>
      </c>
      <c r="F22" s="118">
        <f>F15/F8*365</f>
        <v>113.33956866197184</v>
      </c>
      <c r="G22" s="119">
        <f>G15/G8*365</f>
        <v>79.287920384351409</v>
      </c>
      <c r="H22" s="102">
        <v>90</v>
      </c>
      <c r="I22" s="102">
        <v>90</v>
      </c>
      <c r="J22" s="102">
        <v>90</v>
      </c>
      <c r="K22" s="102">
        <v>90</v>
      </c>
      <c r="L22" s="102">
        <v>90</v>
      </c>
    </row>
    <row r="23" spans="2:12" x14ac:dyDescent="0.2">
      <c r="B23" s="1" t="s">
        <v>141</v>
      </c>
      <c r="C23" s="118">
        <f>C20+C21-C22</f>
        <v>98.188975751895441</v>
      </c>
      <c r="D23" s="118">
        <f t="shared" ref="D23:L23" si="5">D20+D21-D22</f>
        <v>103.50677909887901</v>
      </c>
      <c r="E23" s="118">
        <f t="shared" si="5"/>
        <v>273.72249092173627</v>
      </c>
      <c r="F23" s="118">
        <f t="shared" si="5"/>
        <v>280.26169724636401</v>
      </c>
      <c r="G23" s="119">
        <f t="shared" si="5"/>
        <v>58.539456722977448</v>
      </c>
      <c r="H23" s="118">
        <f t="shared" si="5"/>
        <v>45</v>
      </c>
      <c r="I23" s="118">
        <f t="shared" si="5"/>
        <v>45</v>
      </c>
      <c r="J23" s="118">
        <f t="shared" si="5"/>
        <v>45</v>
      </c>
      <c r="K23" s="118">
        <f t="shared" si="5"/>
        <v>45</v>
      </c>
      <c r="L23" s="118">
        <f t="shared" si="5"/>
        <v>45</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121</v>
      </c>
      <c r="D28" s="114">
        <f>Statement!N54</f>
        <v>-546</v>
      </c>
      <c r="E28" s="114">
        <f>Statement!O54</f>
        <v>1206</v>
      </c>
      <c r="F28" s="114">
        <f>Statement!P54</f>
        <v>-568</v>
      </c>
      <c r="G28" s="115">
        <f>Statement!Q54</f>
        <v>79</v>
      </c>
      <c r="H28" s="126">
        <f>-(H13-G13)</f>
        <v>-490.71865753424618</v>
      </c>
      <c r="I28" s="126">
        <f t="shared" ref="I28:L29" si="7">-(I13-H13)</f>
        <v>-676.1641469863016</v>
      </c>
      <c r="J28" s="126">
        <f t="shared" si="7"/>
        <v>-139.70758272945204</v>
      </c>
      <c r="K28" s="126">
        <f t="shared" si="7"/>
        <v>132.48913078167834</v>
      </c>
      <c r="L28" s="126">
        <f t="shared" si="7"/>
        <v>366.61761961015327</v>
      </c>
    </row>
    <row r="29" spans="2:12" x14ac:dyDescent="0.2">
      <c r="B29" s="1" t="s">
        <v>144</v>
      </c>
      <c r="C29" s="114">
        <f>Statement!M55</f>
        <v>-546</v>
      </c>
      <c r="D29" s="114">
        <f>Statement!N55</f>
        <v>-22</v>
      </c>
      <c r="E29" s="114">
        <f>Statement!O55</f>
        <v>-60</v>
      </c>
      <c r="F29" s="114">
        <f>Statement!P55</f>
        <v>356</v>
      </c>
      <c r="G29" s="115">
        <f>Statement!Q55</f>
        <v>-409</v>
      </c>
      <c r="H29" s="126">
        <f>-(H14-G14)</f>
        <v>-21.132212328766855</v>
      </c>
      <c r="I29" s="126">
        <f t="shared" si="7"/>
        <v>-378.3944851726028</v>
      </c>
      <c r="J29" s="126">
        <f t="shared" si="7"/>
        <v>-51.953407922380393</v>
      </c>
      <c r="K29" s="126">
        <f t="shared" si="7"/>
        <v>12.038374276340392</v>
      </c>
      <c r="L29" s="126">
        <f t="shared" si="7"/>
        <v>55.80324802769519</v>
      </c>
    </row>
    <row r="30" spans="2:12" x14ac:dyDescent="0.2">
      <c r="B30" s="1" t="s">
        <v>145</v>
      </c>
      <c r="C30" s="114">
        <f>Statement!M56</f>
        <v>11</v>
      </c>
      <c r="D30" s="114">
        <f>Statement!N56</f>
        <v>-129</v>
      </c>
      <c r="E30" s="114">
        <f>Statement!O56</f>
        <v>-459</v>
      </c>
      <c r="F30" s="114">
        <f>Statement!P56</f>
        <v>244</v>
      </c>
      <c r="G30" s="115">
        <f>Statement!Q56</f>
        <v>307</v>
      </c>
      <c r="H30" s="64">
        <f>H15-G15</f>
        <v>267.66102739726011</v>
      </c>
      <c r="I30" s="64">
        <f t="shared" ref="I30:L30" si="8">I15-H15</f>
        <v>442.27926838356166</v>
      </c>
      <c r="J30" s="64">
        <f t="shared" si="8"/>
        <v>60.724762506677962</v>
      </c>
      <c r="K30" s="64">
        <f t="shared" si="8"/>
        <v>-14.070827076241812</v>
      </c>
      <c r="L30" s="64">
        <f t="shared" si="8"/>
        <v>-65.224575616786524</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-175</v>
      </c>
      <c r="D35" s="114">
        <f>Statement!N54+Statement!N55+Statement!N56+Statement!N57</f>
        <v>-1075</v>
      </c>
      <c r="E35" s="114">
        <f>Statement!O54+Statement!O55+Statement!O56+Statement!O57</f>
        <v>92</v>
      </c>
      <c r="F35" s="114">
        <f>Statement!P54+Statement!P55+Statement!P56+Statement!P57</f>
        <v>-307</v>
      </c>
      <c r="G35" s="115">
        <f>Statement!Q54+Statement!Q55+Statement!Q56+Statement!Q57</f>
        <v>-1031</v>
      </c>
      <c r="H35" s="126">
        <f>H36+H28+H29+H30</f>
        <v>-1736.9532424657525</v>
      </c>
      <c r="I35" s="126">
        <f t="shared" ref="I35:L35" si="10">I36+I28+I29+I30</f>
        <v>-2281.7659562753424</v>
      </c>
      <c r="J35" s="126">
        <f t="shared" si="10"/>
        <v>-1536.8610437951545</v>
      </c>
      <c r="K35" s="126">
        <f t="shared" si="10"/>
        <v>-706.5579415104105</v>
      </c>
      <c r="L35" s="126">
        <f t="shared" si="10"/>
        <v>68.533696347533862</v>
      </c>
    </row>
    <row r="36" spans="2:12" x14ac:dyDescent="0.2">
      <c r="B36" s="1" t="s">
        <v>148</v>
      </c>
      <c r="C36" s="120">
        <f>C35-C28-C29-C30</f>
        <v>239</v>
      </c>
      <c r="D36" s="120">
        <f t="shared" ref="D36:G36" si="11">D35-D28-D29-D30</f>
        <v>-378</v>
      </c>
      <c r="E36" s="120">
        <f t="shared" si="11"/>
        <v>-595</v>
      </c>
      <c r="F36" s="120">
        <f t="shared" si="11"/>
        <v>-339</v>
      </c>
      <c r="G36" s="121">
        <f t="shared" si="11"/>
        <v>-1008</v>
      </c>
      <c r="H36" s="64">
        <f>H7*H37</f>
        <v>-1492.7633999999996</v>
      </c>
      <c r="I36" s="64">
        <f>I7*I37</f>
        <v>-1669.4865924999999</v>
      </c>
      <c r="J36" s="64">
        <f>J7*J37</f>
        <v>-1405.92481565</v>
      </c>
      <c r="K36" s="64">
        <f>K7*K37</f>
        <v>-837.01461949218742</v>
      </c>
      <c r="L36" s="64">
        <f>L7*L37</f>
        <v>-288.66259567352807</v>
      </c>
    </row>
    <row r="37" spans="2:12" x14ac:dyDescent="0.2">
      <c r="B37" s="122" t="s">
        <v>128</v>
      </c>
      <c r="C37" s="123">
        <f>C36/C7</f>
        <v>1.4123626048930386E-2</v>
      </c>
      <c r="D37" s="123">
        <f>D36/D7</f>
        <v>-2.0113872186452404E-2</v>
      </c>
      <c r="E37" s="123">
        <f>E36/E7</f>
        <v>-9.5123900879296563E-2</v>
      </c>
      <c r="F37" s="123">
        <f>F36/F7</f>
        <v>-5.3664714263099572E-2</v>
      </c>
      <c r="G37" s="124">
        <f>G36/G7</f>
        <v>-0.10588235294117647</v>
      </c>
      <c r="H37" s="97">
        <v>-0.12</v>
      </c>
      <c r="I37" s="97">
        <v>-0.1</v>
      </c>
      <c r="J37" s="97">
        <v>-0.08</v>
      </c>
      <c r="K37" s="97">
        <v>-0.05</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1212</v>
      </c>
      <c r="D42" s="114">
        <f>Statement!N52</f>
        <v>929</v>
      </c>
      <c r="E42" s="114">
        <f>Statement!O52</f>
        <v>828</v>
      </c>
      <c r="F42" s="114">
        <f>Statement!P52</f>
        <v>568</v>
      </c>
      <c r="G42" s="115">
        <f>Statement!Q52</f>
        <v>451</v>
      </c>
      <c r="H42" s="25">
        <f>H7*H43</f>
        <v>684.18322499999988</v>
      </c>
      <c r="I42" s="25">
        <f>I7*I43</f>
        <v>918.21762587499995</v>
      </c>
      <c r="J42" s="25">
        <f>J7*J43</f>
        <v>966.57331075937498</v>
      </c>
      <c r="K42" s="25">
        <f>K7*K43</f>
        <v>920.71608144140612</v>
      </c>
      <c r="L42" s="25">
        <f>L7*L43</f>
        <v>793.82213810220219</v>
      </c>
    </row>
    <row r="43" spans="2:12" x14ac:dyDescent="0.2">
      <c r="B43" s="122" t="s">
        <v>150</v>
      </c>
      <c r="C43" s="123">
        <f>C42/C7</f>
        <v>7.1622739628885476E-2</v>
      </c>
      <c r="D43" s="123">
        <f>D42/D7</f>
        <v>4.9433299632842015E-2</v>
      </c>
      <c r="E43" s="123">
        <f>E42/E7</f>
        <v>0.13237410071942446</v>
      </c>
      <c r="F43" s="123">
        <f>F42/F7</f>
        <v>8.991609941427893E-2</v>
      </c>
      <c r="G43" s="124">
        <f>G42/G7</f>
        <v>4.7373949579831931E-2</v>
      </c>
      <c r="H43" s="97">
        <v>5.5E-2</v>
      </c>
      <c r="I43" s="97">
        <v>5.5E-2</v>
      </c>
      <c r="J43" s="97">
        <v>5.5E-2</v>
      </c>
      <c r="K43" s="97">
        <v>5.5E-2</v>
      </c>
      <c r="L43" s="97">
        <v>5.5E-2</v>
      </c>
    </row>
    <row r="44" spans="2:12" x14ac:dyDescent="0.2">
      <c r="B44" s="122" t="s">
        <v>151</v>
      </c>
      <c r="C44" s="123">
        <f>C42/C45</f>
        <v>1.0575916230366491</v>
      </c>
      <c r="D44" s="123">
        <f t="shared" ref="D44:L44" si="13">D42/D45</f>
        <v>0.82798573975044565</v>
      </c>
      <c r="E44" s="123">
        <f t="shared" si="13"/>
        <v>1.0085261875761267</v>
      </c>
      <c r="F44" s="123">
        <f t="shared" si="13"/>
        <v>1.1663244353182751</v>
      </c>
      <c r="G44" s="124">
        <f t="shared" si="13"/>
        <v>1.0946601941747574</v>
      </c>
      <c r="H44" s="123">
        <f t="shared" si="13"/>
        <v>1.0999999999999999</v>
      </c>
      <c r="I44" s="123">
        <f t="shared" si="13"/>
        <v>1.1000000000000001</v>
      </c>
      <c r="J44" s="123">
        <f t="shared" si="13"/>
        <v>1.1000000000000001</v>
      </c>
      <c r="K44" s="123">
        <f t="shared" si="13"/>
        <v>1.0999999999999999</v>
      </c>
      <c r="L44" s="123">
        <f t="shared" si="13"/>
        <v>1.0999999999999999</v>
      </c>
    </row>
    <row r="45" spans="2:12" x14ac:dyDescent="0.2">
      <c r="B45" s="1" t="s">
        <v>59</v>
      </c>
      <c r="C45" s="114">
        <f>-Statement!M108</f>
        <v>1146</v>
      </c>
      <c r="D45" s="114">
        <f>-Statement!N108</f>
        <v>1122</v>
      </c>
      <c r="E45" s="114">
        <f>-Statement!O108</f>
        <v>821</v>
      </c>
      <c r="F45" s="114">
        <f>-Statement!P108</f>
        <v>487</v>
      </c>
      <c r="G45" s="115">
        <f>-Statement!Q108</f>
        <v>412</v>
      </c>
      <c r="H45" s="25">
        <f>H7*H46</f>
        <v>621.98474999999996</v>
      </c>
      <c r="I45" s="25">
        <f>I7*I46</f>
        <v>834.74329624999996</v>
      </c>
      <c r="J45" s="25">
        <f>J7*J46</f>
        <v>878.70300978124999</v>
      </c>
      <c r="K45" s="25">
        <f>K7*K46</f>
        <v>837.01461949218742</v>
      </c>
      <c r="L45" s="25">
        <f>L7*L46</f>
        <v>721.65648918382021</v>
      </c>
    </row>
    <row r="46" spans="2:12" x14ac:dyDescent="0.2">
      <c r="B46" s="122" t="s">
        <v>150</v>
      </c>
      <c r="C46" s="123">
        <f>C45/C7</f>
        <v>6.7722491431272902E-2</v>
      </c>
      <c r="D46" s="123">
        <f>D45/D7</f>
        <v>5.9703080934390466E-2</v>
      </c>
      <c r="E46" s="123">
        <f>E45/E7</f>
        <v>0.13125499600319745</v>
      </c>
      <c r="F46" s="123">
        <f>F45/F7</f>
        <v>7.7093557068228596E-2</v>
      </c>
      <c r="G46" s="124">
        <f>G45/G7</f>
        <v>4.3277310924369747E-2</v>
      </c>
      <c r="H46" s="97">
        <v>0.05</v>
      </c>
      <c r="I46" s="97">
        <v>0.05</v>
      </c>
      <c r="J46" s="97">
        <v>0.05</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2" t="s">
        <v>112</v>
      </c>
      <c r="D2" s="242"/>
      <c r="E2" s="242"/>
      <c r="F2" s="242"/>
      <c r="G2" s="254"/>
      <c r="H2" s="255" t="s">
        <v>113</v>
      </c>
      <c r="I2" s="242"/>
      <c r="J2" s="242"/>
      <c r="K2" s="242"/>
      <c r="L2" s="242"/>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0" t="s">
        <v>153</v>
      </c>
      <c r="Q6" s="90"/>
      <c r="S6" s="88"/>
      <c r="T6" s="88"/>
      <c r="U6" s="88"/>
      <c r="V6" s="88"/>
      <c r="W6" s="88"/>
      <c r="X6" s="88"/>
      <c r="Y6" s="88"/>
      <c r="Z6" s="88"/>
      <c r="AA6" s="64"/>
      <c r="AB6" s="64"/>
      <c r="AC6" s="64"/>
      <c r="AE6" s="64"/>
    </row>
    <row r="7" spans="1:31" x14ac:dyDescent="0.2">
      <c r="B7" s="1" t="s">
        <v>20</v>
      </c>
      <c r="C7" s="88">
        <f>'COGS &amp; OpEx'!C11</f>
        <v>12401</v>
      </c>
      <c r="D7" s="88">
        <f>'COGS &amp; OpEx'!D11</f>
        <v>12919</v>
      </c>
      <c r="E7" s="88">
        <f>'COGS &amp; OpEx'!E11</f>
        <v>4864</v>
      </c>
      <c r="F7" s="88">
        <f>'COGS &amp; OpEx'!F11</f>
        <v>4544</v>
      </c>
      <c r="G7" s="89">
        <f>'COGS &amp; OpEx'!G11</f>
        <v>5828</v>
      </c>
      <c r="H7" s="112">
        <f>'COGS &amp; OpEx'!H11</f>
        <v>6219.8474999999989</v>
      </c>
      <c r="I7" s="112">
        <f>'COGS &amp; OpEx'!I11</f>
        <v>8013.5356439999987</v>
      </c>
      <c r="J7" s="112">
        <f>'COGS &amp; OpEx'!J11</f>
        <v>8259.8082919437493</v>
      </c>
      <c r="K7" s="112">
        <f>'COGS &amp; OpEx'!K11</f>
        <v>8202.7432710234352</v>
      </c>
      <c r="L7" s="112">
        <f>'COGS &amp; OpEx'!L11</f>
        <v>7938.2213810220228</v>
      </c>
      <c r="N7" s="90" t="s">
        <v>154</v>
      </c>
      <c r="Q7" s="90"/>
      <c r="S7" s="88"/>
      <c r="T7" s="88"/>
      <c r="U7" s="88"/>
      <c r="V7" s="88"/>
      <c r="W7" s="88"/>
      <c r="X7" s="88"/>
      <c r="Y7" s="88"/>
      <c r="Z7" s="88"/>
      <c r="AA7" s="64"/>
      <c r="AB7" s="64"/>
      <c r="AC7" s="64"/>
      <c r="AE7" s="64"/>
    </row>
    <row r="8" spans="1:31" x14ac:dyDescent="0.2">
      <c r="B8" s="16" t="s">
        <v>155</v>
      </c>
      <c r="C8" s="94">
        <f>C6-C7</f>
        <v>4521</v>
      </c>
      <c r="D8" s="94">
        <f t="shared" ref="D8:L8" si="1">D6-D7</f>
        <v>5874</v>
      </c>
      <c r="E8" s="94">
        <f t="shared" si="1"/>
        <v>1391</v>
      </c>
      <c r="F8" s="94">
        <f t="shared" si="1"/>
        <v>1773</v>
      </c>
      <c r="G8" s="127">
        <f t="shared" si="1"/>
        <v>3692</v>
      </c>
      <c r="H8" s="94">
        <f t="shared" si="1"/>
        <v>6219.8474999999989</v>
      </c>
      <c r="I8" s="94">
        <f t="shared" si="1"/>
        <v>8681.3302809999986</v>
      </c>
      <c r="J8" s="94">
        <f t="shared" si="1"/>
        <v>9314.25190368125</v>
      </c>
      <c r="K8" s="94">
        <f t="shared" si="1"/>
        <v>8537.5491188203123</v>
      </c>
      <c r="L8" s="94">
        <f t="shared" si="1"/>
        <v>6494.9084026543815</v>
      </c>
      <c r="N8" s="90"/>
      <c r="Q8" s="90"/>
      <c r="S8" s="88"/>
      <c r="T8" s="88"/>
      <c r="U8" s="88"/>
      <c r="V8" s="88"/>
      <c r="W8" s="88"/>
      <c r="X8" s="88"/>
      <c r="Y8" s="88"/>
      <c r="Z8" s="88"/>
      <c r="AA8" s="64"/>
      <c r="AB8" s="64"/>
      <c r="AC8" s="64"/>
      <c r="AE8" s="64"/>
    </row>
    <row r="9" spans="1:31" x14ac:dyDescent="0.2">
      <c r="B9" s="1" t="s">
        <v>24</v>
      </c>
      <c r="C9" s="88">
        <f>'COGS &amp; OpEx'!C14</f>
        <v>3301</v>
      </c>
      <c r="D9" s="88">
        <f>'COGS &amp; OpEx'!D14</f>
        <v>3483</v>
      </c>
      <c r="E9" s="88">
        <f>'COGS &amp; OpEx'!E14</f>
        <v>1939</v>
      </c>
      <c r="F9" s="88">
        <f>'COGS &amp; OpEx'!F14</f>
        <v>2176</v>
      </c>
      <c r="G9" s="89">
        <f>'COGS &amp; OpEx'!G14</f>
        <v>1358</v>
      </c>
      <c r="H9" s="112">
        <f>'COGS &amp; OpEx'!H14</f>
        <v>1679.3588249999998</v>
      </c>
      <c r="I9" s="112">
        <f>'COGS &amp; OpEx'!I14</f>
        <v>2170.3325702499997</v>
      </c>
      <c r="J9" s="112">
        <f>'COGS &amp; OpEx'!J14</f>
        <v>2636.1090293437496</v>
      </c>
      <c r="K9" s="112">
        <f>'COGS &amp; OpEx'!K14</f>
        <v>2845.8497062734368</v>
      </c>
      <c r="L9" s="112">
        <f>'COGS &amp; OpEx'!L14</f>
        <v>3030.9572545720448</v>
      </c>
      <c r="N9" s="128" t="s">
        <v>154</v>
      </c>
      <c r="Q9" s="90"/>
      <c r="S9" s="88"/>
      <c r="T9" s="88"/>
      <c r="U9" s="88"/>
      <c r="V9" s="88"/>
      <c r="W9" s="88"/>
      <c r="X9" s="88"/>
      <c r="Y9" s="88"/>
      <c r="Z9" s="88"/>
      <c r="AA9" s="64"/>
      <c r="AB9" s="64"/>
      <c r="AC9" s="64"/>
      <c r="AE9" s="64"/>
    </row>
    <row r="10" spans="1:31" x14ac:dyDescent="0.2">
      <c r="B10" s="16" t="s">
        <v>156</v>
      </c>
      <c r="C10" s="94">
        <f t="shared" ref="C10:L10" si="2">C8-C9</f>
        <v>1220</v>
      </c>
      <c r="D10" s="94">
        <f t="shared" si="2"/>
        <v>2391</v>
      </c>
      <c r="E10" s="94">
        <f t="shared" si="2"/>
        <v>-548</v>
      </c>
      <c r="F10" s="94">
        <f t="shared" si="2"/>
        <v>-403</v>
      </c>
      <c r="G10" s="127">
        <f t="shared" si="2"/>
        <v>2334</v>
      </c>
      <c r="H10" s="94">
        <f t="shared" si="2"/>
        <v>4540.4886749999987</v>
      </c>
      <c r="I10" s="94">
        <f t="shared" si="2"/>
        <v>6510.997710749999</v>
      </c>
      <c r="J10" s="94">
        <f t="shared" si="2"/>
        <v>6678.1428743375</v>
      </c>
      <c r="K10" s="94">
        <f t="shared" si="2"/>
        <v>5691.6994125468755</v>
      </c>
      <c r="L10" s="94">
        <f t="shared" si="2"/>
        <v>3463.9511480823367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-0.11434735706580366</v>
      </c>
      <c r="D15" s="129">
        <f>-Statement!N82</f>
        <v>-0.29345266132830899</v>
      </c>
      <c r="E15" s="129">
        <f>-Statement!O82</f>
        <v>0</v>
      </c>
      <c r="F15" s="129">
        <f>-Statement!P82</f>
        <v>0</v>
      </c>
      <c r="G15" s="130">
        <f>-Statement!Q82</f>
        <v>0</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1212</v>
      </c>
      <c r="D20" s="88">
        <f>'WC &amp; Investments'!D42</f>
        <v>929</v>
      </c>
      <c r="E20" s="88">
        <f>'WC &amp; Investments'!E42</f>
        <v>828</v>
      </c>
      <c r="F20" s="88">
        <f>'WC &amp; Investments'!F42</f>
        <v>568</v>
      </c>
      <c r="G20" s="89">
        <f>'WC &amp; Investments'!G42</f>
        <v>451</v>
      </c>
      <c r="H20" s="88">
        <f>'WC &amp; Investments'!H42</f>
        <v>684.18322499999988</v>
      </c>
      <c r="I20" s="88">
        <f>'WC &amp; Investments'!I42</f>
        <v>918.21762587499995</v>
      </c>
      <c r="J20" s="88">
        <f>'WC &amp; Investments'!J42</f>
        <v>966.57331075937498</v>
      </c>
      <c r="K20" s="88">
        <f>'WC &amp; Investments'!K42</f>
        <v>920.71608144140612</v>
      </c>
      <c r="L20" s="88">
        <f>'WC &amp; Investments'!L42</f>
        <v>793.82213810220219</v>
      </c>
      <c r="N20" s="1" t="s">
        <v>159</v>
      </c>
    </row>
    <row r="21" spans="2:14" x14ac:dyDescent="0.2">
      <c r="B21" s="1" t="s">
        <v>59</v>
      </c>
      <c r="C21" s="88">
        <f>'WC &amp; Investments'!C45</f>
        <v>1146</v>
      </c>
      <c r="D21" s="88">
        <f>'WC &amp; Investments'!D45</f>
        <v>1122</v>
      </c>
      <c r="E21" s="88">
        <f>'WC &amp; Investments'!E45</f>
        <v>821</v>
      </c>
      <c r="F21" s="88">
        <f>'WC &amp; Investments'!F45</f>
        <v>487</v>
      </c>
      <c r="G21" s="89">
        <f>'WC &amp; Investments'!G45</f>
        <v>412</v>
      </c>
      <c r="H21" s="88">
        <f>'WC &amp; Investments'!H45</f>
        <v>621.98474999999996</v>
      </c>
      <c r="I21" s="88">
        <f>'WC &amp; Investments'!I45</f>
        <v>834.74329624999996</v>
      </c>
      <c r="J21" s="88">
        <f>'WC &amp; Investments'!J45</f>
        <v>878.70300978124999</v>
      </c>
      <c r="K21" s="88">
        <f>'WC &amp; Investments'!K45</f>
        <v>837.01461949218742</v>
      </c>
      <c r="L21" s="88">
        <f>'WC &amp; Investments'!L45</f>
        <v>721.65648918382021</v>
      </c>
      <c r="N21" s="1" t="s">
        <v>159</v>
      </c>
    </row>
    <row r="22" spans="2:14" x14ac:dyDescent="0.2">
      <c r="B22" s="1" t="s">
        <v>160</v>
      </c>
      <c r="C22" s="88">
        <f>'WC &amp; Investments'!C35</f>
        <v>-175</v>
      </c>
      <c r="D22" s="88">
        <f>'WC &amp; Investments'!D35</f>
        <v>-1075</v>
      </c>
      <c r="E22" s="88">
        <f>'WC &amp; Investments'!E35</f>
        <v>92</v>
      </c>
      <c r="F22" s="88">
        <f>'WC &amp; Investments'!F35</f>
        <v>-307</v>
      </c>
      <c r="G22" s="89">
        <f>'WC &amp; Investments'!G35</f>
        <v>-1031</v>
      </c>
      <c r="H22" s="88">
        <f>'WC &amp; Investments'!H35</f>
        <v>-1736.9532424657525</v>
      </c>
      <c r="I22" s="88">
        <f>'WC &amp; Investments'!I35</f>
        <v>-2281.7659562753424</v>
      </c>
      <c r="J22" s="88">
        <f>'WC &amp; Investments'!J35</f>
        <v>-1536.8610437951545</v>
      </c>
      <c r="K22" s="88">
        <f>'WC &amp; Investments'!K35</f>
        <v>-706.5579415104105</v>
      </c>
      <c r="L22" s="88">
        <f>'WC &amp; Investments'!L35</f>
        <v>68.533696347533862</v>
      </c>
      <c r="N22" s="1" t="s">
        <v>159</v>
      </c>
    </row>
    <row r="25" spans="2:14" x14ac:dyDescent="0.2">
      <c r="C25" s="251" t="s">
        <v>266</v>
      </c>
      <c r="D25" s="251"/>
      <c r="E25" s="251"/>
      <c r="F25" s="251"/>
      <c r="G25" s="251"/>
      <c r="H25" s="251"/>
      <c r="I25" s="251"/>
      <c r="J25" s="251"/>
      <c r="K25" s="251"/>
      <c r="L25" s="251"/>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1359.5037756202803</v>
      </c>
      <c r="D27" s="126">
        <f t="shared" ref="D27:L27" si="6">D10*(1-D15)</f>
        <v>3092.645313235987</v>
      </c>
      <c r="E27" s="126">
        <f t="shared" si="6"/>
        <v>-548</v>
      </c>
      <c r="F27" s="126">
        <f t="shared" si="6"/>
        <v>-403</v>
      </c>
      <c r="G27" s="131">
        <f t="shared" si="6"/>
        <v>2334</v>
      </c>
      <c r="H27" s="126">
        <f t="shared" si="6"/>
        <v>3586.9860532499993</v>
      </c>
      <c r="I27" s="126">
        <f t="shared" si="6"/>
        <v>5143.6881914924998</v>
      </c>
      <c r="J27" s="126">
        <f t="shared" si="6"/>
        <v>5275.7328707266252</v>
      </c>
      <c r="K27" s="126">
        <f t="shared" si="6"/>
        <v>4496.4425359120314</v>
      </c>
      <c r="L27" s="126">
        <f t="shared" si="6"/>
        <v>2736.5214069850463</v>
      </c>
    </row>
    <row r="28" spans="2:14" x14ac:dyDescent="0.2">
      <c r="B28" s="16" t="s">
        <v>266</v>
      </c>
      <c r="C28" s="94">
        <f>C27+C20-C21+C22</f>
        <v>1250.5037756202801</v>
      </c>
      <c r="D28" s="94">
        <f t="shared" ref="D28:L28" si="7">D27+D20-D21+D22</f>
        <v>1824.645313235987</v>
      </c>
      <c r="E28" s="94">
        <f t="shared" si="7"/>
        <v>-449</v>
      </c>
      <c r="F28" s="94">
        <f t="shared" si="7"/>
        <v>-629</v>
      </c>
      <c r="G28" s="127">
        <f t="shared" si="7"/>
        <v>1342</v>
      </c>
      <c r="H28" s="94">
        <f t="shared" si="7"/>
        <v>1912.2312857842469</v>
      </c>
      <c r="I28" s="94">
        <f t="shared" si="7"/>
        <v>2945.3965648421572</v>
      </c>
      <c r="J28" s="94">
        <f t="shared" si="7"/>
        <v>3826.7421279095952</v>
      </c>
      <c r="K28" s="94">
        <f t="shared" si="7"/>
        <v>3873.5860563508404</v>
      </c>
      <c r="L28" s="94">
        <f t="shared" si="7"/>
        <v>2877.2207522509621</v>
      </c>
    </row>
    <row r="31" spans="2:14" x14ac:dyDescent="0.2">
      <c r="C31" s="251" t="s">
        <v>76</v>
      </c>
      <c r="D31" s="251"/>
      <c r="E31" s="251"/>
      <c r="F31" s="251"/>
      <c r="G31" s="251"/>
      <c r="H31" s="251"/>
      <c r="I31" s="251"/>
      <c r="J31" s="251"/>
      <c r="K31" s="251"/>
      <c r="L31" s="251"/>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0.26716700153646139</v>
      </c>
      <c r="D33" s="129">
        <f>Statement!N99</f>
        <v>0.31256318842122066</v>
      </c>
      <c r="E33" s="129">
        <f>Statement!O99</f>
        <v>0.22238209432454037</v>
      </c>
      <c r="F33" s="129">
        <f>Statement!P99</f>
        <v>0.28067120468576856</v>
      </c>
      <c r="G33" s="130">
        <f>Statement!Q99</f>
        <v>0.38781512605042018</v>
      </c>
      <c r="H33" s="216">
        <f>H8/H6</f>
        <v>0.5</v>
      </c>
      <c r="I33" s="216">
        <f t="shared" ref="I33:L33" si="9">I8/I6</f>
        <v>0.52</v>
      </c>
      <c r="J33" s="216">
        <f t="shared" si="9"/>
        <v>0.53</v>
      </c>
      <c r="K33" s="216">
        <f t="shared" si="9"/>
        <v>0.51</v>
      </c>
      <c r="L33" s="216">
        <f t="shared" si="9"/>
        <v>0.44999999999999996</v>
      </c>
    </row>
    <row r="34" spans="2:12" x14ac:dyDescent="0.2">
      <c r="B34" s="1" t="s">
        <v>78</v>
      </c>
      <c r="C34" s="129">
        <f>Statement!M100</f>
        <v>7.2095496986171848E-2</v>
      </c>
      <c r="D34" s="129">
        <f>Statement!N100</f>
        <v>0.12722822327462352</v>
      </c>
      <c r="E34" s="129">
        <f>Statement!O100</f>
        <v>-8.7609912070343729E-2</v>
      </c>
      <c r="F34" s="129">
        <f>Statement!P100</f>
        <v>-6.3796105746398601E-2</v>
      </c>
      <c r="G34" s="130">
        <f>Statement!Q100</f>
        <v>0.24516806722689075</v>
      </c>
      <c r="H34" s="216">
        <f>H10/H6</f>
        <v>0.36499999999999994</v>
      </c>
      <c r="I34" s="216">
        <f t="shared" ref="I34:L34" si="10">I10/I6</f>
        <v>0.38999999999999996</v>
      </c>
      <c r="J34" s="216">
        <f t="shared" si="10"/>
        <v>0.38</v>
      </c>
      <c r="K34" s="216">
        <f t="shared" si="10"/>
        <v>0.34000000000000008</v>
      </c>
      <c r="L34" s="216">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2" t="s">
        <v>165</v>
      </c>
      <c r="C4" s="242"/>
    </row>
    <row r="5" spans="1:3" ht="17" customHeight="1" x14ac:dyDescent="0.2">
      <c r="B5" s="1" t="s">
        <v>166</v>
      </c>
      <c r="C5" s="136">
        <f>Statement!AC77</f>
        <v>349</v>
      </c>
    </row>
    <row r="6" spans="1:3" ht="17" customHeight="1" x14ac:dyDescent="0.2">
      <c r="B6" s="1" t="s">
        <v>1</v>
      </c>
      <c r="C6" s="133">
        <f ca="1">Overview!C5</f>
        <v>463.51</v>
      </c>
    </row>
    <row r="7" spans="1:3" ht="17" customHeight="1" x14ac:dyDescent="0.2">
      <c r="B7" s="1" t="s">
        <v>167</v>
      </c>
      <c r="C7" s="134">
        <f ca="1">C5*C6</f>
        <v>161764.99</v>
      </c>
    </row>
    <row r="8" spans="1:3" ht="17" customHeight="1" x14ac:dyDescent="0.2">
      <c r="B8" s="1" t="s">
        <v>168</v>
      </c>
      <c r="C8" s="112">
        <f>Statement!AC106</f>
        <v>1581</v>
      </c>
    </row>
    <row r="9" spans="1:3" ht="17" customHeight="1" x14ac:dyDescent="0.2">
      <c r="B9" s="1" t="s">
        <v>169</v>
      </c>
      <c r="C9" s="135">
        <f ca="1">Overview!F27</f>
        <v>4.6039999999999998E-2</v>
      </c>
    </row>
    <row r="10" spans="1:3" ht="17" customHeight="1" x14ac:dyDescent="0.2">
      <c r="B10" s="1" t="s">
        <v>9</v>
      </c>
      <c r="C10" s="133">
        <f ca="1">Overview!C13</f>
        <v>2.1682999999999999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2" t="s">
        <v>172</v>
      </c>
      <c r="C15" s="242"/>
    </row>
    <row r="16" spans="1:3" ht="17" customHeight="1" x14ac:dyDescent="0.2">
      <c r="B16" s="1" t="s">
        <v>173</v>
      </c>
      <c r="C16" s="46">
        <f ca="1">C8/(C8+C7)</f>
        <v>9.6788418252569293E-3</v>
      </c>
    </row>
    <row r="17" spans="2:3" ht="17" customHeight="1" x14ac:dyDescent="0.2">
      <c r="B17" s="1" t="s">
        <v>174</v>
      </c>
      <c r="C17" s="46">
        <f ca="1">C7/(C8+C7)</f>
        <v>0.99032115817474309</v>
      </c>
    </row>
    <row r="18" spans="2:3" ht="17" customHeight="1" x14ac:dyDescent="0.2">
      <c r="B18" s="1" t="s">
        <v>175</v>
      </c>
      <c r="C18" s="46">
        <f>C13*(1-C12)</f>
        <v>2.7650000000000004E-2</v>
      </c>
    </row>
    <row r="19" spans="2:3" ht="17" customHeight="1" x14ac:dyDescent="0.2">
      <c r="B19" s="1" t="s">
        <v>176</v>
      </c>
      <c r="C19" s="46">
        <f ca="1">C9+C10*C11</f>
        <v>0.14361350000000001</v>
      </c>
    </row>
    <row r="20" spans="2:3" ht="17" customHeight="1" x14ac:dyDescent="0.2">
      <c r="B20" s="1" t="s">
        <v>164</v>
      </c>
      <c r="C20" s="46">
        <f ca="1">(C17*C19)+(C16*C18)</f>
        <v>0.14249110762599682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12">
        <f>'FCF &amp; Other'!H28</f>
        <v>1912.2312857842469</v>
      </c>
      <c r="I7" s="112">
        <f>'FCF &amp; Other'!I28</f>
        <v>2945.3965648421572</v>
      </c>
      <c r="J7" s="112">
        <f>'FCF &amp; Other'!J28</f>
        <v>3826.7421279095952</v>
      </c>
      <c r="K7" s="112">
        <f>'FCF &amp; Other'!K28</f>
        <v>3873.5860563508404</v>
      </c>
      <c r="L7" s="112">
        <f>'FCF &amp; Other'!L28</f>
        <v>2877.2207522509621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34357.400747467364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H7/(1+$C$15)^H9</f>
        <v>1738.392077985679</v>
      </c>
      <c r="I10" s="126">
        <f t="shared" ref="I10:L10" si="0">I7/(1+$C$15)^I9</f>
        <v>2434.2120370596335</v>
      </c>
      <c r="J10" s="126">
        <f t="shared" si="0"/>
        <v>2875.0879999320769</v>
      </c>
      <c r="K10" s="126">
        <f t="shared" si="0"/>
        <v>2645.7113970021442</v>
      </c>
      <c r="L10" s="126">
        <f t="shared" si="0"/>
        <v>1786.5277162209245</v>
      </c>
      <c r="N10" s="91"/>
    </row>
    <row r="11" spans="1:28" x14ac:dyDescent="0.2">
      <c r="B11" s="1" t="s">
        <v>182</v>
      </c>
      <c r="C11" s="137"/>
      <c r="D11" s="137"/>
      <c r="E11" s="137"/>
      <c r="F11" s="137"/>
      <c r="G11" s="138"/>
      <c r="H11" s="137"/>
      <c r="I11" s="137"/>
      <c r="J11" s="137"/>
      <c r="K11" s="137"/>
      <c r="L11" s="126">
        <f>L8/(1+C15)^L9</f>
        <v>21333.242728991034</v>
      </c>
    </row>
    <row r="13" spans="1:28" x14ac:dyDescent="0.2">
      <c r="B13" s="242" t="s">
        <v>183</v>
      </c>
      <c r="C13" s="242"/>
    </row>
    <row r="14" spans="1:28" x14ac:dyDescent="0.2">
      <c r="B14" s="1" t="s">
        <v>184</v>
      </c>
      <c r="C14" s="140">
        <v>1.4999999999999999E-2</v>
      </c>
    </row>
    <row r="15" spans="1:28" x14ac:dyDescent="0.2">
      <c r="B15" s="1" t="s">
        <v>164</v>
      </c>
      <c r="C15" s="135">
        <f>IF(Overview!C28&gt;0,Overview!C28,WACC!C20)</f>
        <v>0.1</v>
      </c>
    </row>
    <row r="18" spans="2:3" x14ac:dyDescent="0.2">
      <c r="B18" s="242" t="s">
        <v>185</v>
      </c>
      <c r="C18" s="242"/>
    </row>
    <row r="19" spans="2:3" x14ac:dyDescent="0.2">
      <c r="B19" s="1" t="s">
        <v>186</v>
      </c>
      <c r="C19" s="64">
        <f>SUM(H10:L10)</f>
        <v>11479.931228200458</v>
      </c>
    </row>
    <row r="20" spans="2:3" x14ac:dyDescent="0.2">
      <c r="B20" s="1" t="s">
        <v>182</v>
      </c>
      <c r="C20" s="64">
        <f>L11</f>
        <v>21333.242728991034</v>
      </c>
    </row>
    <row r="21" spans="2:3" x14ac:dyDescent="0.2">
      <c r="B21" s="16" t="s">
        <v>187</v>
      </c>
      <c r="C21" s="94">
        <f>C19+C20</f>
        <v>32813.173957191495</v>
      </c>
    </row>
    <row r="22" spans="2:3" x14ac:dyDescent="0.2">
      <c r="B22" s="1" t="s">
        <v>188</v>
      </c>
      <c r="C22" s="88">
        <f>Statement!AC105</f>
        <v>2050</v>
      </c>
    </row>
    <row r="23" spans="2:3" x14ac:dyDescent="0.2">
      <c r="B23" s="1" t="s">
        <v>189</v>
      </c>
      <c r="C23" s="88">
        <f>Statement!AC106</f>
        <v>1581</v>
      </c>
    </row>
    <row r="24" spans="2:3" x14ac:dyDescent="0.2">
      <c r="B24" s="16" t="s">
        <v>190</v>
      </c>
      <c r="C24" s="94">
        <f>C21+C22-C23</f>
        <v>33282.173957191495</v>
      </c>
    </row>
    <row r="25" spans="2:3" x14ac:dyDescent="0.2">
      <c r="B25" s="1" t="s">
        <v>68</v>
      </c>
      <c r="C25" s="88">
        <f>Statement!AC77</f>
        <v>349</v>
      </c>
    </row>
    <row r="26" spans="2:3" x14ac:dyDescent="0.2">
      <c r="B26" s="141" t="s">
        <v>191</v>
      </c>
      <c r="C26" s="142">
        <f>C24/C25</f>
        <v>95.364395292812304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7" zoomScale="192" zoomScaleNormal="100" workbookViewId="0">
      <selection activeCell="C60" sqref="C6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16922</v>
      </c>
      <c r="D6" s="92">
        <f>Revenue!D9</f>
        <v>18793</v>
      </c>
      <c r="E6" s="92">
        <f>Revenue!E9</f>
        <v>6255</v>
      </c>
      <c r="F6" s="92">
        <f>Revenue!F9</f>
        <v>6317</v>
      </c>
      <c r="G6" s="93">
        <f>Revenue!G9</f>
        <v>9520</v>
      </c>
      <c r="H6" s="92">
        <f>Revenue!H9</f>
        <v>12439.694999999998</v>
      </c>
      <c r="I6" s="92">
        <f>Revenue!I9</f>
        <v>16694.865924999998</v>
      </c>
      <c r="J6" s="92">
        <f>Revenue!J9</f>
        <v>17574.060195624999</v>
      </c>
      <c r="K6" s="92">
        <f>Revenue!K9</f>
        <v>16740.292389843748</v>
      </c>
      <c r="L6" s="92">
        <f>Revenue!L9</f>
        <v>14433.129783676404</v>
      </c>
      <c r="N6" s="91"/>
    </row>
    <row r="7" spans="1:14" x14ac:dyDescent="0.2">
      <c r="B7" s="16" t="s">
        <v>156</v>
      </c>
      <c r="C7" s="92">
        <f>'FCF &amp; Other'!C10</f>
        <v>1220</v>
      </c>
      <c r="D7" s="92">
        <f>'FCF &amp; Other'!D10</f>
        <v>2391</v>
      </c>
      <c r="E7" s="92">
        <f>'FCF &amp; Other'!E10</f>
        <v>-548</v>
      </c>
      <c r="F7" s="92">
        <f>'FCF &amp; Other'!F10</f>
        <v>-403</v>
      </c>
      <c r="G7" s="93">
        <f>'FCF &amp; Other'!G10</f>
        <v>2334</v>
      </c>
      <c r="H7" s="92">
        <f>'FCF &amp; Other'!H10</f>
        <v>4540.4886749999987</v>
      </c>
      <c r="I7" s="92">
        <f>'FCF &amp; Other'!I10</f>
        <v>6510.997710749999</v>
      </c>
      <c r="J7" s="92">
        <f>'FCF &amp; Other'!J10</f>
        <v>6678.1428743375</v>
      </c>
      <c r="K7" s="92">
        <f>'FCF &amp; Other'!K10</f>
        <v>5691.6994125468755</v>
      </c>
      <c r="L7" s="92">
        <f>'FCF &amp; Other'!L10</f>
        <v>3463.9511480823367</v>
      </c>
      <c r="N7" s="91"/>
    </row>
    <row r="8" spans="1:14" x14ac:dyDescent="0.2">
      <c r="B8" s="16" t="s">
        <v>266</v>
      </c>
      <c r="C8" s="92">
        <f>'FCF &amp; Other'!C28</f>
        <v>1250.5037756202801</v>
      </c>
      <c r="D8" s="92">
        <f>'FCF &amp; Other'!D28</f>
        <v>1824.645313235987</v>
      </c>
      <c r="E8" s="92">
        <f>'FCF &amp; Other'!E28</f>
        <v>-449</v>
      </c>
      <c r="F8" s="92">
        <f>'FCF &amp; Other'!F28</f>
        <v>-629</v>
      </c>
      <c r="G8" s="93">
        <f>'FCF &amp; Other'!G28</f>
        <v>1342</v>
      </c>
      <c r="H8" s="92">
        <f>'FCF &amp; Other'!H28</f>
        <v>1912.2312857842469</v>
      </c>
      <c r="I8" s="92">
        <f>'FCF &amp; Other'!I28</f>
        <v>2945.3965648421572</v>
      </c>
      <c r="J8" s="92">
        <f>'FCF &amp; Other'!J28</f>
        <v>3826.7421279095952</v>
      </c>
      <c r="K8" s="92">
        <f>'FCF &amp; Other'!K28</f>
        <v>3873.5860563508404</v>
      </c>
      <c r="L8" s="92">
        <f>'FCF &amp; Other'!L28</f>
        <v>2877.2207522509621</v>
      </c>
      <c r="N8" s="91"/>
    </row>
    <row r="9" spans="1:14" x14ac:dyDescent="0.2">
      <c r="N9" s="91"/>
    </row>
    <row r="10" spans="1:14" x14ac:dyDescent="0.2">
      <c r="C10" s="251" t="s">
        <v>121</v>
      </c>
      <c r="D10" s="251"/>
      <c r="E10" s="251"/>
      <c r="F10" s="251"/>
      <c r="G10" s="251"/>
      <c r="H10" s="251"/>
      <c r="I10" s="251"/>
      <c r="J10" s="251"/>
      <c r="K10" s="251"/>
      <c r="L10" s="251"/>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0.11056612693535044</v>
      </c>
      <c r="E12" s="95">
        <f t="shared" ref="E12:L12" si="1">(E6-D6)/D6</f>
        <v>-0.66716330548608527</v>
      </c>
      <c r="F12" s="95">
        <f t="shared" si="1"/>
        <v>9.9120703437250192E-3</v>
      </c>
      <c r="G12" s="96">
        <f t="shared" si="1"/>
        <v>0.50704448314073136</v>
      </c>
      <c r="H12" s="95">
        <f t="shared" si="1"/>
        <v>0.30669065126050399</v>
      </c>
      <c r="I12" s="95">
        <f t="shared" si="1"/>
        <v>0.3420639272104341</v>
      </c>
      <c r="J12" s="95">
        <f t="shared" si="1"/>
        <v>5.2662553540393356E-2</v>
      </c>
      <c r="K12" s="95">
        <f t="shared" si="1"/>
        <v>-4.7443094908074537E-2</v>
      </c>
      <c r="L12" s="95">
        <f t="shared" si="1"/>
        <v>-0.13782092644732344</v>
      </c>
      <c r="N12" s="91"/>
    </row>
    <row r="13" spans="1:14" x14ac:dyDescent="0.2">
      <c r="B13" s="1" t="s">
        <v>156</v>
      </c>
      <c r="C13" s="137"/>
      <c r="D13" s="95">
        <f>IF(C7=0,
IF(D7=0,0,IF(D7&gt;0,1,-1)),
(D7-C7)/ABS(C7)
)</f>
        <v>0.95983606557377055</v>
      </c>
      <c r="E13" s="95">
        <f t="shared" ref="E13:L13" si="2">IF(D7=0,
IF(E7=0,0,IF(E7&gt;0,1,-1)),
(E7-D7)/ABS(D7)
)</f>
        <v>-1.2291928063571727</v>
      </c>
      <c r="F13" s="95">
        <f t="shared" si="2"/>
        <v>0.26459854014598538</v>
      </c>
      <c r="G13" s="96">
        <f t="shared" si="2"/>
        <v>6.7915632754342434</v>
      </c>
      <c r="H13" s="95">
        <f t="shared" si="2"/>
        <v>0.94536789845758296</v>
      </c>
      <c r="I13" s="95">
        <f t="shared" si="2"/>
        <v>0.43398611400566939</v>
      </c>
      <c r="J13" s="95">
        <f t="shared" si="2"/>
        <v>2.5671206013716689E-2</v>
      </c>
      <c r="K13" s="95">
        <f t="shared" si="2"/>
        <v>-0.14771224281248757</v>
      </c>
      <c r="L13" s="95">
        <f t="shared" si="2"/>
        <v>-0.39140300690399321</v>
      </c>
      <c r="N13" s="91"/>
    </row>
    <row r="14" spans="1:14" x14ac:dyDescent="0.2">
      <c r="B14" s="1" t="s">
        <v>266</v>
      </c>
      <c r="C14" s="137"/>
      <c r="D14" s="95">
        <f>IF(C8=0,
IF(D8=0,0,IF(D8&gt;0,1,-1)),
(D8-C8)/ABS(C8)
)</f>
        <v>0.45912819202078692</v>
      </c>
      <c r="E14" s="95">
        <f t="shared" ref="E14:L14" si="3">IF(D8=0,
IF(E8=0,0,IF(E8&gt;0,1,-1)),
(E8-D8)/ABS(D8)
)</f>
        <v>-1.2460752217118316</v>
      </c>
      <c r="F14" s="95">
        <f t="shared" si="3"/>
        <v>-0.40089086859688194</v>
      </c>
      <c r="G14" s="96">
        <f t="shared" si="3"/>
        <v>3.1335453100158981</v>
      </c>
      <c r="H14" s="95">
        <f t="shared" si="3"/>
        <v>0.42491153933252379</v>
      </c>
      <c r="I14" s="95">
        <f t="shared" si="3"/>
        <v>0.54029305280097806</v>
      </c>
      <c r="J14" s="95">
        <f t="shared" si="3"/>
        <v>0.29922814930514086</v>
      </c>
      <c r="K14" s="95">
        <f t="shared" si="3"/>
        <v>1.2241203320076938E-2</v>
      </c>
      <c r="L14" s="95">
        <f t="shared" si="3"/>
        <v>-0.25722038689867566</v>
      </c>
      <c r="N14" s="91"/>
    </row>
    <row r="15" spans="1:14" x14ac:dyDescent="0.2">
      <c r="N15" s="91"/>
    </row>
    <row r="16" spans="1:14" x14ac:dyDescent="0.2">
      <c r="C16" s="251" t="s">
        <v>195</v>
      </c>
      <c r="D16" s="251"/>
      <c r="E16" s="251"/>
      <c r="F16" s="251"/>
      <c r="G16" s="251"/>
      <c r="H16" s="251"/>
      <c r="I16" s="251"/>
      <c r="J16" s="251"/>
      <c r="K16" s="251"/>
      <c r="L16" s="25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309</v>
      </c>
      <c r="D18" s="100">
        <f>Statement!N21</f>
        <v>316</v>
      </c>
      <c r="E18" s="100">
        <f>Statement!O21</f>
        <v>318</v>
      </c>
      <c r="F18" s="100">
        <f>Statement!P21</f>
        <v>326</v>
      </c>
      <c r="G18" s="101">
        <f>Statement!Q21</f>
        <v>359</v>
      </c>
      <c r="H18" s="143">
        <f>G18*(1+H19)</f>
        <v>387.72</v>
      </c>
      <c r="I18" s="143">
        <f t="shared" ref="I18:L18" si="5">H18*(1+I19)</f>
        <v>414.86040000000003</v>
      </c>
      <c r="J18" s="143">
        <f t="shared" si="5"/>
        <v>427.30621200000002</v>
      </c>
      <c r="K18" s="143">
        <f t="shared" si="5"/>
        <v>435.85233624</v>
      </c>
      <c r="L18" s="143">
        <f t="shared" si="5"/>
        <v>440.21085960239998</v>
      </c>
      <c r="N18" s="91"/>
    </row>
    <row r="19" spans="2:14" x14ac:dyDescent="0.2">
      <c r="B19" s="1" t="s">
        <v>197</v>
      </c>
      <c r="C19" s="137"/>
      <c r="D19" s="144">
        <f>D18/C18-1</f>
        <v>2.265372168284796E-2</v>
      </c>
      <c r="E19" s="144">
        <f t="shared" ref="E19:G19" si="6">E18/D18-1</f>
        <v>6.3291139240506666E-3</v>
      </c>
      <c r="F19" s="144">
        <f t="shared" si="6"/>
        <v>2.515723270440251E-2</v>
      </c>
      <c r="G19" s="145">
        <f t="shared" si="6"/>
        <v>0.10122699386503076</v>
      </c>
      <c r="H19" s="146">
        <v>0.08</v>
      </c>
      <c r="I19" s="97">
        <v>7.0000000000000007E-2</v>
      </c>
      <c r="J19" s="97">
        <v>0.03</v>
      </c>
      <c r="K19" s="97">
        <v>0.02</v>
      </c>
      <c r="L19" s="97">
        <v>0.01</v>
      </c>
      <c r="N19" s="91"/>
    </row>
    <row r="20" spans="2:14" x14ac:dyDescent="0.2">
      <c r="N20" s="91"/>
    </row>
    <row r="21" spans="2:14" x14ac:dyDescent="0.2">
      <c r="C21" s="251" t="s">
        <v>198</v>
      </c>
      <c r="D21" s="251"/>
      <c r="E21" s="251"/>
      <c r="F21" s="251"/>
      <c r="G21" s="251"/>
      <c r="H21" s="251"/>
      <c r="I21" s="251"/>
      <c r="J21" s="251"/>
      <c r="K21" s="251"/>
      <c r="L21" s="25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52.51</v>
      </c>
      <c r="D23" s="147">
        <f>Statement!N114</f>
        <v>36.950000000000003</v>
      </c>
      <c r="E23" s="147">
        <f>Statement!O114</f>
        <v>39.06</v>
      </c>
      <c r="F23" s="147">
        <f>Statement!P114</f>
        <v>75.77</v>
      </c>
      <c r="G23" s="148">
        <f>Statement!Q114</f>
        <v>63.83</v>
      </c>
      <c r="H23" s="137"/>
      <c r="I23" s="137"/>
      <c r="J23" s="137"/>
      <c r="K23" s="137"/>
      <c r="L23" s="137"/>
      <c r="N23" s="91"/>
    </row>
    <row r="24" spans="2:14" x14ac:dyDescent="0.2">
      <c r="N24" s="91"/>
    </row>
    <row r="25" spans="2:14" x14ac:dyDescent="0.2">
      <c r="N25" s="91"/>
    </row>
    <row r="26" spans="2:14" x14ac:dyDescent="0.2">
      <c r="C26" s="251" t="s">
        <v>199</v>
      </c>
      <c r="D26" s="251"/>
      <c r="E26" s="251"/>
      <c r="F26" s="251"/>
      <c r="G26" s="251"/>
      <c r="H26" s="251"/>
      <c r="I26" s="251"/>
      <c r="J26" s="251"/>
      <c r="K26" s="251"/>
      <c r="L26" s="25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0.95884588110152458</v>
      </c>
      <c r="D28" s="149">
        <f t="shared" ref="D28:G28" si="9">D23/(D6/D18)</f>
        <v>0.62130580535305702</v>
      </c>
      <c r="E28" s="149">
        <f t="shared" si="9"/>
        <v>1.9857841726618706</v>
      </c>
      <c r="F28" s="149">
        <f t="shared" si="9"/>
        <v>3.9102453696374861</v>
      </c>
      <c r="G28" s="150">
        <f t="shared" si="9"/>
        <v>2.407034663865546</v>
      </c>
      <c r="H28" s="137"/>
      <c r="I28" s="137"/>
      <c r="J28" s="137"/>
      <c r="K28" s="137"/>
      <c r="L28" s="137"/>
      <c r="N28" s="91"/>
    </row>
    <row r="29" spans="2:14" x14ac:dyDescent="0.2">
      <c r="B29" s="1" t="s">
        <v>201</v>
      </c>
      <c r="C29" s="143">
        <f>C23*C18</f>
        <v>16225.59</v>
      </c>
      <c r="D29" s="143">
        <f t="shared" ref="D29:G29" si="10">D23*D18</f>
        <v>11676.2</v>
      </c>
      <c r="E29" s="143">
        <f t="shared" si="10"/>
        <v>12421.08</v>
      </c>
      <c r="F29" s="143">
        <f t="shared" si="10"/>
        <v>24701.02</v>
      </c>
      <c r="G29" s="151">
        <f t="shared" si="10"/>
        <v>22914.97</v>
      </c>
      <c r="H29" s="137"/>
      <c r="I29" s="137"/>
      <c r="J29" s="137"/>
      <c r="K29" s="137"/>
      <c r="L29" s="137"/>
      <c r="N29" s="91"/>
    </row>
    <row r="30" spans="2:14" x14ac:dyDescent="0.2">
      <c r="B30" s="1" t="s">
        <v>168</v>
      </c>
      <c r="C30" s="88">
        <f>Statement!M106</f>
        <v>8725</v>
      </c>
      <c r="D30" s="152">
        <f>Statement!N106</f>
        <v>7002</v>
      </c>
      <c r="E30" s="152">
        <f>Statement!O106</f>
        <v>7070</v>
      </c>
      <c r="F30" s="152">
        <f>Statement!P106</f>
        <v>7434</v>
      </c>
      <c r="G30" s="153">
        <f>Statement!Q106</f>
        <v>4711</v>
      </c>
      <c r="H30" s="137"/>
      <c r="I30" s="137"/>
      <c r="J30" s="137"/>
      <c r="K30" s="137"/>
      <c r="L30" s="137"/>
      <c r="N30" s="91"/>
    </row>
    <row r="31" spans="2:14" x14ac:dyDescent="0.2">
      <c r="B31" s="1" t="s">
        <v>177</v>
      </c>
      <c r="C31" s="152">
        <f>Statement!M105</f>
        <v>3370</v>
      </c>
      <c r="D31" s="152">
        <f>Statement!N105</f>
        <v>2327</v>
      </c>
      <c r="E31" s="152">
        <f>Statement!O105</f>
        <v>2023</v>
      </c>
      <c r="F31" s="152">
        <f>Statement!P105</f>
        <v>1879</v>
      </c>
      <c r="G31" s="153">
        <f>Statement!Q105</f>
        <v>2114</v>
      </c>
      <c r="H31" s="137"/>
      <c r="I31" s="137"/>
      <c r="J31" s="137"/>
      <c r="K31" s="137"/>
      <c r="L31" s="137"/>
      <c r="N31" s="91"/>
    </row>
    <row r="32" spans="2:14" x14ac:dyDescent="0.2">
      <c r="B32" s="1" t="s">
        <v>202</v>
      </c>
      <c r="C32" s="143">
        <f>C29+C30-C31</f>
        <v>21580.59</v>
      </c>
      <c r="D32" s="143">
        <f t="shared" ref="D32:G32" si="11">D29+D30-D31</f>
        <v>16351.2</v>
      </c>
      <c r="E32" s="143">
        <f t="shared" si="11"/>
        <v>17468.080000000002</v>
      </c>
      <c r="F32" s="143">
        <f t="shared" si="11"/>
        <v>30256.02</v>
      </c>
      <c r="G32" s="151">
        <f t="shared" si="11"/>
        <v>25511.97</v>
      </c>
      <c r="H32" s="137"/>
      <c r="I32" s="137"/>
      <c r="J32" s="137"/>
      <c r="K32" s="137"/>
      <c r="L32" s="137"/>
      <c r="N32" s="91"/>
    </row>
    <row r="33" spans="2:14" x14ac:dyDescent="0.2">
      <c r="B33" s="16" t="s">
        <v>203</v>
      </c>
      <c r="C33" s="149">
        <f>C32/C7</f>
        <v>17.689008196721311</v>
      </c>
      <c r="D33" s="149">
        <f t="shared" ref="D33:G33" si="12">D32/D7</f>
        <v>6.8386449184441656</v>
      </c>
      <c r="E33" s="149">
        <f t="shared" si="12"/>
        <v>-31.876058394160587</v>
      </c>
      <c r="F33" s="149">
        <f t="shared" si="12"/>
        <v>-75.076972704714635</v>
      </c>
      <c r="G33" s="150">
        <f t="shared" si="12"/>
        <v>10.930578406169666</v>
      </c>
      <c r="H33" s="137"/>
      <c r="I33" s="137"/>
      <c r="J33" s="137"/>
      <c r="K33" s="137"/>
      <c r="L33" s="137"/>
      <c r="N33" s="91"/>
    </row>
    <row r="34" spans="2:14" x14ac:dyDescent="0.2">
      <c r="B34" s="16" t="s">
        <v>325</v>
      </c>
      <c r="C34" s="149">
        <f>C32/C8</f>
        <v>17.25751686698867</v>
      </c>
      <c r="D34" s="149">
        <f t="shared" ref="D34:G34" si="13">D32/D8</f>
        <v>8.9613032633730558</v>
      </c>
      <c r="E34" s="149">
        <f t="shared" si="13"/>
        <v>-38.904409799554571</v>
      </c>
      <c r="F34" s="149">
        <f t="shared" si="13"/>
        <v>-48.101780604133545</v>
      </c>
      <c r="G34" s="150">
        <f t="shared" si="13"/>
        <v>19.010409836065573</v>
      </c>
      <c r="H34" s="137"/>
      <c r="I34" s="137"/>
      <c r="J34" s="137"/>
      <c r="K34" s="137"/>
      <c r="L34" s="137"/>
      <c r="N34" s="91"/>
    </row>
    <row r="35" spans="2:14" x14ac:dyDescent="0.2">
      <c r="N35" s="91"/>
    </row>
    <row r="36" spans="2:14" x14ac:dyDescent="0.2">
      <c r="N36" s="91"/>
    </row>
    <row r="37" spans="2:14" x14ac:dyDescent="0.2">
      <c r="B37" s="242" t="s">
        <v>204</v>
      </c>
      <c r="C37" s="242"/>
      <c r="N37" s="91"/>
    </row>
    <row r="38" spans="2:14" x14ac:dyDescent="0.2">
      <c r="B38" s="1" t="s">
        <v>205</v>
      </c>
      <c r="C38" s="64">
        <f>L7</f>
        <v>3463.9511480823367</v>
      </c>
    </row>
    <row r="39" spans="2:14" x14ac:dyDescent="0.2">
      <c r="B39" s="1" t="s">
        <v>164</v>
      </c>
      <c r="C39" s="135">
        <f>IF(Overview!C28&gt;0,Overview!C28,WACC!C20)</f>
        <v>0.1</v>
      </c>
    </row>
    <row r="40" spans="2:14" x14ac:dyDescent="0.2">
      <c r="B40" s="39" t="s">
        <v>206</v>
      </c>
      <c r="C40" s="105">
        <v>15</v>
      </c>
    </row>
    <row r="41" spans="2:14" x14ac:dyDescent="0.2">
      <c r="B41" s="1" t="s">
        <v>202</v>
      </c>
      <c r="C41" s="24">
        <f>(C38*C40)</f>
        <v>51959.267221235052</v>
      </c>
    </row>
    <row r="42" spans="2:14" x14ac:dyDescent="0.2">
      <c r="B42" s="1" t="s">
        <v>352</v>
      </c>
      <c r="C42" s="24">
        <f>C41/(1+C39)^5-G30+G31</f>
        <v>29665.616948193452</v>
      </c>
    </row>
    <row r="43" spans="2:14" x14ac:dyDescent="0.2">
      <c r="B43" s="1" t="s">
        <v>188</v>
      </c>
      <c r="C43" s="88">
        <f>Statement!AC105</f>
        <v>2050</v>
      </c>
    </row>
    <row r="44" spans="2:14" x14ac:dyDescent="0.2">
      <c r="B44" s="1" t="s">
        <v>189</v>
      </c>
      <c r="C44" s="88">
        <f>Statement!AC106</f>
        <v>1581</v>
      </c>
    </row>
    <row r="45" spans="2:14" x14ac:dyDescent="0.2">
      <c r="B45" s="1" t="s">
        <v>190</v>
      </c>
      <c r="C45" s="24">
        <f>C42+C43-C44</f>
        <v>30134.616948193452</v>
      </c>
    </row>
    <row r="46" spans="2:14" x14ac:dyDescent="0.2">
      <c r="B46" s="1" t="s">
        <v>68</v>
      </c>
      <c r="C46" s="88">
        <f>Statement!AC77</f>
        <v>349</v>
      </c>
    </row>
    <row r="47" spans="2:14" x14ac:dyDescent="0.2">
      <c r="B47" s="141" t="s">
        <v>208</v>
      </c>
      <c r="C47" s="142">
        <f>C45/C46</f>
        <v>86.345607301413906</v>
      </c>
    </row>
    <row r="49" spans="2:3" x14ac:dyDescent="0.2">
      <c r="B49" s="242" t="s">
        <v>209</v>
      </c>
      <c r="C49" s="242"/>
    </row>
    <row r="50" spans="2:3" x14ac:dyDescent="0.2">
      <c r="B50" s="1" t="s">
        <v>210</v>
      </c>
      <c r="C50" s="64">
        <f>L6</f>
        <v>14433.129783676404</v>
      </c>
    </row>
    <row r="51" spans="2:3" x14ac:dyDescent="0.2">
      <c r="B51" s="1" t="s">
        <v>351</v>
      </c>
      <c r="C51" s="135">
        <f>IF(Overview!C29&gt;0,Overview!C29,WACC!C19)</f>
        <v>0.11</v>
      </c>
    </row>
    <row r="52" spans="2:3" x14ac:dyDescent="0.2">
      <c r="B52" s="39" t="s">
        <v>211</v>
      </c>
      <c r="C52" s="105">
        <v>4</v>
      </c>
    </row>
    <row r="53" spans="2:3" x14ac:dyDescent="0.2">
      <c r="B53" s="1" t="s">
        <v>207</v>
      </c>
      <c r="C53" s="24">
        <f>L18</f>
        <v>440.21085960239998</v>
      </c>
    </row>
    <row r="54" spans="2:3" x14ac:dyDescent="0.2">
      <c r="B54" s="1" t="s">
        <v>191</v>
      </c>
      <c r="C54" s="24">
        <f>(C50*C52)/C53</f>
        <v>131.14742145809359</v>
      </c>
    </row>
    <row r="55" spans="2:3" x14ac:dyDescent="0.2">
      <c r="B55" s="141" t="s">
        <v>208</v>
      </c>
      <c r="C55" s="142">
        <f>C54/(1+C51)^5</f>
        <v>77.829611435761151</v>
      </c>
    </row>
    <row r="57" spans="2:3" x14ac:dyDescent="0.2">
      <c r="B57" s="242" t="s">
        <v>326</v>
      </c>
      <c r="C57" s="242"/>
    </row>
    <row r="58" spans="2:3" x14ac:dyDescent="0.2">
      <c r="B58" s="1" t="s">
        <v>212</v>
      </c>
      <c r="C58" s="64">
        <f>L8</f>
        <v>2877.2207522509621</v>
      </c>
    </row>
    <row r="59" spans="2:3" x14ac:dyDescent="0.2">
      <c r="B59" s="1" t="s">
        <v>164</v>
      </c>
      <c r="C59" s="135">
        <f>IF(Overview!C28&gt;0,Overview!C28,WACC!C20)</f>
        <v>0.1</v>
      </c>
    </row>
    <row r="60" spans="2:3" x14ac:dyDescent="0.2">
      <c r="B60" s="39" t="s">
        <v>353</v>
      </c>
      <c r="C60" s="105">
        <v>23</v>
      </c>
    </row>
    <row r="61" spans="2:3" x14ac:dyDescent="0.2">
      <c r="B61" s="1" t="s">
        <v>202</v>
      </c>
      <c r="C61" s="24">
        <f>(C58*C60)</f>
        <v>66176.077301772122</v>
      </c>
    </row>
    <row r="62" spans="2:3" x14ac:dyDescent="0.2">
      <c r="B62" s="1" t="s">
        <v>352</v>
      </c>
      <c r="C62" s="24">
        <f>C61/(1+C59)^5-G30+G31</f>
        <v>38493.13747308126</v>
      </c>
    </row>
    <row r="63" spans="2:3" x14ac:dyDescent="0.2">
      <c r="B63" s="1" t="s">
        <v>188</v>
      </c>
      <c r="C63" s="88">
        <f>Statement!AC105</f>
        <v>2050</v>
      </c>
    </row>
    <row r="64" spans="2:3" x14ac:dyDescent="0.2">
      <c r="B64" s="1" t="s">
        <v>189</v>
      </c>
      <c r="C64" s="88">
        <f>Statement!AC106</f>
        <v>1581</v>
      </c>
    </row>
    <row r="65" spans="2:3" x14ac:dyDescent="0.2">
      <c r="B65" s="1" t="s">
        <v>190</v>
      </c>
      <c r="C65" s="24">
        <f>C62+C63-C64</f>
        <v>38962.13747308126</v>
      </c>
    </row>
    <row r="66" spans="2:3" x14ac:dyDescent="0.2">
      <c r="B66" s="1" t="s">
        <v>68</v>
      </c>
      <c r="C66" s="88">
        <f>Statement!AC77</f>
        <v>349</v>
      </c>
    </row>
    <row r="67" spans="2:3" x14ac:dyDescent="0.2">
      <c r="B67" s="141" t="s">
        <v>208</v>
      </c>
      <c r="C67" s="142">
        <f>C65/C66</f>
        <v>111.63936238705232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2" t="s">
        <v>214</v>
      </c>
      <c r="C4" s="242"/>
      <c r="N4" s="91"/>
    </row>
    <row r="5" spans="1:14" x14ac:dyDescent="0.2">
      <c r="B5" s="1" t="s">
        <v>215</v>
      </c>
      <c r="C5" s="133">
        <f>DCF!C26</f>
        <v>95.364395292812304</v>
      </c>
    </row>
    <row r="6" spans="1:14" x14ac:dyDescent="0.2">
      <c r="B6" s="1" t="s">
        <v>216</v>
      </c>
      <c r="C6" s="133">
        <f>Multiples!C47</f>
        <v>86.345607301413906</v>
      </c>
    </row>
    <row r="7" spans="1:14" x14ac:dyDescent="0.2">
      <c r="B7" s="1" t="s">
        <v>217</v>
      </c>
      <c r="C7" s="133">
        <f>Multiples!C55</f>
        <v>77.829611435761151</v>
      </c>
    </row>
    <row r="8" spans="1:14" x14ac:dyDescent="0.2">
      <c r="B8" s="1" t="s">
        <v>327</v>
      </c>
      <c r="C8" s="133">
        <f>Multiples!C67</f>
        <v>111.63936238705232</v>
      </c>
    </row>
    <row r="9" spans="1:14" x14ac:dyDescent="0.2">
      <c r="B9" s="141" t="s">
        <v>218</v>
      </c>
      <c r="C9" s="142">
        <f>AVERAGE(C5:C8)</f>
        <v>92.794744104259919</v>
      </c>
    </row>
    <row r="10" spans="1:14" x14ac:dyDescent="0.2">
      <c r="B10" s="1" t="s">
        <v>219</v>
      </c>
      <c r="C10" s="133">
        <f ca="1">Overview!C5</f>
        <v>463.51</v>
      </c>
    </row>
    <row r="11" spans="1:14" x14ac:dyDescent="0.2">
      <c r="B11" s="1" t="s">
        <v>220</v>
      </c>
      <c r="C11" s="154">
        <f ca="1">(C9-C10)/C10</f>
        <v>-0.79979990916213262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2" t="s">
        <v>112</v>
      </c>
      <c r="D2" s="242"/>
      <c r="E2" s="242"/>
      <c r="F2" s="242"/>
      <c r="G2" s="254"/>
      <c r="H2" s="255" t="s">
        <v>113</v>
      </c>
      <c r="I2" s="242"/>
      <c r="J2" s="242"/>
      <c r="K2" s="242"/>
      <c r="L2" s="242"/>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2.66</v>
      </c>
      <c r="D6" s="230">
        <f>Statement!N25</f>
        <v>4.75</v>
      </c>
      <c r="E6" s="230">
        <f>Statement!O25</f>
        <v>-2.91</v>
      </c>
      <c r="F6" s="230">
        <f>Statement!P25</f>
        <v>-2.5099999999999998</v>
      </c>
      <c r="G6" s="231">
        <f>Statement!Q25</f>
        <v>4.45</v>
      </c>
      <c r="H6" s="137"/>
      <c r="I6" s="137"/>
      <c r="J6" s="137"/>
      <c r="K6" s="137"/>
      <c r="L6" s="137"/>
      <c r="N6" s="91"/>
    </row>
    <row r="7" spans="1:14" x14ac:dyDescent="0.2">
      <c r="B7" s="16" t="s">
        <v>374</v>
      </c>
      <c r="C7" s="230">
        <f>Statement!M81</f>
        <v>0</v>
      </c>
      <c r="D7" s="230">
        <f>Statement!N81</f>
        <v>0</v>
      </c>
      <c r="E7" s="230">
        <f>Statement!O81</f>
        <v>0</v>
      </c>
      <c r="F7" s="230">
        <f>Statement!P81</f>
        <v>0</v>
      </c>
      <c r="G7" s="231">
        <f>Statement!Q81</f>
        <v>0.1</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0.78571428571428559</v>
      </c>
      <c r="E11" s="95">
        <f>(E6-D6)/D6</f>
        <v>-1.6126315789473684</v>
      </c>
      <c r="F11" s="95">
        <f>(F6-E6)/E6</f>
        <v>-0.13745704467353964</v>
      </c>
      <c r="G11" s="96">
        <f>(G6-F6)/F6</f>
        <v>-2.7729083665338647</v>
      </c>
      <c r="H11" s="137"/>
      <c r="I11" s="137"/>
      <c r="J11" s="137"/>
      <c r="K11" s="137"/>
      <c r="L11" s="137"/>
      <c r="N11" s="91"/>
    </row>
    <row r="12" spans="1:14" x14ac:dyDescent="0.2">
      <c r="B12" s="1" t="s">
        <v>248</v>
      </c>
      <c r="C12" s="137"/>
      <c r="D12" s="95">
        <f>IF(C7=0,
IF(D7=0,0,IF(D7&gt;0,1,-1)),
(D7-C7)/ABS(C7)
)</f>
        <v>0</v>
      </c>
      <c r="E12" s="95">
        <f>IF(D7=0,
IF(E7=0,0,IF(E7&gt;0,1,-1)),
(E7-D7)/ABS(D7)
)</f>
        <v>0</v>
      </c>
      <c r="F12" s="95">
        <f>IF(E7=0,
IF(F7=0,0,IF(F7&gt;0,1,-1)),
(F7-E7)/ABS(E7)
)</f>
        <v>0</v>
      </c>
      <c r="G12" s="96">
        <f>IF(F7=0,
IF(G7=0,0,IF(G7&gt;0,1,-1)),
(G7-F7)/ABS(F7)
)</f>
        <v>1</v>
      </c>
      <c r="H12" s="137"/>
      <c r="I12" s="137"/>
      <c r="J12" s="137"/>
      <c r="K12" s="137"/>
      <c r="L12" s="137"/>
      <c r="N12" s="91"/>
    </row>
    <row r="13" spans="1:14" x14ac:dyDescent="0.2">
      <c r="N13" s="91"/>
    </row>
    <row r="14" spans="1:14" x14ac:dyDescent="0.2">
      <c r="C14" s="251" t="s">
        <v>375</v>
      </c>
      <c r="D14" s="251"/>
      <c r="E14" s="251"/>
      <c r="F14" s="251"/>
      <c r="G14" s="251"/>
      <c r="H14" s="251"/>
      <c r="I14" s="251"/>
      <c r="J14" s="251"/>
      <c r="K14" s="251"/>
      <c r="L14" s="251"/>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v>
      </c>
      <c r="D16" s="95">
        <f t="shared" ref="D16:G16" si="2">D7/D6</f>
        <v>0</v>
      </c>
      <c r="E16" s="95">
        <f t="shared" si="2"/>
        <v>0</v>
      </c>
      <c r="F16" s="95">
        <f t="shared" si="2"/>
        <v>0</v>
      </c>
      <c r="G16" s="96">
        <f t="shared" si="2"/>
        <v>2.247191011235955E-2</v>
      </c>
      <c r="H16" s="137"/>
      <c r="I16" s="137"/>
      <c r="J16" s="137"/>
      <c r="K16" s="137"/>
      <c r="L16" s="137"/>
      <c r="N16" s="91"/>
    </row>
    <row r="17" spans="2:14" x14ac:dyDescent="0.2">
      <c r="N17" s="91"/>
    </row>
    <row r="18" spans="2:14" x14ac:dyDescent="0.2">
      <c r="N18" s="91"/>
    </row>
    <row r="19" spans="2:14" x14ac:dyDescent="0.2">
      <c r="N19" s="91"/>
    </row>
    <row r="20" spans="2:14" x14ac:dyDescent="0.2">
      <c r="B20" s="242" t="s">
        <v>377</v>
      </c>
      <c r="C20" s="242"/>
      <c r="N20" s="91"/>
    </row>
    <row r="21" spans="2:14" x14ac:dyDescent="0.2">
      <c r="B21" s="1" t="s">
        <v>378</v>
      </c>
      <c r="C21" s="232">
        <f>G7</f>
        <v>0.1</v>
      </c>
    </row>
    <row r="22" spans="2:14" x14ac:dyDescent="0.2">
      <c r="B22" s="1" t="s">
        <v>379</v>
      </c>
      <c r="C22" s="233">
        <v>0.5</v>
      </c>
    </row>
    <row r="23" spans="2:14" x14ac:dyDescent="0.2">
      <c r="B23" s="39" t="s">
        <v>380</v>
      </c>
      <c r="C23" s="234">
        <f>C21*(1+C22)</f>
        <v>0.15000000000000002</v>
      </c>
    </row>
    <row r="24" spans="2:14" x14ac:dyDescent="0.2">
      <c r="B24" s="1" t="s">
        <v>351</v>
      </c>
      <c r="C24" s="135">
        <f>IF(Overview!C29&gt;0,Overview!C29,WACC!C19)</f>
        <v>0.11</v>
      </c>
    </row>
    <row r="25" spans="2:14" x14ac:dyDescent="0.2">
      <c r="B25" s="39" t="s">
        <v>381</v>
      </c>
      <c r="C25" s="233">
        <v>0.02</v>
      </c>
    </row>
    <row r="26" spans="2:14" x14ac:dyDescent="0.2">
      <c r="B26" s="141" t="s">
        <v>208</v>
      </c>
      <c r="C26" s="142">
        <f>C23/(C24-C25)</f>
        <v>1.666666666666667</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H45" sqref="H45"/>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2" t="s">
        <v>112</v>
      </c>
      <c r="D3" s="242"/>
      <c r="E3" s="242"/>
      <c r="F3" s="242"/>
      <c r="G3" s="254"/>
      <c r="H3" s="255" t="s">
        <v>113</v>
      </c>
      <c r="I3" s="242"/>
      <c r="J3" s="242"/>
      <c r="K3" s="242"/>
      <c r="L3" s="242"/>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1250.5037756202801</v>
      </c>
      <c r="D7" s="112">
        <f>'FCF &amp; Other'!D28</f>
        <v>1824.645313235987</v>
      </c>
      <c r="E7" s="112">
        <f>'FCF &amp; Other'!E28</f>
        <v>-449</v>
      </c>
      <c r="F7" s="112">
        <f>'FCF &amp; Other'!F28</f>
        <v>-629</v>
      </c>
      <c r="G7" s="113">
        <f>'FCF &amp; Other'!G28</f>
        <v>1342</v>
      </c>
      <c r="H7" s="126">
        <f>G7*(1+$C$17)</f>
        <v>2343.1320000000001</v>
      </c>
      <c r="I7" s="126">
        <f t="shared" ref="I7:L7" si="0">H7*(1+$C$17)</f>
        <v>4091.1084719999999</v>
      </c>
      <c r="J7" s="126">
        <f t="shared" si="0"/>
        <v>7143.0753921119995</v>
      </c>
      <c r="K7" s="126">
        <f t="shared" si="0"/>
        <v>12471.809634627551</v>
      </c>
      <c r="L7" s="126">
        <f t="shared" si="0"/>
        <v>21775.779622059705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277641.19018126122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H7/(1+$C$21)^H9</f>
        <v>2130.12</v>
      </c>
      <c r="I10" s="126">
        <f t="shared" ref="I10:L10" si="1">I7/(1+$C$21)^I9</f>
        <v>3381.0813818181814</v>
      </c>
      <c r="J10" s="126">
        <f t="shared" si="1"/>
        <v>5366.6982660495851</v>
      </c>
      <c r="K10" s="126">
        <f t="shared" si="1"/>
        <v>8518.4137932023405</v>
      </c>
      <c r="L10" s="126">
        <f t="shared" si="1"/>
        <v>13521.045893573897</v>
      </c>
      <c r="N10" s="91"/>
    </row>
    <row r="11" spans="1:28" x14ac:dyDescent="0.2">
      <c r="B11" s="1" t="s">
        <v>182</v>
      </c>
      <c r="C11" s="137"/>
      <c r="D11" s="137"/>
      <c r="E11" s="137"/>
      <c r="F11" s="137"/>
      <c r="G11" s="138"/>
      <c r="H11" s="137"/>
      <c r="I11" s="137"/>
      <c r="J11" s="137"/>
      <c r="K11" s="137"/>
      <c r="L11" s="126">
        <f>L8/(1+C21)^L9</f>
        <v>172393.33514306718</v>
      </c>
    </row>
    <row r="13" spans="1:28" ht="17" thickBot="1" x14ac:dyDescent="0.25"/>
    <row r="14" spans="1:28" x14ac:dyDescent="0.2">
      <c r="B14" s="257" t="s">
        <v>222</v>
      </c>
      <c r="C14" s="258"/>
    </row>
    <row r="15" spans="1:28" x14ac:dyDescent="0.2">
      <c r="B15" s="155" t="s">
        <v>223</v>
      </c>
      <c r="C15" s="156">
        <f ca="1">Overview!C5</f>
        <v>463.51</v>
      </c>
    </row>
    <row r="16" spans="1:28" x14ac:dyDescent="0.2">
      <c r="B16" s="155" t="s">
        <v>224</v>
      </c>
      <c r="C16" s="156">
        <f>C36</f>
        <v>596.46288254409035</v>
      </c>
    </row>
    <row r="17" spans="2:9" ht="17" thickBot="1" x14ac:dyDescent="0.25">
      <c r="B17" s="157" t="s">
        <v>328</v>
      </c>
      <c r="C17" s="158">
        <v>0.746</v>
      </c>
      <c r="E17" s="259" t="s">
        <v>225</v>
      </c>
      <c r="F17" s="259"/>
      <c r="G17" s="259"/>
      <c r="H17" s="259"/>
      <c r="I17" s="259"/>
    </row>
    <row r="18" spans="2:9" ht="17" thickBot="1" x14ac:dyDescent="0.25"/>
    <row r="19" spans="2:9" x14ac:dyDescent="0.2">
      <c r="B19" s="257" t="s">
        <v>183</v>
      </c>
      <c r="C19" s="258"/>
    </row>
    <row r="20" spans="2:9" x14ac:dyDescent="0.2">
      <c r="B20" s="159" t="s">
        <v>184</v>
      </c>
      <c r="C20" s="160">
        <v>0.02</v>
      </c>
    </row>
    <row r="21" spans="2:9" x14ac:dyDescent="0.2">
      <c r="B21" s="159" t="s">
        <v>164</v>
      </c>
      <c r="C21" s="222">
        <f>IF(Overview!C28&gt;0,Overview!C28,WACC!C20)</f>
        <v>0.1</v>
      </c>
    </row>
    <row r="22" spans="2:9" x14ac:dyDescent="0.2">
      <c r="B22" s="159" t="s">
        <v>68</v>
      </c>
      <c r="C22" s="223">
        <f>Statement!AC74</f>
        <v>345</v>
      </c>
    </row>
    <row r="23" spans="2:9" x14ac:dyDescent="0.2">
      <c r="B23" s="159" t="s">
        <v>226</v>
      </c>
      <c r="C23" s="161">
        <f ca="1">C15*C22</f>
        <v>159910.94999999998</v>
      </c>
    </row>
    <row r="24" spans="2:9" x14ac:dyDescent="0.2">
      <c r="B24" s="159" t="s">
        <v>177</v>
      </c>
      <c r="C24" s="223">
        <f>Statement!AC105</f>
        <v>2050</v>
      </c>
    </row>
    <row r="25" spans="2:9" x14ac:dyDescent="0.2">
      <c r="B25" s="159" t="s">
        <v>168</v>
      </c>
      <c r="C25" s="223">
        <f>Statement!AC106</f>
        <v>1581</v>
      </c>
    </row>
    <row r="26" spans="2:9" ht="17" thickBot="1" x14ac:dyDescent="0.25">
      <c r="B26" s="157" t="s">
        <v>227</v>
      </c>
      <c r="C26" s="162">
        <f ca="1">C23+C25-C24</f>
        <v>159441.94999999998</v>
      </c>
    </row>
    <row r="27" spans="2:9" ht="17" thickBot="1" x14ac:dyDescent="0.25"/>
    <row r="28" spans="2:9" x14ac:dyDescent="0.2">
      <c r="B28" s="257" t="s">
        <v>185</v>
      </c>
      <c r="C28" s="258"/>
    </row>
    <row r="29" spans="2:9" x14ac:dyDescent="0.2">
      <c r="B29" s="159" t="s">
        <v>186</v>
      </c>
      <c r="C29" s="161">
        <f>SUM(H10:L10)</f>
        <v>32917.359334644003</v>
      </c>
    </row>
    <row r="30" spans="2:9" x14ac:dyDescent="0.2">
      <c r="B30" s="159" t="s">
        <v>182</v>
      </c>
      <c r="C30" s="161">
        <f>L11</f>
        <v>172393.33514306718</v>
      </c>
    </row>
    <row r="31" spans="2:9" x14ac:dyDescent="0.2">
      <c r="B31" s="163" t="s">
        <v>187</v>
      </c>
      <c r="C31" s="164">
        <f>C29+C30</f>
        <v>205310.69447771116</v>
      </c>
    </row>
    <row r="32" spans="2:9" x14ac:dyDescent="0.2">
      <c r="B32" s="159" t="s">
        <v>188</v>
      </c>
      <c r="C32" s="165">
        <f>C24</f>
        <v>2050</v>
      </c>
    </row>
    <row r="33" spans="2:12" x14ac:dyDescent="0.2">
      <c r="B33" s="159" t="s">
        <v>189</v>
      </c>
      <c r="C33" s="165">
        <f>C25</f>
        <v>1581</v>
      </c>
    </row>
    <row r="34" spans="2:12" x14ac:dyDescent="0.2">
      <c r="B34" s="163" t="s">
        <v>190</v>
      </c>
      <c r="C34" s="164">
        <f>C31+C32-C33</f>
        <v>205779.69447771116</v>
      </c>
    </row>
    <row r="35" spans="2:12" x14ac:dyDescent="0.2">
      <c r="B35" s="159" t="s">
        <v>68</v>
      </c>
      <c r="C35" s="161">
        <f>C22</f>
        <v>345</v>
      </c>
    </row>
    <row r="36" spans="2:12" ht="17" thickBot="1" x14ac:dyDescent="0.25">
      <c r="B36" s="166" t="s">
        <v>191</v>
      </c>
      <c r="C36" s="167">
        <f>C34/C35</f>
        <v>596.46288254409035</v>
      </c>
    </row>
    <row r="39" spans="2:12" x14ac:dyDescent="0.2">
      <c r="C39" s="251" t="s">
        <v>228</v>
      </c>
      <c r="D39" s="251"/>
      <c r="E39" s="251"/>
      <c r="F39" s="251"/>
      <c r="G39" s="251"/>
      <c r="H39" s="251"/>
      <c r="I39" s="251"/>
      <c r="J39" s="251"/>
      <c r="K39" s="251"/>
      <c r="L39" s="25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1250.5037756202801</v>
      </c>
      <c r="D41" s="112">
        <f t="shared" si="2"/>
        <v>1824.645313235987</v>
      </c>
      <c r="E41" s="112">
        <f t="shared" si="2"/>
        <v>-449</v>
      </c>
      <c r="F41" s="112">
        <f t="shared" si="2"/>
        <v>-629</v>
      </c>
      <c r="G41" s="113">
        <f t="shared" si="2"/>
        <v>1342</v>
      </c>
      <c r="H41" s="143">
        <f t="shared" si="2"/>
        <v>2343.1320000000001</v>
      </c>
      <c r="I41" s="143">
        <f t="shared" si="2"/>
        <v>4091.1084719999999</v>
      </c>
      <c r="J41" s="143">
        <f t="shared" si="2"/>
        <v>7143.0753921119995</v>
      </c>
      <c r="K41" s="143">
        <f t="shared" si="2"/>
        <v>12471.809634627551</v>
      </c>
      <c r="L41" s="143">
        <f t="shared" si="2"/>
        <v>21775.779622059705</v>
      </c>
    </row>
    <row r="42" spans="2:12" x14ac:dyDescent="0.2">
      <c r="B42" s="1" t="s">
        <v>156</v>
      </c>
      <c r="C42" s="112">
        <f>'FCF &amp; Other'!C10</f>
        <v>1220</v>
      </c>
      <c r="D42" s="112">
        <f>'FCF &amp; Other'!D10</f>
        <v>2391</v>
      </c>
      <c r="E42" s="112">
        <f>'FCF &amp; Other'!E10</f>
        <v>-548</v>
      </c>
      <c r="F42" s="112">
        <f>'FCF &amp; Other'!F10</f>
        <v>-403</v>
      </c>
      <c r="G42" s="113">
        <f>'FCF &amp; Other'!G10</f>
        <v>2334</v>
      </c>
      <c r="H42" s="143">
        <f>H41/H43</f>
        <v>2130.12</v>
      </c>
      <c r="I42" s="143">
        <f t="shared" ref="I42:L42" si="3">I41/I43</f>
        <v>3719.1895199999994</v>
      </c>
      <c r="J42" s="143">
        <f t="shared" si="3"/>
        <v>6493.7049019199994</v>
      </c>
      <c r="K42" s="143">
        <f t="shared" si="3"/>
        <v>11338.008758752318</v>
      </c>
      <c r="L42" s="143">
        <f t="shared" si="3"/>
        <v>19796.163292781548</v>
      </c>
    </row>
    <row r="43" spans="2:12" x14ac:dyDescent="0.2">
      <c r="B43" s="122" t="s">
        <v>329</v>
      </c>
      <c r="C43" s="95">
        <f>C41/C42</f>
        <v>1.0250030947707214</v>
      </c>
      <c r="D43" s="95">
        <f t="shared" ref="D43:G43" si="4">D41/D42</f>
        <v>0.76313062034127432</v>
      </c>
      <c r="E43" s="95">
        <f t="shared" si="4"/>
        <v>0.81934306569343063</v>
      </c>
      <c r="F43" s="95">
        <f t="shared" si="4"/>
        <v>1.5607940446650124</v>
      </c>
      <c r="G43" s="96">
        <f t="shared" si="4"/>
        <v>0.57497857754927162</v>
      </c>
      <c r="H43" s="168">
        <v>1.1000000000000001</v>
      </c>
      <c r="I43" s="168">
        <v>1.1000000000000001</v>
      </c>
      <c r="J43" s="168">
        <v>1.1000000000000001</v>
      </c>
      <c r="K43" s="168">
        <v>1.1000000000000001</v>
      </c>
      <c r="L43" s="168">
        <v>1.1000000000000001</v>
      </c>
    </row>
    <row r="44" spans="2:12" x14ac:dyDescent="0.2">
      <c r="B44" s="1" t="s">
        <v>19</v>
      </c>
      <c r="C44" s="112">
        <f>Revenue!C9</f>
        <v>16922</v>
      </c>
      <c r="D44" s="112">
        <f>Revenue!D9</f>
        <v>18793</v>
      </c>
      <c r="E44" s="112">
        <f>Revenue!E9</f>
        <v>6255</v>
      </c>
      <c r="F44" s="112">
        <f>Revenue!F9</f>
        <v>6317</v>
      </c>
      <c r="G44" s="113">
        <f>Revenue!G9</f>
        <v>9520</v>
      </c>
      <c r="H44" s="143">
        <f>H41/H45</f>
        <v>234313.2</v>
      </c>
      <c r="I44" s="143">
        <f t="shared" ref="I44:L44" si="5">I41/I45</f>
        <v>204555.42359999998</v>
      </c>
      <c r="J44" s="143">
        <f t="shared" si="5"/>
        <v>170073.22362171425</v>
      </c>
      <c r="K44" s="143">
        <f t="shared" si="5"/>
        <v>178168.70906610784</v>
      </c>
      <c r="L44" s="143">
        <f t="shared" si="5"/>
        <v>145171.86414706471</v>
      </c>
    </row>
    <row r="45" spans="2:12" x14ac:dyDescent="0.2">
      <c r="B45" s="122" t="s">
        <v>330</v>
      </c>
      <c r="C45" s="95">
        <f>C41/C44</f>
        <v>7.3898107529859355E-2</v>
      </c>
      <c r="D45" s="95">
        <f t="shared" ref="D45:G45" si="6">D41/D44</f>
        <v>9.7091752952481611E-2</v>
      </c>
      <c r="E45" s="95">
        <f t="shared" si="6"/>
        <v>-7.1782573940847319E-2</v>
      </c>
      <c r="F45" s="95">
        <f t="shared" si="6"/>
        <v>-9.9572581921798325E-2</v>
      </c>
      <c r="G45" s="96">
        <f t="shared" si="6"/>
        <v>0.14096638655462185</v>
      </c>
      <c r="H45" s="168">
        <v>0.01</v>
      </c>
      <c r="I45" s="168">
        <v>0.02</v>
      </c>
      <c r="J45" s="168">
        <v>4.2000000000000003E-2</v>
      </c>
      <c r="K45" s="168">
        <v>7.0000000000000007E-2</v>
      </c>
      <c r="L45" s="168">
        <v>0.15</v>
      </c>
    </row>
    <row r="46" spans="2:12" x14ac:dyDescent="0.2">
      <c r="B46" s="122" t="s">
        <v>331</v>
      </c>
      <c r="C46" s="137"/>
      <c r="D46" s="95">
        <f>D41/C41-1</f>
        <v>0.45912819202078681</v>
      </c>
      <c r="E46" s="95">
        <f t="shared" ref="E46:L47" si="7">E41/D41-1</f>
        <v>-1.2460752217118316</v>
      </c>
      <c r="F46" s="95">
        <f t="shared" si="7"/>
        <v>0.40089086859688194</v>
      </c>
      <c r="G46" s="96">
        <f t="shared" si="7"/>
        <v>-3.1335453100158981</v>
      </c>
      <c r="H46" s="169">
        <f t="shared" si="7"/>
        <v>0.746</v>
      </c>
      <c r="I46" s="169">
        <f t="shared" si="7"/>
        <v>0.746</v>
      </c>
      <c r="J46" s="169">
        <f t="shared" si="7"/>
        <v>0.746</v>
      </c>
      <c r="K46" s="169">
        <f t="shared" si="7"/>
        <v>0.746</v>
      </c>
      <c r="L46" s="169">
        <f t="shared" si="7"/>
        <v>0.746</v>
      </c>
    </row>
    <row r="47" spans="2:12" x14ac:dyDescent="0.2">
      <c r="B47" s="122" t="s">
        <v>229</v>
      </c>
      <c r="C47" s="137"/>
      <c r="D47" s="95">
        <f>D42/C42-1</f>
        <v>0.95983606557377055</v>
      </c>
      <c r="E47" s="95">
        <f t="shared" si="7"/>
        <v>-1.2291928063571727</v>
      </c>
      <c r="F47" s="95">
        <f t="shared" si="7"/>
        <v>-0.26459854014598538</v>
      </c>
      <c r="G47" s="96">
        <f t="shared" si="7"/>
        <v>-6.7915632754342434</v>
      </c>
      <c r="H47" s="169">
        <f t="shared" si="7"/>
        <v>-8.7352185089974332E-2</v>
      </c>
      <c r="I47" s="169">
        <f t="shared" si="7"/>
        <v>0.74599999999999977</v>
      </c>
      <c r="J47" s="169">
        <f t="shared" si="7"/>
        <v>0.746</v>
      </c>
      <c r="K47" s="169">
        <f t="shared" si="7"/>
        <v>0.74599999999999977</v>
      </c>
      <c r="L47" s="169">
        <f t="shared" si="7"/>
        <v>0.74600000000000022</v>
      </c>
    </row>
    <row r="48" spans="2:12" x14ac:dyDescent="0.2">
      <c r="B48" s="122" t="s">
        <v>230</v>
      </c>
      <c r="C48" s="137"/>
      <c r="D48" s="95">
        <f>D44/C44-1</f>
        <v>0.1105661269353504</v>
      </c>
      <c r="E48" s="95">
        <f t="shared" ref="E48:L48" si="8">E44/D44-1</f>
        <v>-0.66716330548608527</v>
      </c>
      <c r="F48" s="95">
        <f t="shared" si="8"/>
        <v>9.912070343724988E-3</v>
      </c>
      <c r="G48" s="96">
        <f t="shared" si="8"/>
        <v>0.50704448314073125</v>
      </c>
      <c r="H48" s="169">
        <f t="shared" si="8"/>
        <v>23.612731092436977</v>
      </c>
      <c r="I48" s="169">
        <f t="shared" si="8"/>
        <v>-0.12700000000000011</v>
      </c>
      <c r="J48" s="169">
        <f t="shared" si="8"/>
        <v>-0.16857142857142871</v>
      </c>
      <c r="K48" s="169">
        <f t="shared" si="8"/>
        <v>4.7599999999999865E-2</v>
      </c>
      <c r="L48" s="169">
        <f t="shared" si="8"/>
        <v>-0.1851999999999997</v>
      </c>
    </row>
    <row r="49" spans="2:12" x14ac:dyDescent="0.2">
      <c r="B49" s="122" t="s">
        <v>231</v>
      </c>
      <c r="C49" s="95">
        <f>C42/C44</f>
        <v>7.2095496986171848E-2</v>
      </c>
      <c r="D49" s="95">
        <f t="shared" ref="D49:L49" si="9">D42/D44</f>
        <v>0.12722822327462352</v>
      </c>
      <c r="E49" s="95">
        <f t="shared" si="9"/>
        <v>-8.7609912070343729E-2</v>
      </c>
      <c r="F49" s="95">
        <f t="shared" si="9"/>
        <v>-6.3796105746398601E-2</v>
      </c>
      <c r="G49" s="96">
        <f t="shared" si="9"/>
        <v>0.24516806722689075</v>
      </c>
      <c r="H49" s="169">
        <f t="shared" si="9"/>
        <v>9.0909090909090905E-3</v>
      </c>
      <c r="I49" s="169">
        <f t="shared" si="9"/>
        <v>1.8181818181818181E-2</v>
      </c>
      <c r="J49" s="169">
        <f t="shared" si="9"/>
        <v>3.8181818181818185E-2</v>
      </c>
      <c r="K49" s="169">
        <f t="shared" si="9"/>
        <v>6.3636363636363644E-2</v>
      </c>
      <c r="L49" s="169">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2026-07-28T23:39:20Z</dcterms:modified>
</cp:coreProperties>
</file>