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1D2E6B17-C197-C840-ABDE-908957A6084A}"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8" i="1"/>
  <c r="H7" i="1"/>
  <c r="H6"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5" i="20" l="1"/>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7" i="12"/>
  <c r="C46"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6" i="12"/>
  <c r="C45" i="12"/>
  <c r="C24" i="21"/>
  <c r="C26" i="21" s="1"/>
  <c r="I10" i="1" s="1"/>
  <c r="C53" i="12"/>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5"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8" i="12"/>
  <c r="C25" i="11"/>
  <c r="C69"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1" i="12"/>
  <c r="C40"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2" i="12" l="1"/>
  <c r="C56" i="12" s="1"/>
  <c r="C57"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9" i="12" s="1"/>
  <c r="C42"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0" i="12" s="1"/>
  <c r="C63" i="12" s="1"/>
  <c r="L7" i="11"/>
  <c r="I8" i="12"/>
  <c r="I7" i="11"/>
  <c r="I10" i="11" s="1"/>
  <c r="I9" i="12" s="1"/>
  <c r="K8" i="12"/>
  <c r="K7" i="11"/>
  <c r="K10" i="11" s="1"/>
  <c r="K9" i="12" s="1"/>
  <c r="C65" i="12" l="1"/>
  <c r="C68" i="12" s="1"/>
  <c r="C70" i="12" s="1"/>
  <c r="C8" i="13" s="1"/>
  <c r="I6" i="1" s="1"/>
  <c r="C44" i="12"/>
  <c r="C47" i="12" s="1"/>
  <c r="C49" i="12" s="1"/>
  <c r="C6" i="13" s="1"/>
  <c r="I4" i="1" s="1"/>
  <c r="L10" i="11"/>
  <c r="L8" i="11"/>
  <c r="L11" i="11" s="1"/>
  <c r="C20" i="11" s="1"/>
  <c r="I15" i="12"/>
  <c r="J15" i="12"/>
  <c r="K15" i="12"/>
  <c r="L15" i="12"/>
  <c r="C19" i="11" l="1"/>
  <c r="C21" i="11" s="1"/>
  <c r="C24" i="11" s="1"/>
  <c r="C26" i="11" s="1"/>
  <c r="C5" i="13" s="1"/>
  <c r="L9" i="12"/>
  <c r="I3" i="1" l="1"/>
  <c r="C9" i="13"/>
  <c r="AE6" i="5"/>
  <c r="AE22" i="5" s="1"/>
  <c r="AA9" i="5"/>
  <c r="AA13" i="5"/>
  <c r="I7" i="1" l="1"/>
  <c r="X6" i="6"/>
  <c r="X11" i="6" s="1"/>
  <c r="AB11" i="6" s="1"/>
  <c r="AE9" i="5"/>
  <c r="AB6" i="6" s="1"/>
  <c r="AA16" i="5"/>
  <c r="X13" i="6" l="1"/>
  <c r="X12" i="6"/>
  <c r="AB12" i="6" s="1"/>
  <c r="AB13" i="6" l="1"/>
  <c r="X14" i="6"/>
  <c r="X22" i="6" l="1"/>
  <c r="AB14" i="6"/>
  <c r="F27" i="1" s="1"/>
  <c r="C9" i="10" s="1"/>
  <c r="C10" i="10" s="1"/>
  <c r="C10" i="13" s="1"/>
  <c r="C11" i="13" s="1"/>
  <c r="I8"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<sst xmlns="http://schemas.openxmlformats.org/spreadsheetml/2006/main" count="766" uniqueCount="429">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</sst>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105.42</v>
    <v>2.1198999999999999</v>
    <v>6.5</v>
    <v>1.4435E-2</v>
    <v>-1.81</v>
    <v>-3.9620000000000002E-3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461.98</v>
    <v>3</v>
    <v>Computers, Phones &amp; Household Electronics</v>
    <v>Stock</v>
    <v>46290.838222140628</v>
    <v>4</v>
    <v>447.69</v>
    <v>164698734210</v>
    <v>WESTERN DIGITAL CORPORATION</v>
    <v>WESTERN DIGITAL CORPORATION</v>
    <v>454.76</v>
    <v>18.816700000000001</v>
    <v>450.31</v>
    <v>456.81</v>
    <v>455</v>
    <v>360541000</v>
    <v>WDC</v>
    <v>WESTERN DIGITAL CORPORATION (XNAS:WDC)</v>
    <v>5831760</v>
    <v>6317508</v>
    <v>2000</v>
  </rv>
  <rv s="4">
    <v>5</v>
  </rv>
  <rv s="0">
    <v>https://www.bing.com/financeapi/forcetrigger?t=a33knm&amp;q=10+Y+TSY+YLD+NDX&amp;form=skydnc</v>
    <v>Learn more on Bing</v>
  </rv>
  <rv s="5">
    <v>7</v>
    <v>10 Y TSY YLD NDX</v>
    <v>8</v>
    <v>9</v>
    <v>Finance</v>
    <v>10</v>
    <v>en-US</v>
    <v>a33knm</v>
    <v>268435456</v>
    <v>1</v>
    <v>Powered by Refinitiv</v>
    <v>51.81</v>
    <v>39.47</v>
    <v>0.48</v>
    <v>9.3860000000000002E-3</v>
    <v>US</v>
    <v>51.81</v>
    <v>Index</v>
    <v>7</v>
    <v>50.87</v>
    <v>10 Y TSY YLD NDX</v>
    <v>51.21</v>
    <v>51.14</v>
    <v>51.62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2" zoomScale="160" zoomScaleNormal="160" workbookViewId="0">
      <selection activeCell="C53" sqref="C5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4" t="s">
        <v>17</v>
      </c>
      <c r="C2" s="245"/>
      <c r="E2" s="244" t="s">
        <v>286</v>
      </c>
      <c r="F2" s="245"/>
      <c r="H2" s="244" t="s">
        <v>324</v>
      </c>
      <c r="I2" s="245"/>
    </row>
    <row r="3" spans="2:9" x14ac:dyDescent="0.2">
      <c r="B3" s="181" t="s">
        <v>11</v>
      </c>
      <c r="C3" s="213" t="e" vm="1">
        <v>#VALUE!</v>
      </c>
      <c r="D3" s="2"/>
      <c r="E3" s="181" t="s">
        <v>238</v>
      </c>
      <c r="F3" s="183">
        <f ca="1">Statement!AC151</f>
        <v>182267.19</v>
      </c>
      <c r="H3" s="181" t="str">
        <f>'AVG target price'!B5</f>
        <v>DCF price</v>
      </c>
      <c r="I3" s="207">
        <f>'AVG target price'!C5</f>
        <v>100.93902416944954</v>
      </c>
    </row>
    <row r="4" spans="2:9" x14ac:dyDescent="0.2">
      <c r="B4" s="181" t="s">
        <v>0</v>
      </c>
      <c r="C4" s="185" t="str" cm="1">
        <f t="array" aca="1" ref="C4" ca="1">_FV(C3,"Ticker symbol",TRUE)</f>
        <v>WDC</v>
      </c>
      <c r="E4" s="182" t="s">
        <v>187</v>
      </c>
      <c r="F4" s="184">
        <f ca="1">Statement!AC152</f>
        <v>181740.19</v>
      </c>
      <c r="H4" s="181" t="str">
        <f>'AVG target price'!B6</f>
        <v>EV/EBIT price</v>
      </c>
      <c r="I4" s="207">
        <f>'AVG target price'!C6</f>
        <v>126.97405835620837</v>
      </c>
    </row>
    <row r="5" spans="2:9" x14ac:dyDescent="0.2">
      <c r="B5" s="181" t="s">
        <v>1</v>
      </c>
      <c r="C5" s="204" cm="1">
        <f t="array" aca="1" ref="C5" ca="1">_FV(C3,"Price",TRUE)</f>
        <v>456.81</v>
      </c>
      <c r="E5" s="181" t="s">
        <v>242</v>
      </c>
      <c r="F5" s="185">
        <f>Statement!AC25</f>
        <v>24.21</v>
      </c>
      <c r="H5" s="181" t="str">
        <f>'AVG target price'!B7</f>
        <v>PS price</v>
      </c>
      <c r="I5" s="207">
        <f>'AVG target price'!C7</f>
        <v>122.57242020457076</v>
      </c>
    </row>
    <row r="6" spans="2:9" x14ac:dyDescent="0.2">
      <c r="B6" s="181" t="s">
        <v>2</v>
      </c>
      <c r="C6" s="204" cm="1">
        <f t="array" aca="1" ref="C6" ca="1">_FV(C3,"Price (Extended hours)",TRUE)</f>
        <v>455</v>
      </c>
      <c r="E6" s="181" t="s">
        <v>236</v>
      </c>
      <c r="F6" s="186">
        <f ca="1">Statement!AC148</f>
        <v>18.868649318463444</v>
      </c>
      <c r="H6" s="181" t="str">
        <f>'AVG target price'!B8</f>
        <v>EV/FCFF price</v>
      </c>
      <c r="I6" s="207">
        <f>'AVG target price'!C8</f>
        <v>141.88381728503509</v>
      </c>
    </row>
    <row r="7" spans="2:9" x14ac:dyDescent="0.2">
      <c r="B7" s="181" t="s">
        <v>3</v>
      </c>
      <c r="C7" s="6" cm="1">
        <f t="array" aca="1" ref="C7" ca="1">_FV(C3,"Change")</f>
        <v>6.5</v>
      </c>
      <c r="E7" s="182" t="s">
        <v>200</v>
      </c>
      <c r="F7" s="187">
        <f ca="1">Statement!AC149</f>
        <v>13.551546752844647</v>
      </c>
      <c r="H7" s="180" t="str">
        <f>'AVG target price'!B9</f>
        <v>AVG price</v>
      </c>
      <c r="I7" s="208">
        <f>'AVG target price'!C9</f>
        <v>123.09233000381593</v>
      </c>
    </row>
    <row r="8" spans="2:9" x14ac:dyDescent="0.2">
      <c r="B8" s="181" t="s">
        <v>4</v>
      </c>
      <c r="C8" s="6" cm="1">
        <f t="array" aca="1" ref="C8" ca="1">_FV(C3,"Change (extended hours)",TRUE)</f>
        <v>-1.81</v>
      </c>
      <c r="E8" s="181" t="s">
        <v>264</v>
      </c>
      <c r="F8" s="188">
        <f ca="1">Statement!AC159</f>
        <v>2.7426768361327125E-2</v>
      </c>
      <c r="H8" s="180" t="str">
        <f>'AVG target price'!B11</f>
        <v>Upside/Downside</v>
      </c>
      <c r="I8" s="209">
        <f ca="1">'AVG target price'!C11</f>
        <v>-0.73053932706417135</v>
      </c>
    </row>
    <row r="9" spans="2:9" x14ac:dyDescent="0.2">
      <c r="B9" s="181" t="s">
        <v>5</v>
      </c>
      <c r="C9" s="73" cm="1">
        <f t="array" aca="1" ref="C9" ca="1">_FV(C3,"Change (%)",TRUE)</f>
        <v>1.4435E-2</v>
      </c>
      <c r="E9" s="181" t="s">
        <v>287</v>
      </c>
      <c r="F9" s="188">
        <f ca="1">Statement!AC160</f>
        <v>5.2997964142641366E-2</v>
      </c>
    </row>
    <row r="10" spans="2:9" x14ac:dyDescent="0.2">
      <c r="B10" s="181" t="s">
        <v>6</v>
      </c>
      <c r="C10" s="73" cm="1">
        <f t="array" aca="1" ref="C10" ca="1">_FV(C3,"Change % (extended hours)",TRUE)</f>
        <v>-3.9620000000000002E-3</v>
      </c>
      <c r="E10" s="181" t="s">
        <v>292</v>
      </c>
      <c r="F10" s="188">
        <f ca="1">Statement!AC162</f>
        <v>2.3663063001080994E-2</v>
      </c>
      <c r="H10" s="180" t="s">
        <v>362</v>
      </c>
      <c r="I10" s="208">
        <f>DDM!C26</f>
        <v>11.111111111111111</v>
      </c>
    </row>
    <row r="11" spans="2:9" x14ac:dyDescent="0.2">
      <c r="B11" s="181" t="s">
        <v>7</v>
      </c>
      <c r="C11" s="205" cm="1">
        <f t="array" aca="1" ref="C11" ca="1">_FV(C3,"52 week high",TRUE)</f>
        <v>799.87</v>
      </c>
      <c r="E11" s="182" t="s">
        <v>288</v>
      </c>
      <c r="F11" s="189">
        <f ca="1">Statement!AC161</f>
        <v>1.0945469670103544E-3</v>
      </c>
    </row>
    <row r="12" spans="2:9" x14ac:dyDescent="0.2">
      <c r="B12" s="181" t="s">
        <v>8</v>
      </c>
      <c r="C12" s="205" cm="1">
        <f t="array" aca="1" ref="C12" ca="1">_FV(C3,"52 week low",TRUE)</f>
        <v>105.42</v>
      </c>
      <c r="E12" s="181" t="s">
        <v>101</v>
      </c>
      <c r="F12" s="188">
        <f>Statement!AC121</f>
        <v>0.67989322559699872</v>
      </c>
    </row>
    <row r="13" spans="2:9" x14ac:dyDescent="0.2">
      <c r="B13" s="181" t="s">
        <v>9</v>
      </c>
      <c r="C13" s="205" cm="1">
        <f t="array" aca="1" ref="C13" ca="1">_FV(C3,"Beta")</f>
        <v>2.1198999999999999</v>
      </c>
      <c r="E13" s="181" t="s">
        <v>103</v>
      </c>
      <c r="F13" s="188">
        <f>Statement!AC123</f>
        <v>1.0631768953068592</v>
      </c>
    </row>
    <row r="14" spans="2:9" x14ac:dyDescent="0.2">
      <c r="B14" s="182" t="s">
        <v>10</v>
      </c>
      <c r="C14" s="206" cm="1">
        <f t="array" aca="1" ref="C14" ca="1">_FV(C3,"Volume average",TRUE)</f>
        <v>6317508</v>
      </c>
      <c r="E14" s="182" t="s">
        <v>104</v>
      </c>
      <c r="F14" s="189">
        <f>Statement!AC138</f>
        <v>0.50818716392752861</v>
      </c>
    </row>
    <row r="15" spans="2:9" x14ac:dyDescent="0.2">
      <c r="E15" s="181" t="s">
        <v>289</v>
      </c>
      <c r="F15" s="188">
        <f ca="1">Statement!AC174</f>
        <v>2.8913596572153221E-3</v>
      </c>
    </row>
    <row r="16" spans="2:9" x14ac:dyDescent="0.2">
      <c r="E16" s="182" t="s">
        <v>294</v>
      </c>
      <c r="F16" s="187">
        <f>Statement!AC173</f>
        <v>1.4598337950138505</v>
      </c>
    </row>
    <row r="17" spans="2:9" x14ac:dyDescent="0.2">
      <c r="B17" s="246" t="s">
        <v>89</v>
      </c>
      <c r="C17" s="246"/>
      <c r="E17" s="180" t="s">
        <v>295</v>
      </c>
      <c r="F17" s="190">
        <f>Statement!AC169</f>
        <v>2.5062656641604009E-3</v>
      </c>
    </row>
    <row r="18" spans="2:9" x14ac:dyDescent="0.2">
      <c r="B18" s="180" t="s">
        <v>12</v>
      </c>
      <c r="C18" s="69" t="s">
        <v>354</v>
      </c>
      <c r="E18" s="181" t="s">
        <v>296</v>
      </c>
      <c r="F18" s="186">
        <f>Statement!AC142</f>
        <v>42.713410112871273</v>
      </c>
      <c r="I18" s="50"/>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6" t="s">
        <v>106</v>
      </c>
      <c r="C25" s="246"/>
      <c r="E25" s="244" t="s">
        <v>337</v>
      </c>
      <c r="F25" s="245"/>
    </row>
    <row r="26" spans="2:9" x14ac:dyDescent="0.2">
      <c r="B26" s="180" t="s">
        <v>107</v>
      </c>
      <c r="C26" s="166">
        <v>0.21</v>
      </c>
      <c r="E26" s="181" t="e" vm="2">
        <v>#VALUE!</v>
      </c>
      <c r="F26" s="215" cm="1">
        <f t="array" aca="1" ref="F26" ca="1">_FV(E26,"Price")</f>
        <v>51.62</v>
      </c>
    </row>
    <row r="27" spans="2:9" x14ac:dyDescent="0.2">
      <c r="B27" s="180" t="s">
        <v>171</v>
      </c>
      <c r="C27" s="217">
        <v>3.5000000000000003E-2</v>
      </c>
      <c r="E27" s="182" t="s">
        <v>338</v>
      </c>
      <c r="F27" s="216">
        <f ca="1">F26/1000</f>
        <v>5.1619999999999999E-2</v>
      </c>
    </row>
    <row r="28" spans="2:9" x14ac:dyDescent="0.2">
      <c r="B28" s="180" t="s">
        <v>342</v>
      </c>
      <c r="C28" s="217">
        <v>0.1</v>
      </c>
    </row>
    <row r="29" spans="2:9" x14ac:dyDescent="0.2">
      <c r="B29" s="180" t="s">
        <v>361</v>
      </c>
      <c r="C29" s="217">
        <v>0.11</v>
      </c>
    </row>
    <row r="33" spans="2:8" x14ac:dyDescent="0.2">
      <c r="B33" s="241" t="s">
        <v>332</v>
      </c>
      <c r="C33" s="241"/>
      <c r="D33" s="241"/>
      <c r="E33" s="241"/>
      <c r="F33" s="241"/>
      <c r="G33" s="241"/>
      <c r="H33" s="241"/>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241"/>
      <c r="C46" s="241"/>
      <c r="D46" s="241"/>
      <c r="E46" s="241"/>
      <c r="F46" s="241"/>
      <c r="G46" s="241"/>
      <c r="H46" s="241"/>
    </row>
    <row r="49" spans="2:8" x14ac:dyDescent="0.2">
      <c r="B49" s="241" t="s">
        <v>335</v>
      </c>
      <c r="C49" s="241"/>
      <c r="D49" s="241"/>
      <c r="E49" s="241"/>
      <c r="F49" s="241"/>
      <c r="G49" s="241"/>
      <c r="H49" s="241"/>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241"/>
      <c r="C66" s="241"/>
      <c r="D66" s="241"/>
      <c r="E66" s="241"/>
      <c r="F66" s="241"/>
      <c r="G66" s="241"/>
      <c r="H66" s="241"/>
    </row>
    <row r="69" spans="2:8" x14ac:dyDescent="0.2">
      <c r="B69" s="241" t="s">
        <v>108</v>
      </c>
      <c r="C69" s="241"/>
      <c r="D69" s="241"/>
      <c r="E69" s="241"/>
      <c r="F69" s="241"/>
      <c r="G69" s="241"/>
      <c r="H69" s="241"/>
    </row>
    <row r="71" spans="2:8" x14ac:dyDescent="0.2">
      <c r="B71" s="41" t="s">
        <v>336</v>
      </c>
      <c r="C71" s="41" t="s">
        <v>355</v>
      </c>
      <c r="D71" s="41"/>
      <c r="E71" s="41" t="s">
        <v>360</v>
      </c>
    </row>
    <row r="76" spans="2:8" ht="5" customHeight="1" x14ac:dyDescent="0.2">
      <c r="B76" s="241"/>
      <c r="C76" s="241"/>
      <c r="D76" s="241"/>
      <c r="E76" s="241"/>
      <c r="F76" s="241"/>
      <c r="G76" s="241"/>
      <c r="H76" s="241"/>
    </row>
  </sheetData>
  <mergeCells count="12">
    <mergeCell ref="B69:H69"/>
    <mergeCell ref="B76:H76"/>
    <mergeCell ref="B33:H33"/>
    <mergeCell ref="B46:H46"/>
    <mergeCell ref="B49:H49"/>
    <mergeCell ref="B66:H6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M206"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456.81</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456.81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18.868649318463444</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13.551546752844647</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18.604288131768953</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182267.19</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181740.19</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14.067667002089944</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40.812977767796994</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262</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36.460730146029206</v>
      </c>
    </row>
    <row r="158" spans="2:29" x14ac:dyDescent="0.2">
      <c r="B158" s="20" t="s">
        <v>263</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50.968201509976964</v>
      </c>
    </row>
    <row r="159" spans="2:29" x14ac:dyDescent="0.2">
      <c r="B159" s="20" t="s">
        <v>264</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2.7426768361327125E-2</v>
      </c>
    </row>
    <row r="160" spans="2:29" x14ac:dyDescent="0.2">
      <c r="B160" s="20" t="s">
        <v>265</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5.2997964142641366E-2</v>
      </c>
    </row>
    <row r="161" spans="2:29" x14ac:dyDescent="0.2">
      <c r="B161" s="20" t="s">
        <v>266</v>
      </c>
      <c r="L161" s="152">
        <f t="shared" ref="L161:Q161" si="211">L81/L115</f>
        <v>0</v>
      </c>
      <c r="M161" s="152">
        <f t="shared" si="211"/>
        <v>0</v>
      </c>
      <c r="N161" s="152">
        <f t="shared" si="211"/>
        <v>0</v>
      </c>
      <c r="O161" s="152">
        <f t="shared" si="211"/>
        <v>0</v>
      </c>
      <c r="P161" s="152">
        <f t="shared" si="211"/>
        <v>1.5666614444618519E-3</v>
      </c>
      <c r="Q161" s="152">
        <f t="shared" si="211"/>
        <v>9.2764378478664194E-4</v>
      </c>
      <c r="T161" s="49"/>
      <c r="U161" s="49"/>
      <c r="V161" s="49"/>
      <c r="W161" s="49"/>
      <c r="X161" s="49"/>
      <c r="Y161" s="49"/>
      <c r="Z161" s="49"/>
      <c r="AA161" s="49"/>
      <c r="AC161" s="152">
        <f ca="1">AC81/AC115</f>
        <v>1.0945469670103544E-3</v>
      </c>
    </row>
    <row r="162" spans="2:29" x14ac:dyDescent="0.2">
      <c r="B162" s="20" t="s">
        <v>291</v>
      </c>
      <c r="L162" s="152">
        <f t="shared" ref="L162:Q162" si="212">-L62/L151</f>
        <v>0</v>
      </c>
      <c r="M162" s="152">
        <f t="shared" si="212"/>
        <v>0</v>
      </c>
      <c r="N162" s="152">
        <f t="shared" si="212"/>
        <v>0</v>
      </c>
      <c r="O162" s="152">
        <f t="shared" si="212"/>
        <v>0</v>
      </c>
      <c r="P162" s="152">
        <f t="shared" si="212"/>
        <v>6.5387270371096906E-3</v>
      </c>
      <c r="Q162" s="152">
        <f t="shared" si="212"/>
        <v>1.2052394436927197E-2</v>
      </c>
      <c r="T162" s="49"/>
      <c r="U162" s="49"/>
      <c r="V162" s="49"/>
      <c r="W162" s="49"/>
      <c r="X162" s="49"/>
      <c r="Y162" s="49"/>
      <c r="Z162" s="49"/>
      <c r="AA162" s="49"/>
      <c r="AC162" s="152">
        <f ca="1">-AC62/AC151</f>
        <v>2.3663063001080994E-2</v>
      </c>
    </row>
    <row r="163" spans="2:29" x14ac:dyDescent="0.2">
      <c r="B163" s="20" t="s">
        <v>293</v>
      </c>
      <c r="L163" s="152">
        <f t="shared" ref="L163:Q163" si="213">-(L62+L63)/L151</f>
        <v>0</v>
      </c>
      <c r="M163" s="152">
        <f t="shared" si="213"/>
        <v>0</v>
      </c>
      <c r="N163" s="152">
        <f t="shared" si="213"/>
        <v>0</v>
      </c>
      <c r="O163" s="152">
        <f t="shared" si="213"/>
        <v>0</v>
      </c>
      <c r="P163" s="152">
        <f t="shared" si="213"/>
        <v>8.4696262963904045E-3</v>
      </c>
      <c r="Q163" s="152">
        <f t="shared" si="213"/>
        <v>1.2907965646955981E-2</v>
      </c>
      <c r="T163" s="49"/>
      <c r="U163" s="49"/>
      <c r="V163" s="49"/>
      <c r="W163" s="49"/>
      <c r="X163" s="49"/>
      <c r="Y163" s="49"/>
      <c r="Z163" s="49"/>
      <c r="AA163" s="49"/>
      <c r="AC163" s="152">
        <f ca="1">-(AC62+AC63)/AC151</f>
        <v>2.5226701525381503E-2</v>
      </c>
    </row>
    <row r="164" spans="2:29" x14ac:dyDescent="0.2">
      <c r="B164" s="20" t="s">
        <v>340</v>
      </c>
      <c r="L164" s="152">
        <f t="shared" ref="L164:Q164" si="214">L156/L5</f>
        <v>5.7410248456430654E-2</v>
      </c>
      <c r="M164" s="152">
        <f t="shared" si="214"/>
        <v>2.2420831520460437E-2</v>
      </c>
      <c r="N164" s="152">
        <f t="shared" si="214"/>
        <v>-7.1782573940847319E-2</v>
      </c>
      <c r="O164" s="152">
        <f t="shared" si="214"/>
        <v>-9.9572581921798325E-2</v>
      </c>
      <c r="P164" s="152">
        <f t="shared" si="214"/>
        <v>0.14096638655462185</v>
      </c>
      <c r="Q164" s="152">
        <f t="shared" si="214"/>
        <v>0.27368653809612248</v>
      </c>
      <c r="T164" s="49"/>
      <c r="U164" s="49"/>
      <c r="V164" s="49"/>
      <c r="W164" s="49"/>
      <c r="X164" s="49"/>
      <c r="Y164" s="49"/>
      <c r="Z164" s="49"/>
      <c r="AA164" s="49"/>
      <c r="AC164" s="152">
        <f>AC156/AC5</f>
        <v>0.27600869925410682</v>
      </c>
    </row>
    <row r="165" spans="2:29" x14ac:dyDescent="0.2">
      <c r="B165" s="20" t="s">
        <v>341</v>
      </c>
      <c r="L165" s="152">
        <f t="shared" ref="L165:Q165" si="215">L155/L5</f>
        <v>2.5647086632785723E-2</v>
      </c>
      <c r="M165" s="152">
        <f t="shared" si="215"/>
        <v>2.2987282498802747E-2</v>
      </c>
      <c r="N165" s="152">
        <f t="shared" si="215"/>
        <v>-0.24732214228617105</v>
      </c>
      <c r="O165" s="152">
        <f t="shared" si="215"/>
        <v>-0.17033401931296502</v>
      </c>
      <c r="P165" s="152">
        <f t="shared" si="215"/>
        <v>0.1065126050420168</v>
      </c>
      <c r="Q165" s="152">
        <f t="shared" si="215"/>
        <v>0.25597956498180974</v>
      </c>
      <c r="T165" s="49"/>
      <c r="U165" s="49"/>
      <c r="V165" s="49"/>
      <c r="W165" s="49"/>
      <c r="X165" s="49"/>
      <c r="Y165" s="49"/>
      <c r="Z165" s="49"/>
      <c r="AA165" s="49"/>
      <c r="AC165" s="152">
        <f>AC155/AC5</f>
        <v>0.38694945429212785</v>
      </c>
    </row>
    <row r="166" spans="2:29" x14ac:dyDescent="0.2">
      <c r="B166" s="20" t="s">
        <v>269</v>
      </c>
      <c r="L166" s="152">
        <f t="shared" ref="L166:Q166" si="216">-L63/L155</f>
        <v>0</v>
      </c>
      <c r="M166" s="152">
        <f t="shared" si="216"/>
        <v>0</v>
      </c>
      <c r="N166" s="152">
        <f t="shared" si="216"/>
        <v>0</v>
      </c>
      <c r="O166" s="152">
        <f t="shared" si="216"/>
        <v>0</v>
      </c>
      <c r="P166" s="152">
        <f t="shared" si="216"/>
        <v>4.3392504930966469E-2</v>
      </c>
      <c r="Q166" s="152">
        <f t="shared" si="216"/>
        <v>5.5639552464469305E-2</v>
      </c>
      <c r="T166" s="49"/>
      <c r="U166" s="49"/>
      <c r="V166" s="49"/>
      <c r="W166" s="49"/>
      <c r="X166" s="49"/>
      <c r="Y166" s="49"/>
      <c r="Z166" s="49"/>
      <c r="AA166" s="49"/>
      <c r="AC166" s="152">
        <f>-AC63/AC155</f>
        <v>5.7011402280456092E-2</v>
      </c>
    </row>
    <row r="167" spans="2:29" x14ac:dyDescent="0.2">
      <c r="B167" s="20" t="s">
        <v>271</v>
      </c>
      <c r="L167" s="152">
        <f t="shared" ref="L167:Q167" si="217">-L62/L155</f>
        <v>0</v>
      </c>
      <c r="M167" s="152">
        <f t="shared" si="217"/>
        <v>0</v>
      </c>
      <c r="N167" s="152">
        <f t="shared" si="217"/>
        <v>0</v>
      </c>
      <c r="O167" s="152">
        <f t="shared" si="217"/>
        <v>0</v>
      </c>
      <c r="P167" s="152">
        <f t="shared" si="217"/>
        <v>0.14694280078895464</v>
      </c>
      <c r="Q167" s="152">
        <f t="shared" si="217"/>
        <v>0.78379195645600241</v>
      </c>
      <c r="T167" s="49"/>
      <c r="U167" s="49"/>
      <c r="V167" s="49"/>
      <c r="W167" s="49"/>
      <c r="X167" s="49"/>
      <c r="Y167" s="49"/>
      <c r="Z167" s="49"/>
      <c r="AA167" s="49"/>
      <c r="AC167" s="152">
        <f>-AC62/AC155</f>
        <v>0.86277255451090218</v>
      </c>
    </row>
    <row r="168" spans="2:29" x14ac:dyDescent="0.2">
      <c r="B168" s="20" t="s">
        <v>282</v>
      </c>
      <c r="L168" s="152">
        <f t="shared" ref="L168:Q168" si="218">(-L63-L62)/L155</f>
        <v>0</v>
      </c>
      <c r="M168" s="152">
        <f t="shared" si="218"/>
        <v>0</v>
      </c>
      <c r="N168" s="152">
        <f t="shared" si="218"/>
        <v>0</v>
      </c>
      <c r="O168" s="152">
        <f t="shared" si="218"/>
        <v>0</v>
      </c>
      <c r="P168" s="152">
        <f t="shared" si="218"/>
        <v>0.19033530571992111</v>
      </c>
      <c r="Q168" s="152">
        <f t="shared" si="218"/>
        <v>0.83943150892047169</v>
      </c>
      <c r="T168" s="49"/>
      <c r="U168" s="49"/>
      <c r="V168" s="49"/>
      <c r="W168" s="49"/>
      <c r="X168" s="49"/>
      <c r="Y168" s="49"/>
      <c r="Z168" s="49"/>
      <c r="AA168" s="49"/>
      <c r="AC168" s="152">
        <f>(-AC63-AC62)/AC155</f>
        <v>0.91978395679135827</v>
      </c>
    </row>
    <row r="169" spans="2:29" x14ac:dyDescent="0.2">
      <c r="B169" s="20" t="s">
        <v>276</v>
      </c>
      <c r="L169" s="152">
        <f t="shared" ref="L169:Q169" si="219">L79/L77</f>
        <v>3.1948881789137375E-3</v>
      </c>
      <c r="M169" s="152">
        <f t="shared" si="219"/>
        <v>3.1446540880503142E-3</v>
      </c>
      <c r="N169" s="152">
        <f t="shared" si="219"/>
        <v>3.105590062111801E-3</v>
      </c>
      <c r="O169" s="152">
        <f t="shared" si="219"/>
        <v>2.9154518950437317E-3</v>
      </c>
      <c r="P169" s="152">
        <f t="shared" si="219"/>
        <v>2.8011204481792717E-3</v>
      </c>
      <c r="Q169" s="152">
        <f t="shared" si="219"/>
        <v>2.5062656641604009E-3</v>
      </c>
      <c r="T169" s="49"/>
      <c r="U169" s="49"/>
      <c r="V169" s="49"/>
      <c r="W169" s="49"/>
      <c r="X169" s="49"/>
      <c r="Y169" s="49"/>
      <c r="Z169" s="49"/>
      <c r="AA169" s="49"/>
      <c r="AC169" s="152">
        <f>AC79/AC77</f>
        <v>2.5062656641604009E-3</v>
      </c>
    </row>
    <row r="170" spans="2:29" x14ac:dyDescent="0.2">
      <c r="B170" s="20" t="s">
        <v>277</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279</v>
      </c>
      <c r="L171" s="152">
        <f t="shared" ref="L171:Q171" si="223">L53/L58</f>
        <v>0.16754478398314016</v>
      </c>
      <c r="M171" s="152">
        <f t="shared" si="223"/>
        <v>0.17340425531914894</v>
      </c>
      <c r="N171" s="152">
        <f t="shared" si="223"/>
        <v>-0.77941176470588236</v>
      </c>
      <c r="O171" s="152">
        <f t="shared" si="223"/>
        <v>-1.0034013605442176</v>
      </c>
      <c r="P171" s="152">
        <f t="shared" si="223"/>
        <v>0.15671200473092844</v>
      </c>
      <c r="Q171" s="152">
        <f t="shared" si="223"/>
        <v>5.1921608551794347E-2</v>
      </c>
      <c r="T171" s="152">
        <f t="shared" ref="T171:Z171" si="224">T53/T58</f>
        <v>2.4705882352941178</v>
      </c>
      <c r="U171" s="152">
        <f t="shared" si="224"/>
        <v>0.36842105263157893</v>
      </c>
      <c r="V171" s="152">
        <f t="shared" si="224"/>
        <v>0.23280423280423279</v>
      </c>
      <c r="W171" s="152">
        <f t="shared" si="224"/>
        <v>6.0321715817694369E-2</v>
      </c>
      <c r="X171" s="152">
        <f t="shared" si="224"/>
        <v>7.8869047619047616E-2</v>
      </c>
      <c r="Y171" s="152">
        <f t="shared" si="224"/>
        <v>7.4805928016937195E-2</v>
      </c>
      <c r="Z171" s="152">
        <f t="shared" si="224"/>
        <v>6.2598425196850396E-2</v>
      </c>
      <c r="AA171" s="152">
        <f t="shared" ref="AA171" si="225">AA53/AA58</f>
        <v>3.2397408207343416E-2</v>
      </c>
      <c r="AC171" s="152">
        <f>AC53/AC58</f>
        <v>6.0319042871385842E-2</v>
      </c>
    </row>
    <row r="172" spans="2:29" x14ac:dyDescent="0.2">
      <c r="B172" s="20" t="s">
        <v>280</v>
      </c>
      <c r="L172" s="152">
        <f t="shared" ref="L172:Q172" si="226">L53/L5</f>
        <v>1.8792104952133317E-2</v>
      </c>
      <c r="M172" s="152">
        <f t="shared" si="226"/>
        <v>1.7346884478263182E-2</v>
      </c>
      <c r="N172" s="152">
        <f t="shared" si="226"/>
        <v>5.0839328537170263E-2</v>
      </c>
      <c r="O172" s="152">
        <f t="shared" si="226"/>
        <v>4.6699382618331488E-2</v>
      </c>
      <c r="P172" s="152">
        <f t="shared" si="226"/>
        <v>2.7836134453781514E-2</v>
      </c>
      <c r="Q172" s="152">
        <f t="shared" si="226"/>
        <v>1.5790695874293676E-2</v>
      </c>
      <c r="T172" s="152">
        <f t="shared" ref="T172:Z172" si="227">T53/T5</f>
        <v>3.7974683544303799E-2</v>
      </c>
      <c r="U172" s="152">
        <f t="shared" si="227"/>
        <v>6.6832710668327105E-2</v>
      </c>
      <c r="V172" s="152">
        <f t="shared" si="227"/>
        <v>9.5902353966870094E-2</v>
      </c>
      <c r="W172" s="152">
        <f t="shared" si="227"/>
        <v>1.7274472168905951E-2</v>
      </c>
      <c r="X172" s="152">
        <f t="shared" si="227"/>
        <v>1.8807665010645847E-2</v>
      </c>
      <c r="Y172" s="152">
        <f t="shared" si="227"/>
        <v>3.5134239310573419E-2</v>
      </c>
      <c r="Z172" s="152">
        <f t="shared" si="227"/>
        <v>4.7647587653581062E-2</v>
      </c>
      <c r="AA172" s="152">
        <f t="shared" ref="AA172" si="228">AA53/AA5</f>
        <v>1.2009607686148919E-2</v>
      </c>
      <c r="AC172" s="152">
        <f>AC53/AC5</f>
        <v>2.8098150011610805E-2</v>
      </c>
    </row>
    <row r="173" spans="2:29" x14ac:dyDescent="0.2">
      <c r="B173" s="20" t="s">
        <v>285</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290</v>
      </c>
      <c r="L174" s="152">
        <f t="shared" ref="L174:Q174" si="232">(L105-L106)/L151</f>
        <v>-0.32581653395701898</v>
      </c>
      <c r="M174" s="152">
        <f t="shared" si="232"/>
        <v>-0.39786895430677177</v>
      </c>
      <c r="N174" s="152">
        <f t="shared" si="232"/>
        <v>-0.40127785569580804</v>
      </c>
      <c r="O174" s="152">
        <f t="shared" si="232"/>
        <v>-0.21374337174301083</v>
      </c>
      <c r="P174" s="152">
        <f t="shared" si="232"/>
        <v>-0.11396694037163668</v>
      </c>
      <c r="Q174" s="152">
        <f t="shared" si="232"/>
        <v>2.4504675417672196E-3</v>
      </c>
      <c r="T174" s="49"/>
      <c r="U174" s="49"/>
      <c r="V174" s="49"/>
      <c r="W174" s="49"/>
      <c r="X174" s="49"/>
      <c r="Y174" s="49"/>
      <c r="Z174" s="49"/>
      <c r="AA174" s="49"/>
      <c r="AC174" s="152">
        <f ca="1">(AC105-AC106)/AC151</f>
        <v>2.8913596572153221E-3</v>
      </c>
    </row>
    <row r="175" spans="2:29" x14ac:dyDescent="0.2">
      <c r="B175" s="20" t="s">
        <v>299</v>
      </c>
      <c r="L175" s="152">
        <f t="shared" ref="L175:Q175" si="233">-L108/L5</f>
        <v>6.7722491431272902E-2</v>
      </c>
      <c r="M175" s="152">
        <f t="shared" si="233"/>
        <v>5.9703080934390466E-2</v>
      </c>
      <c r="N175" s="152">
        <f t="shared" si="233"/>
        <v>0.13125499600319745</v>
      </c>
      <c r="O175" s="152">
        <f t="shared" si="233"/>
        <v>7.7093557068228596E-2</v>
      </c>
      <c r="P175" s="152">
        <f t="shared" si="233"/>
        <v>4.3277310924369747E-2</v>
      </c>
      <c r="Q175" s="152">
        <f t="shared" si="233"/>
        <v>3.2355445467915474E-2</v>
      </c>
      <c r="T175" s="152">
        <f t="shared" ref="T175:Z175" si="234">-T108/T5</f>
        <v>4.3399638336347197E-2</v>
      </c>
      <c r="U175" s="152">
        <f t="shared" si="234"/>
        <v>8.8003320880033209E-2</v>
      </c>
      <c r="V175" s="152">
        <f t="shared" si="234"/>
        <v>0.14864864864864866</v>
      </c>
      <c r="W175" s="152">
        <f t="shared" si="234"/>
        <v>2.72552783109405E-2</v>
      </c>
      <c r="X175" s="152">
        <f t="shared" si="234"/>
        <v>2.5904897090134847E-2</v>
      </c>
      <c r="Y175" s="152">
        <f t="shared" si="234"/>
        <v>5.4690089492873718E-2</v>
      </c>
      <c r="Z175" s="152">
        <f t="shared" si="234"/>
        <v>9.2897812406353017E-2</v>
      </c>
      <c r="AA175" s="152">
        <f t="shared" ref="AA175" si="235">-AA108/AA5</f>
        <v>2.8823058446757407E-2</v>
      </c>
      <c r="AC175" s="152">
        <f>-AC108/AC5</f>
        <v>5.0777923987924765E-2</v>
      </c>
    </row>
    <row r="176" spans="2:29" x14ac:dyDescent="0.2">
      <c r="B176" s="20" t="s">
        <v>300</v>
      </c>
      <c r="L176" s="152">
        <f t="shared" ref="L176:Q176" si="236">-(L108/L58)</f>
        <v>0.60379346680716539</v>
      </c>
      <c r="M176" s="152">
        <f t="shared" si="236"/>
        <v>0.59680851063829787</v>
      </c>
      <c r="N176" s="152">
        <f t="shared" si="236"/>
        <v>-2.0122549019607843</v>
      </c>
      <c r="O176" s="152">
        <f t="shared" si="236"/>
        <v>-1.6564625850340136</v>
      </c>
      <c r="P176" s="152">
        <f t="shared" si="236"/>
        <v>0.24364281490242459</v>
      </c>
      <c r="Q176" s="152">
        <f t="shared" si="236"/>
        <v>0.10638839399338254</v>
      </c>
      <c r="T176" s="152">
        <f t="shared" ref="T176:Z176" si="237">-(T108/T58)</f>
        <v>2.8235294117647061</v>
      </c>
      <c r="U176" s="152">
        <f t="shared" si="237"/>
        <v>0.48512585812356979</v>
      </c>
      <c r="V176" s="152">
        <f t="shared" si="237"/>
        <v>0.36084656084656086</v>
      </c>
      <c r="W176" s="152">
        <f t="shared" si="237"/>
        <v>9.5174262734584444E-2</v>
      </c>
      <c r="X176" s="152">
        <f t="shared" si="237"/>
        <v>0.10863095238095238</v>
      </c>
      <c r="Y176" s="152">
        <f t="shared" si="237"/>
        <v>0.11644318983768526</v>
      </c>
      <c r="Z176" s="152">
        <f t="shared" si="237"/>
        <v>0.12204724409448819</v>
      </c>
      <c r="AA176" s="152">
        <f t="shared" ref="AA176" si="238">-(AA108/AA58)</f>
        <v>7.775377969762419E-2</v>
      </c>
      <c r="AC176" s="152">
        <f>-(AC108/AC58)</f>
        <v>0.10900631439016284</v>
      </c>
    </row>
    <row r="177" spans="1:31" x14ac:dyDescent="0.2">
      <c r="B177" s="20" t="s">
        <v>301</v>
      </c>
      <c r="L177" s="152">
        <f t="shared" ref="L177:Q177" si="239">-L108/L52</f>
        <v>0.9455445544554455</v>
      </c>
      <c r="M177" s="152">
        <f t="shared" si="239"/>
        <v>1.2077502691065662</v>
      </c>
      <c r="N177" s="152">
        <f t="shared" si="239"/>
        <v>0.99154589371980673</v>
      </c>
      <c r="O177" s="152">
        <f t="shared" si="239"/>
        <v>0.85739436619718312</v>
      </c>
      <c r="P177" s="152">
        <f t="shared" si="239"/>
        <v>0.91352549889135259</v>
      </c>
      <c r="Q177" s="152">
        <f t="shared" si="239"/>
        <v>1.1146666666666667</v>
      </c>
      <c r="T177" s="152">
        <f t="shared" ref="T177:Z177" si="240">-T108/T52</f>
        <v>0.71111111111111114</v>
      </c>
      <c r="U177" s="152">
        <f t="shared" si="240"/>
        <v>0.83137254901960789</v>
      </c>
      <c r="V177" s="152">
        <f t="shared" si="240"/>
        <v>0.9342465753424658</v>
      </c>
      <c r="W177" s="152">
        <f t="shared" si="240"/>
        <v>0.82558139534883723</v>
      </c>
      <c r="X177" s="152">
        <f t="shared" si="240"/>
        <v>0.82954545454545459</v>
      </c>
      <c r="Y177" s="152">
        <f t="shared" si="240"/>
        <v>0.91666666666666663</v>
      </c>
      <c r="Z177" s="152">
        <f t="shared" si="240"/>
        <v>1.1231884057971016</v>
      </c>
      <c r="AA177" s="152">
        <f t="shared" ref="AA177" si="241">-AA108/AA52</f>
        <v>1.0909090909090908</v>
      </c>
      <c r="AC177" s="152">
        <f>-AC108/AC52</f>
        <v>1.0202177293934682</v>
      </c>
    </row>
    <row r="178" spans="1:31" x14ac:dyDescent="0.2">
      <c r="B178" s="20" t="s">
        <v>353</v>
      </c>
      <c r="L178" s="220">
        <f t="shared" ref="L178:Q178" si="242">L5/L36</f>
        <v>0.64755854890555642</v>
      </c>
      <c r="M178" s="220">
        <f t="shared" si="242"/>
        <v>0.71567843406070297</v>
      </c>
      <c r="N178" s="220">
        <f t="shared" si="242"/>
        <v>0.25604813950632443</v>
      </c>
      <c r="O178" s="220">
        <f t="shared" si="242"/>
        <v>0.26116255994708121</v>
      </c>
      <c r="P178" s="220">
        <f t="shared" si="242"/>
        <v>0.67990287101842595</v>
      </c>
      <c r="Q178" s="220">
        <f t="shared" si="242"/>
        <v>0.93203953538705719</v>
      </c>
      <c r="T178" s="49"/>
      <c r="U178" s="49"/>
      <c r="V178" s="49"/>
      <c r="W178" s="49"/>
      <c r="X178" s="49"/>
      <c r="Y178" s="49"/>
      <c r="Z178" s="49"/>
      <c r="AA178" s="49"/>
      <c r="AC178" s="220">
        <f>AC5/AC36</f>
        <v>0.93203953538705719</v>
      </c>
    </row>
    <row r="179" spans="1:31" x14ac:dyDescent="0.2">
      <c r="B179" s="20" t="s">
        <v>350</v>
      </c>
      <c r="L179" s="222">
        <f t="shared" ref="L179:Q179" si="243">IF(AND(L11&gt;0,L106&gt;0),L106/L11,"N/A")</f>
        <v>7.1516393442622954</v>
      </c>
      <c r="M179" s="222">
        <f t="shared" si="243"/>
        <v>2.9284818067754079</v>
      </c>
      <c r="N179" s="222" t="str">
        <f t="shared" si="243"/>
        <v>N/A</v>
      </c>
      <c r="O179" s="222" t="str">
        <f t="shared" si="243"/>
        <v>N/A</v>
      </c>
      <c r="P179" s="222">
        <f t="shared" si="243"/>
        <v>2.0184233076263927</v>
      </c>
      <c r="Q179" s="222">
        <f t="shared" si="243"/>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4">IF(AND(L11&gt;0,L106&gt;0),(L106-L105)/L11,"N/A")</f>
        <v>4.389344262295082</v>
      </c>
      <c r="M180" s="222">
        <f t="shared" si="244"/>
        <v>1.9552488498536178</v>
      </c>
      <c r="N180" s="222" t="str">
        <f t="shared" si="244"/>
        <v>N/A</v>
      </c>
      <c r="O180" s="222" t="str">
        <f t="shared" si="244"/>
        <v>N/A</v>
      </c>
      <c r="P180" s="222">
        <f t="shared" si="244"/>
        <v>1.1126820908311912</v>
      </c>
      <c r="Q180" s="222">
        <f t="shared" si="244"/>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5">L5/(L106+L110-L105)</f>
        <v>1.0526250311022642</v>
      </c>
      <c r="M181" s="222">
        <f t="shared" si="245"/>
        <v>1.1122750946969697</v>
      </c>
      <c r="N181" s="222">
        <f t="shared" si="245"/>
        <v>0.39354473386183464</v>
      </c>
      <c r="O181" s="222">
        <f t="shared" si="245"/>
        <v>0.38581811518964149</v>
      </c>
      <c r="P181" s="222">
        <f t="shared" si="245"/>
        <v>1.2038442083965604</v>
      </c>
      <c r="Q181" s="222">
        <f t="shared" si="245"/>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2">100*(1+((N115-$M115)/ABS($M115)))</f>
        <v>105.7104194857916</v>
      </c>
      <c r="O201" s="141">
        <f t="shared" si="262"/>
        <v>205.06089309878212</v>
      </c>
      <c r="P201" s="141">
        <f t="shared" si="262"/>
        <v>218.17940460081186</v>
      </c>
      <c r="Q201" s="141">
        <f t="shared" ref="Q201" si="263">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4">100*(1+((N25-$M25)/ABS($M25)))</f>
        <v>-61.263157894736842</v>
      </c>
      <c r="O203" s="141">
        <f t="shared" si="264"/>
        <v>-52.84210526315789</v>
      </c>
      <c r="P203" s="141">
        <f t="shared" si="264"/>
        <v>118.32315789473684</v>
      </c>
      <c r="Q203" s="141">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1" t="s">
        <v>232</v>
      </c>
      <c r="C4" s="241"/>
      <c r="E4" s="241" t="s">
        <v>239</v>
      </c>
      <c r="F4" s="241"/>
      <c r="G4" s="241"/>
    </row>
    <row r="5" spans="2:7" x14ac:dyDescent="0.2">
      <c r="B5" s="20" t="s">
        <v>1</v>
      </c>
      <c r="C5" s="168">
        <f ca="1">Overview!C5</f>
        <v>456.81</v>
      </c>
      <c r="E5" s="12"/>
      <c r="F5" s="132" t="s">
        <v>240</v>
      </c>
      <c r="G5" s="132" t="s">
        <v>241</v>
      </c>
    </row>
    <row r="6" spans="2:7" x14ac:dyDescent="0.2">
      <c r="B6" s="20" t="s">
        <v>238</v>
      </c>
      <c r="C6" s="169">
        <f ca="1">Statement!AC151</f>
        <v>182267.19</v>
      </c>
      <c r="E6" s="20" t="s">
        <v>19</v>
      </c>
      <c r="F6" s="174">
        <f>IF(Statement!M5&lt;=0,"N/A",_xlfn.RRI(4,Statement!M5,Statement!Q5))</f>
        <v>-8.9440780255571894E-2</v>
      </c>
      <c r="G6" s="174" t="str">
        <f>IF(Statement!H5&lt;=0,"N/A",_xlfn.RRI(9,Statement!H5,Statement!Q5))</f>
        <v>N/A</v>
      </c>
    </row>
    <row r="7" spans="2:7" x14ac:dyDescent="0.2">
      <c r="B7" s="20" t="s">
        <v>187</v>
      </c>
      <c r="C7" s="169">
        <f ca="1">Statement!AC152</f>
        <v>181740.19</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18.868649318463444</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13.551546752844647</v>
      </c>
      <c r="E9" s="20" t="s">
        <v>243</v>
      </c>
      <c r="F9" s="174" t="str">
        <f>IF(Statement!M81&lt;=0,"N/A",_xlfn.RRI(4,Statement!M81,Statement!Q81))</f>
        <v>N/A</v>
      </c>
      <c r="G9" s="174" t="str">
        <f>IF(Statement!H81&lt;=0,"N/A",_xlfn.RRI(9,Statement!H81,Statement!Q81))</f>
        <v>N/A</v>
      </c>
    </row>
    <row r="10" spans="2:7" x14ac:dyDescent="0.2">
      <c r="B10" s="20" t="s">
        <v>237</v>
      </c>
      <c r="C10" s="170">
        <f ca="1">Statement!AC150</f>
        <v>18.604288131768953</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14.067667002089944</v>
      </c>
    </row>
    <row r="12" spans="2:7" x14ac:dyDescent="0.2">
      <c r="B12" s="20" t="s">
        <v>203</v>
      </c>
      <c r="C12" s="170">
        <f ca="1">Statement!AC154</f>
        <v>40.812977767796994</v>
      </c>
    </row>
    <row r="15" spans="2:7" x14ac:dyDescent="0.2">
      <c r="B15" s="241" t="s">
        <v>76</v>
      </c>
      <c r="C15" s="241"/>
      <c r="E15" s="241" t="s">
        <v>245</v>
      </c>
      <c r="F15" s="241"/>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1" t="s">
        <v>244</v>
      </c>
      <c r="C21" s="241"/>
      <c r="E21" s="241" t="s">
        <v>248</v>
      </c>
      <c r="F21" s="241"/>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1" t="s">
        <v>249</v>
      </c>
      <c r="C29" s="241"/>
      <c r="E29" s="241" t="s">
        <v>255</v>
      </c>
      <c r="F29" s="241"/>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1" t="s">
        <v>267</v>
      </c>
      <c r="C37" s="241"/>
      <c r="E37" s="241" t="s">
        <v>270</v>
      </c>
      <c r="F37" s="241"/>
    </row>
    <row r="38" spans="2:6" x14ac:dyDescent="0.2">
      <c r="B38" s="20" t="s">
        <v>265</v>
      </c>
      <c r="C38" s="171">
        <f ca="1">Statement!AC160</f>
        <v>5.2997964142641366E-2</v>
      </c>
      <c r="E38" s="20" t="s">
        <v>269</v>
      </c>
      <c r="F38" s="171">
        <f>Statement!AC166</f>
        <v>5.7011402280456092E-2</v>
      </c>
    </row>
    <row r="39" spans="2:6" x14ac:dyDescent="0.2">
      <c r="B39" s="54" t="s">
        <v>268</v>
      </c>
      <c r="C39" s="211">
        <f ca="1">Statement!AC159</f>
        <v>2.7426768361327125E-2</v>
      </c>
      <c r="E39" s="20" t="s">
        <v>271</v>
      </c>
      <c r="F39" s="171">
        <f>Statement!AC167</f>
        <v>0.86277255451090218</v>
      </c>
    </row>
    <row r="40" spans="2:6" x14ac:dyDescent="0.2">
      <c r="B40" s="20" t="s">
        <v>266</v>
      </c>
      <c r="C40" s="171">
        <f ca="1">Statement!AC161</f>
        <v>1.0945469670103544E-3</v>
      </c>
      <c r="E40" s="20" t="s">
        <v>272</v>
      </c>
      <c r="F40" s="171">
        <f>Statement!AC168</f>
        <v>0.91978395679135827</v>
      </c>
    </row>
    <row r="41" spans="2:6" x14ac:dyDescent="0.2">
      <c r="B41" s="20" t="s">
        <v>291</v>
      </c>
      <c r="C41" s="171">
        <f ca="1">Statement!AC162</f>
        <v>2.3663063001080994E-2</v>
      </c>
    </row>
    <row r="42" spans="2:6" x14ac:dyDescent="0.2">
      <c r="B42" s="20" t="s">
        <v>293</v>
      </c>
      <c r="C42" s="171">
        <f ca="1">Statement!AC163</f>
        <v>2.5226701525381503E-2</v>
      </c>
    </row>
    <row r="45" spans="2:6" x14ac:dyDescent="0.2">
      <c r="B45" s="241" t="s">
        <v>278</v>
      </c>
      <c r="C45" s="241"/>
      <c r="E45" s="241" t="s">
        <v>284</v>
      </c>
      <c r="F45" s="241"/>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2.8913596572153221E-3</v>
      </c>
    </row>
    <row r="51" spans="2:6" x14ac:dyDescent="0.2">
      <c r="B51" s="241" t="s">
        <v>281</v>
      </c>
      <c r="C51" s="241"/>
      <c r="E51" s="241" t="s">
        <v>302</v>
      </c>
      <c r="F51" s="241"/>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456.81</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182267.19</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181740.19</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18.868649318463444</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13.551546752844647</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18.604288131768953</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14.067667002089944</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40.812977767796994</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5.2997964142641366E-2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2.7426768361327125E-2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1.0945469670103544E-3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2.3663063001080994E-2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2.5226701525381503E-2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2.8913596572153221E-3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312</v>
      </c>
      <c r="D3" s="250"/>
      <c r="F3" s="251" t="s">
        <v>313</v>
      </c>
      <c r="G3" s="250"/>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47">
        <f>Statement!AA88</f>
        <v>0.12286484866646688</v>
      </c>
      <c r="D7" s="248"/>
      <c r="F7" s="247">
        <f>IF(F6=0,
IF(G6=0,0,IF(G6&gt;0,1,-1)),
(G6-F6)/ABS(F6)
)</f>
        <v>0.43838771593090209</v>
      </c>
      <c r="G7" s="248"/>
    </row>
    <row r="8" spans="2:7" x14ac:dyDescent="0.2">
      <c r="B8" s="203" t="s">
        <v>20</v>
      </c>
      <c r="C8" s="196">
        <f>Statement!Z6</f>
        <v>1661</v>
      </c>
      <c r="D8" s="194">
        <f>Statement!AA6</f>
        <v>1719</v>
      </c>
      <c r="F8" s="196">
        <f>Statement!W6</f>
        <v>1538</v>
      </c>
      <c r="G8" s="194">
        <f>Statement!AA6</f>
        <v>1719</v>
      </c>
    </row>
    <row r="9" spans="2:7" x14ac:dyDescent="0.2">
      <c r="B9" s="202" t="s">
        <v>314</v>
      </c>
      <c r="C9" s="247">
        <f>Statement!AA89</f>
        <v>3.4918723660445516E-2</v>
      </c>
      <c r="D9" s="248"/>
      <c r="F9" s="247">
        <f>IF(F8=0,
IF(G8=0,0,IF(G8&gt;0,1,-1)),
(G8-F8)/ABS(F8)
)</f>
        <v>0.1176853055916775</v>
      </c>
      <c r="G9" s="248"/>
    </row>
    <row r="10" spans="2:7" x14ac:dyDescent="0.2">
      <c r="B10" s="203" t="s">
        <v>21</v>
      </c>
      <c r="C10" s="196">
        <f>Statement!Z7</f>
        <v>1676</v>
      </c>
      <c r="D10" s="194">
        <f>Statement!AA7</f>
        <v>2028</v>
      </c>
      <c r="F10" s="196">
        <f>Statement!W7</f>
        <v>1067</v>
      </c>
      <c r="G10" s="194">
        <f>Statement!AA7</f>
        <v>2028</v>
      </c>
    </row>
    <row r="11" spans="2:7" x14ac:dyDescent="0.2">
      <c r="B11" s="202" t="s">
        <v>314</v>
      </c>
      <c r="C11" s="247">
        <f>Statement!AA90</f>
        <v>0.21002386634844869</v>
      </c>
      <c r="D11" s="248"/>
      <c r="F11" s="247">
        <f>IF(F10=0,
IF(G10=0,0,IF(G10&gt;0,1,-1)),
(G10-F10)/ABS(F10)
)</f>
        <v>0.90065604498594187</v>
      </c>
      <c r="G11" s="248"/>
    </row>
    <row r="12" spans="2:7" x14ac:dyDescent="0.2">
      <c r="B12" s="203" t="s">
        <v>24</v>
      </c>
      <c r="C12" s="196">
        <f>Statement!Z10</f>
        <v>486</v>
      </c>
      <c r="D12" s="196">
        <f>Statement!AA10</f>
        <v>465</v>
      </c>
      <c r="F12" s="196">
        <f>Statement!W10</f>
        <v>387</v>
      </c>
      <c r="G12" s="194">
        <f>Statement!AA10</f>
        <v>465</v>
      </c>
    </row>
    <row r="13" spans="2:7" x14ac:dyDescent="0.2">
      <c r="B13" s="202" t="s">
        <v>314</v>
      </c>
      <c r="C13" s="247">
        <f>Statement!AA93</f>
        <v>-4.3209876543209874E-2</v>
      </c>
      <c r="D13" s="248"/>
      <c r="F13" s="247">
        <f>IF(F12=0,
IF(G12=0,0,IF(G12&gt;0,1,-1)),
(G12-F12)/ABS(F12)
)</f>
        <v>0.20155038759689922</v>
      </c>
      <c r="G13" s="248"/>
    </row>
    <row r="14" spans="2:7" x14ac:dyDescent="0.2">
      <c r="B14" s="203" t="s">
        <v>315</v>
      </c>
      <c r="C14" s="196">
        <f>Statement!Z11</f>
        <v>1190</v>
      </c>
      <c r="D14" s="194">
        <f>Statement!AA11</f>
        <v>1563</v>
      </c>
      <c r="F14" s="196">
        <f>Statement!W11</f>
        <v>680</v>
      </c>
      <c r="G14" s="194">
        <f>Statement!AA11</f>
        <v>1563</v>
      </c>
    </row>
    <row r="15" spans="2:7" x14ac:dyDescent="0.2">
      <c r="B15" s="202" t="s">
        <v>314</v>
      </c>
      <c r="C15" s="247">
        <f>Statement!AA94</f>
        <v>0.3134453781512605</v>
      </c>
      <c r="D15" s="248"/>
      <c r="F15" s="247">
        <f>IF(F14=0,
IF(G14=0,0,IF(G14&gt;0,1,-1)),
(G14-F14)/ABS(F14)
)</f>
        <v>1.2985294117647059</v>
      </c>
      <c r="G15" s="248"/>
    </row>
    <row r="16" spans="2:7" x14ac:dyDescent="0.2">
      <c r="B16" s="203" t="s">
        <v>30</v>
      </c>
      <c r="C16" s="196">
        <f>Statement!Z17</f>
        <v>3205</v>
      </c>
      <c r="D16" s="194">
        <f>Statement!AA17</f>
        <v>3195</v>
      </c>
      <c r="F16" s="196">
        <f>Statement!W17</f>
        <v>252</v>
      </c>
      <c r="G16" s="194">
        <f>Statement!AA17</f>
        <v>3195</v>
      </c>
    </row>
    <row r="17" spans="2:7" x14ac:dyDescent="0.2">
      <c r="B17" s="202" t="s">
        <v>314</v>
      </c>
      <c r="C17" s="247">
        <f>Statement!AA96</f>
        <v>-3.1201248049921998E-3</v>
      </c>
      <c r="D17" s="248"/>
      <c r="F17" s="247">
        <f>IF(F16=0,
IF(G16=0,0,IF(G16&gt;0,1,-1)),
(G16-F16)/ABS(F16)
)</f>
        <v>11.678571428571429</v>
      </c>
      <c r="G17" s="248"/>
    </row>
    <row r="18" spans="2:7" x14ac:dyDescent="0.2">
      <c r="B18" s="203" t="s">
        <v>316</v>
      </c>
      <c r="C18" s="196">
        <f>Statement!Z21</f>
        <v>387</v>
      </c>
      <c r="D18" s="194">
        <f>Statement!AA21</f>
        <v>389</v>
      </c>
      <c r="F18" s="196">
        <f>Statement!W21</f>
        <v>362</v>
      </c>
      <c r="G18" s="194">
        <f>Statement!AA21</f>
        <v>389</v>
      </c>
    </row>
    <row r="19" spans="2:7" x14ac:dyDescent="0.2">
      <c r="B19" s="202" t="s">
        <v>314</v>
      </c>
      <c r="C19" s="247">
        <f>IF(C18=0,
IF(D18=0,0,IF(D18&gt;0,1,-1)),
(D18-C18)/ABS(C18)
)</f>
        <v>5.1679586563307496E-3</v>
      </c>
      <c r="D19" s="248"/>
      <c r="F19" s="247">
        <f>IF(F18=0,
IF(G18=0,0,IF(G18&gt;0,1,-1)),
(G18-F18)/ABS(F18)
)</f>
        <v>7.4585635359116026E-2</v>
      </c>
      <c r="G19" s="248"/>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47">
        <f>IF(C20=0,
IF(D20=0,0,IF(D20&gt;0,1,-1)),
(D20-C20)/ABS(C20)
)</f>
        <v>1.219512195122142E-3</v>
      </c>
      <c r="D21" s="248"/>
      <c r="F21" s="247">
        <f>IF(F20=0,
IF(G20=0,0,IF(G20&gt;0,1,-1)),
(G20-F20)/ABS(F20)
)</f>
        <v>11.253731343283583</v>
      </c>
      <c r="G21" s="248"/>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47">
        <f>IF(C24=0,
IF(D24=0,0,IF(D24&gt;0,1,-1)),
(D24-C24)/ABS(C24)
)</f>
        <v>0.12213997308209959</v>
      </c>
      <c r="D25" s="248"/>
      <c r="F25" s="247">
        <f>IF(F24=0,
IF(G24=0,0,IF(G24&gt;0,1,-1)),
(G24-F24)/ABS(F24)
)</f>
        <v>0.43194504079003865</v>
      </c>
      <c r="G25" s="248"/>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47">
        <f>IF(C26=0,
IF(D26=0,0,IF(D26&gt;0,1,-1)),
(D26-C26)/ABS(C26)
)</f>
        <v>0.25698324022346369</v>
      </c>
      <c r="D27" s="248"/>
      <c r="F27" s="247">
        <f>IF(F26=0,
IF(G26=0,0,IF(G26&gt;0,1,-1)),
(G26-F26)/ABS(F26)
)</f>
        <v>0.6071428571428571</v>
      </c>
      <c r="G27" s="248"/>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47">
        <f>IF(C28=0,
IF(D28=0,0,IF(D28&gt;0,1,-1)),
(D28-C28)/ABS(C28)
)</f>
        <v>5.3763440860215058E-3</v>
      </c>
      <c r="D29" s="248"/>
      <c r="F29" s="247">
        <f>IF(F28=0,
IF(G28=0,0,IF(G28&gt;0,1,-1)),
(G28-F28)/ABS(F28)
)</f>
        <v>0.375</v>
      </c>
      <c r="G29" s="248"/>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1" t="s">
        <v>112</v>
      </c>
      <c r="D2" s="241"/>
      <c r="E2" s="241"/>
      <c r="F2" s="241"/>
      <c r="G2" s="242"/>
      <c r="H2" s="243" t="s">
        <v>113</v>
      </c>
      <c r="I2" s="241"/>
      <c r="J2" s="241"/>
      <c r="K2" s="241"/>
      <c r="L2" s="241"/>
      <c r="O2" s="5"/>
      <c r="S2" s="241" t="s">
        <v>112</v>
      </c>
      <c r="T2" s="241"/>
      <c r="U2" s="241"/>
      <c r="V2" s="241"/>
      <c r="W2" s="241"/>
      <c r="X2" s="241"/>
      <c r="Y2" s="241"/>
      <c r="Z2" s="241"/>
      <c r="AA2" s="241" t="s">
        <v>113</v>
      </c>
      <c r="AB2" s="241"/>
      <c r="AC2" s="241"/>
      <c r="AE2" s="85" t="s">
        <v>114</v>
      </c>
    </row>
    <row r="3" spans="1:31" ht="10" customHeight="1" x14ac:dyDescent="0.2">
      <c r="O3" s="5"/>
    </row>
    <row r="4" spans="1:31" ht="16" customHeight="1" x14ac:dyDescent="0.2">
      <c r="A4" s="86"/>
      <c r="B4" s="60"/>
      <c r="C4" s="240" t="s">
        <v>115</v>
      </c>
      <c r="D4" s="240"/>
      <c r="E4" s="240"/>
      <c r="F4" s="240"/>
      <c r="G4" s="240"/>
      <c r="H4" s="240"/>
      <c r="I4" s="240"/>
      <c r="J4" s="240"/>
      <c r="K4" s="240"/>
      <c r="L4" s="240"/>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0" t="s">
        <v>121</v>
      </c>
      <c r="D11" s="240"/>
      <c r="E11" s="240"/>
      <c r="F11" s="240"/>
      <c r="G11" s="240"/>
      <c r="H11" s="240"/>
      <c r="I11" s="240"/>
      <c r="J11" s="240"/>
      <c r="K11" s="240"/>
      <c r="L11" s="240"/>
      <c r="O11" s="5"/>
      <c r="Q11" s="91"/>
      <c r="S11" s="252" t="s">
        <v>121</v>
      </c>
      <c r="T11" s="253"/>
      <c r="U11" s="253"/>
      <c r="V11" s="253"/>
      <c r="W11" s="253"/>
      <c r="X11" s="253"/>
      <c r="Y11" s="253"/>
      <c r="Z11" s="253"/>
      <c r="AA11" s="253"/>
      <c r="AB11" s="253"/>
      <c r="AC11" s="253"/>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0" t="s">
        <v>414</v>
      </c>
      <c r="D19" s="240"/>
      <c r="E19" s="240"/>
      <c r="F19" s="240"/>
      <c r="G19" s="240"/>
      <c r="H19" s="240"/>
      <c r="I19" s="240"/>
      <c r="J19" s="240"/>
      <c r="K19" s="240"/>
      <c r="L19" s="240"/>
      <c r="O19" s="5"/>
      <c r="S19" s="252" t="s">
        <v>115</v>
      </c>
      <c r="T19" s="253"/>
      <c r="U19" s="253"/>
      <c r="V19" s="253"/>
      <c r="W19" s="253"/>
      <c r="X19" s="253"/>
      <c r="Y19" s="253"/>
      <c r="Z19" s="253"/>
      <c r="AA19" s="253"/>
      <c r="AB19" s="253"/>
      <c r="AC19" s="253"/>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1" t="s">
        <v>112</v>
      </c>
      <c r="D2" s="241"/>
      <c r="E2" s="241"/>
      <c r="F2" s="241"/>
      <c r="G2" s="242"/>
      <c r="H2" s="243" t="s">
        <v>113</v>
      </c>
      <c r="I2" s="241"/>
      <c r="J2" s="241"/>
      <c r="K2" s="241"/>
      <c r="L2" s="241"/>
      <c r="P2" s="241" t="s">
        <v>112</v>
      </c>
      <c r="Q2" s="241"/>
      <c r="R2" s="241"/>
      <c r="S2" s="241"/>
      <c r="T2" s="241"/>
      <c r="U2" s="241"/>
      <c r="V2" s="241"/>
      <c r="W2" s="241"/>
      <c r="X2" s="241" t="s">
        <v>113</v>
      </c>
      <c r="Y2" s="241"/>
      <c r="Z2" s="241"/>
      <c r="AB2" s="85" t="s">
        <v>114</v>
      </c>
    </row>
    <row r="3" spans="1:30" ht="10" customHeight="1" x14ac:dyDescent="0.2"/>
    <row r="4" spans="1:30" ht="16" customHeight="1" x14ac:dyDescent="0.2">
      <c r="A4" s="86"/>
      <c r="B4" s="60"/>
      <c r="C4" s="240" t="s">
        <v>115</v>
      </c>
      <c r="D4" s="240"/>
      <c r="E4" s="240"/>
      <c r="F4" s="240"/>
      <c r="G4" s="240"/>
      <c r="H4" s="240"/>
      <c r="I4" s="240"/>
      <c r="J4" s="240"/>
      <c r="K4" s="240"/>
      <c r="L4" s="240"/>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0" t="s">
        <v>124</v>
      </c>
      <c r="D9" s="240"/>
      <c r="E9" s="240"/>
      <c r="F9" s="240"/>
      <c r="G9" s="240"/>
      <c r="H9" s="240"/>
      <c r="I9" s="240"/>
      <c r="J9" s="240"/>
      <c r="K9" s="240"/>
      <c r="L9" s="240"/>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0" t="s">
        <v>127</v>
      </c>
      <c r="D17" s="240"/>
      <c r="E17" s="240"/>
      <c r="F17" s="240"/>
      <c r="G17" s="240"/>
      <c r="H17" s="240"/>
      <c r="I17" s="240"/>
      <c r="J17" s="240"/>
      <c r="K17" s="240"/>
      <c r="L17" s="240"/>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115</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131</v>
      </c>
      <c r="D11" s="240"/>
      <c r="E11" s="240"/>
      <c r="F11" s="240"/>
      <c r="G11" s="240"/>
      <c r="H11" s="240"/>
      <c r="I11" s="240"/>
      <c r="J11" s="240"/>
      <c r="K11" s="240"/>
      <c r="L11" s="240"/>
      <c r="N11" s="91"/>
      <c r="P11" s="254"/>
      <c r="Q11" s="254"/>
      <c r="R11" s="254"/>
      <c r="S11" s="254"/>
      <c r="T11" s="254"/>
      <c r="U11" s="254"/>
      <c r="V11" s="254"/>
      <c r="W11" s="254"/>
      <c r="X11" s="254"/>
      <c r="Y11" s="254"/>
      <c r="Z11" s="254"/>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0" t="s">
        <v>136</v>
      </c>
      <c r="D18" s="240"/>
      <c r="E18" s="240"/>
      <c r="F18" s="240"/>
      <c r="G18" s="240"/>
      <c r="H18" s="240"/>
      <c r="I18" s="240"/>
      <c r="J18" s="240"/>
      <c r="K18" s="240"/>
      <c r="L18" s="24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0" t="s">
        <v>142</v>
      </c>
      <c r="D26" s="240"/>
      <c r="E26" s="240"/>
      <c r="F26" s="240"/>
      <c r="G26" s="240"/>
      <c r="H26" s="240"/>
      <c r="I26" s="240"/>
      <c r="J26" s="240"/>
      <c r="K26" s="240"/>
      <c r="L26" s="24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0" t="s">
        <v>146</v>
      </c>
      <c r="D33" s="240"/>
      <c r="E33" s="240"/>
      <c r="F33" s="240"/>
      <c r="G33" s="240"/>
      <c r="H33" s="240"/>
      <c r="I33" s="240"/>
      <c r="J33" s="240"/>
      <c r="K33" s="240"/>
      <c r="L33" s="24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0" t="s">
        <v>149</v>
      </c>
      <c r="D40" s="240"/>
      <c r="E40" s="240"/>
      <c r="F40" s="240"/>
      <c r="G40" s="240"/>
      <c r="H40" s="240"/>
      <c r="I40" s="240"/>
      <c r="J40" s="240"/>
      <c r="K40" s="240"/>
      <c r="L40" s="24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1" t="s">
        <v>112</v>
      </c>
      <c r="D2" s="241"/>
      <c r="E2" s="241"/>
      <c r="F2" s="241"/>
      <c r="G2" s="242"/>
      <c r="H2" s="243" t="s">
        <v>113</v>
      </c>
      <c r="I2" s="241"/>
      <c r="J2" s="241"/>
      <c r="K2" s="241"/>
      <c r="L2" s="241"/>
      <c r="S2" s="254"/>
      <c r="T2" s="254"/>
      <c r="U2" s="254"/>
      <c r="V2" s="254"/>
      <c r="W2" s="254"/>
      <c r="X2" s="254"/>
      <c r="Y2" s="254"/>
      <c r="Z2" s="254"/>
      <c r="AA2" s="254"/>
      <c r="AB2" s="254"/>
      <c r="AC2" s="254"/>
      <c r="AE2" s="109"/>
    </row>
    <row r="3" spans="1:31" ht="10" customHeight="1" x14ac:dyDescent="0.2"/>
    <row r="4" spans="1:31" ht="16" customHeight="1" x14ac:dyDescent="0.2">
      <c r="A4" s="86"/>
      <c r="B4" s="60"/>
      <c r="C4" s="240" t="s">
        <v>18</v>
      </c>
      <c r="D4" s="240"/>
      <c r="E4" s="240"/>
      <c r="F4" s="240"/>
      <c r="G4" s="240"/>
      <c r="H4" s="240"/>
      <c r="I4" s="240"/>
      <c r="J4" s="240"/>
      <c r="K4" s="240"/>
      <c r="L4" s="240"/>
      <c r="S4" s="254"/>
      <c r="T4" s="254"/>
      <c r="U4" s="254"/>
      <c r="V4" s="254"/>
      <c r="W4" s="254"/>
      <c r="X4" s="254"/>
      <c r="Y4" s="254"/>
      <c r="Z4" s="254"/>
      <c r="AA4" s="254"/>
      <c r="AB4" s="254"/>
      <c r="AC4" s="254"/>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0" t="s">
        <v>157</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0" t="s">
        <v>158</v>
      </c>
      <c r="D18" s="240"/>
      <c r="E18" s="240"/>
      <c r="F18" s="240"/>
      <c r="G18" s="240"/>
      <c r="H18" s="240"/>
      <c r="I18" s="240"/>
      <c r="J18" s="240"/>
      <c r="K18" s="240"/>
      <c r="L18" s="24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0" t="s">
        <v>261</v>
      </c>
      <c r="D25" s="240"/>
      <c r="E25" s="240"/>
      <c r="F25" s="240"/>
      <c r="G25" s="240"/>
      <c r="H25" s="240"/>
      <c r="I25" s="240"/>
      <c r="J25" s="240"/>
      <c r="K25" s="240"/>
      <c r="L25" s="24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0" t="s">
        <v>76</v>
      </c>
      <c r="D31" s="240"/>
      <c r="E31" s="240"/>
      <c r="F31" s="240"/>
      <c r="G31" s="240"/>
      <c r="H31" s="240"/>
      <c r="I31" s="240"/>
      <c r="J31" s="240"/>
      <c r="K31" s="240"/>
      <c r="L31" s="24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1" t="s">
        <v>165</v>
      </c>
      <c r="C4" s="241"/>
    </row>
    <row r="5" spans="1:3" ht="17" customHeight="1" x14ac:dyDescent="0.2">
      <c r="B5" s="1" t="s">
        <v>166</v>
      </c>
      <c r="C5" s="136">
        <f>Statement!AC77</f>
        <v>399</v>
      </c>
    </row>
    <row r="6" spans="1:3" ht="17" customHeight="1" x14ac:dyDescent="0.2">
      <c r="B6" s="1" t="s">
        <v>1</v>
      </c>
      <c r="C6" s="133">
        <f ca="1">Overview!C5</f>
        <v>456.81</v>
      </c>
    </row>
    <row r="7" spans="1:3" ht="17" customHeight="1" x14ac:dyDescent="0.2">
      <c r="B7" s="1" t="s">
        <v>167</v>
      </c>
      <c r="C7" s="134">
        <f ca="1">C5*C6</f>
        <v>182267.19</v>
      </c>
    </row>
    <row r="8" spans="1:3" ht="17" customHeight="1" x14ac:dyDescent="0.2">
      <c r="B8" s="1" t="s">
        <v>168</v>
      </c>
      <c r="C8" s="112">
        <f>Statement!AC106</f>
        <v>1052</v>
      </c>
    </row>
    <row r="9" spans="1:3" ht="17" customHeight="1" x14ac:dyDescent="0.2">
      <c r="B9" s="1" t="s">
        <v>169</v>
      </c>
      <c r="C9" s="135">
        <f ca="1">Overview!F27</f>
        <v>5.1619999999999999E-2</v>
      </c>
    </row>
    <row r="10" spans="1:3" ht="17" customHeight="1" x14ac:dyDescent="0.2">
      <c r="B10" s="1" t="s">
        <v>9</v>
      </c>
      <c r="C10" s="133">
        <f ca="1">Overview!C13</f>
        <v>2.1198999999999999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1" t="s">
        <v>172</v>
      </c>
      <c r="C15" s="241"/>
    </row>
    <row r="16" spans="1:3" ht="17" customHeight="1" x14ac:dyDescent="0.2">
      <c r="B16" s="1" t="s">
        <v>173</v>
      </c>
      <c r="C16" s="46">
        <f ca="1">C8/(C8+C7)</f>
        <v>5.7386245269794179E-3</v>
      </c>
    </row>
    <row r="17" spans="2:3" ht="17" customHeight="1" x14ac:dyDescent="0.2">
      <c r="B17" s="1" t="s">
        <v>174</v>
      </c>
      <c r="C17" s="46">
        <f ca="1">C7/(C8+C7)</f>
        <v>0.99426137547302063</v>
      </c>
    </row>
    <row r="18" spans="2:3" ht="17" customHeight="1" x14ac:dyDescent="0.2">
      <c r="B18" s="1" t="s">
        <v>175</v>
      </c>
      <c r="C18" s="46">
        <f>C13*(1-C12)</f>
        <v>2.7650000000000004E-2</v>
      </c>
    </row>
    <row r="19" spans="2:3" ht="17" customHeight="1" x14ac:dyDescent="0.2">
      <c r="B19" s="1" t="s">
        <v>176</v>
      </c>
      <c r="C19" s="46">
        <f ca="1">C9+C10*C11</f>
        <v>0.14701549999999999</v>
      </c>
    </row>
    <row r="20" spans="2:3" ht="17" customHeight="1" x14ac:dyDescent="0.2">
      <c r="B20" s="1" t="s">
        <v>164</v>
      </c>
      <c r="C20" s="46">
        <f ca="1">(C17*C19)+(C16*C18)</f>
        <v>0.14633050621402485</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1" t="s">
        <v>183</v>
      </c>
      <c r="C13" s="241"/>
    </row>
    <row r="14" spans="1:28" x14ac:dyDescent="0.2">
      <c r="B14" s="1" t="s">
        <v>184</v>
      </c>
      <c r="C14" s="140">
        <v>1.4999999999999999E-2</v>
      </c>
    </row>
    <row r="15" spans="1:28" x14ac:dyDescent="0.2">
      <c r="B15" s="1" t="s">
        <v>164</v>
      </c>
      <c r="C15" s="135">
        <f>IF(Overview!C28&gt;0,Overview!C28,WACC!C20)</f>
        <v>0.1</v>
      </c>
    </row>
    <row r="18" spans="2:3" x14ac:dyDescent="0.2">
      <c r="B18" s="241" t="s">
        <v>185</v>
      </c>
      <c r="C18" s="241"/>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7" zoomScale="169" zoomScaleNormal="100" workbookViewId="0">
      <selection activeCell="C64" sqref="C6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1" t="s">
        <v>112</v>
      </c>
      <c r="D2" s="241"/>
      <c r="E2" s="241"/>
      <c r="F2" s="241"/>
      <c r="G2" s="242"/>
      <c r="H2" s="243" t="s">
        <v>113</v>
      </c>
      <c r="I2" s="241"/>
      <c r="J2" s="241"/>
      <c r="K2" s="241"/>
      <c r="L2" s="241"/>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40" t="s">
        <v>121</v>
      </c>
      <c r="D11" s="240"/>
      <c r="E11" s="240"/>
      <c r="F11" s="240"/>
      <c r="G11" s="240"/>
      <c r="H11" s="240"/>
      <c r="I11" s="240"/>
      <c r="J11" s="240"/>
      <c r="K11" s="240"/>
      <c r="L11" s="24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40" t="s">
        <v>195</v>
      </c>
      <c r="D17" s="240"/>
      <c r="E17" s="240"/>
      <c r="F17" s="240"/>
      <c r="G17" s="240"/>
      <c r="H17" s="240"/>
      <c r="I17" s="240"/>
      <c r="J17" s="240"/>
      <c r="K17" s="240"/>
      <c r="L17" s="24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40" t="s">
        <v>198</v>
      </c>
      <c r="D22" s="240"/>
      <c r="E22" s="240"/>
      <c r="F22" s="240"/>
      <c r="G22" s="240"/>
      <c r="H22" s="240"/>
      <c r="I22" s="240"/>
      <c r="J22" s="240"/>
      <c r="K22" s="240"/>
      <c r="L22" s="24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40" t="s">
        <v>199</v>
      </c>
      <c r="D27" s="240"/>
      <c r="E27" s="240"/>
      <c r="F27" s="240"/>
      <c r="G27" s="240"/>
      <c r="H27" s="240"/>
      <c r="I27" s="240"/>
      <c r="J27" s="240"/>
      <c r="K27" s="240"/>
      <c r="L27" s="24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N36" s="91"/>
    </row>
    <row r="37" spans="2:14" x14ac:dyDescent="0.2">
      <c r="N37" s="91"/>
    </row>
    <row r="38" spans="2:14" x14ac:dyDescent="0.2">
      <c r="B38" s="241" t="s">
        <v>204</v>
      </c>
      <c r="C38" s="241"/>
      <c r="N38" s="91"/>
    </row>
    <row r="39" spans="2:14" x14ac:dyDescent="0.2">
      <c r="B39" s="1" t="s">
        <v>205</v>
      </c>
      <c r="C39" s="64">
        <f>L7</f>
        <v>3932.0637021947737</v>
      </c>
    </row>
    <row r="40" spans="2:14" x14ac:dyDescent="0.2">
      <c r="B40" s="1" t="s">
        <v>164</v>
      </c>
      <c r="C40" s="135">
        <f>IF(Overview!C28&gt;0,Overview!C28,WACC!C20)</f>
        <v>0.1</v>
      </c>
    </row>
    <row r="41" spans="2:14" x14ac:dyDescent="0.2">
      <c r="B41" s="39" t="s">
        <v>206</v>
      </c>
      <c r="C41" s="105">
        <v>15</v>
      </c>
    </row>
    <row r="42" spans="2:14" x14ac:dyDescent="0.2">
      <c r="B42" s="1" t="s">
        <v>425</v>
      </c>
      <c r="C42" s="24">
        <f>(C39*C41)</f>
        <v>58980.955532921602</v>
      </c>
    </row>
    <row r="43" spans="2:14" x14ac:dyDescent="0.2">
      <c r="B43" s="1" t="s">
        <v>426</v>
      </c>
      <c r="C43" s="24">
        <f>C42/(1+C40)^5</f>
        <v>36622.532944794868</v>
      </c>
    </row>
    <row r="44" spans="2:14" x14ac:dyDescent="0.2">
      <c r="B44" s="16" t="s">
        <v>424</v>
      </c>
      <c r="C44" s="108">
        <f>SUM(H9:K9)+C43</f>
        <v>50135.649284127139</v>
      </c>
    </row>
    <row r="45" spans="2:14" x14ac:dyDescent="0.2">
      <c r="B45" s="1" t="s">
        <v>188</v>
      </c>
      <c r="C45" s="88">
        <f>Statement!AC105</f>
        <v>1579</v>
      </c>
    </row>
    <row r="46" spans="2:14" x14ac:dyDescent="0.2">
      <c r="B46" s="1" t="s">
        <v>189</v>
      </c>
      <c r="C46" s="88">
        <f>Statement!AC106</f>
        <v>1052</v>
      </c>
    </row>
    <row r="47" spans="2:14" x14ac:dyDescent="0.2">
      <c r="B47" s="16" t="s">
        <v>190</v>
      </c>
      <c r="C47" s="108">
        <f>C44+C45-C46</f>
        <v>50662.649284127139</v>
      </c>
    </row>
    <row r="48" spans="2:14" x14ac:dyDescent="0.2">
      <c r="B48" s="1" t="s">
        <v>68</v>
      </c>
      <c r="C48" s="88">
        <f>Statement!AC77</f>
        <v>399</v>
      </c>
    </row>
    <row r="49" spans="2:3" x14ac:dyDescent="0.2">
      <c r="B49" s="238" t="s">
        <v>208</v>
      </c>
      <c r="C49" s="239">
        <f>C47/C48</f>
        <v>126.97405835620837</v>
      </c>
    </row>
    <row r="51" spans="2:3" x14ac:dyDescent="0.2">
      <c r="B51" s="241" t="s">
        <v>209</v>
      </c>
      <c r="C51" s="241"/>
    </row>
    <row r="52" spans="2:3" x14ac:dyDescent="0.2">
      <c r="B52" s="1" t="s">
        <v>210</v>
      </c>
      <c r="C52" s="64">
        <f>L6</f>
        <v>16383.598759144892</v>
      </c>
    </row>
    <row r="53" spans="2:3" x14ac:dyDescent="0.2">
      <c r="B53" s="1" t="s">
        <v>343</v>
      </c>
      <c r="C53" s="135">
        <f>IF(Overview!C29&gt;0,Overview!C29,WACC!C19)</f>
        <v>0.11</v>
      </c>
    </row>
    <row r="54" spans="2:3" x14ac:dyDescent="0.2">
      <c r="B54" s="39" t="s">
        <v>211</v>
      </c>
      <c r="C54" s="105">
        <v>6</v>
      </c>
    </row>
    <row r="55" spans="2:3" x14ac:dyDescent="0.2">
      <c r="B55" s="1" t="s">
        <v>207</v>
      </c>
      <c r="C55" s="24">
        <f>L19</f>
        <v>475.94075857028014</v>
      </c>
    </row>
    <row r="56" spans="2:3" x14ac:dyDescent="0.2">
      <c r="B56" s="1" t="s">
        <v>191</v>
      </c>
      <c r="C56" s="24">
        <f>(C52*C54)/C55</f>
        <v>206.54165625605603</v>
      </c>
    </row>
    <row r="57" spans="2:3" x14ac:dyDescent="0.2">
      <c r="B57" s="238" t="s">
        <v>208</v>
      </c>
      <c r="C57" s="239">
        <f>C56/(1+C53)^5</f>
        <v>122.57242020457076</v>
      </c>
    </row>
    <row r="59" spans="2:3" x14ac:dyDescent="0.2">
      <c r="B59" s="241" t="s">
        <v>321</v>
      </c>
      <c r="C59" s="241"/>
    </row>
    <row r="60" spans="2:3" x14ac:dyDescent="0.2">
      <c r="B60" s="1" t="s">
        <v>428</v>
      </c>
      <c r="C60" s="64">
        <f>L8</f>
        <v>3264.8509313359541</v>
      </c>
    </row>
    <row r="61" spans="2:3" x14ac:dyDescent="0.2">
      <c r="B61" s="1" t="s">
        <v>164</v>
      </c>
      <c r="C61" s="135">
        <f>IF(Overview!C28&gt;0,Overview!C28,WACC!C20)</f>
        <v>0.1</v>
      </c>
    </row>
    <row r="62" spans="2:3" x14ac:dyDescent="0.2">
      <c r="B62" s="39" t="s">
        <v>344</v>
      </c>
      <c r="C62" s="105">
        <v>21</v>
      </c>
    </row>
    <row r="63" spans="2:3" x14ac:dyDescent="0.2">
      <c r="B63" s="1" t="s">
        <v>425</v>
      </c>
      <c r="C63" s="24">
        <f>(C60*C62)</f>
        <v>68561.869558055041</v>
      </c>
    </row>
    <row r="64" spans="2:3" x14ac:dyDescent="0.2">
      <c r="B64" s="1" t="s">
        <v>427</v>
      </c>
      <c r="C64" s="24">
        <f>C63/(1+C61)^5</f>
        <v>42571.526757396736</v>
      </c>
    </row>
    <row r="65" spans="2:3" x14ac:dyDescent="0.2">
      <c r="B65" s="16" t="s">
        <v>424</v>
      </c>
      <c r="C65" s="108">
        <f>SUM(H9:K9)+C64</f>
        <v>56084.643096729007</v>
      </c>
    </row>
    <row r="66" spans="2:3" x14ac:dyDescent="0.2">
      <c r="B66" s="1" t="s">
        <v>188</v>
      </c>
      <c r="C66" s="88">
        <f>Statement!AC105</f>
        <v>1579</v>
      </c>
    </row>
    <row r="67" spans="2:3" x14ac:dyDescent="0.2">
      <c r="B67" s="1" t="s">
        <v>189</v>
      </c>
      <c r="C67" s="88">
        <f>Statement!AC106</f>
        <v>1052</v>
      </c>
    </row>
    <row r="68" spans="2:3" x14ac:dyDescent="0.2">
      <c r="B68" s="16" t="s">
        <v>190</v>
      </c>
      <c r="C68" s="108">
        <f>C65+C66-C67</f>
        <v>56611.643096729007</v>
      </c>
    </row>
    <row r="69" spans="2:3" x14ac:dyDescent="0.2">
      <c r="B69" s="1" t="s">
        <v>68</v>
      </c>
      <c r="C69" s="88">
        <f>Statement!AC77</f>
        <v>399</v>
      </c>
    </row>
    <row r="70" spans="2:3" x14ac:dyDescent="0.2">
      <c r="B70" s="238" t="s">
        <v>208</v>
      </c>
      <c r="C70" s="239">
        <f>C68/C69</f>
        <v>141.88381728503509</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F9" sqref="F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1" t="s">
        <v>213</v>
      </c>
      <c r="C4" s="241"/>
      <c r="N4" s="91"/>
    </row>
    <row r="5" spans="1:14" x14ac:dyDescent="0.2">
      <c r="B5" s="1" t="s">
        <v>214</v>
      </c>
      <c r="C5" s="133">
        <f>DCF!C26</f>
        <v>100.93902416944954</v>
      </c>
    </row>
    <row r="6" spans="1:14" x14ac:dyDescent="0.2">
      <c r="B6" s="1" t="s">
        <v>215</v>
      </c>
      <c r="C6" s="133">
        <f>Multiples!C49</f>
        <v>126.97405835620837</v>
      </c>
    </row>
    <row r="7" spans="1:14" x14ac:dyDescent="0.2">
      <c r="B7" s="1" t="s">
        <v>216</v>
      </c>
      <c r="C7" s="133">
        <f>Multiples!C57</f>
        <v>122.57242020457076</v>
      </c>
    </row>
    <row r="8" spans="1:14" x14ac:dyDescent="0.2">
      <c r="B8" s="1" t="s">
        <v>322</v>
      </c>
      <c r="C8" s="133">
        <f>Multiples!C70</f>
        <v>141.88381728503509</v>
      </c>
    </row>
    <row r="9" spans="1:14" x14ac:dyDescent="0.2">
      <c r="B9" s="238" t="s">
        <v>217</v>
      </c>
      <c r="C9" s="239">
        <f>AVERAGE(C5:C8)</f>
        <v>123.09233000381593</v>
      </c>
    </row>
    <row r="10" spans="1:14" x14ac:dyDescent="0.2">
      <c r="B10" s="1" t="s">
        <v>218</v>
      </c>
      <c r="C10" s="133">
        <f ca="1">Overview!C5</f>
        <v>456.81</v>
      </c>
    </row>
    <row r="11" spans="1:14" x14ac:dyDescent="0.2">
      <c r="B11" s="1" t="s">
        <v>219</v>
      </c>
      <c r="C11" s="152">
        <f ca="1">(C9-C10)/C10</f>
        <v>-0.73053932706417135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1" t="s">
        <v>112</v>
      </c>
      <c r="D2" s="241"/>
      <c r="E2" s="241"/>
      <c r="F2" s="241"/>
      <c r="G2" s="242"/>
      <c r="H2" s="243" t="s">
        <v>113</v>
      </c>
      <c r="I2" s="241"/>
      <c r="J2" s="241"/>
      <c r="K2" s="241"/>
      <c r="L2" s="241"/>
    </row>
    <row r="3" spans="1:14" ht="10" customHeight="1" x14ac:dyDescent="0.2"/>
    <row r="4" spans="1:14" ht="16" customHeight="1" x14ac:dyDescent="0.2">
      <c r="A4" s="86"/>
      <c r="B4" s="60"/>
      <c r="C4" s="240" t="s">
        <v>193</v>
      </c>
      <c r="D4" s="240"/>
      <c r="E4" s="240"/>
      <c r="F4" s="240"/>
      <c r="G4" s="240"/>
      <c r="H4" s="240"/>
      <c r="I4" s="240"/>
      <c r="J4" s="240"/>
      <c r="K4" s="240"/>
      <c r="L4" s="240"/>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40" t="s">
        <v>121</v>
      </c>
      <c r="D9" s="240"/>
      <c r="E9" s="240"/>
      <c r="F9" s="240"/>
      <c r="G9" s="240"/>
      <c r="H9" s="240"/>
      <c r="I9" s="240"/>
      <c r="J9" s="240"/>
      <c r="K9" s="240"/>
      <c r="L9" s="240"/>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0" t="s">
        <v>365</v>
      </c>
      <c r="D14" s="240"/>
      <c r="E14" s="240"/>
      <c r="F14" s="240"/>
      <c r="G14" s="240"/>
      <c r="H14" s="240"/>
      <c r="I14" s="240"/>
      <c r="J14" s="240"/>
      <c r="K14" s="240"/>
      <c r="L14" s="240"/>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1" t="s">
        <v>367</v>
      </c>
      <c r="C20" s="241"/>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6" sqref="B3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1" t="s">
        <v>112</v>
      </c>
      <c r="D3" s="241"/>
      <c r="E3" s="241"/>
      <c r="F3" s="241"/>
      <c r="G3" s="242"/>
      <c r="H3" s="243" t="s">
        <v>113</v>
      </c>
      <c r="I3" s="241"/>
      <c r="J3" s="241"/>
      <c r="K3" s="241"/>
      <c r="L3" s="241"/>
      <c r="P3" s="254"/>
      <c r="Q3" s="254"/>
      <c r="R3" s="254"/>
      <c r="S3" s="254"/>
      <c r="T3" s="254"/>
      <c r="U3" s="254"/>
      <c r="V3" s="254"/>
      <c r="W3" s="254"/>
      <c r="X3" s="254"/>
      <c r="Y3" s="254"/>
      <c r="Z3" s="254"/>
      <c r="AB3" s="109"/>
    </row>
    <row r="4" spans="1:28" ht="10" customHeight="1" x14ac:dyDescent="0.2"/>
    <row r="5" spans="1:28" ht="16" customHeight="1" x14ac:dyDescent="0.2">
      <c r="A5" s="86"/>
      <c r="B5" s="60"/>
      <c r="C5" s="240" t="s">
        <v>179</v>
      </c>
      <c r="D5" s="240"/>
      <c r="E5" s="240"/>
      <c r="F5" s="240"/>
      <c r="G5" s="240"/>
      <c r="H5" s="240"/>
      <c r="I5" s="240"/>
      <c r="J5" s="240"/>
      <c r="K5" s="240"/>
      <c r="L5" s="240"/>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4790.9499025744572</v>
      </c>
      <c r="I7" s="126">
        <f t="shared" ref="I7:L7" si="0">H7*(1+$C$17)</f>
        <v>6491.7371179883894</v>
      </c>
      <c r="J7" s="126">
        <f t="shared" si="0"/>
        <v>8796.3037948742676</v>
      </c>
      <c r="K7" s="126">
        <f t="shared" si="0"/>
        <v>11918.991642054632</v>
      </c>
      <c r="L7" s="126">
        <f t="shared" si="0"/>
        <v>16150.233674984027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205915.47935604636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4355.4090023404151</v>
      </c>
      <c r="I10" s="126">
        <f t="shared" ref="I10:L10" si="1">I7/(1+$C$21)^I9</f>
        <v>5365.0719983375111</v>
      </c>
      <c r="J10" s="126">
        <f t="shared" si="1"/>
        <v>6608.7932343157509</v>
      </c>
      <c r="K10" s="126">
        <f t="shared" si="1"/>
        <v>8140.8316659071297</v>
      </c>
      <c r="L10" s="126">
        <f t="shared" si="1"/>
        <v>10028.0244611856</v>
      </c>
      <c r="N10" s="91"/>
    </row>
    <row r="11" spans="1:28" x14ac:dyDescent="0.2">
      <c r="B11" s="1" t="s">
        <v>182</v>
      </c>
      <c r="C11" s="137"/>
      <c r="D11" s="137"/>
      <c r="E11" s="137"/>
      <c r="F11" s="137"/>
      <c r="G11" s="138"/>
      <c r="H11" s="137"/>
      <c r="I11" s="137"/>
      <c r="J11" s="137"/>
      <c r="K11" s="137"/>
      <c r="L11" s="126">
        <f>L8/(1+C21)^L9</f>
        <v>127857.31188011641</v>
      </c>
    </row>
    <row r="13" spans="1:28" ht="17" thickBot="1" x14ac:dyDescent="0.25"/>
    <row r="14" spans="1:28" x14ac:dyDescent="0.2">
      <c r="B14" s="256" t="s">
        <v>221</v>
      </c>
      <c r="C14" s="257"/>
    </row>
    <row r="15" spans="1:28" x14ac:dyDescent="0.2">
      <c r="B15" s="153" t="s">
        <v>222</v>
      </c>
      <c r="C15" s="154">
        <f ca="1">Overview!C5</f>
        <v>456.81</v>
      </c>
    </row>
    <row r="16" spans="1:28" x14ac:dyDescent="0.2">
      <c r="B16" s="153" t="s">
        <v>223</v>
      </c>
      <c r="C16" s="154">
        <f>C36</f>
        <v>451.19790094793024</v>
      </c>
    </row>
    <row r="17" spans="2:9" ht="17" thickBot="1" x14ac:dyDescent="0.25">
      <c r="B17" s="155" t="s">
        <v>323</v>
      </c>
      <c r="C17" s="156">
        <v>0.35499999999999998</v>
      </c>
      <c r="E17" s="255" t="s">
        <v>224</v>
      </c>
      <c r="F17" s="255"/>
      <c r="G17" s="255"/>
      <c r="H17" s="255"/>
      <c r="I17" s="255"/>
    </row>
    <row r="18" spans="2:9" ht="17" thickBot="1" x14ac:dyDescent="0.25"/>
    <row r="19" spans="2:9" x14ac:dyDescent="0.2">
      <c r="B19" s="256" t="s">
        <v>183</v>
      </c>
      <c r="C19" s="257"/>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164908.41</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164381.41</v>
      </c>
    </row>
    <row r="27" spans="2:9" ht="17" thickBot="1" x14ac:dyDescent="0.25"/>
    <row r="28" spans="2:9" x14ac:dyDescent="0.2">
      <c r="B28" s="256" t="s">
        <v>185</v>
      </c>
      <c r="C28" s="257"/>
    </row>
    <row r="29" spans="2:9" x14ac:dyDescent="0.2">
      <c r="B29" s="157" t="s">
        <v>186</v>
      </c>
      <c r="C29" s="159">
        <f>SUM(H10:L10)</f>
        <v>34498.130362086406</v>
      </c>
    </row>
    <row r="30" spans="2:9" x14ac:dyDescent="0.2">
      <c r="B30" s="157" t="s">
        <v>182</v>
      </c>
      <c r="C30" s="159">
        <f>L11</f>
        <v>127857.31188011641</v>
      </c>
    </row>
    <row r="31" spans="2:9" x14ac:dyDescent="0.2">
      <c r="B31" s="161" t="s">
        <v>187</v>
      </c>
      <c r="C31" s="162">
        <f>C29+C30</f>
        <v>162355.44224220281</v>
      </c>
    </row>
    <row r="32" spans="2:9" x14ac:dyDescent="0.2">
      <c r="B32" s="157" t="s">
        <v>188</v>
      </c>
      <c r="C32" s="163">
        <f>C24</f>
        <v>1579</v>
      </c>
    </row>
    <row r="33" spans="2:3" x14ac:dyDescent="0.2">
      <c r="B33" s="157" t="s">
        <v>189</v>
      </c>
      <c r="C33" s="163">
        <f>C25</f>
        <v>1052</v>
      </c>
    </row>
    <row r="34" spans="2:3" x14ac:dyDescent="0.2">
      <c r="B34" s="161" t="s">
        <v>190</v>
      </c>
      <c r="C34" s="162">
        <f>C31+C32-C33</f>
        <v>162882.44224220281</v>
      </c>
    </row>
    <row r="35" spans="2:3" x14ac:dyDescent="0.2">
      <c r="B35" s="157" t="s">
        <v>68</v>
      </c>
      <c r="C35" s="159">
        <f>C22</f>
        <v>361</v>
      </c>
    </row>
    <row r="36" spans="2:3" ht="17" thickBot="1" x14ac:dyDescent="0.25">
      <c r="B36" s="164" t="s">
        <v>191</v>
      </c>
      <c r="C36" s="165">
        <f>C34/C35</f>
        <v>451.19790094793024</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2026-09-25T20:07:49Z</dcterms:modified>
</cp:coreProperties>
</file>