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353C5E3-6E60-E24A-8F15-C80C197CC5CB}"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 i="2" l="1"/>
  <c r="C35" i="2"/>
  <c r="C10" i="21"/>
  <c r="C3" i="2"/>
  <c r="C9" i="21"/>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L6" i="30"/>
  <c r="L40" i="30" s="1"/>
  <c r="K6" i="30"/>
  <c r="K40" i="30" s="1"/>
  <c r="J6" i="30"/>
  <c r="J40" i="30" s="1"/>
  <c r="I6" i="30"/>
  <c r="I40" i="30" s="1"/>
  <c r="H6" i="30"/>
  <c r="H40" i="30" s="1"/>
  <c r="G6" i="30"/>
  <c r="G40" i="30" s="1"/>
  <c r="F6" i="30"/>
  <c r="F40" i="30" s="1"/>
  <c r="E6" i="30"/>
  <c r="E40" i="30" s="1"/>
  <c r="D6" i="30"/>
  <c r="D40" i="30" s="1"/>
  <c r="C6" i="30"/>
  <c r="C40" i="30" s="1"/>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9" l="1"/>
  <c r="C15" i="30"/>
  <c r="C35" i="30"/>
  <c r="C23" i="30"/>
  <c r="C26" i="30" s="1"/>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C15" i="2"/>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C19" i="21"/>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C6" i="21"/>
  <c r="C7" i="21" s="1"/>
  <c r="Z14" i="6"/>
  <c r="Z13" i="6"/>
  <c r="J111" i="3"/>
  <c r="Y14" i="6"/>
  <c r="N63" i="3"/>
  <c r="T15" i="6"/>
  <c r="C13" i="2"/>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C11" i="2" s="1"/>
  <c r="Q13" i="3"/>
  <c r="N7" i="3"/>
  <c r="N23" i="3"/>
  <c r="N13" i="3"/>
  <c r="J108" i="3"/>
  <c r="J109" i="3" s="1"/>
  <c r="J106" i="3"/>
  <c r="J107" i="3" s="1"/>
  <c r="G46" i="30" l="1"/>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C18" i="2"/>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C17" i="21"/>
  <c r="C16" i="21"/>
  <c r="R13" i="3"/>
  <c r="I41" i="30" l="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c r="C56" i="28" l="1"/>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C48" i="28"/>
  <c r="C39" i="28"/>
  <c r="K9" i="6"/>
  <c r="L8" i="6"/>
  <c r="L9" i="6" s="1"/>
  <c r="G3" i="23"/>
  <c r="H3" i="1"/>
  <c r="C15" i="22"/>
  <c r="AE7" i="6"/>
  <c r="AE6" i="6"/>
  <c r="I10" i="30" l="1"/>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C31" i="30" s="1"/>
  <c r="C34" i="30" s="1"/>
  <c r="C36" i="30" s="1"/>
  <c r="C16"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K47" i="30" l="1"/>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<sst xmlns="http://schemas.openxmlformats.org/spreadsheetml/2006/main" count="710" uniqueCount="351">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</sst>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43.9</v>
          </cell>
        </row>
        <row r="18">
          <cell r="C18">
            <v>250.71</v>
          </cell>
          <cell r="F18">
            <v>1.4171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zoomScale="150" workbookViewId="0">
      <selection activeCell="C34" sqref="C3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 ca="1">[1]Sheet1!$C$18</f>
        <v>250.71</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 ca="1">$C$3/'Statement Q'!$N$24</f>
        <v>14.617213859600446</v>
      </c>
    </row>
    <row r="12" spans="2:5" x14ac:dyDescent="0.2">
      <c r="B12" s="1" t="s">
        <v>181</v>
      </c>
      <c r="C12" s="92">
        <f ca="1">$C$3/Statements!W24</f>
        <v>14.617213859600446</v>
      </c>
    </row>
    <row r="13" spans="2:5" x14ac:dyDescent="0.2">
      <c r="B13" s="1" t="s">
        <v>108</v>
      </c>
      <c r="C13" s="97">
        <f ca="1">$C$3/('Statement Q'!$N$5/'Statement Q'!$N$22)</f>
        <v>4.3087096675254566</v>
      </c>
    </row>
    <row r="15" spans="2:5" x14ac:dyDescent="0.2">
      <c r="B15" s="1" t="s">
        <v>140</v>
      </c>
      <c r="C15" s="20">
        <f ca="1">C3*'Statement Q'!N116</f>
        <v>101286.84</v>
      </c>
    </row>
    <row r="16" spans="2:5" x14ac:dyDescent="0.2">
      <c r="B16" s="1" t="s">
        <v>141</v>
      </c>
      <c r="C16" s="20">
        <f>Statements!W27</f>
        <v>6890</v>
      </c>
    </row>
    <row r="17" spans="1:4" x14ac:dyDescent="0.2">
      <c r="B17" s="1" t="s">
        <v>137</v>
      </c>
      <c r="C17" s="20">
        <f>Statements!W41+Statements!W46</f>
        <v>6228</v>
      </c>
    </row>
    <row r="18" spans="1:4" x14ac:dyDescent="0.2">
      <c r="B18" s="1" t="s">
        <v>142</v>
      </c>
      <c r="C18" s="20">
        <f ca="1">C15+C17-C16</f>
        <v>100624.84</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71" activePane="bottomRight" state="frozen"/>
      <selection pane="topRight" activeCell="C1" sqref="C1"/>
      <selection pane="bottomLeft" activeCell="A4" sqref="A4"/>
      <selection pane="bottomRight" activeCell="B12" sqref="B1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7" t="s">
        <v>75</v>
      </c>
      <c r="Q4" s="218"/>
      <c r="R4" s="219"/>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topLeftCell="B1"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3" t="s">
        <v>102</v>
      </c>
      <c r="D2" s="213"/>
      <c r="E2" s="213"/>
      <c r="F2" s="213"/>
      <c r="G2" s="214"/>
      <c r="H2" s="215" t="s">
        <v>103</v>
      </c>
      <c r="I2" s="213"/>
      <c r="J2" s="213"/>
      <c r="K2" s="213"/>
      <c r="L2" s="213"/>
      <c r="O2" s="89"/>
      <c r="S2" s="213" t="s">
        <v>102</v>
      </c>
      <c r="T2" s="213"/>
      <c r="U2" s="213"/>
      <c r="V2" s="213"/>
      <c r="W2" s="213"/>
      <c r="X2" s="213"/>
      <c r="Y2" s="213"/>
      <c r="Z2" s="213"/>
      <c r="AA2" s="213" t="s">
        <v>103</v>
      </c>
      <c r="AB2" s="213"/>
      <c r="AC2" s="213"/>
      <c r="AE2" s="116" t="s">
        <v>74</v>
      </c>
    </row>
    <row r="3" spans="1:31" ht="10" customHeight="1" x14ac:dyDescent="0.2">
      <c r="O3" s="89"/>
    </row>
    <row r="4" spans="1:31" ht="16" customHeight="1" x14ac:dyDescent="0.2">
      <c r="A4" s="104"/>
      <c r="B4" s="91"/>
      <c r="C4" s="212" t="s">
        <v>111</v>
      </c>
      <c r="D4" s="212"/>
      <c r="E4" s="212"/>
      <c r="F4" s="212"/>
      <c r="G4" s="212"/>
      <c r="H4" s="212"/>
      <c r="I4" s="212"/>
      <c r="J4" s="212"/>
      <c r="K4" s="212"/>
      <c r="L4" s="212"/>
      <c r="O4" s="89"/>
      <c r="S4" s="220" t="s">
        <v>111</v>
      </c>
      <c r="T4" s="221"/>
      <c r="U4" s="221"/>
      <c r="V4" s="221"/>
      <c r="W4" s="221"/>
      <c r="X4" s="221"/>
      <c r="Y4" s="221"/>
      <c r="Z4" s="221"/>
      <c r="AA4" s="221"/>
      <c r="AB4" s="221"/>
      <c r="AC4" s="221"/>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12" t="s">
        <v>113</v>
      </c>
      <c r="D11" s="212"/>
      <c r="E11" s="212"/>
      <c r="F11" s="212"/>
      <c r="G11" s="212"/>
      <c r="H11" s="212"/>
      <c r="I11" s="212"/>
      <c r="J11" s="212"/>
      <c r="K11" s="212"/>
      <c r="L11" s="212"/>
      <c r="O11" s="89"/>
      <c r="Q11" s="90"/>
      <c r="S11" s="220" t="s">
        <v>113</v>
      </c>
      <c r="T11" s="221"/>
      <c r="U11" s="221"/>
      <c r="V11" s="221"/>
      <c r="W11" s="221"/>
      <c r="X11" s="221"/>
      <c r="Y11" s="221"/>
      <c r="Z11" s="221"/>
      <c r="AA11" s="221"/>
      <c r="AB11" s="221"/>
      <c r="AC11" s="221"/>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3" t="s">
        <v>102</v>
      </c>
      <c r="D2" s="213"/>
      <c r="E2" s="213"/>
      <c r="F2" s="213"/>
      <c r="G2" s="214"/>
      <c r="H2" s="215" t="s">
        <v>103</v>
      </c>
      <c r="I2" s="213"/>
      <c r="J2" s="213"/>
      <c r="K2" s="213"/>
      <c r="L2" s="213"/>
      <c r="P2" s="213" t="s">
        <v>102</v>
      </c>
      <c r="Q2" s="213"/>
      <c r="R2" s="213"/>
      <c r="S2" s="213"/>
      <c r="T2" s="213"/>
      <c r="U2" s="213"/>
      <c r="V2" s="213"/>
      <c r="W2" s="213"/>
      <c r="X2" s="213" t="s">
        <v>103</v>
      </c>
      <c r="Y2" s="213"/>
      <c r="Z2" s="213"/>
      <c r="AB2" s="116" t="s">
        <v>74</v>
      </c>
    </row>
    <row r="3" spans="1:28" ht="10" customHeight="1" x14ac:dyDescent="0.2"/>
    <row r="4" spans="1:28" ht="16" customHeight="1" x14ac:dyDescent="0.2">
      <c r="A4" s="104"/>
      <c r="B4" s="91"/>
      <c r="C4" s="212" t="s">
        <v>111</v>
      </c>
      <c r="D4" s="212"/>
      <c r="E4" s="212"/>
      <c r="F4" s="212"/>
      <c r="G4" s="212"/>
      <c r="H4" s="212"/>
      <c r="I4" s="212"/>
      <c r="J4" s="212"/>
      <c r="K4" s="212"/>
      <c r="L4" s="212"/>
      <c r="P4" s="221" t="s">
        <v>111</v>
      </c>
      <c r="Q4" s="221"/>
      <c r="R4" s="221"/>
      <c r="S4" s="221"/>
      <c r="T4" s="221"/>
      <c r="U4" s="221"/>
      <c r="V4" s="221"/>
      <c r="W4" s="221"/>
      <c r="X4" s="221"/>
      <c r="Y4" s="221"/>
      <c r="Z4" s="221"/>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12" t="s">
        <v>119</v>
      </c>
      <c r="D9" s="212"/>
      <c r="E9" s="212"/>
      <c r="F9" s="212"/>
      <c r="G9" s="212"/>
      <c r="H9" s="212"/>
      <c r="I9" s="212"/>
      <c r="J9" s="212"/>
      <c r="K9" s="212"/>
      <c r="L9" s="212"/>
      <c r="N9" s="90"/>
      <c r="P9" s="221" t="s">
        <v>124</v>
      </c>
      <c r="Q9" s="221"/>
      <c r="R9" s="221"/>
      <c r="S9" s="221"/>
      <c r="T9" s="221"/>
      <c r="U9" s="221"/>
      <c r="V9" s="221"/>
      <c r="W9" s="221"/>
      <c r="X9" s="221"/>
      <c r="Y9" s="221"/>
      <c r="Z9" s="221"/>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12" t="s">
        <v>122</v>
      </c>
      <c r="D19" s="212"/>
      <c r="E19" s="212"/>
      <c r="F19" s="212"/>
      <c r="G19" s="212"/>
      <c r="H19" s="212"/>
      <c r="I19" s="212"/>
      <c r="J19" s="212"/>
      <c r="K19" s="212"/>
      <c r="L19" s="212"/>
      <c r="P19" s="221" t="s">
        <v>122</v>
      </c>
      <c r="Q19" s="221"/>
      <c r="R19" s="221"/>
      <c r="S19" s="221"/>
      <c r="T19" s="221"/>
      <c r="U19" s="221"/>
      <c r="V19" s="221"/>
      <c r="W19" s="221"/>
      <c r="X19" s="221"/>
      <c r="Y19" s="221"/>
      <c r="Z19" s="221"/>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3" t="s">
        <v>102</v>
      </c>
      <c r="D3" s="213"/>
      <c r="E3" s="213"/>
      <c r="F3" s="213"/>
      <c r="G3" s="214"/>
      <c r="H3" s="215" t="s">
        <v>103</v>
      </c>
      <c r="I3" s="213"/>
      <c r="J3" s="213"/>
      <c r="K3" s="213"/>
      <c r="L3" s="213"/>
      <c r="P3" s="216"/>
      <c r="Q3" s="216"/>
      <c r="R3" s="216"/>
      <c r="S3" s="216"/>
      <c r="T3" s="216"/>
      <c r="U3" s="216"/>
      <c r="V3" s="216"/>
      <c r="W3" s="216"/>
      <c r="X3" s="216"/>
      <c r="Y3" s="216"/>
      <c r="Z3" s="216"/>
      <c r="AB3" s="121"/>
    </row>
    <row r="4" spans="1:28" ht="10" customHeight="1" x14ac:dyDescent="0.2"/>
    <row r="5" spans="1:28" ht="16" customHeight="1" x14ac:dyDescent="0.2">
      <c r="A5" s="104"/>
      <c r="B5" s="91"/>
      <c r="C5" s="212" t="s">
        <v>111</v>
      </c>
      <c r="D5" s="212"/>
      <c r="E5" s="212"/>
      <c r="F5" s="212"/>
      <c r="G5" s="212"/>
      <c r="H5" s="212"/>
      <c r="I5" s="212"/>
      <c r="J5" s="212"/>
      <c r="K5" s="212"/>
      <c r="L5" s="212"/>
      <c r="P5" s="216"/>
      <c r="Q5" s="216"/>
      <c r="R5" s="216"/>
      <c r="S5" s="216"/>
      <c r="T5" s="216"/>
      <c r="U5" s="216"/>
      <c r="V5" s="216"/>
      <c r="W5" s="216"/>
      <c r="X5" s="216"/>
      <c r="Y5" s="216"/>
      <c r="Z5" s="216"/>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12" t="s">
        <v>126</v>
      </c>
      <c r="D11" s="212"/>
      <c r="E11" s="212"/>
      <c r="F11" s="212"/>
      <c r="G11" s="212"/>
      <c r="H11" s="212"/>
      <c r="I11" s="212"/>
      <c r="J11" s="212"/>
      <c r="K11" s="212"/>
      <c r="L11" s="212"/>
      <c r="N11" s="90"/>
      <c r="P11" s="216"/>
      <c r="Q11" s="216"/>
      <c r="R11" s="216"/>
      <c r="S11" s="216"/>
      <c r="T11" s="216"/>
      <c r="U11" s="216"/>
      <c r="V11" s="216"/>
      <c r="W11" s="216"/>
      <c r="X11" s="216"/>
      <c r="Y11" s="216"/>
      <c r="Z11" s="216"/>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12" t="s">
        <v>133</v>
      </c>
      <c r="D18" s="212"/>
      <c r="E18" s="212"/>
      <c r="F18" s="212"/>
      <c r="G18" s="212"/>
      <c r="H18" s="212"/>
      <c r="I18" s="212"/>
      <c r="J18" s="212"/>
      <c r="K18" s="212"/>
      <c r="L18" s="212"/>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16"/>
      <c r="C25" s="216"/>
    </row>
    <row r="26" spans="2:12" x14ac:dyDescent="0.2">
      <c r="B26" s="121"/>
      <c r="C26" s="212" t="s">
        <v>237</v>
      </c>
      <c r="D26" s="212"/>
      <c r="E26" s="212"/>
      <c r="F26" s="212"/>
      <c r="G26" s="212"/>
      <c r="H26" s="212"/>
      <c r="I26" s="212"/>
      <c r="J26" s="212"/>
      <c r="K26" s="212"/>
      <c r="L26" s="212"/>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12" t="s">
        <v>240</v>
      </c>
      <c r="D33" s="212"/>
      <c r="E33" s="212"/>
      <c r="F33" s="212"/>
      <c r="G33" s="212"/>
      <c r="H33" s="212"/>
      <c r="I33" s="212"/>
      <c r="J33" s="212"/>
      <c r="K33" s="212"/>
      <c r="L33" s="212"/>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12" t="s">
        <v>243</v>
      </c>
      <c r="D40" s="212"/>
      <c r="E40" s="212"/>
      <c r="F40" s="212"/>
      <c r="G40" s="212"/>
      <c r="H40" s="212"/>
      <c r="I40" s="212"/>
      <c r="J40" s="212"/>
      <c r="K40" s="212"/>
      <c r="L40" s="212"/>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A17"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3" t="s">
        <v>102</v>
      </c>
      <c r="D2" s="213"/>
      <c r="E2" s="213"/>
      <c r="F2" s="213"/>
      <c r="G2" s="214"/>
      <c r="H2" s="215" t="s">
        <v>103</v>
      </c>
      <c r="I2" s="213"/>
      <c r="J2" s="213"/>
      <c r="K2" s="213"/>
      <c r="L2" s="213"/>
      <c r="S2" s="216"/>
      <c r="T2" s="216"/>
      <c r="U2" s="216"/>
      <c r="V2" s="216"/>
      <c r="W2" s="216"/>
      <c r="X2" s="216"/>
      <c r="Y2" s="216"/>
      <c r="Z2" s="216"/>
      <c r="AA2" s="216"/>
      <c r="AB2" s="216"/>
      <c r="AC2" s="216"/>
      <c r="AE2" s="121"/>
    </row>
    <row r="3" spans="1:31" ht="10" customHeight="1" x14ac:dyDescent="0.2"/>
    <row r="4" spans="1:31" ht="16" customHeight="1" x14ac:dyDescent="0.2">
      <c r="A4" s="104"/>
      <c r="B4" s="91"/>
      <c r="C4" s="212" t="s">
        <v>5</v>
      </c>
      <c r="D4" s="212"/>
      <c r="E4" s="212"/>
      <c r="F4" s="212"/>
      <c r="G4" s="212"/>
      <c r="H4" s="212"/>
      <c r="I4" s="212"/>
      <c r="J4" s="212"/>
      <c r="K4" s="212"/>
      <c r="L4" s="212"/>
      <c r="S4" s="216"/>
      <c r="T4" s="216"/>
      <c r="U4" s="216"/>
      <c r="V4" s="216"/>
      <c r="W4" s="216"/>
      <c r="X4" s="216"/>
      <c r="Y4" s="216"/>
      <c r="Z4" s="216"/>
      <c r="AA4" s="216"/>
      <c r="AB4" s="216"/>
      <c r="AC4" s="216"/>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12" t="s">
        <v>134</v>
      </c>
      <c r="D17" s="212"/>
      <c r="E17" s="212"/>
      <c r="F17" s="212"/>
      <c r="G17" s="212"/>
      <c r="H17" s="212"/>
      <c r="I17" s="212"/>
      <c r="J17" s="212"/>
      <c r="K17" s="212"/>
      <c r="L17" s="212"/>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12" t="s">
        <v>249</v>
      </c>
      <c r="D22" s="212"/>
      <c r="E22" s="212"/>
      <c r="F22" s="212"/>
      <c r="G22" s="212"/>
      <c r="H22" s="212"/>
      <c r="I22" s="212"/>
      <c r="J22" s="212"/>
      <c r="K22" s="212"/>
      <c r="L22" s="212"/>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12" t="s">
        <v>136</v>
      </c>
      <c r="D29" s="212"/>
      <c r="E29" s="212"/>
      <c r="F29" s="212"/>
      <c r="G29" s="212"/>
      <c r="H29" s="212"/>
      <c r="I29" s="212"/>
      <c r="J29" s="212"/>
      <c r="K29" s="212"/>
      <c r="L29" s="212"/>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8"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3" t="s">
        <v>151</v>
      </c>
      <c r="C4" s="213"/>
    </row>
    <row r="5" spans="1:3" ht="17" customHeight="1" x14ac:dyDescent="0.2">
      <c r="B5" s="1" t="s">
        <v>152</v>
      </c>
      <c r="C5" s="131">
        <f>'Statement Q'!N116</f>
        <v>404</v>
      </c>
    </row>
    <row r="6" spans="1:3" ht="17" customHeight="1" x14ac:dyDescent="0.2">
      <c r="B6" s="1" t="s">
        <v>73</v>
      </c>
      <c r="C6" s="144">
        <f ca="1">Overview!C3</f>
        <v>250.71</v>
      </c>
    </row>
    <row r="7" spans="1:3" ht="17" customHeight="1" x14ac:dyDescent="0.2">
      <c r="B7" s="1" t="s">
        <v>138</v>
      </c>
      <c r="C7" s="146">
        <f ca="1">C5*C6</f>
        <v>101286.84</v>
      </c>
    </row>
    <row r="8" spans="1:3" ht="17" customHeight="1" x14ac:dyDescent="0.2">
      <c r="B8" s="1" t="s">
        <v>137</v>
      </c>
      <c r="C8" s="131">
        <f>Statements!W41+Statements!W46</f>
        <v>6228</v>
      </c>
    </row>
    <row r="9" spans="1:3" ht="17" customHeight="1" x14ac:dyDescent="0.2">
      <c r="B9" s="1" t="s">
        <v>153</v>
      </c>
      <c r="C9" s="169">
        <f ca="1">[1]Sheet1!$C$10/1000</f>
        <v>4.3900000000000002E-2</v>
      </c>
    </row>
    <row r="10" spans="1:3" ht="17" customHeight="1" x14ac:dyDescent="0.2">
      <c r="B10" s="1" t="s">
        <v>154</v>
      </c>
      <c r="C10" s="144">
        <f ca="1">[1]Sheet1!$F$18</f>
        <v>1.4171</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3" t="s">
        <v>157</v>
      </c>
      <c r="C15" s="213"/>
    </row>
    <row r="16" spans="1:3" ht="17" customHeight="1" x14ac:dyDescent="0.2">
      <c r="B16" s="1" t="s">
        <v>148</v>
      </c>
      <c r="C16" s="147">
        <f ca="1">C8/(C8+C7)</f>
        <v>5.7926887116234373E-2</v>
      </c>
    </row>
    <row r="17" spans="2:3" ht="17" customHeight="1" x14ac:dyDescent="0.2">
      <c r="B17" s="1" t="s">
        <v>149</v>
      </c>
      <c r="C17" s="147">
        <f ca="1">C7/(C8+C7)</f>
        <v>0.94207311288376561</v>
      </c>
    </row>
    <row r="18" spans="2:3" ht="17" customHeight="1" x14ac:dyDescent="0.2">
      <c r="B18" s="1" t="s">
        <v>158</v>
      </c>
      <c r="C18" s="147">
        <f>C13*(1-C12)</f>
        <v>4.2660000000000003E-2</v>
      </c>
    </row>
    <row r="19" spans="2:3" ht="17" customHeight="1" x14ac:dyDescent="0.2">
      <c r="B19" s="1" t="s">
        <v>150</v>
      </c>
      <c r="C19" s="147">
        <f ca="1">C9+C10*C11</f>
        <v>0.114755</v>
      </c>
    </row>
    <row r="20" spans="2:3" ht="17" customHeight="1" x14ac:dyDescent="0.2">
      <c r="B20" s="1" t="s">
        <v>147</v>
      </c>
      <c r="C20" s="147">
        <f ca="1">(C17*C19)+(C16*C18)</f>
        <v>0.11057876107335507</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2" zoomScale="188" zoomScaleNormal="100" workbookViewId="0">
      <selection activeCell="C25" sqref="C25"/>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3" t="s">
        <v>102</v>
      </c>
      <c r="D3" s="213"/>
      <c r="E3" s="213"/>
      <c r="F3" s="213"/>
      <c r="G3" s="214"/>
      <c r="H3" s="215" t="s">
        <v>103</v>
      </c>
      <c r="I3" s="213"/>
      <c r="J3" s="213"/>
      <c r="K3" s="213"/>
      <c r="L3" s="213"/>
      <c r="P3" s="216"/>
      <c r="Q3" s="216"/>
      <c r="R3" s="216"/>
      <c r="S3" s="216"/>
      <c r="T3" s="216"/>
      <c r="U3" s="216"/>
      <c r="V3" s="216"/>
      <c r="W3" s="216"/>
      <c r="X3" s="216"/>
      <c r="Y3" s="216"/>
      <c r="Z3" s="216"/>
      <c r="AB3" s="121"/>
    </row>
    <row r="4" spans="1:28" ht="10" customHeight="1" x14ac:dyDescent="0.2"/>
    <row r="5" spans="1:28" ht="16" customHeight="1" x14ac:dyDescent="0.2">
      <c r="A5" s="104"/>
      <c r="B5" s="91"/>
      <c r="C5" s="212" t="s">
        <v>171</v>
      </c>
      <c r="D5" s="212"/>
      <c r="E5" s="212"/>
      <c r="F5" s="212"/>
      <c r="G5" s="212"/>
      <c r="H5" s="212"/>
      <c r="I5" s="212"/>
      <c r="J5" s="212"/>
      <c r="K5" s="212"/>
      <c r="L5" s="212"/>
      <c r="P5" s="216"/>
      <c r="Q5" s="216"/>
      <c r="R5" s="216"/>
      <c r="S5" s="216"/>
      <c r="T5" s="216"/>
      <c r="U5" s="216"/>
      <c r="V5" s="216"/>
      <c r="W5" s="216"/>
      <c r="X5" s="216"/>
      <c r="Y5" s="216"/>
      <c r="Z5" s="216"/>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 ca="1">L7*(1+C14)/(C15-C14)</f>
        <v>143951.30625102756</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 ca="1">H7/(1+$C$15)^H9</f>
        <v>7140.0263397088102</v>
      </c>
      <c r="I10" s="132">
        <f t="shared" ref="I10:L10" ca="1" si="0">I7/(1+$C$15)^I9</f>
        <v>7267.2727369910053</v>
      </c>
      <c r="J10" s="132">
        <f t="shared" ca="1" si="0"/>
        <v>7259.8061612306137</v>
      </c>
      <c r="K10" s="132">
        <f t="shared" ca="1" si="0"/>
        <v>7189.2399158161461</v>
      </c>
      <c r="L10" s="132">
        <f t="shared" ca="1" si="0"/>
        <v>7113.9518473341886</v>
      </c>
      <c r="N10" s="90"/>
    </row>
    <row r="11" spans="1:28" x14ac:dyDescent="0.2">
      <c r="B11" s="1" t="s">
        <v>164</v>
      </c>
      <c r="C11" s="129"/>
      <c r="D11" s="129"/>
      <c r="E11" s="129"/>
      <c r="F11" s="129"/>
      <c r="G11" s="149"/>
      <c r="H11" s="129"/>
      <c r="I11" s="129"/>
      <c r="J11" s="129"/>
      <c r="K11" s="129"/>
      <c r="L11" s="132">
        <f ca="1">L8/(1+C15)^L9</f>
        <v>85205.728057540706</v>
      </c>
    </row>
    <row r="13" spans="1:28" x14ac:dyDescent="0.2">
      <c r="B13" s="213" t="s">
        <v>172</v>
      </c>
      <c r="C13" s="213"/>
    </row>
    <row r="14" spans="1:28" x14ac:dyDescent="0.2">
      <c r="B14" s="1" t="s">
        <v>161</v>
      </c>
      <c r="C14" s="138">
        <v>2.5000000000000001E-2</v>
      </c>
    </row>
    <row r="15" spans="1:28" x14ac:dyDescent="0.2">
      <c r="B15" s="1" t="s">
        <v>147</v>
      </c>
      <c r="C15" s="148">
        <f ca="1">WACC!C20</f>
        <v>0.11057876107335507</v>
      </c>
    </row>
    <row r="18" spans="2:3" x14ac:dyDescent="0.2">
      <c r="B18" s="213" t="s">
        <v>79</v>
      </c>
      <c r="C18" s="213"/>
    </row>
    <row r="19" spans="2:3" x14ac:dyDescent="0.2">
      <c r="B19" s="1" t="s">
        <v>170</v>
      </c>
      <c r="C19" s="103">
        <f ca="1">SUM(H10:L10)</f>
        <v>35970.297001080762</v>
      </c>
    </row>
    <row r="20" spans="2:3" x14ac:dyDescent="0.2">
      <c r="B20" s="1" t="s">
        <v>164</v>
      </c>
      <c r="C20" s="103">
        <f ca="1">L11</f>
        <v>85205.728057540706</v>
      </c>
    </row>
    <row r="21" spans="2:3" x14ac:dyDescent="0.2">
      <c r="B21" s="7" t="s">
        <v>167</v>
      </c>
      <c r="C21" s="108">
        <f ca="1">C19+C20</f>
        <v>121176.02505862147</v>
      </c>
    </row>
    <row r="22" spans="2:3" x14ac:dyDescent="0.2">
      <c r="B22" s="1" t="s">
        <v>165</v>
      </c>
      <c r="C22" s="20">
        <f>Statements!W27</f>
        <v>6890</v>
      </c>
    </row>
    <row r="23" spans="2:3" x14ac:dyDescent="0.2">
      <c r="B23" s="1" t="s">
        <v>166</v>
      </c>
      <c r="C23" s="20">
        <f>Statements!W41+Statements!W46</f>
        <v>6228</v>
      </c>
    </row>
    <row r="24" spans="2:3" x14ac:dyDescent="0.2">
      <c r="B24" s="7" t="s">
        <v>168</v>
      </c>
      <c r="C24" s="108">
        <f ca="1">C21+C22-C23</f>
        <v>121838.02505862147</v>
      </c>
    </row>
    <row r="25" spans="2:3" x14ac:dyDescent="0.2">
      <c r="B25" s="1" t="s">
        <v>4</v>
      </c>
      <c r="C25" s="103">
        <f>'Statement Q'!N116</f>
        <v>404</v>
      </c>
    </row>
    <row r="26" spans="2:3" x14ac:dyDescent="0.2">
      <c r="B26" s="150" t="s">
        <v>169</v>
      </c>
      <c r="C26" s="151">
        <f ca="1">C24/C25</f>
        <v>301.57926994708282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3" t="s">
        <v>102</v>
      </c>
      <c r="D2" s="213"/>
      <c r="E2" s="213"/>
      <c r="F2" s="213"/>
      <c r="G2" s="214"/>
      <c r="H2" s="215" t="s">
        <v>103</v>
      </c>
      <c r="I2" s="213"/>
      <c r="J2" s="213"/>
      <c r="K2" s="213"/>
      <c r="L2" s="213"/>
    </row>
    <row r="3" spans="1:14" ht="10" customHeight="1" x14ac:dyDescent="0.2"/>
    <row r="4" spans="1:14" ht="16" customHeight="1" x14ac:dyDescent="0.2">
      <c r="A4" s="104"/>
      <c r="B4" s="91"/>
      <c r="C4" s="212" t="s">
        <v>253</v>
      </c>
      <c r="D4" s="212"/>
      <c r="E4" s="212"/>
      <c r="F4" s="212"/>
      <c r="G4" s="212"/>
      <c r="H4" s="212"/>
      <c r="I4" s="212"/>
      <c r="J4" s="212"/>
      <c r="K4" s="212"/>
      <c r="L4" s="212"/>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12" t="s">
        <v>113</v>
      </c>
      <c r="D10" s="212"/>
      <c r="E10" s="212"/>
      <c r="F10" s="212"/>
      <c r="G10" s="212"/>
      <c r="H10" s="212"/>
      <c r="I10" s="212"/>
      <c r="J10" s="212"/>
      <c r="K10" s="212"/>
      <c r="L10" s="212"/>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12" t="s">
        <v>208</v>
      </c>
      <c r="D16" s="212"/>
      <c r="E16" s="212"/>
      <c r="F16" s="212"/>
      <c r="G16" s="212"/>
      <c r="H16" s="212"/>
      <c r="I16" s="212"/>
      <c r="J16" s="212"/>
      <c r="K16" s="212"/>
      <c r="L16" s="212"/>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12" t="s">
        <v>254</v>
      </c>
      <c r="D21" s="212"/>
      <c r="E21" s="212"/>
      <c r="F21" s="212"/>
      <c r="G21" s="212"/>
      <c r="H21" s="212"/>
      <c r="I21" s="212"/>
      <c r="J21" s="212"/>
      <c r="K21" s="212"/>
      <c r="L21" s="212"/>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12" t="s">
        <v>255</v>
      </c>
      <c r="D26" s="212"/>
      <c r="E26" s="212"/>
      <c r="F26" s="212"/>
      <c r="G26" s="212"/>
      <c r="H26" s="212"/>
      <c r="I26" s="212"/>
      <c r="J26" s="212"/>
      <c r="K26" s="212"/>
      <c r="L26" s="212"/>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3" t="s">
        <v>259</v>
      </c>
      <c r="C37" s="213"/>
      <c r="N37" s="90"/>
    </row>
    <row r="38" spans="2:14" x14ac:dyDescent="0.2">
      <c r="B38" s="1" t="s">
        <v>260</v>
      </c>
      <c r="C38" s="103">
        <f>L7</f>
        <v>13897.290371541676</v>
      </c>
    </row>
    <row r="39" spans="2:14" x14ac:dyDescent="0.2">
      <c r="B39" s="1" t="s">
        <v>147</v>
      </c>
      <c r="C39" s="137">
        <f ca="1">WACC!C20</f>
        <v>0.11057876107335507</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 ca="1">C43/(1+C48)^5</f>
        <v>558.68021955039728</v>
      </c>
    </row>
    <row r="46" spans="2:14" x14ac:dyDescent="0.2">
      <c r="B46" s="213" t="s">
        <v>184</v>
      </c>
      <c r="C46" s="213"/>
    </row>
    <row r="47" spans="2:14" x14ac:dyDescent="0.2">
      <c r="B47" s="1" t="s">
        <v>185</v>
      </c>
      <c r="C47" s="103">
        <f>L6</f>
        <v>38252.850332990893</v>
      </c>
    </row>
    <row r="48" spans="2:14" x14ac:dyDescent="0.2">
      <c r="B48" s="1" t="s">
        <v>147</v>
      </c>
      <c r="C48" s="137">
        <f ca="1">WACC!C20</f>
        <v>0.11057876107335507</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 ca="1">C51/(1+C48)^5</f>
        <v>552.99152720484551</v>
      </c>
    </row>
    <row r="54" spans="2:3" x14ac:dyDescent="0.2">
      <c r="B54" s="213" t="s">
        <v>263</v>
      </c>
      <c r="C54" s="213"/>
    </row>
    <row r="55" spans="2:3" x14ac:dyDescent="0.2">
      <c r="B55" s="1" t="s">
        <v>264</v>
      </c>
      <c r="C55" s="103">
        <f>L8</f>
        <v>12018.706774491759</v>
      </c>
    </row>
    <row r="56" spans="2:3" x14ac:dyDescent="0.2">
      <c r="B56" s="1" t="s">
        <v>147</v>
      </c>
      <c r="C56" s="137">
        <f ca="1">WACC!C20</f>
        <v>0.11057876107335507</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 ca="1">C60/(1+C56)^5</f>
        <v>521.85352510078474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3" t="s">
        <v>192</v>
      </c>
      <c r="C4" s="213"/>
      <c r="N4" s="90"/>
    </row>
    <row r="5" spans="1:14" x14ac:dyDescent="0.2">
      <c r="B5" s="1" t="s">
        <v>189</v>
      </c>
      <c r="C5" s="166">
        <f ca="1">DCF!C26</f>
        <v>301.57926994708282</v>
      </c>
    </row>
    <row r="6" spans="1:14" x14ac:dyDescent="0.2">
      <c r="B6" s="1" t="s">
        <v>266</v>
      </c>
      <c r="C6" s="166">
        <f ca="1">Multiples!C44</f>
        <v>558.68021955039728</v>
      </c>
    </row>
    <row r="7" spans="1:14" x14ac:dyDescent="0.2">
      <c r="B7" s="1" t="s">
        <v>190</v>
      </c>
      <c r="C7" s="166">
        <f ca="1">Multiples!C52</f>
        <v>552.99152720484551</v>
      </c>
    </row>
    <row r="8" spans="1:14" x14ac:dyDescent="0.2">
      <c r="B8" s="1" t="s">
        <v>267</v>
      </c>
      <c r="C8" s="166">
        <f ca="1">Multiples!C61</f>
        <v>521.85352510078474</v>
      </c>
    </row>
    <row r="9" spans="1:14" x14ac:dyDescent="0.2">
      <c r="B9" s="150" t="s">
        <v>188</v>
      </c>
      <c r="C9" s="151">
        <f ca="1">AVERAGE(C5:C8)</f>
        <v>483.77613545077759</v>
      </c>
    </row>
    <row r="10" spans="1:14" x14ac:dyDescent="0.2">
      <c r="B10" s="1" t="s">
        <v>335</v>
      </c>
      <c r="C10" s="34">
        <f ca="1">Overview!C3</f>
        <v>250.71</v>
      </c>
    </row>
    <row r="11" spans="1:14" x14ac:dyDescent="0.2">
      <c r="B11" s="1" t="s">
        <v>336</v>
      </c>
      <c r="C11" s="88">
        <f ca="1">(C9-C10)/C10</f>
        <v>0.92962440848301853</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F5" zoomScale="209" zoomScaleNormal="100" workbookViewId="0">
      <selection activeCell="C26" sqref="C2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3" t="s">
        <v>102</v>
      </c>
      <c r="D3" s="213"/>
      <c r="E3" s="213"/>
      <c r="F3" s="213"/>
      <c r="G3" s="214"/>
      <c r="H3" s="215" t="s">
        <v>103</v>
      </c>
      <c r="I3" s="213"/>
      <c r="J3" s="213"/>
      <c r="K3" s="213"/>
      <c r="L3" s="213"/>
      <c r="P3" s="216"/>
      <c r="Q3" s="216"/>
      <c r="R3" s="216"/>
      <c r="S3" s="216"/>
      <c r="T3" s="216"/>
      <c r="U3" s="216"/>
      <c r="V3" s="216"/>
      <c r="W3" s="216"/>
      <c r="X3" s="216"/>
      <c r="Y3" s="216"/>
      <c r="Z3" s="216"/>
      <c r="AB3" s="121"/>
    </row>
    <row r="4" spans="1:28" ht="10" customHeight="1" x14ac:dyDescent="0.2"/>
    <row r="5" spans="1:28" ht="16" customHeight="1" x14ac:dyDescent="0.2">
      <c r="A5" s="104"/>
      <c r="B5" s="91"/>
      <c r="C5" s="212" t="s">
        <v>171</v>
      </c>
      <c r="D5" s="212"/>
      <c r="E5" s="212"/>
      <c r="F5" s="212"/>
      <c r="G5" s="212"/>
      <c r="H5" s="212"/>
      <c r="I5" s="212"/>
      <c r="J5" s="212"/>
      <c r="K5" s="212"/>
      <c r="L5" s="212"/>
      <c r="P5" s="216"/>
      <c r="Q5" s="216"/>
      <c r="R5" s="216"/>
      <c r="S5" s="216"/>
      <c r="T5" s="216"/>
      <c r="U5" s="216"/>
      <c r="V5" s="216"/>
      <c r="W5" s="216"/>
      <c r="X5" s="216"/>
      <c r="Y5" s="216"/>
      <c r="Z5" s="216"/>
      <c r="AB5" s="122"/>
    </row>
    <row r="6" spans="1:28" x14ac:dyDescent="0.2">
      <c r="B6" s="7" t="s">
        <v>125</v>
      </c>
      <c r="C6" s="61">
        <f>[2]Revenue!C5</f>
        <v>2021</v>
      </c>
      <c r="D6" s="61">
        <f>[2]Revenue!D5</f>
        <v>2022</v>
      </c>
      <c r="E6" s="61">
        <f>[2]Revenue!E5</f>
        <v>2023</v>
      </c>
      <c r="F6" s="61">
        <f>[2]Revenue!F5</f>
        <v>2024</v>
      </c>
      <c r="G6" s="61">
        <f>[2]Revenue!G5</f>
        <v>2025</v>
      </c>
      <c r="H6" s="61">
        <f>[2]Revenue!H5</f>
        <v>2026</v>
      </c>
      <c r="I6" s="61">
        <f>[2]Revenue!I5</f>
        <v>2027</v>
      </c>
      <c r="J6" s="61">
        <f>[2]Revenue!J5</f>
        <v>2028</v>
      </c>
      <c r="K6" s="61">
        <f>[2]Revenue!K5</f>
        <v>2029</v>
      </c>
      <c r="L6" s="61">
        <f>[2]Revenue!L5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 ca="1">L7*(1+C20)/(C21-C20)</f>
        <v>115955.10484495721</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 ca="1">H7/(1+$C$21)^H9</f>
        <v>7745.2196732615921</v>
      </c>
      <c r="I10" s="132">
        <f t="shared" ref="I10:L10" ca="1" si="1">I7/(1+$C$21)^I9</f>
        <v>7183.2602450899121</v>
      </c>
      <c r="J10" s="132">
        <f t="shared" ca="1" si="1"/>
        <v>6662.0741470797066</v>
      </c>
      <c r="K10" s="132">
        <f t="shared" ca="1" si="1"/>
        <v>6178.7030438617039</v>
      </c>
      <c r="L10" s="132">
        <f t="shared" ca="1" si="1"/>
        <v>5730.4032440047731</v>
      </c>
      <c r="N10" s="90"/>
    </row>
    <row r="11" spans="1:28" x14ac:dyDescent="0.2">
      <c r="B11" s="1" t="s">
        <v>164</v>
      </c>
      <c r="C11" s="129"/>
      <c r="D11" s="129"/>
      <c r="E11" s="129"/>
      <c r="F11" s="129"/>
      <c r="G11" s="149"/>
      <c r="H11" s="129"/>
      <c r="I11" s="129"/>
      <c r="J11" s="129"/>
      <c r="K11" s="129"/>
      <c r="L11" s="132">
        <f ca="1">L8/(1+C21)^L9</f>
        <v>68634.591707517204</v>
      </c>
    </row>
    <row r="13" spans="1:28" ht="17" thickBot="1" x14ac:dyDescent="0.25"/>
    <row r="14" spans="1:28" x14ac:dyDescent="0.2">
      <c r="B14" s="222" t="s">
        <v>338</v>
      </c>
      <c r="C14" s="223"/>
    </row>
    <row r="15" spans="1:28" x14ac:dyDescent="0.2">
      <c r="B15" s="196" t="s">
        <v>339</v>
      </c>
      <c r="C15" s="197">
        <f ca="1">Overview!C3</f>
        <v>250.71</v>
      </c>
    </row>
    <row r="16" spans="1:28" x14ac:dyDescent="0.2">
      <c r="B16" s="196" t="s">
        <v>340</v>
      </c>
      <c r="C16" s="197">
        <f ca="1">C36</f>
        <v>254.44616846736361</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 ca="1">WACC!C20</f>
        <v>0.11057876107335507</v>
      </c>
    </row>
    <row r="22" spans="2:9" x14ac:dyDescent="0.2">
      <c r="B22" s="200" t="s">
        <v>4</v>
      </c>
      <c r="C22" s="203">
        <f>'Statement Q'!N116</f>
        <v>404</v>
      </c>
    </row>
    <row r="23" spans="2:9" x14ac:dyDescent="0.2">
      <c r="B23" s="200" t="s">
        <v>140</v>
      </c>
      <c r="C23" s="203">
        <f ca="1">C15*C22</f>
        <v>101286.84</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 ca="1">C23+C25-C24</f>
        <v>100624.84</v>
      </c>
    </row>
    <row r="27" spans="2:9" ht="17" thickBot="1" x14ac:dyDescent="0.25"/>
    <row r="28" spans="2:9" x14ac:dyDescent="0.2">
      <c r="B28" s="222" t="s">
        <v>79</v>
      </c>
      <c r="C28" s="223"/>
    </row>
    <row r="29" spans="2:9" x14ac:dyDescent="0.2">
      <c r="B29" s="200" t="s">
        <v>170</v>
      </c>
      <c r="C29" s="203">
        <f ca="1">SUM(H10:L10)</f>
        <v>33499.660353297688</v>
      </c>
    </row>
    <row r="30" spans="2:9" x14ac:dyDescent="0.2">
      <c r="B30" s="200" t="s">
        <v>164</v>
      </c>
      <c r="C30" s="203">
        <f ca="1">L11</f>
        <v>68634.591707517204</v>
      </c>
    </row>
    <row r="31" spans="2:9" x14ac:dyDescent="0.2">
      <c r="B31" s="205" t="s">
        <v>167</v>
      </c>
      <c r="C31" s="206">
        <f ca="1">C29+C30</f>
        <v>102134.25206081489</v>
      </c>
    </row>
    <row r="32" spans="2:9" x14ac:dyDescent="0.2">
      <c r="B32" s="200" t="s">
        <v>165</v>
      </c>
      <c r="C32" s="207">
        <f>C24</f>
        <v>6890</v>
      </c>
    </row>
    <row r="33" spans="2:12" x14ac:dyDescent="0.2">
      <c r="B33" s="200" t="s">
        <v>166</v>
      </c>
      <c r="C33" s="207">
        <f>C25</f>
        <v>6228</v>
      </c>
    </row>
    <row r="34" spans="2:12" x14ac:dyDescent="0.2">
      <c r="B34" s="205" t="s">
        <v>168</v>
      </c>
      <c r="C34" s="206">
        <f ca="1">C31+C32-C33</f>
        <v>102796.25206081489</v>
      </c>
    </row>
    <row r="35" spans="2:12" x14ac:dyDescent="0.2">
      <c r="B35" s="200" t="s">
        <v>4</v>
      </c>
      <c r="C35" s="203">
        <f>C22</f>
        <v>404</v>
      </c>
    </row>
    <row r="36" spans="2:12" ht="17" thickBot="1" x14ac:dyDescent="0.25">
      <c r="B36" s="208" t="s">
        <v>169</v>
      </c>
      <c r="C36" s="209">
        <f ca="1">C34/C35</f>
        <v>254.44616846736361</v>
      </c>
    </row>
    <row r="39" spans="2:12" x14ac:dyDescent="0.2">
      <c r="C39" s="212" t="s">
        <v>344</v>
      </c>
      <c r="D39" s="212"/>
      <c r="E39" s="212"/>
      <c r="F39" s="212"/>
      <c r="G39" s="212"/>
      <c r="H39" s="212"/>
      <c r="I39" s="212"/>
      <c r="J39" s="212"/>
      <c r="K39" s="212"/>
      <c r="L39" s="212"/>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2026-05-01T23:09:20Z</dcterms:modified>
</cp:coreProperties>
</file>