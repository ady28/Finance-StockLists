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5E05C2E-2141-544C-9DA3-F8C195E58D11}" xr6:coauthVersionLast="47" xr6:coauthVersionMax="47" xr10:uidLastSave="{00000000-0000-0000-0000-000000000000}"/>
  <bookViews>
    <workbookView xWindow="0" yWindow="0" windowWidth="25600" windowHeight="14400" activeTab="3"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s>
  <externalReferences>
    <externalReference r:id="rId16"/>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8" i="23" l="1"/>
  <c r="T88" i="23"/>
  <c r="S88" i="23"/>
  <c r="R88" i="23"/>
  <c r="Q88" i="23"/>
  <c r="P88" i="23"/>
  <c r="O88" i="23"/>
  <c r="W18" i="23"/>
  <c r="W17" i="23"/>
  <c r="U18" i="23"/>
  <c r="T18" i="23"/>
  <c r="S18" i="23"/>
  <c r="R18" i="23"/>
  <c r="Q18" i="23"/>
  <c r="P18" i="23"/>
  <c r="O18" i="23"/>
  <c r="U17" i="23"/>
  <c r="T17" i="23"/>
  <c r="S17" i="23"/>
  <c r="R17" i="23"/>
  <c r="Q17" i="23"/>
  <c r="P17" i="23"/>
  <c r="O17" i="23"/>
  <c r="N18" i="23"/>
  <c r="N17" i="23"/>
  <c r="W12" i="23"/>
  <c r="W11" i="23"/>
  <c r="W10" i="23"/>
  <c r="U12" i="23"/>
  <c r="T12" i="23"/>
  <c r="S12" i="23"/>
  <c r="R12" i="23"/>
  <c r="Q12" i="23"/>
  <c r="P12" i="23"/>
  <c r="O12" i="23"/>
  <c r="N12" i="23"/>
  <c r="U11" i="23"/>
  <c r="T11" i="23"/>
  <c r="S11" i="23"/>
  <c r="R11" i="23"/>
  <c r="Q11" i="23"/>
  <c r="P11" i="23"/>
  <c r="O11" i="23"/>
  <c r="N11" i="23"/>
  <c r="U10" i="23"/>
  <c r="T10" i="23"/>
  <c r="S10" i="23"/>
  <c r="R10" i="23"/>
  <c r="Q10" i="23"/>
  <c r="P10" i="23"/>
  <c r="O10" i="23"/>
  <c r="N10" i="23"/>
  <c r="U9" i="23"/>
  <c r="T9" i="23"/>
  <c r="S9" i="23"/>
  <c r="R9" i="23"/>
  <c r="Q9" i="23"/>
  <c r="P9" i="23"/>
  <c r="O9" i="23"/>
  <c r="J117" i="3"/>
  <c r="J116" i="3"/>
  <c r="I117" i="3"/>
  <c r="I116" i="3"/>
  <c r="H117" i="3"/>
  <c r="H116" i="3"/>
  <c r="G117" i="3"/>
  <c r="G116" i="3"/>
  <c r="F117" i="3"/>
  <c r="F116" i="3"/>
  <c r="E117" i="3"/>
  <c r="E116" i="3"/>
  <c r="D117" i="3"/>
  <c r="D116" i="3"/>
  <c r="C117" i="3"/>
  <c r="C116" i="3"/>
  <c r="C13" i="3"/>
  <c r="C86" i="3" s="1"/>
  <c r="G13" i="3"/>
  <c r="G86" i="3" s="1"/>
  <c r="D13" i="3"/>
  <c r="D86" i="3" s="1"/>
  <c r="H13" i="3"/>
  <c r="H86" i="3" s="1"/>
  <c r="P17" i="3"/>
  <c r="R17" i="3" s="1"/>
  <c r="P16" i="3"/>
  <c r="R16" i="3"/>
  <c r="E13" i="3"/>
  <c r="E86" i="3" s="1"/>
  <c r="I13" i="3"/>
  <c r="I86" i="3" s="1"/>
  <c r="P12" i="3"/>
  <c r="R12" i="3" s="1"/>
  <c r="P11" i="3"/>
  <c r="R11" i="3" s="1"/>
  <c r="P10" i="3"/>
  <c r="R10" i="3" s="1"/>
  <c r="J86" i="3"/>
  <c r="F86" i="3"/>
  <c r="N17" i="3"/>
  <c r="Q17" i="3"/>
  <c r="N16" i="3"/>
  <c r="Q16" i="3"/>
  <c r="J13" i="3"/>
  <c r="N12" i="3"/>
  <c r="Q12" i="3"/>
  <c r="F13" i="3"/>
  <c r="N11" i="3"/>
  <c r="Q11" i="3"/>
  <c r="N10" i="3"/>
  <c r="Q10" i="3"/>
  <c r="L88" i="23"/>
  <c r="K88" i="23"/>
  <c r="J88" i="23"/>
  <c r="I88" i="23"/>
  <c r="H88" i="23"/>
  <c r="G88" i="23"/>
  <c r="F88" i="23"/>
  <c r="E88" i="23"/>
  <c r="D88" i="23"/>
  <c r="L18" i="23"/>
  <c r="K18" i="23"/>
  <c r="J18" i="23"/>
  <c r="I18" i="23"/>
  <c r="H18" i="23"/>
  <c r="G18" i="23"/>
  <c r="F18" i="23"/>
  <c r="E18" i="23"/>
  <c r="D18" i="23"/>
  <c r="C18" i="23"/>
  <c r="L17" i="23"/>
  <c r="K17" i="23"/>
  <c r="J17" i="23"/>
  <c r="I17" i="23"/>
  <c r="H17" i="23"/>
  <c r="G17" i="23"/>
  <c r="F17" i="23"/>
  <c r="E17" i="23"/>
  <c r="D17" i="23"/>
  <c r="C17" i="23"/>
  <c r="L16" i="23"/>
  <c r="K16" i="23"/>
  <c r="J16" i="23"/>
  <c r="I16" i="23"/>
  <c r="H16" i="23"/>
  <c r="G16" i="23"/>
  <c r="F16" i="23"/>
  <c r="E16" i="23"/>
  <c r="D16" i="23"/>
  <c r="L13" i="23"/>
  <c r="K13" i="23"/>
  <c r="J13" i="23"/>
  <c r="I13" i="23"/>
  <c r="H13" i="23"/>
  <c r="G13" i="23"/>
  <c r="F13" i="23"/>
  <c r="E13" i="23"/>
  <c r="D13" i="23"/>
  <c r="C13"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C99" i="1" s="1"/>
  <c r="D13" i="1"/>
  <c r="E13" i="1"/>
  <c r="F13" i="1"/>
  <c r="F99" i="1" s="1"/>
  <c r="I26" i="1"/>
  <c r="G13" i="1"/>
  <c r="G99" i="1" s="1"/>
  <c r="H13" i="1"/>
  <c r="I13" i="1"/>
  <c r="P99" i="1"/>
  <c r="O99" i="1"/>
  <c r="N99" i="1"/>
  <c r="M99" i="1"/>
  <c r="L99" i="1"/>
  <c r="K99" i="1"/>
  <c r="J99" i="1"/>
  <c r="J13" i="1"/>
  <c r="K13" i="1"/>
  <c r="L13" i="1"/>
  <c r="C3" i="2"/>
  <c r="G23" i="28"/>
  <c r="F23" i="28"/>
  <c r="E23" i="28"/>
  <c r="D23" i="28"/>
  <c r="C23" i="28"/>
  <c r="C56" i="28"/>
  <c r="C10" i="21"/>
  <c r="C9" i="21"/>
  <c r="G30" i="26"/>
  <c r="F30" i="26"/>
  <c r="E30" i="26"/>
  <c r="D30" i="26"/>
  <c r="C30" i="26"/>
  <c r="G29" i="26"/>
  <c r="F29" i="26"/>
  <c r="E29" i="26"/>
  <c r="D29" i="26"/>
  <c r="C29" i="26"/>
  <c r="G28" i="26"/>
  <c r="F28" i="26"/>
  <c r="E28" i="26"/>
  <c r="D28" i="26"/>
  <c r="C28" i="26"/>
  <c r="L23" i="26"/>
  <c r="K23" i="26"/>
  <c r="J23" i="26"/>
  <c r="I23" i="26"/>
  <c r="H23" i="26"/>
  <c r="C25" i="2"/>
  <c r="N106" i="3"/>
  <c r="G10" i="6"/>
  <c r="H10" i="6" s="1"/>
  <c r="I10" i="6" s="1"/>
  <c r="J10" i="6" s="1"/>
  <c r="K10" i="6" s="1"/>
  <c r="L10" i="6" s="1"/>
  <c r="F10" i="6"/>
  <c r="E10" i="6"/>
  <c r="D10" i="6"/>
  <c r="C10" i="6"/>
  <c r="G9" i="6"/>
  <c r="H9" i="6" s="1"/>
  <c r="I9" i="6" s="1"/>
  <c r="J9" i="6" s="1"/>
  <c r="K9" i="6" s="1"/>
  <c r="L9" i="6" s="1"/>
  <c r="F9" i="6"/>
  <c r="E9" i="6"/>
  <c r="D9" i="6"/>
  <c r="C9" i="6"/>
  <c r="G8" i="6"/>
  <c r="H8" i="6" s="1"/>
  <c r="F8" i="6"/>
  <c r="E8" i="6"/>
  <c r="D8" i="6"/>
  <c r="C8" i="6"/>
  <c r="G7" i="6"/>
  <c r="H7" i="6" s="1"/>
  <c r="I7" i="6" s="1"/>
  <c r="J7" i="6" s="1"/>
  <c r="K7" i="6" s="1"/>
  <c r="L7" i="6" s="1"/>
  <c r="F7" i="6"/>
  <c r="E7" i="6"/>
  <c r="D7" i="6"/>
  <c r="C7" i="6"/>
  <c r="G6" i="6"/>
  <c r="H6" i="6" s="1"/>
  <c r="I6" i="6" s="1"/>
  <c r="J6" i="6" s="1"/>
  <c r="K6" i="6" s="1"/>
  <c r="L6" i="6" s="1"/>
  <c r="F6" i="6"/>
  <c r="E6" i="6"/>
  <c r="D6" i="6"/>
  <c r="F19" i="6"/>
  <c r="C6" i="6"/>
  <c r="B10" i="6"/>
  <c r="B19" i="6" s="1"/>
  <c r="B9" i="6"/>
  <c r="B18" i="6" s="1"/>
  <c r="B8" i="6"/>
  <c r="B17" i="6" s="1"/>
  <c r="B7" i="6"/>
  <c r="B16" i="6" s="1"/>
  <c r="B6" i="6"/>
  <c r="B15" i="6" s="1"/>
  <c r="U67" i="23"/>
  <c r="T67" i="23"/>
  <c r="S67" i="23"/>
  <c r="R67" i="23"/>
  <c r="Q67" i="23"/>
  <c r="P67" i="23"/>
  <c r="O67" i="23"/>
  <c r="N67" i="23"/>
  <c r="U66" i="23"/>
  <c r="T66" i="23"/>
  <c r="S66" i="23"/>
  <c r="R66" i="23"/>
  <c r="Q66" i="23"/>
  <c r="P66" i="23"/>
  <c r="O66" i="23"/>
  <c r="N66" i="23"/>
  <c r="U65" i="23"/>
  <c r="T65" i="23"/>
  <c r="S65" i="23"/>
  <c r="R65" i="23"/>
  <c r="W65" i="23" s="1"/>
  <c r="Q65" i="23"/>
  <c r="P65" i="23"/>
  <c r="O65" i="23"/>
  <c r="N65" i="23"/>
  <c r="U64" i="23"/>
  <c r="T64" i="23"/>
  <c r="S64" i="23"/>
  <c r="R64" i="23"/>
  <c r="W64" i="23" s="1"/>
  <c r="Q64" i="23"/>
  <c r="P64" i="23"/>
  <c r="O64" i="23"/>
  <c r="N64" i="23"/>
  <c r="L67" i="23"/>
  <c r="K67" i="23"/>
  <c r="J67" i="23"/>
  <c r="I67" i="23"/>
  <c r="H67" i="23"/>
  <c r="G67" i="23"/>
  <c r="F67" i="23"/>
  <c r="E67" i="23"/>
  <c r="D67" i="23"/>
  <c r="C67" i="23"/>
  <c r="L66" i="23"/>
  <c r="K66" i="23"/>
  <c r="J66" i="23"/>
  <c r="I66" i="23"/>
  <c r="H66" i="23"/>
  <c r="G66" i="23"/>
  <c r="F66" i="23"/>
  <c r="E66" i="23"/>
  <c r="D66" i="23"/>
  <c r="C66" i="23"/>
  <c r="L65" i="23"/>
  <c r="K65" i="23"/>
  <c r="J65" i="23"/>
  <c r="I65" i="23"/>
  <c r="H65" i="23"/>
  <c r="G65" i="23"/>
  <c r="F65" i="23"/>
  <c r="E65" i="23"/>
  <c r="D65" i="23"/>
  <c r="C65" i="23"/>
  <c r="U61" i="23"/>
  <c r="T61" i="23"/>
  <c r="S61" i="23"/>
  <c r="R61" i="23"/>
  <c r="Q61" i="23"/>
  <c r="P61" i="23"/>
  <c r="O61" i="23"/>
  <c r="N61" i="23"/>
  <c r="L61" i="23"/>
  <c r="G45" i="26" s="1"/>
  <c r="K61" i="23"/>
  <c r="F45" i="26" s="1"/>
  <c r="J61" i="23"/>
  <c r="E45" i="26" s="1"/>
  <c r="I61" i="23"/>
  <c r="D45" i="26" s="1"/>
  <c r="H61" i="23"/>
  <c r="C45" i="26" s="1"/>
  <c r="C23" i="27" s="1"/>
  <c r="G61" i="23"/>
  <c r="F61" i="23"/>
  <c r="E61" i="23"/>
  <c r="D61" i="23"/>
  <c r="C61" i="23"/>
  <c r="U58" i="23"/>
  <c r="T58" i="23"/>
  <c r="S58" i="23"/>
  <c r="R58" i="23"/>
  <c r="Q58" i="23"/>
  <c r="P58" i="23"/>
  <c r="O58" i="23"/>
  <c r="N58" i="23"/>
  <c r="U56" i="23"/>
  <c r="T56" i="23"/>
  <c r="S56" i="23"/>
  <c r="R56" i="23"/>
  <c r="Q56" i="23"/>
  <c r="P56" i="23"/>
  <c r="O56" i="23"/>
  <c r="U55" i="23"/>
  <c r="T55" i="23"/>
  <c r="S55" i="23"/>
  <c r="R55" i="23"/>
  <c r="Q55" i="23"/>
  <c r="P55" i="23"/>
  <c r="O55" i="23"/>
  <c r="N56" i="23"/>
  <c r="L58" i="23"/>
  <c r="K58" i="23"/>
  <c r="J58" i="23"/>
  <c r="I58" i="23"/>
  <c r="H58" i="23"/>
  <c r="G58" i="23"/>
  <c r="F58" i="23"/>
  <c r="E58" i="23"/>
  <c r="D58" i="23"/>
  <c r="L57" i="23"/>
  <c r="K57" i="23"/>
  <c r="J57" i="23"/>
  <c r="I57" i="23"/>
  <c r="H57" i="23"/>
  <c r="G57" i="23"/>
  <c r="F57" i="23"/>
  <c r="E57" i="23"/>
  <c r="D57" i="23"/>
  <c r="L56" i="23"/>
  <c r="K56" i="23"/>
  <c r="J56" i="23"/>
  <c r="I56" i="23"/>
  <c r="H56" i="23"/>
  <c r="G56" i="23"/>
  <c r="F56" i="23"/>
  <c r="E56" i="23"/>
  <c r="D56" i="23"/>
  <c r="L55" i="23"/>
  <c r="G42" i="26" s="1"/>
  <c r="G22" i="27" s="1"/>
  <c r="K55" i="23"/>
  <c r="F42" i="26" s="1"/>
  <c r="F22" i="27" s="1"/>
  <c r="J55" i="23"/>
  <c r="E42" i="26" s="1"/>
  <c r="E22" i="27" s="1"/>
  <c r="I55" i="23"/>
  <c r="D42" i="26" s="1"/>
  <c r="D22" i="27" s="1"/>
  <c r="H55" i="23"/>
  <c r="C42" i="26" s="1"/>
  <c r="C22" i="27" s="1"/>
  <c r="G55" i="23"/>
  <c r="F55" i="23"/>
  <c r="E55" i="23"/>
  <c r="D55" i="23"/>
  <c r="C58" i="23"/>
  <c r="C57" i="23"/>
  <c r="C56" i="23"/>
  <c r="T69" i="23"/>
  <c r="N79" i="3"/>
  <c r="N78" i="3"/>
  <c r="N77" i="3"/>
  <c r="N75" i="3"/>
  <c r="N74" i="3"/>
  <c r="N72" i="3"/>
  <c r="N70" i="3"/>
  <c r="T62" i="23"/>
  <c r="N65" i="3"/>
  <c r="N64" i="3"/>
  <c r="N63" i="3"/>
  <c r="N62" i="3"/>
  <c r="N61" i="3"/>
  <c r="N60" i="3"/>
  <c r="N59" i="3"/>
  <c r="N58" i="3"/>
  <c r="T60" i="23"/>
  <c r="T59" i="23"/>
  <c r="S68" i="23"/>
  <c r="N76" i="3"/>
  <c r="S62" i="23"/>
  <c r="N69" i="3"/>
  <c r="N68" i="3"/>
  <c r="S60" i="23"/>
  <c r="S59" i="23"/>
  <c r="R69" i="23"/>
  <c r="R68" i="23"/>
  <c r="R62" i="23"/>
  <c r="R60" i="23"/>
  <c r="T23" i="23"/>
  <c r="T21"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N39" i="23"/>
  <c r="U38" i="23"/>
  <c r="W38" i="23" s="1"/>
  <c r="T38" i="23"/>
  <c r="S38" i="23"/>
  <c r="R38" i="23"/>
  <c r="Q38" i="23"/>
  <c r="P38" i="23"/>
  <c r="O38" i="23"/>
  <c r="N38" i="23"/>
  <c r="U37" i="23"/>
  <c r="W37" i="23" s="1"/>
  <c r="T37" i="23"/>
  <c r="S37" i="23"/>
  <c r="R37" i="23"/>
  <c r="Q37" i="23"/>
  <c r="P37" i="23"/>
  <c r="O37" i="23"/>
  <c r="L41" i="23"/>
  <c r="K41" i="23"/>
  <c r="J41" i="23"/>
  <c r="I41" i="23"/>
  <c r="H41" i="23"/>
  <c r="G41" i="23"/>
  <c r="F41" i="23"/>
  <c r="E41" i="23"/>
  <c r="D41" i="23"/>
  <c r="C41" i="23"/>
  <c r="L40" i="23"/>
  <c r="K40" i="23"/>
  <c r="J40" i="23"/>
  <c r="I40" i="23"/>
  <c r="H40" i="23"/>
  <c r="G40" i="23"/>
  <c r="F40" i="23"/>
  <c r="E40" i="23"/>
  <c r="D40" i="23"/>
  <c r="C40" i="23"/>
  <c r="L39" i="23"/>
  <c r="K39" i="23"/>
  <c r="J39" i="23"/>
  <c r="I39" i="23"/>
  <c r="H39" i="23"/>
  <c r="G39" i="23"/>
  <c r="F39" i="23"/>
  <c r="E39" i="23"/>
  <c r="D39" i="23"/>
  <c r="C39" i="23"/>
  <c r="L38" i="23"/>
  <c r="K38" i="23"/>
  <c r="J38" i="23"/>
  <c r="I38" i="23"/>
  <c r="H38" i="23"/>
  <c r="G38" i="23"/>
  <c r="F38" i="23"/>
  <c r="E38" i="23"/>
  <c r="D38" i="23"/>
  <c r="C38" i="23"/>
  <c r="L37" i="23"/>
  <c r="G15" i="26" s="1"/>
  <c r="K37" i="23"/>
  <c r="F15" i="26" s="1"/>
  <c r="J37" i="23"/>
  <c r="E15" i="26" s="1"/>
  <c r="I37" i="23"/>
  <c r="D15" i="26" s="1"/>
  <c r="H37" i="23"/>
  <c r="C15" i="26" s="1"/>
  <c r="G37" i="23"/>
  <c r="F37" i="23"/>
  <c r="E37" i="23"/>
  <c r="D37" i="23"/>
  <c r="U34" i="23"/>
  <c r="W34" i="23" s="1"/>
  <c r="T34" i="23"/>
  <c r="S34" i="23"/>
  <c r="R34" i="23"/>
  <c r="Q34" i="23"/>
  <c r="P34" i="23"/>
  <c r="O34" i="23"/>
  <c r="N34" i="23"/>
  <c r="C34" i="23"/>
  <c r="C26" i="23"/>
  <c r="N42" i="3"/>
  <c r="L71" i="23"/>
  <c r="K71" i="23"/>
  <c r="J71" i="23"/>
  <c r="L70" i="23"/>
  <c r="K70" i="23"/>
  <c r="J70" i="23"/>
  <c r="L69" i="23"/>
  <c r="K69" i="23"/>
  <c r="J69" i="23"/>
  <c r="L68" i="23"/>
  <c r="K68" i="23"/>
  <c r="J68" i="23"/>
  <c r="L64" i="23"/>
  <c r="K64" i="23"/>
  <c r="J64" i="23"/>
  <c r="L63" i="23"/>
  <c r="K63" i="23"/>
  <c r="J63" i="23"/>
  <c r="L62" i="23"/>
  <c r="K62" i="23"/>
  <c r="J62" i="23"/>
  <c r="L60" i="23"/>
  <c r="K60" i="23"/>
  <c r="J60" i="23"/>
  <c r="L59" i="23"/>
  <c r="G35" i="26" s="1"/>
  <c r="K59" i="23"/>
  <c r="F35" i="26" s="1"/>
  <c r="J59" i="23"/>
  <c r="E35" i="26" s="1"/>
  <c r="L51" i="23"/>
  <c r="K51" i="23"/>
  <c r="J51" i="23"/>
  <c r="L50" i="23"/>
  <c r="K50" i="23"/>
  <c r="J50" i="23"/>
  <c r="L49" i="23"/>
  <c r="K49" i="23"/>
  <c r="J49" i="23"/>
  <c r="L48" i="23"/>
  <c r="K48" i="23"/>
  <c r="J48" i="23"/>
  <c r="L47" i="23"/>
  <c r="K47" i="23"/>
  <c r="J47" i="23"/>
  <c r="L46" i="23"/>
  <c r="K46" i="23"/>
  <c r="J46" i="23"/>
  <c r="L44" i="23"/>
  <c r="K44" i="23"/>
  <c r="J44" i="23"/>
  <c r="L43" i="23"/>
  <c r="K43" i="23"/>
  <c r="J43" i="23"/>
  <c r="L42" i="23"/>
  <c r="K42" i="23"/>
  <c r="J42" i="23"/>
  <c r="L36" i="23"/>
  <c r="K36" i="23"/>
  <c r="J36" i="23"/>
  <c r="L34" i="23"/>
  <c r="K34" i="23"/>
  <c r="J34" i="23"/>
  <c r="L33" i="23"/>
  <c r="K33" i="23"/>
  <c r="J33" i="23"/>
  <c r="L32" i="23"/>
  <c r="K32" i="23"/>
  <c r="J32" i="23"/>
  <c r="L31" i="23"/>
  <c r="K31" i="23"/>
  <c r="J31" i="23"/>
  <c r="L30" i="23"/>
  <c r="K30" i="23"/>
  <c r="J30" i="23"/>
  <c r="L29" i="23"/>
  <c r="G14" i="26" s="1"/>
  <c r="K29" i="23"/>
  <c r="F14" i="26" s="1"/>
  <c r="J29" i="23"/>
  <c r="E14" i="26" s="1"/>
  <c r="L28" i="23"/>
  <c r="K28" i="23"/>
  <c r="J28" i="23"/>
  <c r="L27" i="23"/>
  <c r="G13" i="26" s="1"/>
  <c r="K27" i="23"/>
  <c r="F13" i="26" s="1"/>
  <c r="J27" i="23"/>
  <c r="E13" i="26" s="1"/>
  <c r="L26" i="23"/>
  <c r="G31" i="28" s="1"/>
  <c r="K26" i="23"/>
  <c r="F31" i="28" s="1"/>
  <c r="J26" i="23"/>
  <c r="E31" i="28" s="1"/>
  <c r="L21" i="23"/>
  <c r="K21" i="23"/>
  <c r="J21" i="23"/>
  <c r="L20" i="23"/>
  <c r="K20" i="23"/>
  <c r="J20" i="23"/>
  <c r="L19" i="23"/>
  <c r="K19" i="23"/>
  <c r="L86" i="23" s="1"/>
  <c r="J19" i="23"/>
  <c r="L14" i="23"/>
  <c r="K14" i="23"/>
  <c r="J14" i="23"/>
  <c r="L6" i="23"/>
  <c r="K6" i="23"/>
  <c r="J6" i="23"/>
  <c r="L5" i="23"/>
  <c r="K5" i="23"/>
  <c r="J5" i="23"/>
  <c r="L2" i="23"/>
  <c r="K2" i="23"/>
  <c r="J2" i="23"/>
  <c r="I71" i="23"/>
  <c r="H71" i="23"/>
  <c r="G71" i="23"/>
  <c r="F71" i="23"/>
  <c r="E71" i="23"/>
  <c r="D71" i="23"/>
  <c r="I70" i="23"/>
  <c r="H70" i="23"/>
  <c r="G70" i="23"/>
  <c r="F70" i="23"/>
  <c r="E70" i="23"/>
  <c r="D70" i="23"/>
  <c r="I69" i="23"/>
  <c r="H69" i="23"/>
  <c r="G69" i="23"/>
  <c r="F69" i="23"/>
  <c r="E69" i="23"/>
  <c r="D69" i="23"/>
  <c r="I68" i="23"/>
  <c r="H68" i="23"/>
  <c r="G68" i="23"/>
  <c r="F68" i="23"/>
  <c r="E68" i="23"/>
  <c r="D68" i="23"/>
  <c r="I64" i="23"/>
  <c r="H64" i="23"/>
  <c r="G64" i="23"/>
  <c r="F64" i="23"/>
  <c r="E64" i="23"/>
  <c r="D64" i="23"/>
  <c r="I63" i="23"/>
  <c r="H63" i="23"/>
  <c r="G63" i="23"/>
  <c r="F63" i="23"/>
  <c r="E63" i="23"/>
  <c r="D63" i="23"/>
  <c r="I62" i="23"/>
  <c r="H62" i="23"/>
  <c r="G62" i="23"/>
  <c r="F62" i="23"/>
  <c r="E62" i="23"/>
  <c r="D62" i="23"/>
  <c r="I60" i="23"/>
  <c r="H60" i="23"/>
  <c r="G60" i="23"/>
  <c r="F60" i="23"/>
  <c r="E60" i="23"/>
  <c r="D60" i="23"/>
  <c r="I59" i="23"/>
  <c r="D35" i="26" s="1"/>
  <c r="H59" i="23"/>
  <c r="C35" i="26" s="1"/>
  <c r="G59" i="23"/>
  <c r="F59" i="23"/>
  <c r="E59" i="23"/>
  <c r="D59" i="23"/>
  <c r="I51" i="23"/>
  <c r="H51" i="23"/>
  <c r="G51" i="23"/>
  <c r="F51" i="23"/>
  <c r="E51" i="23"/>
  <c r="D51" i="23"/>
  <c r="I50" i="23"/>
  <c r="H50" i="23"/>
  <c r="G50" i="23"/>
  <c r="F50" i="23"/>
  <c r="E50" i="23"/>
  <c r="D50" i="23"/>
  <c r="I49" i="23"/>
  <c r="H49" i="23"/>
  <c r="G49" i="23"/>
  <c r="F49" i="23"/>
  <c r="E49" i="23"/>
  <c r="D49" i="23"/>
  <c r="I48" i="23"/>
  <c r="H48" i="23"/>
  <c r="G48" i="23"/>
  <c r="F48" i="23"/>
  <c r="E48" i="23"/>
  <c r="D48" i="23"/>
  <c r="I47" i="23"/>
  <c r="H47" i="23"/>
  <c r="G47" i="23"/>
  <c r="F47" i="23"/>
  <c r="E47" i="23"/>
  <c r="D47" i="23"/>
  <c r="I46" i="23"/>
  <c r="H46" i="23"/>
  <c r="G46" i="23"/>
  <c r="F46" i="23"/>
  <c r="E46" i="23"/>
  <c r="D46" i="23"/>
  <c r="I44" i="23"/>
  <c r="H44" i="23"/>
  <c r="G44" i="23"/>
  <c r="F44" i="23"/>
  <c r="E44" i="23"/>
  <c r="D44" i="23"/>
  <c r="I43" i="23"/>
  <c r="H43" i="23"/>
  <c r="G43" i="23"/>
  <c r="F43" i="23"/>
  <c r="E43" i="23"/>
  <c r="D43" i="23"/>
  <c r="I42" i="23"/>
  <c r="H42" i="23"/>
  <c r="G42" i="23"/>
  <c r="F42" i="23"/>
  <c r="E42" i="23"/>
  <c r="D42" i="23"/>
  <c r="I36" i="23"/>
  <c r="I77" i="23" s="1"/>
  <c r="H36" i="23"/>
  <c r="G36" i="23"/>
  <c r="G77" i="23" s="1"/>
  <c r="F36" i="23"/>
  <c r="E36" i="23"/>
  <c r="D36" i="23"/>
  <c r="I34" i="23"/>
  <c r="H34" i="23"/>
  <c r="G34" i="23"/>
  <c r="F34" i="23"/>
  <c r="E34" i="23"/>
  <c r="D34" i="23"/>
  <c r="I33" i="23"/>
  <c r="H33" i="23"/>
  <c r="G33" i="23"/>
  <c r="F33" i="23"/>
  <c r="E33" i="23"/>
  <c r="D33" i="23"/>
  <c r="I32" i="23"/>
  <c r="H32" i="23"/>
  <c r="G32" i="23"/>
  <c r="F32" i="23"/>
  <c r="E32" i="23"/>
  <c r="D32" i="23"/>
  <c r="I31" i="23"/>
  <c r="H31" i="23"/>
  <c r="G31" i="23"/>
  <c r="F31" i="23"/>
  <c r="E31" i="23"/>
  <c r="D31" i="23"/>
  <c r="I30" i="23"/>
  <c r="H30" i="23"/>
  <c r="G30" i="23"/>
  <c r="F30" i="23"/>
  <c r="E30" i="23"/>
  <c r="D30" i="23"/>
  <c r="I29" i="23"/>
  <c r="D14" i="26" s="1"/>
  <c r="H29" i="23"/>
  <c r="C14" i="26" s="1"/>
  <c r="G29" i="23"/>
  <c r="F29" i="23"/>
  <c r="E29" i="23"/>
  <c r="D29" i="23"/>
  <c r="I28" i="23"/>
  <c r="H28" i="23"/>
  <c r="G28" i="23"/>
  <c r="F28" i="23"/>
  <c r="E28" i="23"/>
  <c r="D28" i="23"/>
  <c r="I27" i="23"/>
  <c r="D13" i="26" s="1"/>
  <c r="H27" i="23"/>
  <c r="C13" i="26" s="1"/>
  <c r="G27" i="23"/>
  <c r="F27" i="23"/>
  <c r="E27" i="23"/>
  <c r="D27" i="23"/>
  <c r="I26" i="23"/>
  <c r="D31" i="28" s="1"/>
  <c r="H26" i="23"/>
  <c r="C31" i="28" s="1"/>
  <c r="G26" i="23"/>
  <c r="F26" i="23"/>
  <c r="E26" i="23"/>
  <c r="D26" i="23"/>
  <c r="I21" i="23"/>
  <c r="I20" i="23"/>
  <c r="I19" i="23"/>
  <c r="I14" i="23"/>
  <c r="I6" i="23"/>
  <c r="I5" i="23"/>
  <c r="I2" i="23"/>
  <c r="H21" i="23"/>
  <c r="G21" i="23"/>
  <c r="F21" i="23"/>
  <c r="E21" i="23"/>
  <c r="D21" i="23"/>
  <c r="H20" i="23"/>
  <c r="G20" i="23"/>
  <c r="F20" i="23"/>
  <c r="E20" i="23"/>
  <c r="D20" i="23"/>
  <c r="H19" i="23"/>
  <c r="G19" i="23"/>
  <c r="H86" i="23" s="1"/>
  <c r="F19" i="23"/>
  <c r="E19" i="23"/>
  <c r="D19" i="23"/>
  <c r="H14" i="23"/>
  <c r="G14" i="23"/>
  <c r="F14" i="23"/>
  <c r="E14" i="23"/>
  <c r="D14" i="23"/>
  <c r="H6" i="23"/>
  <c r="G6" i="23"/>
  <c r="F6" i="23"/>
  <c r="E6" i="23"/>
  <c r="D6" i="23"/>
  <c r="H5" i="23"/>
  <c r="G5" i="23"/>
  <c r="F5" i="23"/>
  <c r="E5" i="23"/>
  <c r="D5" i="23"/>
  <c r="H2" i="23"/>
  <c r="G2" i="23"/>
  <c r="F2" i="23"/>
  <c r="E2" i="23"/>
  <c r="D2" i="23"/>
  <c r="U16" i="23"/>
  <c r="T16" i="23"/>
  <c r="S16" i="23"/>
  <c r="R16" i="23"/>
  <c r="Q16" i="23"/>
  <c r="P16" i="23"/>
  <c r="O16" i="23"/>
  <c r="N16" i="23"/>
  <c r="C16" i="23"/>
  <c r="N9" i="23"/>
  <c r="L121" i="1"/>
  <c r="L119" i="1"/>
  <c r="K121" i="1"/>
  <c r="K119" i="1"/>
  <c r="J121" i="1"/>
  <c r="J119" i="1"/>
  <c r="I121" i="1"/>
  <c r="I119" i="1"/>
  <c r="H121" i="1"/>
  <c r="H119" i="1"/>
  <c r="G121" i="1"/>
  <c r="G119" i="1"/>
  <c r="F121" i="1"/>
  <c r="F119" i="1"/>
  <c r="C121" i="1"/>
  <c r="D121" i="1"/>
  <c r="E121" i="1"/>
  <c r="E119" i="1"/>
  <c r="D119" i="1"/>
  <c r="C119" i="1"/>
  <c r="P103" i="1"/>
  <c r="P104" i="1" s="1"/>
  <c r="O103" i="1"/>
  <c r="O104" i="1" s="1"/>
  <c r="N103" i="1"/>
  <c r="N104" i="1" s="1"/>
  <c r="M103" i="1"/>
  <c r="M104" i="1" s="1"/>
  <c r="L103" i="1"/>
  <c r="L104" i="1" s="1"/>
  <c r="K103" i="1"/>
  <c r="K104" i="1" s="1"/>
  <c r="J103" i="1"/>
  <c r="J104" i="1" s="1"/>
  <c r="I103" i="1"/>
  <c r="I104" i="1" s="1"/>
  <c r="H103" i="1"/>
  <c r="H104" i="1" s="1"/>
  <c r="G103" i="1"/>
  <c r="G104" i="1" s="1"/>
  <c r="F103" i="1"/>
  <c r="F104" i="1" s="1"/>
  <c r="E103" i="1"/>
  <c r="E104" i="1" s="1"/>
  <c r="D103" i="1"/>
  <c r="D104" i="1" s="1"/>
  <c r="C103" i="1"/>
  <c r="C104" i="1" s="1"/>
  <c r="L41" i="1"/>
  <c r="L35" i="23" s="1"/>
  <c r="K41" i="1"/>
  <c r="K35" i="23" s="1"/>
  <c r="L28" i="1"/>
  <c r="L23" i="23" s="1"/>
  <c r="K28" i="1"/>
  <c r="K23" i="23" s="1"/>
  <c r="J28" i="1"/>
  <c r="J23" i="23" s="1"/>
  <c r="I28" i="1"/>
  <c r="I23" i="23" s="1"/>
  <c r="H28" i="1"/>
  <c r="H23" i="23" s="1"/>
  <c r="G28" i="1"/>
  <c r="G23" i="23" s="1"/>
  <c r="F28" i="1"/>
  <c r="F23" i="23" s="1"/>
  <c r="E28" i="1"/>
  <c r="E23" i="23" s="1"/>
  <c r="D28" i="1"/>
  <c r="D23" i="23" s="1"/>
  <c r="C28" i="1"/>
  <c r="L26" i="1"/>
  <c r="K26" i="1"/>
  <c r="J26" i="1"/>
  <c r="H26" i="1"/>
  <c r="G26" i="1"/>
  <c r="F26" i="1"/>
  <c r="E26" i="1"/>
  <c r="D26" i="1"/>
  <c r="C26" i="1"/>
  <c r="L24" i="1"/>
  <c r="K24" i="1"/>
  <c r="J24" i="1"/>
  <c r="I24" i="1"/>
  <c r="H24" i="1"/>
  <c r="G24" i="1"/>
  <c r="G22" i="23" s="1"/>
  <c r="F24" i="1"/>
  <c r="F22" i="23" s="1"/>
  <c r="E24" i="1"/>
  <c r="E22" i="23" s="1"/>
  <c r="D24" i="1"/>
  <c r="D22" i="23" s="1"/>
  <c r="C24" i="1"/>
  <c r="C22"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4" i="1"/>
  <c r="K124" i="1"/>
  <c r="F17" i="27" s="1"/>
  <c r="J124" i="1"/>
  <c r="E17" i="27" s="1"/>
  <c r="I124" i="1"/>
  <c r="D17" i="27" s="1"/>
  <c r="H124" i="1"/>
  <c r="C17" i="27" s="1"/>
  <c r="G124" i="1"/>
  <c r="F124" i="1"/>
  <c r="E124" i="1"/>
  <c r="D124" i="1"/>
  <c r="C124" i="1"/>
  <c r="L147" i="1"/>
  <c r="K147" i="1"/>
  <c r="J147" i="1"/>
  <c r="I147" i="1"/>
  <c r="H147" i="1"/>
  <c r="G147" i="1"/>
  <c r="F147" i="1"/>
  <c r="E147" i="1"/>
  <c r="D147" i="1"/>
  <c r="L146" i="1"/>
  <c r="K146" i="1"/>
  <c r="J146" i="1"/>
  <c r="I146" i="1"/>
  <c r="H146" i="1"/>
  <c r="G146" i="1"/>
  <c r="F146" i="1"/>
  <c r="E146" i="1"/>
  <c r="D146" i="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2" i="1"/>
  <c r="P113" i="1" s="1"/>
  <c r="O112" i="1"/>
  <c r="O113" i="1" s="1"/>
  <c r="N112" i="1"/>
  <c r="N113" i="1" s="1"/>
  <c r="M112" i="1"/>
  <c r="M113" i="1" s="1"/>
  <c r="L112" i="1"/>
  <c r="L113" i="1" s="1"/>
  <c r="K112" i="1"/>
  <c r="K113" i="1" s="1"/>
  <c r="J112" i="1"/>
  <c r="J113" i="1" s="1"/>
  <c r="I112" i="1"/>
  <c r="I113" i="1" s="1"/>
  <c r="H112" i="1"/>
  <c r="H113" i="1" s="1"/>
  <c r="G112" i="1"/>
  <c r="G113" i="1" s="1"/>
  <c r="F112" i="1"/>
  <c r="F113" i="1" s="1"/>
  <c r="E112" i="1"/>
  <c r="E113" i="1" s="1"/>
  <c r="D112" i="1"/>
  <c r="D113" i="1" s="1"/>
  <c r="P110" i="1"/>
  <c r="P111" i="1" s="1"/>
  <c r="O110" i="1"/>
  <c r="O111" i="1" s="1"/>
  <c r="N110" i="1"/>
  <c r="N111" i="1" s="1"/>
  <c r="M110" i="1"/>
  <c r="M111" i="1" s="1"/>
  <c r="L110" i="1"/>
  <c r="L111" i="1" s="1"/>
  <c r="K110" i="1"/>
  <c r="K111" i="1" s="1"/>
  <c r="J110" i="1"/>
  <c r="J111" i="1" s="1"/>
  <c r="I110" i="1"/>
  <c r="I111" i="1" s="1"/>
  <c r="H110" i="1"/>
  <c r="H111" i="1" s="1"/>
  <c r="G110" i="1"/>
  <c r="G111" i="1" s="1"/>
  <c r="F110" i="1"/>
  <c r="F111" i="1" s="1"/>
  <c r="E110" i="1"/>
  <c r="E111" i="1" s="1"/>
  <c r="D110" i="1"/>
  <c r="D111" i="1" s="1"/>
  <c r="P107" i="1"/>
  <c r="O107" i="1"/>
  <c r="N107" i="1"/>
  <c r="M107" i="1"/>
  <c r="L107" i="1"/>
  <c r="K107" i="1"/>
  <c r="J107" i="1"/>
  <c r="I107" i="1"/>
  <c r="H107" i="1"/>
  <c r="G107" i="1"/>
  <c r="F107" i="1"/>
  <c r="E107" i="1"/>
  <c r="D107" i="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1" i="1"/>
  <c r="P102" i="1" s="1"/>
  <c r="O101" i="1"/>
  <c r="O102" i="1" s="1"/>
  <c r="N101" i="1"/>
  <c r="N102" i="1" s="1"/>
  <c r="M101" i="1"/>
  <c r="M102" i="1" s="1"/>
  <c r="L101" i="1"/>
  <c r="L102" i="1" s="1"/>
  <c r="K101" i="1"/>
  <c r="K102" i="1" s="1"/>
  <c r="J101" i="1"/>
  <c r="J102" i="1" s="1"/>
  <c r="I101" i="1"/>
  <c r="I102" i="1" s="1"/>
  <c r="H101" i="1"/>
  <c r="H102" i="1" s="1"/>
  <c r="G101" i="1"/>
  <c r="G102" i="1" s="1"/>
  <c r="F101" i="1"/>
  <c r="F102" i="1" s="1"/>
  <c r="E101" i="1"/>
  <c r="E102" i="1" s="1"/>
  <c r="D101" i="1"/>
  <c r="D102" i="1" s="1"/>
  <c r="P60" i="1"/>
  <c r="P108" i="1" s="1"/>
  <c r="P109" i="1" s="1"/>
  <c r="O60" i="1"/>
  <c r="O108" i="1" s="1"/>
  <c r="O109" i="1" s="1"/>
  <c r="N60" i="1"/>
  <c r="N108" i="1" s="1"/>
  <c r="N109" i="1" s="1"/>
  <c r="M60" i="1"/>
  <c r="M108" i="1" s="1"/>
  <c r="M109" i="1" s="1"/>
  <c r="L60" i="1"/>
  <c r="K60" i="1"/>
  <c r="J60" i="1"/>
  <c r="I60" i="1"/>
  <c r="H60" i="1"/>
  <c r="G60" i="1"/>
  <c r="F60" i="1"/>
  <c r="E60" i="1"/>
  <c r="D60" i="1"/>
  <c r="P51" i="1"/>
  <c r="O51" i="1"/>
  <c r="N51" i="1"/>
  <c r="M51" i="1"/>
  <c r="L51" i="1"/>
  <c r="L45" i="23" s="1"/>
  <c r="K51" i="1"/>
  <c r="K45" i="23" s="1"/>
  <c r="J51" i="1"/>
  <c r="J45" i="23" s="1"/>
  <c r="I51" i="1"/>
  <c r="I45" i="23" s="1"/>
  <c r="H51" i="1"/>
  <c r="H45" i="23" s="1"/>
  <c r="G51" i="1"/>
  <c r="G45" i="23" s="1"/>
  <c r="F51" i="1"/>
  <c r="F45" i="23" s="1"/>
  <c r="E51" i="1"/>
  <c r="E45" i="23" s="1"/>
  <c r="D51" i="1"/>
  <c r="D45" i="23" s="1"/>
  <c r="P41" i="1"/>
  <c r="O41" i="1"/>
  <c r="N41" i="1"/>
  <c r="M41" i="1"/>
  <c r="J41" i="1"/>
  <c r="J35" i="23" s="1"/>
  <c r="I41" i="1"/>
  <c r="I35" i="23" s="1"/>
  <c r="H41" i="1"/>
  <c r="H35" i="23" s="1"/>
  <c r="G41" i="1"/>
  <c r="G35" i="23" s="1"/>
  <c r="F41" i="1"/>
  <c r="F35" i="23" s="1"/>
  <c r="E41" i="1"/>
  <c r="E35" i="23" s="1"/>
  <c r="D41" i="1"/>
  <c r="D35" i="23" s="1"/>
  <c r="P13" i="1"/>
  <c r="O13" i="1"/>
  <c r="N13" i="1"/>
  <c r="M13" i="1"/>
  <c r="P7" i="1"/>
  <c r="O7" i="1"/>
  <c r="N7" i="1"/>
  <c r="M7" i="1"/>
  <c r="L7" i="1"/>
  <c r="K7" i="1"/>
  <c r="K7" i="23" s="1"/>
  <c r="J7" i="1"/>
  <c r="I7" i="1"/>
  <c r="H7" i="1"/>
  <c r="G7" i="1"/>
  <c r="G7" i="23" s="1"/>
  <c r="F7" i="1"/>
  <c r="F7" i="23" s="1"/>
  <c r="E7" i="1"/>
  <c r="E7" i="23" s="1"/>
  <c r="D7" i="1"/>
  <c r="D7" i="23" s="1"/>
  <c r="D3" i="1"/>
  <c r="C107" i="1"/>
  <c r="C34" i="2"/>
  <c r="C35" i="2" s="1"/>
  <c r="U71" i="23"/>
  <c r="W71" i="23" s="1"/>
  <c r="T71" i="23"/>
  <c r="S71" i="23"/>
  <c r="R71" i="23"/>
  <c r="Q71" i="23"/>
  <c r="P71" i="23"/>
  <c r="O71" i="23"/>
  <c r="N71" i="23"/>
  <c r="U70" i="23"/>
  <c r="T70" i="23"/>
  <c r="S70" i="23"/>
  <c r="R70" i="23"/>
  <c r="W70" i="23" s="1"/>
  <c r="Q70" i="23"/>
  <c r="P70" i="23"/>
  <c r="O70" i="23"/>
  <c r="N70" i="23"/>
  <c r="U69" i="23"/>
  <c r="Q69" i="23"/>
  <c r="P69" i="23"/>
  <c r="O69" i="23"/>
  <c r="N69" i="23"/>
  <c r="U68" i="23"/>
  <c r="Q68" i="23"/>
  <c r="P68" i="23"/>
  <c r="O68" i="23"/>
  <c r="W63" i="23"/>
  <c r="N68" i="23"/>
  <c r="U62" i="23"/>
  <c r="Q62" i="23"/>
  <c r="P62" i="23"/>
  <c r="O62" i="23"/>
  <c r="N62" i="23"/>
  <c r="U60" i="23"/>
  <c r="Q60" i="23"/>
  <c r="P60" i="23"/>
  <c r="O60" i="23"/>
  <c r="U59" i="23"/>
  <c r="R59" i="23"/>
  <c r="Q59" i="23"/>
  <c r="P59" i="23"/>
  <c r="O59" i="23"/>
  <c r="N60" i="23"/>
  <c r="N59" i="23"/>
  <c r="N55" i="23"/>
  <c r="C71" i="23"/>
  <c r="C70" i="23"/>
  <c r="C69" i="23"/>
  <c r="C68" i="23"/>
  <c r="C64" i="23"/>
  <c r="C63" i="23"/>
  <c r="C62" i="23"/>
  <c r="C60" i="23"/>
  <c r="C59" i="23"/>
  <c r="C55" i="23"/>
  <c r="U51" i="23"/>
  <c r="W51" i="23" s="1"/>
  <c r="T51" i="23"/>
  <c r="S51" i="23"/>
  <c r="R51" i="23"/>
  <c r="Q51" i="23"/>
  <c r="P51" i="23"/>
  <c r="O51" i="23"/>
  <c r="N51" i="23"/>
  <c r="U50" i="23"/>
  <c r="W50" i="23" s="1"/>
  <c r="C46" i="2" s="1"/>
  <c r="T50" i="23"/>
  <c r="S50" i="23"/>
  <c r="R50" i="23"/>
  <c r="Q50" i="23"/>
  <c r="P50" i="23"/>
  <c r="O50" i="23"/>
  <c r="N50" i="23"/>
  <c r="U49" i="23"/>
  <c r="W49" i="23" s="1"/>
  <c r="T49" i="23"/>
  <c r="S49" i="23"/>
  <c r="R49" i="23"/>
  <c r="Q49" i="23"/>
  <c r="P49" i="23"/>
  <c r="O49" i="23"/>
  <c r="N49" i="23"/>
  <c r="U48" i="23"/>
  <c r="W48" i="23" s="1"/>
  <c r="T48" i="23"/>
  <c r="S48" i="23"/>
  <c r="R48" i="23"/>
  <c r="Q48" i="23"/>
  <c r="P48" i="23"/>
  <c r="O48" i="23"/>
  <c r="N48" i="23"/>
  <c r="U47" i="23"/>
  <c r="W47" i="23" s="1"/>
  <c r="T47" i="23"/>
  <c r="S47" i="23"/>
  <c r="R47" i="23"/>
  <c r="Q47" i="23"/>
  <c r="P47" i="23"/>
  <c r="O47" i="23"/>
  <c r="N47" i="23"/>
  <c r="U46" i="23"/>
  <c r="W46" i="23" s="1"/>
  <c r="T46" i="23"/>
  <c r="S46" i="23"/>
  <c r="R46" i="23"/>
  <c r="Q46" i="23"/>
  <c r="P46" i="23"/>
  <c r="O46" i="23"/>
  <c r="N46"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N37" i="23"/>
  <c r="U36" i="23"/>
  <c r="W36" i="23" s="1"/>
  <c r="T36" i="23"/>
  <c r="S36" i="23"/>
  <c r="R36" i="23"/>
  <c r="Q36" i="23"/>
  <c r="P36" i="23"/>
  <c r="O36" i="23"/>
  <c r="N36" i="23"/>
  <c r="U33" i="23"/>
  <c r="W33" i="23" s="1"/>
  <c r="T33" i="23"/>
  <c r="S33" i="23"/>
  <c r="R33" i="23"/>
  <c r="Q33" i="23"/>
  <c r="P33" i="23"/>
  <c r="O33" i="23"/>
  <c r="N33"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C51" i="23"/>
  <c r="C50" i="23"/>
  <c r="C49" i="23"/>
  <c r="C48" i="23"/>
  <c r="C47" i="23"/>
  <c r="C46" i="23"/>
  <c r="C44" i="23"/>
  <c r="C43" i="23"/>
  <c r="C42" i="23"/>
  <c r="C37" i="23"/>
  <c r="C36" i="23"/>
  <c r="C33" i="23"/>
  <c r="C32" i="23"/>
  <c r="C31" i="23"/>
  <c r="C30" i="23"/>
  <c r="C29" i="23"/>
  <c r="C28" i="23"/>
  <c r="C27" i="23"/>
  <c r="U23" i="23"/>
  <c r="S23" i="23"/>
  <c r="R23" i="23"/>
  <c r="S89" i="23" s="1"/>
  <c r="Q23" i="23"/>
  <c r="P23" i="23"/>
  <c r="O23" i="23"/>
  <c r="N23" i="23"/>
  <c r="U22" i="23"/>
  <c r="T22" i="23"/>
  <c r="S22" i="23"/>
  <c r="R22" i="23"/>
  <c r="W22" i="23" s="1"/>
  <c r="Q22" i="23"/>
  <c r="P22" i="23"/>
  <c r="O22" i="23"/>
  <c r="N22" i="23"/>
  <c r="U21" i="23"/>
  <c r="S21" i="23"/>
  <c r="R21" i="23"/>
  <c r="Q21" i="23"/>
  <c r="P21" i="23"/>
  <c r="O21" i="23"/>
  <c r="N21" i="23"/>
  <c r="U20" i="23"/>
  <c r="T20" i="23"/>
  <c r="S20" i="23"/>
  <c r="R20" i="23"/>
  <c r="Q20" i="23"/>
  <c r="P20" i="23"/>
  <c r="O20" i="23"/>
  <c r="N20" i="23"/>
  <c r="U19" i="23"/>
  <c r="T19" i="23"/>
  <c r="S19" i="23"/>
  <c r="R19" i="23"/>
  <c r="Q19" i="23"/>
  <c r="P19" i="23"/>
  <c r="O19" i="23"/>
  <c r="N19"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0" i="23"/>
  <c r="C21" i="23"/>
  <c r="C19" i="23"/>
  <c r="C6" i="23"/>
  <c r="C8" i="23"/>
  <c r="C14" i="23"/>
  <c r="C5" i="23"/>
  <c r="U3" i="23"/>
  <c r="T3" i="23"/>
  <c r="S3" i="23"/>
  <c r="R3" i="23"/>
  <c r="Q3" i="23"/>
  <c r="P3" i="23"/>
  <c r="O3" i="23"/>
  <c r="U2" i="23"/>
  <c r="T2" i="23"/>
  <c r="S2" i="23"/>
  <c r="R2" i="23"/>
  <c r="Q2" i="23"/>
  <c r="P2" i="23"/>
  <c r="O2" i="23"/>
  <c r="N3" i="23"/>
  <c r="N2" i="23"/>
  <c r="C3" i="23"/>
  <c r="C2" i="23"/>
  <c r="N105" i="3"/>
  <c r="C5" i="21" s="1"/>
  <c r="C18" i="21"/>
  <c r="G13" i="9"/>
  <c r="G10" i="27" s="1"/>
  <c r="F13" i="9"/>
  <c r="F10" i="27" s="1"/>
  <c r="E13" i="9"/>
  <c r="E10" i="27" s="1"/>
  <c r="D13" i="9"/>
  <c r="D10" i="27" s="1"/>
  <c r="G12" i="9"/>
  <c r="G9" i="27" s="1"/>
  <c r="F12" i="9"/>
  <c r="F9" i="27" s="1"/>
  <c r="E12" i="9"/>
  <c r="E9" i="27" s="1"/>
  <c r="D12" i="9"/>
  <c r="D9" i="27" s="1"/>
  <c r="C13" i="9"/>
  <c r="C10" i="27" s="1"/>
  <c r="C12" i="9"/>
  <c r="C9" i="27" s="1"/>
  <c r="D11" i="9"/>
  <c r="E11" i="9"/>
  <c r="F11" i="9"/>
  <c r="G11" i="9"/>
  <c r="C11" i="9"/>
  <c r="D6" i="9"/>
  <c r="E6" i="9"/>
  <c r="F6" i="9"/>
  <c r="G6" i="9"/>
  <c r="C6" i="9"/>
  <c r="G11" i="6"/>
  <c r="F11" i="6"/>
  <c r="E11" i="6"/>
  <c r="D11" i="6"/>
  <c r="C11" i="6"/>
  <c r="C7" i="26" s="1"/>
  <c r="Z10" i="6"/>
  <c r="AA10" i="6" s="1"/>
  <c r="AA19" i="6" s="1"/>
  <c r="Z8" i="6"/>
  <c r="AA8" i="6" s="1"/>
  <c r="AA17" i="6" s="1"/>
  <c r="N83" i="3"/>
  <c r="N82" i="3"/>
  <c r="J101" i="3"/>
  <c r="J102" i="3" s="1"/>
  <c r="J99" i="3"/>
  <c r="Q24" i="3"/>
  <c r="Q23" i="3"/>
  <c r="J56" i="3"/>
  <c r="U54" i="23" s="1"/>
  <c r="Q22" i="3"/>
  <c r="Q21" i="3"/>
  <c r="C51" i="1"/>
  <c r="C45" i="23" s="1"/>
  <c r="I113" i="3"/>
  <c r="H113" i="3"/>
  <c r="G113" i="3"/>
  <c r="F113" i="3"/>
  <c r="E113" i="3"/>
  <c r="D113" i="3"/>
  <c r="C113" i="3"/>
  <c r="I112" i="3"/>
  <c r="H112" i="3"/>
  <c r="G112" i="3"/>
  <c r="F112" i="3"/>
  <c r="E112" i="3"/>
  <c r="D112" i="3"/>
  <c r="C112" i="3"/>
  <c r="H101" i="3"/>
  <c r="H102" i="3" s="1"/>
  <c r="G101" i="3"/>
  <c r="G102" i="3" s="1"/>
  <c r="F101" i="3"/>
  <c r="F102" i="3" s="1"/>
  <c r="E101" i="3"/>
  <c r="E102" i="3" s="1"/>
  <c r="D101" i="3"/>
  <c r="D102" i="3" s="1"/>
  <c r="C101" i="3"/>
  <c r="C102" i="3" s="1"/>
  <c r="H99" i="3"/>
  <c r="H100" i="3" s="1"/>
  <c r="G99" i="3"/>
  <c r="G100" i="3" s="1"/>
  <c r="F99" i="3"/>
  <c r="F100" i="3" s="1"/>
  <c r="E99" i="3"/>
  <c r="E100" i="3" s="1"/>
  <c r="D99" i="3"/>
  <c r="D100" i="3" s="1"/>
  <c r="C99" i="3"/>
  <c r="C100" i="3" s="1"/>
  <c r="G97" i="3"/>
  <c r="G98" i="3" s="1"/>
  <c r="F97" i="3"/>
  <c r="F98" i="3" s="1"/>
  <c r="E97" i="3"/>
  <c r="E98" i="3" s="1"/>
  <c r="D97" i="3"/>
  <c r="D98" i="3" s="1"/>
  <c r="C97" i="3"/>
  <c r="C98" i="3" s="1"/>
  <c r="I94" i="3"/>
  <c r="H94" i="3"/>
  <c r="G94" i="3"/>
  <c r="F94" i="3"/>
  <c r="E94" i="3"/>
  <c r="D94" i="3"/>
  <c r="C94" i="3"/>
  <c r="I92" i="3"/>
  <c r="I93" i="3" s="1"/>
  <c r="H92" i="3"/>
  <c r="H93" i="3" s="1"/>
  <c r="G92" i="3"/>
  <c r="G93" i="3" s="1"/>
  <c r="F92" i="3"/>
  <c r="F93" i="3" s="1"/>
  <c r="E92" i="3"/>
  <c r="E93" i="3" s="1"/>
  <c r="D92" i="3"/>
  <c r="D93" i="3" s="1"/>
  <c r="C92" i="3"/>
  <c r="C93" i="3" s="1"/>
  <c r="I90" i="3"/>
  <c r="I91" i="3" s="1"/>
  <c r="H90" i="3"/>
  <c r="H91" i="3" s="1"/>
  <c r="G90" i="3"/>
  <c r="G91" i="3" s="1"/>
  <c r="F90" i="3"/>
  <c r="F91" i="3" s="1"/>
  <c r="E90" i="3"/>
  <c r="E91" i="3" s="1"/>
  <c r="D90" i="3"/>
  <c r="D91" i="3" s="1"/>
  <c r="C90" i="3"/>
  <c r="C91" i="3" s="1"/>
  <c r="I88" i="3"/>
  <c r="I89" i="3" s="1"/>
  <c r="H88" i="3"/>
  <c r="H89" i="3" s="1"/>
  <c r="G88" i="3"/>
  <c r="G89" i="3" s="1"/>
  <c r="F88" i="3"/>
  <c r="F89" i="3" s="1"/>
  <c r="E88" i="3"/>
  <c r="E89" i="3" s="1"/>
  <c r="D88" i="3"/>
  <c r="D89" i="3" s="1"/>
  <c r="C88" i="3"/>
  <c r="C89" i="3" s="1"/>
  <c r="I56" i="3"/>
  <c r="H56" i="3"/>
  <c r="G56" i="3"/>
  <c r="F56" i="3"/>
  <c r="E56" i="3"/>
  <c r="D56" i="3"/>
  <c r="C56" i="3"/>
  <c r="I47" i="3"/>
  <c r="T45" i="23" s="1"/>
  <c r="H47" i="3"/>
  <c r="S45" i="23" s="1"/>
  <c r="G47" i="3"/>
  <c r="R45" i="23" s="1"/>
  <c r="F47" i="3"/>
  <c r="Q45" i="23" s="1"/>
  <c r="E47" i="3"/>
  <c r="P45" i="23" s="1"/>
  <c r="D47" i="3"/>
  <c r="O45" i="23" s="1"/>
  <c r="C47" i="3"/>
  <c r="N45" i="23" s="1"/>
  <c r="I37" i="3"/>
  <c r="T35" i="23" s="1"/>
  <c r="H37" i="3"/>
  <c r="S35" i="23" s="1"/>
  <c r="G37" i="3"/>
  <c r="R35" i="23" s="1"/>
  <c r="F37" i="3"/>
  <c r="Q35" i="23" s="1"/>
  <c r="E37" i="3"/>
  <c r="P35" i="23" s="1"/>
  <c r="D37" i="3"/>
  <c r="O35" i="23" s="1"/>
  <c r="C37" i="3"/>
  <c r="N35" i="23" s="1"/>
  <c r="I7" i="3"/>
  <c r="H7" i="3"/>
  <c r="S7" i="23" s="1"/>
  <c r="G7" i="3"/>
  <c r="R7" i="23" s="1"/>
  <c r="F7" i="3"/>
  <c r="Q7" i="23" s="1"/>
  <c r="E7" i="3"/>
  <c r="P7" i="23" s="1"/>
  <c r="D7" i="3"/>
  <c r="O7" i="23" s="1"/>
  <c r="C7" i="3"/>
  <c r="N7" i="23" s="1"/>
  <c r="N52" i="3"/>
  <c r="N53" i="3"/>
  <c r="N51" i="3"/>
  <c r="N50" i="3"/>
  <c r="N49" i="3"/>
  <c r="N48" i="3"/>
  <c r="N46" i="3"/>
  <c r="N45" i="3"/>
  <c r="N44" i="3"/>
  <c r="N43" i="3"/>
  <c r="N41" i="3"/>
  <c r="N40" i="3"/>
  <c r="N39" i="3"/>
  <c r="N38" i="3"/>
  <c r="N35" i="3"/>
  <c r="N36" i="3"/>
  <c r="N34" i="3"/>
  <c r="N33" i="3"/>
  <c r="N28" i="3"/>
  <c r="N29" i="3"/>
  <c r="N30" i="3"/>
  <c r="N31" i="3"/>
  <c r="N32" i="3"/>
  <c r="N27"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J94" i="3"/>
  <c r="J92" i="3"/>
  <c r="J93" i="3" s="1"/>
  <c r="C112" i="1"/>
  <c r="C113" i="1" s="1"/>
  <c r="C114" i="1"/>
  <c r="C115" i="1" s="1"/>
  <c r="C105" i="1"/>
  <c r="C106" i="1" s="1"/>
  <c r="C147" i="1"/>
  <c r="C146" i="1"/>
  <c r="P5" i="3"/>
  <c r="P6" i="3"/>
  <c r="P8" i="3"/>
  <c r="P9" i="3"/>
  <c r="P14" i="3"/>
  <c r="P15" i="3"/>
  <c r="P18" i="3"/>
  <c r="P19" i="3"/>
  <c r="P20" i="3"/>
  <c r="P21" i="3"/>
  <c r="P22" i="3"/>
  <c r="P23" i="3"/>
  <c r="P24" i="3"/>
  <c r="P3" i="3"/>
  <c r="J112" i="3"/>
  <c r="J113" i="3"/>
  <c r="Q5" i="3"/>
  <c r="Q6" i="3"/>
  <c r="Q8" i="3"/>
  <c r="Q9" i="3"/>
  <c r="Q14" i="3"/>
  <c r="Q15" i="3"/>
  <c r="Q18" i="3"/>
  <c r="Q19" i="3"/>
  <c r="Q20" i="3"/>
  <c r="Q3" i="3"/>
  <c r="N22" i="3"/>
  <c r="C25" i="22" s="1"/>
  <c r="N21" i="3"/>
  <c r="N15" i="3"/>
  <c r="N18" i="3"/>
  <c r="N19" i="3"/>
  <c r="N20" i="3"/>
  <c r="N8" i="3"/>
  <c r="N9" i="3"/>
  <c r="N14" i="3"/>
  <c r="N6" i="3"/>
  <c r="N5" i="3"/>
  <c r="J90" i="3"/>
  <c r="J91" i="3" s="1"/>
  <c r="J88" i="3"/>
  <c r="J89" i="3" s="1"/>
  <c r="J47" i="3"/>
  <c r="J37" i="3"/>
  <c r="J7" i="3"/>
  <c r="C110" i="1"/>
  <c r="C111" i="1" s="1"/>
  <c r="C101" i="1"/>
  <c r="C102" i="1" s="1"/>
  <c r="C60" i="1"/>
  <c r="C41" i="1"/>
  <c r="C35" i="23" s="1"/>
  <c r="C7" i="1"/>
  <c r="R86" i="23" l="1"/>
  <c r="W67" i="23"/>
  <c r="W66" i="23"/>
  <c r="P86" i="23"/>
  <c r="D99" i="1"/>
  <c r="D100" i="1" s="1"/>
  <c r="E99" i="1"/>
  <c r="E100" i="1" s="1"/>
  <c r="H99" i="1"/>
  <c r="H100" i="1" s="1"/>
  <c r="I99" i="1"/>
  <c r="I100" i="1" s="1"/>
  <c r="P100" i="1"/>
  <c r="O100" i="1"/>
  <c r="N100" i="1"/>
  <c r="M100" i="1"/>
  <c r="C24" i="2"/>
  <c r="C23" i="23"/>
  <c r="D89" i="23" s="1"/>
  <c r="C23" i="2"/>
  <c r="C20" i="26"/>
  <c r="C23" i="22"/>
  <c r="C8" i="21"/>
  <c r="C45" i="2"/>
  <c r="C17" i="2"/>
  <c r="C16" i="2"/>
  <c r="C19" i="2" s="1"/>
  <c r="C22" i="22"/>
  <c r="C47" i="2"/>
  <c r="G30" i="28"/>
  <c r="F30" i="28"/>
  <c r="E30" i="28"/>
  <c r="D30" i="28"/>
  <c r="C30" i="28"/>
  <c r="D7" i="27"/>
  <c r="D8" i="26"/>
  <c r="E7" i="27"/>
  <c r="E8" i="26"/>
  <c r="F7" i="27"/>
  <c r="F8" i="26"/>
  <c r="G7" i="27"/>
  <c r="G8" i="26"/>
  <c r="C7" i="27"/>
  <c r="C8" i="26"/>
  <c r="G20" i="6"/>
  <c r="G7" i="26"/>
  <c r="G46" i="26" s="1"/>
  <c r="F7" i="26"/>
  <c r="F20" i="6"/>
  <c r="E20" i="6"/>
  <c r="E7" i="26"/>
  <c r="D20" i="6"/>
  <c r="D7" i="26"/>
  <c r="G23" i="27"/>
  <c r="F23" i="27"/>
  <c r="F46" i="26"/>
  <c r="E23" i="27"/>
  <c r="E46" i="26"/>
  <c r="D23" i="27"/>
  <c r="D46" i="26"/>
  <c r="G36" i="26"/>
  <c r="G37" i="26" s="1"/>
  <c r="G24" i="27"/>
  <c r="F36" i="26"/>
  <c r="F37" i="26" s="1"/>
  <c r="F24" i="27"/>
  <c r="E36" i="26"/>
  <c r="E37" i="26" s="1"/>
  <c r="E24" i="27"/>
  <c r="D36" i="26"/>
  <c r="D37" i="26" s="1"/>
  <c r="D24" i="27"/>
  <c r="C36" i="26"/>
  <c r="C37" i="26" s="1"/>
  <c r="C24" i="27"/>
  <c r="L22" i="23"/>
  <c r="G18" i="28"/>
  <c r="K22" i="23"/>
  <c r="F18" i="28"/>
  <c r="J22" i="23"/>
  <c r="E18" i="28"/>
  <c r="I22" i="23"/>
  <c r="D18" i="28"/>
  <c r="H22" i="23"/>
  <c r="C18" i="28"/>
  <c r="G17" i="27"/>
  <c r="G6" i="28"/>
  <c r="G6" i="27"/>
  <c r="F6" i="28"/>
  <c r="F6" i="27"/>
  <c r="E6" i="28"/>
  <c r="E6" i="27"/>
  <c r="D6" i="28"/>
  <c r="D6" i="27"/>
  <c r="C6" i="28"/>
  <c r="C6" i="27"/>
  <c r="D12" i="28"/>
  <c r="C46" i="26"/>
  <c r="G44" i="26"/>
  <c r="F44" i="26"/>
  <c r="E44" i="26"/>
  <c r="D44" i="26"/>
  <c r="C44" i="26"/>
  <c r="C43" i="26"/>
  <c r="I8" i="6"/>
  <c r="H11" i="6"/>
  <c r="W58" i="23"/>
  <c r="L77" i="23"/>
  <c r="K77" i="23"/>
  <c r="J77" i="23"/>
  <c r="T68" i="23"/>
  <c r="N80" i="3"/>
  <c r="I99" i="3"/>
  <c r="I100" i="3" s="1"/>
  <c r="N73" i="3"/>
  <c r="I97" i="3"/>
  <c r="I98" i="3" s="1"/>
  <c r="N66" i="3"/>
  <c r="I101" i="3"/>
  <c r="I102" i="3" s="1"/>
  <c r="S69" i="23"/>
  <c r="W69" i="23" s="1"/>
  <c r="N81" i="3"/>
  <c r="W68" i="23"/>
  <c r="W57" i="23"/>
  <c r="W62" i="23"/>
  <c r="N71" i="3"/>
  <c r="W61" i="23"/>
  <c r="H97" i="3"/>
  <c r="H98" i="3" s="1"/>
  <c r="N67" i="3"/>
  <c r="N57" i="3"/>
  <c r="W20" i="23"/>
  <c r="C15" i="2"/>
  <c r="U89" i="23"/>
  <c r="L89" i="23"/>
  <c r="F89" i="23"/>
  <c r="L108" i="1"/>
  <c r="L109" i="1" s="1"/>
  <c r="L54" i="23"/>
  <c r="K108" i="1"/>
  <c r="K109" i="1" s="1"/>
  <c r="K54" i="23"/>
  <c r="J108" i="1"/>
  <c r="J109" i="1" s="1"/>
  <c r="J54" i="23"/>
  <c r="I108" i="1"/>
  <c r="I109" i="1" s="1"/>
  <c r="I54" i="23"/>
  <c r="H108" i="1"/>
  <c r="H109" i="1" s="1"/>
  <c r="H54" i="23"/>
  <c r="G108" i="1"/>
  <c r="G109" i="1" s="1"/>
  <c r="G54" i="23"/>
  <c r="F108" i="1"/>
  <c r="F109" i="1" s="1"/>
  <c r="F54" i="23"/>
  <c r="E108" i="1"/>
  <c r="E109" i="1" s="1"/>
  <c r="E54" i="23"/>
  <c r="D108" i="1"/>
  <c r="D109" i="1" s="1"/>
  <c r="D54" i="23"/>
  <c r="L100" i="1"/>
  <c r="H139" i="1"/>
  <c r="G139" i="1"/>
  <c r="L145" i="1"/>
  <c r="L7" i="23"/>
  <c r="K136" i="1"/>
  <c r="J7" i="23"/>
  <c r="J136" i="1"/>
  <c r="I7" i="23"/>
  <c r="I136" i="1"/>
  <c r="H7" i="23"/>
  <c r="E3" i="1"/>
  <c r="D3" i="23"/>
  <c r="L82" i="23"/>
  <c r="K82" i="23"/>
  <c r="J82" i="23"/>
  <c r="U13" i="23"/>
  <c r="J87" i="3"/>
  <c r="K89" i="23"/>
  <c r="J89" i="23"/>
  <c r="L74" i="23"/>
  <c r="L94" i="23"/>
  <c r="K74" i="23"/>
  <c r="L87" i="23"/>
  <c r="K94" i="23"/>
  <c r="J87" i="23"/>
  <c r="K87" i="23"/>
  <c r="J94" i="23"/>
  <c r="J74" i="23"/>
  <c r="K86" i="23"/>
  <c r="J86" i="23"/>
  <c r="L93" i="23"/>
  <c r="L15" i="23"/>
  <c r="K93" i="23"/>
  <c r="L85" i="23"/>
  <c r="K15" i="23"/>
  <c r="K85" i="23"/>
  <c r="J85" i="23"/>
  <c r="J15" i="23"/>
  <c r="J93" i="23"/>
  <c r="K84" i="23"/>
  <c r="J84" i="23"/>
  <c r="K92" i="23"/>
  <c r="L75" i="23"/>
  <c r="L81" i="23"/>
  <c r="K81" i="23"/>
  <c r="K75" i="23"/>
  <c r="J75" i="23"/>
  <c r="J81" i="23"/>
  <c r="I89" i="23"/>
  <c r="I86" i="23"/>
  <c r="I82" i="23"/>
  <c r="I94" i="23"/>
  <c r="I74" i="23"/>
  <c r="I87" i="23"/>
  <c r="I85" i="23"/>
  <c r="I93" i="23"/>
  <c r="I15" i="23"/>
  <c r="I75" i="23"/>
  <c r="I81" i="23"/>
  <c r="H15" i="23"/>
  <c r="G15" i="23"/>
  <c r="F15" i="23"/>
  <c r="E15" i="23"/>
  <c r="D15" i="23"/>
  <c r="W56" i="23"/>
  <c r="W9" i="23"/>
  <c r="R89" i="23"/>
  <c r="O89" i="23"/>
  <c r="O86" i="23"/>
  <c r="P89" i="23"/>
  <c r="Q81" i="23"/>
  <c r="T86" i="23"/>
  <c r="Q86" i="23"/>
  <c r="U86" i="23"/>
  <c r="W60" i="23"/>
  <c r="W59" i="23"/>
  <c r="S82" i="23"/>
  <c r="U82" i="23"/>
  <c r="F86" i="23"/>
  <c r="F15" i="6"/>
  <c r="E15" i="6"/>
  <c r="C77" i="23"/>
  <c r="D77" i="23"/>
  <c r="E77" i="23"/>
  <c r="F77" i="23"/>
  <c r="H77" i="23"/>
  <c r="D139" i="1"/>
  <c r="L139" i="1"/>
  <c r="K100" i="1"/>
  <c r="K139" i="1"/>
  <c r="J100" i="1"/>
  <c r="J139" i="1"/>
  <c r="I139" i="1"/>
  <c r="F139" i="1"/>
  <c r="E139" i="1"/>
  <c r="K145" i="1"/>
  <c r="L136" i="1"/>
  <c r="G145" i="1"/>
  <c r="H136" i="1"/>
  <c r="F145" i="1"/>
  <c r="G136" i="1"/>
  <c r="E145" i="1"/>
  <c r="F136" i="1"/>
  <c r="D145" i="1"/>
  <c r="E136" i="1"/>
  <c r="C7" i="23"/>
  <c r="C92" i="23" s="1"/>
  <c r="D136" i="1"/>
  <c r="C100" i="1"/>
  <c r="F100" i="1"/>
  <c r="G100" i="1"/>
  <c r="E86" i="23"/>
  <c r="G89" i="23"/>
  <c r="G86" i="23"/>
  <c r="E89" i="23"/>
  <c r="G82" i="23"/>
  <c r="F92" i="23"/>
  <c r="J145" i="1"/>
  <c r="I145" i="1"/>
  <c r="H145" i="1"/>
  <c r="T82" i="23"/>
  <c r="P81" i="23"/>
  <c r="Q89" i="23"/>
  <c r="O81" i="23"/>
  <c r="I95" i="3"/>
  <c r="I96" i="3" s="1"/>
  <c r="T54" i="23"/>
  <c r="H95" i="3"/>
  <c r="H96" i="3" s="1"/>
  <c r="S54" i="23"/>
  <c r="G95" i="3"/>
  <c r="G96" i="3" s="1"/>
  <c r="R54" i="23"/>
  <c r="F95" i="3"/>
  <c r="F96" i="3" s="1"/>
  <c r="Q54" i="23"/>
  <c r="E95" i="3"/>
  <c r="E96" i="3" s="1"/>
  <c r="P54" i="23"/>
  <c r="D95" i="3"/>
  <c r="D96" i="3" s="1"/>
  <c r="O54" i="23"/>
  <c r="C95" i="3"/>
  <c r="C96" i="3" s="1"/>
  <c r="N54" i="23"/>
  <c r="U15" i="23"/>
  <c r="R15" i="23"/>
  <c r="P15" i="23"/>
  <c r="N15" i="23"/>
  <c r="T15" i="23"/>
  <c r="Q15" i="23"/>
  <c r="O15" i="23"/>
  <c r="N47" i="3"/>
  <c r="U45" i="23"/>
  <c r="W45" i="23" s="1"/>
  <c r="N37" i="3"/>
  <c r="U35" i="23"/>
  <c r="W35" i="23" s="1"/>
  <c r="T89" i="23"/>
  <c r="W16" i="23"/>
  <c r="I87" i="3"/>
  <c r="T13" i="23"/>
  <c r="H87" i="3"/>
  <c r="S13" i="23"/>
  <c r="G87" i="3"/>
  <c r="R13" i="23"/>
  <c r="F87" i="3"/>
  <c r="Q13" i="23"/>
  <c r="E87" i="3"/>
  <c r="P13" i="23"/>
  <c r="D87" i="3"/>
  <c r="O13" i="23"/>
  <c r="C87" i="3"/>
  <c r="N13" i="23"/>
  <c r="O84" i="23" s="1"/>
  <c r="U93" i="23"/>
  <c r="Q82" i="23"/>
  <c r="P82" i="23"/>
  <c r="O82" i="23"/>
  <c r="U81" i="23"/>
  <c r="S81" i="23"/>
  <c r="P7" i="3"/>
  <c r="T7" i="23"/>
  <c r="Q7" i="3"/>
  <c r="U7" i="23"/>
  <c r="U92" i="23" s="1"/>
  <c r="H82" i="23"/>
  <c r="D19" i="6"/>
  <c r="C15" i="23"/>
  <c r="H89" i="23"/>
  <c r="D86" i="23"/>
  <c r="C108" i="1"/>
  <c r="C109" i="1" s="1"/>
  <c r="C54" i="23"/>
  <c r="G14" i="9"/>
  <c r="G11" i="27" s="1"/>
  <c r="F14" i="9"/>
  <c r="F11" i="27" s="1"/>
  <c r="E14" i="9"/>
  <c r="E11" i="27" s="1"/>
  <c r="D14" i="9"/>
  <c r="D11" i="27" s="1"/>
  <c r="C14" i="9"/>
  <c r="C11" i="27" s="1"/>
  <c r="H93" i="23"/>
  <c r="F82" i="23"/>
  <c r="E82" i="23"/>
  <c r="D82" i="23"/>
  <c r="C19" i="21"/>
  <c r="W77" i="23"/>
  <c r="U87" i="23"/>
  <c r="U94" i="23"/>
  <c r="T87" i="23"/>
  <c r="S94" i="23"/>
  <c r="W21" i="23"/>
  <c r="W23" i="23" s="1"/>
  <c r="C12" i="2" s="1"/>
  <c r="S87" i="23"/>
  <c r="R94" i="23"/>
  <c r="R87" i="23"/>
  <c r="Q94" i="23"/>
  <c r="Q87" i="23"/>
  <c r="P94" i="23"/>
  <c r="P87" i="23"/>
  <c r="O94" i="23"/>
  <c r="O87" i="23"/>
  <c r="N94" i="23"/>
  <c r="W19" i="23"/>
  <c r="S86" i="23"/>
  <c r="T93" i="23"/>
  <c r="U85" i="23"/>
  <c r="S93" i="23"/>
  <c r="T85" i="23"/>
  <c r="W14" i="23"/>
  <c r="C44" i="2" s="1"/>
  <c r="R93" i="23"/>
  <c r="S85" i="23"/>
  <c r="R85" i="23"/>
  <c r="Q93" i="23"/>
  <c r="P93" i="23"/>
  <c r="Q85" i="23"/>
  <c r="P85" i="23"/>
  <c r="O93" i="23"/>
  <c r="O85" i="23"/>
  <c r="N93" i="23"/>
  <c r="S92" i="23"/>
  <c r="R92" i="23"/>
  <c r="S83" i="23"/>
  <c r="Q92" i="23"/>
  <c r="R83" i="23"/>
  <c r="Q83" i="23"/>
  <c r="P92" i="23"/>
  <c r="P83" i="23"/>
  <c r="O92" i="23"/>
  <c r="N92" i="23"/>
  <c r="O83" i="23"/>
  <c r="W6" i="23"/>
  <c r="R82" i="23"/>
  <c r="T94" i="23"/>
  <c r="T81" i="23"/>
  <c r="W5" i="23"/>
  <c r="W75" i="23" s="1"/>
  <c r="R81" i="23"/>
  <c r="G94" i="23"/>
  <c r="H87" i="23"/>
  <c r="G74" i="23"/>
  <c r="G87" i="23"/>
  <c r="F94" i="23"/>
  <c r="F74" i="23"/>
  <c r="E94" i="23"/>
  <c r="E74" i="23"/>
  <c r="F87" i="23"/>
  <c r="E87" i="23"/>
  <c r="D94" i="23"/>
  <c r="D74" i="23"/>
  <c r="H85" i="23"/>
  <c r="G93" i="23"/>
  <c r="F93" i="23"/>
  <c r="G85" i="23"/>
  <c r="E93" i="23"/>
  <c r="F85" i="23"/>
  <c r="D93" i="23"/>
  <c r="E85" i="23"/>
  <c r="H94" i="23"/>
  <c r="H75" i="23"/>
  <c r="H81" i="23"/>
  <c r="H74" i="23"/>
  <c r="G75" i="23"/>
  <c r="G81" i="23"/>
  <c r="F81" i="23"/>
  <c r="F75" i="23"/>
  <c r="E81" i="23"/>
  <c r="E75" i="23"/>
  <c r="D75" i="23"/>
  <c r="D81" i="23"/>
  <c r="C74" i="23"/>
  <c r="C94" i="23"/>
  <c r="D87" i="23"/>
  <c r="C93" i="23"/>
  <c r="D85" i="23"/>
  <c r="C75" i="23"/>
  <c r="C6" i="21"/>
  <c r="C7" i="21" s="1"/>
  <c r="Z9" i="6"/>
  <c r="Z18" i="6" s="1"/>
  <c r="Z7" i="6"/>
  <c r="Z16" i="6" s="1"/>
  <c r="Z6" i="6"/>
  <c r="Z15" i="6" s="1"/>
  <c r="J100" i="3"/>
  <c r="Y16" i="6"/>
  <c r="N56"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8" i="3"/>
  <c r="R22" i="3"/>
  <c r="R6" i="3"/>
  <c r="P13" i="3"/>
  <c r="R23" i="3"/>
  <c r="C145" i="1"/>
  <c r="R15" i="3"/>
  <c r="R19" i="3"/>
  <c r="R14" i="3"/>
  <c r="R24" i="3"/>
  <c r="R20" i="3"/>
  <c r="R9" i="3"/>
  <c r="R5" i="3"/>
  <c r="R21" i="3"/>
  <c r="R8" i="3"/>
  <c r="N24" i="3"/>
  <c r="C11" i="2" s="1"/>
  <c r="Q13" i="3"/>
  <c r="N7" i="3"/>
  <c r="N23" i="3"/>
  <c r="N13" i="3"/>
  <c r="J97" i="3"/>
  <c r="J98" i="3" s="1"/>
  <c r="J95" i="3"/>
  <c r="J96" i="3" s="1"/>
  <c r="C48" i="2" l="1"/>
  <c r="I84" i="23"/>
  <c r="G8" i="27"/>
  <c r="G12" i="27" s="1"/>
  <c r="F8" i="27"/>
  <c r="F12" i="27" s="1"/>
  <c r="E8" i="27"/>
  <c r="E12" i="27" s="1"/>
  <c r="D8" i="27"/>
  <c r="D12" i="27" s="1"/>
  <c r="C8" i="27"/>
  <c r="C12" i="27" s="1"/>
  <c r="D21" i="26"/>
  <c r="D22" i="26"/>
  <c r="E21" i="26"/>
  <c r="E22" i="26"/>
  <c r="F21" i="26"/>
  <c r="F22" i="26"/>
  <c r="G21" i="26"/>
  <c r="G22" i="26"/>
  <c r="C21" i="26"/>
  <c r="C22" i="26"/>
  <c r="C23" i="26" s="1"/>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20" i="6"/>
  <c r="H6" i="28"/>
  <c r="H12" i="28" s="1"/>
  <c r="H6" i="27"/>
  <c r="H7" i="26"/>
  <c r="H13" i="26" s="1"/>
  <c r="H28" i="26" s="1"/>
  <c r="L84" i="23"/>
  <c r="L83" i="23"/>
  <c r="L92" i="23"/>
  <c r="F19" i="28"/>
  <c r="E19" i="28"/>
  <c r="G12" i="28"/>
  <c r="F12" i="28"/>
  <c r="E12" i="28"/>
  <c r="I11" i="6"/>
  <c r="J8" i="6"/>
  <c r="I92" i="23"/>
  <c r="J83" i="23"/>
  <c r="W55" i="23"/>
  <c r="S15" i="23"/>
  <c r="W15" i="23" s="1"/>
  <c r="J92" i="23"/>
  <c r="K83" i="23"/>
  <c r="H92" i="23"/>
  <c r="I83" i="23"/>
  <c r="E3" i="23"/>
  <c r="F3" i="1"/>
  <c r="W54" i="23"/>
  <c r="K76" i="23"/>
  <c r="K78" i="23" s="1"/>
  <c r="J76" i="23"/>
  <c r="J78" i="23" s="1"/>
  <c r="L76" i="23"/>
  <c r="L78" i="23" s="1"/>
  <c r="I76" i="23"/>
  <c r="I78" i="23" s="1"/>
  <c r="H76" i="23"/>
  <c r="H78" i="23" s="1"/>
  <c r="F83" i="23"/>
  <c r="E92" i="23"/>
  <c r="E83" i="23"/>
  <c r="D92" i="23"/>
  <c r="D83" i="23"/>
  <c r="R7" i="3"/>
  <c r="C18" i="2"/>
  <c r="T92" i="23"/>
  <c r="U83" i="23"/>
  <c r="T83" i="23"/>
  <c r="W7" i="23"/>
  <c r="W92" i="23" s="1"/>
  <c r="U84" i="23"/>
  <c r="T84" i="23"/>
  <c r="W13" i="23"/>
  <c r="S84" i="23"/>
  <c r="R84" i="23"/>
  <c r="Q84" i="23"/>
  <c r="P84" i="23"/>
  <c r="G92" i="23"/>
  <c r="G83" i="23"/>
  <c r="H83" i="23"/>
  <c r="C76" i="23"/>
  <c r="C78" i="23" s="1"/>
  <c r="H84" i="23"/>
  <c r="G84" i="23"/>
  <c r="F84" i="23"/>
  <c r="D84" i="23"/>
  <c r="E84" i="23"/>
  <c r="W74" i="23"/>
  <c r="W76" i="23" s="1"/>
  <c r="W78" i="23" s="1"/>
  <c r="W94" i="23"/>
  <c r="W93" i="23"/>
  <c r="E76" i="23"/>
  <c r="E78" i="23" s="1"/>
  <c r="G76" i="23"/>
  <c r="G78" i="23" s="1"/>
  <c r="F76" i="23"/>
  <c r="F78" i="23" s="1"/>
  <c r="D76" i="23"/>
  <c r="D78" i="23" s="1"/>
  <c r="C17" i="21"/>
  <c r="C16" i="21"/>
  <c r="AA9" i="6"/>
  <c r="R13" i="3"/>
  <c r="D23" i="26" l="1"/>
  <c r="F23" i="26"/>
  <c r="E23" i="26"/>
  <c r="G23" i="26"/>
  <c r="G29" i="27"/>
  <c r="G30" i="27" s="1"/>
  <c r="G7" i="28"/>
  <c r="F29" i="27"/>
  <c r="F30" i="27" s="1"/>
  <c r="F7" i="28"/>
  <c r="F33" i="28" s="1"/>
  <c r="E29" i="27"/>
  <c r="E30" i="27" s="1"/>
  <c r="E7" i="28"/>
  <c r="D29" i="27"/>
  <c r="D30" i="27" s="1"/>
  <c r="D7" i="28"/>
  <c r="C29" i="27"/>
  <c r="C30" i="27" s="1"/>
  <c r="C7" i="28"/>
  <c r="C33" i="28" s="1"/>
  <c r="C41" i="28"/>
  <c r="C50" i="28"/>
  <c r="C58" i="28"/>
  <c r="H45" i="26"/>
  <c r="H23" i="27" s="1"/>
  <c r="H36" i="26"/>
  <c r="H42" i="26"/>
  <c r="I20" i="6"/>
  <c r="I6" i="28"/>
  <c r="I12" i="28" s="1"/>
  <c r="I6" i="27"/>
  <c r="I7" i="26"/>
  <c r="J11" i="6"/>
  <c r="K8" i="6"/>
  <c r="F3" i="23"/>
  <c r="G3" i="1"/>
  <c r="C20" i="21"/>
  <c r="AA7" i="6"/>
  <c r="AE9" i="6"/>
  <c r="AA18" i="6"/>
  <c r="AA6" i="6"/>
  <c r="E13" i="28" l="1"/>
  <c r="G7" i="22"/>
  <c r="G8" i="28"/>
  <c r="G33" i="28"/>
  <c r="G13" i="28"/>
  <c r="F7" i="22"/>
  <c r="F8" i="28"/>
  <c r="E7" i="22"/>
  <c r="E8" i="28"/>
  <c r="E34" i="28" s="1"/>
  <c r="E33" i="28"/>
  <c r="F13" i="28"/>
  <c r="C7" i="22"/>
  <c r="C8" i="28"/>
  <c r="C34" i="28" s="1"/>
  <c r="D7" i="22"/>
  <c r="D8" i="28"/>
  <c r="D33" i="28"/>
  <c r="D13" i="28"/>
  <c r="H44" i="26"/>
  <c r="H22" i="27"/>
  <c r="I13" i="26"/>
  <c r="I28" i="26" s="1"/>
  <c r="I45" i="26"/>
  <c r="I23" i="27" s="1"/>
  <c r="I42" i="26"/>
  <c r="I36" i="26"/>
  <c r="J20" i="6"/>
  <c r="J6" i="28"/>
  <c r="J12" i="28" s="1"/>
  <c r="J6" i="27"/>
  <c r="J7" i="26"/>
  <c r="C48" i="28"/>
  <c r="C39" i="28"/>
  <c r="K11" i="6"/>
  <c r="L8" i="6"/>
  <c r="L11" i="6" s="1"/>
  <c r="G3" i="23"/>
  <c r="H3" i="1"/>
  <c r="C15" i="22"/>
  <c r="AE7" i="6"/>
  <c r="AA16" i="6"/>
  <c r="AE6" i="6"/>
  <c r="AA15" i="6"/>
  <c r="F34" i="28" l="1"/>
  <c r="F14" i="28"/>
  <c r="G34" i="28"/>
  <c r="G14" i="28"/>
  <c r="E14" i="28"/>
  <c r="D34" i="28"/>
  <c r="D14" i="28"/>
  <c r="I44" i="26"/>
  <c r="I22" i="27"/>
  <c r="J13" i="26"/>
  <c r="J28" i="26" s="1"/>
  <c r="J42" i="26"/>
  <c r="J45" i="26"/>
  <c r="J23" i="27" s="1"/>
  <c r="J36" i="26"/>
  <c r="K20" i="6"/>
  <c r="K6" i="28"/>
  <c r="K12" i="28" s="1"/>
  <c r="K6" i="27"/>
  <c r="K7" i="26"/>
  <c r="L6" i="28"/>
  <c r="L6" i="27"/>
  <c r="L7" i="26"/>
  <c r="L20" i="6"/>
  <c r="C5" i="6"/>
  <c r="C5" i="9"/>
  <c r="H3" i="23"/>
  <c r="I3" i="1"/>
  <c r="AA11" i="6"/>
  <c r="AE11" i="6"/>
  <c r="J44" i="26" l="1"/>
  <c r="J22" i="27"/>
  <c r="K13" i="26"/>
  <c r="K28" i="26" s="1"/>
  <c r="K45" i="26"/>
  <c r="K23" i="27" s="1"/>
  <c r="K36" i="26"/>
  <c r="K42" i="26"/>
  <c r="L12" i="28"/>
  <c r="C47" i="28"/>
  <c r="C51" i="28" s="1"/>
  <c r="C52" i="28" s="1"/>
  <c r="C7" i="29" s="1"/>
  <c r="L13" i="26"/>
  <c r="L36" i="26"/>
  <c r="L45" i="26"/>
  <c r="L23" i="27" s="1"/>
  <c r="L42" i="26"/>
  <c r="C5" i="28"/>
  <c r="C6" i="22"/>
  <c r="C5" i="27"/>
  <c r="C6" i="26"/>
  <c r="C14" i="6"/>
  <c r="C18" i="9"/>
  <c r="C10" i="9"/>
  <c r="D5" i="6"/>
  <c r="D5" i="9"/>
  <c r="I3" i="23"/>
  <c r="J3" i="1"/>
  <c r="X6" i="9"/>
  <c r="K44" i="26" l="1"/>
  <c r="K22" i="27"/>
  <c r="L44" i="26"/>
  <c r="L22" i="27"/>
  <c r="C11" i="28"/>
  <c r="C17" i="28"/>
  <c r="C22" i="28"/>
  <c r="C27" i="28"/>
  <c r="C16" i="27"/>
  <c r="C28" i="27"/>
  <c r="C21" i="27"/>
  <c r="C27" i="26"/>
  <c r="C34" i="26"/>
  <c r="C41" i="26"/>
  <c r="C12" i="26"/>
  <c r="C19" i="26"/>
  <c r="L28" i="26"/>
  <c r="D5" i="28"/>
  <c r="D6" i="22"/>
  <c r="D5" i="27"/>
  <c r="D6" i="26"/>
  <c r="D14" i="6"/>
  <c r="D10" i="9"/>
  <c r="D18" i="9"/>
  <c r="E5" i="9"/>
  <c r="E5" i="6"/>
  <c r="J3" i="23"/>
  <c r="K3" i="1"/>
  <c r="X13" i="9"/>
  <c r="AB13" i="9" s="1"/>
  <c r="X11" i="9"/>
  <c r="AB11" i="9" s="1"/>
  <c r="X12" i="9"/>
  <c r="AB6" i="9"/>
  <c r="D22" i="28" l="1"/>
  <c r="D11" i="28"/>
  <c r="D27" i="28"/>
  <c r="D17" i="28"/>
  <c r="D16" i="27"/>
  <c r="D21" i="27"/>
  <c r="D28" i="27"/>
  <c r="D34" i="26"/>
  <c r="D27" i="26"/>
  <c r="D41" i="26"/>
  <c r="D12" i="26"/>
  <c r="D19" i="26"/>
  <c r="E5" i="28"/>
  <c r="E6" i="22"/>
  <c r="E5" i="27"/>
  <c r="E6" i="26"/>
  <c r="E10" i="9"/>
  <c r="E18" i="9"/>
  <c r="E14" i="6"/>
  <c r="F5" i="9"/>
  <c r="F5" i="6"/>
  <c r="K3" i="23"/>
  <c r="L3" i="1"/>
  <c r="X14" i="9"/>
  <c r="AB14" i="9" s="1"/>
  <c r="AB12" i="9"/>
  <c r="H6" i="9"/>
  <c r="E17" i="28" l="1"/>
  <c r="E27" i="28"/>
  <c r="E22" i="28"/>
  <c r="E11" i="28"/>
  <c r="E16" i="27"/>
  <c r="E21" i="27"/>
  <c r="E28" i="27"/>
  <c r="E34" i="26"/>
  <c r="E12" i="26"/>
  <c r="E19" i="26"/>
  <c r="E27" i="26"/>
  <c r="E41" i="26"/>
  <c r="F5" i="28"/>
  <c r="F6" i="22"/>
  <c r="F5" i="27"/>
  <c r="F6" i="26"/>
  <c r="F10" i="9"/>
  <c r="F18" i="9"/>
  <c r="F14" i="6"/>
  <c r="G5" i="9"/>
  <c r="G5" i="6"/>
  <c r="L3" i="23"/>
  <c r="M3" i="1"/>
  <c r="N3" i="1" s="1"/>
  <c r="O3" i="1" s="1"/>
  <c r="P3" i="1" s="1"/>
  <c r="I6" i="9"/>
  <c r="H13" i="9"/>
  <c r="H10" i="27" s="1"/>
  <c r="H12" i="9"/>
  <c r="H9" i="27" s="1"/>
  <c r="H11" i="9"/>
  <c r="F17" i="28" l="1"/>
  <c r="F27" i="28"/>
  <c r="F11" i="28"/>
  <c r="F22" i="28"/>
  <c r="F21" i="27"/>
  <c r="F16" i="27"/>
  <c r="F28" i="27"/>
  <c r="F27" i="26"/>
  <c r="F12" i="26"/>
  <c r="F41" i="26"/>
  <c r="F34" i="26"/>
  <c r="F19" i="26"/>
  <c r="G5" i="28"/>
  <c r="G6" i="22"/>
  <c r="G5" i="27"/>
  <c r="G6" i="26"/>
  <c r="H7" i="27"/>
  <c r="H8" i="27" s="1"/>
  <c r="H8" i="26"/>
  <c r="G18" i="9"/>
  <c r="H5" i="9"/>
  <c r="G10" i="9"/>
  <c r="G14" i="6"/>
  <c r="H5" i="6"/>
  <c r="J6" i="9"/>
  <c r="H14" i="9"/>
  <c r="H11" i="27" s="1"/>
  <c r="I13" i="9"/>
  <c r="I10" i="27" s="1"/>
  <c r="I12" i="9"/>
  <c r="I9" i="27" s="1"/>
  <c r="I11" i="9"/>
  <c r="H12" i="27" l="1"/>
  <c r="G11" i="28"/>
  <c r="G22" i="28"/>
  <c r="G17" i="28"/>
  <c r="G27" i="28"/>
  <c r="G16" i="27"/>
  <c r="G21" i="27"/>
  <c r="G28" i="27"/>
  <c r="G41" i="26"/>
  <c r="G27" i="26"/>
  <c r="G19" i="26"/>
  <c r="G34" i="26"/>
  <c r="G12" i="26"/>
  <c r="H15" i="26"/>
  <c r="H30" i="26" s="1"/>
  <c r="H14" i="26"/>
  <c r="H29" i="26" s="1"/>
  <c r="H5" i="28"/>
  <c r="H6" i="22"/>
  <c r="H5" i="27"/>
  <c r="H6" i="26"/>
  <c r="I7" i="27"/>
  <c r="I8" i="27" s="1"/>
  <c r="I8" i="26"/>
  <c r="H10" i="9"/>
  <c r="I5" i="9"/>
  <c r="H18" i="9"/>
  <c r="I5" i="6"/>
  <c r="H14" i="6"/>
  <c r="K6" i="9"/>
  <c r="L6" i="9"/>
  <c r="I14" i="9"/>
  <c r="I11" i="27" s="1"/>
  <c r="J11" i="9"/>
  <c r="J13" i="9"/>
  <c r="J10" i="27" s="1"/>
  <c r="J12" i="9"/>
  <c r="J9" i="27" s="1"/>
  <c r="H29" i="27" l="1"/>
  <c r="H7" i="28"/>
  <c r="H13" i="28" s="1"/>
  <c r="I12" i="27"/>
  <c r="H11" i="28"/>
  <c r="H22" i="28"/>
  <c r="H17" i="28"/>
  <c r="H27" i="28"/>
  <c r="H28" i="27"/>
  <c r="H16" i="27"/>
  <c r="H21" i="27"/>
  <c r="H27" i="26"/>
  <c r="H19" i="26"/>
  <c r="H12" i="26"/>
  <c r="H41" i="26"/>
  <c r="H34" i="26"/>
  <c r="I15" i="26"/>
  <c r="I30" i="26" s="1"/>
  <c r="I14" i="26"/>
  <c r="I29" i="26" s="1"/>
  <c r="H35" i="26"/>
  <c r="H24" i="27" s="1"/>
  <c r="I5" i="28"/>
  <c r="I6" i="22"/>
  <c r="I5" i="27"/>
  <c r="I6" i="26"/>
  <c r="J7" i="27"/>
  <c r="J8" i="27" s="1"/>
  <c r="J8" i="26"/>
  <c r="J5" i="9"/>
  <c r="I18" i="9"/>
  <c r="I10" i="9"/>
  <c r="I14" i="6"/>
  <c r="J5" i="6"/>
  <c r="K13" i="9"/>
  <c r="K10" i="27" s="1"/>
  <c r="K12" i="9"/>
  <c r="K9" i="27" s="1"/>
  <c r="K11" i="9"/>
  <c r="J14" i="9"/>
  <c r="J11" i="27" s="1"/>
  <c r="L11" i="9"/>
  <c r="L12" i="9"/>
  <c r="L9" i="27" s="1"/>
  <c r="L13" i="9"/>
  <c r="L10" i="27" s="1"/>
  <c r="H30" i="27" l="1"/>
  <c r="I35" i="26"/>
  <c r="I24" i="27" s="1"/>
  <c r="I29" i="27"/>
  <c r="I7" i="28"/>
  <c r="I13" i="28" s="1"/>
  <c r="J12" i="27"/>
  <c r="I27" i="28"/>
  <c r="I22" i="28"/>
  <c r="I11" i="28"/>
  <c r="I17" i="28"/>
  <c r="I21" i="27"/>
  <c r="I28" i="27"/>
  <c r="I16" i="27"/>
  <c r="I41" i="26"/>
  <c r="I27" i="26"/>
  <c r="I12" i="26"/>
  <c r="I34" i="26"/>
  <c r="I19" i="26"/>
  <c r="J15" i="26"/>
  <c r="J30" i="26" s="1"/>
  <c r="J14" i="26"/>
  <c r="J29" i="26" s="1"/>
  <c r="J35" i="26" s="1"/>
  <c r="J24" i="27" s="1"/>
  <c r="J5" i="28"/>
  <c r="J6" i="22"/>
  <c r="J5" i="27"/>
  <c r="J6" i="26"/>
  <c r="K7" i="27"/>
  <c r="K8" i="27" s="1"/>
  <c r="K8" i="26"/>
  <c r="L7" i="27"/>
  <c r="L8" i="27" s="1"/>
  <c r="L8" i="26"/>
  <c r="J18" i="9"/>
  <c r="K5" i="9"/>
  <c r="J10" i="9"/>
  <c r="K5" i="6"/>
  <c r="J14" i="6"/>
  <c r="K14" i="9"/>
  <c r="K11" i="27" s="1"/>
  <c r="L14" i="9"/>
  <c r="L11" i="27" s="1"/>
  <c r="H7" i="22" l="1"/>
  <c r="H8" i="28"/>
  <c r="I30" i="27"/>
  <c r="J29" i="27"/>
  <c r="J30" i="27" s="1"/>
  <c r="J7" i="28"/>
  <c r="J13" i="28" s="1"/>
  <c r="K12" i="27"/>
  <c r="L12" i="27"/>
  <c r="H14" i="28"/>
  <c r="J27" i="28"/>
  <c r="J22" i="28"/>
  <c r="J17" i="28"/>
  <c r="J11" i="28"/>
  <c r="J16" i="27"/>
  <c r="J28" i="27"/>
  <c r="J21" i="27"/>
  <c r="J34" i="26"/>
  <c r="J12" i="26"/>
  <c r="J41" i="26"/>
  <c r="J27" i="26"/>
  <c r="J19" i="26"/>
  <c r="K15" i="26"/>
  <c r="K30" i="26" s="1"/>
  <c r="K14" i="26"/>
  <c r="K29" i="26" s="1"/>
  <c r="L15" i="26"/>
  <c r="L14" i="26"/>
  <c r="K5" i="28"/>
  <c r="K6" i="22"/>
  <c r="K5" i="27"/>
  <c r="K6" i="26"/>
  <c r="K18" i="9"/>
  <c r="K10" i="9"/>
  <c r="L5" i="9"/>
  <c r="L5" i="6"/>
  <c r="K14" i="6"/>
  <c r="L30" i="26" l="1"/>
  <c r="L29" i="26"/>
  <c r="L35" i="26" s="1"/>
  <c r="L24" i="27" s="1"/>
  <c r="I8" i="28"/>
  <c r="I14" i="28" s="1"/>
  <c r="I7" i="22"/>
  <c r="K29" i="27"/>
  <c r="K7" i="28"/>
  <c r="K13" i="28" s="1"/>
  <c r="L29" i="27"/>
  <c r="L7" i="28"/>
  <c r="J8" i="28"/>
  <c r="J7" i="22"/>
  <c r="K27" i="28"/>
  <c r="K11" i="28"/>
  <c r="K22" i="28"/>
  <c r="K17" i="28"/>
  <c r="K16" i="27"/>
  <c r="K28" i="27"/>
  <c r="K21" i="27"/>
  <c r="K12" i="26"/>
  <c r="K41" i="26"/>
  <c r="K19" i="26"/>
  <c r="K34" i="26"/>
  <c r="K27" i="26"/>
  <c r="K35" i="26"/>
  <c r="K24" i="27" s="1"/>
  <c r="L5" i="28"/>
  <c r="L6" i="22"/>
  <c r="L5" i="27"/>
  <c r="L6" i="26"/>
  <c r="L18" i="9"/>
  <c r="L10" i="9"/>
  <c r="L14" i="6"/>
  <c r="L30" i="27" l="1"/>
  <c r="J14" i="28"/>
  <c r="L13" i="28"/>
  <c r="C38" i="28"/>
  <c r="C42" i="28" s="1"/>
  <c r="C43" i="28" s="1"/>
  <c r="C44" i="28" s="1"/>
  <c r="C6" i="29" s="1"/>
  <c r="K30" i="27"/>
  <c r="L27" i="28"/>
  <c r="L22" i="28"/>
  <c r="L11" i="28"/>
  <c r="L17" i="28"/>
  <c r="L28" i="27"/>
  <c r="L16" i="27"/>
  <c r="L21" i="27"/>
  <c r="L19" i="26"/>
  <c r="L12" i="26"/>
  <c r="L41" i="26"/>
  <c r="L34" i="26"/>
  <c r="L27" i="26"/>
  <c r="J10" i="22"/>
  <c r="L8" i="28" l="1"/>
  <c r="L7" i="22"/>
  <c r="L10" i="22" s="1"/>
  <c r="K8" i="28"/>
  <c r="K14" i="28" s="1"/>
  <c r="K7" i="22"/>
  <c r="K10" i="22" s="1"/>
  <c r="H10" i="22"/>
  <c r="I10" i="22"/>
  <c r="L8" i="22"/>
  <c r="L11" i="22" s="1"/>
  <c r="C20" i="22" s="1"/>
  <c r="L14" i="28" l="1"/>
  <c r="C55" i="28"/>
  <c r="C59" i="28" s="1"/>
  <c r="C60" i="28" s="1"/>
  <c r="C61" i="28" s="1"/>
  <c r="C8" i="29" s="1"/>
  <c r="C19" i="22"/>
  <c r="C21" i="22" s="1"/>
  <c r="C24" i="22" s="1"/>
  <c r="C26" i="22" s="1"/>
  <c r="C5" i="29" s="1"/>
  <c r="C9"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22"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5"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7"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9"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52"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6"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<sst xmlns="http://schemas.openxmlformats.org/spreadsheetml/2006/main" count="642" uniqueCount="334">
  <si>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</si>
  <si>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</si>
  <si>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</si>
  <si>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</si>
  <si>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</si>
  <si>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</si>
  <si>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</si>
  <si>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</si>
  <si>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</si>
  <si>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</si>
  <si>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</si>
  <si>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</si>
  <si>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</si>
  <si>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</si>
  <si>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</si>
  <si>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</si>
  <si>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</si>
  <si>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</si>
  <si>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</si>
  <si>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</si>
  <si>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</si>
  <si>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</si>
  <si>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</si>
  <si>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</si>
  <si>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</si>
  <si>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</si>
  <si>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</si>
  <si>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</si>
  <si>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</si>
  <si>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</si>
  <si>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</si>
  <si>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</si>
  <si>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</si>
  <si>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</si>
  <si>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</si>
  <si>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</si>
  <si>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</si>
  <si>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</si>
  <si>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</si>
  <si>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</si>
  <si>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</si>
  <si>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</si>
  <si>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</si>
  <si>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</si>
  <si>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</si>
  <si>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</si>
  <si>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</si>
  <si>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</si>
  <si>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</si>
  <si>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</si>
  <si>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</si>
  <si>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</si>
  <si>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</si>
  <si>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</si>
  <si>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</si>
  <si>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</si>
  <si>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</si>
  <si>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</si>
  <si>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</si>
  <si>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</si>
  <si>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</si>
  <si>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</si>
  <si>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</si>
  <si>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</si>
  <si>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</si>
  <si>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</si>
  <si>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</si>
  <si>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</si>
  <si>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</si>
  <si>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</si>
  <si>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</si>
  <si>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</si>
  <si>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</si>
  <si>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</si>
  <si>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</si>
  <si>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</si>
  <si>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</si>
  <si>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</si>
  <si>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</si>
  <si>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</si>
  <si>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</si>
  <si>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</si>
  <si>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</si>
  <si>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</si>
  <si>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</si>
  <si>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</si>
  <si>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</si>
  <si>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</si>
  <si>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</si>
  <si>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</si>
  <si>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</si>
  <si>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</si>
  <si>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</si>
  <si>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</si>
  <si>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</si>
  <si>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</si>
  <si>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</si>
  <si>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</si>
  <si>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</si>
  <si>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</si>
  <si>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</si>
  <si>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</si>
  <si>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</si>
  <si>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</si>
  <si>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</si>
  <si>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</si>
  <si>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</si>
  <si>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</si>
  <si>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</si>
  <si>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</si>
  <si>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</si>
  <si>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</si>
  <si>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</si>
  <si>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</si>
  <si>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</si>
  <si>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</si>
  <si>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</si>
  <si>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</si>
  <si>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</si>
  <si>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</si>
  <si>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</si>
  <si>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</si>
  <si>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</si>
  <si>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</si>
  <si>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</si>
  <si>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</si>
  <si>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</si>
  <si>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</si>
  <si>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</si>
  <si>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</si>
  <si>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</si>
  <si>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</si>
  <si>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</si>
  <si>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</si>
  <si>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</si>
  <si>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</si>
  <si>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</si>
  <si>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</si>
  <si>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</si>
  <si>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</si>
  <si>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</si>
  <si>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</si>
  <si>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</si>
  <si>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</si>
  <si>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</si>
  <si>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</si>
  <si>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</si>
  <si>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</si>
  <si>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</si>
  <si>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</si>
  <si>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</si>
  <si>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</si>
  <si>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</si>
  <si>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</si>
  <si>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</si>
  <si>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</si>
  <si>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</si>
  <si>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</si>
  <si>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</si>
  <si>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</si>
  <si>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</si>
  <si>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</si>
  <si>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</si>
  <si>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</si>
  <si>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</si>
  <si>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</si>
  <si>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</si>
  <si>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</si>
  <si>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</si>
  <si>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</si>
  <si>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</si>
  <si>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</si>
  <si>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</si>
  <si>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</si>
  <si>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</si>
  <si>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</si>
  <si>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</si>
  <si>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</si>
  <si>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</si>
  <si>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</si>
  <si>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</si>
  <si>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</si>
  <si>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</si>
  <si>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</si>
  <si>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</si>
  <si>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</si>
  <si>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</si>
  <si>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</si>
  <si>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</si>
  <si>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</si>
  <si>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</si>
  <si>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</si>
  <si>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</si>
  <si>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</si>
  <si>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</si>
  <si>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</si>
  <si>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</si>
  <si>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</si>
  <si>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</si>
  <si>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</si>
  <si>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</si>
  <si>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</si>
  <si>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</si>
  <si>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</si>
  <si>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</si>
  <si>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</si>
  <si>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</si>
  <si>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</si>
  <si>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</si>
  <si>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</si>
  <si>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</si>
  <si>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</si>
  <si>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</si>
  <si>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</si>
  <si>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</si>
  <si>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</si>
  <si>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</si>
  <si>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</si>
  <si>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</si>
  <si>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</si>
  <si>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</si>
  <si>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</si>
  <si>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</si>
  <si>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</si>
  <si>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</si>
  <si>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</si>
  <si>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</si>
  <si>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</si>
  <si>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</si>
  <si>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</si>
  <si>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</si>
  <si>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</si>
  <si>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</si>
  <si>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</si>
  <si>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</si>
  <si>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</si>
  <si>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</si>
  <si>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</si>
  <si>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</si>
  <si>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</si>
  <si>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</si>
  <si>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</si>
  <si>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</si>
  <si>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</si>
  <si>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</si>
  <si>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</si>
  <si>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</si>
  <si>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</si>
  <si>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</si>
  <si>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</si>
  <si>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</si>
  <si>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</si>
  <si>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</si>
  <si>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</si>
  <si>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</si>
  <si>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</si>
  <si>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</si>
  <si>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</si>
  <si>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</si>
  <si>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</si>
  <si>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</si>
  <si>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</si>
  <si>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</si>
  <si>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Q1 2026</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</si>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</sst>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23">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9" fillId="0" borderId="0" applyFont="0" applyFill="0" applyBorder="0" applyAlignment="0" applyProtection="0"/>
  </cellStyleXfs>
  <cellXfs count="20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10" fillId="18" borderId="0" xfId="0" applyFont="1" applyFill="1"/>
    <xf numFmtId="0" fontId="25" fillId="18" borderId="0" xfId="0" applyFont="1" applyFill="1"/>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DUOL.xlsx" TargetMode="External"/><Relationship Id="rId1" Type="http://schemas.openxmlformats.org/officeDocument/2006/relationships/externalLinkPath" Target="DUO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43.1</v>
          </cell>
        </row>
        <row r="17">
          <cell r="F17">
            <v>1.0716000000000001</v>
          </cell>
        </row>
        <row r="18">
          <cell r="C18">
            <v>245.44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s>
    <sheetDataSet>
      <sheetData sheetId="0"/>
      <sheetData sheetId="1"/>
      <sheetData sheetId="2"/>
      <sheetData sheetId="3"/>
      <sheetData sheetId="4"/>
      <sheetData sheetId="5"/>
      <sheetData sheetId="6"/>
      <sheetData sheetId="7"/>
      <sheetData sheetId="8"/>
      <sheetData sheetId="9"/>
      <sheetData sheetId="10"/>
      <sheetData sheetId="11">
        <row r="20">
          <cell r="C20">
            <v>8.92125E-2</v>
          </cell>
        </row>
      </sheetData>
      <sheetData sheetId="12"/>
      <sheetData sheetId="13"/>
      <sheetData sheetId="14"/>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2" dT="2026-04-19T11:35:20.49" personId="{C1D857D3-F592-2946-8369-15D188CA547D}" id="{502D4E4C-E3D4-8F43-AF74-3173B2E381A3}">
    <text>Found at note 5 in the Property plant and equipment section</text>
  </threadedComment>
  <threadedComment ref="B125" dT="2026-02-17T21:45:28.65" personId="{C1D857D3-F592-2946-8369-15D188CA547D}" id="{1BFA1FE8-C472-D64B-B144-4996766B43E4}">
    <text>Actual number</text>
  </threadedComment>
  <threadedComment ref="B127"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9" dT="2026-02-17T23:24:57.80" personId="{C1D857D3-F592-2946-8369-15D188CA547D}" id="{956F0D8B-0692-4D4E-AB6C-385CCF335882}">
    <text>Can be used as accumulated amortization to calculate the year's amortization expense</text>
  </threadedComment>
  <threadedComment ref="B152" dT="2026-04-19T12:24:41.80" personId="{C1D857D3-F592-2946-8369-15D188CA547D}" id="{1B0A33D0-9122-7D4F-8949-BE107CFEF94E}">
    <text>Search for Segment Operating Performance</text>
  </threadedComment>
  <threadedComment ref="B166"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C23" sqref="C23"/>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305</v>
      </c>
    </row>
    <row r="3" spans="2:5" x14ac:dyDescent="0.2">
      <c r="B3" s="1" t="s">
        <v>74</v>
      </c>
      <c r="C3" s="35">
        <f>[1]Sheet1!$C$18</f>
        <v>245.44</v>
      </c>
    </row>
    <row r="4" spans="2:5" x14ac:dyDescent="0.2">
      <c r="E4" s="93"/>
    </row>
    <row r="6" spans="2:5" x14ac:dyDescent="0.2">
      <c r="E6" s="35"/>
    </row>
    <row r="7" spans="2:5" x14ac:dyDescent="0.2">
      <c r="B7" s="1" t="s">
        <v>3</v>
      </c>
      <c r="C7" s="1" t="s">
        <v>220</v>
      </c>
    </row>
    <row r="10" spans="2:5" x14ac:dyDescent="0.2">
      <c r="C10" s="93"/>
    </row>
    <row r="11" spans="2:5" x14ac:dyDescent="0.2">
      <c r="B11" s="1" t="s">
        <v>110</v>
      </c>
      <c r="C11" s="93">
        <f>$C$3/'Statement Q'!$N$24</f>
        <v>14.309955604883463</v>
      </c>
    </row>
    <row r="12" spans="2:5" x14ac:dyDescent="0.2">
      <c r="B12" s="1" t="s">
        <v>190</v>
      </c>
      <c r="C12" s="93">
        <f>$C$3/Statements!W23</f>
        <v>14.309955604883463</v>
      </c>
    </row>
    <row r="13" spans="2:5" x14ac:dyDescent="0.2">
      <c r="B13" s="1" t="s">
        <v>111</v>
      </c>
      <c r="C13" s="98">
        <f>$C$3/('Statement Q'!$N$5/'Statement Q'!$N$22)</f>
        <v>4.2181392876129715</v>
      </c>
    </row>
    <row r="15" spans="2:5" x14ac:dyDescent="0.2">
      <c r="B15" s="1" t="s">
        <v>149</v>
      </c>
      <c r="C15" s="20">
        <f>C3*'Statement Q'!N105</f>
        <v>0</v>
      </c>
    </row>
    <row r="16" spans="2:5" x14ac:dyDescent="0.2">
      <c r="B16" s="1" t="s">
        <v>150</v>
      </c>
      <c r="C16" s="20">
        <f>Statements!W26</f>
        <v>0</v>
      </c>
    </row>
    <row r="17" spans="1:4" x14ac:dyDescent="0.2">
      <c r="B17" s="1" t="s">
        <v>146</v>
      </c>
      <c r="C17" s="20">
        <f>Statements!W40+Statements!W41+Statements!W43</f>
        <v>0</v>
      </c>
    </row>
    <row r="18" spans="1:4" x14ac:dyDescent="0.2">
      <c r="B18" s="1" t="s">
        <v>151</v>
      </c>
      <c r="C18" s="20">
        <f>C15+C17-C16</f>
        <v>0</v>
      </c>
    </row>
    <row r="19" spans="1:4" x14ac:dyDescent="0.2">
      <c r="B19" s="1" t="s">
        <v>152</v>
      </c>
      <c r="C19" s="93" t="e">
        <f>C16/'Statement Q'!J105</f>
        <v>#DIV/0!</v>
      </c>
    </row>
    <row r="21" spans="1:4" x14ac:dyDescent="0.2">
      <c r="B21" s="1" t="s">
        <v>191</v>
      </c>
      <c r="C21" s="159">
        <f>_xlfn.RRI(9,'Statement Y'!C5,'Statement Y'!L5)</f>
        <v>0.16847002802319833</v>
      </c>
      <c r="D21" s="159"/>
    </row>
    <row r="22" spans="1:4" x14ac:dyDescent="0.2">
      <c r="B22" s="1" t="s">
        <v>221</v>
      </c>
      <c r="C22" s="159">
        <f>_xlfn.RRI(9,'Statement Y'!C20,'Statement Y'!L20)</f>
        <v>0.2225110121440852</v>
      </c>
    </row>
    <row r="23" spans="1:4" x14ac:dyDescent="0.2">
      <c r="B23" s="1" t="s">
        <v>222</v>
      </c>
      <c r="C23" s="159">
        <f>_xlfn.RRI(9,'Statement Y'!C28,'Statement Y'!L28)</f>
        <v>0.24522436430257333</v>
      </c>
    </row>
    <row r="24" spans="1:4" x14ac:dyDescent="0.2">
      <c r="B24" s="1" t="s">
        <v>240</v>
      </c>
      <c r="C24" s="89">
        <f>_xlfn.RRI(9,'Statement Y'!C121,'Statement Y'!L121)</f>
        <v>0</v>
      </c>
    </row>
    <row r="25" spans="1:4" x14ac:dyDescent="0.2">
      <c r="B25" s="1" t="s">
        <v>272</v>
      </c>
      <c r="C25" s="89">
        <f>_xlfn.RRI(9,'Statement Y'!C166,'Statement Y'!L166)</f>
        <v>0</v>
      </c>
    </row>
    <row r="28" spans="1:4" x14ac:dyDescent="0.2">
      <c r="B28" s="1" t="s">
        <v>202</v>
      </c>
    </row>
    <row r="29" spans="1:4" x14ac:dyDescent="0.2">
      <c r="A29"/>
      <c r="B29" s="1" t="s">
        <v>203</v>
      </c>
    </row>
    <row r="30" spans="1:4" x14ac:dyDescent="0.2">
      <c r="B30" s="1" t="s">
        <v>204</v>
      </c>
    </row>
    <row r="31" spans="1:4" x14ac:dyDescent="0.2">
      <c r="B31" s="1" t="s">
        <v>208</v>
      </c>
    </row>
    <row r="33" spans="2:4" x14ac:dyDescent="0.2">
      <c r="B33" s="1" t="s">
        <v>205</v>
      </c>
      <c r="C33" s="20"/>
    </row>
    <row r="34" spans="2:4" x14ac:dyDescent="0.2">
      <c r="B34" s="1" t="s">
        <v>206</v>
      </c>
      <c r="C34" s="20">
        <f>'Statement Y'!L118</f>
        <v>0</v>
      </c>
    </row>
    <row r="35" spans="2:4" x14ac:dyDescent="0.2">
      <c r="B35" s="1" t="s">
        <v>207</v>
      </c>
      <c r="C35" s="159" t="e">
        <f>C33/C34</f>
        <v>#DIV/0!</v>
      </c>
    </row>
    <row r="37" spans="2:4" x14ac:dyDescent="0.2">
      <c r="B37" s="1" t="s">
        <v>209</v>
      </c>
    </row>
    <row r="38" spans="2:4" x14ac:dyDescent="0.2">
      <c r="B38" s="1" t="s">
        <v>210</v>
      </c>
    </row>
    <row r="39" spans="2:4" x14ac:dyDescent="0.2">
      <c r="B39" s="1" t="s">
        <v>211</v>
      </c>
    </row>
    <row r="40" spans="2:4" x14ac:dyDescent="0.2">
      <c r="B40" s="1" t="s">
        <v>212</v>
      </c>
    </row>
    <row r="41" spans="2:4" x14ac:dyDescent="0.2">
      <c r="B41" s="1" t="s">
        <v>213</v>
      </c>
    </row>
    <row r="42" spans="2:4" x14ac:dyDescent="0.2">
      <c r="B42" s="1" t="s">
        <v>216</v>
      </c>
    </row>
    <row r="44" spans="2:4" x14ac:dyDescent="0.2">
      <c r="B44" s="1" t="s">
        <v>143</v>
      </c>
      <c r="C44" s="20">
        <f>Statements!W14*(1-'Statement Y'!L124)</f>
        <v>7315.3114266086559</v>
      </c>
    </row>
    <row r="45" spans="2:4" x14ac:dyDescent="0.2">
      <c r="B45" s="1" t="s">
        <v>146</v>
      </c>
      <c r="C45" s="20">
        <f>Statements!W40+Statements!W41+Statements!W43</f>
        <v>0</v>
      </c>
    </row>
    <row r="46" spans="2:4" x14ac:dyDescent="0.2">
      <c r="B46" s="1" t="s">
        <v>147</v>
      </c>
      <c r="C46" s="20">
        <f>Statements!W50</f>
        <v>0</v>
      </c>
    </row>
    <row r="47" spans="2:4" x14ac:dyDescent="0.2">
      <c r="B47" s="1" t="s">
        <v>150</v>
      </c>
      <c r="C47" s="20">
        <f>Statements!W26</f>
        <v>0</v>
      </c>
      <c r="D47" s="20"/>
    </row>
    <row r="48" spans="2:4" x14ac:dyDescent="0.2">
      <c r="B48" s="1" t="s">
        <v>214</v>
      </c>
      <c r="C48" s="159" t="e">
        <f>C44/(C45+C46-C47)</f>
        <v>#DIV/0!</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6"/>
  <sheetViews>
    <sheetView zoomScale="156" zoomScaleNormal="150" workbookViewId="0">
      <pane xSplit="2" ySplit="3" topLeftCell="C10" activePane="bottomRight" state="frozen"/>
      <selection pane="topRight" activeCell="C1" sqref="C1"/>
      <selection pane="bottomLeft" activeCell="A4" sqref="A4"/>
      <selection pane="bottomRight" activeCell="B15" sqref="B15:B17"/>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318</v>
      </c>
      <c r="D2" s="175" t="s">
        <v>321</v>
      </c>
      <c r="E2" s="175" t="s">
        <v>320</v>
      </c>
      <c r="F2" s="175" t="s">
        <v>319</v>
      </c>
      <c r="G2" s="175" t="s">
        <v>324</v>
      </c>
      <c r="H2" s="175" t="s">
        <v>323</v>
      </c>
      <c r="I2" s="175" t="s">
        <v>322</v>
      </c>
      <c r="J2" s="3" t="s">
        <v>327</v>
      </c>
      <c r="K2" s="3" t="s">
        <v>326</v>
      </c>
      <c r="L2" s="3" t="s">
        <v>325</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5854</v>
      </c>
      <c r="D5" s="51">
        <v>7302</v>
      </c>
      <c r="E5" s="51">
        <v>9030</v>
      </c>
      <c r="F5" s="51">
        <v>11171</v>
      </c>
      <c r="G5" s="51">
        <v>12868</v>
      </c>
      <c r="H5" s="51">
        <v>15785</v>
      </c>
      <c r="I5" s="51">
        <v>17606</v>
      </c>
      <c r="J5" s="51">
        <v>19409</v>
      </c>
      <c r="K5" s="51">
        <v>21505</v>
      </c>
      <c r="L5" s="51">
        <v>23769</v>
      </c>
      <c r="M5" s="51"/>
      <c r="N5" s="51"/>
      <c r="O5" s="51"/>
      <c r="P5" s="51"/>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3" customFormat="1" outlineLevel="1" x14ac:dyDescent="0.2">
      <c r="A7" s="7"/>
      <c r="B7" s="17" t="s">
        <v>8</v>
      </c>
      <c r="C7" s="54">
        <f t="shared" ref="C7:P7" si="1">C5-C6</f>
        <v>5034</v>
      </c>
      <c r="D7" s="54">
        <f t="shared" si="1"/>
        <v>6292</v>
      </c>
      <c r="E7" s="54">
        <f t="shared" si="1"/>
        <v>7835</v>
      </c>
      <c r="F7" s="54">
        <f t="shared" si="1"/>
        <v>9498</v>
      </c>
      <c r="G7" s="54">
        <f t="shared" si="1"/>
        <v>11146</v>
      </c>
      <c r="H7" s="54">
        <f t="shared" si="1"/>
        <v>13920</v>
      </c>
      <c r="I7" s="54">
        <f t="shared" si="1"/>
        <v>15441</v>
      </c>
      <c r="J7" s="54">
        <f t="shared" si="1"/>
        <v>17055</v>
      </c>
      <c r="K7" s="54">
        <f t="shared" si="1"/>
        <v>19147</v>
      </c>
      <c r="L7" s="54">
        <f t="shared" si="1"/>
        <v>21218</v>
      </c>
      <c r="M7" s="54">
        <f t="shared" si="1"/>
        <v>0</v>
      </c>
      <c r="N7" s="54">
        <f t="shared" si="1"/>
        <v>0</v>
      </c>
      <c r="O7" s="54">
        <f t="shared" si="1"/>
        <v>0</v>
      </c>
      <c r="P7" s="54">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312</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313</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314</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315</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SUM(C8:C12)</f>
        <v>3541</v>
      </c>
      <c r="D13" s="20">
        <f>SUM(D8:D12)</f>
        <v>4124</v>
      </c>
      <c r="E13" s="20">
        <f>SUM(E8:E12)</f>
        <v>4995</v>
      </c>
      <c r="F13" s="20">
        <f>SUM(F8:F12)</f>
        <v>6230</v>
      </c>
      <c r="G13" s="20">
        <f>SUM(G8:G12)</f>
        <v>6909</v>
      </c>
      <c r="H13" s="20">
        <f>SUM(H8:H12)</f>
        <v>8118</v>
      </c>
      <c r="I13" s="20">
        <f>SUM(I8:I12)</f>
        <v>9343</v>
      </c>
      <c r="J13" s="20">
        <f>SUM(J8:J12)</f>
        <v>10405</v>
      </c>
      <c r="K13" s="20">
        <f>SUM(K8:K12)</f>
        <v>12406</v>
      </c>
      <c r="L13" s="20">
        <f>SUM(L8:L12)</f>
        <v>12512</v>
      </c>
      <c r="M13" s="20">
        <f t="shared" ref="C13:P13" si="2">SUM(M8:M10)</f>
        <v>0</v>
      </c>
      <c r="N13" s="20">
        <f t="shared" si="2"/>
        <v>0</v>
      </c>
      <c r="O13" s="20">
        <f t="shared" si="2"/>
        <v>0</v>
      </c>
      <c r="P13" s="20">
        <f t="shared" si="2"/>
        <v>0</v>
      </c>
    </row>
    <row r="14" spans="1:16" s="53" customFormat="1" outlineLevel="1" x14ac:dyDescent="0.2">
      <c r="A14" s="7"/>
      <c r="B14" s="17" t="s">
        <v>12</v>
      </c>
      <c r="C14" s="51">
        <v>1494</v>
      </c>
      <c r="D14" s="51">
        <v>2168</v>
      </c>
      <c r="E14" s="51">
        <v>2840</v>
      </c>
      <c r="F14" s="51">
        <v>3268</v>
      </c>
      <c r="G14" s="51">
        <v>4237</v>
      </c>
      <c r="H14" s="51">
        <v>5802</v>
      </c>
      <c r="I14" s="51">
        <v>6098</v>
      </c>
      <c r="J14" s="51">
        <v>6650</v>
      </c>
      <c r="K14" s="51">
        <v>6741</v>
      </c>
      <c r="L14" s="51">
        <v>8706</v>
      </c>
      <c r="M14" s="51"/>
      <c r="N14" s="51"/>
      <c r="O14" s="51"/>
      <c r="P14" s="51"/>
    </row>
    <row r="15" spans="1:16" outlineLevel="1" x14ac:dyDescent="0.2">
      <c r="B15" s="12" t="s">
        <v>316</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317</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182</v>
      </c>
      <c r="C17" s="27">
        <v>14</v>
      </c>
      <c r="D17" s="27">
        <v>36</v>
      </c>
      <c r="E17" s="27">
        <v>40</v>
      </c>
      <c r="F17" s="27">
        <v>42</v>
      </c>
      <c r="G17" s="27">
        <v>42</v>
      </c>
      <c r="H17" s="27">
        <v>0</v>
      </c>
      <c r="I17" s="27">
        <v>41</v>
      </c>
      <c r="J17" s="27">
        <v>246</v>
      </c>
      <c r="K17" s="27">
        <v>311</v>
      </c>
      <c r="L17" s="27">
        <v>248</v>
      </c>
      <c r="M17" s="27"/>
      <c r="N17" s="27"/>
      <c r="O17" s="27"/>
      <c r="P17" s="27"/>
    </row>
    <row r="18" spans="1:16" s="53" customFormat="1" outlineLevel="1" x14ac:dyDescent="0.2">
      <c r="A18" s="7"/>
      <c r="B18" s="17" t="s">
        <v>13</v>
      </c>
      <c r="C18" s="51">
        <v>1435</v>
      </c>
      <c r="D18" s="51">
        <v>2138</v>
      </c>
      <c r="E18" s="51">
        <v>2794</v>
      </c>
      <c r="F18" s="51">
        <v>3205</v>
      </c>
      <c r="G18" s="51">
        <v>4176</v>
      </c>
      <c r="H18" s="51">
        <v>5705</v>
      </c>
      <c r="I18" s="51">
        <v>6008</v>
      </c>
      <c r="J18" s="51">
        <v>6799</v>
      </c>
      <c r="K18" s="51">
        <v>6931</v>
      </c>
      <c r="L18" s="51">
        <v>8734</v>
      </c>
      <c r="M18" s="51"/>
      <c r="N18" s="51"/>
      <c r="O18" s="51"/>
      <c r="P18" s="51"/>
    </row>
    <row r="19" spans="1:16" outlineLevel="1" x14ac:dyDescent="0.2">
      <c r="B19" s="12" t="s">
        <v>72</v>
      </c>
      <c r="C19" s="27">
        <v>-266</v>
      </c>
      <c r="D19" s="27">
        <v>-444</v>
      </c>
      <c r="E19" s="27">
        <v>-203</v>
      </c>
      <c r="F19" s="27">
        <v>-253</v>
      </c>
      <c r="G19" s="27">
        <v>1084</v>
      </c>
      <c r="H19" s="27">
        <v>-883</v>
      </c>
      <c r="I19" s="27">
        <v>-1252</v>
      </c>
      <c r="J19" s="27">
        <v>-1371</v>
      </c>
      <c r="K19" s="27">
        <v>-1371</v>
      </c>
      <c r="L19" s="27">
        <v>-1604</v>
      </c>
      <c r="M19" s="27"/>
      <c r="N19" s="27"/>
      <c r="O19" s="27"/>
      <c r="P19" s="27"/>
    </row>
    <row r="20" spans="1:16" s="53" customFormat="1" outlineLevel="1" x14ac:dyDescent="0.2">
      <c r="A20" s="7"/>
      <c r="B20" s="17" t="s">
        <v>14</v>
      </c>
      <c r="C20" s="51">
        <v>1169</v>
      </c>
      <c r="D20" s="51">
        <v>1694</v>
      </c>
      <c r="E20" s="51">
        <v>2591</v>
      </c>
      <c r="F20" s="51">
        <v>2952</v>
      </c>
      <c r="G20" s="51">
        <v>5260</v>
      </c>
      <c r="H20" s="51">
        <v>4822</v>
      </c>
      <c r="I20" s="51">
        <v>4756</v>
      </c>
      <c r="J20" s="51">
        <v>5428</v>
      </c>
      <c r="K20" s="51">
        <v>5560</v>
      </c>
      <c r="L20" s="51">
        <v>7130</v>
      </c>
      <c r="M20" s="51"/>
      <c r="N20" s="51"/>
      <c r="O20" s="51"/>
      <c r="P20" s="51"/>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224</v>
      </c>
      <c r="C22" s="34">
        <f t="shared" ref="C22:L22" si="3">C21*C$130</f>
        <v>498</v>
      </c>
      <c r="D22" s="34">
        <f t="shared" si="3"/>
        <v>494</v>
      </c>
      <c r="E22" s="34">
        <f t="shared" si="3"/>
        <v>491</v>
      </c>
      <c r="F22" s="34">
        <f t="shared" si="3"/>
        <v>486</v>
      </c>
      <c r="G22" s="34">
        <f t="shared" si="3"/>
        <v>481</v>
      </c>
      <c r="H22" s="34">
        <f t="shared" si="3"/>
        <v>477</v>
      </c>
      <c r="I22" s="34">
        <f t="shared" si="3"/>
        <v>470</v>
      </c>
      <c r="J22" s="34">
        <f t="shared" si="3"/>
        <v>457</v>
      </c>
      <c r="K22" s="34">
        <f t="shared" si="3"/>
        <v>447</v>
      </c>
      <c r="L22" s="34">
        <f t="shared" si="3"/>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225</v>
      </c>
      <c r="C24" s="34">
        <f t="shared" ref="C24:L24" si="4">C23*C$130</f>
        <v>504</v>
      </c>
      <c r="D24" s="34">
        <f t="shared" si="4"/>
        <v>501</v>
      </c>
      <c r="E24" s="34">
        <f t="shared" si="4"/>
        <v>498</v>
      </c>
      <c r="F24" s="34">
        <f t="shared" si="4"/>
        <v>492</v>
      </c>
      <c r="G24" s="34">
        <f t="shared" si="4"/>
        <v>485</v>
      </c>
      <c r="H24" s="34">
        <f t="shared" si="4"/>
        <v>481</v>
      </c>
      <c r="I24" s="34">
        <f t="shared" si="4"/>
        <v>471</v>
      </c>
      <c r="J24" s="34">
        <f t="shared" si="4"/>
        <v>459</v>
      </c>
      <c r="K24" s="34">
        <f t="shared" si="4"/>
        <v>450</v>
      </c>
      <c r="L24" s="34">
        <f t="shared" si="4"/>
        <v>427</v>
      </c>
      <c r="M24" s="27"/>
      <c r="N24" s="27"/>
      <c r="O24" s="27"/>
      <c r="P24" s="27"/>
    </row>
    <row r="25" spans="1:16" outlineLevel="1" x14ac:dyDescent="0.2">
      <c r="B25" s="12" t="s">
        <v>17</v>
      </c>
      <c r="C25" s="31">
        <v>2.35</v>
      </c>
      <c r="D25" s="31">
        <v>3.43</v>
      </c>
      <c r="E25" s="31">
        <v>5.28</v>
      </c>
      <c r="F25" s="31">
        <v>6.07</v>
      </c>
      <c r="G25" s="31">
        <v>10.94</v>
      </c>
      <c r="H25" s="31">
        <v>10.1</v>
      </c>
      <c r="I25" s="31">
        <v>10.130000000000001</v>
      </c>
      <c r="J25" s="31">
        <v>11.87</v>
      </c>
      <c r="K25" s="31">
        <v>12.43</v>
      </c>
      <c r="L25" s="31">
        <v>16.73</v>
      </c>
      <c r="M25" s="31"/>
      <c r="N25" s="31"/>
      <c r="O25" s="31"/>
      <c r="P25" s="31"/>
    </row>
    <row r="26" spans="1:16" outlineLevel="1" x14ac:dyDescent="0.2">
      <c r="B26" s="12" t="s">
        <v>226</v>
      </c>
      <c r="C26" s="25">
        <f t="shared" ref="C26:L26" si="5">C25/C$130</f>
        <v>2.35</v>
      </c>
      <c r="D26" s="25">
        <f t="shared" si="5"/>
        <v>3.43</v>
      </c>
      <c r="E26" s="25">
        <f t="shared" si="5"/>
        <v>5.28</v>
      </c>
      <c r="F26" s="25">
        <f t="shared" si="5"/>
        <v>6.07</v>
      </c>
      <c r="G26" s="25">
        <f t="shared" si="5"/>
        <v>10.94</v>
      </c>
      <c r="H26" s="25">
        <f t="shared" si="5"/>
        <v>10.1</v>
      </c>
      <c r="I26" s="25">
        <f t="shared" si="5"/>
        <v>10.130000000000001</v>
      </c>
      <c r="J26" s="25">
        <f t="shared" si="5"/>
        <v>11.87</v>
      </c>
      <c r="K26" s="25">
        <f t="shared" si="5"/>
        <v>12.43</v>
      </c>
      <c r="L26" s="25">
        <f t="shared" si="5"/>
        <v>16.73</v>
      </c>
      <c r="M26" s="31"/>
      <c r="N26" s="31"/>
      <c r="O26" s="31"/>
      <c r="P26" s="31"/>
    </row>
    <row r="27" spans="1:16" outlineLevel="1" x14ac:dyDescent="0.2">
      <c r="B27" s="12" t="s">
        <v>18</v>
      </c>
      <c r="C27" s="31">
        <v>2.3199999999999998</v>
      </c>
      <c r="D27" s="31">
        <v>3.38</v>
      </c>
      <c r="E27" s="31">
        <v>5.2</v>
      </c>
      <c r="F27" s="31">
        <v>6</v>
      </c>
      <c r="G27" s="31">
        <v>10.83</v>
      </c>
      <c r="H27" s="31">
        <v>10.02</v>
      </c>
      <c r="I27" s="31">
        <v>10.1</v>
      </c>
      <c r="J27" s="31">
        <v>11.82</v>
      </c>
      <c r="K27" s="31">
        <v>12.36</v>
      </c>
      <c r="L27" s="31">
        <v>16.7</v>
      </c>
      <c r="M27" s="31"/>
      <c r="N27" s="31"/>
      <c r="O27" s="31"/>
      <c r="P27" s="31"/>
    </row>
    <row r="28" spans="1:16" s="16" customFormat="1" ht="17" outlineLevel="1" thickBot="1" x14ac:dyDescent="0.25">
      <c r="A28" s="1"/>
      <c r="B28" s="10" t="s">
        <v>227</v>
      </c>
      <c r="C28" s="176">
        <f t="shared" ref="C28:L28" si="6">C27/C$130</f>
        <v>2.3199999999999998</v>
      </c>
      <c r="D28" s="176">
        <f t="shared" si="6"/>
        <v>3.38</v>
      </c>
      <c r="E28" s="176">
        <f t="shared" si="6"/>
        <v>5.2</v>
      </c>
      <c r="F28" s="176">
        <f t="shared" si="6"/>
        <v>6</v>
      </c>
      <c r="G28" s="176">
        <f t="shared" si="6"/>
        <v>10.83</v>
      </c>
      <c r="H28" s="176">
        <f t="shared" si="6"/>
        <v>10.02</v>
      </c>
      <c r="I28" s="176">
        <f t="shared" si="6"/>
        <v>10.1</v>
      </c>
      <c r="J28" s="176">
        <f t="shared" si="6"/>
        <v>11.82</v>
      </c>
      <c r="K28" s="176">
        <f t="shared" si="6"/>
        <v>12.36</v>
      </c>
      <c r="L28" s="176">
        <f t="shared" si="6"/>
        <v>16.7</v>
      </c>
      <c r="M28" s="32"/>
      <c r="N28" s="32"/>
      <c r="O28" s="32"/>
      <c r="P28" s="32"/>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c r="D31" s="27"/>
      <c r="E31" s="27"/>
      <c r="F31" s="27"/>
      <c r="G31" s="27"/>
      <c r="H31" s="27"/>
      <c r="I31" s="27"/>
      <c r="J31" s="27"/>
      <c r="K31" s="27"/>
      <c r="L31" s="27"/>
      <c r="M31" s="27"/>
      <c r="N31" s="27"/>
      <c r="O31" s="27"/>
      <c r="P31" s="27"/>
    </row>
    <row r="32" spans="1:16" outlineLevel="1" x14ac:dyDescent="0.2">
      <c r="B32" s="9" t="s">
        <v>228</v>
      </c>
      <c r="C32" s="27"/>
      <c r="D32" s="27"/>
      <c r="E32" s="27"/>
      <c r="F32" s="27"/>
      <c r="G32" s="27"/>
      <c r="H32" s="27"/>
      <c r="I32" s="27"/>
      <c r="J32" s="27"/>
      <c r="K32" s="27"/>
      <c r="L32" s="27"/>
      <c r="M32" s="27"/>
      <c r="N32" s="27"/>
      <c r="O32" s="27"/>
      <c r="P32" s="27"/>
    </row>
    <row r="33" spans="1:17" outlineLevel="1" x14ac:dyDescent="0.2">
      <c r="B33" s="9" t="s">
        <v>21</v>
      </c>
      <c r="C33" s="27"/>
      <c r="D33" s="27"/>
      <c r="E33" s="27"/>
      <c r="F33" s="27"/>
      <c r="G33" s="27"/>
      <c r="H33" s="27"/>
      <c r="I33" s="27"/>
      <c r="J33" s="27"/>
      <c r="K33" s="27"/>
      <c r="L33" s="27"/>
      <c r="M33" s="27"/>
      <c r="N33" s="27"/>
      <c r="O33" s="27"/>
      <c r="P33" s="27"/>
    </row>
    <row r="34" spans="1:17" outlineLevel="1" x14ac:dyDescent="0.2">
      <c r="B34" s="9" t="s">
        <v>229</v>
      </c>
      <c r="C34" s="27"/>
      <c r="D34" s="27"/>
      <c r="E34" s="27"/>
      <c r="F34" s="27"/>
      <c r="G34" s="27"/>
      <c r="H34" s="27"/>
      <c r="I34" s="27"/>
      <c r="J34" s="27"/>
      <c r="K34" s="27"/>
      <c r="L34" s="27"/>
      <c r="M34" s="27"/>
      <c r="N34" s="27"/>
      <c r="O34" s="27"/>
      <c r="P34" s="27"/>
      <c r="Q34" s="27"/>
    </row>
    <row r="35" spans="1:17" outlineLevel="1" x14ac:dyDescent="0.2">
      <c r="B35" s="9" t="s">
        <v>230</v>
      </c>
      <c r="C35" s="27"/>
      <c r="D35" s="27"/>
      <c r="E35" s="27"/>
      <c r="F35" s="27"/>
      <c r="G35" s="27"/>
      <c r="H35" s="27"/>
      <c r="I35" s="27"/>
      <c r="J35" s="27"/>
      <c r="K35" s="27"/>
      <c r="L35" s="27"/>
      <c r="M35" s="27"/>
      <c r="N35" s="27"/>
      <c r="O35" s="27"/>
      <c r="P35" s="27"/>
    </row>
    <row r="36" spans="1:17" outlineLevel="1" x14ac:dyDescent="0.2">
      <c r="B36" s="9" t="s">
        <v>231</v>
      </c>
      <c r="C36" s="27"/>
      <c r="D36" s="27"/>
      <c r="E36" s="27"/>
      <c r="F36" s="27"/>
      <c r="G36" s="27"/>
      <c r="H36" s="27"/>
      <c r="I36" s="27"/>
      <c r="J36" s="27"/>
      <c r="K36" s="27"/>
      <c r="L36" s="27"/>
      <c r="M36" s="27"/>
      <c r="N36" s="27"/>
      <c r="O36" s="27"/>
      <c r="P36" s="27"/>
    </row>
    <row r="37" spans="1:17" s="52" customFormat="1" outlineLevel="1" x14ac:dyDescent="0.2">
      <c r="A37" s="7"/>
      <c r="B37" s="11" t="s">
        <v>22</v>
      </c>
      <c r="C37" s="55"/>
      <c r="D37" s="55"/>
      <c r="E37" s="55"/>
      <c r="F37" s="55"/>
      <c r="G37" s="55"/>
      <c r="H37" s="55"/>
      <c r="I37" s="55"/>
      <c r="J37" s="55"/>
      <c r="K37" s="55"/>
      <c r="L37" s="55"/>
      <c r="M37" s="55"/>
      <c r="N37" s="55"/>
      <c r="O37" s="55"/>
      <c r="P37" s="55"/>
    </row>
    <row r="38" spans="1:17" outlineLevel="1" x14ac:dyDescent="0.2">
      <c r="B38" s="9" t="s">
        <v>228</v>
      </c>
      <c r="C38" s="27"/>
      <c r="D38" s="27"/>
      <c r="E38" s="27"/>
      <c r="F38" s="27"/>
      <c r="G38" s="27"/>
      <c r="H38" s="27"/>
      <c r="I38" s="27"/>
      <c r="J38" s="27"/>
      <c r="K38" s="27"/>
      <c r="L38" s="27"/>
      <c r="M38" s="27"/>
      <c r="N38" s="27"/>
      <c r="O38" s="27"/>
      <c r="P38" s="27"/>
    </row>
    <row r="39" spans="1:17" outlineLevel="1" x14ac:dyDescent="0.2">
      <c r="B39" s="9" t="s">
        <v>23</v>
      </c>
      <c r="C39" s="27"/>
      <c r="D39" s="27"/>
      <c r="E39" s="27"/>
      <c r="F39" s="27"/>
      <c r="G39" s="27"/>
      <c r="H39" s="27"/>
      <c r="I39" s="27"/>
      <c r="J39" s="27"/>
      <c r="K39" s="27"/>
      <c r="L39" s="27"/>
      <c r="M39" s="27"/>
      <c r="N39" s="27"/>
      <c r="O39" s="27"/>
      <c r="P39" s="27"/>
    </row>
    <row r="40" spans="1:17" outlineLevel="1" x14ac:dyDescent="0.2">
      <c r="B40" s="9" t="s">
        <v>24</v>
      </c>
      <c r="C40" s="27"/>
      <c r="D40" s="27"/>
      <c r="E40" s="27"/>
      <c r="F40" s="27"/>
      <c r="G40" s="27"/>
      <c r="H40" s="27"/>
      <c r="I40" s="27"/>
      <c r="J40" s="27"/>
      <c r="K40" s="27"/>
      <c r="L40" s="27"/>
      <c r="M40" s="27"/>
      <c r="N40" s="27"/>
      <c r="O40" s="27"/>
      <c r="P40" s="27"/>
    </row>
    <row r="41" spans="1:17" s="52" customFormat="1" outlineLevel="1" x14ac:dyDescent="0.2">
      <c r="A41" s="7"/>
      <c r="B41" s="11" t="s">
        <v>25</v>
      </c>
      <c r="C41" s="56">
        <f t="shared" ref="C41:P41" si="7">SUM(C38:C40)</f>
        <v>0</v>
      </c>
      <c r="D41" s="56">
        <f t="shared" si="7"/>
        <v>0</v>
      </c>
      <c r="E41" s="56">
        <f t="shared" si="7"/>
        <v>0</v>
      </c>
      <c r="F41" s="56">
        <f t="shared" si="7"/>
        <v>0</v>
      </c>
      <c r="G41" s="56">
        <f t="shared" si="7"/>
        <v>0</v>
      </c>
      <c r="H41" s="56">
        <f t="shared" si="7"/>
        <v>0</v>
      </c>
      <c r="I41" s="56">
        <f t="shared" si="7"/>
        <v>0</v>
      </c>
      <c r="J41" s="56">
        <f t="shared" si="7"/>
        <v>0</v>
      </c>
      <c r="K41" s="56">
        <f t="shared" si="7"/>
        <v>0</v>
      </c>
      <c r="L41" s="56">
        <f t="shared" si="7"/>
        <v>0</v>
      </c>
      <c r="M41" s="56">
        <f t="shared" si="7"/>
        <v>0</v>
      </c>
      <c r="N41" s="56">
        <f t="shared" si="7"/>
        <v>0</v>
      </c>
      <c r="O41" s="56">
        <f t="shared" si="7"/>
        <v>0</v>
      </c>
      <c r="P41" s="56">
        <f t="shared" si="7"/>
        <v>0</v>
      </c>
    </row>
    <row r="42" spans="1:17" s="53" customFormat="1" outlineLevel="1" x14ac:dyDescent="0.2">
      <c r="A42" s="7"/>
      <c r="B42" s="17" t="s">
        <v>26</v>
      </c>
      <c r="C42" s="51"/>
      <c r="D42" s="51"/>
      <c r="E42" s="51"/>
      <c r="F42" s="51"/>
      <c r="G42" s="51"/>
      <c r="H42" s="51"/>
      <c r="I42" s="51"/>
      <c r="J42" s="51"/>
      <c r="K42" s="51"/>
      <c r="L42" s="51"/>
      <c r="M42" s="51"/>
      <c r="N42" s="51"/>
      <c r="O42" s="51"/>
      <c r="P42" s="51"/>
    </row>
    <row r="43" spans="1:17" outlineLevel="1" x14ac:dyDescent="0.2">
      <c r="B43" s="9" t="s">
        <v>27</v>
      </c>
      <c r="C43" s="27"/>
      <c r="D43" s="27"/>
      <c r="E43" s="27"/>
      <c r="F43" s="27"/>
      <c r="G43" s="27"/>
      <c r="H43" s="27"/>
      <c r="I43" s="27"/>
      <c r="J43" s="27"/>
      <c r="K43" s="27"/>
      <c r="L43" s="27"/>
      <c r="M43" s="27"/>
      <c r="N43" s="27"/>
      <c r="O43" s="27"/>
      <c r="P43" s="27"/>
    </row>
    <row r="44" spans="1:17" outlineLevel="1" x14ac:dyDescent="0.2">
      <c r="B44" s="9" t="s">
        <v>232</v>
      </c>
      <c r="C44" s="27"/>
      <c r="D44" s="27"/>
      <c r="E44" s="27"/>
      <c r="F44" s="27"/>
      <c r="G44" s="27"/>
      <c r="H44" s="27"/>
      <c r="I44" s="27"/>
      <c r="J44" s="27"/>
      <c r="K44" s="27"/>
      <c r="L44" s="27"/>
      <c r="M44" s="27"/>
      <c r="N44" s="27"/>
      <c r="O44" s="27"/>
      <c r="P44" s="27"/>
    </row>
    <row r="45" spans="1:17" outlineLevel="1" x14ac:dyDescent="0.2">
      <c r="B45" s="9" t="s">
        <v>95</v>
      </c>
      <c r="C45" s="27"/>
      <c r="D45" s="27"/>
      <c r="E45" s="27"/>
      <c r="F45" s="27"/>
      <c r="G45" s="27"/>
      <c r="H45" s="27"/>
      <c r="I45" s="27"/>
      <c r="J45" s="27"/>
      <c r="K45" s="27"/>
      <c r="L45" s="27"/>
      <c r="M45" s="27"/>
      <c r="N45" s="27"/>
      <c r="O45" s="27"/>
      <c r="P45" s="27"/>
    </row>
    <row r="46" spans="1:17" outlineLevel="1" x14ac:dyDescent="0.2">
      <c r="B46" s="9" t="s">
        <v>233</v>
      </c>
      <c r="C46" s="27"/>
      <c r="D46" s="27"/>
      <c r="E46" s="27"/>
      <c r="F46" s="27"/>
      <c r="G46" s="27"/>
      <c r="H46" s="27"/>
      <c r="I46" s="27"/>
      <c r="J46" s="27"/>
      <c r="K46" s="27"/>
      <c r="L46" s="27"/>
      <c r="M46" s="27"/>
      <c r="N46" s="27"/>
      <c r="O46" s="27"/>
      <c r="P46" s="27"/>
    </row>
    <row r="47" spans="1:17" outlineLevel="1" x14ac:dyDescent="0.2">
      <c r="B47" s="9" t="s">
        <v>234</v>
      </c>
      <c r="C47" s="27"/>
      <c r="D47" s="27"/>
      <c r="E47" s="27"/>
      <c r="F47" s="27"/>
      <c r="G47" s="27"/>
      <c r="H47" s="27"/>
      <c r="I47" s="27"/>
      <c r="J47" s="27"/>
      <c r="K47" s="27"/>
      <c r="L47" s="27"/>
      <c r="M47" s="27"/>
      <c r="N47" s="27"/>
      <c r="O47" s="27"/>
      <c r="P47" s="27"/>
    </row>
    <row r="48" spans="1:17" s="52" customFormat="1" outlineLevel="1" x14ac:dyDescent="0.2">
      <c r="A48" s="7"/>
      <c r="B48" s="11" t="s">
        <v>30</v>
      </c>
      <c r="C48" s="55"/>
      <c r="D48" s="55"/>
      <c r="E48" s="55"/>
      <c r="F48" s="55"/>
      <c r="G48" s="55"/>
      <c r="H48" s="55"/>
      <c r="I48" s="55"/>
      <c r="J48" s="55"/>
      <c r="K48" s="55"/>
      <c r="L48" s="55"/>
      <c r="M48" s="55"/>
      <c r="N48" s="55"/>
      <c r="O48" s="55"/>
      <c r="P48" s="55"/>
    </row>
    <row r="49" spans="1:16" outlineLevel="1" x14ac:dyDescent="0.2">
      <c r="B49" s="9" t="s">
        <v>234</v>
      </c>
      <c r="C49" s="27"/>
      <c r="D49" s="27"/>
      <c r="E49" s="27"/>
      <c r="F49" s="27"/>
      <c r="G49" s="27"/>
      <c r="H49" s="27"/>
      <c r="I49" s="27"/>
      <c r="J49" s="27"/>
      <c r="K49" s="27"/>
      <c r="L49" s="27"/>
      <c r="M49" s="27"/>
      <c r="N49" s="27"/>
      <c r="O49" s="27"/>
      <c r="P49" s="27"/>
    </row>
    <row r="50" spans="1:16" outlineLevel="1" x14ac:dyDescent="0.2">
      <c r="B50" s="9" t="s">
        <v>235</v>
      </c>
      <c r="C50" s="27"/>
      <c r="D50" s="27"/>
      <c r="E50" s="27"/>
      <c r="F50" s="27"/>
      <c r="G50" s="27"/>
      <c r="H50" s="27"/>
      <c r="I50" s="27"/>
      <c r="J50" s="27"/>
      <c r="K50" s="27"/>
      <c r="L50" s="27"/>
      <c r="M50" s="27"/>
      <c r="N50" s="27"/>
      <c r="O50" s="27"/>
      <c r="P50" s="27"/>
    </row>
    <row r="51" spans="1:16" s="52" customFormat="1" outlineLevel="1" x14ac:dyDescent="0.2">
      <c r="A51" s="7"/>
      <c r="B51" s="11" t="s">
        <v>28</v>
      </c>
      <c r="C51" s="56">
        <f>SUM(C49:C50)</f>
        <v>0</v>
      </c>
      <c r="D51" s="56">
        <f t="shared" ref="D51:P51" si="8">SUM(D49:D50)</f>
        <v>0</v>
      </c>
      <c r="E51" s="56">
        <f t="shared" si="8"/>
        <v>0</v>
      </c>
      <c r="F51" s="56">
        <f t="shared" si="8"/>
        <v>0</v>
      </c>
      <c r="G51" s="56">
        <f t="shared" si="8"/>
        <v>0</v>
      </c>
      <c r="H51" s="56">
        <f t="shared" si="8"/>
        <v>0</v>
      </c>
      <c r="I51" s="56">
        <f t="shared" si="8"/>
        <v>0</v>
      </c>
      <c r="J51" s="56">
        <f t="shared" si="8"/>
        <v>0</v>
      </c>
      <c r="K51" s="56">
        <f t="shared" si="8"/>
        <v>0</v>
      </c>
      <c r="L51" s="56">
        <f t="shared" si="8"/>
        <v>0</v>
      </c>
      <c r="M51" s="56">
        <f t="shared" si="8"/>
        <v>0</v>
      </c>
      <c r="N51" s="56">
        <f t="shared" si="8"/>
        <v>0</v>
      </c>
      <c r="O51" s="56">
        <f t="shared" si="8"/>
        <v>0</v>
      </c>
      <c r="P51" s="56">
        <f t="shared" si="8"/>
        <v>0</v>
      </c>
    </row>
    <row r="52" spans="1:16" s="53" customFormat="1" outlineLevel="1" x14ac:dyDescent="0.2">
      <c r="A52" s="7"/>
      <c r="B52" s="17" t="s">
        <v>29</v>
      </c>
      <c r="C52" s="51"/>
      <c r="D52" s="51"/>
      <c r="E52" s="51"/>
      <c r="F52" s="51"/>
      <c r="G52" s="51"/>
      <c r="H52" s="51"/>
      <c r="I52" s="51"/>
      <c r="J52" s="51"/>
      <c r="K52" s="51"/>
      <c r="L52" s="51"/>
      <c r="M52" s="51"/>
      <c r="N52" s="51"/>
      <c r="O52" s="51"/>
      <c r="P52" s="51"/>
    </row>
    <row r="53" spans="1:16" outlineLevel="1" x14ac:dyDescent="0.2">
      <c r="B53" s="9" t="s">
        <v>237</v>
      </c>
      <c r="C53" s="27"/>
      <c r="D53" s="27"/>
      <c r="E53" s="27"/>
      <c r="F53" s="27"/>
      <c r="G53" s="27"/>
      <c r="H53" s="27"/>
      <c r="I53" s="27"/>
      <c r="J53" s="27"/>
      <c r="K53" s="27"/>
      <c r="L53" s="27"/>
      <c r="M53" s="27"/>
      <c r="N53" s="27"/>
      <c r="O53" s="27"/>
      <c r="P53" s="27"/>
    </row>
    <row r="54" spans="1:16" outlineLevel="1" x14ac:dyDescent="0.2">
      <c r="B54" s="9" t="s">
        <v>32</v>
      </c>
      <c r="C54" s="27"/>
      <c r="D54" s="27"/>
      <c r="E54" s="27"/>
      <c r="F54" s="27"/>
      <c r="G54" s="27"/>
      <c r="H54" s="27"/>
      <c r="I54" s="27"/>
      <c r="J54" s="27"/>
      <c r="K54" s="27"/>
      <c r="L54" s="27"/>
      <c r="M54" s="27"/>
      <c r="N54" s="27"/>
      <c r="O54" s="27"/>
      <c r="P54" s="27"/>
    </row>
    <row r="55" spans="1:16" outlineLevel="1" x14ac:dyDescent="0.2">
      <c r="B55" s="9" t="s">
        <v>236</v>
      </c>
      <c r="C55" s="27"/>
      <c r="D55" s="27"/>
      <c r="E55" s="27"/>
      <c r="F55" s="27"/>
      <c r="G55" s="27"/>
      <c r="H55" s="27"/>
      <c r="I55" s="27"/>
      <c r="J55" s="27"/>
      <c r="K55" s="27"/>
      <c r="L55" s="27"/>
      <c r="M55" s="27"/>
      <c r="N55" s="27"/>
      <c r="O55" s="27"/>
      <c r="P55" s="27"/>
    </row>
    <row r="56" spans="1:16" s="52" customFormat="1" outlineLevel="1" x14ac:dyDescent="0.2">
      <c r="A56" s="7"/>
      <c r="B56" s="11" t="s">
        <v>33</v>
      </c>
      <c r="C56" s="55"/>
      <c r="D56" s="55"/>
      <c r="E56" s="55"/>
      <c r="F56" s="55"/>
      <c r="G56" s="55"/>
      <c r="H56" s="55"/>
      <c r="I56" s="55"/>
      <c r="J56" s="55"/>
      <c r="K56" s="55"/>
      <c r="L56" s="55"/>
      <c r="M56" s="55"/>
      <c r="N56" s="55"/>
      <c r="O56" s="55"/>
      <c r="P56" s="55"/>
    </row>
    <row r="57" spans="1:16" s="57" customFormat="1" ht="17" outlineLevel="1" thickBot="1" x14ac:dyDescent="0.25">
      <c r="A57" s="7"/>
      <c r="B57" s="19" t="s">
        <v>34</v>
      </c>
      <c r="C57" s="58"/>
      <c r="D57" s="58"/>
      <c r="E57" s="58"/>
      <c r="F57" s="58"/>
      <c r="G57" s="58"/>
      <c r="H57" s="58"/>
      <c r="I57" s="58"/>
      <c r="J57" s="58"/>
      <c r="K57" s="58"/>
      <c r="L57" s="58"/>
      <c r="M57" s="58"/>
      <c r="N57" s="58"/>
      <c r="O57" s="58"/>
      <c r="P57" s="58"/>
    </row>
    <row r="58" spans="1:16" x14ac:dyDescent="0.2">
      <c r="B58" s="1"/>
    </row>
    <row r="59" spans="1:16" s="14" customFormat="1" ht="17" thickBot="1" x14ac:dyDescent="0.25">
      <c r="A59" s="4"/>
      <c r="B59" s="15" t="s">
        <v>35</v>
      </c>
    </row>
    <row r="60" spans="1:16" outlineLevel="1" x14ac:dyDescent="0.2">
      <c r="B60" s="9" t="s">
        <v>14</v>
      </c>
      <c r="C60" s="20">
        <f t="shared" ref="C60:P60" si="9">C20</f>
        <v>1169</v>
      </c>
      <c r="D60" s="20">
        <f t="shared" si="9"/>
        <v>1694</v>
      </c>
      <c r="E60" s="20">
        <f t="shared" si="9"/>
        <v>2591</v>
      </c>
      <c r="F60" s="20">
        <f t="shared" si="9"/>
        <v>2952</v>
      </c>
      <c r="G60" s="20">
        <f t="shared" si="9"/>
        <v>5260</v>
      </c>
      <c r="H60" s="20">
        <f t="shared" si="9"/>
        <v>4822</v>
      </c>
      <c r="I60" s="20">
        <f t="shared" si="9"/>
        <v>4756</v>
      </c>
      <c r="J60" s="20">
        <f t="shared" si="9"/>
        <v>5428</v>
      </c>
      <c r="K60" s="20">
        <f t="shared" si="9"/>
        <v>5560</v>
      </c>
      <c r="L60" s="20">
        <f t="shared" si="9"/>
        <v>7130</v>
      </c>
      <c r="M60" s="20">
        <f t="shared" si="9"/>
        <v>0</v>
      </c>
      <c r="N60" s="20">
        <f t="shared" si="9"/>
        <v>0</v>
      </c>
      <c r="O60" s="20">
        <f t="shared" si="9"/>
        <v>0</v>
      </c>
      <c r="P60" s="20">
        <f t="shared" si="9"/>
        <v>0</v>
      </c>
    </row>
    <row r="61" spans="1:16" outlineLevel="1" x14ac:dyDescent="0.2">
      <c r="B61" s="9" t="s">
        <v>36</v>
      </c>
      <c r="C61" s="27"/>
      <c r="D61" s="27"/>
      <c r="E61" s="27"/>
      <c r="F61" s="27"/>
      <c r="G61" s="27"/>
      <c r="H61" s="27"/>
      <c r="I61" s="27"/>
      <c r="J61" s="27"/>
      <c r="K61" s="27"/>
      <c r="L61" s="27"/>
      <c r="M61" s="27"/>
      <c r="N61" s="27"/>
      <c r="O61" s="27"/>
      <c r="P61" s="27"/>
    </row>
    <row r="62" spans="1:16" outlineLevel="1" x14ac:dyDescent="0.2">
      <c r="B62" s="12" t="s">
        <v>97</v>
      </c>
      <c r="C62" s="27"/>
      <c r="D62" s="27"/>
      <c r="E62" s="27"/>
      <c r="F62" s="27"/>
      <c r="G62" s="27"/>
      <c r="H62" s="27"/>
      <c r="I62" s="27"/>
      <c r="J62" s="27"/>
      <c r="K62" s="27"/>
      <c r="L62" s="27"/>
      <c r="M62" s="27"/>
      <c r="N62" s="27"/>
      <c r="O62" s="27"/>
      <c r="P62" s="27"/>
    </row>
    <row r="63" spans="1:16" outlineLevel="1" x14ac:dyDescent="0.2">
      <c r="B63" s="12" t="s">
        <v>255</v>
      </c>
      <c r="C63" s="27"/>
      <c r="D63" s="27"/>
      <c r="E63" s="27"/>
      <c r="F63" s="27"/>
      <c r="G63" s="27"/>
      <c r="H63" s="27"/>
      <c r="I63" s="27"/>
      <c r="J63" s="27"/>
      <c r="K63" s="27"/>
      <c r="L63" s="27"/>
      <c r="M63" s="27"/>
      <c r="N63" s="27"/>
      <c r="O63" s="27"/>
      <c r="P63" s="27"/>
    </row>
    <row r="64" spans="1:16" outlineLevel="1" x14ac:dyDescent="0.2">
      <c r="B64" s="12" t="s">
        <v>241</v>
      </c>
      <c r="C64" s="27"/>
      <c r="D64" s="27"/>
      <c r="E64" s="27"/>
      <c r="F64" s="27"/>
      <c r="G64" s="27"/>
      <c r="H64" s="27"/>
      <c r="I64" s="27"/>
      <c r="J64" s="27"/>
      <c r="K64" s="27"/>
      <c r="L64" s="27"/>
      <c r="M64" s="27"/>
      <c r="N64" s="27"/>
      <c r="O64" s="27"/>
      <c r="P64" s="27"/>
    </row>
    <row r="65" spans="1:16" outlineLevel="1" x14ac:dyDescent="0.2">
      <c r="B65" s="9" t="s">
        <v>37</v>
      </c>
      <c r="C65" s="27"/>
      <c r="D65" s="27"/>
      <c r="E65" s="27"/>
      <c r="F65" s="27"/>
      <c r="G65" s="27"/>
      <c r="H65" s="27"/>
      <c r="I65" s="27"/>
      <c r="J65" s="27"/>
      <c r="K65" s="27"/>
      <c r="L65" s="27"/>
      <c r="M65" s="27"/>
      <c r="N65" s="27"/>
      <c r="O65" s="27"/>
      <c r="P65" s="27"/>
    </row>
    <row r="66" spans="1:16" outlineLevel="1" x14ac:dyDescent="0.2">
      <c r="B66" s="9" t="s">
        <v>242</v>
      </c>
      <c r="C66" s="27"/>
      <c r="D66" s="27"/>
      <c r="E66" s="27"/>
      <c r="F66" s="27"/>
      <c r="G66" s="27"/>
      <c r="H66" s="27"/>
      <c r="I66" s="27"/>
      <c r="J66" s="27"/>
      <c r="K66" s="27"/>
      <c r="L66" s="27"/>
      <c r="M66" s="27"/>
      <c r="N66" s="27"/>
      <c r="O66" s="27"/>
      <c r="P66" s="27"/>
    </row>
    <row r="67" spans="1:16" outlineLevel="1" x14ac:dyDescent="0.2">
      <c r="B67" s="9" t="s">
        <v>243</v>
      </c>
      <c r="C67" s="27"/>
      <c r="D67" s="27"/>
      <c r="E67" s="27"/>
      <c r="F67" s="27"/>
      <c r="G67" s="27"/>
      <c r="H67" s="27"/>
      <c r="I67" s="27"/>
      <c r="J67" s="27"/>
      <c r="K67" s="27"/>
      <c r="L67" s="27"/>
      <c r="M67" s="27"/>
      <c r="N67" s="27"/>
      <c r="O67" s="27"/>
      <c r="P67" s="27"/>
    </row>
    <row r="68" spans="1:16" outlineLevel="1" x14ac:dyDescent="0.2">
      <c r="B68" s="9" t="s">
        <v>244</v>
      </c>
      <c r="C68" s="27"/>
      <c r="D68" s="27"/>
      <c r="E68" s="27"/>
      <c r="F68" s="27"/>
      <c r="G68" s="27"/>
      <c r="H68" s="27"/>
      <c r="I68" s="27"/>
      <c r="J68" s="27"/>
      <c r="K68" s="27"/>
      <c r="L68" s="27"/>
      <c r="M68" s="27"/>
      <c r="N68" s="27"/>
      <c r="O68" s="27"/>
      <c r="P68" s="27"/>
    </row>
    <row r="69" spans="1:16" outlineLevel="1" x14ac:dyDescent="0.2">
      <c r="B69" s="9" t="s">
        <v>38</v>
      </c>
      <c r="C69" s="27"/>
      <c r="D69" s="27"/>
      <c r="E69" s="27"/>
      <c r="F69" s="27"/>
      <c r="G69" s="27"/>
      <c r="H69" s="27"/>
      <c r="I69" s="27"/>
      <c r="J69" s="27"/>
      <c r="K69" s="27"/>
      <c r="L69" s="27"/>
      <c r="M69" s="27"/>
      <c r="N69" s="27"/>
      <c r="O69" s="27"/>
      <c r="P69" s="27"/>
    </row>
    <row r="70" spans="1:16" outlineLevel="1" x14ac:dyDescent="0.2">
      <c r="B70" s="9" t="s">
        <v>98</v>
      </c>
      <c r="C70" s="27"/>
      <c r="D70" s="27"/>
      <c r="E70" s="27"/>
      <c r="F70" s="27"/>
      <c r="G70" s="27"/>
      <c r="H70" s="27"/>
      <c r="I70" s="27"/>
      <c r="J70" s="27"/>
      <c r="K70" s="27"/>
      <c r="L70" s="27"/>
      <c r="M70" s="27"/>
      <c r="N70" s="27"/>
      <c r="O70" s="27"/>
      <c r="P70" s="27"/>
    </row>
    <row r="71" spans="1:16" outlineLevel="1" x14ac:dyDescent="0.2">
      <c r="B71" s="9" t="s">
        <v>245</v>
      </c>
      <c r="C71" s="27"/>
      <c r="D71" s="27"/>
      <c r="E71" s="27"/>
      <c r="F71" s="27"/>
      <c r="G71" s="27"/>
      <c r="H71" s="27"/>
      <c r="I71" s="27"/>
      <c r="J71" s="27"/>
      <c r="K71" s="27"/>
      <c r="L71" s="27"/>
      <c r="M71" s="27"/>
      <c r="N71" s="27"/>
      <c r="O71" s="27"/>
      <c r="P71" s="27"/>
    </row>
    <row r="72" spans="1:16" s="53" customFormat="1" outlineLevel="1" x14ac:dyDescent="0.2">
      <c r="A72" s="7"/>
      <c r="B72" s="17" t="s">
        <v>39</v>
      </c>
      <c r="C72" s="51"/>
      <c r="D72" s="51"/>
      <c r="E72" s="51"/>
      <c r="F72" s="51"/>
      <c r="G72" s="51"/>
      <c r="H72" s="51"/>
      <c r="I72" s="51"/>
      <c r="J72" s="51"/>
      <c r="K72" s="51"/>
      <c r="L72" s="51"/>
      <c r="M72" s="51"/>
      <c r="N72" s="51"/>
      <c r="O72" s="51"/>
      <c r="P72" s="51"/>
    </row>
    <row r="73" spans="1:16" outlineLevel="1" x14ac:dyDescent="0.2">
      <c r="B73" s="9" t="s">
        <v>246</v>
      </c>
      <c r="C73" s="27"/>
      <c r="D73" s="27"/>
      <c r="E73" s="27"/>
      <c r="F73" s="27"/>
      <c r="G73" s="27"/>
      <c r="H73" s="27"/>
      <c r="I73" s="27"/>
      <c r="J73" s="27"/>
      <c r="K73" s="27"/>
      <c r="L73" s="27"/>
      <c r="M73" s="27"/>
      <c r="N73" s="27"/>
      <c r="O73" s="27"/>
      <c r="P73" s="27"/>
    </row>
    <row r="74" spans="1:16" outlineLevel="1" x14ac:dyDescent="0.2">
      <c r="B74" s="9" t="s">
        <v>247</v>
      </c>
      <c r="C74" s="27"/>
      <c r="D74" s="27"/>
      <c r="E74" s="27"/>
      <c r="F74" s="27"/>
      <c r="G74" s="27"/>
      <c r="H74" s="27"/>
      <c r="I74" s="27"/>
      <c r="J74" s="27"/>
      <c r="K74" s="27"/>
      <c r="L74" s="27"/>
      <c r="M74" s="27"/>
      <c r="N74" s="27"/>
      <c r="O74" s="27"/>
      <c r="P74" s="27"/>
    </row>
    <row r="75" spans="1:16" outlineLevel="1" x14ac:dyDescent="0.2">
      <c r="B75" s="9" t="s">
        <v>248</v>
      </c>
      <c r="C75" s="27"/>
      <c r="D75" s="27"/>
      <c r="E75" s="27"/>
      <c r="F75" s="27"/>
      <c r="G75" s="27"/>
      <c r="H75" s="27"/>
      <c r="I75" s="27"/>
      <c r="J75" s="27"/>
      <c r="K75" s="27"/>
      <c r="L75" s="27"/>
      <c r="M75" s="27"/>
      <c r="N75" s="27"/>
      <c r="O75" s="27"/>
      <c r="P75" s="27"/>
    </row>
    <row r="76" spans="1:16" outlineLevel="1" x14ac:dyDescent="0.2">
      <c r="B76" s="9" t="s">
        <v>144</v>
      </c>
      <c r="C76" s="27"/>
      <c r="D76" s="27"/>
      <c r="E76" s="27"/>
      <c r="F76" s="27"/>
      <c r="G76" s="27"/>
      <c r="H76" s="27"/>
      <c r="I76" s="27"/>
      <c r="J76" s="27"/>
      <c r="K76" s="27"/>
      <c r="L76" s="27"/>
      <c r="M76" s="27"/>
      <c r="N76" s="27"/>
      <c r="O76" s="27"/>
      <c r="P76" s="27"/>
    </row>
    <row r="77" spans="1:16" outlineLevel="1" x14ac:dyDescent="0.2">
      <c r="B77" s="9" t="s">
        <v>256</v>
      </c>
      <c r="C77" s="27"/>
      <c r="D77" s="27"/>
      <c r="E77" s="27"/>
      <c r="F77" s="27"/>
      <c r="G77" s="27"/>
      <c r="H77" s="27"/>
      <c r="I77" s="27"/>
      <c r="J77" s="27"/>
      <c r="K77" s="27"/>
      <c r="L77" s="27"/>
      <c r="M77" s="27"/>
      <c r="N77" s="27"/>
      <c r="O77" s="27"/>
      <c r="P77" s="27"/>
    </row>
    <row r="78" spans="1:16" outlineLevel="1" x14ac:dyDescent="0.2">
      <c r="B78" s="9" t="s">
        <v>257</v>
      </c>
      <c r="C78" s="27"/>
      <c r="D78" s="27"/>
      <c r="E78" s="27"/>
      <c r="F78" s="27"/>
      <c r="G78" s="27"/>
      <c r="H78" s="27"/>
      <c r="I78" s="27"/>
      <c r="J78" s="27"/>
      <c r="K78" s="27"/>
      <c r="L78" s="27"/>
      <c r="M78" s="27"/>
      <c r="N78" s="27"/>
      <c r="O78" s="27"/>
      <c r="P78" s="27"/>
    </row>
    <row r="79" spans="1:16" outlineLevel="1" x14ac:dyDescent="0.2">
      <c r="B79" s="9" t="s">
        <v>258</v>
      </c>
      <c r="C79" s="27"/>
      <c r="D79" s="27"/>
      <c r="E79" s="27"/>
      <c r="F79" s="27"/>
      <c r="G79" s="27"/>
      <c r="H79" s="27"/>
      <c r="I79" s="27"/>
      <c r="J79" s="27"/>
      <c r="K79" s="27"/>
      <c r="L79" s="27"/>
      <c r="M79" s="27"/>
      <c r="N79" s="27"/>
      <c r="O79" s="27"/>
      <c r="P79" s="27"/>
    </row>
    <row r="80" spans="1:16" outlineLevel="1" x14ac:dyDescent="0.2">
      <c r="B80" s="9" t="s">
        <v>260</v>
      </c>
      <c r="C80" s="27"/>
      <c r="D80" s="27"/>
      <c r="E80" s="27"/>
      <c r="F80" s="27"/>
      <c r="G80" s="27"/>
      <c r="H80" s="27"/>
      <c r="I80" s="27"/>
      <c r="J80" s="27"/>
      <c r="K80" s="27"/>
      <c r="L80" s="27"/>
      <c r="M80" s="27"/>
      <c r="N80" s="27"/>
      <c r="O80" s="27"/>
      <c r="P80" s="27"/>
    </row>
    <row r="81" spans="1:16" outlineLevel="1" x14ac:dyDescent="0.2">
      <c r="B81" s="9" t="s">
        <v>261</v>
      </c>
      <c r="C81" s="27"/>
      <c r="D81" s="27"/>
      <c r="E81" s="27"/>
      <c r="F81" s="27"/>
      <c r="G81" s="27"/>
      <c r="H81" s="27"/>
      <c r="I81" s="27"/>
      <c r="J81" s="27"/>
      <c r="K81" s="27"/>
      <c r="L81" s="27"/>
      <c r="M81" s="27"/>
      <c r="N81" s="27"/>
      <c r="O81" s="27"/>
      <c r="P81" s="27"/>
    </row>
    <row r="82" spans="1:16" outlineLevel="1" x14ac:dyDescent="0.2">
      <c r="B82" s="9" t="s">
        <v>241</v>
      </c>
      <c r="C82" s="27"/>
      <c r="D82" s="27"/>
      <c r="E82" s="27"/>
      <c r="F82" s="27"/>
      <c r="G82" s="27"/>
      <c r="H82" s="27"/>
      <c r="I82" s="27"/>
      <c r="J82" s="27"/>
      <c r="K82" s="27"/>
      <c r="L82" s="27"/>
      <c r="M82" s="27"/>
      <c r="N82" s="27"/>
      <c r="O82" s="27"/>
      <c r="P82" s="27"/>
    </row>
    <row r="83" spans="1:16" s="53" customFormat="1" outlineLevel="1" x14ac:dyDescent="0.2">
      <c r="A83" s="7"/>
      <c r="B83" s="17" t="s">
        <v>41</v>
      </c>
      <c r="C83" s="51"/>
      <c r="D83" s="51"/>
      <c r="E83" s="51"/>
      <c r="F83" s="51"/>
      <c r="G83" s="51"/>
      <c r="H83" s="51"/>
      <c r="I83" s="51"/>
      <c r="J83" s="51"/>
      <c r="K83" s="51"/>
      <c r="L83" s="51"/>
      <c r="M83" s="51"/>
      <c r="N83" s="51"/>
      <c r="O83" s="51"/>
      <c r="P83" s="51"/>
    </row>
    <row r="84" spans="1:16" outlineLevel="1" x14ac:dyDescent="0.2">
      <c r="B84" s="9" t="s">
        <v>259</v>
      </c>
      <c r="C84" s="27"/>
      <c r="D84" s="27"/>
      <c r="E84" s="27"/>
      <c r="F84" s="27"/>
      <c r="G84" s="27"/>
      <c r="H84" s="27"/>
      <c r="I84" s="27"/>
      <c r="J84" s="27"/>
      <c r="K84" s="27"/>
      <c r="L84" s="27"/>
      <c r="M84" s="27"/>
      <c r="N84" s="27"/>
      <c r="O84" s="27"/>
      <c r="P84" s="27"/>
    </row>
    <row r="85" spans="1:16" outlineLevel="1" x14ac:dyDescent="0.2">
      <c r="B85" s="9" t="s">
        <v>262</v>
      </c>
      <c r="C85" s="27"/>
      <c r="D85" s="27"/>
      <c r="E85" s="27"/>
      <c r="F85" s="27"/>
      <c r="G85" s="27"/>
      <c r="H85" s="27"/>
      <c r="I85" s="27"/>
      <c r="J85" s="27"/>
      <c r="K85" s="27"/>
      <c r="L85" s="27"/>
      <c r="M85" s="27"/>
      <c r="N85" s="27"/>
      <c r="O85" s="27"/>
      <c r="P85" s="27"/>
    </row>
    <row r="86" spans="1:16" outlineLevel="1" x14ac:dyDescent="0.2">
      <c r="B86" s="9" t="s">
        <v>249</v>
      </c>
      <c r="C86" s="27"/>
      <c r="D86" s="27"/>
      <c r="E86" s="27"/>
      <c r="F86" s="27"/>
      <c r="G86" s="27"/>
      <c r="H86" s="27"/>
      <c r="I86" s="27"/>
      <c r="J86" s="27"/>
      <c r="K86" s="27"/>
      <c r="L86" s="27"/>
      <c r="M86" s="27"/>
      <c r="N86" s="27"/>
      <c r="O86" s="27"/>
      <c r="P86" s="27"/>
    </row>
    <row r="87" spans="1:16" outlineLevel="1" x14ac:dyDescent="0.2">
      <c r="B87" s="9" t="s">
        <v>250</v>
      </c>
      <c r="C87" s="27"/>
      <c r="D87" s="27"/>
      <c r="E87" s="27"/>
      <c r="F87" s="27"/>
      <c r="G87" s="27"/>
      <c r="H87" s="27"/>
      <c r="I87" s="27"/>
      <c r="J87" s="27"/>
      <c r="K87" s="27"/>
      <c r="L87" s="27"/>
      <c r="M87" s="27"/>
      <c r="N87" s="27"/>
      <c r="O87" s="27"/>
      <c r="P87" s="27"/>
    </row>
    <row r="88" spans="1:16" outlineLevel="1" x14ac:dyDescent="0.2">
      <c r="B88" s="9" t="s">
        <v>251</v>
      </c>
      <c r="C88" s="27"/>
      <c r="D88" s="27"/>
      <c r="E88" s="27"/>
      <c r="F88" s="27"/>
      <c r="G88" s="27"/>
      <c r="H88" s="27"/>
      <c r="I88" s="27"/>
      <c r="J88" s="27"/>
      <c r="K88" s="27"/>
      <c r="L88" s="27"/>
      <c r="M88" s="27"/>
      <c r="N88" s="27"/>
      <c r="O88" s="27"/>
      <c r="P88" s="27"/>
    </row>
    <row r="89" spans="1:16" outlineLevel="1" x14ac:dyDescent="0.2">
      <c r="B89" s="9" t="s">
        <v>252</v>
      </c>
      <c r="C89" s="27"/>
      <c r="D89" s="27"/>
      <c r="E89" s="27"/>
      <c r="F89" s="27"/>
      <c r="G89" s="27"/>
      <c r="H89" s="27"/>
      <c r="I89" s="27"/>
      <c r="J89" s="27"/>
      <c r="K89" s="27"/>
      <c r="L89" s="27"/>
      <c r="M89" s="27"/>
      <c r="N89" s="27"/>
      <c r="O89" s="27"/>
      <c r="P89" s="27"/>
    </row>
    <row r="90" spans="1:16" outlineLevel="1" x14ac:dyDescent="0.2">
      <c r="B90" s="9" t="s">
        <v>253</v>
      </c>
      <c r="C90" s="27"/>
      <c r="D90" s="27"/>
      <c r="E90" s="27"/>
      <c r="F90" s="27"/>
      <c r="G90" s="27"/>
      <c r="H90" s="27"/>
      <c r="I90" s="27"/>
      <c r="J90" s="27"/>
      <c r="K90" s="27"/>
      <c r="L90" s="27"/>
      <c r="M90" s="27"/>
      <c r="N90" s="27"/>
      <c r="O90" s="27"/>
      <c r="P90" s="27"/>
    </row>
    <row r="91" spans="1:16" outlineLevel="1" x14ac:dyDescent="0.2">
      <c r="B91" s="9" t="s">
        <v>254</v>
      </c>
      <c r="C91" s="27"/>
      <c r="D91" s="27"/>
      <c r="E91" s="27"/>
      <c r="F91" s="27"/>
      <c r="G91" s="27"/>
      <c r="H91" s="27"/>
      <c r="I91" s="27"/>
      <c r="J91" s="27"/>
      <c r="K91" s="27"/>
      <c r="L91" s="27"/>
      <c r="M91" s="27"/>
      <c r="N91" s="27"/>
      <c r="O91" s="27"/>
      <c r="P91" s="27"/>
    </row>
    <row r="92" spans="1:16" outlineLevel="1" x14ac:dyDescent="0.2">
      <c r="B92" s="9" t="s">
        <v>241</v>
      </c>
      <c r="C92" s="27"/>
      <c r="D92" s="27"/>
      <c r="E92" s="27"/>
      <c r="F92" s="27"/>
      <c r="G92" s="27"/>
      <c r="H92" s="27"/>
      <c r="I92" s="27"/>
      <c r="J92" s="27"/>
      <c r="K92" s="27"/>
      <c r="L92" s="27"/>
      <c r="M92" s="27"/>
      <c r="N92" s="27"/>
      <c r="O92" s="27"/>
      <c r="P92" s="27"/>
    </row>
    <row r="93" spans="1:16" s="53" customFormat="1" outlineLevel="1" x14ac:dyDescent="0.2">
      <c r="A93" s="7"/>
      <c r="B93" s="17" t="s">
        <v>42</v>
      </c>
      <c r="C93" s="51"/>
      <c r="D93" s="51"/>
      <c r="E93" s="51"/>
      <c r="F93" s="51"/>
      <c r="G93" s="51"/>
      <c r="H93" s="51"/>
      <c r="I93" s="51"/>
      <c r="J93" s="51"/>
      <c r="K93" s="51"/>
      <c r="L93" s="51"/>
      <c r="M93" s="51"/>
      <c r="N93" s="51"/>
      <c r="O93" s="51"/>
      <c r="P93" s="51"/>
    </row>
    <row r="94" spans="1:16" s="52" customFormat="1" outlineLevel="1" x14ac:dyDescent="0.2">
      <c r="A94" s="7"/>
      <c r="B94" s="11" t="s">
        <v>43</v>
      </c>
      <c r="C94" s="55"/>
      <c r="D94" s="55"/>
      <c r="E94" s="55"/>
      <c r="F94" s="55"/>
      <c r="G94" s="55"/>
      <c r="H94" s="55"/>
      <c r="I94" s="55"/>
      <c r="J94" s="55"/>
      <c r="K94" s="55"/>
      <c r="L94" s="55"/>
      <c r="M94" s="55"/>
      <c r="N94" s="55"/>
      <c r="O94" s="55"/>
      <c r="P94" s="55"/>
    </row>
    <row r="95" spans="1:16" s="52" customFormat="1" outlineLevel="1" x14ac:dyDescent="0.2">
      <c r="A95" s="7"/>
      <c r="B95" s="11" t="s">
        <v>44</v>
      </c>
      <c r="C95" s="55"/>
      <c r="D95" s="55"/>
      <c r="E95" s="55"/>
      <c r="F95" s="55"/>
      <c r="G95" s="55"/>
      <c r="H95" s="55"/>
      <c r="I95" s="55"/>
      <c r="J95" s="55"/>
      <c r="K95" s="55"/>
      <c r="L95" s="55"/>
      <c r="M95" s="55"/>
      <c r="N95" s="55"/>
      <c r="O95" s="55"/>
      <c r="P95" s="55"/>
    </row>
    <row r="96" spans="1:16" s="57" customFormat="1" ht="17" outlineLevel="1" thickBot="1" x14ac:dyDescent="0.25">
      <c r="A96" s="7"/>
      <c r="B96" s="19" t="s">
        <v>45</v>
      </c>
      <c r="C96" s="51"/>
      <c r="D96" s="51"/>
      <c r="E96" s="51"/>
      <c r="F96" s="51"/>
      <c r="G96" s="51"/>
      <c r="H96" s="51"/>
      <c r="I96" s="51"/>
      <c r="J96" s="51"/>
      <c r="K96" s="51"/>
      <c r="L96" s="51"/>
      <c r="M96" s="51"/>
      <c r="N96" s="51"/>
      <c r="O96" s="51"/>
      <c r="P96" s="51"/>
    </row>
    <row r="97" spans="1:16" x14ac:dyDescent="0.2">
      <c r="B97" s="1"/>
    </row>
    <row r="98" spans="1:16" s="14" customFormat="1" ht="17" thickBot="1" x14ac:dyDescent="0.25">
      <c r="A98" s="4"/>
      <c r="B98" s="15" t="s">
        <v>46</v>
      </c>
    </row>
    <row r="99" spans="1:16" hidden="1" outlineLevel="2" x14ac:dyDescent="0.2">
      <c r="B99" s="9" t="s">
        <v>47</v>
      </c>
      <c r="C99" s="20">
        <f>C5-C6-C13+C15+C16+C17+C19</f>
        <v>1169</v>
      </c>
      <c r="D99" s="20">
        <f t="shared" ref="D99:P99" si="10">D5-D6-D13+D15+D16+D17+D19</f>
        <v>1694</v>
      </c>
      <c r="E99" s="20">
        <f t="shared" si="10"/>
        <v>2591</v>
      </c>
      <c r="F99" s="20">
        <f t="shared" si="10"/>
        <v>2952</v>
      </c>
      <c r="G99" s="20">
        <f t="shared" si="10"/>
        <v>5260</v>
      </c>
      <c r="H99" s="20">
        <f t="shared" si="10"/>
        <v>4822</v>
      </c>
      <c r="I99" s="20">
        <f t="shared" si="10"/>
        <v>4756</v>
      </c>
      <c r="J99" s="20">
        <f t="shared" si="10"/>
        <v>5428</v>
      </c>
      <c r="K99" s="20">
        <f t="shared" si="10"/>
        <v>5560</v>
      </c>
      <c r="L99" s="20">
        <f t="shared" si="10"/>
        <v>7130</v>
      </c>
      <c r="M99" s="20">
        <f t="shared" si="10"/>
        <v>0</v>
      </c>
      <c r="N99" s="20">
        <f t="shared" si="10"/>
        <v>0</v>
      </c>
      <c r="O99" s="20">
        <f t="shared" si="10"/>
        <v>0</v>
      </c>
      <c r="P99" s="20">
        <f t="shared" si="10"/>
        <v>0</v>
      </c>
    </row>
    <row r="100" spans="1:16" s="18" customFormat="1" outlineLevel="1" collapsed="1" x14ac:dyDescent="0.2">
      <c r="A100" s="7"/>
      <c r="B100" s="17" t="s">
        <v>48</v>
      </c>
      <c r="C100" s="24">
        <f t="shared" ref="C100:P100" si="11">C20-C99</f>
        <v>0</v>
      </c>
      <c r="D100" s="24">
        <f t="shared" si="11"/>
        <v>0</v>
      </c>
      <c r="E100" s="24">
        <f t="shared" si="11"/>
        <v>0</v>
      </c>
      <c r="F100" s="24">
        <f t="shared" si="11"/>
        <v>0</v>
      </c>
      <c r="G100" s="24">
        <f t="shared" si="11"/>
        <v>0</v>
      </c>
      <c r="H100" s="24">
        <f t="shared" si="11"/>
        <v>0</v>
      </c>
      <c r="I100" s="24">
        <f t="shared" si="11"/>
        <v>0</v>
      </c>
      <c r="J100" s="24">
        <f t="shared" si="11"/>
        <v>0</v>
      </c>
      <c r="K100" s="24">
        <f t="shared" si="11"/>
        <v>0</v>
      </c>
      <c r="L100" s="24">
        <f t="shared" si="11"/>
        <v>0</v>
      </c>
      <c r="M100" s="24">
        <f t="shared" si="11"/>
        <v>0</v>
      </c>
      <c r="N100" s="24">
        <f t="shared" si="11"/>
        <v>0</v>
      </c>
      <c r="O100" s="24">
        <f t="shared" si="11"/>
        <v>0</v>
      </c>
      <c r="P100" s="24">
        <f t="shared" si="11"/>
        <v>0</v>
      </c>
    </row>
    <row r="101" spans="1:16" hidden="1" outlineLevel="2" x14ac:dyDescent="0.2">
      <c r="B101" s="9" t="s">
        <v>49</v>
      </c>
      <c r="C101" s="20">
        <f t="shared" ref="C101:P101" si="12">SUM(C31:C36)+SUM(C38:C40)</f>
        <v>0</v>
      </c>
      <c r="D101" s="20">
        <f t="shared" si="12"/>
        <v>0</v>
      </c>
      <c r="E101" s="20">
        <f t="shared" si="12"/>
        <v>0</v>
      </c>
      <c r="F101" s="20">
        <f t="shared" si="12"/>
        <v>0</v>
      </c>
      <c r="G101" s="20">
        <f t="shared" si="12"/>
        <v>0</v>
      </c>
      <c r="H101" s="20">
        <f t="shared" si="12"/>
        <v>0</v>
      </c>
      <c r="I101" s="20">
        <f t="shared" si="12"/>
        <v>0</v>
      </c>
      <c r="J101" s="20">
        <f t="shared" si="12"/>
        <v>0</v>
      </c>
      <c r="K101" s="20">
        <f t="shared" si="12"/>
        <v>0</v>
      </c>
      <c r="L101" s="20">
        <f t="shared" si="12"/>
        <v>0</v>
      </c>
      <c r="M101" s="20">
        <f t="shared" si="12"/>
        <v>0</v>
      </c>
      <c r="N101" s="20">
        <f t="shared" si="12"/>
        <v>0</v>
      </c>
      <c r="O101" s="20">
        <f t="shared" si="12"/>
        <v>0</v>
      </c>
      <c r="P101" s="20">
        <f t="shared" si="12"/>
        <v>0</v>
      </c>
    </row>
    <row r="102" spans="1:16" s="7" customFormat="1" outlineLevel="1" collapsed="1" x14ac:dyDescent="0.2">
      <c r="B102" s="11" t="s">
        <v>50</v>
      </c>
      <c r="C102" s="23">
        <f t="shared" ref="C102:P102" si="13">C42-C101</f>
        <v>0</v>
      </c>
      <c r="D102" s="23">
        <f t="shared" si="13"/>
        <v>0</v>
      </c>
      <c r="E102" s="23">
        <f t="shared" si="13"/>
        <v>0</v>
      </c>
      <c r="F102" s="23">
        <f t="shared" si="13"/>
        <v>0</v>
      </c>
      <c r="G102" s="23">
        <f t="shared" si="13"/>
        <v>0</v>
      </c>
      <c r="H102" s="23">
        <f t="shared" si="13"/>
        <v>0</v>
      </c>
      <c r="I102" s="23">
        <f t="shared" si="13"/>
        <v>0</v>
      </c>
      <c r="J102" s="23">
        <f t="shared" si="13"/>
        <v>0</v>
      </c>
      <c r="K102" s="23">
        <f t="shared" si="13"/>
        <v>0</v>
      </c>
      <c r="L102" s="23">
        <f t="shared" si="13"/>
        <v>0</v>
      </c>
      <c r="M102" s="23">
        <f t="shared" si="13"/>
        <v>0</v>
      </c>
      <c r="N102" s="23">
        <f t="shared" si="13"/>
        <v>0</v>
      </c>
      <c r="O102" s="23">
        <f t="shared" si="13"/>
        <v>0</v>
      </c>
      <c r="P102" s="23">
        <f t="shared" si="13"/>
        <v>0</v>
      </c>
    </row>
    <row r="103" spans="1:16" hidden="1" outlineLevel="2" x14ac:dyDescent="0.2">
      <c r="B103" s="9" t="s">
        <v>51</v>
      </c>
      <c r="C103" s="20">
        <f t="shared" ref="C103:P103" si="14">SUM(C43:C47)+SUM(C49:C50)</f>
        <v>0</v>
      </c>
      <c r="D103" s="20">
        <f t="shared" si="14"/>
        <v>0</v>
      </c>
      <c r="E103" s="20">
        <f t="shared" si="14"/>
        <v>0</v>
      </c>
      <c r="F103" s="20">
        <f t="shared" si="14"/>
        <v>0</v>
      </c>
      <c r="G103" s="20">
        <f t="shared" si="14"/>
        <v>0</v>
      </c>
      <c r="H103" s="20">
        <f t="shared" si="14"/>
        <v>0</v>
      </c>
      <c r="I103" s="20">
        <f t="shared" si="14"/>
        <v>0</v>
      </c>
      <c r="J103" s="20">
        <f t="shared" si="14"/>
        <v>0</v>
      </c>
      <c r="K103" s="20">
        <f t="shared" si="14"/>
        <v>0</v>
      </c>
      <c r="L103" s="20">
        <f t="shared" si="14"/>
        <v>0</v>
      </c>
      <c r="M103" s="20">
        <f t="shared" si="14"/>
        <v>0</v>
      </c>
      <c r="N103" s="20">
        <f t="shared" si="14"/>
        <v>0</v>
      </c>
      <c r="O103" s="20">
        <f t="shared" si="14"/>
        <v>0</v>
      </c>
      <c r="P103" s="20">
        <f t="shared" si="14"/>
        <v>0</v>
      </c>
    </row>
    <row r="104" spans="1:16" s="7" customFormat="1" outlineLevel="1" collapsed="1" x14ac:dyDescent="0.2">
      <c r="B104" s="11" t="s">
        <v>52</v>
      </c>
      <c r="C104" s="23">
        <f t="shared" ref="C104:P104" si="15">C52-C103</f>
        <v>0</v>
      </c>
      <c r="D104" s="23">
        <f t="shared" si="15"/>
        <v>0</v>
      </c>
      <c r="E104" s="23">
        <f t="shared" si="15"/>
        <v>0</v>
      </c>
      <c r="F104" s="23">
        <f t="shared" si="15"/>
        <v>0</v>
      </c>
      <c r="G104" s="23">
        <f t="shared" si="15"/>
        <v>0</v>
      </c>
      <c r="H104" s="23">
        <f t="shared" si="15"/>
        <v>0</v>
      </c>
      <c r="I104" s="23">
        <f t="shared" si="15"/>
        <v>0</v>
      </c>
      <c r="J104" s="23">
        <f t="shared" si="15"/>
        <v>0</v>
      </c>
      <c r="K104" s="23">
        <f t="shared" si="15"/>
        <v>0</v>
      </c>
      <c r="L104" s="23">
        <f t="shared" si="15"/>
        <v>0</v>
      </c>
      <c r="M104" s="23">
        <f t="shared" si="15"/>
        <v>0</v>
      </c>
      <c r="N104" s="23">
        <f t="shared" si="15"/>
        <v>0</v>
      </c>
      <c r="O104" s="23">
        <f t="shared" si="15"/>
        <v>0</v>
      </c>
      <c r="P104" s="23">
        <f t="shared" si="15"/>
        <v>0</v>
      </c>
    </row>
    <row r="105" spans="1:16" hidden="1" outlineLevel="2" x14ac:dyDescent="0.2">
      <c r="B105" s="9" t="s">
        <v>53</v>
      </c>
      <c r="C105" s="20">
        <f t="shared" ref="C105:P105" si="16">SUM(C53:C55)</f>
        <v>0</v>
      </c>
      <c r="D105" s="20">
        <f t="shared" si="16"/>
        <v>0</v>
      </c>
      <c r="E105" s="20">
        <f t="shared" si="16"/>
        <v>0</v>
      </c>
      <c r="F105" s="20">
        <f t="shared" si="16"/>
        <v>0</v>
      </c>
      <c r="G105" s="20">
        <f t="shared" si="16"/>
        <v>0</v>
      </c>
      <c r="H105" s="20">
        <f t="shared" si="16"/>
        <v>0</v>
      </c>
      <c r="I105" s="20">
        <f t="shared" si="16"/>
        <v>0</v>
      </c>
      <c r="J105" s="20">
        <f t="shared" si="16"/>
        <v>0</v>
      </c>
      <c r="K105" s="20">
        <f t="shared" si="16"/>
        <v>0</v>
      </c>
      <c r="L105" s="20">
        <f t="shared" si="16"/>
        <v>0</v>
      </c>
      <c r="M105" s="20">
        <f t="shared" si="16"/>
        <v>0</v>
      </c>
      <c r="N105" s="20">
        <f t="shared" si="16"/>
        <v>0</v>
      </c>
      <c r="O105" s="20">
        <f t="shared" si="16"/>
        <v>0</v>
      </c>
      <c r="P105" s="20">
        <f t="shared" si="16"/>
        <v>0</v>
      </c>
    </row>
    <row r="106" spans="1:16" s="7" customFormat="1" outlineLevel="1" collapsed="1" x14ac:dyDescent="0.2">
      <c r="B106" s="11" t="s">
        <v>54</v>
      </c>
      <c r="C106" s="23">
        <f t="shared" ref="C106:P106" si="17">C56-C105</f>
        <v>0</v>
      </c>
      <c r="D106" s="23">
        <f t="shared" si="17"/>
        <v>0</v>
      </c>
      <c r="E106" s="23">
        <f t="shared" si="17"/>
        <v>0</v>
      </c>
      <c r="F106" s="23">
        <f t="shared" si="17"/>
        <v>0</v>
      </c>
      <c r="G106" s="23">
        <f t="shared" si="17"/>
        <v>0</v>
      </c>
      <c r="H106" s="23">
        <f t="shared" si="17"/>
        <v>0</v>
      </c>
      <c r="I106" s="23">
        <f t="shared" si="17"/>
        <v>0</v>
      </c>
      <c r="J106" s="23">
        <f t="shared" si="17"/>
        <v>0</v>
      </c>
      <c r="K106" s="23">
        <f t="shared" si="17"/>
        <v>0</v>
      </c>
      <c r="L106" s="23">
        <f t="shared" si="17"/>
        <v>0</v>
      </c>
      <c r="M106" s="23">
        <f t="shared" si="17"/>
        <v>0</v>
      </c>
      <c r="N106" s="23">
        <f t="shared" si="17"/>
        <v>0</v>
      </c>
      <c r="O106" s="23">
        <f t="shared" si="17"/>
        <v>0</v>
      </c>
      <c r="P106" s="23">
        <f t="shared" si="17"/>
        <v>0</v>
      </c>
    </row>
    <row r="107" spans="1:16" s="18" customFormat="1" outlineLevel="1" x14ac:dyDescent="0.2">
      <c r="A107" s="7"/>
      <c r="B107" s="17" t="s">
        <v>64</v>
      </c>
      <c r="C107" s="22">
        <f t="shared" ref="C107:P107" si="18">C42-(C52+C56)</f>
        <v>0</v>
      </c>
      <c r="D107" s="22">
        <f t="shared" si="18"/>
        <v>0</v>
      </c>
      <c r="E107" s="22">
        <f t="shared" si="18"/>
        <v>0</v>
      </c>
      <c r="F107" s="22">
        <f t="shared" si="18"/>
        <v>0</v>
      </c>
      <c r="G107" s="22">
        <f t="shared" si="18"/>
        <v>0</v>
      </c>
      <c r="H107" s="22">
        <f t="shared" si="18"/>
        <v>0</v>
      </c>
      <c r="I107" s="22">
        <f t="shared" si="18"/>
        <v>0</v>
      </c>
      <c r="J107" s="22">
        <f t="shared" si="18"/>
        <v>0</v>
      </c>
      <c r="K107" s="22">
        <f t="shared" si="18"/>
        <v>0</v>
      </c>
      <c r="L107" s="22">
        <f t="shared" si="18"/>
        <v>0</v>
      </c>
      <c r="M107" s="22">
        <f t="shared" si="18"/>
        <v>0</v>
      </c>
      <c r="N107" s="22">
        <f t="shared" si="18"/>
        <v>0</v>
      </c>
      <c r="O107" s="22">
        <f t="shared" si="18"/>
        <v>0</v>
      </c>
      <c r="P107" s="22">
        <f t="shared" si="18"/>
        <v>0</v>
      </c>
    </row>
    <row r="108" spans="1:16" hidden="1" outlineLevel="2" x14ac:dyDescent="0.2">
      <c r="B108" s="9" t="s">
        <v>55</v>
      </c>
      <c r="C108" s="20">
        <f t="shared" ref="C108:P108" si="19">SUM(C60:C71)</f>
        <v>1169</v>
      </c>
      <c r="D108" s="20">
        <f t="shared" si="19"/>
        <v>1694</v>
      </c>
      <c r="E108" s="20">
        <f t="shared" si="19"/>
        <v>2591</v>
      </c>
      <c r="F108" s="20">
        <f t="shared" si="19"/>
        <v>2952</v>
      </c>
      <c r="G108" s="20">
        <f t="shared" si="19"/>
        <v>5260</v>
      </c>
      <c r="H108" s="20">
        <f t="shared" si="19"/>
        <v>4822</v>
      </c>
      <c r="I108" s="20">
        <f t="shared" si="19"/>
        <v>4756</v>
      </c>
      <c r="J108" s="20">
        <f t="shared" si="19"/>
        <v>5428</v>
      </c>
      <c r="K108" s="20">
        <f t="shared" si="19"/>
        <v>5560</v>
      </c>
      <c r="L108" s="20">
        <f t="shared" si="19"/>
        <v>7130</v>
      </c>
      <c r="M108" s="20">
        <f t="shared" si="19"/>
        <v>0</v>
      </c>
      <c r="N108" s="20">
        <f t="shared" si="19"/>
        <v>0</v>
      </c>
      <c r="O108" s="20">
        <f t="shared" si="19"/>
        <v>0</v>
      </c>
      <c r="P108" s="20">
        <f t="shared" si="19"/>
        <v>0</v>
      </c>
    </row>
    <row r="109" spans="1:16" s="7" customFormat="1" outlineLevel="1" collapsed="1" x14ac:dyDescent="0.2">
      <c r="B109" s="11" t="s">
        <v>56</v>
      </c>
      <c r="C109" s="23">
        <f t="shared" ref="C109:P109" si="20">C72-C108</f>
        <v>-1169</v>
      </c>
      <c r="D109" s="23">
        <f t="shared" si="20"/>
        <v>-1694</v>
      </c>
      <c r="E109" s="23">
        <f t="shared" si="20"/>
        <v>-2591</v>
      </c>
      <c r="F109" s="23">
        <f t="shared" si="20"/>
        <v>-2952</v>
      </c>
      <c r="G109" s="23">
        <f t="shared" si="20"/>
        <v>-5260</v>
      </c>
      <c r="H109" s="23">
        <f t="shared" si="20"/>
        <v>-4822</v>
      </c>
      <c r="I109" s="23">
        <f t="shared" si="20"/>
        <v>-4756</v>
      </c>
      <c r="J109" s="23">
        <f t="shared" si="20"/>
        <v>-5428</v>
      </c>
      <c r="K109" s="23">
        <f t="shared" si="20"/>
        <v>-5560</v>
      </c>
      <c r="L109" s="23">
        <f t="shared" si="20"/>
        <v>-7130</v>
      </c>
      <c r="M109" s="23">
        <f t="shared" si="20"/>
        <v>0</v>
      </c>
      <c r="N109" s="23">
        <f t="shared" si="20"/>
        <v>0</v>
      </c>
      <c r="O109" s="23">
        <f t="shared" si="20"/>
        <v>0</v>
      </c>
      <c r="P109" s="23">
        <f t="shared" si="20"/>
        <v>0</v>
      </c>
    </row>
    <row r="110" spans="1:16" hidden="1" outlineLevel="2" x14ac:dyDescent="0.2">
      <c r="B110" s="9" t="s">
        <v>57</v>
      </c>
      <c r="C110" s="20">
        <f t="shared" ref="C110:P110" si="21">SUM(C73:C82)</f>
        <v>0</v>
      </c>
      <c r="D110" s="20">
        <f t="shared" si="21"/>
        <v>0</v>
      </c>
      <c r="E110" s="20">
        <f t="shared" si="21"/>
        <v>0</v>
      </c>
      <c r="F110" s="20">
        <f t="shared" si="21"/>
        <v>0</v>
      </c>
      <c r="G110" s="20">
        <f t="shared" si="21"/>
        <v>0</v>
      </c>
      <c r="H110" s="20">
        <f t="shared" si="21"/>
        <v>0</v>
      </c>
      <c r="I110" s="20">
        <f t="shared" si="21"/>
        <v>0</v>
      </c>
      <c r="J110" s="20">
        <f t="shared" si="21"/>
        <v>0</v>
      </c>
      <c r="K110" s="20">
        <f t="shared" si="21"/>
        <v>0</v>
      </c>
      <c r="L110" s="20">
        <f t="shared" si="21"/>
        <v>0</v>
      </c>
      <c r="M110" s="20">
        <f t="shared" si="21"/>
        <v>0</v>
      </c>
      <c r="N110" s="20">
        <f t="shared" si="21"/>
        <v>0</v>
      </c>
      <c r="O110" s="20">
        <f t="shared" si="21"/>
        <v>0</v>
      </c>
      <c r="P110" s="20">
        <f t="shared" si="21"/>
        <v>0</v>
      </c>
    </row>
    <row r="111" spans="1:16" s="7" customFormat="1" outlineLevel="1" collapsed="1" x14ac:dyDescent="0.2">
      <c r="B111" s="11" t="s">
        <v>58</v>
      </c>
      <c r="C111" s="23">
        <f t="shared" ref="C111" si="22">C83-C110</f>
        <v>0</v>
      </c>
      <c r="D111" s="23">
        <f t="shared" ref="D111:P111" si="23">D83-D110</f>
        <v>0</v>
      </c>
      <c r="E111" s="23">
        <f t="shared" si="23"/>
        <v>0</v>
      </c>
      <c r="F111" s="23">
        <f t="shared" si="23"/>
        <v>0</v>
      </c>
      <c r="G111" s="23">
        <f t="shared" si="23"/>
        <v>0</v>
      </c>
      <c r="H111" s="23">
        <f t="shared" si="23"/>
        <v>0</v>
      </c>
      <c r="I111" s="23">
        <f t="shared" si="23"/>
        <v>0</v>
      </c>
      <c r="J111" s="23">
        <f t="shared" si="23"/>
        <v>0</v>
      </c>
      <c r="K111" s="23">
        <f t="shared" si="23"/>
        <v>0</v>
      </c>
      <c r="L111" s="23">
        <f t="shared" si="23"/>
        <v>0</v>
      </c>
      <c r="M111" s="23">
        <f t="shared" si="23"/>
        <v>0</v>
      </c>
      <c r="N111" s="23">
        <f t="shared" si="23"/>
        <v>0</v>
      </c>
      <c r="O111" s="23">
        <f t="shared" si="23"/>
        <v>0</v>
      </c>
      <c r="P111" s="23">
        <f t="shared" si="23"/>
        <v>0</v>
      </c>
    </row>
    <row r="112" spans="1:16" hidden="1" outlineLevel="2" x14ac:dyDescent="0.2">
      <c r="B112" s="9" t="s">
        <v>59</v>
      </c>
      <c r="C112" s="20">
        <f>SUM(C84:C92)</f>
        <v>0</v>
      </c>
      <c r="D112" s="20">
        <f t="shared" ref="D112:P112" si="24">SUM(D84:D92)</f>
        <v>0</v>
      </c>
      <c r="E112" s="20">
        <f t="shared" si="24"/>
        <v>0</v>
      </c>
      <c r="F112" s="20">
        <f t="shared" si="24"/>
        <v>0</v>
      </c>
      <c r="G112" s="20">
        <f t="shared" si="24"/>
        <v>0</v>
      </c>
      <c r="H112" s="20">
        <f t="shared" si="24"/>
        <v>0</v>
      </c>
      <c r="I112" s="20">
        <f t="shared" si="24"/>
        <v>0</v>
      </c>
      <c r="J112" s="20">
        <f t="shared" si="24"/>
        <v>0</v>
      </c>
      <c r="K112" s="20">
        <f t="shared" si="24"/>
        <v>0</v>
      </c>
      <c r="L112" s="20">
        <f t="shared" si="24"/>
        <v>0</v>
      </c>
      <c r="M112" s="20">
        <f t="shared" si="24"/>
        <v>0</v>
      </c>
      <c r="N112" s="20">
        <f t="shared" si="24"/>
        <v>0</v>
      </c>
      <c r="O112" s="20">
        <f t="shared" si="24"/>
        <v>0</v>
      </c>
      <c r="P112" s="20">
        <f t="shared" si="24"/>
        <v>0</v>
      </c>
    </row>
    <row r="113" spans="1:16" s="7" customFormat="1" outlineLevel="1" collapsed="1" x14ac:dyDescent="0.2">
      <c r="B113" s="11" t="s">
        <v>60</v>
      </c>
      <c r="C113" s="23">
        <f t="shared" ref="C113" si="25">C93-C112</f>
        <v>0</v>
      </c>
      <c r="D113" s="23">
        <f t="shared" ref="D113:P113" si="26">D93-D112</f>
        <v>0</v>
      </c>
      <c r="E113" s="23">
        <f t="shared" si="26"/>
        <v>0</v>
      </c>
      <c r="F113" s="23">
        <f t="shared" si="26"/>
        <v>0</v>
      </c>
      <c r="G113" s="23">
        <f t="shared" si="26"/>
        <v>0</v>
      </c>
      <c r="H113" s="23">
        <f t="shared" si="26"/>
        <v>0</v>
      </c>
      <c r="I113" s="23">
        <f t="shared" si="26"/>
        <v>0</v>
      </c>
      <c r="J113" s="23">
        <f t="shared" si="26"/>
        <v>0</v>
      </c>
      <c r="K113" s="23">
        <f t="shared" si="26"/>
        <v>0</v>
      </c>
      <c r="L113" s="23">
        <f t="shared" si="26"/>
        <v>0</v>
      </c>
      <c r="M113" s="23">
        <f t="shared" si="26"/>
        <v>0</v>
      </c>
      <c r="N113" s="23">
        <f t="shared" si="26"/>
        <v>0</v>
      </c>
      <c r="O113" s="23">
        <f t="shared" si="26"/>
        <v>0</v>
      </c>
      <c r="P113" s="23">
        <f t="shared" si="26"/>
        <v>0</v>
      </c>
    </row>
    <row r="114" spans="1:16" hidden="1" outlineLevel="2" x14ac:dyDescent="0.2">
      <c r="B114" s="9" t="s">
        <v>62</v>
      </c>
      <c r="C114" s="20">
        <f t="shared" ref="C114:P114" si="27">C72+C83+C93+C95</f>
        <v>0</v>
      </c>
      <c r="D114" s="20">
        <f t="shared" si="27"/>
        <v>0</v>
      </c>
      <c r="E114" s="20">
        <f t="shared" si="27"/>
        <v>0</v>
      </c>
      <c r="F114" s="20">
        <f t="shared" si="27"/>
        <v>0</v>
      </c>
      <c r="G114" s="20">
        <f t="shared" si="27"/>
        <v>0</v>
      </c>
      <c r="H114" s="20">
        <f t="shared" si="27"/>
        <v>0</v>
      </c>
      <c r="I114" s="20">
        <f t="shared" si="27"/>
        <v>0</v>
      </c>
      <c r="J114" s="20">
        <f t="shared" si="27"/>
        <v>0</v>
      </c>
      <c r="K114" s="20">
        <f t="shared" si="27"/>
        <v>0</v>
      </c>
      <c r="L114" s="20">
        <f t="shared" si="27"/>
        <v>0</v>
      </c>
      <c r="M114" s="20">
        <f t="shared" si="27"/>
        <v>0</v>
      </c>
      <c r="N114" s="20">
        <f t="shared" si="27"/>
        <v>0</v>
      </c>
      <c r="O114" s="20">
        <f t="shared" si="27"/>
        <v>0</v>
      </c>
      <c r="P114" s="20">
        <f t="shared" si="27"/>
        <v>0</v>
      </c>
    </row>
    <row r="115" spans="1:16" s="18" customFormat="1" outlineLevel="1" collapsed="1" x14ac:dyDescent="0.2">
      <c r="A115" s="7"/>
      <c r="B115" s="17" t="s">
        <v>61</v>
      </c>
      <c r="C115" s="22">
        <f t="shared" ref="C115" si="28">C96-C114</f>
        <v>0</v>
      </c>
      <c r="D115" s="22">
        <f t="shared" ref="D115:P115" si="29">D96-D114</f>
        <v>0</v>
      </c>
      <c r="E115" s="22">
        <f t="shared" si="29"/>
        <v>0</v>
      </c>
      <c r="F115" s="22">
        <f t="shared" si="29"/>
        <v>0</v>
      </c>
      <c r="G115" s="22">
        <f t="shared" si="29"/>
        <v>0</v>
      </c>
      <c r="H115" s="22">
        <f t="shared" si="29"/>
        <v>0</v>
      </c>
      <c r="I115" s="22">
        <f t="shared" si="29"/>
        <v>0</v>
      </c>
      <c r="J115" s="22">
        <f t="shared" si="29"/>
        <v>0</v>
      </c>
      <c r="K115" s="22">
        <f t="shared" si="29"/>
        <v>0</v>
      </c>
      <c r="L115" s="22">
        <f t="shared" si="29"/>
        <v>0</v>
      </c>
      <c r="M115" s="22">
        <f t="shared" si="29"/>
        <v>0</v>
      </c>
      <c r="N115" s="22">
        <f t="shared" si="29"/>
        <v>0</v>
      </c>
      <c r="O115" s="22">
        <f t="shared" si="29"/>
        <v>0</v>
      </c>
      <c r="P115" s="22">
        <f t="shared" si="29"/>
        <v>0</v>
      </c>
    </row>
    <row r="116" spans="1:16" x14ac:dyDescent="0.2">
      <c r="B116" s="8"/>
      <c r="J116" s="8"/>
      <c r="K116" s="8"/>
      <c r="L116" s="8"/>
      <c r="M116" s="8"/>
      <c r="N116" s="8"/>
      <c r="O116" s="8"/>
      <c r="P116" s="8"/>
    </row>
    <row r="117" spans="1:16" s="14" customFormat="1" ht="17" thickBot="1" x14ac:dyDescent="0.25">
      <c r="A117" s="4"/>
      <c r="B117" s="15" t="s">
        <v>63</v>
      </c>
    </row>
    <row r="118" spans="1:16" outlineLevel="1" x14ac:dyDescent="0.2">
      <c r="B118" s="9" t="s">
        <v>4</v>
      </c>
      <c r="C118" s="29"/>
      <c r="D118" s="29"/>
      <c r="E118" s="29"/>
      <c r="F118" s="29"/>
      <c r="G118" s="29"/>
      <c r="H118" s="29"/>
      <c r="I118" s="29"/>
      <c r="J118" s="27"/>
      <c r="K118" s="27"/>
      <c r="L118" s="27"/>
      <c r="M118" s="27"/>
      <c r="N118" s="27"/>
      <c r="O118" s="27"/>
      <c r="P118" s="27"/>
    </row>
    <row r="119" spans="1:16" outlineLevel="1" x14ac:dyDescent="0.2">
      <c r="B119" s="9" t="s">
        <v>238</v>
      </c>
      <c r="C119" s="34">
        <f t="shared" ref="C119:L119" si="30">C118*C130</f>
        <v>0</v>
      </c>
      <c r="D119" s="34">
        <f t="shared" si="30"/>
        <v>0</v>
      </c>
      <c r="E119" s="34">
        <f t="shared" si="30"/>
        <v>0</v>
      </c>
      <c r="F119" s="34">
        <f t="shared" si="30"/>
        <v>0</v>
      </c>
      <c r="G119" s="34">
        <f t="shared" si="30"/>
        <v>0</v>
      </c>
      <c r="H119" s="34">
        <f t="shared" si="30"/>
        <v>0</v>
      </c>
      <c r="I119" s="34">
        <f t="shared" si="30"/>
        <v>0</v>
      </c>
      <c r="J119" s="34">
        <f t="shared" si="30"/>
        <v>0</v>
      </c>
      <c r="K119" s="34">
        <f t="shared" si="30"/>
        <v>0</v>
      </c>
      <c r="L119" s="34">
        <f t="shared" si="30"/>
        <v>0</v>
      </c>
      <c r="M119" s="34"/>
      <c r="N119" s="34"/>
      <c r="O119" s="34"/>
      <c r="P119" s="34"/>
    </row>
    <row r="120" spans="1:16" outlineLevel="1" x14ac:dyDescent="0.2">
      <c r="B120" s="12" t="s">
        <v>71</v>
      </c>
      <c r="C120" s="30"/>
      <c r="D120" s="177"/>
      <c r="E120" s="177"/>
      <c r="F120" s="177"/>
      <c r="G120" s="177"/>
      <c r="H120" s="177"/>
      <c r="I120" s="177"/>
      <c r="J120" s="177"/>
      <c r="K120" s="177"/>
      <c r="L120" s="177"/>
      <c r="M120" s="177"/>
      <c r="N120" s="177"/>
      <c r="O120" s="177"/>
      <c r="P120" s="177"/>
    </row>
    <row r="121" spans="1:16" outlineLevel="1" x14ac:dyDescent="0.2">
      <c r="B121" s="12" t="s">
        <v>239</v>
      </c>
      <c r="C121" s="8">
        <f t="shared" ref="C121:L121" si="31">C120/C130</f>
        <v>0</v>
      </c>
      <c r="D121" s="178">
        <f t="shared" si="31"/>
        <v>0</v>
      </c>
      <c r="E121" s="178">
        <f t="shared" si="31"/>
        <v>0</v>
      </c>
      <c r="F121" s="178">
        <f t="shared" si="31"/>
        <v>0</v>
      </c>
      <c r="G121" s="178">
        <f t="shared" si="31"/>
        <v>0</v>
      </c>
      <c r="H121" s="178">
        <f t="shared" si="31"/>
        <v>0</v>
      </c>
      <c r="I121" s="178">
        <f t="shared" si="31"/>
        <v>0</v>
      </c>
      <c r="J121" s="178">
        <f t="shared" si="31"/>
        <v>0</v>
      </c>
      <c r="K121" s="178">
        <f t="shared" si="31"/>
        <v>0</v>
      </c>
      <c r="L121" s="178">
        <f t="shared" si="31"/>
        <v>0</v>
      </c>
      <c r="M121" s="8"/>
      <c r="N121" s="8"/>
      <c r="O121" s="8"/>
      <c r="P121" s="8"/>
    </row>
    <row r="122" spans="1:16" outlineLevel="1" x14ac:dyDescent="0.2">
      <c r="B122" s="9" t="s">
        <v>86</v>
      </c>
      <c r="C122" s="27"/>
      <c r="D122" s="27"/>
      <c r="E122" s="27"/>
      <c r="F122" s="27"/>
      <c r="G122" s="27"/>
      <c r="H122" s="27"/>
      <c r="I122" s="27"/>
      <c r="J122" s="27"/>
      <c r="K122" s="27"/>
      <c r="L122" s="27"/>
      <c r="M122" s="27"/>
      <c r="N122" s="27"/>
      <c r="O122" s="27"/>
      <c r="P122" s="27"/>
    </row>
    <row r="123" spans="1:16" outlineLevel="1" x14ac:dyDescent="0.2">
      <c r="B123" s="9" t="s">
        <v>87</v>
      </c>
      <c r="C123" s="34"/>
      <c r="D123" s="34"/>
      <c r="E123" s="34"/>
      <c r="F123" s="34"/>
      <c r="G123" s="34"/>
      <c r="H123" s="34"/>
      <c r="I123" s="34"/>
      <c r="J123" s="34"/>
      <c r="K123" s="34"/>
      <c r="L123" s="34"/>
      <c r="M123" s="27"/>
      <c r="N123" s="27"/>
      <c r="O123" s="27"/>
      <c r="P123" s="27"/>
    </row>
    <row r="124" spans="1:16" outlineLevel="1" x14ac:dyDescent="0.2">
      <c r="B124" s="9" t="s">
        <v>93</v>
      </c>
      <c r="C124" s="148">
        <f t="shared" ref="C124:L124" si="32">-(C19)/C18</f>
        <v>0.18536585365853658</v>
      </c>
      <c r="D124" s="148">
        <f t="shared" si="32"/>
        <v>0.20767072029934519</v>
      </c>
      <c r="E124" s="148">
        <f t="shared" si="32"/>
        <v>7.2655690765926983E-2</v>
      </c>
      <c r="F124" s="148">
        <f t="shared" si="32"/>
        <v>7.8939157566302653E-2</v>
      </c>
      <c r="G124" s="148">
        <f t="shared" si="32"/>
        <v>-0.25957854406130271</v>
      </c>
      <c r="H124" s="148">
        <f t="shared" si="32"/>
        <v>0.15477651183172655</v>
      </c>
      <c r="I124" s="148">
        <f t="shared" si="32"/>
        <v>0.20838881491344874</v>
      </c>
      <c r="J124" s="148">
        <f t="shared" si="32"/>
        <v>0.20164730107368731</v>
      </c>
      <c r="K124" s="148">
        <f t="shared" si="32"/>
        <v>0.19780695426345404</v>
      </c>
      <c r="L124" s="148">
        <f t="shared" si="32"/>
        <v>0.18365010304556903</v>
      </c>
      <c r="M124" s="148"/>
      <c r="N124" s="148"/>
      <c r="O124" s="148"/>
      <c r="P124" s="148"/>
    </row>
    <row r="125" spans="1:16" outlineLevel="1" x14ac:dyDescent="0.2">
      <c r="B125" s="9" t="s">
        <v>94</v>
      </c>
      <c r="C125" s="27"/>
      <c r="D125" s="27"/>
      <c r="E125" s="27"/>
      <c r="F125" s="27"/>
      <c r="G125" s="27"/>
      <c r="H125" s="27"/>
      <c r="I125" s="27"/>
      <c r="J125" s="27"/>
      <c r="K125" s="27"/>
      <c r="L125" s="27"/>
      <c r="M125" s="27"/>
      <c r="N125" s="27"/>
      <c r="O125" s="27"/>
      <c r="P125" s="27"/>
    </row>
    <row r="126" spans="1:16" outlineLevel="1" x14ac:dyDescent="0.2">
      <c r="B126" s="9" t="s">
        <v>129</v>
      </c>
      <c r="C126" s="27"/>
      <c r="D126" s="27"/>
      <c r="E126" s="27"/>
      <c r="F126" s="27"/>
      <c r="G126" s="27"/>
      <c r="H126" s="27"/>
      <c r="I126" s="27"/>
      <c r="J126" s="27"/>
      <c r="K126" s="27"/>
      <c r="L126" s="27"/>
      <c r="M126" s="27"/>
      <c r="N126" s="27"/>
      <c r="O126" s="27"/>
      <c r="P126" s="27"/>
    </row>
    <row r="127" spans="1:16" outlineLevel="1" x14ac:dyDescent="0.2">
      <c r="B127" s="9" t="s">
        <v>130</v>
      </c>
      <c r="C127" s="27"/>
      <c r="D127" s="27"/>
      <c r="E127" s="27"/>
      <c r="F127" s="27"/>
      <c r="G127" s="27"/>
      <c r="H127" s="27"/>
      <c r="I127" s="27"/>
      <c r="J127" s="27"/>
      <c r="K127" s="27"/>
      <c r="L127" s="27"/>
      <c r="M127" s="27"/>
      <c r="N127" s="27"/>
      <c r="O127" s="27"/>
      <c r="P127" s="27"/>
    </row>
    <row r="128" spans="1:16" outlineLevel="1" x14ac:dyDescent="0.2">
      <c r="B128" s="9" t="s">
        <v>131</v>
      </c>
      <c r="C128" s="27"/>
      <c r="D128" s="27"/>
      <c r="E128" s="27"/>
      <c r="F128" s="27"/>
      <c r="G128" s="27"/>
      <c r="H128" s="27"/>
      <c r="I128" s="27"/>
      <c r="J128" s="27"/>
      <c r="K128" s="27"/>
      <c r="L128" s="27"/>
      <c r="M128" s="27"/>
      <c r="N128" s="27"/>
      <c r="O128" s="27"/>
      <c r="P128" s="27"/>
    </row>
    <row r="129" spans="1:16" outlineLevel="1" x14ac:dyDescent="0.2">
      <c r="B129" s="9" t="s">
        <v>132</v>
      </c>
      <c r="C129" s="27"/>
      <c r="D129" s="27"/>
      <c r="E129" s="27"/>
      <c r="F129" s="27"/>
      <c r="G129" s="27"/>
      <c r="H129" s="27"/>
      <c r="I129" s="27"/>
      <c r="J129" s="27"/>
      <c r="K129" s="27"/>
      <c r="L129" s="27"/>
      <c r="M129" s="27"/>
      <c r="N129" s="27"/>
      <c r="O129" s="27"/>
      <c r="P129" s="27"/>
    </row>
    <row r="130" spans="1:16" outlineLevel="1" x14ac:dyDescent="0.2">
      <c r="B130" s="9" t="s">
        <v>223</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88</v>
      </c>
    </row>
    <row r="134" spans="1:16" s="18" customFormat="1" outlineLevel="1" x14ac:dyDescent="0.2">
      <c r="A134" s="7"/>
      <c r="B134" s="17" t="s">
        <v>6</v>
      </c>
      <c r="C134" s="81"/>
      <c r="D134" s="76">
        <f t="shared" ref="D134:L134" si="33">IF(C5=0,
IF(D5=0,0,IF(D5&gt;0,1,-1)),
(D5-C5)/ABS(C5)
)</f>
        <v>0.24735223778612914</v>
      </c>
      <c r="E134" s="76">
        <f t="shared" si="33"/>
        <v>0.23664749383730485</v>
      </c>
      <c r="F134" s="76">
        <f t="shared" si="33"/>
        <v>0.23709856035437432</v>
      </c>
      <c r="G134" s="76">
        <f t="shared" si="33"/>
        <v>0.151911198639334</v>
      </c>
      <c r="H134" s="76">
        <f t="shared" si="33"/>
        <v>0.22668635374572582</v>
      </c>
      <c r="I134" s="76">
        <f t="shared" si="33"/>
        <v>0.11536268609439342</v>
      </c>
      <c r="J134" s="76">
        <f t="shared" si="33"/>
        <v>0.10240826990798592</v>
      </c>
      <c r="K134" s="76">
        <f t="shared" si="33"/>
        <v>0.10799113813179453</v>
      </c>
      <c r="L134" s="76">
        <f t="shared" si="33"/>
        <v>0.10527784236224134</v>
      </c>
      <c r="M134" s="76"/>
      <c r="N134" s="76"/>
      <c r="O134" s="76"/>
      <c r="P134" s="76"/>
    </row>
    <row r="135" spans="1:16" outlineLevel="1" x14ac:dyDescent="0.2">
      <c r="B135" s="9" t="s">
        <v>7</v>
      </c>
      <c r="C135" s="80"/>
      <c r="D135" s="75">
        <f t="shared" ref="D135:L135" si="34">IF(C6=0,
IF(D6=0,0,IF(D6&gt;0,1,-1)),
(D6-C6)/ABS(C6)
)</f>
        <v>0.23170731707317074</v>
      </c>
      <c r="E135" s="75">
        <f t="shared" si="34"/>
        <v>0.18316831683168316</v>
      </c>
      <c r="F135" s="75">
        <f t="shared" si="34"/>
        <v>0.4</v>
      </c>
      <c r="G135" s="75">
        <f t="shared" si="34"/>
        <v>2.9288702928870293E-2</v>
      </c>
      <c r="H135" s="75">
        <f t="shared" si="34"/>
        <v>8.3042973286875724E-2</v>
      </c>
      <c r="I135" s="75">
        <f t="shared" si="34"/>
        <v>0.16085790884718498</v>
      </c>
      <c r="J135" s="75">
        <f t="shared" si="34"/>
        <v>8.729792147806005E-2</v>
      </c>
      <c r="K135" s="75">
        <f t="shared" si="34"/>
        <v>1.6992353440951572E-3</v>
      </c>
      <c r="L135" s="75">
        <f t="shared" si="34"/>
        <v>8.1849024597116196E-2</v>
      </c>
      <c r="M135" s="75"/>
      <c r="N135" s="75"/>
      <c r="O135" s="75"/>
      <c r="P135" s="75"/>
    </row>
    <row r="136" spans="1:16" s="18" customFormat="1" outlineLevel="1" x14ac:dyDescent="0.2">
      <c r="A136" s="7"/>
      <c r="B136" s="17" t="s">
        <v>8</v>
      </c>
      <c r="C136" s="81"/>
      <c r="D136" s="76">
        <f t="shared" ref="D136:L136" si="35">IF(C7=0,
IF(D7=0,0,IF(D7&gt;0,1,-1)),
(D7-C7)/ABS(C7)
)</f>
        <v>0.24990067540723082</v>
      </c>
      <c r="E136" s="76">
        <f t="shared" si="35"/>
        <v>0.24523204068658613</v>
      </c>
      <c r="F136" s="76">
        <f t="shared" si="35"/>
        <v>0.21225271218889599</v>
      </c>
      <c r="G136" s="76">
        <f t="shared" si="35"/>
        <v>0.17351021267635292</v>
      </c>
      <c r="H136" s="76">
        <f t="shared" si="35"/>
        <v>0.24887852144267</v>
      </c>
      <c r="I136" s="76">
        <f t="shared" si="35"/>
        <v>0.10926724137931035</v>
      </c>
      <c r="J136" s="76">
        <f t="shared" si="35"/>
        <v>0.10452690887895862</v>
      </c>
      <c r="K136" s="76">
        <f t="shared" si="35"/>
        <v>0.122661975960129</v>
      </c>
      <c r="L136" s="76">
        <f t="shared" si="35"/>
        <v>0.10816315871938163</v>
      </c>
      <c r="M136" s="76"/>
      <c r="N136" s="76"/>
      <c r="O136" s="76"/>
      <c r="P136" s="76"/>
    </row>
    <row r="137" spans="1:16" outlineLevel="1" x14ac:dyDescent="0.2">
      <c r="B137" s="9" t="s">
        <v>9</v>
      </c>
      <c r="C137" s="80"/>
      <c r="D137" s="75">
        <f t="shared" ref="D137:L137" si="36">IF(C8=0,
IF(D8=0,0,IF(D8&gt;0,1,-1)),
(D8-C8)/ABS(C8)
)</f>
        <v>0.25409836065573771</v>
      </c>
      <c r="E137" s="75">
        <f t="shared" si="36"/>
        <v>0.25653594771241828</v>
      </c>
      <c r="F137" s="75">
        <f t="shared" si="36"/>
        <v>0.25487646293888166</v>
      </c>
      <c r="G137" s="75">
        <f t="shared" si="36"/>
        <v>0.13367875647668392</v>
      </c>
      <c r="H137" s="75">
        <f t="shared" si="36"/>
        <v>0.16087751371115175</v>
      </c>
      <c r="I137" s="75">
        <f t="shared" si="36"/>
        <v>0.17598425196850392</v>
      </c>
      <c r="J137" s="75">
        <f t="shared" si="36"/>
        <v>0.16270505523937059</v>
      </c>
      <c r="K137" s="75">
        <f t="shared" si="36"/>
        <v>0.13561762165274979</v>
      </c>
      <c r="L137" s="75">
        <f t="shared" si="36"/>
        <v>8.8742393509127784E-2</v>
      </c>
      <c r="M137" s="75"/>
      <c r="N137" s="75"/>
      <c r="O137" s="75"/>
      <c r="P137" s="75"/>
    </row>
    <row r="138" spans="1:16" outlineLevel="1" x14ac:dyDescent="0.2">
      <c r="B138" s="12" t="s">
        <v>10</v>
      </c>
      <c r="C138" s="80"/>
      <c r="D138" s="75">
        <f t="shared" ref="D138:L138" si="37">IF(C10=0,
IF(D10=0,0,IF(D10&gt;0,1,-1)),
(D10-C10)/ABS(C10)
)</f>
        <v>8.1314878892733561E-2</v>
      </c>
      <c r="E138" s="75">
        <f t="shared" si="37"/>
        <v>0.192</v>
      </c>
      <c r="F138" s="75">
        <f t="shared" si="37"/>
        <v>0.18255033557046979</v>
      </c>
      <c r="G138" s="75">
        <f t="shared" si="37"/>
        <v>9.8751418842224742E-2</v>
      </c>
      <c r="H138" s="75">
        <f t="shared" si="37"/>
        <v>0.12086776859504132</v>
      </c>
      <c r="I138" s="75">
        <f t="shared" si="37"/>
        <v>0.12350230414746544</v>
      </c>
      <c r="J138" s="75">
        <f t="shared" si="37"/>
        <v>0.15914684167350288</v>
      </c>
      <c r="K138" s="75">
        <f t="shared" si="37"/>
        <v>8.209483368719038E-2</v>
      </c>
      <c r="L138" s="75">
        <f t="shared" si="37"/>
        <v>2.8776978417266189E-2</v>
      </c>
      <c r="M138" s="75"/>
      <c r="N138" s="75"/>
      <c r="O138" s="75"/>
      <c r="P138" s="75"/>
    </row>
    <row r="139" spans="1:16" outlineLevel="1" x14ac:dyDescent="0.2">
      <c r="B139" s="12" t="s">
        <v>11</v>
      </c>
      <c r="C139" s="80"/>
      <c r="D139" s="75">
        <f t="shared" ref="D139:L139" si="38">IF(C13=0,
IF(D13=0,0,IF(D13&gt;0,1,-1)),
(D13-C13)/ABS(C13)
)</f>
        <v>0.16464275628353572</v>
      </c>
      <c r="E139" s="75">
        <f t="shared" si="38"/>
        <v>0.2112027158098933</v>
      </c>
      <c r="F139" s="75">
        <f t="shared" si="38"/>
        <v>0.24724724724724725</v>
      </c>
      <c r="G139" s="75">
        <f t="shared" si="38"/>
        <v>0.10898876404494381</v>
      </c>
      <c r="H139" s="75">
        <f t="shared" si="38"/>
        <v>0.17498914459400783</v>
      </c>
      <c r="I139" s="75">
        <f t="shared" si="38"/>
        <v>0.15089923626508991</v>
      </c>
      <c r="J139" s="75">
        <f t="shared" si="38"/>
        <v>0.11366798672803168</v>
      </c>
      <c r="K139" s="75">
        <f t="shared" si="38"/>
        <v>0.19231138875540604</v>
      </c>
      <c r="L139" s="75">
        <f t="shared" si="38"/>
        <v>8.5442527809124619E-3</v>
      </c>
      <c r="M139" s="75"/>
      <c r="N139" s="75"/>
      <c r="O139" s="75"/>
      <c r="P139" s="75"/>
    </row>
    <row r="140" spans="1:16" s="18" customFormat="1" outlineLevel="1" x14ac:dyDescent="0.2">
      <c r="A140" s="7"/>
      <c r="B140" s="17" t="s">
        <v>12</v>
      </c>
      <c r="C140" s="81"/>
      <c r="D140" s="76">
        <f t="shared" ref="D140:L140" si="39">IF(C14=0,
IF(D14=0,0,IF(D14&gt;0,1,-1)),
(D14-C14)/ABS(C14)
)</f>
        <v>0.45113788487282463</v>
      </c>
      <c r="E140" s="76">
        <f t="shared" si="39"/>
        <v>0.30996309963099633</v>
      </c>
      <c r="F140" s="76">
        <f t="shared" si="39"/>
        <v>0.15070422535211267</v>
      </c>
      <c r="G140" s="76">
        <f t="shared" si="39"/>
        <v>0.29651162790697677</v>
      </c>
      <c r="H140" s="76">
        <f t="shared" si="39"/>
        <v>0.36936511682794432</v>
      </c>
      <c r="I140" s="76">
        <f t="shared" si="39"/>
        <v>5.1016890727335402E-2</v>
      </c>
      <c r="J140" s="76">
        <f t="shared" si="39"/>
        <v>9.0521482453263372E-2</v>
      </c>
      <c r="K140" s="76">
        <f t="shared" si="39"/>
        <v>1.368421052631579E-2</v>
      </c>
      <c r="L140" s="76">
        <f t="shared" si="39"/>
        <v>0.29149977748108591</v>
      </c>
      <c r="M140" s="76"/>
      <c r="N140" s="76"/>
      <c r="O140" s="76"/>
      <c r="P140" s="76"/>
    </row>
    <row r="141" spans="1:16" s="77" customFormat="1" outlineLevel="1" x14ac:dyDescent="0.2">
      <c r="A141" s="7"/>
      <c r="B141" s="78" t="s">
        <v>13</v>
      </c>
      <c r="C141" s="81"/>
      <c r="D141" s="79">
        <f t="shared" ref="D141:L141" si="40">IF(C18=0,
IF(D18=0,0,IF(D18&gt;0,1,-1)),
(D18-C18)/ABS(C18)
)</f>
        <v>0.48989547038327524</v>
      </c>
      <c r="E141" s="79">
        <f t="shared" si="40"/>
        <v>0.30682881197380729</v>
      </c>
      <c r="F141" s="79">
        <f t="shared" si="40"/>
        <v>0.1471009305654975</v>
      </c>
      <c r="G141" s="79">
        <f t="shared" si="40"/>
        <v>0.30296411856474259</v>
      </c>
      <c r="H141" s="79">
        <f t="shared" si="40"/>
        <v>0.36613984674329503</v>
      </c>
      <c r="I141" s="79">
        <f t="shared" si="40"/>
        <v>5.3111305872042068E-2</v>
      </c>
      <c r="J141" s="79">
        <f t="shared" si="40"/>
        <v>0.13165778961384819</v>
      </c>
      <c r="K141" s="79">
        <f t="shared" si="40"/>
        <v>1.9414619797028975E-2</v>
      </c>
      <c r="L141" s="79">
        <f t="shared" si="40"/>
        <v>0.26013562256528638</v>
      </c>
      <c r="M141" s="79"/>
      <c r="N141" s="79"/>
      <c r="O141" s="79"/>
      <c r="P141" s="79"/>
    </row>
    <row r="142" spans="1:16" s="77" customFormat="1" outlineLevel="1" x14ac:dyDescent="0.2">
      <c r="A142" s="7"/>
      <c r="B142" s="78" t="s">
        <v>14</v>
      </c>
      <c r="C142" s="81"/>
      <c r="D142" s="79">
        <f t="shared" ref="D142:L142" si="41">IF(C20=0,
IF(D20=0,0,IF(D20&gt;0,1,-1)),
(D20-C20)/ABS(C20)
)</f>
        <v>0.44910179640718562</v>
      </c>
      <c r="E142" s="79">
        <f t="shared" si="41"/>
        <v>0.52951593860684765</v>
      </c>
      <c r="F142" s="79">
        <f t="shared" si="41"/>
        <v>0.13932844461597838</v>
      </c>
      <c r="G142" s="79">
        <f t="shared" si="41"/>
        <v>0.78184281842818426</v>
      </c>
      <c r="H142" s="79">
        <f t="shared" si="41"/>
        <v>-8.3269961977186308E-2</v>
      </c>
      <c r="I142" s="79">
        <f t="shared" si="41"/>
        <v>-1.3687266694317711E-2</v>
      </c>
      <c r="J142" s="79">
        <f t="shared" si="41"/>
        <v>0.14129520605550883</v>
      </c>
      <c r="K142" s="79">
        <f t="shared" si="41"/>
        <v>2.4318349299926309E-2</v>
      </c>
      <c r="L142" s="79">
        <f t="shared" si="41"/>
        <v>0.28237410071942448</v>
      </c>
      <c r="M142" s="79"/>
      <c r="N142" s="79"/>
      <c r="O142" s="79"/>
      <c r="P142" s="79"/>
    </row>
    <row r="143" spans="1:16" x14ac:dyDescent="0.2">
      <c r="B143" s="1"/>
    </row>
    <row r="144" spans="1:16" s="14" customFormat="1" ht="17" thickBot="1" x14ac:dyDescent="0.25">
      <c r="A144" s="4"/>
      <c r="B144" s="15" t="s">
        <v>89</v>
      </c>
    </row>
    <row r="145" spans="1:16" outlineLevel="1" x14ac:dyDescent="0.2">
      <c r="B145" s="9" t="s">
        <v>90</v>
      </c>
      <c r="C145" s="75">
        <f t="shared" ref="C145:L145" si="42">C7/C5</f>
        <v>0.85992483771779982</v>
      </c>
      <c r="D145" s="75">
        <f t="shared" si="42"/>
        <v>0.86168173103259382</v>
      </c>
      <c r="E145" s="75">
        <f t="shared" si="42"/>
        <v>0.86766334440753046</v>
      </c>
      <c r="F145" s="75">
        <f t="shared" si="42"/>
        <v>0.85023722137677915</v>
      </c>
      <c r="G145" s="75">
        <f t="shared" si="42"/>
        <v>0.86617967050046629</v>
      </c>
      <c r="H145" s="75">
        <f t="shared" si="42"/>
        <v>0.88184985745961353</v>
      </c>
      <c r="I145" s="75">
        <f t="shared" si="42"/>
        <v>0.87703055776439853</v>
      </c>
      <c r="J145" s="75">
        <f t="shared" si="42"/>
        <v>0.87871605955999799</v>
      </c>
      <c r="K145" s="75">
        <f t="shared" si="42"/>
        <v>0.89035108114392003</v>
      </c>
      <c r="L145" s="75">
        <f t="shared" si="42"/>
        <v>0.89267533341747651</v>
      </c>
      <c r="M145" s="75"/>
      <c r="N145" s="75"/>
      <c r="O145" s="75"/>
      <c r="P145" s="75"/>
    </row>
    <row r="146" spans="1:16" outlineLevel="1" x14ac:dyDescent="0.2">
      <c r="B146" s="9" t="s">
        <v>91</v>
      </c>
      <c r="C146" s="75">
        <f t="shared" ref="C146:L146" si="43">C14/C5</f>
        <v>0.25521011274342331</v>
      </c>
      <c r="D146" s="75">
        <f t="shared" si="43"/>
        <v>0.29690495754587787</v>
      </c>
      <c r="E146" s="75">
        <f t="shared" si="43"/>
        <v>0.31450719822812845</v>
      </c>
      <c r="F146" s="75">
        <f t="shared" si="43"/>
        <v>0.29254319219407393</v>
      </c>
      <c r="G146" s="75">
        <f t="shared" si="43"/>
        <v>0.32926639726453216</v>
      </c>
      <c r="H146" s="75">
        <f t="shared" si="43"/>
        <v>0.36756414317389929</v>
      </c>
      <c r="I146" s="75">
        <f t="shared" si="43"/>
        <v>0.34635919572872886</v>
      </c>
      <c r="J146" s="75">
        <f t="shared" si="43"/>
        <v>0.3426245556185275</v>
      </c>
      <c r="K146" s="75">
        <f t="shared" si="43"/>
        <v>0.31346198558474775</v>
      </c>
      <c r="L146" s="75">
        <f t="shared" si="43"/>
        <v>0.36627540073204595</v>
      </c>
      <c r="M146" s="75"/>
      <c r="N146" s="75"/>
      <c r="O146" s="75"/>
      <c r="P146" s="75"/>
    </row>
    <row r="147" spans="1:16" s="84" customFormat="1" outlineLevel="1" x14ac:dyDescent="0.2">
      <c r="A147" s="1"/>
      <c r="B147" s="82" t="s">
        <v>92</v>
      </c>
      <c r="C147" s="83">
        <f t="shared" ref="C147:L147" si="44">C20/C5</f>
        <v>0.19969251793645371</v>
      </c>
      <c r="D147" s="83">
        <f t="shared" si="44"/>
        <v>0.23199123527800602</v>
      </c>
      <c r="E147" s="83">
        <f t="shared" si="44"/>
        <v>0.28693244739756368</v>
      </c>
      <c r="F147" s="83">
        <f t="shared" si="44"/>
        <v>0.26425566198191747</v>
      </c>
      <c r="G147" s="83">
        <f t="shared" si="44"/>
        <v>0.40876593099160707</v>
      </c>
      <c r="H147" s="83">
        <f t="shared" si="44"/>
        <v>0.30547988596769082</v>
      </c>
      <c r="I147" s="83">
        <f t="shared" si="44"/>
        <v>0.27013518118823127</v>
      </c>
      <c r="J147" s="83">
        <f t="shared" si="44"/>
        <v>0.27966407336802512</v>
      </c>
      <c r="K147" s="83">
        <f t="shared" si="44"/>
        <v>0.25854452452917925</v>
      </c>
      <c r="L147" s="83">
        <f t="shared" si="44"/>
        <v>0.29997054987588878</v>
      </c>
      <c r="M147" s="83"/>
      <c r="N147" s="83"/>
      <c r="O147" s="83"/>
      <c r="P147" s="83"/>
    </row>
    <row r="148" spans="1:16" x14ac:dyDescent="0.2">
      <c r="B148" s="1"/>
    </row>
    <row r="149" spans="1:16" s="14" customFormat="1" ht="17" thickBot="1" x14ac:dyDescent="0.25">
      <c r="A149" s="4"/>
      <c r="B149" s="15" t="s">
        <v>102</v>
      </c>
    </row>
    <row r="150" spans="1:16" outlineLevel="1" x14ac:dyDescent="0.2">
      <c r="C150" s="34"/>
      <c r="D150" s="34"/>
      <c r="E150" s="34"/>
      <c r="F150" s="34"/>
      <c r="G150" s="34"/>
      <c r="H150" s="34"/>
      <c r="I150" s="34"/>
      <c r="J150" s="34"/>
      <c r="K150" s="34"/>
      <c r="L150" s="27"/>
      <c r="M150" s="27"/>
      <c r="N150" s="27"/>
    </row>
    <row r="151" spans="1:16" x14ac:dyDescent="0.2">
      <c r="B151" s="1"/>
    </row>
    <row r="152" spans="1:16" s="14" customFormat="1" ht="17" thickBot="1" x14ac:dyDescent="0.25">
      <c r="A152" s="4"/>
      <c r="B152" s="15" t="s">
        <v>101</v>
      </c>
    </row>
    <row r="153" spans="1:16" outlineLevel="1" x14ac:dyDescent="0.2">
      <c r="B153" s="9" t="s">
        <v>306</v>
      </c>
      <c r="C153" s="27"/>
      <c r="D153" s="27"/>
      <c r="E153" s="27"/>
      <c r="F153" s="27"/>
      <c r="G153" s="27"/>
      <c r="H153" s="27"/>
      <c r="I153" s="27"/>
      <c r="J153" s="27"/>
      <c r="K153" s="27"/>
      <c r="L153" s="27"/>
      <c r="M153" s="27"/>
    </row>
    <row r="154" spans="1:16" outlineLevel="1" x14ac:dyDescent="0.2">
      <c r="B154" s="9" t="s">
        <v>307</v>
      </c>
      <c r="C154" s="27"/>
      <c r="D154" s="27"/>
      <c r="E154" s="27"/>
      <c r="F154" s="27"/>
      <c r="G154" s="27"/>
      <c r="H154" s="27"/>
      <c r="I154" s="27"/>
      <c r="J154" s="27"/>
      <c r="K154" s="27"/>
      <c r="L154" s="27"/>
      <c r="M154" s="27"/>
    </row>
    <row r="155" spans="1:16" outlineLevel="1" x14ac:dyDescent="0.2">
      <c r="B155" s="9" t="s">
        <v>308</v>
      </c>
      <c r="C155" s="27"/>
      <c r="D155" s="27"/>
      <c r="E155" s="27"/>
      <c r="F155" s="27"/>
      <c r="G155" s="27"/>
      <c r="H155" s="27"/>
      <c r="I155" s="27"/>
      <c r="J155" s="27"/>
      <c r="K155" s="27"/>
      <c r="L155" s="27"/>
      <c r="M155" s="27"/>
    </row>
    <row r="156" spans="1:16" outlineLevel="1" x14ac:dyDescent="0.2">
      <c r="C156" s="27"/>
      <c r="D156" s="27"/>
      <c r="E156" s="27"/>
      <c r="F156" s="27"/>
      <c r="G156" s="27"/>
      <c r="H156" s="27"/>
      <c r="I156" s="27"/>
      <c r="J156" s="27"/>
      <c r="K156" s="27"/>
      <c r="L156" s="27"/>
      <c r="M156" s="27"/>
    </row>
    <row r="157" spans="1:16" outlineLevel="1" x14ac:dyDescent="0.2">
      <c r="B157" s="9" t="s">
        <v>309</v>
      </c>
      <c r="C157" s="27"/>
      <c r="D157" s="27"/>
      <c r="E157" s="27"/>
      <c r="F157" s="27"/>
      <c r="G157" s="27"/>
      <c r="H157" s="27"/>
      <c r="I157" s="27"/>
      <c r="J157" s="27"/>
      <c r="K157" s="27"/>
      <c r="L157" s="27"/>
      <c r="M157" s="27"/>
    </row>
    <row r="158" spans="1:16" outlineLevel="1" x14ac:dyDescent="0.2">
      <c r="B158" s="9" t="s">
        <v>310</v>
      </c>
      <c r="C158" s="27"/>
      <c r="D158" s="27"/>
      <c r="E158" s="27"/>
      <c r="F158" s="27"/>
      <c r="G158" s="27"/>
      <c r="H158" s="27"/>
      <c r="I158" s="27"/>
      <c r="J158" s="27"/>
      <c r="K158" s="27"/>
      <c r="L158" s="27"/>
      <c r="M158" s="27"/>
    </row>
    <row r="159" spans="1:16" outlineLevel="1" x14ac:dyDescent="0.2">
      <c r="B159" s="9" t="s">
        <v>311</v>
      </c>
      <c r="C159" s="27"/>
      <c r="D159" s="27"/>
      <c r="E159" s="27"/>
      <c r="F159" s="27"/>
      <c r="G159" s="27"/>
      <c r="H159" s="27"/>
      <c r="I159" s="27"/>
      <c r="J159" s="27"/>
      <c r="K159" s="27"/>
      <c r="L159" s="27"/>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103</v>
      </c>
    </row>
    <row r="163" spans="1:15" outlineLevel="1" x14ac:dyDescent="0.2">
      <c r="C163" s="88"/>
      <c r="D163" s="88"/>
      <c r="E163" s="88"/>
      <c r="F163" s="88"/>
      <c r="G163" s="88"/>
      <c r="H163" s="88"/>
      <c r="I163" s="88"/>
      <c r="J163" s="88"/>
      <c r="K163" s="88"/>
    </row>
    <row r="164" spans="1:15" x14ac:dyDescent="0.2">
      <c r="B164" s="1"/>
    </row>
    <row r="165" spans="1:15" s="14" customFormat="1" ht="17" thickBot="1" x14ac:dyDescent="0.25">
      <c r="A165" s="4"/>
      <c r="B165" s="15" t="s">
        <v>270</v>
      </c>
    </row>
    <row r="166" spans="1:15" x14ac:dyDescent="0.2">
      <c r="B166" s="9" t="s">
        <v>271</v>
      </c>
      <c r="C166" s="31"/>
      <c r="D166" s="31"/>
      <c r="E166" s="31"/>
      <c r="F166" s="31"/>
      <c r="G166" s="31"/>
      <c r="H166" s="31"/>
      <c r="I166" s="31"/>
      <c r="J166" s="31"/>
      <c r="K166" s="31"/>
      <c r="L166" s="31"/>
      <c r="M166" s="31"/>
      <c r="N166" s="31"/>
      <c r="O166" s="31"/>
    </row>
  </sheetData>
  <pageMargins left="0.7" right="0.7" top="0.75" bottom="0.75" header="0.3" footer="0.3"/>
  <ignoredErrors>
    <ignoredError sqref="K41:L41 K51:L51 I41:J41"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34"/>
  <sheetViews>
    <sheetView tabSelected="1" zoomScale="150" workbookViewId="0">
      <pane xSplit="2" ySplit="3" topLeftCell="C118" activePane="bottomRight" state="frozen"/>
      <selection pane="topRight" activeCell="C1" sqref="C1"/>
      <selection pane="bottomLeft" activeCell="A4" sqref="A4"/>
      <selection pane="bottomRight" activeCell="J117" sqref="J117"/>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333</v>
      </c>
      <c r="D2" s="3" t="s">
        <v>331</v>
      </c>
      <c r="E2" s="3" t="s">
        <v>326</v>
      </c>
      <c r="F2" s="3" t="s">
        <v>329</v>
      </c>
      <c r="G2" s="3" t="s">
        <v>332</v>
      </c>
      <c r="H2" s="3" t="s">
        <v>330</v>
      </c>
      <c r="I2" s="37" t="s">
        <v>325</v>
      </c>
      <c r="J2" s="37" t="s">
        <v>328</v>
      </c>
      <c r="K2" s="2"/>
      <c r="L2" s="2"/>
      <c r="M2" s="2"/>
      <c r="N2" s="42"/>
      <c r="O2" s="2"/>
      <c r="P2" s="44"/>
      <c r="Q2" s="45"/>
      <c r="R2" s="46"/>
      <c r="S2" s="2"/>
    </row>
    <row r="3" spans="1:19" s="5" customFormat="1" x14ac:dyDescent="0.2">
      <c r="A3" s="4"/>
      <c r="B3" s="62" t="s">
        <v>65</v>
      </c>
      <c r="C3" s="3" t="s">
        <v>67</v>
      </c>
      <c r="D3" s="3" t="s">
        <v>68</v>
      </c>
      <c r="E3" s="3" t="s">
        <v>73</v>
      </c>
      <c r="F3" s="3" t="s">
        <v>66</v>
      </c>
      <c r="G3" s="3" t="s">
        <v>69</v>
      </c>
      <c r="H3" s="3" t="s">
        <v>70</v>
      </c>
      <c r="I3" s="37" t="s">
        <v>153</v>
      </c>
      <c r="J3" s="37" t="s">
        <v>263</v>
      </c>
      <c r="K3" s="4"/>
      <c r="L3" s="4"/>
      <c r="M3" s="4"/>
      <c r="N3" s="43"/>
      <c r="O3" s="4"/>
      <c r="P3" s="47" t="str">
        <f>I3</f>
        <v>Q4 2025</v>
      </c>
      <c r="Q3" s="5" t="str">
        <f>J3</f>
        <v>Q1 2026</v>
      </c>
      <c r="R3" s="48" t="s">
        <v>77</v>
      </c>
      <c r="S3" s="4"/>
    </row>
    <row r="4" spans="1:19" s="14" customFormat="1" ht="17" thickBot="1" x14ac:dyDescent="0.25">
      <c r="A4" s="4"/>
      <c r="B4" s="15" t="s">
        <v>5</v>
      </c>
      <c r="K4" s="4"/>
      <c r="L4" s="4"/>
      <c r="M4" s="4"/>
      <c r="N4" s="38" t="s">
        <v>75</v>
      </c>
      <c r="O4" s="4"/>
      <c r="P4" s="193" t="s">
        <v>76</v>
      </c>
      <c r="Q4" s="194"/>
      <c r="R4" s="195"/>
      <c r="S4" s="4"/>
    </row>
    <row r="5" spans="1:19" s="18" customFormat="1" outlineLevel="1" x14ac:dyDescent="0.2">
      <c r="A5" s="7"/>
      <c r="B5" s="17" t="s">
        <v>6</v>
      </c>
      <c r="C5" s="51">
        <v>5309</v>
      </c>
      <c r="D5" s="51">
        <v>5408</v>
      </c>
      <c r="E5" s="51">
        <v>5606</v>
      </c>
      <c r="F5" s="51">
        <v>5714</v>
      </c>
      <c r="G5" s="51">
        <v>5873</v>
      </c>
      <c r="H5" s="51">
        <v>5988</v>
      </c>
      <c r="I5" s="51">
        <v>6194</v>
      </c>
      <c r="J5" s="51">
        <v>6398</v>
      </c>
      <c r="K5" s="21"/>
      <c r="L5" s="21"/>
      <c r="M5" s="21"/>
      <c r="N5" s="59">
        <f t="shared" ref="N5:N20" si="0">SUM(G5:J5)</f>
        <v>24453</v>
      </c>
      <c r="O5" s="7"/>
      <c r="P5" s="69">
        <f t="shared" ref="P5:P24" si="1">I5</f>
        <v>6194</v>
      </c>
      <c r="Q5" s="54">
        <f t="shared" ref="Q5:Q24" si="2">J5</f>
        <v>6398</v>
      </c>
      <c r="R5" s="66">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9">
        <f>SUM(G6:J6)</f>
        <v>2593</v>
      </c>
      <c r="P6" s="49">
        <f t="shared" si="1"/>
        <v>649</v>
      </c>
      <c r="Q6" s="20">
        <f t="shared" si="2"/>
        <v>664</v>
      </c>
      <c r="R6" s="50">
        <f t="shared" si="3"/>
        <v>2.3112480739599383E-2</v>
      </c>
    </row>
    <row r="7" spans="1:19" s="18" customFormat="1" outlineLevel="1" x14ac:dyDescent="0.2">
      <c r="A7" s="7"/>
      <c r="B7" s="17" t="s">
        <v>8</v>
      </c>
      <c r="C7" s="54">
        <f t="shared" ref="C7" si="4">C5-C6</f>
        <v>4711</v>
      </c>
      <c r="D7" s="54">
        <f>D5-D6</f>
        <v>4854</v>
      </c>
      <c r="E7" s="54">
        <f t="shared" ref="E7:I7" si="5">E5-E6</f>
        <v>4990</v>
      </c>
      <c r="F7" s="54">
        <f t="shared" si="5"/>
        <v>5092</v>
      </c>
      <c r="G7" s="54">
        <f t="shared" si="5"/>
        <v>5235</v>
      </c>
      <c r="H7" s="54">
        <f t="shared" si="5"/>
        <v>5346</v>
      </c>
      <c r="I7" s="54">
        <f t="shared" si="5"/>
        <v>5545</v>
      </c>
      <c r="J7" s="54">
        <f t="shared" ref="J7" si="6">J5-J6</f>
        <v>5734</v>
      </c>
      <c r="K7" s="21"/>
      <c r="L7" s="21"/>
      <c r="M7" s="21"/>
      <c r="N7" s="59">
        <f t="shared" si="0"/>
        <v>21860</v>
      </c>
      <c r="O7" s="7"/>
      <c r="P7" s="69">
        <f t="shared" si="1"/>
        <v>5545</v>
      </c>
      <c r="Q7" s="54">
        <f t="shared" si="2"/>
        <v>5734</v>
      </c>
      <c r="R7" s="66">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9">
        <f t="shared" si="0"/>
        <v>4378</v>
      </c>
      <c r="P8" s="49">
        <f t="shared" si="1"/>
        <v>1098</v>
      </c>
      <c r="Q8" s="20">
        <f t="shared" si="2"/>
        <v>1110</v>
      </c>
      <c r="R8" s="50">
        <f t="shared" si="3"/>
        <v>1.092896174863388E-2</v>
      </c>
    </row>
    <row r="9" spans="1:19" s="8" customFormat="1" outlineLevel="1" x14ac:dyDescent="0.2">
      <c r="B9" s="9" t="s">
        <v>312</v>
      </c>
      <c r="C9" s="27">
        <v>1445</v>
      </c>
      <c r="D9" s="27">
        <v>1431</v>
      </c>
      <c r="E9" s="27">
        <v>1536</v>
      </c>
      <c r="F9" s="27">
        <v>1495</v>
      </c>
      <c r="G9" s="27">
        <v>1626</v>
      </c>
      <c r="H9" s="27">
        <v>1639</v>
      </c>
      <c r="I9" s="27">
        <v>1728</v>
      </c>
      <c r="J9" s="27">
        <v>1708</v>
      </c>
      <c r="K9" s="20"/>
      <c r="L9" s="20"/>
      <c r="M9" s="20"/>
      <c r="N9" s="39">
        <f t="shared" si="0"/>
        <v>6701</v>
      </c>
      <c r="P9" s="70">
        <f t="shared" si="1"/>
        <v>1728</v>
      </c>
      <c r="Q9" s="34">
        <f t="shared" si="2"/>
        <v>1708</v>
      </c>
      <c r="R9" s="67">
        <f t="shared" si="3"/>
        <v>-1.1574074074074073E-2</v>
      </c>
    </row>
    <row r="10" spans="1:19" s="8" customFormat="1" outlineLevel="1" x14ac:dyDescent="0.2">
      <c r="B10" s="12" t="s">
        <v>313</v>
      </c>
      <c r="C10" s="27">
        <v>355</v>
      </c>
      <c r="D10" s="27">
        <v>366</v>
      </c>
      <c r="E10" s="27">
        <v>456</v>
      </c>
      <c r="F10" s="27">
        <v>367</v>
      </c>
      <c r="G10" s="27">
        <v>377</v>
      </c>
      <c r="H10" s="27">
        <v>408</v>
      </c>
      <c r="I10" s="27">
        <v>421</v>
      </c>
      <c r="J10" s="27">
        <v>463</v>
      </c>
      <c r="K10" s="20"/>
      <c r="L10" s="20"/>
      <c r="M10" s="20"/>
      <c r="N10" s="39">
        <f t="shared" si="0"/>
        <v>1669</v>
      </c>
      <c r="P10" s="70">
        <f t="shared" si="1"/>
        <v>421</v>
      </c>
      <c r="Q10" s="34">
        <f t="shared" si="2"/>
        <v>463</v>
      </c>
      <c r="R10" s="67">
        <f t="shared" si="3"/>
        <v>9.9762470308788598E-2</v>
      </c>
    </row>
    <row r="11" spans="1:19" s="8" customFormat="1" outlineLevel="1" x14ac:dyDescent="0.2">
      <c r="B11" s="12" t="s">
        <v>314</v>
      </c>
      <c r="C11" s="27">
        <v>0</v>
      </c>
      <c r="D11" s="27">
        <v>0</v>
      </c>
      <c r="E11" s="27">
        <v>0</v>
      </c>
      <c r="F11" s="27">
        <v>0</v>
      </c>
      <c r="G11" s="27">
        <v>0</v>
      </c>
      <c r="H11" s="27">
        <v>0</v>
      </c>
      <c r="I11" s="27">
        <v>0</v>
      </c>
      <c r="J11" s="27">
        <v>0</v>
      </c>
      <c r="K11" s="20"/>
      <c r="L11" s="20"/>
      <c r="M11" s="20"/>
      <c r="N11" s="39">
        <f t="shared" si="0"/>
        <v>0</v>
      </c>
      <c r="P11" s="70">
        <f t="shared" si="1"/>
        <v>0</v>
      </c>
      <c r="Q11" s="34">
        <f t="shared" si="2"/>
        <v>0</v>
      </c>
      <c r="R11" s="67">
        <f t="shared" si="3"/>
        <v>0</v>
      </c>
    </row>
    <row r="12" spans="1:19" s="8" customFormat="1" outlineLevel="1" x14ac:dyDescent="0.2">
      <c r="B12" s="12" t="s">
        <v>315</v>
      </c>
      <c r="C12" s="27">
        <v>42</v>
      </c>
      <c r="D12" s="27">
        <v>43</v>
      </c>
      <c r="E12" s="27">
        <v>42</v>
      </c>
      <c r="F12" s="27">
        <v>41</v>
      </c>
      <c r="G12" s="27">
        <v>41</v>
      </c>
      <c r="H12" s="27">
        <v>38</v>
      </c>
      <c r="I12" s="27">
        <v>37</v>
      </c>
      <c r="J12" s="27">
        <v>35</v>
      </c>
      <c r="K12" s="20"/>
      <c r="L12" s="20"/>
      <c r="M12" s="20"/>
      <c r="N12" s="39">
        <f t="shared" si="0"/>
        <v>151</v>
      </c>
      <c r="P12" s="70">
        <f t="shared" si="1"/>
        <v>37</v>
      </c>
      <c r="Q12" s="34">
        <f t="shared" si="2"/>
        <v>35</v>
      </c>
      <c r="R12" s="67">
        <f t="shared" si="3"/>
        <v>-5.4054054054054057E-2</v>
      </c>
    </row>
    <row r="13" spans="1:19" outlineLevel="1" x14ac:dyDescent="0.2">
      <c r="B13" s="12" t="s">
        <v>11</v>
      </c>
      <c r="C13" s="20">
        <f>SUM(C8:C12)</f>
        <v>2826</v>
      </c>
      <c r="D13" s="20">
        <f>SUM(D8:D12)</f>
        <v>2862</v>
      </c>
      <c r="E13" s="20">
        <f>SUM(E8:E12)</f>
        <v>3033</v>
      </c>
      <c r="F13" s="20">
        <f>SUM(F8:F12)</f>
        <v>2929</v>
      </c>
      <c r="G13" s="20">
        <f>SUM(G8:G12)</f>
        <v>3126</v>
      </c>
      <c r="H13" s="20">
        <f>SUM(H8:H12)</f>
        <v>3173</v>
      </c>
      <c r="I13" s="20">
        <f>SUM(I8:I12)</f>
        <v>3284</v>
      </c>
      <c r="J13" s="20">
        <f>SUM(J8:J12)</f>
        <v>3316</v>
      </c>
      <c r="K13" s="20"/>
      <c r="L13" s="20"/>
      <c r="M13" s="20"/>
      <c r="N13" s="39">
        <f t="shared" si="0"/>
        <v>12899</v>
      </c>
      <c r="P13" s="49">
        <f t="shared" si="1"/>
        <v>3284</v>
      </c>
      <c r="Q13" s="20">
        <f>J13</f>
        <v>3316</v>
      </c>
      <c r="R13" s="50">
        <f t="shared" si="3"/>
        <v>9.7442143727161992E-3</v>
      </c>
    </row>
    <row r="14" spans="1:19" s="18" customFormat="1" outlineLevel="1" x14ac:dyDescent="0.2">
      <c r="A14" s="7"/>
      <c r="B14" s="17" t="s">
        <v>12</v>
      </c>
      <c r="C14" s="51">
        <v>1885</v>
      </c>
      <c r="D14" s="51">
        <v>1992</v>
      </c>
      <c r="E14" s="51">
        <v>1957</v>
      </c>
      <c r="F14" s="51">
        <v>2163</v>
      </c>
      <c r="G14" s="51">
        <v>2109</v>
      </c>
      <c r="H14" s="51">
        <v>2173</v>
      </c>
      <c r="I14" s="51">
        <v>2261</v>
      </c>
      <c r="J14" s="51">
        <v>2418</v>
      </c>
      <c r="K14" s="21"/>
      <c r="L14" s="21"/>
      <c r="M14" s="21"/>
      <c r="N14" s="59">
        <f t="shared" si="0"/>
        <v>8961</v>
      </c>
      <c r="O14" s="7"/>
      <c r="P14" s="69">
        <f t="shared" si="1"/>
        <v>2261</v>
      </c>
      <c r="Q14" s="54">
        <f t="shared" si="2"/>
        <v>2418</v>
      </c>
      <c r="R14" s="66">
        <f t="shared" si="3"/>
        <v>6.9438301636444058E-2</v>
      </c>
      <c r="S14" s="7"/>
    </row>
    <row r="15" spans="1:19" outlineLevel="1" x14ac:dyDescent="0.2">
      <c r="B15" s="12" t="s">
        <v>316</v>
      </c>
      <c r="C15" s="27">
        <v>-41</v>
      </c>
      <c r="D15" s="27">
        <v>-51</v>
      </c>
      <c r="E15" s="27">
        <v>-50</v>
      </c>
      <c r="F15" s="27">
        <v>-62</v>
      </c>
      <c r="G15" s="27">
        <v>-68</v>
      </c>
      <c r="H15" s="27">
        <v>-67</v>
      </c>
      <c r="I15" s="27">
        <v>-66</v>
      </c>
      <c r="J15" s="27">
        <v>-63</v>
      </c>
      <c r="K15" s="20"/>
      <c r="L15" s="20"/>
      <c r="M15" s="20"/>
      <c r="N15" s="39">
        <f t="shared" si="0"/>
        <v>-264</v>
      </c>
      <c r="P15" s="49">
        <f t="shared" si="1"/>
        <v>-66</v>
      </c>
      <c r="Q15" s="20">
        <f t="shared" si="2"/>
        <v>-63</v>
      </c>
      <c r="R15" s="50">
        <f t="shared" si="3"/>
        <v>4.5454545454545456E-2</v>
      </c>
    </row>
    <row r="16" spans="1:19" outlineLevel="1" x14ac:dyDescent="0.2">
      <c r="B16" s="12" t="s">
        <v>317</v>
      </c>
      <c r="C16" s="27">
        <v>4</v>
      </c>
      <c r="D16" s="27">
        <v>12</v>
      </c>
      <c r="E16" s="27">
        <v>14</v>
      </c>
      <c r="F16" s="27">
        <v>6</v>
      </c>
      <c r="G16" s="27">
        <v>2</v>
      </c>
      <c r="H16" s="27">
        <v>23</v>
      </c>
      <c r="I16" s="27">
        <v>12</v>
      </c>
      <c r="J16" s="27">
        <v>5</v>
      </c>
      <c r="K16" s="20"/>
      <c r="L16" s="20"/>
      <c r="M16" s="20"/>
      <c r="N16" s="39">
        <f t="shared" si="0"/>
        <v>42</v>
      </c>
      <c r="P16" s="49">
        <f t="shared" si="1"/>
        <v>12</v>
      </c>
      <c r="Q16" s="20">
        <f t="shared" si="2"/>
        <v>5</v>
      </c>
      <c r="R16" s="50">
        <f t="shared" si="3"/>
        <v>-0.58333333333333337</v>
      </c>
    </row>
    <row r="17" spans="1:19" outlineLevel="1" x14ac:dyDescent="0.2">
      <c r="B17" s="12" t="s">
        <v>182</v>
      </c>
      <c r="C17" s="27">
        <v>82</v>
      </c>
      <c r="D17" s="27">
        <v>89</v>
      </c>
      <c r="E17" s="27">
        <v>70</v>
      </c>
      <c r="F17" s="27">
        <v>75</v>
      </c>
      <c r="G17" s="27">
        <v>58</v>
      </c>
      <c r="H17" s="27">
        <v>58</v>
      </c>
      <c r="I17" s="27">
        <v>57</v>
      </c>
      <c r="J17" s="27">
        <v>62</v>
      </c>
      <c r="K17" s="20"/>
      <c r="L17" s="20"/>
      <c r="M17" s="20"/>
      <c r="N17" s="39">
        <f t="shared" si="0"/>
        <v>235</v>
      </c>
      <c r="P17" s="49">
        <f t="shared" si="1"/>
        <v>57</v>
      </c>
      <c r="Q17" s="20">
        <f t="shared" si="2"/>
        <v>62</v>
      </c>
      <c r="R17" s="50">
        <f t="shared" si="3"/>
        <v>8.771929824561403E-2</v>
      </c>
    </row>
    <row r="18" spans="1:19" s="18" customFormat="1" outlineLevel="1" x14ac:dyDescent="0.2">
      <c r="A18" s="7"/>
      <c r="B18" s="17" t="s">
        <v>13</v>
      </c>
      <c r="C18" s="51">
        <v>1930</v>
      </c>
      <c r="D18" s="51">
        <v>2042</v>
      </c>
      <c r="E18" s="51">
        <v>1991</v>
      </c>
      <c r="F18" s="51">
        <v>2182</v>
      </c>
      <c r="G18" s="51">
        <v>2101</v>
      </c>
      <c r="H18" s="51">
        <v>2187</v>
      </c>
      <c r="I18" s="51">
        <v>2264</v>
      </c>
      <c r="J18" s="51">
        <v>2422</v>
      </c>
      <c r="K18" s="21"/>
      <c r="L18" s="21"/>
      <c r="M18" s="21"/>
      <c r="N18" s="59">
        <f t="shared" si="0"/>
        <v>8974</v>
      </c>
      <c r="O18" s="7"/>
      <c r="P18" s="69">
        <f t="shared" si="1"/>
        <v>2264</v>
      </c>
      <c r="Q18" s="54">
        <f t="shared" si="2"/>
        <v>2422</v>
      </c>
      <c r="R18" s="66">
        <f t="shared" si="3"/>
        <v>6.9787985865724378E-2</v>
      </c>
      <c r="S18" s="7"/>
    </row>
    <row r="19" spans="1:19" outlineLevel="1" x14ac:dyDescent="0.2">
      <c r="B19" s="12" t="s">
        <v>72</v>
      </c>
      <c r="C19" s="27">
        <v>-357</v>
      </c>
      <c r="D19" s="27">
        <v>-358</v>
      </c>
      <c r="E19" s="27">
        <v>-308</v>
      </c>
      <c r="F19" s="27">
        <v>-371</v>
      </c>
      <c r="G19" s="27">
        <v>-410</v>
      </c>
      <c r="H19" s="27">
        <v>-415</v>
      </c>
      <c r="I19" s="27">
        <v>-408</v>
      </c>
      <c r="J19" s="27">
        <v>-533</v>
      </c>
      <c r="K19" s="20"/>
      <c r="L19" s="20"/>
      <c r="M19" s="20"/>
      <c r="N19" s="39">
        <f t="shared" si="0"/>
        <v>-1766</v>
      </c>
      <c r="P19" s="49">
        <f t="shared" si="1"/>
        <v>-408</v>
      </c>
      <c r="Q19" s="20">
        <f t="shared" si="2"/>
        <v>-533</v>
      </c>
      <c r="R19" s="50">
        <f t="shared" si="3"/>
        <v>-0.30637254901960786</v>
      </c>
    </row>
    <row r="20" spans="1:19" s="18" customFormat="1" outlineLevel="1" x14ac:dyDescent="0.2">
      <c r="A20" s="7"/>
      <c r="B20" s="17" t="s">
        <v>14</v>
      </c>
      <c r="C20" s="51">
        <v>1573</v>
      </c>
      <c r="D20" s="51">
        <v>1684</v>
      </c>
      <c r="E20" s="51">
        <v>1683</v>
      </c>
      <c r="F20" s="51">
        <v>1811</v>
      </c>
      <c r="G20" s="51">
        <v>1691</v>
      </c>
      <c r="H20" s="51">
        <v>1772</v>
      </c>
      <c r="I20" s="51">
        <v>1856</v>
      </c>
      <c r="J20" s="51">
        <v>1889</v>
      </c>
      <c r="K20" s="21"/>
      <c r="L20" s="21"/>
      <c r="M20" s="21"/>
      <c r="N20" s="59">
        <f t="shared" si="0"/>
        <v>7208</v>
      </c>
      <c r="O20" s="7"/>
      <c r="P20" s="69">
        <f t="shared" si="1"/>
        <v>1856</v>
      </c>
      <c r="Q20" s="54">
        <f t="shared" si="2"/>
        <v>1889</v>
      </c>
      <c r="R20" s="66">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9">
        <f>AVERAGE(G21:J21)</f>
        <v>419.5</v>
      </c>
      <c r="P21" s="49">
        <f t="shared" si="1"/>
        <v>417</v>
      </c>
      <c r="Q21" s="20">
        <f t="shared" si="2"/>
        <v>410</v>
      </c>
      <c r="R21" s="50">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9">
        <f>AVERAGE((G22:J22))</f>
        <v>420.25</v>
      </c>
      <c r="P22" s="49">
        <f t="shared" si="1"/>
        <v>417</v>
      </c>
      <c r="Q22" s="20">
        <f t="shared" si="2"/>
        <v>411</v>
      </c>
      <c r="R22" s="50">
        <f t="shared" si="3"/>
        <v>-1.4388489208633094E-2</v>
      </c>
    </row>
    <row r="23" spans="1:19" outlineLevel="1" x14ac:dyDescent="0.2">
      <c r="B23" s="12" t="s">
        <v>17</v>
      </c>
      <c r="C23" s="31">
        <v>3.5</v>
      </c>
      <c r="D23" s="31">
        <v>3.78</v>
      </c>
      <c r="E23" s="31">
        <v>3.81</v>
      </c>
      <c r="F23" s="31">
        <v>4.1500000000000004</v>
      </c>
      <c r="G23" s="31">
        <v>3.95</v>
      </c>
      <c r="H23" s="31">
        <v>4.18</v>
      </c>
      <c r="I23" s="31">
        <v>4.45</v>
      </c>
      <c r="J23" s="31">
        <v>4.5999999999999996</v>
      </c>
      <c r="K23" s="25"/>
      <c r="L23" s="25"/>
      <c r="M23" s="25"/>
      <c r="N23" s="40">
        <f>N20/N21</f>
        <v>17.182359952324195</v>
      </c>
      <c r="P23" s="71">
        <f t="shared" si="1"/>
        <v>4.45</v>
      </c>
      <c r="Q23" s="72">
        <f t="shared" si="2"/>
        <v>4.5999999999999996</v>
      </c>
      <c r="R23" s="50">
        <f t="shared" si="3"/>
        <v>3.3707865168539207E-2</v>
      </c>
    </row>
    <row r="24" spans="1:19" s="16" customFormat="1" ht="17" outlineLevel="1" thickBot="1" x14ac:dyDescent="0.25">
      <c r="A24" s="1"/>
      <c r="B24" s="10" t="s">
        <v>18</v>
      </c>
      <c r="C24" s="32">
        <v>3.49</v>
      </c>
      <c r="D24" s="32">
        <v>3.76</v>
      </c>
      <c r="E24" s="32">
        <v>3.79</v>
      </c>
      <c r="F24" s="32">
        <v>4.1399999999999997</v>
      </c>
      <c r="G24" s="32">
        <v>3.94</v>
      </c>
      <c r="H24" s="32">
        <v>4.18</v>
      </c>
      <c r="I24" s="32">
        <v>4.45</v>
      </c>
      <c r="J24" s="32">
        <v>4.5999999999999996</v>
      </c>
      <c r="K24" s="25"/>
      <c r="L24" s="25"/>
      <c r="M24" s="25"/>
      <c r="N24" s="41">
        <f>N20/N22</f>
        <v>17.151695419393217</v>
      </c>
      <c r="O24" s="1"/>
      <c r="P24" s="73">
        <f t="shared" si="1"/>
        <v>4.45</v>
      </c>
      <c r="Q24" s="74">
        <f t="shared" si="2"/>
        <v>4.5999999999999996</v>
      </c>
      <c r="R24" s="68">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4"/>
      <c r="J26" s="144"/>
      <c r="K26" s="4"/>
      <c r="L26" s="4"/>
      <c r="M26" s="4"/>
      <c r="O26" s="4"/>
      <c r="S26" s="4"/>
    </row>
    <row r="27" spans="1:19" outlineLevel="1" x14ac:dyDescent="0.2">
      <c r="B27" s="9" t="s">
        <v>20</v>
      </c>
      <c r="C27" s="27"/>
      <c r="D27" s="27"/>
      <c r="E27" s="27"/>
      <c r="F27" s="27"/>
      <c r="G27" s="27"/>
      <c r="H27" s="27"/>
      <c r="I27" s="27"/>
      <c r="J27" s="27"/>
      <c r="K27" s="20"/>
      <c r="L27" s="20"/>
      <c r="M27" s="20"/>
      <c r="N27" s="20">
        <f>J27</f>
        <v>0</v>
      </c>
    </row>
    <row r="28" spans="1:19" outlineLevel="1" x14ac:dyDescent="0.2">
      <c r="B28" s="9" t="s">
        <v>228</v>
      </c>
      <c r="C28" s="27"/>
      <c r="D28" s="27"/>
      <c r="E28" s="27"/>
      <c r="F28" s="27"/>
      <c r="G28" s="27"/>
      <c r="H28" s="27"/>
      <c r="I28" s="27"/>
      <c r="J28" s="27"/>
      <c r="K28" s="20"/>
      <c r="L28" s="20"/>
      <c r="M28" s="20"/>
      <c r="N28" s="20">
        <f t="shared" ref="N28:N53" si="7">J28</f>
        <v>0</v>
      </c>
    </row>
    <row r="29" spans="1:19" outlineLevel="1" x14ac:dyDescent="0.2">
      <c r="B29" s="9" t="s">
        <v>21</v>
      </c>
      <c r="C29" s="27"/>
      <c r="D29" s="27"/>
      <c r="E29" s="27"/>
      <c r="F29" s="27"/>
      <c r="G29" s="27"/>
      <c r="H29" s="27"/>
      <c r="I29" s="27"/>
      <c r="J29" s="27"/>
      <c r="K29" s="20"/>
      <c r="L29" s="20"/>
      <c r="M29" s="20"/>
      <c r="N29" s="20">
        <f t="shared" si="7"/>
        <v>0</v>
      </c>
    </row>
    <row r="30" spans="1:19" outlineLevel="1" x14ac:dyDescent="0.2">
      <c r="B30" s="9" t="s">
        <v>229</v>
      </c>
      <c r="C30" s="27"/>
      <c r="D30" s="27"/>
      <c r="E30" s="27"/>
      <c r="F30" s="27"/>
      <c r="G30" s="27"/>
      <c r="H30" s="27"/>
      <c r="I30" s="27"/>
      <c r="J30" s="27"/>
      <c r="K30" s="20"/>
      <c r="L30" s="20"/>
      <c r="M30" s="20"/>
      <c r="N30" s="20">
        <f t="shared" si="7"/>
        <v>0</v>
      </c>
    </row>
    <row r="31" spans="1:19" outlineLevel="1" x14ac:dyDescent="0.2">
      <c r="B31" s="9" t="s">
        <v>230</v>
      </c>
      <c r="C31" s="27"/>
      <c r="D31" s="27"/>
      <c r="E31" s="27"/>
      <c r="F31" s="27"/>
      <c r="G31" s="27"/>
      <c r="H31" s="27"/>
      <c r="I31" s="27"/>
      <c r="J31" s="27"/>
      <c r="K31" s="20"/>
      <c r="L31" s="20"/>
      <c r="M31" s="20"/>
      <c r="N31" s="20">
        <f t="shared" si="7"/>
        <v>0</v>
      </c>
    </row>
    <row r="32" spans="1:19" outlineLevel="1" x14ac:dyDescent="0.2">
      <c r="B32" s="9" t="s">
        <v>231</v>
      </c>
      <c r="C32" s="27"/>
      <c r="D32" s="27"/>
      <c r="E32" s="27"/>
      <c r="F32" s="27"/>
      <c r="G32" s="27"/>
      <c r="H32" s="27"/>
      <c r="I32" s="27"/>
      <c r="J32" s="27"/>
      <c r="K32" s="20"/>
      <c r="L32" s="20"/>
      <c r="M32" s="20"/>
      <c r="N32" s="20">
        <f t="shared" si="7"/>
        <v>0</v>
      </c>
    </row>
    <row r="33" spans="1:19" s="7" customFormat="1" outlineLevel="1" x14ac:dyDescent="0.2">
      <c r="B33" s="11" t="s">
        <v>22</v>
      </c>
      <c r="C33" s="55"/>
      <c r="D33" s="55"/>
      <c r="E33" s="55"/>
      <c r="F33" s="55"/>
      <c r="G33" s="55"/>
      <c r="H33" s="55"/>
      <c r="I33" s="55"/>
      <c r="J33" s="55"/>
      <c r="K33" s="21"/>
      <c r="L33" s="21"/>
      <c r="M33" s="21"/>
      <c r="N33" s="85">
        <f t="shared" si="7"/>
        <v>0</v>
      </c>
    </row>
    <row r="34" spans="1:19" outlineLevel="1" x14ac:dyDescent="0.2">
      <c r="B34" s="9" t="s">
        <v>228</v>
      </c>
      <c r="C34" s="27"/>
      <c r="D34" s="27"/>
      <c r="E34" s="27"/>
      <c r="F34" s="27"/>
      <c r="G34" s="27"/>
      <c r="H34" s="27"/>
      <c r="I34" s="27"/>
      <c r="J34" s="27"/>
      <c r="K34" s="20"/>
      <c r="L34" s="20"/>
      <c r="M34" s="20"/>
      <c r="N34" s="20">
        <f t="shared" si="7"/>
        <v>0</v>
      </c>
    </row>
    <row r="35" spans="1:19" outlineLevel="1" x14ac:dyDescent="0.2">
      <c r="B35" s="9" t="s">
        <v>23</v>
      </c>
      <c r="C35" s="27"/>
      <c r="D35" s="27"/>
      <c r="E35" s="27"/>
      <c r="F35" s="27"/>
      <c r="G35" s="27"/>
      <c r="H35" s="27"/>
      <c r="I35" s="27"/>
      <c r="J35" s="27"/>
      <c r="K35" s="20"/>
      <c r="L35" s="20"/>
      <c r="M35" s="20"/>
      <c r="N35" s="20">
        <f t="shared" si="7"/>
        <v>0</v>
      </c>
    </row>
    <row r="36" spans="1:19" outlineLevel="1" x14ac:dyDescent="0.2">
      <c r="B36" s="9" t="s">
        <v>24</v>
      </c>
      <c r="C36" s="27"/>
      <c r="D36" s="27"/>
      <c r="E36" s="27"/>
      <c r="F36" s="27"/>
      <c r="G36" s="27"/>
      <c r="H36" s="27"/>
      <c r="I36" s="27"/>
      <c r="J36" s="27"/>
      <c r="K36" s="20"/>
      <c r="L36" s="20"/>
      <c r="M36" s="20"/>
      <c r="N36" s="20">
        <f t="shared" si="7"/>
        <v>0</v>
      </c>
    </row>
    <row r="37" spans="1:19" s="7" customFormat="1" outlineLevel="1" x14ac:dyDescent="0.2">
      <c r="B37" s="11" t="s">
        <v>25</v>
      </c>
      <c r="C37" s="56">
        <f t="shared" ref="C37:J37" si="8">SUM(C34:C36)</f>
        <v>0</v>
      </c>
      <c r="D37" s="56">
        <f t="shared" si="8"/>
        <v>0</v>
      </c>
      <c r="E37" s="56">
        <f t="shared" si="8"/>
        <v>0</v>
      </c>
      <c r="F37" s="56">
        <f t="shared" si="8"/>
        <v>0</v>
      </c>
      <c r="G37" s="56">
        <f t="shared" si="8"/>
        <v>0</v>
      </c>
      <c r="H37" s="56">
        <f t="shared" si="8"/>
        <v>0</v>
      </c>
      <c r="I37" s="56">
        <f t="shared" si="8"/>
        <v>0</v>
      </c>
      <c r="J37" s="56">
        <f t="shared" si="8"/>
        <v>0</v>
      </c>
      <c r="K37" s="21"/>
      <c r="L37" s="21"/>
      <c r="M37" s="21"/>
      <c r="N37" s="86">
        <f t="shared" si="7"/>
        <v>0</v>
      </c>
    </row>
    <row r="38" spans="1:19" s="18" customFormat="1" outlineLevel="1" x14ac:dyDescent="0.2">
      <c r="A38" s="7"/>
      <c r="B38" s="17" t="s">
        <v>26</v>
      </c>
      <c r="C38" s="51"/>
      <c r="D38" s="51"/>
      <c r="E38" s="51"/>
      <c r="F38" s="51"/>
      <c r="G38" s="51"/>
      <c r="H38" s="51"/>
      <c r="I38" s="51"/>
      <c r="J38" s="51"/>
      <c r="K38" s="21"/>
      <c r="L38" s="21"/>
      <c r="M38" s="21"/>
      <c r="N38" s="60">
        <f t="shared" si="7"/>
        <v>0</v>
      </c>
      <c r="O38" s="7"/>
      <c r="S38" s="7"/>
    </row>
    <row r="39" spans="1:19" outlineLevel="1" x14ac:dyDescent="0.2">
      <c r="B39" s="9" t="s">
        <v>27</v>
      </c>
      <c r="C39" s="27"/>
      <c r="D39" s="27"/>
      <c r="E39" s="27"/>
      <c r="F39" s="27"/>
      <c r="G39" s="27"/>
      <c r="H39" s="27"/>
      <c r="I39" s="27"/>
      <c r="J39" s="27"/>
      <c r="K39" s="20"/>
      <c r="L39" s="20"/>
      <c r="M39" s="20"/>
      <c r="N39" s="20">
        <f t="shared" si="7"/>
        <v>0</v>
      </c>
    </row>
    <row r="40" spans="1:19" outlineLevel="1" x14ac:dyDescent="0.2">
      <c r="B40" s="9" t="s">
        <v>232</v>
      </c>
      <c r="C40" s="27"/>
      <c r="D40" s="27"/>
      <c r="E40" s="27"/>
      <c r="F40" s="27"/>
      <c r="G40" s="27"/>
      <c r="H40" s="27"/>
      <c r="I40" s="27"/>
      <c r="J40" s="27"/>
      <c r="K40" s="20"/>
      <c r="L40" s="20"/>
      <c r="M40" s="20"/>
      <c r="N40" s="20">
        <f t="shared" si="7"/>
        <v>0</v>
      </c>
    </row>
    <row r="41" spans="1:19" outlineLevel="1" x14ac:dyDescent="0.2">
      <c r="B41" s="9" t="s">
        <v>95</v>
      </c>
      <c r="C41" s="27"/>
      <c r="D41" s="27"/>
      <c r="E41" s="27"/>
      <c r="F41" s="27"/>
      <c r="G41" s="27"/>
      <c r="H41" s="27"/>
      <c r="I41" s="27"/>
      <c r="J41" s="27"/>
      <c r="K41" s="20"/>
      <c r="L41" s="20"/>
      <c r="M41" s="20"/>
      <c r="N41" s="20">
        <f t="shared" si="7"/>
        <v>0</v>
      </c>
    </row>
    <row r="42" spans="1:19" outlineLevel="1" x14ac:dyDescent="0.2">
      <c r="B42" s="9" t="s">
        <v>233</v>
      </c>
      <c r="C42" s="27"/>
      <c r="D42" s="27"/>
      <c r="E42" s="27"/>
      <c r="F42" s="27"/>
      <c r="G42" s="27"/>
      <c r="H42" s="27"/>
      <c r="I42" s="27"/>
      <c r="J42" s="27"/>
      <c r="K42" s="20"/>
      <c r="L42" s="20"/>
      <c r="M42" s="20"/>
      <c r="N42" s="20">
        <f t="shared" si="7"/>
        <v>0</v>
      </c>
    </row>
    <row r="43" spans="1:19" outlineLevel="1" x14ac:dyDescent="0.2">
      <c r="B43" s="9" t="s">
        <v>234</v>
      </c>
      <c r="C43" s="27"/>
      <c r="D43" s="27"/>
      <c r="E43" s="27"/>
      <c r="F43" s="27"/>
      <c r="G43" s="27"/>
      <c r="H43" s="27"/>
      <c r="I43" s="27"/>
      <c r="J43" s="27"/>
      <c r="K43" s="20"/>
      <c r="L43" s="20"/>
      <c r="M43" s="20"/>
      <c r="N43" s="20">
        <f t="shared" si="7"/>
        <v>0</v>
      </c>
    </row>
    <row r="44" spans="1:19" s="7" customFormat="1" outlineLevel="1" x14ac:dyDescent="0.2">
      <c r="B44" s="11" t="s">
        <v>30</v>
      </c>
      <c r="C44" s="55"/>
      <c r="D44" s="55"/>
      <c r="E44" s="55"/>
      <c r="F44" s="55"/>
      <c r="G44" s="55"/>
      <c r="H44" s="55"/>
      <c r="I44" s="55"/>
      <c r="J44" s="55"/>
      <c r="K44" s="21"/>
      <c r="L44" s="21"/>
      <c r="M44" s="21"/>
      <c r="N44" s="85">
        <f t="shared" si="7"/>
        <v>0</v>
      </c>
    </row>
    <row r="45" spans="1:19" outlineLevel="1" x14ac:dyDescent="0.2">
      <c r="B45" s="9" t="s">
        <v>234</v>
      </c>
      <c r="C45" s="27"/>
      <c r="D45" s="27"/>
      <c r="E45" s="27"/>
      <c r="F45" s="27"/>
      <c r="G45" s="27"/>
      <c r="H45" s="27"/>
      <c r="I45" s="27"/>
      <c r="J45" s="27"/>
      <c r="K45" s="20"/>
      <c r="L45" s="20"/>
      <c r="M45" s="20"/>
      <c r="N45" s="20">
        <f t="shared" si="7"/>
        <v>0</v>
      </c>
    </row>
    <row r="46" spans="1:19" outlineLevel="1" x14ac:dyDescent="0.2">
      <c r="B46" s="9" t="s">
        <v>235</v>
      </c>
      <c r="C46" s="27"/>
      <c r="D46" s="27"/>
      <c r="E46" s="27"/>
      <c r="F46" s="27"/>
      <c r="G46" s="27"/>
      <c r="H46" s="27"/>
      <c r="I46" s="27"/>
      <c r="J46" s="27"/>
      <c r="K46" s="20"/>
      <c r="L46" s="20"/>
      <c r="M46" s="20"/>
      <c r="N46" s="20">
        <f t="shared" si="7"/>
        <v>0</v>
      </c>
    </row>
    <row r="47" spans="1:19" s="7" customFormat="1" outlineLevel="1" x14ac:dyDescent="0.2">
      <c r="B47" s="11" t="s">
        <v>28</v>
      </c>
      <c r="C47" s="56">
        <f t="shared" ref="C47:I47" si="9">SUM(C45:C46)</f>
        <v>0</v>
      </c>
      <c r="D47" s="56">
        <f t="shared" si="9"/>
        <v>0</v>
      </c>
      <c r="E47" s="56">
        <f t="shared" si="9"/>
        <v>0</v>
      </c>
      <c r="F47" s="56">
        <f t="shared" si="9"/>
        <v>0</v>
      </c>
      <c r="G47" s="56">
        <f t="shared" si="9"/>
        <v>0</v>
      </c>
      <c r="H47" s="56">
        <f t="shared" si="9"/>
        <v>0</v>
      </c>
      <c r="I47" s="56">
        <f t="shared" si="9"/>
        <v>0</v>
      </c>
      <c r="J47" s="56">
        <f t="shared" ref="J47" si="10">SUM(J45:J46)</f>
        <v>0</v>
      </c>
      <c r="K47" s="21"/>
      <c r="L47" s="21"/>
      <c r="M47" s="21"/>
      <c r="N47" s="20">
        <f t="shared" si="7"/>
        <v>0</v>
      </c>
    </row>
    <row r="48" spans="1:19" s="18" customFormat="1" outlineLevel="1" x14ac:dyDescent="0.2">
      <c r="A48" s="7"/>
      <c r="B48" s="17" t="s">
        <v>29</v>
      </c>
      <c r="C48" s="51"/>
      <c r="D48" s="51"/>
      <c r="E48" s="51"/>
      <c r="F48" s="51"/>
      <c r="G48" s="51"/>
      <c r="H48" s="51"/>
      <c r="I48" s="51"/>
      <c r="J48" s="51"/>
      <c r="K48" s="21"/>
      <c r="L48" s="21"/>
      <c r="M48" s="21"/>
      <c r="N48" s="60">
        <f t="shared" si="7"/>
        <v>0</v>
      </c>
      <c r="O48" s="7"/>
      <c r="S48" s="7"/>
    </row>
    <row r="49" spans="1:19" outlineLevel="1" x14ac:dyDescent="0.2">
      <c r="B49" s="9" t="s">
        <v>31</v>
      </c>
      <c r="C49" s="27"/>
      <c r="D49" s="27"/>
      <c r="E49" s="27"/>
      <c r="F49" s="27"/>
      <c r="G49" s="27"/>
      <c r="H49" s="27"/>
      <c r="I49" s="27"/>
      <c r="J49" s="27"/>
      <c r="K49" s="20"/>
      <c r="L49" s="20"/>
      <c r="M49" s="20"/>
      <c r="N49" s="20">
        <f t="shared" si="7"/>
        <v>0</v>
      </c>
    </row>
    <row r="50" spans="1:19" outlineLevel="1" x14ac:dyDescent="0.2">
      <c r="B50" s="9" t="s">
        <v>96</v>
      </c>
      <c r="C50" s="27"/>
      <c r="D50" s="27"/>
      <c r="E50" s="27"/>
      <c r="F50" s="27"/>
      <c r="G50" s="27"/>
      <c r="H50" s="27"/>
      <c r="I50" s="27"/>
      <c r="J50" s="27"/>
      <c r="K50" s="20"/>
      <c r="L50" s="20"/>
      <c r="M50" s="20"/>
      <c r="N50" s="20">
        <f t="shared" si="7"/>
        <v>0</v>
      </c>
    </row>
    <row r="51" spans="1:19" outlineLevel="1" x14ac:dyDescent="0.2">
      <c r="B51" s="9" t="s">
        <v>32</v>
      </c>
      <c r="C51" s="27"/>
      <c r="D51" s="27"/>
      <c r="E51" s="27"/>
      <c r="F51" s="27"/>
      <c r="G51" s="27"/>
      <c r="H51" s="27"/>
      <c r="I51" s="27"/>
      <c r="J51" s="27"/>
      <c r="K51" s="20"/>
      <c r="L51" s="20"/>
      <c r="M51" s="20"/>
      <c r="N51" s="20">
        <f t="shared" si="7"/>
        <v>0</v>
      </c>
    </row>
    <row r="52" spans="1:19" s="7" customFormat="1" outlineLevel="1" x14ac:dyDescent="0.2">
      <c r="B52" s="11" t="s">
        <v>33</v>
      </c>
      <c r="C52" s="55"/>
      <c r="D52" s="55"/>
      <c r="E52" s="55"/>
      <c r="F52" s="55"/>
      <c r="G52" s="55"/>
      <c r="H52" s="55"/>
      <c r="I52" s="55"/>
      <c r="J52" s="55"/>
      <c r="K52" s="21"/>
      <c r="L52" s="21"/>
      <c r="M52" s="21"/>
      <c r="N52" s="85">
        <f t="shared" si="7"/>
        <v>0</v>
      </c>
    </row>
    <row r="53" spans="1:19" s="13" customFormat="1" ht="17" outlineLevel="1" thickBot="1" x14ac:dyDescent="0.25">
      <c r="A53" s="7"/>
      <c r="B53" s="19" t="s">
        <v>34</v>
      </c>
      <c r="C53" s="58"/>
      <c r="D53" s="58"/>
      <c r="E53" s="58"/>
      <c r="F53" s="58"/>
      <c r="G53" s="58"/>
      <c r="H53" s="58"/>
      <c r="I53" s="58"/>
      <c r="J53" s="58"/>
      <c r="K53" s="21"/>
      <c r="L53" s="21"/>
      <c r="M53" s="21"/>
      <c r="N53" s="87">
        <f t="shared" si="7"/>
        <v>0</v>
      </c>
      <c r="O53" s="7"/>
      <c r="S53" s="7"/>
    </row>
    <row r="54" spans="1:19" x14ac:dyDescent="0.2">
      <c r="B54" s="1"/>
    </row>
    <row r="55" spans="1:19" s="14" customFormat="1" ht="17" thickBot="1" x14ac:dyDescent="0.25">
      <c r="A55" s="4"/>
      <c r="B55" s="15" t="s">
        <v>35</v>
      </c>
      <c r="K55" s="4"/>
      <c r="L55" s="4"/>
      <c r="M55" s="4"/>
      <c r="O55" s="4"/>
      <c r="S55" s="4"/>
    </row>
    <row r="56" spans="1:19" outlineLevel="1" x14ac:dyDescent="0.2">
      <c r="B56" s="9" t="s">
        <v>14</v>
      </c>
      <c r="C56" s="20">
        <f t="shared" ref="C56:J56" si="11">C20</f>
        <v>1573</v>
      </c>
      <c r="D56" s="20">
        <f t="shared" si="11"/>
        <v>1684</v>
      </c>
      <c r="E56" s="20">
        <f t="shared" si="11"/>
        <v>1683</v>
      </c>
      <c r="F56" s="20">
        <f t="shared" si="11"/>
        <v>1811</v>
      </c>
      <c r="G56" s="20">
        <f t="shared" si="11"/>
        <v>1691</v>
      </c>
      <c r="H56" s="20">
        <f t="shared" si="11"/>
        <v>1772</v>
      </c>
      <c r="I56" s="20">
        <f t="shared" si="11"/>
        <v>1856</v>
      </c>
      <c r="J56" s="20">
        <f t="shared" si="11"/>
        <v>1889</v>
      </c>
      <c r="K56" s="20"/>
      <c r="L56" s="20"/>
      <c r="M56" s="20"/>
      <c r="N56" s="20">
        <f>SUM(G56:J56)</f>
        <v>7208</v>
      </c>
    </row>
    <row r="57" spans="1:19" outlineLevel="1" x14ac:dyDescent="0.2">
      <c r="B57" s="9" t="s">
        <v>36</v>
      </c>
      <c r="C57" s="27"/>
      <c r="D57" s="27"/>
      <c r="E57" s="27"/>
      <c r="F57" s="27"/>
      <c r="G57" s="27"/>
      <c r="H57" s="27"/>
      <c r="I57" s="27"/>
      <c r="J57" s="27"/>
      <c r="K57" s="27"/>
      <c r="L57" s="27"/>
      <c r="M57" s="20"/>
      <c r="N57" s="27">
        <f t="shared" ref="N57:N81" si="12">SUM(G57:J57)</f>
        <v>0</v>
      </c>
    </row>
    <row r="58" spans="1:19" outlineLevel="1" x14ac:dyDescent="0.2">
      <c r="B58" s="12" t="s">
        <v>97</v>
      </c>
      <c r="C58" s="27"/>
      <c r="D58" s="27"/>
      <c r="E58" s="27"/>
      <c r="F58" s="27"/>
      <c r="G58" s="27"/>
      <c r="H58" s="27"/>
      <c r="I58" s="27"/>
      <c r="J58" s="27"/>
      <c r="K58" s="27"/>
      <c r="L58" s="27"/>
      <c r="M58" s="20"/>
      <c r="N58" s="27">
        <f t="shared" si="12"/>
        <v>0</v>
      </c>
    </row>
    <row r="59" spans="1:19" outlineLevel="1" x14ac:dyDescent="0.2">
      <c r="B59" s="12" t="s">
        <v>241</v>
      </c>
      <c r="C59" s="27"/>
      <c r="D59" s="27"/>
      <c r="E59" s="27"/>
      <c r="F59" s="27"/>
      <c r="G59" s="27"/>
      <c r="H59" s="27"/>
      <c r="I59" s="27"/>
      <c r="J59" s="27"/>
      <c r="K59" s="27"/>
      <c r="L59" s="27"/>
      <c r="M59" s="20"/>
      <c r="N59" s="27">
        <f t="shared" si="12"/>
        <v>0</v>
      </c>
    </row>
    <row r="60" spans="1:19" outlineLevel="1" x14ac:dyDescent="0.2">
      <c r="B60" s="9" t="s">
        <v>37</v>
      </c>
      <c r="C60" s="27"/>
      <c r="D60" s="27"/>
      <c r="E60" s="27"/>
      <c r="F60" s="27"/>
      <c r="G60" s="27"/>
      <c r="H60" s="27"/>
      <c r="I60" s="27"/>
      <c r="J60" s="27"/>
      <c r="K60" s="27"/>
      <c r="L60" s="27"/>
      <c r="M60" s="20"/>
      <c r="N60" s="27">
        <f t="shared" si="12"/>
        <v>0</v>
      </c>
    </row>
    <row r="61" spans="1:19" outlineLevel="1" x14ac:dyDescent="0.2">
      <c r="B61" s="9" t="s">
        <v>264</v>
      </c>
      <c r="C61" s="27"/>
      <c r="D61" s="27"/>
      <c r="E61" s="27"/>
      <c r="F61" s="27"/>
      <c r="G61" s="27"/>
      <c r="H61" s="27"/>
      <c r="I61" s="27"/>
      <c r="J61" s="27"/>
      <c r="K61" s="27"/>
      <c r="L61" s="27"/>
      <c r="M61" s="20"/>
      <c r="N61" s="27">
        <f t="shared" si="12"/>
        <v>0</v>
      </c>
    </row>
    <row r="62" spans="1:19" outlineLevel="1" x14ac:dyDescent="0.2">
      <c r="B62" s="9" t="s">
        <v>243</v>
      </c>
      <c r="C62" s="27"/>
      <c r="D62" s="27"/>
      <c r="E62" s="27"/>
      <c r="F62" s="27"/>
      <c r="G62" s="27"/>
      <c r="H62" s="27"/>
      <c r="I62" s="27"/>
      <c r="J62" s="27"/>
      <c r="K62" s="27"/>
      <c r="L62" s="27"/>
      <c r="M62" s="20"/>
      <c r="N62" s="27">
        <f t="shared" si="12"/>
        <v>0</v>
      </c>
    </row>
    <row r="63" spans="1:19" outlineLevel="1" x14ac:dyDescent="0.2">
      <c r="B63" s="9" t="s">
        <v>244</v>
      </c>
      <c r="C63" s="27"/>
      <c r="D63" s="27"/>
      <c r="E63" s="27"/>
      <c r="F63" s="27"/>
      <c r="G63" s="27"/>
      <c r="H63" s="27"/>
      <c r="I63" s="27"/>
      <c r="J63" s="27"/>
      <c r="K63" s="27"/>
      <c r="L63" s="27"/>
      <c r="M63" s="20"/>
      <c r="N63" s="27">
        <f t="shared" si="12"/>
        <v>0</v>
      </c>
    </row>
    <row r="64" spans="1:19" outlineLevel="1" x14ac:dyDescent="0.2">
      <c r="B64" s="9" t="s">
        <v>38</v>
      </c>
      <c r="C64" s="27"/>
      <c r="D64" s="27"/>
      <c r="E64" s="27"/>
      <c r="F64" s="27"/>
      <c r="G64" s="27"/>
      <c r="H64" s="27"/>
      <c r="I64" s="27"/>
      <c r="J64" s="27"/>
      <c r="K64" s="27"/>
      <c r="L64" s="27"/>
      <c r="M64" s="20"/>
      <c r="N64" s="27">
        <f t="shared" si="12"/>
        <v>0</v>
      </c>
    </row>
    <row r="65" spans="1:19" outlineLevel="1" x14ac:dyDescent="0.2">
      <c r="B65" s="9" t="s">
        <v>245</v>
      </c>
      <c r="C65" s="27"/>
      <c r="D65" s="27"/>
      <c r="E65" s="27"/>
      <c r="F65" s="27"/>
      <c r="G65" s="27"/>
      <c r="H65" s="27"/>
      <c r="I65" s="27"/>
      <c r="J65" s="27"/>
      <c r="K65" s="27"/>
      <c r="L65" s="27"/>
      <c r="M65" s="20"/>
      <c r="N65" s="27">
        <f t="shared" si="12"/>
        <v>0</v>
      </c>
    </row>
    <row r="66" spans="1:19" s="18" customFormat="1" outlineLevel="1" x14ac:dyDescent="0.2">
      <c r="A66" s="7"/>
      <c r="B66" s="17" t="s">
        <v>39</v>
      </c>
      <c r="C66" s="51"/>
      <c r="D66" s="51"/>
      <c r="E66" s="51"/>
      <c r="F66" s="51"/>
      <c r="G66" s="51"/>
      <c r="H66" s="51"/>
      <c r="I66" s="51"/>
      <c r="J66" s="51"/>
      <c r="K66" s="33"/>
      <c r="L66" s="33"/>
      <c r="M66" s="21"/>
      <c r="N66" s="51">
        <f t="shared" si="12"/>
        <v>0</v>
      </c>
      <c r="O66" s="7"/>
      <c r="S66" s="7"/>
    </row>
    <row r="67" spans="1:19" outlineLevel="1" x14ac:dyDescent="0.2">
      <c r="B67" s="9" t="s">
        <v>246</v>
      </c>
      <c r="C67" s="27"/>
      <c r="D67" s="27"/>
      <c r="E67" s="27"/>
      <c r="F67" s="27"/>
      <c r="G67" s="27"/>
      <c r="H67" s="27"/>
      <c r="I67" s="27"/>
      <c r="J67" s="27"/>
      <c r="K67" s="27"/>
      <c r="L67" s="27"/>
      <c r="M67" s="20"/>
      <c r="N67" s="27">
        <f t="shared" si="12"/>
        <v>0</v>
      </c>
    </row>
    <row r="68" spans="1:19" outlineLevel="1" x14ac:dyDescent="0.2">
      <c r="B68" s="9" t="s">
        <v>247</v>
      </c>
      <c r="C68" s="27"/>
      <c r="D68" s="27"/>
      <c r="E68" s="27"/>
      <c r="F68" s="27"/>
      <c r="G68" s="27"/>
      <c r="H68" s="27"/>
      <c r="I68" s="27"/>
      <c r="J68" s="27"/>
      <c r="K68" s="27"/>
      <c r="L68" s="27"/>
      <c r="M68" s="20"/>
      <c r="N68" s="27">
        <f t="shared" si="12"/>
        <v>0</v>
      </c>
    </row>
    <row r="69" spans="1:19" outlineLevel="1" x14ac:dyDescent="0.2">
      <c r="B69" s="9" t="s">
        <v>248</v>
      </c>
      <c r="C69" s="27"/>
      <c r="D69" s="27"/>
      <c r="E69" s="27"/>
      <c r="F69" s="27"/>
      <c r="G69" s="27"/>
      <c r="H69" s="27"/>
      <c r="I69" s="27"/>
      <c r="J69" s="27"/>
      <c r="K69" s="27"/>
      <c r="L69" s="27"/>
      <c r="M69" s="20"/>
      <c r="N69" s="27">
        <f t="shared" si="12"/>
        <v>0</v>
      </c>
    </row>
    <row r="70" spans="1:19" outlineLevel="1" x14ac:dyDescent="0.2">
      <c r="B70" s="9" t="s">
        <v>40</v>
      </c>
      <c r="C70" s="27"/>
      <c r="D70" s="27"/>
      <c r="E70" s="27"/>
      <c r="F70" s="27"/>
      <c r="G70" s="27"/>
      <c r="H70" s="27"/>
      <c r="I70" s="27"/>
      <c r="J70" s="27"/>
      <c r="K70" s="27"/>
      <c r="L70" s="27"/>
      <c r="M70" s="20"/>
      <c r="N70" s="27">
        <f t="shared" si="12"/>
        <v>0</v>
      </c>
    </row>
    <row r="71" spans="1:19" outlineLevel="1" x14ac:dyDescent="0.2">
      <c r="B71" s="12" t="s">
        <v>241</v>
      </c>
      <c r="C71" s="27"/>
      <c r="D71" s="27"/>
      <c r="E71" s="27"/>
      <c r="F71" s="27"/>
      <c r="G71" s="27"/>
      <c r="H71" s="27"/>
      <c r="I71" s="27"/>
      <c r="J71" s="27"/>
      <c r="K71" s="27"/>
      <c r="L71" s="27"/>
      <c r="M71" s="20"/>
      <c r="N71" s="27">
        <f t="shared" si="12"/>
        <v>0</v>
      </c>
    </row>
    <row r="72" spans="1:19" s="18" customFormat="1" outlineLevel="1" x14ac:dyDescent="0.2">
      <c r="A72" s="7"/>
      <c r="B72" s="17" t="s">
        <v>41</v>
      </c>
      <c r="C72" s="51"/>
      <c r="D72" s="51"/>
      <c r="E72" s="51"/>
      <c r="F72" s="51"/>
      <c r="G72" s="51"/>
      <c r="H72" s="51"/>
      <c r="I72" s="51"/>
      <c r="J72" s="51"/>
      <c r="K72" s="33"/>
      <c r="L72" s="33"/>
      <c r="M72" s="21"/>
      <c r="N72" s="51">
        <f t="shared" si="12"/>
        <v>0</v>
      </c>
      <c r="O72" s="7"/>
      <c r="S72" s="7"/>
    </row>
    <row r="73" spans="1:19" outlineLevel="1" x14ac:dyDescent="0.2">
      <c r="B73" s="9" t="s">
        <v>249</v>
      </c>
      <c r="C73" s="27"/>
      <c r="D73" s="27"/>
      <c r="E73" s="27"/>
      <c r="F73" s="27"/>
      <c r="G73" s="27"/>
      <c r="H73" s="27"/>
      <c r="I73" s="27"/>
      <c r="J73" s="27"/>
      <c r="K73" s="27"/>
      <c r="L73" s="27"/>
      <c r="M73" s="20"/>
      <c r="N73" s="27">
        <f t="shared" si="12"/>
        <v>0</v>
      </c>
    </row>
    <row r="74" spans="1:19" outlineLevel="1" x14ac:dyDescent="0.2">
      <c r="B74" s="9" t="s">
        <v>250</v>
      </c>
      <c r="C74" s="27"/>
      <c r="D74" s="27"/>
      <c r="E74" s="27"/>
      <c r="F74" s="27"/>
      <c r="G74" s="27"/>
      <c r="H74" s="27"/>
      <c r="I74" s="27"/>
      <c r="J74" s="27"/>
      <c r="K74" s="27"/>
      <c r="L74" s="27"/>
      <c r="M74" s="20"/>
      <c r="N74" s="27">
        <f t="shared" si="12"/>
        <v>0</v>
      </c>
    </row>
    <row r="75" spans="1:19" outlineLevel="1" x14ac:dyDescent="0.2">
      <c r="B75" s="9" t="s">
        <v>251</v>
      </c>
      <c r="C75" s="27"/>
      <c r="D75" s="27"/>
      <c r="E75" s="27"/>
      <c r="F75" s="27"/>
      <c r="G75" s="27"/>
      <c r="H75" s="27"/>
      <c r="I75" s="27"/>
      <c r="J75" s="27"/>
      <c r="K75" s="27"/>
      <c r="L75" s="27"/>
      <c r="M75" s="20"/>
      <c r="N75" s="27">
        <f t="shared" si="12"/>
        <v>0</v>
      </c>
    </row>
    <row r="76" spans="1:19" outlineLevel="1" x14ac:dyDescent="0.2">
      <c r="B76" s="9" t="s">
        <v>252</v>
      </c>
      <c r="C76" s="27"/>
      <c r="D76" s="27"/>
      <c r="E76" s="27"/>
      <c r="F76" s="27"/>
      <c r="G76" s="27"/>
      <c r="H76" s="27"/>
      <c r="I76" s="27"/>
      <c r="J76" s="27"/>
      <c r="K76" s="27"/>
      <c r="L76" s="27"/>
      <c r="M76" s="20"/>
      <c r="N76" s="27">
        <f t="shared" si="12"/>
        <v>0</v>
      </c>
    </row>
    <row r="77" spans="1:19" outlineLevel="1" x14ac:dyDescent="0.2">
      <c r="B77" s="9" t="s">
        <v>253</v>
      </c>
      <c r="C77" s="27"/>
      <c r="D77" s="27"/>
      <c r="E77" s="27"/>
      <c r="F77" s="27"/>
      <c r="G77" s="27"/>
      <c r="H77" s="27"/>
      <c r="I77" s="27"/>
      <c r="J77" s="27"/>
      <c r="K77" s="27"/>
      <c r="L77" s="27"/>
      <c r="M77" s="20"/>
      <c r="N77" s="27">
        <f t="shared" si="12"/>
        <v>0</v>
      </c>
    </row>
    <row r="78" spans="1:19" outlineLevel="1" x14ac:dyDescent="0.2">
      <c r="B78" s="9" t="s">
        <v>254</v>
      </c>
      <c r="C78" s="27"/>
      <c r="D78" s="27"/>
      <c r="E78" s="27"/>
      <c r="F78" s="27"/>
      <c r="G78" s="27"/>
      <c r="H78" s="27"/>
      <c r="I78" s="27"/>
      <c r="J78" s="27"/>
      <c r="K78" s="27"/>
      <c r="L78" s="27"/>
      <c r="M78" s="20"/>
      <c r="N78" s="27">
        <f t="shared" si="12"/>
        <v>0</v>
      </c>
    </row>
    <row r="79" spans="1:19" outlineLevel="1" x14ac:dyDescent="0.2">
      <c r="B79" s="9" t="s">
        <v>241</v>
      </c>
      <c r="C79" s="27"/>
      <c r="D79" s="27"/>
      <c r="E79" s="27"/>
      <c r="F79" s="27"/>
      <c r="G79" s="27"/>
      <c r="H79" s="27"/>
      <c r="I79" s="27"/>
      <c r="J79" s="27"/>
      <c r="K79" s="27"/>
      <c r="L79" s="27"/>
      <c r="M79" s="20"/>
      <c r="N79" s="27">
        <f t="shared" si="12"/>
        <v>0</v>
      </c>
    </row>
    <row r="80" spans="1:19" s="18" customFormat="1" outlineLevel="1" x14ac:dyDescent="0.2">
      <c r="A80" s="7"/>
      <c r="B80" s="17" t="s">
        <v>42</v>
      </c>
      <c r="C80" s="51"/>
      <c r="D80" s="51"/>
      <c r="E80" s="51"/>
      <c r="F80" s="51"/>
      <c r="G80" s="51"/>
      <c r="H80" s="51"/>
      <c r="I80" s="51"/>
      <c r="J80" s="51"/>
      <c r="K80" s="33"/>
      <c r="L80" s="33"/>
      <c r="M80" s="21"/>
      <c r="N80" s="51">
        <f t="shared" si="12"/>
        <v>0</v>
      </c>
      <c r="O80" s="7"/>
      <c r="S80" s="7"/>
    </row>
    <row r="81" spans="1:19" s="7" customFormat="1" outlineLevel="1" x14ac:dyDescent="0.2">
      <c r="B81" s="11" t="s">
        <v>43</v>
      </c>
      <c r="C81" s="55"/>
      <c r="D81" s="55"/>
      <c r="E81" s="55"/>
      <c r="F81" s="55"/>
      <c r="G81" s="55"/>
      <c r="H81" s="55"/>
      <c r="I81" s="55"/>
      <c r="J81" s="55"/>
      <c r="K81" s="33"/>
      <c r="L81" s="33"/>
      <c r="M81" s="21"/>
      <c r="N81" s="55">
        <f t="shared" si="12"/>
        <v>0</v>
      </c>
    </row>
    <row r="82" spans="1:19" s="7" customFormat="1" outlineLevel="1" x14ac:dyDescent="0.2">
      <c r="B82" s="11" t="s">
        <v>44</v>
      </c>
      <c r="C82" s="55"/>
      <c r="D82" s="55"/>
      <c r="E82" s="55"/>
      <c r="F82" s="55"/>
      <c r="G82" s="55"/>
      <c r="H82" s="55"/>
      <c r="I82" s="55"/>
      <c r="J82" s="55"/>
      <c r="K82" s="21"/>
      <c r="L82" s="21"/>
      <c r="M82" s="21"/>
      <c r="N82" s="55">
        <f>G82</f>
        <v>0</v>
      </c>
    </row>
    <row r="83" spans="1:19" s="13" customFormat="1" ht="17" outlineLevel="1" thickBot="1" x14ac:dyDescent="0.25">
      <c r="A83" s="7"/>
      <c r="B83" s="19" t="s">
        <v>45</v>
      </c>
      <c r="C83" s="58"/>
      <c r="D83" s="58"/>
      <c r="E83" s="58"/>
      <c r="F83" s="58"/>
      <c r="G83" s="58"/>
      <c r="H83" s="58"/>
      <c r="I83" s="58"/>
      <c r="J83" s="58"/>
      <c r="K83" s="21"/>
      <c r="L83" s="21"/>
      <c r="M83" s="21"/>
      <c r="N83" s="58">
        <f>J83</f>
        <v>0</v>
      </c>
      <c r="O83" s="7"/>
      <c r="S83" s="7"/>
    </row>
    <row r="84" spans="1:19" x14ac:dyDescent="0.2">
      <c r="B84" s="1"/>
    </row>
    <row r="85" spans="1:19" s="14" customFormat="1" ht="17" thickBot="1" x14ac:dyDescent="0.25">
      <c r="A85" s="4"/>
      <c r="B85" s="15" t="s">
        <v>46</v>
      </c>
      <c r="K85" s="4"/>
      <c r="L85" s="4"/>
      <c r="M85" s="4"/>
      <c r="O85" s="4"/>
      <c r="S85" s="4"/>
    </row>
    <row r="86" spans="1:19" hidden="1" outlineLevel="2" x14ac:dyDescent="0.2">
      <c r="B86" s="9" t="s">
        <v>47</v>
      </c>
      <c r="C86" s="20">
        <f>C5-C6-C13+C15+C16+C17+C19</f>
        <v>1573</v>
      </c>
      <c r="D86" s="20">
        <f t="shared" ref="D86:J86" si="13">D5-D6-D13+D15+D16+D17+D19</f>
        <v>1684</v>
      </c>
      <c r="E86" s="20">
        <f t="shared" si="13"/>
        <v>1683</v>
      </c>
      <c r="F86" s="20">
        <f t="shared" si="13"/>
        <v>1811</v>
      </c>
      <c r="G86" s="20">
        <f t="shared" si="13"/>
        <v>1691</v>
      </c>
      <c r="H86" s="20">
        <f t="shared" si="13"/>
        <v>1772</v>
      </c>
      <c r="I86" s="20">
        <f t="shared" si="13"/>
        <v>1856</v>
      </c>
      <c r="J86" s="20">
        <f t="shared" si="13"/>
        <v>1889</v>
      </c>
      <c r="K86" s="20"/>
      <c r="L86" s="20"/>
      <c r="M86" s="20"/>
    </row>
    <row r="87" spans="1:19" s="18" customFormat="1" outlineLevel="1" collapsed="1" x14ac:dyDescent="0.2">
      <c r="A87" s="7"/>
      <c r="B87" s="17" t="s">
        <v>48</v>
      </c>
      <c r="C87" s="24">
        <f t="shared" ref="C87:J87" si="14">C20-C86</f>
        <v>0</v>
      </c>
      <c r="D87" s="24">
        <f t="shared" si="14"/>
        <v>0</v>
      </c>
      <c r="E87" s="24">
        <f t="shared" si="14"/>
        <v>0</v>
      </c>
      <c r="F87" s="24">
        <f t="shared" si="14"/>
        <v>0</v>
      </c>
      <c r="G87" s="24">
        <f t="shared" si="14"/>
        <v>0</v>
      </c>
      <c r="H87" s="24">
        <f t="shared" si="14"/>
        <v>0</v>
      </c>
      <c r="I87" s="24">
        <f t="shared" si="14"/>
        <v>0</v>
      </c>
      <c r="J87" s="24">
        <f t="shared" si="14"/>
        <v>0</v>
      </c>
      <c r="K87" s="26"/>
      <c r="L87" s="26"/>
      <c r="M87" s="26"/>
      <c r="O87" s="7"/>
      <c r="S87" s="7"/>
    </row>
    <row r="88" spans="1:19" hidden="1" outlineLevel="2" x14ac:dyDescent="0.2">
      <c r="B88" s="9" t="s">
        <v>49</v>
      </c>
      <c r="C88" s="20">
        <f t="shared" ref="C88:J88" si="15">SUM(C27:C32)+SUM(C34:C36)</f>
        <v>0</v>
      </c>
      <c r="D88" s="20">
        <f t="shared" si="15"/>
        <v>0</v>
      </c>
      <c r="E88" s="20">
        <f t="shared" si="15"/>
        <v>0</v>
      </c>
      <c r="F88" s="20">
        <f t="shared" si="15"/>
        <v>0</v>
      </c>
      <c r="G88" s="20">
        <f t="shared" si="15"/>
        <v>0</v>
      </c>
      <c r="H88" s="20">
        <f t="shared" si="15"/>
        <v>0</v>
      </c>
      <c r="I88" s="20">
        <f t="shared" si="15"/>
        <v>0</v>
      </c>
      <c r="J88" s="20">
        <f t="shared" si="15"/>
        <v>0</v>
      </c>
      <c r="K88" s="20"/>
      <c r="L88" s="20"/>
      <c r="M88" s="20"/>
    </row>
    <row r="89" spans="1:19" s="7" customFormat="1" outlineLevel="1" collapsed="1" x14ac:dyDescent="0.2">
      <c r="B89" s="11" t="s">
        <v>50</v>
      </c>
      <c r="C89" s="23">
        <f t="shared" ref="C89:J89" si="16">C38-C88</f>
        <v>0</v>
      </c>
      <c r="D89" s="23">
        <f t="shared" si="16"/>
        <v>0</v>
      </c>
      <c r="E89" s="23">
        <f t="shared" si="16"/>
        <v>0</v>
      </c>
      <c r="F89" s="23">
        <f t="shared" si="16"/>
        <v>0</v>
      </c>
      <c r="G89" s="23">
        <f t="shared" si="16"/>
        <v>0</v>
      </c>
      <c r="H89" s="23">
        <f t="shared" si="16"/>
        <v>0</v>
      </c>
      <c r="I89" s="23">
        <f t="shared" si="16"/>
        <v>0</v>
      </c>
      <c r="J89" s="23">
        <f t="shared" si="16"/>
        <v>0</v>
      </c>
      <c r="K89" s="26"/>
      <c r="L89" s="26"/>
      <c r="M89" s="26"/>
    </row>
    <row r="90" spans="1:19" hidden="1" outlineLevel="2" x14ac:dyDescent="0.2">
      <c r="B90" s="9" t="s">
        <v>51</v>
      </c>
      <c r="C90" s="20">
        <f t="shared" ref="C90:J90" si="17">SUM(C39:C43)+SUM(C45:C46)</f>
        <v>0</v>
      </c>
      <c r="D90" s="20">
        <f t="shared" si="17"/>
        <v>0</v>
      </c>
      <c r="E90" s="20">
        <f t="shared" si="17"/>
        <v>0</v>
      </c>
      <c r="F90" s="20">
        <f t="shared" si="17"/>
        <v>0</v>
      </c>
      <c r="G90" s="20">
        <f t="shared" si="17"/>
        <v>0</v>
      </c>
      <c r="H90" s="20">
        <f t="shared" si="17"/>
        <v>0</v>
      </c>
      <c r="I90" s="20">
        <f t="shared" si="17"/>
        <v>0</v>
      </c>
      <c r="J90" s="20">
        <f t="shared" si="17"/>
        <v>0</v>
      </c>
      <c r="K90" s="20"/>
      <c r="L90" s="20"/>
      <c r="M90" s="20"/>
    </row>
    <row r="91" spans="1:19" s="7" customFormat="1" outlineLevel="1" collapsed="1" x14ac:dyDescent="0.2">
      <c r="B91" s="11" t="s">
        <v>52</v>
      </c>
      <c r="C91" s="23">
        <f t="shared" ref="C91:J91" si="18">C48-C90</f>
        <v>0</v>
      </c>
      <c r="D91" s="23">
        <f t="shared" si="18"/>
        <v>0</v>
      </c>
      <c r="E91" s="23">
        <f t="shared" si="18"/>
        <v>0</v>
      </c>
      <c r="F91" s="23">
        <f t="shared" si="18"/>
        <v>0</v>
      </c>
      <c r="G91" s="23">
        <f t="shared" si="18"/>
        <v>0</v>
      </c>
      <c r="H91" s="23">
        <f t="shared" si="18"/>
        <v>0</v>
      </c>
      <c r="I91" s="23">
        <f t="shared" si="18"/>
        <v>0</v>
      </c>
      <c r="J91" s="23">
        <f t="shared" si="18"/>
        <v>0</v>
      </c>
      <c r="K91" s="26"/>
      <c r="L91" s="26"/>
      <c r="M91" s="26"/>
    </row>
    <row r="92" spans="1:19" hidden="1" outlineLevel="2" x14ac:dyDescent="0.2">
      <c r="B92" s="9" t="s">
        <v>53</v>
      </c>
      <c r="C92" s="20">
        <f t="shared" ref="C92:J92" si="19">SUM(C49:C51)</f>
        <v>0</v>
      </c>
      <c r="D92" s="20">
        <f t="shared" si="19"/>
        <v>0</v>
      </c>
      <c r="E92" s="20">
        <f t="shared" si="19"/>
        <v>0</v>
      </c>
      <c r="F92" s="20">
        <f t="shared" si="19"/>
        <v>0</v>
      </c>
      <c r="G92" s="20">
        <f t="shared" si="19"/>
        <v>0</v>
      </c>
      <c r="H92" s="20">
        <f t="shared" si="19"/>
        <v>0</v>
      </c>
      <c r="I92" s="20">
        <f t="shared" si="19"/>
        <v>0</v>
      </c>
      <c r="J92" s="20">
        <f t="shared" si="19"/>
        <v>0</v>
      </c>
      <c r="K92" s="20"/>
      <c r="L92" s="20"/>
      <c r="M92" s="20"/>
    </row>
    <row r="93" spans="1:19" s="7" customFormat="1" outlineLevel="1" collapsed="1" x14ac:dyDescent="0.2">
      <c r="B93" s="11" t="s">
        <v>54</v>
      </c>
      <c r="C93" s="23">
        <f t="shared" ref="C93:J93" si="20">C52-C92</f>
        <v>0</v>
      </c>
      <c r="D93" s="23">
        <f t="shared" si="20"/>
        <v>0</v>
      </c>
      <c r="E93" s="23">
        <f t="shared" si="20"/>
        <v>0</v>
      </c>
      <c r="F93" s="23">
        <f t="shared" si="20"/>
        <v>0</v>
      </c>
      <c r="G93" s="23">
        <f t="shared" si="20"/>
        <v>0</v>
      </c>
      <c r="H93" s="23">
        <f t="shared" si="20"/>
        <v>0</v>
      </c>
      <c r="I93" s="23">
        <f t="shared" si="20"/>
        <v>0</v>
      </c>
      <c r="J93" s="23">
        <f t="shared" si="20"/>
        <v>0</v>
      </c>
      <c r="K93" s="26"/>
      <c r="L93" s="26"/>
      <c r="M93" s="26"/>
    </row>
    <row r="94" spans="1:19" s="18" customFormat="1" outlineLevel="1" x14ac:dyDescent="0.2">
      <c r="A94" s="7"/>
      <c r="B94" s="17" t="s">
        <v>64</v>
      </c>
      <c r="C94" s="22">
        <f t="shared" ref="C94:J94" si="21">C38-(C48+C52)</f>
        <v>0</v>
      </c>
      <c r="D94" s="22">
        <f t="shared" si="21"/>
        <v>0</v>
      </c>
      <c r="E94" s="22">
        <f t="shared" si="21"/>
        <v>0</v>
      </c>
      <c r="F94" s="22">
        <f t="shared" si="21"/>
        <v>0</v>
      </c>
      <c r="G94" s="22">
        <f t="shared" si="21"/>
        <v>0</v>
      </c>
      <c r="H94" s="22">
        <f t="shared" si="21"/>
        <v>0</v>
      </c>
      <c r="I94" s="22">
        <f t="shared" si="21"/>
        <v>0</v>
      </c>
      <c r="J94" s="22">
        <f t="shared" si="21"/>
        <v>0</v>
      </c>
      <c r="K94" s="26"/>
      <c r="L94" s="26"/>
      <c r="M94" s="26"/>
      <c r="O94" s="7"/>
      <c r="S94" s="7"/>
    </row>
    <row r="95" spans="1:19" hidden="1" outlineLevel="2" x14ac:dyDescent="0.2">
      <c r="B95" s="9" t="s">
        <v>55</v>
      </c>
      <c r="C95" s="20">
        <f t="shared" ref="C95:J95" si="22">SUM(C56:C65)</f>
        <v>1573</v>
      </c>
      <c r="D95" s="20">
        <f t="shared" si="22"/>
        <v>1684</v>
      </c>
      <c r="E95" s="20">
        <f t="shared" si="22"/>
        <v>1683</v>
      </c>
      <c r="F95" s="20">
        <f t="shared" si="22"/>
        <v>1811</v>
      </c>
      <c r="G95" s="20">
        <f t="shared" si="22"/>
        <v>1691</v>
      </c>
      <c r="H95" s="20">
        <f t="shared" si="22"/>
        <v>1772</v>
      </c>
      <c r="I95" s="20">
        <f t="shared" si="22"/>
        <v>1856</v>
      </c>
      <c r="J95" s="20">
        <f t="shared" si="22"/>
        <v>1889</v>
      </c>
      <c r="K95" s="20"/>
      <c r="L95" s="20"/>
      <c r="M95" s="20"/>
    </row>
    <row r="96" spans="1:19" s="7" customFormat="1" outlineLevel="1" collapsed="1" x14ac:dyDescent="0.2">
      <c r="B96" s="11" t="s">
        <v>56</v>
      </c>
      <c r="C96" s="23">
        <f t="shared" ref="C96:J96" si="23">C66-C95</f>
        <v>-1573</v>
      </c>
      <c r="D96" s="23">
        <f t="shared" si="23"/>
        <v>-1684</v>
      </c>
      <c r="E96" s="23">
        <f t="shared" si="23"/>
        <v>-1683</v>
      </c>
      <c r="F96" s="23">
        <f t="shared" si="23"/>
        <v>-1811</v>
      </c>
      <c r="G96" s="23">
        <f t="shared" si="23"/>
        <v>-1691</v>
      </c>
      <c r="H96" s="23">
        <f t="shared" si="23"/>
        <v>-1772</v>
      </c>
      <c r="I96" s="23">
        <f t="shared" si="23"/>
        <v>-1856</v>
      </c>
      <c r="J96" s="23">
        <f t="shared" si="23"/>
        <v>-1889</v>
      </c>
      <c r="K96" s="26"/>
      <c r="L96" s="26"/>
      <c r="M96" s="26"/>
    </row>
    <row r="97" spans="1:19" hidden="1" outlineLevel="2" x14ac:dyDescent="0.2">
      <c r="B97" s="9" t="s">
        <v>57</v>
      </c>
      <c r="C97" s="20">
        <f t="shared" ref="C97:J97" si="24">SUM(C67:C71)</f>
        <v>0</v>
      </c>
      <c r="D97" s="20">
        <f t="shared" si="24"/>
        <v>0</v>
      </c>
      <c r="E97" s="20">
        <f t="shared" si="24"/>
        <v>0</v>
      </c>
      <c r="F97" s="20">
        <f t="shared" si="24"/>
        <v>0</v>
      </c>
      <c r="G97" s="20">
        <f t="shared" si="24"/>
        <v>0</v>
      </c>
      <c r="H97" s="20">
        <f t="shared" si="24"/>
        <v>0</v>
      </c>
      <c r="I97" s="20">
        <f t="shared" si="24"/>
        <v>0</v>
      </c>
      <c r="J97" s="20">
        <f t="shared" si="24"/>
        <v>0</v>
      </c>
      <c r="K97" s="20"/>
      <c r="L97" s="20"/>
      <c r="M97" s="20"/>
    </row>
    <row r="98" spans="1:19" s="7" customFormat="1" outlineLevel="1" collapsed="1" x14ac:dyDescent="0.2">
      <c r="B98" s="11" t="s">
        <v>58</v>
      </c>
      <c r="C98" s="23">
        <f t="shared" ref="C98:J98" si="25">C72-C97</f>
        <v>0</v>
      </c>
      <c r="D98" s="23">
        <f t="shared" si="25"/>
        <v>0</v>
      </c>
      <c r="E98" s="23">
        <f t="shared" si="25"/>
        <v>0</v>
      </c>
      <c r="F98" s="23">
        <f t="shared" si="25"/>
        <v>0</v>
      </c>
      <c r="G98" s="23">
        <f t="shared" si="25"/>
        <v>0</v>
      </c>
      <c r="H98" s="23">
        <f t="shared" si="25"/>
        <v>0</v>
      </c>
      <c r="I98" s="23">
        <f t="shared" si="25"/>
        <v>0</v>
      </c>
      <c r="J98" s="23">
        <f t="shared" si="25"/>
        <v>0</v>
      </c>
      <c r="K98" s="26"/>
      <c r="L98" s="26"/>
      <c r="M98" s="26"/>
    </row>
    <row r="99" spans="1:19" hidden="1" outlineLevel="2" x14ac:dyDescent="0.2">
      <c r="B99" s="9" t="s">
        <v>59</v>
      </c>
      <c r="C99" s="20">
        <f t="shared" ref="C99:J99" si="26">SUM(C73:C79)</f>
        <v>0</v>
      </c>
      <c r="D99" s="20">
        <f t="shared" si="26"/>
        <v>0</v>
      </c>
      <c r="E99" s="20">
        <f t="shared" si="26"/>
        <v>0</v>
      </c>
      <c r="F99" s="20">
        <f t="shared" si="26"/>
        <v>0</v>
      </c>
      <c r="G99" s="20">
        <f t="shared" si="26"/>
        <v>0</v>
      </c>
      <c r="H99" s="20">
        <f t="shared" si="26"/>
        <v>0</v>
      </c>
      <c r="I99" s="20">
        <f t="shared" si="26"/>
        <v>0</v>
      </c>
      <c r="J99" s="20">
        <f t="shared" si="26"/>
        <v>0</v>
      </c>
      <c r="K99" s="20"/>
      <c r="L99" s="20"/>
      <c r="M99" s="20"/>
    </row>
    <row r="100" spans="1:19" s="7" customFormat="1" outlineLevel="1" collapsed="1" x14ac:dyDescent="0.2">
      <c r="B100" s="11" t="s">
        <v>60</v>
      </c>
      <c r="C100" s="23">
        <f t="shared" ref="C100:I100" si="27">C80-C99</f>
        <v>0</v>
      </c>
      <c r="D100" s="23">
        <f t="shared" si="27"/>
        <v>0</v>
      </c>
      <c r="E100" s="23">
        <f t="shared" si="27"/>
        <v>0</v>
      </c>
      <c r="F100" s="23">
        <f t="shared" si="27"/>
        <v>0</v>
      </c>
      <c r="G100" s="23">
        <f t="shared" si="27"/>
        <v>0</v>
      </c>
      <c r="H100" s="23">
        <f t="shared" si="27"/>
        <v>0</v>
      </c>
      <c r="I100" s="23">
        <f t="shared" si="27"/>
        <v>0</v>
      </c>
      <c r="J100" s="23">
        <f t="shared" ref="J100" si="28">J80-J99</f>
        <v>0</v>
      </c>
      <c r="K100" s="26"/>
      <c r="L100" s="26"/>
      <c r="M100" s="26"/>
    </row>
    <row r="101" spans="1:19" hidden="1" outlineLevel="2" x14ac:dyDescent="0.2">
      <c r="B101" s="9" t="s">
        <v>62</v>
      </c>
      <c r="C101" s="20">
        <f t="shared" ref="C101:J101" si="29">C66+C72+C80+C82</f>
        <v>0</v>
      </c>
      <c r="D101" s="20">
        <f t="shared" si="29"/>
        <v>0</v>
      </c>
      <c r="E101" s="20">
        <f t="shared" si="29"/>
        <v>0</v>
      </c>
      <c r="F101" s="20">
        <f t="shared" si="29"/>
        <v>0</v>
      </c>
      <c r="G101" s="20">
        <f t="shared" si="29"/>
        <v>0</v>
      </c>
      <c r="H101" s="20">
        <f t="shared" si="29"/>
        <v>0</v>
      </c>
      <c r="I101" s="20">
        <f t="shared" si="29"/>
        <v>0</v>
      </c>
      <c r="J101" s="20">
        <f t="shared" si="29"/>
        <v>0</v>
      </c>
      <c r="K101" s="20"/>
      <c r="L101" s="20"/>
      <c r="M101" s="20"/>
    </row>
    <row r="102" spans="1:19" s="18" customFormat="1" outlineLevel="1" collapsed="1" x14ac:dyDescent="0.2">
      <c r="A102" s="7"/>
      <c r="B102" s="17" t="s">
        <v>61</v>
      </c>
      <c r="C102" s="22">
        <f t="shared" ref="C102:I102" si="30">C83-C101</f>
        <v>0</v>
      </c>
      <c r="D102" s="22">
        <f t="shared" si="30"/>
        <v>0</v>
      </c>
      <c r="E102" s="22">
        <f t="shared" si="30"/>
        <v>0</v>
      </c>
      <c r="F102" s="22">
        <f t="shared" si="30"/>
        <v>0</v>
      </c>
      <c r="G102" s="22">
        <f t="shared" si="30"/>
        <v>0</v>
      </c>
      <c r="H102" s="22">
        <f t="shared" si="30"/>
        <v>0</v>
      </c>
      <c r="I102" s="22">
        <f t="shared" si="30"/>
        <v>0</v>
      </c>
      <c r="J102" s="22">
        <f t="shared" ref="J102" si="31">J83-J101</f>
        <v>0</v>
      </c>
      <c r="K102" s="26"/>
      <c r="L102" s="26"/>
      <c r="M102" s="26"/>
      <c r="O102" s="7"/>
      <c r="S102" s="7"/>
    </row>
    <row r="103" spans="1:19" x14ac:dyDescent="0.2">
      <c r="B103" s="8"/>
      <c r="E103" s="8"/>
      <c r="F103" s="8"/>
      <c r="G103" s="8"/>
      <c r="H103" s="8"/>
      <c r="I103" s="8"/>
      <c r="J103" s="8"/>
      <c r="K103" s="8"/>
      <c r="L103" s="8"/>
      <c r="M103" s="8"/>
    </row>
    <row r="104" spans="1:19" s="14" customFormat="1" ht="17" thickBot="1" x14ac:dyDescent="0.25">
      <c r="A104" s="4"/>
      <c r="B104" s="15" t="s">
        <v>63</v>
      </c>
      <c r="K104" s="4"/>
      <c r="L104" s="4"/>
      <c r="M104" s="4"/>
      <c r="O104" s="4"/>
      <c r="S104" s="4"/>
    </row>
    <row r="105" spans="1:19" outlineLevel="1" x14ac:dyDescent="0.2">
      <c r="B105" s="9" t="s">
        <v>4</v>
      </c>
      <c r="C105" s="27"/>
      <c r="D105" s="27"/>
      <c r="E105" s="27"/>
      <c r="F105" s="27"/>
      <c r="G105" s="27"/>
      <c r="H105" s="27"/>
      <c r="I105" s="27"/>
      <c r="J105" s="27"/>
      <c r="K105" s="20"/>
      <c r="L105" s="20"/>
      <c r="M105" s="20"/>
      <c r="N105" s="20">
        <f>J105</f>
        <v>0</v>
      </c>
    </row>
    <row r="106" spans="1:19" outlineLevel="1" x14ac:dyDescent="0.2">
      <c r="B106" s="12" t="s">
        <v>71</v>
      </c>
      <c r="C106" s="28"/>
      <c r="D106" s="28"/>
      <c r="E106" s="28"/>
      <c r="F106" s="28"/>
      <c r="G106" s="28"/>
      <c r="H106" s="28"/>
      <c r="I106" s="28"/>
      <c r="J106" s="28"/>
      <c r="K106" s="8"/>
      <c r="L106" s="8"/>
      <c r="M106" s="8"/>
      <c r="N106" s="1">
        <f>SUM(G106:J106)</f>
        <v>0</v>
      </c>
    </row>
    <row r="107" spans="1:19" outlineLevel="1" x14ac:dyDescent="0.2">
      <c r="B107" s="12"/>
      <c r="C107" s="28"/>
      <c r="D107" s="28"/>
      <c r="E107" s="28"/>
      <c r="F107" s="28"/>
      <c r="G107" s="28"/>
      <c r="H107" s="28"/>
      <c r="I107" s="28"/>
      <c r="J107" s="28"/>
      <c r="K107" s="8"/>
      <c r="L107" s="8"/>
      <c r="M107" s="8"/>
    </row>
    <row r="108" spans="1:19" x14ac:dyDescent="0.2">
      <c r="B108" s="1"/>
    </row>
    <row r="109" spans="1:19" s="63" customFormat="1" ht="17" thickBot="1" x14ac:dyDescent="0.25">
      <c r="A109" s="1"/>
      <c r="B109" s="15" t="s">
        <v>85</v>
      </c>
      <c r="C109" s="65"/>
      <c r="D109" s="65"/>
      <c r="E109" s="65"/>
      <c r="F109" s="65"/>
      <c r="G109" s="65"/>
      <c r="H109" s="65"/>
      <c r="I109" s="65"/>
      <c r="J109" s="65"/>
      <c r="K109" s="1"/>
      <c r="L109" s="1"/>
      <c r="M109" s="1"/>
      <c r="O109" s="4"/>
      <c r="S109" s="4"/>
    </row>
    <row r="110" spans="1:19" outlineLevel="1" x14ac:dyDescent="0.2">
      <c r="B110" s="9" t="s">
        <v>78</v>
      </c>
      <c r="C110" s="27">
        <v>5330</v>
      </c>
      <c r="D110" s="27">
        <v>5500</v>
      </c>
      <c r="E110" s="27">
        <v>5630</v>
      </c>
      <c r="F110" s="27">
        <v>5770</v>
      </c>
      <c r="G110" s="27">
        <v>5875</v>
      </c>
      <c r="H110" s="27">
        <v>6075</v>
      </c>
      <c r="I110" s="27">
        <v>6250</v>
      </c>
      <c r="J110" s="27">
        <v>6430</v>
      </c>
    </row>
    <row r="111" spans="1:19" outlineLevel="1" x14ac:dyDescent="0.2">
      <c r="B111" s="9" t="s">
        <v>79</v>
      </c>
      <c r="C111" s="27">
        <v>5380</v>
      </c>
      <c r="D111" s="27">
        <v>5550</v>
      </c>
      <c r="E111" s="27">
        <v>5680</v>
      </c>
      <c r="F111" s="27">
        <v>5820</v>
      </c>
      <c r="G111" s="27">
        <v>5925</v>
      </c>
      <c r="H111" s="27">
        <v>6125</v>
      </c>
      <c r="I111" s="27">
        <v>6300</v>
      </c>
      <c r="J111" s="27">
        <v>6480</v>
      </c>
    </row>
    <row r="112" spans="1:19" outlineLevel="1" x14ac:dyDescent="0.2">
      <c r="B112" s="9" t="s">
        <v>83</v>
      </c>
      <c r="C112" s="34">
        <f t="shared" ref="C112:J112" si="32">D5</f>
        <v>5408</v>
      </c>
      <c r="D112" s="34">
        <f t="shared" si="32"/>
        <v>5606</v>
      </c>
      <c r="E112" s="34">
        <f t="shared" si="32"/>
        <v>5714</v>
      </c>
      <c r="F112" s="34">
        <f t="shared" si="32"/>
        <v>5873</v>
      </c>
      <c r="G112" s="34">
        <f t="shared" si="32"/>
        <v>5988</v>
      </c>
      <c r="H112" s="34">
        <f t="shared" si="32"/>
        <v>6194</v>
      </c>
      <c r="I112" s="34">
        <f t="shared" si="32"/>
        <v>6398</v>
      </c>
      <c r="J112" s="34">
        <f t="shared" si="32"/>
        <v>0</v>
      </c>
    </row>
    <row r="113" spans="1:19" outlineLevel="1" x14ac:dyDescent="0.2">
      <c r="B113" s="9" t="s">
        <v>80</v>
      </c>
      <c r="C113" s="64" t="str">
        <f t="shared" ref="C113:J113" si="33">IF(D5&gt;C111, "BEAT", IF(D5&lt;C110, "MISSED", "MET"))</f>
        <v>BEAT</v>
      </c>
      <c r="D113" s="64" t="str">
        <f t="shared" si="33"/>
        <v>BEAT</v>
      </c>
      <c r="E113" s="64" t="str">
        <f t="shared" si="33"/>
        <v>BEAT</v>
      </c>
      <c r="F113" s="64" t="str">
        <f t="shared" si="33"/>
        <v>BEAT</v>
      </c>
      <c r="G113" s="64" t="str">
        <f t="shared" si="33"/>
        <v>BEAT</v>
      </c>
      <c r="H113" s="64" t="str">
        <f t="shared" si="33"/>
        <v>BEAT</v>
      </c>
      <c r="I113" s="64" t="str">
        <f t="shared" si="33"/>
        <v>BEAT</v>
      </c>
      <c r="J113" s="64" t="str">
        <f t="shared" si="33"/>
        <v>MISSED</v>
      </c>
    </row>
    <row r="114" spans="1:19" outlineLevel="1" x14ac:dyDescent="0.2">
      <c r="B114" s="9" t="s">
        <v>81</v>
      </c>
      <c r="C114" s="31">
        <v>3.45</v>
      </c>
      <c r="D114" s="31">
        <v>3.58</v>
      </c>
      <c r="E114" s="31">
        <v>3.85</v>
      </c>
      <c r="F114" s="31">
        <v>3.8</v>
      </c>
      <c r="G114" s="31">
        <v>4</v>
      </c>
      <c r="H114" s="31">
        <v>4.2699999999999996</v>
      </c>
      <c r="I114" s="31">
        <v>4.55</v>
      </c>
      <c r="J114" s="31">
        <v>4.3499999999999996</v>
      </c>
    </row>
    <row r="115" spans="1:19" outlineLevel="1" x14ac:dyDescent="0.2">
      <c r="B115" s="9" t="s">
        <v>82</v>
      </c>
      <c r="C115" s="31">
        <v>3.5</v>
      </c>
      <c r="D115" s="31">
        <v>3.63</v>
      </c>
      <c r="E115" s="31">
        <v>3.9</v>
      </c>
      <c r="F115" s="31">
        <v>3.85</v>
      </c>
      <c r="G115" s="31">
        <v>4.05</v>
      </c>
      <c r="H115" s="31">
        <v>4.32</v>
      </c>
      <c r="I115" s="31">
        <v>4.5999999999999996</v>
      </c>
      <c r="J115" s="31">
        <v>4.4000000000000004</v>
      </c>
    </row>
    <row r="116" spans="1:19" outlineLevel="1" x14ac:dyDescent="0.2">
      <c r="B116" s="9" t="s">
        <v>84</v>
      </c>
      <c r="C116" s="25">
        <f>D24</f>
        <v>3.76</v>
      </c>
      <c r="D116" s="25">
        <f>E24</f>
        <v>3.79</v>
      </c>
      <c r="E116" s="25">
        <f>F24</f>
        <v>4.1399999999999997</v>
      </c>
      <c r="F116" s="25">
        <f>G24</f>
        <v>3.94</v>
      </c>
      <c r="G116" s="25">
        <f>H24</f>
        <v>4.18</v>
      </c>
      <c r="H116" s="25">
        <f>I24</f>
        <v>4.45</v>
      </c>
      <c r="I116" s="25">
        <f>J24</f>
        <v>4.5999999999999996</v>
      </c>
      <c r="J116" s="25">
        <f>K24</f>
        <v>0</v>
      </c>
      <c r="K116" s="20"/>
      <c r="L116" s="20"/>
      <c r="M116" s="20"/>
    </row>
    <row r="117" spans="1:19" outlineLevel="1" x14ac:dyDescent="0.2">
      <c r="B117" s="12" t="s">
        <v>80</v>
      </c>
      <c r="C117" s="64" t="str">
        <f>IF(C116&gt;C115, "BEAT", IF(C116&lt;C114, "MISSED", "MET"))</f>
        <v>BEAT</v>
      </c>
      <c r="D117" s="64" t="str">
        <f>IF(D116&gt;D115, "BEAT", IF(D116&lt;D114, "MISSED", "MET"))</f>
        <v>BEAT</v>
      </c>
      <c r="E117" s="64" t="str">
        <f>IF(E116&gt;E115, "BEAT", IF(E116&lt;E114, "MISSED", "MET"))</f>
        <v>BEAT</v>
      </c>
      <c r="F117" s="64" t="str">
        <f>IF(F116&gt;F115, "BEAT", IF(F116&lt;F114, "MISSED", "MET"))</f>
        <v>BEAT</v>
      </c>
      <c r="G117" s="64" t="str">
        <f>IF(G116&gt;G115, "BEAT", IF(G116&lt;G114, "MISSED", "MET"))</f>
        <v>BEAT</v>
      </c>
      <c r="H117" s="64" t="str">
        <f>IF(H116&gt;H115, "BEAT", IF(H116&lt;H114, "MISSED", "MET"))</f>
        <v>BEAT</v>
      </c>
      <c r="I117" s="64" t="str">
        <f>IF(I116&gt;I115, "BEAT", IF(I116&lt;I114, "MISSED", "MET"))</f>
        <v>MET</v>
      </c>
      <c r="J117" s="64" t="str">
        <f>IF(J116&gt;J115, "BEAT", IF(J116&lt;J114, "MISSED", "MET"))</f>
        <v>MISSED</v>
      </c>
      <c r="K117" s="8"/>
      <c r="L117" s="8"/>
      <c r="M117" s="8"/>
    </row>
    <row r="118" spans="1:19" x14ac:dyDescent="0.2">
      <c r="B118" s="1"/>
    </row>
    <row r="119" spans="1:19" s="14" customFormat="1" ht="17" thickBot="1" x14ac:dyDescent="0.25">
      <c r="A119" s="4"/>
      <c r="B119" s="15" t="s">
        <v>102</v>
      </c>
      <c r="K119" s="8"/>
      <c r="L119" s="8"/>
      <c r="M119" s="8"/>
      <c r="O119" s="1"/>
      <c r="S119" s="1"/>
    </row>
    <row r="120" spans="1:19" outlineLevel="1" x14ac:dyDescent="0.2">
      <c r="C120" s="34"/>
      <c r="D120" s="34"/>
      <c r="E120" s="34"/>
      <c r="F120" s="34"/>
      <c r="G120" s="34"/>
      <c r="H120" s="34"/>
      <c r="I120" s="34"/>
      <c r="J120" s="34"/>
    </row>
    <row r="121" spans="1:19" x14ac:dyDescent="0.2">
      <c r="B121" s="1"/>
    </row>
    <row r="122" spans="1:19" s="14" customFormat="1" ht="17" thickBot="1" x14ac:dyDescent="0.25">
      <c r="A122" s="4"/>
      <c r="B122" s="15" t="s">
        <v>101</v>
      </c>
      <c r="K122" s="8"/>
      <c r="L122" s="8"/>
      <c r="M122" s="8"/>
      <c r="O122" s="1"/>
      <c r="S122" s="92"/>
    </row>
    <row r="123" spans="1:19" outlineLevel="1" x14ac:dyDescent="0.2">
      <c r="B123" s="9" t="s">
        <v>306</v>
      </c>
      <c r="C123" s="34"/>
      <c r="D123" s="34"/>
      <c r="E123" s="34"/>
      <c r="F123" s="34"/>
      <c r="G123" s="34"/>
      <c r="H123" s="34"/>
      <c r="I123" s="34"/>
      <c r="J123" s="34"/>
    </row>
    <row r="124" spans="1:19" outlineLevel="1" x14ac:dyDescent="0.2">
      <c r="B124" s="9" t="s">
        <v>307</v>
      </c>
      <c r="C124" s="34"/>
      <c r="D124" s="34"/>
      <c r="E124" s="34"/>
      <c r="F124" s="34"/>
      <c r="G124" s="34"/>
      <c r="H124" s="34"/>
      <c r="I124" s="34"/>
      <c r="J124" s="34"/>
    </row>
    <row r="125" spans="1:19" outlineLevel="1" x14ac:dyDescent="0.2">
      <c r="B125" s="9" t="s">
        <v>308</v>
      </c>
      <c r="C125" s="34"/>
      <c r="D125" s="34"/>
      <c r="E125" s="34"/>
      <c r="F125" s="34"/>
      <c r="G125" s="34"/>
      <c r="H125" s="34"/>
      <c r="I125" s="34"/>
      <c r="J125" s="34"/>
    </row>
    <row r="126" spans="1:19" outlineLevel="1" x14ac:dyDescent="0.2">
      <c r="C126" s="34"/>
      <c r="D126" s="34"/>
      <c r="E126" s="34"/>
      <c r="F126" s="34"/>
      <c r="G126" s="34"/>
      <c r="H126" s="34"/>
      <c r="I126" s="34"/>
      <c r="J126" s="34"/>
    </row>
    <row r="127" spans="1:19" outlineLevel="1" x14ac:dyDescent="0.2">
      <c r="B127" s="9" t="s">
        <v>309</v>
      </c>
      <c r="C127" s="34"/>
      <c r="D127" s="34"/>
      <c r="E127" s="34"/>
      <c r="F127" s="34"/>
      <c r="G127" s="34"/>
      <c r="H127" s="34"/>
      <c r="I127" s="34"/>
      <c r="J127" s="34"/>
    </row>
    <row r="128" spans="1:19" outlineLevel="1" x14ac:dyDescent="0.2">
      <c r="B128" s="9" t="s">
        <v>310</v>
      </c>
      <c r="C128" s="34"/>
      <c r="D128" s="34"/>
      <c r="E128" s="34"/>
      <c r="F128" s="34"/>
      <c r="G128" s="34"/>
      <c r="H128" s="34"/>
      <c r="I128" s="34"/>
      <c r="J128" s="34"/>
    </row>
    <row r="129" spans="1:13" outlineLevel="1" x14ac:dyDescent="0.2">
      <c r="B129" s="9" t="s">
        <v>311</v>
      </c>
      <c r="C129" s="34"/>
      <c r="D129" s="34"/>
      <c r="E129" s="34"/>
      <c r="F129" s="34"/>
      <c r="G129" s="34"/>
      <c r="H129" s="34"/>
      <c r="I129" s="34"/>
      <c r="J129" s="34"/>
    </row>
    <row r="130" spans="1:13" outlineLevel="1" x14ac:dyDescent="0.2">
      <c r="C130" s="34"/>
      <c r="D130" s="34"/>
      <c r="E130" s="34"/>
      <c r="F130" s="34"/>
      <c r="G130" s="34"/>
      <c r="H130" s="34"/>
      <c r="I130" s="34"/>
      <c r="J130" s="34"/>
    </row>
    <row r="131" spans="1:13" x14ac:dyDescent="0.2">
      <c r="B131" s="1"/>
    </row>
    <row r="132" spans="1:13" s="14" customFormat="1" ht="17" thickBot="1" x14ac:dyDescent="0.25">
      <c r="A132" s="4"/>
      <c r="B132" s="15" t="s">
        <v>103</v>
      </c>
      <c r="K132" s="1"/>
      <c r="L132" s="1"/>
      <c r="M132" s="1"/>
    </row>
    <row r="133" spans="1:13" outlineLevel="1" x14ac:dyDescent="0.2"/>
    <row r="134" spans="1:13" x14ac:dyDescent="0.2">
      <c r="B134" s="92"/>
    </row>
  </sheetData>
  <mergeCells count="1">
    <mergeCell ref="P4:R4"/>
  </mergeCells>
  <phoneticPr fontId="5" type="noConversion"/>
  <pageMargins left="0.7" right="0.7" top="0.75" bottom="0.75" header="0.3" footer="0.3"/>
  <ignoredErrors>
    <ignoredError sqref="J97 I37:J37 N5:N6 N8:N9 N18:N22 C47:J47 N57:N81 N106 N14:N15 N10:N12 N16:N17" formulaRange="1"/>
    <ignoredError sqref="F13"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94"/>
  <sheetViews>
    <sheetView zoomScale="179" workbookViewId="0">
      <pane xSplit="2" ySplit="3" topLeftCell="R4" activePane="bottomRight" state="frozen"/>
      <selection pane="topRight" activeCell="C1" sqref="C1"/>
      <selection pane="bottomLeft" activeCell="A4" sqref="A4"/>
      <selection pane="bottomRight" activeCell="O88" sqref="O88:U88"/>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75</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5854</v>
      </c>
      <c r="D5" s="153">
        <f>'Statement Y'!D5</f>
        <v>7302</v>
      </c>
      <c r="E5" s="153">
        <f>'Statement Y'!E5</f>
        <v>9030</v>
      </c>
      <c r="F5" s="153">
        <f>'Statement Y'!F5</f>
        <v>11171</v>
      </c>
      <c r="G5" s="153">
        <f>'Statement Y'!G5</f>
        <v>12868</v>
      </c>
      <c r="H5" s="153">
        <f>'Statement Y'!H5</f>
        <v>15785</v>
      </c>
      <c r="I5" s="153">
        <f>'Statement Y'!I5</f>
        <v>17606</v>
      </c>
      <c r="J5" s="153">
        <f>'Statement Y'!J5</f>
        <v>19409</v>
      </c>
      <c r="K5" s="153">
        <f>'Statement Y'!K5</f>
        <v>21505</v>
      </c>
      <c r="L5" s="153">
        <f>'Statement Y'!L5</f>
        <v>23769</v>
      </c>
      <c r="N5" s="153">
        <f>'Statement Q'!C5</f>
        <v>5309</v>
      </c>
      <c r="O5" s="153">
        <f>'Statement Q'!D5</f>
        <v>5408</v>
      </c>
      <c r="P5" s="153">
        <f>'Statement Q'!E5</f>
        <v>5606</v>
      </c>
      <c r="Q5" s="153">
        <f>'Statement Q'!F5</f>
        <v>5714</v>
      </c>
      <c r="R5" s="153">
        <f>'Statement Q'!G5</f>
        <v>5873</v>
      </c>
      <c r="S5" s="153">
        <f>'Statement Q'!H5</f>
        <v>5988</v>
      </c>
      <c r="T5" s="153">
        <f>'Statement Q'!I5</f>
        <v>6194</v>
      </c>
      <c r="U5" s="153">
        <f>'Statement Q'!J5</f>
        <v>6398</v>
      </c>
      <c r="W5" s="153">
        <f>SUM(R5:U5)</f>
        <v>24453</v>
      </c>
    </row>
    <row r="6" spans="2:23" outlineLevel="1" x14ac:dyDescent="0.2">
      <c r="B6" s="9" t="s">
        <v>7</v>
      </c>
      <c r="C6" s="133">
        <f>'Statement Y'!C6</f>
        <v>820</v>
      </c>
      <c r="D6" s="133">
        <f>'Statement Y'!D6</f>
        <v>1010</v>
      </c>
      <c r="E6" s="133">
        <f>'Statement Y'!E6</f>
        <v>1195</v>
      </c>
      <c r="F6" s="133">
        <f>'Statement Y'!F6</f>
        <v>1673</v>
      </c>
      <c r="G6" s="133">
        <f>'Statement Y'!G6</f>
        <v>1722</v>
      </c>
      <c r="H6" s="133">
        <f>'Statement Y'!H6</f>
        <v>1865</v>
      </c>
      <c r="I6" s="133">
        <f>'Statement Y'!I6</f>
        <v>2165</v>
      </c>
      <c r="J6" s="133">
        <f>'Statement Y'!J6</f>
        <v>2354</v>
      </c>
      <c r="K6" s="133">
        <f>'Statement Y'!K6</f>
        <v>2358</v>
      </c>
      <c r="L6" s="133">
        <f>'Statement Y'!L6</f>
        <v>2551</v>
      </c>
      <c r="N6" s="133">
        <f>'Statement Q'!C6</f>
        <v>598</v>
      </c>
      <c r="O6" s="133">
        <f>'Statement Q'!D6</f>
        <v>554</v>
      </c>
      <c r="P6" s="133">
        <f>'Statement Q'!E6</f>
        <v>616</v>
      </c>
      <c r="Q6" s="133">
        <f>'Statement Q'!F6</f>
        <v>622</v>
      </c>
      <c r="R6" s="133">
        <f>'Statement Q'!G6</f>
        <v>638</v>
      </c>
      <c r="S6" s="133">
        <f>'Statement Q'!H6</f>
        <v>642</v>
      </c>
      <c r="T6" s="133">
        <f>'Statement Q'!I6</f>
        <v>649</v>
      </c>
      <c r="U6" s="133">
        <f>'Statement Q'!J6</f>
        <v>664</v>
      </c>
      <c r="W6" s="133">
        <f t="shared" ref="W6:W21" si="0">SUM(R6:U6)</f>
        <v>2593</v>
      </c>
    </row>
    <row r="7" spans="2:23" outlineLevel="1" x14ac:dyDescent="0.2">
      <c r="B7" s="17" t="s">
        <v>8</v>
      </c>
      <c r="C7" s="153">
        <f>'Statement Y'!C7</f>
        <v>5034</v>
      </c>
      <c r="D7" s="153">
        <f>'Statement Y'!D7</f>
        <v>6292</v>
      </c>
      <c r="E7" s="153">
        <f>'Statement Y'!E7</f>
        <v>7835</v>
      </c>
      <c r="F7" s="153">
        <f>'Statement Y'!F7</f>
        <v>9498</v>
      </c>
      <c r="G7" s="153">
        <f>'Statement Y'!G7</f>
        <v>11146</v>
      </c>
      <c r="H7" s="153">
        <f>'Statement Y'!H7</f>
        <v>13920</v>
      </c>
      <c r="I7" s="153">
        <f>'Statement Y'!I7</f>
        <v>15441</v>
      </c>
      <c r="J7" s="153">
        <f>'Statement Y'!J7</f>
        <v>17055</v>
      </c>
      <c r="K7" s="153">
        <f>'Statement Y'!K7</f>
        <v>19147</v>
      </c>
      <c r="L7" s="153">
        <f>'Statement Y'!L7</f>
        <v>21218</v>
      </c>
      <c r="N7" s="153">
        <f>'Statement Q'!C7</f>
        <v>4711</v>
      </c>
      <c r="O7" s="153">
        <f>'Statement Q'!D7</f>
        <v>4854</v>
      </c>
      <c r="P7" s="153">
        <f>'Statement Q'!E7</f>
        <v>4990</v>
      </c>
      <c r="Q7" s="153">
        <f>'Statement Q'!F7</f>
        <v>5092</v>
      </c>
      <c r="R7" s="153">
        <f>'Statement Q'!G7</f>
        <v>5235</v>
      </c>
      <c r="S7" s="153">
        <f>'Statement Q'!H7</f>
        <v>5346</v>
      </c>
      <c r="T7" s="153">
        <f>'Statement Q'!I7</f>
        <v>5545</v>
      </c>
      <c r="U7" s="153">
        <f>'Statement Q'!J7</f>
        <v>5734</v>
      </c>
      <c r="W7" s="153">
        <f t="shared" si="0"/>
        <v>21860</v>
      </c>
    </row>
    <row r="8" spans="2:23" outlineLevel="1" x14ac:dyDescent="0.2">
      <c r="B8" s="203" t="s">
        <v>9</v>
      </c>
      <c r="C8" s="133">
        <f>'Statement Y'!C8</f>
        <v>976</v>
      </c>
      <c r="D8" s="133">
        <f>'Statement Y'!D8</f>
        <v>1224</v>
      </c>
      <c r="E8" s="133">
        <f>'Statement Y'!E8</f>
        <v>1538</v>
      </c>
      <c r="F8" s="133">
        <f>'Statement Y'!F8</f>
        <v>1930</v>
      </c>
      <c r="G8" s="133">
        <f>'Statement Y'!G8</f>
        <v>2188</v>
      </c>
      <c r="H8" s="133">
        <f>'Statement Y'!H8</f>
        <v>2540</v>
      </c>
      <c r="I8" s="133">
        <f>'Statement Y'!I8</f>
        <v>2987</v>
      </c>
      <c r="J8" s="133">
        <f>'Statement Y'!J8</f>
        <v>3473</v>
      </c>
      <c r="K8" s="133">
        <f>'Statement Y'!K8</f>
        <v>3944</v>
      </c>
      <c r="L8" s="133">
        <f>'Statement Y'!L8</f>
        <v>4294</v>
      </c>
      <c r="N8" s="133">
        <f>'Statement Q'!C8</f>
        <v>984</v>
      </c>
      <c r="O8" s="133">
        <f>'Statement Q'!D8</f>
        <v>1022</v>
      </c>
      <c r="P8" s="133">
        <f>'Statement Q'!E8</f>
        <v>999</v>
      </c>
      <c r="Q8" s="133">
        <f>'Statement Q'!F8</f>
        <v>1026</v>
      </c>
      <c r="R8" s="133">
        <f>'Statement Q'!G8</f>
        <v>1082</v>
      </c>
      <c r="S8" s="133">
        <f>'Statement Q'!H8</f>
        <v>1088</v>
      </c>
      <c r="T8" s="133">
        <f>'Statement Q'!I8</f>
        <v>1098</v>
      </c>
      <c r="U8" s="133">
        <f>'Statement Q'!J8</f>
        <v>1110</v>
      </c>
      <c r="W8" s="133">
        <f t="shared" si="0"/>
        <v>4378</v>
      </c>
    </row>
    <row r="9" spans="2:23" outlineLevel="1" x14ac:dyDescent="0.2">
      <c r="B9" s="203" t="s">
        <v>312</v>
      </c>
      <c r="C9" s="133">
        <f>'Statement Y'!C9</f>
        <v>1910</v>
      </c>
      <c r="D9" s="133">
        <f>'Statement Y'!D9</f>
        <v>2198</v>
      </c>
      <c r="E9" s="133">
        <f>'Statement Y'!E9</f>
        <v>2621</v>
      </c>
      <c r="F9" s="133">
        <f>'Statement Y'!F9</f>
        <v>3244</v>
      </c>
      <c r="G9" s="133">
        <f>'Statement Y'!G9</f>
        <v>3591</v>
      </c>
      <c r="H9" s="133">
        <f>'Statement Y'!H9</f>
        <v>4321</v>
      </c>
      <c r="I9" s="133">
        <f>'Statement Y'!I9</f>
        <v>4968</v>
      </c>
      <c r="J9" s="133">
        <f>'Statement Y'!J9</f>
        <v>5351</v>
      </c>
      <c r="K9" s="133">
        <f>'Statement Y'!K9</f>
        <v>5764</v>
      </c>
      <c r="L9" s="133">
        <f>'Statement Y'!L9</f>
        <v>6488</v>
      </c>
      <c r="N9" s="133">
        <f>'Statement Q'!C9</f>
        <v>1445</v>
      </c>
      <c r="O9" s="133">
        <f>'Statement Q'!D9</f>
        <v>1431</v>
      </c>
      <c r="P9" s="133">
        <f>'Statement Q'!E9</f>
        <v>1536</v>
      </c>
      <c r="Q9" s="133">
        <f>'Statement Q'!F9</f>
        <v>1495</v>
      </c>
      <c r="R9" s="133">
        <f>'Statement Q'!G9</f>
        <v>1626</v>
      </c>
      <c r="S9" s="133">
        <f>'Statement Q'!H9</f>
        <v>1639</v>
      </c>
      <c r="T9" s="133">
        <f>'Statement Q'!I9</f>
        <v>1728</v>
      </c>
      <c r="U9" s="133">
        <f>'Statement Q'!J9</f>
        <v>1708</v>
      </c>
      <c r="W9" s="133">
        <f t="shared" si="0"/>
        <v>6701</v>
      </c>
    </row>
    <row r="10" spans="2:23" outlineLevel="1" x14ac:dyDescent="0.2">
      <c r="B10" s="204" t="s">
        <v>313</v>
      </c>
      <c r="C10" s="133">
        <f>'Statement Y'!C10</f>
        <v>578</v>
      </c>
      <c r="D10" s="133">
        <f>'Statement Y'!D10</f>
        <v>625</v>
      </c>
      <c r="E10" s="133">
        <f>'Statement Y'!E10</f>
        <v>745</v>
      </c>
      <c r="F10" s="133">
        <f>'Statement Y'!F10</f>
        <v>881</v>
      </c>
      <c r="G10" s="133">
        <f>'Statement Y'!G10</f>
        <v>968</v>
      </c>
      <c r="H10" s="133">
        <f>'Statement Y'!H10</f>
        <v>1085</v>
      </c>
      <c r="I10" s="133">
        <f>'Statement Y'!I10</f>
        <v>1219</v>
      </c>
      <c r="J10" s="133">
        <f>'Statement Y'!J10</f>
        <v>1413</v>
      </c>
      <c r="K10" s="133">
        <f>'Statement Y'!K10</f>
        <v>1529</v>
      </c>
      <c r="L10" s="133">
        <f>'Statement Y'!L10</f>
        <v>1573</v>
      </c>
      <c r="N10" s="133">
        <f>'Statement Q'!C10</f>
        <v>355</v>
      </c>
      <c r="O10" s="133">
        <f>'Statement Q'!D10</f>
        <v>366</v>
      </c>
      <c r="P10" s="133">
        <f>'Statement Q'!E10</f>
        <v>456</v>
      </c>
      <c r="Q10" s="133">
        <f>'Statement Q'!F10</f>
        <v>367</v>
      </c>
      <c r="R10" s="133">
        <f>'Statement Q'!G10</f>
        <v>377</v>
      </c>
      <c r="S10" s="133">
        <f>'Statement Q'!H10</f>
        <v>408</v>
      </c>
      <c r="T10" s="133">
        <f>'Statement Q'!I10</f>
        <v>421</v>
      </c>
      <c r="U10" s="133">
        <f>'Statement Q'!J10</f>
        <v>463</v>
      </c>
      <c r="W10" s="133">
        <f t="shared" si="0"/>
        <v>1669</v>
      </c>
    </row>
    <row r="11" spans="2:23" outlineLevel="1" x14ac:dyDescent="0.2">
      <c r="B11" s="204" t="s">
        <v>314</v>
      </c>
      <c r="C11" s="133">
        <f>'Statement Y'!C11</f>
        <v>-2</v>
      </c>
      <c r="D11" s="133">
        <f>'Statement Y'!D11</f>
        <v>0</v>
      </c>
      <c r="E11" s="133">
        <f>'Statement Y'!E11</f>
        <v>0</v>
      </c>
      <c r="F11" s="133">
        <f>'Statement Y'!F11</f>
        <v>0</v>
      </c>
      <c r="G11" s="133">
        <f>'Statement Y'!G11</f>
        <v>0</v>
      </c>
      <c r="H11" s="133">
        <f>'Statement Y'!H11</f>
        <v>0</v>
      </c>
      <c r="I11" s="133">
        <f>'Statement Y'!I11</f>
        <v>0</v>
      </c>
      <c r="J11" s="133">
        <f>'Statement Y'!J11</f>
        <v>0</v>
      </c>
      <c r="K11" s="133">
        <f>'Statement Y'!K11</f>
        <v>1000</v>
      </c>
      <c r="L11" s="133">
        <f>'Statement Y'!L11</f>
        <v>0</v>
      </c>
      <c r="N11" s="133">
        <f>'Statement Q'!C11</f>
        <v>0</v>
      </c>
      <c r="O11" s="133">
        <f>'Statement Q'!D11</f>
        <v>0</v>
      </c>
      <c r="P11" s="133">
        <f>'Statement Q'!E11</f>
        <v>0</v>
      </c>
      <c r="Q11" s="133">
        <f>'Statement Q'!F11</f>
        <v>0</v>
      </c>
      <c r="R11" s="133">
        <f>'Statement Q'!G11</f>
        <v>0</v>
      </c>
      <c r="S11" s="133">
        <f>'Statement Q'!H11</f>
        <v>0</v>
      </c>
      <c r="T11" s="133">
        <f>'Statement Q'!I11</f>
        <v>0</v>
      </c>
      <c r="U11" s="133">
        <f>'Statement Q'!J11</f>
        <v>0</v>
      </c>
      <c r="W11" s="133">
        <f t="shared" si="0"/>
        <v>0</v>
      </c>
    </row>
    <row r="12" spans="2:23" outlineLevel="1" x14ac:dyDescent="0.2">
      <c r="B12" s="204" t="s">
        <v>315</v>
      </c>
      <c r="C12" s="133">
        <f>'Statement Y'!C12</f>
        <v>79</v>
      </c>
      <c r="D12" s="133">
        <f>'Statement Y'!D12</f>
        <v>77</v>
      </c>
      <c r="E12" s="133">
        <f>'Statement Y'!E12</f>
        <v>91</v>
      </c>
      <c r="F12" s="133">
        <f>'Statement Y'!F12</f>
        <v>175</v>
      </c>
      <c r="G12" s="133">
        <f>'Statement Y'!G12</f>
        <v>162</v>
      </c>
      <c r="H12" s="133">
        <f>'Statement Y'!H12</f>
        <v>172</v>
      </c>
      <c r="I12" s="133">
        <f>'Statement Y'!I12</f>
        <v>169</v>
      </c>
      <c r="J12" s="133">
        <f>'Statement Y'!J12</f>
        <v>168</v>
      </c>
      <c r="K12" s="133">
        <f>'Statement Y'!K12</f>
        <v>169</v>
      </c>
      <c r="L12" s="133">
        <f>'Statement Y'!L12</f>
        <v>157</v>
      </c>
      <c r="N12" s="133">
        <f>'Statement Q'!C12</f>
        <v>42</v>
      </c>
      <c r="O12" s="133">
        <f>'Statement Q'!D12</f>
        <v>43</v>
      </c>
      <c r="P12" s="133">
        <f>'Statement Q'!E12</f>
        <v>42</v>
      </c>
      <c r="Q12" s="133">
        <f>'Statement Q'!F12</f>
        <v>41</v>
      </c>
      <c r="R12" s="133">
        <f>'Statement Q'!G12</f>
        <v>41</v>
      </c>
      <c r="S12" s="133">
        <f>'Statement Q'!H12</f>
        <v>38</v>
      </c>
      <c r="T12" s="133">
        <f>'Statement Q'!I12</f>
        <v>37</v>
      </c>
      <c r="U12" s="133">
        <f>'Statement Q'!J12</f>
        <v>35</v>
      </c>
      <c r="W12" s="133">
        <f t="shared" si="0"/>
        <v>151</v>
      </c>
    </row>
    <row r="13" spans="2:23" outlineLevel="1" x14ac:dyDescent="0.2">
      <c r="B13" s="204" t="s">
        <v>11</v>
      </c>
      <c r="C13" s="133">
        <f>'Statement Y'!C13</f>
        <v>3541</v>
      </c>
      <c r="D13" s="133">
        <f>'Statement Y'!D13</f>
        <v>4124</v>
      </c>
      <c r="E13" s="133">
        <f>'Statement Y'!E13</f>
        <v>4995</v>
      </c>
      <c r="F13" s="133">
        <f>'Statement Y'!F13</f>
        <v>6230</v>
      </c>
      <c r="G13" s="133">
        <f>'Statement Y'!G13</f>
        <v>6909</v>
      </c>
      <c r="H13" s="133">
        <f>'Statement Y'!H13</f>
        <v>8118</v>
      </c>
      <c r="I13" s="133">
        <f>'Statement Y'!I13</f>
        <v>9343</v>
      </c>
      <c r="J13" s="133">
        <f>'Statement Y'!J13</f>
        <v>10405</v>
      </c>
      <c r="K13" s="133">
        <f>'Statement Y'!K13</f>
        <v>12406</v>
      </c>
      <c r="L13" s="133">
        <f>'Statement Y'!L13</f>
        <v>12512</v>
      </c>
      <c r="N13" s="133">
        <f>'Statement Q'!C13</f>
        <v>2826</v>
      </c>
      <c r="O13" s="133">
        <f>'Statement Q'!D13</f>
        <v>2862</v>
      </c>
      <c r="P13" s="133">
        <f>'Statement Q'!E13</f>
        <v>3033</v>
      </c>
      <c r="Q13" s="133">
        <f>'Statement Q'!F13</f>
        <v>2929</v>
      </c>
      <c r="R13" s="133">
        <f>'Statement Q'!G13</f>
        <v>3126</v>
      </c>
      <c r="S13" s="133">
        <f>'Statement Q'!H13</f>
        <v>3173</v>
      </c>
      <c r="T13" s="133">
        <f>'Statement Q'!I13</f>
        <v>3284</v>
      </c>
      <c r="U13" s="133">
        <f>'Statement Q'!J13</f>
        <v>3316</v>
      </c>
      <c r="W13" s="133">
        <f t="shared" si="0"/>
        <v>12899</v>
      </c>
    </row>
    <row r="14" spans="2:23" outlineLevel="1" x14ac:dyDescent="0.2">
      <c r="B14" s="17" t="s">
        <v>12</v>
      </c>
      <c r="C14" s="153">
        <f>'Statement Y'!C14</f>
        <v>1494</v>
      </c>
      <c r="D14" s="153">
        <f>'Statement Y'!D14</f>
        <v>2168</v>
      </c>
      <c r="E14" s="153">
        <f>'Statement Y'!E14</f>
        <v>2840</v>
      </c>
      <c r="F14" s="153">
        <f>'Statement Y'!F14</f>
        <v>3268</v>
      </c>
      <c r="G14" s="153">
        <f>'Statement Y'!G14</f>
        <v>4237</v>
      </c>
      <c r="H14" s="153">
        <f>'Statement Y'!H14</f>
        <v>5802</v>
      </c>
      <c r="I14" s="153">
        <f>'Statement Y'!I14</f>
        <v>6098</v>
      </c>
      <c r="J14" s="153">
        <f>'Statement Y'!J14</f>
        <v>6650</v>
      </c>
      <c r="K14" s="153">
        <f>'Statement Y'!K14</f>
        <v>6741</v>
      </c>
      <c r="L14" s="153">
        <f>'Statement Y'!L14</f>
        <v>8706</v>
      </c>
      <c r="N14" s="153">
        <f>'Statement Q'!C14</f>
        <v>1885</v>
      </c>
      <c r="O14" s="153">
        <f>'Statement Q'!D14</f>
        <v>1992</v>
      </c>
      <c r="P14" s="153">
        <f>'Statement Q'!E14</f>
        <v>1957</v>
      </c>
      <c r="Q14" s="153">
        <f>'Statement Q'!F14</f>
        <v>2163</v>
      </c>
      <c r="R14" s="153">
        <f>'Statement Q'!G14</f>
        <v>2109</v>
      </c>
      <c r="S14" s="153">
        <f>'Statement Q'!H14</f>
        <v>2173</v>
      </c>
      <c r="T14" s="153">
        <f>'Statement Q'!I14</f>
        <v>2261</v>
      </c>
      <c r="U14" s="153">
        <f>'Statement Q'!J14</f>
        <v>2418</v>
      </c>
      <c r="W14" s="153">
        <f t="shared" si="0"/>
        <v>8961</v>
      </c>
    </row>
    <row r="15" spans="2:23" outlineLevel="1" x14ac:dyDescent="0.2">
      <c r="B15" s="78" t="s">
        <v>215</v>
      </c>
      <c r="C15" s="169">
        <f t="shared" ref="C15:L15" si="1">C14+C55</f>
        <v>1494</v>
      </c>
      <c r="D15" s="169">
        <f t="shared" si="1"/>
        <v>2168</v>
      </c>
      <c r="E15" s="169">
        <f t="shared" si="1"/>
        <v>2840</v>
      </c>
      <c r="F15" s="169">
        <f t="shared" si="1"/>
        <v>3268</v>
      </c>
      <c r="G15" s="169">
        <f t="shared" si="1"/>
        <v>4237</v>
      </c>
      <c r="H15" s="169">
        <f t="shared" si="1"/>
        <v>5802</v>
      </c>
      <c r="I15" s="169">
        <f t="shared" si="1"/>
        <v>6098</v>
      </c>
      <c r="J15" s="169">
        <f t="shared" si="1"/>
        <v>6650</v>
      </c>
      <c r="K15" s="169">
        <f t="shared" si="1"/>
        <v>6741</v>
      </c>
      <c r="L15" s="169">
        <f t="shared" si="1"/>
        <v>8706</v>
      </c>
      <c r="N15" s="169">
        <f t="shared" ref="N15:U15" si="2">N14+N55</f>
        <v>1885</v>
      </c>
      <c r="O15" s="169">
        <f t="shared" si="2"/>
        <v>1992</v>
      </c>
      <c r="P15" s="169">
        <f t="shared" si="2"/>
        <v>1957</v>
      </c>
      <c r="Q15" s="169">
        <f t="shared" si="2"/>
        <v>2163</v>
      </c>
      <c r="R15" s="169">
        <f t="shared" si="2"/>
        <v>2109</v>
      </c>
      <c r="S15" s="169">
        <f t="shared" si="2"/>
        <v>2173</v>
      </c>
      <c r="T15" s="169">
        <f t="shared" si="2"/>
        <v>2261</v>
      </c>
      <c r="U15" s="169">
        <f t="shared" si="2"/>
        <v>2418</v>
      </c>
      <c r="W15" s="169">
        <f>SUM(R15:U15)</f>
        <v>8961</v>
      </c>
    </row>
    <row r="16" spans="2:23" outlineLevel="1" x14ac:dyDescent="0.2">
      <c r="B16" s="12" t="s">
        <v>316</v>
      </c>
      <c r="C16" s="133">
        <f>'Statement Y'!C15</f>
        <v>-70</v>
      </c>
      <c r="D16" s="133">
        <f>'Statement Y'!D15</f>
        <v>-74</v>
      </c>
      <c r="E16" s="133">
        <f>'Statement Y'!E15</f>
        <v>-89</v>
      </c>
      <c r="F16" s="133">
        <f>'Statement Y'!F15</f>
        <v>-157</v>
      </c>
      <c r="G16" s="133">
        <f>'Statement Y'!G15</f>
        <v>-116</v>
      </c>
      <c r="H16" s="133">
        <f>'Statement Y'!H15</f>
        <v>-113</v>
      </c>
      <c r="I16" s="133">
        <f>'Statement Y'!I15</f>
        <v>-112</v>
      </c>
      <c r="J16" s="133">
        <f>'Statement Y'!J15</f>
        <v>-113</v>
      </c>
      <c r="K16" s="133">
        <f>'Statement Y'!K15</f>
        <v>-169</v>
      </c>
      <c r="L16" s="133">
        <f>'Statement Y'!L15</f>
        <v>-263</v>
      </c>
      <c r="N16" s="133">
        <f>'Statement Q'!C15</f>
        <v>-41</v>
      </c>
      <c r="O16" s="133">
        <f>'Statement Q'!D15</f>
        <v>-51</v>
      </c>
      <c r="P16" s="133">
        <f>'Statement Q'!E15</f>
        <v>-50</v>
      </c>
      <c r="Q16" s="133">
        <f>'Statement Q'!F15</f>
        <v>-62</v>
      </c>
      <c r="R16" s="133">
        <f>'Statement Q'!G15</f>
        <v>-68</v>
      </c>
      <c r="S16" s="133">
        <f>'Statement Q'!H15</f>
        <v>-67</v>
      </c>
      <c r="T16" s="133">
        <f>'Statement Q'!I15</f>
        <v>-66</v>
      </c>
      <c r="U16" s="133">
        <f>'Statement Q'!J15</f>
        <v>-63</v>
      </c>
      <c r="W16" s="133">
        <f t="shared" si="0"/>
        <v>-264</v>
      </c>
    </row>
    <row r="17" spans="2:23" outlineLevel="1" x14ac:dyDescent="0.2">
      <c r="B17" s="12" t="s">
        <v>317</v>
      </c>
      <c r="C17" s="133">
        <f>'Statement Y'!C16</f>
        <v>-2</v>
      </c>
      <c r="D17" s="133">
        <f>'Statement Y'!D16</f>
        <v>8</v>
      </c>
      <c r="E17" s="133">
        <f>'Statement Y'!E16</f>
        <v>3</v>
      </c>
      <c r="F17" s="133">
        <f>'Statement Y'!F16</f>
        <v>52</v>
      </c>
      <c r="G17" s="133">
        <f>'Statement Y'!G16</f>
        <v>13</v>
      </c>
      <c r="H17" s="133">
        <f>'Statement Y'!H16</f>
        <v>16</v>
      </c>
      <c r="I17" s="133">
        <f>'Statement Y'!I16</f>
        <v>-19</v>
      </c>
      <c r="J17" s="133">
        <f>'Statement Y'!J16</f>
        <v>16</v>
      </c>
      <c r="K17" s="133">
        <f>'Statement Y'!K16</f>
        <v>48</v>
      </c>
      <c r="L17" s="133">
        <f>'Statement Y'!L16</f>
        <v>43</v>
      </c>
      <c r="N17" s="133">
        <f>'Statement Q'!C16</f>
        <v>4</v>
      </c>
      <c r="O17" s="133">
        <f>'Statement Q'!D16</f>
        <v>12</v>
      </c>
      <c r="P17" s="133">
        <f>'Statement Q'!E16</f>
        <v>14</v>
      </c>
      <c r="Q17" s="133">
        <f>'Statement Q'!F16</f>
        <v>6</v>
      </c>
      <c r="R17" s="133">
        <f>'Statement Q'!G16</f>
        <v>2</v>
      </c>
      <c r="S17" s="133">
        <f>'Statement Q'!H16</f>
        <v>23</v>
      </c>
      <c r="T17" s="133">
        <f>'Statement Q'!I16</f>
        <v>12</v>
      </c>
      <c r="U17" s="133">
        <f>'Statement Q'!J16</f>
        <v>5</v>
      </c>
      <c r="W17" s="133">
        <f t="shared" si="0"/>
        <v>42</v>
      </c>
    </row>
    <row r="18" spans="2:23" outlineLevel="1" x14ac:dyDescent="0.2">
      <c r="B18" s="12" t="s">
        <v>182</v>
      </c>
      <c r="C18" s="133">
        <f>'Statement Y'!C17</f>
        <v>14</v>
      </c>
      <c r="D18" s="133">
        <f>'Statement Y'!D17</f>
        <v>36</v>
      </c>
      <c r="E18" s="133">
        <f>'Statement Y'!E17</f>
        <v>40</v>
      </c>
      <c r="F18" s="133">
        <f>'Statement Y'!F17</f>
        <v>42</v>
      </c>
      <c r="G18" s="133">
        <f>'Statement Y'!G17</f>
        <v>42</v>
      </c>
      <c r="H18" s="133">
        <f>'Statement Y'!H17</f>
        <v>0</v>
      </c>
      <c r="I18" s="133">
        <f>'Statement Y'!I17</f>
        <v>41</v>
      </c>
      <c r="J18" s="133">
        <f>'Statement Y'!J17</f>
        <v>246</v>
      </c>
      <c r="K18" s="133">
        <f>'Statement Y'!K17</f>
        <v>311</v>
      </c>
      <c r="L18" s="133">
        <f>'Statement Y'!L17</f>
        <v>248</v>
      </c>
      <c r="N18" s="133">
        <f>'Statement Q'!C17</f>
        <v>82</v>
      </c>
      <c r="O18" s="133">
        <f>'Statement Q'!D17</f>
        <v>89</v>
      </c>
      <c r="P18" s="133">
        <f>'Statement Q'!E17</f>
        <v>70</v>
      </c>
      <c r="Q18" s="133">
        <f>'Statement Q'!F17</f>
        <v>75</v>
      </c>
      <c r="R18" s="133">
        <f>'Statement Q'!G17</f>
        <v>58</v>
      </c>
      <c r="S18" s="133">
        <f>'Statement Q'!H17</f>
        <v>58</v>
      </c>
      <c r="T18" s="133">
        <f>'Statement Q'!I17</f>
        <v>57</v>
      </c>
      <c r="U18" s="133">
        <f>'Statement Q'!J17</f>
        <v>62</v>
      </c>
      <c r="W18" s="133">
        <f t="shared" si="0"/>
        <v>235</v>
      </c>
    </row>
    <row r="19" spans="2:23" outlineLevel="1" x14ac:dyDescent="0.2">
      <c r="B19" s="17" t="s">
        <v>13</v>
      </c>
      <c r="C19" s="153">
        <f>'Statement Y'!C18</f>
        <v>1435</v>
      </c>
      <c r="D19" s="153">
        <f>'Statement Y'!D18</f>
        <v>2138</v>
      </c>
      <c r="E19" s="153">
        <f>'Statement Y'!E18</f>
        <v>2794</v>
      </c>
      <c r="F19" s="153">
        <f>'Statement Y'!F18</f>
        <v>3205</v>
      </c>
      <c r="G19" s="153">
        <f>'Statement Y'!G18</f>
        <v>4176</v>
      </c>
      <c r="H19" s="153">
        <f>'Statement Y'!H18</f>
        <v>5705</v>
      </c>
      <c r="I19" s="153">
        <f>'Statement Y'!I18</f>
        <v>6008</v>
      </c>
      <c r="J19" s="153">
        <f>'Statement Y'!J18</f>
        <v>6799</v>
      </c>
      <c r="K19" s="153">
        <f>'Statement Y'!K18</f>
        <v>6931</v>
      </c>
      <c r="L19" s="153">
        <f>'Statement Y'!L18</f>
        <v>8734</v>
      </c>
      <c r="N19" s="153">
        <f>'Statement Q'!C18</f>
        <v>1930</v>
      </c>
      <c r="O19" s="153">
        <f>'Statement Q'!D18</f>
        <v>2042</v>
      </c>
      <c r="P19" s="153">
        <f>'Statement Q'!E18</f>
        <v>1991</v>
      </c>
      <c r="Q19" s="153">
        <f>'Statement Q'!F18</f>
        <v>2182</v>
      </c>
      <c r="R19" s="153">
        <f>'Statement Q'!G18</f>
        <v>2101</v>
      </c>
      <c r="S19" s="153">
        <f>'Statement Q'!H18</f>
        <v>2187</v>
      </c>
      <c r="T19" s="153">
        <f>'Statement Q'!I18</f>
        <v>2264</v>
      </c>
      <c r="U19" s="153">
        <f>'Statement Q'!J18</f>
        <v>2422</v>
      </c>
      <c r="W19" s="153">
        <f t="shared" si="0"/>
        <v>8974</v>
      </c>
    </row>
    <row r="20" spans="2:23" outlineLevel="1" x14ac:dyDescent="0.2">
      <c r="B20" s="12" t="s">
        <v>72</v>
      </c>
      <c r="C20" s="133">
        <f>'Statement Y'!C19</f>
        <v>-266</v>
      </c>
      <c r="D20" s="133">
        <f>'Statement Y'!D19</f>
        <v>-444</v>
      </c>
      <c r="E20" s="133">
        <f>'Statement Y'!E19</f>
        <v>-203</v>
      </c>
      <c r="F20" s="133">
        <f>'Statement Y'!F19</f>
        <v>-253</v>
      </c>
      <c r="G20" s="133">
        <f>'Statement Y'!G19</f>
        <v>1084</v>
      </c>
      <c r="H20" s="133">
        <f>'Statement Y'!H19</f>
        <v>-883</v>
      </c>
      <c r="I20" s="133">
        <f>'Statement Y'!I19</f>
        <v>-1252</v>
      </c>
      <c r="J20" s="133">
        <f>'Statement Y'!J19</f>
        <v>-1371</v>
      </c>
      <c r="K20" s="133">
        <f>'Statement Y'!K19</f>
        <v>-1371</v>
      </c>
      <c r="L20" s="133">
        <f>'Statement Y'!L19</f>
        <v>-1604</v>
      </c>
      <c r="N20" s="133">
        <f>'Statement Q'!C19</f>
        <v>-357</v>
      </c>
      <c r="O20" s="133">
        <f>'Statement Q'!D19</f>
        <v>-358</v>
      </c>
      <c r="P20" s="133">
        <f>'Statement Q'!E19</f>
        <v>-308</v>
      </c>
      <c r="Q20" s="133">
        <f>'Statement Q'!F19</f>
        <v>-371</v>
      </c>
      <c r="R20" s="133">
        <f>'Statement Q'!G19</f>
        <v>-410</v>
      </c>
      <c r="S20" s="133">
        <f>'Statement Q'!H19</f>
        <v>-415</v>
      </c>
      <c r="T20" s="133">
        <f>'Statement Q'!I19</f>
        <v>-408</v>
      </c>
      <c r="U20" s="133">
        <f>'Statement Q'!J19</f>
        <v>-533</v>
      </c>
      <c r="W20" s="133">
        <f t="shared" si="0"/>
        <v>-1766</v>
      </c>
    </row>
    <row r="21" spans="2:23" outlineLevel="1" x14ac:dyDescent="0.2">
      <c r="B21" s="17" t="s">
        <v>14</v>
      </c>
      <c r="C21" s="153">
        <f>'Statement Y'!C20</f>
        <v>1169</v>
      </c>
      <c r="D21" s="153">
        <f>'Statement Y'!D20</f>
        <v>1694</v>
      </c>
      <c r="E21" s="153">
        <f>'Statement Y'!E20</f>
        <v>2591</v>
      </c>
      <c r="F21" s="153">
        <f>'Statement Y'!F20</f>
        <v>2952</v>
      </c>
      <c r="G21" s="153">
        <f>'Statement Y'!G20</f>
        <v>5260</v>
      </c>
      <c r="H21" s="153">
        <f>'Statement Y'!H20</f>
        <v>4822</v>
      </c>
      <c r="I21" s="153">
        <f>'Statement Y'!I20</f>
        <v>4756</v>
      </c>
      <c r="J21" s="153">
        <f>'Statement Y'!J20</f>
        <v>5428</v>
      </c>
      <c r="K21" s="153">
        <f>'Statement Y'!K20</f>
        <v>5560</v>
      </c>
      <c r="L21" s="153">
        <f>'Statement Y'!L20</f>
        <v>7130</v>
      </c>
      <c r="N21" s="153">
        <f>'Statement Q'!C20</f>
        <v>1573</v>
      </c>
      <c r="O21" s="153">
        <f>'Statement Q'!D20</f>
        <v>1684</v>
      </c>
      <c r="P21" s="153">
        <f>'Statement Q'!E20</f>
        <v>1683</v>
      </c>
      <c r="Q21" s="153">
        <f>'Statement Q'!F20</f>
        <v>1811</v>
      </c>
      <c r="R21" s="153">
        <f>'Statement Q'!G20</f>
        <v>1691</v>
      </c>
      <c r="S21" s="153">
        <f>'Statement Q'!H20</f>
        <v>1772</v>
      </c>
      <c r="T21" s="153">
        <f>'Statement Q'!I20</f>
        <v>1856</v>
      </c>
      <c r="U21" s="153">
        <f>'Statement Q'!J20</f>
        <v>1889</v>
      </c>
      <c r="W21" s="153">
        <f t="shared" si="0"/>
        <v>7208</v>
      </c>
    </row>
    <row r="22" spans="2:23" outlineLevel="1" x14ac:dyDescent="0.2">
      <c r="B22" s="12" t="s">
        <v>16</v>
      </c>
      <c r="C22" s="133">
        <f>'Statement Y'!C24</f>
        <v>504</v>
      </c>
      <c r="D22" s="133">
        <f>'Statement Y'!D24</f>
        <v>501</v>
      </c>
      <c r="E22" s="133">
        <f>'Statement Y'!E24</f>
        <v>498</v>
      </c>
      <c r="F22" s="133">
        <f>'Statement Y'!F24</f>
        <v>492</v>
      </c>
      <c r="G22" s="133">
        <f>'Statement Y'!G24</f>
        <v>485</v>
      </c>
      <c r="H22" s="133">
        <f>'Statement Y'!H24</f>
        <v>481</v>
      </c>
      <c r="I22" s="133">
        <f>'Statement Y'!I24</f>
        <v>471</v>
      </c>
      <c r="J22" s="133">
        <f>'Statement Y'!J24</f>
        <v>459</v>
      </c>
      <c r="K22" s="133">
        <f>'Statement Y'!K24</f>
        <v>450</v>
      </c>
      <c r="L22" s="133">
        <f>'Statement Y'!L24</f>
        <v>427</v>
      </c>
      <c r="N22" s="133">
        <f>'Statement Q'!C22</f>
        <v>451</v>
      </c>
      <c r="O22" s="133">
        <f>'Statement Q'!D22</f>
        <v>448</v>
      </c>
      <c r="P22" s="133">
        <f>'Statement Q'!E22</f>
        <v>443</v>
      </c>
      <c r="Q22" s="133">
        <f>'Statement Q'!F22</f>
        <v>438</v>
      </c>
      <c r="R22" s="133">
        <f>'Statement Q'!G22</f>
        <v>429</v>
      </c>
      <c r="S22" s="133">
        <f>'Statement Q'!H22</f>
        <v>424</v>
      </c>
      <c r="T22" s="133">
        <f>'Statement Q'!I22</f>
        <v>417</v>
      </c>
      <c r="U22" s="133">
        <f>'Statement Q'!J22</f>
        <v>411</v>
      </c>
      <c r="W22" s="133">
        <f>AVERAGE(R22:U22)</f>
        <v>420.25</v>
      </c>
    </row>
    <row r="23" spans="2:23" ht="17" outlineLevel="1" thickBot="1" x14ac:dyDescent="0.25">
      <c r="B23" s="10" t="s">
        <v>18</v>
      </c>
      <c r="C23" s="154">
        <f>'Statement Y'!C28</f>
        <v>2.3199999999999998</v>
      </c>
      <c r="D23" s="154">
        <f>'Statement Y'!D28</f>
        <v>3.38</v>
      </c>
      <c r="E23" s="154">
        <f>'Statement Y'!E28</f>
        <v>5.2</v>
      </c>
      <c r="F23" s="154">
        <f>'Statement Y'!F28</f>
        <v>6</v>
      </c>
      <c r="G23" s="154">
        <f>'Statement Y'!G28</f>
        <v>10.83</v>
      </c>
      <c r="H23" s="154">
        <f>'Statement Y'!H28</f>
        <v>10.02</v>
      </c>
      <c r="I23" s="154">
        <f>'Statement Y'!I28</f>
        <v>10.1</v>
      </c>
      <c r="J23" s="154">
        <f>'Statement Y'!J28</f>
        <v>11.82</v>
      </c>
      <c r="K23" s="154">
        <f>'Statement Y'!K28</f>
        <v>12.36</v>
      </c>
      <c r="L23" s="154">
        <f>'Statement Y'!L28</f>
        <v>16.7</v>
      </c>
      <c r="N23" s="155">
        <f>'Statement Q'!C24</f>
        <v>3.49</v>
      </c>
      <c r="O23" s="155">
        <f>'Statement Q'!D24</f>
        <v>3.76</v>
      </c>
      <c r="P23" s="155">
        <f>'Statement Q'!E24</f>
        <v>3.79</v>
      </c>
      <c r="Q23" s="155">
        <f>'Statement Q'!F24</f>
        <v>4.1399999999999997</v>
      </c>
      <c r="R23" s="155">
        <f>'Statement Q'!G24</f>
        <v>3.94</v>
      </c>
      <c r="S23" s="155">
        <f>'Statement Q'!H24</f>
        <v>4.18</v>
      </c>
      <c r="T23" s="155">
        <f>'Statement Q'!I24</f>
        <v>4.45</v>
      </c>
      <c r="U23" s="155">
        <f>'Statement Q'!J24</f>
        <v>4.5999999999999996</v>
      </c>
      <c r="W23" s="155">
        <f>W21/W22</f>
        <v>17.151695419393217</v>
      </c>
    </row>
    <row r="25" spans="2:23" ht="17" thickBot="1" x14ac:dyDescent="0.25">
      <c r="B25" s="15" t="s">
        <v>19</v>
      </c>
      <c r="C25" s="14"/>
      <c r="D25" s="14"/>
      <c r="E25" s="14"/>
      <c r="F25" s="14"/>
      <c r="G25" s="14"/>
      <c r="H25" s="14"/>
      <c r="I25" s="14"/>
      <c r="J25" s="14"/>
      <c r="K25" s="14"/>
      <c r="L25" s="14"/>
      <c r="N25" s="14"/>
      <c r="O25" s="14"/>
      <c r="P25" s="14"/>
      <c r="Q25" s="14"/>
      <c r="R25" s="14"/>
      <c r="S25" s="14"/>
      <c r="T25" s="14"/>
      <c r="U25" s="14"/>
      <c r="W25" s="14"/>
    </row>
    <row r="26" spans="2:23" outlineLevel="1" x14ac:dyDescent="0.2">
      <c r="B26" s="9" t="s">
        <v>20</v>
      </c>
      <c r="C26" s="133">
        <f>'Statement Y'!C31+'Statement Y'!C32</f>
        <v>0</v>
      </c>
      <c r="D26" s="133">
        <f>'Statement Y'!D31+'Statement Y'!D32</f>
        <v>0</v>
      </c>
      <c r="E26" s="133">
        <f>'Statement Y'!E31+'Statement Y'!E32</f>
        <v>0</v>
      </c>
      <c r="F26" s="133">
        <f>'Statement Y'!F31+'Statement Y'!F32</f>
        <v>0</v>
      </c>
      <c r="G26" s="133">
        <f>'Statement Y'!G31+'Statement Y'!G32</f>
        <v>0</v>
      </c>
      <c r="H26" s="133">
        <f>'Statement Y'!H31+'Statement Y'!H32</f>
        <v>0</v>
      </c>
      <c r="I26" s="133">
        <f>'Statement Y'!I31+'Statement Y'!I32</f>
        <v>0</v>
      </c>
      <c r="J26" s="133">
        <f>'Statement Y'!J31+'Statement Y'!J32</f>
        <v>0</v>
      </c>
      <c r="K26" s="133">
        <f>'Statement Y'!K31+'Statement Y'!K32</f>
        <v>0</v>
      </c>
      <c r="L26" s="133">
        <f>'Statement Y'!L31+'Statement Y'!L32</f>
        <v>0</v>
      </c>
      <c r="N26" s="133">
        <f>'Statement Q'!C27+'Statement Q'!C28</f>
        <v>0</v>
      </c>
      <c r="O26" s="133">
        <f>'Statement Q'!D27+'Statement Q'!D28</f>
        <v>0</v>
      </c>
      <c r="P26" s="133">
        <f>'Statement Q'!E27+'Statement Q'!E28</f>
        <v>0</v>
      </c>
      <c r="Q26" s="133">
        <f>'Statement Q'!F27+'Statement Q'!F28</f>
        <v>0</v>
      </c>
      <c r="R26" s="133">
        <f>'Statement Q'!G27+'Statement Q'!G28</f>
        <v>0</v>
      </c>
      <c r="S26" s="133">
        <f>'Statement Q'!H27+'Statement Q'!H28</f>
        <v>0</v>
      </c>
      <c r="T26" s="133">
        <f>'Statement Q'!I27+'Statement Q'!I28</f>
        <v>0</v>
      </c>
      <c r="U26" s="133">
        <f>'Statement Q'!J27+'Statement Q'!J28</f>
        <v>0</v>
      </c>
      <c r="W26" s="133">
        <f>U26</f>
        <v>0</v>
      </c>
    </row>
    <row r="27" spans="2:23" outlineLevel="1" x14ac:dyDescent="0.2">
      <c r="B27" s="9" t="s">
        <v>21</v>
      </c>
      <c r="C27" s="133">
        <f>'Statement Y'!C33</f>
        <v>0</v>
      </c>
      <c r="D27" s="133">
        <f>'Statement Y'!D33</f>
        <v>0</v>
      </c>
      <c r="E27" s="133">
        <f>'Statement Y'!E33</f>
        <v>0</v>
      </c>
      <c r="F27" s="133">
        <f>'Statement Y'!F33</f>
        <v>0</v>
      </c>
      <c r="G27" s="133">
        <f>'Statement Y'!G33</f>
        <v>0</v>
      </c>
      <c r="H27" s="133">
        <f>'Statement Y'!H33</f>
        <v>0</v>
      </c>
      <c r="I27" s="133">
        <f>'Statement Y'!I33</f>
        <v>0</v>
      </c>
      <c r="J27" s="133">
        <f>'Statement Y'!J33</f>
        <v>0</v>
      </c>
      <c r="K27" s="133">
        <f>'Statement Y'!K33</f>
        <v>0</v>
      </c>
      <c r="L27" s="133">
        <f>'Statement Y'!L33</f>
        <v>0</v>
      </c>
      <c r="N27" s="133">
        <f>'Statement Q'!C29</f>
        <v>0</v>
      </c>
      <c r="O27" s="133">
        <f>'Statement Q'!D29</f>
        <v>0</v>
      </c>
      <c r="P27" s="133">
        <f>'Statement Q'!E29</f>
        <v>0</v>
      </c>
      <c r="Q27" s="133">
        <f>'Statement Q'!F29</f>
        <v>0</v>
      </c>
      <c r="R27" s="133">
        <f>'Statement Q'!G29</f>
        <v>0</v>
      </c>
      <c r="S27" s="133">
        <f>'Statement Q'!H29</f>
        <v>0</v>
      </c>
      <c r="T27" s="133">
        <f>'Statement Q'!I29</f>
        <v>0</v>
      </c>
      <c r="U27" s="133">
        <f>'Statement Q'!J29</f>
        <v>0</v>
      </c>
      <c r="W27" s="133">
        <f t="shared" ref="W27:W51" si="3">U27</f>
        <v>0</v>
      </c>
    </row>
    <row r="28" spans="2:23" outlineLevel="1" x14ac:dyDescent="0.2">
      <c r="B28" s="9" t="s">
        <v>229</v>
      </c>
      <c r="C28" s="133">
        <f>'Statement Y'!C34</f>
        <v>0</v>
      </c>
      <c r="D28" s="133">
        <f>'Statement Y'!D34</f>
        <v>0</v>
      </c>
      <c r="E28" s="133">
        <f>'Statement Y'!E34</f>
        <v>0</v>
      </c>
      <c r="F28" s="133">
        <f>'Statement Y'!F34</f>
        <v>0</v>
      </c>
      <c r="G28" s="133">
        <f>'Statement Y'!G34</f>
        <v>0</v>
      </c>
      <c r="H28" s="133">
        <f>'Statement Y'!H34</f>
        <v>0</v>
      </c>
      <c r="I28" s="133">
        <f>'Statement Y'!I34</f>
        <v>0</v>
      </c>
      <c r="J28" s="133">
        <f>'Statement Y'!J34</f>
        <v>0</v>
      </c>
      <c r="K28" s="133">
        <f>'Statement Y'!K34</f>
        <v>0</v>
      </c>
      <c r="L28" s="133">
        <f>'Statement Y'!L34</f>
        <v>0</v>
      </c>
      <c r="N28" s="133">
        <f>'Statement Q'!C30</f>
        <v>0</v>
      </c>
      <c r="O28" s="133">
        <f>'Statement Q'!D30</f>
        <v>0</v>
      </c>
      <c r="P28" s="133">
        <f>'Statement Q'!E30</f>
        <v>0</v>
      </c>
      <c r="Q28" s="133">
        <f>'Statement Q'!F30</f>
        <v>0</v>
      </c>
      <c r="R28" s="133">
        <f>'Statement Q'!G30</f>
        <v>0</v>
      </c>
      <c r="S28" s="133">
        <f>'Statement Q'!H30</f>
        <v>0</v>
      </c>
      <c r="T28" s="133">
        <f>'Statement Q'!I30</f>
        <v>0</v>
      </c>
      <c r="U28" s="133">
        <f>'Statement Q'!J30</f>
        <v>0</v>
      </c>
      <c r="W28" s="133">
        <f t="shared" si="3"/>
        <v>0</v>
      </c>
    </row>
    <row r="29" spans="2:23" outlineLevel="1" x14ac:dyDescent="0.2">
      <c r="B29" s="9" t="s">
        <v>230</v>
      </c>
      <c r="C29" s="133">
        <f>'Statement Y'!C35</f>
        <v>0</v>
      </c>
      <c r="D29" s="133">
        <f>'Statement Y'!D35</f>
        <v>0</v>
      </c>
      <c r="E29" s="133">
        <f>'Statement Y'!E35</f>
        <v>0</v>
      </c>
      <c r="F29" s="133">
        <f>'Statement Y'!F35</f>
        <v>0</v>
      </c>
      <c r="G29" s="133">
        <f>'Statement Y'!G35</f>
        <v>0</v>
      </c>
      <c r="H29" s="133">
        <f>'Statement Y'!H35</f>
        <v>0</v>
      </c>
      <c r="I29" s="133">
        <f>'Statement Y'!I35</f>
        <v>0</v>
      </c>
      <c r="J29" s="133">
        <f>'Statement Y'!J35</f>
        <v>0</v>
      </c>
      <c r="K29" s="133">
        <f>'Statement Y'!K35</f>
        <v>0</v>
      </c>
      <c r="L29" s="133">
        <f>'Statement Y'!L35</f>
        <v>0</v>
      </c>
      <c r="N29" s="133">
        <f>'Statement Q'!C31</f>
        <v>0</v>
      </c>
      <c r="O29" s="133">
        <f>'Statement Q'!D31</f>
        <v>0</v>
      </c>
      <c r="P29" s="133">
        <f>'Statement Q'!E31</f>
        <v>0</v>
      </c>
      <c r="Q29" s="133">
        <f>'Statement Q'!F31</f>
        <v>0</v>
      </c>
      <c r="R29" s="133">
        <f>'Statement Q'!G31</f>
        <v>0</v>
      </c>
      <c r="S29" s="133">
        <f>'Statement Q'!H31</f>
        <v>0</v>
      </c>
      <c r="T29" s="133">
        <f>'Statement Q'!I31</f>
        <v>0</v>
      </c>
      <c r="U29" s="133">
        <f>'Statement Q'!J31</f>
        <v>0</v>
      </c>
      <c r="W29" s="133">
        <f t="shared" si="3"/>
        <v>0</v>
      </c>
    </row>
    <row r="30" spans="2:23" outlineLevel="1" x14ac:dyDescent="0.2">
      <c r="B30" s="9" t="s">
        <v>231</v>
      </c>
      <c r="C30" s="133">
        <f>'Statement Y'!C36</f>
        <v>0</v>
      </c>
      <c r="D30" s="133">
        <f>'Statement Y'!D36</f>
        <v>0</v>
      </c>
      <c r="E30" s="133">
        <f>'Statement Y'!E36</f>
        <v>0</v>
      </c>
      <c r="F30" s="133">
        <f>'Statement Y'!F36</f>
        <v>0</v>
      </c>
      <c r="G30" s="133">
        <f>'Statement Y'!G36</f>
        <v>0</v>
      </c>
      <c r="H30" s="133">
        <f>'Statement Y'!H36</f>
        <v>0</v>
      </c>
      <c r="I30" s="133">
        <f>'Statement Y'!I36</f>
        <v>0</v>
      </c>
      <c r="J30" s="133">
        <f>'Statement Y'!J36</f>
        <v>0</v>
      </c>
      <c r="K30" s="133">
        <f>'Statement Y'!K36</f>
        <v>0</v>
      </c>
      <c r="L30" s="133">
        <f>'Statement Y'!L36</f>
        <v>0</v>
      </c>
      <c r="N30" s="133">
        <f>'Statement Q'!C32</f>
        <v>0</v>
      </c>
      <c r="O30" s="133">
        <f>'Statement Q'!D32</f>
        <v>0</v>
      </c>
      <c r="P30" s="133">
        <f>'Statement Q'!E32</f>
        <v>0</v>
      </c>
      <c r="Q30" s="133">
        <f>'Statement Q'!F32</f>
        <v>0</v>
      </c>
      <c r="R30" s="133">
        <f>'Statement Q'!G32</f>
        <v>0</v>
      </c>
      <c r="S30" s="133">
        <f>'Statement Q'!H32</f>
        <v>0</v>
      </c>
      <c r="T30" s="133">
        <f>'Statement Q'!I32</f>
        <v>0</v>
      </c>
      <c r="U30" s="133">
        <f>'Statement Q'!J32</f>
        <v>0</v>
      </c>
      <c r="W30" s="133">
        <f t="shared" si="3"/>
        <v>0</v>
      </c>
    </row>
    <row r="31" spans="2:23" outlineLevel="1" x14ac:dyDescent="0.2">
      <c r="B31" s="11" t="s">
        <v>22</v>
      </c>
      <c r="C31" s="156">
        <f>'Statement Y'!C37</f>
        <v>0</v>
      </c>
      <c r="D31" s="156">
        <f>'Statement Y'!D37</f>
        <v>0</v>
      </c>
      <c r="E31" s="156">
        <f>'Statement Y'!E37</f>
        <v>0</v>
      </c>
      <c r="F31" s="156">
        <f>'Statement Y'!F37</f>
        <v>0</v>
      </c>
      <c r="G31" s="156">
        <f>'Statement Y'!G37</f>
        <v>0</v>
      </c>
      <c r="H31" s="156">
        <f>'Statement Y'!H37</f>
        <v>0</v>
      </c>
      <c r="I31" s="156">
        <f>'Statement Y'!I37</f>
        <v>0</v>
      </c>
      <c r="J31" s="156">
        <f>'Statement Y'!J37</f>
        <v>0</v>
      </c>
      <c r="K31" s="156">
        <f>'Statement Y'!K37</f>
        <v>0</v>
      </c>
      <c r="L31" s="156">
        <f>'Statement Y'!L37</f>
        <v>0</v>
      </c>
      <c r="N31" s="156">
        <f>'Statement Q'!C33</f>
        <v>0</v>
      </c>
      <c r="O31" s="156">
        <f>'Statement Q'!D33</f>
        <v>0</v>
      </c>
      <c r="P31" s="156">
        <f>'Statement Q'!E33</f>
        <v>0</v>
      </c>
      <c r="Q31" s="156">
        <f>'Statement Q'!F33</f>
        <v>0</v>
      </c>
      <c r="R31" s="156">
        <f>'Statement Q'!G33</f>
        <v>0</v>
      </c>
      <c r="S31" s="156">
        <f>'Statement Q'!H33</f>
        <v>0</v>
      </c>
      <c r="T31" s="156">
        <f>'Statement Q'!I33</f>
        <v>0</v>
      </c>
      <c r="U31" s="156">
        <f>'Statement Q'!J33</f>
        <v>0</v>
      </c>
      <c r="W31" s="156">
        <f t="shared" si="3"/>
        <v>0</v>
      </c>
    </row>
    <row r="32" spans="2:23" outlineLevel="1" x14ac:dyDescent="0.2">
      <c r="B32" s="9" t="s">
        <v>228</v>
      </c>
      <c r="C32" s="133">
        <f>'Statement Y'!C38</f>
        <v>0</v>
      </c>
      <c r="D32" s="133">
        <f>'Statement Y'!D38</f>
        <v>0</v>
      </c>
      <c r="E32" s="133">
        <f>'Statement Y'!E38</f>
        <v>0</v>
      </c>
      <c r="F32" s="133">
        <f>'Statement Y'!F38</f>
        <v>0</v>
      </c>
      <c r="G32" s="133">
        <f>'Statement Y'!G38</f>
        <v>0</v>
      </c>
      <c r="H32" s="133">
        <f>'Statement Y'!H38</f>
        <v>0</v>
      </c>
      <c r="I32" s="133">
        <f>'Statement Y'!I38</f>
        <v>0</v>
      </c>
      <c r="J32" s="133">
        <f>'Statement Y'!J38</f>
        <v>0</v>
      </c>
      <c r="K32" s="133">
        <f>'Statement Y'!K38</f>
        <v>0</v>
      </c>
      <c r="L32" s="133">
        <f>'Statement Y'!L38</f>
        <v>0</v>
      </c>
      <c r="N32" s="133">
        <f>'Statement Q'!C34</f>
        <v>0</v>
      </c>
      <c r="O32" s="133">
        <f>'Statement Q'!D34</f>
        <v>0</v>
      </c>
      <c r="P32" s="133">
        <f>'Statement Q'!E34</f>
        <v>0</v>
      </c>
      <c r="Q32" s="133">
        <f>'Statement Q'!F34</f>
        <v>0</v>
      </c>
      <c r="R32" s="133">
        <f>'Statement Q'!G34</f>
        <v>0</v>
      </c>
      <c r="S32" s="133">
        <f>'Statement Q'!H34</f>
        <v>0</v>
      </c>
      <c r="T32" s="133">
        <f>'Statement Q'!I34</f>
        <v>0</v>
      </c>
      <c r="U32" s="133">
        <f>'Statement Q'!J34</f>
        <v>0</v>
      </c>
      <c r="W32" s="133">
        <f t="shared" si="3"/>
        <v>0</v>
      </c>
    </row>
    <row r="33" spans="2:23" outlineLevel="1" x14ac:dyDescent="0.2">
      <c r="B33" s="9" t="s">
        <v>23</v>
      </c>
      <c r="C33" s="133">
        <f>'Statement Y'!C39</f>
        <v>0</v>
      </c>
      <c r="D33" s="133">
        <f>'Statement Y'!D39</f>
        <v>0</v>
      </c>
      <c r="E33" s="133">
        <f>'Statement Y'!E39</f>
        <v>0</v>
      </c>
      <c r="F33" s="133">
        <f>'Statement Y'!F39</f>
        <v>0</v>
      </c>
      <c r="G33" s="133">
        <f>'Statement Y'!G39</f>
        <v>0</v>
      </c>
      <c r="H33" s="133">
        <f>'Statement Y'!H39</f>
        <v>0</v>
      </c>
      <c r="I33" s="133">
        <f>'Statement Y'!I39</f>
        <v>0</v>
      </c>
      <c r="J33" s="133">
        <f>'Statement Y'!J39</f>
        <v>0</v>
      </c>
      <c r="K33" s="133">
        <f>'Statement Y'!K39</f>
        <v>0</v>
      </c>
      <c r="L33" s="133">
        <f>'Statement Y'!L39</f>
        <v>0</v>
      </c>
      <c r="N33" s="133">
        <f>'Statement Q'!C35</f>
        <v>0</v>
      </c>
      <c r="O33" s="133">
        <f>'Statement Q'!D35</f>
        <v>0</v>
      </c>
      <c r="P33" s="133">
        <f>'Statement Q'!E35</f>
        <v>0</v>
      </c>
      <c r="Q33" s="133">
        <f>'Statement Q'!F35</f>
        <v>0</v>
      </c>
      <c r="R33" s="133">
        <f>'Statement Q'!G35</f>
        <v>0</v>
      </c>
      <c r="S33" s="133">
        <f>'Statement Q'!H35</f>
        <v>0</v>
      </c>
      <c r="T33" s="133">
        <f>'Statement Q'!I35</f>
        <v>0</v>
      </c>
      <c r="U33" s="133">
        <f>'Statement Q'!J35</f>
        <v>0</v>
      </c>
      <c r="W33" s="133">
        <f t="shared" si="3"/>
        <v>0</v>
      </c>
    </row>
    <row r="34" spans="2:23" outlineLevel="1" x14ac:dyDescent="0.2">
      <c r="B34" s="9" t="s">
        <v>24</v>
      </c>
      <c r="C34" s="133">
        <f>'Statement Y'!C40</f>
        <v>0</v>
      </c>
      <c r="D34" s="133">
        <f>'Statement Y'!D40</f>
        <v>0</v>
      </c>
      <c r="E34" s="133">
        <f>'Statement Y'!E40</f>
        <v>0</v>
      </c>
      <c r="F34" s="133">
        <f>'Statement Y'!F40</f>
        <v>0</v>
      </c>
      <c r="G34" s="133">
        <f>'Statement Y'!G40</f>
        <v>0</v>
      </c>
      <c r="H34" s="133">
        <f>'Statement Y'!H40</f>
        <v>0</v>
      </c>
      <c r="I34" s="133">
        <f>'Statement Y'!I40</f>
        <v>0</v>
      </c>
      <c r="J34" s="133">
        <f>'Statement Y'!J40</f>
        <v>0</v>
      </c>
      <c r="K34" s="133">
        <f>'Statement Y'!K40</f>
        <v>0</v>
      </c>
      <c r="L34" s="133">
        <f>'Statement Y'!L40</f>
        <v>0</v>
      </c>
      <c r="N34" s="133">
        <f>'Statement Q'!C36</f>
        <v>0</v>
      </c>
      <c r="O34" s="133">
        <f>'Statement Q'!D36</f>
        <v>0</v>
      </c>
      <c r="P34" s="133">
        <f>'Statement Q'!E36</f>
        <v>0</v>
      </c>
      <c r="Q34" s="133">
        <f>'Statement Q'!F36</f>
        <v>0</v>
      </c>
      <c r="R34" s="133">
        <f>'Statement Q'!G36</f>
        <v>0</v>
      </c>
      <c r="S34" s="133">
        <f>'Statement Q'!H36</f>
        <v>0</v>
      </c>
      <c r="T34" s="133">
        <f>'Statement Q'!I36</f>
        <v>0</v>
      </c>
      <c r="U34" s="133">
        <f>'Statement Q'!J36</f>
        <v>0</v>
      </c>
      <c r="W34" s="133">
        <f t="shared" si="3"/>
        <v>0</v>
      </c>
    </row>
    <row r="35" spans="2:23" outlineLevel="1" x14ac:dyDescent="0.2">
      <c r="B35" s="11" t="s">
        <v>25</v>
      </c>
      <c r="C35" s="156">
        <f>'Statement Y'!C41</f>
        <v>0</v>
      </c>
      <c r="D35" s="156">
        <f>'Statement Y'!D41</f>
        <v>0</v>
      </c>
      <c r="E35" s="156">
        <f>'Statement Y'!E41</f>
        <v>0</v>
      </c>
      <c r="F35" s="156">
        <f>'Statement Y'!F41</f>
        <v>0</v>
      </c>
      <c r="G35" s="156">
        <f>'Statement Y'!G41</f>
        <v>0</v>
      </c>
      <c r="H35" s="156">
        <f>'Statement Y'!H41</f>
        <v>0</v>
      </c>
      <c r="I35" s="156">
        <f>'Statement Y'!I41</f>
        <v>0</v>
      </c>
      <c r="J35" s="156">
        <f>'Statement Y'!J41</f>
        <v>0</v>
      </c>
      <c r="K35" s="156">
        <f>'Statement Y'!K41</f>
        <v>0</v>
      </c>
      <c r="L35" s="156">
        <f>'Statement Y'!L41</f>
        <v>0</v>
      </c>
      <c r="N35" s="156">
        <f>'Statement Q'!C37</f>
        <v>0</v>
      </c>
      <c r="O35" s="156">
        <f>'Statement Q'!D37</f>
        <v>0</v>
      </c>
      <c r="P35" s="156">
        <f>'Statement Q'!E37</f>
        <v>0</v>
      </c>
      <c r="Q35" s="156">
        <f>'Statement Q'!F37</f>
        <v>0</v>
      </c>
      <c r="R35" s="156">
        <f>'Statement Q'!G37</f>
        <v>0</v>
      </c>
      <c r="S35" s="156">
        <f>'Statement Q'!H37</f>
        <v>0</v>
      </c>
      <c r="T35" s="156">
        <f>'Statement Q'!I37</f>
        <v>0</v>
      </c>
      <c r="U35" s="156">
        <f>'Statement Q'!J37</f>
        <v>0</v>
      </c>
      <c r="W35" s="156">
        <f t="shared" si="3"/>
        <v>0</v>
      </c>
    </row>
    <row r="36" spans="2:23" outlineLevel="1" x14ac:dyDescent="0.2">
      <c r="B36" s="17" t="s">
        <v>26</v>
      </c>
      <c r="C36" s="153">
        <f>'Statement Y'!C42</f>
        <v>0</v>
      </c>
      <c r="D36" s="153">
        <f>'Statement Y'!D42</f>
        <v>0</v>
      </c>
      <c r="E36" s="153">
        <f>'Statement Y'!E42</f>
        <v>0</v>
      </c>
      <c r="F36" s="153">
        <f>'Statement Y'!F42</f>
        <v>0</v>
      </c>
      <c r="G36" s="153">
        <f>'Statement Y'!G42</f>
        <v>0</v>
      </c>
      <c r="H36" s="153">
        <f>'Statement Y'!H42</f>
        <v>0</v>
      </c>
      <c r="I36" s="153">
        <f>'Statement Y'!I42</f>
        <v>0</v>
      </c>
      <c r="J36" s="153">
        <f>'Statement Y'!J42</f>
        <v>0</v>
      </c>
      <c r="K36" s="153">
        <f>'Statement Y'!K42</f>
        <v>0</v>
      </c>
      <c r="L36" s="153">
        <f>'Statement Y'!L42</f>
        <v>0</v>
      </c>
      <c r="N36" s="153">
        <f>'Statement Q'!C38</f>
        <v>0</v>
      </c>
      <c r="O36" s="153">
        <f>'Statement Q'!D38</f>
        <v>0</v>
      </c>
      <c r="P36" s="153">
        <f>'Statement Q'!E38</f>
        <v>0</v>
      </c>
      <c r="Q36" s="153">
        <f>'Statement Q'!F38</f>
        <v>0</v>
      </c>
      <c r="R36" s="153">
        <f>'Statement Q'!G38</f>
        <v>0</v>
      </c>
      <c r="S36" s="153">
        <f>'Statement Q'!H38</f>
        <v>0</v>
      </c>
      <c r="T36" s="153">
        <f>'Statement Q'!I38</f>
        <v>0</v>
      </c>
      <c r="U36" s="153">
        <f>'Statement Q'!J38</f>
        <v>0</v>
      </c>
      <c r="W36" s="153">
        <f t="shared" si="3"/>
        <v>0</v>
      </c>
    </row>
    <row r="37" spans="2:23" outlineLevel="1" x14ac:dyDescent="0.2">
      <c r="B37" s="9" t="s">
        <v>27</v>
      </c>
      <c r="C37" s="133">
        <f>'Statement Y'!C43</f>
        <v>0</v>
      </c>
      <c r="D37" s="133">
        <f>'Statement Y'!D43</f>
        <v>0</v>
      </c>
      <c r="E37" s="133">
        <f>'Statement Y'!E43</f>
        <v>0</v>
      </c>
      <c r="F37" s="133">
        <f>'Statement Y'!F43</f>
        <v>0</v>
      </c>
      <c r="G37" s="133">
        <f>'Statement Y'!G43</f>
        <v>0</v>
      </c>
      <c r="H37" s="133">
        <f>'Statement Y'!H43</f>
        <v>0</v>
      </c>
      <c r="I37" s="133">
        <f>'Statement Y'!I43</f>
        <v>0</v>
      </c>
      <c r="J37" s="133">
        <f>'Statement Y'!J43</f>
        <v>0</v>
      </c>
      <c r="K37" s="133">
        <f>'Statement Y'!K43</f>
        <v>0</v>
      </c>
      <c r="L37" s="133">
        <f>'Statement Y'!L43</f>
        <v>0</v>
      </c>
      <c r="N37" s="133">
        <f>'Statement Q'!C39</f>
        <v>0</v>
      </c>
      <c r="O37" s="133">
        <f>'Statement Q'!D39</f>
        <v>0</v>
      </c>
      <c r="P37" s="133">
        <f>'Statement Q'!E39</f>
        <v>0</v>
      </c>
      <c r="Q37" s="133">
        <f>'Statement Q'!F39</f>
        <v>0</v>
      </c>
      <c r="R37" s="133">
        <f>'Statement Q'!G39</f>
        <v>0</v>
      </c>
      <c r="S37" s="133">
        <f>'Statement Q'!H39</f>
        <v>0</v>
      </c>
      <c r="T37" s="133">
        <f>'Statement Q'!I39</f>
        <v>0</v>
      </c>
      <c r="U37" s="133">
        <f>'Statement Q'!J39</f>
        <v>0</v>
      </c>
      <c r="W37" s="133">
        <f t="shared" si="3"/>
        <v>0</v>
      </c>
    </row>
    <row r="38" spans="2:23" outlineLevel="1" x14ac:dyDescent="0.2">
      <c r="B38" s="9" t="s">
        <v>232</v>
      </c>
      <c r="C38" s="133">
        <f>'Statement Y'!C44</f>
        <v>0</v>
      </c>
      <c r="D38" s="133">
        <f>'Statement Y'!D44</f>
        <v>0</v>
      </c>
      <c r="E38" s="133">
        <f>'Statement Y'!E44</f>
        <v>0</v>
      </c>
      <c r="F38" s="133">
        <f>'Statement Y'!F44</f>
        <v>0</v>
      </c>
      <c r="G38" s="133">
        <f>'Statement Y'!G44</f>
        <v>0</v>
      </c>
      <c r="H38" s="133">
        <f>'Statement Y'!H44</f>
        <v>0</v>
      </c>
      <c r="I38" s="133">
        <f>'Statement Y'!I44</f>
        <v>0</v>
      </c>
      <c r="J38" s="133">
        <f>'Statement Y'!J44</f>
        <v>0</v>
      </c>
      <c r="K38" s="133">
        <f>'Statement Y'!K44</f>
        <v>0</v>
      </c>
      <c r="L38" s="133">
        <f>'Statement Y'!L44</f>
        <v>0</v>
      </c>
      <c r="N38" s="133">
        <f>'Statement Q'!C40</f>
        <v>0</v>
      </c>
      <c r="O38" s="133">
        <f>'Statement Q'!D40</f>
        <v>0</v>
      </c>
      <c r="P38" s="133">
        <f>'Statement Q'!E40</f>
        <v>0</v>
      </c>
      <c r="Q38" s="133">
        <f>'Statement Q'!F40</f>
        <v>0</v>
      </c>
      <c r="R38" s="133">
        <f>'Statement Q'!G40</f>
        <v>0</v>
      </c>
      <c r="S38" s="133">
        <f>'Statement Q'!H40</f>
        <v>0</v>
      </c>
      <c r="T38" s="133">
        <f>'Statement Q'!I40</f>
        <v>0</v>
      </c>
      <c r="U38" s="133">
        <f>'Statement Q'!J40</f>
        <v>0</v>
      </c>
      <c r="W38" s="133">
        <f t="shared" si="3"/>
        <v>0</v>
      </c>
    </row>
    <row r="39" spans="2:23" outlineLevel="1" x14ac:dyDescent="0.2">
      <c r="B39" s="9" t="s">
        <v>95</v>
      </c>
      <c r="C39" s="133">
        <f>'Statement Y'!C45</f>
        <v>0</v>
      </c>
      <c r="D39" s="133">
        <f>'Statement Y'!D45</f>
        <v>0</v>
      </c>
      <c r="E39" s="133">
        <f>'Statement Y'!E45</f>
        <v>0</v>
      </c>
      <c r="F39" s="133">
        <f>'Statement Y'!F45</f>
        <v>0</v>
      </c>
      <c r="G39" s="133">
        <f>'Statement Y'!G45</f>
        <v>0</v>
      </c>
      <c r="H39" s="133">
        <f>'Statement Y'!H45</f>
        <v>0</v>
      </c>
      <c r="I39" s="133">
        <f>'Statement Y'!I45</f>
        <v>0</v>
      </c>
      <c r="J39" s="133">
        <f>'Statement Y'!J45</f>
        <v>0</v>
      </c>
      <c r="K39" s="133">
        <f>'Statement Y'!K45</f>
        <v>0</v>
      </c>
      <c r="L39" s="133">
        <f>'Statement Y'!L45</f>
        <v>0</v>
      </c>
      <c r="N39" s="133">
        <f>'Statement Q'!C41</f>
        <v>0</v>
      </c>
      <c r="O39" s="133">
        <f>'Statement Q'!D41</f>
        <v>0</v>
      </c>
      <c r="P39" s="133">
        <f>'Statement Q'!E41</f>
        <v>0</v>
      </c>
      <c r="Q39" s="133">
        <f>'Statement Q'!F41</f>
        <v>0</v>
      </c>
      <c r="R39" s="133">
        <f>'Statement Q'!G41</f>
        <v>0</v>
      </c>
      <c r="S39" s="133">
        <f>'Statement Q'!H41</f>
        <v>0</v>
      </c>
      <c r="T39" s="133">
        <f>'Statement Q'!I41</f>
        <v>0</v>
      </c>
      <c r="U39" s="133">
        <f>'Statement Q'!J41</f>
        <v>0</v>
      </c>
      <c r="W39" s="133">
        <f t="shared" si="3"/>
        <v>0</v>
      </c>
    </row>
    <row r="40" spans="2:23" outlineLevel="1" x14ac:dyDescent="0.2">
      <c r="B40" s="9" t="s">
        <v>233</v>
      </c>
      <c r="C40" s="133">
        <f>'Statement Y'!C46</f>
        <v>0</v>
      </c>
      <c r="D40" s="133">
        <f>'Statement Y'!D46</f>
        <v>0</v>
      </c>
      <c r="E40" s="133">
        <f>'Statement Y'!E46</f>
        <v>0</v>
      </c>
      <c r="F40" s="133">
        <f>'Statement Y'!F46</f>
        <v>0</v>
      </c>
      <c r="G40" s="133">
        <f>'Statement Y'!G46</f>
        <v>0</v>
      </c>
      <c r="H40" s="133">
        <f>'Statement Y'!H46</f>
        <v>0</v>
      </c>
      <c r="I40" s="133">
        <f>'Statement Y'!I46</f>
        <v>0</v>
      </c>
      <c r="J40" s="133">
        <f>'Statement Y'!J46</f>
        <v>0</v>
      </c>
      <c r="K40" s="133">
        <f>'Statement Y'!K46</f>
        <v>0</v>
      </c>
      <c r="L40" s="133">
        <f>'Statement Y'!L46</f>
        <v>0</v>
      </c>
      <c r="N40" s="133">
        <f>'Statement Q'!C42</f>
        <v>0</v>
      </c>
      <c r="O40" s="133">
        <f>'Statement Q'!D42</f>
        <v>0</v>
      </c>
      <c r="P40" s="133">
        <f>'Statement Q'!E42</f>
        <v>0</v>
      </c>
      <c r="Q40" s="133">
        <f>'Statement Q'!F42</f>
        <v>0</v>
      </c>
      <c r="R40" s="133">
        <f>'Statement Q'!G42</f>
        <v>0</v>
      </c>
      <c r="S40" s="133">
        <f>'Statement Q'!H42</f>
        <v>0</v>
      </c>
      <c r="T40" s="133">
        <f>'Statement Q'!I42</f>
        <v>0</v>
      </c>
      <c r="U40" s="133">
        <f>'Statement Q'!J42</f>
        <v>0</v>
      </c>
      <c r="W40" s="133">
        <f t="shared" si="3"/>
        <v>0</v>
      </c>
    </row>
    <row r="41" spans="2:23" outlineLevel="1" x14ac:dyDescent="0.2">
      <c r="B41" s="9" t="s">
        <v>234</v>
      </c>
      <c r="C41" s="133">
        <f>'Statement Y'!C47</f>
        <v>0</v>
      </c>
      <c r="D41" s="133">
        <f>'Statement Y'!D47</f>
        <v>0</v>
      </c>
      <c r="E41" s="133">
        <f>'Statement Y'!E47</f>
        <v>0</v>
      </c>
      <c r="F41" s="133">
        <f>'Statement Y'!F47</f>
        <v>0</v>
      </c>
      <c r="G41" s="133">
        <f>'Statement Y'!G47</f>
        <v>0</v>
      </c>
      <c r="H41" s="133">
        <f>'Statement Y'!H47</f>
        <v>0</v>
      </c>
      <c r="I41" s="133">
        <f>'Statement Y'!I47</f>
        <v>0</v>
      </c>
      <c r="J41" s="133">
        <f>'Statement Y'!J47</f>
        <v>0</v>
      </c>
      <c r="K41" s="133">
        <f>'Statement Y'!K47</f>
        <v>0</v>
      </c>
      <c r="L41" s="133">
        <f>'Statement Y'!L47</f>
        <v>0</v>
      </c>
      <c r="N41" s="133">
        <f>'Statement Q'!C43</f>
        <v>0</v>
      </c>
      <c r="O41" s="133">
        <f>'Statement Q'!D43</f>
        <v>0</v>
      </c>
      <c r="P41" s="133">
        <f>'Statement Q'!E43</f>
        <v>0</v>
      </c>
      <c r="Q41" s="133">
        <f>'Statement Q'!F43</f>
        <v>0</v>
      </c>
      <c r="R41" s="133">
        <f>'Statement Q'!G43</f>
        <v>0</v>
      </c>
      <c r="S41" s="133">
        <f>'Statement Q'!H43</f>
        <v>0</v>
      </c>
      <c r="T41" s="133">
        <f>'Statement Q'!I43</f>
        <v>0</v>
      </c>
      <c r="U41" s="133">
        <f>'Statement Q'!J43</f>
        <v>0</v>
      </c>
      <c r="W41" s="133">
        <f>U41</f>
        <v>0</v>
      </c>
    </row>
    <row r="42" spans="2:23" outlineLevel="1" x14ac:dyDescent="0.2">
      <c r="B42" s="11" t="s">
        <v>30</v>
      </c>
      <c r="C42" s="156">
        <f>'Statement Y'!C48</f>
        <v>0</v>
      </c>
      <c r="D42" s="156">
        <f>'Statement Y'!D48</f>
        <v>0</v>
      </c>
      <c r="E42" s="156">
        <f>'Statement Y'!E48</f>
        <v>0</v>
      </c>
      <c r="F42" s="156">
        <f>'Statement Y'!F48</f>
        <v>0</v>
      </c>
      <c r="G42" s="156">
        <f>'Statement Y'!G48</f>
        <v>0</v>
      </c>
      <c r="H42" s="156">
        <f>'Statement Y'!H48</f>
        <v>0</v>
      </c>
      <c r="I42" s="156">
        <f>'Statement Y'!I48</f>
        <v>0</v>
      </c>
      <c r="J42" s="156">
        <f>'Statement Y'!J48</f>
        <v>0</v>
      </c>
      <c r="K42" s="156">
        <f>'Statement Y'!K48</f>
        <v>0</v>
      </c>
      <c r="L42" s="156">
        <f>'Statement Y'!L48</f>
        <v>0</v>
      </c>
      <c r="N42" s="156">
        <f>'Statement Q'!C44</f>
        <v>0</v>
      </c>
      <c r="O42" s="156">
        <f>'Statement Q'!D44</f>
        <v>0</v>
      </c>
      <c r="P42" s="156">
        <f>'Statement Q'!E44</f>
        <v>0</v>
      </c>
      <c r="Q42" s="156">
        <f>'Statement Q'!F44</f>
        <v>0</v>
      </c>
      <c r="R42" s="156">
        <f>'Statement Q'!G44</f>
        <v>0</v>
      </c>
      <c r="S42" s="156">
        <f>'Statement Q'!H44</f>
        <v>0</v>
      </c>
      <c r="T42" s="156">
        <f>'Statement Q'!I44</f>
        <v>0</v>
      </c>
      <c r="U42" s="156">
        <f>'Statement Q'!J44</f>
        <v>0</v>
      </c>
      <c r="W42" s="156">
        <f t="shared" si="3"/>
        <v>0</v>
      </c>
    </row>
    <row r="43" spans="2:23" outlineLevel="1" x14ac:dyDescent="0.2">
      <c r="B43" s="9" t="s">
        <v>234</v>
      </c>
      <c r="C43" s="133">
        <f>'Statement Y'!C49</f>
        <v>0</v>
      </c>
      <c r="D43" s="133">
        <f>'Statement Y'!D49</f>
        <v>0</v>
      </c>
      <c r="E43" s="133">
        <f>'Statement Y'!E49</f>
        <v>0</v>
      </c>
      <c r="F43" s="133">
        <f>'Statement Y'!F49</f>
        <v>0</v>
      </c>
      <c r="G43" s="133">
        <f>'Statement Y'!G49</f>
        <v>0</v>
      </c>
      <c r="H43" s="133">
        <f>'Statement Y'!H49</f>
        <v>0</v>
      </c>
      <c r="I43" s="133">
        <f>'Statement Y'!I49</f>
        <v>0</v>
      </c>
      <c r="J43" s="133">
        <f>'Statement Y'!J49</f>
        <v>0</v>
      </c>
      <c r="K43" s="133">
        <f>'Statement Y'!K49</f>
        <v>0</v>
      </c>
      <c r="L43" s="133">
        <f>'Statement Y'!L49</f>
        <v>0</v>
      </c>
      <c r="N43" s="133">
        <f>'Statement Q'!C45</f>
        <v>0</v>
      </c>
      <c r="O43" s="133">
        <f>'Statement Q'!D45</f>
        <v>0</v>
      </c>
      <c r="P43" s="133">
        <f>'Statement Q'!E45</f>
        <v>0</v>
      </c>
      <c r="Q43" s="133">
        <f>'Statement Q'!F45</f>
        <v>0</v>
      </c>
      <c r="R43" s="133">
        <f>'Statement Q'!G45</f>
        <v>0</v>
      </c>
      <c r="S43" s="133">
        <f>'Statement Q'!H45</f>
        <v>0</v>
      </c>
      <c r="T43" s="133">
        <f>'Statement Q'!I45</f>
        <v>0</v>
      </c>
      <c r="U43" s="133">
        <f>'Statement Q'!J45</f>
        <v>0</v>
      </c>
      <c r="W43" s="133">
        <f t="shared" si="3"/>
        <v>0</v>
      </c>
    </row>
    <row r="44" spans="2:23" outlineLevel="1" x14ac:dyDescent="0.2">
      <c r="B44" s="9" t="s">
        <v>235</v>
      </c>
      <c r="C44" s="133">
        <f>'Statement Y'!C50</f>
        <v>0</v>
      </c>
      <c r="D44" s="133">
        <f>'Statement Y'!D50</f>
        <v>0</v>
      </c>
      <c r="E44" s="133">
        <f>'Statement Y'!E50</f>
        <v>0</v>
      </c>
      <c r="F44" s="133">
        <f>'Statement Y'!F50</f>
        <v>0</v>
      </c>
      <c r="G44" s="133">
        <f>'Statement Y'!G50</f>
        <v>0</v>
      </c>
      <c r="H44" s="133">
        <f>'Statement Y'!H50</f>
        <v>0</v>
      </c>
      <c r="I44" s="133">
        <f>'Statement Y'!I50</f>
        <v>0</v>
      </c>
      <c r="J44" s="133">
        <f>'Statement Y'!J50</f>
        <v>0</v>
      </c>
      <c r="K44" s="133">
        <f>'Statement Y'!K50</f>
        <v>0</v>
      </c>
      <c r="L44" s="133">
        <f>'Statement Y'!L50</f>
        <v>0</v>
      </c>
      <c r="N44" s="133">
        <f>'Statement Q'!C46</f>
        <v>0</v>
      </c>
      <c r="O44" s="133">
        <f>'Statement Q'!D46</f>
        <v>0</v>
      </c>
      <c r="P44" s="133">
        <f>'Statement Q'!E46</f>
        <v>0</v>
      </c>
      <c r="Q44" s="133">
        <f>'Statement Q'!F46</f>
        <v>0</v>
      </c>
      <c r="R44" s="133">
        <f>'Statement Q'!G46</f>
        <v>0</v>
      </c>
      <c r="S44" s="133">
        <f>'Statement Q'!H46</f>
        <v>0</v>
      </c>
      <c r="T44" s="133">
        <f>'Statement Q'!I46</f>
        <v>0</v>
      </c>
      <c r="U44" s="133">
        <f>'Statement Q'!J46</f>
        <v>0</v>
      </c>
      <c r="W44" s="133">
        <f t="shared" si="3"/>
        <v>0</v>
      </c>
    </row>
    <row r="45" spans="2:23" outlineLevel="1" x14ac:dyDescent="0.2">
      <c r="B45" s="11" t="s">
        <v>28</v>
      </c>
      <c r="C45" s="156">
        <f>'Statement Y'!C51</f>
        <v>0</v>
      </c>
      <c r="D45" s="156">
        <f>'Statement Y'!D51</f>
        <v>0</v>
      </c>
      <c r="E45" s="156">
        <f>'Statement Y'!E51</f>
        <v>0</v>
      </c>
      <c r="F45" s="156">
        <f>'Statement Y'!F51</f>
        <v>0</v>
      </c>
      <c r="G45" s="156">
        <f>'Statement Y'!G51</f>
        <v>0</v>
      </c>
      <c r="H45" s="156">
        <f>'Statement Y'!H51</f>
        <v>0</v>
      </c>
      <c r="I45" s="156">
        <f>'Statement Y'!I51</f>
        <v>0</v>
      </c>
      <c r="J45" s="156">
        <f>'Statement Y'!J51</f>
        <v>0</v>
      </c>
      <c r="K45" s="156">
        <f>'Statement Y'!K51</f>
        <v>0</v>
      </c>
      <c r="L45" s="156">
        <f>'Statement Y'!L51</f>
        <v>0</v>
      </c>
      <c r="N45" s="156">
        <f>'Statement Q'!C47</f>
        <v>0</v>
      </c>
      <c r="O45" s="156">
        <f>'Statement Q'!D47</f>
        <v>0</v>
      </c>
      <c r="P45" s="156">
        <f>'Statement Q'!E47</f>
        <v>0</v>
      </c>
      <c r="Q45" s="156">
        <f>'Statement Q'!F47</f>
        <v>0</v>
      </c>
      <c r="R45" s="156">
        <f>'Statement Q'!G47</f>
        <v>0</v>
      </c>
      <c r="S45" s="156">
        <f>'Statement Q'!H47</f>
        <v>0</v>
      </c>
      <c r="T45" s="156">
        <f>'Statement Q'!I47</f>
        <v>0</v>
      </c>
      <c r="U45" s="156">
        <f>'Statement Q'!J47</f>
        <v>0</v>
      </c>
      <c r="W45" s="156">
        <f t="shared" si="3"/>
        <v>0</v>
      </c>
    </row>
    <row r="46" spans="2:23" outlineLevel="1" x14ac:dyDescent="0.2">
      <c r="B46" s="17" t="s">
        <v>29</v>
      </c>
      <c r="C46" s="153">
        <f>'Statement Y'!C52</f>
        <v>0</v>
      </c>
      <c r="D46" s="153">
        <f>'Statement Y'!D52</f>
        <v>0</v>
      </c>
      <c r="E46" s="153">
        <f>'Statement Y'!E52</f>
        <v>0</v>
      </c>
      <c r="F46" s="153">
        <f>'Statement Y'!F52</f>
        <v>0</v>
      </c>
      <c r="G46" s="153">
        <f>'Statement Y'!G52</f>
        <v>0</v>
      </c>
      <c r="H46" s="153">
        <f>'Statement Y'!H52</f>
        <v>0</v>
      </c>
      <c r="I46" s="153">
        <f>'Statement Y'!I52</f>
        <v>0</v>
      </c>
      <c r="J46" s="153">
        <f>'Statement Y'!J52</f>
        <v>0</v>
      </c>
      <c r="K46" s="153">
        <f>'Statement Y'!K52</f>
        <v>0</v>
      </c>
      <c r="L46" s="153">
        <f>'Statement Y'!L52</f>
        <v>0</v>
      </c>
      <c r="N46" s="153">
        <f>'Statement Q'!C48</f>
        <v>0</v>
      </c>
      <c r="O46" s="153">
        <f>'Statement Q'!D48</f>
        <v>0</v>
      </c>
      <c r="P46" s="153">
        <f>'Statement Q'!E48</f>
        <v>0</v>
      </c>
      <c r="Q46" s="153">
        <f>'Statement Q'!F48</f>
        <v>0</v>
      </c>
      <c r="R46" s="153">
        <f>'Statement Q'!G48</f>
        <v>0</v>
      </c>
      <c r="S46" s="153">
        <f>'Statement Q'!H48</f>
        <v>0</v>
      </c>
      <c r="T46" s="153">
        <f>'Statement Q'!I48</f>
        <v>0</v>
      </c>
      <c r="U46" s="153">
        <f>'Statement Q'!J48</f>
        <v>0</v>
      </c>
      <c r="W46" s="153">
        <f t="shared" si="3"/>
        <v>0</v>
      </c>
    </row>
    <row r="47" spans="2:23" outlineLevel="1" x14ac:dyDescent="0.2">
      <c r="B47" s="9" t="s">
        <v>237</v>
      </c>
      <c r="C47" s="133">
        <f>'Statement Y'!C53</f>
        <v>0</v>
      </c>
      <c r="D47" s="133">
        <f>'Statement Y'!D53</f>
        <v>0</v>
      </c>
      <c r="E47" s="133">
        <f>'Statement Y'!E53</f>
        <v>0</v>
      </c>
      <c r="F47" s="133">
        <f>'Statement Y'!F53</f>
        <v>0</v>
      </c>
      <c r="G47" s="133">
        <f>'Statement Y'!G53</f>
        <v>0</v>
      </c>
      <c r="H47" s="133">
        <f>'Statement Y'!H53</f>
        <v>0</v>
      </c>
      <c r="I47" s="133">
        <f>'Statement Y'!I53</f>
        <v>0</v>
      </c>
      <c r="J47" s="133">
        <f>'Statement Y'!J53</f>
        <v>0</v>
      </c>
      <c r="K47" s="133">
        <f>'Statement Y'!K53</f>
        <v>0</v>
      </c>
      <c r="L47" s="133">
        <f>'Statement Y'!L53</f>
        <v>0</v>
      </c>
      <c r="N47" s="133">
        <f>'Statement Q'!C49</f>
        <v>0</v>
      </c>
      <c r="O47" s="133">
        <f>'Statement Q'!D49</f>
        <v>0</v>
      </c>
      <c r="P47" s="133">
        <f>'Statement Q'!E49</f>
        <v>0</v>
      </c>
      <c r="Q47" s="133">
        <f>'Statement Q'!F49</f>
        <v>0</v>
      </c>
      <c r="R47" s="133">
        <f>'Statement Q'!G49</f>
        <v>0</v>
      </c>
      <c r="S47" s="133">
        <f>'Statement Q'!H49</f>
        <v>0</v>
      </c>
      <c r="T47" s="133">
        <f>'Statement Q'!I49</f>
        <v>0</v>
      </c>
      <c r="U47" s="133">
        <f>'Statement Q'!J49</f>
        <v>0</v>
      </c>
      <c r="W47" s="133">
        <f t="shared" si="3"/>
        <v>0</v>
      </c>
    </row>
    <row r="48" spans="2:23" outlineLevel="1" x14ac:dyDescent="0.2">
      <c r="B48" s="9" t="s">
        <v>32</v>
      </c>
      <c r="C48" s="133">
        <f>'Statement Y'!C54</f>
        <v>0</v>
      </c>
      <c r="D48" s="133">
        <f>'Statement Y'!D54</f>
        <v>0</v>
      </c>
      <c r="E48" s="133">
        <f>'Statement Y'!E54</f>
        <v>0</v>
      </c>
      <c r="F48" s="133">
        <f>'Statement Y'!F54</f>
        <v>0</v>
      </c>
      <c r="G48" s="133">
        <f>'Statement Y'!G54</f>
        <v>0</v>
      </c>
      <c r="H48" s="133">
        <f>'Statement Y'!H54</f>
        <v>0</v>
      </c>
      <c r="I48" s="133">
        <f>'Statement Y'!I54</f>
        <v>0</v>
      </c>
      <c r="J48" s="133">
        <f>'Statement Y'!J54</f>
        <v>0</v>
      </c>
      <c r="K48" s="133">
        <f>'Statement Y'!K54</f>
        <v>0</v>
      </c>
      <c r="L48" s="133">
        <f>'Statement Y'!L54</f>
        <v>0</v>
      </c>
      <c r="N48" s="133">
        <f>'Statement Q'!C50</f>
        <v>0</v>
      </c>
      <c r="O48" s="133">
        <f>'Statement Q'!D50</f>
        <v>0</v>
      </c>
      <c r="P48" s="133">
        <f>'Statement Q'!E50</f>
        <v>0</v>
      </c>
      <c r="Q48" s="133">
        <f>'Statement Q'!F50</f>
        <v>0</v>
      </c>
      <c r="R48" s="133">
        <f>'Statement Q'!G50</f>
        <v>0</v>
      </c>
      <c r="S48" s="133">
        <f>'Statement Q'!H50</f>
        <v>0</v>
      </c>
      <c r="T48" s="133">
        <f>'Statement Q'!I50</f>
        <v>0</v>
      </c>
      <c r="U48" s="133">
        <f>'Statement Q'!J50</f>
        <v>0</v>
      </c>
      <c r="W48" s="133">
        <f t="shared" si="3"/>
        <v>0</v>
      </c>
    </row>
    <row r="49" spans="2:23" outlineLevel="1" x14ac:dyDescent="0.2">
      <c r="B49" s="9" t="s">
        <v>236</v>
      </c>
      <c r="C49" s="133">
        <f>'Statement Y'!C55</f>
        <v>0</v>
      </c>
      <c r="D49" s="133">
        <f>'Statement Y'!D55</f>
        <v>0</v>
      </c>
      <c r="E49" s="133">
        <f>'Statement Y'!E55</f>
        <v>0</v>
      </c>
      <c r="F49" s="133">
        <f>'Statement Y'!F55</f>
        <v>0</v>
      </c>
      <c r="G49" s="133">
        <f>'Statement Y'!G55</f>
        <v>0</v>
      </c>
      <c r="H49" s="133">
        <f>'Statement Y'!H55</f>
        <v>0</v>
      </c>
      <c r="I49" s="133">
        <f>'Statement Y'!I55</f>
        <v>0</v>
      </c>
      <c r="J49" s="133">
        <f>'Statement Y'!J55</f>
        <v>0</v>
      </c>
      <c r="K49" s="133">
        <f>'Statement Y'!K55</f>
        <v>0</v>
      </c>
      <c r="L49" s="133">
        <f>'Statement Y'!L55</f>
        <v>0</v>
      </c>
      <c r="N49" s="133">
        <f>'Statement Q'!C51</f>
        <v>0</v>
      </c>
      <c r="O49" s="133">
        <f>'Statement Q'!D51</f>
        <v>0</v>
      </c>
      <c r="P49" s="133">
        <f>'Statement Q'!E51</f>
        <v>0</v>
      </c>
      <c r="Q49" s="133">
        <f>'Statement Q'!F51</f>
        <v>0</v>
      </c>
      <c r="R49" s="133">
        <f>'Statement Q'!G51</f>
        <v>0</v>
      </c>
      <c r="S49" s="133">
        <f>'Statement Q'!H51</f>
        <v>0</v>
      </c>
      <c r="T49" s="133">
        <f>'Statement Q'!I51</f>
        <v>0</v>
      </c>
      <c r="U49" s="133">
        <f>'Statement Q'!J51</f>
        <v>0</v>
      </c>
      <c r="W49" s="133">
        <f t="shared" si="3"/>
        <v>0</v>
      </c>
    </row>
    <row r="50" spans="2:23" outlineLevel="1" x14ac:dyDescent="0.2">
      <c r="B50" s="11" t="s">
        <v>33</v>
      </c>
      <c r="C50" s="156">
        <f>'Statement Y'!C56</f>
        <v>0</v>
      </c>
      <c r="D50" s="156">
        <f>'Statement Y'!D56</f>
        <v>0</v>
      </c>
      <c r="E50" s="156">
        <f>'Statement Y'!E56</f>
        <v>0</v>
      </c>
      <c r="F50" s="156">
        <f>'Statement Y'!F56</f>
        <v>0</v>
      </c>
      <c r="G50" s="156">
        <f>'Statement Y'!G56</f>
        <v>0</v>
      </c>
      <c r="H50" s="156">
        <f>'Statement Y'!H56</f>
        <v>0</v>
      </c>
      <c r="I50" s="156">
        <f>'Statement Y'!I56</f>
        <v>0</v>
      </c>
      <c r="J50" s="156">
        <f>'Statement Y'!J56</f>
        <v>0</v>
      </c>
      <c r="K50" s="156">
        <f>'Statement Y'!K56</f>
        <v>0</v>
      </c>
      <c r="L50" s="156">
        <f>'Statement Y'!L56</f>
        <v>0</v>
      </c>
      <c r="N50" s="156">
        <f>'Statement Q'!C52</f>
        <v>0</v>
      </c>
      <c r="O50" s="156">
        <f>'Statement Q'!D52</f>
        <v>0</v>
      </c>
      <c r="P50" s="156">
        <f>'Statement Q'!E52</f>
        <v>0</v>
      </c>
      <c r="Q50" s="156">
        <f>'Statement Q'!F52</f>
        <v>0</v>
      </c>
      <c r="R50" s="156">
        <f>'Statement Q'!G52</f>
        <v>0</v>
      </c>
      <c r="S50" s="156">
        <f>'Statement Q'!H52</f>
        <v>0</v>
      </c>
      <c r="T50" s="156">
        <f>'Statement Q'!I52</f>
        <v>0</v>
      </c>
      <c r="U50" s="156">
        <f>'Statement Q'!J52</f>
        <v>0</v>
      </c>
      <c r="W50" s="156">
        <f t="shared" si="3"/>
        <v>0</v>
      </c>
    </row>
    <row r="51" spans="2:23" ht="17" outlineLevel="1" thickBot="1" x14ac:dyDescent="0.25">
      <c r="B51" s="19" t="s">
        <v>34</v>
      </c>
      <c r="C51" s="157">
        <f>'Statement Y'!C57</f>
        <v>0</v>
      </c>
      <c r="D51" s="157">
        <f>'Statement Y'!D57</f>
        <v>0</v>
      </c>
      <c r="E51" s="157">
        <f>'Statement Y'!E57</f>
        <v>0</v>
      </c>
      <c r="F51" s="157">
        <f>'Statement Y'!F57</f>
        <v>0</v>
      </c>
      <c r="G51" s="157">
        <f>'Statement Y'!G57</f>
        <v>0</v>
      </c>
      <c r="H51" s="157">
        <f>'Statement Y'!H57</f>
        <v>0</v>
      </c>
      <c r="I51" s="157">
        <f>'Statement Y'!I57</f>
        <v>0</v>
      </c>
      <c r="J51" s="157">
        <f>'Statement Y'!J57</f>
        <v>0</v>
      </c>
      <c r="K51" s="157">
        <f>'Statement Y'!K57</f>
        <v>0</v>
      </c>
      <c r="L51" s="157">
        <f>'Statement Y'!L57</f>
        <v>0</v>
      </c>
      <c r="N51" s="157">
        <f>'Statement Q'!C53</f>
        <v>0</v>
      </c>
      <c r="O51" s="157">
        <f>'Statement Q'!D53</f>
        <v>0</v>
      </c>
      <c r="P51" s="157">
        <f>'Statement Q'!E53</f>
        <v>0</v>
      </c>
      <c r="Q51" s="157">
        <f>'Statement Q'!F53</f>
        <v>0</v>
      </c>
      <c r="R51" s="157">
        <f>'Statement Q'!G53</f>
        <v>0</v>
      </c>
      <c r="S51" s="157">
        <f>'Statement Q'!H53</f>
        <v>0</v>
      </c>
      <c r="T51" s="157">
        <f>'Statement Q'!I53</f>
        <v>0</v>
      </c>
      <c r="U51" s="157">
        <f>'Statement Q'!J53</f>
        <v>0</v>
      </c>
      <c r="W51" s="157">
        <f t="shared" si="3"/>
        <v>0</v>
      </c>
    </row>
    <row r="53" spans="2:23" ht="17" thickBot="1" x14ac:dyDescent="0.25">
      <c r="B53" s="15" t="s">
        <v>35</v>
      </c>
      <c r="C53" s="14"/>
      <c r="D53" s="14"/>
      <c r="E53" s="14"/>
      <c r="F53" s="14"/>
      <c r="G53" s="14"/>
      <c r="H53" s="14"/>
      <c r="I53" s="14"/>
      <c r="J53" s="14"/>
      <c r="K53" s="14"/>
      <c r="L53" s="14"/>
      <c r="N53" s="14"/>
      <c r="O53" s="14"/>
      <c r="P53" s="14"/>
      <c r="Q53" s="14"/>
      <c r="R53" s="14"/>
      <c r="S53" s="14"/>
      <c r="T53" s="14"/>
      <c r="U53" s="14"/>
      <c r="W53" s="14"/>
    </row>
    <row r="54" spans="2:23" outlineLevel="1" x14ac:dyDescent="0.2">
      <c r="B54" s="9" t="s">
        <v>14</v>
      </c>
      <c r="C54" s="133">
        <f>'Statement Y'!C60</f>
        <v>1169</v>
      </c>
      <c r="D54" s="133">
        <f>'Statement Y'!D60</f>
        <v>1694</v>
      </c>
      <c r="E54" s="133">
        <f>'Statement Y'!E60</f>
        <v>2591</v>
      </c>
      <c r="F54" s="133">
        <f>'Statement Y'!F60</f>
        <v>2952</v>
      </c>
      <c r="G54" s="133">
        <f>'Statement Y'!G60</f>
        <v>5260</v>
      </c>
      <c r="H54" s="133">
        <f>'Statement Y'!H60</f>
        <v>4822</v>
      </c>
      <c r="I54" s="133">
        <f>'Statement Y'!I60</f>
        <v>4756</v>
      </c>
      <c r="J54" s="133">
        <f>'Statement Y'!J60</f>
        <v>5428</v>
      </c>
      <c r="K54" s="133">
        <f>'Statement Y'!K60</f>
        <v>5560</v>
      </c>
      <c r="L54" s="133">
        <f>'Statement Y'!L60</f>
        <v>7130</v>
      </c>
      <c r="N54" s="133">
        <f>'Statement Q'!C56</f>
        <v>1573</v>
      </c>
      <c r="O54" s="133">
        <f>'Statement Q'!D56</f>
        <v>1684</v>
      </c>
      <c r="P54" s="133">
        <f>'Statement Q'!E56</f>
        <v>1683</v>
      </c>
      <c r="Q54" s="133">
        <f>'Statement Q'!F56</f>
        <v>1811</v>
      </c>
      <c r="R54" s="133">
        <f>'Statement Q'!G56</f>
        <v>1691</v>
      </c>
      <c r="S54" s="133">
        <f>'Statement Q'!H56</f>
        <v>1772</v>
      </c>
      <c r="T54" s="133">
        <f>'Statement Q'!I56</f>
        <v>1856</v>
      </c>
      <c r="U54" s="133">
        <f>'Statement Q'!J56</f>
        <v>1889</v>
      </c>
      <c r="W54" s="133">
        <f>SUM(R54:U54)</f>
        <v>7208</v>
      </c>
    </row>
    <row r="55" spans="2:23" outlineLevel="1" x14ac:dyDescent="0.2">
      <c r="B55" s="9" t="s">
        <v>36</v>
      </c>
      <c r="C55" s="133">
        <f>'Statement Y'!C61</f>
        <v>0</v>
      </c>
      <c r="D55" s="133">
        <f>'Statement Y'!D61</f>
        <v>0</v>
      </c>
      <c r="E55" s="133">
        <f>'Statement Y'!E61</f>
        <v>0</v>
      </c>
      <c r="F55" s="133">
        <f>'Statement Y'!F61</f>
        <v>0</v>
      </c>
      <c r="G55" s="133">
        <f>'Statement Y'!G61</f>
        <v>0</v>
      </c>
      <c r="H55" s="133">
        <f>'Statement Y'!H61</f>
        <v>0</v>
      </c>
      <c r="I55" s="133">
        <f>'Statement Y'!I61</f>
        <v>0</v>
      </c>
      <c r="J55" s="133">
        <f>'Statement Y'!J61</f>
        <v>0</v>
      </c>
      <c r="K55" s="133">
        <f>'Statement Y'!K61</f>
        <v>0</v>
      </c>
      <c r="L55" s="133">
        <f>'Statement Y'!L61</f>
        <v>0</v>
      </c>
      <c r="N55" s="133">
        <f>'Statement Q'!C57</f>
        <v>0</v>
      </c>
      <c r="O55" s="133">
        <f>'Statement Q'!D57</f>
        <v>0</v>
      </c>
      <c r="P55" s="133">
        <f>'Statement Q'!E57</f>
        <v>0</v>
      </c>
      <c r="Q55" s="133">
        <f>'Statement Q'!F57</f>
        <v>0</v>
      </c>
      <c r="R55" s="133">
        <f>'Statement Q'!G57</f>
        <v>0</v>
      </c>
      <c r="S55" s="133">
        <f>'Statement Q'!H57</f>
        <v>0</v>
      </c>
      <c r="T55" s="133">
        <f>'Statement Q'!I57</f>
        <v>0</v>
      </c>
      <c r="U55" s="133">
        <f>'Statement Q'!J57</f>
        <v>0</v>
      </c>
      <c r="W55" s="133">
        <f t="shared" ref="W55:W69" si="4">SUM(R55:U55)</f>
        <v>0</v>
      </c>
    </row>
    <row r="56" spans="2:23" outlineLevel="1" x14ac:dyDescent="0.2">
      <c r="B56" s="12" t="s">
        <v>97</v>
      </c>
      <c r="C56" s="133">
        <f>'Statement Y'!C62</f>
        <v>0</v>
      </c>
      <c r="D56" s="133">
        <f>'Statement Y'!D62</f>
        <v>0</v>
      </c>
      <c r="E56" s="133">
        <f>'Statement Y'!E62</f>
        <v>0</v>
      </c>
      <c r="F56" s="133">
        <f>'Statement Y'!F62</f>
        <v>0</v>
      </c>
      <c r="G56" s="133">
        <f>'Statement Y'!G62</f>
        <v>0</v>
      </c>
      <c r="H56" s="133">
        <f>'Statement Y'!H62</f>
        <v>0</v>
      </c>
      <c r="I56" s="133">
        <f>'Statement Y'!I62</f>
        <v>0</v>
      </c>
      <c r="J56" s="133">
        <f>'Statement Y'!J62</f>
        <v>0</v>
      </c>
      <c r="K56" s="133">
        <f>'Statement Y'!K62</f>
        <v>0</v>
      </c>
      <c r="L56" s="133">
        <f>'Statement Y'!L62</f>
        <v>0</v>
      </c>
      <c r="N56" s="133">
        <f>'Statement Q'!C58</f>
        <v>0</v>
      </c>
      <c r="O56" s="133">
        <f>'Statement Q'!D58</f>
        <v>0</v>
      </c>
      <c r="P56" s="133">
        <f>'Statement Q'!E58</f>
        <v>0</v>
      </c>
      <c r="Q56" s="133">
        <f>'Statement Q'!F58</f>
        <v>0</v>
      </c>
      <c r="R56" s="133">
        <f>'Statement Q'!G58</f>
        <v>0</v>
      </c>
      <c r="S56" s="133">
        <f>'Statement Q'!H58</f>
        <v>0</v>
      </c>
      <c r="T56" s="133">
        <f>'Statement Q'!I58</f>
        <v>0</v>
      </c>
      <c r="U56" s="133">
        <f>'Statement Q'!J58</f>
        <v>0</v>
      </c>
      <c r="W56" s="133">
        <f t="shared" si="4"/>
        <v>0</v>
      </c>
    </row>
    <row r="57" spans="2:23" outlineLevel="1" x14ac:dyDescent="0.2">
      <c r="B57" s="12" t="s">
        <v>255</v>
      </c>
      <c r="C57" s="133">
        <f>'Statement Y'!C63</f>
        <v>0</v>
      </c>
      <c r="D57" s="133">
        <f>'Statement Y'!D63</f>
        <v>0</v>
      </c>
      <c r="E57" s="133">
        <f>'Statement Y'!E63</f>
        <v>0</v>
      </c>
      <c r="F57" s="133">
        <f>'Statement Y'!F63</f>
        <v>0</v>
      </c>
      <c r="G57" s="133">
        <f>'Statement Y'!G63</f>
        <v>0</v>
      </c>
      <c r="H57" s="133">
        <f>'Statement Y'!H63</f>
        <v>0</v>
      </c>
      <c r="I57" s="133">
        <f>'Statement Y'!I63</f>
        <v>0</v>
      </c>
      <c r="J57" s="133">
        <f>'Statement Y'!J63</f>
        <v>0</v>
      </c>
      <c r="K57" s="133">
        <f>'Statement Y'!K63</f>
        <v>0</v>
      </c>
      <c r="L57" s="133">
        <f>'Statement Y'!L63</f>
        <v>0</v>
      </c>
      <c r="N57" s="133">
        <v>0</v>
      </c>
      <c r="O57" s="133">
        <v>0</v>
      </c>
      <c r="P57" s="133">
        <v>0</v>
      </c>
      <c r="Q57" s="133">
        <v>0</v>
      </c>
      <c r="R57" s="133">
        <v>0</v>
      </c>
      <c r="S57" s="133">
        <v>0</v>
      </c>
      <c r="T57" s="133">
        <v>0</v>
      </c>
      <c r="U57" s="133">
        <v>0</v>
      </c>
      <c r="W57" s="133">
        <f t="shared" si="4"/>
        <v>0</v>
      </c>
    </row>
    <row r="58" spans="2:23" outlineLevel="1" x14ac:dyDescent="0.2">
      <c r="B58" s="12" t="s">
        <v>241</v>
      </c>
      <c r="C58" s="133">
        <f>'Statement Y'!C64</f>
        <v>0</v>
      </c>
      <c r="D58" s="133">
        <f>'Statement Y'!D64</f>
        <v>0</v>
      </c>
      <c r="E58" s="133">
        <f>'Statement Y'!E64</f>
        <v>0</v>
      </c>
      <c r="F58" s="133">
        <f>'Statement Y'!F64</f>
        <v>0</v>
      </c>
      <c r="G58" s="133">
        <f>'Statement Y'!G64</f>
        <v>0</v>
      </c>
      <c r="H58" s="133">
        <f>'Statement Y'!H64</f>
        <v>0</v>
      </c>
      <c r="I58" s="133">
        <f>'Statement Y'!I64</f>
        <v>0</v>
      </c>
      <c r="J58" s="133">
        <f>'Statement Y'!J64</f>
        <v>0</v>
      </c>
      <c r="K58" s="133">
        <f>'Statement Y'!K64</f>
        <v>0</v>
      </c>
      <c r="L58" s="133">
        <f>'Statement Y'!L64</f>
        <v>0</v>
      </c>
      <c r="N58" s="133">
        <f>'Statement Q'!C59</f>
        <v>0</v>
      </c>
      <c r="O58" s="133">
        <f>'Statement Q'!D59</f>
        <v>0</v>
      </c>
      <c r="P58" s="133">
        <f>'Statement Q'!E59</f>
        <v>0</v>
      </c>
      <c r="Q58" s="133">
        <f>'Statement Q'!F59</f>
        <v>0</v>
      </c>
      <c r="R58" s="133">
        <f>'Statement Q'!G59</f>
        <v>0</v>
      </c>
      <c r="S58" s="133">
        <f>'Statement Q'!H59</f>
        <v>0</v>
      </c>
      <c r="T58" s="133">
        <f>'Statement Q'!I59</f>
        <v>0</v>
      </c>
      <c r="U58" s="133">
        <f>'Statement Q'!J59</f>
        <v>0</v>
      </c>
      <c r="W58" s="133">
        <f t="shared" si="4"/>
        <v>0</v>
      </c>
    </row>
    <row r="59" spans="2:23" outlineLevel="1" x14ac:dyDescent="0.2">
      <c r="B59" s="9" t="s">
        <v>183</v>
      </c>
      <c r="C59" s="133">
        <f>SUM('Statement Y'!C65:C71)</f>
        <v>0</v>
      </c>
      <c r="D59" s="133">
        <f>SUM('Statement Y'!D65:D71)</f>
        <v>0</v>
      </c>
      <c r="E59" s="133">
        <f>SUM('Statement Y'!E65:E71)</f>
        <v>0</v>
      </c>
      <c r="F59" s="133">
        <f>SUM('Statement Y'!F65:F71)</f>
        <v>0</v>
      </c>
      <c r="G59" s="133">
        <f>SUM('Statement Y'!G65:G71)</f>
        <v>0</v>
      </c>
      <c r="H59" s="133">
        <f>SUM('Statement Y'!H65:H71)</f>
        <v>0</v>
      </c>
      <c r="I59" s="133">
        <f>SUM('Statement Y'!I65:I71)</f>
        <v>0</v>
      </c>
      <c r="J59" s="133">
        <f>SUM('Statement Y'!J65:J71)</f>
        <v>0</v>
      </c>
      <c r="K59" s="133">
        <f>SUM('Statement Y'!K65:K71)</f>
        <v>0</v>
      </c>
      <c r="L59" s="133">
        <f>SUM('Statement Y'!L65:L71)</f>
        <v>0</v>
      </c>
      <c r="N59" s="133">
        <f>SUM('Statement Q'!C60:C65)</f>
        <v>0</v>
      </c>
      <c r="O59" s="133">
        <f>SUM('Statement Q'!D60:D65)</f>
        <v>0</v>
      </c>
      <c r="P59" s="133">
        <f>SUM('Statement Q'!E60:E65)</f>
        <v>0</v>
      </c>
      <c r="Q59" s="133">
        <f>SUM('Statement Q'!F60:F65)</f>
        <v>0</v>
      </c>
      <c r="R59" s="133">
        <f>SUM('Statement Q'!G60:G65)</f>
        <v>0</v>
      </c>
      <c r="S59" s="133">
        <f>SUM('Statement Q'!H60:H65)</f>
        <v>0</v>
      </c>
      <c r="T59" s="133">
        <f>SUM('Statement Q'!I60:I65)</f>
        <v>0</v>
      </c>
      <c r="U59" s="133">
        <f>SUM('Statement Q'!J60:J65)</f>
        <v>0</v>
      </c>
      <c r="W59" s="133">
        <f t="shared" si="4"/>
        <v>0</v>
      </c>
    </row>
    <row r="60" spans="2:23" outlineLevel="1" x14ac:dyDescent="0.2">
      <c r="B60" s="17" t="s">
        <v>39</v>
      </c>
      <c r="C60" s="153">
        <f>'Statement Y'!C72</f>
        <v>0</v>
      </c>
      <c r="D60" s="153">
        <f>'Statement Y'!D72</f>
        <v>0</v>
      </c>
      <c r="E60" s="153">
        <f>'Statement Y'!E72</f>
        <v>0</v>
      </c>
      <c r="F60" s="153">
        <f>'Statement Y'!F72</f>
        <v>0</v>
      </c>
      <c r="G60" s="153">
        <f>'Statement Y'!G72</f>
        <v>0</v>
      </c>
      <c r="H60" s="153">
        <f>'Statement Y'!H72</f>
        <v>0</v>
      </c>
      <c r="I60" s="153">
        <f>'Statement Y'!I72</f>
        <v>0</v>
      </c>
      <c r="J60" s="153">
        <f>'Statement Y'!J72</f>
        <v>0</v>
      </c>
      <c r="K60" s="153">
        <f>'Statement Y'!K72</f>
        <v>0</v>
      </c>
      <c r="L60" s="153">
        <f>'Statement Y'!L72</f>
        <v>0</v>
      </c>
      <c r="N60" s="153">
        <f>'Statement Q'!C66</f>
        <v>0</v>
      </c>
      <c r="O60" s="153">
        <f>'Statement Q'!D66</f>
        <v>0</v>
      </c>
      <c r="P60" s="153">
        <f>'Statement Q'!E66</f>
        <v>0</v>
      </c>
      <c r="Q60" s="153">
        <f>'Statement Q'!F66</f>
        <v>0</v>
      </c>
      <c r="R60" s="153">
        <f>'Statement Q'!G66</f>
        <v>0</v>
      </c>
      <c r="S60" s="153">
        <f>'Statement Q'!H66</f>
        <v>0</v>
      </c>
      <c r="T60" s="153">
        <f>'Statement Q'!I66</f>
        <v>0</v>
      </c>
      <c r="U60" s="153">
        <f>'Statement Q'!J66</f>
        <v>0</v>
      </c>
      <c r="W60" s="153">
        <f t="shared" si="4"/>
        <v>0</v>
      </c>
    </row>
    <row r="61" spans="2:23" outlineLevel="1" x14ac:dyDescent="0.2">
      <c r="B61" s="9" t="s">
        <v>40</v>
      </c>
      <c r="C61" s="133">
        <f>'Statement Y'!C76</f>
        <v>0</v>
      </c>
      <c r="D61" s="133">
        <f>'Statement Y'!D76</f>
        <v>0</v>
      </c>
      <c r="E61" s="133">
        <f>'Statement Y'!E76</f>
        <v>0</v>
      </c>
      <c r="F61" s="133">
        <f>'Statement Y'!F76</f>
        <v>0</v>
      </c>
      <c r="G61" s="133">
        <f>'Statement Y'!G76</f>
        <v>0</v>
      </c>
      <c r="H61" s="133">
        <f>'Statement Y'!H76</f>
        <v>0</v>
      </c>
      <c r="I61" s="133">
        <f>'Statement Y'!I76</f>
        <v>0</v>
      </c>
      <c r="J61" s="133">
        <f>'Statement Y'!J76</f>
        <v>0</v>
      </c>
      <c r="K61" s="133">
        <f>'Statement Y'!K76</f>
        <v>0</v>
      </c>
      <c r="L61" s="133">
        <f>'Statement Y'!L76</f>
        <v>0</v>
      </c>
      <c r="N61" s="133">
        <f>'Statement Q'!C70</f>
        <v>0</v>
      </c>
      <c r="O61" s="133">
        <f>'Statement Q'!D70</f>
        <v>0</v>
      </c>
      <c r="P61" s="133">
        <f>'Statement Q'!E70</f>
        <v>0</v>
      </c>
      <c r="Q61" s="133">
        <f>'Statement Q'!F70</f>
        <v>0</v>
      </c>
      <c r="R61" s="133">
        <f>'Statement Q'!G70</f>
        <v>0</v>
      </c>
      <c r="S61" s="133">
        <f>'Statement Q'!H70</f>
        <v>0</v>
      </c>
      <c r="T61" s="133">
        <f>'Statement Q'!I70</f>
        <v>0</v>
      </c>
      <c r="U61" s="133">
        <f>'Statement Q'!J70</f>
        <v>0</v>
      </c>
      <c r="W61" s="133">
        <f t="shared" si="4"/>
        <v>0</v>
      </c>
    </row>
    <row r="62" spans="2:23" outlineLevel="1" x14ac:dyDescent="0.2">
      <c r="B62" s="17" t="s">
        <v>41</v>
      </c>
      <c r="C62" s="153">
        <f>'Statement Y'!C83</f>
        <v>0</v>
      </c>
      <c r="D62" s="153">
        <f>'Statement Y'!D83</f>
        <v>0</v>
      </c>
      <c r="E62" s="153">
        <f>'Statement Y'!E83</f>
        <v>0</v>
      </c>
      <c r="F62" s="153">
        <f>'Statement Y'!F83</f>
        <v>0</v>
      </c>
      <c r="G62" s="153">
        <f>'Statement Y'!G83</f>
        <v>0</v>
      </c>
      <c r="H62" s="153">
        <f>'Statement Y'!H83</f>
        <v>0</v>
      </c>
      <c r="I62" s="153">
        <f>'Statement Y'!I83</f>
        <v>0</v>
      </c>
      <c r="J62" s="153">
        <f>'Statement Y'!J83</f>
        <v>0</v>
      </c>
      <c r="K62" s="153">
        <f>'Statement Y'!K83</f>
        <v>0</v>
      </c>
      <c r="L62" s="153">
        <f>'Statement Y'!L83</f>
        <v>0</v>
      </c>
      <c r="N62" s="153">
        <f>'Statement Q'!C72</f>
        <v>0</v>
      </c>
      <c r="O62" s="153">
        <f>'Statement Q'!D72</f>
        <v>0</v>
      </c>
      <c r="P62" s="153">
        <f>'Statement Q'!E72</f>
        <v>0</v>
      </c>
      <c r="Q62" s="153">
        <f>'Statement Q'!F72</f>
        <v>0</v>
      </c>
      <c r="R62" s="153">
        <f>'Statement Q'!G72</f>
        <v>0</v>
      </c>
      <c r="S62" s="153">
        <f>'Statement Q'!H72</f>
        <v>0</v>
      </c>
      <c r="T62" s="153">
        <f>'Statement Q'!I72</f>
        <v>0</v>
      </c>
      <c r="U62" s="153">
        <f>'Statement Q'!J72</f>
        <v>0</v>
      </c>
      <c r="W62" s="153">
        <f t="shared" si="4"/>
        <v>0</v>
      </c>
    </row>
    <row r="63" spans="2:23" outlineLevel="1" x14ac:dyDescent="0.2">
      <c r="B63" s="9" t="s">
        <v>99</v>
      </c>
      <c r="C63" s="133">
        <f>'Statement Y'!C84</f>
        <v>0</v>
      </c>
      <c r="D63" s="133">
        <f>'Statement Y'!D84</f>
        <v>0</v>
      </c>
      <c r="E63" s="133">
        <f>'Statement Y'!E84</f>
        <v>0</v>
      </c>
      <c r="F63" s="133">
        <f>'Statement Y'!F84</f>
        <v>0</v>
      </c>
      <c r="G63" s="133">
        <f>'Statement Y'!G84</f>
        <v>0</v>
      </c>
      <c r="H63" s="133">
        <f>'Statement Y'!H84</f>
        <v>0</v>
      </c>
      <c r="I63" s="133">
        <f>'Statement Y'!I84</f>
        <v>0</v>
      </c>
      <c r="J63" s="133">
        <f>'Statement Y'!J84</f>
        <v>0</v>
      </c>
      <c r="K63" s="133">
        <f>'Statement Y'!K84</f>
        <v>0</v>
      </c>
      <c r="L63" s="133">
        <f>'Statement Y'!L84</f>
        <v>0</v>
      </c>
      <c r="N63" s="133">
        <v>0</v>
      </c>
      <c r="O63" s="133">
        <v>0</v>
      </c>
      <c r="P63" s="133">
        <v>0</v>
      </c>
      <c r="Q63" s="133">
        <v>0</v>
      </c>
      <c r="R63" s="133">
        <v>0</v>
      </c>
      <c r="S63" s="133">
        <v>0</v>
      </c>
      <c r="T63" s="133">
        <v>0</v>
      </c>
      <c r="U63" s="133">
        <v>0</v>
      </c>
      <c r="W63" s="133">
        <f t="shared" si="4"/>
        <v>0</v>
      </c>
    </row>
    <row r="64" spans="2:23" outlineLevel="1" x14ac:dyDescent="0.2">
      <c r="B64" s="9" t="s">
        <v>100</v>
      </c>
      <c r="C64" s="133">
        <f>'Statement Y'!C91</f>
        <v>0</v>
      </c>
      <c r="D64" s="133">
        <f>'Statement Y'!D91</f>
        <v>0</v>
      </c>
      <c r="E64" s="133">
        <f>'Statement Y'!E91</f>
        <v>0</v>
      </c>
      <c r="F64" s="133">
        <f>'Statement Y'!F91</f>
        <v>0</v>
      </c>
      <c r="G64" s="133">
        <f>'Statement Y'!G91</f>
        <v>0</v>
      </c>
      <c r="H64" s="133">
        <f>'Statement Y'!H91</f>
        <v>0</v>
      </c>
      <c r="I64" s="133">
        <f>'Statement Y'!I91</f>
        <v>0</v>
      </c>
      <c r="J64" s="133">
        <f>'Statement Y'!J91</f>
        <v>0</v>
      </c>
      <c r="K64" s="133">
        <f>'Statement Y'!K91</f>
        <v>0</v>
      </c>
      <c r="L64" s="133">
        <f>'Statement Y'!L91</f>
        <v>0</v>
      </c>
      <c r="N64" s="133">
        <f>'Statement Q'!C75</f>
        <v>0</v>
      </c>
      <c r="O64" s="133">
        <f>'Statement Q'!D75</f>
        <v>0</v>
      </c>
      <c r="P64" s="133">
        <f>'Statement Q'!E75</f>
        <v>0</v>
      </c>
      <c r="Q64" s="133">
        <f>'Statement Q'!F75</f>
        <v>0</v>
      </c>
      <c r="R64" s="133">
        <f>'Statement Q'!G75</f>
        <v>0</v>
      </c>
      <c r="S64" s="133">
        <f>'Statement Q'!H75</f>
        <v>0</v>
      </c>
      <c r="T64" s="133">
        <f>'Statement Q'!I75</f>
        <v>0</v>
      </c>
      <c r="U64" s="133">
        <f>'Statement Q'!J75</f>
        <v>0</v>
      </c>
      <c r="W64" s="133">
        <f t="shared" si="4"/>
        <v>0</v>
      </c>
    </row>
    <row r="65" spans="2:23" outlineLevel="1" x14ac:dyDescent="0.2">
      <c r="B65" s="9" t="s">
        <v>265</v>
      </c>
      <c r="C65" s="133">
        <f>'Statement Y'!C87</f>
        <v>0</v>
      </c>
      <c r="D65" s="133">
        <f>'Statement Y'!D87</f>
        <v>0</v>
      </c>
      <c r="E65" s="133">
        <f>'Statement Y'!E87</f>
        <v>0</v>
      </c>
      <c r="F65" s="133">
        <f>'Statement Y'!F87</f>
        <v>0</v>
      </c>
      <c r="G65" s="133">
        <f>'Statement Y'!G87</f>
        <v>0</v>
      </c>
      <c r="H65" s="133">
        <f>'Statement Y'!H87</f>
        <v>0</v>
      </c>
      <c r="I65" s="133">
        <f>'Statement Y'!I87</f>
        <v>0</v>
      </c>
      <c r="J65" s="133">
        <f>'Statement Y'!J87</f>
        <v>0</v>
      </c>
      <c r="K65" s="133">
        <f>'Statement Y'!K87</f>
        <v>0</v>
      </c>
      <c r="L65" s="133">
        <f>'Statement Y'!L87</f>
        <v>0</v>
      </c>
      <c r="N65" s="133">
        <f>'Statement Q'!C74</f>
        <v>0</v>
      </c>
      <c r="O65" s="133">
        <f>'Statement Q'!D74</f>
        <v>0</v>
      </c>
      <c r="P65" s="133">
        <f>'Statement Q'!E74</f>
        <v>0</v>
      </c>
      <c r="Q65" s="133">
        <f>'Statement Q'!F74</f>
        <v>0</v>
      </c>
      <c r="R65" s="133">
        <f>'Statement Q'!G74</f>
        <v>0</v>
      </c>
      <c r="S65" s="133">
        <f>'Statement Q'!H74</f>
        <v>0</v>
      </c>
      <c r="T65" s="133">
        <f>'Statement Q'!I74</f>
        <v>0</v>
      </c>
      <c r="U65" s="133">
        <f>'Statement Q'!J74</f>
        <v>0</v>
      </c>
      <c r="W65" s="133">
        <f t="shared" si="4"/>
        <v>0</v>
      </c>
    </row>
    <row r="66" spans="2:23" outlineLevel="1" x14ac:dyDescent="0.2">
      <c r="B66" s="9" t="s">
        <v>266</v>
      </c>
      <c r="C66" s="133">
        <f>'Statement Y'!C89</f>
        <v>0</v>
      </c>
      <c r="D66" s="133">
        <f>'Statement Y'!D89</f>
        <v>0</v>
      </c>
      <c r="E66" s="133">
        <f>'Statement Y'!E89</f>
        <v>0</v>
      </c>
      <c r="F66" s="133">
        <f>'Statement Y'!F89</f>
        <v>0</v>
      </c>
      <c r="G66" s="133">
        <f>'Statement Y'!G89</f>
        <v>0</v>
      </c>
      <c r="H66" s="133">
        <f>'Statement Y'!H89</f>
        <v>0</v>
      </c>
      <c r="I66" s="133">
        <f>'Statement Y'!I89</f>
        <v>0</v>
      </c>
      <c r="J66" s="133">
        <f>'Statement Y'!J89</f>
        <v>0</v>
      </c>
      <c r="K66" s="133">
        <f>'Statement Y'!K89</f>
        <v>0</v>
      </c>
      <c r="L66" s="133">
        <f>'Statement Y'!L89</f>
        <v>0</v>
      </c>
      <c r="N66" s="133">
        <f>'Statement Q'!C76</f>
        <v>0</v>
      </c>
      <c r="O66" s="133">
        <f>'Statement Q'!D76</f>
        <v>0</v>
      </c>
      <c r="P66" s="133">
        <f>'Statement Q'!E76</f>
        <v>0</v>
      </c>
      <c r="Q66" s="133">
        <f>'Statement Q'!F76</f>
        <v>0</v>
      </c>
      <c r="R66" s="133">
        <f>'Statement Q'!G76</f>
        <v>0</v>
      </c>
      <c r="S66" s="133">
        <f>'Statement Q'!H76</f>
        <v>0</v>
      </c>
      <c r="T66" s="133">
        <f>'Statement Q'!I76</f>
        <v>0</v>
      </c>
      <c r="U66" s="133">
        <f>'Statement Q'!J76</f>
        <v>0</v>
      </c>
      <c r="W66" s="133">
        <f t="shared" si="4"/>
        <v>0</v>
      </c>
    </row>
    <row r="67" spans="2:23" outlineLevel="1" x14ac:dyDescent="0.2">
      <c r="B67" s="9" t="s">
        <v>267</v>
      </c>
      <c r="C67" s="133">
        <f>'Statement Y'!C90</f>
        <v>0</v>
      </c>
      <c r="D67" s="133">
        <f>'Statement Y'!D90</f>
        <v>0</v>
      </c>
      <c r="E67" s="133">
        <f>'Statement Y'!E90</f>
        <v>0</v>
      </c>
      <c r="F67" s="133">
        <f>'Statement Y'!F90</f>
        <v>0</v>
      </c>
      <c r="G67" s="133">
        <f>'Statement Y'!G90</f>
        <v>0</v>
      </c>
      <c r="H67" s="133">
        <f>'Statement Y'!H90</f>
        <v>0</v>
      </c>
      <c r="I67" s="133">
        <f>'Statement Y'!I90</f>
        <v>0</v>
      </c>
      <c r="J67" s="133">
        <f>'Statement Y'!J90</f>
        <v>0</v>
      </c>
      <c r="K67" s="133">
        <f>'Statement Y'!K90</f>
        <v>0</v>
      </c>
      <c r="L67" s="133">
        <f>'Statement Y'!L90</f>
        <v>0</v>
      </c>
      <c r="N67" s="133">
        <f>'Statement Q'!C77</f>
        <v>0</v>
      </c>
      <c r="O67" s="133">
        <f>'Statement Q'!D77</f>
        <v>0</v>
      </c>
      <c r="P67" s="133">
        <f>'Statement Q'!E77</f>
        <v>0</v>
      </c>
      <c r="Q67" s="133">
        <f>'Statement Q'!F77</f>
        <v>0</v>
      </c>
      <c r="R67" s="133">
        <f>'Statement Q'!G77</f>
        <v>0</v>
      </c>
      <c r="S67" s="133">
        <f>'Statement Q'!H77</f>
        <v>0</v>
      </c>
      <c r="T67" s="133">
        <f>'Statement Q'!I77</f>
        <v>0</v>
      </c>
      <c r="U67" s="133">
        <f>'Statement Q'!J77</f>
        <v>0</v>
      </c>
      <c r="W67" s="133">
        <f t="shared" si="4"/>
        <v>0</v>
      </c>
    </row>
    <row r="68" spans="2:23" outlineLevel="1" x14ac:dyDescent="0.2">
      <c r="B68" s="17" t="s">
        <v>42</v>
      </c>
      <c r="C68" s="153">
        <f>'Statement Y'!C93</f>
        <v>0</v>
      </c>
      <c r="D68" s="153">
        <f>'Statement Y'!D93</f>
        <v>0</v>
      </c>
      <c r="E68" s="153">
        <f>'Statement Y'!E93</f>
        <v>0</v>
      </c>
      <c r="F68" s="153">
        <f>'Statement Y'!F93</f>
        <v>0</v>
      </c>
      <c r="G68" s="153">
        <f>'Statement Y'!G93</f>
        <v>0</v>
      </c>
      <c r="H68" s="153">
        <f>'Statement Y'!H93</f>
        <v>0</v>
      </c>
      <c r="I68" s="153">
        <f>'Statement Y'!I93</f>
        <v>0</v>
      </c>
      <c r="J68" s="153">
        <f>'Statement Y'!J93</f>
        <v>0</v>
      </c>
      <c r="K68" s="153">
        <f>'Statement Y'!K93</f>
        <v>0</v>
      </c>
      <c r="L68" s="153">
        <f>'Statement Y'!L93</f>
        <v>0</v>
      </c>
      <c r="N68" s="153">
        <f>'Statement Q'!C80</f>
        <v>0</v>
      </c>
      <c r="O68" s="153">
        <f>'Statement Q'!D80</f>
        <v>0</v>
      </c>
      <c r="P68" s="153">
        <f>'Statement Q'!E80</f>
        <v>0</v>
      </c>
      <c r="Q68" s="153">
        <f>'Statement Q'!F80</f>
        <v>0</v>
      </c>
      <c r="R68" s="153">
        <f>'Statement Q'!G80</f>
        <v>0</v>
      </c>
      <c r="S68" s="153">
        <f>'Statement Q'!H80</f>
        <v>0</v>
      </c>
      <c r="T68" s="153">
        <f>'Statement Q'!I80</f>
        <v>0</v>
      </c>
      <c r="U68" s="153">
        <f>'Statement Q'!J80</f>
        <v>0</v>
      </c>
      <c r="W68" s="153">
        <f t="shared" si="4"/>
        <v>0</v>
      </c>
    </row>
    <row r="69" spans="2:23" outlineLevel="1" x14ac:dyDescent="0.2">
      <c r="B69" s="11" t="s">
        <v>43</v>
      </c>
      <c r="C69" s="156">
        <f>'Statement Y'!C94</f>
        <v>0</v>
      </c>
      <c r="D69" s="156">
        <f>'Statement Y'!D94</f>
        <v>0</v>
      </c>
      <c r="E69" s="156">
        <f>'Statement Y'!E94</f>
        <v>0</v>
      </c>
      <c r="F69" s="156">
        <f>'Statement Y'!F94</f>
        <v>0</v>
      </c>
      <c r="G69" s="156">
        <f>'Statement Y'!G94</f>
        <v>0</v>
      </c>
      <c r="H69" s="156">
        <f>'Statement Y'!H94</f>
        <v>0</v>
      </c>
      <c r="I69" s="156">
        <f>'Statement Y'!I94</f>
        <v>0</v>
      </c>
      <c r="J69" s="156">
        <f>'Statement Y'!J94</f>
        <v>0</v>
      </c>
      <c r="K69" s="156">
        <f>'Statement Y'!K94</f>
        <v>0</v>
      </c>
      <c r="L69" s="156">
        <f>'Statement Y'!L94</f>
        <v>0</v>
      </c>
      <c r="N69" s="156">
        <f>'Statement Q'!C81</f>
        <v>0</v>
      </c>
      <c r="O69" s="156">
        <f>'Statement Q'!D81</f>
        <v>0</v>
      </c>
      <c r="P69" s="156">
        <f>'Statement Q'!E81</f>
        <v>0</v>
      </c>
      <c r="Q69" s="156">
        <f>'Statement Q'!F81</f>
        <v>0</v>
      </c>
      <c r="R69" s="156">
        <f>'Statement Q'!G81</f>
        <v>0</v>
      </c>
      <c r="S69" s="156">
        <f>'Statement Q'!H81</f>
        <v>0</v>
      </c>
      <c r="T69" s="156">
        <f>'Statement Q'!I81</f>
        <v>0</v>
      </c>
      <c r="U69" s="156">
        <f>'Statement Q'!J81</f>
        <v>0</v>
      </c>
      <c r="W69" s="156">
        <f t="shared" si="4"/>
        <v>0</v>
      </c>
    </row>
    <row r="70" spans="2:23" outlineLevel="1" x14ac:dyDescent="0.2">
      <c r="B70" s="11" t="s">
        <v>44</v>
      </c>
      <c r="C70" s="156">
        <f>'Statement Y'!C95</f>
        <v>0</v>
      </c>
      <c r="D70" s="156">
        <f>'Statement Y'!D95</f>
        <v>0</v>
      </c>
      <c r="E70" s="156">
        <f>'Statement Y'!E95</f>
        <v>0</v>
      </c>
      <c r="F70" s="156">
        <f>'Statement Y'!F95</f>
        <v>0</v>
      </c>
      <c r="G70" s="156">
        <f>'Statement Y'!G95</f>
        <v>0</v>
      </c>
      <c r="H70" s="156">
        <f>'Statement Y'!H95</f>
        <v>0</v>
      </c>
      <c r="I70" s="156">
        <f>'Statement Y'!I95</f>
        <v>0</v>
      </c>
      <c r="J70" s="156">
        <f>'Statement Y'!J95</f>
        <v>0</v>
      </c>
      <c r="K70" s="156">
        <f>'Statement Y'!K95</f>
        <v>0</v>
      </c>
      <c r="L70" s="156">
        <f>'Statement Y'!L95</f>
        <v>0</v>
      </c>
      <c r="N70" s="156">
        <f>'Statement Q'!C82</f>
        <v>0</v>
      </c>
      <c r="O70" s="156">
        <f>'Statement Q'!D82</f>
        <v>0</v>
      </c>
      <c r="P70" s="156">
        <f>'Statement Q'!E82</f>
        <v>0</v>
      </c>
      <c r="Q70" s="156">
        <f>'Statement Q'!F82</f>
        <v>0</v>
      </c>
      <c r="R70" s="156">
        <f>'Statement Q'!G82</f>
        <v>0</v>
      </c>
      <c r="S70" s="156">
        <f>'Statement Q'!H82</f>
        <v>0</v>
      </c>
      <c r="T70" s="156">
        <f>'Statement Q'!I82</f>
        <v>0</v>
      </c>
      <c r="U70" s="156">
        <f>'Statement Q'!J82</f>
        <v>0</v>
      </c>
      <c r="W70" s="156">
        <f>R70</f>
        <v>0</v>
      </c>
    </row>
    <row r="71" spans="2:23" ht="17" outlineLevel="1" thickBot="1" x14ac:dyDescent="0.25">
      <c r="B71" s="19" t="s">
        <v>45</v>
      </c>
      <c r="C71" s="157">
        <f>'Statement Y'!C96</f>
        <v>0</v>
      </c>
      <c r="D71" s="157">
        <f>'Statement Y'!D96</f>
        <v>0</v>
      </c>
      <c r="E71" s="157">
        <f>'Statement Y'!E96</f>
        <v>0</v>
      </c>
      <c r="F71" s="157">
        <f>'Statement Y'!F96</f>
        <v>0</v>
      </c>
      <c r="G71" s="157">
        <f>'Statement Y'!G96</f>
        <v>0</v>
      </c>
      <c r="H71" s="157">
        <f>'Statement Y'!H96</f>
        <v>0</v>
      </c>
      <c r="I71" s="157">
        <f>'Statement Y'!I96</f>
        <v>0</v>
      </c>
      <c r="J71" s="157">
        <f>'Statement Y'!J96</f>
        <v>0</v>
      </c>
      <c r="K71" s="157">
        <f>'Statement Y'!K96</f>
        <v>0</v>
      </c>
      <c r="L71" s="157">
        <f>'Statement Y'!L96</f>
        <v>0</v>
      </c>
      <c r="N71" s="157">
        <f>'Statement Q'!C83</f>
        <v>0</v>
      </c>
      <c r="O71" s="157">
        <f>'Statement Q'!D83</f>
        <v>0</v>
      </c>
      <c r="P71" s="157">
        <f>'Statement Q'!E83</f>
        <v>0</v>
      </c>
      <c r="Q71" s="157">
        <f>'Statement Q'!F83</f>
        <v>0</v>
      </c>
      <c r="R71" s="157">
        <f>'Statement Q'!G83</f>
        <v>0</v>
      </c>
      <c r="S71" s="157">
        <f>'Statement Q'!H83</f>
        <v>0</v>
      </c>
      <c r="T71" s="157">
        <f>'Statement Q'!I83</f>
        <v>0</v>
      </c>
      <c r="U71" s="157">
        <f>'Statement Q'!J83</f>
        <v>0</v>
      </c>
      <c r="W71" s="157">
        <f>U71</f>
        <v>0</v>
      </c>
    </row>
    <row r="73" spans="2:23" ht="17" thickBot="1" x14ac:dyDescent="0.25">
      <c r="B73" s="15" t="s">
        <v>184</v>
      </c>
      <c r="C73" s="158"/>
      <c r="D73" s="158"/>
      <c r="E73" s="158"/>
      <c r="F73" s="158"/>
      <c r="G73" s="158"/>
      <c r="H73" s="158"/>
      <c r="I73" s="158"/>
      <c r="J73" s="158"/>
      <c r="K73" s="158"/>
      <c r="L73" s="158"/>
      <c r="N73" s="158"/>
      <c r="O73" s="158"/>
      <c r="P73" s="158"/>
      <c r="Q73" s="158"/>
      <c r="R73" s="158"/>
      <c r="S73" s="158"/>
      <c r="T73" s="158"/>
      <c r="U73" s="158"/>
      <c r="W73" s="158"/>
    </row>
    <row r="74" spans="2:23" x14ac:dyDescent="0.2">
      <c r="B74" s="9" t="s">
        <v>185</v>
      </c>
      <c r="C74" s="159">
        <f t="shared" ref="C74:L74" si="5">C21/C5</f>
        <v>0.19969251793645371</v>
      </c>
      <c r="D74" s="159">
        <f t="shared" si="5"/>
        <v>0.23199123527800602</v>
      </c>
      <c r="E74" s="159">
        <f t="shared" si="5"/>
        <v>0.28693244739756368</v>
      </c>
      <c r="F74" s="159">
        <f t="shared" si="5"/>
        <v>0.26425566198191747</v>
      </c>
      <c r="G74" s="159">
        <f t="shared" si="5"/>
        <v>0.40876593099160707</v>
      </c>
      <c r="H74" s="159">
        <f t="shared" si="5"/>
        <v>0.30547988596769082</v>
      </c>
      <c r="I74" s="159">
        <f t="shared" si="5"/>
        <v>0.27013518118823127</v>
      </c>
      <c r="J74" s="159">
        <f t="shared" si="5"/>
        <v>0.27966407336802512</v>
      </c>
      <c r="K74" s="159">
        <f t="shared" si="5"/>
        <v>0.25854452452917925</v>
      </c>
      <c r="L74" s="159">
        <f t="shared" si="5"/>
        <v>0.29997054987588878</v>
      </c>
      <c r="N74" s="162"/>
      <c r="O74" s="162"/>
      <c r="P74" s="162"/>
      <c r="Q74" s="162"/>
      <c r="R74" s="162"/>
      <c r="S74" s="162"/>
      <c r="T74" s="162"/>
      <c r="U74" s="162"/>
      <c r="W74" s="89">
        <f>W21/W5</f>
        <v>0.29476955792745269</v>
      </c>
    </row>
    <row r="75" spans="2:23" x14ac:dyDescent="0.2">
      <c r="B75" s="9" t="s">
        <v>186</v>
      </c>
      <c r="C75" s="160" t="e">
        <f t="shared" ref="C75:L75" si="6">C5/C36</f>
        <v>#DIV/0!</v>
      </c>
      <c r="D75" s="160" t="e">
        <f t="shared" si="6"/>
        <v>#DIV/0!</v>
      </c>
      <c r="E75" s="160" t="e">
        <f t="shared" si="6"/>
        <v>#DIV/0!</v>
      </c>
      <c r="F75" s="160" t="e">
        <f t="shared" si="6"/>
        <v>#DIV/0!</v>
      </c>
      <c r="G75" s="160" t="e">
        <f t="shared" si="6"/>
        <v>#DIV/0!</v>
      </c>
      <c r="H75" s="160" t="e">
        <f t="shared" si="6"/>
        <v>#DIV/0!</v>
      </c>
      <c r="I75" s="160" t="e">
        <f t="shared" si="6"/>
        <v>#DIV/0!</v>
      </c>
      <c r="J75" s="160" t="e">
        <f t="shared" si="6"/>
        <v>#DIV/0!</v>
      </c>
      <c r="K75" s="160" t="e">
        <f t="shared" si="6"/>
        <v>#DIV/0!</v>
      </c>
      <c r="L75" s="160" t="e">
        <f t="shared" si="6"/>
        <v>#DIV/0!</v>
      </c>
      <c r="N75" s="163"/>
      <c r="O75" s="163"/>
      <c r="P75" s="163"/>
      <c r="Q75" s="163"/>
      <c r="R75" s="163"/>
      <c r="S75" s="163"/>
      <c r="T75" s="163"/>
      <c r="U75" s="163"/>
      <c r="W75" s="166" t="e">
        <f>W5/W36</f>
        <v>#DIV/0!</v>
      </c>
    </row>
    <row r="76" spans="2:23" x14ac:dyDescent="0.2">
      <c r="B76" s="11" t="s">
        <v>187</v>
      </c>
      <c r="C76" s="161" t="e">
        <f>C74*C75</f>
        <v>#DIV/0!</v>
      </c>
      <c r="D76" s="161" t="e">
        <f t="shared" ref="D76:H76" si="7">D74*D75</f>
        <v>#DIV/0!</v>
      </c>
      <c r="E76" s="161" t="e">
        <f t="shared" si="7"/>
        <v>#DIV/0!</v>
      </c>
      <c r="F76" s="161" t="e">
        <f t="shared" si="7"/>
        <v>#DIV/0!</v>
      </c>
      <c r="G76" s="161" t="e">
        <f t="shared" si="7"/>
        <v>#DIV/0!</v>
      </c>
      <c r="H76" s="161" t="e">
        <f t="shared" si="7"/>
        <v>#DIV/0!</v>
      </c>
      <c r="I76" s="161" t="e">
        <f t="shared" ref="I76:L76" si="8">I74*I75</f>
        <v>#DIV/0!</v>
      </c>
      <c r="J76" s="161" t="e">
        <f t="shared" si="8"/>
        <v>#DIV/0!</v>
      </c>
      <c r="K76" s="161" t="e">
        <f t="shared" si="8"/>
        <v>#DIV/0!</v>
      </c>
      <c r="L76" s="161" t="e">
        <f t="shared" si="8"/>
        <v>#DIV/0!</v>
      </c>
      <c r="N76" s="164"/>
      <c r="O76" s="164"/>
      <c r="P76" s="164"/>
      <c r="Q76" s="164"/>
      <c r="R76" s="164"/>
      <c r="S76" s="164"/>
      <c r="T76" s="164"/>
      <c r="U76" s="164"/>
      <c r="W76" s="161" t="e">
        <f t="shared" ref="W76" si="9">W74*W75</f>
        <v>#DIV/0!</v>
      </c>
    </row>
    <row r="77" spans="2:23" x14ac:dyDescent="0.2">
      <c r="B77" s="9" t="s">
        <v>188</v>
      </c>
      <c r="C77" s="160" t="e">
        <f t="shared" ref="C77:L77" si="10">C36/C50</f>
        <v>#DIV/0!</v>
      </c>
      <c r="D77" s="160" t="e">
        <f t="shared" si="10"/>
        <v>#DIV/0!</v>
      </c>
      <c r="E77" s="160" t="e">
        <f t="shared" si="10"/>
        <v>#DIV/0!</v>
      </c>
      <c r="F77" s="160" t="e">
        <f t="shared" si="10"/>
        <v>#DIV/0!</v>
      </c>
      <c r="G77" s="160" t="e">
        <f t="shared" si="10"/>
        <v>#DIV/0!</v>
      </c>
      <c r="H77" s="160" t="e">
        <f t="shared" si="10"/>
        <v>#DIV/0!</v>
      </c>
      <c r="I77" s="160" t="e">
        <f t="shared" si="10"/>
        <v>#DIV/0!</v>
      </c>
      <c r="J77" s="160" t="e">
        <f t="shared" si="10"/>
        <v>#DIV/0!</v>
      </c>
      <c r="K77" s="160" t="e">
        <f t="shared" si="10"/>
        <v>#DIV/0!</v>
      </c>
      <c r="L77" s="160" t="e">
        <f t="shared" si="10"/>
        <v>#DIV/0!</v>
      </c>
      <c r="N77" s="165"/>
      <c r="O77" s="165"/>
      <c r="P77" s="165"/>
      <c r="Q77" s="165"/>
      <c r="R77" s="165"/>
      <c r="S77" s="165"/>
      <c r="T77" s="165"/>
      <c r="U77" s="165"/>
      <c r="W77" s="160" t="e">
        <f>W36/W50</f>
        <v>#DIV/0!</v>
      </c>
    </row>
    <row r="78" spans="2:23" x14ac:dyDescent="0.2">
      <c r="B78" s="11" t="s">
        <v>189</v>
      </c>
      <c r="C78" s="161" t="e">
        <f>C76*C77</f>
        <v>#DIV/0!</v>
      </c>
      <c r="D78" s="161" t="e">
        <f t="shared" ref="D78:H78" si="11">D76*D77</f>
        <v>#DIV/0!</v>
      </c>
      <c r="E78" s="161" t="e">
        <f t="shared" si="11"/>
        <v>#DIV/0!</v>
      </c>
      <c r="F78" s="161" t="e">
        <f t="shared" si="11"/>
        <v>#DIV/0!</v>
      </c>
      <c r="G78" s="161" t="e">
        <f t="shared" si="11"/>
        <v>#DIV/0!</v>
      </c>
      <c r="H78" s="161" t="e">
        <f t="shared" si="11"/>
        <v>#DIV/0!</v>
      </c>
      <c r="I78" s="161" t="e">
        <f t="shared" ref="I78:L78" si="12">I76*I77</f>
        <v>#DIV/0!</v>
      </c>
      <c r="J78" s="161" t="e">
        <f t="shared" si="12"/>
        <v>#DIV/0!</v>
      </c>
      <c r="K78" s="161" t="e">
        <f t="shared" si="12"/>
        <v>#DIV/0!</v>
      </c>
      <c r="L78" s="161" t="e">
        <f t="shared" si="12"/>
        <v>#DIV/0!</v>
      </c>
      <c r="N78" s="164"/>
      <c r="O78" s="164"/>
      <c r="P78" s="164"/>
      <c r="Q78" s="164"/>
      <c r="R78" s="164"/>
      <c r="S78" s="164"/>
      <c r="T78" s="164"/>
      <c r="U78" s="164"/>
      <c r="W78" s="161" t="e">
        <f t="shared" ref="W78" si="13">W76*W77</f>
        <v>#DIV/0!</v>
      </c>
    </row>
    <row r="80" spans="2:23" ht="17" thickBot="1" x14ac:dyDescent="0.25">
      <c r="B80" s="158" t="s">
        <v>116</v>
      </c>
      <c r="C80" s="158"/>
      <c r="D80" s="158"/>
      <c r="E80" s="158"/>
      <c r="F80" s="158"/>
      <c r="G80" s="158"/>
      <c r="H80" s="158"/>
      <c r="I80" s="158"/>
      <c r="J80" s="158"/>
      <c r="K80" s="158"/>
      <c r="L80" s="158"/>
      <c r="N80" s="158"/>
      <c r="O80" s="158"/>
      <c r="P80" s="158"/>
      <c r="Q80" s="158"/>
      <c r="R80" s="158"/>
      <c r="S80" s="158"/>
      <c r="T80" s="158"/>
      <c r="U80" s="158"/>
      <c r="W80" s="158"/>
    </row>
    <row r="81" spans="2:23" x14ac:dyDescent="0.2">
      <c r="B81" s="11" t="s">
        <v>6</v>
      </c>
      <c r="C81" s="163"/>
      <c r="D81" s="161">
        <f t="shared" ref="D81:L81" si="14">(D5-C5)/C5</f>
        <v>0.24735223778612914</v>
      </c>
      <c r="E81" s="161">
        <f t="shared" si="14"/>
        <v>0.23664749383730485</v>
      </c>
      <c r="F81" s="161">
        <f t="shared" si="14"/>
        <v>0.23709856035437432</v>
      </c>
      <c r="G81" s="161">
        <f t="shared" si="14"/>
        <v>0.151911198639334</v>
      </c>
      <c r="H81" s="161">
        <f t="shared" si="14"/>
        <v>0.22668635374572582</v>
      </c>
      <c r="I81" s="161">
        <f t="shared" si="14"/>
        <v>0.11536268609439342</v>
      </c>
      <c r="J81" s="161">
        <f t="shared" si="14"/>
        <v>0.10240826990798592</v>
      </c>
      <c r="K81" s="161">
        <f t="shared" si="14"/>
        <v>0.10799113813179453</v>
      </c>
      <c r="L81" s="161">
        <f t="shared" si="14"/>
        <v>0.10527784236224134</v>
      </c>
      <c r="N81" s="163"/>
      <c r="O81" s="161">
        <f>(O5-N5)/N5</f>
        <v>1.8647579581842155E-2</v>
      </c>
      <c r="P81" s="161">
        <f>(P5-O5)/O5</f>
        <v>3.6612426035502958E-2</v>
      </c>
      <c r="Q81" s="161">
        <f>(Q5-P5)/P5</f>
        <v>1.9265073135925792E-2</v>
      </c>
      <c r="R81" s="161">
        <f>(R5-Q5)/Q5</f>
        <v>2.7826391319565977E-2</v>
      </c>
      <c r="S81" s="161">
        <f>(S5-R5)/R5</f>
        <v>1.9581134003064875E-2</v>
      </c>
      <c r="T81" s="161">
        <f>(T5-S5)/S5</f>
        <v>3.4402137608550432E-2</v>
      </c>
      <c r="U81" s="161">
        <f>(U5-T5)/T5</f>
        <v>3.2935098482402322E-2</v>
      </c>
      <c r="W81" s="163"/>
    </row>
    <row r="82" spans="2:23" x14ac:dyDescent="0.2">
      <c r="B82" s="9" t="s">
        <v>7</v>
      </c>
      <c r="C82" s="163"/>
      <c r="D82" s="159">
        <f t="shared" ref="D82:L82" si="15">(D6-C6)/C6</f>
        <v>0.23170731707317074</v>
      </c>
      <c r="E82" s="159">
        <f t="shared" si="15"/>
        <v>0.18316831683168316</v>
      </c>
      <c r="F82" s="159">
        <f t="shared" si="15"/>
        <v>0.4</v>
      </c>
      <c r="G82" s="159">
        <f t="shared" si="15"/>
        <v>2.9288702928870293E-2</v>
      </c>
      <c r="H82" s="159">
        <f t="shared" si="15"/>
        <v>8.3042973286875724E-2</v>
      </c>
      <c r="I82" s="159">
        <f t="shared" si="15"/>
        <v>0.16085790884718498</v>
      </c>
      <c r="J82" s="159">
        <f t="shared" si="15"/>
        <v>8.729792147806005E-2</v>
      </c>
      <c r="K82" s="159">
        <f t="shared" si="15"/>
        <v>1.6992353440951572E-3</v>
      </c>
      <c r="L82" s="159">
        <f t="shared" si="15"/>
        <v>8.1849024597116196E-2</v>
      </c>
      <c r="N82" s="163"/>
      <c r="O82" s="159">
        <f>(O6-N6)/N6</f>
        <v>-7.3578595317725759E-2</v>
      </c>
      <c r="P82" s="159">
        <f>(P6-O6)/O6</f>
        <v>0.11191335740072202</v>
      </c>
      <c r="Q82" s="159">
        <f>(Q6-P6)/P6</f>
        <v>9.74025974025974E-3</v>
      </c>
      <c r="R82" s="159">
        <f>(R6-Q6)/Q6</f>
        <v>2.5723472668810289E-2</v>
      </c>
      <c r="S82" s="159">
        <f>(S6-R6)/R6</f>
        <v>6.269592476489028E-3</v>
      </c>
      <c r="T82" s="159">
        <f>(T6-S6)/S6</f>
        <v>1.0903426791277258E-2</v>
      </c>
      <c r="U82" s="159">
        <f>(U6-T6)/T6</f>
        <v>2.3112480739599383E-2</v>
      </c>
      <c r="W82" s="163"/>
    </row>
    <row r="83" spans="2:23" x14ac:dyDescent="0.2">
      <c r="B83" s="11" t="s">
        <v>8</v>
      </c>
      <c r="C83" s="163"/>
      <c r="D83" s="161">
        <f t="shared" ref="D83:L83" si="16">IF(C7=0,
IF(D7=0,0,IF(D7&gt;0,1,-1)),
(D7-C7)/ABS(C7)
)</f>
        <v>0.24990067540723082</v>
      </c>
      <c r="E83" s="161">
        <f t="shared" si="16"/>
        <v>0.24523204068658613</v>
      </c>
      <c r="F83" s="161">
        <f t="shared" si="16"/>
        <v>0.21225271218889599</v>
      </c>
      <c r="G83" s="161">
        <f t="shared" si="16"/>
        <v>0.17351021267635292</v>
      </c>
      <c r="H83" s="161">
        <f t="shared" si="16"/>
        <v>0.24887852144267</v>
      </c>
      <c r="I83" s="161">
        <f t="shared" si="16"/>
        <v>0.10926724137931035</v>
      </c>
      <c r="J83" s="161">
        <f t="shared" si="16"/>
        <v>0.10452690887895862</v>
      </c>
      <c r="K83" s="161">
        <f t="shared" si="16"/>
        <v>0.122661975960129</v>
      </c>
      <c r="L83" s="161">
        <f t="shared" si="16"/>
        <v>0.10816315871938163</v>
      </c>
      <c r="N83" s="163"/>
      <c r="O83" s="161">
        <f t="shared" ref="O83:U83" si="17">IF(N7=0,
IF(O7=0,0,IF(O7&gt;0,1,-1)),
(O7-N7)/ABS(N7)
)</f>
        <v>3.0354489492676714E-2</v>
      </c>
      <c r="P83" s="161">
        <f t="shared" si="17"/>
        <v>2.8018129377832716E-2</v>
      </c>
      <c r="Q83" s="161">
        <f t="shared" si="17"/>
        <v>2.0440881763527055E-2</v>
      </c>
      <c r="R83" s="161">
        <f t="shared" si="17"/>
        <v>2.8083267871170464E-2</v>
      </c>
      <c r="S83" s="161">
        <f t="shared" si="17"/>
        <v>2.1203438395415473E-2</v>
      </c>
      <c r="T83" s="161">
        <f t="shared" si="17"/>
        <v>3.7224092779648332E-2</v>
      </c>
      <c r="U83" s="161">
        <f t="shared" si="17"/>
        <v>3.4084761045987379E-2</v>
      </c>
      <c r="W83" s="163"/>
    </row>
    <row r="84" spans="2:23" x14ac:dyDescent="0.2">
      <c r="B84" s="12" t="s">
        <v>11</v>
      </c>
      <c r="C84" s="163"/>
      <c r="D84" s="159">
        <f t="shared" ref="D84:L84" si="18">IF(C13=0,
IF(D13=0,0,IF(D13&gt;0,1,-1)),
(D13-C13)/ABS(C13)
)</f>
        <v>0.16464275628353572</v>
      </c>
      <c r="E84" s="159">
        <f t="shared" si="18"/>
        <v>0.2112027158098933</v>
      </c>
      <c r="F84" s="159">
        <f t="shared" si="18"/>
        <v>0.24724724724724725</v>
      </c>
      <c r="G84" s="159">
        <f t="shared" si="18"/>
        <v>0.10898876404494381</v>
      </c>
      <c r="H84" s="159">
        <f t="shared" si="18"/>
        <v>0.17498914459400783</v>
      </c>
      <c r="I84" s="159">
        <f t="shared" si="18"/>
        <v>0.15089923626508991</v>
      </c>
      <c r="J84" s="159">
        <f t="shared" si="18"/>
        <v>0.11366798672803168</v>
      </c>
      <c r="K84" s="159">
        <f t="shared" si="18"/>
        <v>0.19231138875540604</v>
      </c>
      <c r="L84" s="159">
        <f t="shared" si="18"/>
        <v>8.5442527809124619E-3</v>
      </c>
      <c r="N84" s="163"/>
      <c r="O84" s="159">
        <f>IF(N13=0,
IF(O13=0,0,IF(O13&gt;0,1,-1)),
(O13-N13)/ABS(N13)
)</f>
        <v>1.2738853503184714E-2</v>
      </c>
      <c r="P84" s="159">
        <f>IF(O13=0,
IF(P13=0,0,IF(P13&gt;0,1,-1)),
(P13-O13)/ABS(O13)
)</f>
        <v>5.9748427672955975E-2</v>
      </c>
      <c r="Q84" s="159">
        <f>IF(P13=0,
IF(Q13=0,0,IF(Q13&gt;0,1,-1)),
(Q13-P13)/ABS(P13)
)</f>
        <v>-3.4289482360698981E-2</v>
      </c>
      <c r="R84" s="159">
        <f>IF(Q13=0,
IF(R13=0,0,IF(R13&gt;0,1,-1)),
(R13-Q13)/ABS(Q13)
)</f>
        <v>6.7258449982929333E-2</v>
      </c>
      <c r="S84" s="159">
        <f>IF(R13=0,
IF(S13=0,0,IF(S13&gt;0,1,-1)),
(S13-R13)/ABS(R13)
)</f>
        <v>1.5035188739603326E-2</v>
      </c>
      <c r="T84" s="159">
        <f>IF(S13=0,
IF(T13=0,0,IF(T13&gt;0,1,-1)),
(T13-S13)/ABS(S13)
)</f>
        <v>3.4982666246454457E-2</v>
      </c>
      <c r="U84" s="159">
        <f>IF(T13=0,
IF(U13=0,0,IF(U13&gt;0,1,-1)),
(U13-T13)/ABS(T13)
)</f>
        <v>9.7442143727161992E-3</v>
      </c>
      <c r="W84" s="163"/>
    </row>
    <row r="85" spans="2:23" x14ac:dyDescent="0.2">
      <c r="B85" s="11" t="s">
        <v>12</v>
      </c>
      <c r="C85" s="163"/>
      <c r="D85" s="161">
        <f t="shared" ref="D85:L85" si="19">IF(C14=0,
IF(D14=0,0,IF(D14&gt;0,1,-1)),
(D14-C14)/ABS(C14)
)</f>
        <v>0.45113788487282463</v>
      </c>
      <c r="E85" s="161">
        <f t="shared" si="19"/>
        <v>0.30996309963099633</v>
      </c>
      <c r="F85" s="161">
        <f t="shared" si="19"/>
        <v>0.15070422535211267</v>
      </c>
      <c r="G85" s="161">
        <f t="shared" si="19"/>
        <v>0.29651162790697677</v>
      </c>
      <c r="H85" s="161">
        <f t="shared" si="19"/>
        <v>0.36936511682794432</v>
      </c>
      <c r="I85" s="161">
        <f t="shared" si="19"/>
        <v>5.1016890727335402E-2</v>
      </c>
      <c r="J85" s="161">
        <f t="shared" si="19"/>
        <v>9.0521482453263372E-2</v>
      </c>
      <c r="K85" s="161">
        <f t="shared" si="19"/>
        <v>1.368421052631579E-2</v>
      </c>
      <c r="L85" s="161">
        <f t="shared" si="19"/>
        <v>0.29149977748108591</v>
      </c>
      <c r="N85" s="163"/>
      <c r="O85" s="161">
        <f>IF(N14=0,
IF(O14=0,0,IF(O14&gt;0,1,-1)),
(O14-N14)/ABS(N14)
)</f>
        <v>5.6763925729442971E-2</v>
      </c>
      <c r="P85" s="161">
        <f>IF(O14=0,
IF(P14=0,0,IF(P14&gt;0,1,-1)),
(P14-O14)/ABS(O14)
)</f>
        <v>-1.7570281124497992E-2</v>
      </c>
      <c r="Q85" s="161">
        <f>IF(P14=0,
IF(Q14=0,0,IF(Q14&gt;0,1,-1)),
(Q14-P14)/ABS(P14)
)</f>
        <v>0.10526315789473684</v>
      </c>
      <c r="R85" s="161">
        <f>IF(Q14=0,
IF(R14=0,0,IF(R14&gt;0,1,-1)),
(R14-Q14)/ABS(Q14)
)</f>
        <v>-2.4965325936199722E-2</v>
      </c>
      <c r="S85" s="161">
        <f>IF(R14=0,
IF(S14=0,0,IF(S14&gt;0,1,-1)),
(S14-R14)/ABS(R14)
)</f>
        <v>3.0346135609293504E-2</v>
      </c>
      <c r="T85" s="161">
        <f>IF(S14=0,
IF(T14=0,0,IF(T14&gt;0,1,-1)),
(T14-S14)/ABS(S14)
)</f>
        <v>4.049700874367234E-2</v>
      </c>
      <c r="U85" s="161">
        <f>IF(T14=0,
IF(U14=0,0,IF(U14&gt;0,1,-1)),
(U14-T14)/ABS(T14)
)</f>
        <v>6.9438301636444058E-2</v>
      </c>
      <c r="W85" s="163"/>
    </row>
    <row r="86" spans="2:23" x14ac:dyDescent="0.2">
      <c r="B86" s="11" t="s">
        <v>13</v>
      </c>
      <c r="C86" s="163"/>
      <c r="D86" s="161">
        <f t="shared" ref="D86:L86" si="20">IF(C19=0,
IF(D19=0,0,IF(D19&gt;0,1,-1)),
(D19-C19)/ABS(C19)
)</f>
        <v>0.48989547038327524</v>
      </c>
      <c r="E86" s="161">
        <f t="shared" si="20"/>
        <v>0.30682881197380729</v>
      </c>
      <c r="F86" s="161">
        <f t="shared" si="20"/>
        <v>0.1471009305654975</v>
      </c>
      <c r="G86" s="161">
        <f t="shared" si="20"/>
        <v>0.30296411856474259</v>
      </c>
      <c r="H86" s="161">
        <f t="shared" si="20"/>
        <v>0.36613984674329503</v>
      </c>
      <c r="I86" s="161">
        <f t="shared" si="20"/>
        <v>5.3111305872042068E-2</v>
      </c>
      <c r="J86" s="161">
        <f t="shared" si="20"/>
        <v>0.13165778961384819</v>
      </c>
      <c r="K86" s="161">
        <f t="shared" si="20"/>
        <v>1.9414619797028975E-2</v>
      </c>
      <c r="L86" s="161">
        <f t="shared" si="20"/>
        <v>0.26013562256528638</v>
      </c>
      <c r="N86" s="163"/>
      <c r="O86" s="161">
        <f t="shared" ref="O86:U86" si="21">IF(N19=0,
IF(O19=0,0,IF(O19&gt;0,1,-1)),
(O19-N19)/ABS(N19)
)</f>
        <v>5.8031088082901555E-2</v>
      </c>
      <c r="P86" s="161">
        <f t="shared" si="21"/>
        <v>-2.4975514201762979E-2</v>
      </c>
      <c r="Q86" s="161">
        <f t="shared" si="21"/>
        <v>9.5931692616775491E-2</v>
      </c>
      <c r="R86" s="161">
        <f t="shared" si="21"/>
        <v>-3.7121906507791021E-2</v>
      </c>
      <c r="S86" s="161">
        <f t="shared" si="21"/>
        <v>4.0932889100428367E-2</v>
      </c>
      <c r="T86" s="161">
        <f t="shared" si="21"/>
        <v>3.5208047553726564E-2</v>
      </c>
      <c r="U86" s="161">
        <f t="shared" si="21"/>
        <v>6.9787985865724378E-2</v>
      </c>
      <c r="W86" s="163"/>
    </row>
    <row r="87" spans="2:23" x14ac:dyDescent="0.2">
      <c r="B87" s="11" t="s">
        <v>14</v>
      </c>
      <c r="C87" s="163"/>
      <c r="D87" s="161">
        <f t="shared" ref="D87:L87" si="22">IF(C21=0,
IF(D21=0,0,IF(D21&gt;0,1,-1)),
(D21-C21)/ABS(C21)
)</f>
        <v>0.44910179640718562</v>
      </c>
      <c r="E87" s="161">
        <f t="shared" si="22"/>
        <v>0.52951593860684765</v>
      </c>
      <c r="F87" s="161">
        <f t="shared" si="22"/>
        <v>0.13932844461597838</v>
      </c>
      <c r="G87" s="161">
        <f t="shared" si="22"/>
        <v>0.78184281842818426</v>
      </c>
      <c r="H87" s="161">
        <f t="shared" si="22"/>
        <v>-8.3269961977186308E-2</v>
      </c>
      <c r="I87" s="161">
        <f t="shared" si="22"/>
        <v>-1.3687266694317711E-2</v>
      </c>
      <c r="J87" s="161">
        <f t="shared" si="22"/>
        <v>0.14129520605550883</v>
      </c>
      <c r="K87" s="161">
        <f t="shared" si="22"/>
        <v>2.4318349299926309E-2</v>
      </c>
      <c r="L87" s="161">
        <f t="shared" si="22"/>
        <v>0.28237410071942448</v>
      </c>
      <c r="N87" s="163"/>
      <c r="O87" s="161">
        <f t="shared" ref="O87:U87" si="23">IF(N21=0,
IF(O21=0,0,IF(O21&gt;0,1,-1)),
(O21-N21)/ABS(N21)
)</f>
        <v>7.056579783852511E-2</v>
      </c>
      <c r="P87" s="161">
        <f t="shared" si="23"/>
        <v>-5.9382422802850359E-4</v>
      </c>
      <c r="Q87" s="161">
        <f t="shared" si="23"/>
        <v>7.6054664289958412E-2</v>
      </c>
      <c r="R87" s="161">
        <f t="shared" si="23"/>
        <v>-6.6261733848702375E-2</v>
      </c>
      <c r="S87" s="161">
        <f t="shared" si="23"/>
        <v>4.7900650502661145E-2</v>
      </c>
      <c r="T87" s="161">
        <f t="shared" si="23"/>
        <v>4.740406320541761E-2</v>
      </c>
      <c r="U87" s="161">
        <f t="shared" si="23"/>
        <v>1.7780172413793104E-2</v>
      </c>
      <c r="W87" s="163"/>
    </row>
    <row r="88" spans="2:23" x14ac:dyDescent="0.2">
      <c r="B88" s="12" t="s">
        <v>16</v>
      </c>
      <c r="C88" s="163"/>
      <c r="D88" s="159">
        <f>(D22-C22)/C22</f>
        <v>-5.9523809523809521E-3</v>
      </c>
      <c r="E88" s="159">
        <f t="shared" ref="E88:L88" si="24">(E22-D22)/D22</f>
        <v>-5.9880239520958087E-3</v>
      </c>
      <c r="F88" s="159">
        <f t="shared" si="24"/>
        <v>-1.2048192771084338E-2</v>
      </c>
      <c r="G88" s="159">
        <f t="shared" si="24"/>
        <v>-1.4227642276422764E-2</v>
      </c>
      <c r="H88" s="159">
        <f t="shared" si="24"/>
        <v>-8.2474226804123713E-3</v>
      </c>
      <c r="I88" s="159">
        <f t="shared" si="24"/>
        <v>-2.0790020790020791E-2</v>
      </c>
      <c r="J88" s="159">
        <f t="shared" si="24"/>
        <v>-2.5477707006369428E-2</v>
      </c>
      <c r="K88" s="159">
        <f t="shared" si="24"/>
        <v>-1.9607843137254902E-2</v>
      </c>
      <c r="L88" s="159">
        <f t="shared" si="24"/>
        <v>-5.1111111111111114E-2</v>
      </c>
      <c r="N88" s="163"/>
      <c r="O88" s="159">
        <f>(O22-N22)/N22</f>
        <v>-6.6518847006651885E-3</v>
      </c>
      <c r="P88" s="159">
        <f t="shared" ref="P88:U88" si="25">(P22-O22)/O22</f>
        <v>-1.1160714285714286E-2</v>
      </c>
      <c r="Q88" s="159">
        <f t="shared" si="25"/>
        <v>-1.1286681715575621E-2</v>
      </c>
      <c r="R88" s="159">
        <f t="shared" si="25"/>
        <v>-2.0547945205479451E-2</v>
      </c>
      <c r="S88" s="159">
        <f t="shared" si="25"/>
        <v>-1.1655011655011656E-2</v>
      </c>
      <c r="T88" s="159">
        <f t="shared" si="25"/>
        <v>-1.6509433962264151E-2</v>
      </c>
      <c r="U88" s="159">
        <f t="shared" si="25"/>
        <v>-1.4388489208633094E-2</v>
      </c>
      <c r="W88" s="163"/>
    </row>
    <row r="89" spans="2:23" x14ac:dyDescent="0.2">
      <c r="B89" s="12" t="s">
        <v>18</v>
      </c>
      <c r="C89" s="163"/>
      <c r="D89" s="159">
        <f t="shared" ref="D89:L89" si="26">IF(C23=0,
IF(D23=0,0,IF(D23&gt;0,1,-1)),
(D23-C23)/ABS(C23)
)</f>
        <v>0.45689655172413801</v>
      </c>
      <c r="E89" s="159">
        <f t="shared" si="26"/>
        <v>0.53846153846153855</v>
      </c>
      <c r="F89" s="159">
        <f t="shared" si="26"/>
        <v>0.1538461538461538</v>
      </c>
      <c r="G89" s="159">
        <f t="shared" si="26"/>
        <v>0.80500000000000005</v>
      </c>
      <c r="H89" s="159">
        <f t="shared" si="26"/>
        <v>-7.4792243767313069E-2</v>
      </c>
      <c r="I89" s="159">
        <f t="shared" si="26"/>
        <v>7.9840319361277525E-3</v>
      </c>
      <c r="J89" s="159">
        <f t="shared" si="26"/>
        <v>0.17029702970297037</v>
      </c>
      <c r="K89" s="159">
        <f t="shared" si="26"/>
        <v>4.5685279187817188E-2</v>
      </c>
      <c r="L89" s="159">
        <f t="shared" si="26"/>
        <v>0.35113268608414239</v>
      </c>
      <c r="N89" s="163"/>
      <c r="O89" s="159">
        <f t="shared" ref="O89:U89" si="27">IF(N23=0,
IF(O23=0,0,IF(O23&gt;0,1,-1)),
(O23-N23)/ABS(N23)
)</f>
        <v>7.7363896848137409E-2</v>
      </c>
      <c r="P89" s="159">
        <f t="shared" si="27"/>
        <v>7.9787234042553862E-3</v>
      </c>
      <c r="Q89" s="159">
        <f t="shared" si="27"/>
        <v>9.2348284960422064E-2</v>
      </c>
      <c r="R89" s="159">
        <f t="shared" si="27"/>
        <v>-4.830917874396129E-2</v>
      </c>
      <c r="S89" s="159">
        <f t="shared" si="27"/>
        <v>6.0913705583756285E-2</v>
      </c>
      <c r="T89" s="159">
        <f t="shared" si="27"/>
        <v>6.4593301435406814E-2</v>
      </c>
      <c r="U89" s="159">
        <f t="shared" si="27"/>
        <v>3.3707865168539207E-2</v>
      </c>
      <c r="W89" s="163"/>
    </row>
    <row r="91" spans="2:23" ht="17" thickBot="1" x14ac:dyDescent="0.25">
      <c r="B91" s="15" t="s">
        <v>89</v>
      </c>
      <c r="C91" s="14"/>
      <c r="D91" s="14"/>
      <c r="E91" s="14"/>
      <c r="F91" s="14"/>
      <c r="G91" s="14"/>
      <c r="H91" s="14"/>
      <c r="I91" s="14"/>
      <c r="J91" s="14"/>
      <c r="K91" s="14"/>
      <c r="L91" s="14"/>
      <c r="N91" s="14"/>
      <c r="O91" s="14"/>
      <c r="P91" s="14"/>
      <c r="Q91" s="14"/>
      <c r="R91" s="14"/>
      <c r="S91" s="14"/>
      <c r="T91" s="14"/>
      <c r="U91" s="14"/>
      <c r="W91" s="14"/>
    </row>
    <row r="92" spans="2:23" x14ac:dyDescent="0.2">
      <c r="B92" s="9" t="s">
        <v>90</v>
      </c>
      <c r="C92" s="75">
        <f t="shared" ref="C92:I92" si="28">C7/C5</f>
        <v>0.85992483771779982</v>
      </c>
      <c r="D92" s="75">
        <f t="shared" si="28"/>
        <v>0.86168173103259382</v>
      </c>
      <c r="E92" s="75">
        <f t="shared" si="28"/>
        <v>0.86766334440753046</v>
      </c>
      <c r="F92" s="75">
        <f t="shared" si="28"/>
        <v>0.85023722137677915</v>
      </c>
      <c r="G92" s="75">
        <f t="shared" si="28"/>
        <v>0.86617967050046629</v>
      </c>
      <c r="H92" s="75">
        <f t="shared" si="28"/>
        <v>0.88184985745961353</v>
      </c>
      <c r="I92" s="75">
        <f t="shared" si="28"/>
        <v>0.87703055776439853</v>
      </c>
      <c r="J92" s="75">
        <f t="shared" ref="J92:L92" si="29">J7/J5</f>
        <v>0.87871605955999799</v>
      </c>
      <c r="K92" s="75">
        <f t="shared" si="29"/>
        <v>0.89035108114392003</v>
      </c>
      <c r="L92" s="75">
        <f t="shared" si="29"/>
        <v>0.89267533341747651</v>
      </c>
      <c r="N92" s="75">
        <f t="shared" ref="N92:U92" si="30">N7/N5</f>
        <v>0.88736108495008481</v>
      </c>
      <c r="O92" s="75">
        <f t="shared" si="30"/>
        <v>0.8975591715976331</v>
      </c>
      <c r="P92" s="75">
        <f t="shared" si="30"/>
        <v>0.89011773100249736</v>
      </c>
      <c r="Q92" s="75">
        <f t="shared" si="30"/>
        <v>0.89114455722786134</v>
      </c>
      <c r="R92" s="75">
        <f t="shared" si="30"/>
        <v>0.89136727396560533</v>
      </c>
      <c r="S92" s="75">
        <f t="shared" si="30"/>
        <v>0.89278557114228452</v>
      </c>
      <c r="T92" s="75">
        <f t="shared" si="30"/>
        <v>0.89522118178882792</v>
      </c>
      <c r="U92" s="75">
        <f t="shared" si="30"/>
        <v>0.89621756798999686</v>
      </c>
      <c r="W92" s="75">
        <f>W7/W5</f>
        <v>0.89395984132826234</v>
      </c>
    </row>
    <row r="93" spans="2:23" x14ac:dyDescent="0.2">
      <c r="B93" s="9" t="s">
        <v>91</v>
      </c>
      <c r="C93" s="75">
        <f t="shared" ref="C93:I93" si="31">C14/C5</f>
        <v>0.25521011274342331</v>
      </c>
      <c r="D93" s="75">
        <f t="shared" si="31"/>
        <v>0.29690495754587787</v>
      </c>
      <c r="E93" s="75">
        <f t="shared" si="31"/>
        <v>0.31450719822812845</v>
      </c>
      <c r="F93" s="75">
        <f t="shared" si="31"/>
        <v>0.29254319219407393</v>
      </c>
      <c r="G93" s="75">
        <f t="shared" si="31"/>
        <v>0.32926639726453216</v>
      </c>
      <c r="H93" s="75">
        <f t="shared" si="31"/>
        <v>0.36756414317389929</v>
      </c>
      <c r="I93" s="75">
        <f t="shared" si="31"/>
        <v>0.34635919572872886</v>
      </c>
      <c r="J93" s="75">
        <f t="shared" ref="J93:L93" si="32">J14/J5</f>
        <v>0.3426245556185275</v>
      </c>
      <c r="K93" s="75">
        <f t="shared" si="32"/>
        <v>0.31346198558474775</v>
      </c>
      <c r="L93" s="75">
        <f t="shared" si="32"/>
        <v>0.36627540073204595</v>
      </c>
      <c r="N93" s="75">
        <f t="shared" ref="N93:U93" si="33">N14/N5</f>
        <v>0.35505744961386326</v>
      </c>
      <c r="O93" s="75">
        <f t="shared" si="33"/>
        <v>0.36834319526627218</v>
      </c>
      <c r="P93" s="75">
        <f t="shared" si="33"/>
        <v>0.34909026043524793</v>
      </c>
      <c r="Q93" s="75">
        <f t="shared" si="33"/>
        <v>0.37854392719635982</v>
      </c>
      <c r="R93" s="75">
        <f t="shared" si="33"/>
        <v>0.35910097054316364</v>
      </c>
      <c r="S93" s="75">
        <f t="shared" si="33"/>
        <v>0.36289245156980626</v>
      </c>
      <c r="T93" s="75">
        <f t="shared" si="33"/>
        <v>0.36503067484662577</v>
      </c>
      <c r="U93" s="75">
        <f t="shared" si="33"/>
        <v>0.37793060331353551</v>
      </c>
      <c r="W93" s="75">
        <f>W14/W5</f>
        <v>0.36645810330020856</v>
      </c>
    </row>
    <row r="94" spans="2:23" x14ac:dyDescent="0.2">
      <c r="B94" s="82" t="s">
        <v>92</v>
      </c>
      <c r="C94" s="168">
        <f t="shared" ref="C94:I94" si="34">C21/C5</f>
        <v>0.19969251793645371</v>
      </c>
      <c r="D94" s="168">
        <f t="shared" si="34"/>
        <v>0.23199123527800602</v>
      </c>
      <c r="E94" s="168">
        <f t="shared" si="34"/>
        <v>0.28693244739756368</v>
      </c>
      <c r="F94" s="168">
        <f t="shared" si="34"/>
        <v>0.26425566198191747</v>
      </c>
      <c r="G94" s="168">
        <f t="shared" si="34"/>
        <v>0.40876593099160707</v>
      </c>
      <c r="H94" s="168">
        <f t="shared" si="34"/>
        <v>0.30547988596769082</v>
      </c>
      <c r="I94" s="168">
        <f t="shared" si="34"/>
        <v>0.27013518118823127</v>
      </c>
      <c r="J94" s="168">
        <f t="shared" ref="J94:L94" si="35">J21/J5</f>
        <v>0.27966407336802512</v>
      </c>
      <c r="K94" s="168">
        <f t="shared" si="35"/>
        <v>0.25854452452917925</v>
      </c>
      <c r="L94" s="168">
        <f t="shared" si="35"/>
        <v>0.29997054987588878</v>
      </c>
      <c r="N94" s="168">
        <f t="shared" ref="N94:U94" si="36">N21/N5</f>
        <v>0.29628932002260311</v>
      </c>
      <c r="O94" s="168">
        <f t="shared" si="36"/>
        <v>0.31139053254437871</v>
      </c>
      <c r="P94" s="168">
        <f t="shared" si="36"/>
        <v>0.30021405636817694</v>
      </c>
      <c r="Q94" s="168">
        <f t="shared" si="36"/>
        <v>0.31694084704235209</v>
      </c>
      <c r="R94" s="168">
        <f t="shared" si="36"/>
        <v>0.28792780521028433</v>
      </c>
      <c r="S94" s="168">
        <f t="shared" si="36"/>
        <v>0.29592518370073478</v>
      </c>
      <c r="T94" s="168">
        <f t="shared" si="36"/>
        <v>0.29964481756538586</v>
      </c>
      <c r="U94" s="168">
        <f t="shared" si="36"/>
        <v>0.29524851516098782</v>
      </c>
      <c r="W94" s="168">
        <f>W21/W5</f>
        <v>0.29476955792745269</v>
      </c>
    </row>
  </sheetData>
  <pageMargins left="0.7" right="0.7" top="0.75" bottom="0.75" header="0.3" footer="0.3"/>
  <ignoredErrors>
    <ignoredError sqref="W22 C77:H77 W77 I77:L77 D88:L88 O88:U88" formula="1"/>
    <ignoredError sqref="N59:U59"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A8" zoomScale="163" zoomScaleNormal="75" workbookViewId="0">
      <selection activeCell="R10" sqref="R10"/>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113</v>
      </c>
      <c r="O1" s="116"/>
    </row>
    <row r="2" spans="1:31" x14ac:dyDescent="0.2">
      <c r="A2" s="100"/>
      <c r="C2" s="196" t="s">
        <v>105</v>
      </c>
      <c r="D2" s="196"/>
      <c r="E2" s="196"/>
      <c r="F2" s="196"/>
      <c r="G2" s="199"/>
      <c r="H2" s="200" t="s">
        <v>106</v>
      </c>
      <c r="I2" s="196"/>
      <c r="J2" s="196"/>
      <c r="K2" s="196"/>
      <c r="L2" s="196"/>
      <c r="O2" s="90"/>
      <c r="S2" s="196" t="s">
        <v>105</v>
      </c>
      <c r="T2" s="196"/>
      <c r="U2" s="196"/>
      <c r="V2" s="196"/>
      <c r="W2" s="196"/>
      <c r="X2" s="196"/>
      <c r="Y2" s="196"/>
      <c r="Z2" s="196"/>
      <c r="AA2" s="196" t="s">
        <v>106</v>
      </c>
      <c r="AB2" s="196"/>
      <c r="AC2" s="196"/>
      <c r="AE2" s="117" t="s">
        <v>75</v>
      </c>
    </row>
    <row r="3" spans="1:31" ht="10" customHeight="1" x14ac:dyDescent="0.2">
      <c r="O3" s="90"/>
    </row>
    <row r="4" spans="1:31" ht="16" customHeight="1" x14ac:dyDescent="0.2">
      <c r="A4" s="105"/>
      <c r="B4" s="92"/>
      <c r="C4" s="201" t="s">
        <v>114</v>
      </c>
      <c r="D4" s="201"/>
      <c r="E4" s="201"/>
      <c r="F4" s="201"/>
      <c r="G4" s="201"/>
      <c r="H4" s="201"/>
      <c r="I4" s="201"/>
      <c r="J4" s="201"/>
      <c r="K4" s="201"/>
      <c r="L4" s="201"/>
      <c r="O4" s="90"/>
      <c r="S4" s="197" t="s">
        <v>114</v>
      </c>
      <c r="T4" s="198"/>
      <c r="U4" s="198"/>
      <c r="V4" s="198"/>
      <c r="W4" s="198"/>
      <c r="X4" s="198"/>
      <c r="Y4" s="198"/>
      <c r="Z4" s="198"/>
      <c r="AA4" s="198"/>
      <c r="AB4" s="198"/>
      <c r="AC4" s="198"/>
      <c r="AE4" s="119" t="s">
        <v>121</v>
      </c>
    </row>
    <row r="5" spans="1:31" x14ac:dyDescent="0.2">
      <c r="B5" s="7" t="s">
        <v>268</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115</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118</v>
      </c>
      <c r="AB5" s="62" t="s">
        <v>119</v>
      </c>
      <c r="AC5" s="62" t="s">
        <v>120</v>
      </c>
      <c r="AE5" s="61" t="s">
        <v>118</v>
      </c>
    </row>
    <row r="6" spans="1:31" x14ac:dyDescent="0.2">
      <c r="B6" s="1" t="e">
        <f>'Statement Y'!#REF!</f>
        <v>#REF!</v>
      </c>
      <c r="C6" s="103" t="e">
        <f>'Statement Y'!#REF!</f>
        <v>#REF!</v>
      </c>
      <c r="D6" s="103" t="e">
        <f>'Statement Y'!#REF!</f>
        <v>#REF!</v>
      </c>
      <c r="E6" s="103" t="e">
        <f>'Statement Y'!#REF!</f>
        <v>#REF!</v>
      </c>
      <c r="F6" s="103" t="e">
        <f>'Statement Y'!#REF!</f>
        <v>#REF!</v>
      </c>
      <c r="G6" s="106" t="e">
        <f>'Statement Y'!#REF!</f>
        <v>#REF!</v>
      </c>
      <c r="H6" s="104" t="e">
        <f>G6*(1+H15)</f>
        <v>#REF!</v>
      </c>
      <c r="I6" s="104" t="e">
        <f t="shared" ref="I6:L6" si="1">H6*(1+I15)</f>
        <v>#REF!</v>
      </c>
      <c r="J6" s="104" t="e">
        <f t="shared" si="1"/>
        <v>#REF!</v>
      </c>
      <c r="K6" s="104" t="e">
        <f t="shared" si="1"/>
        <v>#REF!</v>
      </c>
      <c r="L6" s="104" t="e">
        <f t="shared" si="1"/>
        <v>#REF!</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e">
        <f>'Statement Y'!#REF!</f>
        <v>#REF!</v>
      </c>
      <c r="C7" s="103" t="e">
        <f>'Statement Y'!#REF!</f>
        <v>#REF!</v>
      </c>
      <c r="D7" s="103" t="e">
        <f>'Statement Y'!#REF!</f>
        <v>#REF!</v>
      </c>
      <c r="E7" s="103" t="e">
        <f>'Statement Y'!#REF!</f>
        <v>#REF!</v>
      </c>
      <c r="F7" s="103" t="e">
        <f>'Statement Y'!#REF!</f>
        <v>#REF!</v>
      </c>
      <c r="G7" s="106" t="e">
        <f>'Statement Y'!#REF!</f>
        <v>#REF!</v>
      </c>
      <c r="H7" s="104" t="e">
        <f>G7*(1+H16)</f>
        <v>#REF!</v>
      </c>
      <c r="I7" s="104" t="e">
        <f t="shared" ref="I7:L7" si="2">H7*(1+I16)</f>
        <v>#REF!</v>
      </c>
      <c r="J7" s="104" t="e">
        <f t="shared" si="2"/>
        <v>#REF!</v>
      </c>
      <c r="K7" s="104" t="e">
        <f t="shared" si="2"/>
        <v>#REF!</v>
      </c>
      <c r="L7" s="104" t="e">
        <f t="shared" si="2"/>
        <v>#REF!</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e">
        <f>'Statement Y'!#REF!</f>
        <v>#REF!</v>
      </c>
      <c r="C8" s="103" t="e">
        <f>'Statement Y'!#REF!</f>
        <v>#REF!</v>
      </c>
      <c r="D8" s="103" t="e">
        <f>'Statement Y'!#REF!</f>
        <v>#REF!</v>
      </c>
      <c r="E8" s="103" t="e">
        <f>'Statement Y'!#REF!</f>
        <v>#REF!</v>
      </c>
      <c r="F8" s="103" t="e">
        <f>'Statement Y'!#REF!</f>
        <v>#REF!</v>
      </c>
      <c r="G8" s="106" t="e">
        <f>'Statement Y'!#REF!</f>
        <v>#REF!</v>
      </c>
      <c r="H8" s="104" t="e">
        <f t="shared" ref="H8:L8" si="4">G8*(1+H17)</f>
        <v>#REF!</v>
      </c>
      <c r="I8" s="104" t="e">
        <f t="shared" si="4"/>
        <v>#REF!</v>
      </c>
      <c r="J8" s="104" t="e">
        <f t="shared" si="4"/>
        <v>#REF!</v>
      </c>
      <c r="K8" s="104" t="e">
        <f t="shared" si="4"/>
        <v>#REF!</v>
      </c>
      <c r="L8" s="104" t="e">
        <f t="shared" si="4"/>
        <v>#REF!</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e">
        <f>'Statement Y'!#REF!</f>
        <v>#REF!</v>
      </c>
      <c r="C9" s="103" t="e">
        <f>'Statement Y'!#REF!</f>
        <v>#REF!</v>
      </c>
      <c r="D9" s="103" t="e">
        <f>'Statement Y'!#REF!</f>
        <v>#REF!</v>
      </c>
      <c r="E9" s="103" t="e">
        <f>'Statement Y'!#REF!</f>
        <v>#REF!</v>
      </c>
      <c r="F9" s="103" t="e">
        <f>'Statement Y'!#REF!</f>
        <v>#REF!</v>
      </c>
      <c r="G9" s="106" t="e">
        <f>'Statement Y'!#REF!</f>
        <v>#REF!</v>
      </c>
      <c r="H9" s="104" t="e">
        <f t="shared" ref="H9:L9" si="5">G9*(1+H18)</f>
        <v>#REF!</v>
      </c>
      <c r="I9" s="104" t="e">
        <f t="shared" si="5"/>
        <v>#REF!</v>
      </c>
      <c r="J9" s="104" t="e">
        <f t="shared" si="5"/>
        <v>#REF!</v>
      </c>
      <c r="K9" s="104" t="e">
        <f t="shared" si="5"/>
        <v>#REF!</v>
      </c>
      <c r="L9" s="104" t="e">
        <f t="shared" si="5"/>
        <v>#REF!</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e">
        <f>'Statement Y'!#REF!</f>
        <v>#REF!</v>
      </c>
      <c r="C10" s="103" t="e">
        <f>'Statement Y'!#REF!</f>
        <v>#REF!</v>
      </c>
      <c r="D10" s="103" t="e">
        <f>'Statement Y'!#REF!</f>
        <v>#REF!</v>
      </c>
      <c r="E10" s="103" t="e">
        <f>'Statement Y'!#REF!</f>
        <v>#REF!</v>
      </c>
      <c r="F10" s="103" t="e">
        <f>'Statement Y'!#REF!</f>
        <v>#REF!</v>
      </c>
      <c r="G10" s="106" t="e">
        <f>'Statement Y'!#REF!</f>
        <v>#REF!</v>
      </c>
      <c r="H10" s="104" t="e">
        <f t="shared" ref="H10:L10" si="6">G10*(1+H19)</f>
        <v>#REF!</v>
      </c>
      <c r="I10" s="104" t="e">
        <f t="shared" si="6"/>
        <v>#REF!</v>
      </c>
      <c r="J10" s="104" t="e">
        <f t="shared" si="6"/>
        <v>#REF!</v>
      </c>
      <c r="K10" s="104" t="e">
        <f t="shared" si="6"/>
        <v>#REF!</v>
      </c>
      <c r="L10" s="104" t="e">
        <f t="shared" si="6"/>
        <v>#REF!</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104</v>
      </c>
      <c r="C11" s="107">
        <f>'Statement Y'!H5</f>
        <v>15785</v>
      </c>
      <c r="D11" s="107">
        <f>'Statement Y'!I5</f>
        <v>17606</v>
      </c>
      <c r="E11" s="107">
        <f>'Statement Y'!J5</f>
        <v>19409</v>
      </c>
      <c r="F11" s="107">
        <f>'Statement Y'!K5</f>
        <v>21505</v>
      </c>
      <c r="G11" s="108">
        <f>'Statement Y'!L5</f>
        <v>23769</v>
      </c>
      <c r="H11" s="109" t="e">
        <f>SUM(H6:H10)</f>
        <v>#REF!</v>
      </c>
      <c r="I11" s="109" t="e">
        <f t="shared" ref="I11:L11" si="7">SUM(I6:I10)</f>
        <v>#REF!</v>
      </c>
      <c r="J11" s="109" t="e">
        <f t="shared" si="7"/>
        <v>#REF!</v>
      </c>
      <c r="K11" s="109" t="e">
        <f t="shared" si="7"/>
        <v>#REF!</v>
      </c>
      <c r="L11" s="109" t="e">
        <f t="shared" si="7"/>
        <v>#REF!</v>
      </c>
      <c r="O11" s="90"/>
      <c r="Q11" s="91"/>
      <c r="R11" s="7" t="s">
        <v>104</v>
      </c>
      <c r="S11" s="107">
        <f>'Statement Q'!C5</f>
        <v>5309</v>
      </c>
      <c r="T11" s="107">
        <f>'Statement Q'!D5</f>
        <v>5408</v>
      </c>
      <c r="U11" s="107">
        <f>'Statement Q'!E5</f>
        <v>5606</v>
      </c>
      <c r="V11" s="107">
        <f>'Statement Q'!F5</f>
        <v>5714</v>
      </c>
      <c r="W11" s="107">
        <f>'Statement Q'!G5</f>
        <v>5873</v>
      </c>
      <c r="X11" s="107">
        <f>'Statement Q'!H5</f>
        <v>5988</v>
      </c>
      <c r="Y11" s="107">
        <f>'Statement Q'!I5</f>
        <v>6194</v>
      </c>
      <c r="Z11" s="108">
        <f>'Statement Q'!J5</f>
        <v>6398</v>
      </c>
      <c r="AA11" s="109" t="e">
        <f>AA6+#REF!</f>
        <v>#REF!</v>
      </c>
      <c r="AB11" s="109" t="e">
        <f>AB6+#REF!</f>
        <v>#REF!</v>
      </c>
      <c r="AC11" s="109" t="e">
        <f>AC6+#REF!</f>
        <v>#REF!</v>
      </c>
      <c r="AE11" s="109" t="e">
        <f>AE6+#REF!</f>
        <v>#REF!</v>
      </c>
    </row>
    <row r="12" spans="1:31" x14ac:dyDescent="0.2">
      <c r="O12" s="90"/>
      <c r="Q12" s="91"/>
    </row>
    <row r="13" spans="1:31" x14ac:dyDescent="0.2">
      <c r="C13" s="201" t="s">
        <v>116</v>
      </c>
      <c r="D13" s="201"/>
      <c r="E13" s="201"/>
      <c r="F13" s="201"/>
      <c r="G13" s="201"/>
      <c r="H13" s="201"/>
      <c r="I13" s="201"/>
      <c r="J13" s="201"/>
      <c r="K13" s="201"/>
      <c r="L13" s="201"/>
      <c r="O13" s="90"/>
      <c r="Q13" s="91"/>
      <c r="S13" s="197" t="s">
        <v>116</v>
      </c>
      <c r="T13" s="198"/>
      <c r="U13" s="198"/>
      <c r="V13" s="198"/>
      <c r="W13" s="198"/>
      <c r="X13" s="198"/>
      <c r="Y13" s="198"/>
      <c r="Z13" s="198"/>
      <c r="AA13" s="198"/>
      <c r="AB13" s="198"/>
      <c r="AC13" s="198"/>
    </row>
    <row r="14" spans="1:31" x14ac:dyDescent="0.2">
      <c r="B14" s="7" t="s">
        <v>117</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117</v>
      </c>
      <c r="S14" s="62" t="str">
        <f t="shared" ref="S14:AC14" si="9">S5</f>
        <v>Q2 2024</v>
      </c>
      <c r="T14" s="62" t="str">
        <f t="shared" si="9"/>
        <v>Q3 2024</v>
      </c>
      <c r="U14" s="62" t="str">
        <f t="shared" si="9"/>
        <v>Q4 2024</v>
      </c>
      <c r="V14" s="62" t="str">
        <f t="shared" si="9"/>
        <v>Q1 2025</v>
      </c>
      <c r="W14" s="62" t="str">
        <f t="shared" si="9"/>
        <v>Q2 2025</v>
      </c>
      <c r="X14" s="62" t="str">
        <f t="shared" si="9"/>
        <v>Q3 2025</v>
      </c>
      <c r="Y14" s="62" t="str">
        <f t="shared" si="9"/>
        <v>Q4 2025</v>
      </c>
      <c r="Z14" s="62" t="str">
        <f t="shared" si="9"/>
        <v>Q1 2026</v>
      </c>
      <c r="AA14" s="62" t="str">
        <f t="shared" si="9"/>
        <v>FQ1</v>
      </c>
      <c r="AB14" s="62" t="str">
        <f t="shared" si="9"/>
        <v>FQ2</v>
      </c>
      <c r="AC14" s="62" t="str">
        <f t="shared" si="9"/>
        <v>FQ3</v>
      </c>
    </row>
    <row r="15" spans="1:31" x14ac:dyDescent="0.2">
      <c r="B15" s="1" t="e">
        <f>B6</f>
        <v>#REF!</v>
      </c>
      <c r="C15" s="81"/>
      <c r="D15" s="111" t="e">
        <f t="shared" ref="D15:G20" si="10">D6/C6-1</f>
        <v>#REF!</v>
      </c>
      <c r="E15" s="111" t="e">
        <f t="shared" si="10"/>
        <v>#REF!</v>
      </c>
      <c r="F15" s="111" t="e">
        <f t="shared" si="10"/>
        <v>#REF!</v>
      </c>
      <c r="G15" s="112" t="e">
        <f t="shared" si="10"/>
        <v>#REF!</v>
      </c>
      <c r="H15" s="113">
        <v>0.03</v>
      </c>
      <c r="I15" s="113">
        <v>0.03</v>
      </c>
      <c r="J15" s="113">
        <v>0.03</v>
      </c>
      <c r="K15" s="113">
        <v>0.03</v>
      </c>
      <c r="L15" s="113">
        <v>0.03</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e">
        <f>B7</f>
        <v>#REF!</v>
      </c>
      <c r="C16" s="81"/>
      <c r="D16" s="111" t="e">
        <f t="shared" si="10"/>
        <v>#REF!</v>
      </c>
      <c r="E16" s="111" t="e">
        <f t="shared" si="10"/>
        <v>#REF!</v>
      </c>
      <c r="F16" s="111" t="e">
        <f t="shared" si="10"/>
        <v>#REF!</v>
      </c>
      <c r="G16" s="112" t="e">
        <f t="shared" si="10"/>
        <v>#REF!</v>
      </c>
      <c r="H16" s="113">
        <v>0.02</v>
      </c>
      <c r="I16" s="113">
        <v>0.02</v>
      </c>
      <c r="J16" s="113">
        <v>0.02</v>
      </c>
      <c r="K16" s="113">
        <v>0.02</v>
      </c>
      <c r="L16" s="113">
        <v>0.02</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e">
        <f>B8</f>
        <v>#REF!</v>
      </c>
      <c r="C17" s="81"/>
      <c r="D17" s="111" t="e">
        <f t="shared" si="10"/>
        <v>#REF!</v>
      </c>
      <c r="E17" s="111" t="e">
        <f t="shared" si="10"/>
        <v>#REF!</v>
      </c>
      <c r="F17" s="111" t="e">
        <f t="shared" si="10"/>
        <v>#REF!</v>
      </c>
      <c r="G17" s="112" t="e">
        <f t="shared" si="10"/>
        <v>#REF!</v>
      </c>
      <c r="H17" s="113">
        <v>5.0000000000000001E-3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e">
        <f>B9</f>
        <v>#REF!</v>
      </c>
      <c r="C18" s="81"/>
      <c r="D18" s="111" t="e">
        <f t="shared" si="10"/>
        <v>#REF!</v>
      </c>
      <c r="E18" s="111" t="e">
        <f t="shared" si="10"/>
        <v>#REF!</v>
      </c>
      <c r="F18" s="111" t="e">
        <f t="shared" si="10"/>
        <v>#REF!</v>
      </c>
      <c r="G18" s="112" t="e">
        <f t="shared" si="10"/>
        <v>#REF!</v>
      </c>
      <c r="H18" s="113">
        <v>5.0000000000000001E-3</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e">
        <f>B10</f>
        <v>#REF!</v>
      </c>
      <c r="C19" s="81"/>
      <c r="D19" s="111" t="e">
        <f t="shared" si="10"/>
        <v>#REF!</v>
      </c>
      <c r="E19" s="111" t="e">
        <f t="shared" si="10"/>
        <v>#REF!</v>
      </c>
      <c r="F19" s="111" t="e">
        <f t="shared" si="10"/>
        <v>#REF!</v>
      </c>
      <c r="G19" s="112" t="e">
        <f t="shared" si="10"/>
        <v>#REF!</v>
      </c>
      <c r="H19" s="113">
        <v>0.1</v>
      </c>
      <c r="I19" s="113">
        <v>0.1</v>
      </c>
      <c r="J19" s="113">
        <v>0.1</v>
      </c>
      <c r="K19" s="113">
        <v>0.1</v>
      </c>
      <c r="L19" s="113">
        <v>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104</v>
      </c>
      <c r="C20" s="81"/>
      <c r="D20" s="179">
        <f t="shared" si="10"/>
        <v>0.11536268609439349</v>
      </c>
      <c r="E20" s="179">
        <f t="shared" si="10"/>
        <v>0.10240826990798602</v>
      </c>
      <c r="F20" s="179">
        <f t="shared" si="10"/>
        <v>0.10799113813179462</v>
      </c>
      <c r="G20" s="180">
        <f t="shared" si="10"/>
        <v>0.10527784236224136</v>
      </c>
      <c r="H20" s="179" t="e">
        <f t="shared" ref="H20:L20" si="12">H11/G11-1</f>
        <v>#REF!</v>
      </c>
      <c r="I20" s="179" t="e">
        <f t="shared" si="12"/>
        <v>#REF!</v>
      </c>
      <c r="J20" s="179" t="e">
        <f t="shared" si="12"/>
        <v>#REF!</v>
      </c>
      <c r="K20" s="179" t="e">
        <f t="shared" si="12"/>
        <v>#REF!</v>
      </c>
      <c r="L20" s="179" t="e">
        <f t="shared" si="12"/>
        <v>#REF!</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topLeftCell="A11"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122</v>
      </c>
    </row>
    <row r="2" spans="1:28" x14ac:dyDescent="0.2">
      <c r="A2" s="100"/>
      <c r="C2" s="196" t="s">
        <v>105</v>
      </c>
      <c r="D2" s="196"/>
      <c r="E2" s="196"/>
      <c r="F2" s="196"/>
      <c r="G2" s="199"/>
      <c r="H2" s="200" t="s">
        <v>106</v>
      </c>
      <c r="I2" s="196"/>
      <c r="J2" s="196"/>
      <c r="K2" s="196"/>
      <c r="L2" s="196"/>
      <c r="P2" s="196" t="s">
        <v>105</v>
      </c>
      <c r="Q2" s="196"/>
      <c r="R2" s="196"/>
      <c r="S2" s="196"/>
      <c r="T2" s="196"/>
      <c r="U2" s="196"/>
      <c r="V2" s="196"/>
      <c r="W2" s="196"/>
      <c r="X2" s="196" t="s">
        <v>106</v>
      </c>
      <c r="Y2" s="196"/>
      <c r="Z2" s="196"/>
      <c r="AB2" s="117" t="s">
        <v>75</v>
      </c>
    </row>
    <row r="3" spans="1:28" ht="10" customHeight="1" x14ac:dyDescent="0.2"/>
    <row r="4" spans="1:28" ht="16" customHeight="1" x14ac:dyDescent="0.2">
      <c r="A4" s="105"/>
      <c r="B4" s="92"/>
      <c r="C4" s="201" t="s">
        <v>114</v>
      </c>
      <c r="D4" s="201"/>
      <c r="E4" s="201"/>
      <c r="F4" s="201"/>
      <c r="G4" s="201"/>
      <c r="H4" s="201"/>
      <c r="I4" s="201"/>
      <c r="J4" s="201"/>
      <c r="K4" s="201"/>
      <c r="L4" s="201"/>
      <c r="P4" s="198" t="s">
        <v>114</v>
      </c>
      <c r="Q4" s="198"/>
      <c r="R4" s="198"/>
      <c r="S4" s="198"/>
      <c r="T4" s="198"/>
      <c r="U4" s="198"/>
      <c r="V4" s="198"/>
      <c r="W4" s="198"/>
      <c r="X4" s="198"/>
      <c r="Y4" s="198"/>
      <c r="Z4" s="198"/>
      <c r="AB4" s="119" t="s">
        <v>121</v>
      </c>
    </row>
    <row r="5" spans="1:28" x14ac:dyDescent="0.2">
      <c r="B5" s="7" t="s">
        <v>268</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115</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118</v>
      </c>
      <c r="Y5" s="62" t="s">
        <v>119</v>
      </c>
      <c r="Z5" s="62" t="s">
        <v>120</v>
      </c>
      <c r="AB5" s="61" t="s">
        <v>118</v>
      </c>
    </row>
    <row r="6" spans="1:28" x14ac:dyDescent="0.2">
      <c r="B6" s="7" t="s">
        <v>6</v>
      </c>
      <c r="C6" s="107">
        <f>'Statement Y'!H5</f>
        <v>15785</v>
      </c>
      <c r="D6" s="107">
        <f>'Statement Y'!I5</f>
        <v>17606</v>
      </c>
      <c r="E6" s="107">
        <f>'Statement Y'!J5</f>
        <v>19409</v>
      </c>
      <c r="F6" s="107">
        <f>'Statement Y'!K5</f>
        <v>21505</v>
      </c>
      <c r="G6" s="108">
        <f>'Statement Y'!L5</f>
        <v>23769</v>
      </c>
      <c r="H6" s="107" t="e">
        <f>Revenue!H11</f>
        <v>#REF!</v>
      </c>
      <c r="I6" s="107" t="e">
        <f>Revenue!I11</f>
        <v>#REF!</v>
      </c>
      <c r="J6" s="107" t="e">
        <f>Revenue!J11</f>
        <v>#REF!</v>
      </c>
      <c r="K6" s="107" t="e">
        <f>Revenue!K11</f>
        <v>#REF!</v>
      </c>
      <c r="L6" s="107" t="e">
        <f>Revenue!L11</f>
        <v>#REF!</v>
      </c>
      <c r="N6" s="91"/>
      <c r="O6" s="7" t="s">
        <v>6</v>
      </c>
      <c r="P6" s="107">
        <f>'Statement Q'!C5</f>
        <v>5309</v>
      </c>
      <c r="Q6" s="107">
        <f>'Statement Q'!D5</f>
        <v>5408</v>
      </c>
      <c r="R6" s="107">
        <f>'Statement Q'!E5</f>
        <v>5606</v>
      </c>
      <c r="S6" s="107">
        <f>'Statement Q'!F5</f>
        <v>5714</v>
      </c>
      <c r="T6" s="107">
        <f>'Statement Q'!G5</f>
        <v>5873</v>
      </c>
      <c r="U6" s="107">
        <f>'Statement Q'!H5</f>
        <v>5988</v>
      </c>
      <c r="V6" s="107">
        <f>'Statement Q'!I5</f>
        <v>6194</v>
      </c>
      <c r="W6" s="108">
        <f>'Statement Q'!J5</f>
        <v>6398</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01" t="s">
        <v>123</v>
      </c>
      <c r="D9" s="201"/>
      <c r="E9" s="201"/>
      <c r="F9" s="201"/>
      <c r="G9" s="201"/>
      <c r="H9" s="201"/>
      <c r="I9" s="201"/>
      <c r="J9" s="201"/>
      <c r="K9" s="201"/>
      <c r="L9" s="201"/>
      <c r="N9" s="91"/>
      <c r="P9" s="198" t="s">
        <v>128</v>
      </c>
      <c r="Q9" s="198"/>
      <c r="R9" s="198"/>
      <c r="S9" s="198"/>
      <c r="T9" s="198"/>
      <c r="U9" s="198"/>
      <c r="V9" s="198"/>
      <c r="W9" s="198"/>
      <c r="X9" s="198"/>
      <c r="Y9" s="198"/>
      <c r="Z9" s="198"/>
      <c r="AB9" s="119" t="str">
        <f>AB4</f>
        <v>Q1-Q2-Q3</v>
      </c>
    </row>
    <row r="10" spans="1:28" x14ac:dyDescent="0.2">
      <c r="B10" s="7" t="s">
        <v>269</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125</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20">
        <f>'Statement Y'!H6</f>
        <v>1865</v>
      </c>
      <c r="D11" s="120">
        <f>'Statement Y'!I6</f>
        <v>2165</v>
      </c>
      <c r="E11" s="120">
        <f>'Statement Y'!J6</f>
        <v>2354</v>
      </c>
      <c r="F11" s="120">
        <f>'Statement Y'!K6</f>
        <v>2358</v>
      </c>
      <c r="G11" s="121">
        <f>'Statement Y'!L6</f>
        <v>2551</v>
      </c>
      <c r="H11" s="21" t="e">
        <f t="shared" ref="H11:L13" si="3">H19*H$6</f>
        <v>#REF!</v>
      </c>
      <c r="I11" s="21" t="e">
        <f t="shared" si="3"/>
        <v>#REF!</v>
      </c>
      <c r="J11" s="21" t="e">
        <f t="shared" si="3"/>
        <v>#REF!</v>
      </c>
      <c r="K11" s="21" t="e">
        <f t="shared" si="3"/>
        <v>#REF!</v>
      </c>
      <c r="L11" s="21" t="e">
        <f t="shared" si="3"/>
        <v>#REF!</v>
      </c>
      <c r="N11" s="91"/>
      <c r="O11" s="7" t="s">
        <v>7</v>
      </c>
      <c r="P11" s="120">
        <f>'Statement Q'!C6</f>
        <v>598</v>
      </c>
      <c r="Q11" s="120">
        <f>'Statement Q'!D6</f>
        <v>554</v>
      </c>
      <c r="R11" s="120">
        <f>'Statement Q'!E6</f>
        <v>616</v>
      </c>
      <c r="S11" s="120">
        <f>'Statement Q'!F6</f>
        <v>622</v>
      </c>
      <c r="T11" s="120">
        <f>'Statement Q'!G6</f>
        <v>638</v>
      </c>
      <c r="U11" s="120">
        <f>'Statement Q'!H6</f>
        <v>642</v>
      </c>
      <c r="V11" s="120">
        <f>'Statement Q'!I6</f>
        <v>649</v>
      </c>
      <c r="W11" s="121">
        <f>'Statement Q'!J6</f>
        <v>664</v>
      </c>
      <c r="X11" s="21" t="e">
        <f>X19*X$6</f>
        <v>#REF!</v>
      </c>
      <c r="Y11" s="21"/>
      <c r="Z11" s="21"/>
      <c r="AB11" s="20" t="e">
        <f>SUM(U11:X11)</f>
        <v>#REF!</v>
      </c>
    </row>
    <row r="12" spans="1:28" x14ac:dyDescent="0.2">
      <c r="B12" s="1" t="s">
        <v>9</v>
      </c>
      <c r="C12" s="110">
        <f>'Statement Y'!H8</f>
        <v>2540</v>
      </c>
      <c r="D12" s="110">
        <f>'Statement Y'!I8</f>
        <v>2987</v>
      </c>
      <c r="E12" s="110">
        <f>'Statement Y'!J8</f>
        <v>3473</v>
      </c>
      <c r="F12" s="110">
        <f>'Statement Y'!K8</f>
        <v>3944</v>
      </c>
      <c r="G12" s="114">
        <f>'Statement Y'!L8</f>
        <v>4294</v>
      </c>
      <c r="H12" s="20" t="e">
        <f t="shared" si="3"/>
        <v>#REF!</v>
      </c>
      <c r="I12" s="20" t="e">
        <f t="shared" si="3"/>
        <v>#REF!</v>
      </c>
      <c r="J12" s="20" t="e">
        <f t="shared" si="3"/>
        <v>#REF!</v>
      </c>
      <c r="K12" s="20" t="e">
        <f t="shared" si="3"/>
        <v>#REF!</v>
      </c>
      <c r="L12" s="20" t="e">
        <f t="shared" si="3"/>
        <v>#REF!</v>
      </c>
      <c r="N12" s="91"/>
      <c r="O12" s="1" t="s">
        <v>9</v>
      </c>
      <c r="P12" s="110">
        <f>'Statement Q'!C8</f>
        <v>984</v>
      </c>
      <c r="Q12" s="110">
        <f>'Statement Q'!D8</f>
        <v>1022</v>
      </c>
      <c r="R12" s="110">
        <f>'Statement Q'!E8</f>
        <v>999</v>
      </c>
      <c r="S12" s="110">
        <f>'Statement Q'!F8</f>
        <v>1026</v>
      </c>
      <c r="T12" s="110">
        <f>'Statement Q'!G8</f>
        <v>1082</v>
      </c>
      <c r="U12" s="110">
        <f>'Statement Q'!H8</f>
        <v>1088</v>
      </c>
      <c r="V12" s="110">
        <f>'Statement Q'!I8</f>
        <v>1098</v>
      </c>
      <c r="W12" s="114">
        <f>'Statement Q'!J8</f>
        <v>1110</v>
      </c>
      <c r="X12" s="34" t="e">
        <f>X20*X$6</f>
        <v>#REF!</v>
      </c>
      <c r="Y12" s="20"/>
      <c r="Z12" s="20"/>
      <c r="AB12" s="20" t="e">
        <f t="shared" ref="AB12:AB14" si="4">SUM(U12:X12)</f>
        <v>#REF!</v>
      </c>
    </row>
    <row r="13" spans="1:28" x14ac:dyDescent="0.2">
      <c r="B13" s="1" t="s">
        <v>124</v>
      </c>
      <c r="C13" s="110">
        <f>'Statement Y'!H10</f>
        <v>1085</v>
      </c>
      <c r="D13" s="110">
        <f>'Statement Y'!I10</f>
        <v>1219</v>
      </c>
      <c r="E13" s="110">
        <f>'Statement Y'!J10</f>
        <v>1413</v>
      </c>
      <c r="F13" s="110">
        <f>'Statement Y'!K10</f>
        <v>1529</v>
      </c>
      <c r="G13" s="114">
        <f>'Statement Y'!L10</f>
        <v>1573</v>
      </c>
      <c r="H13" s="20" t="e">
        <f t="shared" si="3"/>
        <v>#REF!</v>
      </c>
      <c r="I13" s="20" t="e">
        <f t="shared" si="3"/>
        <v>#REF!</v>
      </c>
      <c r="J13" s="20" t="e">
        <f t="shared" si="3"/>
        <v>#REF!</v>
      </c>
      <c r="K13" s="20" t="e">
        <f t="shared" si="3"/>
        <v>#REF!</v>
      </c>
      <c r="L13" s="20" t="e">
        <f t="shared" si="3"/>
        <v>#REF!</v>
      </c>
      <c r="M13" s="115"/>
      <c r="N13" s="115"/>
      <c r="O13" s="1" t="s">
        <v>124</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Y'!H13</f>
        <v>8118</v>
      </c>
      <c r="D14" s="120">
        <f>'Statement Y'!I13</f>
        <v>9343</v>
      </c>
      <c r="E14" s="120">
        <f>'Statement Y'!J13</f>
        <v>10405</v>
      </c>
      <c r="F14" s="120">
        <f>'Statement Y'!K13</f>
        <v>12406</v>
      </c>
      <c r="G14" s="121">
        <f>'Statement Y'!L13</f>
        <v>12512</v>
      </c>
      <c r="H14" s="21" t="e">
        <f>SUM(H12:H13)</f>
        <v>#REF!</v>
      </c>
      <c r="I14" s="21" t="e">
        <f>SUM(I12:I13)</f>
        <v>#REF!</v>
      </c>
      <c r="J14" s="21" t="e">
        <f>SUM(J12:J13)</f>
        <v>#REF!</v>
      </c>
      <c r="K14" s="21" t="e">
        <f>SUM(K12:K13)</f>
        <v>#REF!</v>
      </c>
      <c r="L14" s="21" t="e">
        <f>SUM(L12:L13)</f>
        <v>#REF!</v>
      </c>
      <c r="M14" s="115"/>
      <c r="N14" s="115"/>
      <c r="O14" s="7" t="s">
        <v>11</v>
      </c>
      <c r="P14" s="120">
        <f>'Statement Q'!C13</f>
        <v>2826</v>
      </c>
      <c r="Q14" s="120">
        <f>'Statement Q'!D13</f>
        <v>2862</v>
      </c>
      <c r="R14" s="120">
        <f>'Statement Q'!E13</f>
        <v>3033</v>
      </c>
      <c r="S14" s="120">
        <f>'Statement Q'!F13</f>
        <v>2929</v>
      </c>
      <c r="T14" s="120">
        <f>'Statement Q'!G13</f>
        <v>3126</v>
      </c>
      <c r="U14" s="120">
        <f>'Statement Q'!H13</f>
        <v>3173</v>
      </c>
      <c r="V14" s="120">
        <f>'Statement Q'!I13</f>
        <v>3284</v>
      </c>
      <c r="W14" s="121">
        <f>'Statement Q'!J13</f>
        <v>3316</v>
      </c>
      <c r="X14" s="21" t="e">
        <f>SUM(X12:X13)</f>
        <v>#REF!</v>
      </c>
      <c r="Y14" s="21"/>
      <c r="Z14" s="21"/>
      <c r="AB14" s="20" t="e">
        <f t="shared" si="4"/>
        <v>#REF!</v>
      </c>
    </row>
    <row r="17" spans="2:26" x14ac:dyDescent="0.2">
      <c r="C17" s="201" t="s">
        <v>126</v>
      </c>
      <c r="D17" s="201"/>
      <c r="E17" s="201"/>
      <c r="F17" s="201"/>
      <c r="G17" s="201"/>
      <c r="H17" s="201"/>
      <c r="I17" s="201"/>
      <c r="J17" s="201"/>
      <c r="K17" s="201"/>
      <c r="L17" s="201"/>
      <c r="P17" s="198" t="s">
        <v>126</v>
      </c>
      <c r="Q17" s="198"/>
      <c r="R17" s="198"/>
      <c r="S17" s="198"/>
      <c r="T17" s="198"/>
      <c r="U17" s="198"/>
      <c r="V17" s="198"/>
      <c r="W17" s="198"/>
      <c r="X17" s="198"/>
      <c r="Y17" s="198"/>
      <c r="Z17" s="198"/>
    </row>
    <row r="18" spans="2:26" x14ac:dyDescent="0.2">
      <c r="B18" s="7" t="s">
        <v>107</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107</v>
      </c>
      <c r="P18" s="62" t="str">
        <f t="shared" ref="P18:Z18" si="6">P5</f>
        <v>Q2 2024</v>
      </c>
      <c r="Q18" s="62" t="str">
        <f t="shared" si="6"/>
        <v>Q3 2024</v>
      </c>
      <c r="R18" s="62" t="str">
        <f t="shared" si="6"/>
        <v>Q4 2024</v>
      </c>
      <c r="S18" s="62" t="str">
        <f t="shared" si="6"/>
        <v>Q1 2025</v>
      </c>
      <c r="T18" s="62" t="str">
        <f t="shared" si="6"/>
        <v>Q2 2025</v>
      </c>
      <c r="U18" s="62" t="str">
        <f t="shared" si="6"/>
        <v>Q3 2025</v>
      </c>
      <c r="V18" s="62" t="str">
        <f t="shared" si="6"/>
        <v>Q4 2025</v>
      </c>
      <c r="W18" s="62" t="str">
        <f t="shared" si="6"/>
        <v>Q1 2026</v>
      </c>
      <c r="X18" s="62" t="str">
        <f t="shared" si="6"/>
        <v>FQ1</v>
      </c>
      <c r="Y18" s="62" t="str">
        <f t="shared" si="6"/>
        <v>FQ2</v>
      </c>
      <c r="Z18" s="62" t="str">
        <f t="shared" si="6"/>
        <v>FQ3</v>
      </c>
    </row>
    <row r="19" spans="2:26" x14ac:dyDescent="0.2">
      <c r="B19" s="1" t="str">
        <f>B11</f>
        <v>COGS</v>
      </c>
      <c r="C19" s="111">
        <f t="shared" ref="C19:G20" si="7">C11/C$6</f>
        <v>0.11815014254038644</v>
      </c>
      <c r="D19" s="111">
        <f t="shared" si="7"/>
        <v>0.12296944223560149</v>
      </c>
      <c r="E19" s="111">
        <f t="shared" si="7"/>
        <v>0.12128394044000206</v>
      </c>
      <c r="F19" s="111">
        <f t="shared" si="7"/>
        <v>0.10964891885607998</v>
      </c>
      <c r="G19" s="112">
        <f t="shared" si="7"/>
        <v>0.10732466658252346</v>
      </c>
      <c r="H19" s="113">
        <v>0.52800000000000002</v>
      </c>
      <c r="I19" s="113">
        <v>0.52500000000000002</v>
      </c>
      <c r="J19" s="113">
        <v>0.52100000000000002</v>
      </c>
      <c r="K19" s="113">
        <v>0.52</v>
      </c>
      <c r="L19" s="113">
        <v>0.51500000000000001</v>
      </c>
      <c r="O19" s="1" t="str">
        <f>O11</f>
        <v>COGS</v>
      </c>
      <c r="P19" s="111">
        <f t="shared" ref="P19:W20" si="8">P11/P$6</f>
        <v>0.11263891504991524</v>
      </c>
      <c r="Q19" s="111">
        <f t="shared" si="8"/>
        <v>0.10244082840236686</v>
      </c>
      <c r="R19" s="111">
        <f t="shared" si="8"/>
        <v>0.10988226899750267</v>
      </c>
      <c r="S19" s="111">
        <f t="shared" si="8"/>
        <v>0.10885544277213861</v>
      </c>
      <c r="T19" s="111">
        <f t="shared" si="8"/>
        <v>0.10863272603439469</v>
      </c>
      <c r="U19" s="111">
        <f t="shared" si="8"/>
        <v>0.10721442885771543</v>
      </c>
      <c r="V19" s="111">
        <f t="shared" si="8"/>
        <v>0.1047788182111721</v>
      </c>
      <c r="W19" s="112">
        <f t="shared" si="8"/>
        <v>0.10378243201000313</v>
      </c>
      <c r="X19" s="113">
        <v>0.28000000000000003</v>
      </c>
      <c r="Y19" s="113"/>
      <c r="Z19" s="113"/>
    </row>
    <row r="20" spans="2:26" x14ac:dyDescent="0.2">
      <c r="B20" s="1" t="str">
        <f>B12</f>
        <v>R&amp;D</v>
      </c>
      <c r="C20" s="111">
        <f t="shared" si="7"/>
        <v>0.16091225847323409</v>
      </c>
      <c r="D20" s="111">
        <f t="shared" si="7"/>
        <v>0.16965807111212086</v>
      </c>
      <c r="E20" s="111">
        <f t="shared" si="7"/>
        <v>0.17893760626513472</v>
      </c>
      <c r="F20" s="111">
        <f t="shared" si="7"/>
        <v>0.183399209486166</v>
      </c>
      <c r="G20" s="112">
        <f t="shared" si="7"/>
        <v>0.1806554756195044</v>
      </c>
      <c r="H20" s="113">
        <v>8.7999999999999995E-2</v>
      </c>
      <c r="I20" s="113">
        <v>9.1999999999999998E-2</v>
      </c>
      <c r="J20" s="113">
        <v>9.5000000000000001E-2</v>
      </c>
      <c r="K20" s="113">
        <v>0.1</v>
      </c>
      <c r="L20" s="113">
        <v>0.1</v>
      </c>
      <c r="O20" s="1" t="str">
        <f>O12</f>
        <v>R&amp;D</v>
      </c>
      <c r="P20" s="111">
        <f t="shared" si="8"/>
        <v>0.18534563948012808</v>
      </c>
      <c r="Q20" s="111">
        <f t="shared" si="8"/>
        <v>0.18897928994082841</v>
      </c>
      <c r="R20" s="111">
        <f t="shared" si="8"/>
        <v>0.17820192650731359</v>
      </c>
      <c r="S20" s="111">
        <f t="shared" si="8"/>
        <v>0.17955897794889744</v>
      </c>
      <c r="T20" s="111">
        <f t="shared" si="8"/>
        <v>0.18423293035927124</v>
      </c>
      <c r="U20" s="111">
        <f t="shared" si="8"/>
        <v>0.18169672678690715</v>
      </c>
      <c r="V20" s="111">
        <f t="shared" si="8"/>
        <v>0.17726832418469488</v>
      </c>
      <c r="W20" s="112">
        <f t="shared" si="8"/>
        <v>0.17349171616130041</v>
      </c>
      <c r="X20" s="113">
        <v>0.29599999999999999</v>
      </c>
      <c r="Y20" s="113"/>
      <c r="Z20" s="113"/>
    </row>
    <row r="21" spans="2:26" x14ac:dyDescent="0.2">
      <c r="B21" s="1" t="str">
        <f t="shared" ref="B21" si="9">B13</f>
        <v>General &amp; administrative</v>
      </c>
      <c r="C21" s="111">
        <f t="shared" ref="C21:G21" si="10">C13/C$6</f>
        <v>6.8736141906873618E-2</v>
      </c>
      <c r="D21" s="111">
        <f t="shared" si="10"/>
        <v>6.923775985459503E-2</v>
      </c>
      <c r="E21" s="111">
        <f t="shared" si="10"/>
        <v>7.2801277757741256E-2</v>
      </c>
      <c r="F21" s="111">
        <f t="shared" si="10"/>
        <v>7.1099744245524302E-2</v>
      </c>
      <c r="G21" s="112">
        <f t="shared" si="10"/>
        <v>6.6178636038537589E-2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37"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273</v>
      </c>
    </row>
    <row r="2" spans="1:28" s="99" customFormat="1" ht="18" customHeight="1" x14ac:dyDescent="0.2">
      <c r="A2" s="100"/>
      <c r="B2" s="101"/>
    </row>
    <row r="3" spans="1:28" x14ac:dyDescent="0.2">
      <c r="A3" s="100"/>
      <c r="C3" s="196" t="s">
        <v>105</v>
      </c>
      <c r="D3" s="196"/>
      <c r="E3" s="196"/>
      <c r="F3" s="196"/>
      <c r="G3" s="199"/>
      <c r="H3" s="200" t="s">
        <v>106</v>
      </c>
      <c r="I3" s="196"/>
      <c r="J3" s="196"/>
      <c r="K3" s="196"/>
      <c r="L3" s="196"/>
      <c r="P3" s="202"/>
      <c r="Q3" s="202"/>
      <c r="R3" s="202"/>
      <c r="S3" s="202"/>
      <c r="T3" s="202"/>
      <c r="U3" s="202"/>
      <c r="V3" s="202"/>
      <c r="W3" s="202"/>
      <c r="X3" s="202"/>
      <c r="Y3" s="202"/>
      <c r="Z3" s="202"/>
      <c r="AB3" s="122"/>
    </row>
    <row r="4" spans="1:28" ht="10" customHeight="1" x14ac:dyDescent="0.2"/>
    <row r="5" spans="1:28" ht="16" customHeight="1" x14ac:dyDescent="0.2">
      <c r="A5" s="105"/>
      <c r="B5" s="92"/>
      <c r="C5" s="201" t="s">
        <v>114</v>
      </c>
      <c r="D5" s="201"/>
      <c r="E5" s="201"/>
      <c r="F5" s="201"/>
      <c r="G5" s="201"/>
      <c r="H5" s="201"/>
      <c r="I5" s="201"/>
      <c r="J5" s="201"/>
      <c r="K5" s="201"/>
      <c r="L5" s="201"/>
      <c r="P5" s="202"/>
      <c r="Q5" s="202"/>
      <c r="R5" s="202"/>
      <c r="S5" s="202"/>
      <c r="T5" s="202"/>
      <c r="U5" s="202"/>
      <c r="V5" s="202"/>
      <c r="W5" s="202"/>
      <c r="X5" s="202"/>
      <c r="Y5" s="202"/>
      <c r="Z5" s="202"/>
      <c r="AB5" s="123"/>
    </row>
    <row r="6" spans="1:28" x14ac:dyDescent="0.2">
      <c r="B6" s="7" t="s">
        <v>115</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15785</v>
      </c>
      <c r="D7" s="107">
        <f>Revenue!D11</f>
        <v>17606</v>
      </c>
      <c r="E7" s="107">
        <f>Revenue!E11</f>
        <v>19409</v>
      </c>
      <c r="F7" s="107">
        <f>Revenue!F11</f>
        <v>21505</v>
      </c>
      <c r="G7" s="108">
        <f>Revenue!G11</f>
        <v>23769</v>
      </c>
      <c r="H7" s="107" t="e">
        <f>Revenue!H11</f>
        <v>#REF!</v>
      </c>
      <c r="I7" s="107" t="e">
        <f>Revenue!I11</f>
        <v>#REF!</v>
      </c>
      <c r="J7" s="107" t="e">
        <f>Revenue!J11</f>
        <v>#REF!</v>
      </c>
      <c r="K7" s="107" t="e">
        <f>Revenue!K11</f>
        <v>#REF!</v>
      </c>
      <c r="L7" s="107" t="e">
        <f>Revenue!L11</f>
        <v>#REF!</v>
      </c>
      <c r="N7" s="91"/>
      <c r="O7" s="7"/>
      <c r="P7" s="107"/>
      <c r="Q7" s="107"/>
      <c r="R7" s="107"/>
      <c r="S7" s="107"/>
      <c r="T7" s="107"/>
      <c r="U7" s="107"/>
      <c r="V7" s="107"/>
      <c r="W7" s="107"/>
      <c r="X7" s="109"/>
      <c r="Y7" s="109"/>
      <c r="Z7" s="109"/>
      <c r="AB7" s="109"/>
    </row>
    <row r="8" spans="1:28" x14ac:dyDescent="0.2">
      <c r="B8" s="8" t="s">
        <v>7</v>
      </c>
      <c r="C8" s="132">
        <f>'COGS &amp; OpEx'!C11</f>
        <v>1865</v>
      </c>
      <c r="D8" s="132">
        <f>'COGS &amp; OpEx'!D11</f>
        <v>2165</v>
      </c>
      <c r="E8" s="132">
        <f>'COGS &amp; OpEx'!E11</f>
        <v>2354</v>
      </c>
      <c r="F8" s="132">
        <f>'COGS &amp; OpEx'!F11</f>
        <v>2358</v>
      </c>
      <c r="G8" s="134">
        <f>'COGS &amp; OpEx'!G11</f>
        <v>2551</v>
      </c>
      <c r="H8" s="132" t="e">
        <f>'COGS &amp; OpEx'!H11</f>
        <v>#REF!</v>
      </c>
      <c r="I8" s="132" t="e">
        <f>'COGS &amp; OpEx'!I11</f>
        <v>#REF!</v>
      </c>
      <c r="J8" s="132" t="e">
        <f>'COGS &amp; OpEx'!J11</f>
        <v>#REF!</v>
      </c>
      <c r="K8" s="132" t="e">
        <f>'COGS &amp; OpEx'!K11</f>
        <v>#REF!</v>
      </c>
      <c r="L8" s="132" t="e">
        <f>'COGS &amp; OpEx'!L11</f>
        <v>#REF!</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01" t="s">
        <v>134</v>
      </c>
      <c r="D11" s="201"/>
      <c r="E11" s="201"/>
      <c r="F11" s="201"/>
      <c r="G11" s="201"/>
      <c r="H11" s="201"/>
      <c r="I11" s="201"/>
      <c r="J11" s="201"/>
      <c r="K11" s="201"/>
      <c r="L11" s="201"/>
      <c r="N11" s="91"/>
      <c r="P11" s="202"/>
      <c r="Q11" s="202"/>
      <c r="R11" s="202"/>
      <c r="S11" s="202"/>
      <c r="T11" s="202"/>
      <c r="U11" s="202"/>
      <c r="V11" s="202"/>
      <c r="W11" s="202"/>
      <c r="X11" s="202"/>
      <c r="Y11" s="202"/>
      <c r="Z11" s="202"/>
      <c r="AB11" s="123"/>
    </row>
    <row r="12" spans="1:28" x14ac:dyDescent="0.2">
      <c r="B12" s="7" t="s">
        <v>133</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135</v>
      </c>
      <c r="C13" s="127">
        <f>Statements!H27</f>
        <v>0</v>
      </c>
      <c r="D13" s="127">
        <f>Statements!I27</f>
        <v>0</v>
      </c>
      <c r="E13" s="127">
        <f>Statements!J27</f>
        <v>0</v>
      </c>
      <c r="F13" s="127">
        <f>Statements!K27</f>
        <v>0</v>
      </c>
      <c r="G13" s="128">
        <f>Statements!L27</f>
        <v>0</v>
      </c>
      <c r="H13" s="34" t="e">
        <f>H20*H7/365</f>
        <v>#REF!</v>
      </c>
      <c r="I13" s="34" t="e">
        <f>I20*I7/365</f>
        <v>#REF!</v>
      </c>
      <c r="J13" s="34" t="e">
        <f>J20*J7/365</f>
        <v>#REF!</v>
      </c>
      <c r="K13" s="34" t="e">
        <f>K20*K7/365</f>
        <v>#REF!</v>
      </c>
      <c r="L13" s="34" t="e">
        <f>L20*L7/365</f>
        <v>#REF!</v>
      </c>
      <c r="N13" s="91"/>
      <c r="O13" s="7"/>
      <c r="P13" s="125"/>
      <c r="Q13" s="125"/>
      <c r="R13" s="125"/>
      <c r="S13" s="125"/>
      <c r="T13" s="125"/>
      <c r="U13" s="125"/>
      <c r="V13" s="125"/>
      <c r="W13" s="125"/>
      <c r="X13" s="21"/>
      <c r="Y13" s="21"/>
      <c r="Z13" s="21"/>
      <c r="AB13" s="20"/>
    </row>
    <row r="14" spans="1:28" x14ac:dyDescent="0.2">
      <c r="B14" s="8" t="s">
        <v>230</v>
      </c>
      <c r="C14" s="127">
        <f>Statements!H29</f>
        <v>0</v>
      </c>
      <c r="D14" s="127">
        <f>Statements!I29</f>
        <v>0</v>
      </c>
      <c r="E14" s="127">
        <f>Statements!J29</f>
        <v>0</v>
      </c>
      <c r="F14" s="127">
        <f>Statements!K29</f>
        <v>0</v>
      </c>
      <c r="G14" s="128">
        <f>Statements!L29</f>
        <v>0</v>
      </c>
      <c r="H14" s="34" t="e">
        <f>H21*H8/365</f>
        <v>#REF!</v>
      </c>
      <c r="I14" s="34" t="e">
        <f t="shared" ref="I14:L14" si="1">I21*I8/365</f>
        <v>#REF!</v>
      </c>
      <c r="J14" s="34" t="e">
        <f t="shared" si="1"/>
        <v>#REF!</v>
      </c>
      <c r="K14" s="34" t="e">
        <f t="shared" si="1"/>
        <v>#REF!</v>
      </c>
      <c r="L14" s="34" t="e">
        <f t="shared" si="1"/>
        <v>#REF!</v>
      </c>
      <c r="N14" s="91"/>
      <c r="O14" s="7"/>
      <c r="P14" s="125"/>
      <c r="Q14" s="125"/>
      <c r="R14" s="125"/>
      <c r="S14" s="125"/>
      <c r="T14" s="125"/>
      <c r="U14" s="125"/>
      <c r="V14" s="125"/>
      <c r="W14" s="125"/>
      <c r="X14" s="21"/>
      <c r="Y14" s="21"/>
      <c r="Z14" s="21"/>
      <c r="AB14" s="20"/>
    </row>
    <row r="15" spans="1:28" x14ac:dyDescent="0.2">
      <c r="B15" s="1" t="s">
        <v>136</v>
      </c>
      <c r="C15" s="127">
        <f>Statements!H37</f>
        <v>0</v>
      </c>
      <c r="D15" s="127">
        <f>Statements!I37</f>
        <v>0</v>
      </c>
      <c r="E15" s="127">
        <f>Statements!J37</f>
        <v>0</v>
      </c>
      <c r="F15" s="127">
        <f>Statements!K37</f>
        <v>0</v>
      </c>
      <c r="G15" s="128">
        <f>Statements!L37</f>
        <v>0</v>
      </c>
      <c r="H15" s="20" t="e">
        <f>H22*H8/365</f>
        <v>#REF!</v>
      </c>
      <c r="I15" s="20" t="e">
        <f>I22*I8/365</f>
        <v>#REF!</v>
      </c>
      <c r="J15" s="20" t="e">
        <f>J22*J8/365</f>
        <v>#REF!</v>
      </c>
      <c r="K15" s="20" t="e">
        <f>K22*K8/365</f>
        <v>#REF!</v>
      </c>
      <c r="L15" s="20" t="e">
        <f>L22*L8/365</f>
        <v>#REF!</v>
      </c>
      <c r="N15" s="91"/>
      <c r="P15" s="126"/>
      <c r="Q15" s="126"/>
      <c r="R15" s="126"/>
      <c r="S15" s="126"/>
      <c r="T15" s="126"/>
      <c r="U15" s="126"/>
      <c r="V15" s="126"/>
      <c r="W15" s="126"/>
      <c r="X15" s="34"/>
      <c r="Y15" s="20"/>
      <c r="Z15" s="20"/>
      <c r="AB15" s="20"/>
    </row>
    <row r="16" spans="1:28" x14ac:dyDescent="0.2">
      <c r="D16" s="20"/>
    </row>
    <row r="18" spans="2:12" x14ac:dyDescent="0.2">
      <c r="C18" s="201" t="s">
        <v>141</v>
      </c>
      <c r="D18" s="201"/>
      <c r="E18" s="201"/>
      <c r="F18" s="201"/>
      <c r="G18" s="201"/>
      <c r="H18" s="201"/>
      <c r="I18" s="201"/>
      <c r="J18" s="201"/>
      <c r="K18" s="201"/>
      <c r="L18" s="201"/>
    </row>
    <row r="19" spans="2:12" x14ac:dyDescent="0.2">
      <c r="B19" s="7" t="s">
        <v>138</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139</v>
      </c>
      <c r="C20" s="129">
        <f>C13/C7*365</f>
        <v>0</v>
      </c>
      <c r="D20" s="129">
        <f>D13/D7*365</f>
        <v>0</v>
      </c>
      <c r="E20" s="129">
        <f>E13/E7*365</f>
        <v>0</v>
      </c>
      <c r="F20" s="129">
        <f>F13/F7*365</f>
        <v>0</v>
      </c>
      <c r="G20" s="135">
        <f>G13/G7*365</f>
        <v>0</v>
      </c>
      <c r="H20" s="97">
        <v>37</v>
      </c>
      <c r="I20" s="97">
        <v>40</v>
      </c>
      <c r="J20" s="97">
        <v>43</v>
      </c>
      <c r="K20" s="97">
        <v>45</v>
      </c>
      <c r="L20" s="97">
        <v>45</v>
      </c>
    </row>
    <row r="21" spans="2:12" x14ac:dyDescent="0.2">
      <c r="B21" s="1" t="s">
        <v>283</v>
      </c>
      <c r="C21" s="129">
        <f>C14/C8*365</f>
        <v>0</v>
      </c>
      <c r="D21" s="129">
        <f t="shared" ref="D21:G21" si="3">D14/D8*365</f>
        <v>0</v>
      </c>
      <c r="E21" s="129">
        <f t="shared" si="3"/>
        <v>0</v>
      </c>
      <c r="F21" s="129">
        <f t="shared" si="3"/>
        <v>0</v>
      </c>
      <c r="G21" s="135">
        <f t="shared" si="3"/>
        <v>0</v>
      </c>
      <c r="H21" s="97">
        <v>10</v>
      </c>
      <c r="I21" s="97">
        <v>11</v>
      </c>
      <c r="J21" s="97">
        <v>11</v>
      </c>
      <c r="K21" s="97">
        <v>12</v>
      </c>
      <c r="L21" s="97">
        <v>12</v>
      </c>
    </row>
    <row r="22" spans="2:12" x14ac:dyDescent="0.2">
      <c r="B22" s="1" t="s">
        <v>140</v>
      </c>
      <c r="C22" s="129">
        <f>C15/C8*365</f>
        <v>0</v>
      </c>
      <c r="D22" s="129">
        <f>D15/D8*365</f>
        <v>0</v>
      </c>
      <c r="E22" s="129">
        <f>E15/E8*365</f>
        <v>0</v>
      </c>
      <c r="F22" s="129">
        <f>F15/F8*365</f>
        <v>0</v>
      </c>
      <c r="G22" s="135">
        <f>G15/G8*365</f>
        <v>0</v>
      </c>
      <c r="H22" s="97">
        <v>119</v>
      </c>
      <c r="I22" s="97">
        <v>125</v>
      </c>
      <c r="J22" s="97">
        <v>130</v>
      </c>
      <c r="K22" s="97">
        <v>134</v>
      </c>
      <c r="L22" s="97">
        <v>134</v>
      </c>
    </row>
    <row r="23" spans="2:12" x14ac:dyDescent="0.2">
      <c r="B23" s="1" t="s">
        <v>137</v>
      </c>
      <c r="C23" s="129">
        <f>C20+C21-C22</f>
        <v>0</v>
      </c>
      <c r="D23" s="129">
        <f t="shared" ref="D23:L23" si="4">D20+D21-D22</f>
        <v>0</v>
      </c>
      <c r="E23" s="129">
        <f t="shared" si="4"/>
        <v>0</v>
      </c>
      <c r="F23" s="129">
        <f t="shared" si="4"/>
        <v>0</v>
      </c>
      <c r="G23" s="135">
        <f t="shared" si="4"/>
        <v>0</v>
      </c>
      <c r="H23" s="129">
        <f t="shared" si="4"/>
        <v>-72</v>
      </c>
      <c r="I23" s="129">
        <f t="shared" si="4"/>
        <v>-74</v>
      </c>
      <c r="J23" s="129">
        <f t="shared" si="4"/>
        <v>-76</v>
      </c>
      <c r="K23" s="129">
        <f t="shared" si="4"/>
        <v>-77</v>
      </c>
      <c r="L23" s="129">
        <f t="shared" si="4"/>
        <v>-77</v>
      </c>
    </row>
    <row r="25" spans="2:12" x14ac:dyDescent="0.2">
      <c r="B25" s="202"/>
      <c r="C25" s="202"/>
    </row>
    <row r="26" spans="2:12" x14ac:dyDescent="0.2">
      <c r="B26" s="122"/>
      <c r="C26" s="201" t="s">
        <v>274</v>
      </c>
      <c r="D26" s="201"/>
      <c r="E26" s="201"/>
      <c r="F26" s="201"/>
      <c r="G26" s="201"/>
      <c r="H26" s="201"/>
      <c r="I26" s="201"/>
      <c r="J26" s="201"/>
      <c r="K26" s="201"/>
      <c r="L26" s="201"/>
    </row>
    <row r="27" spans="2:12" x14ac:dyDescent="0.2">
      <c r="B27" s="7" t="s">
        <v>133</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275</v>
      </c>
      <c r="C28" s="127">
        <f>'Statement Y'!H65</f>
        <v>0</v>
      </c>
      <c r="D28" s="127">
        <f>'Statement Y'!I65</f>
        <v>0</v>
      </c>
      <c r="E28" s="127">
        <f>'Statement Y'!J65</f>
        <v>0</v>
      </c>
      <c r="F28" s="127">
        <f>'Statement Y'!K65</f>
        <v>0</v>
      </c>
      <c r="G28" s="128">
        <f>'Statement Y'!L65</f>
        <v>0</v>
      </c>
      <c r="H28" s="34" t="e">
        <f>-(H13-G13)</f>
        <v>#REF!</v>
      </c>
      <c r="I28" s="34" t="e">
        <f t="shared" ref="I28:L28" si="6">-(I13-H13)</f>
        <v>#REF!</v>
      </c>
      <c r="J28" s="34" t="e">
        <f t="shared" si="6"/>
        <v>#REF!</v>
      </c>
      <c r="K28" s="34" t="e">
        <f t="shared" si="6"/>
        <v>#REF!</v>
      </c>
      <c r="L28" s="34" t="e">
        <f t="shared" si="6"/>
        <v>#REF!</v>
      </c>
    </row>
    <row r="29" spans="2:12" x14ac:dyDescent="0.2">
      <c r="B29" s="1" t="s">
        <v>284</v>
      </c>
      <c r="C29" s="127">
        <f>'Statement Y'!H67</f>
        <v>0</v>
      </c>
      <c r="D29" s="127">
        <f>'Statement Y'!I67</f>
        <v>0</v>
      </c>
      <c r="E29" s="127">
        <f>'Statement Y'!J67</f>
        <v>0</v>
      </c>
      <c r="F29" s="127">
        <f>'Statement Y'!K67</f>
        <v>0</v>
      </c>
      <c r="G29" s="128">
        <f>'Statement Y'!L67</f>
        <v>0</v>
      </c>
      <c r="H29" s="34" t="e">
        <f>-(H14-G14)</f>
        <v>#REF!</v>
      </c>
      <c r="I29" s="34" t="e">
        <f t="shared" ref="I29:L29" si="7">-(I14-H14)</f>
        <v>#REF!</v>
      </c>
      <c r="J29" s="34" t="e">
        <f t="shared" si="7"/>
        <v>#REF!</v>
      </c>
      <c r="K29" s="34" t="e">
        <f t="shared" si="7"/>
        <v>#REF!</v>
      </c>
      <c r="L29" s="34" t="e">
        <f t="shared" si="7"/>
        <v>#REF!</v>
      </c>
    </row>
    <row r="30" spans="2:12" x14ac:dyDescent="0.2">
      <c r="B30" s="1" t="s">
        <v>276</v>
      </c>
      <c r="C30" s="127">
        <f>'Statement Y'!H69</f>
        <v>0</v>
      </c>
      <c r="D30" s="127">
        <f>'Statement Y'!I69</f>
        <v>0</v>
      </c>
      <c r="E30" s="127">
        <f>'Statement Y'!J69</f>
        <v>0</v>
      </c>
      <c r="F30" s="127">
        <f>'Statement Y'!K69</f>
        <v>0</v>
      </c>
      <c r="G30" s="128">
        <f>'Statement Y'!L69</f>
        <v>0</v>
      </c>
      <c r="H30" s="20" t="e">
        <f>H15-G15</f>
        <v>#REF!</v>
      </c>
      <c r="I30" s="20" t="e">
        <f t="shared" ref="I30:L30" si="8">I15-H15</f>
        <v>#REF!</v>
      </c>
      <c r="J30" s="20" t="e">
        <f t="shared" si="8"/>
        <v>#REF!</v>
      </c>
      <c r="K30" s="20" t="e">
        <f t="shared" si="8"/>
        <v>#REF!</v>
      </c>
      <c r="L30" s="20" t="e">
        <f t="shared" si="8"/>
        <v>#REF!</v>
      </c>
    </row>
    <row r="31" spans="2:12" x14ac:dyDescent="0.2">
      <c r="B31" s="122"/>
      <c r="C31" s="122"/>
    </row>
    <row r="32" spans="2:12" x14ac:dyDescent="0.2">
      <c r="B32" s="122"/>
      <c r="C32" s="122"/>
    </row>
    <row r="33" spans="2:12" x14ac:dyDescent="0.2">
      <c r="B33" s="122"/>
      <c r="C33" s="201" t="s">
        <v>277</v>
      </c>
      <c r="D33" s="201"/>
      <c r="E33" s="201"/>
      <c r="F33" s="201"/>
      <c r="G33" s="201"/>
      <c r="H33" s="201"/>
      <c r="I33" s="201"/>
      <c r="J33" s="201"/>
      <c r="K33" s="201"/>
      <c r="L33" s="201"/>
    </row>
    <row r="34" spans="2:12" x14ac:dyDescent="0.2">
      <c r="B34" s="7" t="s">
        <v>133</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278</v>
      </c>
      <c r="C35" s="127">
        <f>Statements!H59</f>
        <v>0</v>
      </c>
      <c r="D35" s="127">
        <f>Statements!I59</f>
        <v>0</v>
      </c>
      <c r="E35" s="127">
        <f>Statements!J59</f>
        <v>0</v>
      </c>
      <c r="F35" s="127">
        <f>Statements!K59</f>
        <v>0</v>
      </c>
      <c r="G35" s="128">
        <f>Statements!L59</f>
        <v>0</v>
      </c>
      <c r="H35" s="34" t="e">
        <f>H36+H28+H29+H30</f>
        <v>#REF!</v>
      </c>
      <c r="I35" s="34" t="e">
        <f t="shared" ref="I35:L35" si="10">I36+I28+I29+I30</f>
        <v>#REF!</v>
      </c>
      <c r="J35" s="34" t="e">
        <f t="shared" si="10"/>
        <v>#REF!</v>
      </c>
      <c r="K35" s="34" t="e">
        <f t="shared" si="10"/>
        <v>#REF!</v>
      </c>
      <c r="L35" s="34" t="e">
        <f t="shared" si="10"/>
        <v>#REF!</v>
      </c>
    </row>
    <row r="36" spans="2:12" x14ac:dyDescent="0.2">
      <c r="B36" s="1" t="s">
        <v>279</v>
      </c>
      <c r="C36" s="141">
        <f>C35-C28-C29-C30</f>
        <v>0</v>
      </c>
      <c r="D36" s="141">
        <f t="shared" ref="D36:G36" si="11">D35-D28-D29-D30</f>
        <v>0</v>
      </c>
      <c r="E36" s="141">
        <f t="shared" si="11"/>
        <v>0</v>
      </c>
      <c r="F36" s="141">
        <f t="shared" si="11"/>
        <v>0</v>
      </c>
      <c r="G36" s="142">
        <f t="shared" si="11"/>
        <v>0</v>
      </c>
      <c r="H36" s="20" t="e">
        <f>H7*H37</f>
        <v>#REF!</v>
      </c>
      <c r="I36" s="20" t="e">
        <f>I7*I37</f>
        <v>#REF!</v>
      </c>
      <c r="J36" s="20" t="e">
        <f>J7*J37</f>
        <v>#REF!</v>
      </c>
      <c r="K36" s="20" t="e">
        <f>K7*K37</f>
        <v>#REF!</v>
      </c>
      <c r="L36" s="20" t="e">
        <f>L7*L37</f>
        <v>#REF!</v>
      </c>
    </row>
    <row r="37" spans="2:12" x14ac:dyDescent="0.2">
      <c r="B37" s="181" t="s">
        <v>107</v>
      </c>
      <c r="C37" s="182">
        <f>C36/C7</f>
        <v>0</v>
      </c>
      <c r="D37" s="182">
        <f>D36/D7</f>
        <v>0</v>
      </c>
      <c r="E37" s="182">
        <f>E36/E7</f>
        <v>0</v>
      </c>
      <c r="F37" s="182">
        <f>F36/F7</f>
        <v>0</v>
      </c>
      <c r="G37" s="183">
        <f>G36/G7</f>
        <v>0</v>
      </c>
      <c r="H37" s="113">
        <v>-0.02</v>
      </c>
      <c r="I37" s="113">
        <v>-0.02</v>
      </c>
      <c r="J37" s="113">
        <v>-0.02</v>
      </c>
      <c r="K37" s="113">
        <v>-0.02</v>
      </c>
      <c r="L37" s="113">
        <v>-0.02</v>
      </c>
    </row>
    <row r="38" spans="2:12" x14ac:dyDescent="0.2">
      <c r="C38" s="104"/>
    </row>
    <row r="39" spans="2:12" x14ac:dyDescent="0.2">
      <c r="C39" s="131"/>
    </row>
    <row r="40" spans="2:12" x14ac:dyDescent="0.2">
      <c r="C40" s="201" t="s">
        <v>280</v>
      </c>
      <c r="D40" s="201"/>
      <c r="E40" s="201"/>
      <c r="F40" s="201"/>
      <c r="G40" s="201"/>
      <c r="H40" s="201"/>
      <c r="I40" s="201"/>
      <c r="J40" s="201"/>
      <c r="K40" s="201"/>
      <c r="L40" s="201"/>
    </row>
    <row r="41" spans="2:12" x14ac:dyDescent="0.2">
      <c r="B41" s="7" t="s">
        <v>133</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Statements!H55</f>
        <v>0</v>
      </c>
      <c r="D42" s="127">
        <f>Statements!I55</f>
        <v>0</v>
      </c>
      <c r="E42" s="127">
        <f>Statements!J55</f>
        <v>0</v>
      </c>
      <c r="F42" s="127">
        <f>Statements!K55</f>
        <v>0</v>
      </c>
      <c r="G42" s="128">
        <f>Statements!L55</f>
        <v>0</v>
      </c>
      <c r="H42" s="34" t="e">
        <f>H7*H43</f>
        <v>#REF!</v>
      </c>
      <c r="I42" s="34" t="e">
        <f>I7*I43</f>
        <v>#REF!</v>
      </c>
      <c r="J42" s="34" t="e">
        <f>J7*J43</f>
        <v>#REF!</v>
      </c>
      <c r="K42" s="34" t="e">
        <f>K7*K43</f>
        <v>#REF!</v>
      </c>
      <c r="L42" s="34" t="e">
        <f>L7*L43</f>
        <v>#REF!</v>
      </c>
    </row>
    <row r="43" spans="2:12" x14ac:dyDescent="0.2">
      <c r="B43" s="181" t="s">
        <v>281</v>
      </c>
      <c r="C43" s="182">
        <f>C42/C7</f>
        <v>0</v>
      </c>
      <c r="D43" s="182">
        <f>D42/D7</f>
        <v>0</v>
      </c>
      <c r="E43" s="182">
        <f>E42/E7</f>
        <v>0</v>
      </c>
      <c r="F43" s="182">
        <f>F42/F7</f>
        <v>0</v>
      </c>
      <c r="G43" s="183">
        <f>G42/G7</f>
        <v>0</v>
      </c>
      <c r="H43" s="113">
        <v>2.9000000000000001E-2</v>
      </c>
      <c r="I43" s="113">
        <v>2.9000000000000001E-2</v>
      </c>
      <c r="J43" s="113">
        <v>2.9000000000000001E-2</v>
      </c>
      <c r="K43" s="113">
        <v>2.9000000000000001E-2</v>
      </c>
      <c r="L43" s="113">
        <v>2.9000000000000001E-2</v>
      </c>
    </row>
    <row r="44" spans="2:12" x14ac:dyDescent="0.2">
      <c r="B44" s="181" t="s">
        <v>282</v>
      </c>
      <c r="C44" s="182" t="e">
        <f>C42/C45</f>
        <v>#DIV/0!</v>
      </c>
      <c r="D44" s="182" t="e">
        <f t="shared" ref="D44:L44" si="13">D42/D45</f>
        <v>#DIV/0!</v>
      </c>
      <c r="E44" s="182" t="e">
        <f t="shared" si="13"/>
        <v>#DIV/0!</v>
      </c>
      <c r="F44" s="182" t="e">
        <f t="shared" si="13"/>
        <v>#DIV/0!</v>
      </c>
      <c r="G44" s="183" t="e">
        <f t="shared" si="13"/>
        <v>#DIV/0!</v>
      </c>
      <c r="H44" s="182" t="e">
        <f t="shared" si="13"/>
        <v>#REF!</v>
      </c>
      <c r="I44" s="182" t="e">
        <f t="shared" si="13"/>
        <v>#REF!</v>
      </c>
      <c r="J44" s="182" t="e">
        <f t="shared" si="13"/>
        <v>#REF!</v>
      </c>
      <c r="K44" s="182" t="e">
        <f t="shared" si="13"/>
        <v>#REF!</v>
      </c>
      <c r="L44" s="182" t="e">
        <f t="shared" si="13"/>
        <v>#REF!</v>
      </c>
    </row>
    <row r="45" spans="2:12" x14ac:dyDescent="0.2">
      <c r="B45" s="1" t="s">
        <v>40</v>
      </c>
      <c r="C45" s="127">
        <f>-Statements!H61</f>
        <v>0</v>
      </c>
      <c r="D45" s="127">
        <f>-Statements!I61</f>
        <v>0</v>
      </c>
      <c r="E45" s="127">
        <f>-Statements!J61</f>
        <v>0</v>
      </c>
      <c r="F45" s="127">
        <f>-Statements!K61</f>
        <v>0</v>
      </c>
      <c r="G45" s="128">
        <f>-Statements!L61</f>
        <v>0</v>
      </c>
      <c r="H45" s="34" t="e">
        <f>H7*H46</f>
        <v>#REF!</v>
      </c>
      <c r="I45" s="34" t="e">
        <f>I7*I46</f>
        <v>#REF!</v>
      </c>
      <c r="J45" s="34" t="e">
        <f>J7*J46</f>
        <v>#REF!</v>
      </c>
      <c r="K45" s="34" t="e">
        <f>K7*K46</f>
        <v>#REF!</v>
      </c>
      <c r="L45" s="34" t="e">
        <f>L7*L46</f>
        <v>#REF!</v>
      </c>
    </row>
    <row r="46" spans="2:12" x14ac:dyDescent="0.2">
      <c r="B46" s="181" t="s">
        <v>281</v>
      </c>
      <c r="C46" s="182">
        <f>C45/C7</f>
        <v>0</v>
      </c>
      <c r="D46" s="182">
        <f>D45/D7</f>
        <v>0</v>
      </c>
      <c r="E46" s="182">
        <f>E45/E7</f>
        <v>0</v>
      </c>
      <c r="F46" s="182">
        <f>F45/F7</f>
        <v>0</v>
      </c>
      <c r="G46" s="183">
        <f>G45/G7</f>
        <v>0</v>
      </c>
      <c r="H46" s="113">
        <v>0.03</v>
      </c>
      <c r="I46" s="113">
        <v>0.03</v>
      </c>
      <c r="J46" s="113">
        <v>0.03</v>
      </c>
      <c r="K46" s="113">
        <v>0.03</v>
      </c>
      <c r="L46" s="113">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A17" zoomScale="150" workbookViewId="0">
      <selection activeCell="C30" sqref="C3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285</v>
      </c>
    </row>
    <row r="2" spans="1:31" x14ac:dyDescent="0.2">
      <c r="A2" s="100"/>
      <c r="C2" s="196" t="s">
        <v>105</v>
      </c>
      <c r="D2" s="196"/>
      <c r="E2" s="196"/>
      <c r="F2" s="196"/>
      <c r="G2" s="199"/>
      <c r="H2" s="200" t="s">
        <v>106</v>
      </c>
      <c r="I2" s="196"/>
      <c r="J2" s="196"/>
      <c r="K2" s="196"/>
      <c r="L2" s="196"/>
      <c r="S2" s="202"/>
      <c r="T2" s="202"/>
      <c r="U2" s="202"/>
      <c r="V2" s="202"/>
      <c r="W2" s="202"/>
      <c r="X2" s="202"/>
      <c r="Y2" s="202"/>
      <c r="Z2" s="202"/>
      <c r="AA2" s="202"/>
      <c r="AB2" s="202"/>
      <c r="AC2" s="202"/>
      <c r="AE2" s="122"/>
    </row>
    <row r="3" spans="1:31" ht="10" customHeight="1" x14ac:dyDescent="0.2"/>
    <row r="4" spans="1:31" ht="16" customHeight="1" x14ac:dyDescent="0.2">
      <c r="A4" s="105"/>
      <c r="B4" s="92"/>
      <c r="C4" s="201" t="s">
        <v>5</v>
      </c>
      <c r="D4" s="201"/>
      <c r="E4" s="201"/>
      <c r="F4" s="201"/>
      <c r="G4" s="201"/>
      <c r="H4" s="201"/>
      <c r="I4" s="201"/>
      <c r="J4" s="201"/>
      <c r="K4" s="201"/>
      <c r="L4" s="201"/>
      <c r="S4" s="202"/>
      <c r="T4" s="202"/>
      <c r="U4" s="202"/>
      <c r="V4" s="202"/>
      <c r="W4" s="202"/>
      <c r="X4" s="202"/>
      <c r="Y4" s="202"/>
      <c r="Z4" s="202"/>
      <c r="AA4" s="202"/>
      <c r="AB4" s="202"/>
      <c r="AC4" s="202"/>
      <c r="AE4" s="123"/>
    </row>
    <row r="5" spans="1:31" x14ac:dyDescent="0.2">
      <c r="B5" s="7" t="s">
        <v>133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15785</v>
      </c>
      <c r="D6" s="107">
        <f>Revenue!D11</f>
        <v>17606</v>
      </c>
      <c r="E6" s="107">
        <f>Revenue!E11</f>
        <v>19409</v>
      </c>
      <c r="F6" s="107">
        <f>Revenue!F11</f>
        <v>21505</v>
      </c>
      <c r="G6" s="108">
        <f>Revenue!G11</f>
        <v>23769</v>
      </c>
      <c r="H6" s="107" t="e">
        <f>Revenue!H11</f>
        <v>#REF!</v>
      </c>
      <c r="I6" s="107" t="e">
        <f>Revenue!I11</f>
        <v>#REF!</v>
      </c>
      <c r="J6" s="107" t="e">
        <f>Revenue!J11</f>
        <v>#REF!</v>
      </c>
      <c r="K6" s="107" t="e">
        <f>Revenue!K11</f>
        <v>#REF!</v>
      </c>
      <c r="L6" s="107" t="e">
        <f>Revenue!L11</f>
        <v>#REF!</v>
      </c>
      <c r="N6" s="115" t="s">
        <v>154</v>
      </c>
      <c r="Q6" s="115"/>
      <c r="S6" s="103"/>
      <c r="T6" s="103"/>
      <c r="U6" s="103"/>
      <c r="V6" s="103"/>
      <c r="W6" s="103"/>
      <c r="X6" s="103"/>
      <c r="Y6" s="103"/>
      <c r="Z6" s="103"/>
      <c r="AA6" s="104"/>
      <c r="AB6" s="104"/>
      <c r="AC6" s="104"/>
      <c r="AE6" s="104"/>
    </row>
    <row r="7" spans="1:31" x14ac:dyDescent="0.2">
      <c r="B7" s="1" t="s">
        <v>7</v>
      </c>
      <c r="C7" s="103">
        <f>'COGS &amp; OpEx'!C11</f>
        <v>1865</v>
      </c>
      <c r="D7" s="103">
        <f>'COGS &amp; OpEx'!D11</f>
        <v>2165</v>
      </c>
      <c r="E7" s="103">
        <f>'COGS &amp; OpEx'!E11</f>
        <v>2354</v>
      </c>
      <c r="F7" s="103">
        <f>'COGS &amp; OpEx'!F11</f>
        <v>2358</v>
      </c>
      <c r="G7" s="106">
        <f>'COGS &amp; OpEx'!G11</f>
        <v>2551</v>
      </c>
      <c r="H7" s="132" t="e">
        <f>'COGS &amp; OpEx'!H11</f>
        <v>#REF!</v>
      </c>
      <c r="I7" s="132" t="e">
        <f>'COGS &amp; OpEx'!I11</f>
        <v>#REF!</v>
      </c>
      <c r="J7" s="132" t="e">
        <f>'COGS &amp; OpEx'!J11</f>
        <v>#REF!</v>
      </c>
      <c r="K7" s="132" t="e">
        <f>'COGS &amp; OpEx'!K11</f>
        <v>#REF!</v>
      </c>
      <c r="L7" s="132" t="e">
        <f>'COGS &amp; OpEx'!L11</f>
        <v>#REF!</v>
      </c>
      <c r="N7" s="115" t="s">
        <v>148</v>
      </c>
      <c r="Q7" s="115"/>
      <c r="S7" s="103"/>
      <c r="T7" s="103"/>
      <c r="U7" s="103"/>
      <c r="V7" s="103"/>
      <c r="W7" s="103"/>
      <c r="X7" s="103"/>
      <c r="Y7" s="103"/>
      <c r="Z7" s="103"/>
      <c r="AA7" s="104"/>
      <c r="AB7" s="104"/>
      <c r="AC7" s="104"/>
      <c r="AE7" s="104"/>
    </row>
    <row r="8" spans="1:31" x14ac:dyDescent="0.2">
      <c r="B8" s="7" t="s">
        <v>108</v>
      </c>
      <c r="C8" s="109">
        <f>C6-C7</f>
        <v>13920</v>
      </c>
      <c r="D8" s="109">
        <f t="shared" ref="D8:L8" si="0">D6-D7</f>
        <v>15441</v>
      </c>
      <c r="E8" s="109">
        <f t="shared" si="0"/>
        <v>17055</v>
      </c>
      <c r="F8" s="109">
        <f t="shared" si="0"/>
        <v>19147</v>
      </c>
      <c r="G8" s="136">
        <f t="shared" si="0"/>
        <v>21218</v>
      </c>
      <c r="H8" s="109" t="e">
        <f t="shared" si="0"/>
        <v>#REF!</v>
      </c>
      <c r="I8" s="109" t="e">
        <f t="shared" si="0"/>
        <v>#REF!</v>
      </c>
      <c r="J8" s="109" t="e">
        <f t="shared" si="0"/>
        <v>#REF!</v>
      </c>
      <c r="K8" s="109" t="e">
        <f t="shared" si="0"/>
        <v>#REF!</v>
      </c>
      <c r="L8" s="109" t="e">
        <f t="shared" si="0"/>
        <v>#REF!</v>
      </c>
      <c r="N8" s="115"/>
      <c r="Q8" s="115"/>
      <c r="S8" s="103"/>
      <c r="T8" s="103"/>
      <c r="U8" s="103"/>
      <c r="V8" s="103"/>
      <c r="W8" s="103"/>
      <c r="X8" s="103"/>
      <c r="Y8" s="103"/>
      <c r="Z8" s="103"/>
      <c r="AA8" s="104"/>
      <c r="AB8" s="104"/>
      <c r="AC8" s="104"/>
      <c r="AE8" s="104"/>
    </row>
    <row r="9" spans="1:31" x14ac:dyDescent="0.2">
      <c r="B9" s="1" t="s">
        <v>9</v>
      </c>
      <c r="C9" s="103">
        <f>'COGS &amp; OpEx'!C12</f>
        <v>2540</v>
      </c>
      <c r="D9" s="103">
        <f>'COGS &amp; OpEx'!D12</f>
        <v>2987</v>
      </c>
      <c r="E9" s="103">
        <f>'COGS &amp; OpEx'!E12</f>
        <v>3473</v>
      </c>
      <c r="F9" s="103">
        <f>'COGS &amp; OpEx'!F12</f>
        <v>3944</v>
      </c>
      <c r="G9" s="106">
        <f>'COGS &amp; OpEx'!G12</f>
        <v>4294</v>
      </c>
      <c r="H9" s="132" t="e">
        <f>'COGS &amp; OpEx'!H12</f>
        <v>#REF!</v>
      </c>
      <c r="I9" s="132" t="e">
        <f>'COGS &amp; OpEx'!I12</f>
        <v>#REF!</v>
      </c>
      <c r="J9" s="132" t="e">
        <f>'COGS &amp; OpEx'!J12</f>
        <v>#REF!</v>
      </c>
      <c r="K9" s="132" t="e">
        <f>'COGS &amp; OpEx'!K12</f>
        <v>#REF!</v>
      </c>
      <c r="L9" s="132" t="e">
        <f>'COGS &amp; OpEx'!L12</f>
        <v>#REF!</v>
      </c>
      <c r="N9" s="115" t="s">
        <v>148</v>
      </c>
      <c r="Q9" s="115"/>
      <c r="S9" s="103"/>
      <c r="T9" s="103"/>
      <c r="U9" s="103"/>
      <c r="V9" s="103"/>
      <c r="W9" s="103"/>
      <c r="X9" s="103"/>
      <c r="Y9" s="103"/>
      <c r="Z9" s="103"/>
      <c r="AA9" s="104"/>
      <c r="AB9" s="104"/>
      <c r="AC9" s="104"/>
      <c r="AE9" s="104"/>
    </row>
    <row r="10" spans="1:31" x14ac:dyDescent="0.2">
      <c r="B10" s="1" t="s">
        <v>124</v>
      </c>
      <c r="C10" s="103">
        <f>'COGS &amp; OpEx'!C13</f>
        <v>1085</v>
      </c>
      <c r="D10" s="103">
        <f>'COGS &amp; OpEx'!D13</f>
        <v>1219</v>
      </c>
      <c r="E10" s="103">
        <f>'COGS &amp; OpEx'!E13</f>
        <v>1413</v>
      </c>
      <c r="F10" s="103">
        <f>'COGS &amp; OpEx'!F13</f>
        <v>1529</v>
      </c>
      <c r="G10" s="106">
        <f>'COGS &amp; OpEx'!G13</f>
        <v>1573</v>
      </c>
      <c r="H10" s="132" t="e">
        <f>'COGS &amp; OpEx'!H13</f>
        <v>#REF!</v>
      </c>
      <c r="I10" s="132" t="e">
        <f>'COGS &amp; OpEx'!I13</f>
        <v>#REF!</v>
      </c>
      <c r="J10" s="132" t="e">
        <f>'COGS &amp; OpEx'!J13</f>
        <v>#REF!</v>
      </c>
      <c r="K10" s="132" t="e">
        <f>'COGS &amp; OpEx'!K13</f>
        <v>#REF!</v>
      </c>
      <c r="L10" s="132" t="e">
        <f>'COGS &amp; OpEx'!L13</f>
        <v>#REF!</v>
      </c>
      <c r="N10" s="115" t="s">
        <v>148</v>
      </c>
      <c r="Q10" s="115"/>
      <c r="S10" s="103"/>
      <c r="T10" s="103"/>
      <c r="U10" s="103"/>
      <c r="V10" s="103"/>
      <c r="W10" s="103"/>
      <c r="X10" s="103"/>
      <c r="Y10" s="103"/>
      <c r="Z10" s="103"/>
      <c r="AA10" s="104"/>
      <c r="AB10" s="104"/>
      <c r="AC10" s="104"/>
      <c r="AE10" s="104"/>
    </row>
    <row r="11" spans="1:31" x14ac:dyDescent="0.2">
      <c r="B11" s="1" t="s">
        <v>11</v>
      </c>
      <c r="C11" s="103">
        <f>'COGS &amp; OpEx'!C14</f>
        <v>8118</v>
      </c>
      <c r="D11" s="103">
        <f>'COGS &amp; OpEx'!D14</f>
        <v>9343</v>
      </c>
      <c r="E11" s="103">
        <f>'COGS &amp; OpEx'!E14</f>
        <v>10405</v>
      </c>
      <c r="F11" s="103">
        <f>'COGS &amp; OpEx'!F14</f>
        <v>12406</v>
      </c>
      <c r="G11" s="106">
        <f>'COGS &amp; OpEx'!G14</f>
        <v>12512</v>
      </c>
      <c r="H11" s="132" t="e">
        <f>'COGS &amp; OpEx'!H14</f>
        <v>#REF!</v>
      </c>
      <c r="I11" s="132" t="e">
        <f>'COGS &amp; OpEx'!I14</f>
        <v>#REF!</v>
      </c>
      <c r="J11" s="132" t="e">
        <f>'COGS &amp; OpEx'!J14</f>
        <v>#REF!</v>
      </c>
      <c r="K11" s="132" t="e">
        <f>'COGS &amp; OpEx'!K14</f>
        <v>#REF!</v>
      </c>
      <c r="L11" s="132" t="e">
        <f>'COGS &amp; OpEx'!L14</f>
        <v>#REF!</v>
      </c>
      <c r="N11" s="143" t="s">
        <v>148</v>
      </c>
      <c r="Q11" s="115"/>
      <c r="S11" s="103"/>
      <c r="T11" s="103"/>
      <c r="U11" s="103"/>
      <c r="V11" s="103"/>
      <c r="W11" s="103"/>
      <c r="X11" s="103"/>
      <c r="Y11" s="103"/>
      <c r="Z11" s="103"/>
      <c r="AA11" s="104"/>
      <c r="AB11" s="104"/>
      <c r="AC11" s="104"/>
      <c r="AE11" s="104"/>
    </row>
    <row r="12" spans="1:31" x14ac:dyDescent="0.2">
      <c r="B12" s="7" t="s">
        <v>109</v>
      </c>
      <c r="C12" s="109">
        <f t="shared" ref="C12:L12" si="1">C8-C11</f>
        <v>5802</v>
      </c>
      <c r="D12" s="109">
        <f t="shared" si="1"/>
        <v>6098</v>
      </c>
      <c r="E12" s="109">
        <f t="shared" si="1"/>
        <v>6650</v>
      </c>
      <c r="F12" s="109">
        <f t="shared" si="1"/>
        <v>6741</v>
      </c>
      <c r="G12" s="136">
        <f t="shared" si="1"/>
        <v>8706</v>
      </c>
      <c r="H12" s="109" t="e">
        <f t="shared" si="1"/>
        <v>#REF!</v>
      </c>
      <c r="I12" s="109" t="e">
        <f t="shared" si="1"/>
        <v>#REF!</v>
      </c>
      <c r="J12" s="109" t="e">
        <f t="shared" si="1"/>
        <v>#REF!</v>
      </c>
      <c r="K12" s="109" t="e">
        <f t="shared" si="1"/>
        <v>#REF!</v>
      </c>
      <c r="L12" s="109" t="e">
        <f t="shared" si="1"/>
        <v>#REF!</v>
      </c>
      <c r="N12" s="115"/>
      <c r="Q12" s="115"/>
      <c r="S12" s="103"/>
      <c r="T12" s="103"/>
      <c r="U12" s="103"/>
      <c r="V12" s="103"/>
      <c r="W12" s="103"/>
      <c r="X12" s="103"/>
      <c r="Y12" s="103"/>
      <c r="Z12" s="103"/>
      <c r="AA12" s="104"/>
      <c r="AB12" s="104"/>
      <c r="AC12" s="104"/>
      <c r="AE12" s="104"/>
    </row>
    <row r="15" spans="1:31" x14ac:dyDescent="0.2">
      <c r="C15" s="201" t="s">
        <v>142</v>
      </c>
      <c r="D15" s="201"/>
      <c r="E15" s="201"/>
      <c r="F15" s="201"/>
      <c r="G15" s="201"/>
      <c r="H15" s="201"/>
      <c r="I15" s="201"/>
      <c r="J15" s="201"/>
      <c r="K15" s="201"/>
      <c r="L15" s="201"/>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93</v>
      </c>
      <c r="C17" s="95">
        <f>'Statement Y'!H124</f>
        <v>0.15477651183172655</v>
      </c>
      <c r="D17" s="95">
        <f>'Statement Y'!I124</f>
        <v>0.20838881491344874</v>
      </c>
      <c r="E17" s="95">
        <f>'Statement Y'!J124</f>
        <v>0.20164730107368731</v>
      </c>
      <c r="F17" s="95">
        <f>'Statement Y'!K124</f>
        <v>0.19780695426345404</v>
      </c>
      <c r="G17" s="137">
        <f>'Statement Y'!L124</f>
        <v>0.18365010304556903</v>
      </c>
      <c r="H17" s="96">
        <v>0.21</v>
      </c>
      <c r="I17" s="96">
        <v>0.21</v>
      </c>
      <c r="J17" s="96">
        <v>0.21</v>
      </c>
      <c r="K17" s="96">
        <v>0.21</v>
      </c>
      <c r="L17" s="96">
        <v>0.21</v>
      </c>
    </row>
    <row r="20" spans="2:14" x14ac:dyDescent="0.2">
      <c r="C20" s="201" t="s">
        <v>286</v>
      </c>
      <c r="D20" s="201"/>
      <c r="E20" s="201"/>
      <c r="F20" s="201"/>
      <c r="G20" s="201"/>
      <c r="H20" s="201"/>
      <c r="I20" s="201"/>
      <c r="J20" s="201"/>
      <c r="K20" s="201"/>
      <c r="L20" s="201"/>
    </row>
    <row r="21" spans="2:14" x14ac:dyDescent="0.2">
      <c r="B21" s="7" t="s">
        <v>133</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0</v>
      </c>
      <c r="D22" s="103">
        <f>'WC &amp; Investments'!D42</f>
        <v>0</v>
      </c>
      <c r="E22" s="103">
        <f>'WC &amp; Investments'!E42</f>
        <v>0</v>
      </c>
      <c r="F22" s="103">
        <f>'WC &amp; Investments'!F42</f>
        <v>0</v>
      </c>
      <c r="G22" s="106">
        <f>'WC &amp; Investments'!G42</f>
        <v>0</v>
      </c>
      <c r="H22" s="103" t="e">
        <f>'WC &amp; Investments'!H42</f>
        <v>#REF!</v>
      </c>
      <c r="I22" s="103" t="e">
        <f>'WC &amp; Investments'!I42</f>
        <v>#REF!</v>
      </c>
      <c r="J22" s="103" t="e">
        <f>'WC &amp; Investments'!J42</f>
        <v>#REF!</v>
      </c>
      <c r="K22" s="103" t="e">
        <f>'WC &amp; Investments'!K42</f>
        <v>#REF!</v>
      </c>
      <c r="L22" s="103" t="e">
        <f>'WC &amp; Investments'!L42</f>
        <v>#REF!</v>
      </c>
      <c r="N22" s="1" t="s">
        <v>287</v>
      </c>
    </row>
    <row r="23" spans="2:14" x14ac:dyDescent="0.2">
      <c r="B23" s="1" t="s">
        <v>40</v>
      </c>
      <c r="C23" s="103">
        <f>'WC &amp; Investments'!C45</f>
        <v>0</v>
      </c>
      <c r="D23" s="103">
        <f>'WC &amp; Investments'!D45</f>
        <v>0</v>
      </c>
      <c r="E23" s="103">
        <f>'WC &amp; Investments'!E45</f>
        <v>0</v>
      </c>
      <c r="F23" s="103">
        <f>'WC &amp; Investments'!F45</f>
        <v>0</v>
      </c>
      <c r="G23" s="106">
        <f>'WC &amp; Investments'!G45</f>
        <v>0</v>
      </c>
      <c r="H23" s="103" t="e">
        <f>'WC &amp; Investments'!H45</f>
        <v>#REF!</v>
      </c>
      <c r="I23" s="103" t="e">
        <f>'WC &amp; Investments'!I45</f>
        <v>#REF!</v>
      </c>
      <c r="J23" s="103" t="e">
        <f>'WC &amp; Investments'!J45</f>
        <v>#REF!</v>
      </c>
      <c r="K23" s="103" t="e">
        <f>'WC &amp; Investments'!K45</f>
        <v>#REF!</v>
      </c>
      <c r="L23" s="103" t="e">
        <f>'WC &amp; Investments'!L45</f>
        <v>#REF!</v>
      </c>
      <c r="N23" s="1" t="s">
        <v>287</v>
      </c>
    </row>
    <row r="24" spans="2:14" x14ac:dyDescent="0.2">
      <c r="B24" s="1" t="s">
        <v>288</v>
      </c>
      <c r="C24" s="103">
        <f>'WC &amp; Investments'!C35</f>
        <v>0</v>
      </c>
      <c r="D24" s="103">
        <f>'WC &amp; Investments'!D35</f>
        <v>0</v>
      </c>
      <c r="E24" s="103">
        <f>'WC &amp; Investments'!E35</f>
        <v>0</v>
      </c>
      <c r="F24" s="103">
        <f>'WC &amp; Investments'!F35</f>
        <v>0</v>
      </c>
      <c r="G24" s="106">
        <f>'WC &amp; Investments'!G35</f>
        <v>0</v>
      </c>
      <c r="H24" s="103" t="e">
        <f>'WC &amp; Investments'!H35</f>
        <v>#REF!</v>
      </c>
      <c r="I24" s="103" t="e">
        <f>'WC &amp; Investments'!I35</f>
        <v>#REF!</v>
      </c>
      <c r="J24" s="103" t="e">
        <f>'WC &amp; Investments'!J35</f>
        <v>#REF!</v>
      </c>
      <c r="K24" s="103" t="e">
        <f>'WC &amp; Investments'!K35</f>
        <v>#REF!</v>
      </c>
      <c r="L24" s="103" t="e">
        <f>'WC &amp; Investments'!L35</f>
        <v>#REF!</v>
      </c>
      <c r="N24" s="1" t="s">
        <v>287</v>
      </c>
    </row>
    <row r="27" spans="2:14" x14ac:dyDescent="0.2">
      <c r="C27" s="201" t="s">
        <v>145</v>
      </c>
      <c r="D27" s="201"/>
      <c r="E27" s="201"/>
      <c r="F27" s="201"/>
      <c r="G27" s="201"/>
      <c r="H27" s="201"/>
      <c r="I27" s="201"/>
      <c r="J27" s="201"/>
      <c r="K27" s="201"/>
      <c r="L27" s="201"/>
    </row>
    <row r="28" spans="2:14" x14ac:dyDescent="0.2">
      <c r="B28" s="7" t="s">
        <v>133</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143</v>
      </c>
      <c r="C29" s="133">
        <f>C12*(1-C17)</f>
        <v>4903.9866783523221</v>
      </c>
      <c r="D29" s="133">
        <f t="shared" ref="D29:L29" si="5">D12*(1-D17)</f>
        <v>4827.2450066577894</v>
      </c>
      <c r="E29" s="133">
        <f t="shared" si="5"/>
        <v>5309.0454478599795</v>
      </c>
      <c r="F29" s="133">
        <f t="shared" si="5"/>
        <v>5407.5833213100559</v>
      </c>
      <c r="G29" s="140">
        <f t="shared" si="5"/>
        <v>7107.1422028852758</v>
      </c>
      <c r="H29" s="133" t="e">
        <f t="shared" si="5"/>
        <v>#REF!</v>
      </c>
      <c r="I29" s="133" t="e">
        <f t="shared" si="5"/>
        <v>#REF!</v>
      </c>
      <c r="J29" s="133" t="e">
        <f t="shared" si="5"/>
        <v>#REF!</v>
      </c>
      <c r="K29" s="133" t="e">
        <f t="shared" si="5"/>
        <v>#REF!</v>
      </c>
      <c r="L29" s="133" t="e">
        <f t="shared" si="5"/>
        <v>#REF!</v>
      </c>
    </row>
    <row r="30" spans="2:14" x14ac:dyDescent="0.2">
      <c r="B30" s="7" t="s">
        <v>145</v>
      </c>
      <c r="C30" s="109">
        <f>C29+C22-C23+C24</f>
        <v>4903.9866783523221</v>
      </c>
      <c r="D30" s="109">
        <f t="shared" ref="D30:L30" si="6">D29+D22-D23+D24</f>
        <v>4827.2450066577894</v>
      </c>
      <c r="E30" s="109">
        <f t="shared" si="6"/>
        <v>5309.0454478599795</v>
      </c>
      <c r="F30" s="109">
        <f t="shared" si="6"/>
        <v>5407.5833213100559</v>
      </c>
      <c r="G30" s="136">
        <f t="shared" si="6"/>
        <v>7107.1422028852758</v>
      </c>
      <c r="H30" s="109" t="e">
        <f t="shared" si="6"/>
        <v>#REF!</v>
      </c>
      <c r="I30" s="109" t="e">
        <f t="shared" si="6"/>
        <v>#REF!</v>
      </c>
      <c r="J30" s="109" t="e">
        <f t="shared" si="6"/>
        <v>#REF!</v>
      </c>
      <c r="K30" s="109" t="e">
        <f t="shared" si="6"/>
        <v>#REF!</v>
      </c>
      <c r="L30" s="109" t="e">
        <f t="shared" si="6"/>
        <v>#REF!</v>
      </c>
    </row>
  </sheetData>
  <mergeCells count="9">
    <mergeCell ref="AA2:AC2"/>
    <mergeCell ref="C4:L4"/>
    <mergeCell ref="S4:AC4"/>
    <mergeCell ref="C15:L15"/>
    <mergeCell ref="C20:L20"/>
    <mergeCell ref="C27:L27"/>
    <mergeCell ref="C2:G2"/>
    <mergeCell ref="H2:L2"/>
    <mergeCell ref="S2:Z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1" zoomScale="187" zoomScaleNormal="100" workbookViewId="0">
      <selection activeCell="C9" sqref="C9"/>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156</v>
      </c>
    </row>
    <row r="2" spans="1:3" s="99" customFormat="1" ht="18" customHeight="1" x14ac:dyDescent="0.2">
      <c r="A2" s="100"/>
      <c r="B2" s="101"/>
    </row>
    <row r="3" spans="1:3" ht="17" customHeight="1" x14ac:dyDescent="0.2"/>
    <row r="4" spans="1:3" ht="17" customHeight="1" x14ac:dyDescent="0.2">
      <c r="B4" s="196" t="s">
        <v>160</v>
      </c>
      <c r="C4" s="196"/>
    </row>
    <row r="5" spans="1:3" ht="17" customHeight="1" x14ac:dyDescent="0.2">
      <c r="B5" s="1" t="s">
        <v>161</v>
      </c>
      <c r="C5" s="132">
        <f>'Statement Q'!N105</f>
        <v>0</v>
      </c>
    </row>
    <row r="6" spans="1:3" ht="17" customHeight="1" x14ac:dyDescent="0.2">
      <c r="B6" s="1" t="s">
        <v>74</v>
      </c>
      <c r="C6" s="145">
        <f>Overview!C3</f>
        <v>245.44</v>
      </c>
    </row>
    <row r="7" spans="1:3" ht="17" customHeight="1" x14ac:dyDescent="0.2">
      <c r="B7" s="1" t="s">
        <v>147</v>
      </c>
      <c r="C7" s="147">
        <f>C5*C6</f>
        <v>0</v>
      </c>
    </row>
    <row r="8" spans="1:3" ht="17" customHeight="1" x14ac:dyDescent="0.2">
      <c r="B8" s="1" t="s">
        <v>146</v>
      </c>
      <c r="C8" s="132">
        <f>Statements!W40+Statements!W41+Statements!W43</f>
        <v>0</v>
      </c>
    </row>
    <row r="9" spans="1:3" ht="17" customHeight="1" x14ac:dyDescent="0.2">
      <c r="B9" s="1" t="s">
        <v>162</v>
      </c>
      <c r="C9" s="170">
        <f>[1]Sheet1!$C$10/1000</f>
        <v>4.3099999999999999E-2</v>
      </c>
    </row>
    <row r="10" spans="1:3" ht="17" customHeight="1" x14ac:dyDescent="0.2">
      <c r="B10" s="1" t="s">
        <v>163</v>
      </c>
      <c r="C10" s="145">
        <f>[1]Sheet1!$F$17</f>
        <v>1.0716000000000001</v>
      </c>
    </row>
    <row r="11" spans="1:3" ht="17" customHeight="1" x14ac:dyDescent="0.2">
      <c r="B11" s="1" t="s">
        <v>164</v>
      </c>
      <c r="C11" s="146">
        <v>5.5E-2</v>
      </c>
    </row>
    <row r="12" spans="1:3" ht="17" customHeight="1" x14ac:dyDescent="0.2">
      <c r="B12" s="1" t="s">
        <v>93</v>
      </c>
      <c r="C12" s="146">
        <v>0.21</v>
      </c>
    </row>
    <row r="13" spans="1:3" ht="17" customHeight="1" x14ac:dyDescent="0.2">
      <c r="B13" s="1" t="s">
        <v>165</v>
      </c>
      <c r="C13" s="146">
        <v>4.4999999999999998E-2</v>
      </c>
    </row>
    <row r="14" spans="1:3" ht="17" customHeight="1" x14ac:dyDescent="0.2"/>
    <row r="15" spans="1:3" ht="17" customHeight="1" x14ac:dyDescent="0.2">
      <c r="B15" s="196" t="s">
        <v>166</v>
      </c>
      <c r="C15" s="196"/>
    </row>
    <row r="16" spans="1:3" ht="17" customHeight="1" x14ac:dyDescent="0.2">
      <c r="B16" s="1" t="s">
        <v>157</v>
      </c>
      <c r="C16" s="148" t="e">
        <f>C8/(C8+C7)</f>
        <v>#DIV/0!</v>
      </c>
    </row>
    <row r="17" spans="2:3" ht="17" customHeight="1" x14ac:dyDescent="0.2">
      <c r="B17" s="1" t="s">
        <v>158</v>
      </c>
      <c r="C17" s="148" t="e">
        <f>C7/(C8+C7)</f>
        <v>#DIV/0!</v>
      </c>
    </row>
    <row r="18" spans="2:3" ht="17" customHeight="1" x14ac:dyDescent="0.2">
      <c r="B18" s="1" t="s">
        <v>167</v>
      </c>
      <c r="C18" s="148">
        <f>C13*(1-C12)</f>
        <v>3.5549999999999998E-2</v>
      </c>
    </row>
    <row r="19" spans="2:3" ht="17" customHeight="1" x14ac:dyDescent="0.2">
      <c r="B19" s="1" t="s">
        <v>159</v>
      </c>
      <c r="C19" s="148">
        <f>C9+C10*C11</f>
        <v>0.102038</v>
      </c>
    </row>
    <row r="20" spans="2:3" ht="17" customHeight="1" x14ac:dyDescent="0.2">
      <c r="B20" s="1" t="s">
        <v>156</v>
      </c>
      <c r="C20" s="148" t="e">
        <f>(C17*C19)+(C16*C18)</f>
        <v>#DIV/0!</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6" zoomScale="188" zoomScaleNormal="100" workbookViewId="0">
      <selection activeCell="C26" sqref="C26"/>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168</v>
      </c>
    </row>
    <row r="2" spans="1:28" s="99" customFormat="1" ht="18" customHeight="1" x14ac:dyDescent="0.2">
      <c r="A2" s="100"/>
      <c r="B2" s="101"/>
    </row>
    <row r="3" spans="1:28" x14ac:dyDescent="0.2">
      <c r="A3" s="100"/>
      <c r="C3" s="196" t="s">
        <v>105</v>
      </c>
      <c r="D3" s="196"/>
      <c r="E3" s="196"/>
      <c r="F3" s="196"/>
      <c r="G3" s="199"/>
      <c r="H3" s="200" t="s">
        <v>106</v>
      </c>
      <c r="I3" s="196"/>
      <c r="J3" s="196"/>
      <c r="K3" s="196"/>
      <c r="L3" s="196"/>
      <c r="P3" s="202"/>
      <c r="Q3" s="202"/>
      <c r="R3" s="202"/>
      <c r="S3" s="202"/>
      <c r="T3" s="202"/>
      <c r="U3" s="202"/>
      <c r="V3" s="202"/>
      <c r="W3" s="202"/>
      <c r="X3" s="202"/>
      <c r="Y3" s="202"/>
      <c r="Z3" s="202"/>
      <c r="AB3" s="122"/>
    </row>
    <row r="4" spans="1:28" ht="10" customHeight="1" x14ac:dyDescent="0.2"/>
    <row r="5" spans="1:28" ht="16" customHeight="1" x14ac:dyDescent="0.2">
      <c r="A5" s="105"/>
      <c r="B5" s="92"/>
      <c r="C5" s="201" t="s">
        <v>180</v>
      </c>
      <c r="D5" s="201"/>
      <c r="E5" s="201"/>
      <c r="F5" s="201"/>
      <c r="G5" s="201"/>
      <c r="H5" s="201"/>
      <c r="I5" s="201"/>
      <c r="J5" s="201"/>
      <c r="K5" s="201"/>
      <c r="L5" s="201"/>
      <c r="P5" s="202"/>
      <c r="Q5" s="202"/>
      <c r="R5" s="202"/>
      <c r="S5" s="202"/>
      <c r="T5" s="202"/>
      <c r="U5" s="202"/>
      <c r="V5" s="202"/>
      <c r="W5" s="202"/>
      <c r="X5" s="202"/>
      <c r="Y5" s="202"/>
      <c r="Z5" s="202"/>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f>'FCF &amp; Other'!C30</f>
        <v>4903.9866783523221</v>
      </c>
      <c r="D7" s="132">
        <f>'FCF &amp; Other'!D30</f>
        <v>4827.2450066577894</v>
      </c>
      <c r="E7" s="132">
        <f>'FCF &amp; Other'!E30</f>
        <v>5309.0454478599795</v>
      </c>
      <c r="F7" s="132">
        <f>'FCF &amp; Other'!F30</f>
        <v>5407.5833213100559</v>
      </c>
      <c r="G7" s="134">
        <f>'FCF &amp; Other'!G30</f>
        <v>7107.1422028852758</v>
      </c>
      <c r="H7" s="132" t="e">
        <f>'FCF &amp; Other'!H30</f>
        <v>#REF!</v>
      </c>
      <c r="I7" s="132" t="e">
        <f>'FCF &amp; Other'!I30</f>
        <v>#REF!</v>
      </c>
      <c r="J7" s="132" t="e">
        <f>'FCF &amp; Other'!J30</f>
        <v>#REF!</v>
      </c>
      <c r="K7" s="132" t="e">
        <f>'FCF &amp; Other'!K30</f>
        <v>#REF!</v>
      </c>
      <c r="L7" s="132" t="e">
        <f>'FCF &amp; Other'!L30</f>
        <v>#REF!</v>
      </c>
      <c r="N7" s="91"/>
      <c r="O7" s="7"/>
      <c r="P7" s="107"/>
      <c r="Q7" s="107"/>
      <c r="R7" s="107"/>
      <c r="S7" s="107"/>
      <c r="T7" s="107"/>
      <c r="U7" s="107"/>
      <c r="V7" s="107"/>
      <c r="W7" s="107"/>
      <c r="X7" s="109"/>
      <c r="Y7" s="109"/>
      <c r="Z7" s="109"/>
      <c r="AB7" s="109"/>
    </row>
    <row r="8" spans="1:28" x14ac:dyDescent="0.2">
      <c r="B8" s="8" t="s">
        <v>169</v>
      </c>
      <c r="C8" s="133">
        <v>0</v>
      </c>
      <c r="D8" s="133">
        <v>0</v>
      </c>
      <c r="E8" s="133">
        <v>0</v>
      </c>
      <c r="F8" s="133">
        <v>0</v>
      </c>
      <c r="G8" s="140">
        <v>0</v>
      </c>
      <c r="H8" s="133">
        <v>0</v>
      </c>
      <c r="I8" s="133">
        <v>0</v>
      </c>
      <c r="J8" s="133">
        <v>0</v>
      </c>
      <c r="K8" s="133">
        <v>0</v>
      </c>
      <c r="L8" s="133" t="e">
        <f>L7*(1+C14)/(C15-C14)</f>
        <v>#REF!</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t="e">
        <f>H7/(1+$C$15)^H9</f>
        <v>#REF!</v>
      </c>
      <c r="I10" s="133" t="e">
        <f t="shared" ref="I10:L10" si="0">I7/(1+$C$15)^I9</f>
        <v>#REF!</v>
      </c>
      <c r="J10" s="133" t="e">
        <f t="shared" si="0"/>
        <v>#REF!</v>
      </c>
      <c r="K10" s="133" t="e">
        <f t="shared" si="0"/>
        <v>#REF!</v>
      </c>
      <c r="L10" s="133" t="e">
        <f t="shared" si="0"/>
        <v>#REF!</v>
      </c>
      <c r="N10" s="91"/>
    </row>
    <row r="11" spans="1:28" x14ac:dyDescent="0.2">
      <c r="B11" s="1" t="s">
        <v>173</v>
      </c>
      <c r="C11" s="130"/>
      <c r="D11" s="130"/>
      <c r="E11" s="130"/>
      <c r="F11" s="130"/>
      <c r="G11" s="150"/>
      <c r="H11" s="130"/>
      <c r="I11" s="130"/>
      <c r="J11" s="130"/>
      <c r="K11" s="130"/>
      <c r="L11" s="133" t="e">
        <f>L8/(1+C15)^L9</f>
        <v>#REF!</v>
      </c>
    </row>
    <row r="13" spans="1:28" x14ac:dyDescent="0.2">
      <c r="B13" s="196" t="s">
        <v>181</v>
      </c>
      <c r="C13" s="196"/>
    </row>
    <row r="14" spans="1:28" x14ac:dyDescent="0.2">
      <c r="B14" s="1" t="s">
        <v>170</v>
      </c>
      <c r="C14" s="139">
        <v>0.02</v>
      </c>
    </row>
    <row r="15" spans="1:28" x14ac:dyDescent="0.2">
      <c r="B15" s="1" t="s">
        <v>156</v>
      </c>
      <c r="C15" s="149" t="e">
        <f>WACC!C20</f>
        <v>#DIV/0!</v>
      </c>
    </row>
    <row r="18" spans="2:3" x14ac:dyDescent="0.2">
      <c r="B18" s="196" t="s">
        <v>80</v>
      </c>
      <c r="C18" s="196"/>
    </row>
    <row r="19" spans="2:3" x14ac:dyDescent="0.2">
      <c r="B19" s="1" t="s">
        <v>179</v>
      </c>
      <c r="C19" s="104" t="e">
        <f>SUM(H10:L10)</f>
        <v>#REF!</v>
      </c>
    </row>
    <row r="20" spans="2:3" x14ac:dyDescent="0.2">
      <c r="B20" s="1" t="s">
        <v>173</v>
      </c>
      <c r="C20" s="104" t="e">
        <f>L11</f>
        <v>#REF!</v>
      </c>
    </row>
    <row r="21" spans="2:3" x14ac:dyDescent="0.2">
      <c r="B21" s="7" t="s">
        <v>176</v>
      </c>
      <c r="C21" s="109" t="e">
        <f>C19+C20</f>
        <v>#REF!</v>
      </c>
    </row>
    <row r="22" spans="2:3" x14ac:dyDescent="0.2">
      <c r="B22" s="1" t="s">
        <v>174</v>
      </c>
      <c r="C22" s="20">
        <f>Statements!W26</f>
        <v>0</v>
      </c>
    </row>
    <row r="23" spans="2:3" x14ac:dyDescent="0.2">
      <c r="B23" s="1" t="s">
        <v>175</v>
      </c>
      <c r="C23" s="20">
        <f>Statements!W40+Statements!W41+Statements!W43</f>
        <v>0</v>
      </c>
    </row>
    <row r="24" spans="2:3" x14ac:dyDescent="0.2">
      <c r="B24" s="7" t="s">
        <v>177</v>
      </c>
      <c r="C24" s="109" t="e">
        <f>C21+C22-C23</f>
        <v>#REF!</v>
      </c>
    </row>
    <row r="25" spans="2:3" x14ac:dyDescent="0.2">
      <c r="B25" s="1" t="s">
        <v>4</v>
      </c>
      <c r="C25" s="104">
        <f>'Statement Q'!N22</f>
        <v>420.25</v>
      </c>
    </row>
    <row r="26" spans="2:3" x14ac:dyDescent="0.2">
      <c r="B26" s="151" t="s">
        <v>178</v>
      </c>
      <c r="C26" s="152" t="e">
        <f>C24/C25</f>
        <v>#REF!</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B36"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289</v>
      </c>
    </row>
    <row r="2" spans="1:14" x14ac:dyDescent="0.2">
      <c r="A2" s="100"/>
      <c r="C2" s="196" t="s">
        <v>105</v>
      </c>
      <c r="D2" s="196"/>
      <c r="E2" s="196"/>
      <c r="F2" s="196"/>
      <c r="G2" s="199"/>
      <c r="H2" s="200" t="s">
        <v>106</v>
      </c>
      <c r="I2" s="196"/>
      <c r="J2" s="196"/>
      <c r="K2" s="196"/>
      <c r="L2" s="196"/>
    </row>
    <row r="3" spans="1:14" ht="10" customHeight="1" x14ac:dyDescent="0.2"/>
    <row r="4" spans="1:14" ht="16" customHeight="1" x14ac:dyDescent="0.2">
      <c r="A4" s="105"/>
      <c r="B4" s="92"/>
      <c r="C4" s="201" t="s">
        <v>290</v>
      </c>
      <c r="D4" s="201"/>
      <c r="E4" s="201"/>
      <c r="F4" s="201"/>
      <c r="G4" s="201"/>
      <c r="H4" s="201"/>
      <c r="I4" s="201"/>
      <c r="J4" s="201"/>
      <c r="K4" s="201"/>
      <c r="L4" s="201"/>
    </row>
    <row r="5" spans="1:14" x14ac:dyDescent="0.2">
      <c r="B5" s="7" t="s">
        <v>115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15785</v>
      </c>
      <c r="D6" s="107">
        <f>Revenue!D11</f>
        <v>17606</v>
      </c>
      <c r="E6" s="107">
        <f>Revenue!E11</f>
        <v>19409</v>
      </c>
      <c r="F6" s="107">
        <f>Revenue!F11</f>
        <v>21505</v>
      </c>
      <c r="G6" s="108">
        <f>Revenue!G11</f>
        <v>23769</v>
      </c>
      <c r="H6" s="107" t="e">
        <f>Revenue!H11</f>
        <v>#REF!</v>
      </c>
      <c r="I6" s="107" t="e">
        <f>Revenue!I11</f>
        <v>#REF!</v>
      </c>
      <c r="J6" s="107" t="e">
        <f>Revenue!J11</f>
        <v>#REF!</v>
      </c>
      <c r="K6" s="107" t="e">
        <f>Revenue!K11</f>
        <v>#REF!</v>
      </c>
      <c r="L6" s="107" t="e">
        <f>Revenue!L11</f>
        <v>#REF!</v>
      </c>
      <c r="N6" s="91"/>
    </row>
    <row r="7" spans="1:14" x14ac:dyDescent="0.2">
      <c r="B7" s="7" t="s">
        <v>109</v>
      </c>
      <c r="C7" s="107">
        <f>'FCF &amp; Other'!C12</f>
        <v>5802</v>
      </c>
      <c r="D7" s="107">
        <f>'FCF &amp; Other'!D12</f>
        <v>6098</v>
      </c>
      <c r="E7" s="107">
        <f>'FCF &amp; Other'!E12</f>
        <v>6650</v>
      </c>
      <c r="F7" s="107">
        <f>'FCF &amp; Other'!F12</f>
        <v>6741</v>
      </c>
      <c r="G7" s="108">
        <f>'FCF &amp; Other'!G12</f>
        <v>8706</v>
      </c>
      <c r="H7" s="107" t="e">
        <f>'FCF &amp; Other'!H12</f>
        <v>#REF!</v>
      </c>
      <c r="I7" s="107" t="e">
        <f>'FCF &amp; Other'!I12</f>
        <v>#REF!</v>
      </c>
      <c r="J7" s="107" t="e">
        <f>'FCF &amp; Other'!J12</f>
        <v>#REF!</v>
      </c>
      <c r="K7" s="107" t="e">
        <f>'FCF &amp; Other'!K12</f>
        <v>#REF!</v>
      </c>
      <c r="L7" s="107" t="e">
        <f>'FCF &amp; Other'!L12</f>
        <v>#REF!</v>
      </c>
      <c r="N7" s="91"/>
    </row>
    <row r="8" spans="1:14" x14ac:dyDescent="0.2">
      <c r="B8" s="7" t="s">
        <v>145</v>
      </c>
      <c r="C8" s="107">
        <f>'FCF &amp; Other'!C30</f>
        <v>4903.9866783523221</v>
      </c>
      <c r="D8" s="107">
        <f>'FCF &amp; Other'!D30</f>
        <v>4827.2450066577894</v>
      </c>
      <c r="E8" s="107">
        <f>'FCF &amp; Other'!E30</f>
        <v>5309.0454478599795</v>
      </c>
      <c r="F8" s="107">
        <f>'FCF &amp; Other'!F30</f>
        <v>5407.5833213100559</v>
      </c>
      <c r="G8" s="108">
        <f>'FCF &amp; Other'!G30</f>
        <v>7107.1422028852758</v>
      </c>
      <c r="H8" s="107" t="e">
        <f>'FCF &amp; Other'!H30</f>
        <v>#REF!</v>
      </c>
      <c r="I8" s="107" t="e">
        <f>'FCF &amp; Other'!I30</f>
        <v>#REF!</v>
      </c>
      <c r="J8" s="107" t="e">
        <f>'FCF &amp; Other'!J30</f>
        <v>#REF!</v>
      </c>
      <c r="K8" s="107" t="e">
        <f>'FCF &amp; Other'!K30</f>
        <v>#REF!</v>
      </c>
      <c r="L8" s="107" t="e">
        <f>'FCF &amp; Other'!L30</f>
        <v>#REF!</v>
      </c>
      <c r="N8" s="91"/>
    </row>
    <row r="9" spans="1:14" x14ac:dyDescent="0.2">
      <c r="N9" s="91"/>
    </row>
    <row r="10" spans="1:14" x14ac:dyDescent="0.2">
      <c r="C10" s="201" t="s">
        <v>116</v>
      </c>
      <c r="D10" s="201"/>
      <c r="E10" s="201"/>
      <c r="F10" s="201"/>
      <c r="G10" s="201"/>
      <c r="H10" s="201"/>
      <c r="I10" s="201"/>
      <c r="J10" s="201"/>
      <c r="K10" s="201"/>
      <c r="L10" s="201"/>
      <c r="N10" s="91"/>
    </row>
    <row r="11" spans="1:14" x14ac:dyDescent="0.2">
      <c r="B11" s="7" t="s">
        <v>192</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0.11536268609439342</v>
      </c>
      <c r="E12" s="111">
        <f t="shared" ref="E12:L14" si="1">(E6-D6)/D6</f>
        <v>0.10240826990798592</v>
      </c>
      <c r="F12" s="111">
        <f t="shared" si="1"/>
        <v>0.10799113813179453</v>
      </c>
      <c r="G12" s="112">
        <f t="shared" si="1"/>
        <v>0.10527784236224134</v>
      </c>
      <c r="H12" s="111" t="e">
        <f t="shared" si="1"/>
        <v>#REF!</v>
      </c>
      <c r="I12" s="111" t="e">
        <f t="shared" si="1"/>
        <v>#REF!</v>
      </c>
      <c r="J12" s="111" t="e">
        <f t="shared" si="1"/>
        <v>#REF!</v>
      </c>
      <c r="K12" s="111" t="e">
        <f t="shared" si="1"/>
        <v>#REF!</v>
      </c>
      <c r="L12" s="111" t="e">
        <f t="shared" si="1"/>
        <v>#REF!</v>
      </c>
      <c r="N12" s="91"/>
    </row>
    <row r="13" spans="1:14" x14ac:dyDescent="0.2">
      <c r="B13" s="1" t="s">
        <v>109</v>
      </c>
      <c r="C13" s="130"/>
      <c r="D13" s="111">
        <f t="shared" ref="D13:D14" si="2">(D7-C7)/C7</f>
        <v>5.1016890727335402E-2</v>
      </c>
      <c r="E13" s="111">
        <f t="shared" si="1"/>
        <v>9.0521482453263372E-2</v>
      </c>
      <c r="F13" s="111">
        <f t="shared" si="1"/>
        <v>1.368421052631579E-2</v>
      </c>
      <c r="G13" s="112">
        <f t="shared" si="1"/>
        <v>0.29149977748108591</v>
      </c>
      <c r="H13" s="111" t="e">
        <f t="shared" si="1"/>
        <v>#REF!</v>
      </c>
      <c r="I13" s="111" t="e">
        <f t="shared" si="1"/>
        <v>#REF!</v>
      </c>
      <c r="J13" s="111" t="e">
        <f t="shared" si="1"/>
        <v>#REF!</v>
      </c>
      <c r="K13" s="111" t="e">
        <f t="shared" si="1"/>
        <v>#REF!</v>
      </c>
      <c r="L13" s="111" t="e">
        <f t="shared" si="1"/>
        <v>#REF!</v>
      </c>
      <c r="N13" s="91"/>
    </row>
    <row r="14" spans="1:14" x14ac:dyDescent="0.2">
      <c r="B14" s="1" t="s">
        <v>145</v>
      </c>
      <c r="C14" s="130"/>
      <c r="D14" s="111">
        <f t="shared" si="2"/>
        <v>-1.5648833638413739E-2</v>
      </c>
      <c r="E14" s="111">
        <f t="shared" si="1"/>
        <v>9.9808574153100918E-2</v>
      </c>
      <c r="F14" s="111">
        <f t="shared" si="1"/>
        <v>1.8560374820260014E-2</v>
      </c>
      <c r="G14" s="112">
        <f t="shared" si="1"/>
        <v>0.31429176040203483</v>
      </c>
      <c r="H14" s="111" t="e">
        <f t="shared" si="1"/>
        <v>#REF!</v>
      </c>
      <c r="I14" s="111" t="e">
        <f t="shared" si="1"/>
        <v>#REF!</v>
      </c>
      <c r="J14" s="111" t="e">
        <f t="shared" si="1"/>
        <v>#REF!</v>
      </c>
      <c r="K14" s="111" t="e">
        <f t="shared" si="1"/>
        <v>#REF!</v>
      </c>
      <c r="L14" s="111" t="e">
        <f t="shared" si="1"/>
        <v>#REF!</v>
      </c>
      <c r="N14" s="91"/>
    </row>
    <row r="15" spans="1:14" x14ac:dyDescent="0.2">
      <c r="N15" s="91"/>
    </row>
    <row r="16" spans="1:14" x14ac:dyDescent="0.2">
      <c r="C16" s="201" t="s">
        <v>217</v>
      </c>
      <c r="D16" s="201"/>
      <c r="E16" s="201"/>
      <c r="F16" s="201"/>
      <c r="G16" s="201"/>
      <c r="H16" s="201"/>
      <c r="I16" s="201"/>
      <c r="J16" s="201"/>
      <c r="K16" s="201"/>
      <c r="L16" s="201"/>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218</v>
      </c>
      <c r="C18" s="94">
        <f>'Statement Y'!H24</f>
        <v>481</v>
      </c>
      <c r="D18" s="94">
        <f>'Statement Y'!I24</f>
        <v>471</v>
      </c>
      <c r="E18" s="94">
        <f>'Statement Y'!J24</f>
        <v>459</v>
      </c>
      <c r="F18" s="94">
        <f>'Statement Y'!K24</f>
        <v>450</v>
      </c>
      <c r="G18" s="184">
        <f>'Statement Y'!L24</f>
        <v>427</v>
      </c>
      <c r="H18" s="174">
        <f>G18*(1+H19)</f>
        <v>416.32499999999999</v>
      </c>
      <c r="I18" s="174">
        <f t="shared" ref="I18:L18" si="4">H18*(1+I19)</f>
        <v>405.916875</v>
      </c>
      <c r="J18" s="174">
        <f t="shared" si="4"/>
        <v>396.17487</v>
      </c>
      <c r="K18" s="174">
        <f t="shared" si="4"/>
        <v>387.06284798999997</v>
      </c>
      <c r="L18" s="174">
        <f t="shared" si="4"/>
        <v>378.54746533421996</v>
      </c>
      <c r="N18" s="91"/>
    </row>
    <row r="19" spans="2:14" x14ac:dyDescent="0.2">
      <c r="B19" s="1" t="s">
        <v>219</v>
      </c>
      <c r="C19" s="130"/>
      <c r="D19" s="171">
        <f>D18/C18-1</f>
        <v>-2.0790020790020791E-2</v>
      </c>
      <c r="E19" s="171">
        <f t="shared" ref="E19:G19" si="5">E18/D18-1</f>
        <v>-2.5477707006369421E-2</v>
      </c>
      <c r="F19" s="171">
        <f t="shared" si="5"/>
        <v>-1.9607843137254943E-2</v>
      </c>
      <c r="G19" s="185">
        <f t="shared" si="5"/>
        <v>-5.1111111111111107E-2</v>
      </c>
      <c r="H19" s="172">
        <v>-2.5000000000000001E-2</v>
      </c>
      <c r="I19" s="173">
        <v>-2.5000000000000001E-2</v>
      </c>
      <c r="J19" s="173">
        <v>-2.4E-2</v>
      </c>
      <c r="K19" s="173">
        <v>-2.3E-2</v>
      </c>
      <c r="L19" s="173">
        <v>-2.1999999999999999E-2</v>
      </c>
      <c r="N19" s="91"/>
    </row>
    <row r="20" spans="2:14" x14ac:dyDescent="0.2">
      <c r="N20" s="91"/>
    </row>
    <row r="21" spans="2:14" x14ac:dyDescent="0.2">
      <c r="C21" s="201" t="s">
        <v>291</v>
      </c>
      <c r="D21" s="201"/>
      <c r="E21" s="201"/>
      <c r="F21" s="201"/>
      <c r="G21" s="201"/>
      <c r="H21" s="201"/>
      <c r="I21" s="201"/>
      <c r="J21" s="201"/>
      <c r="K21" s="201"/>
      <c r="L21" s="201"/>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74</v>
      </c>
      <c r="C23" s="186">
        <f>'Statement Y'!H166</f>
        <v>0</v>
      </c>
      <c r="D23" s="186">
        <f>'Statement Y'!I166</f>
        <v>0</v>
      </c>
      <c r="E23" s="186">
        <f>'Statement Y'!J166</f>
        <v>0</v>
      </c>
      <c r="F23" s="186">
        <f>'Statement Y'!K166</f>
        <v>0</v>
      </c>
      <c r="G23" s="187">
        <f>'Statement Y'!L166</f>
        <v>0</v>
      </c>
      <c r="H23" s="130"/>
      <c r="I23" s="130"/>
      <c r="J23" s="130"/>
      <c r="K23" s="130"/>
      <c r="L23" s="130"/>
      <c r="N23" s="91"/>
    </row>
    <row r="24" spans="2:14" x14ac:dyDescent="0.2">
      <c r="N24" s="91"/>
    </row>
    <row r="25" spans="2:14" x14ac:dyDescent="0.2">
      <c r="N25" s="91"/>
    </row>
    <row r="26" spans="2:14" x14ac:dyDescent="0.2">
      <c r="C26" s="201" t="s">
        <v>292</v>
      </c>
      <c r="D26" s="201"/>
      <c r="E26" s="201"/>
      <c r="F26" s="201"/>
      <c r="G26" s="201"/>
      <c r="H26" s="201"/>
      <c r="I26" s="201"/>
      <c r="J26" s="201"/>
      <c r="K26" s="201"/>
      <c r="L26" s="201"/>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111</v>
      </c>
      <c r="C28" s="188">
        <f>C23/(C6/C18)</f>
        <v>0</v>
      </c>
      <c r="D28" s="188">
        <f t="shared" ref="D28:G28" si="8">D23/(D6/D18)</f>
        <v>0</v>
      </c>
      <c r="E28" s="188">
        <f t="shared" si="8"/>
        <v>0</v>
      </c>
      <c r="F28" s="188">
        <f t="shared" si="8"/>
        <v>0</v>
      </c>
      <c r="G28" s="189">
        <f t="shared" si="8"/>
        <v>0</v>
      </c>
      <c r="H28" s="130"/>
      <c r="I28" s="130"/>
      <c r="J28" s="130"/>
      <c r="K28" s="130"/>
      <c r="L28" s="130"/>
      <c r="N28" s="91"/>
    </row>
    <row r="29" spans="2:14" x14ac:dyDescent="0.2">
      <c r="B29" s="1" t="s">
        <v>293</v>
      </c>
      <c r="C29" s="174">
        <f>C23*C18</f>
        <v>0</v>
      </c>
      <c r="D29" s="174">
        <f t="shared" ref="D29:G29" si="9">D23*D18</f>
        <v>0</v>
      </c>
      <c r="E29" s="174">
        <f t="shared" si="9"/>
        <v>0</v>
      </c>
      <c r="F29" s="174">
        <f t="shared" si="9"/>
        <v>0</v>
      </c>
      <c r="G29" s="190">
        <f t="shared" si="9"/>
        <v>0</v>
      </c>
      <c r="H29" s="130"/>
      <c r="I29" s="130"/>
      <c r="J29" s="130"/>
      <c r="K29" s="130"/>
      <c r="L29" s="130"/>
      <c r="N29" s="91"/>
    </row>
    <row r="30" spans="2:14" x14ac:dyDescent="0.2">
      <c r="B30" s="1" t="s">
        <v>146</v>
      </c>
      <c r="C30" s="103">
        <f>Statements!H40+Statements!H41+Statements!H43</f>
        <v>0</v>
      </c>
      <c r="D30" s="191">
        <f>Statements!I40+Statements!I41+Statements!I43</f>
        <v>0</v>
      </c>
      <c r="E30" s="191">
        <f>Statements!J40+Statements!J41+Statements!J43</f>
        <v>0</v>
      </c>
      <c r="F30" s="191">
        <f>Statements!K40+Statements!K41+Statements!K43</f>
        <v>0</v>
      </c>
      <c r="G30" s="192">
        <f>Statements!L40+Statements!L41+Statements!L43</f>
        <v>0</v>
      </c>
      <c r="H30" s="130"/>
      <c r="I30" s="130"/>
      <c r="J30" s="130"/>
      <c r="K30" s="130"/>
      <c r="L30" s="130"/>
      <c r="N30" s="91"/>
    </row>
    <row r="31" spans="2:14" x14ac:dyDescent="0.2">
      <c r="B31" s="1" t="s">
        <v>150</v>
      </c>
      <c r="C31" s="191">
        <f>Statements!H26</f>
        <v>0</v>
      </c>
      <c r="D31" s="191">
        <f>Statements!I26</f>
        <v>0</v>
      </c>
      <c r="E31" s="191">
        <f>Statements!J26</f>
        <v>0</v>
      </c>
      <c r="F31" s="191">
        <f>Statements!K26</f>
        <v>0</v>
      </c>
      <c r="G31" s="192">
        <f>Statements!L26</f>
        <v>0</v>
      </c>
      <c r="H31" s="130"/>
      <c r="I31" s="130"/>
      <c r="J31" s="130"/>
      <c r="K31" s="130"/>
      <c r="L31" s="130"/>
      <c r="N31" s="91"/>
    </row>
    <row r="32" spans="2:14" x14ac:dyDescent="0.2">
      <c r="B32" s="1" t="s">
        <v>151</v>
      </c>
      <c r="C32" s="174">
        <f>C29+C30-C31</f>
        <v>0</v>
      </c>
      <c r="D32" s="174">
        <f t="shared" ref="D32:G32" si="10">D29+D30-D31</f>
        <v>0</v>
      </c>
      <c r="E32" s="174">
        <f t="shared" si="10"/>
        <v>0</v>
      </c>
      <c r="F32" s="174">
        <f t="shared" si="10"/>
        <v>0</v>
      </c>
      <c r="G32" s="190">
        <f t="shared" si="10"/>
        <v>0</v>
      </c>
      <c r="H32" s="130"/>
      <c r="I32" s="130"/>
      <c r="J32" s="130"/>
      <c r="K32" s="130"/>
      <c r="L32" s="130"/>
      <c r="N32" s="91"/>
    </row>
    <row r="33" spans="2:14" x14ac:dyDescent="0.2">
      <c r="B33" s="7" t="s">
        <v>294</v>
      </c>
      <c r="C33" s="188">
        <f>C32/C7</f>
        <v>0</v>
      </c>
      <c r="D33" s="188">
        <f t="shared" ref="D33:G33" si="11">D32/D7</f>
        <v>0</v>
      </c>
      <c r="E33" s="188">
        <f t="shared" si="11"/>
        <v>0</v>
      </c>
      <c r="F33" s="188">
        <f t="shared" si="11"/>
        <v>0</v>
      </c>
      <c r="G33" s="189">
        <f t="shared" si="11"/>
        <v>0</v>
      </c>
      <c r="H33" s="130"/>
      <c r="I33" s="130"/>
      <c r="J33" s="130"/>
      <c r="K33" s="130"/>
      <c r="L33" s="130"/>
      <c r="N33" s="91"/>
    </row>
    <row r="34" spans="2:14" x14ac:dyDescent="0.2">
      <c r="B34" s="7" t="s">
        <v>295</v>
      </c>
      <c r="C34" s="188">
        <f>C32/C8</f>
        <v>0</v>
      </c>
      <c r="D34" s="188">
        <f t="shared" ref="D34:G34" si="12">D32/D8</f>
        <v>0</v>
      </c>
      <c r="E34" s="188">
        <f t="shared" si="12"/>
        <v>0</v>
      </c>
      <c r="F34" s="188">
        <f t="shared" si="12"/>
        <v>0</v>
      </c>
      <c r="G34" s="189">
        <f t="shared" si="12"/>
        <v>0</v>
      </c>
      <c r="H34" s="130"/>
      <c r="I34" s="130"/>
      <c r="J34" s="130"/>
      <c r="K34" s="130"/>
      <c r="L34" s="130"/>
      <c r="N34" s="91"/>
    </row>
    <row r="35" spans="2:14" x14ac:dyDescent="0.2">
      <c r="N35" s="91"/>
    </row>
    <row r="36" spans="2:14" x14ac:dyDescent="0.2">
      <c r="N36" s="91"/>
    </row>
    <row r="37" spans="2:14" x14ac:dyDescent="0.2">
      <c r="B37" s="196" t="s">
        <v>296</v>
      </c>
      <c r="C37" s="196"/>
      <c r="N37" s="91"/>
    </row>
    <row r="38" spans="2:14" x14ac:dyDescent="0.2">
      <c r="B38" s="1" t="s">
        <v>297</v>
      </c>
      <c r="C38" s="104" t="e">
        <f>L7</f>
        <v>#REF!</v>
      </c>
    </row>
    <row r="39" spans="2:14" x14ac:dyDescent="0.2">
      <c r="B39" s="1" t="s">
        <v>156</v>
      </c>
      <c r="C39" s="138" t="e">
        <f>WACC!C20</f>
        <v>#DIV/0!</v>
      </c>
    </row>
    <row r="40" spans="2:14" x14ac:dyDescent="0.2">
      <c r="B40" s="8" t="s">
        <v>298</v>
      </c>
      <c r="C40" s="118">
        <v>23</v>
      </c>
    </row>
    <row r="41" spans="2:14" x14ac:dyDescent="0.2">
      <c r="B41" s="1" t="s">
        <v>196</v>
      </c>
      <c r="C41" s="20">
        <f>L18</f>
        <v>378.54746533421996</v>
      </c>
    </row>
    <row r="42" spans="2:14" x14ac:dyDescent="0.2">
      <c r="B42" s="1" t="s">
        <v>151</v>
      </c>
      <c r="C42" s="20" t="e">
        <f>(C38*C40)-G30+G31</f>
        <v>#REF!</v>
      </c>
    </row>
    <row r="43" spans="2:14" x14ac:dyDescent="0.2">
      <c r="B43" s="1" t="s">
        <v>178</v>
      </c>
      <c r="C43" s="20" t="e">
        <f>C42/C41</f>
        <v>#REF!</v>
      </c>
    </row>
    <row r="44" spans="2:14" x14ac:dyDescent="0.2">
      <c r="B44" s="151" t="s">
        <v>299</v>
      </c>
      <c r="C44" s="152" t="e">
        <f>C43/(1+C48)^5</f>
        <v>#REF!</v>
      </c>
    </row>
    <row r="46" spans="2:14" x14ac:dyDescent="0.2">
      <c r="B46" s="196" t="s">
        <v>193</v>
      </c>
      <c r="C46" s="196"/>
    </row>
    <row r="47" spans="2:14" x14ac:dyDescent="0.2">
      <c r="B47" s="1" t="s">
        <v>194</v>
      </c>
      <c r="C47" s="104" t="e">
        <f>L6</f>
        <v>#REF!</v>
      </c>
    </row>
    <row r="48" spans="2:14" x14ac:dyDescent="0.2">
      <c r="B48" s="1" t="s">
        <v>156</v>
      </c>
      <c r="C48" s="138" t="e">
        <f>WACC!C20</f>
        <v>#DIV/0!</v>
      </c>
    </row>
    <row r="49" spans="2:3" x14ac:dyDescent="0.2">
      <c r="B49" s="8" t="s">
        <v>195</v>
      </c>
      <c r="C49" s="118">
        <v>6</v>
      </c>
    </row>
    <row r="50" spans="2:3" x14ac:dyDescent="0.2">
      <c r="B50" s="1" t="s">
        <v>196</v>
      </c>
      <c r="C50" s="20">
        <f>L18</f>
        <v>378.54746533421996</v>
      </c>
    </row>
    <row r="51" spans="2:3" x14ac:dyDescent="0.2">
      <c r="B51" s="1" t="s">
        <v>178</v>
      </c>
      <c r="C51" s="20" t="e">
        <f>(C47*C49)/C50</f>
        <v>#REF!</v>
      </c>
    </row>
    <row r="52" spans="2:3" x14ac:dyDescent="0.2">
      <c r="B52" s="151" t="s">
        <v>299</v>
      </c>
      <c r="C52" s="152" t="e">
        <f>C51/(1+C48)^5</f>
        <v>#REF!</v>
      </c>
    </row>
    <row r="54" spans="2:3" x14ac:dyDescent="0.2">
      <c r="B54" s="196" t="s">
        <v>300</v>
      </c>
      <c r="C54" s="196"/>
    </row>
    <row r="55" spans="2:3" x14ac:dyDescent="0.2">
      <c r="B55" s="1" t="s">
        <v>301</v>
      </c>
      <c r="C55" s="104" t="e">
        <f>L8</f>
        <v>#REF!</v>
      </c>
    </row>
    <row r="56" spans="2:3" x14ac:dyDescent="0.2">
      <c r="B56" s="1" t="s">
        <v>156</v>
      </c>
      <c r="C56" s="138">
        <f>[2]WACC!C20</f>
        <v>8.92125E-2</v>
      </c>
    </row>
    <row r="57" spans="2:3" x14ac:dyDescent="0.2">
      <c r="B57" s="8" t="s">
        <v>302</v>
      </c>
      <c r="C57" s="118">
        <v>28</v>
      </c>
    </row>
    <row r="58" spans="2:3" x14ac:dyDescent="0.2">
      <c r="B58" s="1" t="s">
        <v>196</v>
      </c>
      <c r="C58" s="20">
        <f>L18</f>
        <v>378.54746533421996</v>
      </c>
    </row>
    <row r="59" spans="2:3" x14ac:dyDescent="0.2">
      <c r="B59" s="1" t="s">
        <v>151</v>
      </c>
      <c r="C59" s="20" t="e">
        <f>(C55*C57)-G30+G31</f>
        <v>#REF!</v>
      </c>
    </row>
    <row r="60" spans="2:3" x14ac:dyDescent="0.2">
      <c r="B60" s="1" t="s">
        <v>178</v>
      </c>
      <c r="C60" s="20" t="e">
        <f>C59/C58</f>
        <v>#REF!</v>
      </c>
    </row>
    <row r="61" spans="2:3" x14ac:dyDescent="0.2">
      <c r="B61" s="151" t="s">
        <v>299</v>
      </c>
      <c r="C61" s="152" t="e">
        <f>C60/(1+C56)^5</f>
        <v>#REF!</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9"/>
  <sheetViews>
    <sheetView zoomScale="168" zoomScaleNormal="100" workbookViewId="0">
      <selection activeCell="D8" sqref="D8"/>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200</v>
      </c>
    </row>
    <row r="2" spans="1:14" x14ac:dyDescent="0.2">
      <c r="N2" s="91"/>
    </row>
    <row r="3" spans="1:14" x14ac:dyDescent="0.2">
      <c r="N3" s="91"/>
    </row>
    <row r="4" spans="1:14" x14ac:dyDescent="0.2">
      <c r="B4" s="196" t="s">
        <v>201</v>
      </c>
      <c r="C4" s="196"/>
      <c r="N4" s="91"/>
    </row>
    <row r="5" spans="1:14" x14ac:dyDescent="0.2">
      <c r="B5" s="1" t="s">
        <v>198</v>
      </c>
      <c r="C5" s="167" t="e">
        <f>DCF!C26</f>
        <v>#REF!</v>
      </c>
    </row>
    <row r="6" spans="1:14" x14ac:dyDescent="0.2">
      <c r="B6" s="1" t="s">
        <v>303</v>
      </c>
      <c r="C6" s="167" t="e">
        <f>Multiples!C44</f>
        <v>#REF!</v>
      </c>
    </row>
    <row r="7" spans="1:14" x14ac:dyDescent="0.2">
      <c r="B7" s="1" t="s">
        <v>199</v>
      </c>
      <c r="C7" s="167" t="e">
        <f>Multiples!C52</f>
        <v>#REF!</v>
      </c>
    </row>
    <row r="8" spans="1:14" x14ac:dyDescent="0.2">
      <c r="B8" s="1" t="s">
        <v>304</v>
      </c>
      <c r="C8" s="167" t="e">
        <f>Multiples!C61</f>
        <v>#REF!</v>
      </c>
    </row>
    <row r="9" spans="1:14" x14ac:dyDescent="0.2">
      <c r="B9" s="151" t="s">
        <v>197</v>
      </c>
      <c r="C9" s="152" t="e">
        <f>AVERAGE(C5:C8)</f>
        <v>#REF!</v>
      </c>
    </row>
  </sheetData>
  <mergeCells count="1">
    <mergeCell ref="B4:C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2026-04-26T23:08:44Z</dcterms:modified>
</cp:coreProperties>
</file>