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5344235-2317-3B4C-97A9-32F6251B646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<sst xmlns="http://schemas.openxmlformats.org/spreadsheetml/2006/main" count="756" uniqueCount="418">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</sst>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370.86</v>
    <v>190.12</v>
    <v>1.3960999999999999</v>
    <v>-19.239999999999998</v>
    <v>-6.7332000000000003E-2</v>
    <v>0.42249999999999999</v>
    <v>1.585E-3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275.91000000000003</v>
    <v>3</v>
    <v>Software &amp; IT Services</v>
    <v>Stock</v>
    <v>46269.897377904686</v>
    <v>4</v>
    <v>263.93</v>
    <v>105937725000</v>
    <v>ADOBE INC.</v>
    <v>ADOBE INC.</v>
    <v>274.47000000000003</v>
    <v>15.2515</v>
    <v>285.75</v>
    <v>266.51</v>
    <v>266.9325</v>
    <v>397500000</v>
    <v>ADBE</v>
    <v>ADOBE INC. (XNAS:ADBE)</v>
    <v>6586756</v>
    <v>4304496</v>
    <v>1997</v>
  </rv>
  <rv s="4">
    <v>5</v>
  </rv>
  <rv s="0">
    <v>https://www.bing.com/financeapi/forcetrigger?t=a33knm&amp;q=10+Y+TSY+YLD+NDX&amp;form=skydnc</v>
    <v>Learn more on Bing</v>
  </rv>
  <rv s="5">
    <v>7</v>
    <v>10 Y TSY YLD NDX</v>
    <v>8</v>
    <v>9</v>
    <v>Finance</v>
    <v>10</v>
    <v>en-US</v>
    <v>a33knm</v>
    <v>268435456</v>
    <v>1</v>
    <v>Powered by Refinitiv</v>
    <v>48.06</v>
    <v>39.47</v>
    <v>-0.34</v>
    <v>-7.0889999999999998E-3</v>
    <v>US</v>
    <v>47.68</v>
    <v>Index</v>
    <v>7</v>
    <v>47.32</v>
    <v>10 Y TSY YLD NDX</v>
    <v>47.66</v>
    <v>47.96</v>
    <v>47.62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293</v>
      </c>
      <c r="F2" s="239"/>
      <c r="H2" s="238" t="s">
        <v>334</v>
      </c>
      <c r="I2" s="239"/>
    </row>
    <row r="3" spans="2:9" x14ac:dyDescent="0.2">
      <c r="B3" s="187" t="s">
        <v>11</v>
      </c>
      <c r="C3" s="219" t="e" vm="1">
        <v>#VALUE!</v>
      </c>
      <c r="D3" s="2"/>
      <c r="E3" s="187" t="s">
        <v>245</v>
      </c>
      <c r="F3" s="189">
        <f ca="1">Statement!AC153</f>
        <v>106070.98</v>
      </c>
      <c r="H3" s="187" t="str">
        <f>'AVG target price'!B5</f>
        <v>DCF price</v>
      </c>
      <c r="I3" s="213">
        <f ca="1">'AVG target price'!C5</f>
        <v>313.63279917500302</v>
      </c>
    </row>
    <row r="4" spans="2:9" x14ac:dyDescent="0.2">
      <c r="B4" s="187" t="s">
        <v>0</v>
      </c>
      <c r="C4" s="191" t="str" cm="1">
        <f t="array" aca="1" ref="C4" ca="1">_FV(C3,"Ticker symbol",TRUE)</f>
        <v>ADBE</v>
      </c>
      <c r="E4" s="188" t="s">
        <v>189</v>
      </c>
      <c r="F4" s="190">
        <f ca="1">Statement!AC154</f>
        <v>107089.98</v>
      </c>
      <c r="H4" s="187" t="str">
        <f>'AVG target price'!B6</f>
        <v>EV/EBIT price</v>
      </c>
      <c r="I4" s="213">
        <f ca="1">'AVG target price'!C6</f>
        <v>434.3503720484008</v>
      </c>
    </row>
    <row r="5" spans="2:9" x14ac:dyDescent="0.2">
      <c r="B5" s="187" t="s">
        <v>1</v>
      </c>
      <c r="C5" s="210" cm="1">
        <f t="array" aca="1" ref="C5" ca="1">_FV(C3,"Price",TRUE)</f>
        <v>266.51</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266.9325</v>
      </c>
      <c r="E6" s="187" t="s">
        <v>243</v>
      </c>
      <c r="F6" s="192">
        <f ca="1">Statement!AC150</f>
        <v>15.246567505720826</v>
      </c>
      <c r="H6" s="187" t="str">
        <f>'AVG target price'!B8</f>
        <v>EV/FCFF price</v>
      </c>
      <c r="I6" s="213">
        <f ca="1">'AVG target price'!C8</f>
        <v>318.29972955259109</v>
      </c>
    </row>
    <row r="7" spans="2:9" x14ac:dyDescent="0.2">
      <c r="B7" s="187" t="s">
        <v>3</v>
      </c>
      <c r="C7" s="6" cm="1">
        <f t="array" aca="1" ref="C7" ca="1">_FV(C3,"Change")</f>
        <v>-19.239999999999998</v>
      </c>
      <c r="E7" s="188" t="s">
        <v>202</v>
      </c>
      <c r="F7" s="193">
        <f ca="1">Statement!AC151</f>
        <v>4.3734377728391145</v>
      </c>
      <c r="H7" s="186" t="str">
        <f>'AVG target price'!B9</f>
        <v>AVG price</v>
      </c>
      <c r="I7" s="214">
        <f ca="1">'AVG target price'!C9</f>
        <v>347.41863722308153</v>
      </c>
    </row>
    <row r="8" spans="2:9" x14ac:dyDescent="0.2">
      <c r="B8" s="187" t="s">
        <v>4</v>
      </c>
      <c r="C8" s="6" cm="1">
        <f t="array" aca="1" ref="C8" ca="1">_FV(C3,"Change (extended hours)",TRUE)</f>
        <v>0.42249999999999999</v>
      </c>
      <c r="E8" s="187" t="s">
        <v>271</v>
      </c>
      <c r="F8" s="194">
        <f ca="1">Statement!AC161</f>
        <v>7.7108743597919055E-2</v>
      </c>
      <c r="H8" s="186" t="str">
        <f>'AVG target price'!B11</f>
        <v>Upside/Downside</v>
      </c>
      <c r="I8" s="215">
        <f ca="1">'AVG target price'!C11</f>
        <v>0.3035857462124556</v>
      </c>
    </row>
    <row r="9" spans="2:9" x14ac:dyDescent="0.2">
      <c r="B9" s="187" t="s">
        <v>5</v>
      </c>
      <c r="C9" s="73" cm="1">
        <f t="array" aca="1" ref="C9" ca="1">_FV(C3,"Change (%)",TRUE)</f>
        <v>-6.7332000000000003E-2</v>
      </c>
      <c r="E9" s="187" t="s">
        <v>294</v>
      </c>
      <c r="F9" s="194">
        <f ca="1">Statement!AC162</f>
        <v>6.558853326329217E-2</v>
      </c>
    </row>
    <row r="10" spans="2:9" x14ac:dyDescent="0.2">
      <c r="B10" s="187" t="s">
        <v>6</v>
      </c>
      <c r="C10" s="73" cm="1">
        <f t="array" aca="1" ref="C10" ca="1">_FV(C3,"Change % (extended hours)",TRUE)</f>
        <v>1.585E-3</v>
      </c>
      <c r="E10" s="187" t="s">
        <v>299</v>
      </c>
      <c r="F10" s="194">
        <f ca="1">Statement!AC164</f>
        <v>8.5980161586137888E-2</v>
      </c>
      <c r="H10" s="186" t="s">
        <v>408</v>
      </c>
      <c r="I10" s="214">
        <f>DDM!C26</f>
        <v>0</v>
      </c>
    </row>
    <row r="11" spans="2:9" x14ac:dyDescent="0.2">
      <c r="B11" s="187" t="s">
        <v>7</v>
      </c>
      <c r="C11" s="211" cm="1">
        <f t="array" aca="1" ref="C11" ca="1">_FV(C3,"52 week high",TRUE)</f>
        <v>370.86</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1.3960999999999999</v>
      </c>
      <c r="E13" s="187" t="s">
        <v>105</v>
      </c>
      <c r="F13" s="194">
        <f>Statement!AC125</f>
        <v>0.62762632401458585</v>
      </c>
    </row>
    <row r="14" spans="2:9" x14ac:dyDescent="0.2">
      <c r="B14" s="188" t="s">
        <v>10</v>
      </c>
      <c r="C14" s="212" cm="1">
        <f t="array" aca="1" ref="C14" ca="1">_FV(C3,"Volume average",TRUE)</f>
        <v>4304496</v>
      </c>
      <c r="E14" s="188" t="s">
        <v>106</v>
      </c>
      <c r="F14" s="195">
        <f>Statement!AC140</f>
        <v>0.5752841854820302</v>
      </c>
    </row>
    <row r="15" spans="2:9" x14ac:dyDescent="0.2">
      <c r="E15" s="187" t="s">
        <v>296</v>
      </c>
      <c r="F15" s="194">
        <f ca="1">Statement!AC176</f>
        <v>-9.6067746333634331E-3</v>
      </c>
    </row>
    <row r="16" spans="2:9" x14ac:dyDescent="0.2">
      <c r="E16" s="188" t="s">
        <v>301</v>
      </c>
      <c r="F16" s="193">
        <f>Statement!AC175</f>
        <v>-2.5603015075376883</v>
      </c>
    </row>
    <row r="17" spans="2:9" x14ac:dyDescent="0.2">
      <c r="B17" s="240" t="s">
        <v>90</v>
      </c>
      <c r="C17" s="240"/>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40" t="s">
        <v>108</v>
      </c>
      <c r="C25" s="240"/>
      <c r="E25" s="238" t="s">
        <v>352</v>
      </c>
      <c r="F25" s="239"/>
    </row>
    <row r="26" spans="2:9" x14ac:dyDescent="0.2">
      <c r="B26" s="186" t="s">
        <v>109</v>
      </c>
      <c r="C26" s="172">
        <v>0.21</v>
      </c>
      <c r="E26" s="187" t="e" vm="2">
        <v>#VALUE!</v>
      </c>
      <c r="F26" s="221" cm="1">
        <f t="array" aca="1" ref="F26" ca="1">_FV(E26,"Price")</f>
        <v>47.62</v>
      </c>
    </row>
    <row r="27" spans="2:9" x14ac:dyDescent="0.2">
      <c r="B27" s="186" t="s">
        <v>173</v>
      </c>
      <c r="C27" s="223">
        <v>5.0999999999999997E-2</v>
      </c>
      <c r="E27" s="188" t="s">
        <v>353</v>
      </c>
      <c r="F27" s="222">
        <f ca="1">F26/1000</f>
        <v>4.7619999999999996E-2</v>
      </c>
    </row>
    <row r="28" spans="2:9" x14ac:dyDescent="0.2">
      <c r="B28" s="186" t="s">
        <v>357</v>
      </c>
      <c r="C28" s="223">
        <v>0</v>
      </c>
    </row>
    <row r="29" spans="2:9" x14ac:dyDescent="0.2">
      <c r="B29" s="186" t="s">
        <v>407</v>
      </c>
      <c r="C29" s="223">
        <v>0.1</v>
      </c>
    </row>
    <row r="33" spans="2:8" x14ac:dyDescent="0.2">
      <c r="B33" s="237" t="s">
        <v>344</v>
      </c>
      <c r="C33" s="237"/>
      <c r="D33" s="237"/>
      <c r="E33" s="237"/>
      <c r="F33" s="237"/>
      <c r="G33" s="237"/>
      <c r="H33" s="237"/>
    </row>
    <row r="35" spans="2:8" x14ac:dyDescent="0.2">
      <c r="B35" s="16" t="s">
        <v>345</v>
      </c>
      <c r="C35" s="1" t="s">
        <v>394</v>
      </c>
    </row>
    <row r="36" spans="2:8" x14ac:dyDescent="0.2">
      <c r="B36" s="16" t="s">
        <v>346</v>
      </c>
      <c r="C36" s="1" t="s">
        <v>395</v>
      </c>
    </row>
    <row r="39" spans="2:8" ht="6" customHeight="1" x14ac:dyDescent="0.2">
      <c r="B39" s="237"/>
      <c r="C39" s="237"/>
      <c r="D39" s="237"/>
      <c r="E39" s="237"/>
      <c r="F39" s="237"/>
      <c r="G39" s="237"/>
      <c r="H39" s="237"/>
    </row>
    <row r="42" spans="2:8" x14ac:dyDescent="0.2">
      <c r="B42" s="237" t="s">
        <v>347</v>
      </c>
      <c r="C42" s="237"/>
      <c r="D42" s="237"/>
      <c r="E42" s="237"/>
      <c r="F42" s="237"/>
      <c r="G42" s="237"/>
      <c r="H42" s="237"/>
    </row>
    <row r="44" spans="2:8" x14ac:dyDescent="0.2">
      <c r="B44" s="41" t="s">
        <v>348</v>
      </c>
      <c r="C44" s="41" t="s">
        <v>335</v>
      </c>
      <c r="D44" s="41"/>
      <c r="E44" s="41" t="s">
        <v>336</v>
      </c>
    </row>
    <row r="49" spans="2:8" ht="5" customHeight="1" x14ac:dyDescent="0.2">
      <c r="B49" s="237"/>
      <c r="C49" s="237"/>
      <c r="D49" s="237"/>
      <c r="E49" s="237"/>
      <c r="F49" s="237"/>
      <c r="G49" s="237"/>
      <c r="H49" s="237"/>
    </row>
    <row r="52" spans="2:8" x14ac:dyDescent="0.2">
      <c r="B52" s="237" t="s">
        <v>110</v>
      </c>
      <c r="C52" s="237"/>
      <c r="D52" s="237"/>
      <c r="E52" s="237"/>
      <c r="F52" s="237"/>
      <c r="G52" s="237"/>
      <c r="H52" s="237"/>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266.51</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266.51</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70">IF(T131&gt;T130, "BEAT", IF(T131&lt;T129, "MISSED", "MET"))</f>
        <v>BEAT</v>
      </c>
      <c r="U132" s="227" t="str">
        <f t="shared" si="70"/>
        <v>BEAT</v>
      </c>
      <c r="V132" s="227" t="str">
        <f t="shared" si="70"/>
        <v>BEAT</v>
      </c>
      <c r="W132" s="227" t="str">
        <f t="shared" si="70"/>
        <v>BEAT</v>
      </c>
      <c r="X132" s="227" t="str">
        <f t="shared" si="70"/>
        <v>BEAT</v>
      </c>
      <c r="Y132" s="227" t="str">
        <f t="shared" si="70"/>
        <v>BEAT</v>
      </c>
      <c r="Z132" s="227" t="str">
        <f t="shared" si="70"/>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1">V25</f>
        <v>4.1399999999999997</v>
      </c>
      <c r="V135" s="231">
        <f t="shared" si="71"/>
        <v>3.94</v>
      </c>
      <c r="W135" s="231">
        <f t="shared" si="71"/>
        <v>4.18</v>
      </c>
      <c r="X135" s="231">
        <f t="shared" si="71"/>
        <v>4.45</v>
      </c>
      <c r="Y135" s="231">
        <f t="shared" si="71"/>
        <v>4.5999999999999996</v>
      </c>
      <c r="Z135" s="231">
        <f t="shared" si="71"/>
        <v>4.25</v>
      </c>
      <c r="AA135" s="231">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2">IF(T135&gt;T134, "BEAT", IF(T135&lt;T133, "MISSED", "MET"))</f>
        <v>BEAT</v>
      </c>
      <c r="U136" s="227" t="str">
        <f t="shared" si="72"/>
        <v>BEAT</v>
      </c>
      <c r="V136" s="227" t="str">
        <f t="shared" si="72"/>
        <v>BEAT</v>
      </c>
      <c r="W136" s="227" t="str">
        <f t="shared" si="72"/>
        <v>BEAT</v>
      </c>
      <c r="X136" s="227" t="str">
        <f t="shared" si="72"/>
        <v>BEAT</v>
      </c>
      <c r="Y136" s="227" t="str">
        <f t="shared" si="72"/>
        <v>MET</v>
      </c>
      <c r="Z136" s="227" t="str">
        <f t="shared" si="72"/>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7">(T108-T107)/T49</f>
        <v>-0.12980405637676176</v>
      </c>
      <c r="U146" s="181">
        <f t="shared" si="87"/>
        <v>-0.16008507621410847</v>
      </c>
      <c r="V146" s="181">
        <f t="shared" si="87"/>
        <v>-9.7747231767850329E-2</v>
      </c>
      <c r="W146" s="181">
        <f t="shared" si="87"/>
        <v>3.957023060796646E-2</v>
      </c>
      <c r="X146" s="181">
        <f t="shared" si="87"/>
        <v>2.2090059473237042E-2</v>
      </c>
      <c r="Y146" s="181">
        <f t="shared" si="87"/>
        <v>-3.3123978318850555E-2</v>
      </c>
      <c r="Z146" s="181">
        <f t="shared" si="87"/>
        <v>-5.7902562756931689E-2</v>
      </c>
      <c r="AA146" s="181">
        <f t="shared" si="87"/>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90">IF(T13&gt;=0,"N/A",IF(T12&lt;=0,"N/A",T12/-T13))</f>
        <v>39.058823529411768</v>
      </c>
      <c r="U149" s="183">
        <f t="shared" si="90"/>
        <v>39.14</v>
      </c>
      <c r="V149" s="183">
        <f t="shared" si="90"/>
        <v>34.887096774193552</v>
      </c>
      <c r="W149" s="183">
        <f t="shared" si="90"/>
        <v>31.014705882352942</v>
      </c>
      <c r="X149" s="183">
        <f t="shared" si="90"/>
        <v>32.432835820895519</v>
      </c>
      <c r="Y149" s="183">
        <f t="shared" si="90"/>
        <v>34.257575757575758</v>
      </c>
      <c r="Z149" s="183">
        <f t="shared" si="90"/>
        <v>38.38095238095238</v>
      </c>
      <c r="AA149" s="183">
        <f t="shared" si="90"/>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15.246567505720826</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4.3734377728391145</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9.209149157839903</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145">
        <f>Statement!T117*Statement!T78</f>
        <v>253889.21999999997</v>
      </c>
      <c r="U153" s="145">
        <f>Statement!U117*Statement!U78</f>
        <v>225079.44</v>
      </c>
      <c r="V153" s="145">
        <f>Statement!V117*Statement!V78</f>
        <v>187303.55</v>
      </c>
      <c r="W153" s="145">
        <f>Statement!W117*Statement!W78</f>
        <v>176413.25</v>
      </c>
      <c r="X153" s="145">
        <f>Statement!X117*Statement!X78</f>
        <v>149814</v>
      </c>
      <c r="Y153" s="145">
        <f>Statement!Y117*Statement!Y78</f>
        <v>130818.23999999999</v>
      </c>
      <c r="Z153" s="145">
        <f>Statement!Z117*Statement!Z78</f>
        <v>106276.05</v>
      </c>
      <c r="AA153" s="145">
        <f>Statement!AA117*Statement!AA78</f>
        <v>103165.57999999999</v>
      </c>
      <c r="AC153" s="145">
        <f ca="1">Statement!AC117*Statement!AC78</f>
        <v>106070.98</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145">
        <f t="shared" ref="T154:AA154" si="91">T153+T108-T107+T48+T45</f>
        <v>252001.21999999997</v>
      </c>
      <c r="U154" s="145">
        <f t="shared" si="91"/>
        <v>222821.44</v>
      </c>
      <c r="V154" s="145">
        <f t="shared" si="91"/>
        <v>186023.55</v>
      </c>
      <c r="W154" s="145">
        <f t="shared" si="91"/>
        <v>176866.25</v>
      </c>
      <c r="X154" s="145">
        <f t="shared" si="91"/>
        <v>150074</v>
      </c>
      <c r="Y154" s="145">
        <f t="shared" si="91"/>
        <v>130433.23999999999</v>
      </c>
      <c r="Z154" s="145">
        <f t="shared" si="91"/>
        <v>105614.05</v>
      </c>
      <c r="AA154" s="145">
        <f t="shared" si="91"/>
        <v>104184.57999999999</v>
      </c>
      <c r="AC154" s="145">
        <f ca="1">AC153+AC108-AC107+AC48+AC45</f>
        <v>107089.98</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4.2499396777522023</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11.781075907590759</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12.968697884826996</v>
      </c>
    </row>
    <row r="160" spans="2:29" x14ac:dyDescent="0.2">
      <c r="B160" s="20" t="s">
        <v>270</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13.194371919742363</v>
      </c>
    </row>
    <row r="161" spans="2:29" x14ac:dyDescent="0.2">
      <c r="B161" s="20" t="s">
        <v>271</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7.7108743597919055E-2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6.558853326329217E-2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8.5980161586137888E-2</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8.5980161586137888E-2</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9">T54/T59</f>
        <v>#DIV/0!</v>
      </c>
      <c r="U173" s="156" t="e">
        <f t="shared" si="99"/>
        <v>#DIV/0!</v>
      </c>
      <c r="V173" s="156">
        <f t="shared" si="99"/>
        <v>0.19137792103142626</v>
      </c>
      <c r="W173" s="156">
        <f t="shared" si="99"/>
        <v>0.21953445915107256</v>
      </c>
      <c r="X173" s="156">
        <f t="shared" si="99"/>
        <v>0.22611464968152867</v>
      </c>
      <c r="Y173" s="156">
        <f t="shared" si="99"/>
        <v>0.15474683544303797</v>
      </c>
      <c r="Z173" s="156">
        <f t="shared" si="99"/>
        <v>0.17207572684246111</v>
      </c>
      <c r="AA173" s="156">
        <f t="shared" si="99"/>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100">T54/T5</f>
        <v>0</v>
      </c>
      <c r="U174" s="156">
        <f t="shared" si="100"/>
        <v>0</v>
      </c>
      <c r="V174" s="156">
        <f t="shared" si="100"/>
        <v>8.3129156457822886E-2</v>
      </c>
      <c r="W174" s="156">
        <f t="shared" si="100"/>
        <v>8.1900221351949604E-2</v>
      </c>
      <c r="X174" s="156">
        <f t="shared" si="100"/>
        <v>8.2999331997327994E-2</v>
      </c>
      <c r="Y174" s="156">
        <f t="shared" si="100"/>
        <v>7.8947368421052627E-2</v>
      </c>
      <c r="Z174" s="156">
        <f t="shared" si="100"/>
        <v>7.9556111284776493E-2</v>
      </c>
      <c r="AA174" s="156">
        <f t="shared" si="100"/>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-9.6067746333634331E-3</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2">-T110/T5</f>
        <v>0</v>
      </c>
      <c r="U177" s="156">
        <f t="shared" si="102"/>
        <v>0</v>
      </c>
      <c r="V177" s="156">
        <f t="shared" si="102"/>
        <v>4.5502275113755691E-3</v>
      </c>
      <c r="W177" s="156">
        <f t="shared" si="102"/>
        <v>8.0027243316873834E-3</v>
      </c>
      <c r="X177" s="156">
        <f t="shared" si="102"/>
        <v>1.2024048096192385E-2</v>
      </c>
      <c r="Y177" s="156">
        <f t="shared" si="102"/>
        <v>5.4891830804003876E-3</v>
      </c>
      <c r="Z177" s="156">
        <f t="shared" si="102"/>
        <v>5.7830572053766804E-3</v>
      </c>
      <c r="AA177" s="156">
        <f t="shared" si="102"/>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3">-(T110/T59)</f>
        <v>#DIV/0!</v>
      </c>
      <c r="U178" s="156" t="e">
        <f t="shared" si="103"/>
        <v>#DIV/0!</v>
      </c>
      <c r="V178" s="156">
        <f t="shared" si="103"/>
        <v>1.0475423045930701E-2</v>
      </c>
      <c r="W178" s="156">
        <f t="shared" si="103"/>
        <v>2.1451392058420813E-2</v>
      </c>
      <c r="X178" s="156">
        <f t="shared" si="103"/>
        <v>3.2757051865332121E-2</v>
      </c>
      <c r="Y178" s="156">
        <f t="shared" si="103"/>
        <v>1.0759493670886076E-2</v>
      </c>
      <c r="Z178" s="156">
        <f t="shared" si="103"/>
        <v>1.2508451656524679E-2</v>
      </c>
      <c r="AA178" s="156">
        <f t="shared" si="103"/>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4">-T110/T53</f>
        <v>#DIV/0!</v>
      </c>
      <c r="U179" s="156" t="e">
        <f t="shared" si="104"/>
        <v>#DIV/0!</v>
      </c>
      <c r="V179" s="156">
        <f t="shared" si="104"/>
        <v>0.11981566820276497</v>
      </c>
      <c r="W179" s="156">
        <f t="shared" si="104"/>
        <v>0.22488038277511962</v>
      </c>
      <c r="X179" s="156">
        <f t="shared" si="104"/>
        <v>0.34615384615384615</v>
      </c>
      <c r="Y179" s="156">
        <f t="shared" si="104"/>
        <v>0.18478260869565216</v>
      </c>
      <c r="Z179" s="156">
        <f t="shared" si="104"/>
        <v>0.21264367816091953</v>
      </c>
      <c r="AA179" s="156">
        <f t="shared" si="104"/>
        <v>0.67357512953367871</v>
      </c>
      <c r="AC179" s="156">
        <f>-AC110/AC53</f>
        <v>0.35968379446640314</v>
      </c>
    </row>
    <row r="180" spans="1:31" x14ac:dyDescent="0.2">
      <c r="B180" s="20" t="s">
        <v>369</v>
      </c>
      <c r="M180" s="226">
        <f>M5/M37</f>
        <v>0.57945743548327888</v>
      </c>
      <c r="N180" s="226">
        <f t="shared" ref="N180:Q180" si="105">N5/N37</f>
        <v>0.64811338118902995</v>
      </c>
      <c r="O180" s="226">
        <f t="shared" si="105"/>
        <v>0.65176802444675774</v>
      </c>
      <c r="P180" s="226">
        <f t="shared" si="105"/>
        <v>0.71137942441283497</v>
      </c>
      <c r="Q180" s="226">
        <f t="shared" si="105"/>
        <v>0.80583807973962573</v>
      </c>
      <c r="T180" s="49"/>
      <c r="U180" s="49"/>
      <c r="V180" s="49"/>
      <c r="W180" s="49"/>
      <c r="X180" s="49"/>
      <c r="Y180" s="49"/>
      <c r="Z180" s="49"/>
      <c r="AA180" s="49"/>
      <c r="AC180" s="226">
        <f t="shared" ref="AC180" si="106">AC5/AC37</f>
        <v>0.8418133832225303</v>
      </c>
    </row>
    <row r="181" spans="1:31" x14ac:dyDescent="0.2">
      <c r="B181" s="20" t="s">
        <v>366</v>
      </c>
      <c r="M181" s="228">
        <f>IF(AND(M12&gt;0,M108&gt;0),M108/M12,"N/A")</f>
        <v>0.71061702861082388</v>
      </c>
      <c r="N181" s="228">
        <f t="shared" ref="N181:Q181" si="107">IF(AND(N12&gt;0,N108&gt;0),N108/N12,"N/A")</f>
        <v>0.67710724827812396</v>
      </c>
      <c r="O181" s="228">
        <f t="shared" si="107"/>
        <v>0.54646616541353388</v>
      </c>
      <c r="P181" s="228">
        <f t="shared" si="107"/>
        <v>0.83489096573208721</v>
      </c>
      <c r="Q181" s="228">
        <f t="shared" si="107"/>
        <v>0.7133011716057891</v>
      </c>
      <c r="T181" s="49"/>
      <c r="U181" s="49"/>
      <c r="V181" s="49"/>
      <c r="W181" s="49"/>
      <c r="X181" s="49"/>
      <c r="Y181" s="49"/>
      <c r="Z181" s="49"/>
      <c r="AA181" s="49"/>
      <c r="AC181" s="228">
        <f t="shared" ref="AC181" si="108">IF(AND(AC12&gt;0,AC108&gt;0),AC108/AC12,"N/A")</f>
        <v>0.73102310231023104</v>
      </c>
    </row>
    <row r="182" spans="1:31" x14ac:dyDescent="0.2">
      <c r="B182" s="20" t="s">
        <v>367</v>
      </c>
      <c r="M182" s="228">
        <f>IF(AND(M12&gt;0,M108&gt;0),(M108-M107)/M12,"N/A")</f>
        <v>-0.28869355394691487</v>
      </c>
      <c r="N182" s="228">
        <f t="shared" ref="N182:Q182" si="109">IF(AND(N12&gt;0,N108&gt;0),(N108-N107)/N12,"N/A")</f>
        <v>-0.32256477533617578</v>
      </c>
      <c r="O182" s="228">
        <f t="shared" si="109"/>
        <v>-0.632781954887218</v>
      </c>
      <c r="P182" s="228">
        <f t="shared" si="109"/>
        <v>-0.33496513870345646</v>
      </c>
      <c r="Q182" s="228">
        <f t="shared" si="109"/>
        <v>-4.422237537330577E-2</v>
      </c>
      <c r="T182" s="49"/>
      <c r="U182" s="49"/>
      <c r="V182" s="49"/>
      <c r="W182" s="49"/>
      <c r="X182" s="49"/>
      <c r="Y182" s="49"/>
      <c r="Z182" s="49"/>
      <c r="AA182" s="49"/>
      <c r="AC182" s="228">
        <f t="shared" ref="AC182" si="110">IF(AND(AC12&gt;0,AC108&gt;0),(AC108-AC107)/AC12,"N/A")</f>
        <v>0.1121012101210121</v>
      </c>
    </row>
    <row r="183" spans="1:31" x14ac:dyDescent="0.2">
      <c r="B183" s="20" t="s">
        <v>368</v>
      </c>
      <c r="M183" s="228">
        <f>M5/(M108+M112-M107)</f>
        <v>1.2029416247523244</v>
      </c>
      <c r="N183" s="228">
        <f t="shared" ref="N183:Q183" si="111">N5/(N108+N112-N107)</f>
        <v>1.4569678914266799</v>
      </c>
      <c r="O183" s="228">
        <f t="shared" si="111"/>
        <v>1.5766856214459788</v>
      </c>
      <c r="P183" s="228">
        <f t="shared" si="111"/>
        <v>1.8152274837511606</v>
      </c>
      <c r="Q183" s="228">
        <f t="shared" si="111"/>
        <v>2.1150560597971171</v>
      </c>
      <c r="T183" s="49"/>
      <c r="U183" s="49"/>
      <c r="V183" s="49"/>
      <c r="W183" s="49"/>
      <c r="X183" s="49"/>
      <c r="Y183" s="49"/>
      <c r="Z183" s="49"/>
      <c r="AA183" s="49"/>
      <c r="AC183" s="228">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389</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390</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6">100*(1+((O117-$M117)/ABS($M117)))</f>
        <v>90.940346490444725</v>
      </c>
      <c r="P207" s="145">
        <f t="shared" si="116"/>
        <v>76.483895933797697</v>
      </c>
      <c r="Q207" s="145">
        <f t="shared" si="116"/>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7">100*(1+((O5-$M5)/ABS($M5)))</f>
        <v>122.95850490972443</v>
      </c>
      <c r="P208" s="145">
        <f t="shared" si="117"/>
        <v>136.23693379790942</v>
      </c>
      <c r="Q208" s="145">
        <f t="shared" si="117"/>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8">100*(1+((O26-$M26)/ABS($M26)))</f>
        <v>117.96407185628743</v>
      </c>
      <c r="P209" s="145">
        <f t="shared" si="118"/>
        <v>145.4868041694389</v>
      </c>
      <c r="Q209" s="145">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7" t="s">
        <v>239</v>
      </c>
      <c r="C4" s="237"/>
      <c r="E4" s="237" t="s">
        <v>246</v>
      </c>
      <c r="F4" s="237"/>
      <c r="G4" s="237"/>
    </row>
    <row r="5" spans="2:7" x14ac:dyDescent="0.2">
      <c r="B5" s="20" t="s">
        <v>1</v>
      </c>
      <c r="C5" s="174">
        <f ca="1">Overview!C5</f>
        <v>266.51</v>
      </c>
      <c r="E5" s="12"/>
      <c r="F5" s="134" t="s">
        <v>247</v>
      </c>
      <c r="G5" s="134" t="s">
        <v>248</v>
      </c>
    </row>
    <row r="6" spans="2:7" x14ac:dyDescent="0.2">
      <c r="B6" s="20" t="s">
        <v>245</v>
      </c>
      <c r="C6" s="175">
        <f ca="1">Statement!AC153</f>
        <v>106070.98</v>
      </c>
      <c r="E6" s="20" t="s">
        <v>19</v>
      </c>
      <c r="F6" s="180">
        <f>IF(Statement!M5&lt;=0,"N/A",_xlfn.RRI(4,Statement!M5,Statement!Q5))</f>
        <v>0.10774954699996808</v>
      </c>
      <c r="G6" s="180" t="str">
        <f>IF(Statement!H5&lt;=0,"N/A",_xlfn.RRI(9,Statement!H5,Statement!Q5))</f>
        <v>N/A</v>
      </c>
    </row>
    <row r="7" spans="2:7" x14ac:dyDescent="0.2">
      <c r="B7" s="20" t="s">
        <v>189</v>
      </c>
      <c r="C7" s="175">
        <f ca="1">Statement!AC154</f>
        <v>107089.98</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15.246567505720826</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4.3734377728391145</v>
      </c>
      <c r="E9" s="20" t="s">
        <v>250</v>
      </c>
      <c r="F9" s="180" t="str">
        <f>IF(Statement!M82&lt;=0,"N/A",_xlfn.RRI(4,Statement!M82,Statement!Q82))</f>
        <v>N/A</v>
      </c>
      <c r="G9" s="180" t="str">
        <f>IF(Statement!H82&lt;=0,"N/A",_xlfn.RRI(9,Statement!H82,Statement!Q82))</f>
        <v>N/A</v>
      </c>
    </row>
    <row r="10" spans="2:7" x14ac:dyDescent="0.2">
      <c r="B10" s="20" t="s">
        <v>244</v>
      </c>
      <c r="C10" s="176">
        <f ca="1">Statement!AC152</f>
        <v>9.209149157839903</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4.2499396777522023</v>
      </c>
    </row>
    <row r="12" spans="2:7" x14ac:dyDescent="0.2">
      <c r="B12" s="20" t="s">
        <v>205</v>
      </c>
      <c r="C12" s="176">
        <f ca="1">Statement!AC156</f>
        <v>11.781075907590759</v>
      </c>
    </row>
    <row r="15" spans="2:7" x14ac:dyDescent="0.2">
      <c r="B15" s="237" t="s">
        <v>77</v>
      </c>
      <c r="C15" s="237"/>
      <c r="E15" s="237" t="s">
        <v>252</v>
      </c>
      <c r="F15" s="237"/>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7" t="s">
        <v>251</v>
      </c>
      <c r="C21" s="237"/>
      <c r="E21" s="237" t="s">
        <v>255</v>
      </c>
      <c r="F21" s="237"/>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7" t="s">
        <v>256</v>
      </c>
      <c r="C29" s="237"/>
      <c r="E29" s="237" t="s">
        <v>262</v>
      </c>
      <c r="F29" s="237"/>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7" t="s">
        <v>274</v>
      </c>
      <c r="C37" s="237"/>
      <c r="E37" s="237" t="s">
        <v>277</v>
      </c>
      <c r="F37" s="237"/>
    </row>
    <row r="38" spans="2:6" x14ac:dyDescent="0.2">
      <c r="B38" s="20" t="s">
        <v>272</v>
      </c>
      <c r="C38" s="177">
        <f ca="1">Statement!AC162</f>
        <v>6.558853326329217E-2</v>
      </c>
      <c r="E38" s="20" t="s">
        <v>276</v>
      </c>
      <c r="F38" s="177">
        <f>Statement!AC168</f>
        <v>0</v>
      </c>
    </row>
    <row r="39" spans="2:6" x14ac:dyDescent="0.2">
      <c r="B39" s="54" t="s">
        <v>275</v>
      </c>
      <c r="C39" s="217">
        <f ca="1">Statement!AC161</f>
        <v>7.7108743597919055E-2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8.5980161586137888E-2</v>
      </c>
    </row>
    <row r="42" spans="2:6" x14ac:dyDescent="0.2">
      <c r="B42" s="20" t="s">
        <v>300</v>
      </c>
      <c r="C42" s="177">
        <f ca="1">Statement!AC165</f>
        <v>8.5980161586137888E-2</v>
      </c>
    </row>
    <row r="45" spans="2:6" x14ac:dyDescent="0.2">
      <c r="B45" s="237" t="s">
        <v>285</v>
      </c>
      <c r="C45" s="237"/>
      <c r="E45" s="237" t="s">
        <v>291</v>
      </c>
      <c r="F45" s="237"/>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-9.6067746333634331E-3</v>
      </c>
    </row>
    <row r="51" spans="2:6" x14ac:dyDescent="0.2">
      <c r="B51" s="237" t="s">
        <v>288</v>
      </c>
      <c r="C51" s="237"/>
      <c r="E51" s="237" t="s">
        <v>309</v>
      </c>
      <c r="F51" s="237"/>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266.51</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106070.98</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107089.98</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15.246567505720826</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4.3734377728391145</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9.209149157839903</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4.2499396777522023</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11.781075907590759</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6.558853326329217E-2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7.7108743597919055E-2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8.5980161586137888E-2</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8.5980161586137888E-2</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-9.6067746333634331E-3</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319</v>
      </c>
      <c r="D3" s="242"/>
      <c r="F3" s="243" t="s">
        <v>320</v>
      </c>
      <c r="G3" s="242"/>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44">
        <f>Statement!AA89</f>
        <v>3.4385745545482967E-2</v>
      </c>
      <c r="D7" s="245"/>
      <c r="F7" s="244">
        <f>IF(F6=0,
IF(G6=0,0,IF(G6&gt;0,1,-1)),
(G6-F6)/ABS(F6)
)</f>
        <v>0.1268516941937681</v>
      </c>
      <c r="G7" s="245"/>
    </row>
    <row r="8" spans="2:7" x14ac:dyDescent="0.2">
      <c r="B8" s="209" t="s">
        <v>20</v>
      </c>
      <c r="C8" s="202">
        <f>Statement!Z6</f>
        <v>664</v>
      </c>
      <c r="D8" s="200">
        <f>Statement!AA6</f>
        <v>715</v>
      </c>
      <c r="F8" s="202">
        <f>Statement!W6</f>
        <v>638</v>
      </c>
      <c r="G8" s="200">
        <f>Statement!AA6</f>
        <v>715</v>
      </c>
    </row>
    <row r="9" spans="2:7" x14ac:dyDescent="0.2">
      <c r="B9" s="208" t="s">
        <v>321</v>
      </c>
      <c r="C9" s="244">
        <f>Statement!AA90</f>
        <v>7.6807228915662648E-2</v>
      </c>
      <c r="D9" s="245"/>
      <c r="F9" s="244">
        <f>IF(F8=0,
IF(G8=0,0,IF(G8&gt;0,1,-1)),
(G8-F8)/ABS(F8)
)</f>
        <v>0.1206896551724138</v>
      </c>
      <c r="G9" s="245"/>
    </row>
    <row r="10" spans="2:7" x14ac:dyDescent="0.2">
      <c r="B10" s="209" t="s">
        <v>21</v>
      </c>
      <c r="C10" s="202">
        <f>Statement!Z7</f>
        <v>5734</v>
      </c>
      <c r="D10" s="200">
        <f>Statement!AA7</f>
        <v>5903</v>
      </c>
      <c r="F10" s="202">
        <f>Statement!W7</f>
        <v>5235</v>
      </c>
      <c r="G10" s="200">
        <f>Statement!AA7</f>
        <v>5903</v>
      </c>
    </row>
    <row r="11" spans="2:7" x14ac:dyDescent="0.2">
      <c r="B11" s="208" t="s">
        <v>321</v>
      </c>
      <c r="C11" s="244">
        <f>Statement!AA91</f>
        <v>2.9473317056156263E-2</v>
      </c>
      <c r="D11" s="245"/>
      <c r="F11" s="244">
        <f>IF(F10=0,
IF(G10=0,0,IF(G10&gt;0,1,-1)),
(G10-F10)/ABS(F10)
)</f>
        <v>0.12760267430754538</v>
      </c>
      <c r="G11" s="245"/>
    </row>
    <row r="12" spans="2:7" x14ac:dyDescent="0.2">
      <c r="B12" s="209" t="s">
        <v>25</v>
      </c>
      <c r="C12" s="202">
        <f>Statement!Z11</f>
        <v>3316</v>
      </c>
      <c r="D12" s="200">
        <f>Statement!AA11</f>
        <v>3665</v>
      </c>
      <c r="F12" s="202">
        <f>Statement!W11</f>
        <v>3126</v>
      </c>
      <c r="G12" s="200">
        <f>Statement!AA11</f>
        <v>3665</v>
      </c>
    </row>
    <row r="13" spans="2:7" x14ac:dyDescent="0.2">
      <c r="B13" s="208" t="s">
        <v>321</v>
      </c>
      <c r="C13" s="244">
        <f>Statement!AA95</f>
        <v>0.10524728588661038</v>
      </c>
      <c r="D13" s="245"/>
      <c r="F13" s="244">
        <f>IF(F12=0,
IF(G12=0,0,IF(G12&gt;0,1,-1)),
(G12-F12)/ABS(F12)
)</f>
        <v>0.172424824056302</v>
      </c>
      <c r="G13" s="245"/>
    </row>
    <row r="14" spans="2:7" x14ac:dyDescent="0.2">
      <c r="B14" s="209" t="s">
        <v>322</v>
      </c>
      <c r="C14" s="202">
        <f>Statement!Z12</f>
        <v>2418</v>
      </c>
      <c r="D14" s="200">
        <f>Statement!AA12</f>
        <v>2238</v>
      </c>
      <c r="F14" s="202">
        <f>Statement!W12</f>
        <v>2109</v>
      </c>
      <c r="G14" s="200">
        <f>Statement!AA12</f>
        <v>2238</v>
      </c>
    </row>
    <row r="15" spans="2:7" x14ac:dyDescent="0.2">
      <c r="B15" s="208" t="s">
        <v>321</v>
      </c>
      <c r="C15" s="244">
        <f>Statement!AA96</f>
        <v>-7.4441687344913146E-2</v>
      </c>
      <c r="D15" s="245"/>
      <c r="F15" s="244">
        <f>IF(F14=0,
IF(G14=0,0,IF(G14&gt;0,1,-1)),
(G14-F14)/ABS(F14)
)</f>
        <v>6.1166429587482217E-2</v>
      </c>
      <c r="G15" s="245"/>
    </row>
    <row r="16" spans="2:7" x14ac:dyDescent="0.2">
      <c r="B16" s="209" t="s">
        <v>31</v>
      </c>
      <c r="C16" s="202">
        <f>Statement!Z18</f>
        <v>1889</v>
      </c>
      <c r="D16" s="200">
        <f>Statement!AA18</f>
        <v>1712</v>
      </c>
      <c r="F16" s="202">
        <f>Statement!W18</f>
        <v>1691</v>
      </c>
      <c r="G16" s="200">
        <f>Statement!AA18</f>
        <v>1712</v>
      </c>
    </row>
    <row r="17" spans="2:7" x14ac:dyDescent="0.2">
      <c r="B17" s="208" t="s">
        <v>321</v>
      </c>
      <c r="C17" s="244">
        <f>Statement!AA98</f>
        <v>-9.3700370566437263E-2</v>
      </c>
      <c r="D17" s="245"/>
      <c r="F17" s="244">
        <f>IF(F16=0,
IF(G16=0,0,IF(G16&gt;0,1,-1)),
(G16-F16)/ABS(F16)
)</f>
        <v>1.2418687167356593E-2</v>
      </c>
      <c r="G17" s="245"/>
    </row>
    <row r="18" spans="2:7" x14ac:dyDescent="0.2">
      <c r="B18" s="209" t="s">
        <v>323</v>
      </c>
      <c r="C18" s="202">
        <f>Statement!Z22</f>
        <v>411</v>
      </c>
      <c r="D18" s="200">
        <f>Statement!AA22</f>
        <v>402</v>
      </c>
      <c r="F18" s="202">
        <f>Statement!W22</f>
        <v>429</v>
      </c>
      <c r="G18" s="200">
        <f>Statement!AA22</f>
        <v>402</v>
      </c>
    </row>
    <row r="19" spans="2:7" x14ac:dyDescent="0.2">
      <c r="B19" s="208" t="s">
        <v>321</v>
      </c>
      <c r="C19" s="244">
        <f>IF(C18=0,
IF(D18=0,0,IF(D18&gt;0,1,-1)),
(D18-C18)/ABS(C18)
)</f>
        <v>-2.1897810218978103E-2</v>
      </c>
      <c r="D19" s="245"/>
      <c r="F19" s="244">
        <f>IF(F18=0,
IF(G18=0,0,IF(G18&gt;0,1,-1)),
(G18-F18)/ABS(F18)
)</f>
        <v>-6.2937062937062943E-2</v>
      </c>
      <c r="G19" s="245"/>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44">
        <f>IF(C20=0,
IF(D20=0,0,IF(D20&gt;0,1,-1)),
(D20-C20)/ABS(C20)
)</f>
        <v>-7.6086956521739066E-2</v>
      </c>
      <c r="D21" s="245"/>
      <c r="F21" s="244">
        <f>IF(F20=0,
IF(G20=0,0,IF(G20&gt;0,1,-1)),
(G20-F20)/ABS(F20)
)</f>
        <v>7.8680203045685293E-2</v>
      </c>
      <c r="G21" s="245"/>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44">
        <f>IF(C24=0,
IF(D24=0,0,IF(D24&gt;0,1,-1)),
(D24-C24)/ABS(C24)
)</f>
        <v>3.5172636334301385E-2</v>
      </c>
      <c r="D25" s="245"/>
      <c r="F25" s="244">
        <f>IF(F24=0,
IF(G24=0,0,IF(G24&gt;0,1,-1)),
(G24-F24)/ABS(F24)
)</f>
        <v>0.13738698812267328</v>
      </c>
      <c r="G25" s="245"/>
    </row>
    <row r="26" spans="2:7" x14ac:dyDescent="0.2">
      <c r="B26" s="20" t="s">
        <v>389</v>
      </c>
      <c r="C26" s="202">
        <f>Statement!Z188</f>
        <v>90</v>
      </c>
      <c r="D26" s="200">
        <f>Statement!AA188</f>
        <v>89</v>
      </c>
      <c r="F26" s="202">
        <f>Statement!W188</f>
        <v>88</v>
      </c>
      <c r="G26" s="200">
        <f>Statement!AA188</f>
        <v>89</v>
      </c>
    </row>
    <row r="27" spans="2:7" x14ac:dyDescent="0.2">
      <c r="B27" s="208" t="s">
        <v>321</v>
      </c>
      <c r="C27" s="244">
        <f>IF(C26=0,
IF(D26=0,0,IF(D26&gt;0,1,-1)),
(D26-C26)/ABS(C26)
)</f>
        <v>-1.1111111111111112E-2</v>
      </c>
      <c r="D27" s="245"/>
      <c r="F27" s="244">
        <f>IF(F26=0,
IF(G26=0,0,IF(G26&gt;0,1,-1)),
(G26-F26)/ABS(F26)
)</f>
        <v>1.1363636363636364E-2</v>
      </c>
      <c r="G27" s="245"/>
    </row>
    <row r="28" spans="2:7" x14ac:dyDescent="0.2">
      <c r="B28" s="20" t="s">
        <v>399</v>
      </c>
      <c r="C28" s="202">
        <f>Statement!Z189</f>
        <v>110</v>
      </c>
      <c r="D28" s="200">
        <f>Statement!AA189</f>
        <v>113</v>
      </c>
      <c r="F28" s="202">
        <f>Statement!W189</f>
        <v>144</v>
      </c>
      <c r="G28" s="200">
        <f>Statement!AA189</f>
        <v>113</v>
      </c>
    </row>
    <row r="29" spans="2:7" x14ac:dyDescent="0.2">
      <c r="B29" s="208" t="s">
        <v>321</v>
      </c>
      <c r="C29" s="244">
        <f>IF(C28=0,
IF(D28=0,0,IF(D28&gt;0,1,-1)),
(D28-C28)/ABS(C28)
)</f>
        <v>2.7272727272727271E-2</v>
      </c>
      <c r="D29" s="245"/>
      <c r="F29" s="244">
        <f>IF(F28=0,
IF(G28=0,0,IF(G28&gt;0,1,-1)),
(G28-F28)/ABS(F28)
)</f>
        <v>-0.21527777777777779</v>
      </c>
      <c r="G29" s="245"/>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7" t="s">
        <v>114</v>
      </c>
      <c r="D2" s="237"/>
      <c r="E2" s="237"/>
      <c r="F2" s="237"/>
      <c r="G2" s="249"/>
      <c r="H2" s="250" t="s">
        <v>115</v>
      </c>
      <c r="I2" s="237"/>
      <c r="J2" s="237"/>
      <c r="K2" s="237"/>
      <c r="L2" s="237"/>
      <c r="O2" s="5"/>
      <c r="S2" s="237" t="s">
        <v>114</v>
      </c>
      <c r="T2" s="237"/>
      <c r="U2" s="237"/>
      <c r="V2" s="237"/>
      <c r="W2" s="237"/>
      <c r="X2" s="237"/>
      <c r="Y2" s="237"/>
      <c r="Z2" s="237"/>
      <c r="AA2" s="237" t="s">
        <v>115</v>
      </c>
      <c r="AB2" s="237"/>
      <c r="AC2" s="237"/>
      <c r="AE2" s="85" t="s">
        <v>116</v>
      </c>
    </row>
    <row r="3" spans="1:31" ht="10" customHeight="1" x14ac:dyDescent="0.2">
      <c r="O3" s="5"/>
    </row>
    <row r="4" spans="1:31" ht="16" customHeight="1" x14ac:dyDescent="0.2">
      <c r="A4" s="86"/>
      <c r="B4" s="60"/>
      <c r="C4" s="246" t="s">
        <v>117</v>
      </c>
      <c r="D4" s="246"/>
      <c r="E4" s="246"/>
      <c r="F4" s="246"/>
      <c r="G4" s="246"/>
      <c r="H4" s="246"/>
      <c r="I4" s="246"/>
      <c r="J4" s="246"/>
      <c r="K4" s="246"/>
      <c r="L4" s="246"/>
      <c r="O4" s="5"/>
      <c r="S4" s="247" t="s">
        <v>117</v>
      </c>
      <c r="T4" s="248"/>
      <c r="U4" s="248"/>
      <c r="V4" s="248"/>
      <c r="W4" s="248"/>
      <c r="X4" s="248"/>
      <c r="Y4" s="248"/>
      <c r="Z4" s="248"/>
      <c r="AA4" s="248"/>
      <c r="AB4" s="248"/>
      <c r="AC4" s="248"/>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6" t="s">
        <v>123</v>
      </c>
      <c r="D11" s="246"/>
      <c r="E11" s="246"/>
      <c r="F11" s="246"/>
      <c r="G11" s="246"/>
      <c r="H11" s="246"/>
      <c r="I11" s="246"/>
      <c r="J11" s="246"/>
      <c r="K11" s="246"/>
      <c r="L11" s="246"/>
      <c r="O11" s="5"/>
      <c r="Q11" s="91"/>
      <c r="S11" s="247" t="s">
        <v>123</v>
      </c>
      <c r="T11" s="248"/>
      <c r="U11" s="248"/>
      <c r="V11" s="248"/>
      <c r="W11" s="248"/>
      <c r="X11" s="248"/>
      <c r="Y11" s="248"/>
      <c r="Z11" s="248"/>
      <c r="AA11" s="248"/>
      <c r="AB11" s="248"/>
      <c r="AC11" s="248"/>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7" t="s">
        <v>114</v>
      </c>
      <c r="D2" s="237"/>
      <c r="E2" s="237"/>
      <c r="F2" s="237"/>
      <c r="G2" s="249"/>
      <c r="H2" s="250" t="s">
        <v>115</v>
      </c>
      <c r="I2" s="237"/>
      <c r="J2" s="237"/>
      <c r="K2" s="237"/>
      <c r="L2" s="237"/>
      <c r="P2" s="237" t="s">
        <v>114</v>
      </c>
      <c r="Q2" s="237"/>
      <c r="R2" s="237"/>
      <c r="S2" s="237"/>
      <c r="T2" s="237"/>
      <c r="U2" s="237"/>
      <c r="V2" s="237"/>
      <c r="W2" s="237"/>
      <c r="X2" s="237" t="s">
        <v>115</v>
      </c>
      <c r="Y2" s="237"/>
      <c r="Z2" s="237"/>
      <c r="AB2" s="85" t="s">
        <v>116</v>
      </c>
    </row>
    <row r="3" spans="1:28" ht="10" customHeight="1" x14ac:dyDescent="0.2"/>
    <row r="4" spans="1:28" ht="16" customHeight="1" x14ac:dyDescent="0.2">
      <c r="A4" s="86"/>
      <c r="B4" s="60"/>
      <c r="C4" s="246" t="s">
        <v>117</v>
      </c>
      <c r="D4" s="246"/>
      <c r="E4" s="246"/>
      <c r="F4" s="246"/>
      <c r="G4" s="246"/>
      <c r="H4" s="246"/>
      <c r="I4" s="246"/>
      <c r="J4" s="246"/>
      <c r="K4" s="246"/>
      <c r="L4" s="246"/>
      <c r="P4" s="248" t="s">
        <v>117</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6" t="s">
        <v>126</v>
      </c>
      <c r="D9" s="246"/>
      <c r="E9" s="246"/>
      <c r="F9" s="246"/>
      <c r="G9" s="246"/>
      <c r="H9" s="246"/>
      <c r="I9" s="246"/>
      <c r="J9" s="246"/>
      <c r="K9" s="246"/>
      <c r="L9" s="246"/>
      <c r="N9" s="91"/>
      <c r="P9" s="248" t="s">
        <v>127</v>
      </c>
      <c r="Q9" s="248"/>
      <c r="R9" s="248"/>
      <c r="S9" s="248"/>
      <c r="T9" s="248"/>
      <c r="U9" s="248"/>
      <c r="V9" s="248"/>
      <c r="W9" s="248"/>
      <c r="X9" s="248"/>
      <c r="Y9" s="248"/>
      <c r="Z9" s="248"/>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6" t="s">
        <v>129</v>
      </c>
      <c r="D21" s="246"/>
      <c r="E21" s="246"/>
      <c r="F21" s="246"/>
      <c r="G21" s="246"/>
      <c r="H21" s="246"/>
      <c r="I21" s="246"/>
      <c r="J21" s="246"/>
      <c r="K21" s="246"/>
      <c r="L21" s="246"/>
      <c r="P21" s="248" t="s">
        <v>129</v>
      </c>
      <c r="Q21" s="248"/>
      <c r="R21" s="248"/>
      <c r="S21" s="248"/>
      <c r="T21" s="248"/>
      <c r="U21" s="248"/>
      <c r="V21" s="248"/>
      <c r="W21" s="248"/>
      <c r="X21" s="248"/>
      <c r="Y21" s="248"/>
      <c r="Z21" s="248"/>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117</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133</v>
      </c>
      <c r="D11" s="246"/>
      <c r="E11" s="246"/>
      <c r="F11" s="246"/>
      <c r="G11" s="246"/>
      <c r="H11" s="246"/>
      <c r="I11" s="246"/>
      <c r="J11" s="246"/>
      <c r="K11" s="246"/>
      <c r="L11" s="246"/>
      <c r="N11" s="91"/>
      <c r="P11" s="251"/>
      <c r="Q11" s="251"/>
      <c r="R11" s="251"/>
      <c r="S11" s="251"/>
      <c r="T11" s="251"/>
      <c r="U11" s="251"/>
      <c r="V11" s="251"/>
      <c r="W11" s="251"/>
      <c r="X11" s="251"/>
      <c r="Y11" s="251"/>
      <c r="Z11" s="251"/>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6" t="s">
        <v>138</v>
      </c>
      <c r="D18" s="246"/>
      <c r="E18" s="246"/>
      <c r="F18" s="246"/>
      <c r="G18" s="246"/>
      <c r="H18" s="246"/>
      <c r="I18" s="246"/>
      <c r="J18" s="246"/>
      <c r="K18" s="246"/>
      <c r="L18" s="246"/>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51"/>
      <c r="C25" s="251"/>
    </row>
    <row r="26" spans="2:12" x14ac:dyDescent="0.2">
      <c r="B26" s="111"/>
      <c r="C26" s="246" t="s">
        <v>144</v>
      </c>
      <c r="D26" s="246"/>
      <c r="E26" s="246"/>
      <c r="F26" s="246"/>
      <c r="G26" s="246"/>
      <c r="H26" s="246"/>
      <c r="I26" s="246"/>
      <c r="J26" s="246"/>
      <c r="K26" s="246"/>
      <c r="L26" s="246"/>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6" t="s">
        <v>148</v>
      </c>
      <c r="D33" s="246"/>
      <c r="E33" s="246"/>
      <c r="F33" s="246"/>
      <c r="G33" s="246"/>
      <c r="H33" s="246"/>
      <c r="I33" s="246"/>
      <c r="J33" s="246"/>
      <c r="K33" s="246"/>
      <c r="L33" s="246"/>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6" t="s">
        <v>151</v>
      </c>
      <c r="D40" s="246"/>
      <c r="E40" s="246"/>
      <c r="F40" s="246"/>
      <c r="G40" s="246"/>
      <c r="H40" s="246"/>
      <c r="I40" s="246"/>
      <c r="J40" s="246"/>
      <c r="K40" s="246"/>
      <c r="L40" s="246"/>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7" t="s">
        <v>114</v>
      </c>
      <c r="D2" s="237"/>
      <c r="E2" s="237"/>
      <c r="F2" s="237"/>
      <c r="G2" s="249"/>
      <c r="H2" s="250" t="s">
        <v>115</v>
      </c>
      <c r="I2" s="237"/>
      <c r="J2" s="237"/>
      <c r="K2" s="237"/>
      <c r="L2" s="237"/>
      <c r="S2" s="251"/>
      <c r="T2" s="251"/>
      <c r="U2" s="251"/>
      <c r="V2" s="251"/>
      <c r="W2" s="251"/>
      <c r="X2" s="251"/>
      <c r="Y2" s="251"/>
      <c r="Z2" s="251"/>
      <c r="AA2" s="251"/>
      <c r="AB2" s="251"/>
      <c r="AC2" s="251"/>
      <c r="AE2" s="111"/>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6" t="s">
        <v>159</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6" t="s">
        <v>160</v>
      </c>
      <c r="D18" s="246"/>
      <c r="E18" s="246"/>
      <c r="F18" s="246"/>
      <c r="G18" s="246"/>
      <c r="H18" s="246"/>
      <c r="I18" s="246"/>
      <c r="J18" s="246"/>
      <c r="K18" s="246"/>
      <c r="L18" s="246"/>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6" t="s">
        <v>268</v>
      </c>
      <c r="D25" s="246"/>
      <c r="E25" s="246"/>
      <c r="F25" s="246"/>
      <c r="G25" s="246"/>
      <c r="H25" s="246"/>
      <c r="I25" s="246"/>
      <c r="J25" s="246"/>
      <c r="K25" s="246"/>
      <c r="L25" s="246"/>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6" t="s">
        <v>77</v>
      </c>
      <c r="D31" s="246"/>
      <c r="E31" s="246"/>
      <c r="F31" s="246"/>
      <c r="G31" s="246"/>
      <c r="H31" s="246"/>
      <c r="I31" s="246"/>
      <c r="J31" s="246"/>
      <c r="K31" s="246"/>
      <c r="L31" s="246"/>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7" t="s">
        <v>167</v>
      </c>
      <c r="C4" s="237"/>
    </row>
    <row r="5" spans="1:3" ht="17" customHeight="1" x14ac:dyDescent="0.2">
      <c r="B5" s="1" t="s">
        <v>168</v>
      </c>
      <c r="C5" s="138">
        <f>Statement!AC78</f>
        <v>398</v>
      </c>
    </row>
    <row r="6" spans="1:3" ht="17" customHeight="1" x14ac:dyDescent="0.2">
      <c r="B6" s="1" t="s">
        <v>1</v>
      </c>
      <c r="C6" s="135">
        <f ca="1">Overview!C5</f>
        <v>266.51</v>
      </c>
    </row>
    <row r="7" spans="1:3" ht="17" customHeight="1" x14ac:dyDescent="0.2">
      <c r="B7" s="1" t="s">
        <v>169</v>
      </c>
      <c r="C7" s="136">
        <f ca="1">C5*C6</f>
        <v>106070.98</v>
      </c>
    </row>
    <row r="8" spans="1:3" ht="17" customHeight="1" x14ac:dyDescent="0.2">
      <c r="B8" s="1" t="s">
        <v>170</v>
      </c>
      <c r="C8" s="114">
        <f>Statement!AC108</f>
        <v>6645</v>
      </c>
    </row>
    <row r="9" spans="1:3" ht="17" customHeight="1" x14ac:dyDescent="0.2">
      <c r="B9" s="1" t="s">
        <v>171</v>
      </c>
      <c r="C9" s="137">
        <f ca="1">Overview!F27</f>
        <v>4.7619999999999996E-2</v>
      </c>
    </row>
    <row r="10" spans="1:3" ht="17" customHeight="1" x14ac:dyDescent="0.2">
      <c r="B10" s="1" t="s">
        <v>9</v>
      </c>
      <c r="C10" s="135">
        <f ca="1">Overview!C13</f>
        <v>1.3960999999999999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7" t="s">
        <v>174</v>
      </c>
      <c r="C15" s="237"/>
    </row>
    <row r="16" spans="1:3" ht="17" customHeight="1" x14ac:dyDescent="0.2">
      <c r="B16" s="1" t="s">
        <v>175</v>
      </c>
      <c r="C16" s="46">
        <f ca="1">C8/(C8+C7)</f>
        <v>5.8953486453296157E-2</v>
      </c>
    </row>
    <row r="17" spans="2:3" ht="17" customHeight="1" x14ac:dyDescent="0.2">
      <c r="B17" s="1" t="s">
        <v>176</v>
      </c>
      <c r="C17" s="46">
        <f ca="1">C7/(C8+C7)</f>
        <v>0.94104651354670388</v>
      </c>
    </row>
    <row r="18" spans="2:3" ht="17" customHeight="1" x14ac:dyDescent="0.2">
      <c r="B18" s="1" t="s">
        <v>177</v>
      </c>
      <c r="C18" s="46">
        <f>C13*(1-C12)</f>
        <v>4.0289999999999999E-2</v>
      </c>
    </row>
    <row r="19" spans="2:3" ht="17" customHeight="1" x14ac:dyDescent="0.2">
      <c r="B19" s="1" t="s">
        <v>178</v>
      </c>
      <c r="C19" s="46">
        <f ca="1">C9+C10*C11</f>
        <v>0.11044449999999999</v>
      </c>
    </row>
    <row r="20" spans="2:3" ht="17" customHeight="1" x14ac:dyDescent="0.2">
      <c r="B20" s="1" t="s">
        <v>166</v>
      </c>
      <c r="C20" s="46">
        <f ca="1">(C17*C19)+(C16*C18)</f>
        <v>0.10630864763461223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146678.30015367549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7333.9343688748686</v>
      </c>
      <c r="I10" s="128">
        <f t="shared" ref="I10:L10" ca="1" si="0">I7/(1+$C$15)^I9</f>
        <v>7495.2737421203692</v>
      </c>
      <c r="J10" s="128">
        <f t="shared" ca="1" si="0"/>
        <v>7522.8953043433812</v>
      </c>
      <c r="K10" s="128">
        <f t="shared" ca="1" si="0"/>
        <v>7495.1302190141269</v>
      </c>
      <c r="L10" s="128">
        <f t="shared" ca="1" si="0"/>
        <v>7489.2524918783101</v>
      </c>
      <c r="N10" s="91"/>
    </row>
    <row r="11" spans="1:28" x14ac:dyDescent="0.2">
      <c r="B11" s="1" t="s">
        <v>184</v>
      </c>
      <c r="C11" s="139"/>
      <c r="D11" s="139"/>
      <c r="E11" s="139"/>
      <c r="F11" s="139"/>
      <c r="G11" s="140"/>
      <c r="H11" s="139"/>
      <c r="I11" s="139"/>
      <c r="J11" s="139"/>
      <c r="K11" s="139"/>
      <c r="L11" s="128">
        <f ca="1">L8/(1+C15)^L9</f>
        <v>88508.367945420148</v>
      </c>
    </row>
    <row r="13" spans="1:28" x14ac:dyDescent="0.2">
      <c r="B13" s="237" t="s">
        <v>185</v>
      </c>
      <c r="C13" s="237"/>
    </row>
    <row r="14" spans="1:28" x14ac:dyDescent="0.2">
      <c r="B14" s="1" t="s">
        <v>186</v>
      </c>
      <c r="C14" s="142">
        <v>0.02</v>
      </c>
    </row>
    <row r="15" spans="1:28" x14ac:dyDescent="0.2">
      <c r="B15" s="1" t="s">
        <v>166</v>
      </c>
      <c r="C15" s="137">
        <f ca="1">IF(Overview!C28&gt;0,Overview!C28,WACC!C20)</f>
        <v>0.10630864763461223</v>
      </c>
    </row>
    <row r="18" spans="2:3" x14ac:dyDescent="0.2">
      <c r="B18" s="237" t="s">
        <v>187</v>
      </c>
      <c r="C18" s="237"/>
    </row>
    <row r="19" spans="2:3" x14ac:dyDescent="0.2">
      <c r="B19" s="1" t="s">
        <v>188</v>
      </c>
      <c r="C19" s="64">
        <f ca="1">SUM(H10:L10)</f>
        <v>37336.486126231059</v>
      </c>
    </row>
    <row r="20" spans="2:3" x14ac:dyDescent="0.2">
      <c r="B20" s="1" t="s">
        <v>184</v>
      </c>
      <c r="C20" s="64">
        <f ca="1">L11</f>
        <v>88508.367945420148</v>
      </c>
    </row>
    <row r="21" spans="2:3" x14ac:dyDescent="0.2">
      <c r="B21" s="16" t="s">
        <v>189</v>
      </c>
      <c r="C21" s="94">
        <f ca="1">C19+C20</f>
        <v>125844.85407165121</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124825.85407165121</v>
      </c>
    </row>
    <row r="25" spans="2:3" x14ac:dyDescent="0.2">
      <c r="B25" s="1" t="s">
        <v>69</v>
      </c>
      <c r="C25" s="88">
        <f>Statement!AC78</f>
        <v>398</v>
      </c>
    </row>
    <row r="26" spans="2:3" x14ac:dyDescent="0.2">
      <c r="B26" s="143" t="s">
        <v>193</v>
      </c>
      <c r="C26" s="144">
        <f ca="1">C24/C25</f>
        <v>313.63279917500302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7" t="s">
        <v>114</v>
      </c>
      <c r="D2" s="237"/>
      <c r="E2" s="237"/>
      <c r="F2" s="237"/>
      <c r="G2" s="249"/>
      <c r="H2" s="250" t="s">
        <v>115</v>
      </c>
      <c r="I2" s="237"/>
      <c r="J2" s="237"/>
      <c r="K2" s="237"/>
      <c r="L2" s="237"/>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6" t="s">
        <v>123</v>
      </c>
      <c r="D10" s="246"/>
      <c r="E10" s="246"/>
      <c r="F10" s="246"/>
      <c r="G10" s="246"/>
      <c r="H10" s="246"/>
      <c r="I10" s="246"/>
      <c r="J10" s="246"/>
      <c r="K10" s="246"/>
      <c r="L10" s="246"/>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6" t="s">
        <v>197</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6" t="s">
        <v>200</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6" t="s">
        <v>201</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7" t="s">
        <v>206</v>
      </c>
      <c r="C37" s="237"/>
      <c r="N37" s="91"/>
    </row>
    <row r="38" spans="2:14" x14ac:dyDescent="0.2">
      <c r="B38" s="1" t="s">
        <v>207</v>
      </c>
      <c r="C38" s="64">
        <f>L7</f>
        <v>14376.880278018019</v>
      </c>
    </row>
    <row r="39" spans="2:14" x14ac:dyDescent="0.2">
      <c r="B39" s="1" t="s">
        <v>166</v>
      </c>
      <c r="C39" s="137">
        <f ca="1">IF(Overview!C28&gt;0,Overview!C28,WACC!C20)</f>
        <v>0.10630864763461223</v>
      </c>
    </row>
    <row r="40" spans="2:14" x14ac:dyDescent="0.2">
      <c r="B40" s="39" t="s">
        <v>208</v>
      </c>
      <c r="C40" s="105">
        <v>20</v>
      </c>
    </row>
    <row r="41" spans="2:14" x14ac:dyDescent="0.2">
      <c r="B41" s="1" t="s">
        <v>204</v>
      </c>
      <c r="C41" s="24">
        <f>(C38*C40)</f>
        <v>287537.60556036036</v>
      </c>
    </row>
    <row r="42" spans="2:14" x14ac:dyDescent="0.2">
      <c r="B42" s="1" t="s">
        <v>359</v>
      </c>
      <c r="C42" s="24">
        <f ca="1">C41/(1+C39)^5-G30+G31</f>
        <v>173890.44807526353</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172871.44807526353</v>
      </c>
    </row>
    <row r="46" spans="2:14" x14ac:dyDescent="0.2">
      <c r="B46" s="1" t="s">
        <v>69</v>
      </c>
      <c r="C46" s="88">
        <f>Statement!AC78</f>
        <v>398</v>
      </c>
    </row>
    <row r="47" spans="2:14" x14ac:dyDescent="0.2">
      <c r="B47" s="143" t="s">
        <v>210</v>
      </c>
      <c r="C47" s="144">
        <f ca="1">C45/C46</f>
        <v>434.3503720484008</v>
      </c>
    </row>
    <row r="49" spans="2:3" x14ac:dyDescent="0.2">
      <c r="B49" s="237" t="s">
        <v>211</v>
      </c>
      <c r="C49" s="237"/>
    </row>
    <row r="50" spans="2:3" x14ac:dyDescent="0.2">
      <c r="B50" s="1" t="s">
        <v>212</v>
      </c>
      <c r="C50" s="64">
        <f>L6</f>
        <v>39388.713090460325</v>
      </c>
    </row>
    <row r="51" spans="2:3" x14ac:dyDescent="0.2">
      <c r="B51" s="1" t="s">
        <v>358</v>
      </c>
      <c r="C51" s="137">
        <f>IF(Overview!C29&gt;0,Overview!C29,WACC!C19)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37" t="s">
        <v>328</v>
      </c>
      <c r="C57" s="237"/>
    </row>
    <row r="58" spans="2:3" x14ac:dyDescent="0.2">
      <c r="B58" s="1" t="s">
        <v>214</v>
      </c>
      <c r="C58" s="64">
        <f>L8</f>
        <v>12411.378160399478</v>
      </c>
    </row>
    <row r="59" spans="2:3" x14ac:dyDescent="0.2">
      <c r="B59" s="1" t="s">
        <v>166</v>
      </c>
      <c r="C59" s="137">
        <f ca="1">IF(Overview!C28&gt;0,Overview!C28,WACC!C20)</f>
        <v>0.10630864763461223</v>
      </c>
    </row>
    <row r="60" spans="2:3" x14ac:dyDescent="0.2">
      <c r="B60" s="39" t="s">
        <v>360</v>
      </c>
      <c r="C60" s="105">
        <v>17</v>
      </c>
    </row>
    <row r="61" spans="2:3" x14ac:dyDescent="0.2">
      <c r="B61" s="1" t="s">
        <v>204</v>
      </c>
      <c r="C61" s="24">
        <f>(C58*C60)</f>
        <v>210993.42872679111</v>
      </c>
    </row>
    <row r="62" spans="2:3" x14ac:dyDescent="0.2">
      <c r="B62" s="1" t="s">
        <v>359</v>
      </c>
      <c r="C62" s="24">
        <f ca="1">C61/(1+C59)^5-G30+G31</f>
        <v>127702.29236193126</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126683.29236193126</v>
      </c>
    </row>
    <row r="66" spans="2:3" x14ac:dyDescent="0.2">
      <c r="B66" s="1" t="s">
        <v>69</v>
      </c>
      <c r="C66" s="88">
        <f>Statement!AC78</f>
        <v>398</v>
      </c>
    </row>
    <row r="67" spans="2:3" x14ac:dyDescent="0.2">
      <c r="B67" s="143" t="s">
        <v>210</v>
      </c>
      <c r="C67" s="144">
        <f ca="1">C65/C66</f>
        <v>318.29972955259109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7" t="s">
        <v>216</v>
      </c>
      <c r="C4" s="237"/>
      <c r="N4" s="91"/>
    </row>
    <row r="5" spans="1:14" x14ac:dyDescent="0.2">
      <c r="B5" s="1" t="s">
        <v>217</v>
      </c>
      <c r="C5" s="135">
        <f ca="1">DCF!C26</f>
        <v>313.63279917500302</v>
      </c>
    </row>
    <row r="6" spans="1:14" x14ac:dyDescent="0.2">
      <c r="B6" s="1" t="s">
        <v>218</v>
      </c>
      <c r="C6" s="135">
        <f ca="1">Multiples!C47</f>
        <v>434.3503720484008</v>
      </c>
    </row>
    <row r="7" spans="1:14" x14ac:dyDescent="0.2">
      <c r="B7" s="1" t="s">
        <v>219</v>
      </c>
      <c r="C7" s="135">
        <f>Multiples!C55</f>
        <v>323.39164811633128</v>
      </c>
    </row>
    <row r="8" spans="1:14" x14ac:dyDescent="0.2">
      <c r="B8" s="1" t="s">
        <v>329</v>
      </c>
      <c r="C8" s="135">
        <f ca="1">Multiples!C67</f>
        <v>318.29972955259109</v>
      </c>
    </row>
    <row r="9" spans="1:14" x14ac:dyDescent="0.2">
      <c r="B9" s="143" t="s">
        <v>220</v>
      </c>
      <c r="C9" s="144">
        <f ca="1">AVERAGE(C5:C8)</f>
        <v>347.41863722308153</v>
      </c>
    </row>
    <row r="10" spans="1:14" x14ac:dyDescent="0.2">
      <c r="B10" s="1" t="s">
        <v>221</v>
      </c>
      <c r="C10" s="135">
        <f ca="1">Overview!C5</f>
        <v>266.51</v>
      </c>
    </row>
    <row r="11" spans="1:14" x14ac:dyDescent="0.2">
      <c r="B11" s="1" t="s">
        <v>222</v>
      </c>
      <c r="C11" s="156">
        <f ca="1">(C9-C10)/C10</f>
        <v>0.3035857462124556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409</v>
      </c>
    </row>
    <row r="2" spans="1:14" x14ac:dyDescent="0.2">
      <c r="A2" s="4"/>
      <c r="C2" s="237" t="s">
        <v>114</v>
      </c>
      <c r="D2" s="237"/>
      <c r="E2" s="237"/>
      <c r="F2" s="237"/>
      <c r="G2" s="249"/>
      <c r="H2" s="250" t="s">
        <v>115</v>
      </c>
      <c r="I2" s="237"/>
      <c r="J2" s="237"/>
      <c r="K2" s="237"/>
      <c r="L2" s="237"/>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249</v>
      </c>
      <c r="C6" s="232">
        <f>Statement!M26</f>
        <v>10.02</v>
      </c>
      <c r="D6" s="232">
        <f>Statement!N26</f>
        <v>10.1</v>
      </c>
      <c r="E6" s="232">
        <f>Statement!O26</f>
        <v>11.82</v>
      </c>
      <c r="F6" s="232">
        <f>Statement!P26</f>
        <v>14.577777777777778</v>
      </c>
      <c r="G6" s="233">
        <f>Statement!Q26</f>
        <v>16.7</v>
      </c>
      <c r="H6" s="139"/>
      <c r="I6" s="139"/>
      <c r="J6" s="139"/>
      <c r="K6" s="139"/>
      <c r="L6" s="139"/>
      <c r="N6" s="91"/>
    </row>
    <row r="7" spans="1:14" x14ac:dyDescent="0.2">
      <c r="B7" s="16" t="s">
        <v>410</v>
      </c>
      <c r="C7" s="232">
        <f>Statement!M82</f>
        <v>0</v>
      </c>
      <c r="D7" s="232">
        <f>Statement!N82</f>
        <v>0</v>
      </c>
      <c r="E7" s="232">
        <f>Statement!O82</f>
        <v>0</v>
      </c>
      <c r="F7" s="232">
        <f>Statement!P82</f>
        <v>0</v>
      </c>
      <c r="G7" s="233">
        <f>Statement!Q82</f>
        <v>0</v>
      </c>
      <c r="H7" s="139"/>
      <c r="I7" s="139"/>
      <c r="J7" s="139"/>
      <c r="K7" s="139"/>
      <c r="L7" s="139"/>
      <c r="N7" s="91"/>
    </row>
    <row r="8" spans="1:14" x14ac:dyDescent="0.2">
      <c r="N8" s="91"/>
    </row>
    <row r="9" spans="1:14" x14ac:dyDescent="0.2">
      <c r="C9" s="246" t="s">
        <v>123</v>
      </c>
      <c r="D9" s="246"/>
      <c r="E9" s="246"/>
      <c r="F9" s="246"/>
      <c r="G9" s="246"/>
      <c r="H9" s="246"/>
      <c r="I9" s="246"/>
      <c r="J9" s="246"/>
      <c r="K9" s="246"/>
      <c r="L9" s="246"/>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249</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250</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6" t="s">
        <v>411</v>
      </c>
      <c r="D14" s="246"/>
      <c r="E14" s="246"/>
      <c r="F14" s="246"/>
      <c r="G14" s="246"/>
      <c r="H14" s="246"/>
      <c r="I14" s="246"/>
      <c r="J14" s="246"/>
      <c r="K14" s="246"/>
      <c r="L14" s="246"/>
      <c r="N14" s="91"/>
    </row>
    <row r="15" spans="1:14" x14ac:dyDescent="0.2">
      <c r="B15" s="16" t="s">
        <v>343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412</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7" t="s">
        <v>413</v>
      </c>
      <c r="C20" s="237"/>
      <c r="N20" s="91"/>
    </row>
    <row r="21" spans="2:14" x14ac:dyDescent="0.2">
      <c r="B21" s="1" t="s">
        <v>414</v>
      </c>
      <c r="C21" s="234">
        <f>G7</f>
        <v>0</v>
      </c>
    </row>
    <row r="22" spans="2:14" x14ac:dyDescent="0.2">
      <c r="B22" s="1" t="s">
        <v>415</v>
      </c>
      <c r="C22" s="235">
        <v>0</v>
      </c>
    </row>
    <row r="23" spans="2:14" x14ac:dyDescent="0.2">
      <c r="B23" s="39" t="s">
        <v>416</v>
      </c>
      <c r="C23" s="236">
        <f>C21*(1+C22)</f>
        <v>0</v>
      </c>
    </row>
    <row r="24" spans="2:14" x14ac:dyDescent="0.2">
      <c r="B24" s="1" t="s">
        <v>358</v>
      </c>
      <c r="C24" s="137">
        <f>IF(Overview!C29&gt;0,Overview!C29,WACC!C19)</f>
        <v>0.1</v>
      </c>
    </row>
    <row r="25" spans="2:14" x14ac:dyDescent="0.2">
      <c r="B25" s="39" t="s">
        <v>417</v>
      </c>
      <c r="C25" s="235">
        <v>0</v>
      </c>
    </row>
    <row r="26" spans="2:14" x14ac:dyDescent="0.2">
      <c r="B26" s="143" t="s">
        <v>210</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76214.030088566855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9290.7919154464089</v>
      </c>
      <c r="I10" s="128">
        <f t="shared" ref="I10:L10" ca="1" si="1">I7/(1+$C$21)^I9</f>
        <v>7474.2295673334502</v>
      </c>
      <c r="J10" s="128">
        <f t="shared" ca="1" si="1"/>
        <v>6012.8467124879517</v>
      </c>
      <c r="K10" s="128">
        <f t="shared" ca="1" si="1"/>
        <v>4837.197635177241</v>
      </c>
      <c r="L10" s="128">
        <f t="shared" ca="1" si="1"/>
        <v>3891.4148456784183</v>
      </c>
      <c r="N10" s="91"/>
    </row>
    <row r="11" spans="1:28" x14ac:dyDescent="0.2">
      <c r="B11" s="1" t="s">
        <v>184</v>
      </c>
      <c r="C11" s="139"/>
      <c r="D11" s="139"/>
      <c r="E11" s="139"/>
      <c r="F11" s="139"/>
      <c r="G11" s="140"/>
      <c r="H11" s="139"/>
      <c r="I11" s="139"/>
      <c r="J11" s="139"/>
      <c r="K11" s="139"/>
      <c r="L11" s="128">
        <f ca="1">L8/(1+C21)^L9</f>
        <v>45988.939131519968</v>
      </c>
    </row>
    <row r="13" spans="1:28" ht="17" thickBot="1" x14ac:dyDescent="0.25"/>
    <row r="14" spans="1:28" x14ac:dyDescent="0.2">
      <c r="B14" s="252" t="s">
        <v>224</v>
      </c>
      <c r="C14" s="253"/>
    </row>
    <row r="15" spans="1:28" x14ac:dyDescent="0.2">
      <c r="B15" s="157" t="s">
        <v>225</v>
      </c>
      <c r="C15" s="158">
        <f ca="1">Overview!C5</f>
        <v>266.51</v>
      </c>
    </row>
    <row r="16" spans="1:28" x14ac:dyDescent="0.2">
      <c r="B16" s="157" t="s">
        <v>226</v>
      </c>
      <c r="C16" s="158">
        <f ca="1">C36</f>
        <v>192.15180856191816</v>
      </c>
    </row>
    <row r="17" spans="2:9" ht="17" thickBot="1" x14ac:dyDescent="0.25">
      <c r="B17" s="159" t="s">
        <v>330</v>
      </c>
      <c r="C17" s="160">
        <v>-0.11</v>
      </c>
      <c r="E17" s="254" t="s">
        <v>227</v>
      </c>
      <c r="F17" s="254"/>
      <c r="G17" s="254"/>
      <c r="H17" s="254"/>
      <c r="I17" s="254"/>
    </row>
    <row r="18" spans="2:9" ht="17" thickBot="1" x14ac:dyDescent="0.25"/>
    <row r="19" spans="2:9" x14ac:dyDescent="0.2">
      <c r="B19" s="252" t="s">
        <v>185</v>
      </c>
      <c r="C19" s="253"/>
    </row>
    <row r="20" spans="2:9" x14ac:dyDescent="0.2">
      <c r="B20" s="161" t="s">
        <v>186</v>
      </c>
      <c r="C20" s="162">
        <v>0.02</v>
      </c>
    </row>
    <row r="21" spans="2:9" x14ac:dyDescent="0.2">
      <c r="B21" s="161" t="s">
        <v>166</v>
      </c>
      <c r="C21" s="224">
        <f ca="1">IF(Overview!C28&gt;0,Overview!C28,WACC!C20)</f>
        <v>0.10630864763461223</v>
      </c>
    </row>
    <row r="22" spans="2:9" x14ac:dyDescent="0.2">
      <c r="B22" s="161" t="s">
        <v>69</v>
      </c>
      <c r="C22" s="225">
        <f>Statement!AC75</f>
        <v>398</v>
      </c>
    </row>
    <row r="23" spans="2:9" x14ac:dyDescent="0.2">
      <c r="B23" s="161" t="s">
        <v>228</v>
      </c>
      <c r="C23" s="163">
        <f ca="1">C15*C22</f>
        <v>106070.98</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107089.98</v>
      </c>
    </row>
    <row r="27" spans="2:9" ht="17" thickBot="1" x14ac:dyDescent="0.25"/>
    <row r="28" spans="2:9" x14ac:dyDescent="0.2">
      <c r="B28" s="252" t="s">
        <v>187</v>
      </c>
      <c r="C28" s="253"/>
    </row>
    <row r="29" spans="2:9" x14ac:dyDescent="0.2">
      <c r="B29" s="161" t="s">
        <v>188</v>
      </c>
      <c r="C29" s="163">
        <f ca="1">SUM(H10:L10)</f>
        <v>31506.480676123465</v>
      </c>
    </row>
    <row r="30" spans="2:9" x14ac:dyDescent="0.2">
      <c r="B30" s="161" t="s">
        <v>184</v>
      </c>
      <c r="C30" s="163">
        <f ca="1">L11</f>
        <v>45988.939131519968</v>
      </c>
    </row>
    <row r="31" spans="2:9" x14ac:dyDescent="0.2">
      <c r="B31" s="165" t="s">
        <v>189</v>
      </c>
      <c r="C31" s="166">
        <f ca="1">C29+C30</f>
        <v>77495.419807643426</v>
      </c>
    </row>
    <row r="32" spans="2:9" x14ac:dyDescent="0.2">
      <c r="B32" s="161" t="s">
        <v>190</v>
      </c>
      <c r="C32" s="167">
        <f>C24</f>
        <v>5626</v>
      </c>
    </row>
    <row r="33" spans="2:12" x14ac:dyDescent="0.2">
      <c r="B33" s="161" t="s">
        <v>191</v>
      </c>
      <c r="C33" s="167">
        <f>C25</f>
        <v>6645</v>
      </c>
    </row>
    <row r="34" spans="2:12" x14ac:dyDescent="0.2">
      <c r="B34" s="165" t="s">
        <v>192</v>
      </c>
      <c r="C34" s="166">
        <f ca="1">C31+C32-C33</f>
        <v>76476.419807643426</v>
      </c>
    </row>
    <row r="35" spans="2:12" x14ac:dyDescent="0.2">
      <c r="B35" s="161" t="s">
        <v>69</v>
      </c>
      <c r="C35" s="163">
        <f>C22</f>
        <v>398</v>
      </c>
    </row>
    <row r="36" spans="2:12" ht="17" thickBot="1" x14ac:dyDescent="0.25">
      <c r="B36" s="168" t="s">
        <v>193</v>
      </c>
      <c r="C36" s="169">
        <f ca="1">C34/C35</f>
        <v>192.15180856191816</v>
      </c>
    </row>
    <row r="39" spans="2:12" x14ac:dyDescent="0.2">
      <c r="C39" s="246" t="s">
        <v>230</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2026-09-04T21:32:52Z</dcterms:modified>
</cp:coreProperties>
</file>