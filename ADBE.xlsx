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ED36E65-99B9-CA43-97BF-0427E7EC6B1D}"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 i="2" l="1"/>
  <c r="C35" i="2"/>
  <c r="C10" i="21"/>
  <c r="C3" i="2"/>
  <c r="C9" i="21"/>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L6" i="30"/>
  <c r="L40" i="30" s="1"/>
  <c r="K6" i="30"/>
  <c r="K40" i="30" s="1"/>
  <c r="J6" i="30"/>
  <c r="J40" i="30" s="1"/>
  <c r="I6" i="30"/>
  <c r="I40" i="30" s="1"/>
  <c r="H6" i="30"/>
  <c r="H40" i="30" s="1"/>
  <c r="G6" i="30"/>
  <c r="G40" i="30" s="1"/>
  <c r="F6" i="30"/>
  <c r="F40" i="30" s="1"/>
  <c r="E6" i="30"/>
  <c r="E40" i="30" s="1"/>
  <c r="D6" i="30"/>
  <c r="D40" i="30" s="1"/>
  <c r="C6" i="30"/>
  <c r="C40" i="30" s="1"/>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9" l="1"/>
  <c r="C15" i="30"/>
  <c r="C35" i="30"/>
  <c r="C23" i="30"/>
  <c r="C26" i="30" s="1"/>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C15" i="2"/>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C19" i="21"/>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C6" i="21"/>
  <c r="C7" i="21" s="1"/>
  <c r="Z14" i="6"/>
  <c r="Z13" i="6"/>
  <c r="J111" i="3"/>
  <c r="Y14" i="6"/>
  <c r="N63" i="3"/>
  <c r="T15" i="6"/>
  <c r="C13" i="2"/>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C11" i="2" s="1"/>
  <c r="Q13" i="3"/>
  <c r="N7" i="3"/>
  <c r="N23" i="3"/>
  <c r="N13" i="3"/>
  <c r="J108" i="3"/>
  <c r="J109" i="3" s="1"/>
  <c r="J106" i="3"/>
  <c r="J107" i="3" s="1"/>
  <c r="G46" i="30" l="1"/>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C18" i="2"/>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C17" i="21"/>
  <c r="C16" i="21"/>
  <c r="R13" i="3"/>
  <c r="I41" i="30" l="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c r="C56" i="28" l="1"/>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C48" i="28"/>
  <c r="C39" i="28"/>
  <c r="K9" i="6"/>
  <c r="L8" i="6"/>
  <c r="L9" i="6" s="1"/>
  <c r="G3" i="23"/>
  <c r="H3" i="1"/>
  <c r="C15" i="22"/>
  <c r="AE7" i="6"/>
  <c r="AE6" i="6"/>
  <c r="I10" i="30" l="1"/>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C31" i="30" s="1"/>
  <c r="C34" i="30" s="1"/>
  <c r="C36" i="30" s="1"/>
  <c r="C16"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K47" i="30" l="1"/>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<sst xmlns="http://schemas.openxmlformats.org/spreadsheetml/2006/main" count="710" uniqueCount="351">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</sst>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44.16</v>
          </cell>
        </row>
        <row r="18">
          <cell r="C18">
            <v>250.17</v>
          </cell>
          <cell r="F18">
            <v>1.4159999999999999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topLeftCell="A3" zoomScale="150" workbookViewId="0">
      <selection activeCell="C34" sqref="C3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[1]Sheet1!$C$18</f>
        <v>250.17</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$C$3/'Statement Q'!$N$24</f>
        <v>14.585730091564928</v>
      </c>
    </row>
    <row r="12" spans="2:5" x14ac:dyDescent="0.2">
      <c r="B12" s="1" t="s">
        <v>181</v>
      </c>
      <c r="C12" s="92">
        <f>$C$3/Statements!W24</f>
        <v>14.585730091564928</v>
      </c>
    </row>
    <row r="13" spans="2:5" x14ac:dyDescent="0.2">
      <c r="B13" s="1" t="s">
        <v>108</v>
      </c>
      <c r="C13" s="97">
        <f>$C$3/('Statement Q'!$N$5/'Statement Q'!$N$22)</f>
        <v>4.2994292111397368</v>
      </c>
    </row>
    <row r="15" spans="2:5" x14ac:dyDescent="0.2">
      <c r="B15" s="1" t="s">
        <v>140</v>
      </c>
      <c r="C15" s="20">
        <f>C3*'Statement Q'!N116</f>
        <v>101068.68</v>
      </c>
    </row>
    <row r="16" spans="2:5" x14ac:dyDescent="0.2">
      <c r="B16" s="1" t="s">
        <v>141</v>
      </c>
      <c r="C16" s="20">
        <f>Statements!W27</f>
        <v>6890</v>
      </c>
    </row>
    <row r="17" spans="1:4" x14ac:dyDescent="0.2">
      <c r="B17" s="1" t="s">
        <v>137</v>
      </c>
      <c r="C17" s="20">
        <f>Statements!W41+Statements!W46</f>
        <v>6228</v>
      </c>
    </row>
    <row r="18" spans="1:4" x14ac:dyDescent="0.2">
      <c r="B18" s="1" t="s">
        <v>142</v>
      </c>
      <c r="C18" s="20">
        <f>C15+C17-C16</f>
        <v>100406.68</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71" activePane="bottomRight" state="frozen"/>
      <selection pane="topRight" activeCell="C1" sqref="C1"/>
      <selection pane="bottomLeft" activeCell="A4" sqref="A4"/>
      <selection pane="bottomRight" activeCell="B12" sqref="B1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2" t="s">
        <v>75</v>
      </c>
      <c r="Q4" s="213"/>
      <c r="R4" s="214"/>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topLeftCell="B1"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5" t="s">
        <v>102</v>
      </c>
      <c r="D2" s="215"/>
      <c r="E2" s="215"/>
      <c r="F2" s="215"/>
      <c r="G2" s="218"/>
      <c r="H2" s="219" t="s">
        <v>103</v>
      </c>
      <c r="I2" s="215"/>
      <c r="J2" s="215"/>
      <c r="K2" s="215"/>
      <c r="L2" s="215"/>
      <c r="O2" s="89"/>
      <c r="S2" s="215" t="s">
        <v>102</v>
      </c>
      <c r="T2" s="215"/>
      <c r="U2" s="215"/>
      <c r="V2" s="215"/>
      <c r="W2" s="215"/>
      <c r="X2" s="215"/>
      <c r="Y2" s="215"/>
      <c r="Z2" s="215"/>
      <c r="AA2" s="215" t="s">
        <v>103</v>
      </c>
      <c r="AB2" s="215"/>
      <c r="AC2" s="215"/>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5" t="s">
        <v>102</v>
      </c>
      <c r="D2" s="215"/>
      <c r="E2" s="215"/>
      <c r="F2" s="215"/>
      <c r="G2" s="218"/>
      <c r="H2" s="219" t="s">
        <v>103</v>
      </c>
      <c r="I2" s="215"/>
      <c r="J2" s="215"/>
      <c r="K2" s="215"/>
      <c r="L2" s="215"/>
      <c r="P2" s="215" t="s">
        <v>102</v>
      </c>
      <c r="Q2" s="215"/>
      <c r="R2" s="215"/>
      <c r="S2" s="215"/>
      <c r="T2" s="215"/>
      <c r="U2" s="215"/>
      <c r="V2" s="215"/>
      <c r="W2" s="215"/>
      <c r="X2" s="215" t="s">
        <v>103</v>
      </c>
      <c r="Y2" s="215"/>
      <c r="Z2" s="215"/>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A17"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5" t="s">
        <v>102</v>
      </c>
      <c r="D2" s="215"/>
      <c r="E2" s="215"/>
      <c r="F2" s="215"/>
      <c r="G2" s="218"/>
      <c r="H2" s="219" t="s">
        <v>103</v>
      </c>
      <c r="I2" s="215"/>
      <c r="J2" s="215"/>
      <c r="K2" s="215"/>
      <c r="L2" s="215"/>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8"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5" t="s">
        <v>151</v>
      </c>
      <c r="C4" s="215"/>
    </row>
    <row r="5" spans="1:3" ht="17" customHeight="1" x14ac:dyDescent="0.2">
      <c r="B5" s="1" t="s">
        <v>152</v>
      </c>
      <c r="C5" s="131">
        <f>'Statement Q'!N116</f>
        <v>404</v>
      </c>
    </row>
    <row r="6" spans="1:3" ht="17" customHeight="1" x14ac:dyDescent="0.2">
      <c r="B6" s="1" t="s">
        <v>73</v>
      </c>
      <c r="C6" s="144">
        <f>Overview!C3</f>
        <v>250.17</v>
      </c>
    </row>
    <row r="7" spans="1:3" ht="17" customHeight="1" x14ac:dyDescent="0.2">
      <c r="B7" s="1" t="s">
        <v>138</v>
      </c>
      <c r="C7" s="146">
        <f>C5*C6</f>
        <v>101068.68</v>
      </c>
    </row>
    <row r="8" spans="1:3" ht="17" customHeight="1" x14ac:dyDescent="0.2">
      <c r="B8" s="1" t="s">
        <v>137</v>
      </c>
      <c r="C8" s="131">
        <f>Statements!W41+Statements!W46</f>
        <v>6228</v>
      </c>
    </row>
    <row r="9" spans="1:3" ht="17" customHeight="1" x14ac:dyDescent="0.2">
      <c r="B9" s="1" t="s">
        <v>153</v>
      </c>
      <c r="C9" s="169">
        <f>[1]Sheet1!$C$10/1000</f>
        <v>4.4159999999999998E-2</v>
      </c>
    </row>
    <row r="10" spans="1:3" ht="17" customHeight="1" x14ac:dyDescent="0.2">
      <c r="B10" s="1" t="s">
        <v>154</v>
      </c>
      <c r="C10" s="144">
        <f>[1]Sheet1!$F$18</f>
        <v>1.4159999999999999</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5" t="s">
        <v>157</v>
      </c>
      <c r="C15" s="215"/>
    </row>
    <row r="16" spans="1:3" ht="17" customHeight="1" x14ac:dyDescent="0.2">
      <c r="B16" s="1" t="s">
        <v>148</v>
      </c>
      <c r="C16" s="147">
        <f>C8/(C8+C7)</f>
        <v>5.8044666433295047E-2</v>
      </c>
    </row>
    <row r="17" spans="2:3" ht="17" customHeight="1" x14ac:dyDescent="0.2">
      <c r="B17" s="1" t="s">
        <v>149</v>
      </c>
      <c r="C17" s="147">
        <f>C7/(C8+C7)</f>
        <v>0.94195533356670491</v>
      </c>
    </row>
    <row r="18" spans="2:3" ht="17" customHeight="1" x14ac:dyDescent="0.2">
      <c r="B18" s="1" t="s">
        <v>158</v>
      </c>
      <c r="C18" s="147">
        <f>C13*(1-C12)</f>
        <v>4.2660000000000003E-2</v>
      </c>
    </row>
    <row r="19" spans="2:3" ht="17" customHeight="1" x14ac:dyDescent="0.2">
      <c r="B19" s="1" t="s">
        <v>150</v>
      </c>
      <c r="C19" s="147">
        <f>C9+C10*C11</f>
        <v>0.11496000000000001</v>
      </c>
    </row>
    <row r="20" spans="2:3" ht="17" customHeight="1" x14ac:dyDescent="0.2">
      <c r="B20" s="1" t="s">
        <v>147</v>
      </c>
      <c r="C20" s="147">
        <f>(C17*C19)+(C16*C18)</f>
        <v>0.11076337061687277</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2" zoomScale="188" zoomScaleNormal="100" workbookViewId="0">
      <selection activeCell="C25" sqref="C25"/>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L7*(1+C14)/(C15-C14)</f>
        <v>143641.44453798345</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H7/(1+$C$15)^H9</f>
        <v>7138.839663015875</v>
      </c>
      <c r="I10" s="132">
        <f t="shared" ref="I10:L10" si="0">I7/(1+$C$15)^I9</f>
        <v>7264.8572874901329</v>
      </c>
      <c r="J10" s="132">
        <f t="shared" si="0"/>
        <v>7256.1870102873463</v>
      </c>
      <c r="K10" s="132">
        <f t="shared" si="0"/>
        <v>7184.4616831227731</v>
      </c>
      <c r="L10" s="132">
        <f t="shared" si="0"/>
        <v>7108.0420965862731</v>
      </c>
      <c r="N10" s="90"/>
    </row>
    <row r="11" spans="1:28" x14ac:dyDescent="0.2">
      <c r="B11" s="1" t="s">
        <v>164</v>
      </c>
      <c r="C11" s="129"/>
      <c r="D11" s="129"/>
      <c r="E11" s="129"/>
      <c r="F11" s="129"/>
      <c r="G11" s="149"/>
      <c r="H11" s="129"/>
      <c r="I11" s="129"/>
      <c r="J11" s="129"/>
      <c r="K11" s="129"/>
      <c r="L11" s="132">
        <f>L8/(1+C15)^L9</f>
        <v>84951.688542515811</v>
      </c>
    </row>
    <row r="13" spans="1:28" x14ac:dyDescent="0.2">
      <c r="B13" s="215" t="s">
        <v>172</v>
      </c>
      <c r="C13" s="215"/>
    </row>
    <row r="14" spans="1:28" x14ac:dyDescent="0.2">
      <c r="B14" s="1" t="s">
        <v>161</v>
      </c>
      <c r="C14" s="138">
        <v>2.5000000000000001E-2</v>
      </c>
    </row>
    <row r="15" spans="1:28" x14ac:dyDescent="0.2">
      <c r="B15" s="1" t="s">
        <v>147</v>
      </c>
      <c r="C15" s="148">
        <f>WACC!C20</f>
        <v>0.11076337061687277</v>
      </c>
    </row>
    <row r="18" spans="2:3" x14ac:dyDescent="0.2">
      <c r="B18" s="215" t="s">
        <v>79</v>
      </c>
      <c r="C18" s="215"/>
    </row>
    <row r="19" spans="2:3" x14ac:dyDescent="0.2">
      <c r="B19" s="1" t="s">
        <v>170</v>
      </c>
      <c r="C19" s="103">
        <f>SUM(H10:L10)</f>
        <v>35952.387740502403</v>
      </c>
    </row>
    <row r="20" spans="2:3" x14ac:dyDescent="0.2">
      <c r="B20" s="1" t="s">
        <v>164</v>
      </c>
      <c r="C20" s="103">
        <f>L11</f>
        <v>84951.688542515811</v>
      </c>
    </row>
    <row r="21" spans="2:3" x14ac:dyDescent="0.2">
      <c r="B21" s="7" t="s">
        <v>167</v>
      </c>
      <c r="C21" s="108">
        <f>C19+C20</f>
        <v>120904.07628301822</v>
      </c>
    </row>
    <row r="22" spans="2:3" x14ac:dyDescent="0.2">
      <c r="B22" s="1" t="s">
        <v>165</v>
      </c>
      <c r="C22" s="20">
        <f>Statements!W27</f>
        <v>6890</v>
      </c>
    </row>
    <row r="23" spans="2:3" x14ac:dyDescent="0.2">
      <c r="B23" s="1" t="s">
        <v>166</v>
      </c>
      <c r="C23" s="20">
        <f>Statements!W41+Statements!W46</f>
        <v>6228</v>
      </c>
    </row>
    <row r="24" spans="2:3" x14ac:dyDescent="0.2">
      <c r="B24" s="7" t="s">
        <v>168</v>
      </c>
      <c r="C24" s="108">
        <f>C21+C22-C23</f>
        <v>121566.07628301822</v>
      </c>
    </row>
    <row r="25" spans="2:3" x14ac:dyDescent="0.2">
      <c r="B25" s="1" t="s">
        <v>4</v>
      </c>
      <c r="C25" s="103">
        <f>'Statement Q'!N116</f>
        <v>404</v>
      </c>
    </row>
    <row r="26" spans="2:3" x14ac:dyDescent="0.2">
      <c r="B26" s="150" t="s">
        <v>169</v>
      </c>
      <c r="C26" s="151">
        <f>C24/C25</f>
        <v>300.90612941341146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5" t="s">
        <v>102</v>
      </c>
      <c r="D2" s="215"/>
      <c r="E2" s="215"/>
      <c r="F2" s="215"/>
      <c r="G2" s="218"/>
      <c r="H2" s="219" t="s">
        <v>103</v>
      </c>
      <c r="I2" s="215"/>
      <c r="J2" s="215"/>
      <c r="K2" s="215"/>
      <c r="L2" s="215"/>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5" t="s">
        <v>259</v>
      </c>
      <c r="C37" s="215"/>
      <c r="N37" s="90"/>
    </row>
    <row r="38" spans="2:14" x14ac:dyDescent="0.2">
      <c r="B38" s="1" t="s">
        <v>260</v>
      </c>
      <c r="C38" s="103">
        <f>L7</f>
        <v>13897.290371541676</v>
      </c>
    </row>
    <row r="39" spans="2:14" x14ac:dyDescent="0.2">
      <c r="B39" s="1" t="s">
        <v>147</v>
      </c>
      <c r="C39" s="137">
        <f>WACC!C20</f>
        <v>0.11076337061687277</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C43/(1+C48)^5</f>
        <v>558.2161088962647</v>
      </c>
    </row>
    <row r="46" spans="2:14" x14ac:dyDescent="0.2">
      <c r="B46" s="215" t="s">
        <v>184</v>
      </c>
      <c r="C46" s="215"/>
    </row>
    <row r="47" spans="2:14" x14ac:dyDescent="0.2">
      <c r="B47" s="1" t="s">
        <v>185</v>
      </c>
      <c r="C47" s="103">
        <f>L6</f>
        <v>38252.850332990893</v>
      </c>
    </row>
    <row r="48" spans="2:14" x14ac:dyDescent="0.2">
      <c r="B48" s="1" t="s">
        <v>147</v>
      </c>
      <c r="C48" s="137">
        <f>WACC!C20</f>
        <v>0.11076337061687277</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C51/(1+C48)^5</f>
        <v>552.5321423001368</v>
      </c>
    </row>
    <row r="54" spans="2:3" x14ac:dyDescent="0.2">
      <c r="B54" s="215" t="s">
        <v>263</v>
      </c>
      <c r="C54" s="215"/>
    </row>
    <row r="55" spans="2:3" x14ac:dyDescent="0.2">
      <c r="B55" s="1" t="s">
        <v>264</v>
      </c>
      <c r="C55" s="103">
        <f>L8</f>
        <v>12018.706774491759</v>
      </c>
    </row>
    <row r="56" spans="2:3" x14ac:dyDescent="0.2">
      <c r="B56" s="1" t="s">
        <v>147</v>
      </c>
      <c r="C56" s="137">
        <f>WACC!C20</f>
        <v>0.11076337061687277</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C60/(1+C56)^5</f>
        <v>521.42000737021101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5" t="s">
        <v>192</v>
      </c>
      <c r="C4" s="215"/>
      <c r="N4" s="90"/>
    </row>
    <row r="5" spans="1:14" x14ac:dyDescent="0.2">
      <c r="B5" s="1" t="s">
        <v>189</v>
      </c>
      <c r="C5" s="166">
        <f>DCF!C26</f>
        <v>300.90612941341146</v>
      </c>
    </row>
    <row r="6" spans="1:14" x14ac:dyDescent="0.2">
      <c r="B6" s="1" t="s">
        <v>266</v>
      </c>
      <c r="C6" s="166">
        <f>Multiples!C44</f>
        <v>558.2161088962647</v>
      </c>
    </row>
    <row r="7" spans="1:14" x14ac:dyDescent="0.2">
      <c r="B7" s="1" t="s">
        <v>190</v>
      </c>
      <c r="C7" s="166">
        <f>Multiples!C52</f>
        <v>552.5321423001368</v>
      </c>
    </row>
    <row r="8" spans="1:14" x14ac:dyDescent="0.2">
      <c r="B8" s="1" t="s">
        <v>267</v>
      </c>
      <c r="C8" s="166">
        <f>Multiples!C61</f>
        <v>521.42000737021101</v>
      </c>
    </row>
    <row r="9" spans="1:14" x14ac:dyDescent="0.2">
      <c r="B9" s="150" t="s">
        <v>188</v>
      </c>
      <c r="C9" s="151">
        <f>AVERAGE(C5:C8)</f>
        <v>483.26859699500596</v>
      </c>
    </row>
    <row r="10" spans="1:14" x14ac:dyDescent="0.2">
      <c r="B10" s="1" t="s">
        <v>335</v>
      </c>
      <c r="C10" s="34">
        <f>Overview!C3</f>
        <v>250.17</v>
      </c>
    </row>
    <row r="11" spans="1:14" x14ac:dyDescent="0.2">
      <c r="B11" s="1" t="s">
        <v>336</v>
      </c>
      <c r="C11" s="88">
        <f>(C9-C10)/C10</f>
        <v>0.93176079064238715</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F5" zoomScale="209" zoomScaleNormal="100" workbookViewId="0">
      <selection activeCell="C26" sqref="C2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[2]Revenue!C5</f>
        <v>2021</v>
      </c>
      <c r="D6" s="61">
        <f>[2]Revenue!D5</f>
        <v>2022</v>
      </c>
      <c r="E6" s="61">
        <f>[2]Revenue!E5</f>
        <v>2023</v>
      </c>
      <c r="F6" s="61">
        <f>[2]Revenue!F5</f>
        <v>2024</v>
      </c>
      <c r="G6" s="61">
        <f>[2]Revenue!G5</f>
        <v>2025</v>
      </c>
      <c r="H6" s="61">
        <f>[2]Revenue!H5</f>
        <v>2026</v>
      </c>
      <c r="I6" s="61">
        <f>[2]Revenue!I5</f>
        <v>2027</v>
      </c>
      <c r="J6" s="61">
        <f>[2]Revenue!J5</f>
        <v>2028</v>
      </c>
      <c r="K6" s="61">
        <f>[2]Revenue!K5</f>
        <v>2029</v>
      </c>
      <c r="L6" s="61">
        <f>[2]Revenue!L5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L7*(1+C20)/(C21-C20)</f>
        <v>115705.50622470703</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H7/(1+$C$21)^H9</f>
        <v>7743.9324130708546</v>
      </c>
      <c r="I10" s="132">
        <f t="shared" ref="I10:L10" si="1">I7/(1+$C$21)^I9</f>
        <v>7180.8727191222506</v>
      </c>
      <c r="J10" s="132">
        <f t="shared" si="1"/>
        <v>6658.7529768723971</v>
      </c>
      <c r="K10" s="132">
        <f t="shared" si="1"/>
        <v>6174.5964510601652</v>
      </c>
      <c r="L10" s="132">
        <f t="shared" si="1"/>
        <v>5725.6428442180068</v>
      </c>
      <c r="N10" s="90"/>
    </row>
    <row r="11" spans="1:28" x14ac:dyDescent="0.2">
      <c r="B11" s="1" t="s">
        <v>164</v>
      </c>
      <c r="C11" s="129"/>
      <c r="D11" s="129"/>
      <c r="E11" s="129"/>
      <c r="F11" s="129"/>
      <c r="G11" s="149"/>
      <c r="H11" s="129"/>
      <c r="I11" s="129"/>
      <c r="J11" s="129"/>
      <c r="K11" s="129"/>
      <c r="L11" s="132">
        <f>L8/(1+C21)^L9</f>
        <v>68429.958770403697</v>
      </c>
    </row>
    <row r="13" spans="1:28" ht="17" thickBot="1" x14ac:dyDescent="0.25"/>
    <row r="14" spans="1:28" x14ac:dyDescent="0.2">
      <c r="B14" s="222" t="s">
        <v>338</v>
      </c>
      <c r="C14" s="223"/>
    </row>
    <row r="15" spans="1:28" x14ac:dyDescent="0.2">
      <c r="B15" s="196" t="s">
        <v>339</v>
      </c>
      <c r="C15" s="197">
        <f>Overview!C3</f>
        <v>250.17</v>
      </c>
    </row>
    <row r="16" spans="1:28" x14ac:dyDescent="0.2">
      <c r="B16" s="196" t="s">
        <v>340</v>
      </c>
      <c r="C16" s="197">
        <f>C36</f>
        <v>253.90038657115684</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WACC!C20</f>
        <v>0.11076337061687277</v>
      </c>
    </row>
    <row r="22" spans="2:9" x14ac:dyDescent="0.2">
      <c r="B22" s="200" t="s">
        <v>4</v>
      </c>
      <c r="C22" s="203">
        <f>'Statement Q'!N116</f>
        <v>404</v>
      </c>
    </row>
    <row r="23" spans="2:9" x14ac:dyDescent="0.2">
      <c r="B23" s="200" t="s">
        <v>140</v>
      </c>
      <c r="C23" s="203">
        <f>C15*C22</f>
        <v>101068.68</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C23+C25-C24</f>
        <v>100406.68</v>
      </c>
    </row>
    <row r="27" spans="2:9" ht="17" thickBot="1" x14ac:dyDescent="0.25"/>
    <row r="28" spans="2:9" x14ac:dyDescent="0.2">
      <c r="B28" s="222" t="s">
        <v>79</v>
      </c>
      <c r="C28" s="223"/>
    </row>
    <row r="29" spans="2:9" x14ac:dyDescent="0.2">
      <c r="B29" s="200" t="s">
        <v>170</v>
      </c>
      <c r="C29" s="203">
        <f>SUM(H10:L10)</f>
        <v>33483.797404343677</v>
      </c>
    </row>
    <row r="30" spans="2:9" x14ac:dyDescent="0.2">
      <c r="B30" s="200" t="s">
        <v>164</v>
      </c>
      <c r="C30" s="203">
        <f>L11</f>
        <v>68429.958770403697</v>
      </c>
    </row>
    <row r="31" spans="2:9" x14ac:dyDescent="0.2">
      <c r="B31" s="205" t="s">
        <v>167</v>
      </c>
      <c r="C31" s="206">
        <f>C29+C30</f>
        <v>101913.75617474737</v>
      </c>
    </row>
    <row r="32" spans="2:9" x14ac:dyDescent="0.2">
      <c r="B32" s="200" t="s">
        <v>165</v>
      </c>
      <c r="C32" s="207">
        <f>C24</f>
        <v>6890</v>
      </c>
    </row>
    <row r="33" spans="2:12" x14ac:dyDescent="0.2">
      <c r="B33" s="200" t="s">
        <v>166</v>
      </c>
      <c r="C33" s="207">
        <f>C25</f>
        <v>6228</v>
      </c>
    </row>
    <row r="34" spans="2:12" x14ac:dyDescent="0.2">
      <c r="B34" s="205" t="s">
        <v>168</v>
      </c>
      <c r="C34" s="206">
        <f>C31+C32-C33</f>
        <v>102575.75617474737</v>
      </c>
    </row>
    <row r="35" spans="2:12" x14ac:dyDescent="0.2">
      <c r="B35" s="200" t="s">
        <v>4</v>
      </c>
      <c r="C35" s="203">
        <f>C22</f>
        <v>404</v>
      </c>
    </row>
    <row r="36" spans="2:12" ht="17" thickBot="1" x14ac:dyDescent="0.25">
      <c r="B36" s="208" t="s">
        <v>169</v>
      </c>
      <c r="C36" s="209">
        <f>C34/C35</f>
        <v>253.90038657115684</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2026-05-06T22:15:34Z</dcterms:modified>
</cp:coreProperties>
</file>