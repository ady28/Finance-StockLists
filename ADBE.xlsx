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C1004C7-F8DA-EB43-9C62-09864B1797E7}" xr6:coauthVersionLast="47" xr6:coauthVersionMax="47" xr10:uidLastSave="{00000000-0000-0000-0000-000000000000}"/>
  <bookViews>
    <workbookView xWindow="0" yWindow="0" windowWidth="25600" windowHeight="14400" firstSheet="7"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3" i="12" l="1"/>
  <c r="C64" i="12"/>
  <c r="G15" i="8"/>
  <c r="F15" i="8"/>
  <c r="E15" i="8"/>
  <c r="D15" i="8"/>
  <c r="C15" i="8"/>
  <c r="AA153" i="3"/>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C24" i="21"/>
  <c r="G7" i="21"/>
  <c r="F7" i="21"/>
  <c r="E7" i="21"/>
  <c r="D7" i="21"/>
  <c r="C7" i="21"/>
  <c r="G6" i="21"/>
  <c r="F6" i="21"/>
  <c r="E6" i="21"/>
  <c r="D6" i="21"/>
  <c r="C6" i="21"/>
  <c r="G11" i="21"/>
  <c r="F11" i="21"/>
  <c r="E11" i="21"/>
  <c r="L5" i="21"/>
  <c r="K5" i="21"/>
  <c r="J5" i="21"/>
  <c r="I5" i="21"/>
  <c r="H5" i="21"/>
  <c r="G5" i="21"/>
  <c r="F5" i="21"/>
  <c r="E5" i="21"/>
  <c r="D5" i="21"/>
  <c r="C5" i="21"/>
  <c r="C53" i="12"/>
  <c r="C67" i="12"/>
  <c r="C66" i="12"/>
  <c r="C46" i="12"/>
  <c r="C45" i="12"/>
  <c r="G45" i="7"/>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C26" i="21" s="1"/>
  <c r="I10" i="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1"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1"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AC78" i="3" s="1"/>
  <c r="F20" i="12"/>
  <c r="D20" i="12"/>
  <c r="H13"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8" i="12"/>
  <c r="C69"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5"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AB14" i="6" l="1"/>
  <c r="H15" i="7"/>
  <c r="H30" i="7" s="1"/>
  <c r="H14" i="7"/>
  <c r="H29" i="7" s="1"/>
  <c r="H35" i="7" s="1"/>
  <c r="H22" i="8"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21" i="14" s="1"/>
  <c r="C7" i="12"/>
  <c r="C27" i="8"/>
  <c r="C28" i="8" s="1"/>
  <c r="F7" i="12"/>
  <c r="F27" i="8"/>
  <c r="F28" i="8" s="1"/>
  <c r="E7" i="12"/>
  <c r="E27" i="8"/>
  <c r="E28" i="8" s="1"/>
  <c r="AE6" i="5"/>
  <c r="H7" i="14" l="1"/>
  <c r="H27" i="8"/>
  <c r="H28" i="8" s="1"/>
  <c r="H34" i="8"/>
  <c r="H5" i="5"/>
  <c r="G12" i="5"/>
  <c r="G5" i="6"/>
  <c r="G5" i="8"/>
  <c r="G6" i="7"/>
  <c r="G6" i="14"/>
  <c r="F19" i="8"/>
  <c r="F14" i="8"/>
  <c r="F26" i="8"/>
  <c r="F32" i="8"/>
  <c r="F27" i="7"/>
  <c r="F34" i="7"/>
  <c r="F41" i="7"/>
  <c r="F12" i="7"/>
  <c r="F19" i="7"/>
  <c r="F22" i="6"/>
  <c r="F10" i="6"/>
  <c r="E23" i="12"/>
  <c r="E18" i="12"/>
  <c r="E12" i="12"/>
  <c r="E28" i="12"/>
  <c r="F14" i="12"/>
  <c r="C61" i="12"/>
  <c r="C40" i="12"/>
  <c r="C15" i="11"/>
  <c r="C26" i="16"/>
  <c r="F23" i="16" s="1"/>
  <c r="F13" i="1"/>
  <c r="G14" i="12"/>
  <c r="E14" i="12"/>
  <c r="C34" i="12"/>
  <c r="D14" i="12"/>
  <c r="H7"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I7" i="14" l="1"/>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H10" i="14"/>
  <c r="F35" i="12"/>
  <c r="E35" i="12"/>
  <c r="AA16" i="5"/>
  <c r="J7" i="14" l="1"/>
  <c r="I15" i="7"/>
  <c r="I30" i="7" s="1"/>
  <c r="I14" i="7"/>
  <c r="I29" i="7" s="1"/>
  <c r="I35" i="7" s="1"/>
  <c r="I22" i="8"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K9" i="8"/>
  <c r="K30" i="6"/>
  <c r="J7" i="8"/>
  <c r="J8" i="8" s="1"/>
  <c r="J26" i="6"/>
  <c r="J8" i="7"/>
  <c r="L36" i="7"/>
  <c r="L42" i="7"/>
  <c r="L13" i="7"/>
  <c r="L28" i="7" s="1"/>
  <c r="L45" i="7"/>
  <c r="L21" i="8" s="1"/>
  <c r="L13" i="12"/>
  <c r="C52" i="12"/>
  <c r="C56" i="12" s="1"/>
  <c r="C57" i="12" s="1"/>
  <c r="C7" i="13" s="1"/>
  <c r="I5" i="1" s="1"/>
  <c r="L11" i="6"/>
  <c r="L12" i="6"/>
  <c r="L13" i="6"/>
  <c r="L15" i="6"/>
  <c r="L16" i="6"/>
  <c r="L17" i="6"/>
  <c r="I10" i="8"/>
  <c r="I34" i="8" s="1"/>
  <c r="I16" i="5"/>
  <c r="J16" i="5"/>
  <c r="J10" i="14" l="1"/>
  <c r="K7" i="14"/>
  <c r="K8" i="7"/>
  <c r="K7" i="8"/>
  <c r="K8" i="8" s="1"/>
  <c r="K26" i="6"/>
  <c r="K15" i="7"/>
  <c r="K14" i="7"/>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I28" i="8" s="1"/>
  <c r="L18" i="6"/>
  <c r="K10" i="14" l="1"/>
  <c r="L7" i="14"/>
  <c r="K30" i="7"/>
  <c r="J35" i="7"/>
  <c r="J22" i="8" s="1"/>
  <c r="K33" i="8"/>
  <c r="K10" i="8"/>
  <c r="J34" i="8"/>
  <c r="J27" i="8"/>
  <c r="J7" i="12"/>
  <c r="J14" i="12" s="1"/>
  <c r="K29" i="7"/>
  <c r="L7" i="8"/>
  <c r="L8" i="8" s="1"/>
  <c r="L33" i="8" s="1"/>
  <c r="L8" i="7"/>
  <c r="I12" i="12"/>
  <c r="I23" i="12"/>
  <c r="I28" i="12"/>
  <c r="I18" i="12"/>
  <c r="L5" i="5"/>
  <c r="K12" i="5"/>
  <c r="K6" i="14"/>
  <c r="J10" i="6"/>
  <c r="J22" i="6"/>
  <c r="K5" i="6"/>
  <c r="K5" i="8"/>
  <c r="J14" i="8"/>
  <c r="J19" i="8"/>
  <c r="J26" i="8"/>
  <c r="J32" i="8"/>
  <c r="K6" i="7"/>
  <c r="J27" i="7"/>
  <c r="J19" i="7"/>
  <c r="J12" i="7"/>
  <c r="J41" i="7"/>
  <c r="J34" i="7"/>
  <c r="I14" i="12"/>
  <c r="L26" i="6"/>
  <c r="I7" i="11"/>
  <c r="I10" i="11" s="1"/>
  <c r="I9" i="12" s="1"/>
  <c r="I8" i="12"/>
  <c r="L9" i="8"/>
  <c r="L30" i="6"/>
  <c r="K16" i="5"/>
  <c r="L10" i="14" l="1"/>
  <c r="C29" i="14" s="1"/>
  <c r="L8" i="14"/>
  <c r="L11" i="14" s="1"/>
  <c r="C30" i="14" s="1"/>
  <c r="J28" i="8"/>
  <c r="K35" i="7"/>
  <c r="K22" i="8" s="1"/>
  <c r="J7" i="11"/>
  <c r="J10" i="11" s="1"/>
  <c r="J9" i="12" s="1"/>
  <c r="J8" i="12"/>
  <c r="J15" i="12"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I15" i="12"/>
  <c r="L16" i="5"/>
  <c r="C31" i="14" l="1"/>
  <c r="C34" i="14" s="1"/>
  <c r="C36" i="14" s="1"/>
  <c r="C16" i="14" s="1"/>
  <c r="K28" i="8"/>
  <c r="L34" i="8"/>
  <c r="L27" i="8"/>
  <c r="L7" i="12"/>
  <c r="K7" i="11"/>
  <c r="K10" i="11" s="1"/>
  <c r="K9" i="12" s="1"/>
  <c r="K8" i="12"/>
  <c r="K15" i="12" s="1"/>
  <c r="L35" i="7"/>
  <c r="L22" i="8" s="1"/>
  <c r="L28" i="8" s="1"/>
  <c r="K23" i="12"/>
  <c r="K18" i="12"/>
  <c r="K12" i="12"/>
  <c r="K28" i="12"/>
  <c r="L22" i="6"/>
  <c r="L10" i="6"/>
  <c r="L26" i="8"/>
  <c r="L19" i="8"/>
  <c r="L14" i="8"/>
  <c r="L32" i="8"/>
  <c r="L34" i="7"/>
  <c r="L41" i="7"/>
  <c r="L19" i="7"/>
  <c r="L27" i="7"/>
  <c r="L12" i="7"/>
  <c r="AC66" i="3"/>
  <c r="L14" i="12" l="1"/>
  <c r="C39" i="12"/>
  <c r="C42" i="12" s="1"/>
  <c r="C44" i="12" s="1"/>
  <c r="C47" i="12" s="1"/>
  <c r="L7" i="11"/>
  <c r="L8" i="12"/>
  <c r="L28" i="12"/>
  <c r="L23" i="12"/>
  <c r="L18" i="12"/>
  <c r="L12" i="12"/>
  <c r="C49" i="12" l="1"/>
  <c r="C6" i="13" s="1"/>
  <c r="I4" i="1" s="1"/>
  <c r="C60" i="12"/>
  <c r="C63" i="12" s="1"/>
  <c r="C65" i="12" s="1"/>
  <c r="C68" i="12" s="1"/>
  <c r="L15" i="12"/>
  <c r="L8" i="11"/>
  <c r="L11" i="11" s="1"/>
  <c r="C20" i="11" s="1"/>
  <c r="L10" i="11"/>
  <c r="C19" i="11" l="1"/>
  <c r="C21" i="11" s="1"/>
  <c r="C24" i="11" s="1"/>
  <c r="C26" i="11" s="1"/>
  <c r="C5" i="13" s="1"/>
  <c r="L9" i="12"/>
  <c r="C70" i="12"/>
  <c r="C8" i="13" s="1"/>
  <c r="I6" i="1"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<sst xmlns="http://schemas.openxmlformats.org/spreadsheetml/2006/main" count="749" uniqueCount="413">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</sst>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1.4074</v>
    <v>-3.46</v>
    <v>-1.4480999999999999E-2</v>
    <v>0.1835</v>
    <v>7.7930000000000002E-4</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241.16</v>
    <v>3</v>
    <v>Software &amp; IT Services</v>
    <v>Stock</v>
    <v>46290.841048911716</v>
    <v>4</v>
    <v>234.96</v>
    <v>91644924000</v>
    <v>ADOBE INC.</v>
    <v>ADOBE INC.</v>
    <v>238.85</v>
    <v>13.139799999999999</v>
    <v>238.93</v>
    <v>235.47</v>
    <v>235.65350000000001</v>
    <v>389200000</v>
    <v>ADBE</v>
    <v>ADOBE INC. (XNAS:ADBE)</v>
    <v>3092658</v>
    <v>5303349</v>
    <v>1997</v>
  </rv>
  <rv s="4">
    <v>5</v>
  </rv>
  <rv s="0">
    <v>https://www.bing.com/financeapi/forcetrigger?t=a33knm&amp;q=10+Y+TSY+YLD+NDX&amp;form=skydnc</v>
    <v>Learn more on Bing</v>
  </rv>
  <rv s="5">
    <v>7</v>
    <v>10 Y TSY YLD NDX</v>
    <v>8</v>
    <v>9</v>
    <v>Finance</v>
    <v>10</v>
    <v>en-US</v>
    <v>a33knm</v>
    <v>268435456</v>
    <v>1</v>
    <v>Powered by Refinitiv</v>
    <v>51.81</v>
    <v>39.47</v>
    <v>0.48</v>
    <v>9.3860000000000002E-3</v>
    <v>US</v>
    <v>51.81</v>
    <v>Index</v>
    <v>7</v>
    <v>50.87</v>
    <v>10 Y TSY YLD NDX</v>
    <v>51.21</v>
    <v>51.14</v>
    <v>51.62</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288</v>
      </c>
      <c r="F2" s="237"/>
      <c r="H2" s="236" t="s">
        <v>326</v>
      </c>
      <c r="I2" s="237"/>
    </row>
    <row r="3" spans="2:9" x14ac:dyDescent="0.2">
      <c r="B3" s="183" t="s">
        <v>11</v>
      </c>
      <c r="C3" s="215" t="e" vm="1">
        <v>#VALUE!</v>
      </c>
      <c r="D3" s="2"/>
      <c r="E3" s="183" t="s">
        <v>240</v>
      </c>
      <c r="F3" s="185">
        <f ca="1">Statement!AC153</f>
        <v>93717.06</v>
      </c>
      <c r="H3" s="183" t="str">
        <f>'AVG target price'!B5</f>
        <v>DCF price</v>
      </c>
      <c r="I3" s="209">
        <f ca="1">'AVG target price'!C5</f>
        <v>300.02121860664784</v>
      </c>
    </row>
    <row r="4" spans="2:9" x14ac:dyDescent="0.2">
      <c r="B4" s="183" t="s">
        <v>0</v>
      </c>
      <c r="C4" s="187" t="str" cm="1">
        <f t="array" aca="1" ref="C4" ca="1">_FV(C3,"Ticker symbol",TRUE)</f>
        <v>ADBE</v>
      </c>
      <c r="E4" s="184" t="s">
        <v>189</v>
      </c>
      <c r="F4" s="186">
        <f ca="1">Statement!AC154</f>
        <v>94736.06</v>
      </c>
      <c r="H4" s="183" t="str">
        <f>'AVG target price'!B6</f>
        <v>EV/EBIT price</v>
      </c>
      <c r="I4" s="209">
        <f ca="1">'AVG target price'!C6</f>
        <v>393.35077635092063</v>
      </c>
    </row>
    <row r="5" spans="2:9" x14ac:dyDescent="0.2">
      <c r="B5" s="183" t="s">
        <v>1</v>
      </c>
      <c r="C5" s="206" cm="1">
        <f t="array" aca="1" ref="C5" ca="1">_FV(C3,"Price",TRUE)</f>
        <v>235.47</v>
      </c>
      <c r="E5" s="183" t="s">
        <v>244</v>
      </c>
      <c r="F5" s="187">
        <f>Statement!AC26</f>
        <v>17.479999999999997</v>
      </c>
      <c r="H5" s="183" t="str">
        <f>'AVG target price'!B7</f>
        <v>PS price</v>
      </c>
      <c r="I5" s="209">
        <f>'AVG target price'!C7</f>
        <v>323.39164811633128</v>
      </c>
    </row>
    <row r="6" spans="2:9" x14ac:dyDescent="0.2">
      <c r="B6" s="183" t="s">
        <v>2</v>
      </c>
      <c r="C6" s="206" cm="1">
        <f t="array" aca="1" ref="C6" ca="1">_FV(C3,"Price (Extended hours)",TRUE)</f>
        <v>235.65350000000001</v>
      </c>
      <c r="E6" s="183" t="s">
        <v>238</v>
      </c>
      <c r="F6" s="188">
        <f ca="1">Statement!AC150</f>
        <v>13.470823798627004</v>
      </c>
      <c r="H6" s="183" t="str">
        <f>'AVG target price'!B8</f>
        <v>EV/FCFF price</v>
      </c>
      <c r="I6" s="209">
        <f ca="1">'AVG target price'!C8</f>
        <v>367.89735085887645</v>
      </c>
    </row>
    <row r="7" spans="2:9" x14ac:dyDescent="0.2">
      <c r="B7" s="183" t="s">
        <v>3</v>
      </c>
      <c r="C7" s="6" cm="1">
        <f t="array" aca="1" ref="C7" ca="1">_FV(C3,"Change")</f>
        <v>-3.46</v>
      </c>
      <c r="E7" s="184" t="s">
        <v>202</v>
      </c>
      <c r="F7" s="189">
        <f ca="1">Statement!AC151</f>
        <v>3.8640703627272006</v>
      </c>
      <c r="H7" s="182" t="str">
        <f>'AVG target price'!B9</f>
        <v>AVG price</v>
      </c>
      <c r="I7" s="210">
        <f ca="1">'AVG target price'!C9</f>
        <v>346.16524848319403</v>
      </c>
    </row>
    <row r="8" spans="2:9" x14ac:dyDescent="0.2">
      <c r="B8" s="183" t="s">
        <v>4</v>
      </c>
      <c r="C8" s="6" cm="1">
        <f t="array" aca="1" ref="C8" ca="1">_FV(C3,"Change (extended hours)",TRUE)</f>
        <v>0.1835</v>
      </c>
      <c r="E8" s="183" t="s">
        <v>266</v>
      </c>
      <c r="F8" s="190">
        <f ca="1">Statement!AC161</f>
        <v>8.7273331024255357E-2</v>
      </c>
      <c r="H8" s="182" t="str">
        <f>'AVG target price'!B11</f>
        <v>Upside/Downside</v>
      </c>
      <c r="I8" s="211">
        <f ca="1">'AVG target price'!C11</f>
        <v>0.47010340375926463</v>
      </c>
    </row>
    <row r="9" spans="2:9" x14ac:dyDescent="0.2">
      <c r="B9" s="183" t="s">
        <v>5</v>
      </c>
      <c r="C9" s="73" cm="1">
        <f t="array" aca="1" ref="C9" ca="1">_FV(C3,"Change (%)",TRUE)</f>
        <v>-1.4480999999999999E-2</v>
      </c>
      <c r="E9" s="183" t="s">
        <v>289</v>
      </c>
      <c r="F9" s="190">
        <f ca="1">Statement!AC162</f>
        <v>7.4234509703996254E-2</v>
      </c>
    </row>
    <row r="10" spans="2:9" x14ac:dyDescent="0.2">
      <c r="B10" s="183" t="s">
        <v>6</v>
      </c>
      <c r="C10" s="73" cm="1">
        <f t="array" aca="1" ref="C10" ca="1">_FV(C3,"Change % (extended hours)",TRUE)</f>
        <v>7.7930000000000002E-4</v>
      </c>
      <c r="E10" s="183" t="s">
        <v>294</v>
      </c>
      <c r="F10" s="190">
        <f ca="1">Statement!AC164</f>
        <v>9.7314192314611664E-2</v>
      </c>
      <c r="H10" s="182" t="s">
        <v>399</v>
      </c>
      <c r="I10" s="210">
        <f>DDM!C26</f>
        <v>0</v>
      </c>
    </row>
    <row r="11" spans="2:9" x14ac:dyDescent="0.2">
      <c r="B11" s="183" t="s">
        <v>7</v>
      </c>
      <c r="C11" s="207" cm="1">
        <f t="array" aca="1" ref="C11" ca="1">_FV(C3,"52 week high",TRUE)</f>
        <v>363.7</v>
      </c>
      <c r="E11" s="184" t="s">
        <v>290</v>
      </c>
      <c r="F11" s="191">
        <f ca="1">Statement!AC163</f>
        <v>0</v>
      </c>
    </row>
    <row r="12" spans="2:9" x14ac:dyDescent="0.2">
      <c r="B12" s="183" t="s">
        <v>8</v>
      </c>
      <c r="C12" s="207" cm="1">
        <f t="array" aca="1" ref="C12" ca="1">_FV(C3,"52 week low",TRUE)</f>
        <v>190.12</v>
      </c>
      <c r="E12" s="183" t="s">
        <v>103</v>
      </c>
      <c r="F12" s="190">
        <f>Statement!AC123</f>
        <v>0.24150603013396588</v>
      </c>
    </row>
    <row r="13" spans="2:9" x14ac:dyDescent="0.2">
      <c r="B13" s="183" t="s">
        <v>9</v>
      </c>
      <c r="C13" s="207" cm="1">
        <f t="array" aca="1" ref="C13" ca="1">_FV(C3,"Beta")</f>
        <v>1.4074</v>
      </c>
      <c r="E13" s="183" t="s">
        <v>105</v>
      </c>
      <c r="F13" s="190">
        <f>Statement!AC125</f>
        <v>0.62762632401458585</v>
      </c>
    </row>
    <row r="14" spans="2:9" x14ac:dyDescent="0.2">
      <c r="B14" s="184" t="s">
        <v>10</v>
      </c>
      <c r="C14" s="208" cm="1">
        <f t="array" aca="1" ref="C14" ca="1">_FV(C3,"Volume average",TRUE)</f>
        <v>5303349</v>
      </c>
      <c r="E14" s="184" t="s">
        <v>106</v>
      </c>
      <c r="F14" s="191">
        <f>Statement!AC140</f>
        <v>0.5752841854820302</v>
      </c>
    </row>
    <row r="15" spans="2:9" x14ac:dyDescent="0.2">
      <c r="E15" s="183" t="s">
        <v>291</v>
      </c>
      <c r="F15" s="190">
        <f ca="1">Statement!AC176</f>
        <v>-1.0873153724626019E-2</v>
      </c>
    </row>
    <row r="16" spans="2:9" x14ac:dyDescent="0.2">
      <c r="E16" s="184" t="s">
        <v>296</v>
      </c>
      <c r="F16" s="189">
        <f>Statement!AC175</f>
        <v>-2.5603015075376883</v>
      </c>
    </row>
    <row r="17" spans="2:9" x14ac:dyDescent="0.2">
      <c r="B17" s="238" t="s">
        <v>90</v>
      </c>
      <c r="C17" s="238"/>
      <c r="E17" s="182" t="s">
        <v>297</v>
      </c>
      <c r="F17" s="192">
        <f>Statement!AC171</f>
        <v>2.5125628140703518E-3</v>
      </c>
    </row>
    <row r="18" spans="2:9" x14ac:dyDescent="0.2">
      <c r="B18" s="182" t="s">
        <v>12</v>
      </c>
      <c r="C18" s="69" t="s">
        <v>361</v>
      </c>
      <c r="E18" s="183" t="s">
        <v>298</v>
      </c>
      <c r="F18" s="188">
        <f>Statement!AC144</f>
        <v>-39.346199522998823</v>
      </c>
      <c r="I18" s="50"/>
    </row>
    <row r="19" spans="2:9" x14ac:dyDescent="0.2">
      <c r="B19" s="182" t="s">
        <v>13</v>
      </c>
      <c r="C19" s="70">
        <v>1000000</v>
      </c>
      <c r="E19" s="183" t="s">
        <v>259</v>
      </c>
      <c r="F19" s="188">
        <f>Statement!AC146</f>
        <v>8.8470220524396598E-2</v>
      </c>
    </row>
    <row r="20" spans="2:9" x14ac:dyDescent="0.2">
      <c r="B20" s="182" t="s">
        <v>91</v>
      </c>
      <c r="C20" s="69" t="s">
        <v>92</v>
      </c>
      <c r="E20" s="184" t="s">
        <v>299</v>
      </c>
      <c r="F20" s="189">
        <f>Statement!AC147</f>
        <v>0.63081636032455701</v>
      </c>
    </row>
    <row r="21" spans="2:9" x14ac:dyDescent="0.2">
      <c r="B21" s="182" t="s">
        <v>93</v>
      </c>
      <c r="C21" s="69" t="s">
        <v>94</v>
      </c>
      <c r="I21" s="50"/>
    </row>
    <row r="22" spans="2:9" x14ac:dyDescent="0.2">
      <c r="B22" s="182" t="s">
        <v>95</v>
      </c>
      <c r="C22" s="69" t="s">
        <v>92</v>
      </c>
    </row>
    <row r="25" spans="2:9" x14ac:dyDescent="0.2">
      <c r="B25" s="238" t="s">
        <v>108</v>
      </c>
      <c r="C25" s="238"/>
      <c r="E25" s="236" t="s">
        <v>344</v>
      </c>
      <c r="F25" s="237"/>
    </row>
    <row r="26" spans="2:9" x14ac:dyDescent="0.2">
      <c r="B26" s="182" t="s">
        <v>109</v>
      </c>
      <c r="C26" s="168">
        <v>0.21</v>
      </c>
      <c r="E26" s="183" t="e" vm="2">
        <v>#VALUE!</v>
      </c>
      <c r="F26" s="217" cm="1">
        <f t="array" aca="1" ref="F26" ca="1">_FV(E26,"Price")</f>
        <v>51.62</v>
      </c>
    </row>
    <row r="27" spans="2:9" x14ac:dyDescent="0.2">
      <c r="B27" s="182" t="s">
        <v>173</v>
      </c>
      <c r="C27" s="219">
        <v>5.0999999999999997E-2</v>
      </c>
      <c r="E27" s="184" t="s">
        <v>345</v>
      </c>
      <c r="F27" s="218">
        <f ca="1">F26/1000</f>
        <v>5.1619999999999999E-2</v>
      </c>
    </row>
    <row r="28" spans="2:9" x14ac:dyDescent="0.2">
      <c r="B28" s="182" t="s">
        <v>349</v>
      </c>
      <c r="C28" s="219">
        <v>0</v>
      </c>
    </row>
    <row r="29" spans="2:9" x14ac:dyDescent="0.2">
      <c r="B29" s="182" t="s">
        <v>398</v>
      </c>
      <c r="C29" s="219">
        <v>0.1</v>
      </c>
    </row>
    <row r="33" spans="2:8" x14ac:dyDescent="0.2">
      <c r="B33" s="235" t="s">
        <v>336</v>
      </c>
      <c r="C33" s="235"/>
      <c r="D33" s="235"/>
      <c r="E33" s="235"/>
      <c r="F33" s="235"/>
      <c r="G33" s="235"/>
      <c r="H33" s="235"/>
    </row>
    <row r="35" spans="2:8" x14ac:dyDescent="0.2">
      <c r="B35" s="16" t="s">
        <v>337</v>
      </c>
      <c r="C35" s="1" t="s">
        <v>385</v>
      </c>
    </row>
    <row r="36" spans="2:8" x14ac:dyDescent="0.2">
      <c r="B36" s="16" t="s">
        <v>338</v>
      </c>
      <c r="C36" s="1" t="s">
        <v>386</v>
      </c>
    </row>
    <row r="39" spans="2:8" ht="6" customHeight="1" x14ac:dyDescent="0.2">
      <c r="B39" s="235"/>
      <c r="C39" s="235"/>
      <c r="D39" s="235"/>
      <c r="E39" s="235"/>
      <c r="F39" s="235"/>
      <c r="G39" s="235"/>
      <c r="H39" s="235"/>
    </row>
    <row r="42" spans="2:8" x14ac:dyDescent="0.2">
      <c r="B42" s="235" t="s">
        <v>339</v>
      </c>
      <c r="C42" s="235"/>
      <c r="D42" s="235"/>
      <c r="E42" s="235"/>
      <c r="F42" s="235"/>
      <c r="G42" s="235"/>
      <c r="H42" s="235"/>
    </row>
    <row r="44" spans="2:8" x14ac:dyDescent="0.2">
      <c r="B44" s="41" t="s">
        <v>340</v>
      </c>
      <c r="C44" s="41" t="s">
        <v>327</v>
      </c>
      <c r="D44" s="41"/>
      <c r="E44" s="41" t="s">
        <v>328</v>
      </c>
    </row>
    <row r="49" spans="2:8" ht="5" customHeight="1" x14ac:dyDescent="0.2">
      <c r="B49" s="235"/>
      <c r="C49" s="235"/>
      <c r="D49" s="235"/>
      <c r="E49" s="235"/>
      <c r="F49" s="235"/>
      <c r="G49" s="235"/>
      <c r="H49" s="235"/>
    </row>
    <row r="52" spans="2:8" x14ac:dyDescent="0.2">
      <c r="B52" s="235" t="s">
        <v>110</v>
      </c>
      <c r="C52" s="235"/>
      <c r="D52" s="235"/>
      <c r="E52" s="235"/>
      <c r="F52" s="235"/>
      <c r="G52" s="235"/>
      <c r="H52" s="235"/>
    </row>
    <row r="54" spans="2:8" x14ac:dyDescent="0.2">
      <c r="B54" s="41" t="s">
        <v>340</v>
      </c>
      <c r="C54" s="41" t="s">
        <v>365</v>
      </c>
      <c r="D54" s="41"/>
      <c r="E54" s="41" t="s">
        <v>391</v>
      </c>
    </row>
    <row r="55" spans="2:8" x14ac:dyDescent="0.2">
      <c r="B55" s="1" t="s">
        <v>392</v>
      </c>
      <c r="C55" s="1" t="s">
        <v>393</v>
      </c>
      <c r="E55" s="1" t="s">
        <v>394</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51"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362</v>
      </c>
      <c r="N2" s="9" t="s">
        <v>363</v>
      </c>
      <c r="O2" s="10" t="s">
        <v>364</v>
      </c>
      <c r="P2" s="10" t="s">
        <v>365</v>
      </c>
      <c r="Q2" s="10" t="s">
        <v>366</v>
      </c>
      <c r="R2" s="7"/>
      <c r="S2" s="7"/>
      <c r="T2" s="10" t="s">
        <v>367</v>
      </c>
      <c r="U2" s="10" t="s">
        <v>365</v>
      </c>
      <c r="V2" s="10" t="s">
        <v>368</v>
      </c>
      <c r="W2" s="10" t="s">
        <v>369</v>
      </c>
      <c r="X2" s="10" t="s">
        <v>370</v>
      </c>
      <c r="Y2" s="201" t="s">
        <v>366</v>
      </c>
      <c r="Z2" s="201" t="s">
        <v>371</v>
      </c>
      <c r="AA2" s="201" t="s">
        <v>372</v>
      </c>
      <c r="AB2" s="7"/>
      <c r="AD2" s="7"/>
      <c r="AE2" s="7"/>
    </row>
    <row r="3" spans="1:31" s="13" customFormat="1" x14ac:dyDescent="0.2">
      <c r="A3" s="11"/>
      <c r="B3" s="12" t="s">
        <v>16</v>
      </c>
      <c r="M3" s="13">
        <v>2021</v>
      </c>
      <c r="N3" s="13">
        <v>2022</v>
      </c>
      <c r="O3" s="13">
        <v>2023</v>
      </c>
      <c r="P3" s="13">
        <v>2024</v>
      </c>
      <c r="Q3" s="13">
        <v>2025</v>
      </c>
      <c r="R3" s="11"/>
      <c r="S3" s="11"/>
      <c r="T3" s="10" t="s">
        <v>373</v>
      </c>
      <c r="U3" s="10" t="s">
        <v>374</v>
      </c>
      <c r="V3" s="10" t="s">
        <v>375</v>
      </c>
      <c r="W3" s="10" t="s">
        <v>88</v>
      </c>
      <c r="X3" s="10" t="s">
        <v>86</v>
      </c>
      <c r="Y3" s="201" t="s">
        <v>85</v>
      </c>
      <c r="Z3" s="201" t="s">
        <v>89</v>
      </c>
      <c r="AA3" s="201"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329</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356</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26">
        <v>12857</v>
      </c>
      <c r="Z35" s="226">
        <v>12869</v>
      </c>
      <c r="AA35" s="226">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333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334</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329</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332</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235</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236</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237</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330</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331</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574.41</v>
      </c>
      <c r="U116" s="26">
        <v>513.88</v>
      </c>
      <c r="V116" s="26">
        <v>438.65</v>
      </c>
      <c r="W116" s="26">
        <v>415.09</v>
      </c>
      <c r="X116" s="26">
        <v>356.7</v>
      </c>
      <c r="Y116" s="26">
        <v>317.52</v>
      </c>
      <c r="Z116" s="26">
        <v>262.41000000000003</v>
      </c>
      <c r="AA116" s="26">
        <v>259.20999999999998</v>
      </c>
      <c r="AC116" s="63">
        <f ca="1">Overview!C5</f>
        <v>235.47</v>
      </c>
    </row>
    <row r="117" spans="1:31" x14ac:dyDescent="0.2">
      <c r="B117" s="20" t="s">
        <v>346</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AA117" si="66">T116/T85</f>
        <v>574.41</v>
      </c>
      <c r="U117" s="65">
        <f t="shared" si="66"/>
        <v>513.88</v>
      </c>
      <c r="V117" s="65">
        <f t="shared" si="66"/>
        <v>438.65</v>
      </c>
      <c r="W117" s="65">
        <f t="shared" si="66"/>
        <v>415.09</v>
      </c>
      <c r="X117" s="65">
        <f t="shared" si="66"/>
        <v>356.7</v>
      </c>
      <c r="Y117" s="65">
        <f t="shared" si="66"/>
        <v>317.52</v>
      </c>
      <c r="Z117" s="65">
        <f t="shared" si="66"/>
        <v>262.41000000000003</v>
      </c>
      <c r="AA117" s="65">
        <f t="shared" si="66"/>
        <v>259.20999999999998</v>
      </c>
      <c r="AC117" s="65">
        <f ca="1">AC116/AC85</f>
        <v>235.47</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7">M121*M122</f>
        <v>0.1770125913145626</v>
      </c>
      <c r="N123" s="76">
        <f t="shared" si="67"/>
        <v>0.17507822565801581</v>
      </c>
      <c r="O123" s="76">
        <f t="shared" si="67"/>
        <v>0.18227610060781085</v>
      </c>
      <c r="P123" s="76">
        <f t="shared" si="67"/>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8">M123*M124</f>
        <v>0.3258768669324863</v>
      </c>
      <c r="N125" s="76">
        <f t="shared" si="68"/>
        <v>0.33848124688634257</v>
      </c>
      <c r="O125" s="76">
        <f t="shared" si="68"/>
        <v>0.32861121201113935</v>
      </c>
      <c r="P125" s="76">
        <f t="shared" si="68"/>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231</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AA131" si="69">U5</f>
        <v>5606</v>
      </c>
      <c r="U131" s="25">
        <f t="shared" si="69"/>
        <v>5714</v>
      </c>
      <c r="V131" s="25">
        <f t="shared" si="69"/>
        <v>5873</v>
      </c>
      <c r="W131" s="25">
        <f t="shared" si="69"/>
        <v>5988</v>
      </c>
      <c r="X131" s="25">
        <f t="shared" si="69"/>
        <v>6194</v>
      </c>
      <c r="Y131" s="25">
        <f t="shared" si="69"/>
        <v>6398</v>
      </c>
      <c r="Z131" s="25">
        <f t="shared" si="69"/>
        <v>6618</v>
      </c>
      <c r="AA131" s="25">
        <f t="shared" si="69"/>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Z132" si="70">IF(T131&gt;T130, "BEAT", IF(T131&lt;T129, "MISSED", "MET"))</f>
        <v>BEAT</v>
      </c>
      <c r="U132" s="223" t="str">
        <f t="shared" si="70"/>
        <v>BEAT</v>
      </c>
      <c r="V132" s="223" t="str">
        <f t="shared" si="70"/>
        <v>BEAT</v>
      </c>
      <c r="W132" s="223" t="str">
        <f t="shared" si="70"/>
        <v>BEAT</v>
      </c>
      <c r="X132" s="223" t="str">
        <f t="shared" si="70"/>
        <v>BEAT</v>
      </c>
      <c r="Y132" s="223" t="str">
        <f t="shared" si="70"/>
        <v>BEAT</v>
      </c>
      <c r="Z132" s="223" t="str">
        <f t="shared" si="70"/>
        <v>BEAT</v>
      </c>
      <c r="AA132" s="223" t="str">
        <f>IF(AA131&gt;AA130, "BEAT", IF(AA131&lt;AA129, "MISSED", "MET"))</f>
        <v>MISSED</v>
      </c>
      <c r="AC132" s="49"/>
    </row>
    <row r="133" spans="2:29" x14ac:dyDescent="0.2">
      <c r="B133" s="20" t="s">
        <v>376</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377</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378</v>
      </c>
      <c r="C135" s="49"/>
      <c r="D135" s="49"/>
      <c r="E135" s="49"/>
      <c r="F135" s="49"/>
      <c r="G135" s="49"/>
      <c r="H135" s="49"/>
      <c r="I135" s="49"/>
      <c r="J135" s="49"/>
      <c r="K135" s="49"/>
      <c r="L135" s="49"/>
      <c r="M135" s="49"/>
      <c r="N135" s="49"/>
      <c r="O135" s="49"/>
      <c r="P135" s="49"/>
      <c r="Q135" s="49"/>
      <c r="T135" s="227">
        <f>U25</f>
        <v>3.79</v>
      </c>
      <c r="U135" s="227">
        <f t="shared" ref="U135:AA135" si="71">V25</f>
        <v>4.1399999999999997</v>
      </c>
      <c r="V135" s="227">
        <f t="shared" si="71"/>
        <v>3.94</v>
      </c>
      <c r="W135" s="227">
        <f t="shared" si="71"/>
        <v>4.18</v>
      </c>
      <c r="X135" s="227">
        <f t="shared" si="71"/>
        <v>4.45</v>
      </c>
      <c r="Y135" s="227">
        <f t="shared" si="71"/>
        <v>4.5999999999999996</v>
      </c>
      <c r="Z135" s="227">
        <f t="shared" si="71"/>
        <v>4.25</v>
      </c>
      <c r="AA135" s="227">
        <f t="shared" si="71"/>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Z136" si="72">IF(T135&gt;T134, "BEAT", IF(T135&lt;T133, "MISSED", "MET"))</f>
        <v>BEAT</v>
      </c>
      <c r="U136" s="223" t="str">
        <f t="shared" si="72"/>
        <v>BEAT</v>
      </c>
      <c r="V136" s="223" t="str">
        <f t="shared" si="72"/>
        <v>BEAT</v>
      </c>
      <c r="W136" s="223" t="str">
        <f t="shared" si="72"/>
        <v>BEAT</v>
      </c>
      <c r="X136" s="223" t="str">
        <f t="shared" si="72"/>
        <v>BEAT</v>
      </c>
      <c r="Y136" s="223" t="str">
        <f t="shared" si="72"/>
        <v>MET</v>
      </c>
      <c r="Z136" s="223" t="str">
        <f t="shared" si="72"/>
        <v>MISSED</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3">M30/M5*365</f>
        <v>43.425403864428255</v>
      </c>
      <c r="N141" s="120">
        <f t="shared" si="73"/>
        <v>42.810689537657616</v>
      </c>
      <c r="O141" s="120">
        <f t="shared" si="73"/>
        <v>41.823896130661034</v>
      </c>
      <c r="P141" s="120">
        <f t="shared" si="73"/>
        <v>35.167635433620084</v>
      </c>
      <c r="Q141" s="120">
        <f t="shared" si="73"/>
        <v>35.994783120871723</v>
      </c>
      <c r="T141" s="120">
        <f t="shared" ref="T141:AA141" si="74">T30/T5*90</f>
        <v>29.988905325443788</v>
      </c>
      <c r="U141" s="120">
        <f t="shared" si="74"/>
        <v>33.264359614698542</v>
      </c>
      <c r="V141" s="120">
        <f t="shared" si="74"/>
        <v>31.076303815190759</v>
      </c>
      <c r="W141" s="120">
        <f t="shared" si="74"/>
        <v>26.587774561552866</v>
      </c>
      <c r="X141" s="120">
        <f t="shared" si="74"/>
        <v>31.457915831663328</v>
      </c>
      <c r="Y141" s="120">
        <f t="shared" si="74"/>
        <v>34.058766548272523</v>
      </c>
      <c r="Z141" s="120">
        <f t="shared" si="74"/>
        <v>29.427946233197872</v>
      </c>
      <c r="AA141" s="120">
        <f t="shared" si="74"/>
        <v>27.103354487760654</v>
      </c>
      <c r="AC141" s="120">
        <f>AC30/AC5*365</f>
        <v>28.869156282244624</v>
      </c>
    </row>
    <row r="142" spans="2:29" x14ac:dyDescent="0.2">
      <c r="B142" s="20" t="s">
        <v>141</v>
      </c>
      <c r="M142" s="120">
        <f t="shared" si="73"/>
        <v>0</v>
      </c>
      <c r="N142" s="120">
        <f t="shared" si="73"/>
        <v>0</v>
      </c>
      <c r="O142" s="120">
        <f t="shared" si="73"/>
        <v>0</v>
      </c>
      <c r="P142" s="120">
        <f t="shared" si="73"/>
        <v>0</v>
      </c>
      <c r="Q142" s="120">
        <f t="shared" si="73"/>
        <v>0</v>
      </c>
      <c r="T142" s="120">
        <f t="shared" ref="T142:AA142" si="75">T31/T6*365</f>
        <v>0</v>
      </c>
      <c r="U142" s="120">
        <f t="shared" si="75"/>
        <v>0</v>
      </c>
      <c r="V142" s="120">
        <f t="shared" si="75"/>
        <v>0</v>
      </c>
      <c r="W142" s="120">
        <f t="shared" si="75"/>
        <v>0</v>
      </c>
      <c r="X142" s="120">
        <f t="shared" si="75"/>
        <v>0</v>
      </c>
      <c r="Y142" s="120">
        <f t="shared" si="75"/>
        <v>0</v>
      </c>
      <c r="Z142" s="120">
        <f t="shared" si="75"/>
        <v>0</v>
      </c>
      <c r="AA142" s="120">
        <f t="shared" si="75"/>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6">T38/T6*90</f>
        <v>51.660649819494587</v>
      </c>
      <c r="U143" s="120">
        <f t="shared" si="76"/>
        <v>52.743506493506494</v>
      </c>
      <c r="V143" s="120">
        <f t="shared" si="76"/>
        <v>47.170418006430864</v>
      </c>
      <c r="W143" s="120">
        <f t="shared" si="76"/>
        <v>50.783699059561123</v>
      </c>
      <c r="X143" s="120">
        <f t="shared" si="76"/>
        <v>47.242990654205606</v>
      </c>
      <c r="Y143" s="120">
        <f t="shared" si="76"/>
        <v>57.827426810477661</v>
      </c>
      <c r="Z143" s="120">
        <f t="shared" si="76"/>
        <v>56.792168674698793</v>
      </c>
      <c r="AA143" s="120">
        <f t="shared" si="76"/>
        <v>62.811188811188813</v>
      </c>
      <c r="AC143" s="120">
        <f>AC38/AC6*365</f>
        <v>68.215355805243448</v>
      </c>
    </row>
    <row r="144" spans="2:29" x14ac:dyDescent="0.2">
      <c r="B144" s="20" t="s">
        <v>143</v>
      </c>
      <c r="M144" s="120">
        <f>M141+M142-M143</f>
        <v>-17.63625833396317</v>
      </c>
      <c r="N144" s="120">
        <f t="shared" ref="N144:Q144" si="77">N141+N142-N143</f>
        <v>-21.085384365344694</v>
      </c>
      <c r="O144" s="120">
        <f t="shared" si="77"/>
        <v>-6.863444566025457</v>
      </c>
      <c r="P144" s="120">
        <f t="shared" si="77"/>
        <v>-20.712347602851501</v>
      </c>
      <c r="Q144" s="120">
        <f t="shared" si="77"/>
        <v>-23.670054197826829</v>
      </c>
      <c r="T144" s="120">
        <f t="shared" ref="T144" si="78">T141+T142-T143</f>
        <v>-21.671744494050799</v>
      </c>
      <c r="U144" s="120">
        <f t="shared" ref="U144" si="79">U141+U142-U143</f>
        <v>-19.479146878807953</v>
      </c>
      <c r="V144" s="120">
        <f t="shared" ref="V144" si="80">V141+V142-V143</f>
        <v>-16.094114191240106</v>
      </c>
      <c r="W144" s="120">
        <f t="shared" ref="W144" si="81">W141+W142-W143</f>
        <v>-24.195924498008257</v>
      </c>
      <c r="X144" s="120">
        <f t="shared" ref="X144" si="82">X141+X142-X143</f>
        <v>-15.785074822542278</v>
      </c>
      <c r="Y144" s="120">
        <f t="shared" ref="Y144" si="83">Y141+Y142-Y143</f>
        <v>-23.768660262205138</v>
      </c>
      <c r="Z144" s="120">
        <f t="shared" ref="Z144:AA144" si="84">Z141+Z142-Z143</f>
        <v>-27.364222441500921</v>
      </c>
      <c r="AA144" s="120">
        <f t="shared" si="84"/>
        <v>-35.707834323428159</v>
      </c>
      <c r="AC144" s="120">
        <f t="shared" ref="AC144" si="85">AC141+AC142-AC143</f>
        <v>-39.346199522998823</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AA145" si="86">T108/T49</f>
        <v>0.38686833963561362</v>
      </c>
      <c r="U145" s="120">
        <f t="shared" si="86"/>
        <v>0.39900744416873452</v>
      </c>
      <c r="V145" s="120">
        <f t="shared" si="86"/>
        <v>0.47002672775868654</v>
      </c>
      <c r="W145" s="120">
        <f t="shared" si="86"/>
        <v>0.53860936408106219</v>
      </c>
      <c r="X145" s="120">
        <f t="shared" si="86"/>
        <v>0.52676295666949868</v>
      </c>
      <c r="Y145" s="120">
        <f t="shared" si="86"/>
        <v>0.53428546846769331</v>
      </c>
      <c r="Z145" s="120">
        <f t="shared" si="86"/>
        <v>0.54473891367095251</v>
      </c>
      <c r="AA145" s="120">
        <f t="shared" si="86"/>
        <v>0.57692307692307687</v>
      </c>
      <c r="AC145" s="120">
        <f>AC108/AC49</f>
        <v>0.57692307692307687</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AA146" si="87">(T108-T107)/T49</f>
        <v>-0.12980405637676176</v>
      </c>
      <c r="U146" s="177">
        <f t="shared" si="87"/>
        <v>-0.16008507621410847</v>
      </c>
      <c r="V146" s="177">
        <f t="shared" si="87"/>
        <v>-9.7747231767850329E-2</v>
      </c>
      <c r="W146" s="177">
        <f t="shared" si="87"/>
        <v>3.957023060796646E-2</v>
      </c>
      <c r="X146" s="177">
        <f t="shared" si="87"/>
        <v>2.2090059473237042E-2</v>
      </c>
      <c r="Y146" s="177">
        <f t="shared" si="87"/>
        <v>-3.3123978318850555E-2</v>
      </c>
      <c r="Z146" s="177">
        <f t="shared" si="87"/>
        <v>-5.7902562756931689E-2</v>
      </c>
      <c r="AA146" s="177">
        <f t="shared" si="87"/>
        <v>8.8470220524396598E-2</v>
      </c>
      <c r="AC146" s="177">
        <f>(AC108-AC107)/AC49</f>
        <v>8.8470220524396598E-2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8">(T107+T30)/T40</f>
        <v>0.9660929075072584</v>
      </c>
      <c r="U147" s="120">
        <f t="shared" si="88"/>
        <v>0.94648797642809623</v>
      </c>
      <c r="V147" s="120">
        <f t="shared" si="88"/>
        <v>1.0267379679144386</v>
      </c>
      <c r="W147" s="120">
        <f t="shared" si="88"/>
        <v>0.82398495408784156</v>
      </c>
      <c r="X147" s="120">
        <f t="shared" si="88"/>
        <v>0.8694663924667172</v>
      </c>
      <c r="Y147" s="120">
        <f t="shared" si="88"/>
        <v>0.87637254901960782</v>
      </c>
      <c r="Z147" s="120">
        <f t="shared" si="88"/>
        <v>0.78858647936786652</v>
      </c>
      <c r="AA147" s="120">
        <f t="shared" si="88"/>
        <v>0.63081636032455701</v>
      </c>
      <c r="AC147" s="120">
        <f>(AC107+AC30)/AC40</f>
        <v>0.63081636032455701</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AA148" si="89">T32/T40</f>
        <v>1.111157196184156</v>
      </c>
      <c r="U148" s="120">
        <f t="shared" si="89"/>
        <v>1.0675791274593669</v>
      </c>
      <c r="V148" s="120">
        <f t="shared" si="89"/>
        <v>1.1846556804539998</v>
      </c>
      <c r="W148" s="120">
        <f t="shared" si="89"/>
        <v>0.99325146587011837</v>
      </c>
      <c r="X148" s="120">
        <f t="shared" si="89"/>
        <v>1.018724970234874</v>
      </c>
      <c r="Y148" s="120">
        <f t="shared" si="89"/>
        <v>0.99637254901960781</v>
      </c>
      <c r="Z148" s="120">
        <f t="shared" si="89"/>
        <v>0.91185250219490777</v>
      </c>
      <c r="AA148" s="120">
        <f t="shared" si="89"/>
        <v>0.75078655406524264</v>
      </c>
      <c r="AC148" s="120">
        <f>AC32/AC40</f>
        <v>0.75078655406524264</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AA149" si="90">IF(T13&gt;=0,"N/A",IF(T12&lt;=0,"N/A",T12/-T13))</f>
        <v>39.058823529411768</v>
      </c>
      <c r="U149" s="179">
        <f t="shared" si="90"/>
        <v>39.14</v>
      </c>
      <c r="V149" s="179">
        <f t="shared" si="90"/>
        <v>34.887096774193552</v>
      </c>
      <c r="W149" s="179">
        <f t="shared" si="90"/>
        <v>31.014705882352942</v>
      </c>
      <c r="X149" s="179">
        <f t="shared" si="90"/>
        <v>32.432835820895519</v>
      </c>
      <c r="Y149" s="179">
        <f t="shared" si="90"/>
        <v>34.257575757575758</v>
      </c>
      <c r="Z149" s="179">
        <f t="shared" si="90"/>
        <v>38.38095238095238</v>
      </c>
      <c r="AA149" s="179">
        <f t="shared" si="90"/>
        <v>34.430769230769229</v>
      </c>
      <c r="AC149" s="179">
        <f>IF(AC13&gt;=0,"N/A",IF(AC12&lt;=0,"N/A",AC12/-AC13))</f>
        <v>34.827586206896555</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13.470823798627004</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3.8640703627272006</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17.37644551392231</v>
      </c>
      <c r="U152" s="72">
        <f>U117/(Statement!U49/Statement!U75)</f>
        <v>15.848124778447358</v>
      </c>
      <c r="V152" s="72">
        <f>V117/(Statement!V49/Statement!V75)</f>
        <v>14.269942726231386</v>
      </c>
      <c r="W152" s="72">
        <f>W117/(Statement!W49/Statement!W75)</f>
        <v>15.373703703703702</v>
      </c>
      <c r="X152" s="72">
        <f>X117/(Statement!X49/Statement!X75)</f>
        <v>12.698156329651656</v>
      </c>
      <c r="Y152" s="72">
        <f>Y117/(Statement!Y49/Statement!Y75)</f>
        <v>11.227800051621784</v>
      </c>
      <c r="Z152" s="72">
        <f>Z117/(Statement!Z49/Statement!Z75)</f>
        <v>9.2726003673576507</v>
      </c>
      <c r="AA152" s="72">
        <f>AA117/(Statement!AA49/Statement!AA75)</f>
        <v>8.9569005035596447</v>
      </c>
      <c r="AC152" s="72">
        <f ca="1">AC117/(Statement!AC49/Statement!AC75)</f>
        <v>8.1365740579961798</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253889.21999999997</v>
      </c>
      <c r="U153" s="143">
        <f>Statement!U117*Statement!U78</f>
        <v>225079.44</v>
      </c>
      <c r="V153" s="143">
        <f>Statement!V117*Statement!V78</f>
        <v>187303.55</v>
      </c>
      <c r="W153" s="143">
        <f>Statement!W117*Statement!W78</f>
        <v>176413.25</v>
      </c>
      <c r="X153" s="143">
        <f>Statement!X117*Statement!X78</f>
        <v>149814</v>
      </c>
      <c r="Y153" s="143">
        <f>Statement!Y117*Statement!Y78</f>
        <v>130818.23999999999</v>
      </c>
      <c r="Z153" s="143">
        <f>Statement!Z117*Statement!Z78</f>
        <v>106276.05</v>
      </c>
      <c r="AA153" s="143">
        <f>Statement!AA117*Statement!AA78</f>
        <v>103165.57999999999</v>
      </c>
      <c r="AC153" s="143">
        <f ca="1">Statement!AC117*Statement!AC78</f>
        <v>93717.06</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AA154" si="91">T153+T108-T107+T48+T45</f>
        <v>252001.21999999997</v>
      </c>
      <c r="U154" s="143">
        <f t="shared" si="91"/>
        <v>222821.44</v>
      </c>
      <c r="V154" s="143">
        <f t="shared" si="91"/>
        <v>186023.55</v>
      </c>
      <c r="W154" s="143">
        <f t="shared" si="91"/>
        <v>176866.25</v>
      </c>
      <c r="X154" s="143">
        <f t="shared" si="91"/>
        <v>150074</v>
      </c>
      <c r="Y154" s="143">
        <f t="shared" si="91"/>
        <v>130433.23999999999</v>
      </c>
      <c r="Z154" s="143">
        <f t="shared" si="91"/>
        <v>105614.05</v>
      </c>
      <c r="AA154" s="143">
        <f t="shared" si="91"/>
        <v>104184.57999999999</v>
      </c>
      <c r="AC154" s="143">
        <f ca="1">AC153+AC108-AC107+AC48+AC45</f>
        <v>94736.06</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3.7596658464957535</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10.422008800880088</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AA157" si="92">T59-T54+T110+T65</f>
        <v>0</v>
      </c>
      <c r="U157" s="64">
        <f t="shared" si="92"/>
        <v>0</v>
      </c>
      <c r="V157" s="64">
        <f t="shared" si="92"/>
        <v>1981</v>
      </c>
      <c r="W157" s="64">
        <f t="shared" si="92"/>
        <v>1663</v>
      </c>
      <c r="X157" s="64">
        <f t="shared" si="92"/>
        <v>1629</v>
      </c>
      <c r="Y157" s="64">
        <f t="shared" si="92"/>
        <v>2637</v>
      </c>
      <c r="Z157" s="64">
        <f t="shared" si="92"/>
        <v>2412</v>
      </c>
      <c r="AA157" s="64">
        <f t="shared" si="92"/>
        <v>1501</v>
      </c>
      <c r="AC157" s="64">
        <f>AC59-AC54+AC110+AC65</f>
        <v>8179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264</v>
      </c>
      <c r="M159" s="72">
        <f>M153/M157</f>
        <v>55.017182177877174</v>
      </c>
      <c r="N159" s="72">
        <f t="shared" ref="N159:Q159" si="93">N153/N157</f>
        <v>26.518886836803226</v>
      </c>
      <c r="O159" s="72">
        <f t="shared" si="93"/>
        <v>53.100792496171515</v>
      </c>
      <c r="P159" s="72">
        <f t="shared" si="93"/>
        <v>37.264807947019868</v>
      </c>
      <c r="Q159" s="72">
        <f t="shared" si="93"/>
        <v>16.538336283185838</v>
      </c>
      <c r="T159" s="49"/>
      <c r="U159" s="49"/>
      <c r="V159" s="49"/>
      <c r="W159" s="49"/>
      <c r="X159" s="49"/>
      <c r="Y159" s="49"/>
      <c r="Z159" s="49"/>
      <c r="AA159" s="49"/>
      <c r="AC159" s="72">
        <f t="shared" ref="AC159:AC160" ca="1" si="94">AC153/AC157</f>
        <v>11.458254065289156</v>
      </c>
    </row>
    <row r="160" spans="2:29" x14ac:dyDescent="0.2">
      <c r="B160" s="20" t="s">
        <v>265</v>
      </c>
      <c r="M160" s="72">
        <f>M154/M158</f>
        <v>56.447947476875164</v>
      </c>
      <c r="N160" s="72">
        <f t="shared" ref="N160:Q160" si="95">N154/N158</f>
        <v>27.967121726551518</v>
      </c>
      <c r="O160" s="72">
        <f t="shared" si="95"/>
        <v>49.979558824736309</v>
      </c>
      <c r="P160" s="72">
        <f t="shared" si="95"/>
        <v>35.791254971608261</v>
      </c>
      <c r="Q160" s="72">
        <f t="shared" si="95"/>
        <v>15.618610823671041</v>
      </c>
      <c r="T160" s="49"/>
      <c r="U160" s="49"/>
      <c r="V160" s="49"/>
      <c r="W160" s="49"/>
      <c r="X160" s="49"/>
      <c r="Y160" s="49"/>
      <c r="Z160" s="49"/>
      <c r="AA160" s="49"/>
      <c r="AC160" s="72">
        <f t="shared" ca="1" si="94"/>
        <v>11.672266722349072</v>
      </c>
    </row>
    <row r="161" spans="2:29" x14ac:dyDescent="0.2">
      <c r="B161" s="20" t="s">
        <v>266</v>
      </c>
      <c r="M161" s="74">
        <f>M157/M153</f>
        <v>1.8176139896930375E-2</v>
      </c>
      <c r="N161" s="74">
        <f t="shared" ref="N161:Q161" si="96">N157/N153</f>
        <v>3.7708973463101328E-2</v>
      </c>
      <c r="O161" s="74">
        <f t="shared" si="96"/>
        <v>1.8832110652060391E-2</v>
      </c>
      <c r="P161" s="74">
        <f t="shared" si="96"/>
        <v>2.6834969911067843E-2</v>
      </c>
      <c r="Q161" s="74">
        <f t="shared" si="96"/>
        <v>6.0465574219619532E-2</v>
      </c>
      <c r="T161" s="49"/>
      <c r="U161" s="49"/>
      <c r="V161" s="49"/>
      <c r="W161" s="49"/>
      <c r="X161" s="49"/>
      <c r="Y161" s="49"/>
      <c r="Z161" s="49"/>
      <c r="AA161" s="49"/>
      <c r="AC161" s="74">
        <f t="shared" ref="AC161" ca="1" si="97">AC157/AC153</f>
        <v>8.7273331024255357E-2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7.4234509703996254E-2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9.7314192314611664E-2</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9.7314192314611664E-2</v>
      </c>
    </row>
    <row r="166" spans="2:29" x14ac:dyDescent="0.2">
      <c r="B166" s="20" t="s">
        <v>347</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0.3221024618377733</v>
      </c>
    </row>
    <row r="167" spans="2:29" x14ac:dyDescent="0.2">
      <c r="B167" s="20" t="s">
        <v>348</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0.3245892531153266</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1.1150507396992297</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1.1150507396992297</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2.5125628140703518E-3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AA172" si="98">T107/T75</f>
        <v>17.079545454545453</v>
      </c>
      <c r="U172" s="72">
        <f t="shared" si="98"/>
        <v>18.128735632183908</v>
      </c>
      <c r="V172" s="72">
        <f t="shared" si="98"/>
        <v>17.453051643192488</v>
      </c>
      <c r="W172" s="72">
        <f t="shared" si="98"/>
        <v>13.474056603773585</v>
      </c>
      <c r="X172" s="72">
        <f t="shared" si="98"/>
        <v>14.176610978520287</v>
      </c>
      <c r="Y172" s="72">
        <f t="shared" si="98"/>
        <v>16.046228710462287</v>
      </c>
      <c r="Z172" s="72">
        <f t="shared" si="98"/>
        <v>17.054455445544555</v>
      </c>
      <c r="AA172" s="72">
        <f t="shared" si="98"/>
        <v>14.135678391959798</v>
      </c>
      <c r="AC172" s="72">
        <f>AC107/AC75</f>
        <v>14.135678391959798</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AA173" si="99">T54/T59</f>
        <v>#DIV/0!</v>
      </c>
      <c r="U173" s="154" t="e">
        <f t="shared" si="99"/>
        <v>#DIV/0!</v>
      </c>
      <c r="V173" s="154">
        <f t="shared" si="99"/>
        <v>0.19137792103142626</v>
      </c>
      <c r="W173" s="154">
        <f t="shared" si="99"/>
        <v>0.21953445915107256</v>
      </c>
      <c r="X173" s="154">
        <f t="shared" si="99"/>
        <v>0.22611464968152867</v>
      </c>
      <c r="Y173" s="154">
        <f t="shared" si="99"/>
        <v>0.15474683544303797</v>
      </c>
      <c r="Z173" s="154">
        <f t="shared" si="99"/>
        <v>0.17207572684246111</v>
      </c>
      <c r="AA173" s="154">
        <f t="shared" si="99"/>
        <v>0.24665127020785219</v>
      </c>
      <c r="AC173" s="154">
        <f>AC54/AC59</f>
        <v>0.19358839805362082</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AA174" si="100">T54/T5</f>
        <v>0</v>
      </c>
      <c r="U174" s="154">
        <f t="shared" si="100"/>
        <v>0</v>
      </c>
      <c r="V174" s="154">
        <f t="shared" si="100"/>
        <v>8.3129156457822886E-2</v>
      </c>
      <c r="W174" s="154">
        <f t="shared" si="100"/>
        <v>8.1900221351949604E-2</v>
      </c>
      <c r="X174" s="154">
        <f t="shared" si="100"/>
        <v>8.2999331997327994E-2</v>
      </c>
      <c r="Y174" s="154">
        <f t="shared" si="100"/>
        <v>7.8947368421052627E-2</v>
      </c>
      <c r="Z174" s="154">
        <f t="shared" si="100"/>
        <v>7.9556111284776493E-2</v>
      </c>
      <c r="AA174" s="154">
        <f t="shared" si="100"/>
        <v>8.0689029918404348E-2</v>
      </c>
      <c r="AC174" s="154">
        <f>AC54/AC5</f>
        <v>8.0522263671719982E-2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101">(T107-T108)/T75</f>
        <v>4.290909090909091</v>
      </c>
      <c r="U175" s="72">
        <f t="shared" si="101"/>
        <v>5.190804597701149</v>
      </c>
      <c r="V175" s="72">
        <f t="shared" si="101"/>
        <v>3.004694835680751</v>
      </c>
      <c r="W175" s="72">
        <f t="shared" si="101"/>
        <v>-1.0683962264150944</v>
      </c>
      <c r="X175" s="72">
        <f t="shared" si="101"/>
        <v>-0.62052505966587113</v>
      </c>
      <c r="Y175" s="72">
        <f t="shared" si="101"/>
        <v>0.93673965936739656</v>
      </c>
      <c r="Z175" s="72">
        <f t="shared" si="101"/>
        <v>1.6386138613861385</v>
      </c>
      <c r="AA175" s="72">
        <f t="shared" si="101"/>
        <v>-2.5603015075376883</v>
      </c>
      <c r="AC175" s="72">
        <f>(AC107-AC108)/AC75</f>
        <v>-2.5603015075376883</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-1.0873153724626019E-2</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AA177" si="102">-T110/T5</f>
        <v>0</v>
      </c>
      <c r="U177" s="154">
        <f t="shared" si="102"/>
        <v>0</v>
      </c>
      <c r="V177" s="154">
        <f t="shared" si="102"/>
        <v>4.5502275113755691E-3</v>
      </c>
      <c r="W177" s="154">
        <f t="shared" si="102"/>
        <v>8.0027243316873834E-3</v>
      </c>
      <c r="X177" s="154">
        <f t="shared" si="102"/>
        <v>1.2024048096192385E-2</v>
      </c>
      <c r="Y177" s="154">
        <f t="shared" si="102"/>
        <v>5.4891830804003876E-3</v>
      </c>
      <c r="Z177" s="154">
        <f t="shared" si="102"/>
        <v>5.7830572053766804E-3</v>
      </c>
      <c r="AA177" s="154">
        <f t="shared" si="102"/>
        <v>1.9643396796615292E-2</v>
      </c>
      <c r="AC177" s="154">
        <f>-AC110/AC5</f>
        <v>1.0834193189935708E-2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AA178" si="103">-(T110/T59)</f>
        <v>#DIV/0!</v>
      </c>
      <c r="U178" s="154" t="e">
        <f t="shared" si="103"/>
        <v>#DIV/0!</v>
      </c>
      <c r="V178" s="154">
        <f t="shared" si="103"/>
        <v>1.0475423045930701E-2</v>
      </c>
      <c r="W178" s="154">
        <f t="shared" si="103"/>
        <v>2.1451392058420813E-2</v>
      </c>
      <c r="X178" s="154">
        <f t="shared" si="103"/>
        <v>3.2757051865332121E-2</v>
      </c>
      <c r="Y178" s="154">
        <f t="shared" si="103"/>
        <v>1.0759493670886076E-2</v>
      </c>
      <c r="Z178" s="154">
        <f t="shared" si="103"/>
        <v>1.2508451656524679E-2</v>
      </c>
      <c r="AA178" s="154">
        <f t="shared" si="103"/>
        <v>6.0046189376443418E-2</v>
      </c>
      <c r="AC178" s="154">
        <f>-(AC110/AC59)</f>
        <v>2.6047132907165347E-2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AA179" si="104">-T110/T53</f>
        <v>#DIV/0!</v>
      </c>
      <c r="U179" s="154" t="e">
        <f t="shared" si="104"/>
        <v>#DIV/0!</v>
      </c>
      <c r="V179" s="154">
        <f t="shared" si="104"/>
        <v>0.11981566820276497</v>
      </c>
      <c r="W179" s="154">
        <f t="shared" si="104"/>
        <v>0.22488038277511962</v>
      </c>
      <c r="X179" s="154">
        <f t="shared" si="104"/>
        <v>0.34615384615384615</v>
      </c>
      <c r="Y179" s="154">
        <f t="shared" si="104"/>
        <v>0.18478260869565216</v>
      </c>
      <c r="Z179" s="154">
        <f t="shared" si="104"/>
        <v>0.21264367816091953</v>
      </c>
      <c r="AA179" s="154">
        <f t="shared" si="104"/>
        <v>0.67357512953367871</v>
      </c>
      <c r="AC179" s="154">
        <f>-AC110/AC53</f>
        <v>0.35968379446640314</v>
      </c>
    </row>
    <row r="180" spans="1:31" x14ac:dyDescent="0.2">
      <c r="B180" s="20" t="s">
        <v>360</v>
      </c>
      <c r="M180" s="222">
        <f>M5/M37</f>
        <v>0.57945743548327888</v>
      </c>
      <c r="N180" s="222">
        <f t="shared" ref="N180:Q180" si="105">N5/N37</f>
        <v>0.64811338118902995</v>
      </c>
      <c r="O180" s="222">
        <f t="shared" si="105"/>
        <v>0.65176802444675774</v>
      </c>
      <c r="P180" s="222">
        <f t="shared" si="105"/>
        <v>0.71137942441283497</v>
      </c>
      <c r="Q180" s="222">
        <f t="shared" si="105"/>
        <v>0.80583807973962573</v>
      </c>
      <c r="T180" s="49"/>
      <c r="U180" s="49"/>
      <c r="V180" s="49"/>
      <c r="W180" s="49"/>
      <c r="X180" s="49"/>
      <c r="Y180" s="49"/>
      <c r="Z180" s="49"/>
      <c r="AA180" s="49"/>
      <c r="AC180" s="222">
        <f t="shared" ref="AC180" si="106">AC5/AC37</f>
        <v>0.8418133832225303</v>
      </c>
    </row>
    <row r="181" spans="1:31" x14ac:dyDescent="0.2">
      <c r="B181" s="20" t="s">
        <v>357</v>
      </c>
      <c r="M181" s="224">
        <f>IF(AND(M12&gt;0,M108&gt;0),M108/M12,"N/A")</f>
        <v>0.71061702861082388</v>
      </c>
      <c r="N181" s="224">
        <f t="shared" ref="N181:Q181" si="107">IF(AND(N12&gt;0,N108&gt;0),N108/N12,"N/A")</f>
        <v>0.67710724827812396</v>
      </c>
      <c r="O181" s="224">
        <f t="shared" si="107"/>
        <v>0.54646616541353388</v>
      </c>
      <c r="P181" s="224">
        <f t="shared" si="107"/>
        <v>0.83489096573208721</v>
      </c>
      <c r="Q181" s="224">
        <f t="shared" si="107"/>
        <v>0.7133011716057891</v>
      </c>
      <c r="T181" s="49"/>
      <c r="U181" s="49"/>
      <c r="V181" s="49"/>
      <c r="W181" s="49"/>
      <c r="X181" s="49"/>
      <c r="Y181" s="49"/>
      <c r="Z181" s="49"/>
      <c r="AA181" s="49"/>
      <c r="AC181" s="224">
        <f t="shared" ref="AC181" si="108">IF(AND(AC12&gt;0,AC108&gt;0),AC108/AC12,"N/A")</f>
        <v>0.73102310231023104</v>
      </c>
    </row>
    <row r="182" spans="1:31" x14ac:dyDescent="0.2">
      <c r="B182" s="20" t="s">
        <v>358</v>
      </c>
      <c r="M182" s="224">
        <f>IF(AND(M12&gt;0,M108&gt;0),(M108-M107)/M12,"N/A")</f>
        <v>-0.28869355394691487</v>
      </c>
      <c r="N182" s="224">
        <f t="shared" ref="N182:Q182" si="109">IF(AND(N12&gt;0,N108&gt;0),(N108-N107)/N12,"N/A")</f>
        <v>-0.32256477533617578</v>
      </c>
      <c r="O182" s="224">
        <f t="shared" si="109"/>
        <v>-0.632781954887218</v>
      </c>
      <c r="P182" s="224">
        <f t="shared" si="109"/>
        <v>-0.33496513870345646</v>
      </c>
      <c r="Q182" s="224">
        <f t="shared" si="109"/>
        <v>-4.422237537330577E-2</v>
      </c>
      <c r="T182" s="49"/>
      <c r="U182" s="49"/>
      <c r="V182" s="49"/>
      <c r="W182" s="49"/>
      <c r="X182" s="49"/>
      <c r="Y182" s="49"/>
      <c r="Z182" s="49"/>
      <c r="AA182" s="49"/>
      <c r="AC182" s="224">
        <f t="shared" ref="AC182" si="110">IF(AND(AC12&gt;0,AC108&gt;0),(AC108-AC107)/AC12,"N/A")</f>
        <v>0.1121012101210121</v>
      </c>
    </row>
    <row r="183" spans="1:31" x14ac:dyDescent="0.2">
      <c r="B183" s="20" t="s">
        <v>359</v>
      </c>
      <c r="M183" s="224">
        <f>M5/(M108+M112-M107)</f>
        <v>1.2029416247523244</v>
      </c>
      <c r="N183" s="224">
        <f t="shared" ref="N183:Q183" si="111">N5/(N108+N112-N107)</f>
        <v>1.4569678914266799</v>
      </c>
      <c r="O183" s="224">
        <f t="shared" si="111"/>
        <v>1.5766856214459788</v>
      </c>
      <c r="P183" s="224">
        <f t="shared" si="111"/>
        <v>1.8152274837511606</v>
      </c>
      <c r="Q183" s="224">
        <f t="shared" si="111"/>
        <v>2.1150560597971171</v>
      </c>
      <c r="T183" s="49"/>
      <c r="U183" s="49"/>
      <c r="V183" s="49"/>
      <c r="W183" s="49"/>
      <c r="X183" s="49"/>
      <c r="Y183" s="49"/>
      <c r="Z183" s="49"/>
      <c r="AA183" s="49"/>
      <c r="AC183" s="224">
        <f t="shared" ref="AC183" si="112">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379</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380</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3">SUM(X188:AA188)</f>
        <v>321</v>
      </c>
    </row>
    <row r="189" spans="1:31" x14ac:dyDescent="0.2">
      <c r="B189" s="20" t="s">
        <v>381</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3"/>
        <v>483</v>
      </c>
    </row>
    <row r="190" spans="1:31" x14ac:dyDescent="0.2">
      <c r="C190" s="21"/>
      <c r="D190" s="21"/>
      <c r="E190" s="21"/>
      <c r="F190" s="21"/>
      <c r="G190" s="21"/>
      <c r="H190" s="21"/>
      <c r="I190" s="21"/>
      <c r="J190" s="21"/>
      <c r="K190" s="21"/>
      <c r="L190" s="21"/>
      <c r="M190" s="21"/>
      <c r="AC190" s="62"/>
    </row>
    <row r="191" spans="1:31" x14ac:dyDescent="0.2">
      <c r="B191" s="20" t="s">
        <v>382</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3"/>
        <v>2158</v>
      </c>
    </row>
    <row r="192" spans="1:31" x14ac:dyDescent="0.2">
      <c r="B192" s="20" t="s">
        <v>383</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3"/>
        <v>22</v>
      </c>
    </row>
    <row r="193" spans="2:29" x14ac:dyDescent="0.2">
      <c r="B193" s="20" t="s">
        <v>384</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3"/>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379</v>
      </c>
      <c r="C197" s="81"/>
      <c r="D197" s="81"/>
      <c r="E197" s="81"/>
      <c r="F197" s="81"/>
      <c r="G197" s="81"/>
      <c r="H197" s="81"/>
      <c r="I197" s="81"/>
      <c r="J197" s="81"/>
      <c r="K197" s="81"/>
      <c r="L197" s="81"/>
      <c r="M197" s="81">
        <f t="shared" ref="M197:Q199" si="114">IF(L187=0,
IF(M187=0,0,IF(M187&gt;0,1,-1)),
(M187-L187)/ABS(L187)
)</f>
        <v>1</v>
      </c>
      <c r="N197" s="81">
        <f t="shared" si="114"/>
        <v>0.1245453921635902</v>
      </c>
      <c r="O197" s="81">
        <f t="shared" si="114"/>
        <v>0.11569441054430071</v>
      </c>
      <c r="P197" s="81">
        <f t="shared" si="114"/>
        <v>0.12234740756945964</v>
      </c>
      <c r="Q197" s="81">
        <f t="shared" si="114"/>
        <v>0.11612494517811023</v>
      </c>
      <c r="T197" s="81">
        <f t="shared" ref="T197:AA199" si="115">IF(S187=0,
IF(T187=0,0,IF(T187&gt;0,1,-1)),
(T187-S187)/ABS(S187)
)</f>
        <v>1</v>
      </c>
      <c r="U197" s="81">
        <f t="shared" si="115"/>
        <v>3.5714285714285712E-2</v>
      </c>
      <c r="V197" s="81">
        <f t="shared" si="115"/>
        <v>2.1994408201304754E-2</v>
      </c>
      <c r="W197" s="81">
        <f t="shared" si="115"/>
        <v>2.8816341418931243E-2</v>
      </c>
      <c r="X197" s="81">
        <f t="shared" si="115"/>
        <v>2.6591029959227089E-2</v>
      </c>
      <c r="Y197" s="81">
        <f t="shared" si="115"/>
        <v>3.4190986012778452E-2</v>
      </c>
      <c r="Z197" s="81">
        <f t="shared" si="115"/>
        <v>3.4897311738186679E-2</v>
      </c>
      <c r="AA197" s="81">
        <f t="shared" si="115"/>
        <v>3.5172636334301385E-2</v>
      </c>
      <c r="AC197" s="49"/>
    </row>
    <row r="198" spans="2:29" x14ac:dyDescent="0.2">
      <c r="B198" s="20" t="s">
        <v>380</v>
      </c>
      <c r="M198" s="81">
        <f t="shared" si="114"/>
        <v>1</v>
      </c>
      <c r="N198" s="81">
        <f t="shared" si="114"/>
        <v>-4.1441441441441441E-2</v>
      </c>
      <c r="O198" s="81">
        <f t="shared" si="114"/>
        <v>-0.13533834586466165</v>
      </c>
      <c r="P198" s="81">
        <f t="shared" si="114"/>
        <v>-0.16086956521739129</v>
      </c>
      <c r="Q198" s="81">
        <f t="shared" si="114"/>
        <v>-0.15803108808290156</v>
      </c>
      <c r="T198" s="81">
        <f t="shared" si="115"/>
        <v>1</v>
      </c>
      <c r="U198" s="81">
        <f t="shared" si="115"/>
        <v>-1.2195121951219513E-2</v>
      </c>
      <c r="V198" s="81">
        <f t="shared" si="115"/>
        <v>0.1728395061728395</v>
      </c>
      <c r="W198" s="81">
        <f t="shared" si="115"/>
        <v>-7.3684210526315783E-2</v>
      </c>
      <c r="X198" s="81">
        <f t="shared" si="115"/>
        <v>-0.22727272727272727</v>
      </c>
      <c r="Y198" s="81">
        <f t="shared" si="115"/>
        <v>8.8235294117647065E-2</v>
      </c>
      <c r="Z198" s="81">
        <f t="shared" si="115"/>
        <v>0.21621621621621623</v>
      </c>
      <c r="AA198" s="81">
        <f t="shared" si="115"/>
        <v>-1.1111111111111112E-2</v>
      </c>
      <c r="AC198" s="49"/>
    </row>
    <row r="199" spans="2:29" x14ac:dyDescent="0.2">
      <c r="B199" s="20" t="s">
        <v>381</v>
      </c>
      <c r="M199" s="81">
        <f t="shared" si="114"/>
        <v>1</v>
      </c>
      <c r="N199" s="81">
        <f t="shared" si="114"/>
        <v>4.4140030441400302E-2</v>
      </c>
      <c r="O199" s="81">
        <f t="shared" si="114"/>
        <v>-3.0612244897959183E-2</v>
      </c>
      <c r="P199" s="81">
        <f t="shared" si="114"/>
        <v>-0.10075187969924812</v>
      </c>
      <c r="Q199" s="81">
        <f t="shared" si="114"/>
        <v>-9.6989966555183951E-2</v>
      </c>
      <c r="T199" s="81">
        <f t="shared" si="115"/>
        <v>1</v>
      </c>
      <c r="U199" s="81">
        <f t="shared" si="115"/>
        <v>9.5890410958904104E-2</v>
      </c>
      <c r="V199" s="81">
        <f t="shared" si="115"/>
        <v>-0.15</v>
      </c>
      <c r="W199" s="81">
        <f t="shared" si="115"/>
        <v>5.8823529411764705E-2</v>
      </c>
      <c r="X199" s="81">
        <f t="shared" si="115"/>
        <v>-0.10416666666666667</v>
      </c>
      <c r="Y199" s="81">
        <f t="shared" si="115"/>
        <v>1.5503875968992248E-2</v>
      </c>
      <c r="Z199" s="81">
        <f t="shared" si="115"/>
        <v>-0.16030534351145037</v>
      </c>
      <c r="AA199" s="81">
        <f t="shared" si="115"/>
        <v>2.7272727272727271E-2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352</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353</v>
      </c>
      <c r="M207" s="143">
        <v>100</v>
      </c>
      <c r="N207" s="143">
        <f>100*(1+((N117-$M117)/ABS($M117)))</f>
        <v>51.215990950765026</v>
      </c>
      <c r="O207" s="143">
        <f t="shared" ref="O207:Q207" si="116">100*(1+((O117-$M117)/ABS($M117)))</f>
        <v>90.940346490444725</v>
      </c>
      <c r="P207" s="143">
        <f t="shared" si="116"/>
        <v>76.483895933797697</v>
      </c>
      <c r="Q207" s="143">
        <f t="shared" si="116"/>
        <v>47.258439006965524</v>
      </c>
      <c r="T207" s="49"/>
      <c r="U207" s="49"/>
      <c r="V207" s="49"/>
      <c r="W207" s="49"/>
      <c r="X207" s="49"/>
      <c r="Y207" s="49"/>
      <c r="Z207" s="49"/>
      <c r="AA207" s="49"/>
      <c r="AC207" s="49"/>
    </row>
    <row r="208" spans="2:29" x14ac:dyDescent="0.2">
      <c r="B208" s="20" t="s">
        <v>354</v>
      </c>
      <c r="M208" s="143">
        <v>100</v>
      </c>
      <c r="N208" s="143">
        <f>100*(1+((N5-$M5)/ABS($M5)))</f>
        <v>111.53626860943935</v>
      </c>
      <c r="O208" s="143">
        <f t="shared" ref="O208:Q208" si="117">100*(1+((O5-$M5)/ABS($M5)))</f>
        <v>122.95850490972443</v>
      </c>
      <c r="P208" s="143">
        <f t="shared" si="117"/>
        <v>136.23693379790942</v>
      </c>
      <c r="Q208" s="143">
        <f t="shared" si="117"/>
        <v>150.57966423820082</v>
      </c>
      <c r="T208" s="49"/>
      <c r="U208" s="49"/>
      <c r="V208" s="49"/>
      <c r="W208" s="49"/>
      <c r="X208" s="49"/>
      <c r="Y208" s="49"/>
      <c r="Z208" s="49"/>
      <c r="AA208" s="49"/>
      <c r="AC208" s="49"/>
    </row>
    <row r="209" spans="1:31" x14ac:dyDescent="0.2">
      <c r="B209" s="20" t="s">
        <v>355</v>
      </c>
      <c r="M209" s="143">
        <v>100</v>
      </c>
      <c r="N209" s="143">
        <f>100*(1+((N26-$M26)/ABS($M26)))</f>
        <v>100.79840319361277</v>
      </c>
      <c r="O209" s="143">
        <f t="shared" ref="O209:Q209" si="118">100*(1+((O26-$M26)/ABS($M26)))</f>
        <v>117.96407185628743</v>
      </c>
      <c r="P209" s="143">
        <f t="shared" si="118"/>
        <v>145.4868041694389</v>
      </c>
      <c r="Q209" s="143">
        <f t="shared" si="118"/>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35" t="s">
        <v>234</v>
      </c>
      <c r="C4" s="235"/>
      <c r="E4" s="235" t="s">
        <v>241</v>
      </c>
      <c r="F4" s="235"/>
      <c r="G4" s="235"/>
    </row>
    <row r="5" spans="2:7" x14ac:dyDescent="0.2">
      <c r="B5" s="20" t="s">
        <v>1</v>
      </c>
      <c r="C5" s="170">
        <f ca="1">Overview!C5</f>
        <v>235.47</v>
      </c>
      <c r="E5" s="12"/>
      <c r="F5" s="134" t="s">
        <v>242</v>
      </c>
      <c r="G5" s="134" t="s">
        <v>243</v>
      </c>
    </row>
    <row r="6" spans="2:7" x14ac:dyDescent="0.2">
      <c r="B6" s="20" t="s">
        <v>240</v>
      </c>
      <c r="C6" s="171">
        <f ca="1">Statement!AC153</f>
        <v>93717.06</v>
      </c>
      <c r="E6" s="20" t="s">
        <v>19</v>
      </c>
      <c r="F6" s="176">
        <f>IF(Statement!M5&lt;=0,"N/A",_xlfn.RRI(4,Statement!M5,Statement!Q5))</f>
        <v>0.10774954699996808</v>
      </c>
      <c r="G6" s="176" t="str">
        <f>IF(Statement!H5&lt;=0,"N/A",_xlfn.RRI(9,Statement!H5,Statement!Q5))</f>
        <v>N/A</v>
      </c>
    </row>
    <row r="7" spans="2:7" x14ac:dyDescent="0.2">
      <c r="B7" s="20" t="s">
        <v>189</v>
      </c>
      <c r="C7" s="171">
        <f ca="1">Statement!AC154</f>
        <v>94736.06</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13.470823798627004</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3.8640703627272006</v>
      </c>
      <c r="E9" s="20" t="s">
        <v>245</v>
      </c>
      <c r="F9" s="176" t="str">
        <f>IF(Statement!M82&lt;=0,"N/A",_xlfn.RRI(4,Statement!M82,Statement!Q82))</f>
        <v>N/A</v>
      </c>
      <c r="G9" s="176" t="str">
        <f>IF(Statement!H82&lt;=0,"N/A",_xlfn.RRI(9,Statement!H82,Statement!Q82))</f>
        <v>N/A</v>
      </c>
    </row>
    <row r="10" spans="2:7" x14ac:dyDescent="0.2">
      <c r="B10" s="20" t="s">
        <v>239</v>
      </c>
      <c r="C10" s="172">
        <f ca="1">Statement!AC152</f>
        <v>8.1365740579961798</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3.7596658464957535</v>
      </c>
    </row>
    <row r="12" spans="2:7" x14ac:dyDescent="0.2">
      <c r="B12" s="20" t="s">
        <v>205</v>
      </c>
      <c r="C12" s="172">
        <f ca="1">Statement!AC156</f>
        <v>10.422008800880088</v>
      </c>
    </row>
    <row r="15" spans="2:7" x14ac:dyDescent="0.2">
      <c r="B15" s="235" t="s">
        <v>77</v>
      </c>
      <c r="C15" s="235"/>
      <c r="E15" s="235" t="s">
        <v>247</v>
      </c>
      <c r="F15" s="235"/>
    </row>
    <row r="16" spans="2:7" x14ac:dyDescent="0.2">
      <c r="B16" s="20" t="s">
        <v>78</v>
      </c>
      <c r="C16" s="173">
        <f>Statement!AC101</f>
        <v>0.8940392094610683</v>
      </c>
      <c r="E16" s="20" t="s">
        <v>31</v>
      </c>
      <c r="F16" s="171">
        <f>Statement!AC18</f>
        <v>7229</v>
      </c>
    </row>
    <row r="17" spans="2:6" x14ac:dyDescent="0.2">
      <c r="B17" s="20" t="s">
        <v>79</v>
      </c>
      <c r="C17" s="173">
        <f>Statement!AC102</f>
        <v>0.36074291610445275</v>
      </c>
      <c r="E17" s="20" t="s">
        <v>248</v>
      </c>
      <c r="F17" s="171">
        <f>Statement!AC59</f>
        <v>10481</v>
      </c>
    </row>
    <row r="18" spans="2:6" x14ac:dyDescent="0.2">
      <c r="B18" s="20" t="s">
        <v>80</v>
      </c>
      <c r="C18" s="173">
        <f>Statement!AC103</f>
        <v>0.28688784824192398</v>
      </c>
      <c r="E18" s="20" t="s">
        <v>255</v>
      </c>
      <c r="F18" s="175">
        <f>IF(OR(F16&lt;=0, F17&lt;=0),"N/A",F16-F17)</f>
        <v>-3252</v>
      </c>
    </row>
    <row r="21" spans="2:6" x14ac:dyDescent="0.2">
      <c r="B21" s="235" t="s">
        <v>246</v>
      </c>
      <c r="C21" s="235"/>
      <c r="E21" s="235" t="s">
        <v>250</v>
      </c>
      <c r="F21" s="235"/>
    </row>
    <row r="22" spans="2:6" x14ac:dyDescent="0.2">
      <c r="B22" s="20" t="s">
        <v>101</v>
      </c>
      <c r="C22" s="173">
        <f>Statement!AC121</f>
        <v>0.28688784824192398</v>
      </c>
      <c r="E22" s="20" t="s">
        <v>103</v>
      </c>
      <c r="F22" s="173">
        <f>C24</f>
        <v>0.24150603013396588</v>
      </c>
    </row>
    <row r="23" spans="2:6" x14ac:dyDescent="0.2">
      <c r="B23" s="20" t="s">
        <v>102</v>
      </c>
      <c r="C23" s="172">
        <f>Statement!AC122</f>
        <v>0.8418133832225303</v>
      </c>
      <c r="E23" s="20" t="s">
        <v>105</v>
      </c>
      <c r="F23" s="173">
        <f>C26</f>
        <v>0.62762632401458585</v>
      </c>
    </row>
    <row r="24" spans="2:6" x14ac:dyDescent="0.2">
      <c r="B24" s="32" t="s">
        <v>103</v>
      </c>
      <c r="C24" s="174">
        <f>Statement!AC123</f>
        <v>0.24150603013396588</v>
      </c>
      <c r="E24" s="20" t="s">
        <v>106</v>
      </c>
      <c r="F24" s="173">
        <f>Statement!AC140</f>
        <v>0.5752841854820302</v>
      </c>
    </row>
    <row r="25" spans="2:6" x14ac:dyDescent="0.2">
      <c r="B25" s="20" t="s">
        <v>104</v>
      </c>
      <c r="C25" s="172">
        <f>Statement!AC124</f>
        <v>2.5988018753255773</v>
      </c>
    </row>
    <row r="26" spans="2:6" x14ac:dyDescent="0.2">
      <c r="B26" s="32" t="s">
        <v>105</v>
      </c>
      <c r="C26" s="174">
        <f>Statement!AC125</f>
        <v>0.62762632401458585</v>
      </c>
    </row>
    <row r="29" spans="2:6" x14ac:dyDescent="0.2">
      <c r="B29" s="235" t="s">
        <v>251</v>
      </c>
      <c r="C29" s="235"/>
      <c r="E29" s="235" t="s">
        <v>257</v>
      </c>
      <c r="F29" s="235"/>
    </row>
    <row r="30" spans="2:6" x14ac:dyDescent="0.2">
      <c r="B30" s="20" t="s">
        <v>140</v>
      </c>
      <c r="C30" s="172">
        <f>Statement!AC141</f>
        <v>28.869156282244624</v>
      </c>
      <c r="E30" s="20" t="s">
        <v>258</v>
      </c>
      <c r="F30" s="178">
        <f>Statement!AC145</f>
        <v>0.57692307692307687</v>
      </c>
    </row>
    <row r="31" spans="2:6" x14ac:dyDescent="0.2">
      <c r="B31" s="20" t="s">
        <v>141</v>
      </c>
      <c r="C31" s="172">
        <f>Statement!AC142</f>
        <v>0</v>
      </c>
      <c r="E31" s="20" t="s">
        <v>259</v>
      </c>
      <c r="F31" s="178">
        <f>Statement!AC146</f>
        <v>8.8470220524396598E-2</v>
      </c>
    </row>
    <row r="32" spans="2:6" x14ac:dyDescent="0.2">
      <c r="B32" s="20" t="s">
        <v>142</v>
      </c>
      <c r="C32" s="172">
        <f>Statement!AC143</f>
        <v>68.215355805243448</v>
      </c>
      <c r="E32" s="20" t="s">
        <v>254</v>
      </c>
      <c r="F32" s="178">
        <f>Statement!AC148</f>
        <v>0.75078655406524264</v>
      </c>
    </row>
    <row r="33" spans="2:6" x14ac:dyDescent="0.2">
      <c r="B33" s="20" t="s">
        <v>143</v>
      </c>
      <c r="C33" s="172">
        <f>Statement!AC144</f>
        <v>-39.346199522998823</v>
      </c>
      <c r="E33" s="20" t="s">
        <v>253</v>
      </c>
      <c r="F33" s="178">
        <f>Statement!AC147</f>
        <v>0.63081636032455701</v>
      </c>
    </row>
    <row r="34" spans="2:6" x14ac:dyDescent="0.2">
      <c r="E34" s="20" t="s">
        <v>260</v>
      </c>
      <c r="F34" s="180">
        <f>Statement!AC149</f>
        <v>34.827586206896555</v>
      </c>
    </row>
    <row r="37" spans="2:6" x14ac:dyDescent="0.2">
      <c r="B37" s="235" t="s">
        <v>269</v>
      </c>
      <c r="C37" s="235"/>
      <c r="E37" s="235" t="s">
        <v>272</v>
      </c>
      <c r="F37" s="235"/>
    </row>
    <row r="38" spans="2:6" x14ac:dyDescent="0.2">
      <c r="B38" s="20" t="s">
        <v>267</v>
      </c>
      <c r="C38" s="173">
        <f ca="1">Statement!AC162</f>
        <v>7.4234509703996254E-2</v>
      </c>
      <c r="E38" s="20" t="s">
        <v>271</v>
      </c>
      <c r="F38" s="173">
        <f>Statement!AC168</f>
        <v>0</v>
      </c>
    </row>
    <row r="39" spans="2:6" x14ac:dyDescent="0.2">
      <c r="B39" s="54" t="s">
        <v>270</v>
      </c>
      <c r="C39" s="213">
        <f ca="1">Statement!AC161</f>
        <v>8.7273331024255357E-2</v>
      </c>
      <c r="E39" s="20" t="s">
        <v>273</v>
      </c>
      <c r="F39" s="173">
        <f>Statement!AC169</f>
        <v>1.1150507396992297</v>
      </c>
    </row>
    <row r="40" spans="2:6" x14ac:dyDescent="0.2">
      <c r="B40" s="20" t="s">
        <v>268</v>
      </c>
      <c r="C40" s="173">
        <f ca="1">Statement!AC163</f>
        <v>0</v>
      </c>
      <c r="E40" s="20" t="s">
        <v>274</v>
      </c>
      <c r="F40" s="173">
        <f>Statement!AC170</f>
        <v>1.1150507396992297</v>
      </c>
    </row>
    <row r="41" spans="2:6" x14ac:dyDescent="0.2">
      <c r="B41" s="20" t="s">
        <v>293</v>
      </c>
      <c r="C41" s="173">
        <f ca="1">Statement!AC164</f>
        <v>9.7314192314611664E-2</v>
      </c>
    </row>
    <row r="42" spans="2:6" x14ac:dyDescent="0.2">
      <c r="B42" s="20" t="s">
        <v>295</v>
      </c>
      <c r="C42" s="173">
        <f ca="1">Statement!AC165</f>
        <v>9.7314192314611664E-2</v>
      </c>
    </row>
    <row r="45" spans="2:6" x14ac:dyDescent="0.2">
      <c r="B45" s="235" t="s">
        <v>280</v>
      </c>
      <c r="C45" s="235"/>
      <c r="E45" s="235" t="s">
        <v>286</v>
      </c>
      <c r="F45" s="235"/>
    </row>
    <row r="46" spans="2:6" x14ac:dyDescent="0.2">
      <c r="B46" s="20" t="s">
        <v>278</v>
      </c>
      <c r="C46" s="173">
        <f>Statement!AC171</f>
        <v>2.5125628140703518E-3</v>
      </c>
      <c r="E46" s="20" t="s">
        <v>279</v>
      </c>
      <c r="F46" s="172">
        <f>Statement!AC172</f>
        <v>14.135678391959798</v>
      </c>
    </row>
    <row r="47" spans="2:6" x14ac:dyDescent="0.2">
      <c r="E47" s="20" t="s">
        <v>287</v>
      </c>
      <c r="F47" s="172">
        <f>Statement!AC175</f>
        <v>-2.5603015075376883</v>
      </c>
    </row>
    <row r="48" spans="2:6" x14ac:dyDescent="0.2">
      <c r="E48" s="20" t="s">
        <v>292</v>
      </c>
      <c r="F48" s="173">
        <f ca="1">Statement!AC176</f>
        <v>-1.0873153724626019E-2</v>
      </c>
    </row>
    <row r="51" spans="2:6" x14ac:dyDescent="0.2">
      <c r="B51" s="235" t="s">
        <v>283</v>
      </c>
      <c r="C51" s="235"/>
      <c r="E51" s="235" t="s">
        <v>304</v>
      </c>
      <c r="F51" s="235"/>
    </row>
    <row r="52" spans="2:6" x14ac:dyDescent="0.2">
      <c r="B52" s="20" t="s">
        <v>281</v>
      </c>
      <c r="C52" s="173">
        <f>Statement!AC173</f>
        <v>0.19358839805362082</v>
      </c>
      <c r="E52" s="20" t="s">
        <v>305</v>
      </c>
      <c r="F52" s="173">
        <f>Statement!AC177</f>
        <v>1.0834193189935708E-2</v>
      </c>
    </row>
    <row r="53" spans="2:6" x14ac:dyDescent="0.2">
      <c r="B53" s="20" t="s">
        <v>282</v>
      </c>
      <c r="C53" s="173">
        <f>Statement!AC174</f>
        <v>8.0522263671719982E-2</v>
      </c>
      <c r="E53" s="20" t="s">
        <v>302</v>
      </c>
      <c r="F53" s="173">
        <f>Statement!AC178</f>
        <v>2.6047132907165347E-2</v>
      </c>
    </row>
    <row r="54" spans="2:6" x14ac:dyDescent="0.2">
      <c r="E54" s="20" t="s">
        <v>303</v>
      </c>
      <c r="F54" s="173">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235.47</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93717.06</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94736.06</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13.470823798627004</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3.8640703627272006</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8.1365740579961798</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3.7596658464957535</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10.422008800880088</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0.8940392094610683</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0.36074291610445275</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0.28688784824192398</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7229</v>
      </c>
    </row>
    <row r="22" spans="2:9" x14ac:dyDescent="0.2">
      <c r="B22" s="20" t="s">
        <v>248</v>
      </c>
      <c r="C22" s="175">
        <f>Statement!M59</f>
        <v>7230</v>
      </c>
      <c r="D22" s="175">
        <f>Statement!N59</f>
        <v>7838</v>
      </c>
      <c r="E22" s="175">
        <f>Statement!O59</f>
        <v>7302</v>
      </c>
      <c r="F22" s="175">
        <f>Statement!P59</f>
        <v>8056</v>
      </c>
      <c r="G22" s="175">
        <f>Statement!Q59</f>
        <v>10031</v>
      </c>
      <c r="I22" s="175">
        <f>Statement!AC59</f>
        <v>10481</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-3252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0.28688784824192398</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0.8418133832225303</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0.24150603013396588</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2.5988018753255773</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0.62762632401458585</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0.24150603013396588</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0.62762632401458585</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0.5752841854820302</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28.869156282244624</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68.215355805243448</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-39.346199522998823</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0.57692307692307687</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8.8470220524396598E-2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0.63081636032455701</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0.75078655406524264</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34.827586206896555</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7.4234509703996254E-2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8.7273331024255357E-2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9.7314192314611664E-2</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9.7314192314611664E-2</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1.1150507396992297</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1.1150507396992297</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2.5125628140703518E-3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14.135678391959798</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-2.5603015075376883</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-1.0873153724626019E-2</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0.19358839805362082</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8.0522263671719982E-2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1.0834193189935708E-2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2.6047132907165347E-2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0.35968379446640314</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387</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388</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389</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314</v>
      </c>
      <c r="D3" s="242"/>
      <c r="F3" s="243" t="s">
        <v>315</v>
      </c>
      <c r="G3" s="242"/>
    </row>
    <row r="4" spans="2:7" x14ac:dyDescent="0.2">
      <c r="B4" s="8"/>
      <c r="C4" s="10" t="str">
        <f>Statement!Z2</f>
        <v>27.02.2026</v>
      </c>
      <c r="D4" s="201" t="str">
        <f>Statement!AA2</f>
        <v>29.05.2026</v>
      </c>
      <c r="F4" s="202" t="str">
        <f>Statement!W2</f>
        <v>30.05.2025</v>
      </c>
      <c r="G4" s="201" t="str">
        <f>Statement!AA2</f>
        <v>29.05.2026</v>
      </c>
    </row>
    <row r="5" spans="2:7" x14ac:dyDescent="0.2">
      <c r="B5" s="8" t="s">
        <v>320</v>
      </c>
      <c r="C5" s="10" t="str">
        <f>Statement!Z3</f>
        <v>Q1 2026</v>
      </c>
      <c r="D5" s="201" t="str">
        <f>Statement!AA3</f>
        <v>Q2 2026</v>
      </c>
      <c r="F5" s="202" t="str">
        <f>Statement!W3</f>
        <v>Q2 2025</v>
      </c>
      <c r="G5" s="201" t="str">
        <f>Statement!AA3</f>
        <v>Q2 2026</v>
      </c>
    </row>
    <row r="6" spans="2:7" x14ac:dyDescent="0.2">
      <c r="B6" s="203" t="s">
        <v>19</v>
      </c>
      <c r="C6" s="197">
        <f>Statement!Z5</f>
        <v>6398</v>
      </c>
      <c r="D6" s="196">
        <f>Statement!AA5</f>
        <v>6618</v>
      </c>
      <c r="F6" s="197">
        <f>Statement!W5</f>
        <v>5873</v>
      </c>
      <c r="G6" s="196">
        <f>Statement!AA5</f>
        <v>6618</v>
      </c>
    </row>
    <row r="7" spans="2:7" x14ac:dyDescent="0.2">
      <c r="B7" s="204" t="s">
        <v>316</v>
      </c>
      <c r="C7" s="239">
        <f>Statement!AA89</f>
        <v>3.4385745545482967E-2</v>
      </c>
      <c r="D7" s="240"/>
      <c r="F7" s="239">
        <f>IF(F6=0,
IF(G6=0,0,IF(G6&gt;0,1,-1)),
(G6-F6)/ABS(F6)
)</f>
        <v>0.1268516941937681</v>
      </c>
      <c r="G7" s="240"/>
    </row>
    <row r="8" spans="2:7" x14ac:dyDescent="0.2">
      <c r="B8" s="205" t="s">
        <v>20</v>
      </c>
      <c r="C8" s="198">
        <f>Statement!Z6</f>
        <v>664</v>
      </c>
      <c r="D8" s="196">
        <f>Statement!AA6</f>
        <v>715</v>
      </c>
      <c r="F8" s="198">
        <f>Statement!W6</f>
        <v>638</v>
      </c>
      <c r="G8" s="196">
        <f>Statement!AA6</f>
        <v>715</v>
      </c>
    </row>
    <row r="9" spans="2:7" x14ac:dyDescent="0.2">
      <c r="B9" s="204" t="s">
        <v>316</v>
      </c>
      <c r="C9" s="239">
        <f>Statement!AA90</f>
        <v>7.6807228915662648E-2</v>
      </c>
      <c r="D9" s="240"/>
      <c r="F9" s="239">
        <f>IF(F8=0,
IF(G8=0,0,IF(G8&gt;0,1,-1)),
(G8-F8)/ABS(F8)
)</f>
        <v>0.1206896551724138</v>
      </c>
      <c r="G9" s="240"/>
    </row>
    <row r="10" spans="2:7" x14ac:dyDescent="0.2">
      <c r="B10" s="205" t="s">
        <v>21</v>
      </c>
      <c r="C10" s="198">
        <f>Statement!Z7</f>
        <v>5734</v>
      </c>
      <c r="D10" s="196">
        <f>Statement!AA7</f>
        <v>5903</v>
      </c>
      <c r="F10" s="198">
        <f>Statement!W7</f>
        <v>5235</v>
      </c>
      <c r="G10" s="196">
        <f>Statement!AA7</f>
        <v>5903</v>
      </c>
    </row>
    <row r="11" spans="2:7" x14ac:dyDescent="0.2">
      <c r="B11" s="204" t="s">
        <v>316</v>
      </c>
      <c r="C11" s="239">
        <f>Statement!AA91</f>
        <v>2.9473317056156263E-2</v>
      </c>
      <c r="D11" s="240"/>
      <c r="F11" s="239">
        <f>IF(F10=0,
IF(G10=0,0,IF(G10&gt;0,1,-1)),
(G10-F10)/ABS(F10)
)</f>
        <v>0.12760267430754538</v>
      </c>
      <c r="G11" s="240"/>
    </row>
    <row r="12" spans="2:7" x14ac:dyDescent="0.2">
      <c r="B12" s="205" t="s">
        <v>25</v>
      </c>
      <c r="C12" s="198">
        <f>Statement!Z11</f>
        <v>3316</v>
      </c>
      <c r="D12" s="196">
        <f>Statement!AA11</f>
        <v>3665</v>
      </c>
      <c r="F12" s="198">
        <f>Statement!W11</f>
        <v>3126</v>
      </c>
      <c r="G12" s="196">
        <f>Statement!AA11</f>
        <v>3665</v>
      </c>
    </row>
    <row r="13" spans="2:7" x14ac:dyDescent="0.2">
      <c r="B13" s="204" t="s">
        <v>316</v>
      </c>
      <c r="C13" s="239">
        <f>Statement!AA95</f>
        <v>0.10524728588661038</v>
      </c>
      <c r="D13" s="240"/>
      <c r="F13" s="239">
        <f>IF(F12=0,
IF(G12=0,0,IF(G12&gt;0,1,-1)),
(G12-F12)/ABS(F12)
)</f>
        <v>0.172424824056302</v>
      </c>
      <c r="G13" s="240"/>
    </row>
    <row r="14" spans="2:7" x14ac:dyDescent="0.2">
      <c r="B14" s="205" t="s">
        <v>317</v>
      </c>
      <c r="C14" s="198">
        <f>Statement!Z12</f>
        <v>2418</v>
      </c>
      <c r="D14" s="196">
        <f>Statement!AA12</f>
        <v>2238</v>
      </c>
      <c r="F14" s="198">
        <f>Statement!W12</f>
        <v>2109</v>
      </c>
      <c r="G14" s="196">
        <f>Statement!AA12</f>
        <v>2238</v>
      </c>
    </row>
    <row r="15" spans="2:7" x14ac:dyDescent="0.2">
      <c r="B15" s="204" t="s">
        <v>316</v>
      </c>
      <c r="C15" s="239">
        <f>Statement!AA96</f>
        <v>-7.4441687344913146E-2</v>
      </c>
      <c r="D15" s="240"/>
      <c r="F15" s="239">
        <f>IF(F14=0,
IF(G14=0,0,IF(G14&gt;0,1,-1)),
(G14-F14)/ABS(F14)
)</f>
        <v>6.1166429587482217E-2</v>
      </c>
      <c r="G15" s="240"/>
    </row>
    <row r="16" spans="2:7" x14ac:dyDescent="0.2">
      <c r="B16" s="205" t="s">
        <v>31</v>
      </c>
      <c r="C16" s="198">
        <f>Statement!Z18</f>
        <v>1889</v>
      </c>
      <c r="D16" s="196">
        <f>Statement!AA18</f>
        <v>1712</v>
      </c>
      <c r="F16" s="198">
        <f>Statement!W18</f>
        <v>1691</v>
      </c>
      <c r="G16" s="196">
        <f>Statement!AA18</f>
        <v>1712</v>
      </c>
    </row>
    <row r="17" spans="2:7" x14ac:dyDescent="0.2">
      <c r="B17" s="204" t="s">
        <v>316</v>
      </c>
      <c r="C17" s="239">
        <f>Statement!AA98</f>
        <v>-9.3700370566437263E-2</v>
      </c>
      <c r="D17" s="240"/>
      <c r="F17" s="239">
        <f>IF(F16=0,
IF(G16=0,0,IF(G16&gt;0,1,-1)),
(G16-F16)/ABS(F16)
)</f>
        <v>1.2418687167356593E-2</v>
      </c>
      <c r="G17" s="240"/>
    </row>
    <row r="18" spans="2:7" x14ac:dyDescent="0.2">
      <c r="B18" s="205" t="s">
        <v>318</v>
      </c>
      <c r="C18" s="198">
        <f>Statement!Z22</f>
        <v>411</v>
      </c>
      <c r="D18" s="196">
        <f>Statement!AA22</f>
        <v>402</v>
      </c>
      <c r="F18" s="198">
        <f>Statement!W22</f>
        <v>429</v>
      </c>
      <c r="G18" s="196">
        <f>Statement!AA22</f>
        <v>402</v>
      </c>
    </row>
    <row r="19" spans="2:7" x14ac:dyDescent="0.2">
      <c r="B19" s="204" t="s">
        <v>316</v>
      </c>
      <c r="C19" s="239">
        <f>IF(C18=0,
IF(D18=0,0,IF(D18&gt;0,1,-1)),
(D18-C18)/ABS(C18)
)</f>
        <v>-2.1897810218978103E-2</v>
      </c>
      <c r="D19" s="240"/>
      <c r="F19" s="239">
        <f>IF(F18=0,
IF(G18=0,0,IF(G18&gt;0,1,-1)),
(G18-F18)/ABS(F18)
)</f>
        <v>-6.2937062937062943E-2</v>
      </c>
      <c r="G19" s="240"/>
    </row>
    <row r="20" spans="2:7" x14ac:dyDescent="0.2">
      <c r="B20" s="205" t="s">
        <v>38</v>
      </c>
      <c r="C20" s="199">
        <f>Statement!Z26</f>
        <v>4.5999999999999996</v>
      </c>
      <c r="D20" s="200">
        <f>Statement!AA26</f>
        <v>4.25</v>
      </c>
      <c r="F20" s="199">
        <f>Statement!W26</f>
        <v>3.94</v>
      </c>
      <c r="G20" s="200">
        <f>Statement!AA26</f>
        <v>4.25</v>
      </c>
    </row>
    <row r="21" spans="2:7" x14ac:dyDescent="0.2">
      <c r="B21" s="204" t="s">
        <v>316</v>
      </c>
      <c r="C21" s="239">
        <f>IF(C20=0,
IF(D20=0,0,IF(D20&gt;0,1,-1)),
(D20-C20)/ABS(C20)
)</f>
        <v>-7.6086956521739066E-2</v>
      </c>
      <c r="D21" s="240"/>
      <c r="F21" s="239">
        <f>IF(F20=0,
IF(G20=0,0,IF(G20&gt;0,1,-1)),
(G20-F20)/ABS(F20)
)</f>
        <v>7.8680203045685293E-2</v>
      </c>
      <c r="G21" s="240"/>
    </row>
    <row r="23" spans="2:7" x14ac:dyDescent="0.2">
      <c r="B23" s="8" t="s">
        <v>319</v>
      </c>
      <c r="C23" s="10" t="str">
        <f>C5</f>
        <v>Q1 2026</v>
      </c>
      <c r="D23" s="201" t="str">
        <f>D5</f>
        <v>Q2 2026</v>
      </c>
      <c r="F23" s="202" t="str">
        <f>F5</f>
        <v>Q2 2025</v>
      </c>
      <c r="G23" s="201" t="str">
        <f>G5</f>
        <v>Q2 2026</v>
      </c>
    </row>
    <row r="24" spans="2:7" x14ac:dyDescent="0.2">
      <c r="B24" s="20" t="s">
        <v>100</v>
      </c>
      <c r="C24" s="198">
        <f>Statement!Z187</f>
        <v>6198</v>
      </c>
      <c r="D24" s="196">
        <f>Statement!AA187</f>
        <v>6416</v>
      </c>
      <c r="F24" s="198">
        <f>Statement!W187</f>
        <v>5641</v>
      </c>
      <c r="G24" s="196">
        <f>Statement!AA187</f>
        <v>6416</v>
      </c>
    </row>
    <row r="25" spans="2:7" x14ac:dyDescent="0.2">
      <c r="B25" s="204" t="s">
        <v>316</v>
      </c>
      <c r="C25" s="239">
        <f>IF(C24=0,
IF(D24=0,0,IF(D24&gt;0,1,-1)),
(D24-C24)/ABS(C24)
)</f>
        <v>3.5172636334301385E-2</v>
      </c>
      <c r="D25" s="240"/>
      <c r="F25" s="239">
        <f>IF(F24=0,
IF(G24=0,0,IF(G24&gt;0,1,-1)),
(G24-F24)/ABS(F24)
)</f>
        <v>0.13738698812267328</v>
      </c>
      <c r="G25" s="240"/>
    </row>
    <row r="26" spans="2:7" x14ac:dyDescent="0.2">
      <c r="B26" s="20" t="s">
        <v>380</v>
      </c>
      <c r="C26" s="198">
        <f>Statement!Z188</f>
        <v>90</v>
      </c>
      <c r="D26" s="196">
        <f>Statement!AA188</f>
        <v>89</v>
      </c>
      <c r="F26" s="198">
        <f>Statement!W188</f>
        <v>88</v>
      </c>
      <c r="G26" s="196">
        <f>Statement!AA188</f>
        <v>89</v>
      </c>
    </row>
    <row r="27" spans="2:7" x14ac:dyDescent="0.2">
      <c r="B27" s="204" t="s">
        <v>316</v>
      </c>
      <c r="C27" s="239">
        <f>IF(C26=0,
IF(D26=0,0,IF(D26&gt;0,1,-1)),
(D26-C26)/ABS(C26)
)</f>
        <v>-1.1111111111111112E-2</v>
      </c>
      <c r="D27" s="240"/>
      <c r="F27" s="239">
        <f>IF(F26=0,
IF(G26=0,0,IF(G26&gt;0,1,-1)),
(G26-F26)/ABS(F26)
)</f>
        <v>1.1363636363636364E-2</v>
      </c>
      <c r="G27" s="240"/>
    </row>
    <row r="28" spans="2:7" x14ac:dyDescent="0.2">
      <c r="B28" s="20" t="s">
        <v>390</v>
      </c>
      <c r="C28" s="198">
        <f>Statement!Z189</f>
        <v>110</v>
      </c>
      <c r="D28" s="196">
        <f>Statement!AA189</f>
        <v>113</v>
      </c>
      <c r="F28" s="198">
        <f>Statement!W189</f>
        <v>144</v>
      </c>
      <c r="G28" s="196">
        <f>Statement!AA189</f>
        <v>113</v>
      </c>
    </row>
    <row r="29" spans="2:7" x14ac:dyDescent="0.2">
      <c r="B29" s="204" t="s">
        <v>316</v>
      </c>
      <c r="C29" s="239">
        <f>IF(C28=0,
IF(D28=0,0,IF(D28&gt;0,1,-1)),
(D28-C28)/ABS(C28)
)</f>
        <v>2.7272727272727271E-2</v>
      </c>
      <c r="D29" s="240"/>
      <c r="F29" s="239">
        <f>IF(F28=0,
IF(G28=0,0,IF(G28&gt;0,1,-1)),
(G28-F28)/ABS(F28)
)</f>
        <v>-0.21527777777777779</v>
      </c>
      <c r="G29" s="240"/>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341</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342</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343</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353</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354</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355</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341</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342</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343</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262</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topLeftCell="A5"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5" t="s">
        <v>114</v>
      </c>
      <c r="D2" s="235"/>
      <c r="E2" s="235"/>
      <c r="F2" s="235"/>
      <c r="G2" s="247"/>
      <c r="H2" s="248" t="s">
        <v>115</v>
      </c>
      <c r="I2" s="235"/>
      <c r="J2" s="235"/>
      <c r="K2" s="235"/>
      <c r="L2" s="235"/>
      <c r="O2" s="5"/>
      <c r="S2" s="235" t="s">
        <v>114</v>
      </c>
      <c r="T2" s="235"/>
      <c r="U2" s="235"/>
      <c r="V2" s="235"/>
      <c r="W2" s="235"/>
      <c r="X2" s="235"/>
      <c r="Y2" s="235"/>
      <c r="Z2" s="235"/>
      <c r="AA2" s="235" t="s">
        <v>115</v>
      </c>
      <c r="AB2" s="235"/>
      <c r="AC2" s="235"/>
      <c r="AE2" s="85" t="s">
        <v>116</v>
      </c>
    </row>
    <row r="3" spans="1:31" ht="10" customHeight="1" x14ac:dyDescent="0.2">
      <c r="O3" s="5"/>
    </row>
    <row r="4" spans="1:31" ht="16" customHeight="1" x14ac:dyDescent="0.2">
      <c r="A4" s="86"/>
      <c r="B4" s="60"/>
      <c r="C4" s="244" t="s">
        <v>117</v>
      </c>
      <c r="D4" s="244"/>
      <c r="E4" s="244"/>
      <c r="F4" s="244"/>
      <c r="G4" s="244"/>
      <c r="H4" s="244"/>
      <c r="I4" s="244"/>
      <c r="J4" s="244"/>
      <c r="K4" s="244"/>
      <c r="L4" s="244"/>
      <c r="O4" s="5"/>
      <c r="S4" s="245" t="s">
        <v>117</v>
      </c>
      <c r="T4" s="246"/>
      <c r="U4" s="246"/>
      <c r="V4" s="246"/>
      <c r="W4" s="246"/>
      <c r="X4" s="246"/>
      <c r="Y4" s="246"/>
      <c r="Z4" s="246"/>
      <c r="AA4" s="246"/>
      <c r="AB4" s="246"/>
      <c r="AC4" s="246"/>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395</v>
      </c>
      <c r="O6" s="5"/>
      <c r="Q6" s="90" t="s">
        <v>395</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396</v>
      </c>
      <c r="O7" s="5"/>
      <c r="Q7" s="90" t="s">
        <v>396</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397</v>
      </c>
      <c r="O8" s="5"/>
      <c r="Q8" s="90" t="s">
        <v>397</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4" t="s">
        <v>123</v>
      </c>
      <c r="D11" s="244"/>
      <c r="E11" s="244"/>
      <c r="F11" s="244"/>
      <c r="G11" s="244"/>
      <c r="H11" s="244"/>
      <c r="I11" s="244"/>
      <c r="J11" s="244"/>
      <c r="K11" s="244"/>
      <c r="L11" s="244"/>
      <c r="O11" s="5"/>
      <c r="Q11" s="91"/>
      <c r="S11" s="245" t="s">
        <v>123</v>
      </c>
      <c r="T11" s="246"/>
      <c r="U11" s="246"/>
      <c r="V11" s="246"/>
      <c r="W11" s="246"/>
      <c r="X11" s="246"/>
      <c r="Y11" s="246"/>
      <c r="Z11" s="246"/>
      <c r="AA11" s="246"/>
      <c r="AB11" s="246"/>
      <c r="AC11" s="246"/>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5" t="s">
        <v>114</v>
      </c>
      <c r="D2" s="235"/>
      <c r="E2" s="235"/>
      <c r="F2" s="235"/>
      <c r="G2" s="247"/>
      <c r="H2" s="248" t="s">
        <v>115</v>
      </c>
      <c r="I2" s="235"/>
      <c r="J2" s="235"/>
      <c r="K2" s="235"/>
      <c r="L2" s="235"/>
      <c r="P2" s="235" t="s">
        <v>114</v>
      </c>
      <c r="Q2" s="235"/>
      <c r="R2" s="235"/>
      <c r="S2" s="235"/>
      <c r="T2" s="235"/>
      <c r="U2" s="235"/>
      <c r="V2" s="235"/>
      <c r="W2" s="235"/>
      <c r="X2" s="235" t="s">
        <v>115</v>
      </c>
      <c r="Y2" s="235"/>
      <c r="Z2" s="235"/>
      <c r="AB2" s="85" t="s">
        <v>116</v>
      </c>
    </row>
    <row r="3" spans="1:28" ht="10" customHeight="1" x14ac:dyDescent="0.2"/>
    <row r="4" spans="1:28" ht="16" customHeight="1" x14ac:dyDescent="0.2">
      <c r="A4" s="86"/>
      <c r="B4" s="60"/>
      <c r="C4" s="244" t="s">
        <v>117</v>
      </c>
      <c r="D4" s="244"/>
      <c r="E4" s="244"/>
      <c r="F4" s="244"/>
      <c r="G4" s="244"/>
      <c r="H4" s="244"/>
      <c r="I4" s="244"/>
      <c r="J4" s="244"/>
      <c r="K4" s="244"/>
      <c r="L4" s="244"/>
      <c r="P4" s="246" t="s">
        <v>117</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4" t="s">
        <v>126</v>
      </c>
      <c r="D9" s="244"/>
      <c r="E9" s="244"/>
      <c r="F9" s="244"/>
      <c r="G9" s="244"/>
      <c r="H9" s="244"/>
      <c r="I9" s="244"/>
      <c r="J9" s="244"/>
      <c r="K9" s="244"/>
      <c r="L9" s="244"/>
      <c r="N9" s="91"/>
      <c r="P9" s="246" t="s">
        <v>127</v>
      </c>
      <c r="Q9" s="246"/>
      <c r="R9" s="246"/>
      <c r="S9" s="246"/>
      <c r="T9" s="246"/>
      <c r="U9" s="246"/>
      <c r="V9" s="246"/>
      <c r="W9" s="246"/>
      <c r="X9" s="246"/>
      <c r="Y9" s="246"/>
      <c r="Z9" s="246"/>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4" t="s">
        <v>129</v>
      </c>
      <c r="D21" s="244"/>
      <c r="E21" s="244"/>
      <c r="F21" s="244"/>
      <c r="G21" s="244"/>
      <c r="H21" s="244"/>
      <c r="I21" s="244"/>
      <c r="J21" s="244"/>
      <c r="K21" s="244"/>
      <c r="L21" s="244"/>
      <c r="P21" s="246" t="s">
        <v>129</v>
      </c>
      <c r="Q21" s="246"/>
      <c r="R21" s="246"/>
      <c r="S21" s="246"/>
      <c r="T21" s="246"/>
      <c r="U21" s="246"/>
      <c r="V21" s="246"/>
      <c r="W21" s="246"/>
      <c r="X21" s="246"/>
      <c r="Y21" s="246"/>
      <c r="Z21" s="246"/>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5" t="s">
        <v>114</v>
      </c>
      <c r="D3" s="235"/>
      <c r="E3" s="235"/>
      <c r="F3" s="235"/>
      <c r="G3" s="247"/>
      <c r="H3" s="248" t="s">
        <v>115</v>
      </c>
      <c r="I3" s="235"/>
      <c r="J3" s="235"/>
      <c r="K3" s="235"/>
      <c r="L3" s="235"/>
      <c r="P3" s="249"/>
      <c r="Q3" s="249"/>
      <c r="R3" s="249"/>
      <c r="S3" s="249"/>
      <c r="T3" s="249"/>
      <c r="U3" s="249"/>
      <c r="V3" s="249"/>
      <c r="W3" s="249"/>
      <c r="X3" s="249"/>
      <c r="Y3" s="249"/>
      <c r="Z3" s="249"/>
      <c r="AB3" s="111"/>
    </row>
    <row r="4" spans="1:28" ht="10" customHeight="1" x14ac:dyDescent="0.2"/>
    <row r="5" spans="1:28" ht="16" customHeight="1" x14ac:dyDescent="0.2">
      <c r="A5" s="86"/>
      <c r="B5" s="60"/>
      <c r="C5" s="244" t="s">
        <v>117</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133</v>
      </c>
      <c r="D11" s="244"/>
      <c r="E11" s="244"/>
      <c r="F11" s="244"/>
      <c r="G11" s="244"/>
      <c r="H11" s="244"/>
      <c r="I11" s="244"/>
      <c r="J11" s="244"/>
      <c r="K11" s="244"/>
      <c r="L11" s="244"/>
      <c r="N11" s="91"/>
      <c r="P11" s="249"/>
      <c r="Q11" s="249"/>
      <c r="R11" s="249"/>
      <c r="S11" s="249"/>
      <c r="T11" s="249"/>
      <c r="U11" s="249"/>
      <c r="V11" s="249"/>
      <c r="W11" s="249"/>
      <c r="X11" s="249"/>
      <c r="Y11" s="249"/>
      <c r="Z11" s="249"/>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4" t="s">
        <v>138</v>
      </c>
      <c r="D18" s="244"/>
      <c r="E18" s="244"/>
      <c r="F18" s="244"/>
      <c r="G18" s="244"/>
      <c r="H18" s="244"/>
      <c r="I18" s="244"/>
      <c r="J18" s="244"/>
      <c r="K18" s="244"/>
      <c r="L18" s="244"/>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49"/>
      <c r="C25" s="249"/>
    </row>
    <row r="26" spans="2:12" x14ac:dyDescent="0.2">
      <c r="B26" s="111"/>
      <c r="C26" s="244" t="s">
        <v>144</v>
      </c>
      <c r="D26" s="244"/>
      <c r="E26" s="244"/>
      <c r="F26" s="244"/>
      <c r="G26" s="244"/>
      <c r="H26" s="244"/>
      <c r="I26" s="244"/>
      <c r="J26" s="244"/>
      <c r="K26" s="244"/>
      <c r="L26" s="244"/>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4" t="s">
        <v>148</v>
      </c>
      <c r="D33" s="244"/>
      <c r="E33" s="244"/>
      <c r="F33" s="244"/>
      <c r="G33" s="244"/>
      <c r="H33" s="244"/>
      <c r="I33" s="244"/>
      <c r="J33" s="244"/>
      <c r="K33" s="244"/>
      <c r="L33" s="244"/>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4" t="s">
        <v>151</v>
      </c>
      <c r="D40" s="244"/>
      <c r="E40" s="244"/>
      <c r="F40" s="244"/>
      <c r="G40" s="244"/>
      <c r="H40" s="244"/>
      <c r="I40" s="244"/>
      <c r="J40" s="244"/>
      <c r="K40" s="244"/>
      <c r="L40" s="244"/>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6"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5" t="s">
        <v>114</v>
      </c>
      <c r="D2" s="235"/>
      <c r="E2" s="235"/>
      <c r="F2" s="235"/>
      <c r="G2" s="247"/>
      <c r="H2" s="248" t="s">
        <v>115</v>
      </c>
      <c r="I2" s="235"/>
      <c r="J2" s="235"/>
      <c r="K2" s="235"/>
      <c r="L2" s="235"/>
      <c r="S2" s="249"/>
      <c r="T2" s="249"/>
      <c r="U2" s="249"/>
      <c r="V2" s="249"/>
      <c r="W2" s="249"/>
      <c r="X2" s="249"/>
      <c r="Y2" s="249"/>
      <c r="Z2" s="249"/>
      <c r="AA2" s="249"/>
      <c r="AB2" s="249"/>
      <c r="AC2" s="249"/>
      <c r="AE2" s="111"/>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4" t="s">
        <v>159</v>
      </c>
      <c r="D13" s="244"/>
      <c r="E13" s="244"/>
      <c r="F13" s="244"/>
      <c r="G13" s="244"/>
      <c r="H13" s="244"/>
      <c r="I13" s="244"/>
      <c r="J13" s="244"/>
      <c r="K13" s="244"/>
      <c r="L13" s="24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4" t="s">
        <v>160</v>
      </c>
      <c r="D18" s="244"/>
      <c r="E18" s="244"/>
      <c r="F18" s="244"/>
      <c r="G18" s="244"/>
      <c r="H18" s="244"/>
      <c r="I18" s="244"/>
      <c r="J18" s="244"/>
      <c r="K18" s="244"/>
      <c r="L18" s="244"/>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4" t="s">
        <v>263</v>
      </c>
      <c r="D25" s="244"/>
      <c r="E25" s="244"/>
      <c r="F25" s="244"/>
      <c r="G25" s="244"/>
      <c r="H25" s="244"/>
      <c r="I25" s="244"/>
      <c r="J25" s="244"/>
      <c r="K25" s="244"/>
      <c r="L25" s="244"/>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4" t="s">
        <v>77</v>
      </c>
      <c r="D31" s="244"/>
      <c r="E31" s="244"/>
      <c r="F31" s="244"/>
      <c r="G31" s="244"/>
      <c r="H31" s="244"/>
      <c r="I31" s="244"/>
      <c r="J31" s="244"/>
      <c r="K31" s="244"/>
      <c r="L31" s="244"/>
    </row>
    <row r="32" spans="2:14" x14ac:dyDescent="0.2">
      <c r="B32" s="16" t="s">
        <v>335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0.89100000000000001</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0.36099999999999999</v>
      </c>
      <c r="I34" s="214">
        <f t="shared" ref="I34:L34" si="10">I10/I6</f>
        <v>0.36000000000000004</v>
      </c>
      <c r="J34" s="214">
        <f t="shared" si="10"/>
        <v>0.36199999999999999</v>
      </c>
      <c r="K34" s="214">
        <f t="shared" si="10"/>
        <v>0.36199999999999988</v>
      </c>
      <c r="L34" s="214">
        <f t="shared" si="10"/>
        <v>0.36499999999999999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5" t="s">
        <v>167</v>
      </c>
      <c r="C4" s="235"/>
    </row>
    <row r="5" spans="1:3" ht="17" customHeight="1" x14ac:dyDescent="0.2">
      <c r="B5" s="1" t="s">
        <v>168</v>
      </c>
      <c r="C5" s="138">
        <f>Statement!AC78</f>
        <v>398</v>
      </c>
    </row>
    <row r="6" spans="1:3" ht="17" customHeight="1" x14ac:dyDescent="0.2">
      <c r="B6" s="1" t="s">
        <v>1</v>
      </c>
      <c r="C6" s="135">
        <f ca="1">Overview!C5</f>
        <v>235.47</v>
      </c>
    </row>
    <row r="7" spans="1:3" ht="17" customHeight="1" x14ac:dyDescent="0.2">
      <c r="B7" s="1" t="s">
        <v>169</v>
      </c>
      <c r="C7" s="136">
        <f ca="1">C5*C6</f>
        <v>93717.06</v>
      </c>
    </row>
    <row r="8" spans="1:3" ht="17" customHeight="1" x14ac:dyDescent="0.2">
      <c r="B8" s="1" t="s">
        <v>170</v>
      </c>
      <c r="C8" s="114">
        <f>Statement!AC108</f>
        <v>6645</v>
      </c>
    </row>
    <row r="9" spans="1:3" ht="17" customHeight="1" x14ac:dyDescent="0.2">
      <c r="B9" s="1" t="s">
        <v>171</v>
      </c>
      <c r="C9" s="137">
        <f ca="1">Overview!F27</f>
        <v>5.1619999999999999E-2</v>
      </c>
    </row>
    <row r="10" spans="1:3" ht="17" customHeight="1" x14ac:dyDescent="0.2">
      <c r="B10" s="1" t="s">
        <v>9</v>
      </c>
      <c r="C10" s="135">
        <f ca="1">Overview!C13</f>
        <v>1.4074</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5" t="s">
        <v>174</v>
      </c>
      <c r="C15" s="235"/>
    </row>
    <row r="16" spans="1:3" ht="17" customHeight="1" x14ac:dyDescent="0.2">
      <c r="B16" s="1" t="s">
        <v>175</v>
      </c>
      <c r="C16" s="46">
        <f ca="1">C8/(C8+C7)</f>
        <v>6.6210279063622257E-2</v>
      </c>
    </row>
    <row r="17" spans="2:3" ht="17" customHeight="1" x14ac:dyDescent="0.2">
      <c r="B17" s="1" t="s">
        <v>176</v>
      </c>
      <c r="C17" s="46">
        <f ca="1">C7/(C8+C7)</f>
        <v>0.9337897209363778</v>
      </c>
    </row>
    <row r="18" spans="2:3" ht="17" customHeight="1" x14ac:dyDescent="0.2">
      <c r="B18" s="1" t="s">
        <v>177</v>
      </c>
      <c r="C18" s="46">
        <f>C13*(1-C12)</f>
        <v>4.0289999999999999E-2</v>
      </c>
    </row>
    <row r="19" spans="2:3" ht="17" customHeight="1" x14ac:dyDescent="0.2">
      <c r="B19" s="1" t="s">
        <v>178</v>
      </c>
      <c r="C19" s="46">
        <f ca="1">C9+C10*C11</f>
        <v>0.114953</v>
      </c>
    </row>
    <row r="20" spans="2:3" ht="17" customHeight="1" x14ac:dyDescent="0.2">
      <c r="B20" s="1" t="s">
        <v>166</v>
      </c>
      <c r="C20" s="46">
        <f ca="1">(C17*C19)+(C16*C18)</f>
        <v>0.11000954193427279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D1"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5" t="s">
        <v>114</v>
      </c>
      <c r="D3" s="235"/>
      <c r="E3" s="235"/>
      <c r="F3" s="235"/>
      <c r="G3" s="247"/>
      <c r="H3" s="248" t="s">
        <v>115</v>
      </c>
      <c r="I3" s="235"/>
      <c r="J3" s="235"/>
      <c r="K3" s="235"/>
      <c r="L3" s="235"/>
      <c r="P3" s="249"/>
      <c r="Q3" s="249"/>
      <c r="R3" s="249"/>
      <c r="S3" s="249"/>
      <c r="T3" s="249"/>
      <c r="U3" s="249"/>
      <c r="V3" s="249"/>
      <c r="W3" s="249"/>
      <c r="X3" s="249"/>
      <c r="Y3" s="249"/>
      <c r="Z3" s="249"/>
      <c r="AB3" s="111"/>
    </row>
    <row r="4" spans="1:28" ht="10" customHeight="1" x14ac:dyDescent="0.2"/>
    <row r="5" spans="1:28" ht="16" customHeight="1" x14ac:dyDescent="0.2">
      <c r="A5" s="86"/>
      <c r="B5" s="60"/>
      <c r="C5" s="244" t="s">
        <v>181</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140647.37417341626</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7309.4822224072295</v>
      </c>
      <c r="I10" s="128">
        <f t="shared" ref="I10:L10" ca="1" si="0">I7/(1+$C$15)^I9</f>
        <v>7445.3769222875871</v>
      </c>
      <c r="J10" s="128">
        <f t="shared" ca="1" si="0"/>
        <v>7447.8994163874986</v>
      </c>
      <c r="K10" s="128">
        <f t="shared" ca="1" si="0"/>
        <v>7395.6706522236691</v>
      </c>
      <c r="L10" s="128">
        <f t="shared" ca="1" si="0"/>
        <v>7365.2322767829273</v>
      </c>
      <c r="N10" s="91"/>
    </row>
    <row r="11" spans="1:28" x14ac:dyDescent="0.2">
      <c r="B11" s="1" t="s">
        <v>184</v>
      </c>
      <c r="C11" s="139"/>
      <c r="D11" s="139"/>
      <c r="E11" s="139"/>
      <c r="F11" s="139"/>
      <c r="G11" s="140"/>
      <c r="H11" s="139"/>
      <c r="I11" s="139"/>
      <c r="J11" s="139"/>
      <c r="K11" s="139"/>
      <c r="L11" s="128">
        <f ca="1">L8/(1+C15)^L9</f>
        <v>83463.783515356932</v>
      </c>
    </row>
    <row r="13" spans="1:28" x14ac:dyDescent="0.2">
      <c r="B13" s="235" t="s">
        <v>185</v>
      </c>
      <c r="C13" s="235"/>
    </row>
    <row r="14" spans="1:28" x14ac:dyDescent="0.2">
      <c r="B14" s="1" t="s">
        <v>186</v>
      </c>
      <c r="C14" s="142">
        <v>0.02</v>
      </c>
    </row>
    <row r="15" spans="1:28" x14ac:dyDescent="0.2">
      <c r="B15" s="1" t="s">
        <v>166</v>
      </c>
      <c r="C15" s="137">
        <f ca="1">IF(Overview!C28&gt;0,Overview!C28,WACC!C20)</f>
        <v>0.11000954193427279</v>
      </c>
    </row>
    <row r="18" spans="2:3" x14ac:dyDescent="0.2">
      <c r="B18" s="235" t="s">
        <v>187</v>
      </c>
      <c r="C18" s="235"/>
    </row>
    <row r="19" spans="2:3" x14ac:dyDescent="0.2">
      <c r="B19" s="1" t="s">
        <v>188</v>
      </c>
      <c r="C19" s="64">
        <f ca="1">SUM(H10:L10)</f>
        <v>36963.661490088911</v>
      </c>
    </row>
    <row r="20" spans="2:3" x14ac:dyDescent="0.2">
      <c r="B20" s="1" t="s">
        <v>184</v>
      </c>
      <c r="C20" s="64">
        <f ca="1">L11</f>
        <v>83463.783515356932</v>
      </c>
    </row>
    <row r="21" spans="2:3" x14ac:dyDescent="0.2">
      <c r="B21" s="16" t="s">
        <v>189</v>
      </c>
      <c r="C21" s="94">
        <f ca="1">C19+C20</f>
        <v>120427.44500544584</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119408.44500544584</v>
      </c>
    </row>
    <row r="25" spans="2:3" x14ac:dyDescent="0.2">
      <c r="B25" s="1" t="s">
        <v>69</v>
      </c>
      <c r="C25" s="88">
        <f>Statement!AC78</f>
        <v>398</v>
      </c>
    </row>
    <row r="26" spans="2:3" x14ac:dyDescent="0.2">
      <c r="B26" s="233" t="s">
        <v>193</v>
      </c>
      <c r="C26" s="234">
        <f ca="1">C24/C25</f>
        <v>300.02121860664784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40" zoomScale="192" zoomScaleNormal="100" workbookViewId="0">
      <selection activeCell="C43" sqref="C4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5" t="s">
        <v>114</v>
      </c>
      <c r="D2" s="235"/>
      <c r="E2" s="235"/>
      <c r="F2" s="235"/>
      <c r="G2" s="247"/>
      <c r="H2" s="248" t="s">
        <v>115</v>
      </c>
      <c r="I2" s="235"/>
      <c r="J2" s="235"/>
      <c r="K2" s="235"/>
      <c r="L2" s="235"/>
    </row>
    <row r="3" spans="1:14" ht="10" customHeight="1" x14ac:dyDescent="0.2"/>
    <row r="4" spans="1:14" ht="16" customHeight="1" x14ac:dyDescent="0.2">
      <c r="A4" s="86"/>
      <c r="B4" s="60"/>
      <c r="C4" s="244" t="s">
        <v>195</v>
      </c>
      <c r="D4" s="244"/>
      <c r="E4" s="244"/>
      <c r="F4" s="244"/>
      <c r="G4" s="244"/>
      <c r="H4" s="244"/>
      <c r="I4" s="244"/>
      <c r="J4" s="244"/>
      <c r="K4" s="244"/>
      <c r="L4" s="244"/>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B9" s="16" t="s">
        <v>321</v>
      </c>
      <c r="C9" s="139"/>
      <c r="D9" s="139"/>
      <c r="E9" s="139"/>
      <c r="F9" s="139"/>
      <c r="G9" s="140"/>
      <c r="H9" s="92">
        <f ca="1">DCF!H10</f>
        <v>7309.4822224072295</v>
      </c>
      <c r="I9" s="92">
        <f ca="1">DCF!I10</f>
        <v>7445.3769222875871</v>
      </c>
      <c r="J9" s="92">
        <f ca="1">DCF!J10</f>
        <v>7447.8994163874986</v>
      </c>
      <c r="K9" s="92">
        <f ca="1">DCF!K10</f>
        <v>7395.6706522236691</v>
      </c>
      <c r="L9" s="92">
        <f ca="1">DCF!L10</f>
        <v>7365.2322767829273</v>
      </c>
      <c r="N9" s="91"/>
    </row>
    <row r="10" spans="1:14" x14ac:dyDescent="0.2">
      <c r="N10" s="91"/>
    </row>
    <row r="11" spans="1:14" x14ac:dyDescent="0.2">
      <c r="C11" s="244" t="s">
        <v>123</v>
      </c>
      <c r="D11" s="244"/>
      <c r="E11" s="244"/>
      <c r="F11" s="244"/>
      <c r="G11" s="244"/>
      <c r="H11" s="244"/>
      <c r="I11" s="244"/>
      <c r="J11" s="244"/>
      <c r="K11" s="244"/>
      <c r="L11" s="244"/>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0.11659110606251828</v>
      </c>
      <c r="I13" s="95">
        <f t="shared" si="1"/>
        <v>0.11298921555159212</v>
      </c>
      <c r="J13" s="95">
        <f t="shared" si="1"/>
        <v>0.10496470912967919</v>
      </c>
      <c r="K13" s="95">
        <f t="shared" si="1"/>
        <v>0.10009514645994363</v>
      </c>
      <c r="L13" s="95">
        <f t="shared" si="1"/>
        <v>9.6975945561699195E-2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0.10050903905352623</v>
      </c>
      <c r="I14" s="95">
        <f t="shared" si="2"/>
        <v>0.10990614293233568</v>
      </c>
      <c r="J14" s="95">
        <f t="shared" si="2"/>
        <v>0.11110340195817725</v>
      </c>
      <c r="K14" s="95">
        <f t="shared" si="2"/>
        <v>0.10009514645994336</v>
      </c>
      <c r="L14" s="95">
        <f t="shared" si="2"/>
        <v>0.10606690643652029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-2.8444874203225189E-2</v>
      </c>
      <c r="I15" s="95">
        <f t="shared" si="3"/>
        <v>0.13064635436170827</v>
      </c>
      <c r="J15" s="95">
        <f t="shared" si="3"/>
        <v>0.11038561322651223</v>
      </c>
      <c r="K15" s="95">
        <f t="shared" si="3"/>
        <v>0.10222554495148263</v>
      </c>
      <c r="L15" s="95">
        <f t="shared" si="3"/>
        <v>0.10544107360070223</v>
      </c>
      <c r="N15" s="91"/>
    </row>
    <row r="16" spans="1:14" x14ac:dyDescent="0.2">
      <c r="N16" s="91"/>
    </row>
    <row r="17" spans="2:14" x14ac:dyDescent="0.2">
      <c r="C17" s="244" t="s">
        <v>197</v>
      </c>
      <c r="D17" s="244"/>
      <c r="E17" s="244"/>
      <c r="F17" s="244"/>
      <c r="G17" s="244"/>
      <c r="H17" s="244"/>
      <c r="I17" s="244"/>
      <c r="J17" s="244"/>
      <c r="K17" s="244"/>
      <c r="L17" s="244"/>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44" t="s">
        <v>200</v>
      </c>
      <c r="D22" s="244"/>
      <c r="E22" s="244"/>
      <c r="F22" s="244"/>
      <c r="G22" s="244"/>
      <c r="H22" s="244"/>
      <c r="I22" s="244"/>
      <c r="J22" s="244"/>
      <c r="K22" s="244"/>
      <c r="L22" s="244"/>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44" t="s">
        <v>201</v>
      </c>
      <c r="D27" s="244"/>
      <c r="E27" s="244"/>
      <c r="F27" s="244"/>
      <c r="G27" s="244"/>
      <c r="H27" s="244"/>
      <c r="I27" s="244"/>
      <c r="J27" s="244"/>
      <c r="K27" s="244"/>
      <c r="L27" s="244"/>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N36" s="91"/>
    </row>
    <row r="37" spans="2:14" x14ac:dyDescent="0.2">
      <c r="N37" s="91"/>
    </row>
    <row r="38" spans="2:14" x14ac:dyDescent="0.2">
      <c r="B38" s="235" t="s">
        <v>206</v>
      </c>
      <c r="C38" s="235"/>
      <c r="N38" s="91"/>
    </row>
    <row r="39" spans="2:14" x14ac:dyDescent="0.2">
      <c r="B39" s="1" t="s">
        <v>207</v>
      </c>
      <c r="C39" s="64">
        <f>L7</f>
        <v>14376.880278018019</v>
      </c>
    </row>
    <row r="40" spans="2:14" x14ac:dyDescent="0.2">
      <c r="B40" s="1" t="s">
        <v>166</v>
      </c>
      <c r="C40" s="137">
        <f ca="1">IF(Overview!C28&gt;0,Overview!C28,WACC!C20)</f>
        <v>0.11000954193427279</v>
      </c>
    </row>
    <row r="41" spans="2:14" x14ac:dyDescent="0.2">
      <c r="B41" s="39" t="s">
        <v>208</v>
      </c>
      <c r="C41" s="105">
        <v>15</v>
      </c>
    </row>
    <row r="42" spans="2:14" x14ac:dyDescent="0.2">
      <c r="B42" s="1" t="s">
        <v>409</v>
      </c>
      <c r="C42" s="24">
        <f>(C39*C41)</f>
        <v>215653.2041702703</v>
      </c>
    </row>
    <row r="43" spans="2:14" x14ac:dyDescent="0.2">
      <c r="B43" s="1" t="s">
        <v>410</v>
      </c>
      <c r="C43" s="24">
        <f ca="1">C42/(1+C40)^5</f>
        <v>127974.17977436041</v>
      </c>
    </row>
    <row r="44" spans="2:14" x14ac:dyDescent="0.2">
      <c r="B44" s="16" t="s">
        <v>411</v>
      </c>
      <c r="C44" s="108">
        <f ca="1">SUM(H9:K9)+C43</f>
        <v>157572.6089876664</v>
      </c>
    </row>
    <row r="45" spans="2:14" x14ac:dyDescent="0.2">
      <c r="B45" s="1" t="s">
        <v>190</v>
      </c>
      <c r="C45" s="88">
        <f>Statement!AC107</f>
        <v>5626</v>
      </c>
    </row>
    <row r="46" spans="2:14" x14ac:dyDescent="0.2">
      <c r="B46" s="1" t="s">
        <v>191</v>
      </c>
      <c r="C46" s="88">
        <f>Statement!AC108</f>
        <v>6645</v>
      </c>
    </row>
    <row r="47" spans="2:14" x14ac:dyDescent="0.2">
      <c r="B47" s="16" t="s">
        <v>192</v>
      </c>
      <c r="C47" s="108">
        <f ca="1">C44+C45-C46</f>
        <v>156553.6089876664</v>
      </c>
    </row>
    <row r="48" spans="2:14" x14ac:dyDescent="0.2">
      <c r="B48" s="1" t="s">
        <v>69</v>
      </c>
      <c r="C48" s="88">
        <f>Statement!AC78</f>
        <v>398</v>
      </c>
    </row>
    <row r="49" spans="2:3" x14ac:dyDescent="0.2">
      <c r="B49" s="233" t="s">
        <v>210</v>
      </c>
      <c r="C49" s="234">
        <f ca="1">C47/C48</f>
        <v>393.35077635092063</v>
      </c>
    </row>
    <row r="51" spans="2:3" x14ac:dyDescent="0.2">
      <c r="B51" s="235" t="s">
        <v>211</v>
      </c>
      <c r="C51" s="235"/>
    </row>
    <row r="52" spans="2:3" x14ac:dyDescent="0.2">
      <c r="B52" s="1" t="s">
        <v>212</v>
      </c>
      <c r="C52" s="64">
        <f>L6</f>
        <v>39388.713090460325</v>
      </c>
    </row>
    <row r="53" spans="2:3" x14ac:dyDescent="0.2">
      <c r="B53" s="1" t="s">
        <v>350</v>
      </c>
      <c r="C53" s="137">
        <f>IF(Overview!C29&gt;0,Overview!C29,WACC!C19)</f>
        <v>0.1</v>
      </c>
    </row>
    <row r="54" spans="2:3" x14ac:dyDescent="0.2">
      <c r="B54" s="39" t="s">
        <v>213</v>
      </c>
      <c r="C54" s="105">
        <v>5</v>
      </c>
    </row>
    <row r="55" spans="2:3" x14ac:dyDescent="0.2">
      <c r="B55" s="1" t="s">
        <v>209</v>
      </c>
      <c r="C55" s="24">
        <f>L19</f>
        <v>378.13734504559994</v>
      </c>
    </row>
    <row r="56" spans="2:3" x14ac:dyDescent="0.2">
      <c r="B56" s="1" t="s">
        <v>193</v>
      </c>
      <c r="C56" s="24">
        <f>(C52*C54)/C55</f>
        <v>520.82548320783292</v>
      </c>
    </row>
    <row r="57" spans="2:3" x14ac:dyDescent="0.2">
      <c r="B57" s="233" t="s">
        <v>210</v>
      </c>
      <c r="C57" s="234">
        <f>C56/(1+C53)^5</f>
        <v>323.39164811633128</v>
      </c>
    </row>
    <row r="59" spans="2:3" x14ac:dyDescent="0.2">
      <c r="B59" s="235" t="s">
        <v>323</v>
      </c>
      <c r="C59" s="235"/>
    </row>
    <row r="60" spans="2:3" x14ac:dyDescent="0.2">
      <c r="B60" s="1" t="s">
        <v>412</v>
      </c>
      <c r="C60" s="64">
        <f>L8</f>
        <v>12411.378160399478</v>
      </c>
    </row>
    <row r="61" spans="2:3" x14ac:dyDescent="0.2">
      <c r="B61" s="1" t="s">
        <v>166</v>
      </c>
      <c r="C61" s="137">
        <f ca="1">IF(Overview!C28&gt;0,Overview!C28,WACC!C20)</f>
        <v>0.11000954193427279</v>
      </c>
    </row>
    <row r="62" spans="2:3" x14ac:dyDescent="0.2">
      <c r="B62" s="39" t="s">
        <v>351</v>
      </c>
      <c r="C62" s="105">
        <v>16</v>
      </c>
    </row>
    <row r="63" spans="2:3" x14ac:dyDescent="0.2">
      <c r="B63" s="1" t="s">
        <v>409</v>
      </c>
      <c r="C63" s="24">
        <f>(C60*C62)</f>
        <v>198582.05056639164</v>
      </c>
    </row>
    <row r="64" spans="2:3" x14ac:dyDescent="0.2">
      <c r="B64" s="1" t="s">
        <v>410</v>
      </c>
      <c r="C64" s="24">
        <f ca="1">C63/(1+C61)^5</f>
        <v>117843.71642852684</v>
      </c>
    </row>
    <row r="65" spans="2:3" x14ac:dyDescent="0.2">
      <c r="B65" s="16" t="s">
        <v>411</v>
      </c>
      <c r="C65" s="108">
        <f ca="1">SUM(H9:K9)+C64</f>
        <v>147442.14564183282</v>
      </c>
    </row>
    <row r="66" spans="2:3" x14ac:dyDescent="0.2">
      <c r="B66" s="1" t="s">
        <v>190</v>
      </c>
      <c r="C66" s="88">
        <f>Statement!AC107</f>
        <v>5626</v>
      </c>
    </row>
    <row r="67" spans="2:3" x14ac:dyDescent="0.2">
      <c r="B67" s="1" t="s">
        <v>191</v>
      </c>
      <c r="C67" s="88">
        <f>Statement!AC108</f>
        <v>6645</v>
      </c>
    </row>
    <row r="68" spans="2:3" x14ac:dyDescent="0.2">
      <c r="B68" s="16" t="s">
        <v>192</v>
      </c>
      <c r="C68" s="108">
        <f ca="1">C65+C66-C67</f>
        <v>146423.14564183282</v>
      </c>
    </row>
    <row r="69" spans="2:3" x14ac:dyDescent="0.2">
      <c r="B69" s="1" t="s">
        <v>69</v>
      </c>
      <c r="C69" s="88">
        <f>Statement!AC78</f>
        <v>398</v>
      </c>
    </row>
    <row r="70" spans="2:3" x14ac:dyDescent="0.2">
      <c r="B70" s="233" t="s">
        <v>210</v>
      </c>
      <c r="C70" s="234">
        <f ca="1">C68/C69</f>
        <v>367.89735085887645</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35" t="s">
        <v>215</v>
      </c>
      <c r="C4" s="235"/>
      <c r="N4" s="91"/>
    </row>
    <row r="5" spans="1:14" x14ac:dyDescent="0.2">
      <c r="B5" s="1" t="s">
        <v>216</v>
      </c>
      <c r="C5" s="135">
        <f ca="1">DCF!C26</f>
        <v>300.02121860664784</v>
      </c>
    </row>
    <row r="6" spans="1:14" x14ac:dyDescent="0.2">
      <c r="B6" s="1" t="s">
        <v>217</v>
      </c>
      <c r="C6" s="135">
        <f ca="1">Multiples!C49</f>
        <v>393.35077635092063</v>
      </c>
    </row>
    <row r="7" spans="1:14" x14ac:dyDescent="0.2">
      <c r="B7" s="1" t="s">
        <v>218</v>
      </c>
      <c r="C7" s="135">
        <f>Multiples!C57</f>
        <v>323.39164811633128</v>
      </c>
    </row>
    <row r="8" spans="1:14" x14ac:dyDescent="0.2">
      <c r="B8" s="1" t="s">
        <v>324</v>
      </c>
      <c r="C8" s="135">
        <f ca="1">Multiples!C70</f>
        <v>367.89735085887645</v>
      </c>
    </row>
    <row r="9" spans="1:14" x14ac:dyDescent="0.2">
      <c r="B9" s="233" t="s">
        <v>219</v>
      </c>
      <c r="C9" s="234">
        <f ca="1">AVERAGE(C5:C8)</f>
        <v>346.16524848319403</v>
      </c>
    </row>
    <row r="10" spans="1:14" x14ac:dyDescent="0.2">
      <c r="B10" s="1" t="s">
        <v>220</v>
      </c>
      <c r="C10" s="135">
        <f ca="1">Overview!C5</f>
        <v>235.47</v>
      </c>
    </row>
    <row r="11" spans="1:14" x14ac:dyDescent="0.2">
      <c r="B11" s="1" t="s">
        <v>221</v>
      </c>
      <c r="C11" s="154">
        <f ca="1">(C9-C10)/C10</f>
        <v>0.47010340375926463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400</v>
      </c>
    </row>
    <row r="2" spans="1:14" x14ac:dyDescent="0.2">
      <c r="A2" s="4"/>
      <c r="C2" s="235" t="s">
        <v>114</v>
      </c>
      <c r="D2" s="235"/>
      <c r="E2" s="235"/>
      <c r="F2" s="235"/>
      <c r="G2" s="247"/>
      <c r="H2" s="248" t="s">
        <v>115</v>
      </c>
      <c r="I2" s="235"/>
      <c r="J2" s="235"/>
      <c r="K2" s="235"/>
      <c r="L2" s="235"/>
    </row>
    <row r="3" spans="1:14" ht="10" customHeight="1" x14ac:dyDescent="0.2"/>
    <row r="4" spans="1:14" ht="16" customHeight="1" x14ac:dyDescent="0.2">
      <c r="A4" s="86"/>
      <c r="B4" s="60"/>
      <c r="C4" s="244" t="s">
        <v>195</v>
      </c>
      <c r="D4" s="244"/>
      <c r="E4" s="244"/>
      <c r="F4" s="244"/>
      <c r="G4" s="244"/>
      <c r="H4" s="244"/>
      <c r="I4" s="244"/>
      <c r="J4" s="244"/>
      <c r="K4" s="244"/>
      <c r="L4" s="244"/>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401</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44" t="s">
        <v>123</v>
      </c>
      <c r="D9" s="244"/>
      <c r="E9" s="244"/>
      <c r="F9" s="244"/>
      <c r="G9" s="244"/>
      <c r="H9" s="244"/>
      <c r="I9" s="244"/>
      <c r="J9" s="244"/>
      <c r="K9" s="244"/>
      <c r="L9" s="244"/>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4" t="s">
        <v>402</v>
      </c>
      <c r="D14" s="244"/>
      <c r="E14" s="244"/>
      <c r="F14" s="244"/>
      <c r="G14" s="244"/>
      <c r="H14" s="244"/>
      <c r="I14" s="244"/>
      <c r="J14" s="244"/>
      <c r="K14" s="244"/>
      <c r="L14" s="244"/>
      <c r="N14" s="91"/>
    </row>
    <row r="15" spans="1:14" x14ac:dyDescent="0.2">
      <c r="B15" s="16" t="s">
        <v>335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403</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5" t="s">
        <v>404</v>
      </c>
      <c r="C20" s="235"/>
      <c r="N20" s="91"/>
    </row>
    <row r="21" spans="2:14" x14ac:dyDescent="0.2">
      <c r="B21" s="1" t="s">
        <v>405</v>
      </c>
      <c r="C21" s="230">
        <f>G7</f>
        <v>0</v>
      </c>
    </row>
    <row r="22" spans="2:14" x14ac:dyDescent="0.2">
      <c r="B22" s="1" t="s">
        <v>406</v>
      </c>
      <c r="C22" s="231">
        <v>0</v>
      </c>
    </row>
    <row r="23" spans="2:14" x14ac:dyDescent="0.2">
      <c r="B23" s="39" t="s">
        <v>407</v>
      </c>
      <c r="C23" s="232">
        <f>C21*(1+C22)</f>
        <v>0</v>
      </c>
    </row>
    <row r="24" spans="2:14" x14ac:dyDescent="0.2">
      <c r="B24" s="1" t="s">
        <v>350</v>
      </c>
      <c r="C24" s="137">
        <f>IF(Overview!C29&gt;0,Overview!C29,WACC!C19)</f>
        <v>0.1</v>
      </c>
    </row>
    <row r="25" spans="2:14" x14ac:dyDescent="0.2">
      <c r="B25" s="39" t="s">
        <v>408</v>
      </c>
      <c r="C25" s="231">
        <v>0</v>
      </c>
    </row>
    <row r="26" spans="2:14" x14ac:dyDescent="0.2">
      <c r="B26" s="233" t="s">
        <v>210</v>
      </c>
      <c r="C26" s="23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D34" sqref="D34"/>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35" t="s">
        <v>114</v>
      </c>
      <c r="D3" s="235"/>
      <c r="E3" s="235"/>
      <c r="F3" s="235"/>
      <c r="G3" s="247"/>
      <c r="H3" s="248" t="s">
        <v>115</v>
      </c>
      <c r="I3" s="235"/>
      <c r="J3" s="235"/>
      <c r="K3" s="235"/>
      <c r="L3" s="235"/>
      <c r="P3" s="249"/>
      <c r="Q3" s="249"/>
      <c r="R3" s="249"/>
      <c r="S3" s="249"/>
      <c r="T3" s="249"/>
      <c r="U3" s="249"/>
      <c r="V3" s="249"/>
      <c r="W3" s="249"/>
      <c r="X3" s="249"/>
      <c r="Y3" s="249"/>
      <c r="Z3" s="249"/>
      <c r="AB3" s="111"/>
    </row>
    <row r="4" spans="1:28" ht="10" customHeight="1" x14ac:dyDescent="0.2"/>
    <row r="5" spans="1:28" ht="16" customHeight="1" x14ac:dyDescent="0.2">
      <c r="A5" s="86"/>
      <c r="B5" s="60"/>
      <c r="C5" s="244" t="s">
        <v>181</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8518.1650469429806</v>
      </c>
      <c r="I7" s="128">
        <f t="shared" ref="I7:L7" si="0">H7*(1+$C$17)</f>
        <v>8688.5283478818401</v>
      </c>
      <c r="J7" s="128">
        <f t="shared" si="0"/>
        <v>8862.2989148394772</v>
      </c>
      <c r="K7" s="128">
        <f t="shared" si="0"/>
        <v>9039.5448931362662</v>
      </c>
      <c r="L7" s="128">
        <f t="shared" si="0"/>
        <v>9220.3357909989918</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104486.06119656235</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7673.9565968950637</v>
      </c>
      <c r="I10" s="128">
        <f t="shared" ref="I10:L10" ca="1" si="1">I7/(1+$C$21)^I9</f>
        <v>7051.6832812023267</v>
      </c>
      <c r="J10" s="128">
        <f t="shared" ca="1" si="1"/>
        <v>6479.8694741781574</v>
      </c>
      <c r="K10" s="128">
        <f t="shared" ca="1" si="1"/>
        <v>5954.4234657156558</v>
      </c>
      <c r="L10" s="128">
        <f t="shared" ca="1" si="1"/>
        <v>5471.5853383083804</v>
      </c>
      <c r="N10" s="91"/>
    </row>
    <row r="11" spans="1:28" x14ac:dyDescent="0.2">
      <c r="B11" s="1" t="s">
        <v>184</v>
      </c>
      <c r="C11" s="139"/>
      <c r="D11" s="139"/>
      <c r="E11" s="139"/>
      <c r="F11" s="139"/>
      <c r="G11" s="140"/>
      <c r="H11" s="139"/>
      <c r="I11" s="139"/>
      <c r="J11" s="139"/>
      <c r="K11" s="139"/>
      <c r="L11" s="128">
        <f ca="1">L8/(1+C21)^L9</f>
        <v>62004.726667200972</v>
      </c>
    </row>
    <row r="13" spans="1:28" ht="17" thickBot="1" x14ac:dyDescent="0.25"/>
    <row r="14" spans="1:28" x14ac:dyDescent="0.2">
      <c r="B14" s="250" t="s">
        <v>223</v>
      </c>
      <c r="C14" s="251"/>
    </row>
    <row r="15" spans="1:28" x14ac:dyDescent="0.2">
      <c r="B15" s="155" t="s">
        <v>224</v>
      </c>
      <c r="C15" s="156">
        <f ca="1">Overview!C5</f>
        <v>235.47</v>
      </c>
    </row>
    <row r="16" spans="1:28" x14ac:dyDescent="0.2">
      <c r="B16" s="155" t="s">
        <v>225</v>
      </c>
      <c r="C16" s="156">
        <f ca="1">C36</f>
        <v>235.21920809924762</v>
      </c>
    </row>
    <row r="17" spans="2:9" ht="17" thickBot="1" x14ac:dyDescent="0.25">
      <c r="B17" s="157" t="s">
        <v>325</v>
      </c>
      <c r="C17" s="158">
        <v>0.02</v>
      </c>
      <c r="E17" s="252" t="s">
        <v>226</v>
      </c>
      <c r="F17" s="252"/>
      <c r="G17" s="252"/>
      <c r="H17" s="252"/>
      <c r="I17" s="252"/>
    </row>
    <row r="18" spans="2:9" ht="17" thickBot="1" x14ac:dyDescent="0.25"/>
    <row r="19" spans="2:9" x14ac:dyDescent="0.2">
      <c r="B19" s="250" t="s">
        <v>185</v>
      </c>
      <c r="C19" s="251"/>
    </row>
    <row r="20" spans="2:9" x14ac:dyDescent="0.2">
      <c r="B20" s="159" t="s">
        <v>186</v>
      </c>
      <c r="C20" s="160">
        <v>0.02</v>
      </c>
    </row>
    <row r="21" spans="2:9" x14ac:dyDescent="0.2">
      <c r="B21" s="159" t="s">
        <v>166</v>
      </c>
      <c r="C21" s="220">
        <f ca="1">IF(Overview!C28&gt;0,Overview!C28,WACC!C20)</f>
        <v>0.11000954193427279</v>
      </c>
    </row>
    <row r="22" spans="2:9" x14ac:dyDescent="0.2">
      <c r="B22" s="159" t="s">
        <v>69</v>
      </c>
      <c r="C22" s="221">
        <f>Statement!AC75</f>
        <v>398</v>
      </c>
    </row>
    <row r="23" spans="2:9" x14ac:dyDescent="0.2">
      <c r="B23" s="159" t="s">
        <v>227</v>
      </c>
      <c r="C23" s="161">
        <f ca="1">C15*C22</f>
        <v>93717.06</v>
      </c>
    </row>
    <row r="24" spans="2:9" x14ac:dyDescent="0.2">
      <c r="B24" s="159" t="s">
        <v>179</v>
      </c>
      <c r="C24" s="221">
        <f>Statement!AC107</f>
        <v>5626</v>
      </c>
    </row>
    <row r="25" spans="2:9" x14ac:dyDescent="0.2">
      <c r="B25" s="159" t="s">
        <v>170</v>
      </c>
      <c r="C25" s="221">
        <f>Statement!AC108</f>
        <v>6645</v>
      </c>
    </row>
    <row r="26" spans="2:9" ht="17" thickBot="1" x14ac:dyDescent="0.25">
      <c r="B26" s="157" t="s">
        <v>228</v>
      </c>
      <c r="C26" s="162">
        <f ca="1">C23+C25-C24</f>
        <v>94736.06</v>
      </c>
    </row>
    <row r="27" spans="2:9" ht="17" thickBot="1" x14ac:dyDescent="0.25"/>
    <row r="28" spans="2:9" x14ac:dyDescent="0.2">
      <c r="B28" s="250" t="s">
        <v>187</v>
      </c>
      <c r="C28" s="251"/>
    </row>
    <row r="29" spans="2:9" x14ac:dyDescent="0.2">
      <c r="B29" s="159" t="s">
        <v>188</v>
      </c>
      <c r="C29" s="161">
        <f ca="1">SUM(H10:L10)</f>
        <v>32631.518156299586</v>
      </c>
    </row>
    <row r="30" spans="2:9" x14ac:dyDescent="0.2">
      <c r="B30" s="159" t="s">
        <v>184</v>
      </c>
      <c r="C30" s="161">
        <f ca="1">L11</f>
        <v>62004.726667200972</v>
      </c>
    </row>
    <row r="31" spans="2:9" x14ac:dyDescent="0.2">
      <c r="B31" s="163" t="s">
        <v>189</v>
      </c>
      <c r="C31" s="164">
        <f ca="1">C29+C30</f>
        <v>94636.244823500558</v>
      </c>
    </row>
    <row r="32" spans="2:9" x14ac:dyDescent="0.2">
      <c r="B32" s="159" t="s">
        <v>190</v>
      </c>
      <c r="C32" s="165">
        <f>C24</f>
        <v>5626</v>
      </c>
    </row>
    <row r="33" spans="2:3" x14ac:dyDescent="0.2">
      <c r="B33" s="159" t="s">
        <v>191</v>
      </c>
      <c r="C33" s="165">
        <f>C25</f>
        <v>6645</v>
      </c>
    </row>
    <row r="34" spans="2:3" x14ac:dyDescent="0.2">
      <c r="B34" s="163" t="s">
        <v>192</v>
      </c>
      <c r="C34" s="164">
        <f ca="1">C31+C32-C33</f>
        <v>93617.244823500558</v>
      </c>
    </row>
    <row r="35" spans="2:3" x14ac:dyDescent="0.2">
      <c r="B35" s="159" t="s">
        <v>69</v>
      </c>
      <c r="C35" s="161">
        <f>C22</f>
        <v>398</v>
      </c>
    </row>
    <row r="36" spans="2:3" ht="17" thickBot="1" x14ac:dyDescent="0.25">
      <c r="B36" s="166" t="s">
        <v>193</v>
      </c>
      <c r="C36" s="167">
        <f ca="1">C34/C35</f>
        <v>235.21920809924762</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2026-09-25T20:11:56Z</dcterms:modified>
</cp:coreProperties>
</file>