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59DA2F1-8B95-9841-90DE-45C55A08D4D4}" xr6:coauthVersionLast="47" xr6:coauthVersionMax="47" xr10:uidLastSave="{00000000-0000-0000-0000-000000000000}"/>
  <bookViews>
    <workbookView xWindow="0" yWindow="0" windowWidth="25600" windowHeight="14400" activeTab="9"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5" i="2" l="1"/>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L6" i="30"/>
  <c r="L40" i="30" s="1"/>
  <c r="K6" i="30"/>
  <c r="K40" i="30" s="1"/>
  <c r="J6" i="30"/>
  <c r="J40" i="30" s="1"/>
  <c r="I6" i="30"/>
  <c r="I40" i="30" s="1"/>
  <c r="H6" i="30"/>
  <c r="H40" i="30" s="1"/>
  <c r="G6" i="30"/>
  <c r="G40" i="30" s="1"/>
  <c r="F6" i="30"/>
  <c r="F40" i="30" s="1"/>
  <c r="E6" i="30"/>
  <c r="E40" i="30" s="1"/>
  <c r="D6" i="30"/>
  <c r="D40" i="30" s="1"/>
  <c r="C6" i="30"/>
  <c r="C40" i="30" s="1"/>
  <c r="C23" i="22"/>
  <c r="G30" i="28"/>
  <c r="F30" i="28"/>
  <c r="E30" i="28"/>
  <c r="D30" i="28"/>
  <c r="C30" i="28"/>
  <c r="C10" i="21"/>
  <c r="C3" i="2"/>
  <c r="C9" i="21"/>
  <c r="C8" i="21"/>
  <c r="L12" i="27"/>
  <c r="K12" i="27"/>
  <c r="J12" i="27"/>
  <c r="I12" i="27"/>
  <c r="H12" i="27"/>
  <c r="I11" i="27"/>
  <c r="H11" i="27"/>
  <c r="I10" i="27"/>
  <c r="G12" i="27"/>
  <c r="F12" i="27"/>
  <c r="E12" i="27"/>
  <c r="D12" i="27"/>
  <c r="C12" i="27"/>
  <c r="G11" i="27"/>
  <c r="F11" i="27"/>
  <c r="E11" i="27"/>
  <c r="D11" i="27"/>
  <c r="C11" i="27"/>
  <c r="G10" i="27"/>
  <c r="F10" i="27"/>
  <c r="E10" i="27"/>
  <c r="D10" i="27"/>
  <c r="B12" i="27"/>
  <c r="B11" i="27"/>
  <c r="B10" i="27"/>
  <c r="B9" i="27"/>
  <c r="G30" i="26"/>
  <c r="F30" i="26"/>
  <c r="E30" i="26"/>
  <c r="D30" i="26"/>
  <c r="C30" i="26"/>
  <c r="J25" i="9"/>
  <c r="I25" i="9"/>
  <c r="H25" i="9"/>
  <c r="I16" i="9"/>
  <c r="H16" i="9"/>
  <c r="I14" i="9"/>
  <c r="H14"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C34" i="2"/>
  <c r="C35" i="2" s="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9" l="1"/>
  <c r="C15" i="30"/>
  <c r="C35" i="30"/>
  <c r="C23" i="30"/>
  <c r="C26" i="30" s="1"/>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C15" i="2"/>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C19" i="21"/>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C6" i="21"/>
  <c r="C7" i="21" s="1"/>
  <c r="Z14" i="6"/>
  <c r="Z13" i="6"/>
  <c r="J111" i="3"/>
  <c r="Y14" i="6"/>
  <c r="N63" i="3"/>
  <c r="T15" i="6"/>
  <c r="C13" i="2"/>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C11" i="2" s="1"/>
  <c r="Q13" i="3"/>
  <c r="N7" i="3"/>
  <c r="N23" i="3"/>
  <c r="N13" i="3"/>
  <c r="J108" i="3"/>
  <c r="J109" i="3" s="1"/>
  <c r="J106" i="3"/>
  <c r="J107" i="3" s="1"/>
  <c r="G46" i="30" l="1"/>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C18" i="2"/>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C17" i="21"/>
  <c r="C16" i="21"/>
  <c r="R13" i="3"/>
  <c r="I41" i="30" l="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c r="C56" i="28" l="1"/>
  <c r="C21" i="30"/>
  <c r="I44" i="30"/>
  <c r="I48" i="30" s="1"/>
  <c r="I46" i="30"/>
  <c r="J41" i="30"/>
  <c r="J10"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C48" i="28"/>
  <c r="C39" i="28"/>
  <c r="K9" i="6"/>
  <c r="L8" i="6"/>
  <c r="L9" i="6" s="1"/>
  <c r="G3" i="23"/>
  <c r="H3" i="1"/>
  <c r="C15" i="22"/>
  <c r="AE7" i="6"/>
  <c r="AE6" i="6"/>
  <c r="I10" i="30" l="1"/>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C31" i="30" s="1"/>
  <c r="C34" i="30" s="1"/>
  <c r="C36" i="30" s="1"/>
  <c r="C16"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K47" i="30" l="1"/>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E17" i="28" l="1"/>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9" i="27" s="1"/>
  <c r="H11" i="9"/>
  <c r="F17" i="28" l="1"/>
  <c r="F27" i="28"/>
  <c r="F11" i="28"/>
  <c r="F22" i="28"/>
  <c r="F23" i="27"/>
  <c r="F18" i="27"/>
  <c r="F30" i="27"/>
  <c r="F27" i="26"/>
  <c r="F12" i="26"/>
  <c r="F41" i="26"/>
  <c r="F34" i="26"/>
  <c r="F19" i="26"/>
  <c r="G5" i="28"/>
  <c r="G6" i="22"/>
  <c r="G5" i="27"/>
  <c r="G6" i="26"/>
  <c r="H7" i="27"/>
  <c r="H8" i="27" s="1"/>
  <c r="H8" i="26"/>
  <c r="G20" i="9"/>
  <c r="H5" i="9"/>
  <c r="G10" i="9"/>
  <c r="G12" i="6"/>
  <c r="H5" i="6"/>
  <c r="J6" i="9"/>
  <c r="H13" i="27"/>
  <c r="I13" i="9"/>
  <c r="I12" i="9"/>
  <c r="I9" i="27" s="1"/>
  <c r="I11" i="9"/>
  <c r="K25" i="9" l="1"/>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I13" i="27"/>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K13" i="27"/>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<sst xmlns="http://schemas.openxmlformats.org/spreadsheetml/2006/main" count="710" uniqueCount="351">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</sst>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43.9</v>
          </cell>
        </row>
        <row r="18">
          <cell r="C18">
            <v>249.7</v>
          </cell>
          <cell r="F18">
            <v>1.4171</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36" zoomScale="150" workbookViewId="0">
      <selection activeCell="C48" sqref="C4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[1]Sheet1!$C$18</f>
        <v>249.7</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$C$3/'Statement Q'!$N$24</f>
        <v>14.5583275527192</v>
      </c>
    </row>
    <row r="12" spans="2:5" x14ac:dyDescent="0.2">
      <c r="B12" s="1" t="s">
        <v>181</v>
      </c>
      <c r="C12" s="92">
        <f>$C$3/Statements!W24</f>
        <v>14.5583275527192</v>
      </c>
    </row>
    <row r="13" spans="2:5" x14ac:dyDescent="0.2">
      <c r="B13" s="1" t="s">
        <v>108</v>
      </c>
      <c r="C13" s="97">
        <f>$C$3/('Statement Q'!$N$5/'Statement Q'!$N$22)</f>
        <v>4.2913517768780922</v>
      </c>
    </row>
    <row r="15" spans="2:5" x14ac:dyDescent="0.2">
      <c r="B15" s="1" t="s">
        <v>140</v>
      </c>
      <c r="C15" s="20">
        <f>C3*'Statement Q'!N116</f>
        <v>100878.79999999999</v>
      </c>
    </row>
    <row r="16" spans="2:5" x14ac:dyDescent="0.2">
      <c r="B16" s="1" t="s">
        <v>141</v>
      </c>
      <c r="C16" s="20">
        <f>Statements!W27</f>
        <v>6890</v>
      </c>
    </row>
    <row r="17" spans="1:4" x14ac:dyDescent="0.2">
      <c r="B17" s="1" t="s">
        <v>137</v>
      </c>
      <c r="C17" s="20">
        <f>Statements!W41+Statements!W46</f>
        <v>6228</v>
      </c>
    </row>
    <row r="18" spans="1:4" x14ac:dyDescent="0.2">
      <c r="B18" s="1" t="s">
        <v>142</v>
      </c>
      <c r="C18" s="20">
        <f>C15+C17-C16</f>
        <v>100216.79999999999</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row>
    <row r="34" spans="2:4" x14ac:dyDescent="0.2">
      <c r="B34" s="1" t="s">
        <v>197</v>
      </c>
      <c r="C34" s="20">
        <f>'Statement Y'!L122</f>
        <v>411</v>
      </c>
    </row>
    <row r="35" spans="2:4" x14ac:dyDescent="0.2">
      <c r="B35" s="1" t="s">
        <v>198</v>
      </c>
      <c r="C35" s="158">
        <f>C33/C34</f>
        <v>0</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71" activePane="bottomRight" state="frozen"/>
      <selection pane="topRight" activeCell="C1" sqref="C1"/>
      <selection pane="bottomLeft" activeCell="A4" sqref="A4"/>
      <selection pane="bottomRight" activeCell="B12" sqref="B1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H102" activePane="bottomRight" state="frozen"/>
      <selection pane="topRight" activeCell="C1" sqref="C1"/>
      <selection pane="bottomLeft" activeCell="A4" sqref="A4"/>
      <selection pane="bottomRight" activeCell="C140" sqref="C140"/>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2" t="s">
        <v>75</v>
      </c>
      <c r="Q4" s="213"/>
      <c r="R4" s="214"/>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S41" activePane="bottomRight" state="frozen"/>
      <selection pane="topRight" activeCell="C1" sqref="C1"/>
      <selection pane="bottomLeft" activeCell="A4" sqref="A4"/>
      <selection pane="bottomRight" activeCell="Q75" sqref="Q75:U75"/>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topLeftCell="B1" zoomScale="163" zoomScaleNormal="75" workbookViewId="0">
      <selection activeCell="AA13" sqref="AA13"/>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5" t="s">
        <v>102</v>
      </c>
      <c r="D2" s="215"/>
      <c r="E2" s="215"/>
      <c r="F2" s="215"/>
      <c r="G2" s="218"/>
      <c r="H2" s="219" t="s">
        <v>103</v>
      </c>
      <c r="I2" s="215"/>
      <c r="J2" s="215"/>
      <c r="K2" s="215"/>
      <c r="L2" s="215"/>
      <c r="O2" s="89"/>
      <c r="S2" s="215" t="s">
        <v>102</v>
      </c>
      <c r="T2" s="215"/>
      <c r="U2" s="215"/>
      <c r="V2" s="215"/>
      <c r="W2" s="215"/>
      <c r="X2" s="215"/>
      <c r="Y2" s="215"/>
      <c r="Z2" s="215"/>
      <c r="AA2" s="215" t="s">
        <v>103</v>
      </c>
      <c r="AB2" s="215"/>
      <c r="AC2" s="215"/>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25652.480000000003</v>
      </c>
      <c r="I6" s="103">
        <f t="shared" si="1"/>
        <v>28730.777600000005</v>
      </c>
      <c r="J6" s="103">
        <f t="shared" si="1"/>
        <v>31891.163136000006</v>
      </c>
      <c r="K6" s="103">
        <f t="shared" si="1"/>
        <v>35399.191080960009</v>
      </c>
      <c r="L6" s="103">
        <f t="shared" si="1"/>
        <v>38939.110189056009</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276.25</v>
      </c>
      <c r="I7" s="103">
        <f t="shared" si="1"/>
        <v>234.8125</v>
      </c>
      <c r="J7" s="103">
        <f t="shared" si="1"/>
        <v>199.59062499999999</v>
      </c>
      <c r="K7" s="103">
        <f t="shared" si="1"/>
        <v>169.65203124999999</v>
      </c>
      <c r="L7" s="103">
        <f t="shared" si="1"/>
        <v>144.2042265625</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486</v>
      </c>
      <c r="I8" s="103">
        <f t="shared" si="1"/>
        <v>437.40000000000003</v>
      </c>
      <c r="J8" s="103">
        <f t="shared" si="1"/>
        <v>393.66</v>
      </c>
      <c r="K8" s="103">
        <f t="shared" si="1"/>
        <v>354.29400000000004</v>
      </c>
      <c r="L8" s="103">
        <f t="shared" si="1"/>
        <v>318.86460000000005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26414.730000000003</v>
      </c>
      <c r="I9" s="108">
        <f>SUM(I6:I8)</f>
        <v>29402.990100000006</v>
      </c>
      <c r="J9" s="108">
        <f>SUM(J6:J8)</f>
        <v>32484.413761000007</v>
      </c>
      <c r="K9" s="108">
        <f>SUM(K6:K8)</f>
        <v>35923.13711221001</v>
      </c>
      <c r="L9" s="108">
        <f>SUM(L6:L8)</f>
        <v>39402.179015618509</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0.12</v>
      </c>
      <c r="I13" s="112">
        <v>0.12</v>
      </c>
      <c r="J13" s="112">
        <v>0.11</v>
      </c>
      <c r="K13" s="112">
        <v>0.11</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-0.15</v>
      </c>
      <c r="I14" s="112">
        <v>-0.15</v>
      </c>
      <c r="J14" s="112">
        <v>-0.15</v>
      </c>
      <c r="K14" s="112">
        <v>-0.15</v>
      </c>
      <c r="L14" s="112">
        <v>-0.15</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v>
      </c>
      <c r="I15" s="112">
        <v>-0.1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0.11131010980689138</v>
      </c>
      <c r="I16" s="177">
        <f t="shared" si="9"/>
        <v>0.11312854986592713</v>
      </c>
      <c r="J16" s="177">
        <f t="shared" si="9"/>
        <v>0.10479967005124413</v>
      </c>
      <c r="K16" s="177">
        <f t="shared" si="9"/>
        <v>0.10585763918998126</v>
      </c>
      <c r="L16" s="177">
        <f t="shared" si="9"/>
        <v>9.6846828620265502E-2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5" t="s">
        <v>102</v>
      </c>
      <c r="D2" s="215"/>
      <c r="E2" s="215"/>
      <c r="F2" s="215"/>
      <c r="G2" s="218"/>
      <c r="H2" s="219" t="s">
        <v>103</v>
      </c>
      <c r="I2" s="215"/>
      <c r="J2" s="215"/>
      <c r="K2" s="215"/>
      <c r="L2" s="215"/>
      <c r="P2" s="215" t="s">
        <v>102</v>
      </c>
      <c r="Q2" s="215"/>
      <c r="R2" s="215"/>
      <c r="S2" s="215"/>
      <c r="T2" s="215"/>
      <c r="U2" s="215"/>
      <c r="V2" s="215"/>
      <c r="W2" s="215"/>
      <c r="X2" s="215" t="s">
        <v>103</v>
      </c>
      <c r="Y2" s="215"/>
      <c r="Z2" s="215"/>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26414.730000000003</v>
      </c>
      <c r="I6" s="106">
        <f>Revenue!I9</f>
        <v>29402.990100000006</v>
      </c>
      <c r="J6" s="106">
        <f>Revenue!J9</f>
        <v>32484.413761000007</v>
      </c>
      <c r="K6" s="106">
        <f>Revenue!K9</f>
        <v>35923.13711221001</v>
      </c>
      <c r="L6" s="106">
        <f>Revenue!L9</f>
        <v>39402.179015618509</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2773.5466500000002</v>
      </c>
      <c r="I11" s="21">
        <f t="shared" si="3"/>
        <v>3028.5079803000003</v>
      </c>
      <c r="J11" s="21">
        <f t="shared" si="3"/>
        <v>3280.9257898610008</v>
      </c>
      <c r="K11" s="21">
        <f t="shared" si="3"/>
        <v>3592.3137112210011</v>
      </c>
      <c r="L11" s="21">
        <f t="shared" si="3"/>
        <v>3940.2179015618512</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5018.7987000000003</v>
      </c>
      <c r="I12" s="20">
        <f t="shared" si="3"/>
        <v>5615.9711091000017</v>
      </c>
      <c r="J12" s="20">
        <f t="shared" si="3"/>
        <v>6269.4918558730014</v>
      </c>
      <c r="K12" s="20">
        <f t="shared" si="3"/>
        <v>7005.0117368809524</v>
      </c>
      <c r="L12" s="20">
        <f t="shared" si="3"/>
        <v>7683.4249080456093</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7131.977100000001</v>
      </c>
      <c r="I13" s="20">
        <f t="shared" si="3"/>
        <v>7938.8073270000023</v>
      </c>
      <c r="J13" s="20">
        <f t="shared" si="3"/>
        <v>8770.7917154700026</v>
      </c>
      <c r="K13" s="20">
        <f t="shared" si="3"/>
        <v>9699.2470202967033</v>
      </c>
      <c r="L13" s="20">
        <f t="shared" si="3"/>
        <v>10638.588334216998</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1849.0311000000004</v>
      </c>
      <c r="I14" s="20">
        <f t="shared" ref="I14:L14" si="5">I24*I$6</f>
        <v>2058.2093070000005</v>
      </c>
      <c r="J14" s="20">
        <f t="shared" si="5"/>
        <v>2273.9089632700006</v>
      </c>
      <c r="K14" s="20">
        <f t="shared" si="5"/>
        <v>2514.6195978547007</v>
      </c>
      <c r="L14" s="20">
        <f t="shared" si="5"/>
        <v>2758.1525310932957</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14160.806900000001</v>
      </c>
      <c r="I16" s="21">
        <f t="shared" ref="I16:L16" si="6">SUM(I12:I15)</f>
        <v>15731.987743100006</v>
      </c>
      <c r="J16" s="21">
        <f t="shared" si="6"/>
        <v>17387.192534613005</v>
      </c>
      <c r="K16" s="21">
        <f t="shared" si="6"/>
        <v>19287.878355032357</v>
      </c>
      <c r="L16" s="21">
        <f t="shared" si="6"/>
        <v>21145.165773355904</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4.5050621376784838E-3</v>
      </c>
      <c r="J25" s="110">
        <f t="shared" si="17"/>
        <v>2.4827406924168567E-3</v>
      </c>
      <c r="K25" s="110">
        <f t="shared" si="17"/>
        <v>2.1240955895851727E-3</v>
      </c>
      <c r="L25" s="110">
        <f t="shared" si="17"/>
        <v>1.8094188098596482E-3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26414.730000000003</v>
      </c>
      <c r="I7" s="106">
        <f>Revenue!I9</f>
        <v>29402.990100000006</v>
      </c>
      <c r="J7" s="106">
        <f>Revenue!J9</f>
        <v>32484.413761000007</v>
      </c>
      <c r="K7" s="106">
        <f>Revenue!K9</f>
        <v>35923.13711221001</v>
      </c>
      <c r="L7" s="106">
        <f>Revenue!L9</f>
        <v>39402.179015618509</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2773.5466500000002</v>
      </c>
      <c r="I8" s="131">
        <f>'COGS &amp; OpEx'!I11</f>
        <v>3028.5079803000003</v>
      </c>
      <c r="J8" s="131">
        <f>'COGS &amp; OpEx'!J11</f>
        <v>3280.9257898610008</v>
      </c>
      <c r="K8" s="131">
        <f>'COGS &amp; OpEx'!K11</f>
        <v>3592.3137112210011</v>
      </c>
      <c r="L8" s="131">
        <f>'COGS &amp; OpEx'!L11</f>
        <v>3940.2179015618512</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2750.0266849315071</v>
      </c>
      <c r="I13" s="33">
        <f>I20*I7/365</f>
        <v>3061.1332158904115</v>
      </c>
      <c r="J13" s="33">
        <f>J20*J7/365</f>
        <v>3381.938966898631</v>
      </c>
      <c r="K13" s="33">
        <f>K20*K7/365</f>
        <v>3739.9430418191241</v>
      </c>
      <c r="L13" s="33">
        <f>L20*L7/365</f>
        <v>4102.1446646397353</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433.12920287671238</v>
      </c>
      <c r="I15" s="20">
        <f>I22*I8/365</f>
        <v>472.94508185506851</v>
      </c>
      <c r="J15" s="20">
        <f>J22*J8/365</f>
        <v>512.36375348514264</v>
      </c>
      <c r="K15" s="20">
        <f>K22*K8/365</f>
        <v>560.99145627286862</v>
      </c>
      <c r="L15" s="20">
        <f>L22*L8/365</f>
        <v>615.32169969596032</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-406.02668493150713</v>
      </c>
      <c r="I28" s="33">
        <f t="shared" ref="I28:L28" si="5">-(I13-H13)</f>
        <v>-311.10653095890439</v>
      </c>
      <c r="J28" s="33">
        <f t="shared" si="5"/>
        <v>-320.80575100821943</v>
      </c>
      <c r="K28" s="33">
        <f t="shared" si="5"/>
        <v>-358.00407492049317</v>
      </c>
      <c r="L28" s="33">
        <f t="shared" si="5"/>
        <v>-362.20162282061119</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16.129202876712384</v>
      </c>
      <c r="I30" s="20">
        <f t="shared" ref="I30:L30" si="7">I15-H15</f>
        <v>39.815878978356125</v>
      </c>
      <c r="J30" s="20">
        <f t="shared" si="7"/>
        <v>39.41867163007413</v>
      </c>
      <c r="K30" s="20">
        <f t="shared" si="7"/>
        <v>48.62770278772598</v>
      </c>
      <c r="L30" s="20">
        <f t="shared" si="7"/>
        <v>54.330243423091702</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138.39711794520531</v>
      </c>
      <c r="I35" s="33">
        <f t="shared" ref="I35:L35" si="9">I36+I28+I29+I30</f>
        <v>316.76915001945184</v>
      </c>
      <c r="J35" s="33">
        <f t="shared" si="9"/>
        <v>368.30119584185485</v>
      </c>
      <c r="K35" s="33">
        <f t="shared" si="9"/>
        <v>409.08637011143298</v>
      </c>
      <c r="L35" s="33">
        <f t="shared" si="9"/>
        <v>480.17220091485069</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528.29460000000006</v>
      </c>
      <c r="I36" s="20">
        <f>I7*I37</f>
        <v>588.0598020000001</v>
      </c>
      <c r="J36" s="20">
        <f>J7*J37</f>
        <v>649.68827522000015</v>
      </c>
      <c r="K36" s="20">
        <f>K7*K37</f>
        <v>718.46274224420017</v>
      </c>
      <c r="L36" s="20">
        <f>L7*L37</f>
        <v>788.04358031237018</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792.44190000000003</v>
      </c>
      <c r="I42" s="33">
        <f>I7*I43</f>
        <v>882.08970300000021</v>
      </c>
      <c r="J42" s="33">
        <f>J7*J43</f>
        <v>974.53241283000023</v>
      </c>
      <c r="K42" s="33">
        <f>K7*K43</f>
        <v>1077.6941133663004</v>
      </c>
      <c r="L42" s="33">
        <f>L7*L43</f>
        <v>1182.0653704685553</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396.22095000000002</v>
      </c>
      <c r="I45" s="33">
        <f>I7*I46</f>
        <v>441.04485150000011</v>
      </c>
      <c r="J45" s="33">
        <f>J7*J46</f>
        <v>487.26620641500011</v>
      </c>
      <c r="K45" s="33">
        <f>K7*K46</f>
        <v>538.84705668315019</v>
      </c>
      <c r="L45" s="33">
        <f>L7*L46</f>
        <v>591.03268523427766</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abSelected="1" topLeftCell="A19" zoomScale="150" workbookViewId="0">
      <selection activeCell="C32" sqref="C32"/>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5" t="s">
        <v>102</v>
      </c>
      <c r="D2" s="215"/>
      <c r="E2" s="215"/>
      <c r="F2" s="215"/>
      <c r="G2" s="218"/>
      <c r="H2" s="219" t="s">
        <v>103</v>
      </c>
      <c r="I2" s="215"/>
      <c r="J2" s="215"/>
      <c r="K2" s="215"/>
      <c r="L2" s="215"/>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26414.730000000003</v>
      </c>
      <c r="I6" s="106">
        <f>Revenue!I9</f>
        <v>29402.990100000006</v>
      </c>
      <c r="J6" s="106">
        <f>Revenue!J9</f>
        <v>32484.413761000007</v>
      </c>
      <c r="K6" s="106">
        <f>Revenue!K9</f>
        <v>35923.13711221001</v>
      </c>
      <c r="L6" s="106">
        <f>Revenue!L9</f>
        <v>39402.179015618509</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2773.5466500000002</v>
      </c>
      <c r="I7" s="131">
        <f>'COGS &amp; OpEx'!I11</f>
        <v>3028.5079803000003</v>
      </c>
      <c r="J7" s="131">
        <f>'COGS &amp; OpEx'!J11</f>
        <v>3280.9257898610008</v>
      </c>
      <c r="K7" s="131">
        <f>'COGS &amp; OpEx'!K11</f>
        <v>3592.3137112210011</v>
      </c>
      <c r="L7" s="131">
        <f>'COGS &amp; OpEx'!L11</f>
        <v>3940.2179015618512</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23641.183350000003</v>
      </c>
      <c r="I8" s="108">
        <f t="shared" si="0"/>
        <v>26374.482119700006</v>
      </c>
      <c r="J8" s="108">
        <f t="shared" si="0"/>
        <v>29203.487971139006</v>
      </c>
      <c r="K8" s="108">
        <f t="shared" si="0"/>
        <v>32330.823400989007</v>
      </c>
      <c r="L8" s="108">
        <f t="shared" si="0"/>
        <v>35461.961114056656</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5018.7987000000003</v>
      </c>
      <c r="I9" s="131">
        <f>'COGS &amp; OpEx'!I12</f>
        <v>5615.9711091000017</v>
      </c>
      <c r="J9" s="131">
        <f>'COGS &amp; OpEx'!J12</f>
        <v>6269.4918558730014</v>
      </c>
      <c r="K9" s="131">
        <f>'COGS &amp; OpEx'!K12</f>
        <v>7005.0117368809524</v>
      </c>
      <c r="L9" s="131">
        <f>'COGS &amp; OpEx'!L12</f>
        <v>7683.4249080456093</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7131.977100000001</v>
      </c>
      <c r="I10" s="131">
        <f>'COGS &amp; OpEx'!I13</f>
        <v>7938.8073270000023</v>
      </c>
      <c r="J10" s="131">
        <f>'COGS &amp; OpEx'!J13</f>
        <v>8770.7917154700026</v>
      </c>
      <c r="K10" s="131">
        <f>'COGS &amp; OpEx'!K13</f>
        <v>9699.2470202967033</v>
      </c>
      <c r="L10" s="131">
        <f>'COGS &amp; OpEx'!L13</f>
        <v>10638.588334216998</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1849.0311000000004</v>
      </c>
      <c r="I11" s="131">
        <f>'COGS &amp; OpEx'!I14</f>
        <v>2058.2093070000005</v>
      </c>
      <c r="J11" s="131">
        <f>'COGS &amp; OpEx'!J14</f>
        <v>2273.9089632700006</v>
      </c>
      <c r="K11" s="131">
        <f>'COGS &amp; OpEx'!K14</f>
        <v>2514.6195978547007</v>
      </c>
      <c r="L11" s="131">
        <f>'COGS &amp; OpEx'!L14</f>
        <v>2758.1525310932957</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14160.806900000001</v>
      </c>
      <c r="I13" s="131">
        <f>'COGS &amp; OpEx'!I16</f>
        <v>15731.987743100006</v>
      </c>
      <c r="J13" s="131">
        <f>'COGS &amp; OpEx'!J16</f>
        <v>17387.192534613005</v>
      </c>
      <c r="K13" s="131">
        <f>'COGS &amp; OpEx'!K16</f>
        <v>19287.878355032357</v>
      </c>
      <c r="L13" s="131">
        <f>'COGS &amp; OpEx'!L16</f>
        <v>21145.165773355904</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9480.3764500000016</v>
      </c>
      <c r="I14" s="108">
        <f t="shared" si="1"/>
        <v>10642.4943766</v>
      </c>
      <c r="J14" s="108">
        <f t="shared" si="1"/>
        <v>11816.295436526001</v>
      </c>
      <c r="K14" s="108">
        <f t="shared" si="1"/>
        <v>13042.945045956651</v>
      </c>
      <c r="L14" s="108">
        <f t="shared" si="1"/>
        <v>14316.795340700752</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792.44190000000003</v>
      </c>
      <c r="I24" s="102">
        <f>'WC &amp; Investments'!I42</f>
        <v>882.08970300000021</v>
      </c>
      <c r="J24" s="102">
        <f>'WC &amp; Investments'!J42</f>
        <v>974.53241283000023</v>
      </c>
      <c r="K24" s="102">
        <f>'WC &amp; Investments'!K42</f>
        <v>1077.6941133663004</v>
      </c>
      <c r="L24" s="102">
        <f>'WC &amp; Investments'!L42</f>
        <v>1182.0653704685553</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396.22095000000002</v>
      </c>
      <c r="I25" s="102">
        <f>'WC &amp; Investments'!I45</f>
        <v>441.04485150000011</v>
      </c>
      <c r="J25" s="102">
        <f>'WC &amp; Investments'!J45</f>
        <v>487.26620641500011</v>
      </c>
      <c r="K25" s="102">
        <f>'WC &amp; Investments'!K45</f>
        <v>538.84705668315019</v>
      </c>
      <c r="L25" s="102">
        <f>'WC &amp; Investments'!L45</f>
        <v>591.03268523427766</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138.39711794520531</v>
      </c>
      <c r="I26" s="102">
        <f>'WC &amp; Investments'!I35</f>
        <v>316.76915001945184</v>
      </c>
      <c r="J26" s="102">
        <f>'WC &amp; Investments'!J35</f>
        <v>368.30119584185485</v>
      </c>
      <c r="K26" s="102">
        <f>'WC &amp; Investments'!K35</f>
        <v>409.08637011143298</v>
      </c>
      <c r="L26" s="102">
        <f>'WC &amp; Investments'!L35</f>
        <v>480.17220091485069</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7489.4973955000014</v>
      </c>
      <c r="I31" s="132">
        <f t="shared" si="5"/>
        <v>8407.570557514</v>
      </c>
      <c r="J31" s="132">
        <f t="shared" si="5"/>
        <v>9334.8733948555418</v>
      </c>
      <c r="K31" s="132">
        <f t="shared" si="5"/>
        <v>10303.926586305754</v>
      </c>
      <c r="L31" s="132">
        <f t="shared" si="5"/>
        <v>11310.268319153594</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8024.1154634452078</v>
      </c>
      <c r="I32" s="108">
        <f t="shared" si="6"/>
        <v>9165.3845590334513</v>
      </c>
      <c r="J32" s="108">
        <f t="shared" si="6"/>
        <v>10190.440797112396</v>
      </c>
      <c r="K32" s="108">
        <f t="shared" si="6"/>
        <v>11251.860013100337</v>
      </c>
      <c r="L32" s="108">
        <f t="shared" si="6"/>
        <v>12381.473205302724</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2" zoomScale="187" zoomScaleNormal="100" workbookViewId="0">
      <selection activeCell="C5" sqref="C5"/>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5" t="s">
        <v>151</v>
      </c>
      <c r="C4" s="215"/>
    </row>
    <row r="5" spans="1:3" ht="17" customHeight="1" x14ac:dyDescent="0.2">
      <c r="B5" s="1" t="s">
        <v>152</v>
      </c>
      <c r="C5" s="131">
        <f>'Statement Q'!N116</f>
        <v>404</v>
      </c>
    </row>
    <row r="6" spans="1:3" ht="17" customHeight="1" x14ac:dyDescent="0.2">
      <c r="B6" s="1" t="s">
        <v>73</v>
      </c>
      <c r="C6" s="144">
        <f>Overview!C3</f>
        <v>249.7</v>
      </c>
    </row>
    <row r="7" spans="1:3" ht="17" customHeight="1" x14ac:dyDescent="0.2">
      <c r="B7" s="1" t="s">
        <v>138</v>
      </c>
      <c r="C7" s="146">
        <f>C5*C6</f>
        <v>100878.79999999999</v>
      </c>
    </row>
    <row r="8" spans="1:3" ht="17" customHeight="1" x14ac:dyDescent="0.2">
      <c r="B8" s="1" t="s">
        <v>137</v>
      </c>
      <c r="C8" s="131">
        <f>Statements!W41+Statements!W46</f>
        <v>6228</v>
      </c>
    </row>
    <row r="9" spans="1:3" ht="17" customHeight="1" x14ac:dyDescent="0.2">
      <c r="B9" s="1" t="s">
        <v>153</v>
      </c>
      <c r="C9" s="169">
        <f>[1]Sheet1!$C$10/1000</f>
        <v>4.3900000000000002E-2</v>
      </c>
    </row>
    <row r="10" spans="1:3" ht="17" customHeight="1" x14ac:dyDescent="0.2">
      <c r="B10" s="1" t="s">
        <v>154</v>
      </c>
      <c r="C10" s="144">
        <f>[1]Sheet1!$F$18</f>
        <v>1.4171</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5" t="s">
        <v>157</v>
      </c>
      <c r="C15" s="215"/>
    </row>
    <row r="16" spans="1:3" ht="17" customHeight="1" x14ac:dyDescent="0.2">
      <c r="B16" s="1" t="s">
        <v>148</v>
      </c>
      <c r="C16" s="147">
        <f>C8/(C8+C7)</f>
        <v>5.8147568595084541E-2</v>
      </c>
    </row>
    <row r="17" spans="2:3" ht="17" customHeight="1" x14ac:dyDescent="0.2">
      <c r="B17" s="1" t="s">
        <v>149</v>
      </c>
      <c r="C17" s="147">
        <f>C7/(C8+C7)</f>
        <v>0.94185243140491548</v>
      </c>
    </row>
    <row r="18" spans="2:3" ht="17" customHeight="1" x14ac:dyDescent="0.2">
      <c r="B18" s="1" t="s">
        <v>158</v>
      </c>
      <c r="C18" s="147">
        <f>C13*(1-C12)</f>
        <v>4.2660000000000003E-2</v>
      </c>
    </row>
    <row r="19" spans="2:3" ht="17" customHeight="1" x14ac:dyDescent="0.2">
      <c r="B19" s="1" t="s">
        <v>150</v>
      </c>
      <c r="C19" s="147">
        <f>C9+C10*C11</f>
        <v>0.114755</v>
      </c>
    </row>
    <row r="20" spans="2:3" ht="17" customHeight="1" x14ac:dyDescent="0.2">
      <c r="B20" s="1" t="s">
        <v>147</v>
      </c>
      <c r="C20" s="147">
        <f>(C17*C19)+(C16*C18)</f>
        <v>0.11056285104213737</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6" zoomScale="188" zoomScaleNormal="100" workbookViewId="0">
      <selection activeCell="C25" sqref="C25"/>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8024.1154634452078</v>
      </c>
      <c r="I7" s="131">
        <f>'FCF &amp; Other'!I32</f>
        <v>9165.3845590334513</v>
      </c>
      <c r="J7" s="131">
        <f>'FCF &amp; Other'!J32</f>
        <v>10190.440797112396</v>
      </c>
      <c r="K7" s="131">
        <f>'FCF &amp; Other'!K32</f>
        <v>11251.860013100337</v>
      </c>
      <c r="L7" s="131">
        <f>'FCF &amp; Other'!L32</f>
        <v>12381.473205302724</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L7*(1+C14)/(C15-C14)</f>
        <v>148323.83307547003</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H7/(1+$C$15)^H9</f>
        <v>7225.269110987716</v>
      </c>
      <c r="I10" s="132">
        <f t="shared" ref="I10:L10" si="0">I7/(1+$C$15)^I9</f>
        <v>7431.2933900346352</v>
      </c>
      <c r="J10" s="132">
        <f t="shared" si="0"/>
        <v>7439.8391178070378</v>
      </c>
      <c r="K10" s="132">
        <f t="shared" si="0"/>
        <v>7396.9341492984358</v>
      </c>
      <c r="L10" s="132">
        <f t="shared" si="0"/>
        <v>7329.2006631466484</v>
      </c>
      <c r="N10" s="90"/>
    </row>
    <row r="11" spans="1:28" x14ac:dyDescent="0.2">
      <c r="B11" s="1" t="s">
        <v>164</v>
      </c>
      <c r="C11" s="129"/>
      <c r="D11" s="129"/>
      <c r="E11" s="129"/>
      <c r="F11" s="129"/>
      <c r="G11" s="149"/>
      <c r="H11" s="129"/>
      <c r="I11" s="129"/>
      <c r="J11" s="129"/>
      <c r="K11" s="129"/>
      <c r="L11" s="132">
        <f>L8/(1+C15)^L9</f>
        <v>87800.144434477144</v>
      </c>
    </row>
    <row r="13" spans="1:28" x14ac:dyDescent="0.2">
      <c r="B13" s="215" t="s">
        <v>172</v>
      </c>
      <c r="C13" s="215"/>
    </row>
    <row r="14" spans="1:28" x14ac:dyDescent="0.2">
      <c r="B14" s="1" t="s">
        <v>161</v>
      </c>
      <c r="C14" s="138">
        <v>2.5000000000000001E-2</v>
      </c>
    </row>
    <row r="15" spans="1:28" x14ac:dyDescent="0.2">
      <c r="B15" s="1" t="s">
        <v>147</v>
      </c>
      <c r="C15" s="148">
        <f>WACC!C20</f>
        <v>0.11056285104213737</v>
      </c>
    </row>
    <row r="18" spans="2:3" x14ac:dyDescent="0.2">
      <c r="B18" s="215" t="s">
        <v>79</v>
      </c>
      <c r="C18" s="215"/>
    </row>
    <row r="19" spans="2:3" x14ac:dyDescent="0.2">
      <c r="B19" s="1" t="s">
        <v>170</v>
      </c>
      <c r="C19" s="103">
        <f>SUM(H10:L10)</f>
        <v>36822.536431274471</v>
      </c>
    </row>
    <row r="20" spans="2:3" x14ac:dyDescent="0.2">
      <c r="B20" s="1" t="s">
        <v>164</v>
      </c>
      <c r="C20" s="103">
        <f>L11</f>
        <v>87800.144434477144</v>
      </c>
    </row>
    <row r="21" spans="2:3" x14ac:dyDescent="0.2">
      <c r="B21" s="7" t="s">
        <v>167</v>
      </c>
      <c r="C21" s="108">
        <f>C19+C20</f>
        <v>124622.68086575161</v>
      </c>
    </row>
    <row r="22" spans="2:3" x14ac:dyDescent="0.2">
      <c r="B22" s="1" t="s">
        <v>165</v>
      </c>
      <c r="C22" s="20">
        <f>Statements!W27</f>
        <v>6890</v>
      </c>
    </row>
    <row r="23" spans="2:3" x14ac:dyDescent="0.2">
      <c r="B23" s="1" t="s">
        <v>166</v>
      </c>
      <c r="C23" s="20">
        <f>Statements!W41+Statements!W46</f>
        <v>6228</v>
      </c>
    </row>
    <row r="24" spans="2:3" x14ac:dyDescent="0.2">
      <c r="B24" s="7" t="s">
        <v>168</v>
      </c>
      <c r="C24" s="108">
        <f>C21+C22-C23</f>
        <v>125284.68086575161</v>
      </c>
    </row>
    <row r="25" spans="2:3" x14ac:dyDescent="0.2">
      <c r="B25" s="1" t="s">
        <v>4</v>
      </c>
      <c r="C25" s="103">
        <f>'Statement Q'!N116</f>
        <v>404</v>
      </c>
    </row>
    <row r="26" spans="2:3" x14ac:dyDescent="0.2">
      <c r="B26" s="150" t="s">
        <v>169</v>
      </c>
      <c r="C26" s="151">
        <f>C24/C25</f>
        <v>310.11059620235545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C56" sqref="C56"/>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5" t="s">
        <v>102</v>
      </c>
      <c r="D2" s="215"/>
      <c r="E2" s="215"/>
      <c r="F2" s="215"/>
      <c r="G2" s="218"/>
      <c r="H2" s="219" t="s">
        <v>103</v>
      </c>
      <c r="I2" s="215"/>
      <c r="J2" s="215"/>
      <c r="K2" s="215"/>
      <c r="L2" s="215"/>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26414.730000000003</v>
      </c>
      <c r="I6" s="106">
        <f>Revenue!I9</f>
        <v>29402.990100000006</v>
      </c>
      <c r="J6" s="106">
        <f>Revenue!J9</f>
        <v>32484.413761000007</v>
      </c>
      <c r="K6" s="106">
        <f>Revenue!K9</f>
        <v>35923.13711221001</v>
      </c>
      <c r="L6" s="106">
        <f>Revenue!L9</f>
        <v>39402.179015618509</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9480.3764500000016</v>
      </c>
      <c r="I7" s="106">
        <f>'FCF &amp; Other'!I14</f>
        <v>10642.4943766</v>
      </c>
      <c r="J7" s="106">
        <f>'FCF &amp; Other'!J14</f>
        <v>11816.295436526001</v>
      </c>
      <c r="K7" s="106">
        <f>'FCF &amp; Other'!K14</f>
        <v>13042.945045956651</v>
      </c>
      <c r="L7" s="106">
        <f>'FCF &amp; Other'!L14</f>
        <v>14316.795340700752</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8024.1154634452078</v>
      </c>
      <c r="I8" s="106">
        <f>'FCF &amp; Other'!I32</f>
        <v>9165.3845590334513</v>
      </c>
      <c r="J8" s="106">
        <f>'FCF &amp; Other'!J32</f>
        <v>10190.440797112396</v>
      </c>
      <c r="K8" s="106">
        <f>'FCF &amp; Other'!K32</f>
        <v>11251.860013100337</v>
      </c>
      <c r="L8" s="106">
        <f>'FCF &amp; Other'!L32</f>
        <v>12381.473205302724</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0.11131010980689146</v>
      </c>
      <c r="I12" s="110">
        <f t="shared" si="1"/>
        <v>0.11312854986592719</v>
      </c>
      <c r="J12" s="110">
        <f t="shared" si="1"/>
        <v>0.10479967005124421</v>
      </c>
      <c r="K12" s="110">
        <f t="shared" si="1"/>
        <v>0.10585763918998133</v>
      </c>
      <c r="L12" s="110">
        <f t="shared" si="1"/>
        <v>9.6846828620265404E-2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8.8947444291293545E-2</v>
      </c>
      <c r="I13" s="110">
        <f t="shared" si="1"/>
        <v>0.12258141147970954</v>
      </c>
      <c r="J13" s="110">
        <f t="shared" si="1"/>
        <v>0.11029379188650325</v>
      </c>
      <c r="K13" s="110">
        <f t="shared" si="1"/>
        <v>0.1038099983213762</v>
      </c>
      <c r="L13" s="110">
        <f t="shared" si="1"/>
        <v>9.766584849170995E-2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-3.9159522313855701E-2</v>
      </c>
      <c r="I14" s="110">
        <f t="shared" si="1"/>
        <v>0.1422298944709143</v>
      </c>
      <c r="J14" s="110">
        <f t="shared" si="1"/>
        <v>0.11183995952124501</v>
      </c>
      <c r="K14" s="110">
        <f t="shared" si="1"/>
        <v>0.10415832220807449</v>
      </c>
      <c r="L14" s="110">
        <f t="shared" si="1"/>
        <v>0.10039346302630843</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416.32499999999999</v>
      </c>
      <c r="I18" s="172">
        <f t="shared" ref="I18:L18" si="4">H18*(1+I19)</f>
        <v>405.916875</v>
      </c>
      <c r="J18" s="172">
        <f t="shared" si="4"/>
        <v>396.17487</v>
      </c>
      <c r="K18" s="172">
        <f t="shared" si="4"/>
        <v>387.06284798999997</v>
      </c>
      <c r="L18" s="172">
        <f t="shared" si="4"/>
        <v>378.54746533421996</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-2.5000000000000001E-2</v>
      </c>
      <c r="I19" s="112">
        <v>-2.5000000000000001E-2</v>
      </c>
      <c r="J19" s="112">
        <v>-2.4E-2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5" t="s">
        <v>259</v>
      </c>
      <c r="C37" s="215"/>
      <c r="N37" s="90"/>
    </row>
    <row r="38" spans="2:14" x14ac:dyDescent="0.2">
      <c r="B38" s="1" t="s">
        <v>260</v>
      </c>
      <c r="C38" s="103">
        <f>L7</f>
        <v>14316.795340700752</v>
      </c>
    </row>
    <row r="39" spans="2:14" x14ac:dyDescent="0.2">
      <c r="B39" s="1" t="s">
        <v>147</v>
      </c>
      <c r="C39" s="137">
        <f>WACC!C20</f>
        <v>0.11056285104213737</v>
      </c>
    </row>
    <row r="40" spans="2:14" x14ac:dyDescent="0.2">
      <c r="B40" s="8" t="s">
        <v>261</v>
      </c>
      <c r="C40" s="117">
        <v>25</v>
      </c>
    </row>
    <row r="41" spans="2:14" x14ac:dyDescent="0.2">
      <c r="B41" s="1" t="s">
        <v>187</v>
      </c>
      <c r="C41" s="20">
        <f>L18</f>
        <v>378.54746533421996</v>
      </c>
    </row>
    <row r="42" spans="2:14" x14ac:dyDescent="0.2">
      <c r="B42" s="1" t="s">
        <v>142</v>
      </c>
      <c r="C42" s="20">
        <f>(C38*C40)-G30+G31</f>
        <v>358304.88351751881</v>
      </c>
    </row>
    <row r="43" spans="2:14" x14ac:dyDescent="0.2">
      <c r="B43" s="1" t="s">
        <v>169</v>
      </c>
      <c r="C43" s="20">
        <f>C42/C41</f>
        <v>946.52564428392373</v>
      </c>
    </row>
    <row r="44" spans="2:14" x14ac:dyDescent="0.2">
      <c r="B44" s="150" t="s">
        <v>262</v>
      </c>
      <c r="C44" s="151">
        <f>C43/(1+C48)^5</f>
        <v>560.29490713592577</v>
      </c>
    </row>
    <row r="46" spans="2:14" x14ac:dyDescent="0.2">
      <c r="B46" s="215" t="s">
        <v>184</v>
      </c>
      <c r="C46" s="215"/>
    </row>
    <row r="47" spans="2:14" x14ac:dyDescent="0.2">
      <c r="B47" s="1" t="s">
        <v>185</v>
      </c>
      <c r="C47" s="103">
        <f>L6</f>
        <v>39402.179015618509</v>
      </c>
    </row>
    <row r="48" spans="2:14" x14ac:dyDescent="0.2">
      <c r="B48" s="1" t="s">
        <v>147</v>
      </c>
      <c r="C48" s="137">
        <f>WACC!C20</f>
        <v>0.11056285104213737</v>
      </c>
    </row>
    <row r="49" spans="2:3" x14ac:dyDescent="0.2">
      <c r="B49" s="8" t="s">
        <v>186</v>
      </c>
      <c r="C49" s="117">
        <v>9</v>
      </c>
    </row>
    <row r="50" spans="2:3" x14ac:dyDescent="0.2">
      <c r="B50" s="1" t="s">
        <v>187</v>
      </c>
      <c r="C50" s="20">
        <f>L18</f>
        <v>378.54746533421996</v>
      </c>
    </row>
    <row r="51" spans="2:3" x14ac:dyDescent="0.2">
      <c r="B51" s="1" t="s">
        <v>169</v>
      </c>
      <c r="C51" s="20">
        <f>(C47*C49)/C50</f>
        <v>936.79034629771604</v>
      </c>
    </row>
    <row r="52" spans="2:3" x14ac:dyDescent="0.2">
      <c r="B52" s="150" t="s">
        <v>262</v>
      </c>
      <c r="C52" s="151">
        <f>C51/(1+C48)^5</f>
        <v>554.53210724343114</v>
      </c>
    </row>
    <row r="54" spans="2:3" x14ac:dyDescent="0.2">
      <c r="B54" s="215" t="s">
        <v>263</v>
      </c>
      <c r="C54" s="215"/>
    </row>
    <row r="55" spans="2:3" x14ac:dyDescent="0.2">
      <c r="B55" s="1" t="s">
        <v>264</v>
      </c>
      <c r="C55" s="103">
        <f>L8</f>
        <v>12381.473205302724</v>
      </c>
    </row>
    <row r="56" spans="2:3" x14ac:dyDescent="0.2">
      <c r="B56" s="1" t="s">
        <v>147</v>
      </c>
      <c r="C56" s="137">
        <f>WACC!C20</f>
        <v>0.11056285104213737</v>
      </c>
    </row>
    <row r="57" spans="2:3" x14ac:dyDescent="0.2">
      <c r="B57" s="8" t="s">
        <v>265</v>
      </c>
      <c r="C57" s="117">
        <v>27</v>
      </c>
    </row>
    <row r="58" spans="2:3" x14ac:dyDescent="0.2">
      <c r="B58" s="1" t="s">
        <v>187</v>
      </c>
      <c r="C58" s="20">
        <f>L18</f>
        <v>378.54746533421996</v>
      </c>
    </row>
    <row r="59" spans="2:3" x14ac:dyDescent="0.2">
      <c r="B59" s="1" t="s">
        <v>142</v>
      </c>
      <c r="C59" s="20">
        <f>(C55*C57)-G30+G31</f>
        <v>334684.77654317353</v>
      </c>
    </row>
    <row r="60" spans="2:3" x14ac:dyDescent="0.2">
      <c r="B60" s="1" t="s">
        <v>169</v>
      </c>
      <c r="C60" s="20">
        <f>C59/C58</f>
        <v>884.12895922491509</v>
      </c>
    </row>
    <row r="61" spans="2:3" x14ac:dyDescent="0.2">
      <c r="B61" s="150" t="s">
        <v>262</v>
      </c>
      <c r="C61" s="151">
        <f>C60/(1+C56)^5</f>
        <v>523.35925190898729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5" t="s">
        <v>192</v>
      </c>
      <c r="C4" s="215"/>
      <c r="N4" s="90"/>
    </row>
    <row r="5" spans="1:14" x14ac:dyDescent="0.2">
      <c r="B5" s="1" t="s">
        <v>189</v>
      </c>
      <c r="C5" s="166">
        <f>DCF!C26</f>
        <v>310.11059620235545</v>
      </c>
    </row>
    <row r="6" spans="1:14" x14ac:dyDescent="0.2">
      <c r="B6" s="1" t="s">
        <v>266</v>
      </c>
      <c r="C6" s="166">
        <f>Multiples!C44</f>
        <v>560.29490713592577</v>
      </c>
    </row>
    <row r="7" spans="1:14" x14ac:dyDescent="0.2">
      <c r="B7" s="1" t="s">
        <v>190</v>
      </c>
      <c r="C7" s="166">
        <f>Multiples!C52</f>
        <v>554.53210724343114</v>
      </c>
    </row>
    <row r="8" spans="1:14" x14ac:dyDescent="0.2">
      <c r="B8" s="1" t="s">
        <v>267</v>
      </c>
      <c r="C8" s="166">
        <f>Multiples!C61</f>
        <v>523.35925190898729</v>
      </c>
    </row>
    <row r="9" spans="1:14" x14ac:dyDescent="0.2">
      <c r="B9" s="150" t="s">
        <v>188</v>
      </c>
      <c r="C9" s="151">
        <f>AVERAGE(C5:C8)</f>
        <v>487.0742156226749</v>
      </c>
    </row>
    <row r="10" spans="1:14" x14ac:dyDescent="0.2">
      <c r="B10" s="1" t="s">
        <v>335</v>
      </c>
      <c r="C10" s="34">
        <f>Overview!C3</f>
        <v>249.7</v>
      </c>
    </row>
    <row r="11" spans="1:14" x14ac:dyDescent="0.2">
      <c r="B11" s="1" t="s">
        <v>336</v>
      </c>
      <c r="C11" s="88">
        <f>(C9-C10)/C10</f>
        <v>0.95063762764387238</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A21" zoomScale="209" zoomScaleNormal="100" workbookViewId="0">
      <selection activeCell="C26" sqref="C2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[2]Revenue!C5</f>
        <v>2021</v>
      </c>
      <c r="D6" s="61">
        <f>[2]Revenue!D5</f>
        <v>2022</v>
      </c>
      <c r="E6" s="61">
        <f>[2]Revenue!E5</f>
        <v>2023</v>
      </c>
      <c r="F6" s="61">
        <f>[2]Revenue!F5</f>
        <v>2024</v>
      </c>
      <c r="G6" s="61">
        <f>[2]Revenue!G5</f>
        <v>2025</v>
      </c>
      <c r="H6" s="61">
        <f>[2]Revenue!H5</f>
        <v>2026</v>
      </c>
      <c r="I6" s="61">
        <f>[2]Revenue!I5</f>
        <v>2027</v>
      </c>
      <c r="J6" s="61">
        <f>[2]Revenue!J5</f>
        <v>2028</v>
      </c>
      <c r="K6" s="61">
        <f>[2]Revenue!K5</f>
        <v>2029</v>
      </c>
      <c r="L6" s="61">
        <f>[2]Revenue!L5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L7*(1+C20)/(C21-C20)</f>
        <v>115976.66618046047</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H7/(1+$C$21)^H9</f>
        <v>7745.3306320305383</v>
      </c>
      <c r="I10" s="132">
        <f t="shared" ref="I10:L10" si="1">I7/(1+$C$21)^I9</f>
        <v>7183.4660627314288</v>
      </c>
      <c r="J10" s="132">
        <f t="shared" si="1"/>
        <v>6662.3604757445983</v>
      </c>
      <c r="K10" s="132">
        <f t="shared" si="1"/>
        <v>6179.0571182689109</v>
      </c>
      <c r="L10" s="132">
        <f t="shared" si="1"/>
        <v>5730.8137273317607</v>
      </c>
      <c r="N10" s="90"/>
    </row>
    <row r="11" spans="1:28" x14ac:dyDescent="0.2">
      <c r="B11" s="1" t="s">
        <v>164</v>
      </c>
      <c r="C11" s="129"/>
      <c r="D11" s="129"/>
      <c r="E11" s="129"/>
      <c r="F11" s="129"/>
      <c r="G11" s="149"/>
      <c r="H11" s="129"/>
      <c r="I11" s="129"/>
      <c r="J11" s="129"/>
      <c r="K11" s="129"/>
      <c r="L11" s="132">
        <f>L8/(1+C21)^L9</f>
        <v>68652.271388458394</v>
      </c>
    </row>
    <row r="13" spans="1:28" ht="17" thickBot="1" x14ac:dyDescent="0.25"/>
    <row r="14" spans="1:28" x14ac:dyDescent="0.2">
      <c r="B14" s="222" t="s">
        <v>338</v>
      </c>
      <c r="C14" s="223"/>
    </row>
    <row r="15" spans="1:28" x14ac:dyDescent="0.2">
      <c r="B15" s="196" t="s">
        <v>339</v>
      </c>
      <c r="C15" s="197">
        <f>Overview!C3</f>
        <v>249.7</v>
      </c>
    </row>
    <row r="16" spans="1:28" x14ac:dyDescent="0.2">
      <c r="B16" s="196" t="s">
        <v>340</v>
      </c>
      <c r="C16" s="197">
        <f>C36</f>
        <v>254.49331535783571</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WACC!C20</f>
        <v>0.11056285104213737</v>
      </c>
    </row>
    <row r="22" spans="2:9" x14ac:dyDescent="0.2">
      <c r="B22" s="200" t="s">
        <v>4</v>
      </c>
      <c r="C22" s="203">
        <f>'Statement Q'!N116</f>
        <v>404</v>
      </c>
    </row>
    <row r="23" spans="2:9" x14ac:dyDescent="0.2">
      <c r="B23" s="200" t="s">
        <v>140</v>
      </c>
      <c r="C23" s="203">
        <f>C15*C22</f>
        <v>100878.79999999999</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C23+C25-C24</f>
        <v>100216.79999999999</v>
      </c>
    </row>
    <row r="27" spans="2:9" ht="17" thickBot="1" x14ac:dyDescent="0.25"/>
    <row r="28" spans="2:9" x14ac:dyDescent="0.2">
      <c r="B28" s="222" t="s">
        <v>79</v>
      </c>
      <c r="C28" s="223"/>
    </row>
    <row r="29" spans="2:9" x14ac:dyDescent="0.2">
      <c r="B29" s="200" t="s">
        <v>170</v>
      </c>
      <c r="C29" s="203">
        <f>SUM(H10:L10)</f>
        <v>33501.028016107237</v>
      </c>
    </row>
    <row r="30" spans="2:9" x14ac:dyDescent="0.2">
      <c r="B30" s="200" t="s">
        <v>164</v>
      </c>
      <c r="C30" s="203">
        <f>L11</f>
        <v>68652.271388458394</v>
      </c>
    </row>
    <row r="31" spans="2:9" x14ac:dyDescent="0.2">
      <c r="B31" s="205" t="s">
        <v>167</v>
      </c>
      <c r="C31" s="206">
        <f>C29+C30</f>
        <v>102153.29940456562</v>
      </c>
    </row>
    <row r="32" spans="2:9" x14ac:dyDescent="0.2">
      <c r="B32" s="200" t="s">
        <v>165</v>
      </c>
      <c r="C32" s="207">
        <f>C24</f>
        <v>6890</v>
      </c>
    </row>
    <row r="33" spans="2:12" x14ac:dyDescent="0.2">
      <c r="B33" s="200" t="s">
        <v>166</v>
      </c>
      <c r="C33" s="207">
        <f>C25</f>
        <v>6228</v>
      </c>
    </row>
    <row r="34" spans="2:12" x14ac:dyDescent="0.2">
      <c r="B34" s="205" t="s">
        <v>168</v>
      </c>
      <c r="C34" s="206">
        <f>C31+C32-C33</f>
        <v>102815.29940456562</v>
      </c>
    </row>
    <row r="35" spans="2:12" x14ac:dyDescent="0.2">
      <c r="B35" s="200" t="s">
        <v>4</v>
      </c>
      <c r="C35" s="203">
        <f>C22</f>
        <v>404</v>
      </c>
    </row>
    <row r="36" spans="2:12" ht="17" thickBot="1" x14ac:dyDescent="0.25">
      <c r="B36" s="208" t="s">
        <v>169</v>
      </c>
      <c r="C36" s="209">
        <f>C34/C35</f>
        <v>254.49331535783571</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2026-05-01T17:01:36Z</dcterms:modified>
</cp:coreProperties>
</file>