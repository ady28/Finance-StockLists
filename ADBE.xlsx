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A67411F-25AC-2043-8BD2-E2CEB6E943D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H7" i="14"/>
  <c r="G41" i="14"/>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I7" i="14"/>
  <c r="H41" i="14"/>
  <c r="G4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I41" i="14"/>
  <c r="J7" i="14"/>
  <c r="H42" i="14"/>
  <c r="H46" i="14"/>
  <c r="H44" i="14"/>
  <c r="H48" i="14" s="1"/>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42" i="14"/>
  <c r="D42" i="14"/>
  <c r="G7" i="12"/>
  <c r="D7" i="12"/>
  <c r="C16" i="10"/>
  <c r="C20" i="10" s="1"/>
  <c r="C21" i="14" s="1"/>
  <c r="C7" i="12"/>
  <c r="C42" i="14"/>
  <c r="C49" i="14" s="1"/>
  <c r="C27" i="8"/>
  <c r="C28" i="8" s="1"/>
  <c r="F7" i="12"/>
  <c r="F42" i="14"/>
  <c r="F27" i="8"/>
  <c r="F28" i="8" s="1"/>
  <c r="E7" i="12"/>
  <c r="E42" i="14"/>
  <c r="E27" i="8"/>
  <c r="E28" i="8" s="1"/>
  <c r="I46" i="14"/>
  <c r="I42" i="14"/>
  <c r="I44" i="14"/>
  <c r="I48" i="14" s="1"/>
  <c r="J41" i="14"/>
  <c r="K7" i="14"/>
  <c r="H49" i="14"/>
  <c r="AE6" i="5"/>
  <c r="H27" i="8" l="1"/>
  <c r="H28" i="8" s="1"/>
  <c r="H34" i="8"/>
  <c r="H5" i="5"/>
  <c r="G12" i="5"/>
  <c r="G5" i="6"/>
  <c r="G5" i="8"/>
  <c r="G6" i="7"/>
  <c r="G6" i="14"/>
  <c r="G40" i="14" s="1"/>
  <c r="F19" i="8"/>
  <c r="F14" i="8"/>
  <c r="F26" i="8"/>
  <c r="F32" i="8"/>
  <c r="F27" i="7"/>
  <c r="F34" i="7"/>
  <c r="F41" i="7"/>
  <c r="F12" i="7"/>
  <c r="F19" i="7"/>
  <c r="F22"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3" i="14"/>
  <c r="G49" i="14"/>
  <c r="G33" i="12"/>
  <c r="H47" i="14"/>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I49" i="14"/>
  <c r="I47" i="14"/>
  <c r="J44" i="14"/>
  <c r="J48" i="14" s="1"/>
  <c r="J46" i="14"/>
  <c r="J42" i="14"/>
  <c r="L7" i="14"/>
  <c r="K41" i="14"/>
  <c r="AE7" i="5"/>
  <c r="H16" i="5"/>
  <c r="J18" i="6" l="1"/>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K10" i="14"/>
  <c r="I10" i="14"/>
  <c r="H10" i="14"/>
  <c r="J10" i="14"/>
  <c r="C45" i="14"/>
  <c r="C43" i="14"/>
  <c r="F34" i="12"/>
  <c r="F46" i="14"/>
  <c r="F45" i="14"/>
  <c r="F43" i="14"/>
  <c r="G46" i="14"/>
  <c r="E34" i="12"/>
  <c r="E43" i="14"/>
  <c r="E46" i="14"/>
  <c r="E45" i="14"/>
  <c r="D46" i="14"/>
  <c r="J49" i="14"/>
  <c r="J47" i="14"/>
  <c r="L8" i="14"/>
  <c r="L11" i="14" s="1"/>
  <c r="C30" i="14" s="1"/>
  <c r="L10" i="14"/>
  <c r="L41" i="14"/>
  <c r="K44" i="14"/>
  <c r="K48" i="14" s="1"/>
  <c r="K42" i="14"/>
  <c r="K46" i="14"/>
  <c r="AA16" i="5"/>
  <c r="I15" i="7" l="1"/>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48" i="12"/>
  <c r="C52" i="12" s="1"/>
  <c r="C53" i="12" s="1"/>
  <c r="C7" i="13" s="1"/>
  <c r="I5" i="1" s="1"/>
  <c r="L11" i="6"/>
  <c r="L12" i="6"/>
  <c r="L13" i="6"/>
  <c r="L15" i="6"/>
  <c r="L16" i="6"/>
  <c r="L17" i="6"/>
  <c r="I10" i="8"/>
  <c r="I34" i="8" s="1"/>
  <c r="C29" i="14"/>
  <c r="L42" i="14"/>
  <c r="L46" i="14"/>
  <c r="L44" i="14"/>
  <c r="L48" i="14" s="1"/>
  <c r="K47" i="14"/>
  <c r="K49" i="14"/>
  <c r="I16" i="5"/>
  <c r="J16" i="5"/>
  <c r="K8" i="7" l="1"/>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C31" i="14"/>
  <c r="C34" i="14" s="1"/>
  <c r="C36" i="14" s="1"/>
  <c r="C16" i="14" s="1"/>
  <c r="L49" i="14"/>
  <c r="L47" i="14"/>
  <c r="K30" i="7" l="1"/>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J28" i="8" l="1"/>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K28" i="8" l="1"/>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13" i="12" l="1"/>
  <c r="C38" i="12"/>
  <c r="C42" i="12" s="1"/>
  <c r="C43" i="12" s="1"/>
  <c r="C45" i="12" s="1"/>
  <c r="C6" i="13" s="1"/>
  <c r="I4" i="1" s="1"/>
  <c r="L7" i="11"/>
  <c r="L8" i="12"/>
  <c r="L27" i="12"/>
  <c r="L22" i="12"/>
  <c r="L17" i="12"/>
  <c r="L11" i="12"/>
  <c r="C56" i="12" l="1"/>
  <c r="C59" i="12" s="1"/>
  <c r="C60" i="12" s="1"/>
  <c r="C62" i="12" s="1"/>
  <c r="C8" i="13" s="1"/>
  <c r="I6" i="1" s="1"/>
  <c r="L14" i="12"/>
  <c r="L8" i="11"/>
  <c r="L11" i="11" s="1"/>
  <c r="C20" i="11" s="1"/>
  <c r="L10" i="11"/>
  <c r="C19"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<sst xmlns="http://schemas.openxmlformats.org/spreadsheetml/2006/main" count="729" uniqueCount="407">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</sst>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392.58</v>
    <v>190.12</v>
    <v>1.4394</v>
    <v>-1.41</v>
    <v>-6.8300000000000001E-3</v>
    <v>-0.22</v>
    <v>-1.0730000000000002E-3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205.6</v>
    <v>3</v>
    <v>Software &amp; IT Services</v>
    <v>Stock</v>
    <v>46203.951406214845</v>
    <v>4</v>
    <v>201.31</v>
    <v>81495450000</v>
    <v>ADOBE INC.</v>
    <v>ADOBE INC.</v>
    <v>204.095</v>
    <v>11.732699999999999</v>
    <v>206.43</v>
    <v>205.02</v>
    <v>204.8</v>
    <v>397500000</v>
    <v>ADBE</v>
    <v>ADOBE INC. (XNAS:ADBE)</v>
    <v>6116780</v>
    <v>8107787</v>
    <v>1997</v>
  </rv>
  <rv s="4">
    <v>5</v>
  </rv>
  <rv s="0">
    <v>https://www.bing.com/financeapi/forcetrigger?t=a33knm&amp;q=10+Y+TSY+YLD+NDX&amp;form=skydnc</v>
    <v>Learn more on Bing</v>
  </rv>
  <rv s="5">
    <v>7</v>
    <v>10 Y TSY YLD NDX</v>
    <v>8</v>
    <v>9</v>
    <v>Finance</v>
    <v>10</v>
    <v>en-US</v>
    <v>a33knm</v>
    <v>268435456</v>
    <v>1</v>
    <v>Powered by Refinitiv</v>
    <v>46.87</v>
    <v>39.47</v>
    <v>0.02</v>
    <v>4.5750000000000001E-4</v>
    <v>US</v>
    <v>43.9</v>
    <v>Index</v>
    <v>7</v>
    <v>43.67</v>
    <v>10 Y TSY YLD NDX</v>
    <v>43.78</v>
    <v>43.72</v>
    <v>43.74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8" sqref="F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293</v>
      </c>
      <c r="F2" s="233"/>
      <c r="H2" s="232" t="s">
        <v>334</v>
      </c>
      <c r="I2" s="233"/>
    </row>
    <row r="3" spans="2:9" x14ac:dyDescent="0.2">
      <c r="B3" s="187" t="s">
        <v>11</v>
      </c>
      <c r="C3" s="219" t="e" vm="1">
        <v>#VALUE!</v>
      </c>
      <c r="D3" s="2"/>
      <c r="E3" s="187" t="s">
        <v>245</v>
      </c>
      <c r="F3" s="189">
        <f ca="1">Statement!AC153</f>
        <v>81597.960000000006</v>
      </c>
      <c r="H3" s="187" t="str">
        <f>'AVG target price'!B5</f>
        <v>DCF price</v>
      </c>
      <c r="I3" s="213">
        <f ca="1">'AVG target price'!C5</f>
        <v>325.28494816353077</v>
      </c>
    </row>
    <row r="4" spans="2:9" x14ac:dyDescent="0.2">
      <c r="B4" s="187" t="s">
        <v>0</v>
      </c>
      <c r="C4" s="191" t="str" cm="1">
        <f t="array" aca="1" ref="C4" ca="1">_FV(C3,"Ticker symbol",TRUE)</f>
        <v>ADBE</v>
      </c>
      <c r="E4" s="188" t="s">
        <v>189</v>
      </c>
      <c r="F4" s="190">
        <f ca="1">Statement!AC154</f>
        <v>82616.960000000006</v>
      </c>
      <c r="H4" s="187" t="str">
        <f>'AVG target price'!B6</f>
        <v>EV/EBIT price</v>
      </c>
      <c r="I4" s="213">
        <f ca="1">'AVG target price'!C6</f>
        <v>509.0011235350978</v>
      </c>
    </row>
    <row r="5" spans="2:9" x14ac:dyDescent="0.2">
      <c r="B5" s="187" t="s">
        <v>1</v>
      </c>
      <c r="C5" s="210" cm="1">
        <f t="array" aca="1" ref="C5" ca="1">_FV(C3,"Price",TRUE)</f>
        <v>205.02</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204.8</v>
      </c>
      <c r="E6" s="187" t="s">
        <v>243</v>
      </c>
      <c r="F6" s="192">
        <f ca="1">Statement!AC150</f>
        <v>11.728832951945083</v>
      </c>
      <c r="H6" s="187" t="str">
        <f>'AVG target price'!B8</f>
        <v>EV/FCFF price</v>
      </c>
      <c r="I6" s="213">
        <f ca="1">'AVG target price'!C8</f>
        <v>382.34048125533576</v>
      </c>
    </row>
    <row r="7" spans="2:9" x14ac:dyDescent="0.2">
      <c r="B7" s="187" t="s">
        <v>3</v>
      </c>
      <c r="C7" s="6" cm="1">
        <f t="array" aca="1" ref="C7" ca="1">_FV(C3,"Change")</f>
        <v>-1.41</v>
      </c>
      <c r="E7" s="188" t="s">
        <v>202</v>
      </c>
      <c r="F7" s="193">
        <f ca="1">Statement!AC151</f>
        <v>3.3643848718152238</v>
      </c>
      <c r="H7" s="186" t="str">
        <f>'AVG target price'!B9</f>
        <v>AVG price</v>
      </c>
      <c r="I7" s="214">
        <f ca="1">'AVG target price'!C9</f>
        <v>385.0045502675739</v>
      </c>
    </row>
    <row r="8" spans="2:9" x14ac:dyDescent="0.2">
      <c r="B8" s="187" t="s">
        <v>4</v>
      </c>
      <c r="C8" s="6" cm="1">
        <f t="array" aca="1" ref="C8" ca="1">_FV(C3,"Change (extended hours)",TRUE)</f>
        <v>-0.22</v>
      </c>
      <c r="E8" s="187" t="s">
        <v>271</v>
      </c>
      <c r="F8" s="194">
        <f ca="1">Statement!AC161</f>
        <v>0.10023534902098041</v>
      </c>
      <c r="H8" s="186" t="str">
        <f>'AVG target price'!B11</f>
        <v>Upside/Downside</v>
      </c>
      <c r="I8" s="215">
        <f ca="1">'AVG target price'!C11</f>
        <v>0.87788776835222848</v>
      </c>
    </row>
    <row r="9" spans="2:9" x14ac:dyDescent="0.2">
      <c r="B9" s="187" t="s">
        <v>5</v>
      </c>
      <c r="C9" s="73" cm="1">
        <f t="array" aca="1" ref="C9" ca="1">_FV(C3,"Change (%)",TRUE)</f>
        <v>-6.8300000000000001E-3</v>
      </c>
      <c r="E9" s="187" t="s">
        <v>294</v>
      </c>
      <c r="F9" s="194">
        <f ca="1">Statement!AC162</f>
        <v>8.52599746366208E-2</v>
      </c>
    </row>
    <row r="10" spans="2:9" x14ac:dyDescent="0.2">
      <c r="B10" s="187" t="s">
        <v>6</v>
      </c>
      <c r="C10" s="73" cm="1">
        <f t="array" aca="1" ref="C10" ca="1">_FV(C3,"Change % (extended hours)",TRUE)</f>
        <v>-1.0730000000000002E-3</v>
      </c>
      <c r="E10" s="187" t="s">
        <v>299</v>
      </c>
      <c r="F10" s="194">
        <f ca="1">Statement!AC164</f>
        <v>0.11176750006985468</v>
      </c>
    </row>
    <row r="11" spans="2:9" x14ac:dyDescent="0.2">
      <c r="B11" s="187" t="s">
        <v>7</v>
      </c>
      <c r="C11" s="211" cm="1">
        <f t="array" aca="1" ref="C11" ca="1">_FV(C3,"52 week high",TRUE)</f>
        <v>392.58</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1.4394</v>
      </c>
      <c r="E13" s="187" t="s">
        <v>105</v>
      </c>
      <c r="F13" s="194">
        <f>Statement!AC125</f>
        <v>0.62762632401458585</v>
      </c>
    </row>
    <row r="14" spans="2:9" x14ac:dyDescent="0.2">
      <c r="B14" s="188" t="s">
        <v>10</v>
      </c>
      <c r="C14" s="212" cm="1">
        <f t="array" aca="1" ref="C14" ca="1">_FV(C3,"Volume average",TRUE)</f>
        <v>8107787</v>
      </c>
      <c r="E14" s="188" t="s">
        <v>106</v>
      </c>
      <c r="F14" s="195">
        <f>Statement!AC140</f>
        <v>0.5752841854820302</v>
      </c>
    </row>
    <row r="15" spans="2:9" x14ac:dyDescent="0.2">
      <c r="E15" s="187" t="s">
        <v>296</v>
      </c>
      <c r="F15" s="194">
        <f ca="1">Statement!AC176</f>
        <v>-1.2488057299471701E-2</v>
      </c>
    </row>
    <row r="16" spans="2:9" x14ac:dyDescent="0.2">
      <c r="E16" s="188" t="s">
        <v>301</v>
      </c>
      <c r="F16" s="193">
        <f>Statement!AC175</f>
        <v>-2.5603015075376883</v>
      </c>
    </row>
    <row r="17" spans="2:9" x14ac:dyDescent="0.2">
      <c r="B17" s="234" t="s">
        <v>90</v>
      </c>
      <c r="C17" s="234"/>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4" t="s">
        <v>108</v>
      </c>
      <c r="C25" s="234"/>
      <c r="E25" s="232" t="s">
        <v>352</v>
      </c>
      <c r="F25" s="233"/>
    </row>
    <row r="26" spans="2:9" x14ac:dyDescent="0.2">
      <c r="B26" s="186" t="s">
        <v>109</v>
      </c>
      <c r="C26" s="172">
        <v>0.21</v>
      </c>
      <c r="E26" s="187" t="e" vm="2">
        <v>#VALUE!</v>
      </c>
      <c r="F26" s="221" cm="1">
        <f t="array" aca="1" ref="F26" ca="1">_FV(E26,"Price")</f>
        <v>43.74</v>
      </c>
    </row>
    <row r="27" spans="2:9" x14ac:dyDescent="0.2">
      <c r="B27" s="186" t="s">
        <v>173</v>
      </c>
      <c r="C27" s="223">
        <v>5.0999999999999997E-2</v>
      </c>
      <c r="E27" s="188" t="s">
        <v>353</v>
      </c>
      <c r="F27" s="222">
        <f ca="1">F26/1000</f>
        <v>4.3740000000000001E-2</v>
      </c>
    </row>
    <row r="28" spans="2:9" x14ac:dyDescent="0.2">
      <c r="B28" s="186" t="s">
        <v>357</v>
      </c>
      <c r="C28" s="223">
        <v>0</v>
      </c>
    </row>
    <row r="29" spans="2:9" x14ac:dyDescent="0.2">
      <c r="B29" s="186" t="s">
        <v>358</v>
      </c>
      <c r="C29" s="223">
        <v>0.1</v>
      </c>
    </row>
    <row r="33" spans="2:8" x14ac:dyDescent="0.2">
      <c r="B33" s="235" t="s">
        <v>344</v>
      </c>
      <c r="C33" s="235"/>
      <c r="D33" s="235"/>
      <c r="E33" s="235"/>
      <c r="F33" s="235"/>
      <c r="G33" s="235"/>
      <c r="H33" s="235"/>
    </row>
    <row r="35" spans="2:8" x14ac:dyDescent="0.2">
      <c r="B35" s="16" t="s">
        <v>345</v>
      </c>
      <c r="C35" s="1" t="s">
        <v>394</v>
      </c>
    </row>
    <row r="36" spans="2:8" x14ac:dyDescent="0.2">
      <c r="B36" s="16" t="s">
        <v>346</v>
      </c>
      <c r="C36" s="1" t="s">
        <v>395</v>
      </c>
    </row>
    <row r="39" spans="2:8" ht="6" customHeight="1" x14ac:dyDescent="0.2">
      <c r="B39" s="235"/>
      <c r="C39" s="235"/>
      <c r="D39" s="235"/>
      <c r="E39" s="235"/>
      <c r="F39" s="235"/>
      <c r="G39" s="235"/>
      <c r="H39" s="235"/>
    </row>
    <row r="42" spans="2:8" x14ac:dyDescent="0.2">
      <c r="B42" s="235" t="s">
        <v>347</v>
      </c>
      <c r="C42" s="235"/>
      <c r="D42" s="235"/>
      <c r="E42" s="235"/>
      <c r="F42" s="235"/>
      <c r="G42" s="235"/>
      <c r="H42" s="235"/>
    </row>
    <row r="44" spans="2:8" x14ac:dyDescent="0.2">
      <c r="B44" s="41" t="s">
        <v>348</v>
      </c>
      <c r="C44" s="41" t="s">
        <v>335</v>
      </c>
      <c r="D44" s="41"/>
      <c r="E44" s="41" t="s">
        <v>336</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X149"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205.02</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205.02</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11.728832951945083</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3.3643848718152238</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7.0843861781559303</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81597.960000000006</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82616.960000000006</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3.2787110088102231</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9.0887744774477461</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9.9765203570118608</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10.179093292560875</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0.10023534902098041</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8.52599746366208E-2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0.11176750006985468</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0.11176750006985468</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-1.2488057299471701E-2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5" t="s">
        <v>239</v>
      </c>
      <c r="C4" s="235"/>
      <c r="E4" s="235" t="s">
        <v>246</v>
      </c>
      <c r="F4" s="235"/>
      <c r="G4" s="235"/>
    </row>
    <row r="5" spans="2:7" x14ac:dyDescent="0.2">
      <c r="B5" s="20" t="s">
        <v>1</v>
      </c>
      <c r="C5" s="174">
        <f ca="1">Overview!C5</f>
        <v>205.02</v>
      </c>
      <c r="E5" s="12"/>
      <c r="F5" s="134" t="s">
        <v>247</v>
      </c>
      <c r="G5" s="134" t="s">
        <v>248</v>
      </c>
    </row>
    <row r="6" spans="2:7" x14ac:dyDescent="0.2">
      <c r="B6" s="20" t="s">
        <v>245</v>
      </c>
      <c r="C6" s="175">
        <f ca="1">Statement!AC153</f>
        <v>81597.960000000006</v>
      </c>
      <c r="E6" s="20" t="s">
        <v>19</v>
      </c>
      <c r="F6" s="180">
        <f>IF(Statement!M5&lt;=0,"N/A",_xlfn.RRI(4,Statement!M5,Statement!Q5))</f>
        <v>0.10774954699996808</v>
      </c>
      <c r="G6" s="180" t="str">
        <f>IF(Statement!H5&lt;=0,"N/A",_xlfn.RRI(9,Statement!H5,Statement!Q5))</f>
        <v>N/A</v>
      </c>
    </row>
    <row r="7" spans="2:7" x14ac:dyDescent="0.2">
      <c r="B7" s="20" t="s">
        <v>189</v>
      </c>
      <c r="C7" s="175">
        <f ca="1">Statement!AC154</f>
        <v>82616.960000000006</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11.728832951945083</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3.3643848718152238</v>
      </c>
      <c r="E9" s="20" t="s">
        <v>250</v>
      </c>
      <c r="F9" s="180" t="str">
        <f>IF(Statement!M82&lt;=0,"N/A",_xlfn.RRI(4,Statement!M82,Statement!Q82))</f>
        <v>N/A</v>
      </c>
      <c r="G9" s="180" t="str">
        <f>IF(Statement!H82&lt;=0,"N/A",_xlfn.RRI(9,Statement!H82,Statement!Q82))</f>
        <v>N/A</v>
      </c>
    </row>
    <row r="10" spans="2:7" x14ac:dyDescent="0.2">
      <c r="B10" s="20" t="s">
        <v>244</v>
      </c>
      <c r="C10" s="176">
        <f ca="1">Statement!AC152</f>
        <v>7.0843861781559303</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3.2787110088102231</v>
      </c>
    </row>
    <row r="12" spans="2:7" x14ac:dyDescent="0.2">
      <c r="B12" s="20" t="s">
        <v>205</v>
      </c>
      <c r="C12" s="176">
        <f ca="1">Statement!AC156</f>
        <v>9.0887744774477461</v>
      </c>
    </row>
    <row r="15" spans="2:7" x14ac:dyDescent="0.2">
      <c r="B15" s="235" t="s">
        <v>77</v>
      </c>
      <c r="C15" s="235"/>
      <c r="E15" s="235" t="s">
        <v>252</v>
      </c>
      <c r="F15" s="235"/>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5" t="s">
        <v>251</v>
      </c>
      <c r="C21" s="235"/>
      <c r="E21" s="235" t="s">
        <v>255</v>
      </c>
      <c r="F21" s="235"/>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5" t="s">
        <v>256</v>
      </c>
      <c r="C29" s="235"/>
      <c r="E29" s="235" t="s">
        <v>262</v>
      </c>
      <c r="F29" s="235"/>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5" t="s">
        <v>274</v>
      </c>
      <c r="C37" s="235"/>
      <c r="E37" s="235" t="s">
        <v>277</v>
      </c>
      <c r="F37" s="235"/>
    </row>
    <row r="38" spans="2:6" x14ac:dyDescent="0.2">
      <c r="B38" s="20" t="s">
        <v>272</v>
      </c>
      <c r="C38" s="177">
        <f ca="1">Statement!AC162</f>
        <v>8.52599746366208E-2</v>
      </c>
      <c r="E38" s="20" t="s">
        <v>276</v>
      </c>
      <c r="F38" s="177">
        <f>Statement!AC168</f>
        <v>0</v>
      </c>
    </row>
    <row r="39" spans="2:6" x14ac:dyDescent="0.2">
      <c r="B39" s="54" t="s">
        <v>275</v>
      </c>
      <c r="C39" s="217">
        <f ca="1">Statement!AC161</f>
        <v>0.10023534902098041</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0.11176750006985468</v>
      </c>
    </row>
    <row r="42" spans="2:6" x14ac:dyDescent="0.2">
      <c r="B42" s="20" t="s">
        <v>300</v>
      </c>
      <c r="C42" s="177">
        <f ca="1">Statement!AC165</f>
        <v>0.11176750006985468</v>
      </c>
    </row>
    <row r="45" spans="2:6" x14ac:dyDescent="0.2">
      <c r="B45" s="235" t="s">
        <v>285</v>
      </c>
      <c r="C45" s="235"/>
      <c r="E45" s="235" t="s">
        <v>291</v>
      </c>
      <c r="F45" s="235"/>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-1.2488057299471701E-2</v>
      </c>
    </row>
    <row r="51" spans="2:6" x14ac:dyDescent="0.2">
      <c r="B51" s="235" t="s">
        <v>288</v>
      </c>
      <c r="C51" s="235"/>
      <c r="E51" s="235" t="s">
        <v>309</v>
      </c>
      <c r="F51" s="235"/>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205.02</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81597.960000000006</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82616.960000000006</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11.728832951945083</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3.3643848718152238</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7.0843861781559303</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3.2787110088102231</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9.0887744774477461</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8.52599746366208E-2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0.10023534902098041</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0.11176750006985468</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0.11176750006985468</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-1.2488057299471701E-2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319</v>
      </c>
      <c r="D3" s="239"/>
      <c r="F3" s="240" t="s">
        <v>320</v>
      </c>
      <c r="G3" s="239"/>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6">
        <f>Statement!AA89</f>
        <v>3.4385745545482967E-2</v>
      </c>
      <c r="D7" s="237"/>
      <c r="F7" s="236">
        <f>IF(F6=0,
IF(G6=0,0,IF(G6&gt;0,1,-1)),
(G6-F6)/ABS(F6)
)</f>
        <v>0.1268516941937681</v>
      </c>
      <c r="G7" s="237"/>
    </row>
    <row r="8" spans="2:7" x14ac:dyDescent="0.2">
      <c r="B8" s="209" t="s">
        <v>20</v>
      </c>
      <c r="C8" s="202">
        <f>Statement!Z6</f>
        <v>664</v>
      </c>
      <c r="D8" s="200">
        <f>Statement!AA6</f>
        <v>715</v>
      </c>
      <c r="F8" s="202">
        <f>Statement!W6</f>
        <v>638</v>
      </c>
      <c r="G8" s="200">
        <f>Statement!AA6</f>
        <v>715</v>
      </c>
    </row>
    <row r="9" spans="2:7" x14ac:dyDescent="0.2">
      <c r="B9" s="208" t="s">
        <v>321</v>
      </c>
      <c r="C9" s="236">
        <f>Statement!AA90</f>
        <v>7.6807228915662648E-2</v>
      </c>
      <c r="D9" s="237"/>
      <c r="F9" s="236">
        <f>IF(F8=0,
IF(G8=0,0,IF(G8&gt;0,1,-1)),
(G8-F8)/ABS(F8)
)</f>
        <v>0.1206896551724138</v>
      </c>
      <c r="G9" s="237"/>
    </row>
    <row r="10" spans="2:7" x14ac:dyDescent="0.2">
      <c r="B10" s="209" t="s">
        <v>21</v>
      </c>
      <c r="C10" s="202">
        <f>Statement!Z7</f>
        <v>5734</v>
      </c>
      <c r="D10" s="200">
        <f>Statement!AA7</f>
        <v>5903</v>
      </c>
      <c r="F10" s="202">
        <f>Statement!W7</f>
        <v>5235</v>
      </c>
      <c r="G10" s="200">
        <f>Statement!AA7</f>
        <v>5903</v>
      </c>
    </row>
    <row r="11" spans="2:7" x14ac:dyDescent="0.2">
      <c r="B11" s="208" t="s">
        <v>321</v>
      </c>
      <c r="C11" s="236">
        <f>Statement!AA91</f>
        <v>2.9473317056156263E-2</v>
      </c>
      <c r="D11" s="237"/>
      <c r="F11" s="236">
        <f>IF(F10=0,
IF(G10=0,0,IF(G10&gt;0,1,-1)),
(G10-F10)/ABS(F10)
)</f>
        <v>0.12760267430754538</v>
      </c>
      <c r="G11" s="237"/>
    </row>
    <row r="12" spans="2:7" x14ac:dyDescent="0.2">
      <c r="B12" s="209" t="s">
        <v>25</v>
      </c>
      <c r="C12" s="202">
        <f>Statement!Z11</f>
        <v>3316</v>
      </c>
      <c r="D12" s="200">
        <f>Statement!AA11</f>
        <v>3665</v>
      </c>
      <c r="F12" s="202">
        <f>Statement!W11</f>
        <v>3126</v>
      </c>
      <c r="G12" s="200">
        <f>Statement!AA11</f>
        <v>3665</v>
      </c>
    </row>
    <row r="13" spans="2:7" x14ac:dyDescent="0.2">
      <c r="B13" s="208" t="s">
        <v>321</v>
      </c>
      <c r="C13" s="236">
        <f>Statement!AA95</f>
        <v>0.10524728588661038</v>
      </c>
      <c r="D13" s="237"/>
      <c r="F13" s="236">
        <f>IF(F12=0,
IF(G12=0,0,IF(G12&gt;0,1,-1)),
(G12-F12)/ABS(F12)
)</f>
        <v>0.172424824056302</v>
      </c>
      <c r="G13" s="237"/>
    </row>
    <row r="14" spans="2:7" x14ac:dyDescent="0.2">
      <c r="B14" s="209" t="s">
        <v>322</v>
      </c>
      <c r="C14" s="202">
        <f>Statement!Z12</f>
        <v>2418</v>
      </c>
      <c r="D14" s="200">
        <f>Statement!AA12</f>
        <v>2238</v>
      </c>
      <c r="F14" s="202">
        <f>Statement!W12</f>
        <v>2109</v>
      </c>
      <c r="G14" s="200">
        <f>Statement!AA12</f>
        <v>2238</v>
      </c>
    </row>
    <row r="15" spans="2:7" x14ac:dyDescent="0.2">
      <c r="B15" s="208" t="s">
        <v>321</v>
      </c>
      <c r="C15" s="236">
        <f>Statement!AA96</f>
        <v>-7.4441687344913146E-2</v>
      </c>
      <c r="D15" s="237"/>
      <c r="F15" s="236">
        <f>IF(F14=0,
IF(G14=0,0,IF(G14&gt;0,1,-1)),
(G14-F14)/ABS(F14)
)</f>
        <v>6.1166429587482217E-2</v>
      </c>
      <c r="G15" s="237"/>
    </row>
    <row r="16" spans="2:7" x14ac:dyDescent="0.2">
      <c r="B16" s="209" t="s">
        <v>31</v>
      </c>
      <c r="C16" s="202">
        <f>Statement!Z18</f>
        <v>1889</v>
      </c>
      <c r="D16" s="200">
        <f>Statement!AA18</f>
        <v>1712</v>
      </c>
      <c r="F16" s="202">
        <f>Statement!W18</f>
        <v>1691</v>
      </c>
      <c r="G16" s="200">
        <f>Statement!AA18</f>
        <v>1712</v>
      </c>
    </row>
    <row r="17" spans="2:7" x14ac:dyDescent="0.2">
      <c r="B17" s="208" t="s">
        <v>321</v>
      </c>
      <c r="C17" s="236">
        <f>Statement!AA98</f>
        <v>-9.3700370566437263E-2</v>
      </c>
      <c r="D17" s="237"/>
      <c r="F17" s="236">
        <f>IF(F16=0,
IF(G16=0,0,IF(G16&gt;0,1,-1)),
(G16-F16)/ABS(F16)
)</f>
        <v>1.2418687167356593E-2</v>
      </c>
      <c r="G17" s="237"/>
    </row>
    <row r="18" spans="2:7" x14ac:dyDescent="0.2">
      <c r="B18" s="209" t="s">
        <v>323</v>
      </c>
      <c r="C18" s="202">
        <f>Statement!Z22</f>
        <v>411</v>
      </c>
      <c r="D18" s="200">
        <f>Statement!AA22</f>
        <v>402</v>
      </c>
      <c r="F18" s="202">
        <f>Statement!W22</f>
        <v>429</v>
      </c>
      <c r="G18" s="200">
        <f>Statement!AA22</f>
        <v>402</v>
      </c>
    </row>
    <row r="19" spans="2:7" x14ac:dyDescent="0.2">
      <c r="B19" s="208" t="s">
        <v>321</v>
      </c>
      <c r="C19" s="236">
        <f>IF(C18=0,
IF(D18=0,0,IF(D18&gt;0,1,-1)),
(D18-C18)/ABS(C18)
)</f>
        <v>-2.1897810218978103E-2</v>
      </c>
      <c r="D19" s="237"/>
      <c r="F19" s="236">
        <f>IF(F18=0,
IF(G18=0,0,IF(G18&gt;0,1,-1)),
(G18-F18)/ABS(F18)
)</f>
        <v>-6.2937062937062943E-2</v>
      </c>
      <c r="G19" s="237"/>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6">
        <f>IF(C20=0,
IF(D20=0,0,IF(D20&gt;0,1,-1)),
(D20-C20)/ABS(C20)
)</f>
        <v>-7.6086956521739066E-2</v>
      </c>
      <c r="D21" s="237"/>
      <c r="F21" s="236">
        <f>IF(F20=0,
IF(G20=0,0,IF(G20&gt;0,1,-1)),
(G20-F20)/ABS(F20)
)</f>
        <v>7.8680203045685293E-2</v>
      </c>
      <c r="G21" s="237"/>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6">
        <f>IF(C24=0,
IF(D24=0,0,IF(D24&gt;0,1,-1)),
(D24-C24)/ABS(C24)
)</f>
        <v>3.5172636334301385E-2</v>
      </c>
      <c r="D25" s="237"/>
      <c r="F25" s="236">
        <f>IF(F24=0,
IF(G24=0,0,IF(G24&gt;0,1,-1)),
(G24-F24)/ABS(F24)
)</f>
        <v>0.13738698812267328</v>
      </c>
      <c r="G25" s="237"/>
    </row>
    <row r="26" spans="2:7" x14ac:dyDescent="0.2">
      <c r="B26" s="20" t="s">
        <v>389</v>
      </c>
      <c r="C26" s="202">
        <f>Statement!Z188</f>
        <v>90</v>
      </c>
      <c r="D26" s="200">
        <f>Statement!AA188</f>
        <v>89</v>
      </c>
      <c r="F26" s="202">
        <f>Statement!W188</f>
        <v>88</v>
      </c>
      <c r="G26" s="200">
        <f>Statement!AA188</f>
        <v>89</v>
      </c>
    </row>
    <row r="27" spans="2:7" x14ac:dyDescent="0.2">
      <c r="B27" s="208" t="s">
        <v>321</v>
      </c>
      <c r="C27" s="236">
        <f>IF(C26=0,
IF(D26=0,0,IF(D26&gt;0,1,-1)),
(D26-C26)/ABS(C26)
)</f>
        <v>-1.1111111111111112E-2</v>
      </c>
      <c r="D27" s="237"/>
      <c r="F27" s="236">
        <f>IF(F26=0,
IF(G26=0,0,IF(G26&gt;0,1,-1)),
(G26-F26)/ABS(F26)
)</f>
        <v>1.1363636363636364E-2</v>
      </c>
      <c r="G27" s="237"/>
    </row>
    <row r="28" spans="2:7" x14ac:dyDescent="0.2">
      <c r="B28" s="20" t="s">
        <v>399</v>
      </c>
      <c r="C28" s="202">
        <f>Statement!Z189</f>
        <v>110</v>
      </c>
      <c r="D28" s="200">
        <f>Statement!AA189</f>
        <v>113</v>
      </c>
      <c r="F28" s="202">
        <f>Statement!W189</f>
        <v>144</v>
      </c>
      <c r="G28" s="200">
        <f>Statement!AA189</f>
        <v>113</v>
      </c>
    </row>
    <row r="29" spans="2:7" x14ac:dyDescent="0.2">
      <c r="B29" s="208" t="s">
        <v>321</v>
      </c>
      <c r="C29" s="236">
        <f>IF(C28=0,
IF(D28=0,0,IF(D28&gt;0,1,-1)),
(D28-C28)/ABS(C28)
)</f>
        <v>2.7272727272727271E-2</v>
      </c>
      <c r="D29" s="237"/>
      <c r="F29" s="236">
        <f>IF(F28=0,
IF(G28=0,0,IF(G28&gt;0,1,-1)),
(G28-F28)/ABS(F28)
)</f>
        <v>-0.21527777777777779</v>
      </c>
      <c r="G29" s="23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44"/>
      <c r="H2" s="245"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44"/>
      <c r="H2" s="245"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-Statement!M60</f>
        <v>348</v>
      </c>
      <c r="D45" s="116">
        <f>-Statement!N60</f>
        <v>442</v>
      </c>
      <c r="E45" s="116">
        <f>-Statement!O60</f>
        <v>360</v>
      </c>
      <c r="F45" s="116">
        <f>-Statement!P60</f>
        <v>183</v>
      </c>
      <c r="G45" s="117">
        <f>-Statement!Q60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44"/>
      <c r="H2" s="245" t="s">
        <v>115</v>
      </c>
      <c r="I2" s="235"/>
      <c r="J2" s="235"/>
      <c r="K2" s="235"/>
      <c r="L2" s="235"/>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205.02</v>
      </c>
    </row>
    <row r="7" spans="1:3" ht="17" customHeight="1" x14ac:dyDescent="0.2">
      <c r="B7" s="1" t="s">
        <v>169</v>
      </c>
      <c r="C7" s="136">
        <f ca="1">C5*C6</f>
        <v>81597.960000000006</v>
      </c>
    </row>
    <row r="8" spans="1:3" ht="17" customHeight="1" x14ac:dyDescent="0.2">
      <c r="B8" s="1" t="s">
        <v>170</v>
      </c>
      <c r="C8" s="114">
        <f>Statement!AC108</f>
        <v>6645</v>
      </c>
    </row>
    <row r="9" spans="1:3" ht="17" customHeight="1" x14ac:dyDescent="0.2">
      <c r="B9" s="1" t="s">
        <v>171</v>
      </c>
      <c r="C9" s="137">
        <f ca="1">Overview!F27</f>
        <v>4.3740000000000001E-2</v>
      </c>
    </row>
    <row r="10" spans="1:3" ht="17" customHeight="1" x14ac:dyDescent="0.2">
      <c r="B10" s="1" t="s">
        <v>9</v>
      </c>
      <c r="C10" s="135">
        <f ca="1">Overview!C13</f>
        <v>1.4394</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7.5303457635600618E-2</v>
      </c>
    </row>
    <row r="17" spans="2:3" ht="17" customHeight="1" x14ac:dyDescent="0.2">
      <c r="B17" s="1" t="s">
        <v>176</v>
      </c>
      <c r="C17" s="46">
        <f ca="1">C7/(C8+C7)</f>
        <v>0.92469654236439935</v>
      </c>
    </row>
    <row r="18" spans="2:3" ht="17" customHeight="1" x14ac:dyDescent="0.2">
      <c r="B18" s="1" t="s">
        <v>177</v>
      </c>
      <c r="C18" s="46">
        <f>C13*(1-C12)</f>
        <v>4.0289999999999999E-2</v>
      </c>
    </row>
    <row r="19" spans="2:3" ht="17" customHeight="1" x14ac:dyDescent="0.2">
      <c r="B19" s="1" t="s">
        <v>178</v>
      </c>
      <c r="C19" s="46">
        <f ca="1">C9+C10*C11</f>
        <v>0.108513</v>
      </c>
    </row>
    <row r="20" spans="2:3" ht="17" customHeight="1" x14ac:dyDescent="0.2">
      <c r="B20" s="1" t="s">
        <v>166</v>
      </c>
      <c r="C20" s="46">
        <f ca="1">(C17*C19)+(C16*C18)</f>
        <v>0.1033755722097264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151838.30692955205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7353.4299814358683</v>
      </c>
      <c r="I10" s="128">
        <f t="shared" ref="I10:L10" ca="1" si="0">I7/(1+$C$15)^I9</f>
        <v>7535.1757007941287</v>
      </c>
      <c r="J10" s="128">
        <f t="shared" ca="1" si="0"/>
        <v>7583.0486935099889</v>
      </c>
      <c r="K10" s="128">
        <f t="shared" ca="1" si="0"/>
        <v>7575.1450268730132</v>
      </c>
      <c r="L10" s="128">
        <f t="shared" ca="1" si="0"/>
        <v>7589.3255769811822</v>
      </c>
      <c r="N10" s="91"/>
    </row>
    <row r="11" spans="1:28" x14ac:dyDescent="0.2">
      <c r="B11" s="1" t="s">
        <v>184</v>
      </c>
      <c r="C11" s="139"/>
      <c r="D11" s="139"/>
      <c r="E11" s="139"/>
      <c r="F11" s="139"/>
      <c r="G11" s="140"/>
      <c r="H11" s="139"/>
      <c r="I11" s="139"/>
      <c r="J11" s="139"/>
      <c r="K11" s="139"/>
      <c r="L11" s="128">
        <f ca="1">L8/(1+C15)^L9</f>
        <v>92846.284389491077</v>
      </c>
    </row>
    <row r="13" spans="1:28" x14ac:dyDescent="0.2">
      <c r="B13" s="235" t="s">
        <v>185</v>
      </c>
      <c r="C13" s="235"/>
    </row>
    <row r="14" spans="1:28" x14ac:dyDescent="0.2">
      <c r="B14" s="1" t="s">
        <v>186</v>
      </c>
      <c r="C14" s="142">
        <v>0.02</v>
      </c>
    </row>
    <row r="15" spans="1:28" x14ac:dyDescent="0.2">
      <c r="B15" s="1" t="s">
        <v>166</v>
      </c>
      <c r="C15" s="137">
        <f ca="1">IF(Overview!C28&gt;0,Overview!C28,WACC!C20)</f>
        <v>0.1033755722097264</v>
      </c>
    </row>
    <row r="18" spans="2:3" x14ac:dyDescent="0.2">
      <c r="B18" s="235" t="s">
        <v>187</v>
      </c>
      <c r="C18" s="235"/>
    </row>
    <row r="19" spans="2:3" x14ac:dyDescent="0.2">
      <c r="B19" s="1" t="s">
        <v>188</v>
      </c>
      <c r="C19" s="64">
        <f ca="1">SUM(H10:L10)</f>
        <v>37636.124979594177</v>
      </c>
    </row>
    <row r="20" spans="2:3" x14ac:dyDescent="0.2">
      <c r="B20" s="1" t="s">
        <v>184</v>
      </c>
      <c r="C20" s="64">
        <f ca="1">L11</f>
        <v>92846.284389491077</v>
      </c>
    </row>
    <row r="21" spans="2:3" x14ac:dyDescent="0.2">
      <c r="B21" s="16" t="s">
        <v>189</v>
      </c>
      <c r="C21" s="94">
        <f ca="1">C19+C20</f>
        <v>130482.40936908525</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129463.40936908525</v>
      </c>
    </row>
    <row r="25" spans="2:3" x14ac:dyDescent="0.2">
      <c r="B25" s="1" t="s">
        <v>69</v>
      </c>
      <c r="C25" s="88">
        <f>Statement!AC78</f>
        <v>398</v>
      </c>
    </row>
    <row r="26" spans="2:3" x14ac:dyDescent="0.2">
      <c r="B26" s="143" t="s">
        <v>193</v>
      </c>
      <c r="C26" s="144">
        <f ca="1">C24/C25</f>
        <v>325.28494816353077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6" zoomScale="192" zoomScaleNormal="100" workbookViewId="0">
      <selection activeCell="C40" sqref="C4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44"/>
      <c r="H2" s="245" t="s">
        <v>115</v>
      </c>
      <c r="I2" s="235"/>
      <c r="J2" s="235"/>
      <c r="K2" s="235"/>
      <c r="L2" s="235"/>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5" t="s">
        <v>206</v>
      </c>
      <c r="C37" s="235"/>
      <c r="N37" s="91"/>
    </row>
    <row r="38" spans="2:14" x14ac:dyDescent="0.2">
      <c r="B38" s="1" t="s">
        <v>207</v>
      </c>
      <c r="C38" s="64">
        <f>L7</f>
        <v>14376.880278018019</v>
      </c>
    </row>
    <row r="39" spans="2:14" x14ac:dyDescent="0.2">
      <c r="B39" s="1" t="s">
        <v>166</v>
      </c>
      <c r="C39" s="137">
        <f ca="1">IF(Overview!C28&gt;0,Overview!C28,WACC!C20)</f>
        <v>0.1033755722097264</v>
      </c>
    </row>
    <row r="40" spans="2:14" x14ac:dyDescent="0.2">
      <c r="B40" s="39" t="s">
        <v>208</v>
      </c>
      <c r="C40" s="105">
        <v>23</v>
      </c>
    </row>
    <row r="41" spans="2:14" x14ac:dyDescent="0.2">
      <c r="B41" s="1" t="s">
        <v>209</v>
      </c>
      <c r="C41" s="24">
        <f>L18</f>
        <v>378.13734504559994</v>
      </c>
    </row>
    <row r="42" spans="2:14" x14ac:dyDescent="0.2">
      <c r="B42" s="1" t="s">
        <v>204</v>
      </c>
      <c r="C42" s="24">
        <f>(C38*C40)</f>
        <v>330668.24639441445</v>
      </c>
    </row>
    <row r="43" spans="2:14" x14ac:dyDescent="0.2">
      <c r="B43" s="1" t="s">
        <v>359</v>
      </c>
      <c r="C43" s="24">
        <f ca="1">C42/(1+C39)^5-G30+G31</f>
        <v>202582.44716696892</v>
      </c>
    </row>
    <row r="44" spans="2:14" x14ac:dyDescent="0.2">
      <c r="B44" s="1" t="s">
        <v>69</v>
      </c>
      <c r="C44" s="88">
        <f>Statement!AC78</f>
        <v>398</v>
      </c>
    </row>
    <row r="45" spans="2:14" x14ac:dyDescent="0.2">
      <c r="B45" s="143" t="s">
        <v>210</v>
      </c>
      <c r="C45" s="144">
        <f ca="1">C43/C44</f>
        <v>509.0011235350978</v>
      </c>
    </row>
    <row r="47" spans="2:14" x14ac:dyDescent="0.2">
      <c r="B47" s="235" t="s">
        <v>211</v>
      </c>
      <c r="C47" s="235"/>
    </row>
    <row r="48" spans="2:14" x14ac:dyDescent="0.2">
      <c r="B48" s="1" t="s">
        <v>212</v>
      </c>
      <c r="C48" s="64">
        <f>L6</f>
        <v>39388.713090460325</v>
      </c>
    </row>
    <row r="49" spans="2:3" x14ac:dyDescent="0.2">
      <c r="B49" s="1" t="s">
        <v>358</v>
      </c>
      <c r="C49" s="137">
        <f>Overview!C29</f>
        <v>0.1</v>
      </c>
    </row>
    <row r="50" spans="2:3" x14ac:dyDescent="0.2">
      <c r="B50" s="39" t="s">
        <v>213</v>
      </c>
      <c r="C50" s="105">
        <v>5</v>
      </c>
    </row>
    <row r="51" spans="2:3" x14ac:dyDescent="0.2">
      <c r="B51" s="1" t="s">
        <v>209</v>
      </c>
      <c r="C51" s="24">
        <f>L18</f>
        <v>378.13734504559994</v>
      </c>
    </row>
    <row r="52" spans="2:3" x14ac:dyDescent="0.2">
      <c r="B52" s="1" t="s">
        <v>193</v>
      </c>
      <c r="C52" s="24">
        <f>(C48*C50)/C51</f>
        <v>520.82548320783292</v>
      </c>
    </row>
    <row r="53" spans="2:3" x14ac:dyDescent="0.2">
      <c r="B53" s="143" t="s">
        <v>210</v>
      </c>
      <c r="C53" s="144">
        <f>C52/(1+C49)^5</f>
        <v>323.39164811633128</v>
      </c>
    </row>
    <row r="55" spans="2:3" x14ac:dyDescent="0.2">
      <c r="B55" s="235" t="s">
        <v>328</v>
      </c>
      <c r="C55" s="235"/>
    </row>
    <row r="56" spans="2:3" x14ac:dyDescent="0.2">
      <c r="B56" s="1" t="s">
        <v>214</v>
      </c>
      <c r="C56" s="64">
        <f>L8</f>
        <v>12411.378160399478</v>
      </c>
    </row>
    <row r="57" spans="2:3" x14ac:dyDescent="0.2">
      <c r="B57" s="1" t="s">
        <v>166</v>
      </c>
      <c r="C57" s="137">
        <f ca="1">IF(Overview!C28&gt;0,Overview!C28,WACC!C20)</f>
        <v>0.1033755722097264</v>
      </c>
    </row>
    <row r="58" spans="2:3" x14ac:dyDescent="0.2">
      <c r="B58" s="39" t="s">
        <v>360</v>
      </c>
      <c r="C58" s="105">
        <v>20</v>
      </c>
    </row>
    <row r="59" spans="2:3" x14ac:dyDescent="0.2">
      <c r="B59" s="1" t="s">
        <v>204</v>
      </c>
      <c r="C59" s="24">
        <f>(C56*C58)</f>
        <v>248227.56320798956</v>
      </c>
    </row>
    <row r="60" spans="2:3" x14ac:dyDescent="0.2">
      <c r="B60" s="1" t="s">
        <v>359</v>
      </c>
      <c r="C60" s="24">
        <f ca="1">C59/(1+C57)^5-G30+G31</f>
        <v>152171.51153962364</v>
      </c>
    </row>
    <row r="61" spans="2:3" x14ac:dyDescent="0.2">
      <c r="B61" s="1" t="s">
        <v>69</v>
      </c>
      <c r="C61" s="88">
        <f>Statement!AC78</f>
        <v>398</v>
      </c>
    </row>
    <row r="62" spans="2:3" x14ac:dyDescent="0.2">
      <c r="B62" s="143" t="s">
        <v>210</v>
      </c>
      <c r="C62" s="144">
        <f ca="1">C60/C61</f>
        <v>382.34048125533576</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5" t="s">
        <v>216</v>
      </c>
      <c r="C4" s="235"/>
      <c r="N4" s="91"/>
    </row>
    <row r="5" spans="1:14" x14ac:dyDescent="0.2">
      <c r="B5" s="1" t="s">
        <v>217</v>
      </c>
      <c r="C5" s="135">
        <f ca="1">DCF!C26</f>
        <v>325.28494816353077</v>
      </c>
    </row>
    <row r="6" spans="1:14" x14ac:dyDescent="0.2">
      <c r="B6" s="1" t="s">
        <v>218</v>
      </c>
      <c r="C6" s="135">
        <f ca="1">Multiples!C45</f>
        <v>509.0011235350978</v>
      </c>
    </row>
    <row r="7" spans="1:14" x14ac:dyDescent="0.2">
      <c r="B7" s="1" t="s">
        <v>219</v>
      </c>
      <c r="C7" s="135">
        <f>Multiples!C53</f>
        <v>323.39164811633128</v>
      </c>
    </row>
    <row r="8" spans="1:14" x14ac:dyDescent="0.2">
      <c r="B8" s="1" t="s">
        <v>329</v>
      </c>
      <c r="C8" s="135">
        <f ca="1">Multiples!C62</f>
        <v>382.34048125533576</v>
      </c>
    </row>
    <row r="9" spans="1:14" x14ac:dyDescent="0.2">
      <c r="B9" s="143" t="s">
        <v>220</v>
      </c>
      <c r="C9" s="144">
        <f ca="1">AVERAGE(C5:C8)</f>
        <v>385.0045502675739</v>
      </c>
    </row>
    <row r="10" spans="1:14" x14ac:dyDescent="0.2">
      <c r="B10" s="1" t="s">
        <v>221</v>
      </c>
      <c r="C10" s="135">
        <f ca="1">Overview!C5</f>
        <v>205.02</v>
      </c>
    </row>
    <row r="11" spans="1:14" x14ac:dyDescent="0.2">
      <c r="B11" s="1" t="s">
        <v>222</v>
      </c>
      <c r="C11" s="156">
        <f ca="1">(C9-C10)/C10</f>
        <v>0.87788776835222848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78895.169093190168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9315.4893930154904</v>
      </c>
      <c r="I10" s="128">
        <f t="shared" ref="I10:L10" ca="1" si="1">I7/(1+$C$21)^I9</f>
        <v>7514.0194949031347</v>
      </c>
      <c r="J10" s="128">
        <f t="shared" ca="1" si="1"/>
        <v>6060.9256892200374</v>
      </c>
      <c r="K10" s="128">
        <f t="shared" ca="1" si="1"/>
        <v>4888.8374903958038</v>
      </c>
      <c r="L10" s="128">
        <f t="shared" ca="1" si="1"/>
        <v>3943.4128106882063</v>
      </c>
      <c r="N10" s="91"/>
    </row>
    <row r="11" spans="1:28" x14ac:dyDescent="0.2">
      <c r="B11" s="1" t="s">
        <v>184</v>
      </c>
      <c r="C11" s="139"/>
      <c r="D11" s="139"/>
      <c r="E11" s="139"/>
      <c r="F11" s="139"/>
      <c r="G11" s="140"/>
      <c r="H11" s="139"/>
      <c r="I11" s="139"/>
      <c r="J11" s="139"/>
      <c r="K11" s="139"/>
      <c r="L11" s="128">
        <f ca="1">L8/(1+C21)^L9</f>
        <v>48242.920081965458</v>
      </c>
    </row>
    <row r="13" spans="1:28" ht="17" thickBot="1" x14ac:dyDescent="0.25"/>
    <row r="14" spans="1:28" x14ac:dyDescent="0.2">
      <c r="B14" s="247" t="s">
        <v>224</v>
      </c>
      <c r="C14" s="248"/>
    </row>
    <row r="15" spans="1:28" x14ac:dyDescent="0.2">
      <c r="B15" s="157" t="s">
        <v>225</v>
      </c>
      <c r="C15" s="158">
        <f ca="1">Overview!C5</f>
        <v>205.02</v>
      </c>
    </row>
    <row r="16" spans="1:28" x14ac:dyDescent="0.2">
      <c r="B16" s="157" t="s">
        <v>226</v>
      </c>
      <c r="C16" s="158">
        <f ca="1">C36</f>
        <v>198.35830392007065</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0.1033755722097264</v>
      </c>
    </row>
    <row r="22" spans="2:9" x14ac:dyDescent="0.2">
      <c r="B22" s="161" t="s">
        <v>69</v>
      </c>
      <c r="C22" s="225">
        <f>Statement!AC75</f>
        <v>398</v>
      </c>
    </row>
    <row r="23" spans="2:9" x14ac:dyDescent="0.2">
      <c r="B23" s="161" t="s">
        <v>228</v>
      </c>
      <c r="C23" s="163">
        <f ca="1">C15*C22</f>
        <v>81597.960000000006</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82616.960000000006</v>
      </c>
    </row>
    <row r="27" spans="2:9" ht="17" thickBot="1" x14ac:dyDescent="0.25"/>
    <row r="28" spans="2:9" x14ac:dyDescent="0.2">
      <c r="B28" s="247" t="s">
        <v>187</v>
      </c>
      <c r="C28" s="248"/>
    </row>
    <row r="29" spans="2:9" x14ac:dyDescent="0.2">
      <c r="B29" s="161" t="s">
        <v>188</v>
      </c>
      <c r="C29" s="163">
        <f ca="1">SUM(H10:L10)</f>
        <v>31722.684878222673</v>
      </c>
    </row>
    <row r="30" spans="2:9" x14ac:dyDescent="0.2">
      <c r="B30" s="161" t="s">
        <v>184</v>
      </c>
      <c r="C30" s="163">
        <f ca="1">L11</f>
        <v>48242.920081965458</v>
      </c>
    </row>
    <row r="31" spans="2:9" x14ac:dyDescent="0.2">
      <c r="B31" s="165" t="s">
        <v>189</v>
      </c>
      <c r="C31" s="166">
        <f ca="1">C29+C30</f>
        <v>79965.604960188124</v>
      </c>
    </row>
    <row r="32" spans="2:9" x14ac:dyDescent="0.2">
      <c r="B32" s="161" t="s">
        <v>190</v>
      </c>
      <c r="C32" s="167">
        <f>C24</f>
        <v>5626</v>
      </c>
    </row>
    <row r="33" spans="2:12" x14ac:dyDescent="0.2">
      <c r="B33" s="161" t="s">
        <v>191</v>
      </c>
      <c r="C33" s="167">
        <f>C25</f>
        <v>6645</v>
      </c>
    </row>
    <row r="34" spans="2:12" x14ac:dyDescent="0.2">
      <c r="B34" s="165" t="s">
        <v>192</v>
      </c>
      <c r="C34" s="166">
        <f ca="1">C31+C32-C33</f>
        <v>78946.604960188124</v>
      </c>
    </row>
    <row r="35" spans="2:12" x14ac:dyDescent="0.2">
      <c r="B35" s="161" t="s">
        <v>69</v>
      </c>
      <c r="C35" s="163">
        <f>C22</f>
        <v>398</v>
      </c>
    </row>
    <row r="36" spans="2:12" ht="17" thickBot="1" x14ac:dyDescent="0.25">
      <c r="B36" s="168" t="s">
        <v>193</v>
      </c>
      <c r="C36" s="169">
        <f ca="1">C34/C35</f>
        <v>198.35830392007065</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2026-06-30T22:50:41Z</dcterms:modified>
</cp:coreProperties>
</file>