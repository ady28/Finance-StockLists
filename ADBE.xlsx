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E326E05-26D3-C94F-927F-BA461B9FA5A7}"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30" l="1"/>
  <c r="L40" i="30" s="1"/>
  <c r="K6" i="30"/>
  <c r="K40" i="30" s="1"/>
  <c r="J6" i="30"/>
  <c r="J40" i="30" s="1"/>
  <c r="I6" i="30"/>
  <c r="I40" i="30" s="1"/>
  <c r="H6" i="30"/>
  <c r="H40" i="30" s="1"/>
  <c r="G6" i="30"/>
  <c r="G40" i="30" s="1"/>
  <c r="F6" i="30"/>
  <c r="F40" i="30" s="1"/>
  <c r="E6" i="30"/>
  <c r="E40" i="30" s="1"/>
  <c r="D6" i="30"/>
  <c r="D40" i="30" s="1"/>
  <c r="C6" i="30"/>
  <c r="C40" i="30" s="1"/>
  <c r="C34" i="2"/>
  <c r="C35" i="2"/>
  <c r="C45" i="2"/>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C23" i="22"/>
  <c r="G30" i="28"/>
  <c r="F30" i="28"/>
  <c r="E30" i="28"/>
  <c r="D30" i="28"/>
  <c r="C30" i="28"/>
  <c r="C8" i="21"/>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1" l="1"/>
  <c r="C3" i="2"/>
  <c r="C9" i="21"/>
  <c r="C10" i="29"/>
  <c r="C15" i="30"/>
  <c r="C23" i="30" s="1"/>
  <c r="C26" i="30" s="1"/>
  <c r="C35" i="30"/>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Z14" i="6"/>
  <c r="Z13" i="6"/>
  <c r="J111" i="3"/>
  <c r="Y14" i="6"/>
  <c r="N63" i="3"/>
  <c r="T15" i="6"/>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Q13" i="3"/>
  <c r="N7" i="3"/>
  <c r="N23" i="3"/>
  <c r="N13" i="3"/>
  <c r="J108" i="3"/>
  <c r="J109" i="3" s="1"/>
  <c r="J106" i="3"/>
  <c r="J107" i="3" s="1"/>
  <c r="C13" i="2" l="1"/>
  <c r="C6" i="21"/>
  <c r="C7" i="21" s="1"/>
  <c r="C19" i="21"/>
  <c r="C15" i="2"/>
  <c r="C11" i="2"/>
  <c r="G46" i="30"/>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R13" i="3"/>
  <c r="C18" i="2" l="1"/>
  <c r="C17" i="21"/>
  <c r="C16" i="21"/>
  <c r="I41" i="30"/>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l="1"/>
  <c r="C56" i="28"/>
  <c r="C21" i="30"/>
  <c r="J10" i="30" s="1"/>
  <c r="I44" i="30"/>
  <c r="I48" i="30" s="1"/>
  <c r="I46" i="30"/>
  <c r="J41"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K9" i="6"/>
  <c r="L8" i="6"/>
  <c r="L9" i="6" s="1"/>
  <c r="G3" i="23"/>
  <c r="H3" i="1"/>
  <c r="AE7" i="6"/>
  <c r="AE6" i="6"/>
  <c r="C48" i="28" l="1"/>
  <c r="C15" i="22"/>
  <c r="C39" i="28"/>
  <c r="I10" i="30"/>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C31" i="30" l="1"/>
  <c r="C34" i="30" s="1"/>
  <c r="C36" i="30" s="1"/>
  <c r="C16" i="30" s="1"/>
  <c r="K47" i="30"/>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<sst xmlns="http://schemas.openxmlformats.org/spreadsheetml/2006/main" count="710" uniqueCount="351">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</sst>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45.95</v>
          </cell>
        </row>
        <row r="18">
          <cell r="C18">
            <v>247.6</v>
          </cell>
          <cell r="F18">
            <v>1.4156</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zoomScale="150" workbookViewId="0">
      <selection activeCell="C8" sqref="C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[1]Sheet1!$C$18</f>
        <v>247.6</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$C$3/'Statement Q'!$N$24</f>
        <v>14.435890677025528</v>
      </c>
    </row>
    <row r="12" spans="2:5" x14ac:dyDescent="0.2">
      <c r="B12" s="1" t="s">
        <v>181</v>
      </c>
      <c r="C12" s="92">
        <f>$C$3/Statements!W24</f>
        <v>14.435890677025528</v>
      </c>
    </row>
    <row r="13" spans="2:5" x14ac:dyDescent="0.2">
      <c r="B13" s="1" t="s">
        <v>108</v>
      </c>
      <c r="C13" s="97">
        <f>$C$3/('Statement Q'!$N$5/'Statement Q'!$N$22)</f>
        <v>4.25526111315585</v>
      </c>
    </row>
    <row r="15" spans="2:5" x14ac:dyDescent="0.2">
      <c r="B15" s="1" t="s">
        <v>140</v>
      </c>
      <c r="C15" s="20">
        <f>C3*'Statement Q'!N116</f>
        <v>100030.39999999999</v>
      </c>
    </row>
    <row r="16" spans="2:5" x14ac:dyDescent="0.2">
      <c r="B16" s="1" t="s">
        <v>141</v>
      </c>
      <c r="C16" s="20">
        <f>Statements!W27</f>
        <v>6890</v>
      </c>
    </row>
    <row r="17" spans="1:4" x14ac:dyDescent="0.2">
      <c r="B17" s="1" t="s">
        <v>137</v>
      </c>
      <c r="C17" s="20">
        <f>Statements!W41+Statements!W46</f>
        <v>6228</v>
      </c>
    </row>
    <row r="18" spans="1:4" x14ac:dyDescent="0.2">
      <c r="B18" s="1" t="s">
        <v>142</v>
      </c>
      <c r="C18" s="20">
        <f>C15+C17-C16</f>
        <v>99368.4</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v>1</v>
      </c>
    </row>
    <row r="34" spans="2:4" x14ac:dyDescent="0.2">
      <c r="B34" s="1" t="s">
        <v>197</v>
      </c>
      <c r="C34" s="20">
        <f>'Statement Q'!N116</f>
        <v>404</v>
      </c>
    </row>
    <row r="35" spans="2:4" x14ac:dyDescent="0.2">
      <c r="B35" s="1" t="s">
        <v>198</v>
      </c>
      <c r="C35" s="158">
        <f>C33/C34</f>
        <v>2.4752475247524753E-3</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4" activePane="bottomRight" state="frozen"/>
      <selection pane="topRight" activeCell="C1" sqref="C1"/>
      <selection pane="bottomLeft" activeCell="A4" sqref="A4"/>
      <selection pane="bottomRight" activeCell="B2" sqref="B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I114"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2" t="s">
        <v>75</v>
      </c>
      <c r="Q4" s="213"/>
      <c r="R4" s="214"/>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zoomScale="163" zoomScaleNormal="75" workbookViewId="0">
      <selection activeCell="J15" sqref="J15"/>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5" t="s">
        <v>102</v>
      </c>
      <c r="D2" s="215"/>
      <c r="E2" s="215"/>
      <c r="F2" s="215"/>
      <c r="G2" s="218"/>
      <c r="H2" s="219" t="s">
        <v>103</v>
      </c>
      <c r="I2" s="215"/>
      <c r="J2" s="215"/>
      <c r="K2" s="215"/>
      <c r="L2" s="215"/>
      <c r="O2" s="89"/>
      <c r="S2" s="215" t="s">
        <v>102</v>
      </c>
      <c r="T2" s="215"/>
      <c r="U2" s="215"/>
      <c r="V2" s="215"/>
      <c r="W2" s="215"/>
      <c r="X2" s="215"/>
      <c r="Y2" s="215"/>
      <c r="Z2" s="215"/>
      <c r="AA2" s="215" t="s">
        <v>103</v>
      </c>
      <c r="AB2" s="215"/>
      <c r="AC2" s="215"/>
      <c r="AE2" s="116" t="s">
        <v>74</v>
      </c>
    </row>
    <row r="3" spans="1:31" ht="10" customHeight="1" x14ac:dyDescent="0.2">
      <c r="O3" s="89"/>
    </row>
    <row r="4" spans="1:31" ht="16" customHeight="1" x14ac:dyDescent="0.2">
      <c r="A4" s="104"/>
      <c r="B4" s="91"/>
      <c r="C4" s="220" t="s">
        <v>111</v>
      </c>
      <c r="D4" s="220"/>
      <c r="E4" s="220"/>
      <c r="F4" s="220"/>
      <c r="G4" s="220"/>
      <c r="H4" s="220"/>
      <c r="I4" s="220"/>
      <c r="J4" s="220"/>
      <c r="K4" s="220"/>
      <c r="L4" s="220"/>
      <c r="O4" s="89"/>
      <c r="S4" s="216" t="s">
        <v>111</v>
      </c>
      <c r="T4" s="217"/>
      <c r="U4" s="217"/>
      <c r="V4" s="217"/>
      <c r="W4" s="217"/>
      <c r="X4" s="217"/>
      <c r="Y4" s="217"/>
      <c r="Z4" s="217"/>
      <c r="AA4" s="217"/>
      <c r="AB4" s="217"/>
      <c r="AC4" s="217"/>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25263.112000000001</v>
      </c>
      <c r="I6" s="103">
        <f t="shared" si="1"/>
        <v>28042.054320000003</v>
      </c>
      <c r="J6" s="103">
        <f t="shared" si="1"/>
        <v>31126.680295200007</v>
      </c>
      <c r="K6" s="103">
        <f t="shared" si="1"/>
        <v>34363.855045900811</v>
      </c>
      <c r="L6" s="103">
        <f t="shared" si="1"/>
        <v>37800.240550490897</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269.75</v>
      </c>
      <c r="I7" s="103">
        <f t="shared" si="1"/>
        <v>226.59</v>
      </c>
      <c r="J7" s="103">
        <f t="shared" si="1"/>
        <v>192.60149999999999</v>
      </c>
      <c r="K7" s="103">
        <f t="shared" si="1"/>
        <v>163.71127499999997</v>
      </c>
      <c r="L7" s="103">
        <f t="shared" si="1"/>
        <v>140.79169649999997</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480.6</v>
      </c>
      <c r="I8" s="103">
        <f t="shared" si="1"/>
        <v>427.73400000000004</v>
      </c>
      <c r="J8" s="103">
        <f t="shared" si="1"/>
        <v>384.96060000000006</v>
      </c>
      <c r="K8" s="103">
        <f t="shared" si="1"/>
        <v>346.46454000000006</v>
      </c>
      <c r="L8" s="103">
        <f t="shared" si="1"/>
        <v>311.81808600000005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26013.462</v>
      </c>
      <c r="I9" s="108">
        <f>SUM(I6:I8)</f>
        <v>28696.378320000003</v>
      </c>
      <c r="J9" s="108">
        <f>SUM(J6:J8)</f>
        <v>31704.242395200006</v>
      </c>
      <c r="K9" s="108">
        <f>SUM(K6:K8)</f>
        <v>34874.030860900813</v>
      </c>
      <c r="L9" s="108">
        <f>SUM(L6:L8)</f>
        <v>38252.850332990893</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20" t="s">
        <v>113</v>
      </c>
      <c r="D11" s="220"/>
      <c r="E11" s="220"/>
      <c r="F11" s="220"/>
      <c r="G11" s="220"/>
      <c r="H11" s="220"/>
      <c r="I11" s="220"/>
      <c r="J11" s="220"/>
      <c r="K11" s="220"/>
      <c r="L11" s="220"/>
      <c r="O11" s="89"/>
      <c r="Q11" s="90"/>
      <c r="S11" s="216" t="s">
        <v>113</v>
      </c>
      <c r="T11" s="217"/>
      <c r="U11" s="217"/>
      <c r="V11" s="217"/>
      <c r="W11" s="217"/>
      <c r="X11" s="217"/>
      <c r="Y11" s="217"/>
      <c r="Z11" s="217"/>
      <c r="AA11" s="217"/>
      <c r="AB11" s="217"/>
      <c r="AC11" s="217"/>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0.10299999999999999</v>
      </c>
      <c r="I13" s="112">
        <v>0.11</v>
      </c>
      <c r="J13" s="112">
        <v>0.11</v>
      </c>
      <c r="K13" s="112">
        <v>0.104</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-0.17</v>
      </c>
      <c r="I14" s="112">
        <v>-0.16</v>
      </c>
      <c r="J14" s="112">
        <v>-0.15</v>
      </c>
      <c r="K14" s="112">
        <v>-0.15</v>
      </c>
      <c r="L14" s="112">
        <v>-0.14000000000000001</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-0.11</v>
      </c>
      <c r="I15" s="112">
        <v>-0.11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9.4428120661365522E-2</v>
      </c>
      <c r="I16" s="177">
        <f t="shared" si="9"/>
        <v>0.10313568874454337</v>
      </c>
      <c r="J16" s="177">
        <f t="shared" si="9"/>
        <v>0.10481685325090884</v>
      </c>
      <c r="K16" s="177">
        <f t="shared" si="9"/>
        <v>9.9979946727278168E-2</v>
      </c>
      <c r="L16" s="177">
        <f t="shared" si="9"/>
        <v>9.6886404831345585E-2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5" t="s">
        <v>102</v>
      </c>
      <c r="D2" s="215"/>
      <c r="E2" s="215"/>
      <c r="F2" s="215"/>
      <c r="G2" s="218"/>
      <c r="H2" s="219" t="s">
        <v>103</v>
      </c>
      <c r="I2" s="215"/>
      <c r="J2" s="215"/>
      <c r="K2" s="215"/>
      <c r="L2" s="215"/>
      <c r="P2" s="215" t="s">
        <v>102</v>
      </c>
      <c r="Q2" s="215"/>
      <c r="R2" s="215"/>
      <c r="S2" s="215"/>
      <c r="T2" s="215"/>
      <c r="U2" s="215"/>
      <c r="V2" s="215"/>
      <c r="W2" s="215"/>
      <c r="X2" s="215" t="s">
        <v>103</v>
      </c>
      <c r="Y2" s="215"/>
      <c r="Z2" s="215"/>
      <c r="AB2" s="116" t="s">
        <v>74</v>
      </c>
    </row>
    <row r="3" spans="1:28" ht="10" customHeight="1" x14ac:dyDescent="0.2"/>
    <row r="4" spans="1:28" ht="16" customHeight="1" x14ac:dyDescent="0.2">
      <c r="A4" s="104"/>
      <c r="B4" s="91"/>
      <c r="C4" s="220" t="s">
        <v>111</v>
      </c>
      <c r="D4" s="220"/>
      <c r="E4" s="220"/>
      <c r="F4" s="220"/>
      <c r="G4" s="220"/>
      <c r="H4" s="220"/>
      <c r="I4" s="220"/>
      <c r="J4" s="220"/>
      <c r="K4" s="220"/>
      <c r="L4" s="220"/>
      <c r="P4" s="217" t="s">
        <v>111</v>
      </c>
      <c r="Q4" s="217"/>
      <c r="R4" s="217"/>
      <c r="S4" s="217"/>
      <c r="T4" s="217"/>
      <c r="U4" s="217"/>
      <c r="V4" s="217"/>
      <c r="W4" s="217"/>
      <c r="X4" s="217"/>
      <c r="Y4" s="217"/>
      <c r="Z4" s="217"/>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26013.462</v>
      </c>
      <c r="I6" s="106">
        <f>Revenue!I9</f>
        <v>28696.378320000003</v>
      </c>
      <c r="J6" s="106">
        <f>Revenue!J9</f>
        <v>31704.242395200006</v>
      </c>
      <c r="K6" s="106">
        <f>Revenue!K9</f>
        <v>34874.030860900813</v>
      </c>
      <c r="L6" s="106">
        <f>Revenue!L9</f>
        <v>38252.850332990893</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20" t="s">
        <v>119</v>
      </c>
      <c r="D9" s="220"/>
      <c r="E9" s="220"/>
      <c r="F9" s="220"/>
      <c r="G9" s="220"/>
      <c r="H9" s="220"/>
      <c r="I9" s="220"/>
      <c r="J9" s="220"/>
      <c r="K9" s="220"/>
      <c r="L9" s="220"/>
      <c r="N9" s="90"/>
      <c r="P9" s="217" t="s">
        <v>124</v>
      </c>
      <c r="Q9" s="217"/>
      <c r="R9" s="217"/>
      <c r="S9" s="217"/>
      <c r="T9" s="217"/>
      <c r="U9" s="217"/>
      <c r="V9" s="217"/>
      <c r="W9" s="217"/>
      <c r="X9" s="217"/>
      <c r="Y9" s="217"/>
      <c r="Z9" s="217"/>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2731.4135099999999</v>
      </c>
      <c r="I11" s="21">
        <f t="shared" si="3"/>
        <v>2955.72696696</v>
      </c>
      <c r="J11" s="21">
        <f t="shared" si="3"/>
        <v>3202.1284819152011</v>
      </c>
      <c r="K11" s="21">
        <f t="shared" si="3"/>
        <v>3487.4030860900816</v>
      </c>
      <c r="L11" s="21">
        <f t="shared" si="3"/>
        <v>3825.2850332990893</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4942.5577800000001</v>
      </c>
      <c r="I12" s="20">
        <f t="shared" si="3"/>
        <v>5481.0082591200007</v>
      </c>
      <c r="J12" s="20">
        <f t="shared" si="3"/>
        <v>6118.9187822736012</v>
      </c>
      <c r="K12" s="20">
        <f t="shared" si="3"/>
        <v>6800.4360178756588</v>
      </c>
      <c r="L12" s="20">
        <f t="shared" si="3"/>
        <v>7459.3058149332246</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7023.6347400000004</v>
      </c>
      <c r="I13" s="20">
        <f t="shared" si="3"/>
        <v>7748.0221464000015</v>
      </c>
      <c r="J13" s="20">
        <f t="shared" si="3"/>
        <v>8560.1454467040021</v>
      </c>
      <c r="K13" s="20">
        <f t="shared" si="3"/>
        <v>9415.9883324432194</v>
      </c>
      <c r="L13" s="20">
        <f t="shared" si="3"/>
        <v>10328.269589907542</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1820.9423400000001</v>
      </c>
      <c r="I14" s="20">
        <f t="shared" ref="I14:L14" si="5">I24*I$6</f>
        <v>2008.7464824000003</v>
      </c>
      <c r="J14" s="20">
        <f t="shared" si="5"/>
        <v>2219.2969676640005</v>
      </c>
      <c r="K14" s="20">
        <f t="shared" si="5"/>
        <v>2441.1821602630571</v>
      </c>
      <c r="L14" s="20">
        <f t="shared" si="5"/>
        <v>2677.6995233093626</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13948.13486</v>
      </c>
      <c r="I16" s="21">
        <f t="shared" ref="I16:L16" si="6">SUM(I12:I15)</f>
        <v>15356.776887920003</v>
      </c>
      <c r="J16" s="21">
        <f t="shared" si="6"/>
        <v>16971.361196641607</v>
      </c>
      <c r="K16" s="21">
        <f t="shared" si="6"/>
        <v>18726.606510581936</v>
      </c>
      <c r="L16" s="21">
        <f t="shared" si="6"/>
        <v>20530.274928150131</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20" t="s">
        <v>122</v>
      </c>
      <c r="D19" s="220"/>
      <c r="E19" s="220"/>
      <c r="F19" s="220"/>
      <c r="G19" s="220"/>
      <c r="H19" s="220"/>
      <c r="I19" s="220"/>
      <c r="J19" s="220"/>
      <c r="K19" s="220"/>
      <c r="L19" s="220"/>
      <c r="P19" s="217" t="s">
        <v>122</v>
      </c>
      <c r="Q19" s="217"/>
      <c r="R19" s="217"/>
      <c r="S19" s="217"/>
      <c r="T19" s="217"/>
      <c r="U19" s="217"/>
      <c r="V19" s="217"/>
      <c r="W19" s="217"/>
      <c r="X19" s="217"/>
      <c r="Y19" s="217"/>
      <c r="Z19" s="217"/>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4.5745545133515867E-3</v>
      </c>
      <c r="J25" s="110">
        <f t="shared" si="17"/>
        <v>2.543875020950727E-3</v>
      </c>
      <c r="K25" s="110">
        <f t="shared" si="17"/>
        <v>2.1763648895911335E-3</v>
      </c>
      <c r="L25" s="110">
        <f t="shared" si="17"/>
        <v>1.863851077590089E-3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111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26013.462</v>
      </c>
      <c r="I7" s="106">
        <f>Revenue!I9</f>
        <v>28696.378320000003</v>
      </c>
      <c r="J7" s="106">
        <f>Revenue!J9</f>
        <v>31704.242395200006</v>
      </c>
      <c r="K7" s="106">
        <f>Revenue!K9</f>
        <v>34874.030860900813</v>
      </c>
      <c r="L7" s="106">
        <f>Revenue!L9</f>
        <v>38252.850332990893</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2731.4135099999999</v>
      </c>
      <c r="I8" s="131">
        <f>'COGS &amp; OpEx'!I11</f>
        <v>2955.72696696</v>
      </c>
      <c r="J8" s="131">
        <f>'COGS &amp; OpEx'!J11</f>
        <v>3202.1284819152011</v>
      </c>
      <c r="K8" s="131">
        <f>'COGS &amp; OpEx'!K11</f>
        <v>3487.4030860900816</v>
      </c>
      <c r="L8" s="131">
        <f>'COGS &amp; OpEx'!L11</f>
        <v>3825.2850332990893</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20" t="s">
        <v>126</v>
      </c>
      <c r="D11" s="220"/>
      <c r="E11" s="220"/>
      <c r="F11" s="220"/>
      <c r="G11" s="220"/>
      <c r="H11" s="220"/>
      <c r="I11" s="220"/>
      <c r="J11" s="220"/>
      <c r="K11" s="220"/>
      <c r="L11" s="220"/>
      <c r="N11" s="90"/>
      <c r="P11" s="221"/>
      <c r="Q11" s="221"/>
      <c r="R11" s="221"/>
      <c r="S11" s="221"/>
      <c r="T11" s="221"/>
      <c r="U11" s="221"/>
      <c r="V11" s="221"/>
      <c r="W11" s="221"/>
      <c r="X11" s="221"/>
      <c r="Y11" s="221"/>
      <c r="Z11" s="221"/>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2708.2508383561644</v>
      </c>
      <c r="I13" s="33">
        <f>I20*I7/365</f>
        <v>2987.5681538630142</v>
      </c>
      <c r="J13" s="33">
        <f>J20*J7/365</f>
        <v>3300.7156466235624</v>
      </c>
      <c r="K13" s="33">
        <f>K20*K7/365</f>
        <v>3630.7210211348788</v>
      </c>
      <c r="L13" s="33">
        <f>L20*L7/365</f>
        <v>3982.4885278182301</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426.54950704109586</v>
      </c>
      <c r="I15" s="20">
        <f>I22*I8/365</f>
        <v>461.57927977183567</v>
      </c>
      <c r="J15" s="20">
        <f>J22*J8/365</f>
        <v>500.05842046346976</v>
      </c>
      <c r="K15" s="20">
        <f>K22*K8/365</f>
        <v>544.60815317023196</v>
      </c>
      <c r="L15" s="20">
        <f>L22*L8/365</f>
        <v>597.37327917273444</v>
      </c>
      <c r="N15" s="90"/>
      <c r="P15" s="125"/>
      <c r="Q15" s="125"/>
      <c r="R15" s="125"/>
      <c r="S15" s="125"/>
      <c r="T15" s="125"/>
      <c r="U15" s="125"/>
      <c r="V15" s="125"/>
      <c r="W15" s="125"/>
      <c r="X15" s="33"/>
      <c r="Y15" s="20"/>
      <c r="Z15" s="20"/>
      <c r="AB15" s="20"/>
    </row>
    <row r="16" spans="1:28" x14ac:dyDescent="0.2">
      <c r="D16" s="20"/>
    </row>
    <row r="18" spans="2:12" x14ac:dyDescent="0.2">
      <c r="C18" s="220" t="s">
        <v>133</v>
      </c>
      <c r="D18" s="220"/>
      <c r="E18" s="220"/>
      <c r="F18" s="220"/>
      <c r="G18" s="220"/>
      <c r="H18" s="220"/>
      <c r="I18" s="220"/>
      <c r="J18" s="220"/>
      <c r="K18" s="220"/>
      <c r="L18" s="220"/>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21"/>
      <c r="C25" s="221"/>
    </row>
    <row r="26" spans="2:12" x14ac:dyDescent="0.2">
      <c r="B26" s="121"/>
      <c r="C26" s="220" t="s">
        <v>237</v>
      </c>
      <c r="D26" s="220"/>
      <c r="E26" s="220"/>
      <c r="F26" s="220"/>
      <c r="G26" s="220"/>
      <c r="H26" s="220"/>
      <c r="I26" s="220"/>
      <c r="J26" s="220"/>
      <c r="K26" s="220"/>
      <c r="L26" s="220"/>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-364.25083835616442</v>
      </c>
      <c r="I28" s="33">
        <f t="shared" ref="I28:L28" si="5">-(I13-H13)</f>
        <v>-279.31731550684981</v>
      </c>
      <c r="J28" s="33">
        <f t="shared" si="5"/>
        <v>-313.14749276054818</v>
      </c>
      <c r="K28" s="33">
        <f t="shared" si="5"/>
        <v>-330.0053745113164</v>
      </c>
      <c r="L28" s="33">
        <f t="shared" si="5"/>
        <v>-351.76750668335126</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9.5495070410958647</v>
      </c>
      <c r="I30" s="20">
        <f t="shared" ref="I30:L30" si="7">I15-H15</f>
        <v>35.029772730739808</v>
      </c>
      <c r="J30" s="20">
        <f t="shared" si="7"/>
        <v>38.479140691634086</v>
      </c>
      <c r="K30" s="20">
        <f t="shared" si="7"/>
        <v>44.5497327067622</v>
      </c>
      <c r="L30" s="20">
        <f t="shared" si="7"/>
        <v>52.765126002502484</v>
      </c>
    </row>
    <row r="31" spans="2:12" x14ac:dyDescent="0.2">
      <c r="B31" s="121"/>
      <c r="C31" s="121"/>
    </row>
    <row r="32" spans="2:12" x14ac:dyDescent="0.2">
      <c r="B32" s="121"/>
      <c r="C32" s="121"/>
    </row>
    <row r="33" spans="2:12" x14ac:dyDescent="0.2">
      <c r="B33" s="121"/>
      <c r="C33" s="220" t="s">
        <v>240</v>
      </c>
      <c r="D33" s="220"/>
      <c r="E33" s="220"/>
      <c r="F33" s="220"/>
      <c r="G33" s="220"/>
      <c r="H33" s="220"/>
      <c r="I33" s="220"/>
      <c r="J33" s="220"/>
      <c r="K33" s="220"/>
      <c r="L33" s="220"/>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165.56790868493141</v>
      </c>
      <c r="I35" s="33">
        <f t="shared" ref="I35:L35" si="9">I36+I28+I29+I30</f>
        <v>329.64002362389004</v>
      </c>
      <c r="J35" s="33">
        <f t="shared" si="9"/>
        <v>359.4164958350861</v>
      </c>
      <c r="K35" s="33">
        <f t="shared" si="9"/>
        <v>412.02497541346207</v>
      </c>
      <c r="L35" s="33">
        <f t="shared" si="9"/>
        <v>466.05462597896906</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520.26923999999997</v>
      </c>
      <c r="I36" s="20">
        <f>I7*I37</f>
        <v>573.92756640000005</v>
      </c>
      <c r="J36" s="20">
        <f>J7*J37</f>
        <v>634.08484790400018</v>
      </c>
      <c r="K36" s="20">
        <f>K7*K37</f>
        <v>697.48061721801628</v>
      </c>
      <c r="L36" s="20">
        <f>L7*L37</f>
        <v>765.05700665981783</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20" t="s">
        <v>243</v>
      </c>
      <c r="D40" s="220"/>
      <c r="E40" s="220"/>
      <c r="F40" s="220"/>
      <c r="G40" s="220"/>
      <c r="H40" s="220"/>
      <c r="I40" s="220"/>
      <c r="J40" s="220"/>
      <c r="K40" s="220"/>
      <c r="L40" s="220"/>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780.40386000000001</v>
      </c>
      <c r="I42" s="33">
        <f>I7*I43</f>
        <v>860.89134960000013</v>
      </c>
      <c r="J42" s="33">
        <f>J7*J43</f>
        <v>951.12727185600011</v>
      </c>
      <c r="K42" s="33">
        <f>K7*K43</f>
        <v>1046.2209258270243</v>
      </c>
      <c r="L42" s="33">
        <f>L7*L43</f>
        <v>1147.5855099897267</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390.20193</v>
      </c>
      <c r="I45" s="33">
        <f>I7*I46</f>
        <v>430.44567480000006</v>
      </c>
      <c r="J45" s="33">
        <f>J7*J46</f>
        <v>475.56363592800005</v>
      </c>
      <c r="K45" s="33">
        <f>K7*K46</f>
        <v>523.11046291351215</v>
      </c>
      <c r="L45" s="33">
        <f>L7*L46</f>
        <v>573.79275499486334</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B19" zoomScale="150" workbookViewId="0">
      <selection activeCell="H26" sqref="H26"/>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5" t="s">
        <v>102</v>
      </c>
      <c r="D2" s="215"/>
      <c r="E2" s="215"/>
      <c r="F2" s="215"/>
      <c r="G2" s="218"/>
      <c r="H2" s="219" t="s">
        <v>103</v>
      </c>
      <c r="I2" s="215"/>
      <c r="J2" s="215"/>
      <c r="K2" s="215"/>
      <c r="L2" s="215"/>
      <c r="S2" s="221"/>
      <c r="T2" s="221"/>
      <c r="U2" s="221"/>
      <c r="V2" s="221"/>
      <c r="W2" s="221"/>
      <c r="X2" s="221"/>
      <c r="Y2" s="221"/>
      <c r="Z2" s="221"/>
      <c r="AA2" s="221"/>
      <c r="AB2" s="221"/>
      <c r="AC2" s="221"/>
      <c r="AE2" s="121"/>
    </row>
    <row r="3" spans="1:31" ht="10" customHeight="1" x14ac:dyDescent="0.2"/>
    <row r="4" spans="1:31" ht="16" customHeight="1" x14ac:dyDescent="0.2">
      <c r="A4" s="104"/>
      <c r="B4" s="91"/>
      <c r="C4" s="220" t="s">
        <v>5</v>
      </c>
      <c r="D4" s="220"/>
      <c r="E4" s="220"/>
      <c r="F4" s="220"/>
      <c r="G4" s="220"/>
      <c r="H4" s="220"/>
      <c r="I4" s="220"/>
      <c r="J4" s="220"/>
      <c r="K4" s="220"/>
      <c r="L4" s="220"/>
      <c r="S4" s="221"/>
      <c r="T4" s="221"/>
      <c r="U4" s="221"/>
      <c r="V4" s="221"/>
      <c r="W4" s="221"/>
      <c r="X4" s="221"/>
      <c r="Y4" s="221"/>
      <c r="Z4" s="221"/>
      <c r="AA4" s="221"/>
      <c r="AB4" s="221"/>
      <c r="AC4" s="221"/>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2731.4135099999999</v>
      </c>
      <c r="I7" s="131">
        <f>'COGS &amp; OpEx'!I11</f>
        <v>2955.72696696</v>
      </c>
      <c r="J7" s="131">
        <f>'COGS &amp; OpEx'!J11</f>
        <v>3202.1284819152011</v>
      </c>
      <c r="K7" s="131">
        <f>'COGS &amp; OpEx'!K11</f>
        <v>3487.4030860900816</v>
      </c>
      <c r="L7" s="131">
        <f>'COGS &amp; OpEx'!L11</f>
        <v>3825.2850332990893</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23282.048490000001</v>
      </c>
      <c r="I8" s="108">
        <f t="shared" si="0"/>
        <v>25740.651353040004</v>
      </c>
      <c r="J8" s="108">
        <f t="shared" si="0"/>
        <v>28502.113913284804</v>
      </c>
      <c r="K8" s="108">
        <f t="shared" si="0"/>
        <v>31386.627774810731</v>
      </c>
      <c r="L8" s="108">
        <f t="shared" si="0"/>
        <v>34427.565299691807</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4942.5577800000001</v>
      </c>
      <c r="I9" s="131">
        <f>'COGS &amp; OpEx'!I12</f>
        <v>5481.0082591200007</v>
      </c>
      <c r="J9" s="131">
        <f>'COGS &amp; OpEx'!J12</f>
        <v>6118.9187822736012</v>
      </c>
      <c r="K9" s="131">
        <f>'COGS &amp; OpEx'!K12</f>
        <v>6800.4360178756588</v>
      </c>
      <c r="L9" s="131">
        <f>'COGS &amp; OpEx'!L12</f>
        <v>7459.3058149332246</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7023.6347400000004</v>
      </c>
      <c r="I10" s="131">
        <f>'COGS &amp; OpEx'!I13</f>
        <v>7748.0221464000015</v>
      </c>
      <c r="J10" s="131">
        <f>'COGS &amp; OpEx'!J13</f>
        <v>8560.1454467040021</v>
      </c>
      <c r="K10" s="131">
        <f>'COGS &amp; OpEx'!K13</f>
        <v>9415.9883324432194</v>
      </c>
      <c r="L10" s="131">
        <f>'COGS &amp; OpEx'!L13</f>
        <v>10328.269589907542</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1820.9423400000001</v>
      </c>
      <c r="I11" s="131">
        <f>'COGS &amp; OpEx'!I14</f>
        <v>2008.7464824000003</v>
      </c>
      <c r="J11" s="131">
        <f>'COGS &amp; OpEx'!J14</f>
        <v>2219.2969676640005</v>
      </c>
      <c r="K11" s="131">
        <f>'COGS &amp; OpEx'!K14</f>
        <v>2441.1821602630571</v>
      </c>
      <c r="L11" s="131">
        <f>'COGS &amp; OpEx'!L14</f>
        <v>2677.6995233093626</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13948.13486</v>
      </c>
      <c r="I13" s="131">
        <f>'COGS &amp; OpEx'!I16</f>
        <v>15356.776887920003</v>
      </c>
      <c r="J13" s="131">
        <f>'COGS &amp; OpEx'!J16</f>
        <v>16971.361196641607</v>
      </c>
      <c r="K13" s="131">
        <f>'COGS &amp; OpEx'!K16</f>
        <v>18726.606510581936</v>
      </c>
      <c r="L13" s="131">
        <f>'COGS &amp; OpEx'!L16</f>
        <v>20530.274928150131</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9333.9136300000009</v>
      </c>
      <c r="I14" s="108">
        <f t="shared" si="1"/>
        <v>10383.874465120001</v>
      </c>
      <c r="J14" s="108">
        <f t="shared" si="1"/>
        <v>11530.752716643197</v>
      </c>
      <c r="K14" s="108">
        <f t="shared" si="1"/>
        <v>12660.021264228795</v>
      </c>
      <c r="L14" s="108">
        <f t="shared" si="1"/>
        <v>13897.290371541676</v>
      </c>
      <c r="N14" s="114"/>
      <c r="Q14" s="114"/>
      <c r="S14" s="102"/>
      <c r="T14" s="102"/>
      <c r="U14" s="102"/>
      <c r="V14" s="102"/>
      <c r="W14" s="102"/>
      <c r="X14" s="102"/>
      <c r="Y14" s="102"/>
      <c r="Z14" s="102"/>
      <c r="AA14" s="103"/>
      <c r="AB14" s="103"/>
      <c r="AC14" s="103"/>
      <c r="AE14" s="103"/>
    </row>
    <row r="17" spans="2:14" x14ac:dyDescent="0.2">
      <c r="C17" s="220" t="s">
        <v>134</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20" t="s">
        <v>249</v>
      </c>
      <c r="D22" s="220"/>
      <c r="E22" s="220"/>
      <c r="F22" s="220"/>
      <c r="G22" s="220"/>
      <c r="H22" s="220"/>
      <c r="I22" s="220"/>
      <c r="J22" s="220"/>
      <c r="K22" s="220"/>
      <c r="L22" s="220"/>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780.40386000000001</v>
      </c>
      <c r="I24" s="102">
        <f>'WC &amp; Investments'!I42</f>
        <v>860.89134960000013</v>
      </c>
      <c r="J24" s="102">
        <f>'WC &amp; Investments'!J42</f>
        <v>951.12727185600011</v>
      </c>
      <c r="K24" s="102">
        <f>'WC &amp; Investments'!K42</f>
        <v>1046.2209258270243</v>
      </c>
      <c r="L24" s="102">
        <f>'WC &amp; Investments'!L42</f>
        <v>1147.5855099897267</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390.20193</v>
      </c>
      <c r="I25" s="102">
        <f>'WC &amp; Investments'!I45</f>
        <v>430.44567480000006</v>
      </c>
      <c r="J25" s="102">
        <f>'WC &amp; Investments'!J45</f>
        <v>475.56363592800005</v>
      </c>
      <c r="K25" s="102">
        <f>'WC &amp; Investments'!K45</f>
        <v>523.11046291351215</v>
      </c>
      <c r="L25" s="102">
        <f>'WC &amp; Investments'!L45</f>
        <v>573.79275499486334</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165.56790868493141</v>
      </c>
      <c r="I26" s="102">
        <f>'WC &amp; Investments'!I35</f>
        <v>329.64002362389004</v>
      </c>
      <c r="J26" s="102">
        <f>'WC &amp; Investments'!J35</f>
        <v>359.4164958350861</v>
      </c>
      <c r="K26" s="102">
        <f>'WC &amp; Investments'!K35</f>
        <v>412.02497541346207</v>
      </c>
      <c r="L26" s="102">
        <f>'WC &amp; Investments'!L35</f>
        <v>466.05462597896906</v>
      </c>
      <c r="N26" s="1" t="s">
        <v>250</v>
      </c>
    </row>
    <row r="29" spans="2:14" x14ac:dyDescent="0.2">
      <c r="C29" s="220" t="s">
        <v>136</v>
      </c>
      <c r="D29" s="220"/>
      <c r="E29" s="220"/>
      <c r="F29" s="220"/>
      <c r="G29" s="220"/>
      <c r="H29" s="220"/>
      <c r="I29" s="220"/>
      <c r="J29" s="220"/>
      <c r="K29" s="220"/>
      <c r="L29" s="220"/>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7373.7917677000014</v>
      </c>
      <c r="I31" s="132">
        <f t="shared" si="5"/>
        <v>8203.2608274448012</v>
      </c>
      <c r="J31" s="132">
        <f t="shared" si="5"/>
        <v>9109.294646148126</v>
      </c>
      <c r="K31" s="132">
        <f t="shared" si="5"/>
        <v>10001.416798740749</v>
      </c>
      <c r="L31" s="132">
        <f t="shared" si="5"/>
        <v>10978.859393517925</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7929.5616063849329</v>
      </c>
      <c r="I32" s="108">
        <f t="shared" si="6"/>
        <v>8963.346525868692</v>
      </c>
      <c r="J32" s="108">
        <f t="shared" si="6"/>
        <v>9944.2747779112124</v>
      </c>
      <c r="K32" s="108">
        <f t="shared" si="6"/>
        <v>10936.552237067724</v>
      </c>
      <c r="L32" s="108">
        <f t="shared" si="6"/>
        <v>12018.706774491759</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14" zoomScale="187" zoomScaleNormal="100" workbookViewId="0">
      <selection activeCell="C19" sqref="C1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5" t="s">
        <v>151</v>
      </c>
      <c r="C4" s="215"/>
    </row>
    <row r="5" spans="1:3" ht="17" customHeight="1" x14ac:dyDescent="0.2">
      <c r="B5" s="1" t="s">
        <v>152</v>
      </c>
      <c r="C5" s="131">
        <f>'Statement Q'!N116</f>
        <v>404</v>
      </c>
    </row>
    <row r="6" spans="1:3" ht="17" customHeight="1" x14ac:dyDescent="0.2">
      <c r="B6" s="1" t="s">
        <v>73</v>
      </c>
      <c r="C6" s="144">
        <f>Overview!C3</f>
        <v>247.6</v>
      </c>
    </row>
    <row r="7" spans="1:3" ht="17" customHeight="1" x14ac:dyDescent="0.2">
      <c r="B7" s="1" t="s">
        <v>138</v>
      </c>
      <c r="C7" s="146">
        <f>C5*C6</f>
        <v>100030.39999999999</v>
      </c>
    </row>
    <row r="8" spans="1:3" ht="17" customHeight="1" x14ac:dyDescent="0.2">
      <c r="B8" s="1" t="s">
        <v>137</v>
      </c>
      <c r="C8" s="131">
        <f>Statements!W41+Statements!W46</f>
        <v>6228</v>
      </c>
    </row>
    <row r="9" spans="1:3" ht="17" customHeight="1" x14ac:dyDescent="0.2">
      <c r="B9" s="1" t="s">
        <v>153</v>
      </c>
      <c r="C9" s="169">
        <f>[1]Sheet1!$C$10/1000</f>
        <v>4.5950000000000005E-2</v>
      </c>
    </row>
    <row r="10" spans="1:3" ht="17" customHeight="1" x14ac:dyDescent="0.2">
      <c r="B10" s="1" t="s">
        <v>154</v>
      </c>
      <c r="C10" s="144">
        <f>[1]Sheet1!$F$18</f>
        <v>1.4156</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5" t="s">
        <v>157</v>
      </c>
      <c r="C15" s="215"/>
    </row>
    <row r="16" spans="1:3" ht="17" customHeight="1" x14ac:dyDescent="0.2">
      <c r="B16" s="1" t="s">
        <v>148</v>
      </c>
      <c r="C16" s="147">
        <f>C8/(C8+C7)</f>
        <v>5.8611836805372568E-2</v>
      </c>
    </row>
    <row r="17" spans="2:3" ht="17" customHeight="1" x14ac:dyDescent="0.2">
      <c r="B17" s="1" t="s">
        <v>149</v>
      </c>
      <c r="C17" s="147">
        <f>C7/(C8+C7)</f>
        <v>0.94138816319462748</v>
      </c>
    </row>
    <row r="18" spans="2:3" ht="17" customHeight="1" x14ac:dyDescent="0.2">
      <c r="B18" s="1" t="s">
        <v>158</v>
      </c>
      <c r="C18" s="147">
        <f>C13*(1-C12)</f>
        <v>4.2660000000000003E-2</v>
      </c>
    </row>
    <row r="19" spans="2:3" ht="17" customHeight="1" x14ac:dyDescent="0.2">
      <c r="B19" s="1" t="s">
        <v>150</v>
      </c>
      <c r="C19" s="147">
        <f>C9+C10*C11</f>
        <v>0.11673</v>
      </c>
    </row>
    <row r="20" spans="2:3" ht="17" customHeight="1" x14ac:dyDescent="0.2">
      <c r="B20" s="1" t="s">
        <v>147</v>
      </c>
      <c r="C20" s="147">
        <f>(C17*C19)+(C16*C18)</f>
        <v>0.11238862124782606</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4" zoomScale="188" zoomScaleNormal="100" workbookViewId="0">
      <selection activeCell="C26" sqref="C2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7929.5616063849329</v>
      </c>
      <c r="I7" s="131">
        <f>'FCF &amp; Other'!I32</f>
        <v>8963.346525868692</v>
      </c>
      <c r="J7" s="131">
        <f>'FCF &amp; Other'!J32</f>
        <v>9944.2747779112124</v>
      </c>
      <c r="K7" s="131">
        <f>'FCF &amp; Other'!K32</f>
        <v>10936.552237067724</v>
      </c>
      <c r="L7" s="131">
        <f>'FCF &amp; Other'!L32</f>
        <v>12018.706774491759</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L7*(1+C14)/(C15-C14)</f>
        <v>140970.0057964985</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H7/(1+$C$15)^H9</f>
        <v>7128.4094919003383</v>
      </c>
      <c r="I10" s="132">
        <f t="shared" ref="I10:L10" si="0">I7/(1+$C$15)^I9</f>
        <v>7243.6442181989341</v>
      </c>
      <c r="J10" s="132">
        <f t="shared" si="0"/>
        <v>7224.4285931511376</v>
      </c>
      <c r="K10" s="132">
        <f t="shared" si="0"/>
        <v>7142.5663037011691</v>
      </c>
      <c r="L10" s="132">
        <f t="shared" si="0"/>
        <v>7056.2677348922662</v>
      </c>
      <c r="N10" s="90"/>
    </row>
    <row r="11" spans="1:28" x14ac:dyDescent="0.2">
      <c r="B11" s="1" t="s">
        <v>164</v>
      </c>
      <c r="C11" s="129"/>
      <c r="D11" s="129"/>
      <c r="E11" s="129"/>
      <c r="F11" s="129"/>
      <c r="G11" s="149"/>
      <c r="H11" s="129"/>
      <c r="I11" s="129"/>
      <c r="J11" s="129"/>
      <c r="K11" s="129"/>
      <c r="L11" s="132">
        <f>L8/(1+C15)^L9</f>
        <v>82764.487240888891</v>
      </c>
    </row>
    <row r="13" spans="1:28" x14ac:dyDescent="0.2">
      <c r="B13" s="215" t="s">
        <v>172</v>
      </c>
      <c r="C13" s="215"/>
    </row>
    <row r="14" spans="1:28" x14ac:dyDescent="0.2">
      <c r="B14" s="1" t="s">
        <v>161</v>
      </c>
      <c r="C14" s="138">
        <v>2.5000000000000001E-2</v>
      </c>
    </row>
    <row r="15" spans="1:28" x14ac:dyDescent="0.2">
      <c r="B15" s="1" t="s">
        <v>147</v>
      </c>
      <c r="C15" s="148">
        <f>WACC!C20</f>
        <v>0.11238862124782606</v>
      </c>
    </row>
    <row r="18" spans="2:3" x14ac:dyDescent="0.2">
      <c r="B18" s="215" t="s">
        <v>79</v>
      </c>
      <c r="C18" s="215"/>
    </row>
    <row r="19" spans="2:3" x14ac:dyDescent="0.2">
      <c r="B19" s="1" t="s">
        <v>170</v>
      </c>
      <c r="C19" s="103">
        <f>SUM(H10:L10)</f>
        <v>35795.316341843849</v>
      </c>
    </row>
    <row r="20" spans="2:3" x14ac:dyDescent="0.2">
      <c r="B20" s="1" t="s">
        <v>164</v>
      </c>
      <c r="C20" s="103">
        <f>L11</f>
        <v>82764.487240888891</v>
      </c>
    </row>
    <row r="21" spans="2:3" x14ac:dyDescent="0.2">
      <c r="B21" s="7" t="s">
        <v>167</v>
      </c>
      <c r="C21" s="108">
        <f>C19+C20</f>
        <v>118559.80358273274</v>
      </c>
    </row>
    <row r="22" spans="2:3" x14ac:dyDescent="0.2">
      <c r="B22" s="1" t="s">
        <v>165</v>
      </c>
      <c r="C22" s="20">
        <f>Statements!W27</f>
        <v>6890</v>
      </c>
    </row>
    <row r="23" spans="2:3" x14ac:dyDescent="0.2">
      <c r="B23" s="1" t="s">
        <v>166</v>
      </c>
      <c r="C23" s="20">
        <f>Statements!W41+Statements!W46</f>
        <v>6228</v>
      </c>
    </row>
    <row r="24" spans="2:3" x14ac:dyDescent="0.2">
      <c r="B24" s="7" t="s">
        <v>168</v>
      </c>
      <c r="C24" s="108">
        <f>C21+C22-C23</f>
        <v>119221.80358273274</v>
      </c>
    </row>
    <row r="25" spans="2:3" x14ac:dyDescent="0.2">
      <c r="B25" s="1" t="s">
        <v>4</v>
      </c>
      <c r="C25" s="103">
        <f>'Statement Q'!N116</f>
        <v>404</v>
      </c>
    </row>
    <row r="26" spans="2:3" x14ac:dyDescent="0.2">
      <c r="B26" s="150" t="s">
        <v>169</v>
      </c>
      <c r="C26" s="151">
        <f>C24/C25</f>
        <v>295.10347421468498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H18" sqref="H1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5" t="s">
        <v>102</v>
      </c>
      <c r="D2" s="215"/>
      <c r="E2" s="215"/>
      <c r="F2" s="215"/>
      <c r="G2" s="218"/>
      <c r="H2" s="219" t="s">
        <v>103</v>
      </c>
      <c r="I2" s="215"/>
      <c r="J2" s="215"/>
      <c r="K2" s="215"/>
      <c r="L2" s="215"/>
    </row>
    <row r="3" spans="1:14" ht="10" customHeight="1" x14ac:dyDescent="0.2"/>
    <row r="4" spans="1:14" ht="16" customHeight="1" x14ac:dyDescent="0.2">
      <c r="A4" s="104"/>
      <c r="B4" s="91"/>
      <c r="C4" s="220" t="s">
        <v>253</v>
      </c>
      <c r="D4" s="220"/>
      <c r="E4" s="220"/>
      <c r="F4" s="220"/>
      <c r="G4" s="220"/>
      <c r="H4" s="220"/>
      <c r="I4" s="220"/>
      <c r="J4" s="220"/>
      <c r="K4" s="220"/>
      <c r="L4" s="220"/>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9333.9136300000009</v>
      </c>
      <c r="I7" s="106">
        <f>'FCF &amp; Other'!I14</f>
        <v>10383.874465120001</v>
      </c>
      <c r="J7" s="106">
        <f>'FCF &amp; Other'!J14</f>
        <v>11530.752716643197</v>
      </c>
      <c r="K7" s="106">
        <f>'FCF &amp; Other'!K14</f>
        <v>12660.021264228795</v>
      </c>
      <c r="L7" s="106">
        <f>'FCF &amp; Other'!L14</f>
        <v>13897.290371541676</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7929.5616063849329</v>
      </c>
      <c r="I8" s="106">
        <f>'FCF &amp; Other'!I32</f>
        <v>8963.346525868692</v>
      </c>
      <c r="J8" s="106">
        <f>'FCF &amp; Other'!J32</f>
        <v>9944.2747779112124</v>
      </c>
      <c r="K8" s="106">
        <f>'FCF &amp; Other'!K32</f>
        <v>10936.552237067724</v>
      </c>
      <c r="L8" s="106">
        <f>'FCF &amp; Other'!L32</f>
        <v>12018.706774491759</v>
      </c>
      <c r="N8" s="90"/>
    </row>
    <row r="9" spans="1:14" x14ac:dyDescent="0.2">
      <c r="N9" s="90"/>
    </row>
    <row r="10" spans="1:14" x14ac:dyDescent="0.2">
      <c r="C10" s="220" t="s">
        <v>113</v>
      </c>
      <c r="D10" s="220"/>
      <c r="E10" s="220"/>
      <c r="F10" s="220"/>
      <c r="G10" s="220"/>
      <c r="H10" s="220"/>
      <c r="I10" s="220"/>
      <c r="J10" s="220"/>
      <c r="K10" s="220"/>
      <c r="L10" s="220"/>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9.4428120661365619E-2</v>
      </c>
      <c r="I12" s="110">
        <f t="shared" si="1"/>
        <v>0.10313568874454326</v>
      </c>
      <c r="J12" s="110">
        <f t="shared" si="1"/>
        <v>0.10481685325090886</v>
      </c>
      <c r="K12" s="110">
        <f t="shared" si="1"/>
        <v>9.9979946727278057E-2</v>
      </c>
      <c r="L12" s="110">
        <f t="shared" si="1"/>
        <v>9.6886404831345682E-2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7.2124239604870313E-2</v>
      </c>
      <c r="I13" s="110">
        <f t="shared" si="1"/>
        <v>0.11248880981128173</v>
      </c>
      <c r="J13" s="110">
        <f t="shared" si="1"/>
        <v>0.11044800814721156</v>
      </c>
      <c r="K13" s="110">
        <f t="shared" si="1"/>
        <v>9.7935371205701088E-2</v>
      </c>
      <c r="L13" s="110">
        <f t="shared" si="1"/>
        <v>9.7730413045104075E-2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-5.0481788749171218E-2</v>
      </c>
      <c r="I14" s="110">
        <f t="shared" si="1"/>
        <v>0.13037100546029542</v>
      </c>
      <c r="J14" s="110">
        <f t="shared" si="1"/>
        <v>0.10943772498491602</v>
      </c>
      <c r="K14" s="110">
        <f t="shared" si="1"/>
        <v>9.978379332001315E-2</v>
      </c>
      <c r="L14" s="110">
        <f t="shared" si="1"/>
        <v>9.8948417560357035E-2</v>
      </c>
      <c r="N14" s="90"/>
    </row>
    <row r="15" spans="1:14" x14ac:dyDescent="0.2">
      <c r="N15" s="90"/>
    </row>
    <row r="16" spans="1:14" x14ac:dyDescent="0.2">
      <c r="C16" s="220" t="s">
        <v>208</v>
      </c>
      <c r="D16" s="220"/>
      <c r="E16" s="220"/>
      <c r="F16" s="220"/>
      <c r="G16" s="220"/>
      <c r="H16" s="220"/>
      <c r="I16" s="220"/>
      <c r="J16" s="220"/>
      <c r="K16" s="220"/>
      <c r="L16" s="220"/>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407.78499999999997</v>
      </c>
      <c r="I18" s="172">
        <f t="shared" ref="I18:L18" si="4">H18*(1+I19)</f>
        <v>395.55144999999993</v>
      </c>
      <c r="J18" s="172">
        <f t="shared" si="4"/>
        <v>385.66266374999992</v>
      </c>
      <c r="K18" s="172">
        <f t="shared" si="4"/>
        <v>376.79242248374993</v>
      </c>
      <c r="L18" s="172">
        <f t="shared" si="4"/>
        <v>368.50298918910744</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-4.4999999999999998E-2</v>
      </c>
      <c r="I19" s="112">
        <v>-0.03</v>
      </c>
      <c r="J19" s="112">
        <v>-2.5000000000000001E-2</v>
      </c>
      <c r="K19" s="112">
        <v>-2.3E-2</v>
      </c>
      <c r="L19" s="112">
        <v>-2.1999999999999999E-2</v>
      </c>
      <c r="N19" s="90"/>
    </row>
    <row r="20" spans="2:14" x14ac:dyDescent="0.2">
      <c r="N20" s="90"/>
    </row>
    <row r="21" spans="2:14" x14ac:dyDescent="0.2">
      <c r="C21" s="220" t="s">
        <v>254</v>
      </c>
      <c r="D21" s="220"/>
      <c r="E21" s="220"/>
      <c r="F21" s="220"/>
      <c r="G21" s="220"/>
      <c r="H21" s="220"/>
      <c r="I21" s="220"/>
      <c r="J21" s="220"/>
      <c r="K21" s="220"/>
      <c r="L21" s="220"/>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20" t="s">
        <v>255</v>
      </c>
      <c r="D26" s="220"/>
      <c r="E26" s="220"/>
      <c r="F26" s="220"/>
      <c r="G26" s="220"/>
      <c r="H26" s="220"/>
      <c r="I26" s="220"/>
      <c r="J26" s="220"/>
      <c r="K26" s="220"/>
      <c r="L26" s="220"/>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5" t="s">
        <v>259</v>
      </c>
      <c r="C37" s="215"/>
      <c r="N37" s="90"/>
    </row>
    <row r="38" spans="2:14" x14ac:dyDescent="0.2">
      <c r="B38" s="1" t="s">
        <v>260</v>
      </c>
      <c r="C38" s="103">
        <f>L7</f>
        <v>13897.290371541676</v>
      </c>
    </row>
    <row r="39" spans="2:14" x14ac:dyDescent="0.2">
      <c r="B39" s="1" t="s">
        <v>147</v>
      </c>
      <c r="C39" s="137">
        <f>WACC!C20</f>
        <v>0.11238862124782606</v>
      </c>
    </row>
    <row r="40" spans="2:14" x14ac:dyDescent="0.2">
      <c r="B40" s="8" t="s">
        <v>261</v>
      </c>
      <c r="C40" s="117">
        <v>25</v>
      </c>
    </row>
    <row r="41" spans="2:14" x14ac:dyDescent="0.2">
      <c r="B41" s="1" t="s">
        <v>187</v>
      </c>
      <c r="C41" s="20">
        <f>L18</f>
        <v>368.50298918910744</v>
      </c>
    </row>
    <row r="42" spans="2:14" x14ac:dyDescent="0.2">
      <c r="B42" s="1" t="s">
        <v>142</v>
      </c>
      <c r="C42" s="20">
        <f>(C38*C40)-G30+G31</f>
        <v>347817.25928854191</v>
      </c>
    </row>
    <row r="43" spans="2:14" x14ac:dyDescent="0.2">
      <c r="B43" s="1" t="s">
        <v>169</v>
      </c>
      <c r="C43" s="20">
        <f>C42/C41</f>
        <v>943.8655031100709</v>
      </c>
    </row>
    <row r="44" spans="2:14" x14ac:dyDescent="0.2">
      <c r="B44" s="150" t="s">
        <v>262</v>
      </c>
      <c r="C44" s="151">
        <f>C43/(1+C48)^5</f>
        <v>554.15011120903989</v>
      </c>
    </row>
    <row r="46" spans="2:14" x14ac:dyDescent="0.2">
      <c r="B46" s="215" t="s">
        <v>184</v>
      </c>
      <c r="C46" s="215"/>
    </row>
    <row r="47" spans="2:14" x14ac:dyDescent="0.2">
      <c r="B47" s="1" t="s">
        <v>185</v>
      </c>
      <c r="C47" s="103">
        <f>L6</f>
        <v>38252.850332990893</v>
      </c>
    </row>
    <row r="48" spans="2:14" x14ac:dyDescent="0.2">
      <c r="B48" s="1" t="s">
        <v>147</v>
      </c>
      <c r="C48" s="137">
        <f>WACC!C20</f>
        <v>0.11238862124782606</v>
      </c>
    </row>
    <row r="49" spans="2:3" x14ac:dyDescent="0.2">
      <c r="B49" s="8" t="s">
        <v>186</v>
      </c>
      <c r="C49" s="117">
        <v>9</v>
      </c>
    </row>
    <row r="50" spans="2:3" x14ac:dyDescent="0.2">
      <c r="B50" s="1" t="s">
        <v>187</v>
      </c>
      <c r="C50" s="20">
        <f>L18</f>
        <v>368.50298918910744</v>
      </c>
    </row>
    <row r="51" spans="2:3" x14ac:dyDescent="0.2">
      <c r="B51" s="1" t="s">
        <v>169</v>
      </c>
      <c r="C51" s="20">
        <f>(C47*C49)/C50</f>
        <v>934.25470918023814</v>
      </c>
    </row>
    <row r="52" spans="2:3" x14ac:dyDescent="0.2">
      <c r="B52" s="150" t="s">
        <v>262</v>
      </c>
      <c r="C52" s="151">
        <f>C51/(1+C48)^5</f>
        <v>548.50754613226229</v>
      </c>
    </row>
    <row r="54" spans="2:3" x14ac:dyDescent="0.2">
      <c r="B54" s="215" t="s">
        <v>263</v>
      </c>
      <c r="C54" s="215"/>
    </row>
    <row r="55" spans="2:3" x14ac:dyDescent="0.2">
      <c r="B55" s="1" t="s">
        <v>264</v>
      </c>
      <c r="C55" s="103">
        <f>L8</f>
        <v>12018.706774491759</v>
      </c>
    </row>
    <row r="56" spans="2:3" x14ac:dyDescent="0.2">
      <c r="B56" s="1" t="s">
        <v>147</v>
      </c>
      <c r="C56" s="137">
        <f>WACC!C20</f>
        <v>0.11238862124782606</v>
      </c>
    </row>
    <row r="57" spans="2:3" x14ac:dyDescent="0.2">
      <c r="B57" s="8" t="s">
        <v>265</v>
      </c>
      <c r="C57" s="117">
        <v>27</v>
      </c>
    </row>
    <row r="58" spans="2:3" x14ac:dyDescent="0.2">
      <c r="B58" s="1" t="s">
        <v>187</v>
      </c>
      <c r="C58" s="20">
        <f>L18</f>
        <v>368.50298918910744</v>
      </c>
    </row>
    <row r="59" spans="2:3" x14ac:dyDescent="0.2">
      <c r="B59" s="1" t="s">
        <v>142</v>
      </c>
      <c r="C59" s="20">
        <f>(C55*C57)-G30+G31</f>
        <v>324890.08291127748</v>
      </c>
    </row>
    <row r="60" spans="2:3" x14ac:dyDescent="0.2">
      <c r="B60" s="1" t="s">
        <v>169</v>
      </c>
      <c r="C60" s="20">
        <f>C59/C58</f>
        <v>881.64843282872584</v>
      </c>
    </row>
    <row r="61" spans="2:3" x14ac:dyDescent="0.2">
      <c r="B61" s="150" t="s">
        <v>262</v>
      </c>
      <c r="C61" s="151">
        <f>C60/(1+C56)^5</f>
        <v>517.62202929281023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5" t="s">
        <v>192</v>
      </c>
      <c r="C4" s="215"/>
      <c r="N4" s="90"/>
    </row>
    <row r="5" spans="1:14" x14ac:dyDescent="0.2">
      <c r="B5" s="1" t="s">
        <v>189</v>
      </c>
      <c r="C5" s="166">
        <f>DCF!C26</f>
        <v>295.10347421468498</v>
      </c>
    </row>
    <row r="6" spans="1:14" x14ac:dyDescent="0.2">
      <c r="B6" s="1" t="s">
        <v>266</v>
      </c>
      <c r="C6" s="166">
        <f>Multiples!C44</f>
        <v>554.15011120903989</v>
      </c>
    </row>
    <row r="7" spans="1:14" x14ac:dyDescent="0.2">
      <c r="B7" s="1" t="s">
        <v>190</v>
      </c>
      <c r="C7" s="166">
        <f>Multiples!C52</f>
        <v>548.50754613226229</v>
      </c>
    </row>
    <row r="8" spans="1:14" x14ac:dyDescent="0.2">
      <c r="B8" s="1" t="s">
        <v>267</v>
      </c>
      <c r="C8" s="166">
        <f>Multiples!C61</f>
        <v>517.62202929281023</v>
      </c>
    </row>
    <row r="9" spans="1:14" x14ac:dyDescent="0.2">
      <c r="B9" s="150" t="s">
        <v>188</v>
      </c>
      <c r="C9" s="151">
        <f>AVERAGE(C5:C8)</f>
        <v>478.84579021219929</v>
      </c>
    </row>
    <row r="10" spans="1:14" x14ac:dyDescent="0.2">
      <c r="B10" s="1" t="s">
        <v>335</v>
      </c>
      <c r="C10" s="34">
        <f>Overview!C3</f>
        <v>247.6</v>
      </c>
    </row>
    <row r="11" spans="1:14" x14ac:dyDescent="0.2">
      <c r="B11" s="1" t="s">
        <v>336</v>
      </c>
      <c r="C11" s="88">
        <f>(C9-C10)/C10</f>
        <v>0.93394907193941556</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A2" zoomScale="209" zoomScaleNormal="100" workbookViewId="0">
      <selection activeCell="C6" sqref="C6:L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L7*(1+C20)/(C21-C20)</f>
        <v>113553.6191218864</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H7/(1+$C$21)^H9</f>
        <v>7732.6181737843317</v>
      </c>
      <c r="I10" s="132">
        <f t="shared" ref="I10:L10" si="1">I7/(1+$C$21)^I9</f>
        <v>7159.9048811408602</v>
      </c>
      <c r="J10" s="132">
        <f t="shared" si="1"/>
        <v>6629.6093709611014</v>
      </c>
      <c r="K10" s="132">
        <f t="shared" si="1"/>
        <v>6138.5899870407175</v>
      </c>
      <c r="L10" s="132">
        <f t="shared" si="1"/>
        <v>5683.9377586938772</v>
      </c>
      <c r="N10" s="90"/>
    </row>
    <row r="11" spans="1:28" x14ac:dyDescent="0.2">
      <c r="B11" s="1" t="s">
        <v>164</v>
      </c>
      <c r="C11" s="129"/>
      <c r="D11" s="129"/>
      <c r="E11" s="129"/>
      <c r="F11" s="129"/>
      <c r="G11" s="149"/>
      <c r="H11" s="129"/>
      <c r="I11" s="129"/>
      <c r="J11" s="129"/>
      <c r="K11" s="129"/>
      <c r="L11" s="132">
        <f>L8/(1+C21)^L9</f>
        <v>66668.132755397542</v>
      </c>
    </row>
    <row r="13" spans="1:28" ht="17" thickBot="1" x14ac:dyDescent="0.25"/>
    <row r="14" spans="1:28" x14ac:dyDescent="0.2">
      <c r="B14" s="222" t="s">
        <v>338</v>
      </c>
      <c r="C14" s="223"/>
    </row>
    <row r="15" spans="1:28" x14ac:dyDescent="0.2">
      <c r="B15" s="196" t="s">
        <v>339</v>
      </c>
      <c r="C15" s="197">
        <f>Overview!C3</f>
        <v>247.6</v>
      </c>
    </row>
    <row r="16" spans="1:28" x14ac:dyDescent="0.2">
      <c r="B16" s="196" t="s">
        <v>340</v>
      </c>
      <c r="C16" s="197">
        <f>C36</f>
        <v>249.19503199757037</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WACC!C20</f>
        <v>0.11238862124782606</v>
      </c>
    </row>
    <row r="22" spans="2:9" x14ac:dyDescent="0.2">
      <c r="B22" s="200" t="s">
        <v>4</v>
      </c>
      <c r="C22" s="203">
        <f>'Statement Q'!N116</f>
        <v>404</v>
      </c>
    </row>
    <row r="23" spans="2:9" x14ac:dyDescent="0.2">
      <c r="B23" s="200" t="s">
        <v>140</v>
      </c>
      <c r="C23" s="203">
        <f>C15*C22</f>
        <v>100030.39999999999</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C23+C25-C24</f>
        <v>99368.4</v>
      </c>
    </row>
    <row r="27" spans="2:9" ht="17" thickBot="1" x14ac:dyDescent="0.25"/>
    <row r="28" spans="2:9" x14ac:dyDescent="0.2">
      <c r="B28" s="222" t="s">
        <v>79</v>
      </c>
      <c r="C28" s="223"/>
    </row>
    <row r="29" spans="2:9" x14ac:dyDescent="0.2">
      <c r="B29" s="200" t="s">
        <v>170</v>
      </c>
      <c r="C29" s="203">
        <f>SUM(H10:L10)</f>
        <v>33344.66017162089</v>
      </c>
    </row>
    <row r="30" spans="2:9" x14ac:dyDescent="0.2">
      <c r="B30" s="200" t="s">
        <v>164</v>
      </c>
      <c r="C30" s="203">
        <f>L11</f>
        <v>66668.132755397542</v>
      </c>
    </row>
    <row r="31" spans="2:9" x14ac:dyDescent="0.2">
      <c r="B31" s="205" t="s">
        <v>167</v>
      </c>
      <c r="C31" s="206">
        <f>C29+C30</f>
        <v>100012.79292701842</v>
      </c>
    </row>
    <row r="32" spans="2:9" x14ac:dyDescent="0.2">
      <c r="B32" s="200" t="s">
        <v>165</v>
      </c>
      <c r="C32" s="207">
        <f>C24</f>
        <v>6890</v>
      </c>
    </row>
    <row r="33" spans="2:12" x14ac:dyDescent="0.2">
      <c r="B33" s="200" t="s">
        <v>166</v>
      </c>
      <c r="C33" s="207">
        <f>C25</f>
        <v>6228</v>
      </c>
    </row>
    <row r="34" spans="2:12" x14ac:dyDescent="0.2">
      <c r="B34" s="205" t="s">
        <v>168</v>
      </c>
      <c r="C34" s="206">
        <f>C31+C32-C33</f>
        <v>100674.79292701842</v>
      </c>
    </row>
    <row r="35" spans="2:12" x14ac:dyDescent="0.2">
      <c r="B35" s="200" t="s">
        <v>4</v>
      </c>
      <c r="C35" s="203">
        <f>C22</f>
        <v>404</v>
      </c>
    </row>
    <row r="36" spans="2:12" ht="17" thickBot="1" x14ac:dyDescent="0.25">
      <c r="B36" s="208" t="s">
        <v>169</v>
      </c>
      <c r="C36" s="209">
        <f>C34/C35</f>
        <v>249.19503199757037</v>
      </c>
    </row>
    <row r="39" spans="2:12" x14ac:dyDescent="0.2">
      <c r="C39" s="220" t="s">
        <v>344</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2026-05-17T22:56:49Z</dcterms:modified>
</cp:coreProperties>
</file>