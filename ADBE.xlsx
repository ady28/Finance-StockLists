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002743F-BD2A-264F-9B23-C72B8E4EAC98}"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3" i="3" l="1"/>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C24" i="21"/>
  <c r="G7" i="21"/>
  <c r="F7" i="21"/>
  <c r="E7" i="21"/>
  <c r="D7" i="21"/>
  <c r="C7" i="21"/>
  <c r="G6" i="21"/>
  <c r="F6" i="21"/>
  <c r="E6" i="21"/>
  <c r="D6" i="21"/>
  <c r="C6" i="21"/>
  <c r="G11" i="21"/>
  <c r="F11" i="21"/>
  <c r="E11" i="21"/>
  <c r="L5" i="21"/>
  <c r="K5" i="21"/>
  <c r="J5" i="21"/>
  <c r="I5" i="21"/>
  <c r="H5" i="21"/>
  <c r="G5" i="21"/>
  <c r="F5" i="21"/>
  <c r="E5" i="21"/>
  <c r="D5" i="21"/>
  <c r="C5" i="21"/>
  <c r="C51" i="12"/>
  <c r="C64" i="12"/>
  <c r="C63" i="12"/>
  <c r="C44" i="12"/>
  <c r="C43" i="12"/>
  <c r="G45" i="7"/>
  <c r="F45" i="7"/>
  <c r="E45" i="7"/>
  <c r="D45" i="7"/>
  <c r="C45" i="7"/>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G16" i="21"/>
  <c r="C21" i="21"/>
  <c r="C23" i="21" s="1"/>
  <c r="C26" i="21" s="1"/>
  <c r="I10" i="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C6" i="14"/>
  <c r="G18" i="12"/>
  <c r="F18" i="12"/>
  <c r="E18" i="12"/>
  <c r="D18" i="12"/>
  <c r="C18"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G15" i="8"/>
  <c r="E15" i="8"/>
  <c r="C15" i="8"/>
  <c r="F7" i="8"/>
  <c r="C7" i="8"/>
  <c r="F6" i="8"/>
  <c r="F13" i="7"/>
  <c r="D13" i="7"/>
  <c r="F7" i="7"/>
  <c r="C6" i="7"/>
  <c r="V18" i="6"/>
  <c r="R18" i="6"/>
  <c r="U6" i="6"/>
  <c r="R6" i="6"/>
  <c r="P6" i="6"/>
  <c r="Q5" i="6"/>
  <c r="G18" i="6"/>
  <c r="C18" i="6"/>
  <c r="C5" i="6"/>
  <c r="R7" i="5"/>
  <c r="F21" i="8"/>
  <c r="D21" i="8"/>
  <c r="C21" i="8"/>
  <c r="E20" i="8"/>
  <c r="D20" i="8"/>
  <c r="F15" i="8"/>
  <c r="D15"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40" i="14" s="1"/>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C33" i="14"/>
  <c r="G48" i="14"/>
  <c r="E48"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V23" i="6"/>
  <c r="S23" i="6"/>
  <c r="Q23" i="6"/>
  <c r="W10" i="6"/>
  <c r="U10" i="6"/>
  <c r="R10" i="6"/>
  <c r="AA78" i="3"/>
  <c r="AC78" i="3" s="1"/>
  <c r="F19" i="12"/>
  <c r="D19" i="12"/>
  <c r="H12" i="12"/>
  <c r="G12" i="12"/>
  <c r="C29" i="12"/>
  <c r="E28" i="12"/>
  <c r="D28" i="12"/>
  <c r="G19" i="12"/>
  <c r="F12" i="12"/>
  <c r="E12" i="12"/>
  <c r="D12" i="12"/>
  <c r="G29" i="12"/>
  <c r="G8" i="8"/>
  <c r="D8" i="8"/>
  <c r="C46" i="7"/>
  <c r="G43" i="7"/>
  <c r="C43" i="7"/>
  <c r="V29" i="6"/>
  <c r="D26" i="6"/>
  <c r="F24" i="6"/>
  <c r="D36" i="7"/>
  <c r="D37" i="7" s="1"/>
  <c r="S29" i="6"/>
  <c r="Q29" i="6"/>
  <c r="V26" i="6"/>
  <c r="S26" i="6"/>
  <c r="Q26" i="6"/>
  <c r="V24" i="6"/>
  <c r="S24" i="6"/>
  <c r="Q24" i="6"/>
  <c r="R15" i="5"/>
  <c r="R13" i="5"/>
  <c r="Q27" i="6"/>
  <c r="F29" i="6"/>
  <c r="F28" i="6"/>
  <c r="F29" i="12"/>
  <c r="E29" i="12"/>
  <c r="G28" i="12"/>
  <c r="C28"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E40" i="14" s="1"/>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AC147" i="3"/>
  <c r="I46" i="17" s="1"/>
  <c r="AC146" i="3"/>
  <c r="I45" i="17" s="1"/>
  <c r="D10" i="8"/>
  <c r="G10" i="8"/>
  <c r="C5" i="10"/>
  <c r="C7" i="10" s="1"/>
  <c r="C17" i="10" s="1"/>
  <c r="C11" i="12"/>
  <c r="C22" i="12"/>
  <c r="C17" i="12"/>
  <c r="C27" i="12"/>
  <c r="C10" i="8"/>
  <c r="F10" i="8"/>
  <c r="E10" i="8"/>
  <c r="E23" i="7"/>
  <c r="D23" i="7"/>
  <c r="F23" i="7"/>
  <c r="G23" i="7"/>
  <c r="C23" i="7"/>
  <c r="AB14" i="6" l="1"/>
  <c r="H15" i="7"/>
  <c r="H30" i="7" s="1"/>
  <c r="H14" i="7"/>
  <c r="H29" i="7" s="1"/>
  <c r="H35" i="7" s="1"/>
  <c r="H22" i="8" s="1"/>
  <c r="G3" i="17"/>
  <c r="L56" i="19"/>
  <c r="G5" i="5"/>
  <c r="F5" i="8"/>
  <c r="F6" i="14"/>
  <c r="F40" i="14" s="1"/>
  <c r="F6" i="7"/>
  <c r="F5" i="6"/>
  <c r="F12" i="5"/>
  <c r="E10" i="6"/>
  <c r="E22" i="6"/>
  <c r="E12" i="7"/>
  <c r="E34" i="7"/>
  <c r="E27" i="7"/>
  <c r="E41" i="7"/>
  <c r="E19" i="7"/>
  <c r="E14" i="8"/>
  <c r="E26" i="8"/>
  <c r="E19" i="8"/>
  <c r="E32" i="8"/>
  <c r="D27" i="12"/>
  <c r="D11" i="12"/>
  <c r="D17" i="12"/>
  <c r="D22"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7" i="14" l="1"/>
  <c r="G41" i="14"/>
  <c r="H27" i="8"/>
  <c r="H28" i="8" s="1"/>
  <c r="H34" i="8"/>
  <c r="H5" i="5"/>
  <c r="G12" i="5"/>
  <c r="G5" i="6"/>
  <c r="G5" i="8"/>
  <c r="G6" i="7"/>
  <c r="G6" i="14"/>
  <c r="G40" i="14" s="1"/>
  <c r="F19" i="8"/>
  <c r="F14" i="8"/>
  <c r="F26" i="8"/>
  <c r="F32" i="8"/>
  <c r="F27" i="7"/>
  <c r="F34" i="7"/>
  <c r="F41" i="7"/>
  <c r="F12" i="7"/>
  <c r="F19" i="7"/>
  <c r="F22" i="6"/>
  <c r="F10" i="6"/>
  <c r="E22" i="12"/>
  <c r="E17" i="12"/>
  <c r="E11" i="12"/>
  <c r="E27" i="12"/>
  <c r="F13" i="12"/>
  <c r="C59" i="12"/>
  <c r="C39" i="12"/>
  <c r="C15" i="11"/>
  <c r="C26" i="16"/>
  <c r="F23" i="16" s="1"/>
  <c r="F13" i="1"/>
  <c r="G13" i="12"/>
  <c r="E13" i="12"/>
  <c r="C33" i="12"/>
  <c r="D13" i="12"/>
  <c r="H7" i="12"/>
  <c r="I44" i="7"/>
  <c r="I20" i="8"/>
  <c r="J13" i="7"/>
  <c r="J28" i="7" s="1"/>
  <c r="J36" i="7"/>
  <c r="J42" i="7"/>
  <c r="J45" i="7"/>
  <c r="J21" i="8" s="1"/>
  <c r="J16" i="6"/>
  <c r="J17" i="6"/>
  <c r="J15" i="6"/>
  <c r="J11" i="6"/>
  <c r="J12" i="6"/>
  <c r="J13" i="6"/>
  <c r="I14" i="6"/>
  <c r="I18" i="6"/>
  <c r="K6" i="12"/>
  <c r="K12" i="12" s="1"/>
  <c r="K7" i="7"/>
  <c r="K6" i="6"/>
  <c r="K6" i="8"/>
  <c r="C42" i="16"/>
  <c r="I55" i="17"/>
  <c r="F4" i="1"/>
  <c r="I8" i="17"/>
  <c r="F10" i="1"/>
  <c r="C41" i="16"/>
  <c r="F48" i="16"/>
  <c r="F15" i="1"/>
  <c r="C39" i="16"/>
  <c r="F8" i="1"/>
  <c r="D7" i="11"/>
  <c r="D8" i="12"/>
  <c r="G7" i="11"/>
  <c r="G8" i="12"/>
  <c r="G49" i="14"/>
  <c r="G33" i="12"/>
  <c r="AC155" i="3"/>
  <c r="C7" i="16"/>
  <c r="AC156" i="3"/>
  <c r="AC16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16" i="5"/>
  <c r="G45" i="14" l="1"/>
  <c r="G43" i="14"/>
  <c r="H41" i="14"/>
  <c r="I7" i="14"/>
  <c r="J18" i="6"/>
  <c r="H12" i="5"/>
  <c r="I5" i="5"/>
  <c r="H6" i="14"/>
  <c r="H40" i="14" s="1"/>
  <c r="G10" i="6"/>
  <c r="G22" i="6"/>
  <c r="H5" i="6"/>
  <c r="G19" i="8"/>
  <c r="G14" i="8"/>
  <c r="G26" i="8"/>
  <c r="H5" i="8"/>
  <c r="G32" i="8"/>
  <c r="G19" i="7"/>
  <c r="G34" i="7"/>
  <c r="G41" i="7"/>
  <c r="G12" i="7"/>
  <c r="G27" i="7"/>
  <c r="H6" i="7"/>
  <c r="F11" i="12"/>
  <c r="F27" i="12"/>
  <c r="F22" i="12"/>
  <c r="F17" i="12"/>
  <c r="F14" i="12"/>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I10" i="14"/>
  <c r="H10" i="14"/>
  <c r="C45" i="14"/>
  <c r="C43" i="14"/>
  <c r="F34" i="12"/>
  <c r="F46" i="14"/>
  <c r="F45" i="14"/>
  <c r="F43" i="14"/>
  <c r="G46" i="14"/>
  <c r="E34" i="12"/>
  <c r="E43" i="14"/>
  <c r="E46" i="14"/>
  <c r="E45" i="14"/>
  <c r="D46" i="14"/>
  <c r="AA16" i="5"/>
  <c r="H46" i="14" l="1"/>
  <c r="H44" i="14"/>
  <c r="H48" i="14" s="1"/>
  <c r="H42" i="14"/>
  <c r="J7" i="14"/>
  <c r="I41" i="14"/>
  <c r="I15" i="7"/>
  <c r="I30" i="7" s="1"/>
  <c r="I14" i="7"/>
  <c r="I29" i="7" s="1"/>
  <c r="I35" i="7" s="1"/>
  <c r="I22" i="8" s="1"/>
  <c r="I12" i="5"/>
  <c r="J5" i="5"/>
  <c r="I6" i="14"/>
  <c r="I40" i="14" s="1"/>
  <c r="G27" i="12"/>
  <c r="G11" i="12"/>
  <c r="G22" i="12"/>
  <c r="G17" i="12"/>
  <c r="H22" i="6"/>
  <c r="H10" i="6"/>
  <c r="I5" i="6"/>
  <c r="H19" i="8"/>
  <c r="H14" i="8"/>
  <c r="I5" i="8"/>
  <c r="H26" i="8"/>
  <c r="H32" i="8"/>
  <c r="H12" i="7"/>
  <c r="H19" i="7"/>
  <c r="I6" i="7"/>
  <c r="H27" i="7"/>
  <c r="H34" i="7"/>
  <c r="H41" i="7"/>
  <c r="H14" i="12"/>
  <c r="H10" i="11"/>
  <c r="K14" i="6"/>
  <c r="K44" i="7"/>
  <c r="K20" i="8"/>
  <c r="K9" i="8"/>
  <c r="K30" i="6"/>
  <c r="J7" i="8"/>
  <c r="J8" i="8" s="1"/>
  <c r="J26" i="6"/>
  <c r="J8" i="7"/>
  <c r="L36" i="7"/>
  <c r="L42" i="7"/>
  <c r="L13" i="7"/>
  <c r="L28" i="7" s="1"/>
  <c r="L45" i="7"/>
  <c r="L21" i="8" s="1"/>
  <c r="L12" i="12"/>
  <c r="C50" i="12"/>
  <c r="C54" i="12" s="1"/>
  <c r="C55" i="12" s="1"/>
  <c r="C7" i="13" s="1"/>
  <c r="I5" i="1" s="1"/>
  <c r="L11" i="6"/>
  <c r="L12" i="6"/>
  <c r="L13" i="6"/>
  <c r="L15" i="6"/>
  <c r="L16" i="6"/>
  <c r="L17" i="6"/>
  <c r="I10" i="8"/>
  <c r="I34" i="8" s="1"/>
  <c r="I16" i="5"/>
  <c r="J16" i="5"/>
  <c r="H47" i="14" l="1"/>
  <c r="H49" i="14"/>
  <c r="J10" i="14"/>
  <c r="K7" i="14"/>
  <c r="J41" i="14"/>
  <c r="I44" i="14"/>
  <c r="I48" i="14" s="1"/>
  <c r="I42" i="14"/>
  <c r="I46" i="14"/>
  <c r="K8" i="7"/>
  <c r="K7" i="8"/>
  <c r="K8" i="8" s="1"/>
  <c r="K26" i="6"/>
  <c r="K15" i="7"/>
  <c r="K14" i="7"/>
  <c r="J10" i="8"/>
  <c r="J33" i="8"/>
  <c r="J15" i="7"/>
  <c r="J30" i="7" s="1"/>
  <c r="J14" i="7"/>
  <c r="J29" i="7" s="1"/>
  <c r="H22" i="12"/>
  <c r="H27" i="12"/>
  <c r="H11" i="12"/>
  <c r="H17" i="12"/>
  <c r="K5" i="5"/>
  <c r="J12" i="5"/>
  <c r="J6" i="14"/>
  <c r="J40" i="14" s="1"/>
  <c r="I22" i="6"/>
  <c r="I10" i="6"/>
  <c r="J5" i="6"/>
  <c r="I14" i="8"/>
  <c r="J5" i="8"/>
  <c r="I19" i="8"/>
  <c r="I26" i="8"/>
  <c r="I32" i="8"/>
  <c r="I12" i="7"/>
  <c r="I34" i="7"/>
  <c r="I41" i="7"/>
  <c r="I19" i="7"/>
  <c r="I27" i="7"/>
  <c r="J6" i="7"/>
  <c r="L14" i="6"/>
  <c r="L44" i="7"/>
  <c r="L20" i="8"/>
  <c r="I7" i="12"/>
  <c r="I27" i="8"/>
  <c r="I28" i="8" s="1"/>
  <c r="L18" i="6"/>
  <c r="K10" i="14" l="1"/>
  <c r="K41" i="14"/>
  <c r="L7" i="14"/>
  <c r="J42" i="14"/>
  <c r="J44" i="14"/>
  <c r="J48" i="14" s="1"/>
  <c r="J46" i="14"/>
  <c r="I47" i="14"/>
  <c r="I49" i="14"/>
  <c r="K30" i="7"/>
  <c r="J35" i="7"/>
  <c r="J22" i="8" s="1"/>
  <c r="K33" i="8"/>
  <c r="K10" i="8"/>
  <c r="J34" i="8"/>
  <c r="J27" i="8"/>
  <c r="J7" i="12"/>
  <c r="J13" i="12" s="1"/>
  <c r="K29" i="7"/>
  <c r="L7" i="8"/>
  <c r="L8" i="8" s="1"/>
  <c r="L33" i="8" s="1"/>
  <c r="L8" i="7"/>
  <c r="I11" i="12"/>
  <c r="I22" i="12"/>
  <c r="I27" i="12"/>
  <c r="I17" i="12"/>
  <c r="L5" i="5"/>
  <c r="K12" i="5"/>
  <c r="K6" i="14"/>
  <c r="K40" i="14" s="1"/>
  <c r="J10" i="6"/>
  <c r="J22" i="6"/>
  <c r="K5" i="6"/>
  <c r="K5" i="8"/>
  <c r="J14" i="8"/>
  <c r="J19" i="8"/>
  <c r="J26" i="8"/>
  <c r="J32" i="8"/>
  <c r="K6" i="7"/>
  <c r="J27" i="7"/>
  <c r="J19" i="7"/>
  <c r="J12" i="7"/>
  <c r="J41" i="7"/>
  <c r="J34" i="7"/>
  <c r="I13" i="12"/>
  <c r="L26" i="6"/>
  <c r="I7" i="11"/>
  <c r="I10" i="11" s="1"/>
  <c r="I8" i="12"/>
  <c r="L9" i="8"/>
  <c r="L30" i="6"/>
  <c r="K16" i="5"/>
  <c r="K46" i="14" l="1"/>
  <c r="K42" i="14"/>
  <c r="K44" i="14"/>
  <c r="K48" i="14" s="1"/>
  <c r="L41" i="14"/>
  <c r="L10" i="14"/>
  <c r="C29" i="14" s="1"/>
  <c r="L8" i="14"/>
  <c r="L11" i="14" s="1"/>
  <c r="C30" i="14" s="1"/>
  <c r="J47" i="14"/>
  <c r="J49" i="14"/>
  <c r="J28" i="8"/>
  <c r="K35" i="7"/>
  <c r="K22" i="8" s="1"/>
  <c r="J7" i="11"/>
  <c r="J10" i="11" s="1"/>
  <c r="J8" i="12"/>
  <c r="J14" i="12" s="1"/>
  <c r="L10" i="8"/>
  <c r="K34" i="8"/>
  <c r="K7" i="12"/>
  <c r="K13" i="12" s="1"/>
  <c r="K27" i="8"/>
  <c r="L14" i="7"/>
  <c r="L29" i="7" s="1"/>
  <c r="L15" i="7"/>
  <c r="L30" i="7" s="1"/>
  <c r="J11" i="12"/>
  <c r="J27" i="12"/>
  <c r="J22" i="12"/>
  <c r="J17" i="12"/>
  <c r="L12" i="5"/>
  <c r="L6" i="14"/>
  <c r="L40" i="14" s="1"/>
  <c r="K10" i="6"/>
  <c r="K22" i="6"/>
  <c r="L5" i="6"/>
  <c r="K14" i="8"/>
  <c r="K19" i="8"/>
  <c r="L5" i="8"/>
  <c r="K26" i="8"/>
  <c r="K32" i="8"/>
  <c r="L6" i="7"/>
  <c r="K41" i="7"/>
  <c r="K34" i="7"/>
  <c r="K27" i="7"/>
  <c r="K19" i="7"/>
  <c r="K12" i="7"/>
  <c r="I14" i="12"/>
  <c r="L16" i="5"/>
  <c r="C31" i="14" l="1"/>
  <c r="C34" i="14" s="1"/>
  <c r="C36" i="14" s="1"/>
  <c r="C16" i="14" s="1"/>
  <c r="K49" i="14"/>
  <c r="K47" i="14"/>
  <c r="L44" i="14"/>
  <c r="L48" i="14" s="1"/>
  <c r="L46" i="14"/>
  <c r="L42" i="14"/>
  <c r="K28" i="8"/>
  <c r="L34" i="8"/>
  <c r="L27" i="8"/>
  <c r="L7" i="12"/>
  <c r="K7" i="11"/>
  <c r="K10" i="11" s="1"/>
  <c r="K8" i="12"/>
  <c r="K14" i="12" s="1"/>
  <c r="L35" i="7"/>
  <c r="L22" i="8" s="1"/>
  <c r="L28" i="8" s="1"/>
  <c r="K22" i="12"/>
  <c r="K17" i="12"/>
  <c r="K11" i="12"/>
  <c r="K27" i="12"/>
  <c r="L22" i="6"/>
  <c r="L10" i="6"/>
  <c r="L26" i="8"/>
  <c r="L19" i="8"/>
  <c r="L14" i="8"/>
  <c r="L32" i="8"/>
  <c r="L34" i="7"/>
  <c r="L41" i="7"/>
  <c r="L19" i="7"/>
  <c r="L27" i="7"/>
  <c r="L12" i="7"/>
  <c r="AC66" i="3"/>
  <c r="L47" i="14" l="1"/>
  <c r="L49" i="14"/>
  <c r="L13" i="12"/>
  <c r="C38" i="12"/>
  <c r="C41" i="12" s="1"/>
  <c r="C42" i="12" s="1"/>
  <c r="L7" i="11"/>
  <c r="L8" i="12"/>
  <c r="L27" i="12"/>
  <c r="L22" i="12"/>
  <c r="L17" i="12"/>
  <c r="L11" i="12"/>
  <c r="C45" i="12" l="1"/>
  <c r="C47" i="12" s="1"/>
  <c r="C6" i="13" s="1"/>
  <c r="I4" i="1" s="1"/>
  <c r="C58" i="12"/>
  <c r="C61" i="12" s="1"/>
  <c r="C62" i="12" s="1"/>
  <c r="L14" i="12"/>
  <c r="L8" i="11"/>
  <c r="L11" i="11" s="1"/>
  <c r="C20" i="11" s="1"/>
  <c r="L10" i="11"/>
  <c r="C19" i="11" s="1"/>
  <c r="C65" i="12" l="1"/>
  <c r="C67"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<sst xmlns="http://schemas.openxmlformats.org/spreadsheetml/2006/main" count="756" uniqueCount="418">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</sst>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370.86</v>
    <v>190.12</v>
    <v>1.4041999999999999</v>
    <v>3.87</v>
    <v>1.5455000000000002E-2</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262.14999999999998</v>
    <v>3</v>
    <v>Software &amp; IT Services</v>
    <v>Stock</v>
    <v>46237.707026214841</v>
    <v>4</v>
    <v>251.68</v>
    <v>101076300000</v>
    <v>ADOBE INC.</v>
    <v>ADOBE INC.</v>
    <v>258</v>
    <v>14.5517</v>
    <v>250.41</v>
    <v>254.28</v>
    <v>397500000</v>
    <v>ADBE</v>
    <v>ADOBE INC. (XNAS:ADBE)</v>
    <v>2109755</v>
    <v>6012751</v>
    <v>1997</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47.47</v>
    <v>39.47</v>
    <v>0.82</v>
    <v>1.7585E-2</v>
    <v>US</v>
    <v>47.47</v>
    <v>Index</v>
    <v>10</v>
    <v>46.82</v>
    <v>10 Y TSY YLD NDX</v>
    <v>46.84</v>
    <v>46.63</v>
    <v>47.45</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I10" sqref="I1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7" t="s">
        <v>17</v>
      </c>
      <c r="C2" s="238"/>
      <c r="E2" s="237" t="s">
        <v>293</v>
      </c>
      <c r="F2" s="238"/>
      <c r="H2" s="237" t="s">
        <v>334</v>
      </c>
      <c r="I2" s="238"/>
    </row>
    <row r="3" spans="2:9" x14ac:dyDescent="0.2">
      <c r="B3" s="187" t="s">
        <v>11</v>
      </c>
      <c r="C3" s="219" t="e" vm="1">
        <v>#VALUE!</v>
      </c>
      <c r="D3" s="2"/>
      <c r="E3" s="187" t="s">
        <v>245</v>
      </c>
      <c r="F3" s="189">
        <f ca="1">Statement!AC153</f>
        <v>101203.44</v>
      </c>
      <c r="H3" s="187" t="str">
        <f>'AVG target price'!B5</f>
        <v>DCF price</v>
      </c>
      <c r="I3" s="213">
        <f ca="1">'AVG target price'!C5</f>
        <v>313.64871490723368</v>
      </c>
    </row>
    <row r="4" spans="2:9" x14ac:dyDescent="0.2">
      <c r="B4" s="187" t="s">
        <v>0</v>
      </c>
      <c r="C4" s="191" t="str" cm="1">
        <f t="array" aca="1" ref="C4" ca="1">_FV(C3,"Ticker symbol",TRUE)</f>
        <v>ADBE</v>
      </c>
      <c r="E4" s="188" t="s">
        <v>189</v>
      </c>
      <c r="F4" s="190">
        <f ca="1">Statement!AC154</f>
        <v>102222.44</v>
      </c>
      <c r="H4" s="187" t="str">
        <f>'AVG target price'!B6</f>
        <v>EV/EBIT price</v>
      </c>
      <c r="I4" s="213">
        <f ca="1">'AVG target price'!C6</f>
        <v>434.35854482668265</v>
      </c>
    </row>
    <row r="5" spans="2:9" x14ac:dyDescent="0.2">
      <c r="B5" s="187" t="s">
        <v>1</v>
      </c>
      <c r="C5" s="210" cm="1">
        <f t="array" aca="1" ref="C5" ca="1">_FV(C3,"Price",TRUE)</f>
        <v>254.28</v>
      </c>
      <c r="E5" s="187" t="s">
        <v>249</v>
      </c>
      <c r="F5" s="191">
        <f>Statement!AC26</f>
        <v>17.479999999999997</v>
      </c>
      <c r="H5" s="187" t="str">
        <f>'AVG target price'!B7</f>
        <v>PS price</v>
      </c>
      <c r="I5" s="213">
        <f>'AVG target price'!C7</f>
        <v>323.39164811633128</v>
      </c>
    </row>
    <row r="6" spans="2:9" x14ac:dyDescent="0.2">
      <c r="B6" s="187" t="s">
        <v>2</v>
      </c>
      <c r="C6" s="210" t="e" cm="1" vm="2">
        <f t="array" ref="C6">_FV(C3,"Price (Extended hours)",TRUE)</f>
        <v>#VALUE!</v>
      </c>
      <c r="E6" s="187" t="s">
        <v>243</v>
      </c>
      <c r="F6" s="192">
        <f ca="1">Statement!AC150</f>
        <v>14.546910755148744</v>
      </c>
      <c r="H6" s="187" t="str">
        <f>'AVG target price'!B8</f>
        <v>EV/FCFF price</v>
      </c>
      <c r="I6" s="213">
        <f ca="1">'AVG target price'!C8</f>
        <v>318.30572668993443</v>
      </c>
    </row>
    <row r="7" spans="2:9" x14ac:dyDescent="0.2">
      <c r="B7" s="187" t="s">
        <v>3</v>
      </c>
      <c r="C7" s="6" cm="1">
        <f t="array" aca="1" ref="C7" ca="1">_FV(C3,"Change")</f>
        <v>3.87</v>
      </c>
      <c r="E7" s="188" t="s">
        <v>202</v>
      </c>
      <c r="F7" s="193">
        <f ca="1">Statement!AC151</f>
        <v>4.1727430748472099</v>
      </c>
      <c r="H7" s="186" t="str">
        <f>'AVG target price'!B9</f>
        <v>AVG price</v>
      </c>
      <c r="I7" s="214">
        <f ca="1">'AVG target price'!C9</f>
        <v>347.42615863504545</v>
      </c>
    </row>
    <row r="8" spans="2:9" x14ac:dyDescent="0.2">
      <c r="B8" s="187" t="s">
        <v>4</v>
      </c>
      <c r="C8" s="6" t="e" cm="1" vm="3">
        <f t="array" ref="C8">_FV(C3,"Change (extended hours)",TRUE)</f>
        <v>#VALUE!</v>
      </c>
      <c r="E8" s="187" t="s">
        <v>271</v>
      </c>
      <c r="F8" s="194">
        <f ca="1">Statement!AC161</f>
        <v>8.0817410949667323E-2</v>
      </c>
      <c r="H8" s="186" t="str">
        <f>'AVG target price'!B11</f>
        <v>Upside/Downside</v>
      </c>
      <c r="I8" s="215">
        <f ca="1">'AVG target price'!C11</f>
        <v>0.36631334998838072</v>
      </c>
    </row>
    <row r="9" spans="2:9" x14ac:dyDescent="0.2">
      <c r="B9" s="187" t="s">
        <v>5</v>
      </c>
      <c r="C9" s="73" cm="1">
        <f t="array" aca="1" ref="C9" ca="1">_FV(C3,"Change (%)",TRUE)</f>
        <v>1.5455000000000002E-2</v>
      </c>
      <c r="E9" s="187" t="s">
        <v>294</v>
      </c>
      <c r="F9" s="194">
        <f ca="1">Statement!AC162</f>
        <v>6.8743117822872415E-2</v>
      </c>
    </row>
    <row r="10" spans="2:9" x14ac:dyDescent="0.2">
      <c r="B10" s="187" t="s">
        <v>6</v>
      </c>
      <c r="C10" s="73" t="e" cm="1" vm="4">
        <f t="array" ref="C10">_FV(C3,"Change % (extended hours)",TRUE)</f>
        <v>#VALUE!</v>
      </c>
      <c r="E10" s="187" t="s">
        <v>299</v>
      </c>
      <c r="F10" s="194">
        <f ca="1">Statement!AC164</f>
        <v>9.0115513860003174E-2</v>
      </c>
      <c r="H10" s="186" t="s">
        <v>408</v>
      </c>
      <c r="I10" s="214">
        <f>DDM!C26</f>
        <v>0</v>
      </c>
    </row>
    <row r="11" spans="2:9" x14ac:dyDescent="0.2">
      <c r="B11" s="187" t="s">
        <v>7</v>
      </c>
      <c r="C11" s="211" cm="1">
        <f t="array" aca="1" ref="C11" ca="1">_FV(C3,"52 week high",TRUE)</f>
        <v>370.86</v>
      </c>
      <c r="E11" s="188" t="s">
        <v>295</v>
      </c>
      <c r="F11" s="195">
        <f ca="1">Statement!AC163</f>
        <v>0</v>
      </c>
    </row>
    <row r="12" spans="2:9" x14ac:dyDescent="0.2">
      <c r="B12" s="187" t="s">
        <v>8</v>
      </c>
      <c r="C12" s="211" cm="1">
        <f t="array" aca="1" ref="C12" ca="1">_FV(C3,"52 week low",TRUE)</f>
        <v>190.12</v>
      </c>
      <c r="E12" s="187" t="s">
        <v>103</v>
      </c>
      <c r="F12" s="194">
        <f>Statement!AC123</f>
        <v>0.24150603013396588</v>
      </c>
    </row>
    <row r="13" spans="2:9" x14ac:dyDescent="0.2">
      <c r="B13" s="187" t="s">
        <v>9</v>
      </c>
      <c r="C13" s="211" cm="1">
        <f t="array" aca="1" ref="C13" ca="1">_FV(C3,"Beta")</f>
        <v>1.4041999999999999</v>
      </c>
      <c r="E13" s="187" t="s">
        <v>105</v>
      </c>
      <c r="F13" s="194">
        <f>Statement!AC125</f>
        <v>0.62762632401458585</v>
      </c>
    </row>
    <row r="14" spans="2:9" x14ac:dyDescent="0.2">
      <c r="B14" s="188" t="s">
        <v>10</v>
      </c>
      <c r="C14" s="212" cm="1">
        <f t="array" aca="1" ref="C14" ca="1">_FV(C3,"Volume average",TRUE)</f>
        <v>6012751</v>
      </c>
      <c r="E14" s="188" t="s">
        <v>106</v>
      </c>
      <c r="F14" s="195">
        <f>Statement!AC140</f>
        <v>0.5752841854820302</v>
      </c>
    </row>
    <row r="15" spans="2:9" x14ac:dyDescent="0.2">
      <c r="E15" s="187" t="s">
        <v>296</v>
      </c>
      <c r="F15" s="194">
        <f ca="1">Statement!AC176</f>
        <v>-1.0068827699927986E-2</v>
      </c>
    </row>
    <row r="16" spans="2:9" x14ac:dyDescent="0.2">
      <c r="E16" s="188" t="s">
        <v>301</v>
      </c>
      <c r="F16" s="193">
        <f>Statement!AC175</f>
        <v>-2.5603015075376883</v>
      </c>
    </row>
    <row r="17" spans="2:9" x14ac:dyDescent="0.2">
      <c r="B17" s="239" t="s">
        <v>90</v>
      </c>
      <c r="C17" s="239"/>
      <c r="E17" s="186" t="s">
        <v>302</v>
      </c>
      <c r="F17" s="196">
        <f>Statement!AC171</f>
        <v>2.5125628140703518E-3</v>
      </c>
    </row>
    <row r="18" spans="2:9" x14ac:dyDescent="0.2">
      <c r="B18" s="186" t="s">
        <v>12</v>
      </c>
      <c r="C18" s="69" t="s">
        <v>370</v>
      </c>
      <c r="E18" s="187" t="s">
        <v>303</v>
      </c>
      <c r="F18" s="192">
        <f>Statement!AC144</f>
        <v>-39.346199522998823</v>
      </c>
      <c r="I18" s="50"/>
    </row>
    <row r="19" spans="2:9" x14ac:dyDescent="0.2">
      <c r="B19" s="186" t="s">
        <v>13</v>
      </c>
      <c r="C19" s="70">
        <v>1000000</v>
      </c>
      <c r="E19" s="187" t="s">
        <v>264</v>
      </c>
      <c r="F19" s="192">
        <f>Statement!AC146</f>
        <v>8.8470220524396598E-2</v>
      </c>
    </row>
    <row r="20" spans="2:9" x14ac:dyDescent="0.2">
      <c r="B20" s="186" t="s">
        <v>91</v>
      </c>
      <c r="C20" s="69" t="s">
        <v>92</v>
      </c>
      <c r="E20" s="188" t="s">
        <v>304</v>
      </c>
      <c r="F20" s="193">
        <f>Statement!AC147</f>
        <v>0.63081636032455701</v>
      </c>
    </row>
    <row r="21" spans="2:9" x14ac:dyDescent="0.2">
      <c r="B21" s="186" t="s">
        <v>93</v>
      </c>
      <c r="C21" s="69" t="s">
        <v>94</v>
      </c>
      <c r="I21" s="50"/>
    </row>
    <row r="22" spans="2:9" x14ac:dyDescent="0.2">
      <c r="B22" s="186" t="s">
        <v>95</v>
      </c>
      <c r="C22" s="69" t="s">
        <v>92</v>
      </c>
    </row>
    <row r="25" spans="2:9" x14ac:dyDescent="0.2">
      <c r="B25" s="239" t="s">
        <v>108</v>
      </c>
      <c r="C25" s="239"/>
      <c r="E25" s="237" t="s">
        <v>352</v>
      </c>
      <c r="F25" s="238"/>
    </row>
    <row r="26" spans="2:9" x14ac:dyDescent="0.2">
      <c r="B26" s="186" t="s">
        <v>109</v>
      </c>
      <c r="C26" s="172">
        <v>0.21</v>
      </c>
      <c r="E26" s="187" t="e" vm="5">
        <v>#VALUE!</v>
      </c>
      <c r="F26" s="221" cm="1">
        <f t="array" aca="1" ref="F26" ca="1">_FV(E26,"Price")</f>
        <v>47.45</v>
      </c>
    </row>
    <row r="27" spans="2:9" x14ac:dyDescent="0.2">
      <c r="B27" s="186" t="s">
        <v>173</v>
      </c>
      <c r="C27" s="223">
        <v>5.0999999999999997E-2</v>
      </c>
      <c r="E27" s="188" t="s">
        <v>353</v>
      </c>
      <c r="F27" s="222">
        <f ca="1">F26/1000</f>
        <v>4.7450000000000006E-2</v>
      </c>
    </row>
    <row r="28" spans="2:9" x14ac:dyDescent="0.2">
      <c r="B28" s="186" t="s">
        <v>357</v>
      </c>
      <c r="C28" s="223">
        <v>0</v>
      </c>
    </row>
    <row r="29" spans="2:9" x14ac:dyDescent="0.2">
      <c r="B29" s="186" t="s">
        <v>407</v>
      </c>
      <c r="C29" s="223">
        <v>0.1</v>
      </c>
    </row>
    <row r="33" spans="2:8" x14ac:dyDescent="0.2">
      <c r="B33" s="240" t="s">
        <v>344</v>
      </c>
      <c r="C33" s="240"/>
      <c r="D33" s="240"/>
      <c r="E33" s="240"/>
      <c r="F33" s="240"/>
      <c r="G33" s="240"/>
      <c r="H33" s="240"/>
    </row>
    <row r="35" spans="2:8" x14ac:dyDescent="0.2">
      <c r="B35" s="16" t="s">
        <v>345</v>
      </c>
      <c r="C35" s="1" t="s">
        <v>394</v>
      </c>
    </row>
    <row r="36" spans="2:8" x14ac:dyDescent="0.2">
      <c r="B36" s="16" t="s">
        <v>346</v>
      </c>
      <c r="C36" s="1" t="s">
        <v>395</v>
      </c>
    </row>
    <row r="39" spans="2:8" ht="6" customHeight="1" x14ac:dyDescent="0.2">
      <c r="B39" s="240"/>
      <c r="C39" s="240"/>
      <c r="D39" s="240"/>
      <c r="E39" s="240"/>
      <c r="F39" s="240"/>
      <c r="G39" s="240"/>
      <c r="H39" s="240"/>
    </row>
    <row r="42" spans="2:8" x14ac:dyDescent="0.2">
      <c r="B42" s="240" t="s">
        <v>347</v>
      </c>
      <c r="C42" s="240"/>
      <c r="D42" s="240"/>
      <c r="E42" s="240"/>
      <c r="F42" s="240"/>
      <c r="G42" s="240"/>
      <c r="H42" s="240"/>
    </row>
    <row r="44" spans="2:8" x14ac:dyDescent="0.2">
      <c r="B44" s="41" t="s">
        <v>348</v>
      </c>
      <c r="C44" s="41" t="s">
        <v>335</v>
      </c>
      <c r="D44" s="41"/>
      <c r="E44" s="41" t="s">
        <v>336</v>
      </c>
    </row>
    <row r="49" spans="2:8" ht="5" customHeight="1" x14ac:dyDescent="0.2">
      <c r="B49" s="240"/>
      <c r="C49" s="240"/>
      <c r="D49" s="240"/>
      <c r="E49" s="240"/>
      <c r="F49" s="240"/>
      <c r="G49" s="240"/>
      <c r="H49" s="240"/>
    </row>
    <row r="52" spans="2:8" x14ac:dyDescent="0.2">
      <c r="B52" s="240" t="s">
        <v>110</v>
      </c>
      <c r="C52" s="240"/>
      <c r="D52" s="240"/>
      <c r="E52" s="240"/>
      <c r="F52" s="240"/>
      <c r="G52" s="240"/>
      <c r="H52" s="240"/>
    </row>
    <row r="54" spans="2:8" x14ac:dyDescent="0.2">
      <c r="B54" s="41" t="s">
        <v>348</v>
      </c>
      <c r="C54" s="41" t="s">
        <v>374</v>
      </c>
      <c r="D54" s="41"/>
      <c r="E54" s="41" t="s">
        <v>400</v>
      </c>
    </row>
    <row r="55" spans="2:8" x14ac:dyDescent="0.2">
      <c r="B55" s="1" t="s">
        <v>401</v>
      </c>
      <c r="C55" s="1" t="s">
        <v>402</v>
      </c>
      <c r="E55" s="1" t="s">
        <v>403</v>
      </c>
    </row>
    <row r="59" spans="2:8" ht="5" customHeight="1" x14ac:dyDescent="0.2">
      <c r="B59" s="240"/>
      <c r="C59" s="240"/>
      <c r="D59" s="240"/>
      <c r="E59" s="240"/>
      <c r="F59" s="240"/>
      <c r="G59" s="240"/>
      <c r="H59" s="240"/>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W151"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371</v>
      </c>
      <c r="N2" s="9" t="s">
        <v>372</v>
      </c>
      <c r="O2" s="10" t="s">
        <v>373</v>
      </c>
      <c r="P2" s="10" t="s">
        <v>374</v>
      </c>
      <c r="Q2" s="10" t="s">
        <v>375</v>
      </c>
      <c r="R2" s="7"/>
      <c r="S2" s="7"/>
      <c r="T2" s="10" t="s">
        <v>376</v>
      </c>
      <c r="U2" s="10" t="s">
        <v>374</v>
      </c>
      <c r="V2" s="10" t="s">
        <v>377</v>
      </c>
      <c r="W2" s="10" t="s">
        <v>378</v>
      </c>
      <c r="X2" s="10" t="s">
        <v>379</v>
      </c>
      <c r="Y2" s="205" t="s">
        <v>375</v>
      </c>
      <c r="Z2" s="205" t="s">
        <v>380</v>
      </c>
      <c r="AA2" s="205" t="s">
        <v>381</v>
      </c>
      <c r="AB2" s="7"/>
      <c r="AD2" s="7"/>
      <c r="AE2" s="7"/>
    </row>
    <row r="3" spans="1:31" s="13" customFormat="1" x14ac:dyDescent="0.2">
      <c r="A3" s="11"/>
      <c r="B3" s="12" t="s">
        <v>16</v>
      </c>
      <c r="M3" s="13">
        <v>2021</v>
      </c>
      <c r="N3" s="13">
        <v>2022</v>
      </c>
      <c r="O3" s="13">
        <v>2023</v>
      </c>
      <c r="P3" s="13">
        <v>2024</v>
      </c>
      <c r="Q3" s="13">
        <v>2025</v>
      </c>
      <c r="R3" s="11"/>
      <c r="S3" s="11"/>
      <c r="T3" s="10" t="s">
        <v>382</v>
      </c>
      <c r="U3" s="10" t="s">
        <v>383</v>
      </c>
      <c r="V3" s="10" t="s">
        <v>384</v>
      </c>
      <c r="W3" s="10" t="s">
        <v>88</v>
      </c>
      <c r="X3" s="10" t="s">
        <v>86</v>
      </c>
      <c r="Y3" s="205" t="s">
        <v>85</v>
      </c>
      <c r="Z3" s="205" t="s">
        <v>89</v>
      </c>
      <c r="AA3" s="205"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337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365</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30">
        <v>12857</v>
      </c>
      <c r="Z35" s="230">
        <v>12869</v>
      </c>
      <c r="AA35" s="230">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341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342</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337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290</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340</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240</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241</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242</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281</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282</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305</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574.41</v>
      </c>
      <c r="U116" s="26">
        <v>513.88</v>
      </c>
      <c r="V116" s="26">
        <v>438.65</v>
      </c>
      <c r="W116" s="26">
        <v>415.09</v>
      </c>
      <c r="X116" s="26">
        <v>356.7</v>
      </c>
      <c r="Y116" s="26">
        <v>317.52</v>
      </c>
      <c r="Z116" s="26">
        <v>262.41000000000003</v>
      </c>
      <c r="AA116" s="26">
        <v>259.20999999999998</v>
      </c>
      <c r="AC116" s="63">
        <f ca="1">Overview!C5</f>
        <v>254.28</v>
      </c>
    </row>
    <row r="117" spans="1:31" x14ac:dyDescent="0.2">
      <c r="B117" s="20" t="s">
        <v>354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AA117" si="66">T116/T85</f>
        <v>574.41</v>
      </c>
      <c r="U117" s="65">
        <f t="shared" si="66"/>
        <v>513.88</v>
      </c>
      <c r="V117" s="65">
        <f t="shared" si="66"/>
        <v>438.65</v>
      </c>
      <c r="W117" s="65">
        <f t="shared" si="66"/>
        <v>415.09</v>
      </c>
      <c r="X117" s="65">
        <f t="shared" si="66"/>
        <v>356.7</v>
      </c>
      <c r="Y117" s="65">
        <f t="shared" si="66"/>
        <v>317.52</v>
      </c>
      <c r="Z117" s="65">
        <f t="shared" si="66"/>
        <v>262.41000000000003</v>
      </c>
      <c r="AA117" s="65">
        <f t="shared" si="66"/>
        <v>259.20999999999998</v>
      </c>
      <c r="AC117" s="65">
        <f ca="1">AC116/AC85</f>
        <v>254.28</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7">M121*M122</f>
        <v>0.1770125913145626</v>
      </c>
      <c r="N123" s="76">
        <f t="shared" si="67"/>
        <v>0.17507822565801581</v>
      </c>
      <c r="O123" s="76">
        <f t="shared" si="67"/>
        <v>0.18227610060781085</v>
      </c>
      <c r="P123" s="76">
        <f t="shared" si="67"/>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8">M123*M124</f>
        <v>0.3258768669324863</v>
      </c>
      <c r="N125" s="76">
        <f t="shared" si="68"/>
        <v>0.33848124688634257</v>
      </c>
      <c r="O125" s="76">
        <f t="shared" si="68"/>
        <v>0.32861121201113935</v>
      </c>
      <c r="P125" s="76">
        <f t="shared" si="68"/>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234</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235</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236</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237</v>
      </c>
      <c r="C131" s="49"/>
      <c r="D131" s="49"/>
      <c r="E131" s="49"/>
      <c r="F131" s="49"/>
      <c r="G131" s="49"/>
      <c r="H131" s="49"/>
      <c r="I131" s="49"/>
      <c r="J131" s="49"/>
      <c r="K131" s="49"/>
      <c r="L131" s="49"/>
      <c r="M131" s="49"/>
      <c r="N131" s="49"/>
      <c r="O131" s="49"/>
      <c r="P131" s="49"/>
      <c r="Q131" s="49"/>
      <c r="T131" s="25">
        <f t="shared" ref="T131:AA131" si="69">U5</f>
        <v>5606</v>
      </c>
      <c r="U131" s="25">
        <f t="shared" si="69"/>
        <v>5714</v>
      </c>
      <c r="V131" s="25">
        <f t="shared" si="69"/>
        <v>5873</v>
      </c>
      <c r="W131" s="25">
        <f t="shared" si="69"/>
        <v>5988</v>
      </c>
      <c r="X131" s="25">
        <f t="shared" si="69"/>
        <v>6194</v>
      </c>
      <c r="Y131" s="25">
        <f t="shared" si="69"/>
        <v>6398</v>
      </c>
      <c r="Z131" s="25">
        <f t="shared" si="69"/>
        <v>6618</v>
      </c>
      <c r="AA131" s="25">
        <f t="shared" si="69"/>
        <v>0</v>
      </c>
      <c r="AC131" s="49"/>
    </row>
    <row r="132" spans="2:29" x14ac:dyDescent="0.2">
      <c r="B132" s="20" t="s">
        <v>187</v>
      </c>
      <c r="C132" s="49"/>
      <c r="D132" s="49"/>
      <c r="E132" s="49"/>
      <c r="F132" s="49"/>
      <c r="G132" s="49"/>
      <c r="H132" s="49"/>
      <c r="I132" s="49"/>
      <c r="J132" s="49"/>
      <c r="K132" s="49"/>
      <c r="L132" s="49"/>
      <c r="M132" s="49"/>
      <c r="N132" s="49"/>
      <c r="O132" s="49"/>
      <c r="P132" s="49"/>
      <c r="Q132" s="49"/>
      <c r="T132" s="227" t="str">
        <f t="shared" ref="T132:Z132" si="70">IF(T131&gt;T130, "BEAT", IF(T131&lt;T129, "MISSED", "MET"))</f>
        <v>BEAT</v>
      </c>
      <c r="U132" s="227" t="str">
        <f t="shared" si="70"/>
        <v>BEAT</v>
      </c>
      <c r="V132" s="227" t="str">
        <f t="shared" si="70"/>
        <v>BEAT</v>
      </c>
      <c r="W132" s="227" t="str">
        <f t="shared" si="70"/>
        <v>BEAT</v>
      </c>
      <c r="X132" s="227" t="str">
        <f t="shared" si="70"/>
        <v>BEAT</v>
      </c>
      <c r="Y132" s="227" t="str">
        <f t="shared" si="70"/>
        <v>BEAT</v>
      </c>
      <c r="Z132" s="227" t="str">
        <f t="shared" si="70"/>
        <v>BEAT</v>
      </c>
      <c r="AA132" s="227" t="str">
        <f>IF(AA131&gt;AA130, "BEAT", IF(AA131&lt;AA129, "MISSED", "MET"))</f>
        <v>MISSED</v>
      </c>
      <c r="AC132" s="49"/>
    </row>
    <row r="133" spans="2:29" x14ac:dyDescent="0.2">
      <c r="B133" s="20" t="s">
        <v>385</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386</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387</v>
      </c>
      <c r="C135" s="49"/>
      <c r="D135" s="49"/>
      <c r="E135" s="49"/>
      <c r="F135" s="49"/>
      <c r="G135" s="49"/>
      <c r="H135" s="49"/>
      <c r="I135" s="49"/>
      <c r="J135" s="49"/>
      <c r="K135" s="49"/>
      <c r="L135" s="49"/>
      <c r="M135" s="49"/>
      <c r="N135" s="49"/>
      <c r="O135" s="49"/>
      <c r="P135" s="49"/>
      <c r="Q135" s="49"/>
      <c r="T135" s="231">
        <f>U25</f>
        <v>3.79</v>
      </c>
      <c r="U135" s="231">
        <f t="shared" ref="U135:AA135" si="71">V25</f>
        <v>4.1399999999999997</v>
      </c>
      <c r="V135" s="231">
        <f t="shared" si="71"/>
        <v>3.94</v>
      </c>
      <c r="W135" s="231">
        <f t="shared" si="71"/>
        <v>4.18</v>
      </c>
      <c r="X135" s="231">
        <f t="shared" si="71"/>
        <v>4.45</v>
      </c>
      <c r="Y135" s="231">
        <f t="shared" si="71"/>
        <v>4.5999999999999996</v>
      </c>
      <c r="Z135" s="231">
        <f t="shared" si="71"/>
        <v>4.25</v>
      </c>
      <c r="AA135" s="231">
        <f t="shared" si="71"/>
        <v>0</v>
      </c>
      <c r="AC135" s="49"/>
    </row>
    <row r="136" spans="2:29" x14ac:dyDescent="0.2">
      <c r="B136" s="23" t="s">
        <v>187</v>
      </c>
      <c r="C136" s="49"/>
      <c r="D136" s="49"/>
      <c r="E136" s="49"/>
      <c r="F136" s="49"/>
      <c r="G136" s="49"/>
      <c r="H136" s="49"/>
      <c r="I136" s="49"/>
      <c r="J136" s="49"/>
      <c r="K136" s="49"/>
      <c r="L136" s="49"/>
      <c r="M136" s="49"/>
      <c r="N136" s="49"/>
      <c r="O136" s="49"/>
      <c r="P136" s="49"/>
      <c r="Q136" s="49"/>
      <c r="T136" s="227" t="str">
        <f t="shared" ref="T136:Z136" si="72">IF(T135&gt;T134, "BEAT", IF(T135&lt;T133, "MISSED", "MET"))</f>
        <v>BEAT</v>
      </c>
      <c r="U136" s="227" t="str">
        <f t="shared" si="72"/>
        <v>BEAT</v>
      </c>
      <c r="V136" s="227" t="str">
        <f t="shared" si="72"/>
        <v>BEAT</v>
      </c>
      <c r="W136" s="227" t="str">
        <f t="shared" si="72"/>
        <v>BEAT</v>
      </c>
      <c r="X136" s="227" t="str">
        <f t="shared" si="72"/>
        <v>BEAT</v>
      </c>
      <c r="Y136" s="227" t="str">
        <f t="shared" si="72"/>
        <v>MET</v>
      </c>
      <c r="Z136" s="227" t="str">
        <f t="shared" si="72"/>
        <v>MISSED</v>
      </c>
      <c r="AA136" s="227" t="str">
        <f>IF(AA135&gt;AA134, "BEAT", IF(AA135&lt;AA133, "MISSED", "MET"))</f>
        <v>MISSED</v>
      </c>
      <c r="AC136" s="49"/>
    </row>
    <row r="138" spans="2:29" x14ac:dyDescent="0.2">
      <c r="B138" s="1"/>
    </row>
    <row r="139" spans="2:29" ht="17" thickBot="1" x14ac:dyDescent="0.25">
      <c r="B139" s="14" t="s">
        <v>254</v>
      </c>
      <c r="C139" s="173"/>
      <c r="D139" s="173"/>
      <c r="E139" s="173"/>
      <c r="F139" s="173"/>
      <c r="G139" s="173"/>
      <c r="H139" s="173"/>
      <c r="I139" s="173"/>
      <c r="J139" s="173"/>
      <c r="K139" s="173"/>
      <c r="L139" s="173"/>
      <c r="M139" s="173"/>
      <c r="N139" s="173"/>
      <c r="O139" s="173"/>
      <c r="P139" s="173"/>
      <c r="Q139" s="173"/>
      <c r="T139" s="173"/>
      <c r="U139" s="173"/>
      <c r="V139" s="173"/>
      <c r="W139" s="173"/>
      <c r="X139" s="173"/>
      <c r="Y139" s="173"/>
      <c r="Z139" s="173"/>
      <c r="AA139" s="173"/>
      <c r="AC139" s="173"/>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3">M30/M5*365</f>
        <v>43.425403864428255</v>
      </c>
      <c r="N141" s="120">
        <f t="shared" si="73"/>
        <v>42.810689537657616</v>
      </c>
      <c r="O141" s="120">
        <f t="shared" si="73"/>
        <v>41.823896130661034</v>
      </c>
      <c r="P141" s="120">
        <f t="shared" si="73"/>
        <v>35.167635433620084</v>
      </c>
      <c r="Q141" s="120">
        <f t="shared" si="73"/>
        <v>35.994783120871723</v>
      </c>
      <c r="T141" s="120">
        <f t="shared" ref="T141:AA141" si="74">T30/T5*90</f>
        <v>29.988905325443788</v>
      </c>
      <c r="U141" s="120">
        <f t="shared" si="74"/>
        <v>33.264359614698542</v>
      </c>
      <c r="V141" s="120">
        <f t="shared" si="74"/>
        <v>31.076303815190759</v>
      </c>
      <c r="W141" s="120">
        <f t="shared" si="74"/>
        <v>26.587774561552866</v>
      </c>
      <c r="X141" s="120">
        <f t="shared" si="74"/>
        <v>31.457915831663328</v>
      </c>
      <c r="Y141" s="120">
        <f t="shared" si="74"/>
        <v>34.058766548272523</v>
      </c>
      <c r="Z141" s="120">
        <f t="shared" si="74"/>
        <v>29.427946233197872</v>
      </c>
      <c r="AA141" s="120">
        <f t="shared" si="74"/>
        <v>27.103354487760654</v>
      </c>
      <c r="AC141" s="120">
        <f>AC30/AC5*365</f>
        <v>28.869156282244624</v>
      </c>
    </row>
    <row r="142" spans="2:29" x14ac:dyDescent="0.2">
      <c r="B142" s="20" t="s">
        <v>141</v>
      </c>
      <c r="M142" s="120">
        <f t="shared" si="73"/>
        <v>0</v>
      </c>
      <c r="N142" s="120">
        <f t="shared" si="73"/>
        <v>0</v>
      </c>
      <c r="O142" s="120">
        <f t="shared" si="73"/>
        <v>0</v>
      </c>
      <c r="P142" s="120">
        <f t="shared" si="73"/>
        <v>0</v>
      </c>
      <c r="Q142" s="120">
        <f t="shared" si="73"/>
        <v>0</v>
      </c>
      <c r="T142" s="120">
        <f t="shared" ref="T142:AA142" si="75">T31/T6*365</f>
        <v>0</v>
      </c>
      <c r="U142" s="120">
        <f t="shared" si="75"/>
        <v>0</v>
      </c>
      <c r="V142" s="120">
        <f t="shared" si="75"/>
        <v>0</v>
      </c>
      <c r="W142" s="120">
        <f t="shared" si="75"/>
        <v>0</v>
      </c>
      <c r="X142" s="120">
        <f t="shared" si="75"/>
        <v>0</v>
      </c>
      <c r="Y142" s="120">
        <f t="shared" si="75"/>
        <v>0</v>
      </c>
      <c r="Z142" s="120">
        <f t="shared" si="75"/>
        <v>0</v>
      </c>
      <c r="AA142" s="120">
        <f t="shared" si="75"/>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6">T38/T6*90</f>
        <v>51.660649819494587</v>
      </c>
      <c r="U143" s="120">
        <f t="shared" si="76"/>
        <v>52.743506493506494</v>
      </c>
      <c r="V143" s="120">
        <f t="shared" si="76"/>
        <v>47.170418006430864</v>
      </c>
      <c r="W143" s="120">
        <f t="shared" si="76"/>
        <v>50.783699059561123</v>
      </c>
      <c r="X143" s="120">
        <f t="shared" si="76"/>
        <v>47.242990654205606</v>
      </c>
      <c r="Y143" s="120">
        <f t="shared" si="76"/>
        <v>57.827426810477661</v>
      </c>
      <c r="Z143" s="120">
        <f t="shared" si="76"/>
        <v>56.792168674698793</v>
      </c>
      <c r="AA143" s="120">
        <f t="shared" si="76"/>
        <v>62.811188811188813</v>
      </c>
      <c r="AC143" s="120">
        <f>AC38/AC6*365</f>
        <v>68.215355805243448</v>
      </c>
    </row>
    <row r="144" spans="2:29" x14ac:dyDescent="0.2">
      <c r="B144" s="20" t="s">
        <v>143</v>
      </c>
      <c r="M144" s="120">
        <f>M141+M142-M143</f>
        <v>-17.63625833396317</v>
      </c>
      <c r="N144" s="120">
        <f t="shared" ref="N144:Q144" si="77">N141+N142-N143</f>
        <v>-21.085384365344694</v>
      </c>
      <c r="O144" s="120">
        <f t="shared" si="77"/>
        <v>-6.863444566025457</v>
      </c>
      <c r="P144" s="120">
        <f t="shared" si="77"/>
        <v>-20.712347602851501</v>
      </c>
      <c r="Q144" s="120">
        <f t="shared" si="77"/>
        <v>-23.670054197826829</v>
      </c>
      <c r="T144" s="120">
        <f t="shared" ref="T144" si="78">T141+T142-T143</f>
        <v>-21.671744494050799</v>
      </c>
      <c r="U144" s="120">
        <f t="shared" ref="U144" si="79">U141+U142-U143</f>
        <v>-19.479146878807953</v>
      </c>
      <c r="V144" s="120">
        <f t="shared" ref="V144" si="80">V141+V142-V143</f>
        <v>-16.094114191240106</v>
      </c>
      <c r="W144" s="120">
        <f t="shared" ref="W144" si="81">W141+W142-W143</f>
        <v>-24.195924498008257</v>
      </c>
      <c r="X144" s="120">
        <f t="shared" ref="X144" si="82">X141+X142-X143</f>
        <v>-15.785074822542278</v>
      </c>
      <c r="Y144" s="120">
        <f t="shared" ref="Y144" si="83">Y141+Y142-Y143</f>
        <v>-23.768660262205138</v>
      </c>
      <c r="Z144" s="120">
        <f t="shared" ref="Z144:AA144" si="84">Z141+Z142-Z143</f>
        <v>-27.364222441500921</v>
      </c>
      <c r="AA144" s="120">
        <f t="shared" si="84"/>
        <v>-35.707834323428159</v>
      </c>
      <c r="AC144" s="120">
        <f t="shared" ref="AC144" si="85">AC141+AC142-AC143</f>
        <v>-39.346199522998823</v>
      </c>
    </row>
    <row r="145" spans="2:29" x14ac:dyDescent="0.2">
      <c r="B145" s="20" t="s">
        <v>257</v>
      </c>
      <c r="M145" s="120">
        <f>M108/M49</f>
        <v>0.27863756166790565</v>
      </c>
      <c r="N145" s="120">
        <f>N108/N49</f>
        <v>0.29385808839228522</v>
      </c>
      <c r="O145" s="120">
        <f>O108/O49</f>
        <v>0.22000242160067804</v>
      </c>
      <c r="P145" s="120">
        <f>P108/P49</f>
        <v>0.39900744416873452</v>
      </c>
      <c r="Q145" s="120">
        <f>Q108/Q49</f>
        <v>0.53428546846769331</v>
      </c>
      <c r="T145" s="120">
        <f t="shared" ref="T145:AA145" si="86">T108/T49</f>
        <v>0.38686833963561362</v>
      </c>
      <c r="U145" s="120">
        <f t="shared" si="86"/>
        <v>0.39900744416873452</v>
      </c>
      <c r="V145" s="120">
        <f t="shared" si="86"/>
        <v>0.47002672775868654</v>
      </c>
      <c r="W145" s="120">
        <f t="shared" si="86"/>
        <v>0.53860936408106219</v>
      </c>
      <c r="X145" s="120">
        <f t="shared" si="86"/>
        <v>0.52676295666949868</v>
      </c>
      <c r="Y145" s="120">
        <f t="shared" si="86"/>
        <v>0.53428546846769331</v>
      </c>
      <c r="Z145" s="120">
        <f t="shared" si="86"/>
        <v>0.54473891367095251</v>
      </c>
      <c r="AA145" s="120">
        <f t="shared" si="86"/>
        <v>0.57692307692307687</v>
      </c>
      <c r="AC145" s="120">
        <f>AC108/AC49</f>
        <v>0.57692307692307687</v>
      </c>
    </row>
    <row r="146" spans="2:29" x14ac:dyDescent="0.2">
      <c r="B146" s="20" t="s">
        <v>261</v>
      </c>
      <c r="M146" s="181">
        <f>(M108-M107)/M49</f>
        <v>-0.11319862134216395</v>
      </c>
      <c r="N146" s="181">
        <f>(N108-N107)/N49</f>
        <v>-0.13999003629634901</v>
      </c>
      <c r="O146" s="181">
        <f>(O108-O107)/O49</f>
        <v>-0.25475239133066957</v>
      </c>
      <c r="P146" s="181">
        <f>(P108-P107)/P49</f>
        <v>-0.16008507621410847</v>
      </c>
      <c r="Q146" s="181">
        <f>(Q108-Q107)/Q49</f>
        <v>-3.3123978318850555E-2</v>
      </c>
      <c r="T146" s="181">
        <f t="shared" ref="T146:AA146" si="87">(T108-T107)/T49</f>
        <v>-0.12980405637676176</v>
      </c>
      <c r="U146" s="181">
        <f t="shared" si="87"/>
        <v>-0.16008507621410847</v>
      </c>
      <c r="V146" s="181">
        <f t="shared" si="87"/>
        <v>-9.7747231767850329E-2</v>
      </c>
      <c r="W146" s="181">
        <f t="shared" si="87"/>
        <v>3.957023060796646E-2</v>
      </c>
      <c r="X146" s="181">
        <f t="shared" si="87"/>
        <v>2.2090059473237042E-2</v>
      </c>
      <c r="Y146" s="181">
        <f t="shared" si="87"/>
        <v>-3.3123978318850555E-2</v>
      </c>
      <c r="Z146" s="181">
        <f t="shared" si="87"/>
        <v>-5.7902562756931689E-2</v>
      </c>
      <c r="AA146" s="181">
        <f t="shared" si="87"/>
        <v>8.8470220524396598E-2</v>
      </c>
      <c r="AC146" s="181">
        <f>(AC108-AC107)/AC49</f>
        <v>8.8470220524396598E-2</v>
      </c>
    </row>
    <row r="147" spans="2:29" x14ac:dyDescent="0.2">
      <c r="B147" s="20" t="s">
        <v>258</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8">(T107+T30)/T40</f>
        <v>0.9660929075072584</v>
      </c>
      <c r="U147" s="120">
        <f t="shared" si="88"/>
        <v>0.94648797642809623</v>
      </c>
      <c r="V147" s="120">
        <f t="shared" si="88"/>
        <v>1.0267379679144386</v>
      </c>
      <c r="W147" s="120">
        <f t="shared" si="88"/>
        <v>0.82398495408784156</v>
      </c>
      <c r="X147" s="120">
        <f t="shared" si="88"/>
        <v>0.8694663924667172</v>
      </c>
      <c r="Y147" s="120">
        <f t="shared" si="88"/>
        <v>0.87637254901960782</v>
      </c>
      <c r="Z147" s="120">
        <f t="shared" si="88"/>
        <v>0.78858647936786652</v>
      </c>
      <c r="AA147" s="120">
        <f t="shared" si="88"/>
        <v>0.63081636032455701</v>
      </c>
      <c r="AC147" s="120">
        <f>(AC107+AC30)/AC40</f>
        <v>0.63081636032455701</v>
      </c>
    </row>
    <row r="148" spans="2:29" x14ac:dyDescent="0.2">
      <c r="B148" s="20" t="s">
        <v>259</v>
      </c>
      <c r="M148" s="120">
        <f>M32/M40</f>
        <v>1.2505770340450086</v>
      </c>
      <c r="N148" s="120">
        <f>N32/N40</f>
        <v>1.1067913385826771</v>
      </c>
      <c r="O148" s="120">
        <f>O32/O40</f>
        <v>1.3433523209307963</v>
      </c>
      <c r="P148" s="120">
        <f>P32/P40</f>
        <v>1.0675791274593669</v>
      </c>
      <c r="Q148" s="120">
        <f>Q32/Q40</f>
        <v>0.99637254901960781</v>
      </c>
      <c r="T148" s="120">
        <f t="shared" ref="T148:AA148" si="89">T32/T40</f>
        <v>1.111157196184156</v>
      </c>
      <c r="U148" s="120">
        <f t="shared" si="89"/>
        <v>1.0675791274593669</v>
      </c>
      <c r="V148" s="120">
        <f t="shared" si="89"/>
        <v>1.1846556804539998</v>
      </c>
      <c r="W148" s="120">
        <f t="shared" si="89"/>
        <v>0.99325146587011837</v>
      </c>
      <c r="X148" s="120">
        <f t="shared" si="89"/>
        <v>1.018724970234874</v>
      </c>
      <c r="Y148" s="120">
        <f t="shared" si="89"/>
        <v>0.99637254901960781</v>
      </c>
      <c r="Z148" s="120">
        <f t="shared" si="89"/>
        <v>0.91185250219490777</v>
      </c>
      <c r="AA148" s="120">
        <f t="shared" si="89"/>
        <v>0.75078655406524264</v>
      </c>
      <c r="AC148" s="120">
        <f>AC32/AC40</f>
        <v>0.75078655406524264</v>
      </c>
    </row>
    <row r="149" spans="2:29" x14ac:dyDescent="0.2">
      <c r="B149" s="20" t="s">
        <v>265</v>
      </c>
      <c r="M149" s="183">
        <f>IF(M13&gt;=0,"N/A",IF(M12&lt;=0,"N/A",M12/-M13))</f>
        <v>51.345132743362832</v>
      </c>
      <c r="N149" s="183">
        <f>IF(N13&gt;=0,"N/A",IF(N12&lt;=0,"N/A",N12/-N13))</f>
        <v>54.446428571428569</v>
      </c>
      <c r="O149" s="183">
        <f>IF(O13&gt;=0,"N/A",IF(O12&lt;=0,"N/A",O12/-O13))</f>
        <v>58.849557522123895</v>
      </c>
      <c r="P149" s="183">
        <f>IF(P13&gt;=0,"N/A",IF(P12&lt;=0,"N/A",P12/-P13))</f>
        <v>39.887573964497044</v>
      </c>
      <c r="Q149" s="183">
        <f>IF(Q13&gt;=0,"N/A",IF(Q12&lt;=0,"N/A",Q12/-Q13))</f>
        <v>33.102661596958178</v>
      </c>
      <c r="T149" s="183">
        <f t="shared" ref="T149:AA149" si="90">IF(T13&gt;=0,"N/A",IF(T12&lt;=0,"N/A",T12/-T13))</f>
        <v>39.058823529411768</v>
      </c>
      <c r="U149" s="183">
        <f t="shared" si="90"/>
        <v>39.14</v>
      </c>
      <c r="V149" s="183">
        <f t="shared" si="90"/>
        <v>34.887096774193552</v>
      </c>
      <c r="W149" s="183">
        <f t="shared" si="90"/>
        <v>31.014705882352942</v>
      </c>
      <c r="X149" s="183">
        <f t="shared" si="90"/>
        <v>32.432835820895519</v>
      </c>
      <c r="Y149" s="183">
        <f t="shared" si="90"/>
        <v>34.257575757575758</v>
      </c>
      <c r="Z149" s="183">
        <f t="shared" si="90"/>
        <v>38.38095238095238</v>
      </c>
      <c r="AA149" s="183">
        <f t="shared" si="90"/>
        <v>34.430769230769229</v>
      </c>
      <c r="AC149" s="183">
        <f>IF(AC13&gt;=0,"N/A",IF(AC12&lt;=0,"N/A",AC12/-AC13))</f>
        <v>34.827586206896555</v>
      </c>
    </row>
    <row r="150" spans="2:29" x14ac:dyDescent="0.2">
      <c r="B150" s="20" t="s">
        <v>243</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14.546910755148744</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4.1727430748472099</v>
      </c>
    </row>
    <row r="152" spans="2:29" x14ac:dyDescent="0.2">
      <c r="B152" s="20" t="s">
        <v>244</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17.37644551392231</v>
      </c>
      <c r="U152" s="72">
        <f>U117/(Statement!U49/Statement!U75)</f>
        <v>15.848124778447358</v>
      </c>
      <c r="V152" s="72">
        <f>V117/(Statement!V49/Statement!V75)</f>
        <v>14.269942726231386</v>
      </c>
      <c r="W152" s="72">
        <f>W117/(Statement!W49/Statement!W75)</f>
        <v>15.373703703703702</v>
      </c>
      <c r="X152" s="72">
        <f>X117/(Statement!X49/Statement!X75)</f>
        <v>12.698156329651656</v>
      </c>
      <c r="Y152" s="72">
        <f>Y117/(Statement!Y49/Statement!Y75)</f>
        <v>11.227800051621784</v>
      </c>
      <c r="Z152" s="72">
        <f>Z117/(Statement!Z49/Statement!Z75)</f>
        <v>9.2726003673576507</v>
      </c>
      <c r="AA152" s="72">
        <f>AA117/(Statement!AA49/Statement!AA75)</f>
        <v>8.9569005035596447</v>
      </c>
      <c r="AC152" s="72">
        <f ca="1">AC117/(Statement!AC49/Statement!AC75)</f>
        <v>8.7865462753950343</v>
      </c>
    </row>
    <row r="153" spans="2:29" x14ac:dyDescent="0.2">
      <c r="B153" s="20" t="s">
        <v>245</v>
      </c>
      <c r="M153" s="145">
        <f>Statement!M117*Statement!M78</f>
        <v>319814.88</v>
      </c>
      <c r="N153" s="145">
        <f>Statement!N117*Statement!N78</f>
        <v>157946.49000000002</v>
      </c>
      <c r="O153" s="145">
        <f>Statement!O117*Statement!O78</f>
        <v>277398.53999999998</v>
      </c>
      <c r="P153" s="145">
        <f>Statement!P117*Statement!P78</f>
        <v>225079.44</v>
      </c>
      <c r="Q153" s="145">
        <f>Statement!Q117*Statement!Q78</f>
        <v>130818.23999999999</v>
      </c>
      <c r="T153" s="145">
        <f>Statement!T117*Statement!T78</f>
        <v>253889.21999999997</v>
      </c>
      <c r="U153" s="145">
        <f>Statement!U117*Statement!U78</f>
        <v>225079.44</v>
      </c>
      <c r="V153" s="145">
        <f>Statement!V117*Statement!V78</f>
        <v>187303.55</v>
      </c>
      <c r="W153" s="145">
        <f>Statement!W117*Statement!W78</f>
        <v>176413.25</v>
      </c>
      <c r="X153" s="145">
        <f>Statement!X117*Statement!X78</f>
        <v>149814</v>
      </c>
      <c r="Y153" s="145">
        <f>Statement!Y117*Statement!Y78</f>
        <v>130818.23999999999</v>
      </c>
      <c r="Z153" s="145">
        <f>Statement!Z117*Statement!Z78</f>
        <v>106276.05</v>
      </c>
      <c r="AA153" s="145">
        <f>Statement!AA117*Statement!AA78</f>
        <v>103165.57999999999</v>
      </c>
      <c r="AC153" s="145">
        <f ca="1">Statement!AC117*Statement!AC78</f>
        <v>101203.44</v>
      </c>
    </row>
    <row r="154" spans="2:29" x14ac:dyDescent="0.2">
      <c r="B154" s="20" t="s">
        <v>189</v>
      </c>
      <c r="M154" s="145">
        <f>M153+M108-M107+M48+M45</f>
        <v>318139.88</v>
      </c>
      <c r="N154" s="145">
        <f>N153+N108-N107+N48+N45</f>
        <v>155979.49000000002</v>
      </c>
      <c r="O154" s="145">
        <f>O153+O108-O107+O48+O45</f>
        <v>273190.53999999998</v>
      </c>
      <c r="P154" s="145">
        <f>P153+P108-P107+P48+P45</f>
        <v>222821.44</v>
      </c>
      <c r="Q154" s="145">
        <f>Q153+Q108-Q107+Q48+Q45</f>
        <v>130433.23999999999</v>
      </c>
      <c r="T154" s="145">
        <f t="shared" ref="T154:AA154" si="91">T153+T108-T107+T48+T45</f>
        <v>252001.21999999997</v>
      </c>
      <c r="U154" s="145">
        <f t="shared" si="91"/>
        <v>222821.44</v>
      </c>
      <c r="V154" s="145">
        <f t="shared" si="91"/>
        <v>186023.55</v>
      </c>
      <c r="W154" s="145">
        <f t="shared" si="91"/>
        <v>176866.25</v>
      </c>
      <c r="X154" s="145">
        <f t="shared" si="91"/>
        <v>150074</v>
      </c>
      <c r="Y154" s="145">
        <f t="shared" si="91"/>
        <v>130433.23999999999</v>
      </c>
      <c r="Z154" s="145">
        <f t="shared" si="91"/>
        <v>105614.05</v>
      </c>
      <c r="AA154" s="145">
        <f t="shared" si="91"/>
        <v>104184.57999999999</v>
      </c>
      <c r="AC154" s="145">
        <f ca="1">AC153+AC108-AC107+AC48+AC45</f>
        <v>102222.44</v>
      </c>
    </row>
    <row r="155" spans="2:29" x14ac:dyDescent="0.2">
      <c r="B155" s="20" t="s">
        <v>266</v>
      </c>
      <c r="M155" s="185">
        <f>M154/M5</f>
        <v>20.154569528032944</v>
      </c>
      <c r="N155" s="185">
        <f>N154/N5</f>
        <v>8.8594507554242892</v>
      </c>
      <c r="O155" s="185">
        <f>O154/O5</f>
        <v>14.075456746870008</v>
      </c>
      <c r="P155" s="185">
        <f>P154/P5</f>
        <v>10.361378284119972</v>
      </c>
      <c r="Q155" s="185">
        <f>Q154/Q5</f>
        <v>5.4875358660440066</v>
      </c>
      <c r="T155" s="49"/>
      <c r="U155" s="49"/>
      <c r="V155" s="49"/>
      <c r="W155" s="49"/>
      <c r="X155" s="49"/>
      <c r="Y155" s="49"/>
      <c r="Z155" s="49"/>
      <c r="AA155" s="49"/>
      <c r="AC155" s="185">
        <f ca="1">AC154/AC5</f>
        <v>4.0567679974601161</v>
      </c>
    </row>
    <row r="156" spans="2:29" x14ac:dyDescent="0.2">
      <c r="B156" s="20" t="s">
        <v>205</v>
      </c>
      <c r="M156" s="185">
        <f>M154/M12</f>
        <v>54.83279558772837</v>
      </c>
      <c r="N156" s="185">
        <f>N154/N12</f>
        <v>25.578794686782555</v>
      </c>
      <c r="O156" s="185">
        <f>O154/O12</f>
        <v>41.081284210526313</v>
      </c>
      <c r="P156" s="185">
        <f>P154/P12</f>
        <v>33.054656579142559</v>
      </c>
      <c r="Q156" s="185">
        <f>Q154/Q12</f>
        <v>14.98199402710774</v>
      </c>
      <c r="T156" s="49"/>
      <c r="U156" s="49"/>
      <c r="V156" s="49"/>
      <c r="W156" s="49"/>
      <c r="X156" s="49"/>
      <c r="Y156" s="49"/>
      <c r="Z156" s="49"/>
      <c r="AA156" s="49"/>
      <c r="AC156" s="185">
        <f ca="1">AC154/AC12</f>
        <v>11.24559295929593</v>
      </c>
    </row>
    <row r="157" spans="2:29" x14ac:dyDescent="0.2">
      <c r="B157" s="20" t="s">
        <v>267</v>
      </c>
      <c r="M157" s="64">
        <f>M59-M54+M110+M65</f>
        <v>5813</v>
      </c>
      <c r="N157" s="64">
        <f>N59-N54+N110+N65</f>
        <v>5956</v>
      </c>
      <c r="O157" s="64">
        <f>O59-O54+O110+O65</f>
        <v>5224</v>
      </c>
      <c r="P157" s="64">
        <f>P59-P54+P110+P65</f>
        <v>6040</v>
      </c>
      <c r="Q157" s="64">
        <f>Q59-Q54+Q110+Q65</f>
        <v>7910</v>
      </c>
      <c r="T157" s="64">
        <f t="shared" ref="T157:AA157" si="92">T59-T54+T110+T65</f>
        <v>0</v>
      </c>
      <c r="U157" s="64">
        <f t="shared" si="92"/>
        <v>0</v>
      </c>
      <c r="V157" s="64">
        <f t="shared" si="92"/>
        <v>1981</v>
      </c>
      <c r="W157" s="64">
        <f t="shared" si="92"/>
        <v>1663</v>
      </c>
      <c r="X157" s="64">
        <f t="shared" si="92"/>
        <v>1629</v>
      </c>
      <c r="Y157" s="64">
        <f t="shared" si="92"/>
        <v>2637</v>
      </c>
      <c r="Z157" s="64">
        <f t="shared" si="92"/>
        <v>2412</v>
      </c>
      <c r="AA157" s="64">
        <f t="shared" si="92"/>
        <v>1501</v>
      </c>
      <c r="AC157" s="64">
        <f>AC59-AC54+AC110+AC65</f>
        <v>8179</v>
      </c>
    </row>
    <row r="158" spans="2:29" x14ac:dyDescent="0.2">
      <c r="B158" s="20" t="s">
        <v>268</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269</v>
      </c>
      <c r="M159" s="72">
        <f>M153/M157</f>
        <v>55.017182177877174</v>
      </c>
      <c r="N159" s="72">
        <f t="shared" ref="N159:Q159" si="93">N153/N157</f>
        <v>26.518886836803226</v>
      </c>
      <c r="O159" s="72">
        <f t="shared" si="93"/>
        <v>53.100792496171515</v>
      </c>
      <c r="P159" s="72">
        <f t="shared" si="93"/>
        <v>37.264807947019868</v>
      </c>
      <c r="Q159" s="72">
        <f t="shared" si="93"/>
        <v>16.538336283185838</v>
      </c>
      <c r="T159" s="49"/>
      <c r="U159" s="49"/>
      <c r="V159" s="49"/>
      <c r="W159" s="49"/>
      <c r="X159" s="49"/>
      <c r="Y159" s="49"/>
      <c r="Z159" s="49"/>
      <c r="AA159" s="49"/>
      <c r="AC159" s="72">
        <f t="shared" ref="AC159:AC160" ca="1" si="94">AC153/AC157</f>
        <v>12.37357134123976</v>
      </c>
    </row>
    <row r="160" spans="2:29" x14ac:dyDescent="0.2">
      <c r="B160" s="20" t="s">
        <v>270</v>
      </c>
      <c r="M160" s="72">
        <f>M154/M158</f>
        <v>56.447947476875164</v>
      </c>
      <c r="N160" s="72">
        <f t="shared" ref="N160:Q160" si="95">N154/N158</f>
        <v>27.967121726551518</v>
      </c>
      <c r="O160" s="72">
        <f t="shared" si="95"/>
        <v>49.979558824736309</v>
      </c>
      <c r="P160" s="72">
        <f t="shared" si="95"/>
        <v>35.791254971608261</v>
      </c>
      <c r="Q160" s="72">
        <f t="shared" si="95"/>
        <v>15.618610823671041</v>
      </c>
      <c r="T160" s="49"/>
      <c r="U160" s="49"/>
      <c r="V160" s="49"/>
      <c r="W160" s="49"/>
      <c r="X160" s="49"/>
      <c r="Y160" s="49"/>
      <c r="Z160" s="49"/>
      <c r="AA160" s="49"/>
      <c r="AC160" s="72">
        <f t="shared" ca="1" si="94"/>
        <v>12.594650703114789</v>
      </c>
    </row>
    <row r="161" spans="2:29" x14ac:dyDescent="0.2">
      <c r="B161" s="20" t="s">
        <v>271</v>
      </c>
      <c r="M161" s="74">
        <f>M157/M153</f>
        <v>1.8176139896930375E-2</v>
      </c>
      <c r="N161" s="74">
        <f t="shared" ref="N161:Q161" si="96">N157/N153</f>
        <v>3.7708973463101328E-2</v>
      </c>
      <c r="O161" s="74">
        <f t="shared" si="96"/>
        <v>1.8832110652060391E-2</v>
      </c>
      <c r="P161" s="74">
        <f t="shared" si="96"/>
        <v>2.6834969911067843E-2</v>
      </c>
      <c r="Q161" s="74">
        <f t="shared" si="96"/>
        <v>6.0465574219619532E-2</v>
      </c>
      <c r="T161" s="49"/>
      <c r="U161" s="49"/>
      <c r="V161" s="49"/>
      <c r="W161" s="49"/>
      <c r="X161" s="49"/>
      <c r="Y161" s="49"/>
      <c r="Z161" s="49"/>
      <c r="AA161" s="49"/>
      <c r="AC161" s="74">
        <f t="shared" ref="AC161" ca="1" si="97">AC157/AC153</f>
        <v>8.0817410949667323E-2</v>
      </c>
    </row>
    <row r="162" spans="2:29" x14ac:dyDescent="0.2">
      <c r="B162" s="20" t="s">
        <v>272</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6.8743117822872415E-2</v>
      </c>
    </row>
    <row r="163" spans="2:29" x14ac:dyDescent="0.2">
      <c r="B163" s="20" t="s">
        <v>273</v>
      </c>
      <c r="M163" s="156">
        <f>M82/M117</f>
        <v>0</v>
      </c>
      <c r="N163" s="156">
        <f>N82/N117</f>
        <v>0</v>
      </c>
      <c r="O163" s="156">
        <f>O82/O117</f>
        <v>0</v>
      </c>
      <c r="P163" s="156">
        <f>P82/P117</f>
        <v>0</v>
      </c>
      <c r="Q163" s="156">
        <f>Q82/Q117</f>
        <v>0</v>
      </c>
      <c r="T163" s="49"/>
      <c r="U163" s="49"/>
      <c r="V163" s="49"/>
      <c r="W163" s="49"/>
      <c r="X163" s="49"/>
      <c r="Y163" s="49"/>
      <c r="Z163" s="49"/>
      <c r="AA163" s="49"/>
      <c r="AC163" s="156">
        <f ca="1">AC82/AC117</f>
        <v>0</v>
      </c>
    </row>
    <row r="164" spans="2:29" x14ac:dyDescent="0.2">
      <c r="B164" s="20" t="s">
        <v>298</v>
      </c>
      <c r="M164" s="156">
        <f>-M63/M153</f>
        <v>1.2350894992753308E-2</v>
      </c>
      <c r="N164" s="156">
        <f>-N63/N153</f>
        <v>4.1469740796392492E-2</v>
      </c>
      <c r="O164" s="156">
        <f>-O63/O153</f>
        <v>1.586165521995898E-2</v>
      </c>
      <c r="P164" s="156">
        <f>-P63/P153</f>
        <v>4.2207320224361675E-2</v>
      </c>
      <c r="Q164" s="156">
        <f>-Q63/Q153</f>
        <v>8.623415205708318E-2</v>
      </c>
      <c r="T164" s="49"/>
      <c r="U164" s="49"/>
      <c r="V164" s="49"/>
      <c r="W164" s="49"/>
      <c r="X164" s="49"/>
      <c r="Y164" s="49"/>
      <c r="Z164" s="49"/>
      <c r="AA164" s="49"/>
      <c r="AC164" s="156">
        <f ca="1">-AC63/AC153</f>
        <v>9.0115513860003174E-2</v>
      </c>
    </row>
    <row r="165" spans="2:29" x14ac:dyDescent="0.2">
      <c r="B165" s="20" t="s">
        <v>300</v>
      </c>
      <c r="M165" s="156">
        <f>-(M63+M64)/M153</f>
        <v>1.2350894992753308E-2</v>
      </c>
      <c r="N165" s="156">
        <f>-(N63+N64)/N153</f>
        <v>4.1469740796392492E-2</v>
      </c>
      <c r="O165" s="156">
        <f>-(O63+O64)/O153</f>
        <v>1.586165521995898E-2</v>
      </c>
      <c r="P165" s="156">
        <f>-(P63+P64)/P153</f>
        <v>4.2207320224361675E-2</v>
      </c>
      <c r="Q165" s="156">
        <f>-(Q63+Q64)/Q153</f>
        <v>8.623415205708318E-2</v>
      </c>
      <c r="T165" s="49"/>
      <c r="U165" s="49"/>
      <c r="V165" s="49"/>
      <c r="W165" s="49"/>
      <c r="X165" s="49"/>
      <c r="Y165" s="49"/>
      <c r="Z165" s="49"/>
      <c r="AA165" s="49"/>
      <c r="AC165" s="156">
        <f ca="1">-(AC63+AC64)/AC153</f>
        <v>9.0115513860003174E-2</v>
      </c>
    </row>
    <row r="166" spans="2:29" x14ac:dyDescent="0.2">
      <c r="B166" s="20" t="s">
        <v>355</v>
      </c>
      <c r="M166" s="156">
        <f>M158/M5</f>
        <v>0.35704698627509168</v>
      </c>
      <c r="N166" s="156">
        <f>N158/N5</f>
        <v>0.3167809273348739</v>
      </c>
      <c r="O166" s="156">
        <f>O158/O5</f>
        <v>0.28162426955845121</v>
      </c>
      <c r="P166" s="156">
        <f>P158/P5</f>
        <v>0.28949469059800309</v>
      </c>
      <c r="Q166" s="156">
        <f>Q158/Q5</f>
        <v>0.35134596335080465</v>
      </c>
      <c r="T166" s="49"/>
      <c r="U166" s="49"/>
      <c r="V166" s="49"/>
      <c r="W166" s="49"/>
      <c r="X166" s="49"/>
      <c r="Y166" s="49"/>
      <c r="Z166" s="49"/>
      <c r="AA166" s="49"/>
      <c r="AC166" s="156">
        <f>AC158/AC5</f>
        <v>0.3221024618377733</v>
      </c>
    </row>
    <row r="167" spans="2:29" x14ac:dyDescent="0.2">
      <c r="B167" s="20" t="s">
        <v>356</v>
      </c>
      <c r="M167" s="156">
        <f>M157/M5</f>
        <v>0.36826100728539751</v>
      </c>
      <c r="N167" s="156">
        <f>N157/N5</f>
        <v>0.3382937634897194</v>
      </c>
      <c r="O167" s="156">
        <f>O157/O5</f>
        <v>0.26915348549641921</v>
      </c>
      <c r="P167" s="156">
        <f>P157/P5</f>
        <v>0.28086491513601486</v>
      </c>
      <c r="Q167" s="156">
        <f>Q157/Q5</f>
        <v>0.33278640245698177</v>
      </c>
      <c r="T167" s="49"/>
      <c r="U167" s="49"/>
      <c r="V167" s="49"/>
      <c r="W167" s="49"/>
      <c r="X167" s="49"/>
      <c r="Y167" s="49"/>
      <c r="Z167" s="49"/>
      <c r="AA167" s="49"/>
      <c r="AC167" s="156">
        <f>AC157/AC5</f>
        <v>0.3245892531153266</v>
      </c>
    </row>
    <row r="168" spans="2:29" x14ac:dyDescent="0.2">
      <c r="B168" s="20" t="s">
        <v>276</v>
      </c>
      <c r="M168" s="156">
        <f>-M64/M157</f>
        <v>0</v>
      </c>
      <c r="N168" s="156">
        <f>-N64/N157</f>
        <v>0</v>
      </c>
      <c r="O168" s="156">
        <f>-O64/O157</f>
        <v>0</v>
      </c>
      <c r="P168" s="156">
        <f>-P64/P157</f>
        <v>0</v>
      </c>
      <c r="Q168" s="156">
        <f>-Q64/Q157</f>
        <v>0</v>
      </c>
      <c r="T168" s="49"/>
      <c r="U168" s="49"/>
      <c r="V168" s="49"/>
      <c r="W168" s="49"/>
      <c r="X168" s="49"/>
      <c r="Y168" s="49"/>
      <c r="Z168" s="49"/>
      <c r="AA168" s="49"/>
      <c r="AC168" s="156">
        <f>-AC64/AC157</f>
        <v>0</v>
      </c>
    </row>
    <row r="169" spans="2:29" x14ac:dyDescent="0.2">
      <c r="B169" s="20" t="s">
        <v>278</v>
      </c>
      <c r="M169" s="156">
        <f>-M63/M157</f>
        <v>0.67951143987613971</v>
      </c>
      <c r="N169" s="156">
        <f>-N63/N157</f>
        <v>1.0997313633310948</v>
      </c>
      <c r="O169" s="156">
        <f>-O63/O157</f>
        <v>0.84226646248085757</v>
      </c>
      <c r="P169" s="156">
        <f>-P63/P157</f>
        <v>1.5728476821192052</v>
      </c>
      <c r="Q169" s="156">
        <f>-Q63/Q157</f>
        <v>1.4261694058154235</v>
      </c>
      <c r="T169" s="49"/>
      <c r="U169" s="49"/>
      <c r="V169" s="49"/>
      <c r="W169" s="49"/>
      <c r="X169" s="49"/>
      <c r="Y169" s="49"/>
      <c r="Z169" s="49"/>
      <c r="AA169" s="49"/>
      <c r="AC169" s="156">
        <f>-AC63/AC157</f>
        <v>1.1150507396992297</v>
      </c>
    </row>
    <row r="170" spans="2:29" x14ac:dyDescent="0.2">
      <c r="B170" s="20" t="s">
        <v>289</v>
      </c>
      <c r="M170" s="156">
        <f>(-M64-M63)/M157</f>
        <v>0.67951143987613971</v>
      </c>
      <c r="N170" s="156">
        <f>(-N64-N63)/N157</f>
        <v>1.0997313633310948</v>
      </c>
      <c r="O170" s="156">
        <f>(-O64-O63)/O157</f>
        <v>0.84226646248085757</v>
      </c>
      <c r="P170" s="156">
        <f>(-P64-P63)/P157</f>
        <v>1.5728476821192052</v>
      </c>
      <c r="Q170" s="156">
        <f>(-Q64-Q63)/Q157</f>
        <v>1.4261694058154235</v>
      </c>
      <c r="T170" s="49"/>
      <c r="U170" s="49"/>
      <c r="V170" s="49"/>
      <c r="W170" s="49"/>
      <c r="X170" s="49"/>
      <c r="Y170" s="49"/>
      <c r="Z170" s="49"/>
      <c r="AA170" s="49"/>
      <c r="AC170" s="156">
        <f>(-AC64-AC63)/AC157</f>
        <v>1.1150507396992297</v>
      </c>
    </row>
    <row r="171" spans="2:29" x14ac:dyDescent="0.2">
      <c r="B171" s="20" t="s">
        <v>283</v>
      </c>
      <c r="M171" s="156">
        <f>M80/M78</f>
        <v>2.1008403361344537E-3</v>
      </c>
      <c r="N171" s="156">
        <f>N80/N78</f>
        <v>2.1786492374727671E-3</v>
      </c>
      <c r="O171" s="156">
        <f>O80/O78</f>
        <v>2.2026431718061676E-3</v>
      </c>
      <c r="P171" s="156">
        <f>P80/P78</f>
        <v>2.2831050228310501E-3</v>
      </c>
      <c r="Q171" s="156">
        <f>Q80/Q78</f>
        <v>2.4271844660194173E-3</v>
      </c>
      <c r="T171" s="49"/>
      <c r="U171" s="49"/>
      <c r="V171" s="49"/>
      <c r="W171" s="49"/>
      <c r="X171" s="49"/>
      <c r="Y171" s="49"/>
      <c r="Z171" s="49"/>
      <c r="AA171" s="49"/>
      <c r="AC171" s="156">
        <f>AC80/AC78</f>
        <v>2.5125628140703518E-3</v>
      </c>
    </row>
    <row r="172" spans="2:29" x14ac:dyDescent="0.2">
      <c r="B172" s="20" t="s">
        <v>284</v>
      </c>
      <c r="M172" s="72">
        <f>M107/M75</f>
        <v>12.283898305084746</v>
      </c>
      <c r="N172" s="72">
        <f>N107/N75</f>
        <v>13.310043668122271</v>
      </c>
      <c r="O172" s="72">
        <f>O107/O75</f>
        <v>17.349557522123895</v>
      </c>
      <c r="P172" s="72">
        <f>P107/P75</f>
        <v>18.128735632183908</v>
      </c>
      <c r="Q172" s="72">
        <f>Q107/Q75</f>
        <v>16.046228710462287</v>
      </c>
      <c r="T172" s="72">
        <f t="shared" ref="T172:AA172" si="98">T107/T75</f>
        <v>17.079545454545453</v>
      </c>
      <c r="U172" s="72">
        <f t="shared" si="98"/>
        <v>18.128735632183908</v>
      </c>
      <c r="V172" s="72">
        <f t="shared" si="98"/>
        <v>17.453051643192488</v>
      </c>
      <c r="W172" s="72">
        <f t="shared" si="98"/>
        <v>13.474056603773585</v>
      </c>
      <c r="X172" s="72">
        <f t="shared" si="98"/>
        <v>14.176610978520287</v>
      </c>
      <c r="Y172" s="72">
        <f t="shared" si="98"/>
        <v>16.046228710462287</v>
      </c>
      <c r="Z172" s="72">
        <f t="shared" si="98"/>
        <v>17.054455445544555</v>
      </c>
      <c r="AA172" s="72">
        <f t="shared" si="98"/>
        <v>14.135678391959798</v>
      </c>
      <c r="AC172" s="72">
        <f>AC107/AC75</f>
        <v>14.135678391959798</v>
      </c>
    </row>
    <row r="173" spans="2:29" x14ac:dyDescent="0.2">
      <c r="B173" s="20" t="s">
        <v>286</v>
      </c>
      <c r="M173" s="156">
        <f>M54/M59</f>
        <v>0.14785615491009682</v>
      </c>
      <c r="N173" s="156">
        <f>N54/N59</f>
        <v>0.1837203368206175</v>
      </c>
      <c r="O173" s="156">
        <f>O54/O59</f>
        <v>0.23527800602574636</v>
      </c>
      <c r="P173" s="156">
        <f>P54/P59</f>
        <v>0.22753227408142998</v>
      </c>
      <c r="Q173" s="156">
        <f>Q54/Q59</f>
        <v>0.19359984049446716</v>
      </c>
      <c r="T173" s="156" t="e">
        <f t="shared" ref="T173:AA173" si="99">T54/T59</f>
        <v>#DIV/0!</v>
      </c>
      <c r="U173" s="156" t="e">
        <f t="shared" si="99"/>
        <v>#DIV/0!</v>
      </c>
      <c r="V173" s="156">
        <f t="shared" si="99"/>
        <v>0.19137792103142626</v>
      </c>
      <c r="W173" s="156">
        <f t="shared" si="99"/>
        <v>0.21953445915107256</v>
      </c>
      <c r="X173" s="156">
        <f t="shared" si="99"/>
        <v>0.22611464968152867</v>
      </c>
      <c r="Y173" s="156">
        <f t="shared" si="99"/>
        <v>0.15474683544303797</v>
      </c>
      <c r="Z173" s="156">
        <f t="shared" si="99"/>
        <v>0.17207572684246111</v>
      </c>
      <c r="AA173" s="156">
        <f t="shared" si="99"/>
        <v>0.24665127020785219</v>
      </c>
      <c r="AC173" s="156">
        <f>AC54/AC59</f>
        <v>0.19358839805362082</v>
      </c>
    </row>
    <row r="174" spans="2:29" x14ac:dyDescent="0.2">
      <c r="B174" s="20" t="s">
        <v>287</v>
      </c>
      <c r="M174" s="156">
        <f>M54/M5</f>
        <v>6.7722521381057971E-2</v>
      </c>
      <c r="N174" s="156">
        <f>N54/N5</f>
        <v>8.1790298761785757E-2</v>
      </c>
      <c r="O174" s="156">
        <f>O54/O5</f>
        <v>8.8515637075583492E-2</v>
      </c>
      <c r="P174" s="156">
        <f>P54/P5</f>
        <v>8.5235991629853528E-2</v>
      </c>
      <c r="Q174" s="156">
        <f>Q54/Q5</f>
        <v>8.1703058605746975E-2</v>
      </c>
      <c r="T174" s="156">
        <f t="shared" ref="T174:AA174" si="100">T54/T5</f>
        <v>0</v>
      </c>
      <c r="U174" s="156">
        <f t="shared" si="100"/>
        <v>0</v>
      </c>
      <c r="V174" s="156">
        <f t="shared" si="100"/>
        <v>8.3129156457822886E-2</v>
      </c>
      <c r="W174" s="156">
        <f t="shared" si="100"/>
        <v>8.1900221351949604E-2</v>
      </c>
      <c r="X174" s="156">
        <f t="shared" si="100"/>
        <v>8.2999331997327994E-2</v>
      </c>
      <c r="Y174" s="156">
        <f t="shared" si="100"/>
        <v>7.8947368421052627E-2</v>
      </c>
      <c r="Z174" s="156">
        <f t="shared" si="100"/>
        <v>7.9556111284776493E-2</v>
      </c>
      <c r="AA174" s="156">
        <f t="shared" si="100"/>
        <v>8.0689029918404348E-2</v>
      </c>
      <c r="AC174" s="156">
        <f>AC54/AC5</f>
        <v>8.0522263671719982E-2</v>
      </c>
    </row>
    <row r="175" spans="2:29" x14ac:dyDescent="0.2">
      <c r="B175" s="20" t="s">
        <v>292</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101">(T107-T108)/T75</f>
        <v>4.290909090909091</v>
      </c>
      <c r="U175" s="72">
        <f t="shared" si="101"/>
        <v>5.190804597701149</v>
      </c>
      <c r="V175" s="72">
        <f t="shared" si="101"/>
        <v>3.004694835680751</v>
      </c>
      <c r="W175" s="72">
        <f t="shared" si="101"/>
        <v>-1.0683962264150944</v>
      </c>
      <c r="X175" s="72">
        <f t="shared" si="101"/>
        <v>-0.62052505966587113</v>
      </c>
      <c r="Y175" s="72">
        <f t="shared" si="101"/>
        <v>0.93673965936739656</v>
      </c>
      <c r="Z175" s="72">
        <f t="shared" si="101"/>
        <v>1.6386138613861385</v>
      </c>
      <c r="AA175" s="72">
        <f t="shared" si="101"/>
        <v>-2.5603015075376883</v>
      </c>
      <c r="AC175" s="72">
        <f>(AC107-AC108)/AC75</f>
        <v>-2.5603015075376883</v>
      </c>
    </row>
    <row r="176" spans="2:29" x14ac:dyDescent="0.2">
      <c r="B176" s="20" t="s">
        <v>297</v>
      </c>
      <c r="M176" s="156">
        <f>(M107-M108)/M153</f>
        <v>5.2374048386991875E-3</v>
      </c>
      <c r="N176" s="156">
        <f>(N107-N108)/N153</f>
        <v>1.2453584755191456E-2</v>
      </c>
      <c r="O176" s="156">
        <f>(O107-O108)/O153</f>
        <v>1.5169510264906226E-2</v>
      </c>
      <c r="P176" s="156">
        <f>(P107-P108)/P153</f>
        <v>1.0032013585958807E-2</v>
      </c>
      <c r="Q176" s="156">
        <f>(Q107-Q108)/Q153</f>
        <v>2.9430146744062603E-3</v>
      </c>
      <c r="T176" s="49"/>
      <c r="U176" s="49"/>
      <c r="V176" s="49"/>
      <c r="W176" s="49"/>
      <c r="X176" s="49"/>
      <c r="Y176" s="49"/>
      <c r="Z176" s="49"/>
      <c r="AA176" s="49"/>
      <c r="AC176" s="156">
        <f ca="1">(AC107-AC108)/AC153</f>
        <v>-1.0068827699927986E-2</v>
      </c>
    </row>
    <row r="177" spans="1:31" x14ac:dyDescent="0.2">
      <c r="B177" s="20" t="s">
        <v>306</v>
      </c>
      <c r="M177" s="156">
        <f>-M110/M5</f>
        <v>2.2046246436490339E-2</v>
      </c>
      <c r="N177" s="156">
        <f>-N110/N5</f>
        <v>2.5105077814381462E-2</v>
      </c>
      <c r="O177" s="156">
        <f>-O110/O5</f>
        <v>1.854809624401051E-2</v>
      </c>
      <c r="P177" s="156">
        <f>-P110/P5</f>
        <v>8.5096489188560796E-3</v>
      </c>
      <c r="Q177" s="156">
        <f>-Q110/Q5</f>
        <v>7.5308174513021159E-3</v>
      </c>
      <c r="T177" s="156">
        <f t="shared" ref="T177:AA177" si="102">-T110/T5</f>
        <v>0</v>
      </c>
      <c r="U177" s="156">
        <f t="shared" si="102"/>
        <v>0</v>
      </c>
      <c r="V177" s="156">
        <f t="shared" si="102"/>
        <v>4.5502275113755691E-3</v>
      </c>
      <c r="W177" s="156">
        <f t="shared" si="102"/>
        <v>8.0027243316873834E-3</v>
      </c>
      <c r="X177" s="156">
        <f t="shared" si="102"/>
        <v>1.2024048096192385E-2</v>
      </c>
      <c r="Y177" s="156">
        <f t="shared" si="102"/>
        <v>5.4891830804003876E-3</v>
      </c>
      <c r="Z177" s="156">
        <f t="shared" si="102"/>
        <v>5.7830572053766804E-3</v>
      </c>
      <c r="AA177" s="156">
        <f t="shared" si="102"/>
        <v>1.9643396796615292E-2</v>
      </c>
      <c r="AC177" s="156">
        <f>-AC110/AC5</f>
        <v>1.0834193189935708E-2</v>
      </c>
    </row>
    <row r="178" spans="1:31" x14ac:dyDescent="0.2">
      <c r="B178" s="20" t="s">
        <v>307</v>
      </c>
      <c r="M178" s="156">
        <f>-(M110/M59)</f>
        <v>4.8132780082987554E-2</v>
      </c>
      <c r="N178" s="156">
        <f>-(N110/N59)</f>
        <v>5.6391936718550653E-2</v>
      </c>
      <c r="O178" s="156">
        <f>-(O110/O59)</f>
        <v>4.9301561216105176E-2</v>
      </c>
      <c r="P178" s="156">
        <f>-(P110/P59)</f>
        <v>2.2715988083416086E-2</v>
      </c>
      <c r="Q178" s="156">
        <f>-(Q110/Q59)</f>
        <v>1.7844681487389095E-2</v>
      </c>
      <c r="T178" s="156" t="e">
        <f t="shared" ref="T178:AA178" si="103">-(T110/T59)</f>
        <v>#DIV/0!</v>
      </c>
      <c r="U178" s="156" t="e">
        <f t="shared" si="103"/>
        <v>#DIV/0!</v>
      </c>
      <c r="V178" s="156">
        <f t="shared" si="103"/>
        <v>1.0475423045930701E-2</v>
      </c>
      <c r="W178" s="156">
        <f t="shared" si="103"/>
        <v>2.1451392058420813E-2</v>
      </c>
      <c r="X178" s="156">
        <f t="shared" si="103"/>
        <v>3.2757051865332121E-2</v>
      </c>
      <c r="Y178" s="156">
        <f t="shared" si="103"/>
        <v>1.0759493670886076E-2</v>
      </c>
      <c r="Z178" s="156">
        <f t="shared" si="103"/>
        <v>1.2508451656524679E-2</v>
      </c>
      <c r="AA178" s="156">
        <f t="shared" si="103"/>
        <v>6.0046189376443418E-2</v>
      </c>
      <c r="AC178" s="156">
        <f>-(AC110/AC59)</f>
        <v>2.6047132907165347E-2</v>
      </c>
    </row>
    <row r="179" spans="1:31" x14ac:dyDescent="0.2">
      <c r="B179" s="20" t="s">
        <v>308</v>
      </c>
      <c r="M179" s="156">
        <f>-M110/M53</f>
        <v>0.44162436548223349</v>
      </c>
      <c r="N179" s="156">
        <f>-N110/N53</f>
        <v>0.51635514018691586</v>
      </c>
      <c r="O179" s="156">
        <f>-O110/O53</f>
        <v>0.41284403669724773</v>
      </c>
      <c r="P179" s="156">
        <f>-P110/P53</f>
        <v>0.21353558926487748</v>
      </c>
      <c r="Q179" s="156">
        <f>-Q110/Q53</f>
        <v>0.21882640586797067</v>
      </c>
      <c r="T179" s="156" t="e">
        <f t="shared" ref="T179:AA179" si="104">-T110/T53</f>
        <v>#DIV/0!</v>
      </c>
      <c r="U179" s="156" t="e">
        <f t="shared" si="104"/>
        <v>#DIV/0!</v>
      </c>
      <c r="V179" s="156">
        <f t="shared" si="104"/>
        <v>0.11981566820276497</v>
      </c>
      <c r="W179" s="156">
        <f t="shared" si="104"/>
        <v>0.22488038277511962</v>
      </c>
      <c r="X179" s="156">
        <f t="shared" si="104"/>
        <v>0.34615384615384615</v>
      </c>
      <c r="Y179" s="156">
        <f t="shared" si="104"/>
        <v>0.18478260869565216</v>
      </c>
      <c r="Z179" s="156">
        <f t="shared" si="104"/>
        <v>0.21264367816091953</v>
      </c>
      <c r="AA179" s="156">
        <f t="shared" si="104"/>
        <v>0.67357512953367871</v>
      </c>
      <c r="AC179" s="156">
        <f>-AC110/AC53</f>
        <v>0.35968379446640314</v>
      </c>
    </row>
    <row r="180" spans="1:31" x14ac:dyDescent="0.2">
      <c r="B180" s="20" t="s">
        <v>369</v>
      </c>
      <c r="M180" s="226">
        <f>M5/M37</f>
        <v>0.57945743548327888</v>
      </c>
      <c r="N180" s="226">
        <f t="shared" ref="N180:Q180" si="105">N5/N37</f>
        <v>0.64811338118902995</v>
      </c>
      <c r="O180" s="226">
        <f t="shared" si="105"/>
        <v>0.65176802444675774</v>
      </c>
      <c r="P180" s="226">
        <f t="shared" si="105"/>
        <v>0.71137942441283497</v>
      </c>
      <c r="Q180" s="226">
        <f t="shared" si="105"/>
        <v>0.80583807973962573</v>
      </c>
      <c r="T180" s="49"/>
      <c r="U180" s="49"/>
      <c r="V180" s="49"/>
      <c r="W180" s="49"/>
      <c r="X180" s="49"/>
      <c r="Y180" s="49"/>
      <c r="Z180" s="49"/>
      <c r="AA180" s="49"/>
      <c r="AC180" s="226">
        <f t="shared" ref="AC180" si="106">AC5/AC37</f>
        <v>0.8418133832225303</v>
      </c>
    </row>
    <row r="181" spans="1:31" x14ac:dyDescent="0.2">
      <c r="B181" s="20" t="s">
        <v>366</v>
      </c>
      <c r="M181" s="228">
        <f>IF(AND(M12&gt;0,M108&gt;0),M108/M12,"N/A")</f>
        <v>0.71061702861082388</v>
      </c>
      <c r="N181" s="228">
        <f t="shared" ref="N181:Q181" si="107">IF(AND(N12&gt;0,N108&gt;0),N108/N12,"N/A")</f>
        <v>0.67710724827812396</v>
      </c>
      <c r="O181" s="228">
        <f t="shared" si="107"/>
        <v>0.54646616541353388</v>
      </c>
      <c r="P181" s="228">
        <f t="shared" si="107"/>
        <v>0.83489096573208721</v>
      </c>
      <c r="Q181" s="228">
        <f t="shared" si="107"/>
        <v>0.7133011716057891</v>
      </c>
      <c r="T181" s="49"/>
      <c r="U181" s="49"/>
      <c r="V181" s="49"/>
      <c r="W181" s="49"/>
      <c r="X181" s="49"/>
      <c r="Y181" s="49"/>
      <c r="Z181" s="49"/>
      <c r="AA181" s="49"/>
      <c r="AC181" s="228">
        <f t="shared" ref="AC181" si="108">IF(AND(AC12&gt;0,AC108&gt;0),AC108/AC12,"N/A")</f>
        <v>0.73102310231023104</v>
      </c>
    </row>
    <row r="182" spans="1:31" x14ac:dyDescent="0.2">
      <c r="B182" s="20" t="s">
        <v>367</v>
      </c>
      <c r="M182" s="228">
        <f>IF(AND(M12&gt;0,M108&gt;0),(M108-M107)/M12,"N/A")</f>
        <v>-0.28869355394691487</v>
      </c>
      <c r="N182" s="228">
        <f t="shared" ref="N182:Q182" si="109">IF(AND(N12&gt;0,N108&gt;0),(N108-N107)/N12,"N/A")</f>
        <v>-0.32256477533617578</v>
      </c>
      <c r="O182" s="228">
        <f t="shared" si="109"/>
        <v>-0.632781954887218</v>
      </c>
      <c r="P182" s="228">
        <f t="shared" si="109"/>
        <v>-0.33496513870345646</v>
      </c>
      <c r="Q182" s="228">
        <f t="shared" si="109"/>
        <v>-4.422237537330577E-2</v>
      </c>
      <c r="T182" s="49"/>
      <c r="U182" s="49"/>
      <c r="V182" s="49"/>
      <c r="W182" s="49"/>
      <c r="X182" s="49"/>
      <c r="Y182" s="49"/>
      <c r="Z182" s="49"/>
      <c r="AA182" s="49"/>
      <c r="AC182" s="228">
        <f t="shared" ref="AC182" si="110">IF(AND(AC12&gt;0,AC108&gt;0),(AC108-AC107)/AC12,"N/A")</f>
        <v>0.1121012101210121</v>
      </c>
    </row>
    <row r="183" spans="1:31" x14ac:dyDescent="0.2">
      <c r="B183" s="20" t="s">
        <v>368</v>
      </c>
      <c r="M183" s="228">
        <f>M5/(M108+M112-M107)</f>
        <v>1.2029416247523244</v>
      </c>
      <c r="N183" s="228">
        <f t="shared" ref="N183:Q183" si="111">N5/(N108+N112-N107)</f>
        <v>1.4569678914266799</v>
      </c>
      <c r="O183" s="228">
        <f t="shared" si="111"/>
        <v>1.5766856214459788</v>
      </c>
      <c r="P183" s="228">
        <f t="shared" si="111"/>
        <v>1.8152274837511606</v>
      </c>
      <c r="Q183" s="228">
        <f t="shared" si="111"/>
        <v>2.1150560597971171</v>
      </c>
      <c r="T183" s="49"/>
      <c r="U183" s="49"/>
      <c r="V183" s="49"/>
      <c r="W183" s="49"/>
      <c r="X183" s="49"/>
      <c r="Y183" s="49"/>
      <c r="Z183" s="49"/>
      <c r="AA183" s="49"/>
      <c r="AC183" s="228">
        <f t="shared" ref="AC183" si="112">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388</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389</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3">SUM(X188:AA188)</f>
        <v>321</v>
      </c>
    </row>
    <row r="189" spans="1:31" x14ac:dyDescent="0.2">
      <c r="B189" s="20" t="s">
        <v>390</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3"/>
        <v>483</v>
      </c>
    </row>
    <row r="190" spans="1:31" x14ac:dyDescent="0.2">
      <c r="C190" s="21"/>
      <c r="D190" s="21"/>
      <c r="E190" s="21"/>
      <c r="F190" s="21"/>
      <c r="G190" s="21"/>
      <c r="H190" s="21"/>
      <c r="I190" s="21"/>
      <c r="J190" s="21"/>
      <c r="K190" s="21"/>
      <c r="L190" s="21"/>
      <c r="M190" s="21"/>
      <c r="AC190" s="62"/>
    </row>
    <row r="191" spans="1:31" x14ac:dyDescent="0.2">
      <c r="B191" s="20" t="s">
        <v>391</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3"/>
        <v>2158</v>
      </c>
    </row>
    <row r="192" spans="1:31" x14ac:dyDescent="0.2">
      <c r="B192" s="20" t="s">
        <v>392</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3"/>
        <v>22</v>
      </c>
    </row>
    <row r="193" spans="2:29" x14ac:dyDescent="0.2">
      <c r="B193" s="20" t="s">
        <v>393</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3"/>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317</v>
      </c>
      <c r="C196" s="173"/>
      <c r="D196" s="173"/>
      <c r="E196" s="173"/>
      <c r="F196" s="173"/>
      <c r="G196" s="173"/>
      <c r="H196" s="173"/>
      <c r="I196" s="173"/>
      <c r="J196" s="173"/>
      <c r="K196" s="173"/>
      <c r="L196" s="173"/>
      <c r="M196" s="173"/>
      <c r="N196" s="173"/>
      <c r="O196" s="173"/>
      <c r="P196" s="173"/>
      <c r="Q196" s="173"/>
      <c r="T196" s="173"/>
      <c r="U196" s="173"/>
      <c r="V196" s="173"/>
      <c r="W196" s="173"/>
      <c r="X196" s="173"/>
      <c r="Y196" s="173"/>
      <c r="Z196" s="173"/>
      <c r="AA196" s="173"/>
      <c r="AC196" s="173"/>
    </row>
    <row r="197" spans="2:29" x14ac:dyDescent="0.2">
      <c r="B197" s="20" t="s">
        <v>388</v>
      </c>
      <c r="C197" s="81"/>
      <c r="D197" s="81"/>
      <c r="E197" s="81"/>
      <c r="F197" s="81"/>
      <c r="G197" s="81"/>
      <c r="H197" s="81"/>
      <c r="I197" s="81"/>
      <c r="J197" s="81"/>
      <c r="K197" s="81"/>
      <c r="L197" s="81"/>
      <c r="M197" s="81">
        <f t="shared" ref="M197:Q199" si="114">IF(L187=0,
IF(M187=0,0,IF(M187&gt;0,1,-1)),
(M187-L187)/ABS(L187)
)</f>
        <v>1</v>
      </c>
      <c r="N197" s="81">
        <f t="shared" si="114"/>
        <v>0.1245453921635902</v>
      </c>
      <c r="O197" s="81">
        <f t="shared" si="114"/>
        <v>0.11569441054430071</v>
      </c>
      <c r="P197" s="81">
        <f t="shared" si="114"/>
        <v>0.12234740756945964</v>
      </c>
      <c r="Q197" s="81">
        <f t="shared" si="114"/>
        <v>0.11612494517811023</v>
      </c>
      <c r="T197" s="81">
        <f t="shared" ref="T197:AA199" si="115">IF(S187=0,
IF(T187=0,0,IF(T187&gt;0,1,-1)),
(T187-S187)/ABS(S187)
)</f>
        <v>1</v>
      </c>
      <c r="U197" s="81">
        <f t="shared" si="115"/>
        <v>3.5714285714285712E-2</v>
      </c>
      <c r="V197" s="81">
        <f t="shared" si="115"/>
        <v>2.1994408201304754E-2</v>
      </c>
      <c r="W197" s="81">
        <f t="shared" si="115"/>
        <v>2.8816341418931243E-2</v>
      </c>
      <c r="X197" s="81">
        <f t="shared" si="115"/>
        <v>2.6591029959227089E-2</v>
      </c>
      <c r="Y197" s="81">
        <f t="shared" si="115"/>
        <v>3.4190986012778452E-2</v>
      </c>
      <c r="Z197" s="81">
        <f t="shared" si="115"/>
        <v>3.4897311738186679E-2</v>
      </c>
      <c r="AA197" s="81">
        <f t="shared" si="115"/>
        <v>3.5172636334301385E-2</v>
      </c>
      <c r="AC197" s="49"/>
    </row>
    <row r="198" spans="2:29" x14ac:dyDescent="0.2">
      <c r="B198" s="20" t="s">
        <v>389</v>
      </c>
      <c r="M198" s="81">
        <f t="shared" si="114"/>
        <v>1</v>
      </c>
      <c r="N198" s="81">
        <f t="shared" si="114"/>
        <v>-4.1441441441441441E-2</v>
      </c>
      <c r="O198" s="81">
        <f t="shared" si="114"/>
        <v>-0.13533834586466165</v>
      </c>
      <c r="P198" s="81">
        <f t="shared" si="114"/>
        <v>-0.16086956521739129</v>
      </c>
      <c r="Q198" s="81">
        <f t="shared" si="114"/>
        <v>-0.15803108808290156</v>
      </c>
      <c r="T198" s="81">
        <f t="shared" si="115"/>
        <v>1</v>
      </c>
      <c r="U198" s="81">
        <f t="shared" si="115"/>
        <v>-1.2195121951219513E-2</v>
      </c>
      <c r="V198" s="81">
        <f t="shared" si="115"/>
        <v>0.1728395061728395</v>
      </c>
      <c r="W198" s="81">
        <f t="shared" si="115"/>
        <v>-7.3684210526315783E-2</v>
      </c>
      <c r="X198" s="81">
        <f t="shared" si="115"/>
        <v>-0.22727272727272727</v>
      </c>
      <c r="Y198" s="81">
        <f t="shared" si="115"/>
        <v>8.8235294117647065E-2</v>
      </c>
      <c r="Z198" s="81">
        <f t="shared" si="115"/>
        <v>0.21621621621621623</v>
      </c>
      <c r="AA198" s="81">
        <f t="shared" si="115"/>
        <v>-1.1111111111111112E-2</v>
      </c>
      <c r="AC198" s="49"/>
    </row>
    <row r="199" spans="2:29" x14ac:dyDescent="0.2">
      <c r="B199" s="20" t="s">
        <v>390</v>
      </c>
      <c r="M199" s="81">
        <f t="shared" si="114"/>
        <v>1</v>
      </c>
      <c r="N199" s="81">
        <f t="shared" si="114"/>
        <v>4.4140030441400302E-2</v>
      </c>
      <c r="O199" s="81">
        <f t="shared" si="114"/>
        <v>-3.0612244897959183E-2</v>
      </c>
      <c r="P199" s="81">
        <f t="shared" si="114"/>
        <v>-0.10075187969924812</v>
      </c>
      <c r="Q199" s="81">
        <f t="shared" si="114"/>
        <v>-9.6989966555183951E-2</v>
      </c>
      <c r="T199" s="81">
        <f t="shared" si="115"/>
        <v>1</v>
      </c>
      <c r="U199" s="81">
        <f t="shared" si="115"/>
        <v>9.5890410958904104E-2</v>
      </c>
      <c r="V199" s="81">
        <f t="shared" si="115"/>
        <v>-0.15</v>
      </c>
      <c r="W199" s="81">
        <f t="shared" si="115"/>
        <v>5.8823529411764705E-2</v>
      </c>
      <c r="X199" s="81">
        <f t="shared" si="115"/>
        <v>-0.10416666666666667</v>
      </c>
      <c r="Y199" s="81">
        <f t="shared" si="115"/>
        <v>1.5503875968992248E-2</v>
      </c>
      <c r="Z199" s="81">
        <f t="shared" si="115"/>
        <v>-0.16030534351145037</v>
      </c>
      <c r="AA199" s="81">
        <f t="shared" si="115"/>
        <v>2.7272727272727271E-2</v>
      </c>
      <c r="AC199" s="49"/>
    </row>
    <row r="201" spans="2:29" x14ac:dyDescent="0.2">
      <c r="B201" s="1"/>
    </row>
    <row r="202" spans="2:29" ht="17" thickBot="1" x14ac:dyDescent="0.25">
      <c r="B202" s="14" t="s">
        <v>318</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2:29" x14ac:dyDescent="0.2">
      <c r="B203" s="20" t="s">
        <v>290</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361</v>
      </c>
      <c r="C206" s="173"/>
      <c r="D206" s="173"/>
      <c r="E206" s="173"/>
      <c r="F206" s="173"/>
      <c r="G206" s="173"/>
      <c r="H206" s="173"/>
      <c r="I206" s="173"/>
      <c r="J206" s="173"/>
      <c r="K206" s="173"/>
      <c r="L206" s="173"/>
      <c r="M206" s="173"/>
      <c r="N206" s="173"/>
      <c r="O206" s="173"/>
      <c r="P206" s="173"/>
      <c r="Q206" s="173"/>
      <c r="T206" s="173"/>
      <c r="U206" s="173"/>
      <c r="V206" s="173"/>
      <c r="W206" s="173"/>
      <c r="X206" s="173"/>
      <c r="Y206" s="173"/>
      <c r="Z206" s="173"/>
      <c r="AA206" s="173"/>
      <c r="AC206" s="173"/>
    </row>
    <row r="207" spans="2:29" x14ac:dyDescent="0.2">
      <c r="B207" s="20" t="s">
        <v>362</v>
      </c>
      <c r="M207" s="145">
        <v>100</v>
      </c>
      <c r="N207" s="145">
        <f>100*(1+((N117-$M117)/ABS($M117)))</f>
        <v>51.215990950765026</v>
      </c>
      <c r="O207" s="145">
        <f t="shared" ref="O207:Q207" si="116">100*(1+((O117-$M117)/ABS($M117)))</f>
        <v>90.940346490444725</v>
      </c>
      <c r="P207" s="145">
        <f t="shared" si="116"/>
        <v>76.483895933797697</v>
      </c>
      <c r="Q207" s="145">
        <f t="shared" si="116"/>
        <v>47.258439006965524</v>
      </c>
      <c r="T207" s="49"/>
      <c r="U207" s="49"/>
      <c r="V207" s="49"/>
      <c r="W207" s="49"/>
      <c r="X207" s="49"/>
      <c r="Y207" s="49"/>
      <c r="Z207" s="49"/>
      <c r="AA207" s="49"/>
      <c r="AC207" s="49"/>
    </row>
    <row r="208" spans="2:29" x14ac:dyDescent="0.2">
      <c r="B208" s="20" t="s">
        <v>363</v>
      </c>
      <c r="M208" s="145">
        <v>100</v>
      </c>
      <c r="N208" s="145">
        <f>100*(1+((N5-$M5)/ABS($M5)))</f>
        <v>111.53626860943935</v>
      </c>
      <c r="O208" s="145">
        <f t="shared" ref="O208:Q208" si="117">100*(1+((O5-$M5)/ABS($M5)))</f>
        <v>122.95850490972443</v>
      </c>
      <c r="P208" s="145">
        <f t="shared" si="117"/>
        <v>136.23693379790942</v>
      </c>
      <c r="Q208" s="145">
        <f t="shared" si="117"/>
        <v>150.57966423820082</v>
      </c>
      <c r="T208" s="49"/>
      <c r="U208" s="49"/>
      <c r="V208" s="49"/>
      <c r="W208" s="49"/>
      <c r="X208" s="49"/>
      <c r="Y208" s="49"/>
      <c r="Z208" s="49"/>
      <c r="AA208" s="49"/>
      <c r="AC208" s="49"/>
    </row>
    <row r="209" spans="1:31" x14ac:dyDescent="0.2">
      <c r="B209" s="20" t="s">
        <v>364</v>
      </c>
      <c r="M209" s="145">
        <v>100</v>
      </c>
      <c r="N209" s="145">
        <f>100*(1+((N26-$M26)/ABS($M26)))</f>
        <v>100.79840319361277</v>
      </c>
      <c r="O209" s="145">
        <f t="shared" ref="O209:Q209" si="118">100*(1+((O26-$M26)/ABS($M26)))</f>
        <v>117.96407185628743</v>
      </c>
      <c r="P209" s="145">
        <f t="shared" si="118"/>
        <v>145.4868041694389</v>
      </c>
      <c r="Q209" s="145">
        <f t="shared" si="118"/>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280</v>
      </c>
    </row>
    <row r="4" spans="2:7" x14ac:dyDescent="0.2">
      <c r="B4" s="240" t="s">
        <v>239</v>
      </c>
      <c r="C4" s="240"/>
      <c r="E4" s="240" t="s">
        <v>246</v>
      </c>
      <c r="F4" s="240"/>
      <c r="G4" s="240"/>
    </row>
    <row r="5" spans="2:7" x14ac:dyDescent="0.2">
      <c r="B5" s="20" t="s">
        <v>1</v>
      </c>
      <c r="C5" s="174">
        <f ca="1">Overview!C5</f>
        <v>254.28</v>
      </c>
      <c r="E5" s="12"/>
      <c r="F5" s="134" t="s">
        <v>247</v>
      </c>
      <c r="G5" s="134" t="s">
        <v>248</v>
      </c>
    </row>
    <row r="6" spans="2:7" x14ac:dyDescent="0.2">
      <c r="B6" s="20" t="s">
        <v>245</v>
      </c>
      <c r="C6" s="175">
        <f ca="1">Statement!AC153</f>
        <v>101203.44</v>
      </c>
      <c r="E6" s="20" t="s">
        <v>19</v>
      </c>
      <c r="F6" s="180">
        <f>IF(Statement!M5&lt;=0,"N/A",_xlfn.RRI(4,Statement!M5,Statement!Q5))</f>
        <v>0.10774954699996808</v>
      </c>
      <c r="G6" s="180" t="str">
        <f>IF(Statement!H5&lt;=0,"N/A",_xlfn.RRI(9,Statement!H5,Statement!Q5))</f>
        <v>N/A</v>
      </c>
    </row>
    <row r="7" spans="2:7" x14ac:dyDescent="0.2">
      <c r="B7" s="20" t="s">
        <v>189</v>
      </c>
      <c r="C7" s="175">
        <f ca="1">Statement!AC154</f>
        <v>102222.44</v>
      </c>
      <c r="E7" s="20" t="s">
        <v>31</v>
      </c>
      <c r="F7" s="180">
        <f>IF(OR(Statement!M18&lt;=0, Statement!Q18&lt;=0), "N/A", _xlfn.RRI(4, Statement!M18, Statement!Q18))</f>
        <v>0.10272083668849241</v>
      </c>
      <c r="G7" s="180" t="str">
        <f>IF(OR(Statement!H18&lt;=0, Statement!Q18&lt;=0), "N/A", _xlfn.RRI(9, Statement!H18, Statement!Q18))</f>
        <v>N/A</v>
      </c>
    </row>
    <row r="8" spans="2:7" x14ac:dyDescent="0.2">
      <c r="B8" s="20" t="s">
        <v>243</v>
      </c>
      <c r="C8" s="176">
        <f ca="1">Statement!AC150</f>
        <v>14.546910755148744</v>
      </c>
      <c r="E8" s="20" t="s">
        <v>249</v>
      </c>
      <c r="F8" s="180">
        <f>IF(OR(Statement!M26&lt;=0, Statement!Q26&lt;=0), "N/A", _xlfn.RRI(4, Statement!M26, Statement!Q26))</f>
        <v>0.13621936646749933</v>
      </c>
      <c r="G8" s="180" t="str">
        <f>IF(OR(Statement!H26&lt;=0, Statement!Q26&lt;=0), "N/A", _xlfn.RRI(9, Statement!H26, Statement!Q26))</f>
        <v>N/A</v>
      </c>
    </row>
    <row r="9" spans="2:7" x14ac:dyDescent="0.2">
      <c r="B9" s="20" t="s">
        <v>202</v>
      </c>
      <c r="C9" s="176">
        <f ca="1">Statement!AC151</f>
        <v>4.1727430748472099</v>
      </c>
      <c r="E9" s="20" t="s">
        <v>250</v>
      </c>
      <c r="F9" s="180" t="str">
        <f>IF(Statement!M82&lt;=0,"N/A",_xlfn.RRI(4,Statement!M82,Statement!Q82))</f>
        <v>N/A</v>
      </c>
      <c r="G9" s="180" t="str">
        <f>IF(Statement!H82&lt;=0,"N/A",_xlfn.RRI(9,Statement!H82,Statement!Q82))</f>
        <v>N/A</v>
      </c>
    </row>
    <row r="10" spans="2:7" x14ac:dyDescent="0.2">
      <c r="B10" s="20" t="s">
        <v>244</v>
      </c>
      <c r="C10" s="176">
        <f ca="1">Statement!AC152</f>
        <v>8.7865462753950343</v>
      </c>
      <c r="E10" s="20" t="s">
        <v>1</v>
      </c>
      <c r="F10" s="180">
        <f>IF(Statement!M117&lt;=0,"N/A",_xlfn.RRI(4,Statement!M117,Statement!Q117))</f>
        <v>-0.17087531923966282</v>
      </c>
      <c r="G10" s="180" t="str">
        <f>IF(Statement!H117&lt;=0,"N/A",_xlfn.RRI(9,Statement!H117,Statement!Q117))</f>
        <v>N/A</v>
      </c>
    </row>
    <row r="11" spans="2:7" x14ac:dyDescent="0.2">
      <c r="B11" s="20" t="s">
        <v>266</v>
      </c>
      <c r="C11" s="176">
        <f ca="1">Statement!AC155</f>
        <v>4.0567679974601161</v>
      </c>
    </row>
    <row r="12" spans="2:7" x14ac:dyDescent="0.2">
      <c r="B12" s="20" t="s">
        <v>205</v>
      </c>
      <c r="C12" s="176">
        <f ca="1">Statement!AC156</f>
        <v>11.24559295929593</v>
      </c>
    </row>
    <row r="15" spans="2:7" x14ac:dyDescent="0.2">
      <c r="B15" s="240" t="s">
        <v>77</v>
      </c>
      <c r="C15" s="240"/>
      <c r="E15" s="240" t="s">
        <v>252</v>
      </c>
      <c r="F15" s="240"/>
    </row>
    <row r="16" spans="2:7" x14ac:dyDescent="0.2">
      <c r="B16" s="20" t="s">
        <v>78</v>
      </c>
      <c r="C16" s="177">
        <f>Statement!AC101</f>
        <v>0.8940392094610683</v>
      </c>
      <c r="E16" s="20" t="s">
        <v>31</v>
      </c>
      <c r="F16" s="175">
        <f>Statement!AC18</f>
        <v>7229</v>
      </c>
    </row>
    <row r="17" spans="2:6" x14ac:dyDescent="0.2">
      <c r="B17" s="20" t="s">
        <v>79</v>
      </c>
      <c r="C17" s="177">
        <f>Statement!AC102</f>
        <v>0.36074291610445275</v>
      </c>
      <c r="E17" s="20" t="s">
        <v>253</v>
      </c>
      <c r="F17" s="175">
        <f>Statement!AC59</f>
        <v>10481</v>
      </c>
    </row>
    <row r="18" spans="2:6" x14ac:dyDescent="0.2">
      <c r="B18" s="20" t="s">
        <v>80</v>
      </c>
      <c r="C18" s="177">
        <f>Statement!AC103</f>
        <v>0.28688784824192398</v>
      </c>
      <c r="E18" s="20" t="s">
        <v>260</v>
      </c>
      <c r="F18" s="179">
        <f>IF(OR(F16&lt;=0, F17&lt;=0),"N/A",F16-F17)</f>
        <v>-3252</v>
      </c>
    </row>
    <row r="21" spans="2:6" x14ac:dyDescent="0.2">
      <c r="B21" s="240" t="s">
        <v>251</v>
      </c>
      <c r="C21" s="240"/>
      <c r="E21" s="240" t="s">
        <v>255</v>
      </c>
      <c r="F21" s="240"/>
    </row>
    <row r="22" spans="2:6" x14ac:dyDescent="0.2">
      <c r="B22" s="20" t="s">
        <v>101</v>
      </c>
      <c r="C22" s="177">
        <f>Statement!AC121</f>
        <v>0.28688784824192398</v>
      </c>
      <c r="E22" s="20" t="s">
        <v>103</v>
      </c>
      <c r="F22" s="177">
        <f>C24</f>
        <v>0.24150603013396588</v>
      </c>
    </row>
    <row r="23" spans="2:6" x14ac:dyDescent="0.2">
      <c r="B23" s="20" t="s">
        <v>102</v>
      </c>
      <c r="C23" s="176">
        <f>Statement!AC122</f>
        <v>0.8418133832225303</v>
      </c>
      <c r="E23" s="20" t="s">
        <v>105</v>
      </c>
      <c r="F23" s="177">
        <f>C26</f>
        <v>0.62762632401458585</v>
      </c>
    </row>
    <row r="24" spans="2:6" x14ac:dyDescent="0.2">
      <c r="B24" s="32" t="s">
        <v>103</v>
      </c>
      <c r="C24" s="178">
        <f>Statement!AC123</f>
        <v>0.24150603013396588</v>
      </c>
      <c r="E24" s="20" t="s">
        <v>106</v>
      </c>
      <c r="F24" s="177">
        <f>Statement!AC140</f>
        <v>0.5752841854820302</v>
      </c>
    </row>
    <row r="25" spans="2:6" x14ac:dyDescent="0.2">
      <c r="B25" s="20" t="s">
        <v>104</v>
      </c>
      <c r="C25" s="176">
        <f>Statement!AC124</f>
        <v>2.5988018753255773</v>
      </c>
    </row>
    <row r="26" spans="2:6" x14ac:dyDescent="0.2">
      <c r="B26" s="32" t="s">
        <v>105</v>
      </c>
      <c r="C26" s="178">
        <f>Statement!AC125</f>
        <v>0.62762632401458585</v>
      </c>
    </row>
    <row r="29" spans="2:6" x14ac:dyDescent="0.2">
      <c r="B29" s="240" t="s">
        <v>256</v>
      </c>
      <c r="C29" s="240"/>
      <c r="E29" s="240" t="s">
        <v>262</v>
      </c>
      <c r="F29" s="240"/>
    </row>
    <row r="30" spans="2:6" x14ac:dyDescent="0.2">
      <c r="B30" s="20" t="s">
        <v>140</v>
      </c>
      <c r="C30" s="176">
        <f>Statement!AC141</f>
        <v>28.869156282244624</v>
      </c>
      <c r="E30" s="20" t="s">
        <v>263</v>
      </c>
      <c r="F30" s="182">
        <f>Statement!AC145</f>
        <v>0.57692307692307687</v>
      </c>
    </row>
    <row r="31" spans="2:6" x14ac:dyDescent="0.2">
      <c r="B31" s="20" t="s">
        <v>141</v>
      </c>
      <c r="C31" s="176">
        <f>Statement!AC142</f>
        <v>0</v>
      </c>
      <c r="E31" s="20" t="s">
        <v>264</v>
      </c>
      <c r="F31" s="182">
        <f>Statement!AC146</f>
        <v>8.8470220524396598E-2</v>
      </c>
    </row>
    <row r="32" spans="2:6" x14ac:dyDescent="0.2">
      <c r="B32" s="20" t="s">
        <v>142</v>
      </c>
      <c r="C32" s="176">
        <f>Statement!AC143</f>
        <v>68.215355805243448</v>
      </c>
      <c r="E32" s="20" t="s">
        <v>259</v>
      </c>
      <c r="F32" s="182">
        <f>Statement!AC148</f>
        <v>0.75078655406524264</v>
      </c>
    </row>
    <row r="33" spans="2:6" x14ac:dyDescent="0.2">
      <c r="B33" s="20" t="s">
        <v>143</v>
      </c>
      <c r="C33" s="176">
        <f>Statement!AC144</f>
        <v>-39.346199522998823</v>
      </c>
      <c r="E33" s="20" t="s">
        <v>258</v>
      </c>
      <c r="F33" s="182">
        <f>Statement!AC147</f>
        <v>0.63081636032455701</v>
      </c>
    </row>
    <row r="34" spans="2:6" x14ac:dyDescent="0.2">
      <c r="E34" s="20" t="s">
        <v>265</v>
      </c>
      <c r="F34" s="184">
        <f>Statement!AC149</f>
        <v>34.827586206896555</v>
      </c>
    </row>
    <row r="37" spans="2:6" x14ac:dyDescent="0.2">
      <c r="B37" s="240" t="s">
        <v>274</v>
      </c>
      <c r="C37" s="240"/>
      <c r="E37" s="240" t="s">
        <v>277</v>
      </c>
      <c r="F37" s="240"/>
    </row>
    <row r="38" spans="2:6" x14ac:dyDescent="0.2">
      <c r="B38" s="20" t="s">
        <v>272</v>
      </c>
      <c r="C38" s="177">
        <f ca="1">Statement!AC162</f>
        <v>6.8743117822872415E-2</v>
      </c>
      <c r="E38" s="20" t="s">
        <v>276</v>
      </c>
      <c r="F38" s="177">
        <f>Statement!AC168</f>
        <v>0</v>
      </c>
    </row>
    <row r="39" spans="2:6" x14ac:dyDescent="0.2">
      <c r="B39" s="54" t="s">
        <v>275</v>
      </c>
      <c r="C39" s="217">
        <f ca="1">Statement!AC161</f>
        <v>8.0817410949667323E-2</v>
      </c>
      <c r="E39" s="20" t="s">
        <v>278</v>
      </c>
      <c r="F39" s="177">
        <f>Statement!AC169</f>
        <v>1.1150507396992297</v>
      </c>
    </row>
    <row r="40" spans="2:6" x14ac:dyDescent="0.2">
      <c r="B40" s="20" t="s">
        <v>273</v>
      </c>
      <c r="C40" s="177">
        <f ca="1">Statement!AC163</f>
        <v>0</v>
      </c>
      <c r="E40" s="20" t="s">
        <v>279</v>
      </c>
      <c r="F40" s="177">
        <f>Statement!AC170</f>
        <v>1.1150507396992297</v>
      </c>
    </row>
    <row r="41" spans="2:6" x14ac:dyDescent="0.2">
      <c r="B41" s="20" t="s">
        <v>298</v>
      </c>
      <c r="C41" s="177">
        <f ca="1">Statement!AC164</f>
        <v>9.0115513860003174E-2</v>
      </c>
    </row>
    <row r="42" spans="2:6" x14ac:dyDescent="0.2">
      <c r="B42" s="20" t="s">
        <v>300</v>
      </c>
      <c r="C42" s="177">
        <f ca="1">Statement!AC165</f>
        <v>9.0115513860003174E-2</v>
      </c>
    </row>
    <row r="45" spans="2:6" x14ac:dyDescent="0.2">
      <c r="B45" s="240" t="s">
        <v>285</v>
      </c>
      <c r="C45" s="240"/>
      <c r="E45" s="240" t="s">
        <v>291</v>
      </c>
      <c r="F45" s="240"/>
    </row>
    <row r="46" spans="2:6" x14ac:dyDescent="0.2">
      <c r="B46" s="20" t="s">
        <v>283</v>
      </c>
      <c r="C46" s="177">
        <f>Statement!AC171</f>
        <v>2.5125628140703518E-3</v>
      </c>
      <c r="E46" s="20" t="s">
        <v>284</v>
      </c>
      <c r="F46" s="176">
        <f>Statement!AC172</f>
        <v>14.135678391959798</v>
      </c>
    </row>
    <row r="47" spans="2:6" x14ac:dyDescent="0.2">
      <c r="E47" s="20" t="s">
        <v>292</v>
      </c>
      <c r="F47" s="176">
        <f>Statement!AC175</f>
        <v>-2.5603015075376883</v>
      </c>
    </row>
    <row r="48" spans="2:6" x14ac:dyDescent="0.2">
      <c r="E48" s="20" t="s">
        <v>297</v>
      </c>
      <c r="F48" s="177">
        <f ca="1">Statement!AC176</f>
        <v>-1.0068827699927986E-2</v>
      </c>
    </row>
    <row r="51" spans="2:6" x14ac:dyDescent="0.2">
      <c r="B51" s="240" t="s">
        <v>288</v>
      </c>
      <c r="C51" s="240"/>
      <c r="E51" s="240" t="s">
        <v>309</v>
      </c>
      <c r="F51" s="240"/>
    </row>
    <row r="52" spans="2:6" x14ac:dyDescent="0.2">
      <c r="B52" s="20" t="s">
        <v>286</v>
      </c>
      <c r="C52" s="177">
        <f>Statement!AC173</f>
        <v>0.19358839805362082</v>
      </c>
      <c r="E52" s="20" t="s">
        <v>310</v>
      </c>
      <c r="F52" s="177">
        <f>Statement!AC177</f>
        <v>1.0834193189935708E-2</v>
      </c>
    </row>
    <row r="53" spans="2:6" x14ac:dyDescent="0.2">
      <c r="B53" s="20" t="s">
        <v>287</v>
      </c>
      <c r="C53" s="177">
        <f>Statement!AC174</f>
        <v>8.0522263671719982E-2</v>
      </c>
      <c r="E53" s="20" t="s">
        <v>307</v>
      </c>
      <c r="F53" s="177">
        <f>Statement!AC178</f>
        <v>2.6047132907165347E-2</v>
      </c>
    </row>
    <row r="54" spans="2:6" x14ac:dyDescent="0.2">
      <c r="E54" s="20" t="s">
        <v>308</v>
      </c>
      <c r="F54" s="177">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5"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239</v>
      </c>
      <c r="C5" s="14"/>
      <c r="D5" s="14"/>
      <c r="E5" s="14"/>
      <c r="F5" s="14"/>
      <c r="G5" s="14"/>
      <c r="I5" s="14"/>
    </row>
    <row r="6" spans="2:9" x14ac:dyDescent="0.2">
      <c r="B6" s="20" t="s">
        <v>1</v>
      </c>
      <c r="C6" s="174">
        <f>Statement!M116</f>
        <v>671.88</v>
      </c>
      <c r="D6" s="174">
        <f>Statement!N116</f>
        <v>344.11</v>
      </c>
      <c r="E6" s="174">
        <f>Statement!O116</f>
        <v>611.01</v>
      </c>
      <c r="F6" s="174">
        <f>Statement!P116</f>
        <v>513.88</v>
      </c>
      <c r="G6" s="174">
        <f>Statement!Q116</f>
        <v>317.52</v>
      </c>
      <c r="I6" s="174">
        <f ca="1">Statement!AC116</f>
        <v>254.28</v>
      </c>
    </row>
    <row r="7" spans="2:9" x14ac:dyDescent="0.2">
      <c r="B7" s="20" t="s">
        <v>245</v>
      </c>
      <c r="C7" s="175">
        <f>Statement!M153</f>
        <v>319814.88</v>
      </c>
      <c r="D7" s="175">
        <f>Statement!N153</f>
        <v>157946.49000000002</v>
      </c>
      <c r="E7" s="175">
        <f>Statement!O153</f>
        <v>277398.53999999998</v>
      </c>
      <c r="F7" s="175">
        <f>Statement!P153</f>
        <v>225079.44</v>
      </c>
      <c r="G7" s="175">
        <f>Statement!Q153</f>
        <v>130818.23999999999</v>
      </c>
      <c r="I7" s="175">
        <f ca="1">Statement!AC153</f>
        <v>101203.44</v>
      </c>
    </row>
    <row r="8" spans="2:9" x14ac:dyDescent="0.2">
      <c r="B8" s="20" t="s">
        <v>189</v>
      </c>
      <c r="C8" s="175">
        <f>Statement!M154</f>
        <v>318139.88</v>
      </c>
      <c r="D8" s="175">
        <f>Statement!N154</f>
        <v>155979.49000000002</v>
      </c>
      <c r="E8" s="175">
        <f>Statement!O154</f>
        <v>273190.53999999998</v>
      </c>
      <c r="F8" s="175">
        <f>Statement!P154</f>
        <v>222821.44</v>
      </c>
      <c r="G8" s="175">
        <f>Statement!Q154</f>
        <v>130433.23999999999</v>
      </c>
      <c r="I8" s="175">
        <f ca="1">Statement!AC154</f>
        <v>102222.44</v>
      </c>
    </row>
    <row r="9" spans="2:9" x14ac:dyDescent="0.2">
      <c r="B9" s="20" t="s">
        <v>243</v>
      </c>
      <c r="C9" s="176">
        <f>Statement!M150</f>
        <v>67.053892215568865</v>
      </c>
      <c r="D9" s="176">
        <f>Statement!N150</f>
        <v>34.070297029702971</v>
      </c>
      <c r="E9" s="176">
        <f>Statement!O150</f>
        <v>51.692893401015226</v>
      </c>
      <c r="F9" s="176">
        <f>Statement!P150</f>
        <v>35.250914634146341</v>
      </c>
      <c r="G9" s="176">
        <f>Statement!Q150</f>
        <v>19.013173652694611</v>
      </c>
      <c r="I9" s="176">
        <f ca="1">Statement!AC150</f>
        <v>14.546910755148744</v>
      </c>
    </row>
    <row r="10" spans="2:9" x14ac:dyDescent="0.2">
      <c r="B10" s="20" t="s">
        <v>202</v>
      </c>
      <c r="C10" s="176">
        <f>Statement!M151</f>
        <v>20.473505226480839</v>
      </c>
      <c r="D10" s="176">
        <f>Statement!N151</f>
        <v>9.2057145291377935</v>
      </c>
      <c r="E10" s="176">
        <f>Statement!O151</f>
        <v>14.449667164717399</v>
      </c>
      <c r="F10" s="176">
        <f>Statement!P151</f>
        <v>10.753127179725645</v>
      </c>
      <c r="G10" s="176">
        <f>Statement!Q151</f>
        <v>5.7041120787580457</v>
      </c>
      <c r="I10" s="176">
        <f ca="1">Statement!AC151</f>
        <v>4.1727430748472099</v>
      </c>
    </row>
    <row r="11" spans="2:9" x14ac:dyDescent="0.2">
      <c r="B11" s="20" t="s">
        <v>244</v>
      </c>
      <c r="C11" s="176">
        <f>Statement!M152</f>
        <v>21.431868622017976</v>
      </c>
      <c r="D11" s="176">
        <f>Statement!N152</f>
        <v>11.216452921500249</v>
      </c>
      <c r="E11" s="176">
        <f>Statement!O152</f>
        <v>16.719731202324734</v>
      </c>
      <c r="F11" s="176">
        <f>Statement!P152</f>
        <v>15.848124778447358</v>
      </c>
      <c r="G11" s="176">
        <f>Statement!Q152</f>
        <v>11.227800051621784</v>
      </c>
      <c r="I11" s="176">
        <f ca="1">Statement!AC152</f>
        <v>8.7865462753950343</v>
      </c>
    </row>
    <row r="12" spans="2:9" x14ac:dyDescent="0.2">
      <c r="B12" s="20" t="s">
        <v>266</v>
      </c>
      <c r="C12" s="176">
        <f>Statement!M155</f>
        <v>20.154569528032944</v>
      </c>
      <c r="D12" s="176">
        <f>Statement!N155</f>
        <v>8.8594507554242892</v>
      </c>
      <c r="E12" s="176">
        <f>Statement!O155</f>
        <v>14.075456746870008</v>
      </c>
      <c r="F12" s="176">
        <f>Statement!P155</f>
        <v>10.361378284119972</v>
      </c>
      <c r="G12" s="176">
        <f>Statement!Q155</f>
        <v>5.4875358660440066</v>
      </c>
      <c r="I12" s="176">
        <f ca="1">Statement!AC155</f>
        <v>4.0567679974601161</v>
      </c>
    </row>
    <row r="13" spans="2:9" x14ac:dyDescent="0.2">
      <c r="B13" s="20" t="s">
        <v>205</v>
      </c>
      <c r="C13" s="176">
        <f>Statement!M156</f>
        <v>54.83279558772837</v>
      </c>
      <c r="D13" s="176">
        <f>Statement!N156</f>
        <v>25.578794686782555</v>
      </c>
      <c r="E13" s="176">
        <f>Statement!O156</f>
        <v>41.081284210526313</v>
      </c>
      <c r="F13" s="176">
        <f>Statement!P156</f>
        <v>33.054656579142559</v>
      </c>
      <c r="G13" s="176">
        <f>Statement!Q156</f>
        <v>14.98199402710774</v>
      </c>
      <c r="I13" s="176">
        <f ca="1">Statement!AC156</f>
        <v>11.24559295929593</v>
      </c>
    </row>
    <row r="15" spans="2:9" ht="17" thickBot="1" x14ac:dyDescent="0.25">
      <c r="B15" s="14" t="s">
        <v>77</v>
      </c>
      <c r="C15" s="14"/>
      <c r="D15" s="14"/>
      <c r="E15" s="14"/>
      <c r="F15" s="14"/>
      <c r="G15" s="14"/>
      <c r="I15" s="14"/>
    </row>
    <row r="16" spans="2:9" x14ac:dyDescent="0.2">
      <c r="B16" s="20" t="s">
        <v>78</v>
      </c>
      <c r="C16" s="177">
        <f>Statement!M101</f>
        <v>0.88184985745961353</v>
      </c>
      <c r="D16" s="177">
        <f>Statement!N101</f>
        <v>0.87703055776439853</v>
      </c>
      <c r="E16" s="177">
        <f>Statement!O101</f>
        <v>0.87871605955999799</v>
      </c>
      <c r="F16" s="177">
        <f>Statement!P101</f>
        <v>0.89035108114392003</v>
      </c>
      <c r="G16" s="177">
        <f>Statement!Q101</f>
        <v>0.89267533341747651</v>
      </c>
      <c r="I16" s="177">
        <f>Statement!AC101</f>
        <v>0.8940392094610683</v>
      </c>
    </row>
    <row r="17" spans="2:9" x14ac:dyDescent="0.2">
      <c r="B17" s="20" t="s">
        <v>79</v>
      </c>
      <c r="C17" s="177">
        <f>Statement!M102</f>
        <v>0.36756414317389929</v>
      </c>
      <c r="D17" s="177">
        <f>Statement!N102</f>
        <v>0.34635919572872886</v>
      </c>
      <c r="E17" s="177">
        <f>Statement!O102</f>
        <v>0.3426245556185275</v>
      </c>
      <c r="F17" s="177">
        <f>Statement!P102</f>
        <v>0.31346198558474775</v>
      </c>
      <c r="G17" s="177">
        <f>Statement!Q102</f>
        <v>0.36627540073204595</v>
      </c>
      <c r="I17" s="177">
        <f>Statement!AC102</f>
        <v>0.36074291610445275</v>
      </c>
    </row>
    <row r="18" spans="2:9" x14ac:dyDescent="0.2">
      <c r="B18" s="20" t="s">
        <v>80</v>
      </c>
      <c r="C18" s="177">
        <f>Statement!M103</f>
        <v>0.30547988596769082</v>
      </c>
      <c r="D18" s="177">
        <f>Statement!N103</f>
        <v>0.27013518118823127</v>
      </c>
      <c r="E18" s="177">
        <f>Statement!O103</f>
        <v>0.27966407336802512</v>
      </c>
      <c r="F18" s="177">
        <f>Statement!P103</f>
        <v>0.30504533829342012</v>
      </c>
      <c r="G18" s="177">
        <f>Statement!Q103</f>
        <v>0.29997054987588878</v>
      </c>
      <c r="I18" s="177">
        <f>Statement!AC103</f>
        <v>0.28688784824192398</v>
      </c>
    </row>
    <row r="20" spans="2:9" ht="17" thickBot="1" x14ac:dyDescent="0.25">
      <c r="B20" s="14" t="s">
        <v>252</v>
      </c>
      <c r="C20" s="14"/>
      <c r="D20" s="14"/>
      <c r="E20" s="14"/>
      <c r="F20" s="14"/>
      <c r="G20" s="14"/>
      <c r="I20" s="14"/>
    </row>
    <row r="21" spans="2:9" x14ac:dyDescent="0.2">
      <c r="B21" s="20" t="s">
        <v>31</v>
      </c>
      <c r="C21" s="179">
        <f>Statement!M18</f>
        <v>4822</v>
      </c>
      <c r="D21" s="179">
        <f>Statement!N18</f>
        <v>4756</v>
      </c>
      <c r="E21" s="179">
        <f>Statement!O18</f>
        <v>5428</v>
      </c>
      <c r="F21" s="179">
        <f>Statement!P18</f>
        <v>6560</v>
      </c>
      <c r="G21" s="179">
        <f>Statement!Q18</f>
        <v>7130</v>
      </c>
      <c r="I21" s="179">
        <f>Statement!AC18</f>
        <v>7229</v>
      </c>
    </row>
    <row r="22" spans="2:9" x14ac:dyDescent="0.2">
      <c r="B22" s="20" t="s">
        <v>253</v>
      </c>
      <c r="C22" s="179">
        <f>Statement!M59</f>
        <v>7230</v>
      </c>
      <c r="D22" s="179">
        <f>Statement!N59</f>
        <v>7838</v>
      </c>
      <c r="E22" s="179">
        <f>Statement!O59</f>
        <v>7302</v>
      </c>
      <c r="F22" s="179">
        <f>Statement!P59</f>
        <v>8056</v>
      </c>
      <c r="G22" s="179">
        <f>Statement!Q59</f>
        <v>10031</v>
      </c>
      <c r="I22" s="179">
        <f>Statement!AC59</f>
        <v>10481</v>
      </c>
    </row>
    <row r="23" spans="2:9" x14ac:dyDescent="0.2">
      <c r="B23" s="20" t="s">
        <v>260</v>
      </c>
      <c r="C23" s="197">
        <f>IF(OR(C21&lt;=0, C22&lt;=0),"N/A",C21-C22)</f>
        <v>-2408</v>
      </c>
      <c r="D23" s="197">
        <f t="shared" ref="D23:I23" si="0">IF(OR(D21&lt;=0, D22&lt;=0),"N/A",D21-D22)</f>
        <v>-3082</v>
      </c>
      <c r="E23" s="197">
        <f t="shared" si="0"/>
        <v>-1874</v>
      </c>
      <c r="F23" s="197">
        <f t="shared" si="0"/>
        <v>-1496</v>
      </c>
      <c r="G23" s="197">
        <f t="shared" si="0"/>
        <v>-2901</v>
      </c>
      <c r="I23" s="197">
        <f t="shared" si="0"/>
        <v>-3252</v>
      </c>
    </row>
    <row r="25" spans="2:9" ht="17" thickBot="1" x14ac:dyDescent="0.25">
      <c r="B25" s="14" t="s">
        <v>251</v>
      </c>
      <c r="C25" s="14"/>
      <c r="D25" s="14"/>
      <c r="E25" s="14"/>
      <c r="F25" s="14"/>
      <c r="G25" s="14"/>
      <c r="I25" s="14"/>
    </row>
    <row r="26" spans="2:9" x14ac:dyDescent="0.2">
      <c r="B26" s="20" t="s">
        <v>101</v>
      </c>
      <c r="C26" s="177">
        <f>Statement!M121</f>
        <v>0.30547988596769082</v>
      </c>
      <c r="D26" s="177">
        <f>Statement!N121</f>
        <v>0.27013518118823127</v>
      </c>
      <c r="E26" s="177">
        <f>Statement!O121</f>
        <v>0.27966407336802512</v>
      </c>
      <c r="F26" s="177">
        <f>Statement!P121</f>
        <v>0.30504533829342012</v>
      </c>
      <c r="G26" s="177">
        <f>Statement!Q121</f>
        <v>0.29997054987588878</v>
      </c>
      <c r="I26" s="177">
        <f>Statement!AC121</f>
        <v>0.28688784824192398</v>
      </c>
    </row>
    <row r="27" spans="2:9" x14ac:dyDescent="0.2">
      <c r="B27" s="20" t="s">
        <v>102</v>
      </c>
      <c r="C27" s="216">
        <f>Statement!M122</f>
        <v>0.57945743548327888</v>
      </c>
      <c r="D27" s="216">
        <f>Statement!N122</f>
        <v>0.64811338118902995</v>
      </c>
      <c r="E27" s="216">
        <f>Statement!O122</f>
        <v>0.65176802444675774</v>
      </c>
      <c r="F27" s="216">
        <f>Statement!P122</f>
        <v>0.71137942441283497</v>
      </c>
      <c r="G27" s="216">
        <f>Statement!Q122</f>
        <v>0.80583807973962573</v>
      </c>
      <c r="I27" s="216">
        <f>Statement!AC122</f>
        <v>0.8418133832225303</v>
      </c>
    </row>
    <row r="28" spans="2:9" x14ac:dyDescent="0.2">
      <c r="B28" s="32" t="s">
        <v>103</v>
      </c>
      <c r="C28" s="178">
        <f>Statement!M123</f>
        <v>0.1770125913145626</v>
      </c>
      <c r="D28" s="178">
        <f>Statement!N123</f>
        <v>0.17507822565801581</v>
      </c>
      <c r="E28" s="178">
        <f>Statement!O123</f>
        <v>0.18227610060781085</v>
      </c>
      <c r="F28" s="178">
        <f>Statement!P123</f>
        <v>0.21700297717499173</v>
      </c>
      <c r="G28" s="178">
        <f>Statement!Q123</f>
        <v>0.24172769189042584</v>
      </c>
      <c r="I28" s="178">
        <f>Statement!AC123</f>
        <v>0.24150603013396588</v>
      </c>
    </row>
    <row r="29" spans="2:9" x14ac:dyDescent="0.2">
      <c r="B29" s="20" t="s">
        <v>104</v>
      </c>
      <c r="C29" s="216">
        <f>Statement!M124</f>
        <v>1.8409812799891869</v>
      </c>
      <c r="D29" s="216">
        <f>Statement!N124</f>
        <v>1.9333143548501885</v>
      </c>
      <c r="E29" s="216">
        <f>Statement!O124</f>
        <v>1.8028211647899262</v>
      </c>
      <c r="F29" s="216">
        <f>Statement!P124</f>
        <v>2.1432116270825947</v>
      </c>
      <c r="G29" s="216">
        <f>Statement!Q124</f>
        <v>2.5377269207605608</v>
      </c>
      <c r="I29" s="216">
        <f>Statement!AC124</f>
        <v>2.5988018753255773</v>
      </c>
    </row>
    <row r="30" spans="2:9" x14ac:dyDescent="0.2">
      <c r="B30" s="32" t="s">
        <v>105</v>
      </c>
      <c r="C30" s="178">
        <f>Statement!M125</f>
        <v>0.3258768669324863</v>
      </c>
      <c r="D30" s="178">
        <f>Statement!N125</f>
        <v>0.33848124688634257</v>
      </c>
      <c r="E30" s="178">
        <f>Statement!O125</f>
        <v>0.32861121201113935</v>
      </c>
      <c r="F30" s="178">
        <f>Statement!P125</f>
        <v>0.46508330379298118</v>
      </c>
      <c r="G30" s="178">
        <f>Statement!Q125</f>
        <v>0.61343887120364793</v>
      </c>
      <c r="I30" s="178">
        <f>Statement!AC125</f>
        <v>0.62762632401458585</v>
      </c>
    </row>
    <row r="32" spans="2:9" ht="17" thickBot="1" x14ac:dyDescent="0.25">
      <c r="B32" s="14" t="s">
        <v>311</v>
      </c>
      <c r="C32" s="14"/>
      <c r="D32" s="14"/>
      <c r="E32" s="14"/>
      <c r="F32" s="14"/>
      <c r="G32" s="14"/>
      <c r="I32" s="14"/>
    </row>
    <row r="33" spans="2:9" x14ac:dyDescent="0.2">
      <c r="B33" s="20" t="s">
        <v>103</v>
      </c>
      <c r="C33" s="177">
        <f>C28</f>
        <v>0.1770125913145626</v>
      </c>
      <c r="D33" s="177">
        <f t="shared" ref="D33:G33" si="1">D28</f>
        <v>0.17507822565801581</v>
      </c>
      <c r="E33" s="177">
        <f t="shared" si="1"/>
        <v>0.18227610060781085</v>
      </c>
      <c r="F33" s="177">
        <f t="shared" si="1"/>
        <v>0.21700297717499173</v>
      </c>
      <c r="G33" s="177">
        <f t="shared" si="1"/>
        <v>0.24172769189042584</v>
      </c>
      <c r="I33" s="177">
        <f>I28</f>
        <v>0.24150603013396588</v>
      </c>
    </row>
    <row r="34" spans="2:9" x14ac:dyDescent="0.2">
      <c r="B34" s="20" t="s">
        <v>105</v>
      </c>
      <c r="C34" s="177">
        <f>C30</f>
        <v>0.3258768669324863</v>
      </c>
      <c r="D34" s="177">
        <f t="shared" ref="D34:G34" si="2">D30</f>
        <v>0.33848124688634257</v>
      </c>
      <c r="E34" s="177">
        <f t="shared" si="2"/>
        <v>0.32861121201113935</v>
      </c>
      <c r="F34" s="177">
        <f t="shared" si="2"/>
        <v>0.46508330379298118</v>
      </c>
      <c r="G34" s="177">
        <f t="shared" si="2"/>
        <v>0.61343887120364793</v>
      </c>
      <c r="I34" s="177">
        <f>I30</f>
        <v>0.62762632401458585</v>
      </c>
    </row>
    <row r="35" spans="2:9" x14ac:dyDescent="0.2">
      <c r="B35" s="20" t="s">
        <v>106</v>
      </c>
      <c r="C35" s="177">
        <f>Statement!M140</f>
        <v>0.37372250254171024</v>
      </c>
      <c r="D35" s="177">
        <f>Statement!N140</f>
        <v>0.39947409853176014</v>
      </c>
      <c r="E35" s="177">
        <f>Statement!O140</f>
        <v>0.43127907781153368</v>
      </c>
      <c r="F35" s="177">
        <f>Statement!P140</f>
        <v>0.45645170265130885</v>
      </c>
      <c r="G35" s="177">
        <f>Statement!Q140</f>
        <v>0.63242055551568566</v>
      </c>
      <c r="I35" s="177">
        <f>Statement!AC140</f>
        <v>0.5752841854820302</v>
      </c>
    </row>
    <row r="37" spans="2:9" ht="17" thickBot="1" x14ac:dyDescent="0.25">
      <c r="B37" s="14" t="s">
        <v>256</v>
      </c>
      <c r="C37" s="14"/>
      <c r="D37" s="14"/>
      <c r="E37" s="14"/>
      <c r="F37" s="14"/>
      <c r="G37" s="14"/>
      <c r="I37" s="14"/>
    </row>
    <row r="38" spans="2:9" x14ac:dyDescent="0.2">
      <c r="B38" s="20" t="s">
        <v>140</v>
      </c>
      <c r="C38" s="176">
        <f>Statement!M141</f>
        <v>43.425403864428255</v>
      </c>
      <c r="D38" s="176">
        <f>Statement!N141</f>
        <v>42.810689537657616</v>
      </c>
      <c r="E38" s="176">
        <f>Statement!O141</f>
        <v>41.823896130661034</v>
      </c>
      <c r="F38" s="176">
        <f>Statement!P141</f>
        <v>35.167635433620084</v>
      </c>
      <c r="G38" s="176">
        <f>Statement!Q141</f>
        <v>35.994783120871723</v>
      </c>
      <c r="I38" s="176">
        <f>Statement!AC141</f>
        <v>28.869156282244624</v>
      </c>
    </row>
    <row r="39" spans="2:9" x14ac:dyDescent="0.2">
      <c r="B39" s="20" t="s">
        <v>141</v>
      </c>
      <c r="C39" s="176">
        <f>Statement!M142</f>
        <v>0</v>
      </c>
      <c r="D39" s="176">
        <f>Statement!N142</f>
        <v>0</v>
      </c>
      <c r="E39" s="176">
        <f>Statement!O142</f>
        <v>0</v>
      </c>
      <c r="F39" s="176">
        <f>Statement!P142</f>
        <v>0</v>
      </c>
      <c r="G39" s="176">
        <f>Statement!Q142</f>
        <v>0</v>
      </c>
      <c r="I39" s="176">
        <f>Statement!AC142</f>
        <v>0</v>
      </c>
    </row>
    <row r="40" spans="2:9" x14ac:dyDescent="0.2">
      <c r="B40" s="20" t="s">
        <v>142</v>
      </c>
      <c r="C40" s="176">
        <f>Statement!M143</f>
        <v>61.061662198391424</v>
      </c>
      <c r="D40" s="176">
        <f>Statement!N143</f>
        <v>63.896073903002311</v>
      </c>
      <c r="E40" s="176">
        <f>Statement!O143</f>
        <v>48.687340696686491</v>
      </c>
      <c r="F40" s="176">
        <f>Statement!P143</f>
        <v>55.879983036471586</v>
      </c>
      <c r="G40" s="176">
        <f>Statement!Q143</f>
        <v>59.664837318698552</v>
      </c>
      <c r="I40" s="176">
        <f>Statement!AC143</f>
        <v>68.215355805243448</v>
      </c>
    </row>
    <row r="41" spans="2:9" x14ac:dyDescent="0.2">
      <c r="B41" s="20" t="s">
        <v>143</v>
      </c>
      <c r="C41" s="176">
        <f>Statement!M144</f>
        <v>-17.63625833396317</v>
      </c>
      <c r="D41" s="176">
        <f>Statement!N144</f>
        <v>-21.085384365344694</v>
      </c>
      <c r="E41" s="176">
        <f>Statement!O144</f>
        <v>-6.863444566025457</v>
      </c>
      <c r="F41" s="176">
        <f>Statement!P144</f>
        <v>-20.712347602851501</v>
      </c>
      <c r="G41" s="176">
        <f>Statement!Q144</f>
        <v>-23.670054197826829</v>
      </c>
      <c r="I41" s="176">
        <f>Statement!AC144</f>
        <v>-39.346199522998823</v>
      </c>
    </row>
    <row r="43" spans="2:9" ht="17" thickBot="1" x14ac:dyDescent="0.25">
      <c r="B43" s="14" t="s">
        <v>262</v>
      </c>
      <c r="C43" s="14"/>
      <c r="D43" s="14"/>
      <c r="E43" s="14"/>
      <c r="F43" s="14"/>
      <c r="G43" s="14"/>
      <c r="I43" s="14"/>
    </row>
    <row r="44" spans="2:9" x14ac:dyDescent="0.2">
      <c r="B44" s="20" t="s">
        <v>263</v>
      </c>
      <c r="C44" s="182">
        <f>Statement!M145</f>
        <v>0.27863756166790565</v>
      </c>
      <c r="D44" s="182">
        <f>Statement!N145</f>
        <v>0.29385808839228522</v>
      </c>
      <c r="E44" s="182">
        <f>Statement!O145</f>
        <v>0.22000242160067804</v>
      </c>
      <c r="F44" s="182">
        <f>Statement!P145</f>
        <v>0.39900744416873452</v>
      </c>
      <c r="G44" s="182">
        <f>Statement!Q145</f>
        <v>0.53428546846769331</v>
      </c>
      <c r="I44" s="182">
        <f>Statement!AC145</f>
        <v>0.57692307692307687</v>
      </c>
    </row>
    <row r="45" spans="2:9" x14ac:dyDescent="0.2">
      <c r="B45" s="20" t="s">
        <v>264</v>
      </c>
      <c r="C45" s="182">
        <f>Statement!M146</f>
        <v>-0.11319862134216395</v>
      </c>
      <c r="D45" s="182">
        <f>Statement!N146</f>
        <v>-0.13999003629634901</v>
      </c>
      <c r="E45" s="182">
        <f>Statement!O146</f>
        <v>-0.25475239133066957</v>
      </c>
      <c r="F45" s="182">
        <f>Statement!P146</f>
        <v>-0.16008507621410847</v>
      </c>
      <c r="G45" s="182">
        <f>Statement!Q146</f>
        <v>-3.3123978318850555E-2</v>
      </c>
      <c r="I45" s="182">
        <f>Statement!AC146</f>
        <v>8.8470220524396598E-2</v>
      </c>
    </row>
    <row r="46" spans="2:9" x14ac:dyDescent="0.2">
      <c r="B46" s="20" t="s">
        <v>258</v>
      </c>
      <c r="C46" s="182">
        <f>Statement!M147</f>
        <v>1.1073283323716099</v>
      </c>
      <c r="D46" s="182">
        <f>Statement!N147</f>
        <v>1.0040600393700787</v>
      </c>
      <c r="E46" s="182">
        <f>Statement!O147</f>
        <v>1.2199733365652647</v>
      </c>
      <c r="F46" s="182">
        <f>Statement!P147</f>
        <v>0.94648797642809623</v>
      </c>
      <c r="G46" s="182">
        <f>Statement!Q147</f>
        <v>0.87637254901960782</v>
      </c>
      <c r="I46" s="182">
        <f>Statement!AC147</f>
        <v>0.63081636032455701</v>
      </c>
    </row>
    <row r="47" spans="2:9" x14ac:dyDescent="0.2">
      <c r="B47" s="20" t="s">
        <v>259</v>
      </c>
      <c r="C47" s="182">
        <f>Statement!M148</f>
        <v>1.2505770340450086</v>
      </c>
      <c r="D47" s="182">
        <f>Statement!N148</f>
        <v>1.1067913385826771</v>
      </c>
      <c r="E47" s="182">
        <f>Statement!O148</f>
        <v>1.3433523209307963</v>
      </c>
      <c r="F47" s="182">
        <f>Statement!P148</f>
        <v>1.0675791274593669</v>
      </c>
      <c r="G47" s="182">
        <f>Statement!Q148</f>
        <v>0.99637254901960781</v>
      </c>
      <c r="I47" s="182">
        <f>Statement!AC148</f>
        <v>0.75078655406524264</v>
      </c>
    </row>
    <row r="48" spans="2:9" x14ac:dyDescent="0.2">
      <c r="B48" s="20" t="s">
        <v>265</v>
      </c>
      <c r="C48" s="184">
        <f>Statement!M149</f>
        <v>51.345132743362832</v>
      </c>
      <c r="D48" s="184">
        <f>Statement!N149</f>
        <v>54.446428571428569</v>
      </c>
      <c r="E48" s="184">
        <f>Statement!O149</f>
        <v>58.849557522123895</v>
      </c>
      <c r="F48" s="184">
        <f>Statement!P149</f>
        <v>39.887573964497044</v>
      </c>
      <c r="G48" s="184">
        <f>Statement!Q149</f>
        <v>33.102661596958178</v>
      </c>
      <c r="I48" s="184">
        <f>Statement!AC149</f>
        <v>34.827586206896555</v>
      </c>
    </row>
    <row r="50" spans="2:9" ht="17" thickBot="1" x14ac:dyDescent="0.25">
      <c r="B50" s="14" t="s">
        <v>274</v>
      </c>
      <c r="C50" s="14"/>
      <c r="D50" s="14"/>
      <c r="E50" s="14"/>
      <c r="F50" s="14"/>
      <c r="G50" s="14"/>
      <c r="I50" s="14"/>
    </row>
    <row r="51" spans="2:9" x14ac:dyDescent="0.2">
      <c r="B51" s="20" t="s">
        <v>272</v>
      </c>
      <c r="C51" s="177">
        <f>Statement!M162</f>
        <v>1.4913377388819432E-2</v>
      </c>
      <c r="D51" s="177">
        <f>Statement!N162</f>
        <v>2.9351079596640607E-2</v>
      </c>
      <c r="E51" s="177">
        <f>Statement!O162</f>
        <v>1.9345018903127609E-2</v>
      </c>
      <c r="F51" s="177">
        <f>Statement!P162</f>
        <v>2.8368058258305007E-2</v>
      </c>
      <c r="G51" s="177">
        <f>Statement!Q162</f>
        <v>5.2595112118921643E-2</v>
      </c>
      <c r="I51" s="177">
        <f ca="1">Statement!AC162</f>
        <v>6.8743117822872415E-2</v>
      </c>
    </row>
    <row r="52" spans="2:9" x14ac:dyDescent="0.2">
      <c r="B52" s="20" t="s">
        <v>275</v>
      </c>
      <c r="C52" s="177">
        <f>Statement!M161</f>
        <v>1.8176139896930375E-2</v>
      </c>
      <c r="D52" s="177">
        <f>Statement!N161</f>
        <v>3.7708973463101328E-2</v>
      </c>
      <c r="E52" s="177">
        <f>Statement!O161</f>
        <v>1.8832110652060391E-2</v>
      </c>
      <c r="F52" s="177">
        <f>Statement!P161</f>
        <v>2.6834969911067843E-2</v>
      </c>
      <c r="G52" s="177">
        <f>Statement!Q161</f>
        <v>6.0465574219619532E-2</v>
      </c>
      <c r="I52" s="177">
        <f ca="1">Statement!AC161</f>
        <v>8.0817410949667323E-2</v>
      </c>
    </row>
    <row r="53" spans="2:9" x14ac:dyDescent="0.2">
      <c r="B53" s="20" t="s">
        <v>273</v>
      </c>
      <c r="C53" s="177">
        <f>Statement!M163</f>
        <v>0</v>
      </c>
      <c r="D53" s="177">
        <f>Statement!N163</f>
        <v>0</v>
      </c>
      <c r="E53" s="177">
        <f>Statement!O163</f>
        <v>0</v>
      </c>
      <c r="F53" s="177">
        <f>Statement!P163</f>
        <v>0</v>
      </c>
      <c r="G53" s="177">
        <f>Statement!Q163</f>
        <v>0</v>
      </c>
      <c r="I53" s="177">
        <f ca="1">Statement!AC163</f>
        <v>0</v>
      </c>
    </row>
    <row r="54" spans="2:9" x14ac:dyDescent="0.2">
      <c r="B54" s="20" t="s">
        <v>298</v>
      </c>
      <c r="C54" s="177">
        <f>Statement!M164</f>
        <v>1.2350894992753308E-2</v>
      </c>
      <c r="D54" s="177">
        <f>Statement!N164</f>
        <v>4.1469740796392492E-2</v>
      </c>
      <c r="E54" s="177">
        <f>Statement!O164</f>
        <v>1.586165521995898E-2</v>
      </c>
      <c r="F54" s="177">
        <f>Statement!P164</f>
        <v>4.2207320224361675E-2</v>
      </c>
      <c r="G54" s="177">
        <f>Statement!Q164</f>
        <v>8.623415205708318E-2</v>
      </c>
      <c r="I54" s="177">
        <f ca="1">Statement!AC164</f>
        <v>9.0115513860003174E-2</v>
      </c>
    </row>
    <row r="55" spans="2:9" x14ac:dyDescent="0.2">
      <c r="B55" s="20" t="s">
        <v>300</v>
      </c>
      <c r="C55" s="177">
        <f>Statement!M165</f>
        <v>1.2350894992753308E-2</v>
      </c>
      <c r="D55" s="177">
        <f>Statement!N165</f>
        <v>4.1469740796392492E-2</v>
      </c>
      <c r="E55" s="177">
        <f>Statement!O165</f>
        <v>1.586165521995898E-2</v>
      </c>
      <c r="F55" s="177">
        <f>Statement!P165</f>
        <v>4.2207320224361675E-2</v>
      </c>
      <c r="G55" s="177">
        <f>Statement!Q165</f>
        <v>8.623415205708318E-2</v>
      </c>
      <c r="I55" s="177">
        <f ca="1">Statement!AC165</f>
        <v>9.0115513860003174E-2</v>
      </c>
    </row>
    <row r="57" spans="2:9" ht="17" thickBot="1" x14ac:dyDescent="0.25">
      <c r="B57" s="14" t="s">
        <v>277</v>
      </c>
      <c r="C57" s="14"/>
      <c r="D57" s="14"/>
      <c r="E57" s="14"/>
      <c r="F57" s="14"/>
      <c r="G57" s="14"/>
      <c r="I57" s="14"/>
    </row>
    <row r="58" spans="2:9" x14ac:dyDescent="0.2">
      <c r="B58" s="20" t="s">
        <v>276</v>
      </c>
      <c r="C58" s="177">
        <f>Statement!M168</f>
        <v>0</v>
      </c>
      <c r="D58" s="177">
        <f>Statement!N168</f>
        <v>0</v>
      </c>
      <c r="E58" s="177">
        <f>Statement!O168</f>
        <v>0</v>
      </c>
      <c r="F58" s="177">
        <f>Statement!P168</f>
        <v>0</v>
      </c>
      <c r="G58" s="177">
        <f>Statement!Q168</f>
        <v>0</v>
      </c>
      <c r="I58" s="177">
        <f>Statement!AC168</f>
        <v>0</v>
      </c>
    </row>
    <row r="59" spans="2:9" x14ac:dyDescent="0.2">
      <c r="B59" s="20" t="s">
        <v>278</v>
      </c>
      <c r="C59" s="177">
        <f>Statement!M169</f>
        <v>0.67951143987613971</v>
      </c>
      <c r="D59" s="177">
        <f>Statement!N169</f>
        <v>1.0997313633310948</v>
      </c>
      <c r="E59" s="177">
        <f>Statement!O169</f>
        <v>0.84226646248085757</v>
      </c>
      <c r="F59" s="177">
        <f>Statement!P169</f>
        <v>1.5728476821192052</v>
      </c>
      <c r="G59" s="177">
        <f>Statement!Q169</f>
        <v>1.4261694058154235</v>
      </c>
      <c r="I59" s="177">
        <f>Statement!AC169</f>
        <v>1.1150507396992297</v>
      </c>
    </row>
    <row r="60" spans="2:9" x14ac:dyDescent="0.2">
      <c r="B60" s="20" t="s">
        <v>279</v>
      </c>
      <c r="C60" s="177">
        <f>Statement!M170</f>
        <v>0.67951143987613971</v>
      </c>
      <c r="D60" s="177">
        <f>Statement!N170</f>
        <v>1.0997313633310948</v>
      </c>
      <c r="E60" s="177">
        <f>Statement!O170</f>
        <v>0.84226646248085757</v>
      </c>
      <c r="F60" s="177">
        <f>Statement!P170</f>
        <v>1.5728476821192052</v>
      </c>
      <c r="G60" s="177">
        <f>Statement!Q170</f>
        <v>1.4261694058154235</v>
      </c>
      <c r="I60" s="177">
        <f>Statement!AC170</f>
        <v>1.1150507396992297</v>
      </c>
    </row>
    <row r="62" spans="2:9" ht="17" thickBot="1" x14ac:dyDescent="0.25">
      <c r="B62" s="14" t="s">
        <v>285</v>
      </c>
      <c r="C62" s="14"/>
      <c r="D62" s="14"/>
      <c r="E62" s="14"/>
      <c r="F62" s="14"/>
      <c r="G62" s="14"/>
      <c r="I62" s="14"/>
    </row>
    <row r="63" spans="2:9" x14ac:dyDescent="0.2">
      <c r="B63" s="20" t="s">
        <v>283</v>
      </c>
      <c r="C63" s="177">
        <f>Statement!M171</f>
        <v>2.1008403361344537E-3</v>
      </c>
      <c r="D63" s="177">
        <f>Statement!N171</f>
        <v>2.1786492374727671E-3</v>
      </c>
      <c r="E63" s="177">
        <f>Statement!O171</f>
        <v>2.2026431718061676E-3</v>
      </c>
      <c r="F63" s="177">
        <f>Statement!P171</f>
        <v>2.2831050228310501E-3</v>
      </c>
      <c r="G63" s="177">
        <f>Statement!Q171</f>
        <v>2.4271844660194173E-3</v>
      </c>
      <c r="I63" s="177">
        <f>Statement!AC171</f>
        <v>2.5125628140703518E-3</v>
      </c>
    </row>
    <row r="65" spans="2:9" ht="17" thickBot="1" x14ac:dyDescent="0.25">
      <c r="B65" s="14" t="s">
        <v>291</v>
      </c>
      <c r="C65" s="14"/>
      <c r="D65" s="14"/>
      <c r="E65" s="14"/>
      <c r="F65" s="14"/>
      <c r="G65" s="14"/>
      <c r="I65" s="14"/>
    </row>
    <row r="66" spans="2:9" x14ac:dyDescent="0.2">
      <c r="B66" s="20" t="s">
        <v>284</v>
      </c>
      <c r="C66" s="176">
        <f>Statement!M172</f>
        <v>12.283898305084746</v>
      </c>
      <c r="D66" s="176">
        <f>Statement!N172</f>
        <v>13.310043668122271</v>
      </c>
      <c r="E66" s="176">
        <f>Statement!O172</f>
        <v>17.349557522123895</v>
      </c>
      <c r="F66" s="176">
        <f>Statement!P172</f>
        <v>18.128735632183908</v>
      </c>
      <c r="G66" s="176">
        <f>Statement!Q172</f>
        <v>16.046228710462287</v>
      </c>
      <c r="I66" s="176">
        <f>Statement!AC172</f>
        <v>14.135678391959798</v>
      </c>
    </row>
    <row r="67" spans="2:9" x14ac:dyDescent="0.2">
      <c r="B67" s="20" t="s">
        <v>292</v>
      </c>
      <c r="C67" s="176">
        <f>Statement!M175</f>
        <v>3.5487288135593222</v>
      </c>
      <c r="D67" s="176">
        <f>Statement!N175</f>
        <v>4.2947598253275112</v>
      </c>
      <c r="E67" s="176">
        <f>Statement!O175</f>
        <v>9.3097345132743357</v>
      </c>
      <c r="F67" s="176">
        <f>Statement!P175</f>
        <v>5.190804597701149</v>
      </c>
      <c r="G67" s="176">
        <f>Statement!Q175</f>
        <v>0.93673965936739656</v>
      </c>
      <c r="I67" s="176">
        <f>Statement!AC175</f>
        <v>-2.5603015075376883</v>
      </c>
    </row>
    <row r="68" spans="2:9" x14ac:dyDescent="0.2">
      <c r="B68" s="20" t="s">
        <v>297</v>
      </c>
      <c r="C68" s="198">
        <f>Statement!M176</f>
        <v>5.2374048386991875E-3</v>
      </c>
      <c r="D68" s="198">
        <f>Statement!N176</f>
        <v>1.2453584755191456E-2</v>
      </c>
      <c r="E68" s="198">
        <f>Statement!O176</f>
        <v>1.5169510264906226E-2</v>
      </c>
      <c r="F68" s="198">
        <f>Statement!P176</f>
        <v>1.0032013585958807E-2</v>
      </c>
      <c r="G68" s="198">
        <f>Statement!Q176</f>
        <v>2.9430146744062603E-3</v>
      </c>
      <c r="I68" s="198">
        <f ca="1">Statement!AC176</f>
        <v>-1.0068827699927986E-2</v>
      </c>
    </row>
    <row r="70" spans="2:9" ht="17" thickBot="1" x14ac:dyDescent="0.25">
      <c r="B70" s="14" t="s">
        <v>312</v>
      </c>
      <c r="C70" s="14"/>
      <c r="D70" s="14"/>
      <c r="E70" s="14"/>
      <c r="F70" s="14"/>
      <c r="G70" s="14"/>
      <c r="I70" s="14"/>
    </row>
    <row r="71" spans="2:9" x14ac:dyDescent="0.2">
      <c r="B71" s="20" t="s">
        <v>286</v>
      </c>
      <c r="C71" s="177">
        <f>Statement!M173</f>
        <v>0.14785615491009682</v>
      </c>
      <c r="D71" s="177">
        <f>Statement!N173</f>
        <v>0.1837203368206175</v>
      </c>
      <c r="E71" s="177">
        <f>Statement!O173</f>
        <v>0.23527800602574636</v>
      </c>
      <c r="F71" s="177">
        <f>Statement!P173</f>
        <v>0.22753227408142998</v>
      </c>
      <c r="G71" s="177">
        <f>Statement!Q173</f>
        <v>0.19359984049446716</v>
      </c>
      <c r="I71" s="177">
        <f>Statement!AC173</f>
        <v>0.19358839805362082</v>
      </c>
    </row>
    <row r="72" spans="2:9" x14ac:dyDescent="0.2">
      <c r="B72" s="20" t="s">
        <v>287</v>
      </c>
      <c r="C72" s="177">
        <f>Statement!M174</f>
        <v>6.7722521381057971E-2</v>
      </c>
      <c r="D72" s="177">
        <f>Statement!N174</f>
        <v>8.1790298761785757E-2</v>
      </c>
      <c r="E72" s="177">
        <f>Statement!O174</f>
        <v>8.8515637075583492E-2</v>
      </c>
      <c r="F72" s="177">
        <f>Statement!P174</f>
        <v>8.5235991629853528E-2</v>
      </c>
      <c r="G72" s="177">
        <f>Statement!Q174</f>
        <v>8.1703058605746975E-2</v>
      </c>
      <c r="I72" s="177">
        <f>Statement!AC174</f>
        <v>8.0522263671719982E-2</v>
      </c>
    </row>
    <row r="74" spans="2:9" ht="17" thickBot="1" x14ac:dyDescent="0.25">
      <c r="B74" s="14" t="s">
        <v>313</v>
      </c>
      <c r="C74" s="14"/>
      <c r="D74" s="14"/>
      <c r="E74" s="14"/>
      <c r="F74" s="14"/>
      <c r="G74" s="14"/>
      <c r="I74" s="14"/>
    </row>
    <row r="75" spans="2:9" x14ac:dyDescent="0.2">
      <c r="B75" s="20" t="s">
        <v>310</v>
      </c>
      <c r="C75" s="177">
        <f>Statement!M177</f>
        <v>2.2046246436490339E-2</v>
      </c>
      <c r="D75" s="177">
        <f>Statement!N177</f>
        <v>2.5105077814381462E-2</v>
      </c>
      <c r="E75" s="177">
        <f>Statement!O177</f>
        <v>1.854809624401051E-2</v>
      </c>
      <c r="F75" s="177">
        <f>Statement!P177</f>
        <v>8.5096489188560796E-3</v>
      </c>
      <c r="G75" s="177">
        <f>Statement!Q177</f>
        <v>7.5308174513021159E-3</v>
      </c>
      <c r="I75" s="177">
        <f>Statement!AC177</f>
        <v>1.0834193189935708E-2</v>
      </c>
    </row>
    <row r="76" spans="2:9" x14ac:dyDescent="0.2">
      <c r="B76" s="20" t="s">
        <v>307</v>
      </c>
      <c r="C76" s="177">
        <f>Statement!M178</f>
        <v>4.8132780082987554E-2</v>
      </c>
      <c r="D76" s="177">
        <f>Statement!N178</f>
        <v>5.6391936718550653E-2</v>
      </c>
      <c r="E76" s="177">
        <f>Statement!O178</f>
        <v>4.9301561216105176E-2</v>
      </c>
      <c r="F76" s="177">
        <f>Statement!P178</f>
        <v>2.2715988083416086E-2</v>
      </c>
      <c r="G76" s="177">
        <f>Statement!Q178</f>
        <v>1.7844681487389095E-2</v>
      </c>
      <c r="I76" s="177">
        <f>Statement!AC178</f>
        <v>2.6047132907165347E-2</v>
      </c>
    </row>
    <row r="77" spans="2:9" x14ac:dyDescent="0.2">
      <c r="B77" s="20" t="s">
        <v>308</v>
      </c>
      <c r="C77" s="177">
        <f>Statement!M179</f>
        <v>0.44162436548223349</v>
      </c>
      <c r="D77" s="177">
        <f>Statement!N179</f>
        <v>0.51635514018691586</v>
      </c>
      <c r="E77" s="177">
        <f>Statement!O179</f>
        <v>0.41284403669724773</v>
      </c>
      <c r="F77" s="177">
        <f>Statement!P179</f>
        <v>0.21353558926487748</v>
      </c>
      <c r="G77" s="177">
        <f>Statement!Q179</f>
        <v>0.21882640586797067</v>
      </c>
      <c r="I77" s="177">
        <f>Statement!AC179</f>
        <v>0.35968379446640314</v>
      </c>
    </row>
    <row r="79" spans="2:9" ht="17" thickBot="1" x14ac:dyDescent="0.25">
      <c r="B79" s="14" t="s">
        <v>123</v>
      </c>
      <c r="C79" s="14"/>
      <c r="D79" s="14"/>
      <c r="E79" s="14"/>
      <c r="F79" s="14"/>
      <c r="G79" s="14"/>
      <c r="I79" s="14"/>
    </row>
    <row r="80" spans="2:9" x14ac:dyDescent="0.2">
      <c r="B80" s="20" t="s">
        <v>19</v>
      </c>
      <c r="C80" s="177">
        <f>Statement!M89</f>
        <v>1</v>
      </c>
      <c r="D80" s="177">
        <f>Statement!N89</f>
        <v>0.11536268609439342</v>
      </c>
      <c r="E80" s="177">
        <f>Statement!O89</f>
        <v>0.10240826990798592</v>
      </c>
      <c r="F80" s="177">
        <f>Statement!P89</f>
        <v>0.10799113813179453</v>
      </c>
      <c r="G80" s="177">
        <f>Statement!Q89</f>
        <v>0.10527784236224134</v>
      </c>
      <c r="I80" s="199"/>
    </row>
    <row r="81" spans="2:9" x14ac:dyDescent="0.2">
      <c r="B81" s="20" t="s">
        <v>20</v>
      </c>
      <c r="C81" s="177">
        <f>Statement!M90</f>
        <v>1</v>
      </c>
      <c r="D81" s="177">
        <f>Statement!N90</f>
        <v>0.16085790884718498</v>
      </c>
      <c r="E81" s="177">
        <f>Statement!O90</f>
        <v>8.729792147806005E-2</v>
      </c>
      <c r="F81" s="177">
        <f>Statement!P90</f>
        <v>1.6992353440951572E-3</v>
      </c>
      <c r="G81" s="177">
        <f>Statement!Q90</f>
        <v>8.1849024597116196E-2</v>
      </c>
      <c r="I81" s="199"/>
    </row>
    <row r="82" spans="2:9" x14ac:dyDescent="0.2">
      <c r="B82" s="20" t="s">
        <v>21</v>
      </c>
      <c r="C82" s="177">
        <f>Statement!M91</f>
        <v>1</v>
      </c>
      <c r="D82" s="177">
        <f>Statement!N91</f>
        <v>0.10926724137931035</v>
      </c>
      <c r="E82" s="177">
        <f>Statement!O91</f>
        <v>0.10452690887895862</v>
      </c>
      <c r="F82" s="177">
        <f>Statement!P91</f>
        <v>0.122661975960129</v>
      </c>
      <c r="G82" s="177">
        <f>Statement!Q91</f>
        <v>0.10816315871938163</v>
      </c>
      <c r="I82" s="199"/>
    </row>
    <row r="83" spans="2:9" x14ac:dyDescent="0.2">
      <c r="B83" s="20" t="s">
        <v>25</v>
      </c>
      <c r="C83" s="177">
        <f>Statement!M95</f>
        <v>1</v>
      </c>
      <c r="D83" s="177">
        <f>Statement!N95</f>
        <v>0.15089923626508991</v>
      </c>
      <c r="E83" s="177">
        <f>Statement!O95</f>
        <v>0.11366798672803168</v>
      </c>
      <c r="F83" s="177">
        <f>Statement!P95</f>
        <v>0.19231138875540604</v>
      </c>
      <c r="G83" s="177">
        <f>Statement!Q95</f>
        <v>8.5442527809124619E-3</v>
      </c>
      <c r="I83" s="199"/>
    </row>
    <row r="84" spans="2:9" x14ac:dyDescent="0.2">
      <c r="B84" s="20" t="s">
        <v>314</v>
      </c>
      <c r="C84" s="177">
        <f>Statement!M96</f>
        <v>1</v>
      </c>
      <c r="D84" s="177">
        <f>Statement!N96</f>
        <v>5.1016890727335402E-2</v>
      </c>
      <c r="E84" s="177">
        <f>Statement!O96</f>
        <v>9.0521482453263372E-2</v>
      </c>
      <c r="F84" s="177">
        <f>Statement!P96</f>
        <v>1.368421052631579E-2</v>
      </c>
      <c r="G84" s="177">
        <f>Statement!Q96</f>
        <v>0.29149977748108591</v>
      </c>
      <c r="I84" s="199"/>
    </row>
    <row r="85" spans="2:9" x14ac:dyDescent="0.2">
      <c r="B85" s="20" t="s">
        <v>315</v>
      </c>
      <c r="C85" s="177">
        <f>Statement!M98</f>
        <v>1</v>
      </c>
      <c r="D85" s="177">
        <f>Statement!N98</f>
        <v>-1.3687266694317711E-2</v>
      </c>
      <c r="E85" s="177">
        <f>Statement!O98</f>
        <v>0.14129520605550883</v>
      </c>
      <c r="F85" s="177">
        <f>Statement!P98</f>
        <v>0.20854826823876196</v>
      </c>
      <c r="G85" s="177">
        <f>Statement!Q98</f>
        <v>8.6890243902439018E-2</v>
      </c>
      <c r="I85" s="199"/>
    </row>
    <row r="88" spans="2:9" ht="17" thickBot="1" x14ac:dyDescent="0.25">
      <c r="B88" s="14" t="s">
        <v>316</v>
      </c>
      <c r="C88" s="14"/>
      <c r="D88" s="14"/>
      <c r="E88" s="14"/>
      <c r="F88" s="14"/>
      <c r="G88" s="14"/>
      <c r="I88" s="14"/>
    </row>
    <row r="89" spans="2:9" x14ac:dyDescent="0.2">
      <c r="B89" s="20" t="s">
        <v>396</v>
      </c>
      <c r="C89" s="177">
        <f>Statement!M197</f>
        <v>1</v>
      </c>
      <c r="D89" s="177">
        <f>Statement!N197</f>
        <v>0.1245453921635902</v>
      </c>
      <c r="E89" s="177">
        <f>Statement!O197</f>
        <v>0.11569441054430071</v>
      </c>
      <c r="F89" s="177">
        <f>Statement!P197</f>
        <v>0.12234740756945964</v>
      </c>
      <c r="G89" s="177">
        <f>Statement!Q197</f>
        <v>0.11612494517811023</v>
      </c>
      <c r="I89" s="199"/>
    </row>
    <row r="90" spans="2:9" x14ac:dyDescent="0.2">
      <c r="B90" s="20" t="s">
        <v>397</v>
      </c>
      <c r="C90" s="177">
        <f>Statement!M198</f>
        <v>1</v>
      </c>
      <c r="D90" s="177">
        <f>Statement!N198</f>
        <v>-4.1441441441441441E-2</v>
      </c>
      <c r="E90" s="177">
        <f>Statement!O198</f>
        <v>-0.13533834586466165</v>
      </c>
      <c r="F90" s="177">
        <f>Statement!P198</f>
        <v>-0.16086956521739129</v>
      </c>
      <c r="G90" s="177">
        <f>Statement!Q198</f>
        <v>-0.15803108808290156</v>
      </c>
      <c r="I90" s="199"/>
    </row>
    <row r="91" spans="2:9" x14ac:dyDescent="0.2">
      <c r="B91" s="20" t="s">
        <v>398</v>
      </c>
      <c r="C91" s="177">
        <f>Statement!M199</f>
        <v>1</v>
      </c>
      <c r="D91" s="177">
        <f>Statement!N199</f>
        <v>4.4140030441400302E-2</v>
      </c>
      <c r="E91" s="177">
        <f>Statement!O199</f>
        <v>-3.0612244897959183E-2</v>
      </c>
      <c r="F91" s="177">
        <f>Statement!P199</f>
        <v>-0.10075187969924812</v>
      </c>
      <c r="G91" s="177">
        <f>Statement!Q199</f>
        <v>-9.6989966555183951E-2</v>
      </c>
      <c r="I91" s="199"/>
    </row>
    <row r="93" spans="2:9" ht="17" thickBot="1" x14ac:dyDescent="0.25">
      <c r="B93" s="14" t="s">
        <v>318</v>
      </c>
      <c r="C93" s="14"/>
      <c r="D93" s="14"/>
      <c r="E93" s="14"/>
      <c r="F93" s="14"/>
      <c r="G93" s="14"/>
      <c r="I93" s="14"/>
    </row>
    <row r="94" spans="2:9" x14ac:dyDescent="0.2">
      <c r="B94" s="20" t="s">
        <v>290</v>
      </c>
      <c r="C94" s="177">
        <f>Statement!M203</f>
        <v>0</v>
      </c>
      <c r="D94" s="177">
        <f>Statement!N203</f>
        <v>0</v>
      </c>
      <c r="E94" s="177">
        <f>Statement!O203</f>
        <v>0</v>
      </c>
      <c r="F94" s="177">
        <f>Statement!P203</f>
        <v>0</v>
      </c>
      <c r="G94" s="177">
        <f>Statement!Q203</f>
        <v>0</v>
      </c>
      <c r="I94"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319</v>
      </c>
      <c r="D3" s="244"/>
      <c r="F3" s="245" t="s">
        <v>320</v>
      </c>
      <c r="G3" s="244"/>
    </row>
    <row r="4" spans="2:7" x14ac:dyDescent="0.2">
      <c r="B4" s="8"/>
      <c r="C4" s="10" t="str">
        <f>Statement!Z2</f>
        <v>27.02.2026</v>
      </c>
      <c r="D4" s="205" t="str">
        <f>Statement!AA2</f>
        <v>29.05.2026</v>
      </c>
      <c r="F4" s="206" t="str">
        <f>Statement!W2</f>
        <v>30.05.2025</v>
      </c>
      <c r="G4" s="205" t="str">
        <f>Statement!AA2</f>
        <v>29.05.2026</v>
      </c>
    </row>
    <row r="5" spans="2:7" x14ac:dyDescent="0.2">
      <c r="B5" s="8" t="s">
        <v>325</v>
      </c>
      <c r="C5" s="10" t="str">
        <f>Statement!Z3</f>
        <v>Q1 2026</v>
      </c>
      <c r="D5" s="205" t="str">
        <f>Statement!AA3</f>
        <v>Q2 2026</v>
      </c>
      <c r="F5" s="206" t="str">
        <f>Statement!W3</f>
        <v>Q2 2025</v>
      </c>
      <c r="G5" s="205" t="str">
        <f>Statement!AA3</f>
        <v>Q2 2026</v>
      </c>
    </row>
    <row r="6" spans="2:7" x14ac:dyDescent="0.2">
      <c r="B6" s="207" t="s">
        <v>19</v>
      </c>
      <c r="C6" s="201">
        <f>Statement!Z5</f>
        <v>6398</v>
      </c>
      <c r="D6" s="200">
        <f>Statement!AA5</f>
        <v>6618</v>
      </c>
      <c r="F6" s="201">
        <f>Statement!W5</f>
        <v>5873</v>
      </c>
      <c r="G6" s="200">
        <f>Statement!AA5</f>
        <v>6618</v>
      </c>
    </row>
    <row r="7" spans="2:7" x14ac:dyDescent="0.2">
      <c r="B7" s="208" t="s">
        <v>321</v>
      </c>
      <c r="C7" s="241">
        <f>Statement!AA89</f>
        <v>3.4385745545482967E-2</v>
      </c>
      <c r="D7" s="242"/>
      <c r="F7" s="241">
        <f>IF(F6=0,
IF(G6=0,0,IF(G6&gt;0,1,-1)),
(G6-F6)/ABS(F6)
)</f>
        <v>0.1268516941937681</v>
      </c>
      <c r="G7" s="242"/>
    </row>
    <row r="8" spans="2:7" x14ac:dyDescent="0.2">
      <c r="B8" s="209" t="s">
        <v>20</v>
      </c>
      <c r="C8" s="202">
        <f>Statement!Z6</f>
        <v>664</v>
      </c>
      <c r="D8" s="200">
        <f>Statement!AA6</f>
        <v>715</v>
      </c>
      <c r="F8" s="202">
        <f>Statement!W6</f>
        <v>638</v>
      </c>
      <c r="G8" s="200">
        <f>Statement!AA6</f>
        <v>715</v>
      </c>
    </row>
    <row r="9" spans="2:7" x14ac:dyDescent="0.2">
      <c r="B9" s="208" t="s">
        <v>321</v>
      </c>
      <c r="C9" s="241">
        <f>Statement!AA90</f>
        <v>7.6807228915662648E-2</v>
      </c>
      <c r="D9" s="242"/>
      <c r="F9" s="241">
        <f>IF(F8=0,
IF(G8=0,0,IF(G8&gt;0,1,-1)),
(G8-F8)/ABS(F8)
)</f>
        <v>0.1206896551724138</v>
      </c>
      <c r="G9" s="242"/>
    </row>
    <row r="10" spans="2:7" x14ac:dyDescent="0.2">
      <c r="B10" s="209" t="s">
        <v>21</v>
      </c>
      <c r="C10" s="202">
        <f>Statement!Z7</f>
        <v>5734</v>
      </c>
      <c r="D10" s="200">
        <f>Statement!AA7</f>
        <v>5903</v>
      </c>
      <c r="F10" s="202">
        <f>Statement!W7</f>
        <v>5235</v>
      </c>
      <c r="G10" s="200">
        <f>Statement!AA7</f>
        <v>5903</v>
      </c>
    </row>
    <row r="11" spans="2:7" x14ac:dyDescent="0.2">
      <c r="B11" s="208" t="s">
        <v>321</v>
      </c>
      <c r="C11" s="241">
        <f>Statement!AA91</f>
        <v>2.9473317056156263E-2</v>
      </c>
      <c r="D11" s="242"/>
      <c r="F11" s="241">
        <f>IF(F10=0,
IF(G10=0,0,IF(G10&gt;0,1,-1)),
(G10-F10)/ABS(F10)
)</f>
        <v>0.12760267430754538</v>
      </c>
      <c r="G11" s="242"/>
    </row>
    <row r="12" spans="2:7" x14ac:dyDescent="0.2">
      <c r="B12" s="209" t="s">
        <v>25</v>
      </c>
      <c r="C12" s="202">
        <f>Statement!Z11</f>
        <v>3316</v>
      </c>
      <c r="D12" s="200">
        <f>Statement!AA11</f>
        <v>3665</v>
      </c>
      <c r="F12" s="202">
        <f>Statement!W11</f>
        <v>3126</v>
      </c>
      <c r="G12" s="200">
        <f>Statement!AA11</f>
        <v>3665</v>
      </c>
    </row>
    <row r="13" spans="2:7" x14ac:dyDescent="0.2">
      <c r="B13" s="208" t="s">
        <v>321</v>
      </c>
      <c r="C13" s="241">
        <f>Statement!AA95</f>
        <v>0.10524728588661038</v>
      </c>
      <c r="D13" s="242"/>
      <c r="F13" s="241">
        <f>IF(F12=0,
IF(G12=0,0,IF(G12&gt;0,1,-1)),
(G12-F12)/ABS(F12)
)</f>
        <v>0.172424824056302</v>
      </c>
      <c r="G13" s="242"/>
    </row>
    <row r="14" spans="2:7" x14ac:dyDescent="0.2">
      <c r="B14" s="209" t="s">
        <v>322</v>
      </c>
      <c r="C14" s="202">
        <f>Statement!Z12</f>
        <v>2418</v>
      </c>
      <c r="D14" s="200">
        <f>Statement!AA12</f>
        <v>2238</v>
      </c>
      <c r="F14" s="202">
        <f>Statement!W12</f>
        <v>2109</v>
      </c>
      <c r="G14" s="200">
        <f>Statement!AA12</f>
        <v>2238</v>
      </c>
    </row>
    <row r="15" spans="2:7" x14ac:dyDescent="0.2">
      <c r="B15" s="208" t="s">
        <v>321</v>
      </c>
      <c r="C15" s="241">
        <f>Statement!AA96</f>
        <v>-7.4441687344913146E-2</v>
      </c>
      <c r="D15" s="242"/>
      <c r="F15" s="241">
        <f>IF(F14=0,
IF(G14=0,0,IF(G14&gt;0,1,-1)),
(G14-F14)/ABS(F14)
)</f>
        <v>6.1166429587482217E-2</v>
      </c>
      <c r="G15" s="242"/>
    </row>
    <row r="16" spans="2:7" x14ac:dyDescent="0.2">
      <c r="B16" s="209" t="s">
        <v>31</v>
      </c>
      <c r="C16" s="202">
        <f>Statement!Z18</f>
        <v>1889</v>
      </c>
      <c r="D16" s="200">
        <f>Statement!AA18</f>
        <v>1712</v>
      </c>
      <c r="F16" s="202">
        <f>Statement!W18</f>
        <v>1691</v>
      </c>
      <c r="G16" s="200">
        <f>Statement!AA18</f>
        <v>1712</v>
      </c>
    </row>
    <row r="17" spans="2:7" x14ac:dyDescent="0.2">
      <c r="B17" s="208" t="s">
        <v>321</v>
      </c>
      <c r="C17" s="241">
        <f>Statement!AA98</f>
        <v>-9.3700370566437263E-2</v>
      </c>
      <c r="D17" s="242"/>
      <c r="F17" s="241">
        <f>IF(F16=0,
IF(G16=0,0,IF(G16&gt;0,1,-1)),
(G16-F16)/ABS(F16)
)</f>
        <v>1.2418687167356593E-2</v>
      </c>
      <c r="G17" s="242"/>
    </row>
    <row r="18" spans="2:7" x14ac:dyDescent="0.2">
      <c r="B18" s="209" t="s">
        <v>323</v>
      </c>
      <c r="C18" s="202">
        <f>Statement!Z22</f>
        <v>411</v>
      </c>
      <c r="D18" s="200">
        <f>Statement!AA22</f>
        <v>402</v>
      </c>
      <c r="F18" s="202">
        <f>Statement!W22</f>
        <v>429</v>
      </c>
      <c r="G18" s="200">
        <f>Statement!AA22</f>
        <v>402</v>
      </c>
    </row>
    <row r="19" spans="2:7" x14ac:dyDescent="0.2">
      <c r="B19" s="208" t="s">
        <v>321</v>
      </c>
      <c r="C19" s="241">
        <f>IF(C18=0,
IF(D18=0,0,IF(D18&gt;0,1,-1)),
(D18-C18)/ABS(C18)
)</f>
        <v>-2.1897810218978103E-2</v>
      </c>
      <c r="D19" s="242"/>
      <c r="F19" s="241">
        <f>IF(F18=0,
IF(G18=0,0,IF(G18&gt;0,1,-1)),
(G18-F18)/ABS(F18)
)</f>
        <v>-6.2937062937062943E-2</v>
      </c>
      <c r="G19" s="242"/>
    </row>
    <row r="20" spans="2:7" x14ac:dyDescent="0.2">
      <c r="B20" s="209" t="s">
        <v>38</v>
      </c>
      <c r="C20" s="203">
        <f>Statement!Z26</f>
        <v>4.5999999999999996</v>
      </c>
      <c r="D20" s="204">
        <f>Statement!AA26</f>
        <v>4.25</v>
      </c>
      <c r="F20" s="203">
        <f>Statement!W26</f>
        <v>3.94</v>
      </c>
      <c r="G20" s="204">
        <f>Statement!AA26</f>
        <v>4.25</v>
      </c>
    </row>
    <row r="21" spans="2:7" x14ac:dyDescent="0.2">
      <c r="B21" s="208" t="s">
        <v>321</v>
      </c>
      <c r="C21" s="241">
        <f>IF(C20=0,
IF(D20=0,0,IF(D20&gt;0,1,-1)),
(D20-C20)/ABS(C20)
)</f>
        <v>-7.6086956521739066E-2</v>
      </c>
      <c r="D21" s="242"/>
      <c r="F21" s="241">
        <f>IF(F20=0,
IF(G20=0,0,IF(G20&gt;0,1,-1)),
(G20-F20)/ABS(F20)
)</f>
        <v>7.8680203045685293E-2</v>
      </c>
      <c r="G21" s="242"/>
    </row>
    <row r="23" spans="2:7" x14ac:dyDescent="0.2">
      <c r="B23" s="8" t="s">
        <v>324</v>
      </c>
      <c r="C23" s="10" t="str">
        <f>C5</f>
        <v>Q1 2026</v>
      </c>
      <c r="D23" s="205" t="str">
        <f>D5</f>
        <v>Q2 2026</v>
      </c>
      <c r="F23" s="206" t="str">
        <f>F5</f>
        <v>Q2 2025</v>
      </c>
      <c r="G23" s="205" t="str">
        <f>G5</f>
        <v>Q2 2026</v>
      </c>
    </row>
    <row r="24" spans="2:7" x14ac:dyDescent="0.2">
      <c r="B24" s="20" t="s">
        <v>100</v>
      </c>
      <c r="C24" s="202">
        <f>Statement!Z187</f>
        <v>6198</v>
      </c>
      <c r="D24" s="200">
        <f>Statement!AA187</f>
        <v>6416</v>
      </c>
      <c r="F24" s="202">
        <f>Statement!W187</f>
        <v>5641</v>
      </c>
      <c r="G24" s="200">
        <f>Statement!AA187</f>
        <v>6416</v>
      </c>
    </row>
    <row r="25" spans="2:7" x14ac:dyDescent="0.2">
      <c r="B25" s="208" t="s">
        <v>321</v>
      </c>
      <c r="C25" s="241">
        <f>IF(C24=0,
IF(D24=0,0,IF(D24&gt;0,1,-1)),
(D24-C24)/ABS(C24)
)</f>
        <v>3.5172636334301385E-2</v>
      </c>
      <c r="D25" s="242"/>
      <c r="F25" s="241">
        <f>IF(F24=0,
IF(G24=0,0,IF(G24&gt;0,1,-1)),
(G24-F24)/ABS(F24)
)</f>
        <v>0.13738698812267328</v>
      </c>
      <c r="G25" s="242"/>
    </row>
    <row r="26" spans="2:7" x14ac:dyDescent="0.2">
      <c r="B26" s="20" t="s">
        <v>389</v>
      </c>
      <c r="C26" s="202">
        <f>Statement!Z188</f>
        <v>90</v>
      </c>
      <c r="D26" s="200">
        <f>Statement!AA188</f>
        <v>89</v>
      </c>
      <c r="F26" s="202">
        <f>Statement!W188</f>
        <v>88</v>
      </c>
      <c r="G26" s="200">
        <f>Statement!AA188</f>
        <v>89</v>
      </c>
    </row>
    <row r="27" spans="2:7" x14ac:dyDescent="0.2">
      <c r="B27" s="208" t="s">
        <v>321</v>
      </c>
      <c r="C27" s="241">
        <f>IF(C26=0,
IF(D26=0,0,IF(D26&gt;0,1,-1)),
(D26-C26)/ABS(C26)
)</f>
        <v>-1.1111111111111112E-2</v>
      </c>
      <c r="D27" s="242"/>
      <c r="F27" s="241">
        <f>IF(F26=0,
IF(G26=0,0,IF(G26&gt;0,1,-1)),
(G26-F26)/ABS(F26)
)</f>
        <v>1.1363636363636364E-2</v>
      </c>
      <c r="G27" s="242"/>
    </row>
    <row r="28" spans="2:7" x14ac:dyDescent="0.2">
      <c r="B28" s="20" t="s">
        <v>399</v>
      </c>
      <c r="C28" s="202">
        <f>Statement!Z189</f>
        <v>110</v>
      </c>
      <c r="D28" s="200">
        <f>Statement!AA189</f>
        <v>113</v>
      </c>
      <c r="F28" s="202">
        <f>Statement!W189</f>
        <v>144</v>
      </c>
      <c r="G28" s="200">
        <f>Statement!AA189</f>
        <v>113</v>
      </c>
    </row>
    <row r="29" spans="2:7" x14ac:dyDescent="0.2">
      <c r="B29" s="208" t="s">
        <v>321</v>
      </c>
      <c r="C29" s="241">
        <f>IF(C28=0,
IF(D28=0,0,IF(D28&gt;0,1,-1)),
(D28-C28)/ABS(C28)
)</f>
        <v>2.7272727272727271E-2</v>
      </c>
      <c r="D29" s="242"/>
      <c r="F29" s="241">
        <f>IF(F28=0,
IF(G28=0,0,IF(G28&gt;0,1,-1)),
(G28-F28)/ABS(F28)
)</f>
        <v>-0.21527777777777779</v>
      </c>
      <c r="G29" s="242"/>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267</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268</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350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351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20">
        <f>Statement!H123</f>
        <v>0</v>
      </c>
      <c r="D68" s="220">
        <f>Statement!I123</f>
        <v>0</v>
      </c>
      <c r="E68" s="220">
        <f>Statement!J123</f>
        <v>0</v>
      </c>
      <c r="F68" s="220">
        <f>Statement!K123</f>
        <v>0</v>
      </c>
      <c r="G68" s="220">
        <f>Statement!L123</f>
        <v>0</v>
      </c>
      <c r="H68" s="220">
        <f>Statement!M123</f>
        <v>0.1770125913145626</v>
      </c>
      <c r="I68" s="220">
        <f>Statement!N123</f>
        <v>0.17507822565801581</v>
      </c>
      <c r="J68" s="220">
        <f>Statement!O123</f>
        <v>0.18227610060781085</v>
      </c>
      <c r="K68" s="220">
        <f>Statement!P123</f>
        <v>0.21700297717499173</v>
      </c>
      <c r="L68" s="220">
        <f>Statement!Q123</f>
        <v>0.24172769189042584</v>
      </c>
    </row>
    <row r="69" spans="2:12" x14ac:dyDescent="0.2">
      <c r="B69" s="20" t="s">
        <v>105</v>
      </c>
      <c r="C69" s="220">
        <f>Statement!H125</f>
        <v>0</v>
      </c>
      <c r="D69" s="220">
        <f>Statement!I125</f>
        <v>0</v>
      </c>
      <c r="E69" s="220">
        <f>Statement!J125</f>
        <v>0</v>
      </c>
      <c r="F69" s="220">
        <f>Statement!K125</f>
        <v>0</v>
      </c>
      <c r="G69" s="220">
        <f>Statement!L125</f>
        <v>0</v>
      </c>
      <c r="H69" s="220">
        <f>Statement!M125</f>
        <v>0.3258768669324863</v>
      </c>
      <c r="I69" s="220">
        <f>Statement!N125</f>
        <v>0.33848124688634257</v>
      </c>
      <c r="J69" s="220">
        <f>Statement!O125</f>
        <v>0.32861121201113935</v>
      </c>
      <c r="K69" s="220">
        <f>Statement!P125</f>
        <v>0.46508330379298118</v>
      </c>
      <c r="L69" s="220">
        <f>Statement!Q125</f>
        <v>0.61343887120364793</v>
      </c>
    </row>
    <row r="70" spans="2:12" x14ac:dyDescent="0.2">
      <c r="B70" s="20" t="s">
        <v>106</v>
      </c>
      <c r="C70" s="220">
        <f>Statement!H140</f>
        <v>0</v>
      </c>
      <c r="D70" s="220">
        <f>Statement!I140</f>
        <v>0</v>
      </c>
      <c r="E70" s="220">
        <f>Statement!J140</f>
        <v>0</v>
      </c>
      <c r="F70" s="220">
        <f>Statement!K140</f>
        <v>0</v>
      </c>
      <c r="G70" s="220">
        <f>Statement!L140</f>
        <v>0</v>
      </c>
      <c r="H70" s="220">
        <f>Statement!M140</f>
        <v>0.37372250254171024</v>
      </c>
      <c r="I70" s="220">
        <f>Statement!N140</f>
        <v>0.39947409853176014</v>
      </c>
      <c r="J70" s="220">
        <f>Statement!O140</f>
        <v>0.43127907781153368</v>
      </c>
      <c r="K70" s="220">
        <f>Statement!P140</f>
        <v>0.45645170265130885</v>
      </c>
      <c r="L70" s="220">
        <f>Statement!Q140</f>
        <v>0.63242055551568566</v>
      </c>
    </row>
    <row r="71" spans="2:12" x14ac:dyDescent="0.2">
      <c r="B71" s="20" t="s">
        <v>362</v>
      </c>
      <c r="C71" s="229">
        <f>Statement!H207</f>
        <v>0</v>
      </c>
      <c r="D71" s="229">
        <f>Statement!I207</f>
        <v>0</v>
      </c>
      <c r="E71" s="229">
        <f>Statement!J207</f>
        <v>0</v>
      </c>
      <c r="F71" s="229">
        <f>Statement!K207</f>
        <v>0</v>
      </c>
      <c r="G71" s="229">
        <f>Statement!L207</f>
        <v>0</v>
      </c>
      <c r="H71" s="229">
        <f>Statement!M207</f>
        <v>100</v>
      </c>
      <c r="I71" s="229">
        <f>Statement!N207</f>
        <v>51.215990950765026</v>
      </c>
      <c r="J71" s="229">
        <f>Statement!O207</f>
        <v>90.940346490444725</v>
      </c>
      <c r="K71" s="229">
        <f>Statement!P207</f>
        <v>76.483895933797697</v>
      </c>
      <c r="L71" s="229">
        <f>Statement!Q207</f>
        <v>47.258439006965524</v>
      </c>
    </row>
    <row r="72" spans="2:12" x14ac:dyDescent="0.2">
      <c r="B72" s="20" t="s">
        <v>363</v>
      </c>
      <c r="C72" s="229">
        <f>Statement!H208</f>
        <v>0</v>
      </c>
      <c r="D72" s="229">
        <f>Statement!I208</f>
        <v>0</v>
      </c>
      <c r="E72" s="229">
        <f>Statement!J208</f>
        <v>0</v>
      </c>
      <c r="F72" s="229">
        <f>Statement!K208</f>
        <v>0</v>
      </c>
      <c r="G72" s="229">
        <f>Statement!L208</f>
        <v>0</v>
      </c>
      <c r="H72" s="229">
        <f>Statement!M208</f>
        <v>100</v>
      </c>
      <c r="I72" s="229">
        <f>Statement!N208</f>
        <v>111.53626860943935</v>
      </c>
      <c r="J72" s="229">
        <f>Statement!O208</f>
        <v>122.95850490972443</v>
      </c>
      <c r="K72" s="229">
        <f>Statement!P208</f>
        <v>136.23693379790942</v>
      </c>
      <c r="L72" s="229">
        <f>Statement!Q208</f>
        <v>150.57966423820082</v>
      </c>
    </row>
    <row r="73" spans="2:12" x14ac:dyDescent="0.2">
      <c r="B73" s="20" t="s">
        <v>364</v>
      </c>
      <c r="C73" s="229">
        <f>Statement!H209</f>
        <v>0</v>
      </c>
      <c r="D73" s="229">
        <f>Statement!I209</f>
        <v>0</v>
      </c>
      <c r="E73" s="229">
        <f>Statement!J209</f>
        <v>0</v>
      </c>
      <c r="F73" s="229">
        <f>Statement!K209</f>
        <v>0</v>
      </c>
      <c r="G73" s="229">
        <f>Statement!L209</f>
        <v>0</v>
      </c>
      <c r="H73" s="229">
        <f>Statement!M209</f>
        <v>100</v>
      </c>
      <c r="I73" s="229">
        <f>Statement!N209</f>
        <v>100.79840319361277</v>
      </c>
      <c r="J73" s="229">
        <f>Statement!O209</f>
        <v>117.96407185628743</v>
      </c>
      <c r="K73" s="229">
        <f>Statement!P209</f>
        <v>145.4868041694389</v>
      </c>
      <c r="L73" s="229">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349</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350</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351</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267</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topLeftCell="A5"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40" t="s">
        <v>114</v>
      </c>
      <c r="D2" s="240"/>
      <c r="E2" s="240"/>
      <c r="F2" s="240"/>
      <c r="G2" s="249"/>
      <c r="H2" s="250" t="s">
        <v>115</v>
      </c>
      <c r="I2" s="240"/>
      <c r="J2" s="240"/>
      <c r="K2" s="240"/>
      <c r="L2" s="240"/>
      <c r="O2" s="5"/>
      <c r="S2" s="240" t="s">
        <v>114</v>
      </c>
      <c r="T2" s="240"/>
      <c r="U2" s="240"/>
      <c r="V2" s="240"/>
      <c r="W2" s="240"/>
      <c r="X2" s="240"/>
      <c r="Y2" s="240"/>
      <c r="Z2" s="240"/>
      <c r="AA2" s="240" t="s">
        <v>115</v>
      </c>
      <c r="AB2" s="240"/>
      <c r="AC2" s="240"/>
      <c r="AE2" s="85" t="s">
        <v>116</v>
      </c>
    </row>
    <row r="3" spans="1:31" ht="10" customHeight="1" x14ac:dyDescent="0.2">
      <c r="O3" s="5"/>
    </row>
    <row r="4" spans="1:31" ht="16" customHeight="1" x14ac:dyDescent="0.2">
      <c r="A4" s="86"/>
      <c r="B4" s="60"/>
      <c r="C4" s="246" t="s">
        <v>117</v>
      </c>
      <c r="D4" s="246"/>
      <c r="E4" s="246"/>
      <c r="F4" s="246"/>
      <c r="G4" s="246"/>
      <c r="H4" s="246"/>
      <c r="I4" s="246"/>
      <c r="J4" s="246"/>
      <c r="K4" s="246"/>
      <c r="L4" s="246"/>
      <c r="O4" s="5"/>
      <c r="S4" s="247" t="s">
        <v>117</v>
      </c>
      <c r="T4" s="248"/>
      <c r="U4" s="248"/>
      <c r="V4" s="248"/>
      <c r="W4" s="248"/>
      <c r="X4" s="248"/>
      <c r="Y4" s="248"/>
      <c r="Z4" s="248"/>
      <c r="AA4" s="248"/>
      <c r="AB4" s="248"/>
      <c r="AC4" s="248"/>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404</v>
      </c>
      <c r="O6" s="5"/>
      <c r="Q6" s="90" t="s">
        <v>404</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405</v>
      </c>
      <c r="O7" s="5"/>
      <c r="Q7" s="90" t="s">
        <v>405</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406</v>
      </c>
      <c r="O8" s="5"/>
      <c r="Q8" s="90" t="s">
        <v>406</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6" t="s">
        <v>123</v>
      </c>
      <c r="D11" s="246"/>
      <c r="E11" s="246"/>
      <c r="F11" s="246"/>
      <c r="G11" s="246"/>
      <c r="H11" s="246"/>
      <c r="I11" s="246"/>
      <c r="J11" s="246"/>
      <c r="K11" s="246"/>
      <c r="L11" s="246"/>
      <c r="O11" s="5"/>
      <c r="Q11" s="91"/>
      <c r="S11" s="247" t="s">
        <v>123</v>
      </c>
      <c r="T11" s="248"/>
      <c r="U11" s="248"/>
      <c r="V11" s="248"/>
      <c r="W11" s="248"/>
      <c r="X11" s="248"/>
      <c r="Y11" s="248"/>
      <c r="Z11" s="248"/>
      <c r="AA11" s="248"/>
      <c r="AB11" s="248"/>
      <c r="AC11" s="248"/>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40" t="s">
        <v>114</v>
      </c>
      <c r="D2" s="240"/>
      <c r="E2" s="240"/>
      <c r="F2" s="240"/>
      <c r="G2" s="249"/>
      <c r="H2" s="250" t="s">
        <v>115</v>
      </c>
      <c r="I2" s="240"/>
      <c r="J2" s="240"/>
      <c r="K2" s="240"/>
      <c r="L2" s="240"/>
      <c r="P2" s="240" t="s">
        <v>114</v>
      </c>
      <c r="Q2" s="240"/>
      <c r="R2" s="240"/>
      <c r="S2" s="240"/>
      <c r="T2" s="240"/>
      <c r="U2" s="240"/>
      <c r="V2" s="240"/>
      <c r="W2" s="240"/>
      <c r="X2" s="240" t="s">
        <v>115</v>
      </c>
      <c r="Y2" s="240"/>
      <c r="Z2" s="240"/>
      <c r="AB2" s="85" t="s">
        <v>116</v>
      </c>
    </row>
    <row r="3" spans="1:28" ht="10" customHeight="1" x14ac:dyDescent="0.2"/>
    <row r="4" spans="1:28" ht="16" customHeight="1" x14ac:dyDescent="0.2">
      <c r="A4" s="86"/>
      <c r="B4" s="60"/>
      <c r="C4" s="246" t="s">
        <v>117</v>
      </c>
      <c r="D4" s="246"/>
      <c r="E4" s="246"/>
      <c r="F4" s="246"/>
      <c r="G4" s="246"/>
      <c r="H4" s="246"/>
      <c r="I4" s="246"/>
      <c r="J4" s="246"/>
      <c r="K4" s="246"/>
      <c r="L4" s="246"/>
      <c r="P4" s="248" t="s">
        <v>117</v>
      </c>
      <c r="Q4" s="248"/>
      <c r="R4" s="248"/>
      <c r="S4" s="248"/>
      <c r="T4" s="248"/>
      <c r="U4" s="248"/>
      <c r="V4" s="248"/>
      <c r="W4" s="248"/>
      <c r="X4" s="248"/>
      <c r="Y4" s="248"/>
      <c r="Z4" s="248"/>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6" t="s">
        <v>126</v>
      </c>
      <c r="D9" s="246"/>
      <c r="E9" s="246"/>
      <c r="F9" s="246"/>
      <c r="G9" s="246"/>
      <c r="H9" s="246"/>
      <c r="I9" s="246"/>
      <c r="J9" s="246"/>
      <c r="K9" s="246"/>
      <c r="L9" s="246"/>
      <c r="N9" s="91"/>
      <c r="P9" s="248" t="s">
        <v>127</v>
      </c>
      <c r="Q9" s="248"/>
      <c r="R9" s="248"/>
      <c r="S9" s="248"/>
      <c r="T9" s="248"/>
      <c r="U9" s="248"/>
      <c r="V9" s="248"/>
      <c r="W9" s="248"/>
      <c r="X9" s="248"/>
      <c r="Y9" s="248"/>
      <c r="Z9" s="248"/>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6" t="s">
        <v>129</v>
      </c>
      <c r="D21" s="246"/>
      <c r="E21" s="246"/>
      <c r="F21" s="246"/>
      <c r="G21" s="246"/>
      <c r="H21" s="246"/>
      <c r="I21" s="246"/>
      <c r="J21" s="246"/>
      <c r="K21" s="246"/>
      <c r="L21" s="246"/>
      <c r="P21" s="248" t="s">
        <v>129</v>
      </c>
      <c r="Q21" s="248"/>
      <c r="R21" s="248"/>
      <c r="S21" s="248"/>
      <c r="T21" s="248"/>
      <c r="U21" s="248"/>
      <c r="V21" s="248"/>
      <c r="W21" s="248"/>
      <c r="X21" s="248"/>
      <c r="Y21" s="248"/>
      <c r="Z21" s="248"/>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C45" sqref="C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40" t="s">
        <v>114</v>
      </c>
      <c r="D3" s="240"/>
      <c r="E3" s="240"/>
      <c r="F3" s="240"/>
      <c r="G3" s="249"/>
      <c r="H3" s="250" t="s">
        <v>115</v>
      </c>
      <c r="I3" s="240"/>
      <c r="J3" s="240"/>
      <c r="K3" s="240"/>
      <c r="L3" s="240"/>
      <c r="P3" s="251"/>
      <c r="Q3" s="251"/>
      <c r="R3" s="251"/>
      <c r="S3" s="251"/>
      <c r="T3" s="251"/>
      <c r="U3" s="251"/>
      <c r="V3" s="251"/>
      <c r="W3" s="251"/>
      <c r="X3" s="251"/>
      <c r="Y3" s="251"/>
      <c r="Z3" s="251"/>
      <c r="AB3" s="111"/>
    </row>
    <row r="4" spans="1:28" ht="10" customHeight="1" x14ac:dyDescent="0.2"/>
    <row r="5" spans="1:28" ht="16" customHeight="1" x14ac:dyDescent="0.2">
      <c r="A5" s="86"/>
      <c r="B5" s="60"/>
      <c r="C5" s="246" t="s">
        <v>117</v>
      </c>
      <c r="D5" s="246"/>
      <c r="E5" s="246"/>
      <c r="F5" s="246"/>
      <c r="G5" s="246"/>
      <c r="H5" s="246"/>
      <c r="I5" s="246"/>
      <c r="J5" s="246"/>
      <c r="K5" s="246"/>
      <c r="L5" s="246"/>
      <c r="P5" s="251"/>
      <c r="Q5" s="251"/>
      <c r="R5" s="251"/>
      <c r="S5" s="251"/>
      <c r="T5" s="251"/>
      <c r="U5" s="251"/>
      <c r="V5" s="251"/>
      <c r="W5" s="251"/>
      <c r="X5" s="251"/>
      <c r="Y5" s="251"/>
      <c r="Z5" s="251"/>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133</v>
      </c>
      <c r="D11" s="246"/>
      <c r="E11" s="246"/>
      <c r="F11" s="246"/>
      <c r="G11" s="246"/>
      <c r="H11" s="246"/>
      <c r="I11" s="246"/>
      <c r="J11" s="246"/>
      <c r="K11" s="246"/>
      <c r="L11" s="246"/>
      <c r="N11" s="91"/>
      <c r="P11" s="251"/>
      <c r="Q11" s="251"/>
      <c r="R11" s="251"/>
      <c r="S11" s="251"/>
      <c r="T11" s="251"/>
      <c r="U11" s="251"/>
      <c r="V11" s="251"/>
      <c r="W11" s="251"/>
      <c r="X11" s="251"/>
      <c r="Y11" s="251"/>
      <c r="Z11" s="251"/>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6" t="s">
        <v>138</v>
      </c>
      <c r="D18" s="246"/>
      <c r="E18" s="246"/>
      <c r="F18" s="246"/>
      <c r="G18" s="246"/>
      <c r="H18" s="246"/>
      <c r="I18" s="246"/>
      <c r="J18" s="246"/>
      <c r="K18" s="246"/>
      <c r="L18" s="246"/>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51"/>
      <c r="C25" s="251"/>
    </row>
    <row r="26" spans="2:12" x14ac:dyDescent="0.2">
      <c r="B26" s="111"/>
      <c r="C26" s="246" t="s">
        <v>144</v>
      </c>
      <c r="D26" s="246"/>
      <c r="E26" s="246"/>
      <c r="F26" s="246"/>
      <c r="G26" s="246"/>
      <c r="H26" s="246"/>
      <c r="I26" s="246"/>
      <c r="J26" s="246"/>
      <c r="K26" s="246"/>
      <c r="L26" s="246"/>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6" t="s">
        <v>148</v>
      </c>
      <c r="D33" s="246"/>
      <c r="E33" s="246"/>
      <c r="F33" s="246"/>
      <c r="G33" s="246"/>
      <c r="H33" s="246"/>
      <c r="I33" s="246"/>
      <c r="J33" s="246"/>
      <c r="K33" s="246"/>
      <c r="L33" s="246"/>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6" t="s">
        <v>151</v>
      </c>
      <c r="D40" s="246"/>
      <c r="E40" s="246"/>
      <c r="F40" s="246"/>
      <c r="G40" s="246"/>
      <c r="H40" s="246"/>
      <c r="I40" s="246"/>
      <c r="J40" s="246"/>
      <c r="K40" s="246"/>
      <c r="L40" s="246"/>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40" t="s">
        <v>114</v>
      </c>
      <c r="D2" s="240"/>
      <c r="E2" s="240"/>
      <c r="F2" s="240"/>
      <c r="G2" s="249"/>
      <c r="H2" s="250" t="s">
        <v>115</v>
      </c>
      <c r="I2" s="240"/>
      <c r="J2" s="240"/>
      <c r="K2" s="240"/>
      <c r="L2" s="240"/>
      <c r="S2" s="251"/>
      <c r="T2" s="251"/>
      <c r="U2" s="251"/>
      <c r="V2" s="251"/>
      <c r="W2" s="251"/>
      <c r="X2" s="251"/>
      <c r="Y2" s="251"/>
      <c r="Z2" s="251"/>
      <c r="AA2" s="251"/>
      <c r="AB2" s="251"/>
      <c r="AC2" s="251"/>
      <c r="AE2" s="111"/>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6" t="s">
        <v>159</v>
      </c>
      <c r="D13" s="246"/>
      <c r="E13" s="246"/>
      <c r="F13" s="246"/>
      <c r="G13" s="246"/>
      <c r="H13" s="246"/>
      <c r="I13" s="246"/>
      <c r="J13" s="246"/>
      <c r="K13" s="246"/>
      <c r="L13" s="24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6" t="s">
        <v>160</v>
      </c>
      <c r="D18" s="246"/>
      <c r="E18" s="246"/>
      <c r="F18" s="246"/>
      <c r="G18" s="246"/>
      <c r="H18" s="246"/>
      <c r="I18" s="246"/>
      <c r="J18" s="246"/>
      <c r="K18" s="246"/>
      <c r="L18" s="246"/>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6" t="s">
        <v>268</v>
      </c>
      <c r="D25" s="246"/>
      <c r="E25" s="246"/>
      <c r="F25" s="246"/>
      <c r="G25" s="246"/>
      <c r="H25" s="246"/>
      <c r="I25" s="246"/>
      <c r="J25" s="246"/>
      <c r="K25" s="246"/>
      <c r="L25" s="246"/>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6700.0133216476779</v>
      </c>
      <c r="D27" s="128">
        <f t="shared" ref="D27:L27" si="6">D10*(1-D15)</f>
        <v>7368.7549933422106</v>
      </c>
      <c r="E27" s="128">
        <f t="shared" si="6"/>
        <v>7990.9545521400196</v>
      </c>
      <c r="F27" s="128">
        <f t="shared" si="6"/>
        <v>8074.4166786899432</v>
      </c>
      <c r="G27" s="133">
        <f t="shared" si="6"/>
        <v>10304.857797114724</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268</v>
      </c>
      <c r="C28" s="94">
        <f>C27+C20-C21+C22</f>
        <v>7432.0133216476779</v>
      </c>
      <c r="D28" s="94">
        <f t="shared" ref="D28:L28" si="7">D27+D20-D21+D22</f>
        <v>8118.7549933422106</v>
      </c>
      <c r="E28" s="94">
        <f t="shared" si="7"/>
        <v>8147.9545521400196</v>
      </c>
      <c r="F28" s="94">
        <f t="shared" si="7"/>
        <v>8892.4166786899441</v>
      </c>
      <c r="G28" s="129">
        <f t="shared" si="7"/>
        <v>11548.857797114724</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6" t="s">
        <v>77</v>
      </c>
      <c r="D31" s="246"/>
      <c r="E31" s="246"/>
      <c r="F31" s="246"/>
      <c r="G31" s="246"/>
      <c r="H31" s="246"/>
      <c r="I31" s="246"/>
      <c r="J31" s="246"/>
      <c r="K31" s="246"/>
      <c r="L31" s="246"/>
    </row>
    <row r="32" spans="2:14" x14ac:dyDescent="0.2">
      <c r="B32" s="16" t="s">
        <v>343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8">
        <f>H8/H6</f>
        <v>0.89100000000000001</v>
      </c>
      <c r="I33" s="218">
        <f t="shared" ref="I33:L33" si="9">I8/I6</f>
        <v>0.89100000000000001</v>
      </c>
      <c r="J33" s="218">
        <f t="shared" si="9"/>
        <v>0.89499999999999991</v>
      </c>
      <c r="K33" s="218">
        <f t="shared" si="9"/>
        <v>0.89700000000000002</v>
      </c>
      <c r="L33" s="218">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8">
        <f>H10/H6</f>
        <v>0.36099999999999999</v>
      </c>
      <c r="I34" s="218">
        <f t="shared" ref="I34:L34" si="10">I10/I6</f>
        <v>0.36000000000000004</v>
      </c>
      <c r="J34" s="218">
        <f t="shared" si="10"/>
        <v>0.36199999999999999</v>
      </c>
      <c r="K34" s="218">
        <f t="shared" si="10"/>
        <v>0.36199999999999988</v>
      </c>
      <c r="L34" s="218">
        <f t="shared" si="10"/>
        <v>0.36499999999999999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40" t="s">
        <v>167</v>
      </c>
      <c r="C4" s="240"/>
    </row>
    <row r="5" spans="1:3" ht="17" customHeight="1" x14ac:dyDescent="0.2">
      <c r="B5" s="1" t="s">
        <v>168</v>
      </c>
      <c r="C5" s="138">
        <f>Statement!AC78</f>
        <v>398</v>
      </c>
    </row>
    <row r="6" spans="1:3" ht="17" customHeight="1" x14ac:dyDescent="0.2">
      <c r="B6" s="1" t="s">
        <v>1</v>
      </c>
      <c r="C6" s="135">
        <f ca="1">Overview!C5</f>
        <v>254.28</v>
      </c>
    </row>
    <row r="7" spans="1:3" ht="17" customHeight="1" x14ac:dyDescent="0.2">
      <c r="B7" s="1" t="s">
        <v>169</v>
      </c>
      <c r="C7" s="136">
        <f ca="1">C5*C6</f>
        <v>101203.44</v>
      </c>
    </row>
    <row r="8" spans="1:3" ht="17" customHeight="1" x14ac:dyDescent="0.2">
      <c r="B8" s="1" t="s">
        <v>170</v>
      </c>
      <c r="C8" s="114">
        <f>Statement!AC108</f>
        <v>6645</v>
      </c>
    </row>
    <row r="9" spans="1:3" ht="17" customHeight="1" x14ac:dyDescent="0.2">
      <c r="B9" s="1" t="s">
        <v>171</v>
      </c>
      <c r="C9" s="137">
        <f ca="1">Overview!F27</f>
        <v>4.7450000000000006E-2</v>
      </c>
    </row>
    <row r="10" spans="1:3" ht="17" customHeight="1" x14ac:dyDescent="0.2">
      <c r="B10" s="1" t="s">
        <v>9</v>
      </c>
      <c r="C10" s="135">
        <f ca="1">Overview!C13</f>
        <v>1.4041999999999999</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40" t="s">
        <v>174</v>
      </c>
      <c r="C15" s="240"/>
    </row>
    <row r="16" spans="1:3" ht="17" customHeight="1" x14ac:dyDescent="0.2">
      <c r="B16" s="1" t="s">
        <v>175</v>
      </c>
      <c r="C16" s="46">
        <f ca="1">C8/(C8+C7)</f>
        <v>6.1614243098926602E-2</v>
      </c>
    </row>
    <row r="17" spans="2:3" ht="17" customHeight="1" x14ac:dyDescent="0.2">
      <c r="B17" s="1" t="s">
        <v>176</v>
      </c>
      <c r="C17" s="46">
        <f ca="1">C7/(C8+C7)</f>
        <v>0.9383857569010734</v>
      </c>
    </row>
    <row r="18" spans="2:3" ht="17" customHeight="1" x14ac:dyDescent="0.2">
      <c r="B18" s="1" t="s">
        <v>177</v>
      </c>
      <c r="C18" s="46">
        <f>C13*(1-C12)</f>
        <v>4.0289999999999999E-2</v>
      </c>
    </row>
    <row r="19" spans="2:3" ht="17" customHeight="1" x14ac:dyDescent="0.2">
      <c r="B19" s="1" t="s">
        <v>178</v>
      </c>
      <c r="C19" s="46">
        <f ca="1">C9+C10*C11</f>
        <v>0.110639</v>
      </c>
    </row>
    <row r="20" spans="2:3" ht="17" customHeight="1" x14ac:dyDescent="0.2">
      <c r="B20" s="1" t="s">
        <v>166</v>
      </c>
      <c r="C20" s="46">
        <f ca="1">(C17*C19)+(C16*C18)</f>
        <v>0.10630449961223361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40" t="s">
        <v>114</v>
      </c>
      <c r="D3" s="240"/>
      <c r="E3" s="240"/>
      <c r="F3" s="240"/>
      <c r="G3" s="249"/>
      <c r="H3" s="250" t="s">
        <v>115</v>
      </c>
      <c r="I3" s="240"/>
      <c r="J3" s="240"/>
      <c r="K3" s="240"/>
      <c r="L3" s="240"/>
      <c r="P3" s="251"/>
      <c r="Q3" s="251"/>
      <c r="R3" s="251"/>
      <c r="S3" s="251"/>
      <c r="T3" s="251"/>
      <c r="U3" s="251"/>
      <c r="V3" s="251"/>
      <c r="W3" s="251"/>
      <c r="X3" s="251"/>
      <c r="Y3" s="251"/>
      <c r="Z3" s="251"/>
      <c r="AB3" s="111"/>
    </row>
    <row r="4" spans="1:28" ht="10" customHeight="1" x14ac:dyDescent="0.2"/>
    <row r="5" spans="1:28" ht="16" customHeight="1" x14ac:dyDescent="0.2">
      <c r="A5" s="86"/>
      <c r="B5" s="60"/>
      <c r="C5" s="246" t="s">
        <v>181</v>
      </c>
      <c r="D5" s="246"/>
      <c r="E5" s="246"/>
      <c r="F5" s="246"/>
      <c r="G5" s="246"/>
      <c r="H5" s="246"/>
      <c r="I5" s="246"/>
      <c r="J5" s="246"/>
      <c r="K5" s="246"/>
      <c r="L5" s="246"/>
      <c r="P5" s="251"/>
      <c r="Q5" s="251"/>
      <c r="R5" s="251"/>
      <c r="S5" s="251"/>
      <c r="T5" s="251"/>
      <c r="U5" s="251"/>
      <c r="V5" s="251"/>
      <c r="W5" s="251"/>
      <c r="X5" s="251"/>
      <c r="Y5" s="251"/>
      <c r="Z5" s="251"/>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146685.34990049319</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H7/(1+$C$15)^H9</f>
        <v>7333.9618670219852</v>
      </c>
      <c r="I10" s="128">
        <f t="shared" ref="I10:L10" ca="1" si="0">I7/(1+$C$15)^I9</f>
        <v>7495.3299483845831</v>
      </c>
      <c r="J10" s="128">
        <f t="shared" ca="1" si="0"/>
        <v>7522.9799245950971</v>
      </c>
      <c r="K10" s="128">
        <f t="shared" ca="1" si="0"/>
        <v>7495.2426298115024</v>
      </c>
      <c r="L10" s="128">
        <f t="shared" ca="1" si="0"/>
        <v>7489.3928954466992</v>
      </c>
      <c r="N10" s="91"/>
    </row>
    <row r="11" spans="1:28" x14ac:dyDescent="0.2">
      <c r="B11" s="1" t="s">
        <v>184</v>
      </c>
      <c r="C11" s="139"/>
      <c r="D11" s="139"/>
      <c r="E11" s="139"/>
      <c r="F11" s="139"/>
      <c r="G11" s="140"/>
      <c r="H11" s="139"/>
      <c r="I11" s="139"/>
      <c r="J11" s="139"/>
      <c r="K11" s="139"/>
      <c r="L11" s="128">
        <f ca="1">L8/(1+C15)^L9</f>
        <v>88514.28126781914</v>
      </c>
    </row>
    <row r="13" spans="1:28" x14ac:dyDescent="0.2">
      <c r="B13" s="240" t="s">
        <v>185</v>
      </c>
      <c r="C13" s="240"/>
    </row>
    <row r="14" spans="1:28" x14ac:dyDescent="0.2">
      <c r="B14" s="1" t="s">
        <v>186</v>
      </c>
      <c r="C14" s="142">
        <v>0.02</v>
      </c>
    </row>
    <row r="15" spans="1:28" x14ac:dyDescent="0.2">
      <c r="B15" s="1" t="s">
        <v>166</v>
      </c>
      <c r="C15" s="137">
        <f ca="1">IF(Overview!C28&gt;0,Overview!C28,WACC!C20)</f>
        <v>0.10630449961223361</v>
      </c>
    </row>
    <row r="18" spans="2:3" x14ac:dyDescent="0.2">
      <c r="B18" s="240" t="s">
        <v>187</v>
      </c>
      <c r="C18" s="240"/>
    </row>
    <row r="19" spans="2:3" x14ac:dyDescent="0.2">
      <c r="B19" s="1" t="s">
        <v>188</v>
      </c>
      <c r="C19" s="64">
        <f ca="1">SUM(H10:L10)</f>
        <v>37336.90726525987</v>
      </c>
    </row>
    <row r="20" spans="2:3" x14ac:dyDescent="0.2">
      <c r="B20" s="1" t="s">
        <v>184</v>
      </c>
      <c r="C20" s="64">
        <f ca="1">L11</f>
        <v>88514.28126781914</v>
      </c>
    </row>
    <row r="21" spans="2:3" x14ac:dyDescent="0.2">
      <c r="B21" s="16" t="s">
        <v>189</v>
      </c>
      <c r="C21" s="94">
        <f ca="1">C19+C20</f>
        <v>125851.18853307901</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124832.188533079</v>
      </c>
    </row>
    <row r="25" spans="2:3" x14ac:dyDescent="0.2">
      <c r="B25" s="1" t="s">
        <v>69</v>
      </c>
      <c r="C25" s="88">
        <f>Statement!AC78</f>
        <v>398</v>
      </c>
    </row>
    <row r="26" spans="2:3" x14ac:dyDescent="0.2">
      <c r="B26" s="143" t="s">
        <v>193</v>
      </c>
      <c r="C26" s="144">
        <f ca="1">C24/C25</f>
        <v>313.64871490723368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7"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40" t="s">
        <v>114</v>
      </c>
      <c r="D2" s="240"/>
      <c r="E2" s="240"/>
      <c r="F2" s="240"/>
      <c r="G2" s="249"/>
      <c r="H2" s="250" t="s">
        <v>115</v>
      </c>
      <c r="I2" s="240"/>
      <c r="J2" s="240"/>
      <c r="K2" s="240"/>
      <c r="L2" s="240"/>
    </row>
    <row r="3" spans="1:14" ht="10" customHeight="1" x14ac:dyDescent="0.2"/>
    <row r="4" spans="1:14" ht="16" customHeight="1" x14ac:dyDescent="0.2">
      <c r="A4" s="86"/>
      <c r="B4" s="60"/>
      <c r="C4" s="246" t="s">
        <v>195</v>
      </c>
      <c r="D4" s="246"/>
      <c r="E4" s="246"/>
      <c r="F4" s="246"/>
      <c r="G4" s="246"/>
      <c r="H4" s="246"/>
      <c r="I4" s="246"/>
      <c r="J4" s="246"/>
      <c r="K4" s="246"/>
      <c r="L4" s="246"/>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268</v>
      </c>
      <c r="C8" s="92">
        <f>'FCF &amp; Other'!C28</f>
        <v>7432.0133216476779</v>
      </c>
      <c r="D8" s="92">
        <f>'FCF &amp; Other'!D28</f>
        <v>8118.7549933422106</v>
      </c>
      <c r="E8" s="92">
        <f>'FCF &amp; Other'!E28</f>
        <v>8147.9545521400196</v>
      </c>
      <c r="F8" s="92">
        <f>'FCF &amp; Other'!F28</f>
        <v>8892.4166786899441</v>
      </c>
      <c r="G8" s="93">
        <f>'FCF &amp; Other'!G28</f>
        <v>11548.857797114724</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N9" s="91"/>
    </row>
    <row r="10" spans="1:14" x14ac:dyDescent="0.2">
      <c r="C10" s="246" t="s">
        <v>123</v>
      </c>
      <c r="D10" s="246"/>
      <c r="E10" s="246"/>
      <c r="F10" s="246"/>
      <c r="G10" s="246"/>
      <c r="H10" s="246"/>
      <c r="I10" s="246"/>
      <c r="J10" s="246"/>
      <c r="K10" s="246"/>
      <c r="L10" s="246"/>
      <c r="N10" s="91"/>
    </row>
    <row r="11" spans="1:14" x14ac:dyDescent="0.2">
      <c r="B11" s="16" t="s">
        <v>196</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9"/>
      <c r="D12" s="95">
        <f>(D6-C6)/C6</f>
        <v>0.11536268609439342</v>
      </c>
      <c r="E12" s="95">
        <f t="shared" ref="E12:L12" si="1">(E6-D6)/D6</f>
        <v>0.10240826990798592</v>
      </c>
      <c r="F12" s="95">
        <f t="shared" si="1"/>
        <v>0.10799113813179453</v>
      </c>
      <c r="G12" s="96">
        <f t="shared" si="1"/>
        <v>0.10527784236224134</v>
      </c>
      <c r="H12" s="95">
        <f t="shared" si="1"/>
        <v>0.11659110606251828</v>
      </c>
      <c r="I12" s="95">
        <f t="shared" si="1"/>
        <v>0.11298921555159212</v>
      </c>
      <c r="J12" s="95">
        <f t="shared" si="1"/>
        <v>0.10496470912967919</v>
      </c>
      <c r="K12" s="95">
        <f t="shared" si="1"/>
        <v>0.10009514645994363</v>
      </c>
      <c r="L12" s="95">
        <f t="shared" si="1"/>
        <v>9.6975945561699195E-2</v>
      </c>
      <c r="N12" s="91"/>
    </row>
    <row r="13" spans="1:14" x14ac:dyDescent="0.2">
      <c r="B13" s="1" t="s">
        <v>158</v>
      </c>
      <c r="C13" s="139"/>
      <c r="D13" s="95">
        <f>IF(C7=0,
IF(D7=0,0,IF(D7&gt;0,1,-1)),
(D7-C7)/ABS(C7)
)</f>
        <v>5.1016890727335402E-2</v>
      </c>
      <c r="E13" s="95">
        <f t="shared" ref="E13:L13" si="2">IF(D7=0,
IF(E7=0,0,IF(E7&gt;0,1,-1)),
(E7-D7)/ABS(D7)
)</f>
        <v>9.0521482453263372E-2</v>
      </c>
      <c r="F13" s="95">
        <f t="shared" si="2"/>
        <v>1.368421052631579E-2</v>
      </c>
      <c r="G13" s="96">
        <f t="shared" si="2"/>
        <v>0.29149977748108591</v>
      </c>
      <c r="H13" s="95">
        <f t="shared" si="2"/>
        <v>0.10050903905352623</v>
      </c>
      <c r="I13" s="95">
        <f t="shared" si="2"/>
        <v>0.10990614293233568</v>
      </c>
      <c r="J13" s="95">
        <f t="shared" si="2"/>
        <v>0.11110340195817725</v>
      </c>
      <c r="K13" s="95">
        <f t="shared" si="2"/>
        <v>0.10009514645994336</v>
      </c>
      <c r="L13" s="95">
        <f t="shared" si="2"/>
        <v>0.10606690643652029</v>
      </c>
      <c r="N13" s="91"/>
    </row>
    <row r="14" spans="1:14" x14ac:dyDescent="0.2">
      <c r="B14" s="1" t="s">
        <v>268</v>
      </c>
      <c r="C14" s="139"/>
      <c r="D14" s="95">
        <f>IF(C8=0,
IF(D8=0,0,IF(D8&gt;0,1,-1)),
(D8-C8)/ABS(C8)
)</f>
        <v>9.2403180938093632E-2</v>
      </c>
      <c r="E14" s="95">
        <f t="shared" ref="E14:L14" si="3">IF(D8=0,
IF(E8=0,0,IF(E8&gt;0,1,-1)),
(E8-D8)/ABS(D8)
)</f>
        <v>3.5965562234300846E-3</v>
      </c>
      <c r="F14" s="95">
        <f t="shared" si="3"/>
        <v>9.1367977298596401E-2</v>
      </c>
      <c r="G14" s="96">
        <f t="shared" si="3"/>
        <v>0.29873106652669074</v>
      </c>
      <c r="H14" s="95">
        <f t="shared" si="3"/>
        <v>-0.29745476513720726</v>
      </c>
      <c r="I14" s="95">
        <f t="shared" si="3"/>
        <v>0.13064635436170827</v>
      </c>
      <c r="J14" s="95">
        <f t="shared" si="3"/>
        <v>0.11038561322651223</v>
      </c>
      <c r="K14" s="95">
        <f t="shared" si="3"/>
        <v>0.10222554495148263</v>
      </c>
      <c r="L14" s="95">
        <f t="shared" si="3"/>
        <v>0.10544107360070223</v>
      </c>
      <c r="N14" s="91"/>
    </row>
    <row r="15" spans="1:14" x14ac:dyDescent="0.2">
      <c r="N15" s="91"/>
    </row>
    <row r="16" spans="1:14" x14ac:dyDescent="0.2">
      <c r="C16" s="246" t="s">
        <v>197</v>
      </c>
      <c r="D16" s="246"/>
      <c r="E16" s="246"/>
      <c r="F16" s="246"/>
      <c r="G16" s="246"/>
      <c r="H16" s="246"/>
      <c r="I16" s="246"/>
      <c r="J16" s="246"/>
      <c r="K16" s="246"/>
      <c r="L16" s="246"/>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198</v>
      </c>
      <c r="C18" s="100">
        <f>Statement!M22</f>
        <v>481</v>
      </c>
      <c r="D18" s="100">
        <f>Statement!N22</f>
        <v>471</v>
      </c>
      <c r="E18" s="100">
        <f>Statement!O22</f>
        <v>459</v>
      </c>
      <c r="F18" s="100">
        <f>Statement!P22</f>
        <v>450</v>
      </c>
      <c r="G18" s="101">
        <f>Statement!Q22</f>
        <v>427</v>
      </c>
      <c r="H18" s="145">
        <f>G18*(1+H19)</f>
        <v>414.19</v>
      </c>
      <c r="I18" s="145">
        <f t="shared" ref="I18:L18" si="5">H18*(1+I19)</f>
        <v>401.76429999999999</v>
      </c>
      <c r="J18" s="145">
        <f t="shared" si="5"/>
        <v>393.72901400000001</v>
      </c>
      <c r="K18" s="145">
        <f t="shared" si="5"/>
        <v>385.85443371999997</v>
      </c>
      <c r="L18" s="145">
        <f t="shared" si="5"/>
        <v>378.13734504559994</v>
      </c>
      <c r="N18" s="91"/>
    </row>
    <row r="19" spans="2:14" x14ac:dyDescent="0.2">
      <c r="B19" s="1" t="s">
        <v>199</v>
      </c>
      <c r="C19" s="139"/>
      <c r="D19" s="146">
        <f>D18/C18-1</f>
        <v>-2.0790020790020791E-2</v>
      </c>
      <c r="E19" s="146">
        <f t="shared" ref="E19:G19" si="6">E18/D18-1</f>
        <v>-2.5477707006369421E-2</v>
      </c>
      <c r="F19" s="146">
        <f t="shared" si="6"/>
        <v>-1.9607843137254943E-2</v>
      </c>
      <c r="G19" s="147">
        <f t="shared" si="6"/>
        <v>-5.1111111111111107E-2</v>
      </c>
      <c r="H19" s="148">
        <v>-0.03</v>
      </c>
      <c r="I19" s="97">
        <v>-0.03</v>
      </c>
      <c r="J19" s="97">
        <v>-0.02</v>
      </c>
      <c r="K19" s="97">
        <v>-0.02</v>
      </c>
      <c r="L19" s="97">
        <v>-0.02</v>
      </c>
      <c r="N19" s="91"/>
    </row>
    <row r="20" spans="2:14" x14ac:dyDescent="0.2">
      <c r="N20" s="91"/>
    </row>
    <row r="21" spans="2:14" x14ac:dyDescent="0.2">
      <c r="C21" s="246" t="s">
        <v>200</v>
      </c>
      <c r="D21" s="246"/>
      <c r="E21" s="246"/>
      <c r="F21" s="246"/>
      <c r="G21" s="246"/>
      <c r="H21" s="246"/>
      <c r="I21" s="246"/>
      <c r="J21" s="246"/>
      <c r="K21" s="246"/>
      <c r="L21" s="246"/>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9">
        <f>Statement!M116</f>
        <v>671.88</v>
      </c>
      <c r="D23" s="149">
        <f>Statement!N116</f>
        <v>344.11</v>
      </c>
      <c r="E23" s="149">
        <f>Statement!O116</f>
        <v>611.01</v>
      </c>
      <c r="F23" s="149">
        <f>Statement!P116</f>
        <v>513.88</v>
      </c>
      <c r="G23" s="150">
        <f>Statement!Q116</f>
        <v>317.52</v>
      </c>
      <c r="H23" s="139"/>
      <c r="I23" s="139"/>
      <c r="J23" s="139"/>
      <c r="K23" s="139"/>
      <c r="L23" s="139"/>
      <c r="N23" s="91"/>
    </row>
    <row r="24" spans="2:14" x14ac:dyDescent="0.2">
      <c r="N24" s="91"/>
    </row>
    <row r="25" spans="2:14" x14ac:dyDescent="0.2">
      <c r="N25" s="91"/>
    </row>
    <row r="26" spans="2:14" x14ac:dyDescent="0.2">
      <c r="C26" s="246" t="s">
        <v>201</v>
      </c>
      <c r="D26" s="246"/>
      <c r="E26" s="246"/>
      <c r="F26" s="246"/>
      <c r="G26" s="246"/>
      <c r="H26" s="246"/>
      <c r="I26" s="246"/>
      <c r="J26" s="246"/>
      <c r="K26" s="246"/>
      <c r="L26" s="246"/>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202</v>
      </c>
      <c r="C28" s="151">
        <f>C23/(C6/C18)</f>
        <v>20.473505226480839</v>
      </c>
      <c r="D28" s="151">
        <f t="shared" ref="D28:G28" si="9">D23/(D6/D18)</f>
        <v>9.2057145291377935</v>
      </c>
      <c r="E28" s="151">
        <f t="shared" si="9"/>
        <v>14.449667164717399</v>
      </c>
      <c r="F28" s="151">
        <f t="shared" si="9"/>
        <v>10.753127179725645</v>
      </c>
      <c r="G28" s="152">
        <f t="shared" si="9"/>
        <v>5.7041120787580457</v>
      </c>
      <c r="H28" s="139"/>
      <c r="I28" s="139"/>
      <c r="J28" s="139"/>
      <c r="K28" s="139"/>
      <c r="L28" s="139"/>
      <c r="N28" s="91"/>
    </row>
    <row r="29" spans="2:14" x14ac:dyDescent="0.2">
      <c r="B29" s="1" t="s">
        <v>203</v>
      </c>
      <c r="C29" s="145">
        <f>C23*C18</f>
        <v>323174.27999999997</v>
      </c>
      <c r="D29" s="145">
        <f t="shared" ref="D29:G29" si="10">D23*D18</f>
        <v>162075.81</v>
      </c>
      <c r="E29" s="145">
        <f t="shared" si="10"/>
        <v>280453.58999999997</v>
      </c>
      <c r="F29" s="145">
        <f t="shared" si="10"/>
        <v>231246</v>
      </c>
      <c r="G29" s="153">
        <f t="shared" si="10"/>
        <v>135581.03999999998</v>
      </c>
      <c r="H29" s="139"/>
      <c r="I29" s="139"/>
      <c r="J29" s="139"/>
      <c r="K29" s="139"/>
      <c r="L29" s="139"/>
      <c r="N29" s="91"/>
    </row>
    <row r="30" spans="2:14" x14ac:dyDescent="0.2">
      <c r="B30" s="1" t="s">
        <v>170</v>
      </c>
      <c r="C30" s="88">
        <f>Statement!M108</f>
        <v>4123</v>
      </c>
      <c r="D30" s="154">
        <f>Statement!N108</f>
        <v>4129</v>
      </c>
      <c r="E30" s="154">
        <f>Statement!O108</f>
        <v>3634</v>
      </c>
      <c r="F30" s="154">
        <f>Statement!P108</f>
        <v>5628</v>
      </c>
      <c r="G30" s="155">
        <f>Statement!Q108</f>
        <v>6210</v>
      </c>
      <c r="H30" s="139"/>
      <c r="I30" s="139"/>
      <c r="J30" s="139"/>
      <c r="K30" s="139"/>
      <c r="L30" s="139"/>
      <c r="N30" s="91"/>
    </row>
    <row r="31" spans="2:14" x14ac:dyDescent="0.2">
      <c r="B31" s="1" t="s">
        <v>179</v>
      </c>
      <c r="C31" s="154">
        <f>Statement!M107</f>
        <v>5798</v>
      </c>
      <c r="D31" s="154">
        <f>Statement!N107</f>
        <v>6096</v>
      </c>
      <c r="E31" s="154">
        <f>Statement!O107</f>
        <v>7842</v>
      </c>
      <c r="F31" s="154">
        <f>Statement!P107</f>
        <v>7886</v>
      </c>
      <c r="G31" s="155">
        <f>Statement!Q107</f>
        <v>6595</v>
      </c>
      <c r="H31" s="139"/>
      <c r="I31" s="139"/>
      <c r="J31" s="139"/>
      <c r="K31" s="139"/>
      <c r="L31" s="139"/>
      <c r="N31" s="91"/>
    </row>
    <row r="32" spans="2:14" x14ac:dyDescent="0.2">
      <c r="B32" s="1" t="s">
        <v>204</v>
      </c>
      <c r="C32" s="145">
        <f>C29+C30-C31</f>
        <v>321499.27999999997</v>
      </c>
      <c r="D32" s="145">
        <f t="shared" ref="D32:G32" si="11">D29+D30-D31</f>
        <v>160108.81</v>
      </c>
      <c r="E32" s="145">
        <f t="shared" si="11"/>
        <v>276245.58999999997</v>
      </c>
      <c r="F32" s="145">
        <f t="shared" si="11"/>
        <v>228988</v>
      </c>
      <c r="G32" s="153">
        <f t="shared" si="11"/>
        <v>135196.03999999998</v>
      </c>
      <c r="H32" s="139"/>
      <c r="I32" s="139"/>
      <c r="J32" s="139"/>
      <c r="K32" s="139"/>
      <c r="L32" s="139"/>
      <c r="N32" s="91"/>
    </row>
    <row r="33" spans="2:14" x14ac:dyDescent="0.2">
      <c r="B33" s="16" t="s">
        <v>205</v>
      </c>
      <c r="C33" s="151">
        <f>C32/C7</f>
        <v>55.411802826611506</v>
      </c>
      <c r="D33" s="151">
        <f t="shared" ref="D33:G33" si="12">D32/D7</f>
        <v>26.255954411282389</v>
      </c>
      <c r="E33" s="151">
        <f t="shared" si="12"/>
        <v>41.540690225563907</v>
      </c>
      <c r="F33" s="151">
        <f t="shared" si="12"/>
        <v>33.969440735795878</v>
      </c>
      <c r="G33" s="152">
        <f t="shared" si="12"/>
        <v>15.529065012634963</v>
      </c>
      <c r="H33" s="139"/>
      <c r="I33" s="139"/>
      <c r="J33" s="139"/>
      <c r="K33" s="139"/>
      <c r="L33" s="139"/>
      <c r="N33" s="91"/>
    </row>
    <row r="34" spans="2:14" x14ac:dyDescent="0.2">
      <c r="B34" s="16" t="s">
        <v>327</v>
      </c>
      <c r="C34" s="151">
        <f>C32/C8</f>
        <v>43.258706098325931</v>
      </c>
      <c r="D34" s="151">
        <f t="shared" ref="D34:G34" si="13">D32/D8</f>
        <v>19.720857462911162</v>
      </c>
      <c r="E34" s="151">
        <f t="shared" si="13"/>
        <v>33.903673398306502</v>
      </c>
      <c r="F34" s="151">
        <f t="shared" si="13"/>
        <v>25.750930064799341</v>
      </c>
      <c r="G34" s="152">
        <f t="shared" si="13"/>
        <v>11.706442522287901</v>
      </c>
      <c r="H34" s="139"/>
      <c r="I34" s="139"/>
      <c r="J34" s="139"/>
      <c r="K34" s="139"/>
      <c r="L34" s="139"/>
      <c r="N34" s="91"/>
    </row>
    <row r="35" spans="2:14" x14ac:dyDescent="0.2">
      <c r="N35" s="91"/>
    </row>
    <row r="36" spans="2:14" x14ac:dyDescent="0.2">
      <c r="N36" s="91"/>
    </row>
    <row r="37" spans="2:14" x14ac:dyDescent="0.2">
      <c r="B37" s="240" t="s">
        <v>206</v>
      </c>
      <c r="C37" s="240"/>
      <c r="N37" s="91"/>
    </row>
    <row r="38" spans="2:14" x14ac:dyDescent="0.2">
      <c r="B38" s="1" t="s">
        <v>207</v>
      </c>
      <c r="C38" s="64">
        <f>L7</f>
        <v>14376.880278018019</v>
      </c>
    </row>
    <row r="39" spans="2:14" x14ac:dyDescent="0.2">
      <c r="B39" s="1" t="s">
        <v>166</v>
      </c>
      <c r="C39" s="137">
        <f ca="1">IF(Overview!C28&gt;0,Overview!C28,WACC!C20)</f>
        <v>0.10630449961223361</v>
      </c>
    </row>
    <row r="40" spans="2:14" x14ac:dyDescent="0.2">
      <c r="B40" s="39" t="s">
        <v>208</v>
      </c>
      <c r="C40" s="105">
        <v>20</v>
      </c>
    </row>
    <row r="41" spans="2:14" x14ac:dyDescent="0.2">
      <c r="B41" s="1" t="s">
        <v>204</v>
      </c>
      <c r="C41" s="24">
        <f>(C38*C40)</f>
        <v>287537.60556036036</v>
      </c>
    </row>
    <row r="42" spans="2:14" x14ac:dyDescent="0.2">
      <c r="B42" s="1" t="s">
        <v>359</v>
      </c>
      <c r="C42" s="24">
        <f ca="1">C41/(1+C39)^5-G30+G31</f>
        <v>173893.70084101969</v>
      </c>
    </row>
    <row r="43" spans="2:14" x14ac:dyDescent="0.2">
      <c r="B43" s="1" t="s">
        <v>190</v>
      </c>
      <c r="C43" s="88">
        <f>Statement!AC107</f>
        <v>5626</v>
      </c>
    </row>
    <row r="44" spans="2:14" x14ac:dyDescent="0.2">
      <c r="B44" s="1" t="s">
        <v>191</v>
      </c>
      <c r="C44" s="88">
        <f>Statement!AC108</f>
        <v>6645</v>
      </c>
    </row>
    <row r="45" spans="2:14" x14ac:dyDescent="0.2">
      <c r="B45" s="1" t="s">
        <v>192</v>
      </c>
      <c r="C45" s="24">
        <f ca="1">C42+C43-C44</f>
        <v>172874.70084101969</v>
      </c>
    </row>
    <row r="46" spans="2:14" x14ac:dyDescent="0.2">
      <c r="B46" s="1" t="s">
        <v>69</v>
      </c>
      <c r="C46" s="88">
        <f>Statement!AC78</f>
        <v>398</v>
      </c>
    </row>
    <row r="47" spans="2:14" x14ac:dyDescent="0.2">
      <c r="B47" s="143" t="s">
        <v>210</v>
      </c>
      <c r="C47" s="144">
        <f ca="1">C45/C46</f>
        <v>434.35854482668265</v>
      </c>
    </row>
    <row r="49" spans="2:3" x14ac:dyDescent="0.2">
      <c r="B49" s="240" t="s">
        <v>211</v>
      </c>
      <c r="C49" s="240"/>
    </row>
    <row r="50" spans="2:3" x14ac:dyDescent="0.2">
      <c r="B50" s="1" t="s">
        <v>212</v>
      </c>
      <c r="C50" s="64">
        <f>L6</f>
        <v>39388.713090460325</v>
      </c>
    </row>
    <row r="51" spans="2:3" x14ac:dyDescent="0.2">
      <c r="B51" s="1" t="s">
        <v>358</v>
      </c>
      <c r="C51" s="137">
        <f>IF(Overview!C29&gt;0,Overview!C29,WACC!C19)</f>
        <v>0.1</v>
      </c>
    </row>
    <row r="52" spans="2:3" x14ac:dyDescent="0.2">
      <c r="B52" s="39" t="s">
        <v>213</v>
      </c>
      <c r="C52" s="105">
        <v>5</v>
      </c>
    </row>
    <row r="53" spans="2:3" x14ac:dyDescent="0.2">
      <c r="B53" s="1" t="s">
        <v>209</v>
      </c>
      <c r="C53" s="24">
        <f>L18</f>
        <v>378.13734504559994</v>
      </c>
    </row>
    <row r="54" spans="2:3" x14ac:dyDescent="0.2">
      <c r="B54" s="1" t="s">
        <v>193</v>
      </c>
      <c r="C54" s="24">
        <f>(C50*C52)/C53</f>
        <v>520.82548320783292</v>
      </c>
    </row>
    <row r="55" spans="2:3" x14ac:dyDescent="0.2">
      <c r="B55" s="143" t="s">
        <v>210</v>
      </c>
      <c r="C55" s="144">
        <f>C54/(1+C51)^5</f>
        <v>323.39164811633128</v>
      </c>
    </row>
    <row r="57" spans="2:3" x14ac:dyDescent="0.2">
      <c r="B57" s="240" t="s">
        <v>328</v>
      </c>
      <c r="C57" s="240"/>
    </row>
    <row r="58" spans="2:3" x14ac:dyDescent="0.2">
      <c r="B58" s="1" t="s">
        <v>214</v>
      </c>
      <c r="C58" s="64">
        <f>L8</f>
        <v>12411.378160399478</v>
      </c>
    </row>
    <row r="59" spans="2:3" x14ac:dyDescent="0.2">
      <c r="B59" s="1" t="s">
        <v>166</v>
      </c>
      <c r="C59" s="137">
        <f ca="1">IF(Overview!C28&gt;0,Overview!C28,WACC!C20)</f>
        <v>0.10630449961223361</v>
      </c>
    </row>
    <row r="60" spans="2:3" x14ac:dyDescent="0.2">
      <c r="B60" s="39" t="s">
        <v>360</v>
      </c>
      <c r="C60" s="105">
        <v>17</v>
      </c>
    </row>
    <row r="61" spans="2:3" x14ac:dyDescent="0.2">
      <c r="B61" s="1" t="s">
        <v>204</v>
      </c>
      <c r="C61" s="24">
        <f>(C58*C60)</f>
        <v>210993.42872679111</v>
      </c>
    </row>
    <row r="62" spans="2:3" x14ac:dyDescent="0.2">
      <c r="B62" s="1" t="s">
        <v>359</v>
      </c>
      <c r="C62" s="24">
        <f ca="1">C61/(1+C59)^5-G30+G31</f>
        <v>127704.67922259388</v>
      </c>
    </row>
    <row r="63" spans="2:3" x14ac:dyDescent="0.2">
      <c r="B63" s="1" t="s">
        <v>190</v>
      </c>
      <c r="C63" s="88">
        <f>Statement!AC107</f>
        <v>5626</v>
      </c>
    </row>
    <row r="64" spans="2:3" x14ac:dyDescent="0.2">
      <c r="B64" s="1" t="s">
        <v>191</v>
      </c>
      <c r="C64" s="88">
        <f>Statement!AC108</f>
        <v>6645</v>
      </c>
    </row>
    <row r="65" spans="2:3" x14ac:dyDescent="0.2">
      <c r="B65" s="1" t="s">
        <v>192</v>
      </c>
      <c r="C65" s="24">
        <f ca="1">C62+C63-C64</f>
        <v>126685.6792225939</v>
      </c>
    </row>
    <row r="66" spans="2:3" x14ac:dyDescent="0.2">
      <c r="B66" s="1" t="s">
        <v>69</v>
      </c>
      <c r="C66" s="88">
        <f>Statement!AC78</f>
        <v>398</v>
      </c>
    </row>
    <row r="67" spans="2:3" x14ac:dyDescent="0.2">
      <c r="B67" s="143" t="s">
        <v>210</v>
      </c>
      <c r="C67" s="144">
        <f ca="1">C65/C66</f>
        <v>318.30572668993443</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215</v>
      </c>
    </row>
    <row r="2" spans="1:14" x14ac:dyDescent="0.2">
      <c r="N2" s="91"/>
    </row>
    <row r="3" spans="1:14" x14ac:dyDescent="0.2">
      <c r="N3" s="91"/>
    </row>
    <row r="4" spans="1:14" x14ac:dyDescent="0.2">
      <c r="B4" s="240" t="s">
        <v>216</v>
      </c>
      <c r="C4" s="240"/>
      <c r="N4" s="91"/>
    </row>
    <row r="5" spans="1:14" x14ac:dyDescent="0.2">
      <c r="B5" s="1" t="s">
        <v>217</v>
      </c>
      <c r="C5" s="135">
        <f ca="1">DCF!C26</f>
        <v>313.64871490723368</v>
      </c>
    </row>
    <row r="6" spans="1:14" x14ac:dyDescent="0.2">
      <c r="B6" s="1" t="s">
        <v>218</v>
      </c>
      <c r="C6" s="135">
        <f ca="1">Multiples!C47</f>
        <v>434.35854482668265</v>
      </c>
    </row>
    <row r="7" spans="1:14" x14ac:dyDescent="0.2">
      <c r="B7" s="1" t="s">
        <v>219</v>
      </c>
      <c r="C7" s="135">
        <f>Multiples!C55</f>
        <v>323.39164811633128</v>
      </c>
    </row>
    <row r="8" spans="1:14" x14ac:dyDescent="0.2">
      <c r="B8" s="1" t="s">
        <v>329</v>
      </c>
      <c r="C8" s="135">
        <f ca="1">Multiples!C67</f>
        <v>318.30572668993443</v>
      </c>
    </row>
    <row r="9" spans="1:14" x14ac:dyDescent="0.2">
      <c r="B9" s="143" t="s">
        <v>220</v>
      </c>
      <c r="C9" s="144">
        <f ca="1">AVERAGE(C5:C8)</f>
        <v>347.42615863504545</v>
      </c>
    </row>
    <row r="10" spans="1:14" x14ac:dyDescent="0.2">
      <c r="B10" s="1" t="s">
        <v>221</v>
      </c>
      <c r="C10" s="135">
        <f ca="1">Overview!C5</f>
        <v>254.28</v>
      </c>
    </row>
    <row r="11" spans="1:14" x14ac:dyDescent="0.2">
      <c r="B11" s="1" t="s">
        <v>222</v>
      </c>
      <c r="C11" s="156">
        <f ca="1">(C9-C10)/C10</f>
        <v>0.36631334998838072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C24" sqref="C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409</v>
      </c>
    </row>
    <row r="2" spans="1:14" x14ac:dyDescent="0.2">
      <c r="A2" s="4"/>
      <c r="C2" s="240" t="s">
        <v>114</v>
      </c>
      <c r="D2" s="240"/>
      <c r="E2" s="240"/>
      <c r="F2" s="240"/>
      <c r="G2" s="249"/>
      <c r="H2" s="250" t="s">
        <v>115</v>
      </c>
      <c r="I2" s="240"/>
      <c r="J2" s="240"/>
      <c r="K2" s="240"/>
      <c r="L2" s="240"/>
    </row>
    <row r="3" spans="1:14" ht="10" customHeight="1" x14ac:dyDescent="0.2"/>
    <row r="4" spans="1:14" ht="16" customHeight="1" x14ac:dyDescent="0.2">
      <c r="A4" s="86"/>
      <c r="B4" s="60"/>
      <c r="C4" s="246" t="s">
        <v>195</v>
      </c>
      <c r="D4" s="246"/>
      <c r="E4" s="246"/>
      <c r="F4" s="246"/>
      <c r="G4" s="246"/>
      <c r="H4" s="246"/>
      <c r="I4" s="246"/>
      <c r="J4" s="246"/>
      <c r="K4" s="246"/>
      <c r="L4" s="246"/>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249</v>
      </c>
      <c r="C6" s="232">
        <f>Statement!M26</f>
        <v>10.02</v>
      </c>
      <c r="D6" s="232">
        <f>Statement!N26</f>
        <v>10.1</v>
      </c>
      <c r="E6" s="232">
        <f>Statement!O26</f>
        <v>11.82</v>
      </c>
      <c r="F6" s="232">
        <f>Statement!P26</f>
        <v>14.577777777777778</v>
      </c>
      <c r="G6" s="233">
        <f>Statement!Q26</f>
        <v>16.7</v>
      </c>
      <c r="H6" s="139"/>
      <c r="I6" s="139"/>
      <c r="J6" s="139"/>
      <c r="K6" s="139"/>
      <c r="L6" s="139"/>
      <c r="N6" s="91"/>
    </row>
    <row r="7" spans="1:14" x14ac:dyDescent="0.2">
      <c r="B7" s="16" t="s">
        <v>410</v>
      </c>
      <c r="C7" s="232">
        <f>Statement!M82</f>
        <v>0</v>
      </c>
      <c r="D7" s="232">
        <f>Statement!N82</f>
        <v>0</v>
      </c>
      <c r="E7" s="232">
        <f>Statement!O82</f>
        <v>0</v>
      </c>
      <c r="F7" s="232">
        <f>Statement!P82</f>
        <v>0</v>
      </c>
      <c r="G7" s="233">
        <f>Statement!Q82</f>
        <v>0</v>
      </c>
      <c r="H7" s="139"/>
      <c r="I7" s="139"/>
      <c r="J7" s="139"/>
      <c r="K7" s="139"/>
      <c r="L7" s="139"/>
      <c r="N7" s="91"/>
    </row>
    <row r="8" spans="1:14" x14ac:dyDescent="0.2">
      <c r="N8" s="91"/>
    </row>
    <row r="9" spans="1:14" x14ac:dyDescent="0.2">
      <c r="C9" s="246" t="s">
        <v>123</v>
      </c>
      <c r="D9" s="246"/>
      <c r="E9" s="246"/>
      <c r="F9" s="246"/>
      <c r="G9" s="246"/>
      <c r="H9" s="246"/>
      <c r="I9" s="246"/>
      <c r="J9" s="246"/>
      <c r="K9" s="246"/>
      <c r="L9" s="246"/>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249</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250</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6" t="s">
        <v>411</v>
      </c>
      <c r="D14" s="246"/>
      <c r="E14" s="246"/>
      <c r="F14" s="246"/>
      <c r="G14" s="246"/>
      <c r="H14" s="246"/>
      <c r="I14" s="246"/>
      <c r="J14" s="246"/>
      <c r="K14" s="246"/>
      <c r="L14" s="246"/>
      <c r="N14" s="91"/>
    </row>
    <row r="15" spans="1:14" x14ac:dyDescent="0.2">
      <c r="B15" s="16" t="s">
        <v>343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412</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40" t="s">
        <v>413</v>
      </c>
      <c r="C20" s="240"/>
      <c r="N20" s="91"/>
    </row>
    <row r="21" spans="2:14" x14ac:dyDescent="0.2">
      <c r="B21" s="1" t="s">
        <v>414</v>
      </c>
      <c r="C21" s="234">
        <f>G7</f>
        <v>0</v>
      </c>
    </row>
    <row r="22" spans="2:14" x14ac:dyDescent="0.2">
      <c r="B22" s="1" t="s">
        <v>415</v>
      </c>
      <c r="C22" s="235">
        <v>0</v>
      </c>
    </row>
    <row r="23" spans="2:14" x14ac:dyDescent="0.2">
      <c r="B23" s="39" t="s">
        <v>416</v>
      </c>
      <c r="C23" s="236">
        <f>C21*(1+C22)</f>
        <v>0</v>
      </c>
    </row>
    <row r="24" spans="2:14" x14ac:dyDescent="0.2">
      <c r="B24" s="1" t="s">
        <v>358</v>
      </c>
      <c r="C24" s="137">
        <f>IF(Overview!C29&gt;0,Overview!C29,WACC!C19)</f>
        <v>0.1</v>
      </c>
    </row>
    <row r="25" spans="2:14" x14ac:dyDescent="0.2">
      <c r="B25" s="39" t="s">
        <v>417</v>
      </c>
      <c r="C25" s="235">
        <v>0</v>
      </c>
    </row>
    <row r="26" spans="2:14" x14ac:dyDescent="0.2">
      <c r="B26" s="143" t="s">
        <v>210</v>
      </c>
      <c r="C26" s="144">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223</v>
      </c>
    </row>
    <row r="2" spans="1:28" s="83" customFormat="1" ht="18" customHeight="1" x14ac:dyDescent="0.2">
      <c r="A2" s="4"/>
      <c r="B2" s="82"/>
    </row>
    <row r="3" spans="1:28" x14ac:dyDescent="0.2">
      <c r="A3" s="4"/>
      <c r="C3" s="240" t="s">
        <v>114</v>
      </c>
      <c r="D3" s="240"/>
      <c r="E3" s="240"/>
      <c r="F3" s="240"/>
      <c r="G3" s="249"/>
      <c r="H3" s="250" t="s">
        <v>115</v>
      </c>
      <c r="I3" s="240"/>
      <c r="J3" s="240"/>
      <c r="K3" s="240"/>
      <c r="L3" s="240"/>
      <c r="P3" s="251"/>
      <c r="Q3" s="251"/>
      <c r="R3" s="251"/>
      <c r="S3" s="251"/>
      <c r="T3" s="251"/>
      <c r="U3" s="251"/>
      <c r="V3" s="251"/>
      <c r="W3" s="251"/>
      <c r="X3" s="251"/>
      <c r="Y3" s="251"/>
      <c r="Z3" s="251"/>
      <c r="AB3" s="111"/>
    </row>
    <row r="4" spans="1:28" ht="10" customHeight="1" x14ac:dyDescent="0.2"/>
    <row r="5" spans="1:28" ht="16" customHeight="1" x14ac:dyDescent="0.2">
      <c r="A5" s="86"/>
      <c r="B5" s="60"/>
      <c r="C5" s="246" t="s">
        <v>181</v>
      </c>
      <c r="D5" s="246"/>
      <c r="E5" s="246"/>
      <c r="F5" s="246"/>
      <c r="G5" s="246"/>
      <c r="H5" s="246"/>
      <c r="I5" s="246"/>
      <c r="J5" s="246"/>
      <c r="K5" s="246"/>
      <c r="L5" s="246"/>
      <c r="P5" s="251"/>
      <c r="Q5" s="251"/>
      <c r="R5" s="251"/>
      <c r="S5" s="251"/>
      <c r="T5" s="251"/>
      <c r="U5" s="251"/>
      <c r="V5" s="251"/>
      <c r="W5" s="251"/>
      <c r="X5" s="251"/>
      <c r="Y5" s="251"/>
      <c r="Z5" s="251"/>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28">
        <f>G7*(1+$C$17)</f>
        <v>10278.483439432104</v>
      </c>
      <c r="I7" s="128">
        <f t="shared" ref="I7:L7" si="0">H7*(1+$C$17)</f>
        <v>9147.8502610945725</v>
      </c>
      <c r="J7" s="128">
        <f t="shared" si="0"/>
        <v>8141.5867323741695</v>
      </c>
      <c r="K7" s="128">
        <f t="shared" si="0"/>
        <v>7246.0121918130108</v>
      </c>
      <c r="L7" s="128">
        <f t="shared" si="0"/>
        <v>6448.9508507135797</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76217.693136308197</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H7/(1+$C$21)^H9</f>
        <v>9290.8267507135461</v>
      </c>
      <c r="I10" s="128">
        <f t="shared" ref="I10:L10" ca="1" si="1">I7/(1+$C$21)^I9</f>
        <v>7474.2856157896258</v>
      </c>
      <c r="J10" s="128">
        <f t="shared" ca="1" si="1"/>
        <v>6012.9143471660591</v>
      </c>
      <c r="K10" s="128">
        <f t="shared" ca="1" si="1"/>
        <v>4837.2701827150877</v>
      </c>
      <c r="L10" s="128">
        <f t="shared" ca="1" si="1"/>
        <v>3891.4877993585101</v>
      </c>
      <c r="N10" s="91"/>
    </row>
    <row r="11" spans="1:28" x14ac:dyDescent="0.2">
      <c r="B11" s="1" t="s">
        <v>184</v>
      </c>
      <c r="C11" s="139"/>
      <c r="D11" s="139"/>
      <c r="E11" s="139"/>
      <c r="F11" s="139"/>
      <c r="G11" s="140"/>
      <c r="H11" s="139"/>
      <c r="I11" s="139"/>
      <c r="J11" s="139"/>
      <c r="K11" s="139"/>
      <c r="L11" s="128">
        <f ca="1">L8/(1+C21)^L9</f>
        <v>45992.011693247005</v>
      </c>
    </row>
    <row r="13" spans="1:28" ht="17" thickBot="1" x14ac:dyDescent="0.25"/>
    <row r="14" spans="1:28" x14ac:dyDescent="0.2">
      <c r="B14" s="252" t="s">
        <v>224</v>
      </c>
      <c r="C14" s="253"/>
    </row>
    <row r="15" spans="1:28" x14ac:dyDescent="0.2">
      <c r="B15" s="157" t="s">
        <v>225</v>
      </c>
      <c r="C15" s="158">
        <f ca="1">Overview!C5</f>
        <v>254.28</v>
      </c>
    </row>
    <row r="16" spans="1:28" x14ac:dyDescent="0.2">
      <c r="B16" s="157" t="s">
        <v>226</v>
      </c>
      <c r="C16" s="158">
        <f ca="1">C36</f>
        <v>192.16029243464783</v>
      </c>
    </row>
    <row r="17" spans="2:9" ht="17" thickBot="1" x14ac:dyDescent="0.25">
      <c r="B17" s="159" t="s">
        <v>330</v>
      </c>
      <c r="C17" s="160">
        <v>-0.11</v>
      </c>
      <c r="E17" s="254" t="s">
        <v>227</v>
      </c>
      <c r="F17" s="254"/>
      <c r="G17" s="254"/>
      <c r="H17" s="254"/>
      <c r="I17" s="254"/>
    </row>
    <row r="18" spans="2:9" ht="17" thickBot="1" x14ac:dyDescent="0.25"/>
    <row r="19" spans="2:9" x14ac:dyDescent="0.2">
      <c r="B19" s="252" t="s">
        <v>185</v>
      </c>
      <c r="C19" s="253"/>
    </row>
    <row r="20" spans="2:9" x14ac:dyDescent="0.2">
      <c r="B20" s="161" t="s">
        <v>186</v>
      </c>
      <c r="C20" s="162">
        <v>0.02</v>
      </c>
    </row>
    <row r="21" spans="2:9" x14ac:dyDescent="0.2">
      <c r="B21" s="161" t="s">
        <v>166</v>
      </c>
      <c r="C21" s="224">
        <f ca="1">IF(Overview!C28&gt;0,Overview!C28,WACC!C20)</f>
        <v>0.10630449961223361</v>
      </c>
    </row>
    <row r="22" spans="2:9" x14ac:dyDescent="0.2">
      <c r="B22" s="161" t="s">
        <v>69</v>
      </c>
      <c r="C22" s="225">
        <f>Statement!AC75</f>
        <v>398</v>
      </c>
    </row>
    <row r="23" spans="2:9" x14ac:dyDescent="0.2">
      <c r="B23" s="161" t="s">
        <v>228</v>
      </c>
      <c r="C23" s="163">
        <f ca="1">C15*C22</f>
        <v>101203.44</v>
      </c>
    </row>
    <row r="24" spans="2:9" x14ac:dyDescent="0.2">
      <c r="B24" s="161" t="s">
        <v>179</v>
      </c>
      <c r="C24" s="225">
        <f>Statement!AC107</f>
        <v>5626</v>
      </c>
    </row>
    <row r="25" spans="2:9" x14ac:dyDescent="0.2">
      <c r="B25" s="161" t="s">
        <v>170</v>
      </c>
      <c r="C25" s="225">
        <f>Statement!AC108</f>
        <v>6645</v>
      </c>
    </row>
    <row r="26" spans="2:9" ht="17" thickBot="1" x14ac:dyDescent="0.25">
      <c r="B26" s="159" t="s">
        <v>229</v>
      </c>
      <c r="C26" s="164">
        <f ca="1">C23+C25-C24</f>
        <v>102222.44</v>
      </c>
    </row>
    <row r="27" spans="2:9" ht="17" thickBot="1" x14ac:dyDescent="0.25"/>
    <row r="28" spans="2:9" x14ac:dyDescent="0.2">
      <c r="B28" s="252" t="s">
        <v>187</v>
      </c>
      <c r="C28" s="253"/>
    </row>
    <row r="29" spans="2:9" x14ac:dyDescent="0.2">
      <c r="B29" s="161" t="s">
        <v>188</v>
      </c>
      <c r="C29" s="163">
        <f ca="1">SUM(H10:L10)</f>
        <v>31506.784695742826</v>
      </c>
    </row>
    <row r="30" spans="2:9" x14ac:dyDescent="0.2">
      <c r="B30" s="161" t="s">
        <v>184</v>
      </c>
      <c r="C30" s="163">
        <f ca="1">L11</f>
        <v>45992.011693247005</v>
      </c>
    </row>
    <row r="31" spans="2:9" x14ac:dyDescent="0.2">
      <c r="B31" s="165" t="s">
        <v>189</v>
      </c>
      <c r="C31" s="166">
        <f ca="1">C29+C30</f>
        <v>77498.796388989838</v>
      </c>
    </row>
    <row r="32" spans="2:9" x14ac:dyDescent="0.2">
      <c r="B32" s="161" t="s">
        <v>190</v>
      </c>
      <c r="C32" s="167">
        <f>C24</f>
        <v>5626</v>
      </c>
    </row>
    <row r="33" spans="2:12" x14ac:dyDescent="0.2">
      <c r="B33" s="161" t="s">
        <v>191</v>
      </c>
      <c r="C33" s="167">
        <f>C25</f>
        <v>6645</v>
      </c>
    </row>
    <row r="34" spans="2:12" x14ac:dyDescent="0.2">
      <c r="B34" s="165" t="s">
        <v>192</v>
      </c>
      <c r="C34" s="166">
        <f ca="1">C31+C32-C33</f>
        <v>76479.796388989838</v>
      </c>
    </row>
    <row r="35" spans="2:12" x14ac:dyDescent="0.2">
      <c r="B35" s="161" t="s">
        <v>69</v>
      </c>
      <c r="C35" s="163">
        <f>C22</f>
        <v>398</v>
      </c>
    </row>
    <row r="36" spans="2:12" ht="17" thickBot="1" x14ac:dyDescent="0.25">
      <c r="B36" s="168" t="s">
        <v>193</v>
      </c>
      <c r="C36" s="169">
        <f ca="1">C34/C35</f>
        <v>192.16029243464783</v>
      </c>
    </row>
    <row r="39" spans="2:12" x14ac:dyDescent="0.2">
      <c r="C39" s="246" t="s">
        <v>230</v>
      </c>
      <c r="D39" s="246"/>
      <c r="E39" s="246"/>
      <c r="F39" s="246"/>
      <c r="G39" s="246"/>
      <c r="H39" s="246"/>
      <c r="I39" s="246"/>
      <c r="J39" s="246"/>
      <c r="K39" s="246"/>
      <c r="L39" s="246"/>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268</v>
      </c>
      <c r="C41" s="114">
        <f>C7</f>
        <v>7432.0133216476779</v>
      </c>
      <c r="D41" s="114">
        <f t="shared" si="2"/>
        <v>8118.7549933422106</v>
      </c>
      <c r="E41" s="114">
        <f t="shared" si="2"/>
        <v>8147.9545521400196</v>
      </c>
      <c r="F41" s="114">
        <f t="shared" si="2"/>
        <v>8892.4166786899441</v>
      </c>
      <c r="G41" s="115">
        <f t="shared" si="2"/>
        <v>11548.857797114724</v>
      </c>
      <c r="H41" s="145">
        <f t="shared" si="2"/>
        <v>10278.483439432104</v>
      </c>
      <c r="I41" s="145">
        <f t="shared" si="2"/>
        <v>9147.8502610945725</v>
      </c>
      <c r="J41" s="145">
        <f t="shared" si="2"/>
        <v>8141.5867323741695</v>
      </c>
      <c r="K41" s="145">
        <f t="shared" si="2"/>
        <v>7246.0121918130108</v>
      </c>
      <c r="L41" s="145">
        <f t="shared" si="2"/>
        <v>6448.9508507135797</v>
      </c>
    </row>
    <row r="42" spans="2:12" x14ac:dyDescent="0.2">
      <c r="B42" s="1" t="s">
        <v>158</v>
      </c>
      <c r="C42" s="114">
        <f>'FCF &amp; Other'!C10</f>
        <v>5802</v>
      </c>
      <c r="D42" s="114">
        <f>'FCF &amp; Other'!D10</f>
        <v>6098</v>
      </c>
      <c r="E42" s="114">
        <f>'FCF &amp; Other'!E10</f>
        <v>6650</v>
      </c>
      <c r="F42" s="114">
        <f>'FCF &amp; Other'!F10</f>
        <v>6741</v>
      </c>
      <c r="G42" s="115">
        <f>'FCF &amp; Other'!G10</f>
        <v>8706</v>
      </c>
      <c r="H42" s="145">
        <f>H41/H43</f>
        <v>9344.0758540291845</v>
      </c>
      <c r="I42" s="145">
        <f t="shared" ref="I42:L42" si="3">I41/I43</f>
        <v>8316.2275100859752</v>
      </c>
      <c r="J42" s="145">
        <f t="shared" si="3"/>
        <v>7401.442483976517</v>
      </c>
      <c r="K42" s="145">
        <f t="shared" si="3"/>
        <v>6587.2838107390999</v>
      </c>
      <c r="L42" s="145">
        <f t="shared" si="3"/>
        <v>5862.6825915577992</v>
      </c>
    </row>
    <row r="43" spans="2:12" x14ac:dyDescent="0.2">
      <c r="B43" s="124" t="s">
        <v>331</v>
      </c>
      <c r="C43" s="95">
        <f>C41/C42</f>
        <v>1.2809399037655425</v>
      </c>
      <c r="D43" s="95">
        <f t="shared" ref="D43:G43" si="4">D41/D42</f>
        <v>1.3313799595510349</v>
      </c>
      <c r="E43" s="95">
        <f t="shared" si="4"/>
        <v>1.2252563236300782</v>
      </c>
      <c r="F43" s="95">
        <f t="shared" si="4"/>
        <v>1.3191539354235193</v>
      </c>
      <c r="G43" s="96">
        <f t="shared" si="4"/>
        <v>1.3265400639920428</v>
      </c>
      <c r="H43" s="170">
        <v>1.1000000000000001</v>
      </c>
      <c r="I43" s="170">
        <v>1.1000000000000001</v>
      </c>
      <c r="J43" s="170">
        <v>1.1000000000000001</v>
      </c>
      <c r="K43" s="170">
        <v>1.1000000000000001</v>
      </c>
      <c r="L43" s="170">
        <v>1.1000000000000001</v>
      </c>
    </row>
    <row r="44" spans="2:12" x14ac:dyDescent="0.2">
      <c r="B44" s="1" t="s">
        <v>19</v>
      </c>
      <c r="C44" s="114">
        <f>Revenue!C9</f>
        <v>15785</v>
      </c>
      <c r="D44" s="114">
        <f>Revenue!D9</f>
        <v>17606</v>
      </c>
      <c r="E44" s="114">
        <f>Revenue!E9</f>
        <v>19409</v>
      </c>
      <c r="F44" s="114">
        <f>Revenue!F9</f>
        <v>21505</v>
      </c>
      <c r="G44" s="115">
        <f>Revenue!G9</f>
        <v>23769</v>
      </c>
      <c r="H44" s="145">
        <f>H41/H45</f>
        <v>1027848.3439432104</v>
      </c>
      <c r="I44" s="145">
        <f t="shared" ref="I44:L44" si="5">I41/I45</f>
        <v>457392.51305472862</v>
      </c>
      <c r="J44" s="145">
        <f t="shared" si="5"/>
        <v>193847.30315176593</v>
      </c>
      <c r="K44" s="145">
        <f t="shared" si="5"/>
        <v>103514.459883043</v>
      </c>
      <c r="L44" s="145">
        <f t="shared" si="5"/>
        <v>42993.005671423867</v>
      </c>
    </row>
    <row r="45" spans="2:12" x14ac:dyDescent="0.2">
      <c r="B45" s="124" t="s">
        <v>332</v>
      </c>
      <c r="C45" s="95">
        <f>C41/C44</f>
        <v>0.47082757818483861</v>
      </c>
      <c r="D45" s="95">
        <f t="shared" ref="D45:G45" si="6">D41/D44</f>
        <v>0.46113569199944399</v>
      </c>
      <c r="E45" s="95">
        <f t="shared" si="6"/>
        <v>0.41980290340254622</v>
      </c>
      <c r="F45" s="95">
        <f t="shared" si="6"/>
        <v>0.41350461188979049</v>
      </c>
      <c r="G45" s="96">
        <f t="shared" si="6"/>
        <v>0.48587899352579933</v>
      </c>
      <c r="H45" s="170">
        <v>0.01</v>
      </c>
      <c r="I45" s="170">
        <v>0.02</v>
      </c>
      <c r="J45" s="170">
        <v>4.2000000000000003E-2</v>
      </c>
      <c r="K45" s="170">
        <v>7.0000000000000007E-2</v>
      </c>
      <c r="L45" s="170">
        <v>0.15</v>
      </c>
    </row>
    <row r="46" spans="2:12" x14ac:dyDescent="0.2">
      <c r="B46" s="124" t="s">
        <v>333</v>
      </c>
      <c r="C46" s="139"/>
      <c r="D46" s="95">
        <f>D41/C41-1</f>
        <v>9.2403180938093632E-2</v>
      </c>
      <c r="E46" s="95">
        <f t="shared" ref="E46:L47" si="7">E41/D41-1</f>
        <v>3.5965562234301363E-3</v>
      </c>
      <c r="F46" s="95">
        <f t="shared" si="7"/>
        <v>9.136797729859647E-2</v>
      </c>
      <c r="G46" s="96">
        <f t="shared" si="7"/>
        <v>0.29873106652669068</v>
      </c>
      <c r="H46" s="171">
        <f t="shared" si="7"/>
        <v>-0.10999999999999999</v>
      </c>
      <c r="I46" s="171">
        <f t="shared" si="7"/>
        <v>-0.10999999999999999</v>
      </c>
      <c r="J46" s="171">
        <f t="shared" si="7"/>
        <v>-0.10999999999999999</v>
      </c>
      <c r="K46" s="171">
        <f t="shared" si="7"/>
        <v>-0.10999999999999999</v>
      </c>
      <c r="L46" s="171">
        <f t="shared" si="7"/>
        <v>-0.10999999999999999</v>
      </c>
    </row>
    <row r="47" spans="2:12" x14ac:dyDescent="0.2">
      <c r="B47" s="124" t="s">
        <v>231</v>
      </c>
      <c r="C47" s="139"/>
      <c r="D47" s="95">
        <f>D42/C42-1</f>
        <v>5.1016890727335396E-2</v>
      </c>
      <c r="E47" s="95">
        <f t="shared" si="7"/>
        <v>9.0521482453263413E-2</v>
      </c>
      <c r="F47" s="95">
        <f t="shared" si="7"/>
        <v>1.3684210526315743E-2</v>
      </c>
      <c r="G47" s="96">
        <f t="shared" si="7"/>
        <v>0.29149977748108591</v>
      </c>
      <c r="H47" s="171">
        <f t="shared" si="7"/>
        <v>7.3291506320834365E-2</v>
      </c>
      <c r="I47" s="171">
        <f t="shared" si="7"/>
        <v>-0.10999999999999988</v>
      </c>
      <c r="J47" s="171">
        <f t="shared" si="7"/>
        <v>-0.1100000000000001</v>
      </c>
      <c r="K47" s="171">
        <f t="shared" si="7"/>
        <v>-0.10999999999999999</v>
      </c>
      <c r="L47" s="171">
        <f t="shared" si="7"/>
        <v>-0.10999999999999999</v>
      </c>
    </row>
    <row r="48" spans="2:12" x14ac:dyDescent="0.2">
      <c r="B48" s="124" t="s">
        <v>232</v>
      </c>
      <c r="C48" s="139"/>
      <c r="D48" s="95">
        <f>D44/C44-1</f>
        <v>0.11536268609439349</v>
      </c>
      <c r="E48" s="95">
        <f t="shared" ref="E48:L48" si="8">E44/D44-1</f>
        <v>0.10240826990798602</v>
      </c>
      <c r="F48" s="95">
        <f t="shared" si="8"/>
        <v>0.10799113813179462</v>
      </c>
      <c r="G48" s="96">
        <f t="shared" si="8"/>
        <v>0.10527784236224136</v>
      </c>
      <c r="H48" s="171">
        <f t="shared" si="8"/>
        <v>42.243230423796142</v>
      </c>
      <c r="I48" s="171">
        <f t="shared" si="8"/>
        <v>-0.55499999999999994</v>
      </c>
      <c r="J48" s="171">
        <f t="shared" si="8"/>
        <v>-0.57619047619047614</v>
      </c>
      <c r="K48" s="171">
        <f t="shared" si="8"/>
        <v>-0.46599999999999997</v>
      </c>
      <c r="L48" s="171">
        <f t="shared" si="8"/>
        <v>-0.58466666666666667</v>
      </c>
    </row>
    <row r="49" spans="2:12" x14ac:dyDescent="0.2">
      <c r="B49" s="124" t="s">
        <v>233</v>
      </c>
      <c r="C49" s="95">
        <f>C42/C44</f>
        <v>0.36756414317389929</v>
      </c>
      <c r="D49" s="95">
        <f t="shared" ref="D49:L49" si="9">D42/D44</f>
        <v>0.34635919572872886</v>
      </c>
      <c r="E49" s="95">
        <f t="shared" si="9"/>
        <v>0.3426245556185275</v>
      </c>
      <c r="F49" s="95">
        <f t="shared" si="9"/>
        <v>0.31346198558474775</v>
      </c>
      <c r="G49" s="96">
        <f t="shared" si="9"/>
        <v>0.36627540073204595</v>
      </c>
      <c r="H49" s="171">
        <f t="shared" si="9"/>
        <v>9.0909090909090905E-3</v>
      </c>
      <c r="I49" s="171">
        <f t="shared" si="9"/>
        <v>1.8181818181818181E-2</v>
      </c>
      <c r="J49" s="171">
        <f t="shared" si="9"/>
        <v>3.8181818181818178E-2</v>
      </c>
      <c r="K49" s="171">
        <f t="shared" si="9"/>
        <v>6.363636363636363E-2</v>
      </c>
      <c r="L49" s="171">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2026-08-03T16:59:34Z</dcterms:modified>
</cp:coreProperties>
</file>