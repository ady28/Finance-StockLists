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069D2ED-9DC9-D347-9879-ADAA00F3316F}" xr6:coauthVersionLast="47" xr6:coauthVersionMax="47" xr10:uidLastSave="{00000000-0000-0000-0000-000000000000}"/>
  <bookViews>
    <workbookView xWindow="0" yWindow="0" windowWidth="25600" windowHeight="14400" firstSheet="5" activeTab="15"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30" l="1"/>
  <c r="L40" i="30" s="1"/>
  <c r="K6" i="30"/>
  <c r="K40" i="30" s="1"/>
  <c r="J6" i="30"/>
  <c r="J40" i="30" s="1"/>
  <c r="I6" i="30"/>
  <c r="I40" i="30" s="1"/>
  <c r="H6" i="30"/>
  <c r="H40" i="30" s="1"/>
  <c r="G6" i="30"/>
  <c r="G40" i="30" s="1"/>
  <c r="F6" i="30"/>
  <c r="F40" i="30" s="1"/>
  <c r="E6" i="30"/>
  <c r="E40" i="30" s="1"/>
  <c r="D6" i="30"/>
  <c r="D40" i="30" s="1"/>
  <c r="C6" i="30"/>
  <c r="C40" i="30" s="1"/>
  <c r="C10" i="21"/>
  <c r="C3" i="2"/>
  <c r="C9" i="21"/>
  <c r="C34" i="2"/>
  <c r="C35" i="2"/>
  <c r="C45" i="2"/>
  <c r="C17" i="2"/>
  <c r="G44" i="30"/>
  <c r="F44" i="30"/>
  <c r="E44" i="30"/>
  <c r="D44" i="30"/>
  <c r="C44" i="30"/>
  <c r="G42" i="30"/>
  <c r="F42" i="30"/>
  <c r="E42" i="30"/>
  <c r="D42" i="30"/>
  <c r="C42" i="30"/>
  <c r="H42" i="30"/>
  <c r="I42" i="30"/>
  <c r="J42" i="30"/>
  <c r="K42" i="30"/>
  <c r="L42" i="30"/>
  <c r="C49" i="30"/>
  <c r="H7" i="30"/>
  <c r="I7" i="30" s="1"/>
  <c r="J7" i="30" s="1"/>
  <c r="K7" i="30" s="1"/>
  <c r="L7" i="30" s="1"/>
  <c r="C33" i="30"/>
  <c r="C32" i="30"/>
  <c r="C25" i="30"/>
  <c r="C24" i="30"/>
  <c r="C22" i="30"/>
  <c r="C25" i="22"/>
  <c r="G7" i="30"/>
  <c r="F7" i="30"/>
  <c r="E7" i="30"/>
  <c r="D7" i="30"/>
  <c r="D41" i="30"/>
  <c r="C7" i="30"/>
  <c r="G48" i="30"/>
  <c r="F48" i="30"/>
  <c r="E48" i="30"/>
  <c r="D48" i="30"/>
  <c r="F41" i="30"/>
  <c r="E41" i="30"/>
  <c r="C41" i="30"/>
  <c r="C23" i="22"/>
  <c r="G30" i="28"/>
  <c r="F30" i="28"/>
  <c r="E30" i="28"/>
  <c r="D30" i="28"/>
  <c r="C30" i="28"/>
  <c r="C8" i="21"/>
  <c r="L12" i="27"/>
  <c r="K12" i="27"/>
  <c r="J12" i="27"/>
  <c r="I12" i="27"/>
  <c r="H12" i="27"/>
  <c r="G12" i="27"/>
  <c r="F12" i="27"/>
  <c r="E12" i="27"/>
  <c r="D12" i="27"/>
  <c r="C12" i="27"/>
  <c r="G11" i="27"/>
  <c r="F11" i="27"/>
  <c r="E11" i="27"/>
  <c r="D11" i="27"/>
  <c r="C11" i="27"/>
  <c r="G10" i="27"/>
  <c r="F10" i="27"/>
  <c r="E10" i="27"/>
  <c r="D10" i="27"/>
  <c r="B12" i="27"/>
  <c r="B11" i="27"/>
  <c r="B10" i="27"/>
  <c r="B9" i="27"/>
  <c r="G30" i="26"/>
  <c r="F30" i="26"/>
  <c r="E30" i="26"/>
  <c r="D30" i="26"/>
  <c r="C30" i="26"/>
  <c r="H25" i="9"/>
  <c r="G25" i="9"/>
  <c r="F25" i="9"/>
  <c r="E25" i="9"/>
  <c r="D25" i="9"/>
  <c r="C25" i="9"/>
  <c r="B25" i="9"/>
  <c r="G24" i="9"/>
  <c r="F24" i="9"/>
  <c r="E24" i="9"/>
  <c r="D24" i="9"/>
  <c r="C24" i="9"/>
  <c r="B24" i="9"/>
  <c r="G15" i="9"/>
  <c r="F15" i="9"/>
  <c r="E15" i="9"/>
  <c r="D15" i="9"/>
  <c r="C15" i="9"/>
  <c r="G14" i="9"/>
  <c r="F14" i="9"/>
  <c r="E14" i="9"/>
  <c r="D14" i="9"/>
  <c r="C14" i="9"/>
  <c r="G13" i="9"/>
  <c r="F13" i="9"/>
  <c r="E13" i="9"/>
  <c r="D13" i="9"/>
  <c r="C13" i="9"/>
  <c r="G12" i="9"/>
  <c r="G9" i="27" s="1"/>
  <c r="F12" i="9"/>
  <c r="F9" i="27" s="1"/>
  <c r="E12" i="9"/>
  <c r="E9" i="27" s="1"/>
  <c r="D12" i="9"/>
  <c r="D9" i="27" s="1"/>
  <c r="C10" i="27"/>
  <c r="B15" i="9"/>
  <c r="B14" i="9"/>
  <c r="B13" i="9"/>
  <c r="B12" i="9"/>
  <c r="B22" i="9" s="1"/>
  <c r="B23" i="9"/>
  <c r="AB5" i="9"/>
  <c r="AB10" i="9" s="1"/>
  <c r="AB4" i="9"/>
  <c r="AB9" i="9" s="1"/>
  <c r="Z16" i="6"/>
  <c r="Y16" i="6"/>
  <c r="X16" i="6"/>
  <c r="W16" i="6"/>
  <c r="V16" i="6"/>
  <c r="U16" i="6"/>
  <c r="T16" i="6"/>
  <c r="U15" i="6"/>
  <c r="V15" i="6"/>
  <c r="W15" i="6"/>
  <c r="X15" i="6"/>
  <c r="Y15" i="6"/>
  <c r="Z15" i="6"/>
  <c r="AA7" i="6"/>
  <c r="AA6" i="6"/>
  <c r="Z8" i="6"/>
  <c r="Y8" i="6"/>
  <c r="X8" i="6"/>
  <c r="W8" i="6"/>
  <c r="V8" i="6"/>
  <c r="U8" i="6"/>
  <c r="T8" i="6"/>
  <c r="S8" i="6"/>
  <c r="Z7" i="6"/>
  <c r="Y7" i="6"/>
  <c r="X7" i="6"/>
  <c r="W7" i="6"/>
  <c r="V7" i="6"/>
  <c r="U7" i="6"/>
  <c r="T7" i="6"/>
  <c r="S7" i="6"/>
  <c r="Z6" i="6"/>
  <c r="Y6" i="6"/>
  <c r="X6" i="6"/>
  <c r="W6" i="6"/>
  <c r="V6" i="6"/>
  <c r="U6" i="6"/>
  <c r="T6" i="6"/>
  <c r="S6" i="6"/>
  <c r="R8" i="6"/>
  <c r="R15" i="6" s="1"/>
  <c r="R7" i="6"/>
  <c r="R14" i="6" s="1"/>
  <c r="R6" i="6"/>
  <c r="R13" i="6" s="1"/>
  <c r="G8" i="6"/>
  <c r="F8" i="6"/>
  <c r="E8" i="6"/>
  <c r="D8" i="6"/>
  <c r="C8" i="6"/>
  <c r="G7" i="6"/>
  <c r="F7" i="6"/>
  <c r="E7" i="6"/>
  <c r="D7" i="6"/>
  <c r="C7" i="6"/>
  <c r="G6" i="6"/>
  <c r="F6" i="6"/>
  <c r="E6" i="6"/>
  <c r="D6" i="6"/>
  <c r="H8" i="6"/>
  <c r="H7" i="6"/>
  <c r="I7" i="6" s="1"/>
  <c r="J7" i="6" s="1"/>
  <c r="K7" i="6" s="1"/>
  <c r="L7" i="6" s="1"/>
  <c r="H6" i="6"/>
  <c r="I6" i="6" s="1"/>
  <c r="J6" i="6" s="1"/>
  <c r="K6" i="6" s="1"/>
  <c r="L6" i="6" s="1"/>
  <c r="C6" i="6"/>
  <c r="B8" i="6"/>
  <c r="B15" i="6" s="1"/>
  <c r="B7" i="6"/>
  <c r="B14" i="6" s="1"/>
  <c r="B6" i="6"/>
  <c r="B13" i="6" s="1"/>
  <c r="U75" i="23"/>
  <c r="T75" i="23"/>
  <c r="S75" i="23"/>
  <c r="R75" i="23"/>
  <c r="Q75" i="23"/>
  <c r="U74" i="23"/>
  <c r="T74" i="23"/>
  <c r="S74" i="23"/>
  <c r="R74" i="23"/>
  <c r="Q74" i="23"/>
  <c r="U72" i="23"/>
  <c r="T72" i="23"/>
  <c r="S72" i="23"/>
  <c r="R72" i="23"/>
  <c r="Q72" i="23"/>
  <c r="U69" i="23"/>
  <c r="T69" i="23"/>
  <c r="S69" i="23"/>
  <c r="R69" i="23"/>
  <c r="Q69" i="23"/>
  <c r="L75" i="23"/>
  <c r="K75" i="23"/>
  <c r="J75" i="23"/>
  <c r="I75" i="23"/>
  <c r="H75" i="23"/>
  <c r="G75" i="23"/>
  <c r="F75" i="23"/>
  <c r="E75" i="23"/>
  <c r="D75" i="23"/>
  <c r="C75" i="23"/>
  <c r="L74" i="23"/>
  <c r="K74" i="23"/>
  <c r="J74" i="23"/>
  <c r="I74" i="23"/>
  <c r="H74" i="23"/>
  <c r="G74" i="23"/>
  <c r="F74" i="23"/>
  <c r="E74" i="23"/>
  <c r="D74" i="23"/>
  <c r="C74" i="23"/>
  <c r="L72" i="23"/>
  <c r="K72" i="23"/>
  <c r="J72" i="23"/>
  <c r="I72" i="23"/>
  <c r="H72" i="23"/>
  <c r="G72" i="23"/>
  <c r="F72" i="23"/>
  <c r="E72" i="23"/>
  <c r="D72" i="23"/>
  <c r="C72" i="23"/>
  <c r="L69" i="23"/>
  <c r="G45" i="26" s="1"/>
  <c r="K69" i="23"/>
  <c r="F45" i="26" s="1"/>
  <c r="J69" i="23"/>
  <c r="I69" i="23"/>
  <c r="H69" i="23"/>
  <c r="G69" i="23"/>
  <c r="F69" i="23"/>
  <c r="E69" i="23"/>
  <c r="D69" i="23"/>
  <c r="C69" i="23"/>
  <c r="T77" i="23"/>
  <c r="T70" i="23"/>
  <c r="N76" i="3"/>
  <c r="T67" i="23"/>
  <c r="T68" i="23"/>
  <c r="N69" i="3"/>
  <c r="T66" i="23"/>
  <c r="T64" i="23"/>
  <c r="T63" i="23"/>
  <c r="N89" i="3"/>
  <c r="N88" i="3"/>
  <c r="H110" i="3"/>
  <c r="H111" i="3" s="1"/>
  <c r="N80" i="3"/>
  <c r="N77" i="3"/>
  <c r="S68" i="23"/>
  <c r="S67" i="23"/>
  <c r="S66" i="23"/>
  <c r="S64" i="23"/>
  <c r="S63" i="23"/>
  <c r="R68" i="23"/>
  <c r="N73" i="3"/>
  <c r="N72" i="3"/>
  <c r="N71" i="3"/>
  <c r="N70" i="3"/>
  <c r="N67" i="3"/>
  <c r="N65" i="3"/>
  <c r="R66" i="23"/>
  <c r="R64" i="23"/>
  <c r="R63" i="23"/>
  <c r="I112" i="3"/>
  <c r="G112" i="3"/>
  <c r="G113" i="3" s="1"/>
  <c r="F112" i="3"/>
  <c r="E112" i="3"/>
  <c r="D112" i="3"/>
  <c r="C112" i="3"/>
  <c r="J112" i="3"/>
  <c r="J113" i="3" s="1"/>
  <c r="N79" i="3"/>
  <c r="U63" i="23"/>
  <c r="U57" i="23"/>
  <c r="W57" i="23" s="1"/>
  <c r="T57" i="23"/>
  <c r="U56" i="23"/>
  <c r="W56" i="23" s="1"/>
  <c r="T56" i="23"/>
  <c r="U55" i="23"/>
  <c r="W55" i="23" s="1"/>
  <c r="T55" i="23"/>
  <c r="U54" i="23"/>
  <c r="W54" i="23" s="1"/>
  <c r="U51" i="23"/>
  <c r="W51" i="23" s="1"/>
  <c r="T51" i="23"/>
  <c r="U50" i="23"/>
  <c r="W50" i="23" s="1"/>
  <c r="T50" i="23"/>
  <c r="U49" i="23"/>
  <c r="W49" i="23" s="1"/>
  <c r="T49" i="23"/>
  <c r="U48" i="23"/>
  <c r="W48" i="23" s="1"/>
  <c r="T48" i="23"/>
  <c r="U47" i="23"/>
  <c r="W47" i="23" s="1"/>
  <c r="T47" i="23"/>
  <c r="U46" i="23"/>
  <c r="U44" i="23"/>
  <c r="W44" i="23" s="1"/>
  <c r="T44" i="23"/>
  <c r="U36" i="23"/>
  <c r="W36" i="23" s="1"/>
  <c r="T36" i="23"/>
  <c r="U35" i="23"/>
  <c r="W35" i="23" s="1"/>
  <c r="T35" i="23"/>
  <c r="U34" i="23"/>
  <c r="W34" i="23" s="1"/>
  <c r="T34" i="23"/>
  <c r="U33" i="23"/>
  <c r="W33" i="23" s="1"/>
  <c r="I101" i="3"/>
  <c r="I102" i="3" s="1"/>
  <c r="H101" i="3"/>
  <c r="H102" i="3" s="1"/>
  <c r="G101" i="3"/>
  <c r="G102" i="3" s="1"/>
  <c r="F101" i="3"/>
  <c r="F102" i="3" s="1"/>
  <c r="E101" i="3"/>
  <c r="E102" i="3" s="1"/>
  <c r="D101" i="3"/>
  <c r="D102" i="3" s="1"/>
  <c r="C101" i="3"/>
  <c r="C102" i="3" s="1"/>
  <c r="J101" i="3"/>
  <c r="J102" i="3" s="1"/>
  <c r="I99" i="3"/>
  <c r="I100" i="3" s="1"/>
  <c r="H99" i="3"/>
  <c r="H100" i="3" s="1"/>
  <c r="G99" i="3"/>
  <c r="G100" i="3" s="1"/>
  <c r="F99" i="3"/>
  <c r="F100" i="3" s="1"/>
  <c r="E99" i="3"/>
  <c r="E100" i="3" s="1"/>
  <c r="D99" i="3"/>
  <c r="D100" i="3" s="1"/>
  <c r="C99" i="3"/>
  <c r="C100" i="3" s="1"/>
  <c r="J99" i="3"/>
  <c r="J100" i="3" s="1"/>
  <c r="N57" i="3"/>
  <c r="N52" i="3"/>
  <c r="N51" i="3"/>
  <c r="N49" i="3"/>
  <c r="N48" i="3"/>
  <c r="N44" i="3"/>
  <c r="N37" i="3"/>
  <c r="N36" i="3"/>
  <c r="N35" i="3"/>
  <c r="L172" i="1"/>
  <c r="K172" i="1"/>
  <c r="J172" i="1"/>
  <c r="I172" i="1"/>
  <c r="H172" i="1"/>
  <c r="G172" i="1"/>
  <c r="F172" i="1"/>
  <c r="E172" i="1"/>
  <c r="D172" i="1"/>
  <c r="C172" i="1"/>
  <c r="D175" i="1" s="1"/>
  <c r="L171" i="1"/>
  <c r="K171" i="1"/>
  <c r="J171" i="1"/>
  <c r="I171" i="1"/>
  <c r="H171" i="1"/>
  <c r="G171" i="1"/>
  <c r="F171" i="1"/>
  <c r="E171" i="1"/>
  <c r="D171" i="1"/>
  <c r="C171" i="1"/>
  <c r="E174" i="1"/>
  <c r="L175" i="1"/>
  <c r="K175" i="1"/>
  <c r="J175" i="1"/>
  <c r="I175" i="1"/>
  <c r="H175" i="1"/>
  <c r="G175" i="1"/>
  <c r="F175" i="1"/>
  <c r="E175" i="1"/>
  <c r="L174" i="1"/>
  <c r="I174" i="1"/>
  <c r="H174" i="1"/>
  <c r="G174" i="1"/>
  <c r="F174" i="1"/>
  <c r="L173" i="1"/>
  <c r="K173" i="1"/>
  <c r="J173" i="1"/>
  <c r="I173" i="1"/>
  <c r="H173" i="1"/>
  <c r="G173" i="1"/>
  <c r="F173" i="1"/>
  <c r="E173" i="1"/>
  <c r="D173"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7" i="23"/>
  <c r="K57" i="23"/>
  <c r="J57" i="23"/>
  <c r="I57" i="23"/>
  <c r="H57" i="23"/>
  <c r="G57" i="23"/>
  <c r="F57" i="23"/>
  <c r="E57" i="23"/>
  <c r="D57" i="23"/>
  <c r="C57" i="23"/>
  <c r="L51" i="23"/>
  <c r="K51" i="23"/>
  <c r="J51" i="23"/>
  <c r="I51" i="23"/>
  <c r="H51" i="23"/>
  <c r="G51" i="23"/>
  <c r="F51" i="23"/>
  <c r="E51" i="23"/>
  <c r="D51" i="23"/>
  <c r="C51"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4" i="23"/>
  <c r="K44" i="23"/>
  <c r="J44" i="23"/>
  <c r="I44" i="23"/>
  <c r="H44" i="23"/>
  <c r="G44" i="23"/>
  <c r="F44" i="23"/>
  <c r="E44" i="23"/>
  <c r="D44" i="23"/>
  <c r="C44"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P57" i="1"/>
  <c r="O57" i="1"/>
  <c r="N57" i="1"/>
  <c r="M57" i="1"/>
  <c r="L57" i="1"/>
  <c r="L52" i="23" s="1"/>
  <c r="K57" i="1"/>
  <c r="K52" i="23" s="1"/>
  <c r="J57" i="1"/>
  <c r="J52" i="23" s="1"/>
  <c r="I57" i="1"/>
  <c r="I52" i="23" s="1"/>
  <c r="H57" i="1"/>
  <c r="H52" i="23" s="1"/>
  <c r="G57" i="1"/>
  <c r="G52" i="23" s="1"/>
  <c r="F57" i="1"/>
  <c r="F52" i="23" s="1"/>
  <c r="E57" i="1"/>
  <c r="E52" i="23" s="1"/>
  <c r="D57" i="1"/>
  <c r="D52" i="23" s="1"/>
  <c r="C57" i="1"/>
  <c r="C52" i="23" s="1"/>
  <c r="P42" i="1"/>
  <c r="O42" i="1"/>
  <c r="N42" i="1"/>
  <c r="M42" i="1"/>
  <c r="L42" i="1"/>
  <c r="L37" i="23" s="1"/>
  <c r="K42" i="1"/>
  <c r="K37" i="23" s="1"/>
  <c r="J42" i="1"/>
  <c r="J37" i="23" s="1"/>
  <c r="I42" i="1"/>
  <c r="I37" i="23" s="1"/>
  <c r="H42" i="1"/>
  <c r="H37" i="23" s="1"/>
  <c r="G42" i="1"/>
  <c r="G37" i="23" s="1"/>
  <c r="F42" i="1"/>
  <c r="F37" i="23" s="1"/>
  <c r="E42" i="1"/>
  <c r="E37" i="23" s="1"/>
  <c r="D42" i="1"/>
  <c r="D37" i="23" s="1"/>
  <c r="C42" i="1"/>
  <c r="C37"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9" i="23"/>
  <c r="T19" i="23"/>
  <c r="S19" i="23"/>
  <c r="R19" i="23"/>
  <c r="W19" i="23" s="1"/>
  <c r="Q19" i="23"/>
  <c r="P19" i="23"/>
  <c r="O19" i="23"/>
  <c r="U18" i="23"/>
  <c r="T18" i="23"/>
  <c r="S18" i="23"/>
  <c r="R18" i="23"/>
  <c r="W18" i="23" s="1"/>
  <c r="Q18" i="23"/>
  <c r="P18" i="23"/>
  <c r="O18" i="23"/>
  <c r="N19" i="23"/>
  <c r="N18"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7" i="3"/>
  <c r="J128" i="3" s="1"/>
  <c r="I127" i="3"/>
  <c r="I128" i="3" s="1"/>
  <c r="H127" i="3"/>
  <c r="H128" i="3" s="1"/>
  <c r="G127" i="3"/>
  <c r="G128" i="3" s="1"/>
  <c r="F127" i="3"/>
  <c r="F128" i="3" s="1"/>
  <c r="E127" i="3"/>
  <c r="E128" i="3" s="1"/>
  <c r="D127" i="3"/>
  <c r="D128" i="3" s="1"/>
  <c r="C127" i="3"/>
  <c r="C128" i="3" s="1"/>
  <c r="C13" i="3"/>
  <c r="C97" i="3" s="1"/>
  <c r="G13" i="3"/>
  <c r="G97" i="3" s="1"/>
  <c r="D13" i="3"/>
  <c r="D97" i="3" s="1"/>
  <c r="H13" i="3"/>
  <c r="H97" i="3" s="1"/>
  <c r="P17" i="3"/>
  <c r="P16" i="3"/>
  <c r="E13" i="3"/>
  <c r="E97" i="3" s="1"/>
  <c r="I13" i="3"/>
  <c r="I97" i="3" s="1"/>
  <c r="P12" i="3"/>
  <c r="P11" i="3"/>
  <c r="P10" i="3"/>
  <c r="N17" i="3"/>
  <c r="Q17" i="3"/>
  <c r="N16" i="3"/>
  <c r="Q16" i="3"/>
  <c r="R16" i="3" s="1"/>
  <c r="J13" i="3"/>
  <c r="J97" i="3" s="1"/>
  <c r="N12" i="3"/>
  <c r="Q12" i="3"/>
  <c r="F13" i="3"/>
  <c r="F97" i="3" s="1"/>
  <c r="N11" i="3"/>
  <c r="Q11" i="3"/>
  <c r="N10" i="3"/>
  <c r="Q10" i="3"/>
  <c r="L19" i="23"/>
  <c r="K19" i="23"/>
  <c r="J19" i="23"/>
  <c r="I19" i="23"/>
  <c r="H19" i="23"/>
  <c r="G19" i="23"/>
  <c r="F19" i="23"/>
  <c r="E19" i="23"/>
  <c r="D19" i="23"/>
  <c r="C19" i="23"/>
  <c r="L18" i="23"/>
  <c r="K18" i="23"/>
  <c r="J18" i="23"/>
  <c r="I18" i="23"/>
  <c r="H18" i="23"/>
  <c r="G18" i="23"/>
  <c r="F18" i="23"/>
  <c r="E18" i="23"/>
  <c r="D18" i="23"/>
  <c r="C18" i="23"/>
  <c r="L17" i="23"/>
  <c r="K17" i="23"/>
  <c r="J17" i="23"/>
  <c r="I17" i="23"/>
  <c r="H17" i="23"/>
  <c r="G17" i="23"/>
  <c r="F17" i="23"/>
  <c r="E17" i="23"/>
  <c r="D17"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G23" i="28"/>
  <c r="F23" i="28"/>
  <c r="E23" i="28"/>
  <c r="D23" i="28"/>
  <c r="C23" i="28"/>
  <c r="G28" i="26"/>
  <c r="F28" i="26"/>
  <c r="E28" i="26"/>
  <c r="D28" i="26"/>
  <c r="C28" i="26"/>
  <c r="L23" i="26"/>
  <c r="K23" i="26"/>
  <c r="J23" i="26"/>
  <c r="I23" i="26"/>
  <c r="H23" i="26"/>
  <c r="C25" i="2"/>
  <c r="N117" i="3"/>
  <c r="P75" i="23"/>
  <c r="O75" i="23"/>
  <c r="N75" i="23"/>
  <c r="P74" i="23"/>
  <c r="O74" i="23"/>
  <c r="N74" i="23"/>
  <c r="P72" i="23"/>
  <c r="O72" i="23"/>
  <c r="N72" i="23"/>
  <c r="P69" i="23"/>
  <c r="O69" i="23"/>
  <c r="N69" i="23"/>
  <c r="E45" i="26"/>
  <c r="D45" i="26"/>
  <c r="C45" i="26"/>
  <c r="C25" i="27" s="1"/>
  <c r="U66" i="23"/>
  <c r="Q66" i="23"/>
  <c r="P66" i="23"/>
  <c r="O66" i="23"/>
  <c r="N66" i="23"/>
  <c r="U64" i="23"/>
  <c r="Q64" i="23"/>
  <c r="P64" i="23"/>
  <c r="O64" i="23"/>
  <c r="Q63" i="23"/>
  <c r="P63" i="23"/>
  <c r="O63" i="23"/>
  <c r="N64" i="23"/>
  <c r="L66" i="23"/>
  <c r="K66" i="23"/>
  <c r="J66" i="23"/>
  <c r="I66" i="23"/>
  <c r="H66" i="23"/>
  <c r="G66" i="23"/>
  <c r="F66" i="23"/>
  <c r="E66" i="23"/>
  <c r="D66" i="23"/>
  <c r="L65" i="23"/>
  <c r="K65" i="23"/>
  <c r="J65" i="23"/>
  <c r="I65" i="23"/>
  <c r="H65" i="23"/>
  <c r="G65" i="23"/>
  <c r="F65" i="23"/>
  <c r="E65" i="23"/>
  <c r="D65" i="23"/>
  <c r="L64" i="23"/>
  <c r="K64" i="23"/>
  <c r="J64" i="23"/>
  <c r="I64" i="23"/>
  <c r="H64" i="23"/>
  <c r="G64" i="23"/>
  <c r="F64" i="23"/>
  <c r="E64" i="23"/>
  <c r="D64" i="23"/>
  <c r="L63" i="23"/>
  <c r="G42" i="26" s="1"/>
  <c r="G24" i="27" s="1"/>
  <c r="K63" i="23"/>
  <c r="F42" i="26" s="1"/>
  <c r="F24" i="27" s="1"/>
  <c r="J63" i="23"/>
  <c r="E42" i="26" s="1"/>
  <c r="E24" i="27" s="1"/>
  <c r="I63" i="23"/>
  <c r="D42" i="26" s="1"/>
  <c r="D24" i="27" s="1"/>
  <c r="H63" i="23"/>
  <c r="C42" i="26" s="1"/>
  <c r="C24" i="27" s="1"/>
  <c r="G63" i="23"/>
  <c r="F63" i="23"/>
  <c r="E63" i="23"/>
  <c r="D63" i="23"/>
  <c r="C66" i="23"/>
  <c r="C65" i="23"/>
  <c r="C64" i="23"/>
  <c r="S76" i="23"/>
  <c r="R77" i="23"/>
  <c r="R76" i="23"/>
  <c r="R70" i="23"/>
  <c r="T24" i="23"/>
  <c r="T22"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L43" i="23"/>
  <c r="K43" i="23"/>
  <c r="J43" i="23"/>
  <c r="I43" i="23"/>
  <c r="H43" i="23"/>
  <c r="G43" i="23"/>
  <c r="F43" i="23"/>
  <c r="E43" i="23"/>
  <c r="D43" i="23"/>
  <c r="C43"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G15" i="26" s="1"/>
  <c r="K39" i="23"/>
  <c r="F15" i="26" s="1"/>
  <c r="J39" i="23"/>
  <c r="E15" i="26" s="1"/>
  <c r="I39" i="23"/>
  <c r="D15" i="26" s="1"/>
  <c r="H39" i="23"/>
  <c r="C15" i="26" s="1"/>
  <c r="G39" i="23"/>
  <c r="F39" i="23"/>
  <c r="E39" i="23"/>
  <c r="D39" i="23"/>
  <c r="T33" i="23"/>
  <c r="S33" i="23"/>
  <c r="R33" i="23"/>
  <c r="Q33" i="23"/>
  <c r="P33" i="23"/>
  <c r="O33" i="23"/>
  <c r="N33" i="23"/>
  <c r="C33" i="23"/>
  <c r="C27" i="23"/>
  <c r="N43" i="3"/>
  <c r="L79" i="23"/>
  <c r="K79" i="23"/>
  <c r="J79" i="23"/>
  <c r="L78" i="23"/>
  <c r="K78" i="23"/>
  <c r="J78" i="23"/>
  <c r="L77" i="23"/>
  <c r="K77" i="23"/>
  <c r="J77" i="23"/>
  <c r="L76" i="23"/>
  <c r="K76" i="23"/>
  <c r="J76" i="23"/>
  <c r="L70" i="23"/>
  <c r="K70" i="23"/>
  <c r="J70" i="23"/>
  <c r="L68" i="23"/>
  <c r="K68" i="23"/>
  <c r="J68" i="23"/>
  <c r="L67" i="23"/>
  <c r="G35" i="26" s="1"/>
  <c r="K67" i="23"/>
  <c r="F35" i="26" s="1"/>
  <c r="J67" i="23"/>
  <c r="E35" i="26" s="1"/>
  <c r="L59" i="23"/>
  <c r="K59" i="23"/>
  <c r="J59" i="23"/>
  <c r="L58" i="23"/>
  <c r="K58" i="23"/>
  <c r="J58" i="23"/>
  <c r="L56" i="23"/>
  <c r="K56" i="23"/>
  <c r="J56" i="23"/>
  <c r="L55" i="23"/>
  <c r="K55" i="23"/>
  <c r="J55" i="23"/>
  <c r="L54" i="23"/>
  <c r="K54" i="23"/>
  <c r="J54" i="23"/>
  <c r="L53" i="23"/>
  <c r="K53" i="23"/>
  <c r="J53" i="23"/>
  <c r="L47" i="23"/>
  <c r="K47" i="23"/>
  <c r="J47" i="23"/>
  <c r="L46" i="23"/>
  <c r="K46" i="23"/>
  <c r="J46" i="23"/>
  <c r="L45" i="23"/>
  <c r="K45" i="23"/>
  <c r="J45" i="23"/>
  <c r="L38" i="23"/>
  <c r="K38" i="23"/>
  <c r="J38" i="23"/>
  <c r="L32" i="23"/>
  <c r="K32" i="23"/>
  <c r="J32" i="23"/>
  <c r="L31" i="23"/>
  <c r="K31" i="23"/>
  <c r="J31" i="23"/>
  <c r="L30" i="23"/>
  <c r="K30" i="23"/>
  <c r="J30" i="23"/>
  <c r="L29" i="23"/>
  <c r="K29" i="23"/>
  <c r="J29" i="23"/>
  <c r="L28" i="23"/>
  <c r="G13" i="26" s="1"/>
  <c r="K28" i="23"/>
  <c r="F13" i="26" s="1"/>
  <c r="J28" i="23"/>
  <c r="E13" i="26" s="1"/>
  <c r="L27" i="23"/>
  <c r="G31" i="28" s="1"/>
  <c r="K27" i="23"/>
  <c r="F31" i="28" s="1"/>
  <c r="J27" i="23"/>
  <c r="E31" i="28" s="1"/>
  <c r="L22" i="23"/>
  <c r="J22" i="23"/>
  <c r="L21" i="23"/>
  <c r="K21" i="23"/>
  <c r="J21" i="23"/>
  <c r="L20" i="23"/>
  <c r="K20" i="23"/>
  <c r="L95" i="23" s="1"/>
  <c r="J20" i="23"/>
  <c r="L14" i="23"/>
  <c r="L16" i="23" s="1"/>
  <c r="L87" i="23" s="1"/>
  <c r="K14" i="23"/>
  <c r="K16" i="23" s="1"/>
  <c r="K87" i="23" s="1"/>
  <c r="J14" i="23"/>
  <c r="J16" i="23" s="1"/>
  <c r="J87" i="23" s="1"/>
  <c r="L6" i="23"/>
  <c r="K6" i="23"/>
  <c r="J6" i="23"/>
  <c r="L5" i="23"/>
  <c r="K5" i="23"/>
  <c r="J5" i="23"/>
  <c r="L2" i="23"/>
  <c r="K2" i="23"/>
  <c r="J2" i="23"/>
  <c r="I79" i="23"/>
  <c r="H79" i="23"/>
  <c r="G79" i="23"/>
  <c r="F79" i="23"/>
  <c r="E79" i="23"/>
  <c r="D79" i="23"/>
  <c r="I78" i="23"/>
  <c r="H78" i="23"/>
  <c r="G78" i="23"/>
  <c r="F78" i="23"/>
  <c r="E78" i="23"/>
  <c r="D78" i="23"/>
  <c r="I77" i="23"/>
  <c r="H77" i="23"/>
  <c r="G77" i="23"/>
  <c r="F77" i="23"/>
  <c r="E77" i="23"/>
  <c r="D77" i="23"/>
  <c r="I76" i="23"/>
  <c r="H76" i="23"/>
  <c r="G76" i="23"/>
  <c r="F76" i="23"/>
  <c r="E76" i="23"/>
  <c r="D76" i="23"/>
  <c r="I70" i="23"/>
  <c r="H70" i="23"/>
  <c r="G70" i="23"/>
  <c r="F70" i="23"/>
  <c r="E70" i="23"/>
  <c r="D70" i="23"/>
  <c r="I68" i="23"/>
  <c r="H68" i="23"/>
  <c r="G68" i="23"/>
  <c r="F68" i="23"/>
  <c r="E68" i="23"/>
  <c r="D68" i="23"/>
  <c r="I67" i="23"/>
  <c r="D35" i="26" s="1"/>
  <c r="H67" i="23"/>
  <c r="C35" i="26" s="1"/>
  <c r="G67" i="23"/>
  <c r="F67" i="23"/>
  <c r="E67" i="23"/>
  <c r="D67" i="23"/>
  <c r="I59" i="23"/>
  <c r="H59" i="23"/>
  <c r="G59" i="23"/>
  <c r="F59" i="23"/>
  <c r="E59" i="23"/>
  <c r="D59" i="23"/>
  <c r="I58" i="23"/>
  <c r="H58" i="23"/>
  <c r="G58" i="23"/>
  <c r="F58" i="23"/>
  <c r="E58" i="23"/>
  <c r="D58" i="23"/>
  <c r="I56" i="23"/>
  <c r="H56" i="23"/>
  <c r="G56" i="23"/>
  <c r="F56" i="23"/>
  <c r="E56" i="23"/>
  <c r="D56" i="23"/>
  <c r="I55" i="23"/>
  <c r="H55" i="23"/>
  <c r="G55" i="23"/>
  <c r="F55" i="23"/>
  <c r="E55" i="23"/>
  <c r="D55" i="23"/>
  <c r="I54" i="23"/>
  <c r="H54" i="23"/>
  <c r="G54" i="23"/>
  <c r="F54" i="23"/>
  <c r="E54" i="23"/>
  <c r="D54" i="23"/>
  <c r="I53" i="23"/>
  <c r="H53" i="23"/>
  <c r="G53" i="23"/>
  <c r="F53" i="23"/>
  <c r="E53" i="23"/>
  <c r="D53" i="23"/>
  <c r="I47" i="23"/>
  <c r="H47" i="23"/>
  <c r="G47" i="23"/>
  <c r="F47" i="23"/>
  <c r="E47" i="23"/>
  <c r="D47" i="23"/>
  <c r="I46" i="23"/>
  <c r="H46" i="23"/>
  <c r="G46" i="23"/>
  <c r="F46" i="23"/>
  <c r="E46" i="23"/>
  <c r="D46" i="23"/>
  <c r="I45" i="23"/>
  <c r="H45" i="23"/>
  <c r="G45" i="23"/>
  <c r="F45" i="23"/>
  <c r="E45" i="23"/>
  <c r="D45" i="23"/>
  <c r="I38" i="23"/>
  <c r="H38" i="23"/>
  <c r="G38" i="23"/>
  <c r="F38" i="23"/>
  <c r="E38" i="23"/>
  <c r="D38" i="23"/>
  <c r="I32" i="23"/>
  <c r="H32" i="23"/>
  <c r="G32" i="23"/>
  <c r="F32" i="23"/>
  <c r="E32" i="23"/>
  <c r="D32" i="23"/>
  <c r="I31" i="23"/>
  <c r="H31" i="23"/>
  <c r="G31" i="23"/>
  <c r="F31" i="23"/>
  <c r="E31" i="23"/>
  <c r="D31" i="23"/>
  <c r="I30" i="23"/>
  <c r="H30" i="23"/>
  <c r="G30" i="23"/>
  <c r="F30" i="23"/>
  <c r="E30" i="23"/>
  <c r="D30" i="23"/>
  <c r="I29" i="23"/>
  <c r="H29" i="23"/>
  <c r="G29" i="23"/>
  <c r="F29" i="23"/>
  <c r="E29" i="23"/>
  <c r="D29" i="23"/>
  <c r="I28" i="23"/>
  <c r="D13" i="26" s="1"/>
  <c r="H28" i="23"/>
  <c r="C13" i="26" s="1"/>
  <c r="G28" i="23"/>
  <c r="F28" i="23"/>
  <c r="E28" i="23"/>
  <c r="D28" i="23"/>
  <c r="I27" i="23"/>
  <c r="D31" i="28" s="1"/>
  <c r="H27" i="23"/>
  <c r="C31" i="28" s="1"/>
  <c r="G27" i="23"/>
  <c r="F27" i="23"/>
  <c r="E27" i="23"/>
  <c r="D27" i="23"/>
  <c r="I22" i="23"/>
  <c r="I21" i="23"/>
  <c r="I20" i="23"/>
  <c r="I14" i="23"/>
  <c r="I16" i="23" s="1"/>
  <c r="I87" i="23" s="1"/>
  <c r="I6" i="23"/>
  <c r="I5" i="23"/>
  <c r="I2" i="23"/>
  <c r="H22" i="23"/>
  <c r="G22" i="23"/>
  <c r="F22" i="23"/>
  <c r="E22" i="23"/>
  <c r="D22" i="23"/>
  <c r="H21" i="23"/>
  <c r="G21" i="23"/>
  <c r="F21" i="23"/>
  <c r="E21" i="23"/>
  <c r="D21" i="23"/>
  <c r="H20" i="23"/>
  <c r="G20" i="23"/>
  <c r="H95" i="23" s="1"/>
  <c r="F20" i="23"/>
  <c r="E20" i="23"/>
  <c r="D20" i="23"/>
  <c r="H14" i="23"/>
  <c r="H16" i="23" s="1"/>
  <c r="H87" i="23" s="1"/>
  <c r="G14" i="23"/>
  <c r="G16" i="23" s="1"/>
  <c r="G87" i="23" s="1"/>
  <c r="F14" i="23"/>
  <c r="F16" i="23" s="1"/>
  <c r="F87" i="23" s="1"/>
  <c r="E14" i="23"/>
  <c r="E16" i="23" s="1"/>
  <c r="E87" i="23" s="1"/>
  <c r="D14" i="23"/>
  <c r="D16" i="23" s="1"/>
  <c r="D87" i="23" s="1"/>
  <c r="H6" i="23"/>
  <c r="G6" i="23"/>
  <c r="F6" i="23"/>
  <c r="E6" i="23"/>
  <c r="D6" i="23"/>
  <c r="H5" i="23"/>
  <c r="G5" i="23"/>
  <c r="F5" i="23"/>
  <c r="E5" i="23"/>
  <c r="D5" i="23"/>
  <c r="H2" i="23"/>
  <c r="G2" i="23"/>
  <c r="F2" i="23"/>
  <c r="E2" i="23"/>
  <c r="D2" i="23"/>
  <c r="U17" i="23"/>
  <c r="T17" i="23"/>
  <c r="S17" i="23"/>
  <c r="R17" i="23"/>
  <c r="Q17" i="23"/>
  <c r="P17" i="23"/>
  <c r="O17" i="23"/>
  <c r="N17" i="23"/>
  <c r="C17" i="23"/>
  <c r="N9" i="23"/>
  <c r="L125" i="1"/>
  <c r="L123" i="1"/>
  <c r="K125" i="1"/>
  <c r="K123" i="1"/>
  <c r="J125" i="1"/>
  <c r="J123" i="1"/>
  <c r="I125" i="1"/>
  <c r="I123" i="1"/>
  <c r="H125" i="1"/>
  <c r="H123" i="1"/>
  <c r="G125" i="1"/>
  <c r="G123" i="1"/>
  <c r="F125" i="1"/>
  <c r="F123" i="1"/>
  <c r="C125" i="1"/>
  <c r="D125" i="1"/>
  <c r="E125" i="1"/>
  <c r="E123" i="1"/>
  <c r="D123" i="1"/>
  <c r="C123" i="1"/>
  <c r="L28" i="1"/>
  <c r="L24" i="23" s="1"/>
  <c r="K28" i="1"/>
  <c r="J28" i="1"/>
  <c r="J24" i="23" s="1"/>
  <c r="I28" i="1"/>
  <c r="I24" i="23" s="1"/>
  <c r="H28" i="1"/>
  <c r="H24" i="23" s="1"/>
  <c r="G28" i="1"/>
  <c r="G24" i="23" s="1"/>
  <c r="F28" i="1"/>
  <c r="F24" i="23" s="1"/>
  <c r="E28" i="1"/>
  <c r="E24" i="23" s="1"/>
  <c r="D28" i="1"/>
  <c r="D24" i="23" s="1"/>
  <c r="C28" i="1"/>
  <c r="L26" i="1"/>
  <c r="K26" i="1"/>
  <c r="J26" i="1"/>
  <c r="H26" i="1"/>
  <c r="G26" i="1"/>
  <c r="F26" i="1"/>
  <c r="E26" i="1"/>
  <c r="D26" i="1"/>
  <c r="C26" i="1"/>
  <c r="L24" i="1"/>
  <c r="K24" i="1"/>
  <c r="J24" i="1"/>
  <c r="I24" i="1"/>
  <c r="H24" i="1"/>
  <c r="G24" i="1"/>
  <c r="G23" i="23" s="1"/>
  <c r="F24" i="1"/>
  <c r="F23" i="23" s="1"/>
  <c r="E24" i="1"/>
  <c r="E23" i="23" s="1"/>
  <c r="D24" i="1"/>
  <c r="D23" i="23" s="1"/>
  <c r="C24" i="1"/>
  <c r="C23"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8" i="1"/>
  <c r="K128" i="1"/>
  <c r="F19" i="27" s="1"/>
  <c r="J128" i="1"/>
  <c r="E19" i="27" s="1"/>
  <c r="I128" i="1"/>
  <c r="D19" i="27" s="1"/>
  <c r="H128" i="1"/>
  <c r="C19" i="27" s="1"/>
  <c r="G128" i="1"/>
  <c r="F128" i="1"/>
  <c r="E128" i="1"/>
  <c r="D128" i="1"/>
  <c r="C128" i="1"/>
  <c r="L147" i="1"/>
  <c r="K147" i="1"/>
  <c r="J147" i="1"/>
  <c r="I147" i="1"/>
  <c r="H147" i="1"/>
  <c r="G147" i="1"/>
  <c r="F147" i="1"/>
  <c r="E147" i="1"/>
  <c r="D147" i="1"/>
  <c r="L146" i="1"/>
  <c r="K146" i="1"/>
  <c r="J146" i="1"/>
  <c r="I146" i="1"/>
  <c r="H146" i="1"/>
  <c r="G146" i="1"/>
  <c r="F146" i="1"/>
  <c r="E146" i="1"/>
  <c r="D146"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U79" i="23"/>
  <c r="W79" i="23" s="1"/>
  <c r="T79" i="23"/>
  <c r="S79" i="23"/>
  <c r="R79" i="23"/>
  <c r="Q79" i="23"/>
  <c r="P79" i="23"/>
  <c r="O79" i="23"/>
  <c r="N79" i="23"/>
  <c r="U78" i="23"/>
  <c r="T78" i="23"/>
  <c r="S78" i="23"/>
  <c r="R78" i="23"/>
  <c r="W78" i="23" s="1"/>
  <c r="Q78" i="23"/>
  <c r="P78" i="23"/>
  <c r="O78" i="23"/>
  <c r="N78" i="23"/>
  <c r="U77" i="23"/>
  <c r="Q77" i="23"/>
  <c r="P77" i="23"/>
  <c r="O77" i="23"/>
  <c r="N77" i="23"/>
  <c r="U76" i="23"/>
  <c r="Q76" i="23"/>
  <c r="P76" i="23"/>
  <c r="O76" i="23"/>
  <c r="W71" i="23"/>
  <c r="N76" i="23"/>
  <c r="U70" i="23"/>
  <c r="Q70" i="23"/>
  <c r="P70" i="23"/>
  <c r="O70" i="23"/>
  <c r="N70" i="23"/>
  <c r="U68" i="23"/>
  <c r="Q68" i="23"/>
  <c r="P68" i="23"/>
  <c r="O68" i="23"/>
  <c r="U67" i="23"/>
  <c r="Q67" i="23"/>
  <c r="P67" i="23"/>
  <c r="O67" i="23"/>
  <c r="N68" i="23"/>
  <c r="N67" i="23"/>
  <c r="N63" i="23"/>
  <c r="C79" i="23"/>
  <c r="C78" i="23"/>
  <c r="C77" i="23"/>
  <c r="C76" i="23"/>
  <c r="C70" i="23"/>
  <c r="C68" i="23"/>
  <c r="C67" i="23"/>
  <c r="C63" i="23"/>
  <c r="U59" i="23"/>
  <c r="W59" i="23" s="1"/>
  <c r="T59" i="23"/>
  <c r="S59" i="23"/>
  <c r="R59" i="23"/>
  <c r="Q59" i="23"/>
  <c r="P59" i="23"/>
  <c r="O59" i="23"/>
  <c r="N59" i="23"/>
  <c r="U58" i="23"/>
  <c r="W58" i="23" s="1"/>
  <c r="C46" i="2" s="1"/>
  <c r="T58" i="23"/>
  <c r="S58" i="23"/>
  <c r="R58" i="23"/>
  <c r="Q58" i="23"/>
  <c r="P58" i="23"/>
  <c r="O58" i="23"/>
  <c r="N58" i="23"/>
  <c r="S56" i="23"/>
  <c r="R56" i="23"/>
  <c r="Q56" i="23"/>
  <c r="P56" i="23"/>
  <c r="O56" i="23"/>
  <c r="N56" i="23"/>
  <c r="S55" i="23"/>
  <c r="R55" i="23"/>
  <c r="Q55" i="23"/>
  <c r="P55" i="23"/>
  <c r="O55" i="23"/>
  <c r="N55" i="23"/>
  <c r="T54" i="23"/>
  <c r="S54" i="23"/>
  <c r="R54" i="23"/>
  <c r="Q54" i="23"/>
  <c r="P54" i="23"/>
  <c r="O54" i="23"/>
  <c r="N54" i="23"/>
  <c r="U53" i="23"/>
  <c r="W53" i="23" s="1"/>
  <c r="T53" i="23"/>
  <c r="S53" i="23"/>
  <c r="R53" i="23"/>
  <c r="Q53" i="23"/>
  <c r="P53" i="23"/>
  <c r="O53" i="23"/>
  <c r="N53" i="23"/>
  <c r="S47" i="23"/>
  <c r="R47" i="23"/>
  <c r="Q47" i="23"/>
  <c r="P47" i="23"/>
  <c r="O47" i="23"/>
  <c r="N47" i="23"/>
  <c r="W46" i="23"/>
  <c r="T46" i="23"/>
  <c r="S46" i="23"/>
  <c r="R46" i="23"/>
  <c r="Q46" i="23"/>
  <c r="P46" i="23"/>
  <c r="O46" i="23"/>
  <c r="N46" i="23"/>
  <c r="U45" i="23"/>
  <c r="W45" i="23" s="1"/>
  <c r="T45" i="23"/>
  <c r="S45" i="23"/>
  <c r="R45" i="23"/>
  <c r="Q45" i="23"/>
  <c r="P45" i="23"/>
  <c r="O45" i="23"/>
  <c r="N45" i="23"/>
  <c r="N39" i="23"/>
  <c r="U38" i="23"/>
  <c r="W38" i="23" s="1"/>
  <c r="T38" i="23"/>
  <c r="S38" i="23"/>
  <c r="R38" i="23"/>
  <c r="Q38" i="23"/>
  <c r="P38" i="23"/>
  <c r="O38" i="23"/>
  <c r="N38"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C59" i="23"/>
  <c r="C58" i="23"/>
  <c r="C56" i="23"/>
  <c r="C55" i="23"/>
  <c r="C54" i="23"/>
  <c r="C53" i="23"/>
  <c r="C47" i="23"/>
  <c r="C46" i="23"/>
  <c r="C45" i="23"/>
  <c r="C39" i="23"/>
  <c r="C38" i="23"/>
  <c r="C32" i="23"/>
  <c r="C31" i="23"/>
  <c r="C30" i="23"/>
  <c r="C29" i="23"/>
  <c r="C28" i="23"/>
  <c r="U24" i="23"/>
  <c r="S24" i="23"/>
  <c r="R24" i="23"/>
  <c r="Q24" i="23"/>
  <c r="P24" i="23"/>
  <c r="O24" i="23"/>
  <c r="N24" i="23"/>
  <c r="U23" i="23"/>
  <c r="T23" i="23"/>
  <c r="S23" i="23"/>
  <c r="R23" i="23"/>
  <c r="Q23" i="23"/>
  <c r="P23" i="23"/>
  <c r="O23" i="23"/>
  <c r="N23" i="23"/>
  <c r="U22" i="23"/>
  <c r="S22" i="23"/>
  <c r="R22" i="23"/>
  <c r="Q22" i="23"/>
  <c r="P22" i="23"/>
  <c r="O22" i="23"/>
  <c r="N22" i="23"/>
  <c r="U21" i="23"/>
  <c r="T21" i="23"/>
  <c r="S21" i="23"/>
  <c r="R21" i="23"/>
  <c r="Q21" i="23"/>
  <c r="P21" i="23"/>
  <c r="O21" i="23"/>
  <c r="N21" i="23"/>
  <c r="U20" i="23"/>
  <c r="T20" i="23"/>
  <c r="S20" i="23"/>
  <c r="R20" i="23"/>
  <c r="Q20" i="23"/>
  <c r="P20" i="23"/>
  <c r="O20" i="23"/>
  <c r="N20"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1" i="23"/>
  <c r="C22" i="23"/>
  <c r="C20" i="23"/>
  <c r="C6" i="23"/>
  <c r="C8" i="23"/>
  <c r="C14" i="23"/>
  <c r="C16" i="23" s="1"/>
  <c r="C87" i="23" s="1"/>
  <c r="C5" i="23"/>
  <c r="U3" i="23"/>
  <c r="T3" i="23"/>
  <c r="S3" i="23"/>
  <c r="R3" i="23"/>
  <c r="Q3" i="23"/>
  <c r="P3" i="23"/>
  <c r="O3" i="23"/>
  <c r="U2" i="23"/>
  <c r="T2" i="23"/>
  <c r="S2" i="23"/>
  <c r="R2" i="23"/>
  <c r="Q2" i="23"/>
  <c r="P2" i="23"/>
  <c r="O2" i="23"/>
  <c r="N3" i="23"/>
  <c r="N2" i="23"/>
  <c r="C3" i="23"/>
  <c r="C2" i="23"/>
  <c r="N116" i="3"/>
  <c r="C5" i="21" s="1"/>
  <c r="C18" i="21"/>
  <c r="C12" i="9"/>
  <c r="C9" i="27" s="1"/>
  <c r="D11" i="9"/>
  <c r="E11" i="9"/>
  <c r="F11" i="9"/>
  <c r="G11" i="9"/>
  <c r="C11" i="9"/>
  <c r="D6" i="9"/>
  <c r="E6" i="9"/>
  <c r="F6" i="9"/>
  <c r="G6" i="9"/>
  <c r="C6" i="9"/>
  <c r="G9" i="6"/>
  <c r="F9" i="6"/>
  <c r="E9" i="6"/>
  <c r="D9" i="6"/>
  <c r="C9" i="6"/>
  <c r="C7" i="26" s="1"/>
  <c r="N94" i="3"/>
  <c r="N93" i="3"/>
  <c r="J110" i="3"/>
  <c r="Q24" i="3"/>
  <c r="Q23" i="3"/>
  <c r="J63" i="3"/>
  <c r="U62" i="23" s="1"/>
  <c r="Q22" i="3"/>
  <c r="Q21" i="3"/>
  <c r="I124" i="3"/>
  <c r="H124" i="3"/>
  <c r="G124" i="3"/>
  <c r="F124" i="3"/>
  <c r="E124" i="3"/>
  <c r="D124" i="3"/>
  <c r="C124" i="3"/>
  <c r="I123" i="3"/>
  <c r="H123" i="3"/>
  <c r="G123" i="3"/>
  <c r="F123" i="3"/>
  <c r="E123" i="3"/>
  <c r="D123" i="3"/>
  <c r="C123" i="3"/>
  <c r="F113" i="3"/>
  <c r="E113" i="3"/>
  <c r="D113" i="3"/>
  <c r="C113" i="3"/>
  <c r="G110" i="3"/>
  <c r="G111" i="3" s="1"/>
  <c r="F110" i="3"/>
  <c r="F111" i="3" s="1"/>
  <c r="E110" i="3"/>
  <c r="E111" i="3" s="1"/>
  <c r="D110" i="3"/>
  <c r="D111" i="3" s="1"/>
  <c r="C110" i="3"/>
  <c r="C111"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63" i="3"/>
  <c r="H63" i="3"/>
  <c r="G63" i="3"/>
  <c r="F63" i="3"/>
  <c r="E63" i="3"/>
  <c r="D63" i="3"/>
  <c r="C63" i="3"/>
  <c r="I53" i="3"/>
  <c r="T52" i="23" s="1"/>
  <c r="H53" i="3"/>
  <c r="S52" i="23" s="1"/>
  <c r="G53" i="3"/>
  <c r="R52" i="23" s="1"/>
  <c r="F53" i="3"/>
  <c r="Q52" i="23" s="1"/>
  <c r="E53" i="3"/>
  <c r="P52" i="23" s="1"/>
  <c r="D53" i="3"/>
  <c r="O52" i="23" s="1"/>
  <c r="C53" i="3"/>
  <c r="N52" i="23" s="1"/>
  <c r="I38" i="3"/>
  <c r="T37" i="23" s="1"/>
  <c r="H38" i="3"/>
  <c r="S37" i="23" s="1"/>
  <c r="G38" i="3"/>
  <c r="R37" i="23" s="1"/>
  <c r="F38" i="3"/>
  <c r="Q37" i="23" s="1"/>
  <c r="E38" i="3"/>
  <c r="P37" i="23" s="1"/>
  <c r="D38" i="3"/>
  <c r="O37" i="23" s="1"/>
  <c r="C38" i="3"/>
  <c r="N37" i="23" s="1"/>
  <c r="I7" i="3"/>
  <c r="H7" i="3"/>
  <c r="S7" i="23" s="1"/>
  <c r="G7" i="3"/>
  <c r="R7" i="23" s="1"/>
  <c r="F7" i="3"/>
  <c r="Q7" i="23" s="1"/>
  <c r="E7" i="3"/>
  <c r="P7" i="23" s="1"/>
  <c r="D7" i="3"/>
  <c r="O7" i="23" s="1"/>
  <c r="C7" i="3"/>
  <c r="N7" i="23" s="1"/>
  <c r="N59" i="3"/>
  <c r="N60" i="3"/>
  <c r="N58" i="3"/>
  <c r="N56" i="3"/>
  <c r="N55" i="3"/>
  <c r="N54" i="3"/>
  <c r="N50" i="3"/>
  <c r="N47" i="3"/>
  <c r="N46" i="3"/>
  <c r="N45" i="3"/>
  <c r="N42" i="3"/>
  <c r="N41" i="3"/>
  <c r="N40" i="3"/>
  <c r="N39" i="3"/>
  <c r="N33" i="3"/>
  <c r="N34" i="3"/>
  <c r="N32" i="3"/>
  <c r="N31" i="3"/>
  <c r="N28" i="3"/>
  <c r="N29" i="3"/>
  <c r="N30" i="3"/>
  <c r="N27" i="3"/>
  <c r="O23" i="9"/>
  <c r="O22" i="9"/>
  <c r="O21" i="9"/>
  <c r="B21" i="9"/>
  <c r="W13" i="9"/>
  <c r="V13" i="9"/>
  <c r="U13" i="9"/>
  <c r="T13" i="9"/>
  <c r="S13" i="9"/>
  <c r="R13" i="9"/>
  <c r="Q13" i="9"/>
  <c r="W12" i="9"/>
  <c r="V12" i="9"/>
  <c r="U12" i="9"/>
  <c r="T12" i="9"/>
  <c r="S12" i="9"/>
  <c r="R12" i="9"/>
  <c r="Q12" i="9"/>
  <c r="P13" i="9"/>
  <c r="P12" i="9"/>
  <c r="Q11" i="9"/>
  <c r="R11" i="9"/>
  <c r="S11" i="9"/>
  <c r="T11" i="9"/>
  <c r="U11" i="9"/>
  <c r="V11" i="9"/>
  <c r="W11" i="9"/>
  <c r="P11" i="9"/>
  <c r="Z20" i="9"/>
  <c r="Y20" i="9"/>
  <c r="X20" i="9"/>
  <c r="Z10" i="9"/>
  <c r="Y10" i="9"/>
  <c r="X10" i="9"/>
  <c r="W6" i="9"/>
  <c r="V6" i="9"/>
  <c r="U6" i="9"/>
  <c r="T6" i="9"/>
  <c r="S6" i="9"/>
  <c r="R6" i="9"/>
  <c r="Q6" i="9"/>
  <c r="P6" i="9"/>
  <c r="W5" i="9"/>
  <c r="V5" i="9"/>
  <c r="U5" i="9"/>
  <c r="T5" i="9"/>
  <c r="S5" i="9"/>
  <c r="R5" i="9"/>
  <c r="Q5" i="9"/>
  <c r="P5" i="9"/>
  <c r="Y6" i="9"/>
  <c r="Z6" i="9"/>
  <c r="AA12" i="6"/>
  <c r="AB12" i="6"/>
  <c r="AC12" i="6"/>
  <c r="T9" i="6"/>
  <c r="U9" i="6"/>
  <c r="V9" i="6"/>
  <c r="W9" i="6"/>
  <c r="X9" i="6"/>
  <c r="Y9" i="6"/>
  <c r="Z9" i="6"/>
  <c r="S9" i="6"/>
  <c r="T5" i="6"/>
  <c r="U5" i="6"/>
  <c r="V5" i="6"/>
  <c r="W5" i="6"/>
  <c r="X5" i="6"/>
  <c r="Y5" i="6"/>
  <c r="Z5" i="6"/>
  <c r="S5" i="6"/>
  <c r="J105" i="3"/>
  <c r="J103" i="3"/>
  <c r="J104" i="3" s="1"/>
  <c r="C116" i="1"/>
  <c r="C117" i="1" s="1"/>
  <c r="C147" i="1"/>
  <c r="C146" i="1"/>
  <c r="P5" i="3"/>
  <c r="P6" i="3"/>
  <c r="P8" i="3"/>
  <c r="P9" i="3"/>
  <c r="P14" i="3"/>
  <c r="P15" i="3"/>
  <c r="P18" i="3"/>
  <c r="P19" i="3"/>
  <c r="P20" i="3"/>
  <c r="P21" i="3"/>
  <c r="P22" i="3"/>
  <c r="P23" i="3"/>
  <c r="P24" i="3"/>
  <c r="P3" i="3"/>
  <c r="J123" i="3"/>
  <c r="J124" i="3"/>
  <c r="Q5" i="3"/>
  <c r="Q6" i="3"/>
  <c r="Q8" i="3"/>
  <c r="Q9" i="3"/>
  <c r="Q14" i="3"/>
  <c r="Q15" i="3"/>
  <c r="Q18" i="3"/>
  <c r="Q19" i="3"/>
  <c r="Q20" i="3"/>
  <c r="Q3" i="3"/>
  <c r="N22" i="3"/>
  <c r="N21" i="3"/>
  <c r="N15" i="3"/>
  <c r="N18" i="3"/>
  <c r="N19" i="3"/>
  <c r="N20" i="3"/>
  <c r="N8" i="3"/>
  <c r="N9" i="3"/>
  <c r="N14" i="3"/>
  <c r="N6" i="3"/>
  <c r="N5" i="3"/>
  <c r="J53" i="3"/>
  <c r="J38" i="3"/>
  <c r="J7" i="3"/>
  <c r="C114" i="1"/>
  <c r="C115" i="1" s="1"/>
  <c r="C67" i="1"/>
  <c r="C7" i="1"/>
  <c r="C10" i="29" l="1"/>
  <c r="C15" i="30"/>
  <c r="C23" i="30" s="1"/>
  <c r="C26" i="30" s="1"/>
  <c r="C35" i="30"/>
  <c r="G47" i="30"/>
  <c r="G49" i="30"/>
  <c r="F47" i="30"/>
  <c r="F49" i="30"/>
  <c r="E47" i="30"/>
  <c r="E49" i="30"/>
  <c r="D47" i="30"/>
  <c r="D49" i="30"/>
  <c r="G41" i="30"/>
  <c r="F46" i="30"/>
  <c r="F43" i="30"/>
  <c r="F45" i="30"/>
  <c r="E43" i="30"/>
  <c r="E45" i="30"/>
  <c r="E46" i="30"/>
  <c r="D43" i="30"/>
  <c r="D45" i="30"/>
  <c r="D46" i="30"/>
  <c r="C43" i="30"/>
  <c r="C45" i="30"/>
  <c r="N91" i="3"/>
  <c r="H112" i="3"/>
  <c r="H113" i="3" s="1"/>
  <c r="N87" i="3"/>
  <c r="N86" i="3"/>
  <c r="N85" i="3"/>
  <c r="N84" i="3"/>
  <c r="W73" i="23"/>
  <c r="S70" i="23"/>
  <c r="W70" i="23" s="1"/>
  <c r="N82" i="3"/>
  <c r="W69" i="23"/>
  <c r="N78" i="3"/>
  <c r="N68" i="3"/>
  <c r="R67" i="23"/>
  <c r="W67" i="23" s="1"/>
  <c r="K174" i="1"/>
  <c r="J174" i="1"/>
  <c r="D174" i="1"/>
  <c r="O97" i="23"/>
  <c r="S98" i="23"/>
  <c r="W72" i="23"/>
  <c r="Q97" i="23"/>
  <c r="U97" i="23"/>
  <c r="T97" i="23"/>
  <c r="S97" i="23"/>
  <c r="P97" i="23"/>
  <c r="R17" i="3"/>
  <c r="R12" i="3"/>
  <c r="R11" i="3"/>
  <c r="R10" i="3"/>
  <c r="W23" i="23"/>
  <c r="R97" i="23"/>
  <c r="G85" i="23"/>
  <c r="I85" i="23"/>
  <c r="G97" i="23"/>
  <c r="D97" i="23"/>
  <c r="F97" i="23"/>
  <c r="E97" i="23"/>
  <c r="G103" i="1"/>
  <c r="G104" i="1" s="1"/>
  <c r="G13" i="23"/>
  <c r="C103" i="1"/>
  <c r="C104" i="1" s="1"/>
  <c r="C13" i="23"/>
  <c r="F103" i="1"/>
  <c r="F104" i="1" s="1"/>
  <c r="F13" i="23"/>
  <c r="J13" i="23"/>
  <c r="J103" i="1"/>
  <c r="J104" i="1" s="1"/>
  <c r="K13" i="23"/>
  <c r="K103" i="1"/>
  <c r="K104" i="1" s="1"/>
  <c r="L13" i="23"/>
  <c r="L103" i="1"/>
  <c r="L104" i="1" s="1"/>
  <c r="R95" i="23"/>
  <c r="W75" i="23"/>
  <c r="W74" i="23"/>
  <c r="P95" i="23"/>
  <c r="D103" i="1"/>
  <c r="D104" i="1" s="1"/>
  <c r="E103" i="1"/>
  <c r="E104" i="1" s="1"/>
  <c r="H103" i="1"/>
  <c r="H104" i="1" s="1"/>
  <c r="I103" i="1"/>
  <c r="I104" i="1" s="1"/>
  <c r="P104" i="1"/>
  <c r="O104" i="1"/>
  <c r="N104" i="1"/>
  <c r="M104" i="1"/>
  <c r="C24" i="2"/>
  <c r="C24" i="23"/>
  <c r="D98" i="23" s="1"/>
  <c r="C23" i="2"/>
  <c r="C20" i="26"/>
  <c r="C16" i="2"/>
  <c r="C19" i="2" s="1"/>
  <c r="C22" i="22"/>
  <c r="C47" i="2"/>
  <c r="D7" i="27"/>
  <c r="D8" i="26"/>
  <c r="E7" i="27"/>
  <c r="E8" i="26"/>
  <c r="F7" i="27"/>
  <c r="F8" i="26"/>
  <c r="G7" i="27"/>
  <c r="G8" i="26"/>
  <c r="C7" i="27"/>
  <c r="C8" i="26"/>
  <c r="G16" i="6"/>
  <c r="G7" i="26"/>
  <c r="G46" i="26" s="1"/>
  <c r="F7" i="26"/>
  <c r="F46" i="26" s="1"/>
  <c r="F16" i="6"/>
  <c r="E16" i="6"/>
  <c r="E7" i="26"/>
  <c r="E46" i="26" s="1"/>
  <c r="D16" i="6"/>
  <c r="D7" i="26"/>
  <c r="D46" i="26" s="1"/>
  <c r="G25" i="27"/>
  <c r="F25" i="27"/>
  <c r="E25" i="27"/>
  <c r="D25" i="27"/>
  <c r="G36" i="26"/>
  <c r="G26" i="27"/>
  <c r="F36" i="26"/>
  <c r="F26" i="27"/>
  <c r="E36" i="26"/>
  <c r="E37" i="26" s="1"/>
  <c r="E26" i="27"/>
  <c r="D36" i="26"/>
  <c r="D37" i="26" s="1"/>
  <c r="D26" i="27"/>
  <c r="C36" i="26"/>
  <c r="C37" i="26" s="1"/>
  <c r="C26" i="27"/>
  <c r="L23" i="23"/>
  <c r="G18" i="28"/>
  <c r="K23" i="23"/>
  <c r="K24" i="23" s="1"/>
  <c r="F18" i="28"/>
  <c r="J23" i="23"/>
  <c r="E18" i="28"/>
  <c r="I23" i="23"/>
  <c r="D18" i="28"/>
  <c r="H23" i="23"/>
  <c r="H97" i="23" s="1"/>
  <c r="C18" i="28"/>
  <c r="G19" i="27"/>
  <c r="G6" i="28"/>
  <c r="G6" i="27"/>
  <c r="F6" i="28"/>
  <c r="F6" i="27"/>
  <c r="E6" i="28"/>
  <c r="E6" i="27"/>
  <c r="D6" i="28"/>
  <c r="D6" i="27"/>
  <c r="C6" i="28"/>
  <c r="C6" i="27"/>
  <c r="D12" i="28"/>
  <c r="C46" i="26"/>
  <c r="G44" i="26"/>
  <c r="F44" i="26"/>
  <c r="E44" i="26"/>
  <c r="D44" i="26"/>
  <c r="C44" i="26"/>
  <c r="C43" i="26"/>
  <c r="I8" i="6"/>
  <c r="H9" i="6"/>
  <c r="W66" i="23"/>
  <c r="L85" i="23"/>
  <c r="K85" i="23"/>
  <c r="J85" i="23"/>
  <c r="T76" i="23"/>
  <c r="W76" i="23" s="1"/>
  <c r="N90" i="3"/>
  <c r="I110" i="3"/>
  <c r="I111" i="3" s="1"/>
  <c r="N83" i="3"/>
  <c r="I108" i="3"/>
  <c r="I109" i="3" s="1"/>
  <c r="N74" i="3"/>
  <c r="I113" i="3"/>
  <c r="S77" i="23"/>
  <c r="W77" i="23" s="1"/>
  <c r="N92" i="3"/>
  <c r="W65" i="23"/>
  <c r="N81" i="3"/>
  <c r="H108" i="3"/>
  <c r="H109" i="3" s="1"/>
  <c r="N75" i="3"/>
  <c r="N64" i="3"/>
  <c r="W21" i="23"/>
  <c r="C15" i="2"/>
  <c r="U98" i="23"/>
  <c r="F98" i="23"/>
  <c r="L112" i="1"/>
  <c r="L113" i="1" s="1"/>
  <c r="L62" i="23"/>
  <c r="K112" i="1"/>
  <c r="K113" i="1" s="1"/>
  <c r="K62" i="23"/>
  <c r="J112" i="1"/>
  <c r="J113" i="1" s="1"/>
  <c r="J62" i="23"/>
  <c r="I112" i="1"/>
  <c r="I113" i="1" s="1"/>
  <c r="I62" i="23"/>
  <c r="H112" i="1"/>
  <c r="H113" i="1" s="1"/>
  <c r="H62" i="23"/>
  <c r="G112" i="1"/>
  <c r="G113" i="1" s="1"/>
  <c r="G62" i="23"/>
  <c r="F112" i="1"/>
  <c r="F113" i="1" s="1"/>
  <c r="F62" i="23"/>
  <c r="E112" i="1"/>
  <c r="E113" i="1" s="1"/>
  <c r="E62" i="23"/>
  <c r="D112" i="1"/>
  <c r="D113" i="1" s="1"/>
  <c r="D62" i="23"/>
  <c r="H139" i="1"/>
  <c r="G139" i="1"/>
  <c r="L145" i="1"/>
  <c r="L7" i="23"/>
  <c r="K136" i="1"/>
  <c r="J7" i="23"/>
  <c r="J136" i="1"/>
  <c r="I7" i="23"/>
  <c r="I136" i="1"/>
  <c r="H7" i="23"/>
  <c r="E3" i="1"/>
  <c r="D3" i="23"/>
  <c r="L91" i="23"/>
  <c r="K91" i="23"/>
  <c r="J91" i="23"/>
  <c r="U13" i="23"/>
  <c r="J98" i="3"/>
  <c r="J98" i="23"/>
  <c r="L82" i="23"/>
  <c r="L103" i="23"/>
  <c r="K82" i="23"/>
  <c r="L96" i="23"/>
  <c r="K103" i="23"/>
  <c r="J96" i="23"/>
  <c r="K96" i="23"/>
  <c r="J103" i="23"/>
  <c r="J82" i="23"/>
  <c r="K95" i="23"/>
  <c r="J95" i="23"/>
  <c r="L102" i="23"/>
  <c r="L15" i="23"/>
  <c r="K102" i="23"/>
  <c r="L94" i="23"/>
  <c r="K15" i="23"/>
  <c r="K94" i="23"/>
  <c r="J94" i="23"/>
  <c r="J15" i="23"/>
  <c r="J102" i="23"/>
  <c r="K101" i="23"/>
  <c r="L83" i="23"/>
  <c r="L90" i="23"/>
  <c r="K90" i="23"/>
  <c r="K83" i="23"/>
  <c r="J83" i="23"/>
  <c r="J90" i="23"/>
  <c r="I98" i="23"/>
  <c r="I95" i="23"/>
  <c r="I91" i="23"/>
  <c r="I103" i="23"/>
  <c r="I82" i="23"/>
  <c r="I96" i="23"/>
  <c r="I94" i="23"/>
  <c r="I102" i="23"/>
  <c r="I15" i="23"/>
  <c r="I83" i="23"/>
  <c r="I90" i="23"/>
  <c r="H15" i="23"/>
  <c r="G15" i="23"/>
  <c r="F15" i="23"/>
  <c r="E15" i="23"/>
  <c r="D15" i="23"/>
  <c r="W64" i="23"/>
  <c r="W9" i="23"/>
  <c r="R98" i="23"/>
  <c r="O98" i="23"/>
  <c r="O95" i="23"/>
  <c r="P98" i="23"/>
  <c r="Q90" i="23"/>
  <c r="T95" i="23"/>
  <c r="Q95" i="23"/>
  <c r="U95" i="23"/>
  <c r="W68" i="23"/>
  <c r="S91" i="23"/>
  <c r="U91" i="23"/>
  <c r="F95" i="23"/>
  <c r="F13" i="6"/>
  <c r="E13" i="6"/>
  <c r="C85" i="23"/>
  <c r="D85" i="23"/>
  <c r="E85" i="23"/>
  <c r="F85" i="23"/>
  <c r="H85" i="23"/>
  <c r="D139" i="1"/>
  <c r="L139" i="1"/>
  <c r="K139" i="1"/>
  <c r="J139" i="1"/>
  <c r="I139" i="1"/>
  <c r="F139" i="1"/>
  <c r="E139" i="1"/>
  <c r="K145" i="1"/>
  <c r="L136" i="1"/>
  <c r="G145" i="1"/>
  <c r="H136" i="1"/>
  <c r="F145" i="1"/>
  <c r="G136" i="1"/>
  <c r="E145" i="1"/>
  <c r="F136" i="1"/>
  <c r="D145" i="1"/>
  <c r="E136" i="1"/>
  <c r="C7" i="23"/>
  <c r="C101" i="23" s="1"/>
  <c r="D136" i="1"/>
  <c r="E95" i="23"/>
  <c r="G98" i="23"/>
  <c r="G95" i="23"/>
  <c r="E98" i="23"/>
  <c r="G91" i="23"/>
  <c r="F101" i="23"/>
  <c r="J145" i="1"/>
  <c r="I145" i="1"/>
  <c r="H145" i="1"/>
  <c r="T91" i="23"/>
  <c r="P90" i="23"/>
  <c r="Q98" i="23"/>
  <c r="O90" i="23"/>
  <c r="I106" i="3"/>
  <c r="I107" i="3" s="1"/>
  <c r="T62" i="23"/>
  <c r="H106" i="3"/>
  <c r="H107" i="3" s="1"/>
  <c r="S62" i="23"/>
  <c r="G106" i="3"/>
  <c r="G107" i="3" s="1"/>
  <c r="R62" i="23"/>
  <c r="F106" i="3"/>
  <c r="F107" i="3" s="1"/>
  <c r="Q62" i="23"/>
  <c r="E106" i="3"/>
  <c r="E107" i="3" s="1"/>
  <c r="P62" i="23"/>
  <c r="D106" i="3"/>
  <c r="D107" i="3" s="1"/>
  <c r="O62" i="23"/>
  <c r="C106" i="3"/>
  <c r="C107" i="3" s="1"/>
  <c r="N62" i="23"/>
  <c r="U15" i="23"/>
  <c r="R15" i="23"/>
  <c r="P15" i="23"/>
  <c r="N15" i="23"/>
  <c r="T15" i="23"/>
  <c r="Q15" i="23"/>
  <c r="O15" i="23"/>
  <c r="N53" i="3"/>
  <c r="U52" i="23"/>
  <c r="W52" i="23" s="1"/>
  <c r="N38" i="3"/>
  <c r="U37" i="23"/>
  <c r="W37" i="23" s="1"/>
  <c r="T98" i="23"/>
  <c r="W17" i="23"/>
  <c r="I98" i="3"/>
  <c r="T13" i="23"/>
  <c r="H98" i="3"/>
  <c r="S13" i="23"/>
  <c r="G98" i="3"/>
  <c r="R13" i="23"/>
  <c r="F98" i="3"/>
  <c r="Q13" i="23"/>
  <c r="E98" i="3"/>
  <c r="P13" i="23"/>
  <c r="D98" i="3"/>
  <c r="O13" i="23"/>
  <c r="C98" i="3"/>
  <c r="N13" i="23"/>
  <c r="U102" i="23"/>
  <c r="Q91" i="23"/>
  <c r="P91" i="23"/>
  <c r="O91" i="23"/>
  <c r="U90" i="23"/>
  <c r="S90" i="23"/>
  <c r="P7" i="3"/>
  <c r="T7" i="23"/>
  <c r="Q7" i="3"/>
  <c r="U7" i="23"/>
  <c r="U101" i="23" s="1"/>
  <c r="H91" i="23"/>
  <c r="C15" i="23"/>
  <c r="H98" i="23"/>
  <c r="D95" i="23"/>
  <c r="C112" i="1"/>
  <c r="C113" i="1" s="1"/>
  <c r="C62" i="23"/>
  <c r="G16" i="9"/>
  <c r="G13" i="27" s="1"/>
  <c r="F16" i="9"/>
  <c r="F13" i="27" s="1"/>
  <c r="E16" i="9"/>
  <c r="E13" i="27" s="1"/>
  <c r="D16" i="9"/>
  <c r="D13" i="27" s="1"/>
  <c r="C16" i="9"/>
  <c r="C13" i="27" s="1"/>
  <c r="H102" i="23"/>
  <c r="F91" i="23"/>
  <c r="E91" i="23"/>
  <c r="D91" i="23"/>
  <c r="C19" i="21"/>
  <c r="W85" i="23"/>
  <c r="U96" i="23"/>
  <c r="U103" i="23"/>
  <c r="T96" i="23"/>
  <c r="S103" i="23"/>
  <c r="W22" i="23"/>
  <c r="S96" i="23"/>
  <c r="R103" i="23"/>
  <c r="R96" i="23"/>
  <c r="Q103" i="23"/>
  <c r="Q96" i="23"/>
  <c r="P103" i="23"/>
  <c r="P96" i="23"/>
  <c r="O103" i="23"/>
  <c r="O96" i="23"/>
  <c r="N103" i="23"/>
  <c r="W20" i="23"/>
  <c r="S95" i="23"/>
  <c r="T102" i="23"/>
  <c r="U94" i="23"/>
  <c r="S102" i="23"/>
  <c r="T94" i="23"/>
  <c r="W14" i="23"/>
  <c r="R102" i="23"/>
  <c r="S94" i="23"/>
  <c r="R94" i="23"/>
  <c r="Q102" i="23"/>
  <c r="P102" i="23"/>
  <c r="Q94" i="23"/>
  <c r="P94" i="23"/>
  <c r="O102" i="23"/>
  <c r="O94" i="23"/>
  <c r="N102" i="23"/>
  <c r="S101" i="23"/>
  <c r="R101" i="23"/>
  <c r="S92" i="23"/>
  <c r="Q101" i="23"/>
  <c r="R92" i="23"/>
  <c r="Q92" i="23"/>
  <c r="P101" i="23"/>
  <c r="P92" i="23"/>
  <c r="O101" i="23"/>
  <c r="N101" i="23"/>
  <c r="O92" i="23"/>
  <c r="W6" i="23"/>
  <c r="R91" i="23"/>
  <c r="T103" i="23"/>
  <c r="T90" i="23"/>
  <c r="W5" i="23"/>
  <c r="W83" i="23" s="1"/>
  <c r="R90" i="23"/>
  <c r="G103" i="23"/>
  <c r="H96" i="23"/>
  <c r="G82" i="23"/>
  <c r="G96" i="23"/>
  <c r="F103" i="23"/>
  <c r="F82" i="23"/>
  <c r="E103" i="23"/>
  <c r="E82" i="23"/>
  <c r="F96" i="23"/>
  <c r="E96" i="23"/>
  <c r="D103" i="23"/>
  <c r="D82" i="23"/>
  <c r="H94" i="23"/>
  <c r="G102" i="23"/>
  <c r="F102" i="23"/>
  <c r="G94" i="23"/>
  <c r="E102" i="23"/>
  <c r="F94" i="23"/>
  <c r="D102" i="23"/>
  <c r="E94" i="23"/>
  <c r="H103" i="23"/>
  <c r="H83" i="23"/>
  <c r="H90" i="23"/>
  <c r="H82" i="23"/>
  <c r="G83" i="23"/>
  <c r="G90" i="23"/>
  <c r="F90" i="23"/>
  <c r="F83" i="23"/>
  <c r="E90" i="23"/>
  <c r="E83" i="23"/>
  <c r="D83" i="23"/>
  <c r="D90" i="23"/>
  <c r="C82" i="23"/>
  <c r="C103" i="23"/>
  <c r="D96" i="23"/>
  <c r="C102" i="23"/>
  <c r="D94" i="23"/>
  <c r="C83" i="23"/>
  <c r="C6" i="21"/>
  <c r="C7" i="21" s="1"/>
  <c r="Z14" i="6"/>
  <c r="Z13" i="6"/>
  <c r="J111" i="3"/>
  <c r="Y14" i="6"/>
  <c r="N63" i="3"/>
  <c r="T15" i="6"/>
  <c r="C13" i="2"/>
  <c r="W14" i="6"/>
  <c r="V14" i="6"/>
  <c r="U14" i="6"/>
  <c r="T14" i="6"/>
  <c r="Y13" i="6"/>
  <c r="W13" i="6"/>
  <c r="V13" i="6"/>
  <c r="U13" i="6"/>
  <c r="T13" i="6"/>
  <c r="X14" i="6"/>
  <c r="X13" i="6"/>
  <c r="T12" i="6"/>
  <c r="U12" i="6"/>
  <c r="V12" i="6"/>
  <c r="W12" i="6"/>
  <c r="X12" i="6"/>
  <c r="Y12" i="6"/>
  <c r="Z12" i="6"/>
  <c r="S12" i="6"/>
  <c r="W16" i="9"/>
  <c r="V16" i="9"/>
  <c r="U16" i="9"/>
  <c r="T16" i="9"/>
  <c r="S16" i="9"/>
  <c r="R16" i="9"/>
  <c r="Q16" i="9"/>
  <c r="P16" i="9"/>
  <c r="V23" i="9"/>
  <c r="R23" i="9"/>
  <c r="W22" i="9"/>
  <c r="R22" i="9"/>
  <c r="P22" i="9"/>
  <c r="S21" i="9"/>
  <c r="U21" i="9"/>
  <c r="P21" i="9"/>
  <c r="G23" i="9"/>
  <c r="D23" i="9"/>
  <c r="C23" i="9"/>
  <c r="F22" i="9"/>
  <c r="D21" i="9"/>
  <c r="G21" i="9"/>
  <c r="T23" i="9"/>
  <c r="Q23" i="9"/>
  <c r="U22" i="9"/>
  <c r="S22" i="9"/>
  <c r="R21" i="9"/>
  <c r="V21" i="9"/>
  <c r="W21" i="9"/>
  <c r="E23" i="9"/>
  <c r="E22" i="9"/>
  <c r="C22" i="9"/>
  <c r="F21" i="9"/>
  <c r="C21" i="9"/>
  <c r="W23" i="9"/>
  <c r="S23" i="9"/>
  <c r="V22" i="9"/>
  <c r="T22" i="9"/>
  <c r="Q22" i="9"/>
  <c r="Q21" i="9"/>
  <c r="T21" i="9"/>
  <c r="F23" i="9"/>
  <c r="D22" i="9"/>
  <c r="G22" i="9"/>
  <c r="E21" i="9"/>
  <c r="U23" i="9"/>
  <c r="P23" i="9"/>
  <c r="W20" i="9"/>
  <c r="W10" i="9"/>
  <c r="V20" i="9"/>
  <c r="V10" i="9"/>
  <c r="U10" i="9"/>
  <c r="U20" i="9"/>
  <c r="T10" i="9"/>
  <c r="T20" i="9"/>
  <c r="S10" i="9"/>
  <c r="S20" i="9"/>
  <c r="R10" i="9"/>
  <c r="R20" i="9"/>
  <c r="Q10" i="9"/>
  <c r="Q20" i="9"/>
  <c r="P10" i="9"/>
  <c r="P20" i="9"/>
  <c r="G15" i="6"/>
  <c r="F15" i="6"/>
  <c r="E15" i="6"/>
  <c r="D15" i="6"/>
  <c r="G14" i="6"/>
  <c r="F14" i="6"/>
  <c r="E14" i="6"/>
  <c r="D14" i="6"/>
  <c r="D13" i="6"/>
  <c r="G13" i="6"/>
  <c r="R18" i="3"/>
  <c r="R22" i="3"/>
  <c r="R6" i="3"/>
  <c r="P13" i="3"/>
  <c r="R23" i="3"/>
  <c r="C145" i="1"/>
  <c r="R15" i="3"/>
  <c r="R19" i="3"/>
  <c r="R14" i="3"/>
  <c r="R24" i="3"/>
  <c r="R20" i="3"/>
  <c r="R9" i="3"/>
  <c r="R5" i="3"/>
  <c r="R21" i="3"/>
  <c r="R8" i="3"/>
  <c r="N24" i="3"/>
  <c r="C11" i="2" s="1"/>
  <c r="Q13" i="3"/>
  <c r="N7" i="3"/>
  <c r="N23" i="3"/>
  <c r="N13" i="3"/>
  <c r="J108" i="3"/>
  <c r="J109" i="3" s="1"/>
  <c r="J106" i="3"/>
  <c r="J107" i="3" s="1"/>
  <c r="G46" i="30" l="1"/>
  <c r="G43" i="30"/>
  <c r="G45" i="30"/>
  <c r="H41" i="30"/>
  <c r="C44" i="2"/>
  <c r="C48" i="2" s="1"/>
  <c r="W16" i="23"/>
  <c r="W87" i="23" s="1"/>
  <c r="K98" i="23"/>
  <c r="L98" i="23"/>
  <c r="O93" i="23"/>
  <c r="W24" i="23"/>
  <c r="C12" i="2" s="1"/>
  <c r="J97" i="23"/>
  <c r="K93" i="23"/>
  <c r="J93" i="23"/>
  <c r="L97" i="23"/>
  <c r="G37" i="26"/>
  <c r="F37" i="26"/>
  <c r="K97" i="23"/>
  <c r="I97" i="23"/>
  <c r="I93" i="23"/>
  <c r="G8" i="27"/>
  <c r="G14" i="27" s="1"/>
  <c r="F8" i="27"/>
  <c r="F14" i="27" s="1"/>
  <c r="E8" i="27"/>
  <c r="E14" i="27" s="1"/>
  <c r="D8" i="27"/>
  <c r="D14" i="27" s="1"/>
  <c r="C8" i="27"/>
  <c r="C14"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3" i="23"/>
  <c r="L92" i="23"/>
  <c r="L101" i="23"/>
  <c r="F19" i="28"/>
  <c r="E19" i="28"/>
  <c r="G12" i="28"/>
  <c r="F12" i="28"/>
  <c r="E12" i="28"/>
  <c r="I9" i="6"/>
  <c r="J8" i="6"/>
  <c r="I101" i="23"/>
  <c r="J92" i="23"/>
  <c r="W63" i="23"/>
  <c r="S15" i="23"/>
  <c r="W15" i="23" s="1"/>
  <c r="J101" i="23"/>
  <c r="K92" i="23"/>
  <c r="H101" i="23"/>
  <c r="I92" i="23"/>
  <c r="E3" i="23"/>
  <c r="F3" i="1"/>
  <c r="W62" i="23"/>
  <c r="K84" i="23"/>
  <c r="K86" i="23" s="1"/>
  <c r="J84" i="23"/>
  <c r="J86" i="23" s="1"/>
  <c r="L84" i="23"/>
  <c r="L86" i="23" s="1"/>
  <c r="I84" i="23"/>
  <c r="I86" i="23" s="1"/>
  <c r="H84" i="23"/>
  <c r="H86" i="23" s="1"/>
  <c r="F92" i="23"/>
  <c r="E101" i="23"/>
  <c r="E92" i="23"/>
  <c r="D101" i="23"/>
  <c r="D92" i="23"/>
  <c r="R7" i="3"/>
  <c r="C18" i="2"/>
  <c r="T101" i="23"/>
  <c r="U92" i="23"/>
  <c r="T92" i="23"/>
  <c r="W7" i="23"/>
  <c r="W101" i="23" s="1"/>
  <c r="U93" i="23"/>
  <c r="T93" i="23"/>
  <c r="W13" i="23"/>
  <c r="S93" i="23"/>
  <c r="R93" i="23"/>
  <c r="Q93" i="23"/>
  <c r="P93" i="23"/>
  <c r="G101" i="23"/>
  <c r="G92" i="23"/>
  <c r="H92" i="23"/>
  <c r="C84" i="23"/>
  <c r="C86" i="23" s="1"/>
  <c r="H93" i="23"/>
  <c r="G93" i="23"/>
  <c r="F93" i="23"/>
  <c r="D93" i="23"/>
  <c r="E93" i="23"/>
  <c r="W82" i="23"/>
  <c r="W84" i="23" s="1"/>
  <c r="W86" i="23" s="1"/>
  <c r="W103" i="23"/>
  <c r="W102" i="23"/>
  <c r="E84" i="23"/>
  <c r="E86" i="23" s="1"/>
  <c r="G84" i="23"/>
  <c r="G86" i="23" s="1"/>
  <c r="F84" i="23"/>
  <c r="F86" i="23" s="1"/>
  <c r="D84" i="23"/>
  <c r="D86" i="23" s="1"/>
  <c r="C17" i="21"/>
  <c r="C16" i="21"/>
  <c r="R13" i="3"/>
  <c r="I41" i="30" l="1"/>
  <c r="H44" i="30"/>
  <c r="H48" i="30" s="1"/>
  <c r="H46" i="30"/>
  <c r="C23" i="26"/>
  <c r="D23" i="26"/>
  <c r="F23" i="26"/>
  <c r="E23" i="26"/>
  <c r="G23" i="26"/>
  <c r="G31" i="27"/>
  <c r="G32" i="27" s="1"/>
  <c r="G7" i="28"/>
  <c r="F31" i="27"/>
  <c r="F32" i="27" s="1"/>
  <c r="F7" i="28"/>
  <c r="F33" i="28" s="1"/>
  <c r="E31" i="27"/>
  <c r="E32" i="27" s="1"/>
  <c r="E7" i="28"/>
  <c r="D31" i="27"/>
  <c r="D32" i="27" s="1"/>
  <c r="D7" i="28"/>
  <c r="C31" i="27"/>
  <c r="C32" i="27" s="1"/>
  <c r="C7" i="28"/>
  <c r="C33" i="28" s="1"/>
  <c r="C41" i="28"/>
  <c r="C50" i="28"/>
  <c r="C58" i="28"/>
  <c r="H45" i="26"/>
  <c r="H25" i="27" s="1"/>
  <c r="H36" i="26"/>
  <c r="H42" i="26"/>
  <c r="I16" i="6"/>
  <c r="I6" i="28"/>
  <c r="I12" i="28" s="1"/>
  <c r="I6" i="27"/>
  <c r="I7" i="26"/>
  <c r="J9" i="6"/>
  <c r="K8" i="6"/>
  <c r="F3" i="23"/>
  <c r="G3" i="1"/>
  <c r="C20" i="21"/>
  <c r="C56" i="28" l="1"/>
  <c r="C21" i="30"/>
  <c r="J10" i="30" s="1"/>
  <c r="I44" i="30"/>
  <c r="I48" i="30" s="1"/>
  <c r="I46" i="30"/>
  <c r="J41" i="30"/>
  <c r="H47" i="30"/>
  <c r="H49" i="30"/>
  <c r="E13" i="28"/>
  <c r="G7" i="22"/>
  <c r="G8" i="28"/>
  <c r="G33" i="28"/>
  <c r="G13" i="28"/>
  <c r="F7" i="22"/>
  <c r="F8" i="28"/>
  <c r="E7" i="22"/>
  <c r="E8" i="28"/>
  <c r="E34" i="28" s="1"/>
  <c r="E33" i="28"/>
  <c r="F13" i="28"/>
  <c r="C7" i="22"/>
  <c r="C8" i="28"/>
  <c r="C34" i="28" s="1"/>
  <c r="D7" i="22"/>
  <c r="D8" i="28"/>
  <c r="D33" i="28"/>
  <c r="D13" i="28"/>
  <c r="H44" i="26"/>
  <c r="H24" i="27"/>
  <c r="I13" i="26"/>
  <c r="I28" i="26" s="1"/>
  <c r="I45" i="26"/>
  <c r="I25" i="27" s="1"/>
  <c r="I42" i="26"/>
  <c r="I36" i="26"/>
  <c r="J16" i="6"/>
  <c r="J6" i="28"/>
  <c r="J12" i="28" s="1"/>
  <c r="J6" i="27"/>
  <c r="J7" i="26"/>
  <c r="C48" i="28"/>
  <c r="C39" i="28"/>
  <c r="K9" i="6"/>
  <c r="L8" i="6"/>
  <c r="L9" i="6" s="1"/>
  <c r="G3" i="23"/>
  <c r="H3" i="1"/>
  <c r="C15" i="22"/>
  <c r="AE7" i="6"/>
  <c r="AE6" i="6"/>
  <c r="I10" i="30" l="1"/>
  <c r="H10" i="30"/>
  <c r="I47" i="30"/>
  <c r="I49" i="30"/>
  <c r="J44" i="30"/>
  <c r="J48" i="30" s="1"/>
  <c r="J46" i="30"/>
  <c r="K10" i="30"/>
  <c r="K41" i="30"/>
  <c r="F34" i="28"/>
  <c r="F14" i="28"/>
  <c r="G34" i="28"/>
  <c r="G14" i="28"/>
  <c r="E14" i="28"/>
  <c r="D34" i="28"/>
  <c r="D14" i="28"/>
  <c r="I44" i="26"/>
  <c r="I24" i="27"/>
  <c r="J13" i="26"/>
  <c r="J28" i="26" s="1"/>
  <c r="J42" i="26"/>
  <c r="J45" i="26"/>
  <c r="J25" i="27" s="1"/>
  <c r="J36" i="26"/>
  <c r="K16" i="6"/>
  <c r="K6" i="28"/>
  <c r="K12" i="28" s="1"/>
  <c r="K6" i="27"/>
  <c r="K7" i="26"/>
  <c r="L6" i="28"/>
  <c r="L6" i="27"/>
  <c r="L7" i="26"/>
  <c r="L16" i="6"/>
  <c r="C5" i="6"/>
  <c r="C5" i="9"/>
  <c r="H3" i="23"/>
  <c r="I3" i="1"/>
  <c r="J47" i="30" l="1"/>
  <c r="J49" i="30"/>
  <c r="K44" i="30"/>
  <c r="K48" i="30" s="1"/>
  <c r="K46" i="30"/>
  <c r="L41" i="30"/>
  <c r="L8" i="30"/>
  <c r="L11" i="30" s="1"/>
  <c r="C30" i="30" s="1"/>
  <c r="L10" i="30"/>
  <c r="C29" i="30" s="1"/>
  <c r="J44" i="26"/>
  <c r="J24" i="27"/>
  <c r="K13" i="26"/>
  <c r="K28" i="26" s="1"/>
  <c r="K45" i="26"/>
  <c r="K25" i="27" s="1"/>
  <c r="K36" i="26"/>
  <c r="K42" i="26"/>
  <c r="L12" i="28"/>
  <c r="C47" i="28"/>
  <c r="C51" i="28" s="1"/>
  <c r="C52" i="28" s="1"/>
  <c r="C7" i="29" s="1"/>
  <c r="L13" i="26"/>
  <c r="L36" i="26"/>
  <c r="L45" i="26"/>
  <c r="L25" i="27" s="1"/>
  <c r="L42" i="26"/>
  <c r="C5" i="28"/>
  <c r="C6" i="22"/>
  <c r="C5" i="27"/>
  <c r="C6" i="26"/>
  <c r="C12" i="6"/>
  <c r="C20" i="9"/>
  <c r="C10" i="9"/>
  <c r="D5" i="6"/>
  <c r="D5" i="9"/>
  <c r="I3" i="23"/>
  <c r="J3" i="1"/>
  <c r="C31" i="30" l="1"/>
  <c r="C34" i="30" s="1"/>
  <c r="C36" i="30" s="1"/>
  <c r="C16" i="30" s="1"/>
  <c r="K47" i="30"/>
  <c r="K49" i="30"/>
  <c r="L46" i="30"/>
  <c r="L44" i="30"/>
  <c r="L48" i="30" s="1"/>
  <c r="K44" i="26"/>
  <c r="K24" i="27"/>
  <c r="L44" i="26"/>
  <c r="L24" i="27"/>
  <c r="C11" i="28"/>
  <c r="C17" i="28"/>
  <c r="C22" i="28"/>
  <c r="C27" i="28"/>
  <c r="C18" i="27"/>
  <c r="C30" i="27"/>
  <c r="C23" i="27"/>
  <c r="C27" i="26"/>
  <c r="C34" i="26"/>
  <c r="C41" i="26"/>
  <c r="C12" i="26"/>
  <c r="C19" i="26"/>
  <c r="L28" i="26"/>
  <c r="D5" i="28"/>
  <c r="D6" i="22"/>
  <c r="D5" i="27"/>
  <c r="D6" i="26"/>
  <c r="D12" i="6"/>
  <c r="D10" i="9"/>
  <c r="D20" i="9"/>
  <c r="E5" i="9"/>
  <c r="E5" i="6"/>
  <c r="J3" i="23"/>
  <c r="K3" i="1"/>
  <c r="L49" i="30" l="1"/>
  <c r="L47" i="30"/>
  <c r="D22" i="28"/>
  <c r="D11" i="28"/>
  <c r="D27" i="28"/>
  <c r="D17" i="28"/>
  <c r="D18" i="27"/>
  <c r="D23" i="27"/>
  <c r="D30" i="27"/>
  <c r="D34" i="26"/>
  <c r="D27" i="26"/>
  <c r="D41" i="26"/>
  <c r="D12" i="26"/>
  <c r="D19" i="26"/>
  <c r="E5" i="28"/>
  <c r="E6" i="22"/>
  <c r="E5" i="27"/>
  <c r="E6" i="26"/>
  <c r="E10" i="9"/>
  <c r="E20" i="9"/>
  <c r="E12" i="6"/>
  <c r="F5" i="9"/>
  <c r="F5" i="6"/>
  <c r="K3" i="23"/>
  <c r="L3" i="1"/>
  <c r="H6" i="9"/>
  <c r="H14" i="9" l="1"/>
  <c r="H11" i="27" s="1"/>
  <c r="I25" i="9"/>
  <c r="E17" i="28"/>
  <c r="E27" i="28"/>
  <c r="E22" i="28"/>
  <c r="E11" i="28"/>
  <c r="E18" i="27"/>
  <c r="E23" i="27"/>
  <c r="E30" i="27"/>
  <c r="E34" i="26"/>
  <c r="E12" i="26"/>
  <c r="E19" i="26"/>
  <c r="E27" i="26"/>
  <c r="E41" i="26"/>
  <c r="F5" i="28"/>
  <c r="F6" i="22"/>
  <c r="F5" i="27"/>
  <c r="F6" i="26"/>
  <c r="F10" i="9"/>
  <c r="F20" i="9"/>
  <c r="F12" i="6"/>
  <c r="G5" i="9"/>
  <c r="G5" i="6"/>
  <c r="L3" i="23"/>
  <c r="M3" i="1"/>
  <c r="N3" i="1" s="1"/>
  <c r="O3" i="1" s="1"/>
  <c r="P3" i="1" s="1"/>
  <c r="I6" i="9"/>
  <c r="H13" i="9"/>
  <c r="H10" i="27" s="1"/>
  <c r="H12" i="9"/>
  <c r="H11" i="9"/>
  <c r="J25" i="9" l="1"/>
  <c r="I14" i="9"/>
  <c r="I11" i="27" s="1"/>
  <c r="H9" i="27"/>
  <c r="H16" i="9"/>
  <c r="H13" i="27" s="1"/>
  <c r="F17" i="28"/>
  <c r="F27" i="28"/>
  <c r="F11" i="28"/>
  <c r="F22" i="28"/>
  <c r="F23" i="27"/>
  <c r="F18" i="27"/>
  <c r="F30" i="27"/>
  <c r="F27" i="26"/>
  <c r="F12" i="26"/>
  <c r="F41" i="26"/>
  <c r="F34" i="26"/>
  <c r="F19" i="26"/>
  <c r="G5" i="28"/>
  <c r="G6" i="22"/>
  <c r="G5" i="27"/>
  <c r="G6" i="26"/>
  <c r="H7" i="27"/>
  <c r="H8" i="27" s="1"/>
  <c r="H8" i="26"/>
  <c r="G20" i="9"/>
  <c r="H5" i="9"/>
  <c r="G10" i="9"/>
  <c r="G12" i="6"/>
  <c r="H5" i="6"/>
  <c r="J6" i="9"/>
  <c r="I13" i="9"/>
  <c r="I10" i="27" s="1"/>
  <c r="I12" i="9"/>
  <c r="I11" i="9"/>
  <c r="I9" i="27" l="1"/>
  <c r="I16" i="9"/>
  <c r="I13" i="27" s="1"/>
  <c r="K25" i="9"/>
  <c r="J14" i="9"/>
  <c r="J11" i="27" s="1"/>
  <c r="H14" i="27"/>
  <c r="G11" i="28"/>
  <c r="G22" i="28"/>
  <c r="G17" i="28"/>
  <c r="G27" i="28"/>
  <c r="G18" i="27"/>
  <c r="G23" i="27"/>
  <c r="G30" i="27"/>
  <c r="G41" i="26"/>
  <c r="G27" i="26"/>
  <c r="G19" i="26"/>
  <c r="G34" i="26"/>
  <c r="G12" i="26"/>
  <c r="H15" i="26"/>
  <c r="H30" i="26" s="1"/>
  <c r="H29" i="26"/>
  <c r="H5" i="28"/>
  <c r="H6" i="22"/>
  <c r="H5" i="27"/>
  <c r="H6" i="26"/>
  <c r="I7" i="27"/>
  <c r="I8" i="27" s="1"/>
  <c r="I8" i="26"/>
  <c r="H10" i="9"/>
  <c r="I5" i="9"/>
  <c r="H20" i="9"/>
  <c r="I5" i="6"/>
  <c r="H12" i="6"/>
  <c r="K6" i="9"/>
  <c r="L6" i="9"/>
  <c r="L14" i="9" s="1"/>
  <c r="L11" i="27" s="1"/>
  <c r="J11" i="9"/>
  <c r="J13" i="9"/>
  <c r="J10" i="27" s="1"/>
  <c r="J12" i="9"/>
  <c r="L25" i="9" l="1"/>
  <c r="K14" i="9"/>
  <c r="K11" i="27" s="1"/>
  <c r="J9" i="27"/>
  <c r="J16" i="9"/>
  <c r="J13" i="27" s="1"/>
  <c r="H31" i="27"/>
  <c r="H7" i="28"/>
  <c r="H13" i="28" s="1"/>
  <c r="I14" i="27"/>
  <c r="H11" i="28"/>
  <c r="H22" i="28"/>
  <c r="H17" i="28"/>
  <c r="H27" i="28"/>
  <c r="H30" i="27"/>
  <c r="H18" i="27"/>
  <c r="H23" i="27"/>
  <c r="H27" i="26"/>
  <c r="H19" i="26"/>
  <c r="H12" i="26"/>
  <c r="H41" i="26"/>
  <c r="H34" i="26"/>
  <c r="I15" i="26"/>
  <c r="I30" i="26" s="1"/>
  <c r="I29" i="26"/>
  <c r="H35" i="26"/>
  <c r="H26" i="27" s="1"/>
  <c r="I5" i="28"/>
  <c r="I6" i="22"/>
  <c r="I5" i="27"/>
  <c r="I6" i="26"/>
  <c r="J7" i="27"/>
  <c r="J8" i="27" s="1"/>
  <c r="J8" i="26"/>
  <c r="J5" i="9"/>
  <c r="I20" i="9"/>
  <c r="I10" i="9"/>
  <c r="I12" i="6"/>
  <c r="J5" i="6"/>
  <c r="K13" i="9"/>
  <c r="K10" i="27" s="1"/>
  <c r="K12" i="9"/>
  <c r="K11" i="9"/>
  <c r="L11" i="9"/>
  <c r="L12" i="9"/>
  <c r="L13" i="9"/>
  <c r="L10" i="27" s="1"/>
  <c r="K9" i="27" l="1"/>
  <c r="K16" i="9"/>
  <c r="K13" i="27" s="1"/>
  <c r="L9" i="27"/>
  <c r="L16" i="9"/>
  <c r="L13" i="27" s="1"/>
  <c r="H32" i="27"/>
  <c r="I35" i="26"/>
  <c r="I26" i="27" s="1"/>
  <c r="I31" i="27"/>
  <c r="I7" i="28"/>
  <c r="I13" i="28" s="1"/>
  <c r="J14" i="27"/>
  <c r="I27" i="28"/>
  <c r="I22" i="28"/>
  <c r="I11" i="28"/>
  <c r="I17" i="28"/>
  <c r="I23" i="27"/>
  <c r="I30" i="27"/>
  <c r="I18" i="27"/>
  <c r="I41" i="26"/>
  <c r="I27" i="26"/>
  <c r="I12" i="26"/>
  <c r="I34" i="26"/>
  <c r="I19" i="26"/>
  <c r="J15" i="26"/>
  <c r="J30" i="26" s="1"/>
  <c r="J29" i="26"/>
  <c r="J5" i="28"/>
  <c r="J6" i="22"/>
  <c r="J5" i="27"/>
  <c r="J6" i="26"/>
  <c r="K7" i="27"/>
  <c r="K8" i="27" s="1"/>
  <c r="K8" i="26"/>
  <c r="L7" i="27"/>
  <c r="L8" i="27" s="1"/>
  <c r="L8" i="26"/>
  <c r="J20" i="9"/>
  <c r="K5" i="9"/>
  <c r="J10" i="9"/>
  <c r="K5" i="6"/>
  <c r="J12" i="6"/>
  <c r="J35" i="26" l="1"/>
  <c r="J26" i="27" s="1"/>
  <c r="H7" i="22"/>
  <c r="H8" i="28"/>
  <c r="H14" i="28" s="1"/>
  <c r="I32" i="27"/>
  <c r="J31" i="27"/>
  <c r="J7" i="28"/>
  <c r="J13" i="28" s="1"/>
  <c r="K14" i="27"/>
  <c r="L14" i="27"/>
  <c r="J27" i="28"/>
  <c r="J22" i="28"/>
  <c r="J17" i="28"/>
  <c r="J11" i="28"/>
  <c r="J18" i="27"/>
  <c r="J30" i="27"/>
  <c r="J23" i="27"/>
  <c r="J34" i="26"/>
  <c r="J12" i="26"/>
  <c r="J41" i="26"/>
  <c r="J27" i="26"/>
  <c r="J19" i="26"/>
  <c r="K15" i="26"/>
  <c r="K30" i="26" s="1"/>
  <c r="K29" i="26"/>
  <c r="L15" i="26"/>
  <c r="K5" i="28"/>
  <c r="K6" i="22"/>
  <c r="K5" i="27"/>
  <c r="K6" i="26"/>
  <c r="K20" i="9"/>
  <c r="K10" i="9"/>
  <c r="L5" i="9"/>
  <c r="L5" i="6"/>
  <c r="K12" i="6"/>
  <c r="J32" i="27" l="1"/>
  <c r="L30" i="26"/>
  <c r="L29" i="26"/>
  <c r="I8" i="28"/>
  <c r="I14" i="28" s="1"/>
  <c r="I7" i="22"/>
  <c r="K31" i="27"/>
  <c r="K7" i="28"/>
  <c r="K13" i="28" s="1"/>
  <c r="L31" i="27"/>
  <c r="L7" i="28"/>
  <c r="K27" i="28"/>
  <c r="K11" i="28"/>
  <c r="K22" i="28"/>
  <c r="K17" i="28"/>
  <c r="K18" i="27"/>
  <c r="K30" i="27"/>
  <c r="K23" i="27"/>
  <c r="K12" i="26"/>
  <c r="K41" i="26"/>
  <c r="K19" i="26"/>
  <c r="K34" i="26"/>
  <c r="K27" i="26"/>
  <c r="K35" i="26"/>
  <c r="K26" i="27" s="1"/>
  <c r="L5" i="28"/>
  <c r="L6" i="22"/>
  <c r="L5" i="27"/>
  <c r="L6" i="26"/>
  <c r="L20" i="9"/>
  <c r="L10" i="9"/>
  <c r="L12" i="6"/>
  <c r="J8" i="28" l="1"/>
  <c r="J14" i="28" s="1"/>
  <c r="J7" i="22"/>
  <c r="J10" i="22" s="1"/>
  <c r="L35" i="26"/>
  <c r="L26" i="27" s="1"/>
  <c r="L32" i="27" s="1"/>
  <c r="L13" i="28"/>
  <c r="C38" i="28"/>
  <c r="C42" i="28" s="1"/>
  <c r="C43" i="28" s="1"/>
  <c r="C44" i="28" s="1"/>
  <c r="C6" i="29" s="1"/>
  <c r="K32" i="27"/>
  <c r="L27" i="28"/>
  <c r="L22" i="28"/>
  <c r="L11" i="28"/>
  <c r="L17" i="28"/>
  <c r="L30" i="27"/>
  <c r="L18" i="27"/>
  <c r="L23" i="27"/>
  <c r="L19" i="26"/>
  <c r="L12" i="26"/>
  <c r="L41" i="26"/>
  <c r="L34" i="26"/>
  <c r="L27" i="26"/>
  <c r="L8" i="28" l="1"/>
  <c r="L7" i="22"/>
  <c r="K8" i="28"/>
  <c r="K14" i="28" s="1"/>
  <c r="K7" i="22"/>
  <c r="K10" i="22" s="1"/>
  <c r="H10" i="22"/>
  <c r="I10" i="22"/>
  <c r="L10" i="22" l="1"/>
  <c r="C19" i="22" s="1"/>
  <c r="L8" i="22"/>
  <c r="L11" i="22" s="1"/>
  <c r="C20" i="22" s="1"/>
  <c r="L14" i="28"/>
  <c r="C55" i="28"/>
  <c r="C59" i="28" s="1"/>
  <c r="C60" i="28" s="1"/>
  <c r="C61" i="28" s="1"/>
  <c r="C8" i="29" s="1"/>
  <c r="C21" i="22" l="1"/>
  <c r="C24" i="22" s="1"/>
  <c r="C26" i="22" s="1"/>
  <c r="C5" i="29" s="1"/>
  <c r="C9" i="29" s="1"/>
  <c r="C11" i="29" s="1"/>
  <c r="AB13" i="9"/>
  <c r="AA8" i="6"/>
  <c r="AE8" i="6"/>
  <c r="AA9" i="6"/>
  <c r="AA16" i="6" s="1"/>
  <c r="X6" i="9" l="1"/>
  <c r="AE9" i="6"/>
  <c r="AB6" i="9" l="1"/>
  <c r="X12" i="9"/>
  <c r="X11" i="9"/>
  <c r="AB11" i="9" s="1"/>
  <c r="X13" i="9"/>
  <c r="X16" i="9" l="1"/>
  <c r="AB16" i="9" s="1"/>
  <c r="AB1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52" authorId="2"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7" authorId="3"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1" authorId="4"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2" authorId="5"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2"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4"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tc={05A85B98-D878-974D-A4F3-6201824FC4E2}</author>
  </authors>
  <commentList>
    <comment ref="B15" authorId="0" shapeId="0" xr:uid="{05A85B98-D878-974D-A4F3-6201824FC4E2}">
      <text>
        <t>[Threaded comment]
Your version of Excel allows you to read this threaded comment; however, any edits to it will get removed if the file is opened in a newer version of Excel. Learn more: https://go.microsoft.com/fwlink/?linkid=870924
Comment:
    You can find the future values in 10-K Note 8</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<sst xmlns="http://schemas.openxmlformats.org/spreadsheetml/2006/main" count="710" uniqueCount="351">
  <si>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</si>
  <si>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</si>
  <si>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</si>
  <si>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</si>
  <si>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</si>
  <si>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</si>
  <si>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</si>
  <si>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</si>
  <si>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</si>
  <si>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</si>
  <si>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</si>
  <si>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</si>
  <si>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</si>
  <si>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</si>
  <si>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</si>
  <si>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</si>
  <si>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</si>
  <si>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</si>
  <si>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</si>
  <si>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</si>
  <si>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</si>
  <si>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</si>
  <si>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</si>
  <si>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</si>
  <si>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</si>
  <si>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</si>
  <si>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</si>
  <si>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</si>
  <si>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</si>
  <si>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</si>
  <si>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</si>
  <si>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</si>
  <si>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</si>
  <si>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</si>
  <si>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</si>
  <si>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</si>
  <si>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</si>
  <si>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</si>
  <si>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</si>
  <si>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</si>
  <si>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</si>
  <si>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</si>
  <si>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</si>
  <si>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</si>
  <si>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</si>
  <si>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</si>
  <si>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</si>
  <si>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</si>
  <si>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</si>
  <si>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</si>
  <si>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</si>
  <si>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</si>
  <si>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</si>
  <si>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</si>
  <si>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</si>
  <si>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</si>
  <si>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</si>
  <si>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</si>
  <si>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</si>
  <si>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</si>
  <si>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</si>
  <si>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</si>
  <si>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</si>
  <si>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</si>
  <si>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</si>
  <si>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</si>
  <si>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</si>
  <si>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</si>
  <si>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</si>
  <si>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</si>
  <si>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</si>
  <si>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</si>
  <si>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</si>
  <si>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</si>
  <si>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</si>
  <si>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</si>
  <si>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</si>
  <si>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</si>
  <si>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</si>
  <si>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</si>
  <si>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</si>
  <si>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</si>
  <si>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</si>
  <si>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</si>
  <si>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</si>
  <si>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</si>
  <si>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</si>
  <si>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</si>
  <si>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</si>
  <si>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</si>
  <si>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</si>
  <si>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</si>
  <si>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</si>
  <si>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</si>
  <si>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</si>
  <si>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</si>
  <si>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</si>
  <si>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</si>
  <si>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</si>
  <si>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</si>
  <si>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</si>
  <si>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</si>
  <si>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</si>
  <si>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</si>
  <si>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</si>
  <si>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</si>
  <si>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</si>
  <si>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</si>
  <si>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</si>
  <si>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</si>
  <si>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</si>
  <si>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</si>
  <si>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</si>
  <si>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</si>
  <si>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</si>
  <si>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</si>
  <si>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</si>
  <si>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</si>
  <si>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COGS &amp; OpEx forecast</t>
  </si>
  <si>
    <t>COGS and OpEx</t>
  </si>
  <si>
    <t>General &amp; administrative</t>
  </si>
  <si>
    <t>Expenses (thousand)</t>
  </si>
  <si>
    <t>Expenses % of Revenue</t>
  </si>
  <si>
    <t>Financials -&gt;</t>
  </si>
  <si>
    <t>COGS &amp; OpEx</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</si>
  <si>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</si>
  <si>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</si>
  <si>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</si>
  <si>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</si>
  <si>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</si>
  <si>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</si>
  <si>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</si>
  <si>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</si>
  <si>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</si>
  <si>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</si>
  <si>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</si>
  <si>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</si>
  <si>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</si>
  <si>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</si>
  <si>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</si>
  <si>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</si>
  <si>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</si>
  <si>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</si>
  <si>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</si>
  <si>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</si>
  <si>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</si>
  <si>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</si>
  <si>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</si>
  <si>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</si>
  <si>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</si>
  <si>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</si>
  <si>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</si>
  <si>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</si>
  <si>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</si>
  <si>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</si>
  <si>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</si>
  <si>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</si>
  <si>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</si>
  <si>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</si>
  <si>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</si>
  <si>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</si>
  <si>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</si>
  <si>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</si>
  <si>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</si>
  <si>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</si>
  <si>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</si>
  <si>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</si>
  <si>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</si>
  <si>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</si>
  <si>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</si>
  <si>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</si>
  <si>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</si>
  <si>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</si>
  <si>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</si>
  <si>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</si>
  <si>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</si>
  <si>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</si>
  <si>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</si>
  <si>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</si>
  <si>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</si>
  <si>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</si>
  <si>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</si>
  <si>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</si>
  <si>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</si>
  <si>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</si>
  <si>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</si>
  <si>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</si>
  <si>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</si>
  <si>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</si>
  <si>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</si>
  <si>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</si>
  <si>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</si>
  <si>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</si>
  <si>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</si>
  <si>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</si>
  <si>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</si>
  <si>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</si>
  <si>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</si>
  <si>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</si>
  <si>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</si>
  <si>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</si>
  <si>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</si>
  <si>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</si>
  <si>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</si>
  <si>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</si>
  <si>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</si>
  <si>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</si>
  <si>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</si>
  <si>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</si>
  <si>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</si>
  <si>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</si>
  <si>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</si>
  <si>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</si>
  <si>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</si>
  <si>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</si>
  <si>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</si>
  <si>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</si>
  <si>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</si>
  <si>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</si>
  <si>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</si>
  <si>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</si>
  <si>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</si>
  <si>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</si>
  <si>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</si>
  <si>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</si>
  <si>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Repurchase stock</t>
  </si>
  <si>
    <t>Deferred income tax expense/benefit</t>
  </si>
  <si>
    <t>Q1 2026</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</si>
  <si>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</si>
  <si>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</si>
  <si>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</si>
  <si>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</si>
  <si>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</si>
  <si>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</si>
  <si>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</si>
  <si>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</si>
  <si>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</si>
  <si>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</si>
  <si>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</si>
  <si>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</si>
  <si>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</si>
  <si>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</si>
  <si>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</si>
  <si>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</si>
  <si>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</si>
  <si>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</si>
  <si>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</si>
  <si>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</si>
  <si>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</si>
  <si>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</si>
  <si>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</si>
  <si>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</si>
  <si>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</si>
  <si>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</si>
  <si>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</si>
  <si>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</si>
  <si>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</si>
  <si>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</si>
  <si>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</si>
  <si>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</si>
  <si>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</si>
  <si>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</si>
  <si>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</si>
  <si>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</si>
  <si>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</si>
  <si>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</si>
  <si>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</si>
  <si>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</si>
  <si>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</si>
  <si>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</si>
  <si>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</si>
  <si>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</si>
  <si>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</si>
  <si>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</si>
  <si>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</si>
  <si>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</si>
  <si>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</si>
  <si>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</si>
  <si>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</si>
  <si>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</si>
  <si>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</si>
  <si>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</si>
  <si>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</si>
  <si>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</si>
  <si>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</si>
  <si>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</si>
  <si>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</si>
  <si>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</si>
  <si>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</si>
  <si>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</si>
  <si>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</si>
  <si>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</si>
  <si>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</si>
  <si>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</si>
  <si>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</si>
  <si>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</si>
  <si>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</si>
  <si>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</si>
  <si>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</si>
  <si>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</si>
  <si>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</si>
  <si>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</si>
  <si>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</si>
  <si>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</si>
  <si>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</si>
  <si>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</si>
  <si>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</si>
  <si>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</si>
  <si>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</si>
  <si>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</si>
  <si>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</si>
  <si>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</si>
  <si>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</si>
  <si>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</si>
  <si>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</si>
  <si>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</si>
  <si>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</si>
  <si>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</si>
  <si>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</si>
  <si>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</si>
  <si>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</si>
  <si>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</si>
  <si>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</si>
  <si>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</si>
  <si>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</si>
  <si>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</si>
  <si>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</si>
  <si>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</si>
  <si>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</si>
  <si>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</si>
  <si>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</si>
  <si>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</si>
  <si>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</si>
  <si>
    <t>Revenue and Costs breakdown</t>
  </si>
  <si>
    <t>Q3-Q4-Q1</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</si>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</sst>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9" fontId="0" fillId="3" borderId="0" xfId="0" applyNumberFormat="1" applyFill="1"/>
    <xf numFmtId="3" fontId="0" fillId="8" borderId="0" xfId="0" applyNumberFormat="1" applyFill="1"/>
    <xf numFmtId="38" fontId="0" fillId="8" borderId="0" xfId="0" applyNumberFormat="1" applyFill="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8" borderId="0" xfId="1" applyNumberFormat="1" applyFont="1" applyFill="1"/>
    <xf numFmtId="10" fontId="18"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BCD487E-11B8-F34E-9B66-572C74C0DC52}"/>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8">
          <cell r="C8">
            <v>218.965</v>
          </cell>
        </row>
        <row r="10">
          <cell r="C10">
            <v>43.92</v>
          </cell>
        </row>
        <row r="18">
          <cell r="C18">
            <v>252.47</v>
          </cell>
          <cell r="F18">
            <v>1.4196</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52" dT="2026-04-19T12:24:41.80" personId="{C1D857D3-F592-2946-8369-15D188CA547D}" id="{1B0A33D0-9122-7D4F-8949-BE107CFEF94E}">
    <text>Search for Segment Operating Performance</text>
  </threadedComment>
  <threadedComment ref="B167"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1" dT="2026-04-29T20:34:03.37" personId="{C1D857D3-F592-2946-8369-15D188CA547D}" id="{DD0A1CF6-A8AD-5449-A3AC-6C20D392DC56}">
    <text>Actual number</text>
  </threadedComment>
  <threadedComment ref="B172"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2" dT="2026-04-29T21:23:59.71" personId="{C1D857D3-F592-2946-8369-15D188CA547D}" id="{F3F29A7A-0D22-B644-AA22-788A7E4F5B27}">
    <text>Adobe had to pay a one-time termination fee so i will adjust the Earnings with +1B</text>
  </threadedComment>
  <threadedComment ref="K24"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15" dT="2026-05-01T15:38:42.74" personId="{C1D857D3-F592-2946-8369-15D188CA547D}" id="{05A85B98-D878-974D-A4F3-6201824FC4E2}">
    <text>You can find the future values in 10-K Note 8</text>
  </threadedComment>
</ThreadedComments>
</file>

<file path=xl/threadedComments/threadedComment5.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opLeftCell="A32" zoomScale="150" workbookViewId="0">
      <selection activeCell="C48" sqref="C4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268</v>
      </c>
    </row>
    <row r="3" spans="2:5" x14ac:dyDescent="0.2">
      <c r="B3" s="1" t="s">
        <v>73</v>
      </c>
      <c r="C3" s="34">
        <f ca="1">[1]Sheet1!$C$18</f>
        <v>252.47</v>
      </c>
    </row>
    <row r="4" spans="2:5" x14ac:dyDescent="0.2">
      <c r="E4" s="92"/>
    </row>
    <row r="6" spans="2:5" x14ac:dyDescent="0.2">
      <c r="E6" s="34"/>
    </row>
    <row r="7" spans="2:5" x14ac:dyDescent="0.2">
      <c r="B7" s="1" t="s">
        <v>3</v>
      </c>
      <c r="C7" s="35" t="s">
        <v>211</v>
      </c>
    </row>
    <row r="8" spans="2:5" x14ac:dyDescent="0.2">
      <c r="B8" s="1" t="s">
        <v>332</v>
      </c>
      <c r="C8" s="194">
        <v>1000000</v>
      </c>
    </row>
    <row r="10" spans="2:5" x14ac:dyDescent="0.2">
      <c r="C10" s="92"/>
    </row>
    <row r="11" spans="2:5" x14ac:dyDescent="0.2">
      <c r="B11" s="1" t="s">
        <v>107</v>
      </c>
      <c r="C11" s="92">
        <f ca="1">$C$3/'Statement Q'!$N$24</f>
        <v>14.719827622086571</v>
      </c>
    </row>
    <row r="12" spans="2:5" x14ac:dyDescent="0.2">
      <c r="B12" s="1" t="s">
        <v>181</v>
      </c>
      <c r="C12" s="92">
        <f ca="1">$C$3/Statements!W24</f>
        <v>14.719827622086571</v>
      </c>
    </row>
    <row r="13" spans="2:5" x14ac:dyDescent="0.2">
      <c r="B13" s="1" t="s">
        <v>108</v>
      </c>
      <c r="C13" s="97">
        <f ca="1">$C$3/('Statement Q'!$N$5/'Statement Q'!$N$22)</f>
        <v>4.3389570809307649</v>
      </c>
    </row>
    <row r="15" spans="2:5" x14ac:dyDescent="0.2">
      <c r="B15" s="1" t="s">
        <v>140</v>
      </c>
      <c r="C15" s="20">
        <f ca="1">C3*'Statement Q'!N116</f>
        <v>101997.88</v>
      </c>
    </row>
    <row r="16" spans="2:5" x14ac:dyDescent="0.2">
      <c r="B16" s="1" t="s">
        <v>141</v>
      </c>
      <c r="C16" s="20">
        <f>Statements!W27</f>
        <v>6890</v>
      </c>
    </row>
    <row r="17" spans="1:4" x14ac:dyDescent="0.2">
      <c r="B17" s="1" t="s">
        <v>137</v>
      </c>
      <c r="C17" s="20">
        <f>Statements!W41+Statements!W46</f>
        <v>6228</v>
      </c>
    </row>
    <row r="18" spans="1:4" x14ac:dyDescent="0.2">
      <c r="B18" s="1" t="s">
        <v>142</v>
      </c>
      <c r="C18" s="20">
        <f ca="1">C15+C17-C16</f>
        <v>101335.88</v>
      </c>
    </row>
    <row r="19" spans="1:4" x14ac:dyDescent="0.2">
      <c r="B19" s="1" t="s">
        <v>143</v>
      </c>
      <c r="C19" s="92">
        <f>C16/'Statement Q'!J116</f>
        <v>17.054455445544555</v>
      </c>
    </row>
    <row r="21" spans="1:4" x14ac:dyDescent="0.2">
      <c r="B21" s="1" t="s">
        <v>182</v>
      </c>
      <c r="C21" s="158">
        <f>_xlfn.RRI(9,'Statement Y'!C5,'Statement Y'!L5)</f>
        <v>0.16847002802319833</v>
      </c>
      <c r="D21" s="158"/>
    </row>
    <row r="22" spans="1:4" x14ac:dyDescent="0.2">
      <c r="B22" s="1" t="s">
        <v>212</v>
      </c>
      <c r="C22" s="158">
        <f>_xlfn.RRI(9,'Statement Y'!C20,'Statement Y'!L20)</f>
        <v>0.2225110121440852</v>
      </c>
    </row>
    <row r="23" spans="1:4" x14ac:dyDescent="0.2">
      <c r="B23" s="1" t="s">
        <v>213</v>
      </c>
      <c r="C23" s="158">
        <f>_xlfn.RRI(9,'Statement Y'!C28,'Statement Y'!L28)</f>
        <v>0.24522436430257333</v>
      </c>
    </row>
    <row r="24" spans="1:4" x14ac:dyDescent="0.2">
      <c r="B24" s="1" t="s">
        <v>223</v>
      </c>
      <c r="C24" s="88">
        <f>_xlfn.RRI(9,'Statement Y'!C125,'Statement Y'!L125)</f>
        <v>0</v>
      </c>
    </row>
    <row r="25" spans="1:4" x14ac:dyDescent="0.2">
      <c r="B25" s="1" t="s">
        <v>235</v>
      </c>
      <c r="C25" s="88">
        <f>_xlfn.RRI(9,'Statement Y'!C167,'Statement Y'!L167)</f>
        <v>0.13732034321699671</v>
      </c>
    </row>
    <row r="28" spans="1:4" x14ac:dyDescent="0.2">
      <c r="B28" s="1" t="s">
        <v>193</v>
      </c>
    </row>
    <row r="29" spans="1:4" x14ac:dyDescent="0.2">
      <c r="A29"/>
      <c r="B29" s="1" t="s">
        <v>194</v>
      </c>
    </row>
    <row r="30" spans="1:4" x14ac:dyDescent="0.2">
      <c r="B30" s="1" t="s">
        <v>195</v>
      </c>
    </row>
    <row r="31" spans="1:4" x14ac:dyDescent="0.2">
      <c r="B31" s="1" t="s">
        <v>199</v>
      </c>
    </row>
    <row r="33" spans="2:4" x14ac:dyDescent="0.2">
      <c r="B33" s="1" t="s">
        <v>196</v>
      </c>
      <c r="C33" s="20">
        <v>1</v>
      </c>
    </row>
    <row r="34" spans="2:4" x14ac:dyDescent="0.2">
      <c r="B34" s="1" t="s">
        <v>197</v>
      </c>
      <c r="C34" s="20">
        <f>'Statement Q'!N116</f>
        <v>404</v>
      </c>
    </row>
    <row r="35" spans="2:4" x14ac:dyDescent="0.2">
      <c r="B35" s="1" t="s">
        <v>198</v>
      </c>
      <c r="C35" s="158">
        <f>C33/C34</f>
        <v>2.4752475247524753E-3</v>
      </c>
    </row>
    <row r="37" spans="2:4" x14ac:dyDescent="0.2">
      <c r="B37" s="1" t="s">
        <v>200</v>
      </c>
    </row>
    <row r="38" spans="2:4" x14ac:dyDescent="0.2">
      <c r="B38" s="1" t="s">
        <v>201</v>
      </c>
    </row>
    <row r="39" spans="2:4" x14ac:dyDescent="0.2">
      <c r="B39" s="1" t="s">
        <v>202</v>
      </c>
    </row>
    <row r="40" spans="2:4" x14ac:dyDescent="0.2">
      <c r="B40" s="1" t="s">
        <v>203</v>
      </c>
    </row>
    <row r="41" spans="2:4" x14ac:dyDescent="0.2">
      <c r="B41" s="1" t="s">
        <v>204</v>
      </c>
    </row>
    <row r="42" spans="2:4" x14ac:dyDescent="0.2">
      <c r="B42" s="1" t="s">
        <v>207</v>
      </c>
    </row>
    <row r="44" spans="2:4" x14ac:dyDescent="0.2">
      <c r="B44" s="1" t="s">
        <v>135</v>
      </c>
      <c r="C44" s="20">
        <f>Statements!W14*(1-'Statement Y'!L128)</f>
        <v>7315.3114266086559</v>
      </c>
    </row>
    <row r="45" spans="2:4" x14ac:dyDescent="0.2">
      <c r="B45" s="1" t="s">
        <v>137</v>
      </c>
      <c r="C45" s="20">
        <f>Statements!W41+Statements!W46</f>
        <v>6228</v>
      </c>
    </row>
    <row r="46" spans="2:4" x14ac:dyDescent="0.2">
      <c r="B46" s="1" t="s">
        <v>138</v>
      </c>
      <c r="C46" s="20">
        <f>Statements!W58</f>
        <v>11433</v>
      </c>
    </row>
    <row r="47" spans="2:4" x14ac:dyDescent="0.2">
      <c r="B47" s="1" t="s">
        <v>141</v>
      </c>
      <c r="C47" s="20">
        <f>Statements!W27</f>
        <v>6890</v>
      </c>
      <c r="D47" s="20"/>
    </row>
    <row r="48" spans="2:4" x14ac:dyDescent="0.2">
      <c r="B48" s="1" t="s">
        <v>205</v>
      </c>
      <c r="C48" s="158">
        <f>C44/(C45+C46-C47)</f>
        <v>0.67916734069340412</v>
      </c>
      <c r="D48" s="158"/>
    </row>
    <row r="50" spans="3:3" x14ac:dyDescent="0.2">
      <c r="C50" s="10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5"/>
  <sheetViews>
    <sheetView zoomScale="156" zoomScaleNormal="150" workbookViewId="0">
      <pane xSplit="2" ySplit="3" topLeftCell="C162" activePane="bottomRight" state="frozen"/>
      <selection pane="topRight" activeCell="C1" sqref="C1"/>
      <selection pane="bottomLeft" activeCell="A4" sqref="A4"/>
      <selection pane="bottomRight" activeCell="A166" sqref="A166:XFD168"/>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3" t="s">
        <v>281</v>
      </c>
      <c r="D2" s="173" t="s">
        <v>284</v>
      </c>
      <c r="E2" s="173" t="s">
        <v>283</v>
      </c>
      <c r="F2" s="173" t="s">
        <v>282</v>
      </c>
      <c r="G2" s="173" t="s">
        <v>287</v>
      </c>
      <c r="H2" s="173" t="s">
        <v>286</v>
      </c>
      <c r="I2" s="173" t="s">
        <v>285</v>
      </c>
      <c r="J2" s="3" t="s">
        <v>290</v>
      </c>
      <c r="K2" s="3" t="s">
        <v>289</v>
      </c>
      <c r="L2" s="3" t="s">
        <v>288</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275</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276</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277</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278</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279</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280</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173</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71</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215</v>
      </c>
      <c r="C22" s="33">
        <f t="shared" ref="C22:L22" si="4">C21*C$130</f>
        <v>498</v>
      </c>
      <c r="D22" s="33">
        <f t="shared" si="4"/>
        <v>494</v>
      </c>
      <c r="E22" s="33">
        <f t="shared" si="4"/>
        <v>491</v>
      </c>
      <c r="F22" s="33">
        <f t="shared" si="4"/>
        <v>486</v>
      </c>
      <c r="G22" s="33">
        <f t="shared" si="4"/>
        <v>481</v>
      </c>
      <c r="H22" s="33">
        <f t="shared" si="4"/>
        <v>477</v>
      </c>
      <c r="I22" s="33">
        <f t="shared" si="4"/>
        <v>470</v>
      </c>
      <c r="J22" s="33">
        <f t="shared" si="4"/>
        <v>457</v>
      </c>
      <c r="K22" s="33">
        <f t="shared" si="4"/>
        <v>447</v>
      </c>
      <c r="L22" s="33">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216</v>
      </c>
      <c r="C24" s="33">
        <f t="shared" ref="C24:L24" si="5">C23*C$130</f>
        <v>504</v>
      </c>
      <c r="D24" s="33">
        <f t="shared" si="5"/>
        <v>501</v>
      </c>
      <c r="E24" s="33">
        <f t="shared" si="5"/>
        <v>498</v>
      </c>
      <c r="F24" s="33">
        <f t="shared" si="5"/>
        <v>492</v>
      </c>
      <c r="G24" s="33">
        <f t="shared" si="5"/>
        <v>485</v>
      </c>
      <c r="H24" s="33">
        <f t="shared" si="5"/>
        <v>481</v>
      </c>
      <c r="I24" s="33">
        <f t="shared" si="5"/>
        <v>471</v>
      </c>
      <c r="J24" s="33">
        <f t="shared" si="5"/>
        <v>459</v>
      </c>
      <c r="K24" s="33">
        <f t="shared" si="5"/>
        <v>450</v>
      </c>
      <c r="L24" s="33">
        <f t="shared" si="5"/>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217</v>
      </c>
      <c r="C26" s="25">
        <f t="shared" ref="C26:L26" si="6">C25/C$130</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218</v>
      </c>
      <c r="C28" s="174">
        <f t="shared" ref="C28:L28" si="7">C27/C$130</f>
        <v>2.3199999999999998</v>
      </c>
      <c r="D28" s="174">
        <f t="shared" si="7"/>
        <v>3.38</v>
      </c>
      <c r="E28" s="174">
        <f t="shared" si="7"/>
        <v>5.2</v>
      </c>
      <c r="F28" s="174">
        <f t="shared" si="7"/>
        <v>6</v>
      </c>
      <c r="G28" s="174">
        <f t="shared" si="7"/>
        <v>10.83</v>
      </c>
      <c r="H28" s="174">
        <f t="shared" si="7"/>
        <v>10.02</v>
      </c>
      <c r="I28" s="174">
        <f t="shared" si="7"/>
        <v>10.1</v>
      </c>
      <c r="J28" s="174">
        <f t="shared" si="7"/>
        <v>11.82</v>
      </c>
      <c r="K28" s="174">
        <f t="shared" si="7"/>
        <v>12.36</v>
      </c>
      <c r="L28" s="174">
        <f t="shared" si="7"/>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297</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298</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299</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300</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301</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302</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8">SUM(D36:D41)</f>
        <v>7289</v>
      </c>
      <c r="E42" s="55">
        <f t="shared" si="8"/>
        <v>13912</v>
      </c>
      <c r="F42" s="55">
        <f t="shared" si="8"/>
        <v>14268</v>
      </c>
      <c r="G42" s="55">
        <f t="shared" si="8"/>
        <v>16138</v>
      </c>
      <c r="H42" s="55">
        <f t="shared" si="8"/>
        <v>18572</v>
      </c>
      <c r="I42" s="55">
        <f t="shared" si="8"/>
        <v>18169</v>
      </c>
      <c r="J42" s="55">
        <f t="shared" si="8"/>
        <v>18695</v>
      </c>
      <c r="K42" s="55">
        <f t="shared" si="8"/>
        <v>18998</v>
      </c>
      <c r="L42" s="55">
        <f t="shared" si="8"/>
        <v>19333</v>
      </c>
      <c r="M42" s="55">
        <f t="shared" si="8"/>
        <v>0</v>
      </c>
      <c r="N42" s="55">
        <f t="shared" si="8"/>
        <v>0</v>
      </c>
      <c r="O42" s="55">
        <f t="shared" si="8"/>
        <v>0</v>
      </c>
      <c r="P42" s="55">
        <f t="shared" si="8"/>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303</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137</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304</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305</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306</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137</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304</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305</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302</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306</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220</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9">SUM(D51:D56)</f>
        <v>2548</v>
      </c>
      <c r="E57" s="55">
        <f t="shared" si="9"/>
        <v>5106</v>
      </c>
      <c r="F57" s="55">
        <f t="shared" si="9"/>
        <v>2041</v>
      </c>
      <c r="G57" s="55">
        <f t="shared" si="9"/>
        <v>5508</v>
      </c>
      <c r="H57" s="55">
        <f t="shared" si="9"/>
        <v>5512</v>
      </c>
      <c r="I57" s="55">
        <f t="shared" si="9"/>
        <v>4986</v>
      </c>
      <c r="J57" s="55">
        <f t="shared" si="9"/>
        <v>5010</v>
      </c>
      <c r="K57" s="55">
        <f t="shared" si="9"/>
        <v>5604</v>
      </c>
      <c r="L57" s="55">
        <f t="shared" si="9"/>
        <v>7673</v>
      </c>
      <c r="M57" s="55">
        <f t="shared" si="9"/>
        <v>0</v>
      </c>
      <c r="N57" s="55">
        <f t="shared" si="9"/>
        <v>0</v>
      </c>
      <c r="O57" s="55">
        <f t="shared" si="9"/>
        <v>0</v>
      </c>
      <c r="P57" s="55">
        <f t="shared" si="9"/>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307</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308</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309</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94</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310</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302</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324</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311</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312</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313</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314</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95</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315</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316</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317</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318</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319</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224</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225</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325</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320</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321</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322</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230</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224</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51" customFormat="1" outlineLevel="1" x14ac:dyDescent="0.2">
      <c r="A97" s="7"/>
      <c r="B97" s="12" t="s">
        <v>323</v>
      </c>
      <c r="C97" s="27">
        <v>-15</v>
      </c>
      <c r="D97" s="27">
        <v>9</v>
      </c>
      <c r="E97" s="27">
        <v>-1</v>
      </c>
      <c r="F97" s="27">
        <v>-13</v>
      </c>
      <c r="G97" s="27">
        <v>3</v>
      </c>
      <c r="H97" s="27">
        <v>-26</v>
      </c>
      <c r="I97" s="27">
        <v>-51</v>
      </c>
      <c r="J97" s="27">
        <v>9</v>
      </c>
      <c r="K97" s="27">
        <v>-9</v>
      </c>
      <c r="L97" s="27">
        <v>34</v>
      </c>
      <c r="M97" s="27"/>
      <c r="N97" s="27"/>
      <c r="O97" s="27"/>
      <c r="P97" s="27"/>
      <c r="Q97" s="8"/>
      <c r="R97" s="8"/>
      <c r="S97" s="8"/>
      <c r="T97" s="8"/>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 t="shared" ref="C103:P103" si="11">C5-C6-C13+C15+C16+C17+C19</f>
        <v>1169</v>
      </c>
      <c r="D103" s="20">
        <f t="shared" si="11"/>
        <v>1694</v>
      </c>
      <c r="E103" s="20">
        <f t="shared" si="11"/>
        <v>2591</v>
      </c>
      <c r="F103" s="20">
        <f t="shared" si="11"/>
        <v>2952</v>
      </c>
      <c r="G103" s="20">
        <f t="shared" si="11"/>
        <v>5260</v>
      </c>
      <c r="H103" s="20">
        <f t="shared" si="11"/>
        <v>4822</v>
      </c>
      <c r="I103" s="20">
        <f t="shared" si="11"/>
        <v>4756</v>
      </c>
      <c r="J103" s="20">
        <f t="shared" si="11"/>
        <v>5428</v>
      </c>
      <c r="K103" s="20">
        <f t="shared" si="11"/>
        <v>5560</v>
      </c>
      <c r="L103" s="20">
        <f t="shared" si="11"/>
        <v>7130</v>
      </c>
      <c r="M103" s="20">
        <f t="shared" si="11"/>
        <v>0</v>
      </c>
      <c r="N103" s="20">
        <f t="shared" si="11"/>
        <v>0</v>
      </c>
      <c r="O103" s="20">
        <f t="shared" si="11"/>
        <v>0</v>
      </c>
      <c r="P103" s="20">
        <f t="shared" si="11"/>
        <v>0</v>
      </c>
    </row>
    <row r="104" spans="1:20" s="18" customFormat="1" outlineLevel="1" collapsed="1" x14ac:dyDescent="0.2">
      <c r="A104" s="7"/>
      <c r="B104" s="17" t="s">
        <v>47</v>
      </c>
      <c r="C104" s="24">
        <f t="shared" ref="C104:P104" si="12">C20-C103</f>
        <v>0</v>
      </c>
      <c r="D104" s="24">
        <f t="shared" si="12"/>
        <v>0</v>
      </c>
      <c r="E104" s="24">
        <f t="shared" si="12"/>
        <v>0</v>
      </c>
      <c r="F104" s="24">
        <f t="shared" si="12"/>
        <v>0</v>
      </c>
      <c r="G104" s="24">
        <f t="shared" si="12"/>
        <v>0</v>
      </c>
      <c r="H104" s="24">
        <f t="shared" si="12"/>
        <v>0</v>
      </c>
      <c r="I104" s="24">
        <f t="shared" si="12"/>
        <v>0</v>
      </c>
      <c r="J104" s="24">
        <f t="shared" si="12"/>
        <v>0</v>
      </c>
      <c r="K104" s="24">
        <f t="shared" si="12"/>
        <v>0</v>
      </c>
      <c r="L104" s="24">
        <f t="shared" si="12"/>
        <v>0</v>
      </c>
      <c r="M104" s="24">
        <f t="shared" si="12"/>
        <v>0</v>
      </c>
      <c r="N104" s="24">
        <f t="shared" si="12"/>
        <v>0</v>
      </c>
      <c r="O104" s="24">
        <f t="shared" si="12"/>
        <v>0</v>
      </c>
      <c r="P104" s="24">
        <f t="shared" si="12"/>
        <v>0</v>
      </c>
    </row>
    <row r="105" spans="1:20" hidden="1" outlineLevel="2" x14ac:dyDescent="0.2">
      <c r="B105" s="9" t="s">
        <v>48</v>
      </c>
      <c r="C105" s="20">
        <f t="shared" ref="C105:P105" si="13">SUM(C31:C34)+SUM(C36:C41)</f>
        <v>12697</v>
      </c>
      <c r="D105" s="20">
        <f t="shared" si="13"/>
        <v>14536</v>
      </c>
      <c r="E105" s="20">
        <f t="shared" si="13"/>
        <v>18769</v>
      </c>
      <c r="F105" s="20">
        <f t="shared" si="13"/>
        <v>20762</v>
      </c>
      <c r="G105" s="20">
        <f t="shared" si="13"/>
        <v>24284</v>
      </c>
      <c r="H105" s="20">
        <f t="shared" si="13"/>
        <v>27241</v>
      </c>
      <c r="I105" s="20">
        <f t="shared" si="13"/>
        <v>27165</v>
      </c>
      <c r="J105" s="20">
        <f t="shared" si="13"/>
        <v>29779</v>
      </c>
      <c r="K105" s="20">
        <f t="shared" si="13"/>
        <v>30230</v>
      </c>
      <c r="L105" s="20">
        <f t="shared" si="13"/>
        <v>29496</v>
      </c>
      <c r="M105" s="20">
        <f t="shared" si="13"/>
        <v>0</v>
      </c>
      <c r="N105" s="20">
        <f t="shared" si="13"/>
        <v>0</v>
      </c>
      <c r="O105" s="20">
        <f t="shared" si="13"/>
        <v>0</v>
      </c>
      <c r="P105" s="20">
        <f t="shared" si="13"/>
        <v>0</v>
      </c>
    </row>
    <row r="106" spans="1:20" s="7" customFormat="1" outlineLevel="1" collapsed="1" x14ac:dyDescent="0.2">
      <c r="B106" s="11" t="s">
        <v>49</v>
      </c>
      <c r="C106" s="23">
        <f t="shared" ref="C106:P106" si="14">C43-C105</f>
        <v>0</v>
      </c>
      <c r="D106" s="23">
        <f t="shared" si="14"/>
        <v>0</v>
      </c>
      <c r="E106" s="23">
        <f t="shared" si="14"/>
        <v>0</v>
      </c>
      <c r="F106" s="23">
        <f t="shared" si="14"/>
        <v>0</v>
      </c>
      <c r="G106" s="23">
        <f t="shared" si="14"/>
        <v>0</v>
      </c>
      <c r="H106" s="23">
        <f t="shared" si="14"/>
        <v>0</v>
      </c>
      <c r="I106" s="23">
        <f t="shared" si="14"/>
        <v>0</v>
      </c>
      <c r="J106" s="23">
        <f t="shared" si="14"/>
        <v>0</v>
      </c>
      <c r="K106" s="23">
        <f t="shared" si="14"/>
        <v>0</v>
      </c>
      <c r="L106" s="23">
        <f t="shared" si="14"/>
        <v>0</v>
      </c>
      <c r="M106" s="23">
        <f t="shared" si="14"/>
        <v>0</v>
      </c>
      <c r="N106" s="23">
        <f t="shared" si="14"/>
        <v>0</v>
      </c>
      <c r="O106" s="23">
        <f t="shared" si="14"/>
        <v>0</v>
      </c>
      <c r="P106" s="23">
        <f t="shared" si="14"/>
        <v>0</v>
      </c>
    </row>
    <row r="107" spans="1:20" hidden="1" outlineLevel="2" x14ac:dyDescent="0.2">
      <c r="B107" s="9" t="s">
        <v>50</v>
      </c>
      <c r="C107" s="20">
        <f t="shared" ref="C107:P107" si="15">SUM(C44:C49)+SUM(C51:C56)</f>
        <v>5272</v>
      </c>
      <c r="D107" s="20">
        <f t="shared" si="15"/>
        <v>6076</v>
      </c>
      <c r="E107" s="20">
        <f t="shared" si="15"/>
        <v>9407</v>
      </c>
      <c r="F107" s="20">
        <f t="shared" si="15"/>
        <v>10232</v>
      </c>
      <c r="G107" s="20">
        <f t="shared" si="15"/>
        <v>11020</v>
      </c>
      <c r="H107" s="20">
        <f t="shared" si="15"/>
        <v>12444</v>
      </c>
      <c r="I107" s="20">
        <f t="shared" si="15"/>
        <v>13114</v>
      </c>
      <c r="J107" s="20">
        <f t="shared" si="15"/>
        <v>13261</v>
      </c>
      <c r="K107" s="20">
        <f t="shared" si="15"/>
        <v>16125</v>
      </c>
      <c r="L107" s="20">
        <f t="shared" si="15"/>
        <v>17873</v>
      </c>
      <c r="M107" s="20">
        <f t="shared" si="15"/>
        <v>0</v>
      </c>
      <c r="N107" s="20">
        <f t="shared" si="15"/>
        <v>0</v>
      </c>
      <c r="O107" s="20">
        <f t="shared" si="15"/>
        <v>0</v>
      </c>
      <c r="P107" s="20">
        <f t="shared" si="15"/>
        <v>0</v>
      </c>
    </row>
    <row r="108" spans="1:20" s="7" customFormat="1" outlineLevel="1" collapsed="1" x14ac:dyDescent="0.2">
      <c r="B108" s="11" t="s">
        <v>51</v>
      </c>
      <c r="C108" s="23">
        <f t="shared" ref="C108:P108" si="16">C58-C107</f>
        <v>0</v>
      </c>
      <c r="D108" s="23">
        <f t="shared" si="16"/>
        <v>0</v>
      </c>
      <c r="E108" s="23">
        <f t="shared" si="16"/>
        <v>0</v>
      </c>
      <c r="F108" s="23">
        <f t="shared" si="16"/>
        <v>0</v>
      </c>
      <c r="G108" s="23">
        <f t="shared" si="16"/>
        <v>0</v>
      </c>
      <c r="H108" s="23">
        <f t="shared" si="16"/>
        <v>0</v>
      </c>
      <c r="I108" s="23">
        <f t="shared" si="16"/>
        <v>0</v>
      </c>
      <c r="J108" s="23">
        <f t="shared" si="16"/>
        <v>0</v>
      </c>
      <c r="K108" s="23">
        <f t="shared" si="16"/>
        <v>0</v>
      </c>
      <c r="L108" s="23">
        <f t="shared" si="16"/>
        <v>0</v>
      </c>
      <c r="M108" s="23">
        <f t="shared" si="16"/>
        <v>0</v>
      </c>
      <c r="N108" s="23">
        <f t="shared" si="16"/>
        <v>0</v>
      </c>
      <c r="O108" s="23">
        <f t="shared" si="16"/>
        <v>0</v>
      </c>
      <c r="P108" s="23">
        <f t="shared" si="16"/>
        <v>0</v>
      </c>
    </row>
    <row r="109" spans="1:20" hidden="1" outlineLevel="2" x14ac:dyDescent="0.2">
      <c r="B109" s="9" t="s">
        <v>52</v>
      </c>
      <c r="C109" s="20">
        <f t="shared" ref="C109:P109" si="17">SUM(C59:C62)</f>
        <v>7425</v>
      </c>
      <c r="D109" s="20">
        <f t="shared" si="17"/>
        <v>8460</v>
      </c>
      <c r="E109" s="20">
        <f t="shared" si="17"/>
        <v>9362</v>
      </c>
      <c r="F109" s="20">
        <f t="shared" si="17"/>
        <v>10530</v>
      </c>
      <c r="G109" s="20">
        <f t="shared" si="17"/>
        <v>13264</v>
      </c>
      <c r="H109" s="20">
        <f t="shared" si="17"/>
        <v>14797</v>
      </c>
      <c r="I109" s="20">
        <f t="shared" si="17"/>
        <v>14051</v>
      </c>
      <c r="J109" s="20">
        <f t="shared" si="17"/>
        <v>16518</v>
      </c>
      <c r="K109" s="20">
        <f t="shared" si="17"/>
        <v>14105</v>
      </c>
      <c r="L109" s="20">
        <f t="shared" si="17"/>
        <v>11623</v>
      </c>
      <c r="M109" s="20">
        <f t="shared" si="17"/>
        <v>0</v>
      </c>
      <c r="N109" s="20">
        <f t="shared" si="17"/>
        <v>0</v>
      </c>
      <c r="O109" s="20">
        <f t="shared" si="17"/>
        <v>0</v>
      </c>
      <c r="P109" s="20">
        <f t="shared" si="17"/>
        <v>0</v>
      </c>
    </row>
    <row r="110" spans="1:20" s="7" customFormat="1" outlineLevel="1" collapsed="1" x14ac:dyDescent="0.2">
      <c r="B110" s="11" t="s">
        <v>53</v>
      </c>
      <c r="C110" s="23">
        <f t="shared" ref="C110:P110" si="18">C63-C109</f>
        <v>0</v>
      </c>
      <c r="D110" s="23">
        <f t="shared" si="18"/>
        <v>0</v>
      </c>
      <c r="E110" s="23">
        <f t="shared" si="18"/>
        <v>0</v>
      </c>
      <c r="F110" s="23">
        <f t="shared" si="18"/>
        <v>0</v>
      </c>
      <c r="G110" s="23">
        <f t="shared" si="18"/>
        <v>0</v>
      </c>
      <c r="H110" s="23">
        <f t="shared" si="18"/>
        <v>0</v>
      </c>
      <c r="I110" s="23">
        <f t="shared" si="18"/>
        <v>0</v>
      </c>
      <c r="J110" s="23">
        <f t="shared" si="18"/>
        <v>0</v>
      </c>
      <c r="K110" s="23">
        <f t="shared" si="18"/>
        <v>0</v>
      </c>
      <c r="L110" s="23">
        <f t="shared" si="18"/>
        <v>0</v>
      </c>
      <c r="M110" s="23">
        <f t="shared" si="18"/>
        <v>0</v>
      </c>
      <c r="N110" s="23">
        <f t="shared" si="18"/>
        <v>0</v>
      </c>
      <c r="O110" s="23">
        <f t="shared" si="18"/>
        <v>0</v>
      </c>
      <c r="P110" s="23">
        <f t="shared" si="18"/>
        <v>0</v>
      </c>
    </row>
    <row r="111" spans="1:20" s="18" customFormat="1" outlineLevel="1" x14ac:dyDescent="0.2">
      <c r="A111" s="7"/>
      <c r="B111" s="17" t="s">
        <v>63</v>
      </c>
      <c r="C111" s="22">
        <f t="shared" ref="C111:P111" si="19">C43-(C58+C63)</f>
        <v>0</v>
      </c>
      <c r="D111" s="22">
        <f t="shared" si="19"/>
        <v>0</v>
      </c>
      <c r="E111" s="22">
        <f t="shared" si="19"/>
        <v>0</v>
      </c>
      <c r="F111" s="22">
        <f t="shared" si="19"/>
        <v>0</v>
      </c>
      <c r="G111" s="22">
        <f t="shared" si="19"/>
        <v>0</v>
      </c>
      <c r="H111" s="22">
        <f t="shared" si="19"/>
        <v>0</v>
      </c>
      <c r="I111" s="22">
        <f t="shared" si="19"/>
        <v>0</v>
      </c>
      <c r="J111" s="22">
        <f t="shared" si="19"/>
        <v>0</v>
      </c>
      <c r="K111" s="22">
        <f t="shared" si="19"/>
        <v>0</v>
      </c>
      <c r="L111" s="22">
        <f t="shared" si="19"/>
        <v>0</v>
      </c>
      <c r="M111" s="22">
        <f t="shared" si="19"/>
        <v>0</v>
      </c>
      <c r="N111" s="22">
        <f t="shared" si="19"/>
        <v>0</v>
      </c>
      <c r="O111" s="22">
        <f t="shared" si="19"/>
        <v>0</v>
      </c>
      <c r="P111" s="22">
        <f t="shared" si="19"/>
        <v>0</v>
      </c>
    </row>
    <row r="112" spans="1:20" hidden="1" outlineLevel="2" x14ac:dyDescent="0.2">
      <c r="B112" s="9" t="s">
        <v>54</v>
      </c>
      <c r="C112" s="20">
        <f t="shared" ref="C112:P112" si="20">SUM(C67:C79)</f>
        <v>2200</v>
      </c>
      <c r="D112" s="20">
        <f t="shared" si="20"/>
        <v>2913</v>
      </c>
      <c r="E112" s="20">
        <f t="shared" si="20"/>
        <v>4029</v>
      </c>
      <c r="F112" s="20">
        <f t="shared" si="20"/>
        <v>4422</v>
      </c>
      <c r="G112" s="20">
        <f t="shared" si="20"/>
        <v>5727</v>
      </c>
      <c r="H112" s="20">
        <f t="shared" si="20"/>
        <v>7230</v>
      </c>
      <c r="I112" s="20">
        <f t="shared" si="20"/>
        <v>7838</v>
      </c>
      <c r="J112" s="20">
        <f t="shared" si="20"/>
        <v>7302</v>
      </c>
      <c r="K112" s="20">
        <f t="shared" si="20"/>
        <v>8056</v>
      </c>
      <c r="L112" s="20">
        <f t="shared" si="20"/>
        <v>10031</v>
      </c>
      <c r="M112" s="20">
        <f t="shared" si="20"/>
        <v>0</v>
      </c>
      <c r="N112" s="20">
        <f t="shared" si="20"/>
        <v>0</v>
      </c>
      <c r="O112" s="20">
        <f t="shared" si="20"/>
        <v>0</v>
      </c>
      <c r="P112" s="20">
        <f t="shared" si="20"/>
        <v>0</v>
      </c>
    </row>
    <row r="113" spans="1:19" s="7" customFormat="1" outlineLevel="1" collapsed="1" x14ac:dyDescent="0.2">
      <c r="B113" s="11" t="s">
        <v>55</v>
      </c>
      <c r="C113" s="23">
        <f t="shared" ref="C113:P113" si="21">C80-C112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9" hidden="1" outlineLevel="2" x14ac:dyDescent="0.2">
      <c r="B114" s="9" t="s">
        <v>56</v>
      </c>
      <c r="C114" s="20">
        <f t="shared" ref="C114:P114" si="22">SUM(C81:C87)</f>
        <v>-960</v>
      </c>
      <c r="D114" s="20">
        <f t="shared" si="22"/>
        <v>-443</v>
      </c>
      <c r="E114" s="20">
        <f t="shared" si="22"/>
        <v>-4685</v>
      </c>
      <c r="F114" s="20">
        <f t="shared" si="22"/>
        <v>-456</v>
      </c>
      <c r="G114" s="20">
        <f t="shared" si="22"/>
        <v>-414</v>
      </c>
      <c r="H114" s="20">
        <f t="shared" si="22"/>
        <v>-3537</v>
      </c>
      <c r="I114" s="20">
        <f t="shared" si="22"/>
        <v>-570</v>
      </c>
      <c r="J114" s="20">
        <f t="shared" si="22"/>
        <v>776</v>
      </c>
      <c r="K114" s="20">
        <f t="shared" si="22"/>
        <v>149</v>
      </c>
      <c r="L114" s="20">
        <f t="shared" si="22"/>
        <v>-1187</v>
      </c>
      <c r="M114" s="20">
        <f t="shared" si="22"/>
        <v>0</v>
      </c>
      <c r="N114" s="20">
        <f t="shared" si="22"/>
        <v>0</v>
      </c>
      <c r="O114" s="20">
        <f t="shared" si="22"/>
        <v>0</v>
      </c>
      <c r="P114" s="20">
        <f t="shared" si="22"/>
        <v>0</v>
      </c>
    </row>
    <row r="115" spans="1:19" s="7" customFormat="1" outlineLevel="1" collapsed="1" x14ac:dyDescent="0.2">
      <c r="B115" s="11" t="s">
        <v>57</v>
      </c>
      <c r="C115" s="23">
        <f t="shared" ref="C115:P115" si="23">C88-C114</f>
        <v>0</v>
      </c>
      <c r="D115" s="23">
        <f t="shared" si="23"/>
        <v>0</v>
      </c>
      <c r="E115" s="23">
        <f t="shared" si="23"/>
        <v>0</v>
      </c>
      <c r="F115" s="23">
        <f t="shared" si="23"/>
        <v>0</v>
      </c>
      <c r="G115" s="23">
        <f t="shared" si="23"/>
        <v>0</v>
      </c>
      <c r="H115" s="23">
        <f t="shared" si="23"/>
        <v>0</v>
      </c>
      <c r="I115" s="23">
        <f t="shared" si="23"/>
        <v>0</v>
      </c>
      <c r="J115" s="23">
        <f t="shared" si="23"/>
        <v>0</v>
      </c>
      <c r="K115" s="23">
        <f t="shared" si="23"/>
        <v>0</v>
      </c>
      <c r="L115" s="23">
        <f t="shared" si="23"/>
        <v>0</v>
      </c>
      <c r="M115" s="23">
        <f t="shared" si="23"/>
        <v>0</v>
      </c>
      <c r="N115" s="23">
        <f t="shared" si="23"/>
        <v>0</v>
      </c>
      <c r="O115" s="23">
        <f t="shared" si="23"/>
        <v>0</v>
      </c>
      <c r="P115" s="23">
        <f t="shared" si="23"/>
        <v>0</v>
      </c>
    </row>
    <row r="116" spans="1:19" hidden="1" outlineLevel="2" x14ac:dyDescent="0.2">
      <c r="B116" s="9" t="s">
        <v>58</v>
      </c>
      <c r="C116" s="20">
        <f t="shared" ref="C116:P116" si="24">SUM(C89:C95)</f>
        <v>-1091</v>
      </c>
      <c r="D116" s="20">
        <f t="shared" si="24"/>
        <v>-1184</v>
      </c>
      <c r="E116" s="20">
        <f t="shared" si="24"/>
        <v>-6</v>
      </c>
      <c r="F116" s="20">
        <f t="shared" si="24"/>
        <v>-2946</v>
      </c>
      <c r="G116" s="20">
        <f t="shared" si="24"/>
        <v>-3488</v>
      </c>
      <c r="H116" s="20">
        <f t="shared" si="24"/>
        <v>-4301</v>
      </c>
      <c r="I116" s="20">
        <f t="shared" si="24"/>
        <v>-6825</v>
      </c>
      <c r="J116" s="20">
        <f t="shared" si="24"/>
        <v>-5182</v>
      </c>
      <c r="K116" s="20">
        <f t="shared" si="24"/>
        <v>-7724</v>
      </c>
      <c r="L116" s="20">
        <f t="shared" si="24"/>
        <v>-11060</v>
      </c>
      <c r="M116" s="20">
        <f t="shared" si="24"/>
        <v>0</v>
      </c>
      <c r="N116" s="20">
        <f t="shared" si="24"/>
        <v>0</v>
      </c>
      <c r="O116" s="20">
        <f t="shared" si="24"/>
        <v>0</v>
      </c>
      <c r="P116" s="20">
        <f t="shared" si="24"/>
        <v>0</v>
      </c>
    </row>
    <row r="117" spans="1:19" s="7" customFormat="1" outlineLevel="1" collapsed="1" x14ac:dyDescent="0.2">
      <c r="B117" s="11" t="s">
        <v>59</v>
      </c>
      <c r="C117" s="23">
        <f t="shared" ref="C117" si="25">C96-C116</f>
        <v>0</v>
      </c>
      <c r="D117" s="23">
        <f t="shared" ref="D117:P117" si="26">D96-D116</f>
        <v>0</v>
      </c>
      <c r="E117" s="23">
        <f t="shared" si="26"/>
        <v>0</v>
      </c>
      <c r="F117" s="23">
        <f t="shared" si="26"/>
        <v>0</v>
      </c>
      <c r="G117" s="23">
        <f t="shared" si="26"/>
        <v>0</v>
      </c>
      <c r="H117" s="23">
        <f t="shared" si="26"/>
        <v>0</v>
      </c>
      <c r="I117" s="23">
        <f t="shared" si="26"/>
        <v>0</v>
      </c>
      <c r="J117" s="23">
        <f t="shared" si="26"/>
        <v>0</v>
      </c>
      <c r="K117" s="23">
        <f t="shared" si="26"/>
        <v>0</v>
      </c>
      <c r="L117" s="23">
        <f t="shared" si="26"/>
        <v>0</v>
      </c>
      <c r="M117" s="23">
        <f t="shared" si="26"/>
        <v>0</v>
      </c>
      <c r="N117" s="23">
        <f t="shared" si="26"/>
        <v>0</v>
      </c>
      <c r="O117" s="23">
        <f t="shared" si="26"/>
        <v>0</v>
      </c>
      <c r="P117" s="23">
        <f t="shared" si="26"/>
        <v>0</v>
      </c>
    </row>
    <row r="118" spans="1:19" hidden="1" outlineLevel="2" x14ac:dyDescent="0.2">
      <c r="B118" s="9" t="s">
        <v>61</v>
      </c>
      <c r="C118" s="20">
        <f>C80+C88+C96+C99+C97</f>
        <v>1011</v>
      </c>
      <c r="D118" s="20">
        <f t="shared" ref="D118:S118" si="27">D80+D88+D96+D99+D97</f>
        <v>2306</v>
      </c>
      <c r="E118" s="20">
        <f t="shared" si="27"/>
        <v>1643</v>
      </c>
      <c r="F118" s="20">
        <f t="shared" si="27"/>
        <v>2650</v>
      </c>
      <c r="G118" s="20">
        <f t="shared" si="27"/>
        <v>4478</v>
      </c>
      <c r="H118" s="20">
        <f t="shared" si="27"/>
        <v>3844</v>
      </c>
      <c r="I118" s="20">
        <f t="shared" si="27"/>
        <v>4236</v>
      </c>
      <c r="J118" s="20">
        <f t="shared" si="27"/>
        <v>7141</v>
      </c>
      <c r="K118" s="20">
        <f t="shared" si="27"/>
        <v>7613</v>
      </c>
      <c r="L118" s="20">
        <f t="shared" si="27"/>
        <v>5431</v>
      </c>
      <c r="M118" s="20">
        <f t="shared" si="27"/>
        <v>0</v>
      </c>
      <c r="N118" s="20">
        <f t="shared" si="27"/>
        <v>0</v>
      </c>
      <c r="O118" s="20">
        <f t="shared" si="27"/>
        <v>0</v>
      </c>
      <c r="P118" s="20">
        <f t="shared" si="27"/>
        <v>0</v>
      </c>
      <c r="Q118" s="20">
        <f t="shared" si="27"/>
        <v>0</v>
      </c>
      <c r="R118" s="20">
        <f t="shared" si="27"/>
        <v>0</v>
      </c>
      <c r="S118" s="20">
        <f t="shared" si="27"/>
        <v>0</v>
      </c>
    </row>
    <row r="119" spans="1:19" s="18" customFormat="1" outlineLevel="1" collapsed="1" x14ac:dyDescent="0.2">
      <c r="A119" s="7"/>
      <c r="B119" s="17" t="s">
        <v>60</v>
      </c>
      <c r="C119" s="22">
        <f t="shared" ref="C119" si="28">C100-C118</f>
        <v>0</v>
      </c>
      <c r="D119" s="22">
        <f t="shared" ref="D119:P119" si="29">D100-D118</f>
        <v>0</v>
      </c>
      <c r="E119" s="22">
        <f t="shared" si="29"/>
        <v>0</v>
      </c>
      <c r="F119" s="22">
        <f t="shared" si="29"/>
        <v>0</v>
      </c>
      <c r="G119" s="22">
        <f t="shared" si="29"/>
        <v>0</v>
      </c>
      <c r="H119" s="22">
        <f t="shared" si="29"/>
        <v>0</v>
      </c>
      <c r="I119" s="22">
        <f t="shared" si="29"/>
        <v>0</v>
      </c>
      <c r="J119" s="22">
        <f t="shared" si="29"/>
        <v>0</v>
      </c>
      <c r="K119" s="22">
        <f t="shared" si="29"/>
        <v>0</v>
      </c>
      <c r="L119" s="22">
        <f t="shared" si="29"/>
        <v>0</v>
      </c>
      <c r="M119" s="22">
        <f t="shared" si="29"/>
        <v>0</v>
      </c>
      <c r="N119" s="22">
        <f t="shared" si="29"/>
        <v>0</v>
      </c>
      <c r="O119" s="22">
        <f t="shared" si="29"/>
        <v>0</v>
      </c>
      <c r="P119" s="22">
        <f t="shared" si="29"/>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221</v>
      </c>
      <c r="C123" s="33">
        <f t="shared" ref="C123:L123" si="30">C122*C130</f>
        <v>494</v>
      </c>
      <c r="D123" s="33">
        <f t="shared" si="30"/>
        <v>492</v>
      </c>
      <c r="E123" s="33">
        <f t="shared" si="30"/>
        <v>488</v>
      </c>
      <c r="F123" s="33">
        <f t="shared" si="30"/>
        <v>482</v>
      </c>
      <c r="G123" s="33">
        <f t="shared" si="30"/>
        <v>479</v>
      </c>
      <c r="H123" s="33">
        <f t="shared" si="30"/>
        <v>472</v>
      </c>
      <c r="I123" s="33">
        <f t="shared" si="30"/>
        <v>458</v>
      </c>
      <c r="J123" s="33">
        <f t="shared" si="30"/>
        <v>452</v>
      </c>
      <c r="K123" s="33">
        <f t="shared" si="30"/>
        <v>435</v>
      </c>
      <c r="L123" s="33">
        <f t="shared" si="30"/>
        <v>411</v>
      </c>
      <c r="M123" s="33"/>
      <c r="N123" s="33"/>
      <c r="O123" s="33"/>
      <c r="P123" s="33"/>
    </row>
    <row r="124" spans="1:19" outlineLevel="1" x14ac:dyDescent="0.2">
      <c r="B124" s="12" t="s">
        <v>70</v>
      </c>
      <c r="C124" s="175">
        <v>0</v>
      </c>
      <c r="D124" s="175">
        <v>0</v>
      </c>
      <c r="E124" s="175">
        <v>0</v>
      </c>
      <c r="F124" s="175">
        <v>0</v>
      </c>
      <c r="G124" s="175">
        <v>0</v>
      </c>
      <c r="H124" s="175">
        <v>0</v>
      </c>
      <c r="I124" s="175">
        <v>0</v>
      </c>
      <c r="J124" s="175">
        <v>0</v>
      </c>
      <c r="K124" s="175">
        <v>0</v>
      </c>
      <c r="L124" s="175">
        <v>0</v>
      </c>
      <c r="M124" s="175"/>
      <c r="N124" s="175"/>
      <c r="O124" s="175"/>
      <c r="P124" s="175"/>
    </row>
    <row r="125" spans="1:19" outlineLevel="1" x14ac:dyDescent="0.2">
      <c r="B125" s="12" t="s">
        <v>222</v>
      </c>
      <c r="C125" s="8">
        <f t="shared" ref="C125:L125" si="31">C124/C130</f>
        <v>0</v>
      </c>
      <c r="D125" s="176">
        <f t="shared" si="31"/>
        <v>0</v>
      </c>
      <c r="E125" s="176">
        <f t="shared" si="31"/>
        <v>0</v>
      </c>
      <c r="F125" s="176">
        <f t="shared" si="31"/>
        <v>0</v>
      </c>
      <c r="G125" s="176">
        <f t="shared" si="31"/>
        <v>0</v>
      </c>
      <c r="H125" s="176">
        <f t="shared" si="31"/>
        <v>0</v>
      </c>
      <c r="I125" s="176">
        <f t="shared" si="31"/>
        <v>0</v>
      </c>
      <c r="J125" s="176">
        <f t="shared" si="31"/>
        <v>0</v>
      </c>
      <c r="K125" s="176">
        <f t="shared" si="31"/>
        <v>0</v>
      </c>
      <c r="L125" s="176">
        <f t="shared" si="31"/>
        <v>0</v>
      </c>
      <c r="M125" s="8"/>
      <c r="N125" s="8"/>
      <c r="O125" s="8"/>
      <c r="P125" s="8"/>
    </row>
    <row r="126" spans="1:19" outlineLevel="1" x14ac:dyDescent="0.2">
      <c r="B126" s="9" t="s">
        <v>85</v>
      </c>
      <c r="C126" s="27"/>
      <c r="D126" s="27"/>
      <c r="E126" s="27"/>
      <c r="F126" s="27"/>
      <c r="G126" s="27"/>
      <c r="H126" s="27"/>
      <c r="I126" s="27"/>
      <c r="J126" s="27"/>
      <c r="K126" s="27"/>
      <c r="L126" s="27"/>
      <c r="M126" s="27"/>
      <c r="N126" s="27"/>
      <c r="O126" s="27"/>
      <c r="P126" s="27"/>
    </row>
    <row r="127" spans="1:19" outlineLevel="1" x14ac:dyDescent="0.2">
      <c r="B127" s="9" t="s">
        <v>86</v>
      </c>
      <c r="C127" s="33"/>
      <c r="D127" s="33"/>
      <c r="E127" s="33"/>
      <c r="F127" s="33"/>
      <c r="G127" s="33"/>
      <c r="H127" s="33"/>
      <c r="I127" s="33"/>
      <c r="J127" s="33"/>
      <c r="K127" s="33"/>
      <c r="L127" s="33"/>
      <c r="M127" s="27"/>
      <c r="N127" s="27"/>
      <c r="O127" s="27"/>
      <c r="P127" s="27"/>
    </row>
    <row r="128" spans="1:19" outlineLevel="1" x14ac:dyDescent="0.2">
      <c r="B128" s="9" t="s">
        <v>92</v>
      </c>
      <c r="C128" s="147">
        <f t="shared" ref="C128:L128" si="32">-(C19)/C18</f>
        <v>0.18536585365853658</v>
      </c>
      <c r="D128" s="147">
        <f t="shared" si="32"/>
        <v>0.20767072029934519</v>
      </c>
      <c r="E128" s="147">
        <f t="shared" si="32"/>
        <v>7.2655690765926983E-2</v>
      </c>
      <c r="F128" s="147">
        <f t="shared" si="32"/>
        <v>7.8939157566302653E-2</v>
      </c>
      <c r="G128" s="147">
        <f t="shared" si="32"/>
        <v>-0.25957854406130271</v>
      </c>
      <c r="H128" s="147">
        <f t="shared" si="32"/>
        <v>0.15477651183172655</v>
      </c>
      <c r="I128" s="147">
        <f t="shared" si="32"/>
        <v>0.20838881491344874</v>
      </c>
      <c r="J128" s="147">
        <f t="shared" si="32"/>
        <v>0.20164730107368731</v>
      </c>
      <c r="K128" s="147">
        <f t="shared" si="32"/>
        <v>0.19780695426345404</v>
      </c>
      <c r="L128" s="147">
        <f t="shared" si="32"/>
        <v>0.18365010304556903</v>
      </c>
      <c r="M128" s="147"/>
      <c r="N128" s="147"/>
      <c r="O128" s="147"/>
      <c r="P128" s="147"/>
    </row>
    <row r="129" spans="1:16" outlineLevel="1" x14ac:dyDescent="0.2">
      <c r="B129" s="9" t="s">
        <v>93</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214</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87</v>
      </c>
    </row>
    <row r="134" spans="1:16" s="18" customFormat="1" outlineLevel="1" x14ac:dyDescent="0.2">
      <c r="A134" s="7"/>
      <c r="B134" s="17" t="s">
        <v>6</v>
      </c>
      <c r="C134" s="80"/>
      <c r="D134" s="75">
        <f t="shared" ref="D134:L134" si="33">IF(C5=0,
IF(D5=0,0,IF(D5&gt;0,1,-1)),
(D5-C5)/ABS(C5)
)</f>
        <v>0.24735223778612914</v>
      </c>
      <c r="E134" s="75">
        <f t="shared" si="33"/>
        <v>0.23664749383730485</v>
      </c>
      <c r="F134" s="75">
        <f t="shared" si="33"/>
        <v>0.23709856035437432</v>
      </c>
      <c r="G134" s="75">
        <f t="shared" si="33"/>
        <v>0.151911198639334</v>
      </c>
      <c r="H134" s="75">
        <f t="shared" si="33"/>
        <v>0.22668635374572582</v>
      </c>
      <c r="I134" s="75">
        <f t="shared" si="33"/>
        <v>0.11536268609439342</v>
      </c>
      <c r="J134" s="75">
        <f t="shared" si="33"/>
        <v>0.10240826990798592</v>
      </c>
      <c r="K134" s="75">
        <f t="shared" si="33"/>
        <v>0.10799113813179453</v>
      </c>
      <c r="L134" s="75">
        <f t="shared" si="33"/>
        <v>0.10527784236224134</v>
      </c>
      <c r="M134" s="75"/>
      <c r="N134" s="75"/>
      <c r="O134" s="75"/>
      <c r="P134" s="75"/>
    </row>
    <row r="135" spans="1:16" outlineLevel="1" x14ac:dyDescent="0.2">
      <c r="B135" s="9" t="s">
        <v>7</v>
      </c>
      <c r="C135" s="79"/>
      <c r="D135" s="74">
        <f t="shared" ref="D135:L135" si="34">IF(C6=0,
IF(D6=0,0,IF(D6&gt;0,1,-1)),
(D6-C6)/ABS(C6)
)</f>
        <v>0.23170731707317074</v>
      </c>
      <c r="E135" s="74">
        <f t="shared" si="34"/>
        <v>0.18316831683168316</v>
      </c>
      <c r="F135" s="74">
        <f t="shared" si="34"/>
        <v>0.4</v>
      </c>
      <c r="G135" s="74">
        <f t="shared" si="34"/>
        <v>2.9288702928870293E-2</v>
      </c>
      <c r="H135" s="74">
        <f t="shared" si="34"/>
        <v>8.3042973286875724E-2</v>
      </c>
      <c r="I135" s="74">
        <f t="shared" si="34"/>
        <v>0.16085790884718498</v>
      </c>
      <c r="J135" s="74">
        <f t="shared" si="34"/>
        <v>8.729792147806005E-2</v>
      </c>
      <c r="K135" s="74">
        <f t="shared" si="34"/>
        <v>1.6992353440951572E-3</v>
      </c>
      <c r="L135" s="74">
        <f t="shared" si="34"/>
        <v>8.1849024597116196E-2</v>
      </c>
      <c r="M135" s="74"/>
      <c r="N135" s="74"/>
      <c r="O135" s="74"/>
      <c r="P135" s="74"/>
    </row>
    <row r="136" spans="1:16" s="18" customFormat="1" outlineLevel="1" x14ac:dyDescent="0.2">
      <c r="A136" s="7"/>
      <c r="B136" s="17" t="s">
        <v>8</v>
      </c>
      <c r="C136" s="80"/>
      <c r="D136" s="75">
        <f t="shared" ref="D136:L136" si="35">IF(C7=0,
IF(D7=0,0,IF(D7&gt;0,1,-1)),
(D7-C7)/ABS(C7)
)</f>
        <v>0.24990067540723082</v>
      </c>
      <c r="E136" s="75">
        <f t="shared" si="35"/>
        <v>0.24523204068658613</v>
      </c>
      <c r="F136" s="75">
        <f t="shared" si="35"/>
        <v>0.21225271218889599</v>
      </c>
      <c r="G136" s="75">
        <f t="shared" si="35"/>
        <v>0.17351021267635292</v>
      </c>
      <c r="H136" s="75">
        <f t="shared" si="35"/>
        <v>0.24887852144267</v>
      </c>
      <c r="I136" s="75">
        <f t="shared" si="35"/>
        <v>0.10926724137931035</v>
      </c>
      <c r="J136" s="75">
        <f t="shared" si="35"/>
        <v>0.10452690887895862</v>
      </c>
      <c r="K136" s="75">
        <f t="shared" si="35"/>
        <v>0.122661975960129</v>
      </c>
      <c r="L136" s="75">
        <f t="shared" si="35"/>
        <v>0.10816315871938163</v>
      </c>
      <c r="M136" s="75"/>
      <c r="N136" s="75"/>
      <c r="O136" s="75"/>
      <c r="P136" s="75"/>
    </row>
    <row r="137" spans="1:16" outlineLevel="1" x14ac:dyDescent="0.2">
      <c r="B137" s="9" t="s">
        <v>9</v>
      </c>
      <c r="C137" s="79"/>
      <c r="D137" s="74">
        <f t="shared" ref="D137:L137" si="36">IF(C8=0,
IF(D8=0,0,IF(D8&gt;0,1,-1)),
(D8-C8)/ABS(C8)
)</f>
        <v>0.25409836065573771</v>
      </c>
      <c r="E137" s="74">
        <f t="shared" si="36"/>
        <v>0.25653594771241828</v>
      </c>
      <c r="F137" s="74">
        <f t="shared" si="36"/>
        <v>0.25487646293888166</v>
      </c>
      <c r="G137" s="74">
        <f t="shared" si="36"/>
        <v>0.13367875647668392</v>
      </c>
      <c r="H137" s="74">
        <f t="shared" si="36"/>
        <v>0.16087751371115175</v>
      </c>
      <c r="I137" s="74">
        <f t="shared" si="36"/>
        <v>0.17598425196850392</v>
      </c>
      <c r="J137" s="74">
        <f t="shared" si="36"/>
        <v>0.16270505523937059</v>
      </c>
      <c r="K137" s="74">
        <f t="shared" si="36"/>
        <v>0.13561762165274979</v>
      </c>
      <c r="L137" s="74">
        <f t="shared" si="36"/>
        <v>8.8742393509127784E-2</v>
      </c>
      <c r="M137" s="74"/>
      <c r="N137" s="74"/>
      <c r="O137" s="74"/>
      <c r="P137" s="74"/>
    </row>
    <row r="138" spans="1:16" outlineLevel="1" x14ac:dyDescent="0.2">
      <c r="B138" s="12" t="s">
        <v>10</v>
      </c>
      <c r="C138" s="79"/>
      <c r="D138" s="74">
        <f t="shared" ref="D138:L138" si="37">IF(C10=0,
IF(D10=0,0,IF(D10&gt;0,1,-1)),
(D10-C10)/ABS(C10)
)</f>
        <v>8.1314878892733561E-2</v>
      </c>
      <c r="E138" s="74">
        <f t="shared" si="37"/>
        <v>0.192</v>
      </c>
      <c r="F138" s="74">
        <f t="shared" si="37"/>
        <v>0.18255033557046979</v>
      </c>
      <c r="G138" s="74">
        <f t="shared" si="37"/>
        <v>9.8751418842224742E-2</v>
      </c>
      <c r="H138" s="74">
        <f t="shared" si="37"/>
        <v>0.12086776859504132</v>
      </c>
      <c r="I138" s="74">
        <f t="shared" si="37"/>
        <v>0.12350230414746544</v>
      </c>
      <c r="J138" s="74">
        <f t="shared" si="37"/>
        <v>0.15914684167350288</v>
      </c>
      <c r="K138" s="74">
        <f t="shared" si="37"/>
        <v>8.209483368719038E-2</v>
      </c>
      <c r="L138" s="74">
        <f t="shared" si="37"/>
        <v>2.8776978417266189E-2</v>
      </c>
      <c r="M138" s="74"/>
      <c r="N138" s="74"/>
      <c r="O138" s="74"/>
      <c r="P138" s="74"/>
    </row>
    <row r="139" spans="1:16" outlineLevel="1" x14ac:dyDescent="0.2">
      <c r="B139" s="12" t="s">
        <v>11</v>
      </c>
      <c r="C139" s="79"/>
      <c r="D139" s="74">
        <f t="shared" ref="D139:L139" si="38">IF(C13=0,
IF(D13=0,0,IF(D13&gt;0,1,-1)),
(D13-C13)/ABS(C13)
)</f>
        <v>0.16464275628353572</v>
      </c>
      <c r="E139" s="74">
        <f t="shared" si="38"/>
        <v>0.2112027158098933</v>
      </c>
      <c r="F139" s="74">
        <f t="shared" si="38"/>
        <v>0.24724724724724725</v>
      </c>
      <c r="G139" s="74">
        <f t="shared" si="38"/>
        <v>0.10898876404494381</v>
      </c>
      <c r="H139" s="74">
        <f t="shared" si="38"/>
        <v>0.17498914459400783</v>
      </c>
      <c r="I139" s="74">
        <f t="shared" si="38"/>
        <v>0.15089923626508991</v>
      </c>
      <c r="J139" s="74">
        <f t="shared" si="38"/>
        <v>0.11366798672803168</v>
      </c>
      <c r="K139" s="74">
        <f t="shared" si="38"/>
        <v>0.19231138875540604</v>
      </c>
      <c r="L139" s="74">
        <f t="shared" si="38"/>
        <v>8.5442527809124619E-3</v>
      </c>
      <c r="M139" s="74"/>
      <c r="N139" s="74"/>
      <c r="O139" s="74"/>
      <c r="P139" s="74"/>
    </row>
    <row r="140" spans="1:16" s="18" customFormat="1" outlineLevel="1" x14ac:dyDescent="0.2">
      <c r="A140" s="7"/>
      <c r="B140" s="17" t="s">
        <v>12</v>
      </c>
      <c r="C140" s="80"/>
      <c r="D140" s="75">
        <f t="shared" ref="D140:L140" si="39">IF(C14=0,
IF(D14=0,0,IF(D14&gt;0,1,-1)),
(D14-C14)/ABS(C14)
)</f>
        <v>0.45113788487282463</v>
      </c>
      <c r="E140" s="75">
        <f t="shared" si="39"/>
        <v>0.30996309963099633</v>
      </c>
      <c r="F140" s="75">
        <f t="shared" si="39"/>
        <v>0.15070422535211267</v>
      </c>
      <c r="G140" s="75">
        <f t="shared" si="39"/>
        <v>0.29651162790697677</v>
      </c>
      <c r="H140" s="75">
        <f t="shared" si="39"/>
        <v>0.36936511682794432</v>
      </c>
      <c r="I140" s="75">
        <f t="shared" si="39"/>
        <v>5.1016890727335402E-2</v>
      </c>
      <c r="J140" s="75">
        <f t="shared" si="39"/>
        <v>9.0521482453263372E-2</v>
      </c>
      <c r="K140" s="75">
        <f t="shared" si="39"/>
        <v>1.368421052631579E-2</v>
      </c>
      <c r="L140" s="75">
        <f t="shared" si="39"/>
        <v>0.29149977748108591</v>
      </c>
      <c r="M140" s="75"/>
      <c r="N140" s="75"/>
      <c r="O140" s="75"/>
      <c r="P140" s="75"/>
    </row>
    <row r="141" spans="1:16" s="76" customFormat="1" outlineLevel="1" x14ac:dyDescent="0.2">
      <c r="A141" s="7"/>
      <c r="B141" s="77" t="s">
        <v>13</v>
      </c>
      <c r="C141" s="80"/>
      <c r="D141" s="78">
        <f t="shared" ref="D141:L141" si="40">IF(C18=0,
IF(D18=0,0,IF(D18&gt;0,1,-1)),
(D18-C18)/ABS(C18)
)</f>
        <v>0.48989547038327524</v>
      </c>
      <c r="E141" s="78">
        <f t="shared" si="40"/>
        <v>0.30682881197380729</v>
      </c>
      <c r="F141" s="78">
        <f t="shared" si="40"/>
        <v>0.1471009305654975</v>
      </c>
      <c r="G141" s="78">
        <f t="shared" si="40"/>
        <v>0.30296411856474259</v>
      </c>
      <c r="H141" s="78">
        <f t="shared" si="40"/>
        <v>0.36613984674329503</v>
      </c>
      <c r="I141" s="78">
        <f t="shared" si="40"/>
        <v>5.3111305872042068E-2</v>
      </c>
      <c r="J141" s="78">
        <f t="shared" si="40"/>
        <v>0.13165778961384819</v>
      </c>
      <c r="K141" s="78">
        <f t="shared" si="40"/>
        <v>1.9414619797028975E-2</v>
      </c>
      <c r="L141" s="78">
        <f t="shared" si="40"/>
        <v>0.26013562256528638</v>
      </c>
      <c r="M141" s="78"/>
      <c r="N141" s="78"/>
      <c r="O141" s="78"/>
      <c r="P141" s="78"/>
    </row>
    <row r="142" spans="1:16" s="76" customFormat="1" outlineLevel="1" x14ac:dyDescent="0.2">
      <c r="A142" s="7"/>
      <c r="B142" s="77" t="s">
        <v>14</v>
      </c>
      <c r="C142" s="80"/>
      <c r="D142" s="78">
        <f t="shared" ref="D142:L142" si="41">IF(C20=0,
IF(D20=0,0,IF(D20&gt;0,1,-1)),
(D20-C20)/ABS(C20)
)</f>
        <v>0.44910179640718562</v>
      </c>
      <c r="E142" s="78">
        <f t="shared" si="41"/>
        <v>0.52951593860684765</v>
      </c>
      <c r="F142" s="78">
        <f t="shared" si="41"/>
        <v>0.13932844461597838</v>
      </c>
      <c r="G142" s="78">
        <f t="shared" si="41"/>
        <v>0.78184281842818426</v>
      </c>
      <c r="H142" s="78">
        <f t="shared" si="41"/>
        <v>-8.3269961977186308E-2</v>
      </c>
      <c r="I142" s="78">
        <f t="shared" si="41"/>
        <v>-1.3687266694317711E-2</v>
      </c>
      <c r="J142" s="78">
        <f t="shared" si="41"/>
        <v>0.14129520605550883</v>
      </c>
      <c r="K142" s="78">
        <f t="shared" si="41"/>
        <v>2.4318349299926309E-2</v>
      </c>
      <c r="L142" s="78">
        <f t="shared" si="41"/>
        <v>0.28237410071942448</v>
      </c>
      <c r="M142" s="78"/>
      <c r="N142" s="78"/>
      <c r="O142" s="78"/>
      <c r="P142" s="78"/>
    </row>
    <row r="143" spans="1:16" x14ac:dyDescent="0.2">
      <c r="B143" s="1"/>
    </row>
    <row r="144" spans="1:16" s="14" customFormat="1" ht="17" thickBot="1" x14ac:dyDescent="0.25">
      <c r="A144" s="4"/>
      <c r="B144" s="15" t="s">
        <v>88</v>
      </c>
    </row>
    <row r="145" spans="1:16" outlineLevel="1" x14ac:dyDescent="0.2">
      <c r="B145" s="9" t="s">
        <v>89</v>
      </c>
      <c r="C145" s="74">
        <f t="shared" ref="C145:L145" si="42">C7/C5</f>
        <v>0.85992483771779982</v>
      </c>
      <c r="D145" s="74">
        <f t="shared" si="42"/>
        <v>0.86168173103259382</v>
      </c>
      <c r="E145" s="74">
        <f t="shared" si="42"/>
        <v>0.86766334440753046</v>
      </c>
      <c r="F145" s="74">
        <f t="shared" si="42"/>
        <v>0.85023722137677915</v>
      </c>
      <c r="G145" s="74">
        <f t="shared" si="42"/>
        <v>0.86617967050046629</v>
      </c>
      <c r="H145" s="74">
        <f t="shared" si="42"/>
        <v>0.88184985745961353</v>
      </c>
      <c r="I145" s="74">
        <f t="shared" si="42"/>
        <v>0.87703055776439853</v>
      </c>
      <c r="J145" s="74">
        <f t="shared" si="42"/>
        <v>0.87871605955999799</v>
      </c>
      <c r="K145" s="74">
        <f t="shared" si="42"/>
        <v>0.89035108114392003</v>
      </c>
      <c r="L145" s="74">
        <f t="shared" si="42"/>
        <v>0.89267533341747651</v>
      </c>
      <c r="M145" s="74"/>
      <c r="N145" s="74"/>
      <c r="O145" s="74"/>
      <c r="P145" s="74"/>
    </row>
    <row r="146" spans="1:16" outlineLevel="1" x14ac:dyDescent="0.2">
      <c r="B146" s="9" t="s">
        <v>90</v>
      </c>
      <c r="C146" s="74">
        <f t="shared" ref="C146:L146" si="43">C14/C5</f>
        <v>0.25521011274342331</v>
      </c>
      <c r="D146" s="74">
        <f t="shared" si="43"/>
        <v>0.29690495754587787</v>
      </c>
      <c r="E146" s="74">
        <f t="shared" si="43"/>
        <v>0.31450719822812845</v>
      </c>
      <c r="F146" s="74">
        <f t="shared" si="43"/>
        <v>0.29254319219407393</v>
      </c>
      <c r="G146" s="74">
        <f t="shared" si="43"/>
        <v>0.32926639726453216</v>
      </c>
      <c r="H146" s="74">
        <f t="shared" si="43"/>
        <v>0.36756414317389929</v>
      </c>
      <c r="I146" s="74">
        <f t="shared" si="43"/>
        <v>0.34635919572872886</v>
      </c>
      <c r="J146" s="74">
        <f t="shared" si="43"/>
        <v>0.3426245556185275</v>
      </c>
      <c r="K146" s="74">
        <f t="shared" si="43"/>
        <v>0.31346198558474775</v>
      </c>
      <c r="L146" s="74">
        <f t="shared" si="43"/>
        <v>0.36627540073204595</v>
      </c>
      <c r="M146" s="74"/>
      <c r="N146" s="74"/>
      <c r="O146" s="74"/>
      <c r="P146" s="74"/>
    </row>
    <row r="147" spans="1:16" s="83" customFormat="1" outlineLevel="1" x14ac:dyDescent="0.2">
      <c r="A147" s="1"/>
      <c r="B147" s="81" t="s">
        <v>91</v>
      </c>
      <c r="C147" s="82">
        <f t="shared" ref="C147:L147" si="44">C20/C5</f>
        <v>0.19969251793645371</v>
      </c>
      <c r="D147" s="82">
        <f t="shared" si="44"/>
        <v>0.23199123527800602</v>
      </c>
      <c r="E147" s="82">
        <f t="shared" si="44"/>
        <v>0.28693244739756368</v>
      </c>
      <c r="F147" s="82">
        <f t="shared" si="44"/>
        <v>0.26425566198191747</v>
      </c>
      <c r="G147" s="82">
        <f t="shared" si="44"/>
        <v>0.40876593099160707</v>
      </c>
      <c r="H147" s="82">
        <f t="shared" si="44"/>
        <v>0.30547988596769082</v>
      </c>
      <c r="I147" s="82">
        <f t="shared" si="44"/>
        <v>0.27013518118823127</v>
      </c>
      <c r="J147" s="82">
        <f t="shared" si="44"/>
        <v>0.27966407336802512</v>
      </c>
      <c r="K147" s="82">
        <f t="shared" si="44"/>
        <v>0.25854452452917925</v>
      </c>
      <c r="L147" s="82">
        <f t="shared" si="44"/>
        <v>0.29997054987588878</v>
      </c>
      <c r="M147" s="82"/>
      <c r="N147" s="82"/>
      <c r="O147" s="82"/>
      <c r="P147" s="82"/>
    </row>
    <row r="148" spans="1:16" x14ac:dyDescent="0.2">
      <c r="B148" s="1"/>
    </row>
    <row r="149" spans="1:16" s="14" customFormat="1" ht="17" thickBot="1" x14ac:dyDescent="0.25">
      <c r="A149" s="4"/>
      <c r="B149" s="15" t="s">
        <v>99</v>
      </c>
    </row>
    <row r="150" spans="1:16" outlineLevel="1" x14ac:dyDescent="0.2">
      <c r="C150" s="33"/>
      <c r="D150" s="33"/>
      <c r="E150" s="33"/>
      <c r="F150" s="33"/>
      <c r="G150" s="33"/>
      <c r="H150" s="33"/>
      <c r="I150" s="33"/>
      <c r="J150" s="33"/>
      <c r="K150" s="33"/>
      <c r="L150" s="27"/>
      <c r="M150" s="27"/>
      <c r="N150" s="27"/>
    </row>
    <row r="151" spans="1:16" x14ac:dyDescent="0.2">
      <c r="B151" s="1"/>
    </row>
    <row r="152" spans="1:16" s="14" customFormat="1" ht="17" thickBot="1" x14ac:dyDescent="0.25">
      <c r="A152" s="4"/>
      <c r="B152" s="15" t="s">
        <v>333</v>
      </c>
    </row>
    <row r="153" spans="1:16" outlineLevel="1" x14ac:dyDescent="0.2">
      <c r="B153" s="9" t="s">
        <v>269</v>
      </c>
      <c r="C153" s="27">
        <v>4585</v>
      </c>
      <c r="D153" s="27">
        <v>6134</v>
      </c>
      <c r="E153" s="27">
        <v>7922</v>
      </c>
      <c r="F153" s="27">
        <v>9994</v>
      </c>
      <c r="G153" s="27">
        <v>11626</v>
      </c>
      <c r="H153" s="27">
        <v>14573</v>
      </c>
      <c r="I153" s="27">
        <v>16388</v>
      </c>
      <c r="J153" s="27">
        <v>18284</v>
      </c>
      <c r="K153" s="27">
        <v>20521</v>
      </c>
      <c r="L153" s="27">
        <v>22904</v>
      </c>
      <c r="M153" s="27"/>
    </row>
    <row r="154" spans="1:16" outlineLevel="1" x14ac:dyDescent="0.2">
      <c r="B154" s="9" t="s">
        <v>270</v>
      </c>
      <c r="C154" s="27">
        <v>800</v>
      </c>
      <c r="D154" s="27">
        <v>707</v>
      </c>
      <c r="E154" s="27">
        <v>622</v>
      </c>
      <c r="F154" s="27">
        <v>648</v>
      </c>
      <c r="G154" s="27">
        <v>507</v>
      </c>
      <c r="H154" s="27">
        <v>555</v>
      </c>
      <c r="I154" s="27">
        <v>532</v>
      </c>
      <c r="J154" s="27">
        <v>460</v>
      </c>
      <c r="K154" s="27">
        <v>386</v>
      </c>
      <c r="L154" s="27">
        <v>325</v>
      </c>
      <c r="M154" s="27"/>
    </row>
    <row r="155" spans="1:16" outlineLevel="1" x14ac:dyDescent="0.2">
      <c r="B155" s="9" t="s">
        <v>271</v>
      </c>
      <c r="C155" s="27">
        <v>469</v>
      </c>
      <c r="D155" s="27">
        <v>461</v>
      </c>
      <c r="E155" s="27">
        <v>486</v>
      </c>
      <c r="F155" s="27">
        <v>529</v>
      </c>
      <c r="G155" s="27">
        <v>735</v>
      </c>
      <c r="H155" s="27">
        <v>657</v>
      </c>
      <c r="I155" s="27">
        <v>686</v>
      </c>
      <c r="J155" s="27">
        <v>665</v>
      </c>
      <c r="K155" s="27">
        <v>598</v>
      </c>
      <c r="L155" s="27">
        <v>540</v>
      </c>
      <c r="M155" s="27"/>
    </row>
    <row r="156" spans="1:16" outlineLevel="1" x14ac:dyDescent="0.2">
      <c r="C156" s="27"/>
      <c r="D156" s="27"/>
      <c r="E156" s="27"/>
      <c r="F156" s="27"/>
      <c r="G156" s="27"/>
      <c r="H156" s="27"/>
      <c r="I156" s="27"/>
      <c r="J156" s="27"/>
      <c r="K156" s="27"/>
      <c r="L156" s="27"/>
      <c r="M156" s="27"/>
    </row>
    <row r="157" spans="1:16" outlineLevel="1" x14ac:dyDescent="0.2">
      <c r="B157" s="9" t="s">
        <v>272</v>
      </c>
      <c r="C157" s="27">
        <v>462</v>
      </c>
      <c r="D157" s="27">
        <v>623</v>
      </c>
      <c r="E157" s="27">
        <v>807</v>
      </c>
      <c r="F157" s="27">
        <v>1223</v>
      </c>
      <c r="G157" s="27">
        <v>1108</v>
      </c>
      <c r="H157" s="27">
        <v>1374</v>
      </c>
      <c r="I157" s="27">
        <v>1646</v>
      </c>
      <c r="J157" s="27">
        <v>1822</v>
      </c>
      <c r="K157" s="27">
        <v>1799</v>
      </c>
      <c r="L157" s="27">
        <v>2027</v>
      </c>
      <c r="M157" s="27"/>
    </row>
    <row r="158" spans="1:16" outlineLevel="1" x14ac:dyDescent="0.2">
      <c r="B158" s="9" t="s">
        <v>273</v>
      </c>
      <c r="C158" s="27">
        <v>69</v>
      </c>
      <c r="D158" s="27">
        <v>57</v>
      </c>
      <c r="E158" s="27">
        <v>46</v>
      </c>
      <c r="F158" s="27">
        <v>40</v>
      </c>
      <c r="G158" s="27">
        <v>36</v>
      </c>
      <c r="H158" s="27">
        <v>41</v>
      </c>
      <c r="I158" s="27">
        <v>35</v>
      </c>
      <c r="J158" s="27">
        <v>29</v>
      </c>
      <c r="K158" s="27">
        <v>25</v>
      </c>
      <c r="L158" s="27">
        <v>23</v>
      </c>
      <c r="M158" s="27"/>
    </row>
    <row r="159" spans="1:16" outlineLevel="1" x14ac:dyDescent="0.2">
      <c r="B159" s="9" t="s">
        <v>274</v>
      </c>
      <c r="C159" s="27">
        <v>289</v>
      </c>
      <c r="D159" s="27">
        <v>330</v>
      </c>
      <c r="E159" s="27">
        <v>342</v>
      </c>
      <c r="F159" s="27">
        <v>411</v>
      </c>
      <c r="G159" s="27">
        <v>578</v>
      </c>
      <c r="H159" s="27">
        <v>450</v>
      </c>
      <c r="I159" s="27">
        <v>484</v>
      </c>
      <c r="J159" s="27">
        <v>503</v>
      </c>
      <c r="K159" s="27">
        <v>534</v>
      </c>
      <c r="L159" s="27">
        <v>501</v>
      </c>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100</v>
      </c>
    </row>
    <row r="163" spans="1:15" outlineLevel="1" x14ac:dyDescent="0.2">
      <c r="C163" s="87"/>
      <c r="D163" s="87"/>
      <c r="E163" s="87"/>
      <c r="F163" s="87"/>
      <c r="G163" s="87"/>
      <c r="H163" s="87"/>
      <c r="I163" s="87"/>
      <c r="J163" s="87"/>
      <c r="K163" s="87"/>
    </row>
    <row r="164" spans="1:15" outlineLevel="1" x14ac:dyDescent="0.2">
      <c r="C164" s="87"/>
      <c r="D164" s="87"/>
      <c r="E164" s="87"/>
      <c r="F164" s="87"/>
      <c r="G164" s="87"/>
      <c r="H164" s="87"/>
      <c r="I164" s="87"/>
      <c r="J164" s="87"/>
      <c r="K164" s="87"/>
    </row>
    <row r="165" spans="1:15" x14ac:dyDescent="0.2">
      <c r="B165" s="1"/>
    </row>
    <row r="166" spans="1:15" s="14" customFormat="1" ht="17" thickBot="1" x14ac:dyDescent="0.25">
      <c r="A166" s="4"/>
      <c r="B166" s="15" t="s">
        <v>233</v>
      </c>
    </row>
    <row r="167" spans="1:15" x14ac:dyDescent="0.2">
      <c r="B167" s="9" t="s">
        <v>234</v>
      </c>
      <c r="C167" s="30">
        <v>99.73</v>
      </c>
      <c r="D167" s="30">
        <v>179.52</v>
      </c>
      <c r="E167" s="30">
        <v>249.09</v>
      </c>
      <c r="F167" s="30">
        <v>309.06</v>
      </c>
      <c r="G167" s="30">
        <v>470.08</v>
      </c>
      <c r="H167" s="30">
        <v>671.88</v>
      </c>
      <c r="I167" s="30">
        <v>344.11</v>
      </c>
      <c r="J167" s="30">
        <v>611.01</v>
      </c>
      <c r="K167" s="30">
        <v>513.88</v>
      </c>
      <c r="L167" s="30">
        <v>317.52</v>
      </c>
      <c r="M167" s="30"/>
      <c r="N167" s="30"/>
      <c r="O167" s="30"/>
    </row>
    <row r="169" spans="1:15" x14ac:dyDescent="0.2">
      <c r="B169" s="1"/>
    </row>
    <row r="170" spans="1:15" s="14" customFormat="1" ht="17" thickBot="1" x14ac:dyDescent="0.25">
      <c r="A170" s="4"/>
      <c r="B170" s="15" t="s">
        <v>326</v>
      </c>
    </row>
    <row r="171" spans="1:15" outlineLevel="1" x14ac:dyDescent="0.2">
      <c r="B171" s="9" t="s">
        <v>327</v>
      </c>
      <c r="C171" s="20">
        <f>C5*Overview!$C$8/C129</f>
        <v>372723.79982172418</v>
      </c>
      <c r="D171" s="20">
        <f>D5*Overview!$C$8/D129</f>
        <v>406276.08078784845</v>
      </c>
      <c r="E171" s="20">
        <f>E5*Overview!$C$8/E129</f>
        <v>422812.19272369717</v>
      </c>
      <c r="F171" s="20">
        <f>F5*Overview!$C$8/F129</f>
        <v>493549.52725987451</v>
      </c>
      <c r="G171" s="20">
        <f>G5*Overview!$C$8/G129</f>
        <v>571504.70776336826</v>
      </c>
      <c r="H171" s="20">
        <f>H5*Overview!$C$8/H129</f>
        <v>607395.72110204713</v>
      </c>
      <c r="I171" s="20">
        <f>I5*Overview!$C$8/I129</f>
        <v>602140.97609357361</v>
      </c>
      <c r="J171" s="20">
        <f>J5*Overview!$C$8/J129</f>
        <v>648154.95074302889</v>
      </c>
      <c r="K171" s="20">
        <f>K5*Overview!$C$8/K129</f>
        <v>700283.30456869327</v>
      </c>
      <c r="L171" s="20">
        <f>L5*Overview!$C$8/L129</f>
        <v>757940.05102040817</v>
      </c>
    </row>
    <row r="172" spans="1:15" outlineLevel="1" x14ac:dyDescent="0.2">
      <c r="B172" s="9" t="s">
        <v>329</v>
      </c>
      <c r="C172" s="20">
        <f>C20*Overview!$C$8/C129</f>
        <v>74430.154081242843</v>
      </c>
      <c r="D172" s="20">
        <f>D20*Overview!$C$8/D129</f>
        <v>94252.489845879929</v>
      </c>
      <c r="E172" s="20">
        <f>E20*Overview!$C$8/E129</f>
        <v>121318.53724774079</v>
      </c>
      <c r="F172" s="20">
        <f>F20*Overview!$C$8/F129</f>
        <v>130423.25704692057</v>
      </c>
      <c r="G172" s="20">
        <f>G20*Overview!$C$8/G129</f>
        <v>233611.65393497958</v>
      </c>
      <c r="H172" s="20">
        <f>H20*Overview!$C$8/H129</f>
        <v>185547.1756195167</v>
      </c>
      <c r="I172" s="20">
        <f>I20*Overview!$C$8/I129</f>
        <v>162659.46167789598</v>
      </c>
      <c r="J172" s="20">
        <f>J20*Overview!$C$8/J129</f>
        <v>181265.65369844716</v>
      </c>
      <c r="K172" s="20">
        <f>K20*Overview!$C$8/K129</f>
        <v>181054.41401543521</v>
      </c>
      <c r="L172" s="20">
        <f>L20*Overview!$C$8/L129</f>
        <v>227359.69387755101</v>
      </c>
    </row>
    <row r="173" spans="1:15" outlineLevel="1" x14ac:dyDescent="0.2">
      <c r="B173" s="9" t="s">
        <v>328</v>
      </c>
      <c r="C173" s="80"/>
      <c r="D173" s="74">
        <f t="shared" ref="D173:L173" si="45">(D129-C129)/C129</f>
        <v>0.14433974277346237</v>
      </c>
      <c r="E173" s="74">
        <f t="shared" si="45"/>
        <v>0.18828242363545317</v>
      </c>
      <c r="F173" s="74">
        <f t="shared" si="45"/>
        <v>5.9793042093927051E-2</v>
      </c>
      <c r="G173" s="74">
        <f t="shared" si="45"/>
        <v>-5.2133957762657947E-3</v>
      </c>
      <c r="H173" s="74">
        <f t="shared" si="45"/>
        <v>0.15420145674187244</v>
      </c>
      <c r="I173" s="74">
        <f t="shared" si="45"/>
        <v>0.12509619824534401</v>
      </c>
      <c r="J173" s="74">
        <f t="shared" si="45"/>
        <v>2.4145832620814666E-2</v>
      </c>
      <c r="K173" s="74">
        <f t="shared" si="45"/>
        <v>2.5513441309066621E-2</v>
      </c>
      <c r="L173" s="74">
        <f t="shared" si="45"/>
        <v>2.1198997036699339E-2</v>
      </c>
    </row>
    <row r="174" spans="1:15" x14ac:dyDescent="0.2">
      <c r="B174" s="9" t="s">
        <v>330</v>
      </c>
      <c r="C174" s="80"/>
      <c r="D174" s="193">
        <f>(D171-C171)/C171</f>
        <v>9.0019153545259259E-2</v>
      </c>
      <c r="E174" s="193">
        <f t="shared" ref="E174:L174" si="46">(E171-D171)/D171</f>
        <v>4.0701662533964532E-2</v>
      </c>
      <c r="F174" s="193">
        <f t="shared" si="46"/>
        <v>0.16730202144951709</v>
      </c>
      <c r="G174" s="193">
        <f t="shared" si="46"/>
        <v>0.15794804006052079</v>
      </c>
      <c r="H174" s="193">
        <f t="shared" si="46"/>
        <v>6.2800905838801158E-2</v>
      </c>
      <c r="I174" s="193">
        <f t="shared" si="46"/>
        <v>-8.6512710345397377E-3</v>
      </c>
      <c r="J174" s="193">
        <f t="shared" si="46"/>
        <v>7.6417278471851813E-2</v>
      </c>
      <c r="K174" s="193">
        <f t="shared" si="46"/>
        <v>8.0425758942218553E-2</v>
      </c>
      <c r="L174" s="193">
        <f t="shared" si="46"/>
        <v>8.2333458581060795E-2</v>
      </c>
    </row>
    <row r="175" spans="1:15" x14ac:dyDescent="0.2">
      <c r="B175" s="9" t="s">
        <v>331</v>
      </c>
      <c r="C175" s="80"/>
      <c r="D175" s="193">
        <f>(D172-C172)/C172</f>
        <v>0.26632130497809242</v>
      </c>
      <c r="E175" s="193">
        <f t="shared" ref="E175:L175" si="47">(E172-D172)/D172</f>
        <v>0.2871653305511484</v>
      </c>
      <c r="F175" s="193">
        <f t="shared" si="47"/>
        <v>7.504805123546214E-2</v>
      </c>
      <c r="G175" s="193">
        <f t="shared" si="47"/>
        <v>0.79118095364645247</v>
      </c>
      <c r="H175" s="193">
        <f t="shared" si="47"/>
        <v>-0.2057452079374453</v>
      </c>
      <c r="I175" s="193">
        <f t="shared" si="47"/>
        <v>-0.12335253212667759</v>
      </c>
      <c r="J175" s="193">
        <f t="shared" si="47"/>
        <v>0.11438739455191255</v>
      </c>
      <c r="K175" s="193">
        <f t="shared" si="47"/>
        <v>-1.1653596735064422E-3</v>
      </c>
      <c r="L175" s="193">
        <f t="shared" si="47"/>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5"/>
  <sheetViews>
    <sheetView zoomScale="150" workbookViewId="0">
      <pane xSplit="2" ySplit="3" topLeftCell="I114" activePane="bottomRight" state="frozen"/>
      <selection pane="topRight" activeCell="C1" sqref="C1"/>
      <selection pane="bottomLeft" activeCell="A4" sqref="A4"/>
      <selection pane="bottomRight" activeCell="J116" sqref="J116"/>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296</v>
      </c>
      <c r="D2" s="3" t="s">
        <v>294</v>
      </c>
      <c r="E2" s="3" t="s">
        <v>289</v>
      </c>
      <c r="F2" s="3" t="s">
        <v>292</v>
      </c>
      <c r="G2" s="3" t="s">
        <v>295</v>
      </c>
      <c r="H2" s="3" t="s">
        <v>293</v>
      </c>
      <c r="I2" s="36" t="s">
        <v>288</v>
      </c>
      <c r="J2" s="36" t="s">
        <v>291</v>
      </c>
      <c r="K2" s="2"/>
      <c r="L2" s="2"/>
      <c r="M2" s="2"/>
      <c r="N2" s="41"/>
      <c r="O2" s="2"/>
      <c r="P2" s="43"/>
      <c r="Q2" s="44"/>
      <c r="R2" s="45"/>
      <c r="S2" s="2"/>
    </row>
    <row r="3" spans="1:19" s="5" customFormat="1" x14ac:dyDescent="0.2">
      <c r="A3" s="4"/>
      <c r="B3" s="61" t="s">
        <v>64</v>
      </c>
      <c r="C3" s="3" t="s">
        <v>66</v>
      </c>
      <c r="D3" s="3" t="s">
        <v>67</v>
      </c>
      <c r="E3" s="3" t="s">
        <v>72</v>
      </c>
      <c r="F3" s="3" t="s">
        <v>65</v>
      </c>
      <c r="G3" s="3" t="s">
        <v>68</v>
      </c>
      <c r="H3" s="3" t="s">
        <v>69</v>
      </c>
      <c r="I3" s="36" t="s">
        <v>144</v>
      </c>
      <c r="J3" s="36" t="s">
        <v>227</v>
      </c>
      <c r="K3" s="4"/>
      <c r="L3" s="4"/>
      <c r="M3" s="4"/>
      <c r="N3" s="42"/>
      <c r="O3" s="4"/>
      <c r="P3" s="46" t="str">
        <f>I3</f>
        <v>Q4 2025</v>
      </c>
      <c r="Q3" s="5" t="str">
        <f>J3</f>
        <v>Q1 2026</v>
      </c>
      <c r="R3" s="47" t="s">
        <v>76</v>
      </c>
      <c r="S3" s="4"/>
    </row>
    <row r="4" spans="1:19" s="14" customFormat="1" ht="17" thickBot="1" x14ac:dyDescent="0.25">
      <c r="A4" s="4"/>
      <c r="B4" s="15" t="s">
        <v>5</v>
      </c>
      <c r="K4" s="4"/>
      <c r="L4" s="4"/>
      <c r="M4" s="4"/>
      <c r="N4" s="37" t="s">
        <v>74</v>
      </c>
      <c r="O4" s="4"/>
      <c r="P4" s="212" t="s">
        <v>75</v>
      </c>
      <c r="Q4" s="213"/>
      <c r="R4" s="214"/>
      <c r="S4" s="4"/>
    </row>
    <row r="5" spans="1:19" s="18" customFormat="1" outlineLevel="1" x14ac:dyDescent="0.2">
      <c r="A5" s="7"/>
      <c r="B5" s="17" t="s">
        <v>6</v>
      </c>
      <c r="C5" s="50">
        <v>5309</v>
      </c>
      <c r="D5" s="50">
        <v>5408</v>
      </c>
      <c r="E5" s="50">
        <v>5606</v>
      </c>
      <c r="F5" s="50">
        <v>5714</v>
      </c>
      <c r="G5" s="50">
        <v>5873</v>
      </c>
      <c r="H5" s="50">
        <v>5988</v>
      </c>
      <c r="I5" s="50">
        <v>6194</v>
      </c>
      <c r="J5" s="50">
        <v>6398</v>
      </c>
      <c r="K5" s="21"/>
      <c r="L5" s="21"/>
      <c r="M5" s="21"/>
      <c r="N5" s="58">
        <f t="shared" ref="N5:N20" si="0">SUM(G5:J5)</f>
        <v>24453</v>
      </c>
      <c r="O5" s="7"/>
      <c r="P5" s="68">
        <f t="shared" ref="P5:P24" si="1">I5</f>
        <v>6194</v>
      </c>
      <c r="Q5" s="53">
        <f t="shared" ref="Q5:Q24" si="2">J5</f>
        <v>6398</v>
      </c>
      <c r="R5" s="65">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8">
        <f>SUM(G6:J6)</f>
        <v>2593</v>
      </c>
      <c r="P6" s="48">
        <f t="shared" si="1"/>
        <v>649</v>
      </c>
      <c r="Q6" s="20">
        <f t="shared" si="2"/>
        <v>664</v>
      </c>
      <c r="R6" s="49">
        <f t="shared" si="3"/>
        <v>2.3112480739599383E-2</v>
      </c>
    </row>
    <row r="7" spans="1:19" s="18" customFormat="1" outlineLevel="1" x14ac:dyDescent="0.2">
      <c r="A7" s="7"/>
      <c r="B7" s="17" t="s">
        <v>8</v>
      </c>
      <c r="C7" s="53">
        <f t="shared" ref="C7" si="4">C5-C6</f>
        <v>4711</v>
      </c>
      <c r="D7" s="53">
        <f>D5-D6</f>
        <v>4854</v>
      </c>
      <c r="E7" s="53">
        <f t="shared" ref="E7:I7" si="5">E5-E6</f>
        <v>4990</v>
      </c>
      <c r="F7" s="53">
        <f t="shared" si="5"/>
        <v>5092</v>
      </c>
      <c r="G7" s="53">
        <f t="shared" si="5"/>
        <v>5235</v>
      </c>
      <c r="H7" s="53">
        <f t="shared" si="5"/>
        <v>5346</v>
      </c>
      <c r="I7" s="53">
        <f t="shared" si="5"/>
        <v>5545</v>
      </c>
      <c r="J7" s="53">
        <f t="shared" ref="J7" si="6">J5-J6</f>
        <v>5734</v>
      </c>
      <c r="K7" s="21"/>
      <c r="L7" s="21"/>
      <c r="M7" s="21"/>
      <c r="N7" s="58">
        <f t="shared" si="0"/>
        <v>21860</v>
      </c>
      <c r="O7" s="7"/>
      <c r="P7" s="68">
        <f t="shared" si="1"/>
        <v>5545</v>
      </c>
      <c r="Q7" s="53">
        <f t="shared" si="2"/>
        <v>5734</v>
      </c>
      <c r="R7" s="65">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8">
        <f t="shared" si="0"/>
        <v>4378</v>
      </c>
      <c r="P8" s="48">
        <f t="shared" si="1"/>
        <v>1098</v>
      </c>
      <c r="Q8" s="20">
        <f t="shared" si="2"/>
        <v>1110</v>
      </c>
      <c r="R8" s="49">
        <f t="shared" si="3"/>
        <v>1.092896174863388E-2</v>
      </c>
    </row>
    <row r="9" spans="1:19" s="8" customFormat="1" outlineLevel="1" x14ac:dyDescent="0.2">
      <c r="B9" s="9" t="s">
        <v>275</v>
      </c>
      <c r="C9" s="27">
        <v>1445</v>
      </c>
      <c r="D9" s="27">
        <v>1431</v>
      </c>
      <c r="E9" s="27">
        <v>1536</v>
      </c>
      <c r="F9" s="27">
        <v>1495</v>
      </c>
      <c r="G9" s="27">
        <v>1626</v>
      </c>
      <c r="H9" s="27">
        <v>1639</v>
      </c>
      <c r="I9" s="27">
        <v>1728</v>
      </c>
      <c r="J9" s="27">
        <v>1708</v>
      </c>
      <c r="K9" s="20"/>
      <c r="L9" s="20"/>
      <c r="M9" s="20"/>
      <c r="N9" s="38">
        <f t="shared" si="0"/>
        <v>6701</v>
      </c>
      <c r="P9" s="69">
        <f t="shared" si="1"/>
        <v>1728</v>
      </c>
      <c r="Q9" s="33">
        <f t="shared" si="2"/>
        <v>1708</v>
      </c>
      <c r="R9" s="66">
        <f t="shared" si="3"/>
        <v>-1.1574074074074073E-2</v>
      </c>
    </row>
    <row r="10" spans="1:19" s="8" customFormat="1" outlineLevel="1" x14ac:dyDescent="0.2">
      <c r="B10" s="12" t="s">
        <v>276</v>
      </c>
      <c r="C10" s="27">
        <v>355</v>
      </c>
      <c r="D10" s="27">
        <v>366</v>
      </c>
      <c r="E10" s="27">
        <v>456</v>
      </c>
      <c r="F10" s="27">
        <v>367</v>
      </c>
      <c r="G10" s="27">
        <v>377</v>
      </c>
      <c r="H10" s="27">
        <v>408</v>
      </c>
      <c r="I10" s="27">
        <v>421</v>
      </c>
      <c r="J10" s="27">
        <v>463</v>
      </c>
      <c r="K10" s="20"/>
      <c r="L10" s="20"/>
      <c r="M10" s="20"/>
      <c r="N10" s="38">
        <f t="shared" si="0"/>
        <v>1669</v>
      </c>
      <c r="P10" s="69">
        <f t="shared" si="1"/>
        <v>421</v>
      </c>
      <c r="Q10" s="33">
        <f t="shared" si="2"/>
        <v>463</v>
      </c>
      <c r="R10" s="66">
        <f t="shared" si="3"/>
        <v>9.9762470308788598E-2</v>
      </c>
    </row>
    <row r="11" spans="1:19" s="8" customFormat="1" outlineLevel="1" x14ac:dyDescent="0.2">
      <c r="B11" s="12" t="s">
        <v>277</v>
      </c>
      <c r="C11" s="27">
        <v>0</v>
      </c>
      <c r="D11" s="27">
        <v>0</v>
      </c>
      <c r="E11" s="27">
        <v>0</v>
      </c>
      <c r="F11" s="27">
        <v>0</v>
      </c>
      <c r="G11" s="27">
        <v>0</v>
      </c>
      <c r="H11" s="27">
        <v>0</v>
      </c>
      <c r="I11" s="27">
        <v>0</v>
      </c>
      <c r="J11" s="27">
        <v>0</v>
      </c>
      <c r="K11" s="20"/>
      <c r="L11" s="20"/>
      <c r="M11" s="20"/>
      <c r="N11" s="38">
        <f t="shared" si="0"/>
        <v>0</v>
      </c>
      <c r="P11" s="69">
        <f t="shared" si="1"/>
        <v>0</v>
      </c>
      <c r="Q11" s="33">
        <f t="shared" si="2"/>
        <v>0</v>
      </c>
      <c r="R11" s="66">
        <f t="shared" si="3"/>
        <v>0</v>
      </c>
    </row>
    <row r="12" spans="1:19" s="8" customFormat="1" outlineLevel="1" x14ac:dyDescent="0.2">
      <c r="B12" s="12" t="s">
        <v>278</v>
      </c>
      <c r="C12" s="27">
        <v>42</v>
      </c>
      <c r="D12" s="27">
        <v>43</v>
      </c>
      <c r="E12" s="27">
        <v>42</v>
      </c>
      <c r="F12" s="27">
        <v>41</v>
      </c>
      <c r="G12" s="27">
        <v>41</v>
      </c>
      <c r="H12" s="27">
        <v>38</v>
      </c>
      <c r="I12" s="27">
        <v>37</v>
      </c>
      <c r="J12" s="27">
        <v>35</v>
      </c>
      <c r="K12" s="20"/>
      <c r="L12" s="20"/>
      <c r="M12" s="20"/>
      <c r="N12" s="38">
        <f t="shared" si="0"/>
        <v>151</v>
      </c>
      <c r="P12" s="69">
        <f t="shared" si="1"/>
        <v>37</v>
      </c>
      <c r="Q12" s="33">
        <f t="shared" si="2"/>
        <v>35</v>
      </c>
      <c r="R12" s="66">
        <f t="shared" si="3"/>
        <v>-5.4054054054054057E-2</v>
      </c>
    </row>
    <row r="13" spans="1:19" outlineLevel="1" x14ac:dyDescent="0.2">
      <c r="B13" s="12" t="s">
        <v>11</v>
      </c>
      <c r="C13" s="20">
        <f t="shared" ref="C13:J13" si="7">SUM(C8:C12)</f>
        <v>2826</v>
      </c>
      <c r="D13" s="20">
        <f t="shared" si="7"/>
        <v>2862</v>
      </c>
      <c r="E13" s="20">
        <f t="shared" si="7"/>
        <v>3033</v>
      </c>
      <c r="F13" s="20">
        <f t="shared" si="7"/>
        <v>2929</v>
      </c>
      <c r="G13" s="20">
        <f t="shared" si="7"/>
        <v>3126</v>
      </c>
      <c r="H13" s="20">
        <f t="shared" si="7"/>
        <v>3173</v>
      </c>
      <c r="I13" s="20">
        <f t="shared" si="7"/>
        <v>3284</v>
      </c>
      <c r="J13" s="20">
        <f t="shared" si="7"/>
        <v>3316</v>
      </c>
      <c r="K13" s="20"/>
      <c r="L13" s="20"/>
      <c r="M13" s="20"/>
      <c r="N13" s="38">
        <f t="shared" si="0"/>
        <v>12899</v>
      </c>
      <c r="P13" s="48">
        <f t="shared" si="1"/>
        <v>3284</v>
      </c>
      <c r="Q13" s="20">
        <f>J13</f>
        <v>3316</v>
      </c>
      <c r="R13" s="49">
        <f t="shared" si="3"/>
        <v>9.7442143727161992E-3</v>
      </c>
    </row>
    <row r="14" spans="1:19" s="18" customFormat="1" outlineLevel="1" x14ac:dyDescent="0.2">
      <c r="A14" s="7"/>
      <c r="B14" s="17" t="s">
        <v>12</v>
      </c>
      <c r="C14" s="50">
        <v>1885</v>
      </c>
      <c r="D14" s="50">
        <v>1992</v>
      </c>
      <c r="E14" s="50">
        <v>1957</v>
      </c>
      <c r="F14" s="50">
        <v>2163</v>
      </c>
      <c r="G14" s="50">
        <v>2109</v>
      </c>
      <c r="H14" s="50">
        <v>2173</v>
      </c>
      <c r="I14" s="50">
        <v>2261</v>
      </c>
      <c r="J14" s="50">
        <v>2418</v>
      </c>
      <c r="K14" s="21"/>
      <c r="L14" s="21"/>
      <c r="M14" s="21"/>
      <c r="N14" s="58">
        <f t="shared" si="0"/>
        <v>8961</v>
      </c>
      <c r="O14" s="7"/>
      <c r="P14" s="68">
        <f t="shared" si="1"/>
        <v>2261</v>
      </c>
      <c r="Q14" s="53">
        <f t="shared" si="2"/>
        <v>2418</v>
      </c>
      <c r="R14" s="65">
        <f t="shared" si="3"/>
        <v>6.9438301636444058E-2</v>
      </c>
      <c r="S14" s="7"/>
    </row>
    <row r="15" spans="1:19" outlineLevel="1" x14ac:dyDescent="0.2">
      <c r="B15" s="12" t="s">
        <v>279</v>
      </c>
      <c r="C15" s="27">
        <v>-41</v>
      </c>
      <c r="D15" s="27">
        <v>-51</v>
      </c>
      <c r="E15" s="27">
        <v>-50</v>
      </c>
      <c r="F15" s="27">
        <v>-62</v>
      </c>
      <c r="G15" s="27">
        <v>-68</v>
      </c>
      <c r="H15" s="27">
        <v>-67</v>
      </c>
      <c r="I15" s="27">
        <v>-66</v>
      </c>
      <c r="J15" s="27">
        <v>-63</v>
      </c>
      <c r="K15" s="20"/>
      <c r="L15" s="20"/>
      <c r="M15" s="20"/>
      <c r="N15" s="38">
        <f t="shared" si="0"/>
        <v>-264</v>
      </c>
      <c r="P15" s="48">
        <f t="shared" si="1"/>
        <v>-66</v>
      </c>
      <c r="Q15" s="20">
        <f t="shared" si="2"/>
        <v>-63</v>
      </c>
      <c r="R15" s="49">
        <f t="shared" si="3"/>
        <v>4.5454545454545456E-2</v>
      </c>
    </row>
    <row r="16" spans="1:19" outlineLevel="1" x14ac:dyDescent="0.2">
      <c r="B16" s="12" t="s">
        <v>280</v>
      </c>
      <c r="C16" s="27">
        <v>4</v>
      </c>
      <c r="D16" s="27">
        <v>12</v>
      </c>
      <c r="E16" s="27">
        <v>14</v>
      </c>
      <c r="F16" s="27">
        <v>6</v>
      </c>
      <c r="G16" s="27">
        <v>2</v>
      </c>
      <c r="H16" s="27">
        <v>23</v>
      </c>
      <c r="I16" s="27">
        <v>12</v>
      </c>
      <c r="J16" s="27">
        <v>5</v>
      </c>
      <c r="K16" s="20"/>
      <c r="L16" s="20"/>
      <c r="M16" s="20"/>
      <c r="N16" s="38">
        <f t="shared" si="0"/>
        <v>42</v>
      </c>
      <c r="P16" s="48">
        <f t="shared" si="1"/>
        <v>12</v>
      </c>
      <c r="Q16" s="20">
        <f t="shared" si="2"/>
        <v>5</v>
      </c>
      <c r="R16" s="49">
        <f t="shared" si="3"/>
        <v>-0.58333333333333337</v>
      </c>
    </row>
    <row r="17" spans="1:19" outlineLevel="1" x14ac:dyDescent="0.2">
      <c r="B17" s="12" t="s">
        <v>173</v>
      </c>
      <c r="C17" s="27">
        <v>82</v>
      </c>
      <c r="D17" s="27">
        <v>89</v>
      </c>
      <c r="E17" s="27">
        <v>70</v>
      </c>
      <c r="F17" s="27">
        <v>75</v>
      </c>
      <c r="G17" s="27">
        <v>58</v>
      </c>
      <c r="H17" s="27">
        <v>58</v>
      </c>
      <c r="I17" s="27">
        <v>57</v>
      </c>
      <c r="J17" s="27">
        <v>62</v>
      </c>
      <c r="K17" s="20"/>
      <c r="L17" s="20"/>
      <c r="M17" s="20"/>
      <c r="N17" s="38">
        <f t="shared" si="0"/>
        <v>235</v>
      </c>
      <c r="P17" s="48">
        <f t="shared" si="1"/>
        <v>57</v>
      </c>
      <c r="Q17" s="20">
        <f t="shared" si="2"/>
        <v>62</v>
      </c>
      <c r="R17" s="49">
        <f t="shared" si="3"/>
        <v>8.771929824561403E-2</v>
      </c>
    </row>
    <row r="18" spans="1:19" s="18" customFormat="1" outlineLevel="1" x14ac:dyDescent="0.2">
      <c r="A18" s="7"/>
      <c r="B18" s="17" t="s">
        <v>13</v>
      </c>
      <c r="C18" s="50">
        <v>1930</v>
      </c>
      <c r="D18" s="50">
        <v>2042</v>
      </c>
      <c r="E18" s="50">
        <v>1991</v>
      </c>
      <c r="F18" s="50">
        <v>2182</v>
      </c>
      <c r="G18" s="50">
        <v>2101</v>
      </c>
      <c r="H18" s="50">
        <v>2187</v>
      </c>
      <c r="I18" s="50">
        <v>2264</v>
      </c>
      <c r="J18" s="50">
        <v>2422</v>
      </c>
      <c r="K18" s="21"/>
      <c r="L18" s="21"/>
      <c r="M18" s="21"/>
      <c r="N18" s="58">
        <f t="shared" si="0"/>
        <v>8974</v>
      </c>
      <c r="O18" s="7"/>
      <c r="P18" s="68">
        <f t="shared" si="1"/>
        <v>2264</v>
      </c>
      <c r="Q18" s="53">
        <f t="shared" si="2"/>
        <v>2422</v>
      </c>
      <c r="R18" s="65">
        <f t="shared" si="3"/>
        <v>6.9787985865724378E-2</v>
      </c>
      <c r="S18" s="7"/>
    </row>
    <row r="19" spans="1:19" outlineLevel="1" x14ac:dyDescent="0.2">
      <c r="B19" s="12" t="s">
        <v>71</v>
      </c>
      <c r="C19" s="27">
        <v>-357</v>
      </c>
      <c r="D19" s="27">
        <v>-358</v>
      </c>
      <c r="E19" s="27">
        <v>-308</v>
      </c>
      <c r="F19" s="27">
        <v>-371</v>
      </c>
      <c r="G19" s="27">
        <v>-410</v>
      </c>
      <c r="H19" s="27">
        <v>-415</v>
      </c>
      <c r="I19" s="27">
        <v>-408</v>
      </c>
      <c r="J19" s="27">
        <v>-533</v>
      </c>
      <c r="K19" s="20"/>
      <c r="L19" s="20"/>
      <c r="M19" s="20"/>
      <c r="N19" s="38">
        <f t="shared" si="0"/>
        <v>-1766</v>
      </c>
      <c r="P19" s="48">
        <f t="shared" si="1"/>
        <v>-408</v>
      </c>
      <c r="Q19" s="20">
        <f t="shared" si="2"/>
        <v>-533</v>
      </c>
      <c r="R19" s="49">
        <f t="shared" si="3"/>
        <v>-0.30637254901960786</v>
      </c>
    </row>
    <row r="20" spans="1:19" s="18" customFormat="1" outlineLevel="1" x14ac:dyDescent="0.2">
      <c r="A20" s="7"/>
      <c r="B20" s="17" t="s">
        <v>14</v>
      </c>
      <c r="C20" s="50">
        <v>1573</v>
      </c>
      <c r="D20" s="50">
        <v>1684</v>
      </c>
      <c r="E20" s="50">
        <v>1683</v>
      </c>
      <c r="F20" s="50">
        <v>1811</v>
      </c>
      <c r="G20" s="50">
        <v>1691</v>
      </c>
      <c r="H20" s="50">
        <v>1772</v>
      </c>
      <c r="I20" s="50">
        <v>1856</v>
      </c>
      <c r="J20" s="50">
        <v>1889</v>
      </c>
      <c r="K20" s="21"/>
      <c r="L20" s="21"/>
      <c r="M20" s="21"/>
      <c r="N20" s="58">
        <f t="shared" si="0"/>
        <v>7208</v>
      </c>
      <c r="O20" s="7"/>
      <c r="P20" s="68">
        <f t="shared" si="1"/>
        <v>1856</v>
      </c>
      <c r="Q20" s="53">
        <f t="shared" si="2"/>
        <v>1889</v>
      </c>
      <c r="R20" s="65">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8">
        <f>AVERAGE(G21:J21)</f>
        <v>419.5</v>
      </c>
      <c r="P21" s="48">
        <f t="shared" si="1"/>
        <v>417</v>
      </c>
      <c r="Q21" s="20">
        <f t="shared" si="2"/>
        <v>410</v>
      </c>
      <c r="R21" s="49">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8">
        <f>AVERAGE((G22:J22))</f>
        <v>420.25</v>
      </c>
      <c r="P22" s="48">
        <f t="shared" si="1"/>
        <v>417</v>
      </c>
      <c r="Q22" s="20">
        <f t="shared" si="2"/>
        <v>411</v>
      </c>
      <c r="R22" s="49">
        <f t="shared" si="3"/>
        <v>-1.4388489208633094E-2</v>
      </c>
    </row>
    <row r="23" spans="1:19" outlineLevel="1" x14ac:dyDescent="0.2">
      <c r="B23" s="12" t="s">
        <v>17</v>
      </c>
      <c r="C23" s="30">
        <v>3.5</v>
      </c>
      <c r="D23" s="30">
        <v>3.78</v>
      </c>
      <c r="E23" s="30">
        <v>3.81</v>
      </c>
      <c r="F23" s="30">
        <v>4.1500000000000004</v>
      </c>
      <c r="G23" s="30">
        <v>3.95</v>
      </c>
      <c r="H23" s="30">
        <v>4.18</v>
      </c>
      <c r="I23" s="30">
        <v>4.45</v>
      </c>
      <c r="J23" s="30">
        <v>4.5999999999999996</v>
      </c>
      <c r="K23" s="25"/>
      <c r="L23" s="25"/>
      <c r="M23" s="25"/>
      <c r="N23" s="39">
        <f>N20/N21</f>
        <v>17.182359952324195</v>
      </c>
      <c r="P23" s="70">
        <f t="shared" si="1"/>
        <v>4.45</v>
      </c>
      <c r="Q23" s="71">
        <f t="shared" si="2"/>
        <v>4.5999999999999996</v>
      </c>
      <c r="R23" s="49">
        <f t="shared" si="3"/>
        <v>3.3707865168539207E-2</v>
      </c>
    </row>
    <row r="24" spans="1:19" s="16" customFormat="1" ht="17" outlineLevel="1" thickBot="1" x14ac:dyDescent="0.25">
      <c r="A24" s="1"/>
      <c r="B24" s="10" t="s">
        <v>18</v>
      </c>
      <c r="C24" s="31">
        <v>3.49</v>
      </c>
      <c r="D24" s="31">
        <v>3.76</v>
      </c>
      <c r="E24" s="31">
        <v>3.79</v>
      </c>
      <c r="F24" s="31">
        <v>4.1399999999999997</v>
      </c>
      <c r="G24" s="31">
        <v>3.94</v>
      </c>
      <c r="H24" s="31">
        <v>4.18</v>
      </c>
      <c r="I24" s="31">
        <v>4.45</v>
      </c>
      <c r="J24" s="31">
        <v>4.5999999999999996</v>
      </c>
      <c r="K24" s="25"/>
      <c r="L24" s="25"/>
      <c r="M24" s="25"/>
      <c r="N24" s="40">
        <f>N20/N22</f>
        <v>17.151695419393217</v>
      </c>
      <c r="O24" s="1"/>
      <c r="P24" s="72">
        <f t="shared" si="1"/>
        <v>4.45</v>
      </c>
      <c r="Q24" s="73">
        <f t="shared" si="2"/>
        <v>4.5999999999999996</v>
      </c>
      <c r="R24" s="67">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3"/>
      <c r="J26" s="143"/>
      <c r="K26" s="4"/>
      <c r="L26" s="4"/>
      <c r="M26" s="4"/>
      <c r="O26" s="4"/>
      <c r="S26" s="4"/>
    </row>
    <row r="27" spans="1:19" outlineLevel="1" x14ac:dyDescent="0.2">
      <c r="B27" s="9" t="s">
        <v>20</v>
      </c>
      <c r="C27" s="27"/>
      <c r="D27" s="27"/>
      <c r="E27" s="27"/>
      <c r="F27" s="27"/>
      <c r="G27" s="27"/>
      <c r="H27" s="27"/>
      <c r="I27" s="27">
        <v>5431</v>
      </c>
      <c r="J27" s="27">
        <v>6332</v>
      </c>
      <c r="K27" s="20"/>
      <c r="L27" s="20"/>
      <c r="M27" s="20"/>
      <c r="N27" s="20">
        <f>J27</f>
        <v>6332</v>
      </c>
    </row>
    <row r="28" spans="1:19" outlineLevel="1" x14ac:dyDescent="0.2">
      <c r="B28" s="9" t="s">
        <v>297</v>
      </c>
      <c r="C28" s="27"/>
      <c r="D28" s="27"/>
      <c r="E28" s="27"/>
      <c r="F28" s="27"/>
      <c r="G28" s="27"/>
      <c r="H28" s="27"/>
      <c r="I28" s="27">
        <v>1164</v>
      </c>
      <c r="J28" s="27">
        <v>558</v>
      </c>
      <c r="K28" s="20"/>
      <c r="L28" s="20"/>
      <c r="M28" s="20"/>
      <c r="N28" s="20">
        <f t="shared" ref="N28:N60" si="8">J28</f>
        <v>558</v>
      </c>
    </row>
    <row r="29" spans="1:19" outlineLevel="1" x14ac:dyDescent="0.2">
      <c r="B29" s="9" t="s">
        <v>21</v>
      </c>
      <c r="C29" s="27"/>
      <c r="D29" s="27"/>
      <c r="E29" s="27"/>
      <c r="F29" s="27"/>
      <c r="G29" s="27"/>
      <c r="H29" s="27"/>
      <c r="I29" s="27">
        <v>2344</v>
      </c>
      <c r="J29" s="27">
        <v>2092</v>
      </c>
      <c r="K29" s="20"/>
      <c r="L29" s="20"/>
      <c r="M29" s="20"/>
      <c r="N29" s="20">
        <f t="shared" si="8"/>
        <v>2092</v>
      </c>
    </row>
    <row r="30" spans="1:19" outlineLevel="1" x14ac:dyDescent="0.2">
      <c r="B30" s="9" t="s">
        <v>298</v>
      </c>
      <c r="C30" s="27"/>
      <c r="D30" s="27"/>
      <c r="E30" s="27"/>
      <c r="F30" s="27"/>
      <c r="G30" s="27"/>
      <c r="H30" s="27"/>
      <c r="I30" s="27">
        <v>1224</v>
      </c>
      <c r="J30" s="27">
        <v>1404</v>
      </c>
      <c r="K30" s="20"/>
      <c r="L30" s="20"/>
      <c r="M30" s="20"/>
      <c r="N30" s="20">
        <f t="shared" si="8"/>
        <v>1404</v>
      </c>
    </row>
    <row r="31" spans="1:19" s="7" customFormat="1" outlineLevel="1" x14ac:dyDescent="0.2">
      <c r="B31" s="11" t="s">
        <v>22</v>
      </c>
      <c r="C31" s="54"/>
      <c r="D31" s="54"/>
      <c r="E31" s="54"/>
      <c r="F31" s="54"/>
      <c r="G31" s="54"/>
      <c r="H31" s="54"/>
      <c r="I31" s="54">
        <v>10163</v>
      </c>
      <c r="J31" s="54">
        <v>10386</v>
      </c>
      <c r="K31" s="21"/>
      <c r="L31" s="21"/>
      <c r="M31" s="21"/>
      <c r="N31" s="84">
        <f t="shared" si="8"/>
        <v>10386</v>
      </c>
    </row>
    <row r="32" spans="1:19" outlineLevel="1" x14ac:dyDescent="0.2">
      <c r="B32" s="9" t="s">
        <v>23</v>
      </c>
      <c r="C32" s="27"/>
      <c r="D32" s="27"/>
      <c r="E32" s="27"/>
      <c r="F32" s="27"/>
      <c r="G32" s="27"/>
      <c r="H32" s="27"/>
      <c r="I32" s="27">
        <v>1873</v>
      </c>
      <c r="J32" s="27">
        <v>1852</v>
      </c>
      <c r="K32" s="20"/>
      <c r="L32" s="20"/>
      <c r="M32" s="20"/>
      <c r="N32" s="20">
        <f t="shared" si="8"/>
        <v>1852</v>
      </c>
    </row>
    <row r="33" spans="1:19" outlineLevel="1" x14ac:dyDescent="0.2">
      <c r="B33" s="9" t="s">
        <v>299</v>
      </c>
      <c r="C33" s="27"/>
      <c r="D33" s="27"/>
      <c r="E33" s="27"/>
      <c r="F33" s="27"/>
      <c r="G33" s="27"/>
      <c r="H33" s="27"/>
      <c r="I33" s="27">
        <v>312</v>
      </c>
      <c r="J33" s="27">
        <v>305</v>
      </c>
      <c r="K33" s="20"/>
      <c r="L33" s="20"/>
      <c r="M33" s="20"/>
      <c r="N33" s="20">
        <f t="shared" si="8"/>
        <v>305</v>
      </c>
    </row>
    <row r="34" spans="1:19" outlineLevel="1" x14ac:dyDescent="0.2">
      <c r="B34" s="9" t="s">
        <v>300</v>
      </c>
      <c r="C34" s="27"/>
      <c r="D34" s="27"/>
      <c r="E34" s="27"/>
      <c r="F34" s="27"/>
      <c r="G34" s="27"/>
      <c r="H34" s="27"/>
      <c r="I34" s="27">
        <v>12857</v>
      </c>
      <c r="J34" s="27">
        <v>12869</v>
      </c>
      <c r="K34" s="20"/>
      <c r="L34" s="20"/>
      <c r="M34" s="20"/>
      <c r="N34" s="20">
        <f t="shared" si="8"/>
        <v>12869</v>
      </c>
    </row>
    <row r="35" spans="1:19" outlineLevel="1" x14ac:dyDescent="0.2">
      <c r="B35" s="9" t="s">
        <v>301</v>
      </c>
      <c r="C35" s="27"/>
      <c r="D35" s="27"/>
      <c r="E35" s="27"/>
      <c r="F35" s="27"/>
      <c r="G35" s="27"/>
      <c r="H35" s="27"/>
      <c r="I35" s="27">
        <v>495</v>
      </c>
      <c r="J35" s="27">
        <v>454</v>
      </c>
      <c r="K35" s="20"/>
      <c r="L35" s="20"/>
      <c r="M35" s="20"/>
      <c r="N35" s="20">
        <f t="shared" si="8"/>
        <v>454</v>
      </c>
    </row>
    <row r="36" spans="1:19" outlineLevel="1" x14ac:dyDescent="0.2">
      <c r="B36" s="9" t="s">
        <v>302</v>
      </c>
      <c r="C36" s="27"/>
      <c r="D36" s="27"/>
      <c r="E36" s="27"/>
      <c r="F36" s="27"/>
      <c r="G36" s="27"/>
      <c r="H36" s="27"/>
      <c r="I36" s="27">
        <v>2186</v>
      </c>
      <c r="J36" s="27">
        <v>2138</v>
      </c>
      <c r="K36" s="20"/>
      <c r="L36" s="20"/>
      <c r="M36" s="20"/>
      <c r="N36" s="20">
        <f t="shared" si="8"/>
        <v>2138</v>
      </c>
    </row>
    <row r="37" spans="1:19" outlineLevel="1" x14ac:dyDescent="0.2">
      <c r="B37" s="9" t="s">
        <v>24</v>
      </c>
      <c r="C37" s="27"/>
      <c r="D37" s="27"/>
      <c r="E37" s="27"/>
      <c r="F37" s="27"/>
      <c r="G37" s="27"/>
      <c r="H37" s="27"/>
      <c r="I37" s="27">
        <v>1610</v>
      </c>
      <c r="J37" s="27">
        <v>1700</v>
      </c>
      <c r="K37" s="20"/>
      <c r="L37" s="20"/>
      <c r="M37" s="20"/>
      <c r="N37" s="20">
        <f t="shared" si="8"/>
        <v>1700</v>
      </c>
    </row>
    <row r="38" spans="1:19" s="7" customFormat="1" outlineLevel="1" x14ac:dyDescent="0.2">
      <c r="B38" s="11" t="s">
        <v>25</v>
      </c>
      <c r="C38" s="55">
        <f t="shared" ref="C38:J38" si="9">SUM(C32:C34)</f>
        <v>0</v>
      </c>
      <c r="D38" s="55">
        <f t="shared" si="9"/>
        <v>0</v>
      </c>
      <c r="E38" s="55">
        <f t="shared" si="9"/>
        <v>0</v>
      </c>
      <c r="F38" s="55">
        <f t="shared" si="9"/>
        <v>0</v>
      </c>
      <c r="G38" s="55">
        <f t="shared" si="9"/>
        <v>0</v>
      </c>
      <c r="H38" s="55">
        <f t="shared" si="9"/>
        <v>0</v>
      </c>
      <c r="I38" s="55">
        <f t="shared" si="9"/>
        <v>15042</v>
      </c>
      <c r="J38" s="55">
        <f t="shared" si="9"/>
        <v>15026</v>
      </c>
      <c r="K38" s="21"/>
      <c r="L38" s="21"/>
      <c r="M38" s="21"/>
      <c r="N38" s="85">
        <f t="shared" si="8"/>
        <v>15026</v>
      </c>
    </row>
    <row r="39" spans="1:19" s="18" customFormat="1" outlineLevel="1" x14ac:dyDescent="0.2">
      <c r="A39" s="7"/>
      <c r="B39" s="17" t="s">
        <v>26</v>
      </c>
      <c r="C39" s="50"/>
      <c r="D39" s="50"/>
      <c r="E39" s="50"/>
      <c r="F39" s="50"/>
      <c r="G39" s="50"/>
      <c r="H39" s="50"/>
      <c r="I39" s="50">
        <v>29496</v>
      </c>
      <c r="J39" s="50">
        <v>29704</v>
      </c>
      <c r="K39" s="21"/>
      <c r="L39" s="21"/>
      <c r="M39" s="21"/>
      <c r="N39" s="59">
        <f t="shared" si="8"/>
        <v>29704</v>
      </c>
      <c r="O39" s="7"/>
      <c r="S39" s="7"/>
    </row>
    <row r="40" spans="1:19" outlineLevel="1" x14ac:dyDescent="0.2">
      <c r="B40" s="9" t="s">
        <v>27</v>
      </c>
      <c r="C40" s="27"/>
      <c r="D40" s="27"/>
      <c r="E40" s="27"/>
      <c r="F40" s="27"/>
      <c r="G40" s="27"/>
      <c r="H40" s="27"/>
      <c r="I40" s="27">
        <v>417</v>
      </c>
      <c r="J40" s="27">
        <v>419</v>
      </c>
      <c r="K40" s="20"/>
      <c r="L40" s="20"/>
      <c r="M40" s="20"/>
      <c r="N40" s="20">
        <f t="shared" si="8"/>
        <v>419</v>
      </c>
    </row>
    <row r="41" spans="1:19" outlineLevel="1" x14ac:dyDescent="0.2">
      <c r="B41" s="9" t="s">
        <v>303</v>
      </c>
      <c r="C41" s="27"/>
      <c r="D41" s="27"/>
      <c r="E41" s="27"/>
      <c r="F41" s="27"/>
      <c r="G41" s="27"/>
      <c r="H41" s="27"/>
      <c r="I41" s="27">
        <v>2648</v>
      </c>
      <c r="J41" s="27">
        <v>2257</v>
      </c>
      <c r="K41" s="20"/>
      <c r="L41" s="20"/>
      <c r="M41" s="20"/>
      <c r="N41" s="20">
        <f t="shared" si="8"/>
        <v>2257</v>
      </c>
    </row>
    <row r="42" spans="1:19" outlineLevel="1" x14ac:dyDescent="0.2">
      <c r="B42" s="9" t="s">
        <v>137</v>
      </c>
      <c r="C42" s="27"/>
      <c r="D42" s="27"/>
      <c r="E42" s="27"/>
      <c r="F42" s="27"/>
      <c r="G42" s="27"/>
      <c r="H42" s="27"/>
      <c r="I42" s="27">
        <v>0</v>
      </c>
      <c r="J42" s="27">
        <v>849</v>
      </c>
      <c r="K42" s="20"/>
      <c r="L42" s="20"/>
      <c r="M42" s="20"/>
      <c r="N42" s="20">
        <f t="shared" si="8"/>
        <v>849</v>
      </c>
    </row>
    <row r="43" spans="1:19" outlineLevel="1" x14ac:dyDescent="0.2">
      <c r="B43" s="9" t="s">
        <v>304</v>
      </c>
      <c r="C43" s="27"/>
      <c r="D43" s="27"/>
      <c r="E43" s="27"/>
      <c r="F43" s="27"/>
      <c r="G43" s="27"/>
      <c r="H43" s="27"/>
      <c r="I43" s="27">
        <v>6905</v>
      </c>
      <c r="J43" s="27">
        <v>7275</v>
      </c>
      <c r="K43" s="20"/>
      <c r="L43" s="20"/>
      <c r="M43" s="20"/>
      <c r="N43" s="20">
        <f t="shared" si="8"/>
        <v>7275</v>
      </c>
    </row>
    <row r="44" spans="1:19" outlineLevel="1" x14ac:dyDescent="0.2">
      <c r="B44" s="9" t="s">
        <v>305</v>
      </c>
      <c r="C44" s="27"/>
      <c r="D44" s="27"/>
      <c r="E44" s="27"/>
      <c r="F44" s="27"/>
      <c r="G44" s="27"/>
      <c r="H44" s="27"/>
      <c r="I44" s="27">
        <v>153</v>
      </c>
      <c r="J44" s="27">
        <v>506</v>
      </c>
      <c r="K44" s="20"/>
      <c r="L44" s="20"/>
      <c r="M44" s="20"/>
      <c r="N44" s="20">
        <f t="shared" si="8"/>
        <v>506</v>
      </c>
    </row>
    <row r="45" spans="1:19" outlineLevel="1" x14ac:dyDescent="0.2">
      <c r="B45" s="9" t="s">
        <v>306</v>
      </c>
      <c r="C45" s="27"/>
      <c r="D45" s="27"/>
      <c r="E45" s="27"/>
      <c r="F45" s="27"/>
      <c r="G45" s="27"/>
      <c r="H45" s="27"/>
      <c r="I45" s="27">
        <v>77</v>
      </c>
      <c r="J45" s="27">
        <v>84</v>
      </c>
      <c r="K45" s="20"/>
      <c r="L45" s="20"/>
      <c r="M45" s="20"/>
      <c r="N45" s="20">
        <f t="shared" si="8"/>
        <v>84</v>
      </c>
    </row>
    <row r="46" spans="1:19" s="7" customFormat="1" outlineLevel="1" x14ac:dyDescent="0.2">
      <c r="B46" s="11" t="s">
        <v>30</v>
      </c>
      <c r="C46" s="54"/>
      <c r="D46" s="54"/>
      <c r="E46" s="54"/>
      <c r="F46" s="54"/>
      <c r="G46" s="54"/>
      <c r="H46" s="54"/>
      <c r="I46" s="54">
        <v>10200</v>
      </c>
      <c r="J46" s="54">
        <v>11390</v>
      </c>
      <c r="K46" s="21"/>
      <c r="L46" s="21"/>
      <c r="M46" s="21"/>
      <c r="N46" s="84">
        <f t="shared" si="8"/>
        <v>11390</v>
      </c>
    </row>
    <row r="47" spans="1:19" outlineLevel="1" x14ac:dyDescent="0.2">
      <c r="B47" s="9" t="s">
        <v>137</v>
      </c>
      <c r="C47" s="27"/>
      <c r="D47" s="27"/>
      <c r="E47" s="27"/>
      <c r="F47" s="27"/>
      <c r="G47" s="27"/>
      <c r="H47" s="27"/>
      <c r="I47" s="27">
        <v>6210</v>
      </c>
      <c r="J47" s="27">
        <v>5379</v>
      </c>
      <c r="K47" s="20"/>
      <c r="L47" s="20"/>
      <c r="M47" s="20"/>
      <c r="N47" s="20">
        <f t="shared" si="8"/>
        <v>5379</v>
      </c>
    </row>
    <row r="48" spans="1:19" outlineLevel="1" x14ac:dyDescent="0.2">
      <c r="B48" s="9" t="s">
        <v>304</v>
      </c>
      <c r="C48" s="27"/>
      <c r="D48" s="27"/>
      <c r="E48" s="27"/>
      <c r="F48" s="27"/>
      <c r="G48" s="27"/>
      <c r="H48" s="27"/>
      <c r="I48" s="27">
        <v>125</v>
      </c>
      <c r="J48" s="27">
        <v>95</v>
      </c>
      <c r="K48" s="20"/>
      <c r="L48" s="20"/>
      <c r="M48" s="20"/>
      <c r="N48" s="20">
        <f t="shared" si="8"/>
        <v>95</v>
      </c>
    </row>
    <row r="49" spans="1:19" outlineLevel="1" x14ac:dyDescent="0.2">
      <c r="B49" s="9" t="s">
        <v>305</v>
      </c>
      <c r="C49" s="27"/>
      <c r="D49" s="27"/>
      <c r="E49" s="27"/>
      <c r="F49" s="27"/>
      <c r="G49" s="27"/>
      <c r="H49" s="27"/>
      <c r="I49" s="27">
        <v>469</v>
      </c>
      <c r="J49" s="27">
        <v>487</v>
      </c>
      <c r="K49" s="20"/>
      <c r="L49" s="20"/>
      <c r="M49" s="20"/>
      <c r="N49" s="20">
        <f t="shared" si="8"/>
        <v>487</v>
      </c>
    </row>
    <row r="50" spans="1:19" outlineLevel="1" x14ac:dyDescent="0.2">
      <c r="B50" s="9" t="s">
        <v>302</v>
      </c>
      <c r="C50" s="27"/>
      <c r="D50" s="27"/>
      <c r="E50" s="27"/>
      <c r="F50" s="27"/>
      <c r="G50" s="27"/>
      <c r="H50" s="27"/>
      <c r="I50" s="27">
        <v>0</v>
      </c>
      <c r="J50" s="27">
        <v>0</v>
      </c>
      <c r="K50" s="20"/>
      <c r="L50" s="20"/>
      <c r="M50" s="20"/>
      <c r="N50" s="20">
        <f t="shared" si="8"/>
        <v>0</v>
      </c>
    </row>
    <row r="51" spans="1:19" outlineLevel="1" x14ac:dyDescent="0.2">
      <c r="B51" s="9" t="s">
        <v>306</v>
      </c>
      <c r="C51" s="27"/>
      <c r="D51" s="27"/>
      <c r="E51" s="27"/>
      <c r="F51" s="27"/>
      <c r="G51" s="27"/>
      <c r="H51" s="27"/>
      <c r="I51" s="27">
        <v>361</v>
      </c>
      <c r="J51" s="27">
        <v>344</v>
      </c>
      <c r="K51" s="20"/>
      <c r="L51" s="20"/>
      <c r="M51" s="20"/>
      <c r="N51" s="20">
        <f t="shared" si="8"/>
        <v>344</v>
      </c>
    </row>
    <row r="52" spans="1:19" outlineLevel="1" x14ac:dyDescent="0.2">
      <c r="B52" s="9" t="s">
        <v>220</v>
      </c>
      <c r="C52" s="27"/>
      <c r="D52" s="27"/>
      <c r="E52" s="27"/>
      <c r="F52" s="27"/>
      <c r="G52" s="27"/>
      <c r="H52" s="27"/>
      <c r="I52" s="27">
        <v>508</v>
      </c>
      <c r="J52" s="27">
        <v>576</v>
      </c>
      <c r="K52" s="20"/>
      <c r="L52" s="20"/>
      <c r="M52" s="20"/>
      <c r="N52" s="20">
        <f t="shared" si="8"/>
        <v>576</v>
      </c>
    </row>
    <row r="53" spans="1:19" s="7" customFormat="1" outlineLevel="1" x14ac:dyDescent="0.2">
      <c r="B53" s="11" t="s">
        <v>28</v>
      </c>
      <c r="C53" s="55">
        <f t="shared" ref="C53:I53" si="10">SUM(C47:C50)</f>
        <v>0</v>
      </c>
      <c r="D53" s="55">
        <f t="shared" si="10"/>
        <v>0</v>
      </c>
      <c r="E53" s="55">
        <f t="shared" si="10"/>
        <v>0</v>
      </c>
      <c r="F53" s="55">
        <f t="shared" si="10"/>
        <v>0</v>
      </c>
      <c r="G53" s="55">
        <f t="shared" si="10"/>
        <v>0</v>
      </c>
      <c r="H53" s="55">
        <f t="shared" si="10"/>
        <v>0</v>
      </c>
      <c r="I53" s="55">
        <f t="shared" si="10"/>
        <v>6804</v>
      </c>
      <c r="J53" s="55">
        <f t="shared" ref="J53" si="11">SUM(J47:J50)</f>
        <v>5961</v>
      </c>
      <c r="K53" s="21"/>
      <c r="L53" s="21"/>
      <c r="M53" s="21"/>
      <c r="N53" s="20">
        <f t="shared" si="8"/>
        <v>5961</v>
      </c>
    </row>
    <row r="54" spans="1:19" s="18" customFormat="1" outlineLevel="1" x14ac:dyDescent="0.2">
      <c r="A54" s="7"/>
      <c r="B54" s="17" t="s">
        <v>29</v>
      </c>
      <c r="C54" s="50"/>
      <c r="D54" s="50"/>
      <c r="E54" s="50"/>
      <c r="F54" s="50"/>
      <c r="G54" s="50"/>
      <c r="H54" s="50"/>
      <c r="I54" s="50">
        <v>17873</v>
      </c>
      <c r="J54" s="50">
        <v>18271</v>
      </c>
      <c r="K54" s="21"/>
      <c r="L54" s="21"/>
      <c r="M54" s="21"/>
      <c r="N54" s="59">
        <f t="shared" si="8"/>
        <v>18271</v>
      </c>
      <c r="O54" s="7"/>
      <c r="S54" s="7"/>
    </row>
    <row r="55" spans="1:19" outlineLevel="1" x14ac:dyDescent="0.2">
      <c r="B55" s="9" t="s">
        <v>307</v>
      </c>
      <c r="C55" s="27"/>
      <c r="D55" s="27"/>
      <c r="E55" s="27"/>
      <c r="F55" s="27"/>
      <c r="G55" s="27"/>
      <c r="H55" s="27"/>
      <c r="I55" s="27">
        <v>15361</v>
      </c>
      <c r="J55" s="27">
        <v>15870</v>
      </c>
      <c r="K55" s="20"/>
      <c r="L55" s="20"/>
      <c r="M55" s="20"/>
      <c r="N55" s="20">
        <f t="shared" si="8"/>
        <v>15870</v>
      </c>
    </row>
    <row r="56" spans="1:19" outlineLevel="1" x14ac:dyDescent="0.2">
      <c r="B56" s="9" t="s">
        <v>31</v>
      </c>
      <c r="C56" s="27"/>
      <c r="D56" s="27"/>
      <c r="E56" s="27"/>
      <c r="F56" s="27"/>
      <c r="G56" s="27"/>
      <c r="H56" s="27"/>
      <c r="I56" s="27">
        <v>45354</v>
      </c>
      <c r="J56" s="27">
        <v>47170</v>
      </c>
      <c r="K56" s="20"/>
      <c r="L56" s="20"/>
      <c r="M56" s="20"/>
      <c r="N56" s="20">
        <f t="shared" si="8"/>
        <v>47170</v>
      </c>
    </row>
    <row r="57" spans="1:19" outlineLevel="1" x14ac:dyDescent="0.2">
      <c r="B57" s="9" t="s">
        <v>308</v>
      </c>
      <c r="C57" s="27"/>
      <c r="D57" s="27"/>
      <c r="E57" s="27"/>
      <c r="F57" s="27"/>
      <c r="G57" s="27"/>
      <c r="H57" s="27"/>
      <c r="I57" s="27">
        <v>-245</v>
      </c>
      <c r="J57" s="27">
        <v>-295</v>
      </c>
      <c r="K57" s="20"/>
      <c r="L57" s="20"/>
      <c r="M57" s="20"/>
      <c r="N57" s="20">
        <f t="shared" si="8"/>
        <v>-295</v>
      </c>
    </row>
    <row r="58" spans="1:19" outlineLevel="1" x14ac:dyDescent="0.2">
      <c r="B58" s="9" t="s">
        <v>309</v>
      </c>
      <c r="C58" s="27"/>
      <c r="D58" s="27"/>
      <c r="E58" s="27"/>
      <c r="F58" s="27"/>
      <c r="G58" s="27"/>
      <c r="H58" s="27"/>
      <c r="I58" s="27">
        <v>-48847</v>
      </c>
      <c r="J58" s="27">
        <v>-51312</v>
      </c>
      <c r="K58" s="20"/>
      <c r="L58" s="20"/>
      <c r="M58" s="20"/>
      <c r="N58" s="20">
        <f t="shared" si="8"/>
        <v>-51312</v>
      </c>
    </row>
    <row r="59" spans="1:19" s="7" customFormat="1" outlineLevel="1" x14ac:dyDescent="0.2">
      <c r="B59" s="11" t="s">
        <v>32</v>
      </c>
      <c r="C59" s="54"/>
      <c r="D59" s="54"/>
      <c r="E59" s="54"/>
      <c r="F59" s="54"/>
      <c r="G59" s="54"/>
      <c r="H59" s="54"/>
      <c r="I59" s="54">
        <v>11623</v>
      </c>
      <c r="J59" s="54">
        <v>11433</v>
      </c>
      <c r="K59" s="21"/>
      <c r="L59" s="21"/>
      <c r="M59" s="21"/>
      <c r="N59" s="84">
        <f t="shared" si="8"/>
        <v>11433</v>
      </c>
    </row>
    <row r="60" spans="1:19" s="13" customFormat="1" ht="17" outlineLevel="1" thickBot="1" x14ac:dyDescent="0.25">
      <c r="A60" s="7"/>
      <c r="B60" s="19" t="s">
        <v>33</v>
      </c>
      <c r="C60" s="57"/>
      <c r="D60" s="57"/>
      <c r="E60" s="57"/>
      <c r="F60" s="57"/>
      <c r="G60" s="57"/>
      <c r="H60" s="57"/>
      <c r="I60" s="57">
        <v>29496</v>
      </c>
      <c r="J60" s="57">
        <v>29704</v>
      </c>
      <c r="K60" s="21"/>
      <c r="L60" s="21"/>
      <c r="M60" s="21"/>
      <c r="N60" s="86">
        <f t="shared" si="8"/>
        <v>29704</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J63" si="12">C20</f>
        <v>1573</v>
      </c>
      <c r="D63" s="20">
        <f t="shared" si="12"/>
        <v>1684</v>
      </c>
      <c r="E63" s="20">
        <f t="shared" si="12"/>
        <v>1683</v>
      </c>
      <c r="F63" s="20">
        <f t="shared" si="12"/>
        <v>1811</v>
      </c>
      <c r="G63" s="20">
        <f t="shared" si="12"/>
        <v>1691</v>
      </c>
      <c r="H63" s="20">
        <f t="shared" si="12"/>
        <v>1772</v>
      </c>
      <c r="I63" s="20">
        <f t="shared" si="12"/>
        <v>1856</v>
      </c>
      <c r="J63" s="20">
        <f t="shared" si="12"/>
        <v>1889</v>
      </c>
      <c r="K63" s="20"/>
      <c r="L63" s="20"/>
      <c r="M63" s="20"/>
      <c r="N63" s="20">
        <f>SUM(G63:J63)</f>
        <v>7208</v>
      </c>
    </row>
    <row r="64" spans="1:19" outlineLevel="1" x14ac:dyDescent="0.2">
      <c r="B64" s="9" t="s">
        <v>35</v>
      </c>
      <c r="C64" s="27"/>
      <c r="D64" s="27"/>
      <c r="E64" s="27"/>
      <c r="F64" s="27">
        <v>217</v>
      </c>
      <c r="G64" s="27">
        <v>209</v>
      </c>
      <c r="H64" s="27">
        <v>208</v>
      </c>
      <c r="I64" s="27">
        <v>184</v>
      </c>
      <c r="J64" s="27">
        <v>174</v>
      </c>
      <c r="K64" s="27"/>
      <c r="L64" s="27"/>
      <c r="M64" s="20"/>
      <c r="N64" s="27">
        <f t="shared" ref="N64:N92" si="13">SUM(G64:J64)</f>
        <v>775</v>
      </c>
    </row>
    <row r="65" spans="1:19" outlineLevel="1" x14ac:dyDescent="0.2">
      <c r="B65" s="12" t="s">
        <v>94</v>
      </c>
      <c r="C65" s="27"/>
      <c r="D65" s="27"/>
      <c r="E65" s="27"/>
      <c r="F65" s="27">
        <v>475</v>
      </c>
      <c r="G65" s="27">
        <v>481</v>
      </c>
      <c r="H65" s="27">
        <v>497</v>
      </c>
      <c r="I65" s="27">
        <v>489</v>
      </c>
      <c r="J65" s="27">
        <v>509</v>
      </c>
      <c r="K65" s="27"/>
      <c r="L65" s="27"/>
      <c r="M65" s="20"/>
      <c r="N65" s="27">
        <f t="shared" si="13"/>
        <v>1976</v>
      </c>
    </row>
    <row r="66" spans="1:19" outlineLevel="1" x14ac:dyDescent="0.2">
      <c r="B66" s="12" t="s">
        <v>302</v>
      </c>
      <c r="C66" s="27"/>
      <c r="D66" s="27"/>
      <c r="E66" s="27"/>
      <c r="F66" s="27">
        <v>-169</v>
      </c>
      <c r="G66" s="27">
        <v>-119</v>
      </c>
      <c r="H66" s="27">
        <v>-103</v>
      </c>
      <c r="I66" s="27">
        <v>-121</v>
      </c>
      <c r="J66" s="27">
        <v>64</v>
      </c>
      <c r="K66" s="27"/>
      <c r="L66" s="27"/>
      <c r="M66" s="20"/>
      <c r="N66" s="27"/>
    </row>
    <row r="67" spans="1:19" outlineLevel="1" x14ac:dyDescent="0.2">
      <c r="B67" s="12" t="s">
        <v>224</v>
      </c>
      <c r="C67" s="27"/>
      <c r="D67" s="27"/>
      <c r="E67" s="27"/>
      <c r="F67" s="27">
        <v>17</v>
      </c>
      <c r="G67" s="27">
        <v>18</v>
      </c>
      <c r="H67" s="27">
        <v>2</v>
      </c>
      <c r="I67" s="27">
        <v>11</v>
      </c>
      <c r="J67" s="27">
        <v>46</v>
      </c>
      <c r="K67" s="27"/>
      <c r="L67" s="27"/>
      <c r="M67" s="20"/>
      <c r="N67" s="27">
        <f t="shared" si="13"/>
        <v>77</v>
      </c>
    </row>
    <row r="68" spans="1:19" outlineLevel="1" x14ac:dyDescent="0.2">
      <c r="B68" s="9" t="s">
        <v>36</v>
      </c>
      <c r="C68" s="27"/>
      <c r="D68" s="27"/>
      <c r="E68" s="27"/>
      <c r="F68" s="27">
        <v>97</v>
      </c>
      <c r="G68" s="27">
        <v>237</v>
      </c>
      <c r="H68" s="27">
        <v>-359</v>
      </c>
      <c r="I68" s="27">
        <v>-250</v>
      </c>
      <c r="J68" s="27">
        <v>252</v>
      </c>
      <c r="K68" s="27"/>
      <c r="L68" s="27"/>
      <c r="M68" s="20"/>
      <c r="N68" s="27">
        <f t="shared" si="13"/>
        <v>-120</v>
      </c>
    </row>
    <row r="69" spans="1:19" outlineLevel="1" x14ac:dyDescent="0.2">
      <c r="B69" s="9" t="s">
        <v>312</v>
      </c>
      <c r="C69" s="27"/>
      <c r="D69" s="27"/>
      <c r="E69" s="27"/>
      <c r="F69" s="27">
        <v>-156</v>
      </c>
      <c r="G69" s="27">
        <v>-65</v>
      </c>
      <c r="H69" s="27">
        <v>64</v>
      </c>
      <c r="I69" s="27">
        <v>67</v>
      </c>
      <c r="J69" s="27">
        <v>-240</v>
      </c>
      <c r="K69" s="27"/>
      <c r="L69" s="27"/>
      <c r="M69" s="20"/>
      <c r="N69" s="27">
        <f t="shared" si="13"/>
        <v>-174</v>
      </c>
    </row>
    <row r="70" spans="1:19" outlineLevel="1" x14ac:dyDescent="0.2">
      <c r="B70" s="9" t="s">
        <v>37</v>
      </c>
      <c r="C70" s="27"/>
      <c r="D70" s="27"/>
      <c r="E70" s="27"/>
      <c r="F70" s="27">
        <v>-28</v>
      </c>
      <c r="G70" s="27">
        <v>35</v>
      </c>
      <c r="H70" s="27">
        <v>-30</v>
      </c>
      <c r="I70" s="27">
        <v>87</v>
      </c>
      <c r="J70" s="27">
        <v>3</v>
      </c>
      <c r="K70" s="27"/>
      <c r="L70" s="27"/>
      <c r="M70" s="20"/>
      <c r="N70" s="27">
        <f t="shared" si="13"/>
        <v>95</v>
      </c>
    </row>
    <row r="71" spans="1:19" outlineLevel="1" x14ac:dyDescent="0.2">
      <c r="B71" s="9" t="s">
        <v>313</v>
      </c>
      <c r="C71" s="27"/>
      <c r="D71" s="27"/>
      <c r="E71" s="27"/>
      <c r="F71" s="27">
        <v>-378</v>
      </c>
      <c r="G71" s="27">
        <v>286</v>
      </c>
      <c r="H71" s="27">
        <v>-103</v>
      </c>
      <c r="I71" s="27">
        <v>375</v>
      </c>
      <c r="J71" s="27">
        <v>-450</v>
      </c>
      <c r="K71" s="27"/>
      <c r="L71" s="27"/>
      <c r="M71" s="20"/>
      <c r="N71" s="27">
        <f t="shared" si="13"/>
        <v>108</v>
      </c>
    </row>
    <row r="72" spans="1:19" outlineLevel="1" x14ac:dyDescent="0.2">
      <c r="B72" s="9" t="s">
        <v>314</v>
      </c>
      <c r="C72" s="27"/>
      <c r="D72" s="27"/>
      <c r="E72" s="27"/>
      <c r="F72" s="27">
        <v>365</v>
      </c>
      <c r="G72" s="27">
        <v>-426</v>
      </c>
      <c r="H72" s="27">
        <v>50</v>
      </c>
      <c r="I72" s="27">
        <v>-34</v>
      </c>
      <c r="J72" s="27">
        <v>371</v>
      </c>
      <c r="K72" s="27"/>
      <c r="L72" s="27"/>
      <c r="M72" s="20"/>
      <c r="N72" s="27">
        <f t="shared" si="13"/>
        <v>-39</v>
      </c>
    </row>
    <row r="73" spans="1:19" outlineLevel="1" x14ac:dyDescent="0.2">
      <c r="B73" s="9" t="s">
        <v>95</v>
      </c>
      <c r="C73" s="27"/>
      <c r="D73" s="27"/>
      <c r="E73" s="27"/>
      <c r="F73" s="27">
        <v>231</v>
      </c>
      <c r="G73" s="27">
        <v>-156</v>
      </c>
      <c r="H73" s="27">
        <v>200</v>
      </c>
      <c r="I73" s="27">
        <v>496</v>
      </c>
      <c r="J73" s="27">
        <v>340</v>
      </c>
      <c r="K73" s="27"/>
      <c r="L73" s="27"/>
      <c r="M73" s="20"/>
      <c r="N73" s="27">
        <f t="shared" si="13"/>
        <v>880</v>
      </c>
    </row>
    <row r="74" spans="1:19" s="18" customFormat="1" outlineLevel="1" x14ac:dyDescent="0.2">
      <c r="A74" s="7"/>
      <c r="B74" s="17" t="s">
        <v>38</v>
      </c>
      <c r="C74" s="50"/>
      <c r="D74" s="50"/>
      <c r="E74" s="50"/>
      <c r="F74" s="50">
        <v>2482</v>
      </c>
      <c r="G74" s="50">
        <v>2191</v>
      </c>
      <c r="H74" s="50">
        <v>2198</v>
      </c>
      <c r="I74" s="50">
        <v>3160</v>
      </c>
      <c r="J74" s="50">
        <v>2958</v>
      </c>
      <c r="K74" s="32"/>
      <c r="L74" s="32"/>
      <c r="M74" s="21"/>
      <c r="N74" s="50">
        <f t="shared" si="13"/>
        <v>10507</v>
      </c>
      <c r="O74" s="7"/>
      <c r="S74" s="7"/>
    </row>
    <row r="75" spans="1:19" outlineLevel="1" x14ac:dyDescent="0.2">
      <c r="B75" s="9" t="s">
        <v>315</v>
      </c>
      <c r="C75" s="27"/>
      <c r="D75" s="27"/>
      <c r="E75" s="27"/>
      <c r="F75" s="27">
        <v>-533</v>
      </c>
      <c r="G75" s="27">
        <v>-209</v>
      </c>
      <c r="H75" s="27">
        <v>-609</v>
      </c>
      <c r="I75" s="27">
        <v>-683</v>
      </c>
      <c r="J75" s="27">
        <v>-306</v>
      </c>
      <c r="K75" s="27"/>
      <c r="L75" s="27"/>
      <c r="M75" s="20"/>
      <c r="N75" s="27">
        <f t="shared" si="13"/>
        <v>-1807</v>
      </c>
    </row>
    <row r="76" spans="1:19" outlineLevel="1" x14ac:dyDescent="0.2">
      <c r="B76" s="9" t="s">
        <v>316</v>
      </c>
      <c r="C76" s="27"/>
      <c r="D76" s="27"/>
      <c r="E76" s="27"/>
      <c r="F76" s="27">
        <v>132</v>
      </c>
      <c r="G76" s="27">
        <v>110</v>
      </c>
      <c r="H76" s="27">
        <v>439</v>
      </c>
      <c r="I76" s="27">
        <v>487</v>
      </c>
      <c r="J76" s="27">
        <v>920</v>
      </c>
      <c r="K76" s="27"/>
      <c r="L76" s="27"/>
      <c r="M76" s="20"/>
      <c r="N76" s="27">
        <f t="shared" si="13"/>
        <v>1956</v>
      </c>
    </row>
    <row r="77" spans="1:19" outlineLevel="1" x14ac:dyDescent="0.2">
      <c r="B77" s="9" t="s">
        <v>317</v>
      </c>
      <c r="C77" s="27"/>
      <c r="D77" s="27"/>
      <c r="E77" s="27"/>
      <c r="F77" s="27">
        <v>0</v>
      </c>
      <c r="G77" s="27">
        <v>3</v>
      </c>
      <c r="H77" s="27">
        <v>1</v>
      </c>
      <c r="I77" s="27">
        <v>2</v>
      </c>
      <c r="J77" s="27">
        <v>0</v>
      </c>
      <c r="K77" s="27"/>
      <c r="L77" s="27"/>
      <c r="M77" s="20"/>
      <c r="N77" s="27">
        <f t="shared" si="13"/>
        <v>6</v>
      </c>
    </row>
    <row r="78" spans="1:19" outlineLevel="1" x14ac:dyDescent="0.2">
      <c r="B78" s="9" t="s">
        <v>318</v>
      </c>
      <c r="C78" s="27"/>
      <c r="D78" s="27"/>
      <c r="E78" s="27"/>
      <c r="F78" s="27">
        <v>0</v>
      </c>
      <c r="G78" s="27">
        <v>0</v>
      </c>
      <c r="H78" s="27">
        <v>-17</v>
      </c>
      <c r="I78" s="27">
        <v>0</v>
      </c>
      <c r="J78" s="27">
        <v>0</v>
      </c>
      <c r="K78" s="27"/>
      <c r="L78" s="27"/>
      <c r="M78" s="20"/>
      <c r="N78" s="27">
        <f t="shared" si="13"/>
        <v>-17</v>
      </c>
    </row>
    <row r="79" spans="1:19" outlineLevel="1" x14ac:dyDescent="0.2">
      <c r="B79" s="9" t="s">
        <v>39</v>
      </c>
      <c r="C79" s="27"/>
      <c r="D79" s="27"/>
      <c r="E79" s="27"/>
      <c r="F79" s="27">
        <v>-26</v>
      </c>
      <c r="G79" s="27">
        <v>-47</v>
      </c>
      <c r="H79" s="27">
        <v>-72</v>
      </c>
      <c r="I79" s="27">
        <v>-34</v>
      </c>
      <c r="J79" s="27">
        <v>-37</v>
      </c>
      <c r="K79" s="27"/>
      <c r="L79" s="27"/>
      <c r="M79" s="20"/>
      <c r="N79" s="27">
        <f t="shared" si="13"/>
        <v>-190</v>
      </c>
    </row>
    <row r="80" spans="1:19" outlineLevel="1" x14ac:dyDescent="0.2">
      <c r="B80" s="9" t="s">
        <v>319</v>
      </c>
      <c r="C80" s="27"/>
      <c r="D80" s="27"/>
      <c r="E80" s="27"/>
      <c r="F80" s="27">
        <v>-59</v>
      </c>
      <c r="G80" s="27">
        <v>-136</v>
      </c>
      <c r="H80" s="27">
        <v>-21</v>
      </c>
      <c r="I80" s="27">
        <v>82</v>
      </c>
      <c r="J80" s="27">
        <v>-104</v>
      </c>
      <c r="K80" s="27"/>
      <c r="L80" s="27"/>
      <c r="M80" s="20"/>
      <c r="N80" s="27">
        <f t="shared" si="13"/>
        <v>-179</v>
      </c>
    </row>
    <row r="81" spans="1:19" outlineLevel="1" x14ac:dyDescent="0.2">
      <c r="B81" s="9" t="s">
        <v>224</v>
      </c>
      <c r="C81" s="27"/>
      <c r="D81" s="27"/>
      <c r="E81" s="27"/>
      <c r="F81" s="27">
        <v>2</v>
      </c>
      <c r="G81" s="27">
        <v>1</v>
      </c>
      <c r="H81" s="27">
        <v>0</v>
      </c>
      <c r="I81" s="27">
        <v>0</v>
      </c>
      <c r="J81" s="27">
        <v>1</v>
      </c>
      <c r="K81" s="27"/>
      <c r="L81" s="27"/>
      <c r="M81" s="20"/>
      <c r="N81" s="27">
        <f t="shared" si="13"/>
        <v>2</v>
      </c>
    </row>
    <row r="82" spans="1:19" s="18" customFormat="1" outlineLevel="1" x14ac:dyDescent="0.2">
      <c r="A82" s="7"/>
      <c r="B82" s="17" t="s">
        <v>40</v>
      </c>
      <c r="C82" s="50"/>
      <c r="D82" s="50"/>
      <c r="E82" s="50"/>
      <c r="F82" s="50">
        <v>-484</v>
      </c>
      <c r="G82" s="50">
        <v>-278</v>
      </c>
      <c r="H82" s="50">
        <v>-279</v>
      </c>
      <c r="I82" s="50">
        <v>-146</v>
      </c>
      <c r="J82" s="50">
        <v>474</v>
      </c>
      <c r="K82" s="32"/>
      <c r="L82" s="32"/>
      <c r="M82" s="21"/>
      <c r="N82" s="50">
        <f t="shared" si="13"/>
        <v>-229</v>
      </c>
      <c r="O82" s="7"/>
      <c r="S82" s="7"/>
    </row>
    <row r="83" spans="1:19" outlineLevel="1" x14ac:dyDescent="0.2">
      <c r="B83" s="9" t="s">
        <v>225</v>
      </c>
      <c r="C83" s="27"/>
      <c r="D83" s="27"/>
      <c r="E83" s="27"/>
      <c r="F83" s="27">
        <v>-3250</v>
      </c>
      <c r="G83" s="27">
        <v>-3500</v>
      </c>
      <c r="H83" s="27">
        <v>-2057</v>
      </c>
      <c r="I83" s="27">
        <v>-2474</v>
      </c>
      <c r="J83" s="27">
        <v>-2478</v>
      </c>
      <c r="K83" s="27"/>
      <c r="L83" s="27"/>
      <c r="M83" s="20"/>
      <c r="N83" s="27">
        <f t="shared" si="13"/>
        <v>-10509</v>
      </c>
    </row>
    <row r="84" spans="1:19" outlineLevel="1" x14ac:dyDescent="0.2">
      <c r="B84" s="9" t="s">
        <v>325</v>
      </c>
      <c r="C84" s="27"/>
      <c r="D84" s="27"/>
      <c r="E84" s="27"/>
      <c r="F84" s="27">
        <v>0</v>
      </c>
      <c r="G84" s="27">
        <v>0</v>
      </c>
      <c r="H84" s="27">
        <v>0</v>
      </c>
      <c r="I84" s="27">
        <v>0</v>
      </c>
      <c r="J84" s="27">
        <v>0</v>
      </c>
      <c r="K84" s="27"/>
      <c r="L84" s="27"/>
      <c r="M84" s="20"/>
      <c r="N84" s="27">
        <f t="shared" si="13"/>
        <v>0</v>
      </c>
    </row>
    <row r="85" spans="1:19" outlineLevel="1" x14ac:dyDescent="0.2">
      <c r="B85" s="9" t="s">
        <v>320</v>
      </c>
      <c r="C85" s="27"/>
      <c r="D85" s="27"/>
      <c r="E85" s="27"/>
      <c r="F85" s="27">
        <v>96</v>
      </c>
      <c r="G85" s="27">
        <v>0</v>
      </c>
      <c r="H85" s="27">
        <v>252</v>
      </c>
      <c r="I85" s="27">
        <v>0</v>
      </c>
      <c r="J85" s="27">
        <v>84</v>
      </c>
      <c r="K85" s="27"/>
      <c r="L85" s="27"/>
      <c r="M85" s="20"/>
      <c r="N85" s="27">
        <f t="shared" si="13"/>
        <v>336</v>
      </c>
    </row>
    <row r="86" spans="1:19" outlineLevel="1" x14ac:dyDescent="0.2">
      <c r="B86" s="9" t="s">
        <v>321</v>
      </c>
      <c r="C86" s="27"/>
      <c r="D86" s="27"/>
      <c r="E86" s="27"/>
      <c r="F86" s="27">
        <v>-159</v>
      </c>
      <c r="G86" s="27">
        <v>-112</v>
      </c>
      <c r="H86" s="27">
        <v>-110</v>
      </c>
      <c r="I86" s="27">
        <v>-94</v>
      </c>
      <c r="J86" s="27">
        <v>-123</v>
      </c>
      <c r="K86" s="27"/>
      <c r="L86" s="27"/>
      <c r="M86" s="20"/>
      <c r="N86" s="27">
        <f t="shared" si="13"/>
        <v>-439</v>
      </c>
    </row>
    <row r="87" spans="1:19" outlineLevel="1" x14ac:dyDescent="0.2">
      <c r="B87" s="9" t="s">
        <v>322</v>
      </c>
      <c r="C87" s="27"/>
      <c r="D87" s="27"/>
      <c r="E87" s="27"/>
      <c r="F87" s="27">
        <v>1997</v>
      </c>
      <c r="G87" s="27">
        <v>0</v>
      </c>
      <c r="H87" s="27">
        <v>0</v>
      </c>
      <c r="I87" s="27">
        <v>0</v>
      </c>
      <c r="J87" s="27">
        <v>0</v>
      </c>
      <c r="K87" s="27"/>
      <c r="L87" s="27"/>
      <c r="M87" s="20"/>
      <c r="N87" s="27">
        <f t="shared" si="13"/>
        <v>0</v>
      </c>
    </row>
    <row r="88" spans="1:19" outlineLevel="1" x14ac:dyDescent="0.2">
      <c r="B88" s="9" t="s">
        <v>230</v>
      </c>
      <c r="C88" s="27"/>
      <c r="D88" s="27"/>
      <c r="E88" s="27"/>
      <c r="F88" s="27">
        <v>-1500</v>
      </c>
      <c r="G88" s="27">
        <v>0</v>
      </c>
      <c r="H88" s="27">
        <v>0</v>
      </c>
      <c r="I88" s="27">
        <v>0</v>
      </c>
      <c r="J88" s="27">
        <v>0</v>
      </c>
      <c r="K88" s="27"/>
      <c r="L88" s="27"/>
      <c r="M88" s="20"/>
      <c r="N88" s="27">
        <f t="shared" si="13"/>
        <v>0</v>
      </c>
    </row>
    <row r="89" spans="1:19" outlineLevel="1" x14ac:dyDescent="0.2">
      <c r="B89" s="9" t="s">
        <v>224</v>
      </c>
      <c r="C89" s="27"/>
      <c r="D89" s="27"/>
      <c r="E89" s="27"/>
      <c r="F89" s="27">
        <v>-25</v>
      </c>
      <c r="G89" s="27">
        <v>-176</v>
      </c>
      <c r="H89" s="27">
        <v>39</v>
      </c>
      <c r="I89" s="27">
        <v>13</v>
      </c>
      <c r="J89" s="27">
        <v>-27</v>
      </c>
      <c r="K89" s="27"/>
      <c r="L89" s="27"/>
      <c r="M89" s="20"/>
      <c r="N89" s="27">
        <f t="shared" si="13"/>
        <v>-151</v>
      </c>
    </row>
    <row r="90" spans="1:19" s="18" customFormat="1" outlineLevel="1" x14ac:dyDescent="0.2">
      <c r="A90" s="7"/>
      <c r="B90" s="17" t="s">
        <v>41</v>
      </c>
      <c r="C90" s="50"/>
      <c r="D90" s="50"/>
      <c r="E90" s="50"/>
      <c r="F90" s="50">
        <v>-2841</v>
      </c>
      <c r="G90" s="50">
        <v>-3788</v>
      </c>
      <c r="H90" s="50">
        <v>-1876</v>
      </c>
      <c r="I90" s="50">
        <v>-2555</v>
      </c>
      <c r="J90" s="50">
        <v>-2544</v>
      </c>
      <c r="K90" s="32"/>
      <c r="L90" s="32"/>
      <c r="M90" s="21"/>
      <c r="N90" s="50">
        <f t="shared" si="13"/>
        <v>-10763</v>
      </c>
      <c r="O90" s="7"/>
      <c r="S90" s="7"/>
    </row>
    <row r="91" spans="1:19" s="7" customFormat="1" outlineLevel="1" x14ac:dyDescent="0.2">
      <c r="B91" s="12" t="s">
        <v>323</v>
      </c>
      <c r="C91" s="27"/>
      <c r="D91" s="27"/>
      <c r="E91" s="27"/>
      <c r="F91" s="27">
        <v>-12</v>
      </c>
      <c r="G91" s="27">
        <v>48</v>
      </c>
      <c r="H91" s="27">
        <v>8</v>
      </c>
      <c r="I91" s="27">
        <v>-10</v>
      </c>
      <c r="J91" s="27">
        <v>13</v>
      </c>
      <c r="K91" s="32"/>
      <c r="L91" s="32"/>
      <c r="M91" s="21"/>
      <c r="N91" s="54">
        <f t="shared" si="13"/>
        <v>59</v>
      </c>
    </row>
    <row r="92" spans="1:19" s="7" customFormat="1" outlineLevel="1" x14ac:dyDescent="0.2">
      <c r="B92" s="11" t="s">
        <v>42</v>
      </c>
      <c r="C92" s="54"/>
      <c r="D92" s="54"/>
      <c r="E92" s="54"/>
      <c r="F92" s="54">
        <v>-855</v>
      </c>
      <c r="G92" s="54">
        <v>-1827</v>
      </c>
      <c r="H92" s="54">
        <v>51</v>
      </c>
      <c r="I92" s="54">
        <v>449</v>
      </c>
      <c r="J92" s="54">
        <v>901</v>
      </c>
      <c r="K92" s="32"/>
      <c r="L92" s="32"/>
      <c r="M92" s="21"/>
      <c r="N92" s="54">
        <f t="shared" si="13"/>
        <v>-426</v>
      </c>
    </row>
    <row r="93" spans="1:19" s="7" customFormat="1" outlineLevel="1" x14ac:dyDescent="0.2">
      <c r="B93" s="11" t="s">
        <v>43</v>
      </c>
      <c r="C93" s="54"/>
      <c r="D93" s="54"/>
      <c r="E93" s="54"/>
      <c r="F93" s="54">
        <v>7613</v>
      </c>
      <c r="G93" s="54">
        <v>6758</v>
      </c>
      <c r="H93" s="54">
        <v>4931</v>
      </c>
      <c r="I93" s="54">
        <v>4982</v>
      </c>
      <c r="J93" s="54">
        <v>5431</v>
      </c>
      <c r="K93" s="21"/>
      <c r="L93" s="21"/>
      <c r="M93" s="21"/>
      <c r="N93" s="54">
        <f>G93</f>
        <v>6758</v>
      </c>
    </row>
    <row r="94" spans="1:19" s="13" customFormat="1" ht="17" outlineLevel="1" thickBot="1" x14ac:dyDescent="0.25">
      <c r="A94" s="7"/>
      <c r="B94" s="19" t="s">
        <v>44</v>
      </c>
      <c r="C94" s="57"/>
      <c r="D94" s="57"/>
      <c r="E94" s="57"/>
      <c r="F94" s="57">
        <v>6758</v>
      </c>
      <c r="G94" s="57">
        <v>4931</v>
      </c>
      <c r="H94" s="57">
        <v>4982</v>
      </c>
      <c r="I94" s="57">
        <v>5431</v>
      </c>
      <c r="J94" s="57">
        <v>6332</v>
      </c>
      <c r="K94" s="21"/>
      <c r="L94" s="21"/>
      <c r="M94" s="21"/>
      <c r="N94" s="57">
        <f>J94</f>
        <v>6332</v>
      </c>
      <c r="O94" s="7"/>
      <c r="S94" s="7"/>
    </row>
    <row r="95" spans="1:19" x14ac:dyDescent="0.2">
      <c r="B95" s="1"/>
    </row>
    <row r="96" spans="1:19" s="14" customFormat="1" ht="17" thickBot="1" x14ac:dyDescent="0.25">
      <c r="A96" s="4"/>
      <c r="B96" s="15" t="s">
        <v>45</v>
      </c>
      <c r="K96" s="4"/>
      <c r="L96" s="4"/>
      <c r="M96" s="4"/>
      <c r="O96" s="4"/>
      <c r="S96" s="4"/>
    </row>
    <row r="97" spans="1:19" hidden="1" outlineLevel="2" x14ac:dyDescent="0.2">
      <c r="B97" s="9" t="s">
        <v>46</v>
      </c>
      <c r="C97" s="20">
        <f t="shared" ref="C97:J97" si="14">C5-C6-C13+C15+C16+C17+C19</f>
        <v>1573</v>
      </c>
      <c r="D97" s="20">
        <f t="shared" si="14"/>
        <v>1684</v>
      </c>
      <c r="E97" s="20">
        <f t="shared" si="14"/>
        <v>1683</v>
      </c>
      <c r="F97" s="20">
        <f t="shared" si="14"/>
        <v>1811</v>
      </c>
      <c r="G97" s="20">
        <f t="shared" si="14"/>
        <v>1691</v>
      </c>
      <c r="H97" s="20">
        <f t="shared" si="14"/>
        <v>1772</v>
      </c>
      <c r="I97" s="20">
        <f t="shared" si="14"/>
        <v>1856</v>
      </c>
      <c r="J97" s="20">
        <f t="shared" si="14"/>
        <v>1889</v>
      </c>
      <c r="K97" s="20"/>
      <c r="L97" s="20"/>
      <c r="M97" s="20"/>
    </row>
    <row r="98" spans="1:19" s="18" customFormat="1" outlineLevel="1" collapsed="1" x14ac:dyDescent="0.2">
      <c r="A98" s="7"/>
      <c r="B98" s="17" t="s">
        <v>47</v>
      </c>
      <c r="C98" s="24">
        <f t="shared" ref="C98:J98" si="15">C20-C97</f>
        <v>0</v>
      </c>
      <c r="D98" s="24">
        <f t="shared" si="15"/>
        <v>0</v>
      </c>
      <c r="E98" s="24">
        <f t="shared" si="15"/>
        <v>0</v>
      </c>
      <c r="F98" s="24">
        <f t="shared" si="15"/>
        <v>0</v>
      </c>
      <c r="G98" s="24">
        <f t="shared" si="15"/>
        <v>0</v>
      </c>
      <c r="H98" s="24">
        <f t="shared" si="15"/>
        <v>0</v>
      </c>
      <c r="I98" s="24">
        <f t="shared" si="15"/>
        <v>0</v>
      </c>
      <c r="J98" s="24">
        <f t="shared" si="15"/>
        <v>0</v>
      </c>
      <c r="K98" s="26"/>
      <c r="L98" s="26"/>
      <c r="M98" s="26"/>
      <c r="O98" s="7"/>
      <c r="S98" s="7"/>
    </row>
    <row r="99" spans="1:19" hidden="1" outlineLevel="2" x14ac:dyDescent="0.2">
      <c r="B99" s="9" t="s">
        <v>48</v>
      </c>
      <c r="C99" s="20">
        <f t="shared" ref="C99:I99" si="16">SUM(C27:C30)+SUM(C32:C37)</f>
        <v>0</v>
      </c>
      <c r="D99" s="20">
        <f t="shared" si="16"/>
        <v>0</v>
      </c>
      <c r="E99" s="20">
        <f t="shared" si="16"/>
        <v>0</v>
      </c>
      <c r="F99" s="20">
        <f t="shared" si="16"/>
        <v>0</v>
      </c>
      <c r="G99" s="20">
        <f t="shared" si="16"/>
        <v>0</v>
      </c>
      <c r="H99" s="20">
        <f t="shared" si="16"/>
        <v>0</v>
      </c>
      <c r="I99" s="20">
        <f t="shared" si="16"/>
        <v>29496</v>
      </c>
      <c r="J99" s="20">
        <f>SUM(J27:J30)+SUM(J32:J37)</f>
        <v>29704</v>
      </c>
      <c r="K99" s="20"/>
      <c r="L99" s="20"/>
      <c r="M99" s="20"/>
    </row>
    <row r="100" spans="1:19" s="7" customFormat="1" outlineLevel="1" collapsed="1" x14ac:dyDescent="0.2">
      <c r="B100" s="11" t="s">
        <v>49</v>
      </c>
      <c r="C100" s="23">
        <f t="shared" ref="C100:J100" si="17">C39-C99</f>
        <v>0</v>
      </c>
      <c r="D100" s="23">
        <f t="shared" si="17"/>
        <v>0</v>
      </c>
      <c r="E100" s="23">
        <f t="shared" si="17"/>
        <v>0</v>
      </c>
      <c r="F100" s="23">
        <f t="shared" si="17"/>
        <v>0</v>
      </c>
      <c r="G100" s="23">
        <f t="shared" si="17"/>
        <v>0</v>
      </c>
      <c r="H100" s="23">
        <f t="shared" si="17"/>
        <v>0</v>
      </c>
      <c r="I100" s="23">
        <f t="shared" si="17"/>
        <v>0</v>
      </c>
      <c r="J100" s="23">
        <f t="shared" si="17"/>
        <v>0</v>
      </c>
      <c r="K100" s="26"/>
      <c r="L100" s="26"/>
      <c r="M100" s="26"/>
    </row>
    <row r="101" spans="1:19" hidden="1" outlineLevel="2" x14ac:dyDescent="0.2">
      <c r="B101" s="9" t="s">
        <v>50</v>
      </c>
      <c r="C101" s="20">
        <f t="shared" ref="C101:I101" si="18">SUM(C40:C45)+SUM(C47:C52)</f>
        <v>0</v>
      </c>
      <c r="D101" s="20">
        <f t="shared" si="18"/>
        <v>0</v>
      </c>
      <c r="E101" s="20">
        <f t="shared" si="18"/>
        <v>0</v>
      </c>
      <c r="F101" s="20">
        <f t="shared" si="18"/>
        <v>0</v>
      </c>
      <c r="G101" s="20">
        <f t="shared" si="18"/>
        <v>0</v>
      </c>
      <c r="H101" s="20">
        <f t="shared" si="18"/>
        <v>0</v>
      </c>
      <c r="I101" s="20">
        <f t="shared" si="18"/>
        <v>17873</v>
      </c>
      <c r="J101" s="20">
        <f>SUM(J40:J45)+SUM(J47:J52)</f>
        <v>18271</v>
      </c>
      <c r="K101" s="20"/>
      <c r="L101" s="20"/>
      <c r="M101" s="20"/>
    </row>
    <row r="102" spans="1:19" s="7" customFormat="1" outlineLevel="1" collapsed="1" x14ac:dyDescent="0.2">
      <c r="B102" s="11" t="s">
        <v>51</v>
      </c>
      <c r="C102" s="23">
        <f t="shared" ref="C102:J102" si="19">C54-C101</f>
        <v>0</v>
      </c>
      <c r="D102" s="23">
        <f t="shared" si="19"/>
        <v>0</v>
      </c>
      <c r="E102" s="23">
        <f t="shared" si="19"/>
        <v>0</v>
      </c>
      <c r="F102" s="23">
        <f t="shared" si="19"/>
        <v>0</v>
      </c>
      <c r="G102" s="23">
        <f t="shared" si="19"/>
        <v>0</v>
      </c>
      <c r="H102" s="23">
        <f t="shared" si="19"/>
        <v>0</v>
      </c>
      <c r="I102" s="23">
        <f t="shared" si="19"/>
        <v>0</v>
      </c>
      <c r="J102" s="23">
        <f t="shared" si="19"/>
        <v>0</v>
      </c>
      <c r="K102" s="26"/>
      <c r="L102" s="26"/>
      <c r="M102" s="26"/>
    </row>
    <row r="103" spans="1:19" hidden="1" outlineLevel="2" x14ac:dyDescent="0.2">
      <c r="B103" s="9" t="s">
        <v>52</v>
      </c>
      <c r="C103" s="20">
        <f t="shared" ref="C103:J103" si="20">SUM(C55:C58)</f>
        <v>0</v>
      </c>
      <c r="D103" s="20">
        <f t="shared" si="20"/>
        <v>0</v>
      </c>
      <c r="E103" s="20">
        <f t="shared" si="20"/>
        <v>0</v>
      </c>
      <c r="F103" s="20">
        <f t="shared" si="20"/>
        <v>0</v>
      </c>
      <c r="G103" s="20">
        <f t="shared" si="20"/>
        <v>0</v>
      </c>
      <c r="H103" s="20">
        <f t="shared" si="20"/>
        <v>0</v>
      </c>
      <c r="I103" s="20">
        <f t="shared" si="20"/>
        <v>11623</v>
      </c>
      <c r="J103" s="20">
        <f t="shared" si="20"/>
        <v>11433</v>
      </c>
      <c r="K103" s="20"/>
      <c r="L103" s="20"/>
      <c r="M103" s="20"/>
    </row>
    <row r="104" spans="1:19" s="7" customFormat="1" outlineLevel="1" collapsed="1" x14ac:dyDescent="0.2">
      <c r="B104" s="11" t="s">
        <v>53</v>
      </c>
      <c r="C104" s="23">
        <f t="shared" ref="C104:J104" si="21">C59-C103</f>
        <v>0</v>
      </c>
      <c r="D104" s="23">
        <f t="shared" si="21"/>
        <v>0</v>
      </c>
      <c r="E104" s="23">
        <f t="shared" si="21"/>
        <v>0</v>
      </c>
      <c r="F104" s="23">
        <f t="shared" si="21"/>
        <v>0</v>
      </c>
      <c r="G104" s="23">
        <f t="shared" si="21"/>
        <v>0</v>
      </c>
      <c r="H104" s="23">
        <f t="shared" si="21"/>
        <v>0</v>
      </c>
      <c r="I104" s="23">
        <f t="shared" si="21"/>
        <v>0</v>
      </c>
      <c r="J104" s="23">
        <f t="shared" si="21"/>
        <v>0</v>
      </c>
      <c r="K104" s="26"/>
      <c r="L104" s="26"/>
      <c r="M104" s="26"/>
    </row>
    <row r="105" spans="1:19" s="18" customFormat="1" outlineLevel="1" x14ac:dyDescent="0.2">
      <c r="A105" s="7"/>
      <c r="B105" s="17" t="s">
        <v>63</v>
      </c>
      <c r="C105" s="22">
        <f t="shared" ref="C105:J105" si="22">C39-(C54+C59)</f>
        <v>0</v>
      </c>
      <c r="D105" s="22">
        <f t="shared" si="22"/>
        <v>0</v>
      </c>
      <c r="E105" s="22">
        <f t="shared" si="22"/>
        <v>0</v>
      </c>
      <c r="F105" s="22">
        <f t="shared" si="22"/>
        <v>0</v>
      </c>
      <c r="G105" s="22">
        <f t="shared" si="22"/>
        <v>0</v>
      </c>
      <c r="H105" s="22">
        <f t="shared" si="22"/>
        <v>0</v>
      </c>
      <c r="I105" s="22">
        <f t="shared" si="22"/>
        <v>0</v>
      </c>
      <c r="J105" s="22">
        <f t="shared" si="22"/>
        <v>0</v>
      </c>
      <c r="K105" s="26"/>
      <c r="L105" s="26"/>
      <c r="M105" s="26"/>
      <c r="O105" s="7"/>
      <c r="S105" s="7"/>
    </row>
    <row r="106" spans="1:19" hidden="1" outlineLevel="2" x14ac:dyDescent="0.2">
      <c r="B106" s="9" t="s">
        <v>54</v>
      </c>
      <c r="C106" s="20">
        <f t="shared" ref="C106:J106" si="23">SUM(C63:C73)</f>
        <v>1573</v>
      </c>
      <c r="D106" s="20">
        <f t="shared" si="23"/>
        <v>1684</v>
      </c>
      <c r="E106" s="20">
        <f t="shared" si="23"/>
        <v>1683</v>
      </c>
      <c r="F106" s="20">
        <f t="shared" si="23"/>
        <v>2482</v>
      </c>
      <c r="G106" s="20">
        <f t="shared" si="23"/>
        <v>2191</v>
      </c>
      <c r="H106" s="20">
        <f t="shared" si="23"/>
        <v>2198</v>
      </c>
      <c r="I106" s="20">
        <f t="shared" si="23"/>
        <v>3160</v>
      </c>
      <c r="J106" s="20">
        <f t="shared" si="23"/>
        <v>2958</v>
      </c>
      <c r="K106" s="20"/>
      <c r="L106" s="20"/>
      <c r="M106" s="20"/>
    </row>
    <row r="107" spans="1:19" s="7" customFormat="1" outlineLevel="1" collapsed="1" x14ac:dyDescent="0.2">
      <c r="B107" s="11" t="s">
        <v>55</v>
      </c>
      <c r="C107" s="23">
        <f t="shared" ref="C107:J107" si="24">C74-C106</f>
        <v>-1573</v>
      </c>
      <c r="D107" s="23">
        <f t="shared" si="24"/>
        <v>-1684</v>
      </c>
      <c r="E107" s="23">
        <f t="shared" si="24"/>
        <v>-1683</v>
      </c>
      <c r="F107" s="23">
        <f t="shared" si="24"/>
        <v>0</v>
      </c>
      <c r="G107" s="23">
        <f t="shared" si="24"/>
        <v>0</v>
      </c>
      <c r="H107" s="23">
        <f t="shared" si="24"/>
        <v>0</v>
      </c>
      <c r="I107" s="23">
        <f t="shared" si="24"/>
        <v>0</v>
      </c>
      <c r="J107" s="23">
        <f t="shared" si="24"/>
        <v>0</v>
      </c>
      <c r="K107" s="26"/>
      <c r="L107" s="26"/>
      <c r="M107" s="26"/>
    </row>
    <row r="108" spans="1:19" hidden="1" outlineLevel="2" x14ac:dyDescent="0.2">
      <c r="B108" s="9" t="s">
        <v>56</v>
      </c>
      <c r="C108" s="20">
        <f t="shared" ref="C108:J108" si="25">SUM(C75:C81)</f>
        <v>0</v>
      </c>
      <c r="D108" s="20">
        <f t="shared" si="25"/>
        <v>0</v>
      </c>
      <c r="E108" s="20">
        <f t="shared" si="25"/>
        <v>0</v>
      </c>
      <c r="F108" s="20">
        <f t="shared" si="25"/>
        <v>-484</v>
      </c>
      <c r="G108" s="20">
        <f t="shared" si="25"/>
        <v>-278</v>
      </c>
      <c r="H108" s="20">
        <f t="shared" si="25"/>
        <v>-279</v>
      </c>
      <c r="I108" s="20">
        <f t="shared" si="25"/>
        <v>-146</v>
      </c>
      <c r="J108" s="20">
        <f t="shared" si="25"/>
        <v>474</v>
      </c>
      <c r="K108" s="20"/>
      <c r="L108" s="20"/>
      <c r="M108" s="20"/>
    </row>
    <row r="109" spans="1:19" s="7" customFormat="1" outlineLevel="1" collapsed="1" x14ac:dyDescent="0.2">
      <c r="B109" s="11" t="s">
        <v>57</v>
      </c>
      <c r="C109" s="23">
        <f t="shared" ref="C109:J109" si="26">C82-C108</f>
        <v>0</v>
      </c>
      <c r="D109" s="23">
        <f t="shared" si="26"/>
        <v>0</v>
      </c>
      <c r="E109" s="23">
        <f t="shared" si="26"/>
        <v>0</v>
      </c>
      <c r="F109" s="23">
        <f t="shared" si="26"/>
        <v>0</v>
      </c>
      <c r="G109" s="23">
        <f t="shared" si="26"/>
        <v>0</v>
      </c>
      <c r="H109" s="23">
        <f t="shared" si="26"/>
        <v>0</v>
      </c>
      <c r="I109" s="23">
        <f t="shared" si="26"/>
        <v>0</v>
      </c>
      <c r="J109" s="23">
        <f t="shared" si="26"/>
        <v>0</v>
      </c>
      <c r="K109" s="26"/>
      <c r="L109" s="26"/>
      <c r="M109" s="26"/>
    </row>
    <row r="110" spans="1:19" hidden="1" outlineLevel="2" x14ac:dyDescent="0.2">
      <c r="B110" s="9" t="s">
        <v>58</v>
      </c>
      <c r="C110" s="20">
        <f t="shared" ref="C110:J110" si="27">SUM(C83:C89)</f>
        <v>0</v>
      </c>
      <c r="D110" s="20">
        <f t="shared" si="27"/>
        <v>0</v>
      </c>
      <c r="E110" s="20">
        <f t="shared" si="27"/>
        <v>0</v>
      </c>
      <c r="F110" s="20">
        <f t="shared" si="27"/>
        <v>-2841</v>
      </c>
      <c r="G110" s="20">
        <f t="shared" si="27"/>
        <v>-3788</v>
      </c>
      <c r="H110" s="20">
        <f t="shared" si="27"/>
        <v>-1876</v>
      </c>
      <c r="I110" s="20">
        <f t="shared" si="27"/>
        <v>-2555</v>
      </c>
      <c r="J110" s="20">
        <f t="shared" si="27"/>
        <v>-2544</v>
      </c>
      <c r="K110" s="20"/>
      <c r="L110" s="20"/>
      <c r="M110" s="20"/>
    </row>
    <row r="111" spans="1:19" s="7" customFormat="1" outlineLevel="1" collapsed="1" x14ac:dyDescent="0.2">
      <c r="B111" s="11" t="s">
        <v>59</v>
      </c>
      <c r="C111" s="23">
        <f t="shared" ref="C111:I111" si="28">C90-C110</f>
        <v>0</v>
      </c>
      <c r="D111" s="23">
        <f t="shared" si="28"/>
        <v>0</v>
      </c>
      <c r="E111" s="23">
        <f t="shared" si="28"/>
        <v>0</v>
      </c>
      <c r="F111" s="23">
        <f t="shared" si="28"/>
        <v>0</v>
      </c>
      <c r="G111" s="23">
        <f t="shared" si="28"/>
        <v>0</v>
      </c>
      <c r="H111" s="23">
        <f t="shared" si="28"/>
        <v>0</v>
      </c>
      <c r="I111" s="23">
        <f t="shared" si="28"/>
        <v>0</v>
      </c>
      <c r="J111" s="23">
        <f t="shared" ref="J111" si="29">J90-J110</f>
        <v>0</v>
      </c>
      <c r="K111" s="26"/>
      <c r="L111" s="26"/>
      <c r="M111" s="26"/>
    </row>
    <row r="112" spans="1:19" hidden="1" outlineLevel="2" x14ac:dyDescent="0.2">
      <c r="B112" s="9" t="s">
        <v>61</v>
      </c>
      <c r="C112" s="20">
        <f t="shared" ref="C112:I112" si="30">C74+C82+C90+C93+C91</f>
        <v>0</v>
      </c>
      <c r="D112" s="20">
        <f t="shared" si="30"/>
        <v>0</v>
      </c>
      <c r="E112" s="20">
        <f t="shared" si="30"/>
        <v>0</v>
      </c>
      <c r="F112" s="20">
        <f t="shared" si="30"/>
        <v>6758</v>
      </c>
      <c r="G112" s="20">
        <f t="shared" si="30"/>
        <v>4931</v>
      </c>
      <c r="H112" s="20">
        <f t="shared" si="30"/>
        <v>4982</v>
      </c>
      <c r="I112" s="20">
        <f t="shared" si="30"/>
        <v>5431</v>
      </c>
      <c r="J112" s="20">
        <f>J74+J82+J90+J93+J91</f>
        <v>6332</v>
      </c>
      <c r="K112" s="20"/>
      <c r="L112" s="20"/>
      <c r="M112" s="20"/>
    </row>
    <row r="113" spans="1:19" s="18" customFormat="1" outlineLevel="1" collapsed="1" x14ac:dyDescent="0.2">
      <c r="A113" s="7"/>
      <c r="B113" s="17" t="s">
        <v>60</v>
      </c>
      <c r="C113" s="22">
        <f t="shared" ref="C113:I113" si="31">C94-C112</f>
        <v>0</v>
      </c>
      <c r="D113" s="22">
        <f t="shared" si="31"/>
        <v>0</v>
      </c>
      <c r="E113" s="22">
        <f t="shared" si="31"/>
        <v>0</v>
      </c>
      <c r="F113" s="22">
        <f t="shared" si="31"/>
        <v>0</v>
      </c>
      <c r="G113" s="22">
        <f t="shared" si="31"/>
        <v>0</v>
      </c>
      <c r="H113" s="22">
        <f t="shared" si="31"/>
        <v>0</v>
      </c>
      <c r="I113" s="22">
        <f t="shared" si="31"/>
        <v>0</v>
      </c>
      <c r="J113" s="22">
        <f t="shared" ref="J113" si="3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62</v>
      </c>
      <c r="K115" s="4"/>
      <c r="L115" s="4"/>
      <c r="M115" s="4"/>
      <c r="O115" s="4"/>
      <c r="S115" s="4"/>
    </row>
    <row r="116" spans="1:19" outlineLevel="1" x14ac:dyDescent="0.2">
      <c r="B116" s="9" t="s">
        <v>4</v>
      </c>
      <c r="C116" s="27"/>
      <c r="D116" s="27"/>
      <c r="E116" s="27"/>
      <c r="F116" s="27"/>
      <c r="G116" s="27">
        <v>424</v>
      </c>
      <c r="H116" s="27">
        <v>419</v>
      </c>
      <c r="I116" s="27">
        <v>411</v>
      </c>
      <c r="J116" s="27">
        <v>404</v>
      </c>
      <c r="K116" s="20"/>
      <c r="L116" s="20"/>
      <c r="M116" s="20"/>
      <c r="N116" s="20">
        <f>J116</f>
        <v>404</v>
      </c>
    </row>
    <row r="117" spans="1:19" outlineLevel="1" x14ac:dyDescent="0.2">
      <c r="B117" s="12" t="s">
        <v>70</v>
      </c>
      <c r="C117" s="28">
        <v>0</v>
      </c>
      <c r="D117" s="28">
        <v>0</v>
      </c>
      <c r="E117" s="28">
        <v>0</v>
      </c>
      <c r="F117" s="28">
        <v>0</v>
      </c>
      <c r="G117" s="28">
        <v>0</v>
      </c>
      <c r="H117" s="28">
        <v>0</v>
      </c>
      <c r="I117" s="28">
        <v>0</v>
      </c>
      <c r="J117" s="28">
        <v>0</v>
      </c>
      <c r="K117" s="8"/>
      <c r="L117" s="8"/>
      <c r="M117" s="8"/>
      <c r="N117" s="1">
        <f>SUM(G117:J117)</f>
        <v>0</v>
      </c>
    </row>
    <row r="118" spans="1:19" outlineLevel="1" x14ac:dyDescent="0.2">
      <c r="B118" s="12"/>
      <c r="C118" s="28"/>
      <c r="D118" s="28"/>
      <c r="E118" s="28"/>
      <c r="F118" s="28"/>
      <c r="G118" s="28"/>
      <c r="H118" s="28"/>
      <c r="I118" s="28"/>
      <c r="J118" s="28"/>
      <c r="K118" s="8"/>
      <c r="L118" s="8"/>
      <c r="M118" s="8"/>
    </row>
    <row r="119" spans="1:19" x14ac:dyDescent="0.2">
      <c r="B119" s="1"/>
    </row>
    <row r="120" spans="1:19" s="62" customFormat="1" ht="17" thickBot="1" x14ac:dyDescent="0.25">
      <c r="A120" s="1"/>
      <c r="B120" s="15" t="s">
        <v>84</v>
      </c>
      <c r="C120" s="64"/>
      <c r="D120" s="64"/>
      <c r="E120" s="64"/>
      <c r="F120" s="64"/>
      <c r="G120" s="64"/>
      <c r="H120" s="64"/>
      <c r="I120" s="64"/>
      <c r="J120" s="64"/>
      <c r="K120" s="1"/>
      <c r="L120" s="1"/>
      <c r="M120" s="1"/>
      <c r="O120" s="4"/>
      <c r="S120" s="4"/>
    </row>
    <row r="121" spans="1:19" outlineLevel="1" x14ac:dyDescent="0.2">
      <c r="B121" s="9" t="s">
        <v>77</v>
      </c>
      <c r="C121" s="27">
        <v>5330</v>
      </c>
      <c r="D121" s="27">
        <v>5500</v>
      </c>
      <c r="E121" s="27">
        <v>5630</v>
      </c>
      <c r="F121" s="27">
        <v>5770</v>
      </c>
      <c r="G121" s="27">
        <v>5875</v>
      </c>
      <c r="H121" s="27">
        <v>6075</v>
      </c>
      <c r="I121" s="27">
        <v>6250</v>
      </c>
      <c r="J121" s="27">
        <v>6430</v>
      </c>
    </row>
    <row r="122" spans="1:19" outlineLevel="1" x14ac:dyDescent="0.2">
      <c r="B122" s="9" t="s">
        <v>78</v>
      </c>
      <c r="C122" s="27">
        <v>5380</v>
      </c>
      <c r="D122" s="27">
        <v>5550</v>
      </c>
      <c r="E122" s="27">
        <v>5680</v>
      </c>
      <c r="F122" s="27">
        <v>5820</v>
      </c>
      <c r="G122" s="27">
        <v>5925</v>
      </c>
      <c r="H122" s="27">
        <v>6125</v>
      </c>
      <c r="I122" s="27">
        <v>6300</v>
      </c>
      <c r="J122" s="27">
        <v>6480</v>
      </c>
    </row>
    <row r="123" spans="1:19" outlineLevel="1" x14ac:dyDescent="0.2">
      <c r="B123" s="9" t="s">
        <v>82</v>
      </c>
      <c r="C123" s="33">
        <f t="shared" ref="C123:J123" si="33">D5</f>
        <v>5408</v>
      </c>
      <c r="D123" s="33">
        <f t="shared" si="33"/>
        <v>5606</v>
      </c>
      <c r="E123" s="33">
        <f t="shared" si="33"/>
        <v>5714</v>
      </c>
      <c r="F123" s="33">
        <f t="shared" si="33"/>
        <v>5873</v>
      </c>
      <c r="G123" s="33">
        <f t="shared" si="33"/>
        <v>5988</v>
      </c>
      <c r="H123" s="33">
        <f t="shared" si="33"/>
        <v>6194</v>
      </c>
      <c r="I123" s="33">
        <f t="shared" si="33"/>
        <v>6398</v>
      </c>
      <c r="J123" s="33">
        <f t="shared" si="33"/>
        <v>0</v>
      </c>
    </row>
    <row r="124" spans="1:19" outlineLevel="1" x14ac:dyDescent="0.2">
      <c r="B124" s="9" t="s">
        <v>79</v>
      </c>
      <c r="C124" s="63" t="str">
        <f t="shared" ref="C124:J124" si="34">IF(D5&gt;C122, "BEAT", IF(D5&lt;C121, "MISSED", "MET"))</f>
        <v>BEAT</v>
      </c>
      <c r="D124" s="63" t="str">
        <f t="shared" si="34"/>
        <v>BEAT</v>
      </c>
      <c r="E124" s="63" t="str">
        <f t="shared" si="34"/>
        <v>BEAT</v>
      </c>
      <c r="F124" s="63" t="str">
        <f t="shared" si="34"/>
        <v>BEAT</v>
      </c>
      <c r="G124" s="63" t="str">
        <f t="shared" si="34"/>
        <v>BEAT</v>
      </c>
      <c r="H124" s="63" t="str">
        <f t="shared" si="34"/>
        <v>BEAT</v>
      </c>
      <c r="I124" s="63" t="str">
        <f t="shared" si="34"/>
        <v>BEAT</v>
      </c>
      <c r="J124" s="63" t="str">
        <f t="shared" si="34"/>
        <v>MISSED</v>
      </c>
    </row>
    <row r="125" spans="1:19" outlineLevel="1" x14ac:dyDescent="0.2">
      <c r="B125" s="9" t="s">
        <v>80</v>
      </c>
      <c r="C125" s="30">
        <v>3.45</v>
      </c>
      <c r="D125" s="30">
        <v>3.58</v>
      </c>
      <c r="E125" s="30">
        <v>3.85</v>
      </c>
      <c r="F125" s="30">
        <v>3.8</v>
      </c>
      <c r="G125" s="30">
        <v>4</v>
      </c>
      <c r="H125" s="30">
        <v>4.2699999999999996</v>
      </c>
      <c r="I125" s="30">
        <v>4.55</v>
      </c>
      <c r="J125" s="30">
        <v>4.3499999999999996</v>
      </c>
    </row>
    <row r="126" spans="1:19" outlineLevel="1" x14ac:dyDescent="0.2">
      <c r="B126" s="9" t="s">
        <v>81</v>
      </c>
      <c r="C126" s="30">
        <v>3.5</v>
      </c>
      <c r="D126" s="30">
        <v>3.63</v>
      </c>
      <c r="E126" s="30">
        <v>3.9</v>
      </c>
      <c r="F126" s="30">
        <v>3.85</v>
      </c>
      <c r="G126" s="30">
        <v>4.05</v>
      </c>
      <c r="H126" s="30">
        <v>4.32</v>
      </c>
      <c r="I126" s="30">
        <v>4.5999999999999996</v>
      </c>
      <c r="J126" s="30">
        <v>4.4000000000000004</v>
      </c>
    </row>
    <row r="127" spans="1:19" outlineLevel="1" x14ac:dyDescent="0.2">
      <c r="B127" s="9" t="s">
        <v>83</v>
      </c>
      <c r="C127" s="25">
        <f t="shared" ref="C127:J127" si="35">D24</f>
        <v>3.76</v>
      </c>
      <c r="D127" s="25">
        <f t="shared" si="35"/>
        <v>3.79</v>
      </c>
      <c r="E127" s="25">
        <f t="shared" si="35"/>
        <v>4.1399999999999997</v>
      </c>
      <c r="F127" s="25">
        <f t="shared" si="35"/>
        <v>3.94</v>
      </c>
      <c r="G127" s="25">
        <f t="shared" si="35"/>
        <v>4.18</v>
      </c>
      <c r="H127" s="25">
        <f t="shared" si="35"/>
        <v>4.45</v>
      </c>
      <c r="I127" s="25">
        <f t="shared" si="35"/>
        <v>4.5999999999999996</v>
      </c>
      <c r="J127" s="25">
        <f t="shared" si="35"/>
        <v>0</v>
      </c>
      <c r="K127" s="20"/>
      <c r="L127" s="20"/>
      <c r="M127" s="20"/>
    </row>
    <row r="128" spans="1:19" outlineLevel="1" x14ac:dyDescent="0.2">
      <c r="B128" s="12" t="s">
        <v>79</v>
      </c>
      <c r="C128" s="63" t="str">
        <f t="shared" ref="C128:J128" si="36">IF(C127&gt;C126, "BEAT", IF(C127&lt;C125, "MISSED", "MET"))</f>
        <v>BEAT</v>
      </c>
      <c r="D128" s="63" t="str">
        <f t="shared" si="36"/>
        <v>BEAT</v>
      </c>
      <c r="E128" s="63" t="str">
        <f t="shared" si="36"/>
        <v>BEAT</v>
      </c>
      <c r="F128" s="63" t="str">
        <f t="shared" si="36"/>
        <v>BEAT</v>
      </c>
      <c r="G128" s="63" t="str">
        <f t="shared" si="36"/>
        <v>BEAT</v>
      </c>
      <c r="H128" s="63" t="str">
        <f t="shared" si="36"/>
        <v>BEAT</v>
      </c>
      <c r="I128" s="63" t="str">
        <f t="shared" si="36"/>
        <v>MET</v>
      </c>
      <c r="J128" s="63" t="str">
        <f t="shared" si="36"/>
        <v>MISSED</v>
      </c>
      <c r="K128" s="8"/>
      <c r="L128" s="8"/>
      <c r="M128" s="8"/>
    </row>
    <row r="129" spans="1:19" x14ac:dyDescent="0.2">
      <c r="B129" s="1"/>
    </row>
    <row r="130" spans="1:19" s="14" customFormat="1" ht="17" thickBot="1" x14ac:dyDescent="0.25">
      <c r="A130" s="4"/>
      <c r="B130" s="15" t="s">
        <v>99</v>
      </c>
      <c r="K130" s="8"/>
      <c r="L130" s="8"/>
      <c r="M130" s="8"/>
      <c r="O130" s="1"/>
      <c r="S130" s="1"/>
    </row>
    <row r="131" spans="1:19" outlineLevel="1" x14ac:dyDescent="0.2">
      <c r="C131" s="33"/>
      <c r="D131" s="33"/>
      <c r="E131" s="33"/>
      <c r="F131" s="33"/>
      <c r="G131" s="33"/>
      <c r="H131" s="33"/>
      <c r="I131" s="33"/>
      <c r="J131" s="33"/>
    </row>
    <row r="132" spans="1:19" x14ac:dyDescent="0.2">
      <c r="B132" s="1"/>
    </row>
    <row r="133" spans="1:19" s="14" customFormat="1" ht="17" thickBot="1" x14ac:dyDescent="0.25">
      <c r="A133" s="4"/>
      <c r="B133" s="15" t="s">
        <v>98</v>
      </c>
      <c r="K133" s="8"/>
      <c r="L133" s="8"/>
      <c r="M133" s="8"/>
      <c r="O133" s="1"/>
      <c r="S133" s="91"/>
    </row>
    <row r="134" spans="1:19" outlineLevel="1" x14ac:dyDescent="0.2">
      <c r="B134" s="9" t="s">
        <v>269</v>
      </c>
      <c r="C134" s="27">
        <v>5060</v>
      </c>
      <c r="D134" s="27">
        <v>5180</v>
      </c>
      <c r="E134" s="27">
        <v>5365</v>
      </c>
      <c r="F134" s="27">
        <v>5483</v>
      </c>
      <c r="G134" s="27">
        <v>5641</v>
      </c>
      <c r="H134" s="27">
        <v>5791</v>
      </c>
      <c r="I134" s="27">
        <v>5989</v>
      </c>
      <c r="J134" s="27">
        <v>6198</v>
      </c>
    </row>
    <row r="135" spans="1:19" outlineLevel="1" x14ac:dyDescent="0.2">
      <c r="B135" s="9" t="s">
        <v>270</v>
      </c>
      <c r="C135" s="27">
        <v>104</v>
      </c>
      <c r="D135" s="27">
        <v>82</v>
      </c>
      <c r="E135" s="27">
        <v>81</v>
      </c>
      <c r="F135" s="27">
        <v>95</v>
      </c>
      <c r="G135" s="27">
        <v>88</v>
      </c>
      <c r="H135" s="27">
        <v>68</v>
      </c>
      <c r="I135" s="27">
        <v>74</v>
      </c>
      <c r="J135" s="27">
        <v>90</v>
      </c>
    </row>
    <row r="136" spans="1:19" outlineLevel="1" x14ac:dyDescent="0.2">
      <c r="B136" s="9" t="s">
        <v>271</v>
      </c>
      <c r="C136" s="27">
        <v>145</v>
      </c>
      <c r="D136" s="27">
        <v>146</v>
      </c>
      <c r="E136" s="27">
        <v>160</v>
      </c>
      <c r="F136" s="27">
        <v>136</v>
      </c>
      <c r="G136" s="27">
        <v>144</v>
      </c>
      <c r="H136" s="27">
        <v>129</v>
      </c>
      <c r="I136" s="27">
        <v>131</v>
      </c>
      <c r="J136" s="27">
        <v>110</v>
      </c>
    </row>
    <row r="137" spans="1:19" outlineLevel="1" x14ac:dyDescent="0.2">
      <c r="C137" s="27"/>
      <c r="D137" s="27"/>
      <c r="E137" s="27"/>
      <c r="F137" s="27"/>
      <c r="G137" s="27"/>
      <c r="H137" s="27"/>
      <c r="I137" s="27"/>
      <c r="J137" s="27"/>
    </row>
    <row r="138" spans="1:19" outlineLevel="1" x14ac:dyDescent="0.2">
      <c r="B138" s="9" t="s">
        <v>272</v>
      </c>
      <c r="C138" s="27">
        <v>456</v>
      </c>
      <c r="D138" s="27">
        <v>413</v>
      </c>
      <c r="E138" s="27">
        <v>475</v>
      </c>
      <c r="F138" s="27">
        <v>490</v>
      </c>
      <c r="G138" s="27">
        <v>505</v>
      </c>
      <c r="H138" s="27">
        <v>510</v>
      </c>
      <c r="I138" s="27">
        <v>522</v>
      </c>
      <c r="J138" s="27">
        <v>540</v>
      </c>
    </row>
    <row r="139" spans="1:19" outlineLevel="1" x14ac:dyDescent="0.2">
      <c r="B139" s="9" t="s">
        <v>273</v>
      </c>
      <c r="C139" s="27">
        <v>8</v>
      </c>
      <c r="D139" s="27">
        <v>6</v>
      </c>
      <c r="E139" s="27">
        <v>6</v>
      </c>
      <c r="F139" s="27">
        <v>6</v>
      </c>
      <c r="G139" s="27">
        <v>6</v>
      </c>
      <c r="H139" s="27">
        <v>5</v>
      </c>
      <c r="I139" s="27">
        <v>6</v>
      </c>
      <c r="J139" s="27">
        <v>6</v>
      </c>
    </row>
    <row r="140" spans="1:19" outlineLevel="1" x14ac:dyDescent="0.2">
      <c r="B140" s="9" t="s">
        <v>274</v>
      </c>
      <c r="C140" s="27">
        <v>134</v>
      </c>
      <c r="D140" s="27">
        <v>135</v>
      </c>
      <c r="E140" s="27">
        <v>135</v>
      </c>
      <c r="F140" s="27">
        <v>126</v>
      </c>
      <c r="G140" s="27">
        <v>127</v>
      </c>
      <c r="H140" s="27">
        <v>127</v>
      </c>
      <c r="I140" s="27">
        <v>121</v>
      </c>
      <c r="J140" s="27">
        <v>118</v>
      </c>
    </row>
    <row r="141" spans="1:19" outlineLevel="1" x14ac:dyDescent="0.2">
      <c r="C141" s="33"/>
      <c r="D141" s="33"/>
      <c r="E141" s="33"/>
      <c r="F141" s="33"/>
      <c r="G141" s="33"/>
      <c r="H141" s="33"/>
      <c r="I141" s="33"/>
      <c r="J141" s="33"/>
    </row>
    <row r="142" spans="1:19" x14ac:dyDescent="0.2">
      <c r="B142" s="1"/>
    </row>
    <row r="143" spans="1:19" s="14" customFormat="1" ht="17" thickBot="1" x14ac:dyDescent="0.25">
      <c r="A143" s="4"/>
      <c r="B143" s="15" t="s">
        <v>100</v>
      </c>
      <c r="K143" s="1"/>
      <c r="L143" s="1"/>
      <c r="M143" s="1"/>
    </row>
    <row r="144" spans="1:19" outlineLevel="1" x14ac:dyDescent="0.2"/>
    <row r="145" spans="2:2" x14ac:dyDescent="0.2">
      <c r="B145" s="91"/>
    </row>
  </sheetData>
  <mergeCells count="1">
    <mergeCell ref="P4:R4"/>
  </mergeCells>
  <phoneticPr fontId="5" type="noConversion"/>
  <pageMargins left="0.7" right="0.7" top="0.75" bottom="0.75" header="0.3" footer="0.3"/>
  <ignoredErrors>
    <ignoredError sqref="J108 I38:J38 N5:N6 C53:J53 N92 N117 N8:N12 N14:N22 N64:N65 N67:N78 N81:N91" formulaRange="1"/>
    <ignoredError sqref="F13" formula="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3"/>
  <sheetViews>
    <sheetView zoomScale="179" workbookViewId="0">
      <pane xSplit="2" ySplit="3" topLeftCell="Q33" activePane="bottomRight" state="frozen"/>
      <selection pane="topRight" activeCell="C1" sqref="C1"/>
      <selection pane="bottomLeft" activeCell="A4" sqref="A4"/>
      <selection pane="bottomRight" activeCell="W23" sqref="W2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2">
        <f>'Statement Y'!C5</f>
        <v>5854</v>
      </c>
      <c r="D5" s="152">
        <f>'Statement Y'!D5</f>
        <v>7302</v>
      </c>
      <c r="E5" s="152">
        <f>'Statement Y'!E5</f>
        <v>9030</v>
      </c>
      <c r="F5" s="152">
        <f>'Statement Y'!F5</f>
        <v>11171</v>
      </c>
      <c r="G5" s="152">
        <f>'Statement Y'!G5</f>
        <v>12868</v>
      </c>
      <c r="H5" s="152">
        <f>'Statement Y'!H5</f>
        <v>15785</v>
      </c>
      <c r="I5" s="152">
        <f>'Statement Y'!I5</f>
        <v>17606</v>
      </c>
      <c r="J5" s="152">
        <f>'Statement Y'!J5</f>
        <v>19409</v>
      </c>
      <c r="K5" s="152">
        <f>'Statement Y'!K5</f>
        <v>21505</v>
      </c>
      <c r="L5" s="152">
        <f>'Statement Y'!L5</f>
        <v>23769</v>
      </c>
      <c r="N5" s="152">
        <f>'Statement Q'!C5</f>
        <v>5309</v>
      </c>
      <c r="O5" s="152">
        <f>'Statement Q'!D5</f>
        <v>5408</v>
      </c>
      <c r="P5" s="152">
        <f>'Statement Q'!E5</f>
        <v>5606</v>
      </c>
      <c r="Q5" s="152">
        <f>'Statement Q'!F5</f>
        <v>5714</v>
      </c>
      <c r="R5" s="152">
        <f>'Statement Q'!G5</f>
        <v>5873</v>
      </c>
      <c r="S5" s="152">
        <f>'Statement Q'!H5</f>
        <v>5988</v>
      </c>
      <c r="T5" s="152">
        <f>'Statement Q'!I5</f>
        <v>6194</v>
      </c>
      <c r="U5" s="152">
        <f>'Statement Q'!J5</f>
        <v>6398</v>
      </c>
      <c r="W5" s="152">
        <f>SUM(R5:U5)</f>
        <v>24453</v>
      </c>
    </row>
    <row r="6" spans="2:23" outlineLevel="1" x14ac:dyDescent="0.2">
      <c r="B6" s="9" t="s">
        <v>7</v>
      </c>
      <c r="C6" s="132">
        <f>'Statement Y'!C6</f>
        <v>820</v>
      </c>
      <c r="D6" s="132">
        <f>'Statement Y'!D6</f>
        <v>1010</v>
      </c>
      <c r="E6" s="132">
        <f>'Statement Y'!E6</f>
        <v>1195</v>
      </c>
      <c r="F6" s="132">
        <f>'Statement Y'!F6</f>
        <v>1673</v>
      </c>
      <c r="G6" s="132">
        <f>'Statement Y'!G6</f>
        <v>1722</v>
      </c>
      <c r="H6" s="132">
        <f>'Statement Y'!H6</f>
        <v>1865</v>
      </c>
      <c r="I6" s="132">
        <f>'Statement Y'!I6</f>
        <v>2165</v>
      </c>
      <c r="J6" s="132">
        <f>'Statement Y'!J6</f>
        <v>2354</v>
      </c>
      <c r="K6" s="132">
        <f>'Statement Y'!K6</f>
        <v>2358</v>
      </c>
      <c r="L6" s="132">
        <f>'Statement Y'!L6</f>
        <v>2551</v>
      </c>
      <c r="N6" s="132">
        <f>'Statement Q'!C6</f>
        <v>598</v>
      </c>
      <c r="O6" s="132">
        <f>'Statement Q'!D6</f>
        <v>554</v>
      </c>
      <c r="P6" s="132">
        <f>'Statement Q'!E6</f>
        <v>616</v>
      </c>
      <c r="Q6" s="132">
        <f>'Statement Q'!F6</f>
        <v>622</v>
      </c>
      <c r="R6" s="132">
        <f>'Statement Q'!G6</f>
        <v>638</v>
      </c>
      <c r="S6" s="132">
        <f>'Statement Q'!H6</f>
        <v>642</v>
      </c>
      <c r="T6" s="132">
        <f>'Statement Q'!I6</f>
        <v>649</v>
      </c>
      <c r="U6" s="132">
        <f>'Statement Q'!J6</f>
        <v>664</v>
      </c>
      <c r="W6" s="132">
        <f t="shared" ref="W6:W22" si="0">SUM(R6:U6)</f>
        <v>2593</v>
      </c>
    </row>
    <row r="7" spans="2:23" outlineLevel="1" x14ac:dyDescent="0.2">
      <c r="B7" s="17" t="s">
        <v>8</v>
      </c>
      <c r="C7" s="152">
        <f>'Statement Y'!C7</f>
        <v>5034</v>
      </c>
      <c r="D7" s="152">
        <f>'Statement Y'!D7</f>
        <v>6292</v>
      </c>
      <c r="E7" s="152">
        <f>'Statement Y'!E7</f>
        <v>7835</v>
      </c>
      <c r="F7" s="152">
        <f>'Statement Y'!F7</f>
        <v>9498</v>
      </c>
      <c r="G7" s="152">
        <f>'Statement Y'!G7</f>
        <v>11146</v>
      </c>
      <c r="H7" s="152">
        <f>'Statement Y'!H7</f>
        <v>13920</v>
      </c>
      <c r="I7" s="152">
        <f>'Statement Y'!I7</f>
        <v>15441</v>
      </c>
      <c r="J7" s="152">
        <f>'Statement Y'!J7</f>
        <v>17055</v>
      </c>
      <c r="K7" s="152">
        <f>'Statement Y'!K7</f>
        <v>19147</v>
      </c>
      <c r="L7" s="152">
        <f>'Statement Y'!L7</f>
        <v>21218</v>
      </c>
      <c r="N7" s="152">
        <f>'Statement Q'!C7</f>
        <v>4711</v>
      </c>
      <c r="O7" s="152">
        <f>'Statement Q'!D7</f>
        <v>4854</v>
      </c>
      <c r="P7" s="152">
        <f>'Statement Q'!E7</f>
        <v>4990</v>
      </c>
      <c r="Q7" s="152">
        <f>'Statement Q'!F7</f>
        <v>5092</v>
      </c>
      <c r="R7" s="152">
        <f>'Statement Q'!G7</f>
        <v>5235</v>
      </c>
      <c r="S7" s="152">
        <f>'Statement Q'!H7</f>
        <v>5346</v>
      </c>
      <c r="T7" s="152">
        <f>'Statement Q'!I7</f>
        <v>5545</v>
      </c>
      <c r="U7" s="152">
        <f>'Statement Q'!J7</f>
        <v>5734</v>
      </c>
      <c r="W7" s="152">
        <f t="shared" si="0"/>
        <v>21860</v>
      </c>
    </row>
    <row r="8" spans="2:23" outlineLevel="1" x14ac:dyDescent="0.2">
      <c r="B8" s="191" t="s">
        <v>9</v>
      </c>
      <c r="C8" s="132">
        <f>'Statement Y'!C8</f>
        <v>976</v>
      </c>
      <c r="D8" s="132">
        <f>'Statement Y'!D8</f>
        <v>1224</v>
      </c>
      <c r="E8" s="132">
        <f>'Statement Y'!E8</f>
        <v>1538</v>
      </c>
      <c r="F8" s="132">
        <f>'Statement Y'!F8</f>
        <v>1930</v>
      </c>
      <c r="G8" s="132">
        <f>'Statement Y'!G8</f>
        <v>2188</v>
      </c>
      <c r="H8" s="132">
        <f>'Statement Y'!H8</f>
        <v>2540</v>
      </c>
      <c r="I8" s="132">
        <f>'Statement Y'!I8</f>
        <v>2987</v>
      </c>
      <c r="J8" s="132">
        <f>'Statement Y'!J8</f>
        <v>3473</v>
      </c>
      <c r="K8" s="132">
        <f>'Statement Y'!K8</f>
        <v>3944</v>
      </c>
      <c r="L8" s="132">
        <f>'Statement Y'!L8</f>
        <v>4294</v>
      </c>
      <c r="N8" s="132">
        <f>'Statement Q'!C8</f>
        <v>984</v>
      </c>
      <c r="O8" s="132">
        <f>'Statement Q'!D8</f>
        <v>1022</v>
      </c>
      <c r="P8" s="132">
        <f>'Statement Q'!E8</f>
        <v>999</v>
      </c>
      <c r="Q8" s="132">
        <f>'Statement Q'!F8</f>
        <v>1026</v>
      </c>
      <c r="R8" s="132">
        <f>'Statement Q'!G8</f>
        <v>1082</v>
      </c>
      <c r="S8" s="132">
        <f>'Statement Q'!H8</f>
        <v>1088</v>
      </c>
      <c r="T8" s="132">
        <f>'Statement Q'!I8</f>
        <v>1098</v>
      </c>
      <c r="U8" s="132">
        <f>'Statement Q'!J8</f>
        <v>1110</v>
      </c>
      <c r="W8" s="132">
        <f t="shared" si="0"/>
        <v>4378</v>
      </c>
    </row>
    <row r="9" spans="2:23" outlineLevel="1" x14ac:dyDescent="0.2">
      <c r="B9" s="191" t="s">
        <v>275</v>
      </c>
      <c r="C9" s="132">
        <f>'Statement Y'!C9</f>
        <v>1910</v>
      </c>
      <c r="D9" s="132">
        <f>'Statement Y'!D9</f>
        <v>2198</v>
      </c>
      <c r="E9" s="132">
        <f>'Statement Y'!E9</f>
        <v>2621</v>
      </c>
      <c r="F9" s="132">
        <f>'Statement Y'!F9</f>
        <v>3244</v>
      </c>
      <c r="G9" s="132">
        <f>'Statement Y'!G9</f>
        <v>3591</v>
      </c>
      <c r="H9" s="132">
        <f>'Statement Y'!H9</f>
        <v>4321</v>
      </c>
      <c r="I9" s="132">
        <f>'Statement Y'!I9</f>
        <v>4968</v>
      </c>
      <c r="J9" s="132">
        <f>'Statement Y'!J9</f>
        <v>5351</v>
      </c>
      <c r="K9" s="132">
        <f>'Statement Y'!K9</f>
        <v>5764</v>
      </c>
      <c r="L9" s="132">
        <f>'Statement Y'!L9</f>
        <v>6488</v>
      </c>
      <c r="N9" s="132">
        <f>'Statement Q'!C9</f>
        <v>1445</v>
      </c>
      <c r="O9" s="132">
        <f>'Statement Q'!D9</f>
        <v>1431</v>
      </c>
      <c r="P9" s="132">
        <f>'Statement Q'!E9</f>
        <v>1536</v>
      </c>
      <c r="Q9" s="132">
        <f>'Statement Q'!F9</f>
        <v>1495</v>
      </c>
      <c r="R9" s="132">
        <f>'Statement Q'!G9</f>
        <v>1626</v>
      </c>
      <c r="S9" s="132">
        <f>'Statement Q'!H9</f>
        <v>1639</v>
      </c>
      <c r="T9" s="132">
        <f>'Statement Q'!I9</f>
        <v>1728</v>
      </c>
      <c r="U9" s="132">
        <f>'Statement Q'!J9</f>
        <v>1708</v>
      </c>
      <c r="W9" s="132">
        <f t="shared" si="0"/>
        <v>6701</v>
      </c>
    </row>
    <row r="10" spans="2:23" outlineLevel="1" x14ac:dyDescent="0.2">
      <c r="B10" s="192" t="s">
        <v>276</v>
      </c>
      <c r="C10" s="132">
        <f>'Statement Y'!C10</f>
        <v>578</v>
      </c>
      <c r="D10" s="132">
        <f>'Statement Y'!D10</f>
        <v>625</v>
      </c>
      <c r="E10" s="132">
        <f>'Statement Y'!E10</f>
        <v>745</v>
      </c>
      <c r="F10" s="132">
        <f>'Statement Y'!F10</f>
        <v>881</v>
      </c>
      <c r="G10" s="132">
        <f>'Statement Y'!G10</f>
        <v>968</v>
      </c>
      <c r="H10" s="132">
        <f>'Statement Y'!H10</f>
        <v>1085</v>
      </c>
      <c r="I10" s="132">
        <f>'Statement Y'!I10</f>
        <v>1219</v>
      </c>
      <c r="J10" s="132">
        <f>'Statement Y'!J10</f>
        <v>1413</v>
      </c>
      <c r="K10" s="132">
        <f>'Statement Y'!K10</f>
        <v>1529</v>
      </c>
      <c r="L10" s="132">
        <f>'Statement Y'!L10</f>
        <v>1573</v>
      </c>
      <c r="N10" s="132">
        <f>'Statement Q'!C10</f>
        <v>355</v>
      </c>
      <c r="O10" s="132">
        <f>'Statement Q'!D10</f>
        <v>366</v>
      </c>
      <c r="P10" s="132">
        <f>'Statement Q'!E10</f>
        <v>456</v>
      </c>
      <c r="Q10" s="132">
        <f>'Statement Q'!F10</f>
        <v>367</v>
      </c>
      <c r="R10" s="132">
        <f>'Statement Q'!G10</f>
        <v>377</v>
      </c>
      <c r="S10" s="132">
        <f>'Statement Q'!H10</f>
        <v>408</v>
      </c>
      <c r="T10" s="132">
        <f>'Statement Q'!I10</f>
        <v>421</v>
      </c>
      <c r="U10" s="132">
        <f>'Statement Q'!J10</f>
        <v>463</v>
      </c>
      <c r="W10" s="132">
        <f t="shared" si="0"/>
        <v>1669</v>
      </c>
    </row>
    <row r="11" spans="2:23" outlineLevel="1" x14ac:dyDescent="0.2">
      <c r="B11" s="192" t="s">
        <v>277</v>
      </c>
      <c r="C11" s="132">
        <f>'Statement Y'!C11</f>
        <v>-2</v>
      </c>
      <c r="D11" s="132">
        <f>'Statement Y'!D11</f>
        <v>0</v>
      </c>
      <c r="E11" s="132">
        <f>'Statement Y'!E11</f>
        <v>0</v>
      </c>
      <c r="F11" s="132">
        <f>'Statement Y'!F11</f>
        <v>0</v>
      </c>
      <c r="G11" s="132">
        <f>'Statement Y'!G11</f>
        <v>0</v>
      </c>
      <c r="H11" s="132">
        <f>'Statement Y'!H11</f>
        <v>0</v>
      </c>
      <c r="I11" s="132">
        <f>'Statement Y'!I11</f>
        <v>0</v>
      </c>
      <c r="J11" s="132">
        <f>'Statement Y'!J11</f>
        <v>0</v>
      </c>
      <c r="K11" s="132">
        <f>'Statement Y'!K11</f>
        <v>1000</v>
      </c>
      <c r="L11" s="132">
        <f>'Statement Y'!L11</f>
        <v>0</v>
      </c>
      <c r="N11" s="132">
        <f>'Statement Q'!C11</f>
        <v>0</v>
      </c>
      <c r="O11" s="132">
        <f>'Statement Q'!D11</f>
        <v>0</v>
      </c>
      <c r="P11" s="132">
        <f>'Statement Q'!E11</f>
        <v>0</v>
      </c>
      <c r="Q11" s="132">
        <f>'Statement Q'!F11</f>
        <v>0</v>
      </c>
      <c r="R11" s="132">
        <f>'Statement Q'!G11</f>
        <v>0</v>
      </c>
      <c r="S11" s="132">
        <f>'Statement Q'!H11</f>
        <v>0</v>
      </c>
      <c r="T11" s="132">
        <f>'Statement Q'!I11</f>
        <v>0</v>
      </c>
      <c r="U11" s="132">
        <f>'Statement Q'!J11</f>
        <v>0</v>
      </c>
      <c r="W11" s="132">
        <f t="shared" si="0"/>
        <v>0</v>
      </c>
    </row>
    <row r="12" spans="2:23" outlineLevel="1" x14ac:dyDescent="0.2">
      <c r="B12" s="192" t="s">
        <v>278</v>
      </c>
      <c r="C12" s="132">
        <f>'Statement Y'!C12</f>
        <v>79</v>
      </c>
      <c r="D12" s="132">
        <f>'Statement Y'!D12</f>
        <v>77</v>
      </c>
      <c r="E12" s="132">
        <f>'Statement Y'!E12</f>
        <v>91</v>
      </c>
      <c r="F12" s="132">
        <f>'Statement Y'!F12</f>
        <v>175</v>
      </c>
      <c r="G12" s="132">
        <f>'Statement Y'!G12</f>
        <v>162</v>
      </c>
      <c r="H12" s="132">
        <f>'Statement Y'!H12</f>
        <v>172</v>
      </c>
      <c r="I12" s="132">
        <f>'Statement Y'!I12</f>
        <v>169</v>
      </c>
      <c r="J12" s="132">
        <f>'Statement Y'!J12</f>
        <v>168</v>
      </c>
      <c r="K12" s="132">
        <f>'Statement Y'!K12</f>
        <v>169</v>
      </c>
      <c r="L12" s="132">
        <f>'Statement Y'!L12</f>
        <v>157</v>
      </c>
      <c r="N12" s="132">
        <f>'Statement Q'!C12</f>
        <v>42</v>
      </c>
      <c r="O12" s="132">
        <f>'Statement Q'!D12</f>
        <v>43</v>
      </c>
      <c r="P12" s="132">
        <f>'Statement Q'!E12</f>
        <v>42</v>
      </c>
      <c r="Q12" s="132">
        <f>'Statement Q'!F12</f>
        <v>41</v>
      </c>
      <c r="R12" s="132">
        <f>'Statement Q'!G12</f>
        <v>41</v>
      </c>
      <c r="S12" s="132">
        <f>'Statement Q'!H12</f>
        <v>38</v>
      </c>
      <c r="T12" s="132">
        <f>'Statement Q'!I12</f>
        <v>37</v>
      </c>
      <c r="U12" s="132">
        <f>'Statement Q'!J12</f>
        <v>35</v>
      </c>
      <c r="W12" s="132">
        <f t="shared" si="0"/>
        <v>151</v>
      </c>
    </row>
    <row r="13" spans="2:23" outlineLevel="1" x14ac:dyDescent="0.2">
      <c r="B13" s="192" t="s">
        <v>11</v>
      </c>
      <c r="C13" s="132">
        <f>'Statement Y'!C13</f>
        <v>3541</v>
      </c>
      <c r="D13" s="132">
        <f>'Statement Y'!D13</f>
        <v>4124</v>
      </c>
      <c r="E13" s="132">
        <f>'Statement Y'!E13</f>
        <v>4995</v>
      </c>
      <c r="F13" s="132">
        <f>'Statement Y'!F13</f>
        <v>6230</v>
      </c>
      <c r="G13" s="132">
        <f>'Statement Y'!G13</f>
        <v>6909</v>
      </c>
      <c r="H13" s="132">
        <f>'Statement Y'!H13</f>
        <v>8118</v>
      </c>
      <c r="I13" s="132">
        <f>'Statement Y'!I13</f>
        <v>9343</v>
      </c>
      <c r="J13" s="132">
        <f>'Statement Y'!J13</f>
        <v>10405</v>
      </c>
      <c r="K13" s="132">
        <f>'Statement Y'!K13</f>
        <v>12406</v>
      </c>
      <c r="L13" s="132">
        <f>'Statement Y'!L13</f>
        <v>12512</v>
      </c>
      <c r="N13" s="132">
        <f>'Statement Q'!C13</f>
        <v>2826</v>
      </c>
      <c r="O13" s="132">
        <f>'Statement Q'!D13</f>
        <v>2862</v>
      </c>
      <c r="P13" s="132">
        <f>'Statement Q'!E13</f>
        <v>3033</v>
      </c>
      <c r="Q13" s="132">
        <f>'Statement Q'!F13</f>
        <v>2929</v>
      </c>
      <c r="R13" s="132">
        <f>'Statement Q'!G13</f>
        <v>3126</v>
      </c>
      <c r="S13" s="132">
        <f>'Statement Q'!H13</f>
        <v>3173</v>
      </c>
      <c r="T13" s="132">
        <f>'Statement Q'!I13</f>
        <v>3284</v>
      </c>
      <c r="U13" s="132">
        <f>'Statement Q'!J13</f>
        <v>3316</v>
      </c>
      <c r="W13" s="132">
        <f t="shared" si="0"/>
        <v>12899</v>
      </c>
    </row>
    <row r="14" spans="2:23" outlineLevel="1" x14ac:dyDescent="0.2">
      <c r="B14" s="17" t="s">
        <v>12</v>
      </c>
      <c r="C14" s="152">
        <f>'Statement Y'!C14</f>
        <v>1494</v>
      </c>
      <c r="D14" s="152">
        <f>'Statement Y'!D14</f>
        <v>2168</v>
      </c>
      <c r="E14" s="152">
        <f>'Statement Y'!E14</f>
        <v>2840</v>
      </c>
      <c r="F14" s="152">
        <f>'Statement Y'!F14</f>
        <v>3268</v>
      </c>
      <c r="G14" s="152">
        <f>'Statement Y'!G14</f>
        <v>4237</v>
      </c>
      <c r="H14" s="152">
        <f>'Statement Y'!H14</f>
        <v>5802</v>
      </c>
      <c r="I14" s="152">
        <f>'Statement Y'!I14</f>
        <v>6098</v>
      </c>
      <c r="J14" s="152">
        <f>'Statement Y'!J14</f>
        <v>6650</v>
      </c>
      <c r="K14" s="152">
        <f>'Statement Y'!K14</f>
        <v>6741</v>
      </c>
      <c r="L14" s="152">
        <f>'Statement Y'!L14</f>
        <v>8706</v>
      </c>
      <c r="N14" s="152">
        <f>'Statement Q'!C14</f>
        <v>1885</v>
      </c>
      <c r="O14" s="152">
        <f>'Statement Q'!D14</f>
        <v>1992</v>
      </c>
      <c r="P14" s="152">
        <f>'Statement Q'!E14</f>
        <v>1957</v>
      </c>
      <c r="Q14" s="152">
        <f>'Statement Q'!F14</f>
        <v>2163</v>
      </c>
      <c r="R14" s="152">
        <f>'Statement Q'!G14</f>
        <v>2109</v>
      </c>
      <c r="S14" s="152">
        <f>'Statement Q'!H14</f>
        <v>2173</v>
      </c>
      <c r="T14" s="152">
        <f>'Statement Q'!I14</f>
        <v>2261</v>
      </c>
      <c r="U14" s="152">
        <f>'Statement Q'!J14</f>
        <v>2418</v>
      </c>
      <c r="W14" s="152">
        <f t="shared" si="0"/>
        <v>8961</v>
      </c>
    </row>
    <row r="15" spans="2:23" outlineLevel="1" x14ac:dyDescent="0.2">
      <c r="B15" s="77" t="s">
        <v>206</v>
      </c>
      <c r="C15" s="168">
        <f t="shared" ref="C15:L15" si="1">C14+C63</f>
        <v>1826</v>
      </c>
      <c r="D15" s="168">
        <f t="shared" si="1"/>
        <v>2494</v>
      </c>
      <c r="E15" s="168">
        <f t="shared" si="1"/>
        <v>3186</v>
      </c>
      <c r="F15" s="168">
        <f t="shared" si="1"/>
        <v>4005</v>
      </c>
      <c r="G15" s="168">
        <f t="shared" si="1"/>
        <v>4994</v>
      </c>
      <c r="H15" s="168">
        <f t="shared" si="1"/>
        <v>6590</v>
      </c>
      <c r="I15" s="168">
        <f t="shared" si="1"/>
        <v>6954</v>
      </c>
      <c r="J15" s="168">
        <f t="shared" si="1"/>
        <v>7522</v>
      </c>
      <c r="K15" s="168">
        <f t="shared" si="1"/>
        <v>7598</v>
      </c>
      <c r="L15" s="168">
        <f t="shared" si="1"/>
        <v>9524</v>
      </c>
      <c r="N15" s="168">
        <f t="shared" ref="N15:U15" si="2">N14+N63</f>
        <v>1885</v>
      </c>
      <c r="O15" s="168">
        <f t="shared" si="2"/>
        <v>1992</v>
      </c>
      <c r="P15" s="168">
        <f t="shared" si="2"/>
        <v>1957</v>
      </c>
      <c r="Q15" s="168">
        <f t="shared" si="2"/>
        <v>2380</v>
      </c>
      <c r="R15" s="168">
        <f t="shared" si="2"/>
        <v>2318</v>
      </c>
      <c r="S15" s="168">
        <f t="shared" si="2"/>
        <v>2381</v>
      </c>
      <c r="T15" s="168">
        <f t="shared" si="2"/>
        <v>2445</v>
      </c>
      <c r="U15" s="168">
        <f t="shared" si="2"/>
        <v>2592</v>
      </c>
      <c r="W15" s="168">
        <f>SUM(R15:U15)</f>
        <v>9736</v>
      </c>
    </row>
    <row r="16" spans="2:23" outlineLevel="1" x14ac:dyDescent="0.2">
      <c r="B16" s="77" t="s">
        <v>135</v>
      </c>
      <c r="C16" s="168">
        <f>C14*(1-'Statement Y'!C128)</f>
        <v>1217.0634146341465</v>
      </c>
      <c r="D16" s="168">
        <f>D14*(1-'Statement Y'!D128)</f>
        <v>1717.7698783910196</v>
      </c>
      <c r="E16" s="168">
        <f>E14*(1-'Statement Y'!E128)</f>
        <v>2633.6578382247671</v>
      </c>
      <c r="F16" s="168">
        <f>F14*(1-'Statement Y'!F128)</f>
        <v>3010.0268330733229</v>
      </c>
      <c r="G16" s="168">
        <f>G14*(1-'Statement Y'!G128)</f>
        <v>5336.8342911877398</v>
      </c>
      <c r="H16" s="168">
        <f>H14*(1-'Statement Y'!H128)</f>
        <v>4903.9866783523221</v>
      </c>
      <c r="I16" s="168">
        <f>I14*(1-'Statement Y'!I128)</f>
        <v>4827.2450066577894</v>
      </c>
      <c r="J16" s="168">
        <f>J14*(1-'Statement Y'!J128)</f>
        <v>5309.0454478599795</v>
      </c>
      <c r="K16" s="168">
        <f>K14*(1-'Statement Y'!K128)</f>
        <v>5407.5833213100559</v>
      </c>
      <c r="L16" s="168">
        <f>L14*(1-'Statement Y'!L128)</f>
        <v>7107.1422028852758</v>
      </c>
      <c r="N16" s="168"/>
      <c r="O16" s="168"/>
      <c r="P16" s="168"/>
      <c r="Q16" s="168"/>
      <c r="R16" s="168"/>
      <c r="S16" s="168"/>
      <c r="T16" s="168"/>
      <c r="U16" s="168"/>
      <c r="W16" s="168">
        <f>W14*(1-'Statement Y'!L128)</f>
        <v>7315.3114266086559</v>
      </c>
    </row>
    <row r="17" spans="2:23" outlineLevel="1" x14ac:dyDescent="0.2">
      <c r="B17" s="12" t="s">
        <v>279</v>
      </c>
      <c r="C17" s="132">
        <f>'Statement Y'!C15</f>
        <v>-70</v>
      </c>
      <c r="D17" s="132">
        <f>'Statement Y'!D15</f>
        <v>-74</v>
      </c>
      <c r="E17" s="132">
        <f>'Statement Y'!E15</f>
        <v>-89</v>
      </c>
      <c r="F17" s="132">
        <f>'Statement Y'!F15</f>
        <v>-157</v>
      </c>
      <c r="G17" s="132">
        <f>'Statement Y'!G15</f>
        <v>-116</v>
      </c>
      <c r="H17" s="132">
        <f>'Statement Y'!H15</f>
        <v>-113</v>
      </c>
      <c r="I17" s="132">
        <f>'Statement Y'!I15</f>
        <v>-112</v>
      </c>
      <c r="J17" s="132">
        <f>'Statement Y'!J15</f>
        <v>-113</v>
      </c>
      <c r="K17" s="132">
        <f>'Statement Y'!K15</f>
        <v>-169</v>
      </c>
      <c r="L17" s="132">
        <f>'Statement Y'!L15</f>
        <v>-263</v>
      </c>
      <c r="N17" s="132">
        <f>'Statement Q'!C15</f>
        <v>-41</v>
      </c>
      <c r="O17" s="132">
        <f>'Statement Q'!D15</f>
        <v>-51</v>
      </c>
      <c r="P17" s="132">
        <f>'Statement Q'!E15</f>
        <v>-50</v>
      </c>
      <c r="Q17" s="132">
        <f>'Statement Q'!F15</f>
        <v>-62</v>
      </c>
      <c r="R17" s="132">
        <f>'Statement Q'!G15</f>
        <v>-68</v>
      </c>
      <c r="S17" s="132">
        <f>'Statement Q'!H15</f>
        <v>-67</v>
      </c>
      <c r="T17" s="132">
        <f>'Statement Q'!I15</f>
        <v>-66</v>
      </c>
      <c r="U17" s="132">
        <f>'Statement Q'!J15</f>
        <v>-63</v>
      </c>
      <c r="W17" s="132">
        <f t="shared" si="0"/>
        <v>-264</v>
      </c>
    </row>
    <row r="18" spans="2:23" outlineLevel="1" x14ac:dyDescent="0.2">
      <c r="B18" s="12" t="s">
        <v>280</v>
      </c>
      <c r="C18" s="132">
        <f>'Statement Y'!C16</f>
        <v>-2</v>
      </c>
      <c r="D18" s="132">
        <f>'Statement Y'!D16</f>
        <v>8</v>
      </c>
      <c r="E18" s="132">
        <f>'Statement Y'!E16</f>
        <v>3</v>
      </c>
      <c r="F18" s="132">
        <f>'Statement Y'!F16</f>
        <v>52</v>
      </c>
      <c r="G18" s="132">
        <f>'Statement Y'!G16</f>
        <v>13</v>
      </c>
      <c r="H18" s="132">
        <f>'Statement Y'!H16</f>
        <v>16</v>
      </c>
      <c r="I18" s="132">
        <f>'Statement Y'!I16</f>
        <v>-19</v>
      </c>
      <c r="J18" s="132">
        <f>'Statement Y'!J16</f>
        <v>16</v>
      </c>
      <c r="K18" s="132">
        <f>'Statement Y'!K16</f>
        <v>48</v>
      </c>
      <c r="L18" s="132">
        <f>'Statement Y'!L16</f>
        <v>43</v>
      </c>
      <c r="N18" s="132">
        <f>'Statement Q'!C16</f>
        <v>4</v>
      </c>
      <c r="O18" s="132">
        <f>'Statement Q'!D16</f>
        <v>12</v>
      </c>
      <c r="P18" s="132">
        <f>'Statement Q'!E16</f>
        <v>14</v>
      </c>
      <c r="Q18" s="132">
        <f>'Statement Q'!F16</f>
        <v>6</v>
      </c>
      <c r="R18" s="132">
        <f>'Statement Q'!G16</f>
        <v>2</v>
      </c>
      <c r="S18" s="132">
        <f>'Statement Q'!H16</f>
        <v>23</v>
      </c>
      <c r="T18" s="132">
        <f>'Statement Q'!I16</f>
        <v>12</v>
      </c>
      <c r="U18" s="132">
        <f>'Statement Q'!J16</f>
        <v>5</v>
      </c>
      <c r="W18" s="132">
        <f t="shared" si="0"/>
        <v>42</v>
      </c>
    </row>
    <row r="19" spans="2:23" outlineLevel="1" x14ac:dyDescent="0.2">
      <c r="B19" s="12" t="s">
        <v>173</v>
      </c>
      <c r="C19" s="132">
        <f>'Statement Y'!C17</f>
        <v>14</v>
      </c>
      <c r="D19" s="132">
        <f>'Statement Y'!D17</f>
        <v>36</v>
      </c>
      <c r="E19" s="132">
        <f>'Statement Y'!E17</f>
        <v>40</v>
      </c>
      <c r="F19" s="132">
        <f>'Statement Y'!F17</f>
        <v>42</v>
      </c>
      <c r="G19" s="132">
        <f>'Statement Y'!G17</f>
        <v>42</v>
      </c>
      <c r="H19" s="132">
        <f>'Statement Y'!H17</f>
        <v>0</v>
      </c>
      <c r="I19" s="132">
        <f>'Statement Y'!I17</f>
        <v>41</v>
      </c>
      <c r="J19" s="132">
        <f>'Statement Y'!J17</f>
        <v>246</v>
      </c>
      <c r="K19" s="132">
        <f>'Statement Y'!K17</f>
        <v>311</v>
      </c>
      <c r="L19" s="132">
        <f>'Statement Y'!L17</f>
        <v>248</v>
      </c>
      <c r="N19" s="132">
        <f>'Statement Q'!C17</f>
        <v>82</v>
      </c>
      <c r="O19" s="132">
        <f>'Statement Q'!D17</f>
        <v>89</v>
      </c>
      <c r="P19" s="132">
        <f>'Statement Q'!E17</f>
        <v>70</v>
      </c>
      <c r="Q19" s="132">
        <f>'Statement Q'!F17</f>
        <v>75</v>
      </c>
      <c r="R19" s="132">
        <f>'Statement Q'!G17</f>
        <v>58</v>
      </c>
      <c r="S19" s="132">
        <f>'Statement Q'!H17</f>
        <v>58</v>
      </c>
      <c r="T19" s="132">
        <f>'Statement Q'!I17</f>
        <v>57</v>
      </c>
      <c r="U19" s="132">
        <f>'Statement Q'!J17</f>
        <v>62</v>
      </c>
      <c r="W19" s="132">
        <f t="shared" si="0"/>
        <v>235</v>
      </c>
    </row>
    <row r="20" spans="2:23" outlineLevel="1" x14ac:dyDescent="0.2">
      <c r="B20" s="17" t="s">
        <v>13</v>
      </c>
      <c r="C20" s="152">
        <f>'Statement Y'!C18</f>
        <v>1435</v>
      </c>
      <c r="D20" s="152">
        <f>'Statement Y'!D18</f>
        <v>2138</v>
      </c>
      <c r="E20" s="152">
        <f>'Statement Y'!E18</f>
        <v>2794</v>
      </c>
      <c r="F20" s="152">
        <f>'Statement Y'!F18</f>
        <v>3205</v>
      </c>
      <c r="G20" s="152">
        <f>'Statement Y'!G18</f>
        <v>4176</v>
      </c>
      <c r="H20" s="152">
        <f>'Statement Y'!H18</f>
        <v>5705</v>
      </c>
      <c r="I20" s="152">
        <f>'Statement Y'!I18</f>
        <v>6008</v>
      </c>
      <c r="J20" s="152">
        <f>'Statement Y'!J18</f>
        <v>6799</v>
      </c>
      <c r="K20" s="152">
        <f>'Statement Y'!K18</f>
        <v>6931</v>
      </c>
      <c r="L20" s="152">
        <f>'Statement Y'!L18</f>
        <v>8734</v>
      </c>
      <c r="N20" s="152">
        <f>'Statement Q'!C18</f>
        <v>1930</v>
      </c>
      <c r="O20" s="152">
        <f>'Statement Q'!D18</f>
        <v>2042</v>
      </c>
      <c r="P20" s="152">
        <f>'Statement Q'!E18</f>
        <v>1991</v>
      </c>
      <c r="Q20" s="152">
        <f>'Statement Q'!F18</f>
        <v>2182</v>
      </c>
      <c r="R20" s="152">
        <f>'Statement Q'!G18</f>
        <v>2101</v>
      </c>
      <c r="S20" s="152">
        <f>'Statement Q'!H18</f>
        <v>2187</v>
      </c>
      <c r="T20" s="152">
        <f>'Statement Q'!I18</f>
        <v>2264</v>
      </c>
      <c r="U20" s="152">
        <f>'Statement Q'!J18</f>
        <v>2422</v>
      </c>
      <c r="W20" s="152">
        <f t="shared" si="0"/>
        <v>8974</v>
      </c>
    </row>
    <row r="21" spans="2:23" outlineLevel="1" x14ac:dyDescent="0.2">
      <c r="B21" s="12" t="s">
        <v>71</v>
      </c>
      <c r="C21" s="132">
        <f>'Statement Y'!C19</f>
        <v>-266</v>
      </c>
      <c r="D21" s="132">
        <f>'Statement Y'!D19</f>
        <v>-444</v>
      </c>
      <c r="E21" s="132">
        <f>'Statement Y'!E19</f>
        <v>-203</v>
      </c>
      <c r="F21" s="132">
        <f>'Statement Y'!F19</f>
        <v>-253</v>
      </c>
      <c r="G21" s="132">
        <f>'Statement Y'!G19</f>
        <v>1084</v>
      </c>
      <c r="H21" s="132">
        <f>'Statement Y'!H19</f>
        <v>-883</v>
      </c>
      <c r="I21" s="132">
        <f>'Statement Y'!I19</f>
        <v>-1252</v>
      </c>
      <c r="J21" s="132">
        <f>'Statement Y'!J19</f>
        <v>-1371</v>
      </c>
      <c r="K21" s="132">
        <f>'Statement Y'!K19</f>
        <v>-1371</v>
      </c>
      <c r="L21" s="132">
        <f>'Statement Y'!L19</f>
        <v>-1604</v>
      </c>
      <c r="N21" s="132">
        <f>'Statement Q'!C19</f>
        <v>-357</v>
      </c>
      <c r="O21" s="132">
        <f>'Statement Q'!D19</f>
        <v>-358</v>
      </c>
      <c r="P21" s="132">
        <f>'Statement Q'!E19</f>
        <v>-308</v>
      </c>
      <c r="Q21" s="132">
        <f>'Statement Q'!F19</f>
        <v>-371</v>
      </c>
      <c r="R21" s="132">
        <f>'Statement Q'!G19</f>
        <v>-410</v>
      </c>
      <c r="S21" s="132">
        <f>'Statement Q'!H19</f>
        <v>-415</v>
      </c>
      <c r="T21" s="132">
        <f>'Statement Q'!I19</f>
        <v>-408</v>
      </c>
      <c r="U21" s="132">
        <f>'Statement Q'!J19</f>
        <v>-533</v>
      </c>
      <c r="W21" s="132">
        <f t="shared" si="0"/>
        <v>-1766</v>
      </c>
    </row>
    <row r="22" spans="2:23" outlineLevel="1" x14ac:dyDescent="0.2">
      <c r="B22" s="17" t="s">
        <v>14</v>
      </c>
      <c r="C22" s="152">
        <f>'Statement Y'!C20</f>
        <v>1169</v>
      </c>
      <c r="D22" s="152">
        <f>'Statement Y'!D20</f>
        <v>1694</v>
      </c>
      <c r="E22" s="152">
        <f>'Statement Y'!E20</f>
        <v>2591</v>
      </c>
      <c r="F22" s="152">
        <f>'Statement Y'!F20</f>
        <v>2952</v>
      </c>
      <c r="G22" s="152">
        <f>'Statement Y'!G20</f>
        <v>5260</v>
      </c>
      <c r="H22" s="152">
        <f>'Statement Y'!H20</f>
        <v>4822</v>
      </c>
      <c r="I22" s="152">
        <f>'Statement Y'!I20</f>
        <v>4756</v>
      </c>
      <c r="J22" s="152">
        <f>'Statement Y'!J20</f>
        <v>5428</v>
      </c>
      <c r="K22" s="152">
        <v>6560</v>
      </c>
      <c r="L22" s="152">
        <f>'Statement Y'!L20</f>
        <v>7130</v>
      </c>
      <c r="N22" s="152">
        <f>'Statement Q'!C20</f>
        <v>1573</v>
      </c>
      <c r="O22" s="152">
        <f>'Statement Q'!D20</f>
        <v>1684</v>
      </c>
      <c r="P22" s="152">
        <f>'Statement Q'!E20</f>
        <v>1683</v>
      </c>
      <c r="Q22" s="152">
        <f>'Statement Q'!F20</f>
        <v>1811</v>
      </c>
      <c r="R22" s="152">
        <f>'Statement Q'!G20</f>
        <v>1691</v>
      </c>
      <c r="S22" s="152">
        <f>'Statement Q'!H20</f>
        <v>1772</v>
      </c>
      <c r="T22" s="152">
        <f>'Statement Q'!I20</f>
        <v>1856</v>
      </c>
      <c r="U22" s="152">
        <f>'Statement Q'!J20</f>
        <v>1889</v>
      </c>
      <c r="W22" s="152">
        <f t="shared" si="0"/>
        <v>7208</v>
      </c>
    </row>
    <row r="23" spans="2:23" outlineLevel="1" x14ac:dyDescent="0.2">
      <c r="B23" s="12" t="s">
        <v>16</v>
      </c>
      <c r="C23" s="132">
        <f>'Statement Y'!C24</f>
        <v>504</v>
      </c>
      <c r="D23" s="132">
        <f>'Statement Y'!D24</f>
        <v>501</v>
      </c>
      <c r="E23" s="132">
        <f>'Statement Y'!E24</f>
        <v>498</v>
      </c>
      <c r="F23" s="132">
        <f>'Statement Y'!F24</f>
        <v>492</v>
      </c>
      <c r="G23" s="132">
        <f>'Statement Y'!G24</f>
        <v>485</v>
      </c>
      <c r="H23" s="132">
        <f>'Statement Y'!H24</f>
        <v>481</v>
      </c>
      <c r="I23" s="132">
        <f>'Statement Y'!I24</f>
        <v>471</v>
      </c>
      <c r="J23" s="132">
        <f>'Statement Y'!J24</f>
        <v>459</v>
      </c>
      <c r="K23" s="132">
        <f>'Statement Y'!K24</f>
        <v>450</v>
      </c>
      <c r="L23" s="132">
        <f>'Statement Y'!L24</f>
        <v>427</v>
      </c>
      <c r="N23" s="132">
        <f>'Statement Q'!C22</f>
        <v>451</v>
      </c>
      <c r="O23" s="132">
        <f>'Statement Q'!D22</f>
        <v>448</v>
      </c>
      <c r="P23" s="132">
        <f>'Statement Q'!E22</f>
        <v>443</v>
      </c>
      <c r="Q23" s="132">
        <f>'Statement Q'!F22</f>
        <v>438</v>
      </c>
      <c r="R23" s="132">
        <f>'Statement Q'!G22</f>
        <v>429</v>
      </c>
      <c r="S23" s="132">
        <f>'Statement Q'!H22</f>
        <v>424</v>
      </c>
      <c r="T23" s="132">
        <f>'Statement Q'!I22</f>
        <v>417</v>
      </c>
      <c r="U23" s="132">
        <f>'Statement Q'!J22</f>
        <v>411</v>
      </c>
      <c r="W23" s="132">
        <f>AVERAGE(R23:U23)</f>
        <v>420.25</v>
      </c>
    </row>
    <row r="24" spans="2:23" ht="17" outlineLevel="1" thickBot="1" x14ac:dyDescent="0.25">
      <c r="B24" s="10" t="s">
        <v>18</v>
      </c>
      <c r="C24" s="153">
        <f>'Statement Y'!C28</f>
        <v>2.3199999999999998</v>
      </c>
      <c r="D24" s="153">
        <f>'Statement Y'!D28</f>
        <v>3.38</v>
      </c>
      <c r="E24" s="153">
        <f>'Statement Y'!E28</f>
        <v>5.2</v>
      </c>
      <c r="F24" s="153">
        <f>'Statement Y'!F28</f>
        <v>6</v>
      </c>
      <c r="G24" s="153">
        <f>'Statement Y'!G28</f>
        <v>10.83</v>
      </c>
      <c r="H24" s="153">
        <f>'Statement Y'!H28</f>
        <v>10.02</v>
      </c>
      <c r="I24" s="153">
        <f>'Statement Y'!I28</f>
        <v>10.1</v>
      </c>
      <c r="J24" s="153">
        <f>'Statement Y'!J28</f>
        <v>11.82</v>
      </c>
      <c r="K24" s="153">
        <f>K22/K23</f>
        <v>14.577777777777778</v>
      </c>
      <c r="L24" s="153">
        <f>'Statement Y'!L28</f>
        <v>16.7</v>
      </c>
      <c r="N24" s="154">
        <f>'Statement Q'!C24</f>
        <v>3.49</v>
      </c>
      <c r="O24" s="154">
        <f>'Statement Q'!D24</f>
        <v>3.76</v>
      </c>
      <c r="P24" s="154">
        <f>'Statement Q'!E24</f>
        <v>3.79</v>
      </c>
      <c r="Q24" s="154">
        <f>'Statement Q'!F24</f>
        <v>4.1399999999999997</v>
      </c>
      <c r="R24" s="154">
        <f>'Statement Q'!G24</f>
        <v>3.94</v>
      </c>
      <c r="S24" s="154">
        <f>'Statement Q'!H24</f>
        <v>4.18</v>
      </c>
      <c r="T24" s="154">
        <f>'Statement Q'!I24</f>
        <v>4.45</v>
      </c>
      <c r="U24" s="154">
        <f>'Statement Q'!J24</f>
        <v>4.5999999999999996</v>
      </c>
      <c r="W24" s="154">
        <f>W22/W23</f>
        <v>17.151695419393217</v>
      </c>
    </row>
    <row r="26" spans="2:23" ht="17" thickBot="1" x14ac:dyDescent="0.25">
      <c r="B26" s="15" t="s">
        <v>19</v>
      </c>
      <c r="C26" s="14"/>
      <c r="D26" s="14"/>
      <c r="E26" s="14"/>
      <c r="F26" s="14"/>
      <c r="G26" s="14"/>
      <c r="H26" s="14"/>
      <c r="I26" s="14"/>
      <c r="J26" s="14"/>
      <c r="K26" s="14"/>
      <c r="L26" s="14"/>
      <c r="N26" s="14"/>
      <c r="O26" s="14"/>
      <c r="P26" s="14"/>
      <c r="Q26" s="14"/>
      <c r="R26" s="14"/>
      <c r="S26" s="14"/>
      <c r="T26" s="14"/>
      <c r="U26" s="14"/>
      <c r="W26" s="14"/>
    </row>
    <row r="27" spans="2:23" outlineLevel="1" x14ac:dyDescent="0.2">
      <c r="B27" s="191" t="s">
        <v>20</v>
      </c>
      <c r="C27" s="132">
        <f>'Statement Y'!C31+'Statement Y'!C32</f>
        <v>4761</v>
      </c>
      <c r="D27" s="132">
        <f>'Statement Y'!D31+'Statement Y'!D32</f>
        <v>5820</v>
      </c>
      <c r="E27" s="132">
        <f>'Statement Y'!E31+'Statement Y'!E32</f>
        <v>3229</v>
      </c>
      <c r="F27" s="132">
        <f>'Statement Y'!F31+'Statement Y'!F32</f>
        <v>4177</v>
      </c>
      <c r="G27" s="132">
        <f>'Statement Y'!G31+'Statement Y'!G32</f>
        <v>5992</v>
      </c>
      <c r="H27" s="132">
        <f>'Statement Y'!H31+'Statement Y'!H32</f>
        <v>5798</v>
      </c>
      <c r="I27" s="132">
        <f>'Statement Y'!I31+'Statement Y'!I32</f>
        <v>6096</v>
      </c>
      <c r="J27" s="132">
        <f>'Statement Y'!J31+'Statement Y'!J32</f>
        <v>7842</v>
      </c>
      <c r="K27" s="132">
        <f>'Statement Y'!K31+'Statement Y'!K32</f>
        <v>7886</v>
      </c>
      <c r="L27" s="132">
        <f>'Statement Y'!L31+'Statement Y'!L32</f>
        <v>6595</v>
      </c>
      <c r="N27" s="132">
        <f>'Statement Q'!C27+'Statement Q'!C28</f>
        <v>0</v>
      </c>
      <c r="O27" s="132">
        <f>'Statement Q'!D27+'Statement Q'!D28</f>
        <v>0</v>
      </c>
      <c r="P27" s="132">
        <f>'Statement Q'!E27+'Statement Q'!E28</f>
        <v>0</v>
      </c>
      <c r="Q27" s="132">
        <f>'Statement Q'!F27+'Statement Q'!F28</f>
        <v>0</v>
      </c>
      <c r="R27" s="132">
        <f>'Statement Q'!G27+'Statement Q'!G28</f>
        <v>0</v>
      </c>
      <c r="S27" s="132">
        <f>'Statement Q'!H27+'Statement Q'!H28</f>
        <v>0</v>
      </c>
      <c r="T27" s="132">
        <f>'Statement Q'!I27+'Statement Q'!I28</f>
        <v>6595</v>
      </c>
      <c r="U27" s="132">
        <f>'Statement Q'!J27+'Statement Q'!J28</f>
        <v>6890</v>
      </c>
      <c r="W27" s="132">
        <f>U27</f>
        <v>6890</v>
      </c>
    </row>
    <row r="28" spans="2:23" outlineLevel="1" x14ac:dyDescent="0.2">
      <c r="B28" s="191" t="s">
        <v>21</v>
      </c>
      <c r="C28" s="132">
        <f>'Statement Y'!C33</f>
        <v>833</v>
      </c>
      <c r="D28" s="132">
        <f>'Statement Y'!D33</f>
        <v>1218</v>
      </c>
      <c r="E28" s="132">
        <f>'Statement Y'!E33</f>
        <v>1316</v>
      </c>
      <c r="F28" s="132">
        <f>'Statement Y'!F33</f>
        <v>1535</v>
      </c>
      <c r="G28" s="132">
        <f>'Statement Y'!G33</f>
        <v>1398</v>
      </c>
      <c r="H28" s="132">
        <f>'Statement Y'!H33</f>
        <v>1878</v>
      </c>
      <c r="I28" s="132">
        <f>'Statement Y'!I33</f>
        <v>2065</v>
      </c>
      <c r="J28" s="132">
        <f>'Statement Y'!J33</f>
        <v>2224</v>
      </c>
      <c r="K28" s="132">
        <f>'Statement Y'!K33</f>
        <v>2072</v>
      </c>
      <c r="L28" s="132">
        <f>'Statement Y'!L33</f>
        <v>2344</v>
      </c>
      <c r="N28" s="132">
        <f>'Statement Q'!C29</f>
        <v>0</v>
      </c>
      <c r="O28" s="132">
        <f>'Statement Q'!D29</f>
        <v>0</v>
      </c>
      <c r="P28" s="132">
        <f>'Statement Q'!E29</f>
        <v>0</v>
      </c>
      <c r="Q28" s="132">
        <f>'Statement Q'!F29</f>
        <v>0</v>
      </c>
      <c r="R28" s="132">
        <f>'Statement Q'!G29</f>
        <v>0</v>
      </c>
      <c r="S28" s="132">
        <f>'Statement Q'!H29</f>
        <v>0</v>
      </c>
      <c r="T28" s="132">
        <f>'Statement Q'!I29</f>
        <v>2344</v>
      </c>
      <c r="U28" s="132">
        <f>'Statement Q'!J29</f>
        <v>2092</v>
      </c>
      <c r="W28" s="132">
        <f t="shared" ref="W28:W59" si="3">U28</f>
        <v>2092</v>
      </c>
    </row>
    <row r="29" spans="2:23" outlineLevel="1" x14ac:dyDescent="0.2">
      <c r="B29" s="191" t="s">
        <v>298</v>
      </c>
      <c r="C29" s="132">
        <f>'Statement Y'!C34</f>
        <v>247</v>
      </c>
      <c r="D29" s="132">
        <f>'Statement Y'!D34</f>
        <v>209</v>
      </c>
      <c r="E29" s="132">
        <f>'Statement Y'!E34</f>
        <v>312</v>
      </c>
      <c r="F29" s="132">
        <f>'Statement Y'!F34</f>
        <v>782</v>
      </c>
      <c r="G29" s="132">
        <f>'Statement Y'!G34</f>
        <v>756</v>
      </c>
      <c r="H29" s="132">
        <f>'Statement Y'!H34</f>
        <v>993</v>
      </c>
      <c r="I29" s="132">
        <f>'Statement Y'!I34</f>
        <v>835</v>
      </c>
      <c r="J29" s="132">
        <f>'Statement Y'!J34</f>
        <v>1018</v>
      </c>
      <c r="K29" s="132">
        <f>'Statement Y'!K34</f>
        <v>1274</v>
      </c>
      <c r="L29" s="132">
        <f>'Statement Y'!L34</f>
        <v>1224</v>
      </c>
      <c r="N29" s="132">
        <f>'Statement Q'!C30</f>
        <v>0</v>
      </c>
      <c r="O29" s="132">
        <f>'Statement Q'!D30</f>
        <v>0</v>
      </c>
      <c r="P29" s="132">
        <f>'Statement Q'!E30</f>
        <v>0</v>
      </c>
      <c r="Q29" s="132">
        <f>'Statement Q'!F30</f>
        <v>0</v>
      </c>
      <c r="R29" s="132">
        <f>'Statement Q'!G30</f>
        <v>0</v>
      </c>
      <c r="S29" s="132">
        <f>'Statement Q'!H30</f>
        <v>0</v>
      </c>
      <c r="T29" s="132">
        <f>'Statement Q'!I30</f>
        <v>1224</v>
      </c>
      <c r="U29" s="132">
        <f>'Statement Q'!J30</f>
        <v>1404</v>
      </c>
      <c r="W29" s="132">
        <f t="shared" si="3"/>
        <v>1404</v>
      </c>
    </row>
    <row r="30" spans="2:23" outlineLevel="1" x14ac:dyDescent="0.2">
      <c r="B30" s="11" t="s">
        <v>22</v>
      </c>
      <c r="C30" s="155">
        <f>'Statement Y'!C35</f>
        <v>5840</v>
      </c>
      <c r="D30" s="155">
        <f>'Statement Y'!D35</f>
        <v>7248</v>
      </c>
      <c r="E30" s="155">
        <f>'Statement Y'!E35</f>
        <v>4857</v>
      </c>
      <c r="F30" s="155">
        <f>'Statement Y'!F35</f>
        <v>6495</v>
      </c>
      <c r="G30" s="155">
        <f>'Statement Y'!G35</f>
        <v>8146</v>
      </c>
      <c r="H30" s="155">
        <f>'Statement Y'!H35</f>
        <v>8669</v>
      </c>
      <c r="I30" s="155">
        <f>'Statement Y'!I35</f>
        <v>8996</v>
      </c>
      <c r="J30" s="155">
        <f>'Statement Y'!J35</f>
        <v>11084</v>
      </c>
      <c r="K30" s="155">
        <f>'Statement Y'!K35</f>
        <v>11232</v>
      </c>
      <c r="L30" s="155">
        <f>'Statement Y'!L35</f>
        <v>10163</v>
      </c>
      <c r="N30" s="155">
        <f>'Statement Q'!C31</f>
        <v>0</v>
      </c>
      <c r="O30" s="155">
        <f>'Statement Q'!D31</f>
        <v>0</v>
      </c>
      <c r="P30" s="155">
        <f>'Statement Q'!E31</f>
        <v>0</v>
      </c>
      <c r="Q30" s="155">
        <f>'Statement Q'!F31</f>
        <v>0</v>
      </c>
      <c r="R30" s="155">
        <f>'Statement Q'!G31</f>
        <v>0</v>
      </c>
      <c r="S30" s="155">
        <f>'Statement Q'!H31</f>
        <v>0</v>
      </c>
      <c r="T30" s="155">
        <f>'Statement Q'!I31</f>
        <v>10163</v>
      </c>
      <c r="U30" s="155">
        <f>'Statement Q'!J31</f>
        <v>10386</v>
      </c>
      <c r="W30" s="155">
        <f t="shared" si="3"/>
        <v>10386</v>
      </c>
    </row>
    <row r="31" spans="2:23" outlineLevel="1" x14ac:dyDescent="0.2">
      <c r="B31" s="9" t="s">
        <v>23</v>
      </c>
      <c r="C31" s="132">
        <f>'Statement Y'!C36</f>
        <v>816</v>
      </c>
      <c r="D31" s="132">
        <f>'Statement Y'!D36</f>
        <v>937</v>
      </c>
      <c r="E31" s="132">
        <f>'Statement Y'!E36</f>
        <v>1075</v>
      </c>
      <c r="F31" s="132">
        <f>'Statement Y'!F36</f>
        <v>1293</v>
      </c>
      <c r="G31" s="132">
        <f>'Statement Y'!G36</f>
        <v>1517</v>
      </c>
      <c r="H31" s="132">
        <f>'Statement Y'!H36</f>
        <v>1673</v>
      </c>
      <c r="I31" s="132">
        <f>'Statement Y'!I36</f>
        <v>1908</v>
      </c>
      <c r="J31" s="132">
        <f>'Statement Y'!J36</f>
        <v>2030</v>
      </c>
      <c r="K31" s="132">
        <f>'Statement Y'!K36</f>
        <v>1936</v>
      </c>
      <c r="L31" s="132">
        <f>'Statement Y'!L36</f>
        <v>1873</v>
      </c>
      <c r="N31" s="132">
        <f>'Statement Q'!C32</f>
        <v>0</v>
      </c>
      <c r="O31" s="132">
        <f>'Statement Q'!D32</f>
        <v>0</v>
      </c>
      <c r="P31" s="132">
        <f>'Statement Q'!E32</f>
        <v>0</v>
      </c>
      <c r="Q31" s="132">
        <f>'Statement Q'!F32</f>
        <v>0</v>
      </c>
      <c r="R31" s="132">
        <f>'Statement Q'!G32</f>
        <v>0</v>
      </c>
      <c r="S31" s="132">
        <f>'Statement Q'!H32</f>
        <v>0</v>
      </c>
      <c r="T31" s="132">
        <f>'Statement Q'!I32</f>
        <v>1873</v>
      </c>
      <c r="U31" s="132">
        <f>'Statement Q'!J32</f>
        <v>1852</v>
      </c>
      <c r="W31" s="132">
        <f t="shared" si="3"/>
        <v>1852</v>
      </c>
    </row>
    <row r="32" spans="2:23" outlineLevel="1" x14ac:dyDescent="0.2">
      <c r="B32" s="9" t="s">
        <v>299</v>
      </c>
      <c r="C32" s="132">
        <f>'Statement Y'!C37</f>
        <v>0</v>
      </c>
      <c r="D32" s="132">
        <f>'Statement Y'!D37</f>
        <v>0</v>
      </c>
      <c r="E32" s="132">
        <f>'Statement Y'!E37</f>
        <v>0</v>
      </c>
      <c r="F32" s="132">
        <f>'Statement Y'!F37</f>
        <v>0</v>
      </c>
      <c r="G32" s="132">
        <f>'Statement Y'!G37</f>
        <v>487</v>
      </c>
      <c r="H32" s="132">
        <f>'Statement Y'!H37</f>
        <v>443</v>
      </c>
      <c r="I32" s="132">
        <f>'Statement Y'!I37</f>
        <v>407</v>
      </c>
      <c r="J32" s="132">
        <f>'Statement Y'!J37</f>
        <v>358</v>
      </c>
      <c r="K32" s="132">
        <f>'Statement Y'!K37</f>
        <v>281</v>
      </c>
      <c r="L32" s="132">
        <f>'Statement Y'!L37</f>
        <v>312</v>
      </c>
      <c r="N32" s="132">
        <f>'Statement Q'!C33</f>
        <v>0</v>
      </c>
      <c r="O32" s="132">
        <f>'Statement Q'!D33</f>
        <v>0</v>
      </c>
      <c r="P32" s="132">
        <f>'Statement Q'!E33</f>
        <v>0</v>
      </c>
      <c r="Q32" s="132">
        <f>'Statement Q'!F33</f>
        <v>0</v>
      </c>
      <c r="R32" s="132">
        <f>'Statement Q'!G33</f>
        <v>0</v>
      </c>
      <c r="S32" s="132">
        <f>'Statement Q'!H33</f>
        <v>0</v>
      </c>
      <c r="T32" s="132">
        <f>'Statement Q'!I33</f>
        <v>312</v>
      </c>
      <c r="U32" s="132">
        <f>'Statement Q'!J33</f>
        <v>305</v>
      </c>
      <c r="W32" s="132">
        <f t="shared" si="3"/>
        <v>305</v>
      </c>
    </row>
    <row r="33" spans="2:23" outlineLevel="1" x14ac:dyDescent="0.2">
      <c r="B33" s="9" t="s">
        <v>300</v>
      </c>
      <c r="C33" s="132">
        <f>'Statement Y'!C38</f>
        <v>5406</v>
      </c>
      <c r="D33" s="132">
        <f>'Statement Y'!D38</f>
        <v>5822</v>
      </c>
      <c r="E33" s="132">
        <f>'Statement Y'!E38</f>
        <v>10581</v>
      </c>
      <c r="F33" s="132">
        <f>'Statement Y'!F38</f>
        <v>10691</v>
      </c>
      <c r="G33" s="132">
        <f>'Statement Y'!G38</f>
        <v>10742</v>
      </c>
      <c r="H33" s="132">
        <f>'Statement Y'!H38</f>
        <v>12668</v>
      </c>
      <c r="I33" s="132">
        <f>'Statement Y'!I38</f>
        <v>12787</v>
      </c>
      <c r="J33" s="132">
        <f>'Statement Y'!J38</f>
        <v>12805</v>
      </c>
      <c r="K33" s="132">
        <f>'Statement Y'!K38</f>
        <v>12788</v>
      </c>
      <c r="L33" s="132">
        <f>'Statement Y'!L38</f>
        <v>12857</v>
      </c>
      <c r="N33" s="132">
        <f>'Statement Q'!C34</f>
        <v>0</v>
      </c>
      <c r="O33" s="132">
        <f>'Statement Q'!D34</f>
        <v>0</v>
      </c>
      <c r="P33" s="132">
        <f>'Statement Q'!E34</f>
        <v>0</v>
      </c>
      <c r="Q33" s="132">
        <f>'Statement Q'!F34</f>
        <v>0</v>
      </c>
      <c r="R33" s="132">
        <f>'Statement Q'!G34</f>
        <v>0</v>
      </c>
      <c r="S33" s="132">
        <f>'Statement Q'!H34</f>
        <v>0</v>
      </c>
      <c r="T33" s="132">
        <f>'Statement Q'!I34</f>
        <v>12857</v>
      </c>
      <c r="U33" s="132">
        <f>'Statement Q'!J34</f>
        <v>12869</v>
      </c>
      <c r="W33" s="132">
        <f t="shared" si="3"/>
        <v>12869</v>
      </c>
    </row>
    <row r="34" spans="2:23" outlineLevel="1" x14ac:dyDescent="0.2">
      <c r="B34" s="9" t="s">
        <v>301</v>
      </c>
      <c r="C34" s="132">
        <f>'Statement Y'!C39</f>
        <v>414</v>
      </c>
      <c r="D34" s="132">
        <f>'Statement Y'!D39</f>
        <v>386</v>
      </c>
      <c r="E34" s="132">
        <f>'Statement Y'!E39</f>
        <v>2069</v>
      </c>
      <c r="F34" s="132">
        <f>'Statement Y'!F39</f>
        <v>1721</v>
      </c>
      <c r="G34" s="132">
        <f>'Statement Y'!G39</f>
        <v>1359</v>
      </c>
      <c r="H34" s="132">
        <f>'Statement Y'!H39</f>
        <v>1820</v>
      </c>
      <c r="I34" s="132">
        <f>'Statement Y'!I39</f>
        <v>1449</v>
      </c>
      <c r="J34" s="132">
        <f>'Statement Y'!J39</f>
        <v>1088</v>
      </c>
      <c r="K34" s="132">
        <f>'Statement Y'!K39</f>
        <v>782</v>
      </c>
      <c r="L34" s="132">
        <f>'Statement Y'!L39</f>
        <v>495</v>
      </c>
      <c r="N34" s="132"/>
      <c r="O34" s="132"/>
      <c r="P34" s="132"/>
      <c r="Q34" s="132"/>
      <c r="R34" s="132"/>
      <c r="S34" s="132"/>
      <c r="T34" s="132">
        <f>'Statement Q'!I35</f>
        <v>495</v>
      </c>
      <c r="U34" s="132">
        <f>'Statement Q'!J35</f>
        <v>454</v>
      </c>
      <c r="W34" s="132">
        <f t="shared" si="3"/>
        <v>454</v>
      </c>
    </row>
    <row r="35" spans="2:23" outlineLevel="1" x14ac:dyDescent="0.2">
      <c r="B35" s="9" t="s">
        <v>302</v>
      </c>
      <c r="C35" s="132">
        <f>'Statement Y'!C40</f>
        <v>0</v>
      </c>
      <c r="D35" s="132">
        <f>'Statement Y'!D40</f>
        <v>0</v>
      </c>
      <c r="E35" s="132">
        <f>'Statement Y'!E40</f>
        <v>0</v>
      </c>
      <c r="F35" s="132">
        <f>'Statement Y'!F40</f>
        <v>0</v>
      </c>
      <c r="G35" s="132">
        <f>'Statement Y'!G40</f>
        <v>1370</v>
      </c>
      <c r="H35" s="132">
        <f>'Statement Y'!H40</f>
        <v>1085</v>
      </c>
      <c r="I35" s="132">
        <f>'Statement Y'!I40</f>
        <v>777</v>
      </c>
      <c r="J35" s="132">
        <f>'Statement Y'!J40</f>
        <v>1191</v>
      </c>
      <c r="K35" s="132">
        <f>'Statement Y'!K40</f>
        <v>1657</v>
      </c>
      <c r="L35" s="132">
        <f>'Statement Y'!L40</f>
        <v>2186</v>
      </c>
      <c r="N35" s="132"/>
      <c r="O35" s="132"/>
      <c r="P35" s="132"/>
      <c r="Q35" s="132"/>
      <c r="R35" s="132"/>
      <c r="S35" s="132"/>
      <c r="T35" s="132">
        <f>'Statement Q'!I36</f>
        <v>2186</v>
      </c>
      <c r="U35" s="132">
        <f>'Statement Q'!J36</f>
        <v>2138</v>
      </c>
      <c r="W35" s="132">
        <f t="shared" si="3"/>
        <v>2138</v>
      </c>
    </row>
    <row r="36" spans="2:23" outlineLevel="1" x14ac:dyDescent="0.2">
      <c r="B36" s="9" t="s">
        <v>24</v>
      </c>
      <c r="C36" s="132">
        <f>'Statement Y'!C41</f>
        <v>220</v>
      </c>
      <c r="D36" s="132">
        <f>'Statement Y'!D41</f>
        <v>144</v>
      </c>
      <c r="E36" s="132">
        <f>'Statement Y'!E41</f>
        <v>187</v>
      </c>
      <c r="F36" s="132">
        <f>'Statement Y'!F41</f>
        <v>563</v>
      </c>
      <c r="G36" s="132">
        <f>'Statement Y'!G41</f>
        <v>663</v>
      </c>
      <c r="H36" s="132">
        <f>'Statement Y'!H41</f>
        <v>883</v>
      </c>
      <c r="I36" s="132">
        <f>'Statement Y'!I41</f>
        <v>841</v>
      </c>
      <c r="J36" s="132">
        <f>'Statement Y'!J41</f>
        <v>1223</v>
      </c>
      <c r="K36" s="132">
        <f>'Statement Y'!K41</f>
        <v>1554</v>
      </c>
      <c r="L36" s="132">
        <f>'Statement Y'!L41</f>
        <v>1610</v>
      </c>
      <c r="N36" s="132"/>
      <c r="O36" s="132"/>
      <c r="P36" s="132"/>
      <c r="Q36" s="132"/>
      <c r="R36" s="132"/>
      <c r="S36" s="132"/>
      <c r="T36" s="132">
        <f>'Statement Q'!I37</f>
        <v>1610</v>
      </c>
      <c r="U36" s="132">
        <f>'Statement Q'!J37</f>
        <v>1700</v>
      </c>
      <c r="W36" s="132">
        <f t="shared" si="3"/>
        <v>1700</v>
      </c>
    </row>
    <row r="37" spans="2:23" outlineLevel="1" x14ac:dyDescent="0.2">
      <c r="B37" s="11" t="s">
        <v>25</v>
      </c>
      <c r="C37" s="155">
        <f>'Statement Y'!C42</f>
        <v>6856</v>
      </c>
      <c r="D37" s="155">
        <f>'Statement Y'!D42</f>
        <v>7289</v>
      </c>
      <c r="E37" s="155">
        <f>'Statement Y'!E42</f>
        <v>13912</v>
      </c>
      <c r="F37" s="155">
        <f>'Statement Y'!F42</f>
        <v>14268</v>
      </c>
      <c r="G37" s="155">
        <f>'Statement Y'!G42</f>
        <v>16138</v>
      </c>
      <c r="H37" s="155">
        <f>'Statement Y'!H42</f>
        <v>18572</v>
      </c>
      <c r="I37" s="155">
        <f>'Statement Y'!I42</f>
        <v>18169</v>
      </c>
      <c r="J37" s="155">
        <f>'Statement Y'!J42</f>
        <v>18695</v>
      </c>
      <c r="K37" s="155">
        <f>'Statement Y'!K42</f>
        <v>18998</v>
      </c>
      <c r="L37" s="155">
        <f>'Statement Y'!L42</f>
        <v>19333</v>
      </c>
      <c r="N37" s="155">
        <f>'Statement Q'!C38</f>
        <v>0</v>
      </c>
      <c r="O37" s="155">
        <f>'Statement Q'!D38</f>
        <v>0</v>
      </c>
      <c r="P37" s="155">
        <f>'Statement Q'!E38</f>
        <v>0</v>
      </c>
      <c r="Q37" s="155">
        <f>'Statement Q'!F38</f>
        <v>0</v>
      </c>
      <c r="R37" s="155">
        <f>'Statement Q'!G38</f>
        <v>0</v>
      </c>
      <c r="S37" s="155">
        <f>'Statement Q'!H38</f>
        <v>0</v>
      </c>
      <c r="T37" s="155">
        <f>'Statement Q'!I38</f>
        <v>15042</v>
      </c>
      <c r="U37" s="155">
        <f>'Statement Q'!J38</f>
        <v>15026</v>
      </c>
      <c r="W37" s="155">
        <f t="shared" si="3"/>
        <v>15026</v>
      </c>
    </row>
    <row r="38" spans="2:23" outlineLevel="1" x14ac:dyDescent="0.2">
      <c r="B38" s="17" t="s">
        <v>26</v>
      </c>
      <c r="C38" s="152">
        <f>'Statement Y'!C43</f>
        <v>12697</v>
      </c>
      <c r="D38" s="152">
        <f>'Statement Y'!D43</f>
        <v>14536</v>
      </c>
      <c r="E38" s="152">
        <f>'Statement Y'!E43</f>
        <v>18769</v>
      </c>
      <c r="F38" s="152">
        <f>'Statement Y'!F43</f>
        <v>20762</v>
      </c>
      <c r="G38" s="152">
        <f>'Statement Y'!G43</f>
        <v>24284</v>
      </c>
      <c r="H38" s="152">
        <f>'Statement Y'!H43</f>
        <v>27241</v>
      </c>
      <c r="I38" s="152">
        <f>'Statement Y'!I43</f>
        <v>27165</v>
      </c>
      <c r="J38" s="152">
        <f>'Statement Y'!J43</f>
        <v>29779</v>
      </c>
      <c r="K38" s="152">
        <f>'Statement Y'!K43</f>
        <v>30230</v>
      </c>
      <c r="L38" s="152">
        <f>'Statement Y'!L43</f>
        <v>29496</v>
      </c>
      <c r="N38" s="152">
        <f>'Statement Q'!C39</f>
        <v>0</v>
      </c>
      <c r="O38" s="152">
        <f>'Statement Q'!D39</f>
        <v>0</v>
      </c>
      <c r="P38" s="152">
        <f>'Statement Q'!E39</f>
        <v>0</v>
      </c>
      <c r="Q38" s="152">
        <f>'Statement Q'!F39</f>
        <v>0</v>
      </c>
      <c r="R38" s="152">
        <f>'Statement Q'!G39</f>
        <v>0</v>
      </c>
      <c r="S38" s="152">
        <f>'Statement Q'!H39</f>
        <v>0</v>
      </c>
      <c r="T38" s="152">
        <f>'Statement Q'!I39</f>
        <v>29496</v>
      </c>
      <c r="U38" s="152">
        <f>'Statement Q'!J39</f>
        <v>29704</v>
      </c>
      <c r="W38" s="152">
        <f t="shared" si="3"/>
        <v>29704</v>
      </c>
    </row>
    <row r="39" spans="2:23" outlineLevel="1" x14ac:dyDescent="0.2">
      <c r="B39" s="9" t="s">
        <v>27</v>
      </c>
      <c r="C39" s="132">
        <f>'Statement Y'!C44</f>
        <v>88</v>
      </c>
      <c r="D39" s="132">
        <f>'Statement Y'!D44</f>
        <v>114</v>
      </c>
      <c r="E39" s="132">
        <f>'Statement Y'!E44</f>
        <v>186</v>
      </c>
      <c r="F39" s="132">
        <f>'Statement Y'!F44</f>
        <v>209</v>
      </c>
      <c r="G39" s="132">
        <f>'Statement Y'!G44</f>
        <v>306</v>
      </c>
      <c r="H39" s="132">
        <f>'Statement Y'!H44</f>
        <v>312</v>
      </c>
      <c r="I39" s="132">
        <f>'Statement Y'!I44</f>
        <v>379</v>
      </c>
      <c r="J39" s="132">
        <f>'Statement Y'!J44</f>
        <v>314</v>
      </c>
      <c r="K39" s="132">
        <f>'Statement Y'!K44</f>
        <v>361</v>
      </c>
      <c r="L39" s="132">
        <f>'Statement Y'!L44</f>
        <v>417</v>
      </c>
      <c r="N39" s="132">
        <f>'Statement Q'!C40</f>
        <v>0</v>
      </c>
      <c r="O39" s="132">
        <f>'Statement Q'!D40</f>
        <v>0</v>
      </c>
      <c r="P39" s="132">
        <f>'Statement Q'!E40</f>
        <v>0</v>
      </c>
      <c r="Q39" s="132">
        <f>'Statement Q'!F40</f>
        <v>0</v>
      </c>
      <c r="R39" s="132">
        <f>'Statement Q'!G40</f>
        <v>0</v>
      </c>
      <c r="S39" s="132">
        <f>'Statement Q'!H40</f>
        <v>0</v>
      </c>
      <c r="T39" s="132">
        <f>'Statement Q'!I40</f>
        <v>417</v>
      </c>
      <c r="U39" s="132">
        <f>'Statement Q'!J40</f>
        <v>419</v>
      </c>
      <c r="W39" s="132">
        <f t="shared" si="3"/>
        <v>419</v>
      </c>
    </row>
    <row r="40" spans="2:23" outlineLevel="1" x14ac:dyDescent="0.2">
      <c r="B40" s="9" t="s">
        <v>303</v>
      </c>
      <c r="C40" s="132">
        <f>'Statement Y'!C45</f>
        <v>740</v>
      </c>
      <c r="D40" s="132">
        <f>'Statement Y'!D45</f>
        <v>994</v>
      </c>
      <c r="E40" s="132">
        <f>'Statement Y'!E45</f>
        <v>1163</v>
      </c>
      <c r="F40" s="132">
        <f>'Statement Y'!F45</f>
        <v>1399</v>
      </c>
      <c r="G40" s="132">
        <f>'Statement Y'!G45</f>
        <v>1422</v>
      </c>
      <c r="H40" s="132">
        <f>'Statement Y'!H45</f>
        <v>1736</v>
      </c>
      <c r="I40" s="132">
        <f>'Statement Y'!I45</f>
        <v>1790</v>
      </c>
      <c r="J40" s="132">
        <f>'Statement Y'!J45</f>
        <v>1942</v>
      </c>
      <c r="K40" s="132">
        <f>'Statement Y'!K45</f>
        <v>2336</v>
      </c>
      <c r="L40" s="132">
        <f>'Statement Y'!L45</f>
        <v>2648</v>
      </c>
      <c r="N40" s="132">
        <f>'Statement Q'!C41</f>
        <v>0</v>
      </c>
      <c r="O40" s="132">
        <f>'Statement Q'!D41</f>
        <v>0</v>
      </c>
      <c r="P40" s="132">
        <f>'Statement Q'!E41</f>
        <v>0</v>
      </c>
      <c r="Q40" s="132">
        <f>'Statement Q'!F41</f>
        <v>0</v>
      </c>
      <c r="R40" s="132">
        <f>'Statement Q'!G41</f>
        <v>0</v>
      </c>
      <c r="S40" s="132">
        <f>'Statement Q'!H41</f>
        <v>0</v>
      </c>
      <c r="T40" s="132">
        <f>'Statement Q'!I41</f>
        <v>2648</v>
      </c>
      <c r="U40" s="132">
        <f>'Statement Q'!J41</f>
        <v>2257</v>
      </c>
      <c r="W40" s="132">
        <f t="shared" si="3"/>
        <v>2257</v>
      </c>
    </row>
    <row r="41" spans="2:23" outlineLevel="1" x14ac:dyDescent="0.2">
      <c r="B41" s="9" t="s">
        <v>137</v>
      </c>
      <c r="C41" s="132">
        <f>'Statement Y'!C46</f>
        <v>0</v>
      </c>
      <c r="D41" s="132">
        <f>'Statement Y'!D46</f>
        <v>0</v>
      </c>
      <c r="E41" s="132">
        <f>'Statement Y'!E46</f>
        <v>0</v>
      </c>
      <c r="F41" s="132">
        <f>'Statement Y'!F46</f>
        <v>3149</v>
      </c>
      <c r="G41" s="132">
        <f>'Statement Y'!G46</f>
        <v>0</v>
      </c>
      <c r="H41" s="132">
        <f>'Statement Y'!H46</f>
        <v>0</v>
      </c>
      <c r="I41" s="132">
        <f>'Statement Y'!I46</f>
        <v>500</v>
      </c>
      <c r="J41" s="132">
        <f>'Statement Y'!J46</f>
        <v>0</v>
      </c>
      <c r="K41" s="132">
        <f>'Statement Y'!K46</f>
        <v>1499</v>
      </c>
      <c r="L41" s="132">
        <f>'Statement Y'!L46</f>
        <v>0</v>
      </c>
      <c r="N41" s="132">
        <f>'Statement Q'!C42</f>
        <v>0</v>
      </c>
      <c r="O41" s="132">
        <f>'Statement Q'!D42</f>
        <v>0</v>
      </c>
      <c r="P41" s="132">
        <f>'Statement Q'!E42</f>
        <v>0</v>
      </c>
      <c r="Q41" s="132">
        <f>'Statement Q'!F42</f>
        <v>0</v>
      </c>
      <c r="R41" s="132">
        <f>'Statement Q'!G42</f>
        <v>0</v>
      </c>
      <c r="S41" s="132">
        <f>'Statement Q'!H42</f>
        <v>0</v>
      </c>
      <c r="T41" s="132">
        <f>'Statement Q'!I42</f>
        <v>0</v>
      </c>
      <c r="U41" s="132">
        <f>'Statement Q'!J42</f>
        <v>849</v>
      </c>
      <c r="W41" s="132">
        <f t="shared" si="3"/>
        <v>849</v>
      </c>
    </row>
    <row r="42" spans="2:23" outlineLevel="1" x14ac:dyDescent="0.2">
      <c r="B42" s="9" t="s">
        <v>304</v>
      </c>
      <c r="C42" s="132">
        <f>'Statement Y'!C47</f>
        <v>1946</v>
      </c>
      <c r="D42" s="132">
        <f>'Statement Y'!D47</f>
        <v>2406</v>
      </c>
      <c r="E42" s="132">
        <f>'Statement Y'!E47</f>
        <v>2916</v>
      </c>
      <c r="F42" s="132">
        <f>'Statement Y'!F47</f>
        <v>3378</v>
      </c>
      <c r="G42" s="132">
        <f>'Statement Y'!G47</f>
        <v>3629</v>
      </c>
      <c r="H42" s="132">
        <f>'Statement Y'!H47</f>
        <v>4733</v>
      </c>
      <c r="I42" s="132">
        <f>'Statement Y'!I47</f>
        <v>5297</v>
      </c>
      <c r="J42" s="132">
        <f>'Statement Y'!J47</f>
        <v>5837</v>
      </c>
      <c r="K42" s="132">
        <f>'Statement Y'!K47</f>
        <v>6131</v>
      </c>
      <c r="L42" s="132">
        <f>'Statement Y'!L47</f>
        <v>6905</v>
      </c>
      <c r="N42" s="132">
        <f>'Statement Q'!C43</f>
        <v>0</v>
      </c>
      <c r="O42" s="132">
        <f>'Statement Q'!D43</f>
        <v>0</v>
      </c>
      <c r="P42" s="132">
        <f>'Statement Q'!E43</f>
        <v>0</v>
      </c>
      <c r="Q42" s="132">
        <f>'Statement Q'!F43</f>
        <v>0</v>
      </c>
      <c r="R42" s="132">
        <f>'Statement Q'!G43</f>
        <v>0</v>
      </c>
      <c r="S42" s="132">
        <f>'Statement Q'!H43</f>
        <v>0</v>
      </c>
      <c r="T42" s="132">
        <f>'Statement Q'!I43</f>
        <v>6905</v>
      </c>
      <c r="U42" s="132">
        <f>'Statement Q'!J43</f>
        <v>7275</v>
      </c>
      <c r="W42" s="132">
        <f t="shared" si="3"/>
        <v>7275</v>
      </c>
    </row>
    <row r="43" spans="2:23" outlineLevel="1" x14ac:dyDescent="0.2">
      <c r="B43" s="9" t="s">
        <v>305</v>
      </c>
      <c r="C43" s="132">
        <f>'Statement Y'!C48</f>
        <v>38</v>
      </c>
      <c r="D43" s="132">
        <f>'Statement Y'!D48</f>
        <v>14</v>
      </c>
      <c r="E43" s="132">
        <f>'Statement Y'!E48</f>
        <v>36</v>
      </c>
      <c r="F43" s="132">
        <f>'Statement Y'!F48</f>
        <v>56</v>
      </c>
      <c r="G43" s="132">
        <f>'Statement Y'!G48</f>
        <v>63</v>
      </c>
      <c r="H43" s="132">
        <f>'Statement Y'!H48</f>
        <v>54</v>
      </c>
      <c r="I43" s="132">
        <f>'Statement Y'!I48</f>
        <v>75</v>
      </c>
      <c r="J43" s="132">
        <f>'Statement Y'!J48</f>
        <v>85</v>
      </c>
      <c r="K43" s="132">
        <f>'Statement Y'!K48</f>
        <v>119</v>
      </c>
      <c r="L43" s="132">
        <f>'Statement Y'!L48</f>
        <v>153</v>
      </c>
      <c r="N43" s="132">
        <f>'Statement Q'!C45</f>
        <v>0</v>
      </c>
      <c r="O43" s="132">
        <f>'Statement Q'!D45</f>
        <v>0</v>
      </c>
      <c r="P43" s="132">
        <f>'Statement Q'!E45</f>
        <v>0</v>
      </c>
      <c r="Q43" s="132">
        <f>'Statement Q'!F45</f>
        <v>0</v>
      </c>
      <c r="R43" s="132">
        <f>'Statement Q'!G45</f>
        <v>0</v>
      </c>
      <c r="S43" s="132">
        <f>'Statement Q'!H45</f>
        <v>0</v>
      </c>
      <c r="T43" s="132">
        <f>'Statement Q'!I45</f>
        <v>77</v>
      </c>
      <c r="U43" s="132">
        <f>'Statement Q'!J45</f>
        <v>84</v>
      </c>
      <c r="W43" s="132">
        <f>U43</f>
        <v>84</v>
      </c>
    </row>
    <row r="44" spans="2:23" outlineLevel="1" x14ac:dyDescent="0.2">
      <c r="B44" s="9" t="s">
        <v>306</v>
      </c>
      <c r="C44" s="132">
        <f>'Statement Y'!C49</f>
        <v>0</v>
      </c>
      <c r="D44" s="132">
        <f>'Statement Y'!D49</f>
        <v>0</v>
      </c>
      <c r="E44" s="132">
        <f>'Statement Y'!E49</f>
        <v>0</v>
      </c>
      <c r="F44" s="132">
        <f>'Statement Y'!F49</f>
        <v>0</v>
      </c>
      <c r="G44" s="132">
        <f>'Statement Y'!G49</f>
        <v>92</v>
      </c>
      <c r="H44" s="132">
        <f>'Statement Y'!H49</f>
        <v>97</v>
      </c>
      <c r="I44" s="132">
        <f>'Statement Y'!I49</f>
        <v>87</v>
      </c>
      <c r="J44" s="132">
        <f>'Statement Y'!J49</f>
        <v>73</v>
      </c>
      <c r="K44" s="132">
        <f>'Statement Y'!K49</f>
        <v>75</v>
      </c>
      <c r="L44" s="132">
        <f>'Statement Y'!L49</f>
        <v>77</v>
      </c>
      <c r="N44" s="132"/>
      <c r="O44" s="132"/>
      <c r="P44" s="132"/>
      <c r="Q44" s="132"/>
      <c r="R44" s="132"/>
      <c r="S44" s="132"/>
      <c r="T44" s="132">
        <f>'Statement Q'!I46</f>
        <v>10200</v>
      </c>
      <c r="U44" s="132">
        <f>'Statement Q'!J46</f>
        <v>11390</v>
      </c>
      <c r="W44" s="132">
        <f>U44</f>
        <v>11390</v>
      </c>
    </row>
    <row r="45" spans="2:23" outlineLevel="1" x14ac:dyDescent="0.2">
      <c r="B45" s="11" t="s">
        <v>30</v>
      </c>
      <c r="C45" s="155">
        <f>'Statement Y'!C50</f>
        <v>2812</v>
      </c>
      <c r="D45" s="155">
        <f>'Statement Y'!D50</f>
        <v>3527</v>
      </c>
      <c r="E45" s="155">
        <f>'Statement Y'!E50</f>
        <v>4301</v>
      </c>
      <c r="F45" s="155">
        <f>'Statement Y'!F50</f>
        <v>8191</v>
      </c>
      <c r="G45" s="155">
        <f>'Statement Y'!G50</f>
        <v>5512</v>
      </c>
      <c r="H45" s="155">
        <f>'Statement Y'!H50</f>
        <v>6932</v>
      </c>
      <c r="I45" s="155">
        <f>'Statement Y'!I50</f>
        <v>8128</v>
      </c>
      <c r="J45" s="155">
        <f>'Statement Y'!J50</f>
        <v>8251</v>
      </c>
      <c r="K45" s="155">
        <f>'Statement Y'!K50</f>
        <v>10521</v>
      </c>
      <c r="L45" s="155">
        <f>'Statement Y'!L50</f>
        <v>10200</v>
      </c>
      <c r="N45" s="155">
        <f>'Statement Q'!C46</f>
        <v>0</v>
      </c>
      <c r="O45" s="155">
        <f>'Statement Q'!D46</f>
        <v>0</v>
      </c>
      <c r="P45" s="155">
        <f>'Statement Q'!E46</f>
        <v>0</v>
      </c>
      <c r="Q45" s="155">
        <f>'Statement Q'!F46</f>
        <v>0</v>
      </c>
      <c r="R45" s="155">
        <f>'Statement Q'!G46</f>
        <v>0</v>
      </c>
      <c r="S45" s="155">
        <f>'Statement Q'!H46</f>
        <v>0</v>
      </c>
      <c r="T45" s="155">
        <f>'Statement Q'!I46</f>
        <v>10200</v>
      </c>
      <c r="U45" s="155">
        <f>'Statement Q'!J46</f>
        <v>11390</v>
      </c>
      <c r="W45" s="155">
        <f t="shared" si="3"/>
        <v>11390</v>
      </c>
    </row>
    <row r="46" spans="2:23" outlineLevel="1" x14ac:dyDescent="0.2">
      <c r="B46" s="9" t="s">
        <v>137</v>
      </c>
      <c r="C46" s="132">
        <f>'Statement Y'!C51</f>
        <v>1892</v>
      </c>
      <c r="D46" s="132">
        <f>'Statement Y'!D51</f>
        <v>1881</v>
      </c>
      <c r="E46" s="132">
        <f>'Statement Y'!E51</f>
        <v>4125</v>
      </c>
      <c r="F46" s="132">
        <f>'Statement Y'!F51</f>
        <v>989</v>
      </c>
      <c r="G46" s="132">
        <f>'Statement Y'!G51</f>
        <v>4117</v>
      </c>
      <c r="H46" s="132">
        <f>'Statement Y'!H51</f>
        <v>4123</v>
      </c>
      <c r="I46" s="132">
        <f>'Statement Y'!I51</f>
        <v>3629</v>
      </c>
      <c r="J46" s="132">
        <f>'Statement Y'!J51</f>
        <v>3634</v>
      </c>
      <c r="K46" s="132">
        <f>'Statement Y'!K51</f>
        <v>4129</v>
      </c>
      <c r="L46" s="132">
        <f>'Statement Y'!L51</f>
        <v>6210</v>
      </c>
      <c r="N46" s="132">
        <f>'Statement Q'!C47</f>
        <v>0</v>
      </c>
      <c r="O46" s="132">
        <f>'Statement Q'!D47</f>
        <v>0</v>
      </c>
      <c r="P46" s="132">
        <f>'Statement Q'!E47</f>
        <v>0</v>
      </c>
      <c r="Q46" s="132">
        <f>'Statement Q'!F47</f>
        <v>0</v>
      </c>
      <c r="R46" s="132">
        <f>'Statement Q'!G47</f>
        <v>0</v>
      </c>
      <c r="S46" s="132">
        <f>'Statement Q'!H47</f>
        <v>0</v>
      </c>
      <c r="T46" s="132">
        <f>'Statement Q'!I47</f>
        <v>6210</v>
      </c>
      <c r="U46" s="132">
        <f>'Statement Q'!J47</f>
        <v>5379</v>
      </c>
      <c r="W46" s="132">
        <f t="shared" si="3"/>
        <v>5379</v>
      </c>
    </row>
    <row r="47" spans="2:23" outlineLevel="1" x14ac:dyDescent="0.2">
      <c r="B47" s="9" t="s">
        <v>304</v>
      </c>
      <c r="C47" s="132">
        <f>'Statement Y'!C52</f>
        <v>69</v>
      </c>
      <c r="D47" s="132">
        <f>'Statement Y'!D52</f>
        <v>89</v>
      </c>
      <c r="E47" s="132">
        <f>'Statement Y'!E52</f>
        <v>138</v>
      </c>
      <c r="F47" s="132">
        <f>'Statement Y'!F52</f>
        <v>123</v>
      </c>
      <c r="G47" s="132">
        <f>'Statement Y'!G52</f>
        <v>130</v>
      </c>
      <c r="H47" s="132">
        <f>'Statement Y'!H52</f>
        <v>145</v>
      </c>
      <c r="I47" s="132">
        <f>'Statement Y'!I52</f>
        <v>117</v>
      </c>
      <c r="J47" s="132">
        <f>'Statement Y'!J52</f>
        <v>113</v>
      </c>
      <c r="K47" s="132">
        <f>'Statement Y'!K52</f>
        <v>128</v>
      </c>
      <c r="L47" s="132">
        <f>'Statement Y'!L52</f>
        <v>125</v>
      </c>
      <c r="N47" s="132">
        <f>'Statement Q'!C50</f>
        <v>0</v>
      </c>
      <c r="O47" s="132">
        <f>'Statement Q'!D50</f>
        <v>0</v>
      </c>
      <c r="P47" s="132">
        <f>'Statement Q'!E50</f>
        <v>0</v>
      </c>
      <c r="Q47" s="132">
        <f>'Statement Q'!F50</f>
        <v>0</v>
      </c>
      <c r="R47" s="132">
        <f>'Statement Q'!G50</f>
        <v>0</v>
      </c>
      <c r="S47" s="132">
        <f>'Statement Q'!H50</f>
        <v>0</v>
      </c>
      <c r="T47" s="132">
        <f>'Statement Q'!I48</f>
        <v>125</v>
      </c>
      <c r="U47" s="132">
        <f>'Statement Q'!J48</f>
        <v>95</v>
      </c>
      <c r="W47" s="132">
        <f t="shared" si="3"/>
        <v>95</v>
      </c>
    </row>
    <row r="48" spans="2:23" outlineLevel="1" x14ac:dyDescent="0.2">
      <c r="B48" s="9" t="s">
        <v>305</v>
      </c>
      <c r="C48" s="132">
        <f>'Statement Y'!C53</f>
        <v>184</v>
      </c>
      <c r="D48" s="132">
        <f>'Statement Y'!D53</f>
        <v>173</v>
      </c>
      <c r="E48" s="132">
        <f>'Statement Y'!E53</f>
        <v>644</v>
      </c>
      <c r="F48" s="132">
        <f>'Statement Y'!F53</f>
        <v>616</v>
      </c>
      <c r="G48" s="132">
        <f>'Statement Y'!G53</f>
        <v>529</v>
      </c>
      <c r="H48" s="132">
        <f>'Statement Y'!H53</f>
        <v>534</v>
      </c>
      <c r="I48" s="132">
        <f>'Statement Y'!I53</f>
        <v>530</v>
      </c>
      <c r="J48" s="132">
        <f>'Statement Y'!J53</f>
        <v>514</v>
      </c>
      <c r="K48" s="132">
        <f>'Statement Y'!K53</f>
        <v>548</v>
      </c>
      <c r="L48" s="132">
        <f>'Statement Y'!L53</f>
        <v>469</v>
      </c>
      <c r="N48" s="132"/>
      <c r="O48" s="132"/>
      <c r="P48" s="132"/>
      <c r="Q48" s="132"/>
      <c r="R48" s="132"/>
      <c r="S48" s="132"/>
      <c r="T48" s="132">
        <f>'Statement Q'!I49</f>
        <v>469</v>
      </c>
      <c r="U48" s="132">
        <f>'Statement Q'!J49</f>
        <v>487</v>
      </c>
      <c r="W48" s="132">
        <f t="shared" si="3"/>
        <v>487</v>
      </c>
    </row>
    <row r="49" spans="2:23" outlineLevel="1" x14ac:dyDescent="0.2">
      <c r="B49" s="9" t="s">
        <v>302</v>
      </c>
      <c r="C49" s="132">
        <f>'Statement Y'!C54</f>
        <v>218</v>
      </c>
      <c r="D49" s="132">
        <f>'Statement Y'!D54</f>
        <v>280</v>
      </c>
      <c r="E49" s="132">
        <f>'Statement Y'!E54</f>
        <v>47</v>
      </c>
      <c r="F49" s="132">
        <f>'Statement Y'!F54</f>
        <v>140</v>
      </c>
      <c r="G49" s="132">
        <f>'Statement Y'!G54</f>
        <v>10</v>
      </c>
      <c r="H49" s="132">
        <f>'Statement Y'!H54</f>
        <v>5</v>
      </c>
      <c r="I49" s="132">
        <f>'Statement Y'!I54</f>
        <v>0</v>
      </c>
      <c r="J49" s="132">
        <f>'Statement Y'!J54</f>
        <v>0</v>
      </c>
      <c r="K49" s="132">
        <f>'Statement Y'!K54</f>
        <v>0</v>
      </c>
      <c r="L49" s="132">
        <f>'Statement Y'!L54</f>
        <v>0</v>
      </c>
      <c r="N49" s="132"/>
      <c r="O49" s="132"/>
      <c r="P49" s="132"/>
      <c r="Q49" s="132"/>
      <c r="R49" s="132"/>
      <c r="S49" s="132"/>
      <c r="T49" s="132">
        <f>'Statement Q'!I50</f>
        <v>0</v>
      </c>
      <c r="U49" s="132">
        <f>'Statement Q'!J50</f>
        <v>0</v>
      </c>
      <c r="W49" s="132">
        <f t="shared" si="3"/>
        <v>0</v>
      </c>
    </row>
    <row r="50" spans="2:23" outlineLevel="1" x14ac:dyDescent="0.2">
      <c r="B50" s="9" t="s">
        <v>306</v>
      </c>
      <c r="C50" s="132">
        <f>'Statement Y'!C55</f>
        <v>0</v>
      </c>
      <c r="D50" s="132">
        <f>'Statement Y'!D55</f>
        <v>0</v>
      </c>
      <c r="E50" s="132">
        <f>'Statement Y'!E55</f>
        <v>0</v>
      </c>
      <c r="F50" s="132">
        <f>'Statement Y'!F55</f>
        <v>0</v>
      </c>
      <c r="G50" s="132">
        <f>'Statement Y'!G55</f>
        <v>499</v>
      </c>
      <c r="H50" s="132">
        <f>'Statement Y'!H55</f>
        <v>453</v>
      </c>
      <c r="I50" s="132">
        <f>'Statement Y'!I55</f>
        <v>417</v>
      </c>
      <c r="J50" s="132">
        <f>'Statement Y'!J55</f>
        <v>373</v>
      </c>
      <c r="K50" s="132">
        <f>'Statement Y'!K55</f>
        <v>353</v>
      </c>
      <c r="L50" s="132">
        <f>'Statement Y'!L55</f>
        <v>361</v>
      </c>
      <c r="N50" s="132"/>
      <c r="O50" s="132"/>
      <c r="P50" s="132"/>
      <c r="Q50" s="132"/>
      <c r="R50" s="132"/>
      <c r="S50" s="132"/>
      <c r="T50" s="132">
        <f>'Statement Q'!I51</f>
        <v>361</v>
      </c>
      <c r="U50" s="132">
        <f>'Statement Q'!J51</f>
        <v>344</v>
      </c>
      <c r="W50" s="132">
        <f t="shared" si="3"/>
        <v>344</v>
      </c>
    </row>
    <row r="51" spans="2:23" outlineLevel="1" x14ac:dyDescent="0.2">
      <c r="B51" s="9" t="s">
        <v>220</v>
      </c>
      <c r="C51" s="132">
        <f>'Statement Y'!C56</f>
        <v>97</v>
      </c>
      <c r="D51" s="132">
        <f>'Statement Y'!D56</f>
        <v>125</v>
      </c>
      <c r="E51" s="132">
        <f>'Statement Y'!E56</f>
        <v>152</v>
      </c>
      <c r="F51" s="132">
        <f>'Statement Y'!F56</f>
        <v>173</v>
      </c>
      <c r="G51" s="132">
        <f>'Statement Y'!G56</f>
        <v>223</v>
      </c>
      <c r="H51" s="132">
        <f>'Statement Y'!H56</f>
        <v>252</v>
      </c>
      <c r="I51" s="132">
        <f>'Statement Y'!I56</f>
        <v>293</v>
      </c>
      <c r="J51" s="132">
        <f>'Statement Y'!J56</f>
        <v>376</v>
      </c>
      <c r="K51" s="132">
        <f>'Statement Y'!K56</f>
        <v>446</v>
      </c>
      <c r="L51" s="132">
        <f>'Statement Y'!L56</f>
        <v>508</v>
      </c>
      <c r="N51" s="132"/>
      <c r="O51" s="132"/>
      <c r="P51" s="132"/>
      <c r="Q51" s="132"/>
      <c r="R51" s="132"/>
      <c r="S51" s="132"/>
      <c r="T51" s="132">
        <f>'Statement Q'!I52</f>
        <v>508</v>
      </c>
      <c r="U51" s="132">
        <f>'Statement Q'!J52</f>
        <v>576</v>
      </c>
      <c r="W51" s="132">
        <f t="shared" si="3"/>
        <v>576</v>
      </c>
    </row>
    <row r="52" spans="2:23" outlineLevel="1" x14ac:dyDescent="0.2">
      <c r="B52" s="11" t="s">
        <v>28</v>
      </c>
      <c r="C52" s="155">
        <f>'Statement Y'!C57</f>
        <v>2460</v>
      </c>
      <c r="D52" s="155">
        <f>'Statement Y'!D57</f>
        <v>2548</v>
      </c>
      <c r="E52" s="155">
        <f>'Statement Y'!E57</f>
        <v>5106</v>
      </c>
      <c r="F52" s="155">
        <f>'Statement Y'!F57</f>
        <v>2041</v>
      </c>
      <c r="G52" s="155">
        <f>'Statement Y'!G57</f>
        <v>5508</v>
      </c>
      <c r="H52" s="155">
        <f>'Statement Y'!H57</f>
        <v>5512</v>
      </c>
      <c r="I52" s="155">
        <f>'Statement Y'!I57</f>
        <v>4986</v>
      </c>
      <c r="J52" s="155">
        <f>'Statement Y'!J57</f>
        <v>5010</v>
      </c>
      <c r="K52" s="155">
        <f>'Statement Y'!K57</f>
        <v>5604</v>
      </c>
      <c r="L52" s="155">
        <f>'Statement Y'!L57</f>
        <v>7673</v>
      </c>
      <c r="N52" s="155">
        <f>'Statement Q'!C53</f>
        <v>0</v>
      </c>
      <c r="O52" s="155">
        <f>'Statement Q'!D53</f>
        <v>0</v>
      </c>
      <c r="P52" s="155">
        <f>'Statement Q'!E53</f>
        <v>0</v>
      </c>
      <c r="Q52" s="155">
        <f>'Statement Q'!F53</f>
        <v>0</v>
      </c>
      <c r="R52" s="155">
        <f>'Statement Q'!G53</f>
        <v>0</v>
      </c>
      <c r="S52" s="155">
        <f>'Statement Q'!H53</f>
        <v>0</v>
      </c>
      <c r="T52" s="155">
        <f>'Statement Q'!I53</f>
        <v>6804</v>
      </c>
      <c r="U52" s="155">
        <f>'Statement Q'!J53</f>
        <v>5961</v>
      </c>
      <c r="W52" s="155">
        <f t="shared" si="3"/>
        <v>5961</v>
      </c>
    </row>
    <row r="53" spans="2:23" outlineLevel="1" x14ac:dyDescent="0.2">
      <c r="B53" s="17" t="s">
        <v>29</v>
      </c>
      <c r="C53" s="152">
        <f>'Statement Y'!C58</f>
        <v>5272</v>
      </c>
      <c r="D53" s="152">
        <f>'Statement Y'!D58</f>
        <v>6076</v>
      </c>
      <c r="E53" s="152">
        <f>'Statement Y'!E58</f>
        <v>9407</v>
      </c>
      <c r="F53" s="152">
        <f>'Statement Y'!F58</f>
        <v>10232</v>
      </c>
      <c r="G53" s="152">
        <f>'Statement Y'!G58</f>
        <v>11020</v>
      </c>
      <c r="H53" s="152">
        <f>'Statement Y'!H58</f>
        <v>12444</v>
      </c>
      <c r="I53" s="152">
        <f>'Statement Y'!I58</f>
        <v>13114</v>
      </c>
      <c r="J53" s="152">
        <f>'Statement Y'!J58</f>
        <v>13261</v>
      </c>
      <c r="K53" s="152">
        <f>'Statement Y'!K58</f>
        <v>16125</v>
      </c>
      <c r="L53" s="152">
        <f>'Statement Y'!L58</f>
        <v>17873</v>
      </c>
      <c r="N53" s="152">
        <f>'Statement Q'!C54</f>
        <v>0</v>
      </c>
      <c r="O53" s="152">
        <f>'Statement Q'!D54</f>
        <v>0</v>
      </c>
      <c r="P53" s="152">
        <f>'Statement Q'!E54</f>
        <v>0</v>
      </c>
      <c r="Q53" s="152">
        <f>'Statement Q'!F54</f>
        <v>0</v>
      </c>
      <c r="R53" s="152">
        <f>'Statement Q'!G54</f>
        <v>0</v>
      </c>
      <c r="S53" s="152">
        <f>'Statement Q'!H54</f>
        <v>0</v>
      </c>
      <c r="T53" s="152">
        <f>'Statement Q'!I54</f>
        <v>17873</v>
      </c>
      <c r="U53" s="152">
        <f>'Statement Q'!J54</f>
        <v>18271</v>
      </c>
      <c r="W53" s="152">
        <f t="shared" si="3"/>
        <v>18271</v>
      </c>
    </row>
    <row r="54" spans="2:23" outlineLevel="1" x14ac:dyDescent="0.2">
      <c r="B54" s="9" t="s">
        <v>307</v>
      </c>
      <c r="C54" s="132">
        <f>'Statement Y'!C59</f>
        <v>4616</v>
      </c>
      <c r="D54" s="132">
        <f>'Statement Y'!D59</f>
        <v>5082</v>
      </c>
      <c r="E54" s="132">
        <f>'Statement Y'!E59</f>
        <v>5685</v>
      </c>
      <c r="F54" s="132">
        <f>'Statement Y'!F59</f>
        <v>6505</v>
      </c>
      <c r="G54" s="132">
        <f>'Statement Y'!G59</f>
        <v>7357</v>
      </c>
      <c r="H54" s="132">
        <f>'Statement Y'!H59</f>
        <v>8428</v>
      </c>
      <c r="I54" s="132">
        <f>'Statement Y'!I59</f>
        <v>9868</v>
      </c>
      <c r="J54" s="132">
        <f>'Statement Y'!J59</f>
        <v>11586</v>
      </c>
      <c r="K54" s="132">
        <f>'Statement Y'!K59</f>
        <v>13419</v>
      </c>
      <c r="L54" s="132">
        <f>'Statement Y'!L59</f>
        <v>15361</v>
      </c>
      <c r="N54" s="132">
        <f>'Statement Q'!C55</f>
        <v>0</v>
      </c>
      <c r="O54" s="132">
        <f>'Statement Q'!D55</f>
        <v>0</v>
      </c>
      <c r="P54" s="132">
        <f>'Statement Q'!E55</f>
        <v>0</v>
      </c>
      <c r="Q54" s="132">
        <f>'Statement Q'!F55</f>
        <v>0</v>
      </c>
      <c r="R54" s="132">
        <f>'Statement Q'!G55</f>
        <v>0</v>
      </c>
      <c r="S54" s="132">
        <f>'Statement Q'!H55</f>
        <v>0</v>
      </c>
      <c r="T54" s="132">
        <f>'Statement Q'!I55</f>
        <v>15361</v>
      </c>
      <c r="U54" s="132">
        <f>'Statement Q'!J55</f>
        <v>15870</v>
      </c>
      <c r="W54" s="132">
        <f t="shared" si="3"/>
        <v>15870</v>
      </c>
    </row>
    <row r="55" spans="2:23" outlineLevel="1" x14ac:dyDescent="0.2">
      <c r="B55" s="9" t="s">
        <v>31</v>
      </c>
      <c r="C55" s="132">
        <f>'Statement Y'!C60</f>
        <v>8115</v>
      </c>
      <c r="D55" s="132">
        <f>'Statement Y'!D60</f>
        <v>9574</v>
      </c>
      <c r="E55" s="132">
        <f>'Statement Y'!E60</f>
        <v>11816</v>
      </c>
      <c r="F55" s="132">
        <f>'Statement Y'!F60</f>
        <v>14828</v>
      </c>
      <c r="G55" s="132">
        <f>'Statement Y'!G60</f>
        <v>19611</v>
      </c>
      <c r="H55" s="132">
        <f>'Statement Y'!H60</f>
        <v>23905</v>
      </c>
      <c r="I55" s="132">
        <f>'Statement Y'!I60</f>
        <v>28319</v>
      </c>
      <c r="J55" s="132">
        <f>'Statement Y'!J60</f>
        <v>33346</v>
      </c>
      <c r="K55" s="132">
        <f>'Statement Y'!K60</f>
        <v>38470</v>
      </c>
      <c r="L55" s="132">
        <f>'Statement Y'!L60</f>
        <v>45354</v>
      </c>
      <c r="N55" s="132">
        <f>'Statement Q'!C56</f>
        <v>0</v>
      </c>
      <c r="O55" s="132">
        <f>'Statement Q'!D56</f>
        <v>0</v>
      </c>
      <c r="P55" s="132">
        <f>'Statement Q'!E56</f>
        <v>0</v>
      </c>
      <c r="Q55" s="132">
        <f>'Statement Q'!F56</f>
        <v>0</v>
      </c>
      <c r="R55" s="132">
        <f>'Statement Q'!G56</f>
        <v>0</v>
      </c>
      <c r="S55" s="132">
        <f>'Statement Q'!H56</f>
        <v>0</v>
      </c>
      <c r="T55" s="132">
        <f>'Statement Q'!I56</f>
        <v>45354</v>
      </c>
      <c r="U55" s="132">
        <f>'Statement Q'!J56</f>
        <v>47170</v>
      </c>
      <c r="W55" s="132">
        <f t="shared" si="3"/>
        <v>47170</v>
      </c>
    </row>
    <row r="56" spans="2:23" outlineLevel="1" x14ac:dyDescent="0.2">
      <c r="B56" s="9" t="s">
        <v>308</v>
      </c>
      <c r="C56" s="132">
        <f>'Statement Y'!C61</f>
        <v>-174</v>
      </c>
      <c r="D56" s="132">
        <f>'Statement Y'!D61</f>
        <v>-112</v>
      </c>
      <c r="E56" s="132">
        <f>'Statement Y'!E61</f>
        <v>-148</v>
      </c>
      <c r="F56" s="132">
        <f>'Statement Y'!F61</f>
        <v>-188</v>
      </c>
      <c r="G56" s="132">
        <f>'Statement Y'!G61</f>
        <v>-158</v>
      </c>
      <c r="H56" s="132">
        <f>'Statement Y'!H61</f>
        <v>-137</v>
      </c>
      <c r="I56" s="132">
        <f>'Statement Y'!I61</f>
        <v>-293</v>
      </c>
      <c r="J56" s="132">
        <f>'Statement Y'!J61</f>
        <v>-285</v>
      </c>
      <c r="K56" s="132">
        <f>'Statement Y'!K61</f>
        <v>-201</v>
      </c>
      <c r="L56" s="132">
        <f>'Statement Y'!L61</f>
        <v>-245</v>
      </c>
      <c r="N56" s="132">
        <f>'Statement Q'!C58</f>
        <v>0</v>
      </c>
      <c r="O56" s="132">
        <f>'Statement Q'!D58</f>
        <v>0</v>
      </c>
      <c r="P56" s="132">
        <f>'Statement Q'!E58</f>
        <v>0</v>
      </c>
      <c r="Q56" s="132">
        <f>'Statement Q'!F58</f>
        <v>0</v>
      </c>
      <c r="R56" s="132">
        <f>'Statement Q'!G58</f>
        <v>0</v>
      </c>
      <c r="S56" s="132">
        <f>'Statement Q'!H58</f>
        <v>0</v>
      </c>
      <c r="T56" s="132">
        <f>'Statement Q'!I57</f>
        <v>-245</v>
      </c>
      <c r="U56" s="132">
        <f>'Statement Q'!J57</f>
        <v>-295</v>
      </c>
      <c r="W56" s="132">
        <f t="shared" si="3"/>
        <v>-295</v>
      </c>
    </row>
    <row r="57" spans="2:23" outlineLevel="1" x14ac:dyDescent="0.2">
      <c r="B57" s="9" t="s">
        <v>309</v>
      </c>
      <c r="C57" s="132">
        <f>'Statement Y'!C62</f>
        <v>-5132</v>
      </c>
      <c r="D57" s="132">
        <f>'Statement Y'!D62</f>
        <v>-6084</v>
      </c>
      <c r="E57" s="132">
        <f>'Statement Y'!E62</f>
        <v>-7991</v>
      </c>
      <c r="F57" s="132">
        <f>'Statement Y'!F62</f>
        <v>-10615</v>
      </c>
      <c r="G57" s="132">
        <f>'Statement Y'!G62</f>
        <v>-13546</v>
      </c>
      <c r="H57" s="132">
        <f>'Statement Y'!H62</f>
        <v>-17399</v>
      </c>
      <c r="I57" s="132">
        <f>'Statement Y'!I62</f>
        <v>-23843</v>
      </c>
      <c r="J57" s="132">
        <f>'Statement Y'!J62</f>
        <v>-28129</v>
      </c>
      <c r="K57" s="132">
        <f>'Statement Y'!K62</f>
        <v>-37583</v>
      </c>
      <c r="L57" s="132">
        <f>'Statement Y'!L62</f>
        <v>-48847</v>
      </c>
      <c r="N57" s="132"/>
      <c r="O57" s="132"/>
      <c r="P57" s="132"/>
      <c r="Q57" s="132"/>
      <c r="R57" s="132"/>
      <c r="S57" s="132"/>
      <c r="T57" s="132">
        <f>'Statement Q'!I58</f>
        <v>-48847</v>
      </c>
      <c r="U57" s="132">
        <f>'Statement Q'!J58</f>
        <v>-51312</v>
      </c>
      <c r="W57" s="132">
        <f t="shared" si="3"/>
        <v>-51312</v>
      </c>
    </row>
    <row r="58" spans="2:23" outlineLevel="1" x14ac:dyDescent="0.2">
      <c r="B58" s="11" t="s">
        <v>32</v>
      </c>
      <c r="C58" s="155">
        <f>'Statement Y'!C63</f>
        <v>7425</v>
      </c>
      <c r="D58" s="155">
        <f>'Statement Y'!D63</f>
        <v>8460</v>
      </c>
      <c r="E58" s="155">
        <f>'Statement Y'!E63</f>
        <v>9362</v>
      </c>
      <c r="F58" s="155">
        <f>'Statement Y'!F63</f>
        <v>10530</v>
      </c>
      <c r="G58" s="155">
        <f>'Statement Y'!G63</f>
        <v>13264</v>
      </c>
      <c r="H58" s="155">
        <f>'Statement Y'!H63</f>
        <v>14797</v>
      </c>
      <c r="I58" s="155">
        <f>'Statement Y'!I63</f>
        <v>14051</v>
      </c>
      <c r="J58" s="155">
        <f>'Statement Y'!J63</f>
        <v>16518</v>
      </c>
      <c r="K58" s="155">
        <f>'Statement Y'!K63</f>
        <v>14105</v>
      </c>
      <c r="L58" s="155">
        <f>'Statement Y'!L63</f>
        <v>11623</v>
      </c>
      <c r="N58" s="155">
        <f>'Statement Q'!C59</f>
        <v>0</v>
      </c>
      <c r="O58" s="155">
        <f>'Statement Q'!D59</f>
        <v>0</v>
      </c>
      <c r="P58" s="155">
        <f>'Statement Q'!E59</f>
        <v>0</v>
      </c>
      <c r="Q58" s="155">
        <f>'Statement Q'!F59</f>
        <v>0</v>
      </c>
      <c r="R58" s="155">
        <f>'Statement Q'!G59</f>
        <v>0</v>
      </c>
      <c r="S58" s="155">
        <f>'Statement Q'!H59</f>
        <v>0</v>
      </c>
      <c r="T58" s="155">
        <f>'Statement Q'!I59</f>
        <v>11623</v>
      </c>
      <c r="U58" s="155">
        <f>'Statement Q'!J59</f>
        <v>11433</v>
      </c>
      <c r="W58" s="155">
        <f t="shared" si="3"/>
        <v>11433</v>
      </c>
    </row>
    <row r="59" spans="2:23" ht="17" outlineLevel="1" thickBot="1" x14ac:dyDescent="0.25">
      <c r="B59" s="19" t="s">
        <v>33</v>
      </c>
      <c r="C59" s="156">
        <f>'Statement Y'!C64</f>
        <v>12697</v>
      </c>
      <c r="D59" s="156">
        <f>'Statement Y'!D64</f>
        <v>14536</v>
      </c>
      <c r="E59" s="156">
        <f>'Statement Y'!E64</f>
        <v>18769</v>
      </c>
      <c r="F59" s="156">
        <f>'Statement Y'!F64</f>
        <v>20762</v>
      </c>
      <c r="G59" s="156">
        <f>'Statement Y'!G64</f>
        <v>24284</v>
      </c>
      <c r="H59" s="156">
        <f>'Statement Y'!H64</f>
        <v>27241</v>
      </c>
      <c r="I59" s="156">
        <f>'Statement Y'!I64</f>
        <v>27165</v>
      </c>
      <c r="J59" s="156">
        <f>'Statement Y'!J64</f>
        <v>29779</v>
      </c>
      <c r="K59" s="156">
        <f>'Statement Y'!K64</f>
        <v>30230</v>
      </c>
      <c r="L59" s="156">
        <f>'Statement Y'!L64</f>
        <v>29496</v>
      </c>
      <c r="N59" s="156">
        <f>'Statement Q'!C60</f>
        <v>0</v>
      </c>
      <c r="O59" s="156">
        <f>'Statement Q'!D60</f>
        <v>0</v>
      </c>
      <c r="P59" s="156">
        <f>'Statement Q'!E60</f>
        <v>0</v>
      </c>
      <c r="Q59" s="156">
        <f>'Statement Q'!F60</f>
        <v>0</v>
      </c>
      <c r="R59" s="156">
        <f>'Statement Q'!G60</f>
        <v>0</v>
      </c>
      <c r="S59" s="156">
        <f>'Statement Q'!H60</f>
        <v>0</v>
      </c>
      <c r="T59" s="156">
        <f>'Statement Q'!I60</f>
        <v>29496</v>
      </c>
      <c r="U59" s="156">
        <f>'Statement Q'!J60</f>
        <v>29704</v>
      </c>
      <c r="W59" s="156">
        <f t="shared" si="3"/>
        <v>29704</v>
      </c>
    </row>
    <row r="61" spans="2:23" ht="17" thickBot="1" x14ac:dyDescent="0.25">
      <c r="B61" s="15" t="s">
        <v>34</v>
      </c>
      <c r="C61" s="14"/>
      <c r="D61" s="14"/>
      <c r="E61" s="14"/>
      <c r="F61" s="14"/>
      <c r="G61" s="14"/>
      <c r="H61" s="14"/>
      <c r="I61" s="14"/>
      <c r="J61" s="14"/>
      <c r="K61" s="14"/>
      <c r="L61" s="14"/>
      <c r="N61" s="14"/>
      <c r="O61" s="14"/>
      <c r="P61" s="14"/>
      <c r="Q61" s="14"/>
      <c r="R61" s="14"/>
      <c r="S61" s="14"/>
      <c r="T61" s="14"/>
      <c r="U61" s="14"/>
      <c r="W61" s="14"/>
    </row>
    <row r="62" spans="2:23" outlineLevel="1" x14ac:dyDescent="0.2">
      <c r="B62" s="9" t="s">
        <v>14</v>
      </c>
      <c r="C62" s="132">
        <f>'Statement Y'!C67</f>
        <v>1169</v>
      </c>
      <c r="D62" s="132">
        <f>'Statement Y'!D67</f>
        <v>1694</v>
      </c>
      <c r="E62" s="132">
        <f>'Statement Y'!E67</f>
        <v>2591</v>
      </c>
      <c r="F62" s="132">
        <f>'Statement Y'!F67</f>
        <v>2952</v>
      </c>
      <c r="G62" s="132">
        <f>'Statement Y'!G67</f>
        <v>5260</v>
      </c>
      <c r="H62" s="132">
        <f>'Statement Y'!H67</f>
        <v>4822</v>
      </c>
      <c r="I62" s="132">
        <f>'Statement Y'!I67</f>
        <v>4756</v>
      </c>
      <c r="J62" s="132">
        <f>'Statement Y'!J67</f>
        <v>5428</v>
      </c>
      <c r="K62" s="132">
        <f>'Statement Y'!K67</f>
        <v>5560</v>
      </c>
      <c r="L62" s="132">
        <f>'Statement Y'!L67</f>
        <v>7130</v>
      </c>
      <c r="N62" s="132">
        <f>'Statement Q'!C63</f>
        <v>1573</v>
      </c>
      <c r="O62" s="132">
        <f>'Statement Q'!D63</f>
        <v>1684</v>
      </c>
      <c r="P62" s="132">
        <f>'Statement Q'!E63</f>
        <v>1683</v>
      </c>
      <c r="Q62" s="132">
        <f>'Statement Q'!F63</f>
        <v>1811</v>
      </c>
      <c r="R62" s="132">
        <f>'Statement Q'!G63</f>
        <v>1691</v>
      </c>
      <c r="S62" s="132">
        <f>'Statement Q'!H63</f>
        <v>1772</v>
      </c>
      <c r="T62" s="132">
        <f>'Statement Q'!I63</f>
        <v>1856</v>
      </c>
      <c r="U62" s="132">
        <f>'Statement Q'!J63</f>
        <v>1889</v>
      </c>
      <c r="W62" s="132">
        <f>SUM(R62:U62)</f>
        <v>7208</v>
      </c>
    </row>
    <row r="63" spans="2:23" outlineLevel="1" x14ac:dyDescent="0.2">
      <c r="B63" s="9" t="s">
        <v>35</v>
      </c>
      <c r="C63" s="132">
        <f>'Statement Y'!C68</f>
        <v>332</v>
      </c>
      <c r="D63" s="132">
        <f>'Statement Y'!D68</f>
        <v>326</v>
      </c>
      <c r="E63" s="132">
        <f>'Statement Y'!E68</f>
        <v>346</v>
      </c>
      <c r="F63" s="132">
        <f>'Statement Y'!F68</f>
        <v>737</v>
      </c>
      <c r="G63" s="132">
        <f>'Statement Y'!G68</f>
        <v>757</v>
      </c>
      <c r="H63" s="132">
        <f>'Statement Y'!H68</f>
        <v>788</v>
      </c>
      <c r="I63" s="132">
        <f>'Statement Y'!I68</f>
        <v>856</v>
      </c>
      <c r="J63" s="132">
        <f>'Statement Y'!J68</f>
        <v>872</v>
      </c>
      <c r="K63" s="132">
        <f>'Statement Y'!K68</f>
        <v>857</v>
      </c>
      <c r="L63" s="132">
        <f>'Statement Y'!L68</f>
        <v>818</v>
      </c>
      <c r="N63" s="132">
        <f>'Statement Q'!C64</f>
        <v>0</v>
      </c>
      <c r="O63" s="132">
        <f>'Statement Q'!D64</f>
        <v>0</v>
      </c>
      <c r="P63" s="132">
        <f>'Statement Q'!E64</f>
        <v>0</v>
      </c>
      <c r="Q63" s="132">
        <f>'Statement Q'!F64</f>
        <v>217</v>
      </c>
      <c r="R63" s="132">
        <f>'Statement Q'!G64</f>
        <v>209</v>
      </c>
      <c r="S63" s="132">
        <f>'Statement Q'!H64</f>
        <v>208</v>
      </c>
      <c r="T63" s="132">
        <f>'Statement Q'!I64</f>
        <v>184</v>
      </c>
      <c r="U63" s="132">
        <f>'Statement Q'!J64</f>
        <v>174</v>
      </c>
      <c r="W63" s="132">
        <f t="shared" ref="W63:W77" si="4">SUM(R63:U63)</f>
        <v>775</v>
      </c>
    </row>
    <row r="64" spans="2:23" outlineLevel="1" x14ac:dyDescent="0.2">
      <c r="B64" s="12" t="s">
        <v>94</v>
      </c>
      <c r="C64" s="132">
        <f>'Statement Y'!C69</f>
        <v>349</v>
      </c>
      <c r="D64" s="132">
        <f>'Statement Y'!D69</f>
        <v>454</v>
      </c>
      <c r="E64" s="132">
        <f>'Statement Y'!E69</f>
        <v>610</v>
      </c>
      <c r="F64" s="132">
        <f>'Statement Y'!F69</f>
        <v>788</v>
      </c>
      <c r="G64" s="132">
        <f>'Statement Y'!G69</f>
        <v>909</v>
      </c>
      <c r="H64" s="132">
        <f>'Statement Y'!H69</f>
        <v>1069</v>
      </c>
      <c r="I64" s="132">
        <f>'Statement Y'!I69</f>
        <v>1440</v>
      </c>
      <c r="J64" s="132">
        <f>'Statement Y'!J69</f>
        <v>1718</v>
      </c>
      <c r="K64" s="132">
        <f>'Statement Y'!K69</f>
        <v>1833</v>
      </c>
      <c r="L64" s="132">
        <f>'Statement Y'!L69</f>
        <v>1942</v>
      </c>
      <c r="N64" s="132">
        <f>'Statement Q'!C65</f>
        <v>0</v>
      </c>
      <c r="O64" s="132">
        <f>'Statement Q'!D65</f>
        <v>0</v>
      </c>
      <c r="P64" s="132">
        <f>'Statement Q'!E65</f>
        <v>0</v>
      </c>
      <c r="Q64" s="132">
        <f>'Statement Q'!F65</f>
        <v>475</v>
      </c>
      <c r="R64" s="132">
        <f>'Statement Q'!G65</f>
        <v>481</v>
      </c>
      <c r="S64" s="132">
        <f>'Statement Q'!H65</f>
        <v>497</v>
      </c>
      <c r="T64" s="132">
        <f>'Statement Q'!I65</f>
        <v>489</v>
      </c>
      <c r="U64" s="132">
        <f>'Statement Q'!J65</f>
        <v>509</v>
      </c>
      <c r="W64" s="132">
        <f t="shared" si="4"/>
        <v>1976</v>
      </c>
    </row>
    <row r="65" spans="2:23" outlineLevel="1" x14ac:dyDescent="0.2">
      <c r="B65" s="12" t="s">
        <v>226</v>
      </c>
      <c r="C65" s="132">
        <f>'Statement Y'!C70</f>
        <v>0</v>
      </c>
      <c r="D65" s="132">
        <f>'Statement Y'!D70</f>
        <v>0</v>
      </c>
      <c r="E65" s="132">
        <f>'Statement Y'!E70</f>
        <v>0</v>
      </c>
      <c r="F65" s="132">
        <f>'Statement Y'!F70</f>
        <v>0</v>
      </c>
      <c r="G65" s="132">
        <f>'Statement Y'!G70</f>
        <v>87</v>
      </c>
      <c r="H65" s="132">
        <f>'Statement Y'!H70</f>
        <v>73</v>
      </c>
      <c r="I65" s="132">
        <f>'Statement Y'!I70</f>
        <v>83</v>
      </c>
      <c r="J65" s="132">
        <f>'Statement Y'!J70</f>
        <v>0</v>
      </c>
      <c r="K65" s="132">
        <f>'Statement Y'!K70</f>
        <v>78</v>
      </c>
      <c r="L65" s="132">
        <f>'Statement Y'!L70</f>
        <v>0</v>
      </c>
      <c r="N65" s="132">
        <v>0</v>
      </c>
      <c r="O65" s="132">
        <v>0</v>
      </c>
      <c r="P65" s="132">
        <v>0</v>
      </c>
      <c r="Q65" s="132">
        <v>0</v>
      </c>
      <c r="R65" s="132">
        <v>0</v>
      </c>
      <c r="S65" s="132">
        <v>0</v>
      </c>
      <c r="T65" s="132">
        <v>0</v>
      </c>
      <c r="U65" s="132">
        <v>0</v>
      </c>
      <c r="W65" s="132">
        <f t="shared" si="4"/>
        <v>0</v>
      </c>
    </row>
    <row r="66" spans="2:23" outlineLevel="1" x14ac:dyDescent="0.2">
      <c r="B66" s="12" t="s">
        <v>224</v>
      </c>
      <c r="C66" s="132">
        <f>'Statement Y'!C73</f>
        <v>2</v>
      </c>
      <c r="D66" s="132">
        <f>'Statement Y'!D73</f>
        <v>5</v>
      </c>
      <c r="E66" s="132">
        <f>'Statement Y'!E73</f>
        <v>7</v>
      </c>
      <c r="F66" s="132">
        <f>'Statement Y'!F73</f>
        <v>14</v>
      </c>
      <c r="G66" s="132">
        <f>'Statement Y'!G73</f>
        <v>40</v>
      </c>
      <c r="H66" s="132">
        <f>'Statement Y'!H73</f>
        <v>7</v>
      </c>
      <c r="I66" s="132">
        <f>'Statement Y'!I73</f>
        <v>10</v>
      </c>
      <c r="J66" s="132">
        <f>'Statement Y'!J73</f>
        <v>65</v>
      </c>
      <c r="K66" s="132">
        <f>'Statement Y'!K73</f>
        <v>52</v>
      </c>
      <c r="L66" s="132">
        <f>'Statement Y'!L73</f>
        <v>48</v>
      </c>
      <c r="N66" s="132">
        <f>'Statement Q'!C67</f>
        <v>0</v>
      </c>
      <c r="O66" s="132">
        <f>'Statement Q'!D67</f>
        <v>0</v>
      </c>
      <c r="P66" s="132">
        <f>'Statement Q'!E67</f>
        <v>0</v>
      </c>
      <c r="Q66" s="132">
        <f>'Statement Q'!F67</f>
        <v>17</v>
      </c>
      <c r="R66" s="132">
        <f>'Statement Q'!G67</f>
        <v>18</v>
      </c>
      <c r="S66" s="132">
        <f>'Statement Q'!H67</f>
        <v>2</v>
      </c>
      <c r="T66" s="132">
        <f>'Statement Q'!I67</f>
        <v>11</v>
      </c>
      <c r="U66" s="132">
        <f>'Statement Q'!J67</f>
        <v>46</v>
      </c>
      <c r="W66" s="132">
        <f t="shared" si="4"/>
        <v>77</v>
      </c>
    </row>
    <row r="67" spans="2:23" outlineLevel="1" x14ac:dyDescent="0.2">
      <c r="B67" s="9" t="s">
        <v>174</v>
      </c>
      <c r="C67" s="132">
        <f>SUM('Statement Y'!C74:C79)</f>
        <v>321</v>
      </c>
      <c r="D67" s="132">
        <f>SUM('Statement Y'!D74:D79)</f>
        <v>388</v>
      </c>
      <c r="E67" s="132">
        <f>SUM('Statement Y'!E74:E79)</f>
        <v>944</v>
      </c>
      <c r="F67" s="132">
        <f>SUM('Statement Y'!F74:F79)</f>
        <v>-24</v>
      </c>
      <c r="G67" s="132">
        <f>SUM('Statement Y'!G74:G79)</f>
        <v>186</v>
      </c>
      <c r="H67" s="132">
        <f>SUM('Statement Y'!H74:H79)</f>
        <v>292</v>
      </c>
      <c r="I67" s="132">
        <f>SUM('Statement Y'!I74:I79)</f>
        <v>336</v>
      </c>
      <c r="J67" s="132">
        <f>SUM('Statement Y'!J74:J79)</f>
        <v>-355</v>
      </c>
      <c r="K67" s="132">
        <f>SUM('Statement Y'!K74:K79)</f>
        <v>144</v>
      </c>
      <c r="L67" s="132">
        <f>SUM('Statement Y'!L74:L79)</f>
        <v>605</v>
      </c>
      <c r="N67" s="132">
        <f>SUM('Statement Q'!C68:C73)</f>
        <v>0</v>
      </c>
      <c r="O67" s="132">
        <f>SUM('Statement Q'!D68:D73)</f>
        <v>0</v>
      </c>
      <c r="P67" s="132">
        <f>SUM('Statement Q'!E68:E73)</f>
        <v>0</v>
      </c>
      <c r="Q67" s="132">
        <f>SUM('Statement Q'!F68:F73)</f>
        <v>131</v>
      </c>
      <c r="R67" s="132">
        <f>SUM('Statement Q'!G68:G73)</f>
        <v>-89</v>
      </c>
      <c r="S67" s="132">
        <f>SUM('Statement Q'!H68:H73)</f>
        <v>-178</v>
      </c>
      <c r="T67" s="132">
        <f>SUM('Statement Q'!I68:I73)</f>
        <v>741</v>
      </c>
      <c r="U67" s="132">
        <f>SUM('Statement Q'!J68:J73)</f>
        <v>276</v>
      </c>
      <c r="W67" s="132">
        <f t="shared" si="4"/>
        <v>750</v>
      </c>
    </row>
    <row r="68" spans="2:23" outlineLevel="1" x14ac:dyDescent="0.2">
      <c r="B68" s="17" t="s">
        <v>38</v>
      </c>
      <c r="C68" s="152">
        <f>'Statement Y'!C80</f>
        <v>2200</v>
      </c>
      <c r="D68" s="152">
        <f>'Statement Y'!D80</f>
        <v>2913</v>
      </c>
      <c r="E68" s="152">
        <f>'Statement Y'!E80</f>
        <v>4029</v>
      </c>
      <c r="F68" s="152">
        <f>'Statement Y'!F80</f>
        <v>4422</v>
      </c>
      <c r="G68" s="152">
        <f>'Statement Y'!G80</f>
        <v>5727</v>
      </c>
      <c r="H68" s="152">
        <f>'Statement Y'!H80</f>
        <v>7230</v>
      </c>
      <c r="I68" s="152">
        <f>'Statement Y'!I80</f>
        <v>7838</v>
      </c>
      <c r="J68" s="152">
        <f>'Statement Y'!J80</f>
        <v>7302</v>
      </c>
      <c r="K68" s="152">
        <f>'Statement Y'!K80</f>
        <v>8056</v>
      </c>
      <c r="L68" s="152">
        <f>'Statement Y'!L80</f>
        <v>10031</v>
      </c>
      <c r="N68" s="152">
        <f>'Statement Q'!C74</f>
        <v>0</v>
      </c>
      <c r="O68" s="152">
        <f>'Statement Q'!D74</f>
        <v>0</v>
      </c>
      <c r="P68" s="152">
        <f>'Statement Q'!E74</f>
        <v>0</v>
      </c>
      <c r="Q68" s="152">
        <f>'Statement Q'!F74</f>
        <v>2482</v>
      </c>
      <c r="R68" s="152">
        <f>'Statement Q'!G74</f>
        <v>2191</v>
      </c>
      <c r="S68" s="152">
        <f>'Statement Q'!H74</f>
        <v>2198</v>
      </c>
      <c r="T68" s="152">
        <f>'Statement Q'!I74</f>
        <v>3160</v>
      </c>
      <c r="U68" s="152">
        <f>'Statement Q'!J74</f>
        <v>2958</v>
      </c>
      <c r="W68" s="152">
        <f t="shared" si="4"/>
        <v>10507</v>
      </c>
    </row>
    <row r="69" spans="2:23" outlineLevel="1" x14ac:dyDescent="0.2">
      <c r="B69" s="9" t="s">
        <v>39</v>
      </c>
      <c r="C69" s="132">
        <f>'Statement Y'!C85</f>
        <v>-204</v>
      </c>
      <c r="D69" s="132">
        <f>'Statement Y'!D85</f>
        <v>-178</v>
      </c>
      <c r="E69" s="132">
        <f>'Statement Y'!E85</f>
        <v>-267</v>
      </c>
      <c r="F69" s="132">
        <f>'Statement Y'!F85</f>
        <v>-394</v>
      </c>
      <c r="G69" s="132">
        <f>'Statement Y'!G85</f>
        <v>-419</v>
      </c>
      <c r="H69" s="132">
        <f>'Statement Y'!H85</f>
        <v>-348</v>
      </c>
      <c r="I69" s="132">
        <f>'Statement Y'!I85</f>
        <v>-442</v>
      </c>
      <c r="J69" s="132">
        <f>'Statement Y'!J85</f>
        <v>-360</v>
      </c>
      <c r="K69" s="132">
        <f>'Statement Y'!K85</f>
        <v>-183</v>
      </c>
      <c r="L69" s="132">
        <f>'Statement Y'!L85</f>
        <v>-179</v>
      </c>
      <c r="N69" s="132">
        <f>'Statement Q'!C78</f>
        <v>0</v>
      </c>
      <c r="O69" s="132">
        <f>'Statement Q'!D78</f>
        <v>0</v>
      </c>
      <c r="P69" s="132">
        <f>'Statement Q'!E78</f>
        <v>0</v>
      </c>
      <c r="Q69" s="132">
        <f>'Statement Q'!F79</f>
        <v>-26</v>
      </c>
      <c r="R69" s="132">
        <f>'Statement Q'!G79</f>
        <v>-47</v>
      </c>
      <c r="S69" s="132">
        <f>'Statement Q'!H79</f>
        <v>-72</v>
      </c>
      <c r="T69" s="132">
        <f>'Statement Q'!I79</f>
        <v>-34</v>
      </c>
      <c r="U69" s="132">
        <f>'Statement Q'!J79</f>
        <v>-37</v>
      </c>
      <c r="W69" s="132">
        <f t="shared" si="4"/>
        <v>-190</v>
      </c>
    </row>
    <row r="70" spans="2:23" outlineLevel="1" x14ac:dyDescent="0.2">
      <c r="B70" s="17" t="s">
        <v>40</v>
      </c>
      <c r="C70" s="152">
        <f>'Statement Y'!C88</f>
        <v>-960</v>
      </c>
      <c r="D70" s="152">
        <f>'Statement Y'!D88</f>
        <v>-443</v>
      </c>
      <c r="E70" s="152">
        <f>'Statement Y'!E88</f>
        <v>-4685</v>
      </c>
      <c r="F70" s="152">
        <f>'Statement Y'!F88</f>
        <v>-456</v>
      </c>
      <c r="G70" s="152">
        <f>'Statement Y'!G88</f>
        <v>-414</v>
      </c>
      <c r="H70" s="152">
        <f>'Statement Y'!H88</f>
        <v>-3537</v>
      </c>
      <c r="I70" s="152">
        <f>'Statement Y'!I88</f>
        <v>-570</v>
      </c>
      <c r="J70" s="152">
        <f>'Statement Y'!J88</f>
        <v>776</v>
      </c>
      <c r="K70" s="152">
        <f>'Statement Y'!K88</f>
        <v>149</v>
      </c>
      <c r="L70" s="152">
        <f>'Statement Y'!L88</f>
        <v>-1187</v>
      </c>
      <c r="N70" s="152">
        <f>'Statement Q'!C82</f>
        <v>0</v>
      </c>
      <c r="O70" s="152">
        <f>'Statement Q'!D82</f>
        <v>0</v>
      </c>
      <c r="P70" s="152">
        <f>'Statement Q'!E82</f>
        <v>0</v>
      </c>
      <c r="Q70" s="152">
        <f>'Statement Q'!F82</f>
        <v>-484</v>
      </c>
      <c r="R70" s="152">
        <f>'Statement Q'!G82</f>
        <v>-278</v>
      </c>
      <c r="S70" s="152">
        <f>'Statement Q'!H82</f>
        <v>-279</v>
      </c>
      <c r="T70" s="152">
        <f>'Statement Q'!I82</f>
        <v>-146</v>
      </c>
      <c r="U70" s="152">
        <f>'Statement Q'!J82</f>
        <v>474</v>
      </c>
      <c r="W70" s="152">
        <f t="shared" si="4"/>
        <v>-229</v>
      </c>
    </row>
    <row r="71" spans="2:23" outlineLevel="1" x14ac:dyDescent="0.2">
      <c r="B71" s="9" t="s">
        <v>96</v>
      </c>
      <c r="C71" s="132">
        <v>0</v>
      </c>
      <c r="D71" s="132">
        <v>0</v>
      </c>
      <c r="E71" s="132">
        <v>0</v>
      </c>
      <c r="F71" s="132">
        <v>0</v>
      </c>
      <c r="G71" s="132">
        <v>0</v>
      </c>
      <c r="H71" s="132">
        <v>0</v>
      </c>
      <c r="I71" s="132">
        <v>0</v>
      </c>
      <c r="J71" s="132">
        <v>0</v>
      </c>
      <c r="K71" s="132">
        <v>0</v>
      </c>
      <c r="L71" s="132">
        <v>0</v>
      </c>
      <c r="N71" s="132">
        <v>0</v>
      </c>
      <c r="O71" s="132">
        <v>0</v>
      </c>
      <c r="P71" s="132">
        <v>0</v>
      </c>
      <c r="Q71" s="132">
        <v>0</v>
      </c>
      <c r="R71" s="132">
        <v>0</v>
      </c>
      <c r="S71" s="132">
        <v>0</v>
      </c>
      <c r="T71" s="132">
        <v>0</v>
      </c>
      <c r="U71" s="132">
        <v>0</v>
      </c>
      <c r="W71" s="132">
        <f t="shared" si="4"/>
        <v>0</v>
      </c>
    </row>
    <row r="72" spans="2:23" outlineLevel="1" x14ac:dyDescent="0.2">
      <c r="B72" s="9" t="s">
        <v>97</v>
      </c>
      <c r="C72" s="132">
        <f>'Statement Y'!C89</f>
        <v>0</v>
      </c>
      <c r="D72" s="132">
        <f>'Statement Y'!D89</f>
        <v>0</v>
      </c>
      <c r="E72" s="132">
        <f>'Statement Y'!E89</f>
        <v>0</v>
      </c>
      <c r="F72" s="132">
        <f>'Statement Y'!F89</f>
        <v>0</v>
      </c>
      <c r="G72" s="132">
        <f>'Statement Y'!G89</f>
        <v>-3050</v>
      </c>
      <c r="H72" s="132">
        <f>'Statement Y'!H89</f>
        <v>-3950</v>
      </c>
      <c r="I72" s="132">
        <f>'Statement Y'!I89</f>
        <v>-6550</v>
      </c>
      <c r="J72" s="132">
        <f>'Statement Y'!J89</f>
        <v>-4400</v>
      </c>
      <c r="K72" s="132">
        <f>'Statement Y'!K89</f>
        <v>-9500</v>
      </c>
      <c r="L72" s="132">
        <f>'Statement Y'!L89</f>
        <v>-11281</v>
      </c>
      <c r="N72" s="132">
        <f>'Statement Q'!C85</f>
        <v>0</v>
      </c>
      <c r="O72" s="132">
        <f>'Statement Q'!D85</f>
        <v>0</v>
      </c>
      <c r="P72" s="132">
        <f>'Statement Q'!E85</f>
        <v>0</v>
      </c>
      <c r="Q72" s="132">
        <f>'Statement Q'!F83</f>
        <v>-3250</v>
      </c>
      <c r="R72" s="132">
        <f>'Statement Q'!G83</f>
        <v>-3500</v>
      </c>
      <c r="S72" s="132">
        <f>'Statement Q'!H83</f>
        <v>-2057</v>
      </c>
      <c r="T72" s="132">
        <f>'Statement Q'!I83</f>
        <v>-2474</v>
      </c>
      <c r="U72" s="132">
        <f>'Statement Q'!J83</f>
        <v>-2478</v>
      </c>
      <c r="W72" s="132">
        <f t="shared" si="4"/>
        <v>-10509</v>
      </c>
    </row>
    <row r="73" spans="2:23" outlineLevel="1" x14ac:dyDescent="0.2">
      <c r="B73" s="9" t="s">
        <v>228</v>
      </c>
      <c r="C73" s="132">
        <v>0</v>
      </c>
      <c r="D73" s="132">
        <v>0</v>
      </c>
      <c r="E73" s="132">
        <v>0</v>
      </c>
      <c r="F73" s="132">
        <v>0</v>
      </c>
      <c r="G73" s="132">
        <v>0</v>
      </c>
      <c r="H73" s="132">
        <v>0</v>
      </c>
      <c r="I73" s="132">
        <v>0</v>
      </c>
      <c r="J73" s="132">
        <v>0</v>
      </c>
      <c r="K73" s="132">
        <v>0</v>
      </c>
      <c r="L73" s="132">
        <v>0</v>
      </c>
      <c r="N73" s="132">
        <v>0</v>
      </c>
      <c r="O73" s="132">
        <v>0</v>
      </c>
      <c r="P73" s="132">
        <v>0</v>
      </c>
      <c r="Q73" s="132">
        <v>0</v>
      </c>
      <c r="R73" s="132">
        <v>0</v>
      </c>
      <c r="S73" s="132">
        <v>0</v>
      </c>
      <c r="T73" s="132">
        <v>0</v>
      </c>
      <c r="U73" s="132">
        <v>0</v>
      </c>
      <c r="W73" s="132">
        <f t="shared" si="4"/>
        <v>0</v>
      </c>
    </row>
    <row r="74" spans="2:23" outlineLevel="1" x14ac:dyDescent="0.2">
      <c r="B74" s="9" t="s">
        <v>229</v>
      </c>
      <c r="C74" s="132">
        <f>'Statement Y'!C93</f>
        <v>0</v>
      </c>
      <c r="D74" s="132">
        <f>'Statement Y'!D93</f>
        <v>0</v>
      </c>
      <c r="E74" s="132">
        <f>'Statement Y'!E93</f>
        <v>2248</v>
      </c>
      <c r="F74" s="132">
        <f>'Statement Y'!F93</f>
        <v>0</v>
      </c>
      <c r="G74" s="132">
        <f>'Statement Y'!G93</f>
        <v>3144</v>
      </c>
      <c r="H74" s="132">
        <f>'Statement Y'!H93</f>
        <v>0</v>
      </c>
      <c r="I74" s="132">
        <f>'Statement Y'!I93</f>
        <v>0</v>
      </c>
      <c r="J74" s="132">
        <f>'Statement Y'!J93</f>
        <v>0</v>
      </c>
      <c r="K74" s="132">
        <f>'Statement Y'!K93</f>
        <v>1997</v>
      </c>
      <c r="L74" s="132">
        <f>'Statement Y'!L93</f>
        <v>1997</v>
      </c>
      <c r="N74" s="132">
        <f>'Statement Q'!C86</f>
        <v>0</v>
      </c>
      <c r="O74" s="132">
        <f>'Statement Q'!D86</f>
        <v>0</v>
      </c>
      <c r="P74" s="132">
        <f>'Statement Q'!E86</f>
        <v>0</v>
      </c>
      <c r="Q74" s="132">
        <f>'Statement Q'!F87</f>
        <v>1997</v>
      </c>
      <c r="R74" s="132">
        <f>'Statement Q'!G87</f>
        <v>0</v>
      </c>
      <c r="S74" s="132">
        <f>'Statement Q'!H87</f>
        <v>0</v>
      </c>
      <c r="T74" s="132">
        <f>'Statement Q'!I87</f>
        <v>0</v>
      </c>
      <c r="U74" s="132">
        <f>'Statement Q'!J87</f>
        <v>0</v>
      </c>
      <c r="W74" s="132">
        <f t="shared" si="4"/>
        <v>0</v>
      </c>
    </row>
    <row r="75" spans="2:23" outlineLevel="1" x14ac:dyDescent="0.2">
      <c r="B75" s="9" t="s">
        <v>230</v>
      </c>
      <c r="C75" s="132">
        <f>'Statement Y'!C94</f>
        <v>-1</v>
      </c>
      <c r="D75" s="132">
        <f>'Statement Y'!D94</f>
        <v>0</v>
      </c>
      <c r="E75" s="132">
        <f>'Statement Y'!E94</f>
        <v>0</v>
      </c>
      <c r="F75" s="132">
        <f>'Statement Y'!F94</f>
        <v>0</v>
      </c>
      <c r="G75" s="132">
        <f>'Statement Y'!G94</f>
        <v>-3150</v>
      </c>
      <c r="H75" s="132">
        <f>'Statement Y'!H94</f>
        <v>0</v>
      </c>
      <c r="I75" s="132">
        <f>'Statement Y'!I94</f>
        <v>0</v>
      </c>
      <c r="J75" s="132">
        <f>'Statement Y'!J94</f>
        <v>-500</v>
      </c>
      <c r="K75" s="132">
        <f>'Statement Y'!K94</f>
        <v>0</v>
      </c>
      <c r="L75" s="132">
        <f>'Statement Y'!L94</f>
        <v>-1500</v>
      </c>
      <c r="N75" s="132">
        <f>'Statement Q'!C87</f>
        <v>0</v>
      </c>
      <c r="O75" s="132">
        <f>'Statement Q'!D87</f>
        <v>0</v>
      </c>
      <c r="P75" s="132">
        <f>'Statement Q'!E87</f>
        <v>0</v>
      </c>
      <c r="Q75" s="132">
        <f>'Statement Q'!F88</f>
        <v>-1500</v>
      </c>
      <c r="R75" s="132">
        <f>'Statement Q'!G88</f>
        <v>0</v>
      </c>
      <c r="S75" s="132">
        <f>'Statement Q'!H88</f>
        <v>0</v>
      </c>
      <c r="T75" s="132">
        <f>'Statement Q'!I88</f>
        <v>0</v>
      </c>
      <c r="U75" s="132">
        <f>'Statement Q'!J88</f>
        <v>0</v>
      </c>
      <c r="W75" s="132">
        <f t="shared" si="4"/>
        <v>0</v>
      </c>
    </row>
    <row r="76" spans="2:23" outlineLevel="1" x14ac:dyDescent="0.2">
      <c r="B76" s="17" t="s">
        <v>41</v>
      </c>
      <c r="C76" s="152">
        <f>'Statement Y'!C96</f>
        <v>-1091</v>
      </c>
      <c r="D76" s="152">
        <f>'Statement Y'!D96</f>
        <v>-1184</v>
      </c>
      <c r="E76" s="152">
        <f>'Statement Y'!E96</f>
        <v>-6</v>
      </c>
      <c r="F76" s="152">
        <f>'Statement Y'!F96</f>
        <v>-2946</v>
      </c>
      <c r="G76" s="152">
        <f>'Statement Y'!G96</f>
        <v>-3488</v>
      </c>
      <c r="H76" s="152">
        <f>'Statement Y'!H96</f>
        <v>-4301</v>
      </c>
      <c r="I76" s="152">
        <f>'Statement Y'!I96</f>
        <v>-6825</v>
      </c>
      <c r="J76" s="152">
        <f>'Statement Y'!J96</f>
        <v>-5182</v>
      </c>
      <c r="K76" s="152">
        <f>'Statement Y'!K96</f>
        <v>-7724</v>
      </c>
      <c r="L76" s="152">
        <f>'Statement Y'!L96</f>
        <v>-11060</v>
      </c>
      <c r="N76" s="152">
        <f>'Statement Q'!C90</f>
        <v>0</v>
      </c>
      <c r="O76" s="152">
        <f>'Statement Q'!D90</f>
        <v>0</v>
      </c>
      <c r="P76" s="152">
        <f>'Statement Q'!E90</f>
        <v>0</v>
      </c>
      <c r="Q76" s="152">
        <f>'Statement Q'!F90</f>
        <v>-2841</v>
      </c>
      <c r="R76" s="152">
        <f>'Statement Q'!G90</f>
        <v>-3788</v>
      </c>
      <c r="S76" s="152">
        <f>'Statement Q'!H90</f>
        <v>-1876</v>
      </c>
      <c r="T76" s="152">
        <f>'Statement Q'!I90</f>
        <v>-2555</v>
      </c>
      <c r="U76" s="152">
        <f>'Statement Q'!J90</f>
        <v>-2544</v>
      </c>
      <c r="W76" s="152">
        <f t="shared" si="4"/>
        <v>-10763</v>
      </c>
    </row>
    <row r="77" spans="2:23" outlineLevel="1" x14ac:dyDescent="0.2">
      <c r="B77" s="11" t="s">
        <v>42</v>
      </c>
      <c r="C77" s="155">
        <f>'Statement Y'!C98</f>
        <v>135</v>
      </c>
      <c r="D77" s="155">
        <f>'Statement Y'!D98</f>
        <v>1294</v>
      </c>
      <c r="E77" s="155">
        <f>'Statement Y'!E98</f>
        <v>-663</v>
      </c>
      <c r="F77" s="155">
        <f>'Statement Y'!F98</f>
        <v>1007</v>
      </c>
      <c r="G77" s="155">
        <f>'Statement Y'!G98</f>
        <v>1828</v>
      </c>
      <c r="H77" s="155">
        <f>'Statement Y'!H98</f>
        <v>-634</v>
      </c>
      <c r="I77" s="155">
        <f>'Statement Y'!I98</f>
        <v>392</v>
      </c>
      <c r="J77" s="155">
        <f>'Statement Y'!J98</f>
        <v>2905</v>
      </c>
      <c r="K77" s="155">
        <f>'Statement Y'!K98</f>
        <v>472</v>
      </c>
      <c r="L77" s="155">
        <f>'Statement Y'!L98</f>
        <v>-2182</v>
      </c>
      <c r="N77" s="155">
        <f>'Statement Q'!C92</f>
        <v>0</v>
      </c>
      <c r="O77" s="155">
        <f>'Statement Q'!D92</f>
        <v>0</v>
      </c>
      <c r="P77" s="155">
        <f>'Statement Q'!E92</f>
        <v>0</v>
      </c>
      <c r="Q77" s="155">
        <f>'Statement Q'!F92</f>
        <v>-855</v>
      </c>
      <c r="R77" s="155">
        <f>'Statement Q'!G92</f>
        <v>-1827</v>
      </c>
      <c r="S77" s="155">
        <f>'Statement Q'!H92</f>
        <v>51</v>
      </c>
      <c r="T77" s="155">
        <f>'Statement Q'!I92</f>
        <v>449</v>
      </c>
      <c r="U77" s="155">
        <f>'Statement Q'!J92</f>
        <v>901</v>
      </c>
      <c r="W77" s="155">
        <f t="shared" si="4"/>
        <v>-426</v>
      </c>
    </row>
    <row r="78" spans="2:23" outlineLevel="1" x14ac:dyDescent="0.2">
      <c r="B78" s="11" t="s">
        <v>43</v>
      </c>
      <c r="C78" s="155">
        <f>'Statement Y'!C99</f>
        <v>877</v>
      </c>
      <c r="D78" s="155">
        <f>'Statement Y'!D99</f>
        <v>1011</v>
      </c>
      <c r="E78" s="155">
        <f>'Statement Y'!E99</f>
        <v>2306</v>
      </c>
      <c r="F78" s="155">
        <f>'Statement Y'!F99</f>
        <v>1643</v>
      </c>
      <c r="G78" s="155">
        <f>'Statement Y'!G99</f>
        <v>2650</v>
      </c>
      <c r="H78" s="155">
        <f>'Statement Y'!H99</f>
        <v>4478</v>
      </c>
      <c r="I78" s="155">
        <f>'Statement Y'!I99</f>
        <v>3844</v>
      </c>
      <c r="J78" s="155">
        <f>'Statement Y'!J99</f>
        <v>4236</v>
      </c>
      <c r="K78" s="155">
        <f>'Statement Y'!K99</f>
        <v>7141</v>
      </c>
      <c r="L78" s="155">
        <f>'Statement Y'!L99</f>
        <v>7613</v>
      </c>
      <c r="N78" s="155">
        <f>'Statement Q'!C93</f>
        <v>0</v>
      </c>
      <c r="O78" s="155">
        <f>'Statement Q'!D93</f>
        <v>0</v>
      </c>
      <c r="P78" s="155">
        <f>'Statement Q'!E93</f>
        <v>0</v>
      </c>
      <c r="Q78" s="155">
        <f>'Statement Q'!F93</f>
        <v>7613</v>
      </c>
      <c r="R78" s="155">
        <f>'Statement Q'!G93</f>
        <v>6758</v>
      </c>
      <c r="S78" s="155">
        <f>'Statement Q'!H93</f>
        <v>4931</v>
      </c>
      <c r="T78" s="155">
        <f>'Statement Q'!I93</f>
        <v>4982</v>
      </c>
      <c r="U78" s="155">
        <f>'Statement Q'!J93</f>
        <v>5431</v>
      </c>
      <c r="W78" s="155">
        <f>R78</f>
        <v>6758</v>
      </c>
    </row>
    <row r="79" spans="2:23" ht="17" outlineLevel="1" thickBot="1" x14ac:dyDescent="0.25">
      <c r="B79" s="19" t="s">
        <v>44</v>
      </c>
      <c r="C79" s="156">
        <f>'Statement Y'!C100</f>
        <v>1011</v>
      </c>
      <c r="D79" s="156">
        <f>'Statement Y'!D100</f>
        <v>2306</v>
      </c>
      <c r="E79" s="156">
        <f>'Statement Y'!E100</f>
        <v>1643</v>
      </c>
      <c r="F79" s="156">
        <f>'Statement Y'!F100</f>
        <v>2650</v>
      </c>
      <c r="G79" s="156">
        <f>'Statement Y'!G100</f>
        <v>4478</v>
      </c>
      <c r="H79" s="156">
        <f>'Statement Y'!H100</f>
        <v>3844</v>
      </c>
      <c r="I79" s="156">
        <f>'Statement Y'!I100</f>
        <v>4236</v>
      </c>
      <c r="J79" s="156">
        <f>'Statement Y'!J100</f>
        <v>7141</v>
      </c>
      <c r="K79" s="156">
        <f>'Statement Y'!K100</f>
        <v>7613</v>
      </c>
      <c r="L79" s="156">
        <f>'Statement Y'!L100</f>
        <v>5431</v>
      </c>
      <c r="N79" s="156">
        <f>'Statement Q'!C94</f>
        <v>0</v>
      </c>
      <c r="O79" s="156">
        <f>'Statement Q'!D94</f>
        <v>0</v>
      </c>
      <c r="P79" s="156">
        <f>'Statement Q'!E94</f>
        <v>0</v>
      </c>
      <c r="Q79" s="156">
        <f>'Statement Q'!F94</f>
        <v>6758</v>
      </c>
      <c r="R79" s="156">
        <f>'Statement Q'!G94</f>
        <v>4931</v>
      </c>
      <c r="S79" s="156">
        <f>'Statement Q'!H94</f>
        <v>4982</v>
      </c>
      <c r="T79" s="156">
        <f>'Statement Q'!I94</f>
        <v>5431</v>
      </c>
      <c r="U79" s="156">
        <f>'Statement Q'!J94</f>
        <v>6332</v>
      </c>
      <c r="W79" s="156">
        <f>U79</f>
        <v>6332</v>
      </c>
    </row>
    <row r="81" spans="2:23" ht="17" thickBot="1" x14ac:dyDescent="0.25">
      <c r="B81" s="15" t="s">
        <v>175</v>
      </c>
      <c r="C81" s="157"/>
      <c r="D81" s="157"/>
      <c r="E81" s="157"/>
      <c r="F81" s="157"/>
      <c r="G81" s="157"/>
      <c r="H81" s="157"/>
      <c r="I81" s="157"/>
      <c r="J81" s="157"/>
      <c r="K81" s="157"/>
      <c r="L81" s="157"/>
      <c r="N81" s="157"/>
      <c r="O81" s="157"/>
      <c r="P81" s="157"/>
      <c r="Q81" s="157"/>
      <c r="R81" s="157"/>
      <c r="S81" s="157"/>
      <c r="T81" s="157"/>
      <c r="U81" s="157"/>
      <c r="W81" s="157"/>
    </row>
    <row r="82" spans="2:23" x14ac:dyDescent="0.2">
      <c r="B82" s="9" t="s">
        <v>176</v>
      </c>
      <c r="C82" s="158">
        <f t="shared" ref="C82:L82" si="5">C22/C5</f>
        <v>0.19969251793645371</v>
      </c>
      <c r="D82" s="158">
        <f t="shared" si="5"/>
        <v>0.23199123527800602</v>
      </c>
      <c r="E82" s="158">
        <f t="shared" si="5"/>
        <v>0.28693244739756368</v>
      </c>
      <c r="F82" s="158">
        <f t="shared" si="5"/>
        <v>0.26425566198191747</v>
      </c>
      <c r="G82" s="158">
        <f t="shared" si="5"/>
        <v>0.40876593099160707</v>
      </c>
      <c r="H82" s="158">
        <f t="shared" si="5"/>
        <v>0.30547988596769082</v>
      </c>
      <c r="I82" s="158">
        <f t="shared" si="5"/>
        <v>0.27013518118823127</v>
      </c>
      <c r="J82" s="158">
        <f t="shared" si="5"/>
        <v>0.27966407336802512</v>
      </c>
      <c r="K82" s="158">
        <f t="shared" si="5"/>
        <v>0.30504533829342012</v>
      </c>
      <c r="L82" s="158">
        <f t="shared" si="5"/>
        <v>0.29997054987588878</v>
      </c>
      <c r="N82" s="161"/>
      <c r="O82" s="161"/>
      <c r="P82" s="161"/>
      <c r="Q82" s="161"/>
      <c r="R82" s="161"/>
      <c r="S82" s="161"/>
      <c r="T82" s="161"/>
      <c r="U82" s="161"/>
      <c r="W82" s="88">
        <f>W22/W5</f>
        <v>0.29476955792745269</v>
      </c>
    </row>
    <row r="83" spans="2:23" x14ac:dyDescent="0.2">
      <c r="B83" s="9" t="s">
        <v>177</v>
      </c>
      <c r="C83" s="159">
        <f t="shared" ref="C83:L83" si="6">C5/C38</f>
        <v>0.46105379223438608</v>
      </c>
      <c r="D83" s="159">
        <f t="shared" si="6"/>
        <v>0.50233902036323608</v>
      </c>
      <c r="E83" s="159">
        <f t="shared" si="6"/>
        <v>0.48111247269433638</v>
      </c>
      <c r="F83" s="159">
        <f t="shared" si="6"/>
        <v>0.53805028417300838</v>
      </c>
      <c r="G83" s="159">
        <f t="shared" si="6"/>
        <v>0.52989622796903313</v>
      </c>
      <c r="H83" s="159">
        <f t="shared" si="6"/>
        <v>0.57945743548327888</v>
      </c>
      <c r="I83" s="159">
        <f t="shared" si="6"/>
        <v>0.64811338118902995</v>
      </c>
      <c r="J83" s="159">
        <f t="shared" si="6"/>
        <v>0.65176802444675774</v>
      </c>
      <c r="K83" s="159">
        <f t="shared" si="6"/>
        <v>0.71137942441283497</v>
      </c>
      <c r="L83" s="159">
        <f t="shared" si="6"/>
        <v>0.80583807973962573</v>
      </c>
      <c r="N83" s="162"/>
      <c r="O83" s="162"/>
      <c r="P83" s="162"/>
      <c r="Q83" s="162"/>
      <c r="R83" s="162"/>
      <c r="S83" s="162"/>
      <c r="T83" s="162"/>
      <c r="U83" s="162"/>
      <c r="W83" s="165">
        <f>W5/W38</f>
        <v>0.8232224616213305</v>
      </c>
    </row>
    <row r="84" spans="2:23" x14ac:dyDescent="0.2">
      <c r="B84" s="11" t="s">
        <v>178</v>
      </c>
      <c r="C84" s="160">
        <f>C82*C83</f>
        <v>9.2068992675435141E-2</v>
      </c>
      <c r="D84" s="160">
        <f t="shared" ref="D84:H84" si="7">D82*D83</f>
        <v>0.11653824986241056</v>
      </c>
      <c r="E84" s="160">
        <f t="shared" si="7"/>
        <v>0.13804677926367948</v>
      </c>
      <c r="F84" s="160">
        <f t="shared" si="7"/>
        <v>0.14218283402369714</v>
      </c>
      <c r="G84" s="160">
        <f t="shared" si="7"/>
        <v>0.2166035249547027</v>
      </c>
      <c r="H84" s="160">
        <f t="shared" si="7"/>
        <v>0.1770125913145626</v>
      </c>
      <c r="I84" s="160">
        <f t="shared" ref="I84:L84" si="8">I82*I83</f>
        <v>0.17507822565801581</v>
      </c>
      <c r="J84" s="160">
        <f t="shared" si="8"/>
        <v>0.18227610060781085</v>
      </c>
      <c r="K84" s="160">
        <f t="shared" si="8"/>
        <v>0.21700297717499173</v>
      </c>
      <c r="L84" s="160">
        <f t="shared" si="8"/>
        <v>0.24172769189042584</v>
      </c>
      <c r="N84" s="163"/>
      <c r="O84" s="163"/>
      <c r="P84" s="163"/>
      <c r="Q84" s="163"/>
      <c r="R84" s="163"/>
      <c r="S84" s="163"/>
      <c r="T84" s="163"/>
      <c r="U84" s="163"/>
      <c r="W84" s="160">
        <f t="shared" ref="W84" si="9">W82*W83</f>
        <v>0.24266092108806897</v>
      </c>
    </row>
    <row r="85" spans="2:23" x14ac:dyDescent="0.2">
      <c r="B85" s="9" t="s">
        <v>179</v>
      </c>
      <c r="C85" s="159">
        <f t="shared" ref="C85:L85" si="10">C38/C58</f>
        <v>1.71003367003367</v>
      </c>
      <c r="D85" s="159">
        <f t="shared" si="10"/>
        <v>1.7182033096926714</v>
      </c>
      <c r="E85" s="159">
        <f t="shared" si="10"/>
        <v>2.0048066652424694</v>
      </c>
      <c r="F85" s="159">
        <f t="shared" si="10"/>
        <v>1.9716999050332384</v>
      </c>
      <c r="G85" s="159">
        <f t="shared" si="10"/>
        <v>1.8308202653799759</v>
      </c>
      <c r="H85" s="159">
        <f t="shared" si="10"/>
        <v>1.8409812799891869</v>
      </c>
      <c r="I85" s="159">
        <f t="shared" si="10"/>
        <v>1.9333143548501885</v>
      </c>
      <c r="J85" s="159">
        <f t="shared" si="10"/>
        <v>1.8028211647899262</v>
      </c>
      <c r="K85" s="159">
        <f t="shared" si="10"/>
        <v>2.1432116270825947</v>
      </c>
      <c r="L85" s="159">
        <f t="shared" si="10"/>
        <v>2.5377269207605608</v>
      </c>
      <c r="N85" s="164"/>
      <c r="O85" s="164"/>
      <c r="P85" s="164"/>
      <c r="Q85" s="164"/>
      <c r="R85" s="164"/>
      <c r="S85" s="164"/>
      <c r="T85" s="164"/>
      <c r="U85" s="164"/>
      <c r="W85" s="159">
        <f>W38/W58</f>
        <v>2.598093238869938</v>
      </c>
    </row>
    <row r="86" spans="2:23" x14ac:dyDescent="0.2">
      <c r="B86" s="11" t="s">
        <v>180</v>
      </c>
      <c r="C86" s="160">
        <f>C84*C85</f>
        <v>0.15744107744107744</v>
      </c>
      <c r="D86" s="160">
        <f t="shared" ref="D86:H86" si="11">D84*D85</f>
        <v>0.20023640661938533</v>
      </c>
      <c r="E86" s="160">
        <f t="shared" si="11"/>
        <v>0.27675710318308056</v>
      </c>
      <c r="F86" s="160">
        <f t="shared" si="11"/>
        <v>0.28034188034188035</v>
      </c>
      <c r="G86" s="160">
        <f t="shared" si="11"/>
        <v>0.39656212303980704</v>
      </c>
      <c r="H86" s="160">
        <f t="shared" si="11"/>
        <v>0.3258768669324863</v>
      </c>
      <c r="I86" s="160">
        <f t="shared" ref="I86:L86" si="12">I84*I85</f>
        <v>0.33848124688634257</v>
      </c>
      <c r="J86" s="160">
        <f t="shared" si="12"/>
        <v>0.32861121201113935</v>
      </c>
      <c r="K86" s="160">
        <f t="shared" si="12"/>
        <v>0.46508330379298118</v>
      </c>
      <c r="L86" s="160">
        <f t="shared" si="12"/>
        <v>0.61343887120364793</v>
      </c>
      <c r="N86" s="163"/>
      <c r="O86" s="163"/>
      <c r="P86" s="163"/>
      <c r="Q86" s="163"/>
      <c r="R86" s="163"/>
      <c r="S86" s="163"/>
      <c r="T86" s="163"/>
      <c r="U86" s="163"/>
      <c r="W86" s="160">
        <f t="shared" ref="W86" si="13">W84*W85</f>
        <v>0.63045569841686355</v>
      </c>
    </row>
    <row r="87" spans="2:23" x14ac:dyDescent="0.2">
      <c r="B87" s="11" t="s">
        <v>205</v>
      </c>
      <c r="C87" s="160">
        <f>C16/(C41+C46+C58-C27)</f>
        <v>0.26713419987580039</v>
      </c>
      <c r="D87" s="160">
        <f t="shared" ref="D87:L87" si="14">D16/(D41+D46+D58-D27)</f>
        <v>0.37995352320084486</v>
      </c>
      <c r="E87" s="160">
        <f t="shared" si="14"/>
        <v>0.25674184424105745</v>
      </c>
      <c r="F87" s="160">
        <f t="shared" si="14"/>
        <v>0.28691514946843227</v>
      </c>
      <c r="G87" s="160">
        <f t="shared" si="14"/>
        <v>0.46859551244075337</v>
      </c>
      <c r="H87" s="160">
        <f t="shared" si="14"/>
        <v>0.37372250254171024</v>
      </c>
      <c r="I87" s="160">
        <f t="shared" si="14"/>
        <v>0.39947409853176014</v>
      </c>
      <c r="J87" s="160">
        <f t="shared" si="14"/>
        <v>0.43127907781153368</v>
      </c>
      <c r="K87" s="160">
        <f t="shared" si="14"/>
        <v>0.45645170265130885</v>
      </c>
      <c r="L87" s="160">
        <f t="shared" si="14"/>
        <v>0.63242055551568566</v>
      </c>
      <c r="N87" s="163"/>
      <c r="O87" s="163"/>
      <c r="P87" s="163"/>
      <c r="Q87" s="163"/>
      <c r="R87" s="163"/>
      <c r="S87" s="163"/>
      <c r="T87" s="163"/>
      <c r="U87" s="163"/>
      <c r="W87" s="160">
        <f t="shared" ref="W87" si="15">W16/(W41+W46+W58-W27)</f>
        <v>0.67916734069340412</v>
      </c>
    </row>
    <row r="89" spans="2:23" ht="17" thickBot="1" x14ac:dyDescent="0.25">
      <c r="B89" s="157" t="s">
        <v>113</v>
      </c>
      <c r="C89" s="157"/>
      <c r="D89" s="157"/>
      <c r="E89" s="157"/>
      <c r="F89" s="157"/>
      <c r="G89" s="157"/>
      <c r="H89" s="157"/>
      <c r="I89" s="157"/>
      <c r="J89" s="157"/>
      <c r="K89" s="157"/>
      <c r="L89" s="157"/>
      <c r="N89" s="157"/>
      <c r="O89" s="157"/>
      <c r="P89" s="157"/>
      <c r="Q89" s="157"/>
      <c r="R89" s="157"/>
      <c r="S89" s="157"/>
      <c r="T89" s="157"/>
      <c r="U89" s="157"/>
      <c r="W89" s="157"/>
    </row>
    <row r="90" spans="2:23" x14ac:dyDescent="0.2">
      <c r="B90" s="11" t="s">
        <v>6</v>
      </c>
      <c r="C90" s="162"/>
      <c r="D90" s="160">
        <f t="shared" ref="D90:L90" si="16">(D5-C5)/C5</f>
        <v>0.24735223778612914</v>
      </c>
      <c r="E90" s="160">
        <f t="shared" si="16"/>
        <v>0.23664749383730485</v>
      </c>
      <c r="F90" s="160">
        <f t="shared" si="16"/>
        <v>0.23709856035437432</v>
      </c>
      <c r="G90" s="160">
        <f t="shared" si="16"/>
        <v>0.151911198639334</v>
      </c>
      <c r="H90" s="160">
        <f t="shared" si="16"/>
        <v>0.22668635374572582</v>
      </c>
      <c r="I90" s="160">
        <f t="shared" si="16"/>
        <v>0.11536268609439342</v>
      </c>
      <c r="J90" s="160">
        <f t="shared" si="16"/>
        <v>0.10240826990798592</v>
      </c>
      <c r="K90" s="160">
        <f t="shared" si="16"/>
        <v>0.10799113813179453</v>
      </c>
      <c r="L90" s="160">
        <f t="shared" si="16"/>
        <v>0.10527784236224134</v>
      </c>
      <c r="N90" s="162"/>
      <c r="O90" s="160">
        <f t="shared" ref="O90:U91" si="17">(O5-N5)/N5</f>
        <v>1.8647579581842155E-2</v>
      </c>
      <c r="P90" s="160">
        <f t="shared" si="17"/>
        <v>3.6612426035502958E-2</v>
      </c>
      <c r="Q90" s="160">
        <f t="shared" si="17"/>
        <v>1.9265073135925792E-2</v>
      </c>
      <c r="R90" s="160">
        <f t="shared" si="17"/>
        <v>2.7826391319565977E-2</v>
      </c>
      <c r="S90" s="160">
        <f t="shared" si="17"/>
        <v>1.9581134003064875E-2</v>
      </c>
      <c r="T90" s="160">
        <f t="shared" si="17"/>
        <v>3.4402137608550432E-2</v>
      </c>
      <c r="U90" s="160">
        <f t="shared" si="17"/>
        <v>3.2935098482402322E-2</v>
      </c>
      <c r="W90" s="162"/>
    </row>
    <row r="91" spans="2:23" x14ac:dyDescent="0.2">
      <c r="B91" s="9" t="s">
        <v>7</v>
      </c>
      <c r="C91" s="162"/>
      <c r="D91" s="158">
        <f t="shared" ref="D91:L91" si="18">(D6-C6)/C6</f>
        <v>0.23170731707317074</v>
      </c>
      <c r="E91" s="158">
        <f t="shared" si="18"/>
        <v>0.18316831683168316</v>
      </c>
      <c r="F91" s="158">
        <f t="shared" si="18"/>
        <v>0.4</v>
      </c>
      <c r="G91" s="158">
        <f t="shared" si="18"/>
        <v>2.9288702928870293E-2</v>
      </c>
      <c r="H91" s="158">
        <f t="shared" si="18"/>
        <v>8.3042973286875724E-2</v>
      </c>
      <c r="I91" s="158">
        <f t="shared" si="18"/>
        <v>0.16085790884718498</v>
      </c>
      <c r="J91" s="158">
        <f t="shared" si="18"/>
        <v>8.729792147806005E-2</v>
      </c>
      <c r="K91" s="158">
        <f t="shared" si="18"/>
        <v>1.6992353440951572E-3</v>
      </c>
      <c r="L91" s="158">
        <f t="shared" si="18"/>
        <v>8.1849024597116196E-2</v>
      </c>
      <c r="N91" s="162"/>
      <c r="O91" s="158">
        <f t="shared" si="17"/>
        <v>-7.3578595317725759E-2</v>
      </c>
      <c r="P91" s="158">
        <f t="shared" si="17"/>
        <v>0.11191335740072202</v>
      </c>
      <c r="Q91" s="158">
        <f t="shared" si="17"/>
        <v>9.74025974025974E-3</v>
      </c>
      <c r="R91" s="158">
        <f t="shared" si="17"/>
        <v>2.5723472668810289E-2</v>
      </c>
      <c r="S91" s="158">
        <f t="shared" si="17"/>
        <v>6.269592476489028E-3</v>
      </c>
      <c r="T91" s="158">
        <f t="shared" si="17"/>
        <v>1.0903426791277258E-2</v>
      </c>
      <c r="U91" s="158">
        <f t="shared" si="17"/>
        <v>2.3112480739599383E-2</v>
      </c>
      <c r="W91" s="162"/>
    </row>
    <row r="92" spans="2:23" x14ac:dyDescent="0.2">
      <c r="B92" s="11" t="s">
        <v>8</v>
      </c>
      <c r="C92" s="162"/>
      <c r="D92" s="160">
        <f t="shared" ref="D92:L92" si="19">IF(C7=0,
IF(D7=0,0,IF(D7&gt;0,1,-1)),
(D7-C7)/ABS(C7)
)</f>
        <v>0.24990067540723082</v>
      </c>
      <c r="E92" s="160">
        <f t="shared" si="19"/>
        <v>0.24523204068658613</v>
      </c>
      <c r="F92" s="160">
        <f t="shared" si="19"/>
        <v>0.21225271218889599</v>
      </c>
      <c r="G92" s="160">
        <f t="shared" si="19"/>
        <v>0.17351021267635292</v>
      </c>
      <c r="H92" s="160">
        <f t="shared" si="19"/>
        <v>0.24887852144267</v>
      </c>
      <c r="I92" s="160">
        <f t="shared" si="19"/>
        <v>0.10926724137931035</v>
      </c>
      <c r="J92" s="160">
        <f t="shared" si="19"/>
        <v>0.10452690887895862</v>
      </c>
      <c r="K92" s="160">
        <f t="shared" si="19"/>
        <v>0.122661975960129</v>
      </c>
      <c r="L92" s="160">
        <f t="shared" si="19"/>
        <v>0.10816315871938163</v>
      </c>
      <c r="N92" s="162"/>
      <c r="O92" s="160">
        <f t="shared" ref="O92:U92" si="20">IF(N7=0,
IF(O7=0,0,IF(O7&gt;0,1,-1)),
(O7-N7)/ABS(N7)
)</f>
        <v>3.0354489492676714E-2</v>
      </c>
      <c r="P92" s="160">
        <f t="shared" si="20"/>
        <v>2.8018129377832716E-2</v>
      </c>
      <c r="Q92" s="160">
        <f t="shared" si="20"/>
        <v>2.0440881763527055E-2</v>
      </c>
      <c r="R92" s="160">
        <f t="shared" si="20"/>
        <v>2.8083267871170464E-2</v>
      </c>
      <c r="S92" s="160">
        <f t="shared" si="20"/>
        <v>2.1203438395415473E-2</v>
      </c>
      <c r="T92" s="160">
        <f t="shared" si="20"/>
        <v>3.7224092779648332E-2</v>
      </c>
      <c r="U92" s="160">
        <f t="shared" si="20"/>
        <v>3.4084761045987379E-2</v>
      </c>
      <c r="W92" s="162"/>
    </row>
    <row r="93" spans="2:23" x14ac:dyDescent="0.2">
      <c r="B93" s="12" t="s">
        <v>11</v>
      </c>
      <c r="C93" s="162"/>
      <c r="D93" s="158">
        <f t="shared" ref="D93:L93" si="21">IF(C13=0,
IF(D13=0,0,IF(D13&gt;0,1,-1)),
(D13-C13)/ABS(C13)
)</f>
        <v>0.16464275628353572</v>
      </c>
      <c r="E93" s="158">
        <f t="shared" si="21"/>
        <v>0.2112027158098933</v>
      </c>
      <c r="F93" s="158">
        <f t="shared" si="21"/>
        <v>0.24724724724724725</v>
      </c>
      <c r="G93" s="158">
        <f t="shared" si="21"/>
        <v>0.10898876404494381</v>
      </c>
      <c r="H93" s="158">
        <f t="shared" si="21"/>
        <v>0.17498914459400783</v>
      </c>
      <c r="I93" s="158">
        <f t="shared" si="21"/>
        <v>0.15089923626508991</v>
      </c>
      <c r="J93" s="158">
        <f t="shared" si="21"/>
        <v>0.11366798672803168</v>
      </c>
      <c r="K93" s="158">
        <f t="shared" si="21"/>
        <v>0.19231138875540604</v>
      </c>
      <c r="L93" s="158">
        <f t="shared" si="21"/>
        <v>8.5442527809124619E-3</v>
      </c>
      <c r="N93" s="162"/>
      <c r="O93" s="158">
        <f t="shared" ref="O93:U94" si="22">IF(N13=0,
IF(O13=0,0,IF(O13&gt;0,1,-1)),
(O13-N13)/ABS(N13)
)</f>
        <v>1.2738853503184714E-2</v>
      </c>
      <c r="P93" s="158">
        <f t="shared" si="22"/>
        <v>5.9748427672955975E-2</v>
      </c>
      <c r="Q93" s="158">
        <f t="shared" si="22"/>
        <v>-3.4289482360698981E-2</v>
      </c>
      <c r="R93" s="158">
        <f t="shared" si="22"/>
        <v>6.7258449982929333E-2</v>
      </c>
      <c r="S93" s="158">
        <f t="shared" si="22"/>
        <v>1.5035188739603326E-2</v>
      </c>
      <c r="T93" s="158">
        <f t="shared" si="22"/>
        <v>3.4982666246454457E-2</v>
      </c>
      <c r="U93" s="158">
        <f t="shared" si="22"/>
        <v>9.7442143727161992E-3</v>
      </c>
      <c r="W93" s="162"/>
    </row>
    <row r="94" spans="2:23" x14ac:dyDescent="0.2">
      <c r="B94" s="11" t="s">
        <v>12</v>
      </c>
      <c r="C94" s="162"/>
      <c r="D94" s="160">
        <f t="shared" ref="D94:L94" si="23">IF(C14=0,
IF(D14=0,0,IF(D14&gt;0,1,-1)),
(D14-C14)/ABS(C14)
)</f>
        <v>0.45113788487282463</v>
      </c>
      <c r="E94" s="160">
        <f t="shared" si="23"/>
        <v>0.30996309963099633</v>
      </c>
      <c r="F94" s="160">
        <f t="shared" si="23"/>
        <v>0.15070422535211267</v>
      </c>
      <c r="G94" s="160">
        <f t="shared" si="23"/>
        <v>0.29651162790697677</v>
      </c>
      <c r="H94" s="160">
        <f t="shared" si="23"/>
        <v>0.36936511682794432</v>
      </c>
      <c r="I94" s="160">
        <f t="shared" si="23"/>
        <v>5.1016890727335402E-2</v>
      </c>
      <c r="J94" s="160">
        <f t="shared" si="23"/>
        <v>9.0521482453263372E-2</v>
      </c>
      <c r="K94" s="160">
        <f t="shared" si="23"/>
        <v>1.368421052631579E-2</v>
      </c>
      <c r="L94" s="160">
        <f t="shared" si="23"/>
        <v>0.29149977748108591</v>
      </c>
      <c r="N94" s="162"/>
      <c r="O94" s="160">
        <f t="shared" si="22"/>
        <v>5.6763925729442971E-2</v>
      </c>
      <c r="P94" s="160">
        <f t="shared" si="22"/>
        <v>-1.7570281124497992E-2</v>
      </c>
      <c r="Q94" s="160">
        <f t="shared" si="22"/>
        <v>0.10526315789473684</v>
      </c>
      <c r="R94" s="160">
        <f t="shared" si="22"/>
        <v>-2.4965325936199722E-2</v>
      </c>
      <c r="S94" s="160">
        <f t="shared" si="22"/>
        <v>3.0346135609293504E-2</v>
      </c>
      <c r="T94" s="160">
        <f t="shared" si="22"/>
        <v>4.049700874367234E-2</v>
      </c>
      <c r="U94" s="160">
        <f t="shared" si="22"/>
        <v>6.9438301636444058E-2</v>
      </c>
      <c r="W94" s="162"/>
    </row>
    <row r="95" spans="2:23" x14ac:dyDescent="0.2">
      <c r="B95" s="11" t="s">
        <v>13</v>
      </c>
      <c r="C95" s="162"/>
      <c r="D95" s="160">
        <f t="shared" ref="D95:L95" si="24">IF(C20=0,
IF(D20=0,0,IF(D20&gt;0,1,-1)),
(D20-C20)/ABS(C20)
)</f>
        <v>0.48989547038327524</v>
      </c>
      <c r="E95" s="160">
        <f t="shared" si="24"/>
        <v>0.30682881197380729</v>
      </c>
      <c r="F95" s="160">
        <f t="shared" si="24"/>
        <v>0.1471009305654975</v>
      </c>
      <c r="G95" s="160">
        <f t="shared" si="24"/>
        <v>0.30296411856474259</v>
      </c>
      <c r="H95" s="160">
        <f t="shared" si="24"/>
        <v>0.36613984674329503</v>
      </c>
      <c r="I95" s="160">
        <f t="shared" si="24"/>
        <v>5.3111305872042068E-2</v>
      </c>
      <c r="J95" s="160">
        <f t="shared" si="24"/>
        <v>0.13165778961384819</v>
      </c>
      <c r="K95" s="160">
        <f t="shared" si="24"/>
        <v>1.9414619797028975E-2</v>
      </c>
      <c r="L95" s="160">
        <f t="shared" si="24"/>
        <v>0.26013562256528638</v>
      </c>
      <c r="N95" s="162"/>
      <c r="O95" s="160">
        <f t="shared" ref="O95:U95" si="25">IF(N20=0,
IF(O20=0,0,IF(O20&gt;0,1,-1)),
(O20-N20)/ABS(N20)
)</f>
        <v>5.8031088082901555E-2</v>
      </c>
      <c r="P95" s="160">
        <f t="shared" si="25"/>
        <v>-2.4975514201762979E-2</v>
      </c>
      <c r="Q95" s="160">
        <f t="shared" si="25"/>
        <v>9.5931692616775491E-2</v>
      </c>
      <c r="R95" s="160">
        <f t="shared" si="25"/>
        <v>-3.7121906507791021E-2</v>
      </c>
      <c r="S95" s="160">
        <f t="shared" si="25"/>
        <v>4.0932889100428367E-2</v>
      </c>
      <c r="T95" s="160">
        <f t="shared" si="25"/>
        <v>3.5208047553726564E-2</v>
      </c>
      <c r="U95" s="160">
        <f t="shared" si="25"/>
        <v>6.9787985865724378E-2</v>
      </c>
      <c r="W95" s="162"/>
    </row>
    <row r="96" spans="2:23" x14ac:dyDescent="0.2">
      <c r="B96" s="11" t="s">
        <v>14</v>
      </c>
      <c r="C96" s="162"/>
      <c r="D96" s="160">
        <f t="shared" ref="D96:L96" si="26">IF(C22=0,
IF(D22=0,0,IF(D22&gt;0,1,-1)),
(D22-C22)/ABS(C22)
)</f>
        <v>0.44910179640718562</v>
      </c>
      <c r="E96" s="160">
        <f t="shared" si="26"/>
        <v>0.52951593860684765</v>
      </c>
      <c r="F96" s="160">
        <f t="shared" si="26"/>
        <v>0.13932844461597838</v>
      </c>
      <c r="G96" s="160">
        <f t="shared" si="26"/>
        <v>0.78184281842818426</v>
      </c>
      <c r="H96" s="160">
        <f t="shared" si="26"/>
        <v>-8.3269961977186308E-2</v>
      </c>
      <c r="I96" s="160">
        <f t="shared" si="26"/>
        <v>-1.3687266694317711E-2</v>
      </c>
      <c r="J96" s="160">
        <f t="shared" si="26"/>
        <v>0.14129520605550883</v>
      </c>
      <c r="K96" s="160">
        <f t="shared" si="26"/>
        <v>0.20854826823876196</v>
      </c>
      <c r="L96" s="160">
        <f t="shared" si="26"/>
        <v>8.6890243902439018E-2</v>
      </c>
      <c r="N96" s="162"/>
      <c r="O96" s="160">
        <f t="shared" ref="O96:U96" si="27">IF(N22=0,
IF(O22=0,0,IF(O22&gt;0,1,-1)),
(O22-N22)/ABS(N22)
)</f>
        <v>7.056579783852511E-2</v>
      </c>
      <c r="P96" s="160">
        <f t="shared" si="27"/>
        <v>-5.9382422802850359E-4</v>
      </c>
      <c r="Q96" s="160">
        <f t="shared" si="27"/>
        <v>7.6054664289958412E-2</v>
      </c>
      <c r="R96" s="160">
        <f t="shared" si="27"/>
        <v>-6.6261733848702375E-2</v>
      </c>
      <c r="S96" s="160">
        <f t="shared" si="27"/>
        <v>4.7900650502661145E-2</v>
      </c>
      <c r="T96" s="160">
        <f t="shared" si="27"/>
        <v>4.740406320541761E-2</v>
      </c>
      <c r="U96" s="160">
        <f t="shared" si="27"/>
        <v>1.7780172413793104E-2</v>
      </c>
      <c r="W96" s="162"/>
    </row>
    <row r="97" spans="2:23" x14ac:dyDescent="0.2">
      <c r="B97" s="12" t="s">
        <v>16</v>
      </c>
      <c r="C97" s="162"/>
      <c r="D97" s="158">
        <f>(D23-C23)/C23</f>
        <v>-5.9523809523809521E-3</v>
      </c>
      <c r="E97" s="158">
        <f t="shared" ref="E97:L97" si="28">(E23-D23)/D23</f>
        <v>-5.9880239520958087E-3</v>
      </c>
      <c r="F97" s="158">
        <f t="shared" si="28"/>
        <v>-1.2048192771084338E-2</v>
      </c>
      <c r="G97" s="158">
        <f t="shared" si="28"/>
        <v>-1.4227642276422764E-2</v>
      </c>
      <c r="H97" s="158">
        <f t="shared" si="28"/>
        <v>-8.2474226804123713E-3</v>
      </c>
      <c r="I97" s="158">
        <f t="shared" si="28"/>
        <v>-2.0790020790020791E-2</v>
      </c>
      <c r="J97" s="158">
        <f t="shared" si="28"/>
        <v>-2.5477707006369428E-2</v>
      </c>
      <c r="K97" s="158">
        <f t="shared" si="28"/>
        <v>-1.9607843137254902E-2</v>
      </c>
      <c r="L97" s="158">
        <f t="shared" si="28"/>
        <v>-5.1111111111111114E-2</v>
      </c>
      <c r="N97" s="162"/>
      <c r="O97" s="158">
        <f>(O23-N23)/N23</f>
        <v>-6.6518847006651885E-3</v>
      </c>
      <c r="P97" s="158">
        <f t="shared" ref="P97:U97" si="29">(P23-O23)/O23</f>
        <v>-1.1160714285714286E-2</v>
      </c>
      <c r="Q97" s="158">
        <f t="shared" si="29"/>
        <v>-1.1286681715575621E-2</v>
      </c>
      <c r="R97" s="158">
        <f t="shared" si="29"/>
        <v>-2.0547945205479451E-2</v>
      </c>
      <c r="S97" s="158">
        <f t="shared" si="29"/>
        <v>-1.1655011655011656E-2</v>
      </c>
      <c r="T97" s="158">
        <f t="shared" si="29"/>
        <v>-1.6509433962264151E-2</v>
      </c>
      <c r="U97" s="158">
        <f t="shared" si="29"/>
        <v>-1.4388489208633094E-2</v>
      </c>
      <c r="W97" s="162"/>
    </row>
    <row r="98" spans="2:23" x14ac:dyDescent="0.2">
      <c r="B98" s="12" t="s">
        <v>18</v>
      </c>
      <c r="C98" s="162"/>
      <c r="D98" s="158">
        <f t="shared" ref="D98:L98" si="30">IF(C24=0,
IF(D24=0,0,IF(D24&gt;0,1,-1)),
(D24-C24)/ABS(C24)
)</f>
        <v>0.45689655172413801</v>
      </c>
      <c r="E98" s="158">
        <f t="shared" si="30"/>
        <v>0.53846153846153855</v>
      </c>
      <c r="F98" s="158">
        <f t="shared" si="30"/>
        <v>0.1538461538461538</v>
      </c>
      <c r="G98" s="158">
        <f t="shared" si="30"/>
        <v>0.80500000000000005</v>
      </c>
      <c r="H98" s="158">
        <f t="shared" si="30"/>
        <v>-7.4792243767313069E-2</v>
      </c>
      <c r="I98" s="158">
        <f t="shared" si="30"/>
        <v>7.9840319361277525E-3</v>
      </c>
      <c r="J98" s="158">
        <f t="shared" si="30"/>
        <v>0.17029702970297037</v>
      </c>
      <c r="K98" s="158">
        <f t="shared" si="30"/>
        <v>0.23331453280691855</v>
      </c>
      <c r="L98" s="158">
        <f t="shared" si="30"/>
        <v>0.14557926829268289</v>
      </c>
      <c r="N98" s="162"/>
      <c r="O98" s="158">
        <f t="shared" ref="O98:U98" si="31">IF(N24=0,
IF(O24=0,0,IF(O24&gt;0,1,-1)),
(O24-N24)/ABS(N24)
)</f>
        <v>7.7363896848137409E-2</v>
      </c>
      <c r="P98" s="158">
        <f t="shared" si="31"/>
        <v>7.9787234042553862E-3</v>
      </c>
      <c r="Q98" s="158">
        <f t="shared" si="31"/>
        <v>9.2348284960422064E-2</v>
      </c>
      <c r="R98" s="158">
        <f t="shared" si="31"/>
        <v>-4.830917874396129E-2</v>
      </c>
      <c r="S98" s="158">
        <f t="shared" si="31"/>
        <v>6.0913705583756285E-2</v>
      </c>
      <c r="T98" s="158">
        <f t="shared" si="31"/>
        <v>6.4593301435406814E-2</v>
      </c>
      <c r="U98" s="158">
        <f t="shared" si="31"/>
        <v>3.3707865168539207E-2</v>
      </c>
      <c r="W98" s="162"/>
    </row>
    <row r="100" spans="2:23" ht="17" thickBot="1" x14ac:dyDescent="0.25">
      <c r="B100" s="15" t="s">
        <v>88</v>
      </c>
      <c r="C100" s="14"/>
      <c r="D100" s="14"/>
      <c r="E100" s="14"/>
      <c r="F100" s="14"/>
      <c r="G100" s="14"/>
      <c r="H100" s="14"/>
      <c r="I100" s="14"/>
      <c r="J100" s="14"/>
      <c r="K100" s="14"/>
      <c r="L100" s="14"/>
      <c r="N100" s="14"/>
      <c r="O100" s="14"/>
      <c r="P100" s="14"/>
      <c r="Q100" s="14"/>
      <c r="R100" s="14"/>
      <c r="S100" s="14"/>
      <c r="T100" s="14"/>
      <c r="U100" s="14"/>
      <c r="W100" s="14"/>
    </row>
    <row r="101" spans="2:23" x14ac:dyDescent="0.2">
      <c r="B101" s="9" t="s">
        <v>89</v>
      </c>
      <c r="C101" s="74">
        <f t="shared" ref="C101:I101" si="32">C7/C5</f>
        <v>0.85992483771779982</v>
      </c>
      <c r="D101" s="74">
        <f t="shared" si="32"/>
        <v>0.86168173103259382</v>
      </c>
      <c r="E101" s="74">
        <f t="shared" si="32"/>
        <v>0.86766334440753046</v>
      </c>
      <c r="F101" s="74">
        <f t="shared" si="32"/>
        <v>0.85023722137677915</v>
      </c>
      <c r="G101" s="74">
        <f t="shared" si="32"/>
        <v>0.86617967050046629</v>
      </c>
      <c r="H101" s="74">
        <f t="shared" si="32"/>
        <v>0.88184985745961353</v>
      </c>
      <c r="I101" s="74">
        <f t="shared" si="32"/>
        <v>0.87703055776439853</v>
      </c>
      <c r="J101" s="74">
        <f t="shared" ref="J101:L101" si="33">J7/J5</f>
        <v>0.87871605955999799</v>
      </c>
      <c r="K101" s="74">
        <f t="shared" si="33"/>
        <v>0.89035108114392003</v>
      </c>
      <c r="L101" s="74">
        <f t="shared" si="33"/>
        <v>0.89267533341747651</v>
      </c>
      <c r="N101" s="74">
        <f t="shared" ref="N101:U101" si="34">N7/N5</f>
        <v>0.88736108495008481</v>
      </c>
      <c r="O101" s="74">
        <f t="shared" si="34"/>
        <v>0.8975591715976331</v>
      </c>
      <c r="P101" s="74">
        <f t="shared" si="34"/>
        <v>0.89011773100249736</v>
      </c>
      <c r="Q101" s="74">
        <f t="shared" si="34"/>
        <v>0.89114455722786134</v>
      </c>
      <c r="R101" s="74">
        <f t="shared" si="34"/>
        <v>0.89136727396560533</v>
      </c>
      <c r="S101" s="74">
        <f t="shared" si="34"/>
        <v>0.89278557114228452</v>
      </c>
      <c r="T101" s="74">
        <f t="shared" si="34"/>
        <v>0.89522118178882792</v>
      </c>
      <c r="U101" s="74">
        <f t="shared" si="34"/>
        <v>0.89621756798999686</v>
      </c>
      <c r="W101" s="74">
        <f>W7/W5</f>
        <v>0.89395984132826234</v>
      </c>
    </row>
    <row r="102" spans="2:23" x14ac:dyDescent="0.2">
      <c r="B102" s="9" t="s">
        <v>90</v>
      </c>
      <c r="C102" s="74">
        <f t="shared" ref="C102:I102" si="35">C14/C5</f>
        <v>0.25521011274342331</v>
      </c>
      <c r="D102" s="74">
        <f t="shared" si="35"/>
        <v>0.29690495754587787</v>
      </c>
      <c r="E102" s="74">
        <f t="shared" si="35"/>
        <v>0.31450719822812845</v>
      </c>
      <c r="F102" s="74">
        <f t="shared" si="35"/>
        <v>0.29254319219407393</v>
      </c>
      <c r="G102" s="74">
        <f t="shared" si="35"/>
        <v>0.32926639726453216</v>
      </c>
      <c r="H102" s="74">
        <f t="shared" si="35"/>
        <v>0.36756414317389929</v>
      </c>
      <c r="I102" s="74">
        <f t="shared" si="35"/>
        <v>0.34635919572872886</v>
      </c>
      <c r="J102" s="74">
        <f t="shared" ref="J102:L102" si="36">J14/J5</f>
        <v>0.3426245556185275</v>
      </c>
      <c r="K102" s="74">
        <f t="shared" si="36"/>
        <v>0.31346198558474775</v>
      </c>
      <c r="L102" s="74">
        <f t="shared" si="36"/>
        <v>0.36627540073204595</v>
      </c>
      <c r="N102" s="74">
        <f t="shared" ref="N102:U102" si="37">N14/N5</f>
        <v>0.35505744961386326</v>
      </c>
      <c r="O102" s="74">
        <f t="shared" si="37"/>
        <v>0.36834319526627218</v>
      </c>
      <c r="P102" s="74">
        <f t="shared" si="37"/>
        <v>0.34909026043524793</v>
      </c>
      <c r="Q102" s="74">
        <f t="shared" si="37"/>
        <v>0.37854392719635982</v>
      </c>
      <c r="R102" s="74">
        <f t="shared" si="37"/>
        <v>0.35910097054316364</v>
      </c>
      <c r="S102" s="74">
        <f t="shared" si="37"/>
        <v>0.36289245156980626</v>
      </c>
      <c r="T102" s="74">
        <f t="shared" si="37"/>
        <v>0.36503067484662577</v>
      </c>
      <c r="U102" s="74">
        <f t="shared" si="37"/>
        <v>0.37793060331353551</v>
      </c>
      <c r="W102" s="74">
        <f>W14/W5</f>
        <v>0.36645810330020856</v>
      </c>
    </row>
    <row r="103" spans="2:23" x14ac:dyDescent="0.2">
      <c r="B103" s="81" t="s">
        <v>91</v>
      </c>
      <c r="C103" s="167">
        <f t="shared" ref="C103:I103" si="38">C22/C5</f>
        <v>0.19969251793645371</v>
      </c>
      <c r="D103" s="167">
        <f t="shared" si="38"/>
        <v>0.23199123527800602</v>
      </c>
      <c r="E103" s="167">
        <f t="shared" si="38"/>
        <v>0.28693244739756368</v>
      </c>
      <c r="F103" s="167">
        <f t="shared" si="38"/>
        <v>0.26425566198191747</v>
      </c>
      <c r="G103" s="167">
        <f t="shared" si="38"/>
        <v>0.40876593099160707</v>
      </c>
      <c r="H103" s="167">
        <f t="shared" si="38"/>
        <v>0.30547988596769082</v>
      </c>
      <c r="I103" s="167">
        <f t="shared" si="38"/>
        <v>0.27013518118823127</v>
      </c>
      <c r="J103" s="167">
        <f t="shared" ref="J103:L103" si="39">J22/J5</f>
        <v>0.27966407336802512</v>
      </c>
      <c r="K103" s="167">
        <f t="shared" si="39"/>
        <v>0.30504533829342012</v>
      </c>
      <c r="L103" s="167">
        <f t="shared" si="39"/>
        <v>0.29997054987588878</v>
      </c>
      <c r="N103" s="167">
        <f t="shared" ref="N103:U103" si="40">N22/N5</f>
        <v>0.29628932002260311</v>
      </c>
      <c r="O103" s="167">
        <f t="shared" si="40"/>
        <v>0.31139053254437871</v>
      </c>
      <c r="P103" s="167">
        <f t="shared" si="40"/>
        <v>0.30021405636817694</v>
      </c>
      <c r="Q103" s="167">
        <f t="shared" si="40"/>
        <v>0.31694084704235209</v>
      </c>
      <c r="R103" s="167">
        <f t="shared" si="40"/>
        <v>0.28792780521028433</v>
      </c>
      <c r="S103" s="167">
        <f t="shared" si="40"/>
        <v>0.29592518370073478</v>
      </c>
      <c r="T103" s="167">
        <f t="shared" si="40"/>
        <v>0.29964481756538586</v>
      </c>
      <c r="U103" s="167">
        <f t="shared" si="40"/>
        <v>0.29524851516098782</v>
      </c>
      <c r="W103" s="167">
        <f>W22/W5</f>
        <v>0.29476955792745269</v>
      </c>
    </row>
  </sheetData>
  <pageMargins left="0.7" right="0.7" top="0.75" bottom="0.75" header="0.3" footer="0.3"/>
  <ignoredErrors>
    <ignoredError sqref="W23 C85:H85 W85 I85:L85 D97:L97 O97:U97 W16" formula="1"/>
    <ignoredError sqref="N67:U67 C67:L67 W71 W73"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9" customFormat="1" ht="49" x14ac:dyDescent="0.2">
      <c r="B13" s="101" t="s">
        <v>109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zoomScale="163" zoomScaleNormal="75" workbookViewId="0">
      <selection activeCell="J15" sqref="J15"/>
    </sheetView>
  </sheetViews>
  <sheetFormatPr baseColWidth="10" defaultRowHeight="16" x14ac:dyDescent="0.2"/>
  <cols>
    <col min="1" max="1" width="2" style="98"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110</v>
      </c>
      <c r="O1" s="115"/>
    </row>
    <row r="2" spans="1:31" x14ac:dyDescent="0.2">
      <c r="A2" s="99"/>
      <c r="C2" s="215" t="s">
        <v>102</v>
      </c>
      <c r="D2" s="215"/>
      <c r="E2" s="215"/>
      <c r="F2" s="215"/>
      <c r="G2" s="218"/>
      <c r="H2" s="219" t="s">
        <v>103</v>
      </c>
      <c r="I2" s="215"/>
      <c r="J2" s="215"/>
      <c r="K2" s="215"/>
      <c r="L2" s="215"/>
      <c r="O2" s="89"/>
      <c r="S2" s="215" t="s">
        <v>102</v>
      </c>
      <c r="T2" s="215"/>
      <c r="U2" s="215"/>
      <c r="V2" s="215"/>
      <c r="W2" s="215"/>
      <c r="X2" s="215"/>
      <c r="Y2" s="215"/>
      <c r="Z2" s="215"/>
      <c r="AA2" s="215" t="s">
        <v>103</v>
      </c>
      <c r="AB2" s="215"/>
      <c r="AC2" s="215"/>
      <c r="AE2" s="116" t="s">
        <v>74</v>
      </c>
    </row>
    <row r="3" spans="1:31" ht="10" customHeight="1" x14ac:dyDescent="0.2">
      <c r="O3" s="89"/>
    </row>
    <row r="4" spans="1:31" ht="16" customHeight="1" x14ac:dyDescent="0.2">
      <c r="A4" s="104"/>
      <c r="B4" s="91"/>
      <c r="C4" s="220" t="s">
        <v>111</v>
      </c>
      <c r="D4" s="220"/>
      <c r="E4" s="220"/>
      <c r="F4" s="220"/>
      <c r="G4" s="220"/>
      <c r="H4" s="220"/>
      <c r="I4" s="220"/>
      <c r="J4" s="220"/>
      <c r="K4" s="220"/>
      <c r="L4" s="220"/>
      <c r="O4" s="89"/>
      <c r="S4" s="216" t="s">
        <v>111</v>
      </c>
      <c r="T4" s="217"/>
      <c r="U4" s="217"/>
      <c r="V4" s="217"/>
      <c r="W4" s="217"/>
      <c r="X4" s="217"/>
      <c r="Y4" s="217"/>
      <c r="Z4" s="217"/>
      <c r="AA4" s="217"/>
      <c r="AB4" s="217"/>
      <c r="AC4" s="217"/>
      <c r="AE4" s="118" t="s">
        <v>334</v>
      </c>
    </row>
    <row r="5" spans="1:31"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9"/>
      <c r="R5" s="7" t="s">
        <v>112</v>
      </c>
      <c r="S5" s="61" t="str">
        <f>'Statement Q'!C3</f>
        <v>Q2 2024</v>
      </c>
      <c r="T5" s="61" t="str">
        <f>'Statement Q'!D3</f>
        <v>Q3 2024</v>
      </c>
      <c r="U5" s="61" t="str">
        <f>'Statement Q'!E3</f>
        <v>Q4 2024</v>
      </c>
      <c r="V5" s="61" t="str">
        <f>'Statement Q'!F3</f>
        <v>Q1 2025</v>
      </c>
      <c r="W5" s="61" t="str">
        <f>'Statement Q'!G3</f>
        <v>Q2 2025</v>
      </c>
      <c r="X5" s="61" t="str">
        <f>'Statement Q'!H3</f>
        <v>Q3 2025</v>
      </c>
      <c r="Y5" s="61" t="str">
        <f>'Statement Q'!I3</f>
        <v>Q4 2025</v>
      </c>
      <c r="Z5" s="61" t="str">
        <f>'Statement Q'!J3</f>
        <v>Q1 2026</v>
      </c>
      <c r="AA5" s="61" t="s">
        <v>115</v>
      </c>
      <c r="AB5" s="61" t="s">
        <v>116</v>
      </c>
      <c r="AC5" s="61" t="s">
        <v>117</v>
      </c>
      <c r="AE5" s="60" t="s">
        <v>115</v>
      </c>
    </row>
    <row r="6" spans="1:31" x14ac:dyDescent="0.2">
      <c r="B6" s="1" t="str">
        <f>'Statement Y'!B153</f>
        <v>Subscription</v>
      </c>
      <c r="C6" s="102">
        <f>'Statement Y'!H153</f>
        <v>14573</v>
      </c>
      <c r="D6" s="102">
        <f>'Statement Y'!I153</f>
        <v>16388</v>
      </c>
      <c r="E6" s="102">
        <f>'Statement Y'!J153</f>
        <v>18284</v>
      </c>
      <c r="F6" s="102">
        <f>'Statement Y'!K153</f>
        <v>20521</v>
      </c>
      <c r="G6" s="105">
        <f>'Statement Y'!L153</f>
        <v>22904</v>
      </c>
      <c r="H6" s="103">
        <f t="shared" ref="H6:L8" si="1">G6*(1+H13)</f>
        <v>25263.112000000001</v>
      </c>
      <c r="I6" s="103">
        <f t="shared" si="1"/>
        <v>28042.054320000003</v>
      </c>
      <c r="J6" s="103">
        <f t="shared" si="1"/>
        <v>31126.680295200007</v>
      </c>
      <c r="K6" s="103">
        <f t="shared" si="1"/>
        <v>34363.855045900811</v>
      </c>
      <c r="L6" s="103">
        <f t="shared" si="1"/>
        <v>37800.240550490897</v>
      </c>
      <c r="N6" s="114"/>
      <c r="O6" s="89"/>
      <c r="Q6" s="114"/>
      <c r="R6" s="1" t="str">
        <f>'Statement Q'!B134</f>
        <v>Subscription</v>
      </c>
      <c r="S6" s="102">
        <f>'Statement Q'!C134</f>
        <v>5060</v>
      </c>
      <c r="T6" s="102">
        <f>'Statement Q'!D134</f>
        <v>5180</v>
      </c>
      <c r="U6" s="102">
        <f>'Statement Q'!E134</f>
        <v>5365</v>
      </c>
      <c r="V6" s="102">
        <f>'Statement Q'!F134</f>
        <v>5483</v>
      </c>
      <c r="W6" s="102">
        <f>'Statement Q'!G134</f>
        <v>5641</v>
      </c>
      <c r="X6" s="102">
        <f>'Statement Q'!H134</f>
        <v>5791</v>
      </c>
      <c r="Y6" s="102">
        <f>'Statement Q'!I134</f>
        <v>5989</v>
      </c>
      <c r="Z6" s="105">
        <f>'Statement Q'!J134</f>
        <v>6198</v>
      </c>
      <c r="AA6" s="103">
        <f>Z6*(1+AA13)</f>
        <v>6321.96</v>
      </c>
      <c r="AB6" s="103"/>
      <c r="AC6" s="103"/>
      <c r="AE6" s="103">
        <f>SUM(X6:AA6)</f>
        <v>24299.96</v>
      </c>
    </row>
    <row r="7" spans="1:31" x14ac:dyDescent="0.2">
      <c r="B7" s="1" t="str">
        <f>'Statement Y'!B154</f>
        <v>Product</v>
      </c>
      <c r="C7" s="102">
        <f>'Statement Y'!H154</f>
        <v>555</v>
      </c>
      <c r="D7" s="102">
        <f>'Statement Y'!I154</f>
        <v>532</v>
      </c>
      <c r="E7" s="102">
        <f>'Statement Y'!J154</f>
        <v>460</v>
      </c>
      <c r="F7" s="102">
        <f>'Statement Y'!K154</f>
        <v>386</v>
      </c>
      <c r="G7" s="105">
        <f>'Statement Y'!L154</f>
        <v>325</v>
      </c>
      <c r="H7" s="103">
        <f t="shared" si="1"/>
        <v>269.75</v>
      </c>
      <c r="I7" s="103">
        <f t="shared" si="1"/>
        <v>226.59</v>
      </c>
      <c r="J7" s="103">
        <f t="shared" si="1"/>
        <v>192.60149999999999</v>
      </c>
      <c r="K7" s="103">
        <f t="shared" si="1"/>
        <v>163.71127499999997</v>
      </c>
      <c r="L7" s="103">
        <f t="shared" si="1"/>
        <v>140.79169649999997</v>
      </c>
      <c r="N7" s="114"/>
      <c r="O7" s="89"/>
      <c r="Q7" s="114"/>
      <c r="R7" s="1" t="str">
        <f>'Statement Q'!B135</f>
        <v>Product</v>
      </c>
      <c r="S7" s="102">
        <f>'Statement Q'!C135</f>
        <v>104</v>
      </c>
      <c r="T7" s="102">
        <f>'Statement Q'!D135</f>
        <v>82</v>
      </c>
      <c r="U7" s="102">
        <f>'Statement Q'!E135</f>
        <v>81</v>
      </c>
      <c r="V7" s="102">
        <f>'Statement Q'!F135</f>
        <v>95</v>
      </c>
      <c r="W7" s="102">
        <f>'Statement Q'!G135</f>
        <v>88</v>
      </c>
      <c r="X7" s="102">
        <f>'Statement Q'!H135</f>
        <v>68</v>
      </c>
      <c r="Y7" s="102">
        <f>'Statement Q'!I135</f>
        <v>74</v>
      </c>
      <c r="Z7" s="105">
        <f>'Statement Q'!J135</f>
        <v>90</v>
      </c>
      <c r="AA7" s="103">
        <f t="shared" ref="AA7:AA8" si="2">Z7*(1+AA14)</f>
        <v>72</v>
      </c>
      <c r="AB7" s="103"/>
      <c r="AC7" s="103"/>
      <c r="AE7" s="103">
        <f t="shared" ref="AE7:AE8" si="3">SUM(X7:AA7)</f>
        <v>304</v>
      </c>
    </row>
    <row r="8" spans="1:31" x14ac:dyDescent="0.2">
      <c r="B8" s="1" t="str">
        <f>'Statement Y'!B155</f>
        <v>Services &amp; Other</v>
      </c>
      <c r="C8" s="102">
        <f>'Statement Y'!H155</f>
        <v>657</v>
      </c>
      <c r="D8" s="102">
        <f>'Statement Y'!I155</f>
        <v>686</v>
      </c>
      <c r="E8" s="102">
        <f>'Statement Y'!J155</f>
        <v>665</v>
      </c>
      <c r="F8" s="102">
        <f>'Statement Y'!K155</f>
        <v>598</v>
      </c>
      <c r="G8" s="105">
        <f>'Statement Y'!L155</f>
        <v>540</v>
      </c>
      <c r="H8" s="103">
        <f t="shared" si="1"/>
        <v>480.6</v>
      </c>
      <c r="I8" s="103">
        <f t="shared" si="1"/>
        <v>427.73400000000004</v>
      </c>
      <c r="J8" s="103">
        <f t="shared" si="1"/>
        <v>384.96060000000006</v>
      </c>
      <c r="K8" s="103">
        <f t="shared" si="1"/>
        <v>346.46454000000006</v>
      </c>
      <c r="L8" s="103">
        <f t="shared" si="1"/>
        <v>311.81808600000005</v>
      </c>
      <c r="N8" s="114"/>
      <c r="O8" s="89"/>
      <c r="Q8" s="114"/>
      <c r="R8" s="1" t="str">
        <f>'Statement Q'!B136</f>
        <v>Services &amp; Other</v>
      </c>
      <c r="S8" s="102">
        <f>'Statement Q'!C136</f>
        <v>145</v>
      </c>
      <c r="T8" s="102">
        <f>'Statement Q'!D136</f>
        <v>146</v>
      </c>
      <c r="U8" s="102">
        <f>'Statement Q'!E136</f>
        <v>160</v>
      </c>
      <c r="V8" s="102">
        <f>'Statement Q'!F136</f>
        <v>136</v>
      </c>
      <c r="W8" s="102">
        <f>'Statement Q'!G136</f>
        <v>144</v>
      </c>
      <c r="X8" s="102">
        <f>'Statement Q'!H136</f>
        <v>129</v>
      </c>
      <c r="Y8" s="102">
        <f>'Statement Q'!I136</f>
        <v>131</v>
      </c>
      <c r="Z8" s="105">
        <f>'Statement Q'!J136</f>
        <v>110</v>
      </c>
      <c r="AA8" s="103">
        <f t="shared" si="2"/>
        <v>104.5</v>
      </c>
      <c r="AB8" s="103"/>
      <c r="AC8" s="103"/>
      <c r="AE8" s="103">
        <f t="shared" si="3"/>
        <v>474.5</v>
      </c>
    </row>
    <row r="9" spans="1:31" x14ac:dyDescent="0.2">
      <c r="B9" s="7" t="s">
        <v>101</v>
      </c>
      <c r="C9" s="106">
        <f>'Statement Y'!H5</f>
        <v>15785</v>
      </c>
      <c r="D9" s="106">
        <f>'Statement Y'!I5</f>
        <v>17606</v>
      </c>
      <c r="E9" s="106">
        <f>'Statement Y'!J5</f>
        <v>19409</v>
      </c>
      <c r="F9" s="106">
        <f>'Statement Y'!K5</f>
        <v>21505</v>
      </c>
      <c r="G9" s="107">
        <f>'Statement Y'!L5</f>
        <v>23769</v>
      </c>
      <c r="H9" s="108">
        <f>SUM(H6:H8)</f>
        <v>26013.462</v>
      </c>
      <c r="I9" s="108">
        <f>SUM(I6:I8)</f>
        <v>28696.378320000003</v>
      </c>
      <c r="J9" s="108">
        <f>SUM(J6:J8)</f>
        <v>31704.242395200006</v>
      </c>
      <c r="K9" s="108">
        <f>SUM(K6:K8)</f>
        <v>34874.030860900813</v>
      </c>
      <c r="L9" s="108">
        <f>SUM(L6:L8)</f>
        <v>38252.850332990893</v>
      </c>
      <c r="O9" s="89"/>
      <c r="Q9" s="90"/>
      <c r="R9" s="7" t="s">
        <v>101</v>
      </c>
      <c r="S9" s="106">
        <f>'Statement Q'!C5</f>
        <v>5309</v>
      </c>
      <c r="T9" s="106">
        <f>'Statement Q'!D5</f>
        <v>5408</v>
      </c>
      <c r="U9" s="106">
        <f>'Statement Q'!E5</f>
        <v>5606</v>
      </c>
      <c r="V9" s="106">
        <f>'Statement Q'!F5</f>
        <v>5714</v>
      </c>
      <c r="W9" s="106">
        <f>'Statement Q'!G5</f>
        <v>5873</v>
      </c>
      <c r="X9" s="106">
        <f>'Statement Q'!H5</f>
        <v>5988</v>
      </c>
      <c r="Y9" s="106">
        <f>'Statement Q'!I5</f>
        <v>6194</v>
      </c>
      <c r="Z9" s="107">
        <f>'Statement Q'!J5</f>
        <v>6398</v>
      </c>
      <c r="AA9" s="108">
        <f>SUM(AA6:AA8)</f>
        <v>6498.46</v>
      </c>
      <c r="AB9" s="108"/>
      <c r="AC9" s="108"/>
      <c r="AE9" s="108">
        <f>SUM(X9:AA9)</f>
        <v>25078.46</v>
      </c>
    </row>
    <row r="10" spans="1:31" x14ac:dyDescent="0.2">
      <c r="O10" s="89"/>
      <c r="Q10" s="90"/>
    </row>
    <row r="11" spans="1:31" x14ac:dyDescent="0.2">
      <c r="C11" s="220" t="s">
        <v>113</v>
      </c>
      <c r="D11" s="220"/>
      <c r="E11" s="220"/>
      <c r="F11" s="220"/>
      <c r="G11" s="220"/>
      <c r="H11" s="220"/>
      <c r="I11" s="220"/>
      <c r="J11" s="220"/>
      <c r="K11" s="220"/>
      <c r="L11" s="220"/>
      <c r="O11" s="89"/>
      <c r="Q11" s="90"/>
      <c r="S11" s="216" t="s">
        <v>113</v>
      </c>
      <c r="T11" s="217"/>
      <c r="U11" s="217"/>
      <c r="V11" s="217"/>
      <c r="W11" s="217"/>
      <c r="X11" s="217"/>
      <c r="Y11" s="217"/>
      <c r="Z11" s="217"/>
      <c r="AA11" s="217"/>
      <c r="AB11" s="217"/>
      <c r="AC11" s="217"/>
    </row>
    <row r="12" spans="1:31" x14ac:dyDescent="0.2">
      <c r="B12" s="7" t="s">
        <v>114</v>
      </c>
      <c r="C12" s="61">
        <f t="shared" ref="C12:L12" si="4">C5</f>
        <v>2021</v>
      </c>
      <c r="D12" s="61">
        <f t="shared" si="4"/>
        <v>2022</v>
      </c>
      <c r="E12" s="61">
        <f t="shared" si="4"/>
        <v>2023</v>
      </c>
      <c r="F12" s="61">
        <f t="shared" si="4"/>
        <v>2024</v>
      </c>
      <c r="G12" s="61">
        <f t="shared" si="4"/>
        <v>2025</v>
      </c>
      <c r="H12" s="61">
        <f t="shared" si="4"/>
        <v>2026</v>
      </c>
      <c r="I12" s="61">
        <f t="shared" si="4"/>
        <v>2027</v>
      </c>
      <c r="J12" s="61">
        <f t="shared" si="4"/>
        <v>2028</v>
      </c>
      <c r="K12" s="61">
        <f t="shared" si="4"/>
        <v>2029</v>
      </c>
      <c r="L12" s="61">
        <f t="shared" si="4"/>
        <v>2030</v>
      </c>
      <c r="O12" s="89"/>
      <c r="Q12" s="90"/>
      <c r="R12" s="7" t="s">
        <v>114</v>
      </c>
      <c r="S12" s="61" t="str">
        <f t="shared" ref="S12:AC12" si="5">S5</f>
        <v>Q2 2024</v>
      </c>
      <c r="T12" s="61" t="str">
        <f t="shared" si="5"/>
        <v>Q3 2024</v>
      </c>
      <c r="U12" s="61" t="str">
        <f t="shared" si="5"/>
        <v>Q4 2024</v>
      </c>
      <c r="V12" s="61" t="str">
        <f t="shared" si="5"/>
        <v>Q1 2025</v>
      </c>
      <c r="W12" s="61" t="str">
        <f t="shared" si="5"/>
        <v>Q2 2025</v>
      </c>
      <c r="X12" s="61" t="str">
        <f t="shared" si="5"/>
        <v>Q3 2025</v>
      </c>
      <c r="Y12" s="61" t="str">
        <f t="shared" si="5"/>
        <v>Q4 2025</v>
      </c>
      <c r="Z12" s="61" t="str">
        <f t="shared" si="5"/>
        <v>Q1 2026</v>
      </c>
      <c r="AA12" s="61" t="str">
        <f t="shared" si="5"/>
        <v>FQ1</v>
      </c>
      <c r="AB12" s="61" t="str">
        <f t="shared" si="5"/>
        <v>FQ2</v>
      </c>
      <c r="AC12" s="61" t="str">
        <f t="shared" si="5"/>
        <v>FQ3</v>
      </c>
    </row>
    <row r="13" spans="1:31" x14ac:dyDescent="0.2">
      <c r="B13" s="1" t="str">
        <f>B6</f>
        <v>Subscription</v>
      </c>
      <c r="C13" s="80"/>
      <c r="D13" s="110">
        <f t="shared" ref="D13:G15" si="6">D6/C6-1</f>
        <v>0.12454539216359017</v>
      </c>
      <c r="E13" s="110">
        <f t="shared" si="6"/>
        <v>0.11569441054430074</v>
      </c>
      <c r="F13" s="110">
        <f t="shared" si="6"/>
        <v>0.12234740756945972</v>
      </c>
      <c r="G13" s="111">
        <f t="shared" si="6"/>
        <v>0.11612494517811034</v>
      </c>
      <c r="H13" s="112">
        <v>0.10299999999999999</v>
      </c>
      <c r="I13" s="112">
        <v>0.11</v>
      </c>
      <c r="J13" s="112">
        <v>0.11</v>
      </c>
      <c r="K13" s="112">
        <v>0.104</v>
      </c>
      <c r="L13" s="112">
        <v>0.1</v>
      </c>
      <c r="O13" s="89"/>
      <c r="Q13" s="90"/>
      <c r="R13" s="1" t="str">
        <f>R6</f>
        <v>Subscription</v>
      </c>
      <c r="S13" s="80"/>
      <c r="T13" s="110">
        <f t="shared" ref="T13:AA16" si="7">T6/S6-1</f>
        <v>2.3715415019762931E-2</v>
      </c>
      <c r="U13" s="110">
        <f t="shared" si="7"/>
        <v>3.5714285714285809E-2</v>
      </c>
      <c r="V13" s="110">
        <f t="shared" si="7"/>
        <v>2.1994408201304827E-2</v>
      </c>
      <c r="W13" s="110">
        <f t="shared" si="7"/>
        <v>2.8816341418931302E-2</v>
      </c>
      <c r="X13" s="110">
        <f t="shared" si="7"/>
        <v>2.659102995922713E-2</v>
      </c>
      <c r="Y13" s="110">
        <f t="shared" si="7"/>
        <v>3.4190986012778479E-2</v>
      </c>
      <c r="Z13" s="111">
        <f t="shared" si="7"/>
        <v>3.4897311738186776E-2</v>
      </c>
      <c r="AA13" s="112">
        <v>0.02</v>
      </c>
      <c r="AB13" s="110"/>
      <c r="AC13" s="110"/>
    </row>
    <row r="14" spans="1:31" x14ac:dyDescent="0.2">
      <c r="B14" s="1" t="str">
        <f>B7</f>
        <v>Product</v>
      </c>
      <c r="C14" s="80"/>
      <c r="D14" s="110">
        <f t="shared" si="6"/>
        <v>-4.1441441441441462E-2</v>
      </c>
      <c r="E14" s="110">
        <f t="shared" si="6"/>
        <v>-0.13533834586466165</v>
      </c>
      <c r="F14" s="110">
        <f t="shared" si="6"/>
        <v>-0.16086956521739126</v>
      </c>
      <c r="G14" s="111">
        <f t="shared" si="6"/>
        <v>-0.15803108808290156</v>
      </c>
      <c r="H14" s="112">
        <v>-0.17</v>
      </c>
      <c r="I14" s="112">
        <v>-0.16</v>
      </c>
      <c r="J14" s="112">
        <v>-0.15</v>
      </c>
      <c r="K14" s="112">
        <v>-0.15</v>
      </c>
      <c r="L14" s="112">
        <v>-0.14000000000000001</v>
      </c>
      <c r="O14" s="89"/>
      <c r="Q14" s="90"/>
      <c r="R14" s="1" t="str">
        <f>R7</f>
        <v>Product</v>
      </c>
      <c r="S14" s="80"/>
      <c r="T14" s="110">
        <f t="shared" si="7"/>
        <v>-0.21153846153846156</v>
      </c>
      <c r="U14" s="110">
        <f t="shared" si="7"/>
        <v>-1.2195121951219523E-2</v>
      </c>
      <c r="V14" s="110">
        <f t="shared" si="7"/>
        <v>0.17283950617283961</v>
      </c>
      <c r="W14" s="110">
        <f t="shared" si="7"/>
        <v>-7.3684210526315796E-2</v>
      </c>
      <c r="X14" s="110">
        <f t="shared" si="7"/>
        <v>-0.22727272727272729</v>
      </c>
      <c r="Y14" s="110">
        <f t="shared" si="7"/>
        <v>8.8235294117646967E-2</v>
      </c>
      <c r="Z14" s="111">
        <f t="shared" si="7"/>
        <v>0.21621621621621623</v>
      </c>
      <c r="AA14" s="112">
        <v>-0.2</v>
      </c>
      <c r="AB14" s="110"/>
      <c r="AC14" s="110"/>
    </row>
    <row r="15" spans="1:31" x14ac:dyDescent="0.2">
      <c r="B15" s="1" t="str">
        <f>B8</f>
        <v>Services &amp; Other</v>
      </c>
      <c r="C15" s="80"/>
      <c r="D15" s="110">
        <f t="shared" si="6"/>
        <v>4.4140030441400357E-2</v>
      </c>
      <c r="E15" s="110">
        <f t="shared" si="6"/>
        <v>-3.0612244897959218E-2</v>
      </c>
      <c r="F15" s="110">
        <f t="shared" si="6"/>
        <v>-0.10075187969924815</v>
      </c>
      <c r="G15" s="111">
        <f t="shared" si="6"/>
        <v>-9.6989966555183993E-2</v>
      </c>
      <c r="H15" s="112">
        <v>-0.11</v>
      </c>
      <c r="I15" s="112">
        <v>-0.11</v>
      </c>
      <c r="J15" s="112">
        <v>-0.1</v>
      </c>
      <c r="K15" s="112">
        <v>-0.1</v>
      </c>
      <c r="L15" s="112">
        <v>-0.1</v>
      </c>
      <c r="O15" s="89"/>
      <c r="Q15" s="90"/>
      <c r="R15" s="1" t="str">
        <f>R8</f>
        <v>Services &amp; Other</v>
      </c>
      <c r="S15" s="80"/>
      <c r="T15" s="110">
        <f t="shared" si="7"/>
        <v>6.8965517241379448E-3</v>
      </c>
      <c r="U15" s="110">
        <f t="shared" si="7"/>
        <v>9.5890410958904049E-2</v>
      </c>
      <c r="V15" s="110">
        <f t="shared" si="7"/>
        <v>-0.15000000000000002</v>
      </c>
      <c r="W15" s="110">
        <f t="shared" si="7"/>
        <v>5.8823529411764719E-2</v>
      </c>
      <c r="X15" s="110">
        <f t="shared" si="7"/>
        <v>-0.10416666666666663</v>
      </c>
      <c r="Y15" s="110">
        <f t="shared" si="7"/>
        <v>1.5503875968992276E-2</v>
      </c>
      <c r="Z15" s="111">
        <f t="shared" si="7"/>
        <v>-0.16030534351145043</v>
      </c>
      <c r="AA15" s="112">
        <v>-0.05</v>
      </c>
      <c r="AB15" s="110"/>
      <c r="AC15" s="110"/>
    </row>
    <row r="16" spans="1:31" x14ac:dyDescent="0.2">
      <c r="B16" s="7" t="s">
        <v>101</v>
      </c>
      <c r="C16" s="80"/>
      <c r="D16" s="177">
        <f t="shared" ref="D16:G16" si="8">D9/C9-1</f>
        <v>0.11536268609439349</v>
      </c>
      <c r="E16" s="177">
        <f t="shared" si="8"/>
        <v>0.10240826990798602</v>
      </c>
      <c r="F16" s="177">
        <f t="shared" si="8"/>
        <v>0.10799113813179462</v>
      </c>
      <c r="G16" s="178">
        <f t="shared" si="8"/>
        <v>0.10527784236224136</v>
      </c>
      <c r="H16" s="177">
        <f t="shared" ref="H16:L16" si="9">H9/G9-1</f>
        <v>9.4428120661365522E-2</v>
      </c>
      <c r="I16" s="177">
        <f t="shared" si="9"/>
        <v>0.10313568874454337</v>
      </c>
      <c r="J16" s="177">
        <f t="shared" si="9"/>
        <v>0.10481685325090884</v>
      </c>
      <c r="K16" s="177">
        <f t="shared" si="9"/>
        <v>9.9979946727278168E-2</v>
      </c>
      <c r="L16" s="177">
        <f t="shared" si="9"/>
        <v>9.6886404831345585E-2</v>
      </c>
      <c r="O16" s="89"/>
      <c r="Q16" s="90"/>
      <c r="R16" s="7" t="s">
        <v>101</v>
      </c>
      <c r="S16" s="80"/>
      <c r="T16" s="177">
        <f t="shared" ref="T16" si="10">T9/S9-1</f>
        <v>1.8647579581842155E-2</v>
      </c>
      <c r="U16" s="177">
        <f t="shared" ref="U16" si="11">U9/T9-1</f>
        <v>3.6612426035502965E-2</v>
      </c>
      <c r="V16" s="177">
        <f t="shared" ref="V16" si="12">V9/U9-1</f>
        <v>1.9265073135925848E-2</v>
      </c>
      <c r="W16" s="177">
        <f t="shared" ref="W16" si="13">W9/V9-1</f>
        <v>2.7826391319565991E-2</v>
      </c>
      <c r="X16" s="177">
        <f t="shared" ref="X16" si="14">X9/W9-1</f>
        <v>1.9581134003064937E-2</v>
      </c>
      <c r="Y16" s="177">
        <f t="shared" ref="Y16" si="15">Y9/X9-1</f>
        <v>3.4402137608550376E-2</v>
      </c>
      <c r="Z16" s="178">
        <f t="shared" si="7"/>
        <v>3.2935098482402392E-2</v>
      </c>
      <c r="AA16" s="177">
        <f t="shared" si="7"/>
        <v>1.5701781806814585E-2</v>
      </c>
    </row>
    <row r="17" spans="15:17" x14ac:dyDescent="0.2">
      <c r="O17" s="89"/>
      <c r="Q17" s="90"/>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5"/>
  <sheetViews>
    <sheetView topLeftCell="A10" zoomScale="178" zoomScaleNormal="100" workbookViewId="0">
      <selection activeCell="H25" sqref="H25"/>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118</v>
      </c>
    </row>
    <row r="2" spans="1:28" x14ac:dyDescent="0.2">
      <c r="A2" s="99"/>
      <c r="C2" s="215" t="s">
        <v>102</v>
      </c>
      <c r="D2" s="215"/>
      <c r="E2" s="215"/>
      <c r="F2" s="215"/>
      <c r="G2" s="218"/>
      <c r="H2" s="219" t="s">
        <v>103</v>
      </c>
      <c r="I2" s="215"/>
      <c r="J2" s="215"/>
      <c r="K2" s="215"/>
      <c r="L2" s="215"/>
      <c r="P2" s="215" t="s">
        <v>102</v>
      </c>
      <c r="Q2" s="215"/>
      <c r="R2" s="215"/>
      <c r="S2" s="215"/>
      <c r="T2" s="215"/>
      <c r="U2" s="215"/>
      <c r="V2" s="215"/>
      <c r="W2" s="215"/>
      <c r="X2" s="215" t="s">
        <v>103</v>
      </c>
      <c r="Y2" s="215"/>
      <c r="Z2" s="215"/>
      <c r="AB2" s="116" t="s">
        <v>74</v>
      </c>
    </row>
    <row r="3" spans="1:28" ht="10" customHeight="1" x14ac:dyDescent="0.2"/>
    <row r="4" spans="1:28" ht="16" customHeight="1" x14ac:dyDescent="0.2">
      <c r="A4" s="104"/>
      <c r="B4" s="91"/>
      <c r="C4" s="220" t="s">
        <v>111</v>
      </c>
      <c r="D4" s="220"/>
      <c r="E4" s="220"/>
      <c r="F4" s="220"/>
      <c r="G4" s="220"/>
      <c r="H4" s="220"/>
      <c r="I4" s="220"/>
      <c r="J4" s="220"/>
      <c r="K4" s="220"/>
      <c r="L4" s="220"/>
      <c r="P4" s="217" t="s">
        <v>111</v>
      </c>
      <c r="Q4" s="217"/>
      <c r="R4" s="217"/>
      <c r="S4" s="217"/>
      <c r="T4" s="217"/>
      <c r="U4" s="217"/>
      <c r="V4" s="217"/>
      <c r="W4" s="217"/>
      <c r="X4" s="217"/>
      <c r="Y4" s="217"/>
      <c r="Z4" s="217"/>
      <c r="AB4" s="118" t="str">
        <f>Revenue!AE4</f>
        <v>Q3-Q4-Q1</v>
      </c>
    </row>
    <row r="5" spans="1:28"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112</v>
      </c>
      <c r="P5" s="61" t="str">
        <f>'Statement Q'!C3</f>
        <v>Q2 2024</v>
      </c>
      <c r="Q5" s="61" t="str">
        <f>'Statement Q'!D3</f>
        <v>Q3 2024</v>
      </c>
      <c r="R5" s="61" t="str">
        <f>'Statement Q'!E3</f>
        <v>Q4 2024</v>
      </c>
      <c r="S5" s="61" t="str">
        <f>'Statement Q'!F3</f>
        <v>Q1 2025</v>
      </c>
      <c r="T5" s="61" t="str">
        <f>'Statement Q'!G3</f>
        <v>Q2 2025</v>
      </c>
      <c r="U5" s="61" t="str">
        <f>'Statement Q'!H3</f>
        <v>Q3 2025</v>
      </c>
      <c r="V5" s="61" t="str">
        <f>'Statement Q'!I3</f>
        <v>Q4 2025</v>
      </c>
      <c r="W5" s="61" t="str">
        <f>'Statement Q'!J3</f>
        <v>Q1 2026</v>
      </c>
      <c r="X5" s="61" t="s">
        <v>115</v>
      </c>
      <c r="Y5" s="61" t="s">
        <v>116</v>
      </c>
      <c r="Z5" s="61" t="s">
        <v>117</v>
      </c>
      <c r="AB5" s="118" t="str">
        <f>Revenue!AE5</f>
        <v>FQ1</v>
      </c>
    </row>
    <row r="6" spans="1:28" x14ac:dyDescent="0.2">
      <c r="B6" s="7" t="s">
        <v>6</v>
      </c>
      <c r="C6" s="106">
        <f>'Statement Y'!H5</f>
        <v>15785</v>
      </c>
      <c r="D6" s="106">
        <f>'Statement Y'!I5</f>
        <v>17606</v>
      </c>
      <c r="E6" s="106">
        <f>'Statement Y'!J5</f>
        <v>19409</v>
      </c>
      <c r="F6" s="106">
        <f>'Statement Y'!K5</f>
        <v>21505</v>
      </c>
      <c r="G6" s="107">
        <f>'Statement Y'!L5</f>
        <v>23769</v>
      </c>
      <c r="H6" s="106">
        <f>Revenue!H9</f>
        <v>26013.462</v>
      </c>
      <c r="I6" s="106">
        <f>Revenue!I9</f>
        <v>28696.378320000003</v>
      </c>
      <c r="J6" s="106">
        <f>Revenue!J9</f>
        <v>31704.242395200006</v>
      </c>
      <c r="K6" s="106">
        <f>Revenue!K9</f>
        <v>34874.030860900813</v>
      </c>
      <c r="L6" s="106">
        <f>Revenue!L9</f>
        <v>38252.850332990893</v>
      </c>
      <c r="N6" s="90"/>
      <c r="O6" s="7" t="s">
        <v>6</v>
      </c>
      <c r="P6" s="106">
        <f>'Statement Q'!C5</f>
        <v>5309</v>
      </c>
      <c r="Q6" s="106">
        <f>'Statement Q'!D5</f>
        <v>5408</v>
      </c>
      <c r="R6" s="106">
        <f>'Statement Q'!E5</f>
        <v>5606</v>
      </c>
      <c r="S6" s="106">
        <f>'Statement Q'!F5</f>
        <v>5714</v>
      </c>
      <c r="T6" s="106">
        <f>'Statement Q'!G5</f>
        <v>5873</v>
      </c>
      <c r="U6" s="106">
        <f>'Statement Q'!H5</f>
        <v>5988</v>
      </c>
      <c r="V6" s="106">
        <f>'Statement Q'!I5</f>
        <v>6194</v>
      </c>
      <c r="W6" s="107">
        <f>'Statement Q'!J5</f>
        <v>6398</v>
      </c>
      <c r="X6" s="108">
        <f>Revenue!AA9</f>
        <v>6498.46</v>
      </c>
      <c r="Y6" s="108">
        <f>Revenue!AB9</f>
        <v>0</v>
      </c>
      <c r="Z6" s="108">
        <f>Revenue!AC9</f>
        <v>0</v>
      </c>
      <c r="AB6" s="108">
        <f>SUM(U6:X6)</f>
        <v>25078.46</v>
      </c>
    </row>
    <row r="7" spans="1:28" x14ac:dyDescent="0.2">
      <c r="N7" s="90"/>
    </row>
    <row r="8" spans="1:28" x14ac:dyDescent="0.2">
      <c r="N8" s="90"/>
    </row>
    <row r="9" spans="1:28" x14ac:dyDescent="0.2">
      <c r="C9" s="220" t="s">
        <v>119</v>
      </c>
      <c r="D9" s="220"/>
      <c r="E9" s="220"/>
      <c r="F9" s="220"/>
      <c r="G9" s="220"/>
      <c r="H9" s="220"/>
      <c r="I9" s="220"/>
      <c r="J9" s="220"/>
      <c r="K9" s="220"/>
      <c r="L9" s="220"/>
      <c r="N9" s="90"/>
      <c r="P9" s="217" t="s">
        <v>124</v>
      </c>
      <c r="Q9" s="217"/>
      <c r="R9" s="217"/>
      <c r="S9" s="217"/>
      <c r="T9" s="217"/>
      <c r="U9" s="217"/>
      <c r="V9" s="217"/>
      <c r="W9" s="217"/>
      <c r="X9" s="217"/>
      <c r="Y9" s="217"/>
      <c r="Z9" s="217"/>
      <c r="AB9" s="118" t="str">
        <f>AB4</f>
        <v>Q3-Q4-Q1</v>
      </c>
    </row>
    <row r="10" spans="1:28" x14ac:dyDescent="0.2">
      <c r="B10" s="7" t="s">
        <v>232</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90"/>
      <c r="O10" s="7" t="s">
        <v>121</v>
      </c>
      <c r="P10" s="61" t="str">
        <f t="shared" ref="P10:Z10" si="2">P5</f>
        <v>Q2 2024</v>
      </c>
      <c r="Q10" s="61" t="str">
        <f t="shared" si="2"/>
        <v>Q3 2024</v>
      </c>
      <c r="R10" s="61" t="str">
        <f t="shared" si="2"/>
        <v>Q4 2024</v>
      </c>
      <c r="S10" s="61" t="str">
        <f t="shared" si="2"/>
        <v>Q1 2025</v>
      </c>
      <c r="T10" s="61" t="str">
        <f t="shared" si="2"/>
        <v>Q2 2025</v>
      </c>
      <c r="U10" s="61" t="str">
        <f t="shared" si="2"/>
        <v>Q3 2025</v>
      </c>
      <c r="V10" s="61" t="str">
        <f t="shared" si="2"/>
        <v>Q4 2025</v>
      </c>
      <c r="W10" s="61" t="str">
        <f t="shared" si="2"/>
        <v>Q1 2026</v>
      </c>
      <c r="X10" s="61" t="str">
        <f t="shared" si="2"/>
        <v>FQ1</v>
      </c>
      <c r="Y10" s="61" t="str">
        <f t="shared" si="2"/>
        <v>FQ2</v>
      </c>
      <c r="Z10" s="61" t="str">
        <f t="shared" si="2"/>
        <v>FQ3</v>
      </c>
      <c r="AB10" s="60" t="str">
        <f>AB5</f>
        <v>FQ1</v>
      </c>
    </row>
    <row r="11" spans="1:28" x14ac:dyDescent="0.2">
      <c r="B11" s="7" t="s">
        <v>7</v>
      </c>
      <c r="C11" s="119">
        <f>'Statement Y'!H6</f>
        <v>1865</v>
      </c>
      <c r="D11" s="119">
        <f>'Statement Y'!I6</f>
        <v>2165</v>
      </c>
      <c r="E11" s="119">
        <f>'Statement Y'!J6</f>
        <v>2354</v>
      </c>
      <c r="F11" s="119">
        <f>'Statement Y'!K6</f>
        <v>2358</v>
      </c>
      <c r="G11" s="120">
        <f>'Statement Y'!L6</f>
        <v>2551</v>
      </c>
      <c r="H11" s="21">
        <f t="shared" ref="H11:L13" si="3">H21*H$6</f>
        <v>2731.4135099999999</v>
      </c>
      <c r="I11" s="21">
        <f t="shared" si="3"/>
        <v>2955.72696696</v>
      </c>
      <c r="J11" s="21">
        <f t="shared" si="3"/>
        <v>3202.1284819152011</v>
      </c>
      <c r="K11" s="21">
        <f t="shared" si="3"/>
        <v>3487.4030860900816</v>
      </c>
      <c r="L11" s="21">
        <f t="shared" si="3"/>
        <v>3825.2850332990893</v>
      </c>
      <c r="N11" s="90"/>
      <c r="O11" s="7" t="s">
        <v>7</v>
      </c>
      <c r="P11" s="119">
        <f>'Statement Q'!C6</f>
        <v>598</v>
      </c>
      <c r="Q11" s="119">
        <f>'Statement Q'!D6</f>
        <v>554</v>
      </c>
      <c r="R11" s="119">
        <f>'Statement Q'!E6</f>
        <v>616</v>
      </c>
      <c r="S11" s="119">
        <f>'Statement Q'!F6</f>
        <v>622</v>
      </c>
      <c r="T11" s="119">
        <f>'Statement Q'!G6</f>
        <v>638</v>
      </c>
      <c r="U11" s="119">
        <f>'Statement Q'!H6</f>
        <v>642</v>
      </c>
      <c r="V11" s="119">
        <f>'Statement Q'!I6</f>
        <v>649</v>
      </c>
      <c r="W11" s="120">
        <f>'Statement Q'!J6</f>
        <v>664</v>
      </c>
      <c r="X11" s="21">
        <f>X21*X$6</f>
        <v>1819.5688000000002</v>
      </c>
      <c r="Y11" s="21"/>
      <c r="Z11" s="21"/>
      <c r="AB11" s="20">
        <f>SUM(U11:X11)</f>
        <v>3774.5688</v>
      </c>
    </row>
    <row r="12" spans="1:28" x14ac:dyDescent="0.2">
      <c r="B12" s="1" t="str">
        <f>'Statement Y'!B8</f>
        <v>R&amp;D</v>
      </c>
      <c r="C12" s="109">
        <f>'Statement Y'!H8</f>
        <v>2540</v>
      </c>
      <c r="D12" s="109">
        <f>'Statement Y'!I8</f>
        <v>2987</v>
      </c>
      <c r="E12" s="109">
        <f>'Statement Y'!J8</f>
        <v>3473</v>
      </c>
      <c r="F12" s="109">
        <f>'Statement Y'!K8</f>
        <v>3944</v>
      </c>
      <c r="G12" s="113">
        <f>'Statement Y'!L8</f>
        <v>4294</v>
      </c>
      <c r="H12" s="20">
        <f t="shared" si="3"/>
        <v>4942.5577800000001</v>
      </c>
      <c r="I12" s="20">
        <f t="shared" si="3"/>
        <v>5481.0082591200007</v>
      </c>
      <c r="J12" s="20">
        <f t="shared" si="3"/>
        <v>6118.9187822736012</v>
      </c>
      <c r="K12" s="20">
        <f t="shared" si="3"/>
        <v>6800.4360178756588</v>
      </c>
      <c r="L12" s="20">
        <f t="shared" si="3"/>
        <v>7459.3058149332246</v>
      </c>
      <c r="N12" s="90"/>
      <c r="O12" s="1" t="s">
        <v>9</v>
      </c>
      <c r="P12" s="109">
        <f>'Statement Q'!C8</f>
        <v>984</v>
      </c>
      <c r="Q12" s="109">
        <f>'Statement Q'!D8</f>
        <v>1022</v>
      </c>
      <c r="R12" s="109">
        <f>'Statement Q'!E8</f>
        <v>999</v>
      </c>
      <c r="S12" s="109">
        <f>'Statement Q'!F8</f>
        <v>1026</v>
      </c>
      <c r="T12" s="109">
        <f>'Statement Q'!G8</f>
        <v>1082</v>
      </c>
      <c r="U12" s="109">
        <f>'Statement Q'!H8</f>
        <v>1088</v>
      </c>
      <c r="V12" s="109">
        <f>'Statement Q'!I8</f>
        <v>1098</v>
      </c>
      <c r="W12" s="113">
        <f>'Statement Q'!J8</f>
        <v>1110</v>
      </c>
      <c r="X12" s="33">
        <f>X22*X$6</f>
        <v>1923.5441599999999</v>
      </c>
      <c r="Y12" s="20"/>
      <c r="Z12" s="20"/>
      <c r="AB12" s="20">
        <f t="shared" ref="AB12:AB16" si="4">SUM(U12:X12)</f>
        <v>5219.5441599999995</v>
      </c>
    </row>
    <row r="13" spans="1:28" x14ac:dyDescent="0.2">
      <c r="B13" s="1" t="str">
        <f>'Statement Y'!B9</f>
        <v>Sales and marketing</v>
      </c>
      <c r="C13" s="109">
        <f>'Statement Y'!H9</f>
        <v>4321</v>
      </c>
      <c r="D13" s="109">
        <f>'Statement Y'!I9</f>
        <v>4968</v>
      </c>
      <c r="E13" s="109">
        <f>'Statement Y'!J9</f>
        <v>5351</v>
      </c>
      <c r="F13" s="109">
        <f>'Statement Y'!K9</f>
        <v>5764</v>
      </c>
      <c r="G13" s="113">
        <f>'Statement Y'!L9</f>
        <v>6488</v>
      </c>
      <c r="H13" s="20">
        <f t="shared" si="3"/>
        <v>7023.6347400000004</v>
      </c>
      <c r="I13" s="20">
        <f t="shared" si="3"/>
        <v>7748.0221464000015</v>
      </c>
      <c r="J13" s="20">
        <f t="shared" si="3"/>
        <v>8560.1454467040021</v>
      </c>
      <c r="K13" s="20">
        <f t="shared" si="3"/>
        <v>9415.9883324432194</v>
      </c>
      <c r="L13" s="20">
        <f t="shared" si="3"/>
        <v>10328.269589907542</v>
      </c>
      <c r="M13" s="114"/>
      <c r="N13" s="114"/>
      <c r="O13" s="1" t="s">
        <v>120</v>
      </c>
      <c r="P13" s="109" t="e">
        <f>'Statement Q'!#REF!</f>
        <v>#REF!</v>
      </c>
      <c r="Q13" s="109" t="e">
        <f>'Statement Q'!#REF!</f>
        <v>#REF!</v>
      </c>
      <c r="R13" s="109" t="e">
        <f>'Statement Q'!#REF!</f>
        <v>#REF!</v>
      </c>
      <c r="S13" s="109" t="e">
        <f>'Statement Q'!#REF!</f>
        <v>#REF!</v>
      </c>
      <c r="T13" s="109" t="e">
        <f>'Statement Q'!#REF!</f>
        <v>#REF!</v>
      </c>
      <c r="U13" s="109" t="e">
        <f>'Statement Q'!#REF!</f>
        <v>#REF!</v>
      </c>
      <c r="V13" s="109" t="e">
        <f>'Statement Q'!#REF!</f>
        <v>#REF!</v>
      </c>
      <c r="W13" s="113" t="e">
        <f>'Statement Q'!#REF!</f>
        <v>#REF!</v>
      </c>
      <c r="X13" s="33">
        <f>X23*X$6</f>
        <v>1202.2150999999999</v>
      </c>
      <c r="Y13" s="20"/>
      <c r="Z13" s="20"/>
      <c r="AB13" s="20" t="e">
        <f t="shared" si="4"/>
        <v>#REF!</v>
      </c>
    </row>
    <row r="14" spans="1:28" x14ac:dyDescent="0.2">
      <c r="B14" s="1" t="str">
        <f>'Statement Y'!B10</f>
        <v>General and administrative</v>
      </c>
      <c r="C14" s="109">
        <f>'Statement Y'!H10</f>
        <v>1085</v>
      </c>
      <c r="D14" s="109">
        <f>'Statement Y'!I10</f>
        <v>1219</v>
      </c>
      <c r="E14" s="109">
        <f>'Statement Y'!J10</f>
        <v>1413</v>
      </c>
      <c r="F14" s="109">
        <f>'Statement Y'!K10</f>
        <v>1529</v>
      </c>
      <c r="G14" s="113">
        <f>'Statement Y'!L10</f>
        <v>1573</v>
      </c>
      <c r="H14" s="20">
        <f>H24*H$6</f>
        <v>1820.9423400000001</v>
      </c>
      <c r="I14" s="20">
        <f t="shared" ref="I14:L14" si="5">I24*I$6</f>
        <v>2008.7464824000003</v>
      </c>
      <c r="J14" s="20">
        <f t="shared" si="5"/>
        <v>2219.2969676640005</v>
      </c>
      <c r="K14" s="20">
        <f t="shared" si="5"/>
        <v>2441.1821602630571</v>
      </c>
      <c r="L14" s="20">
        <f t="shared" si="5"/>
        <v>2677.6995233093626</v>
      </c>
      <c r="M14" s="114"/>
      <c r="N14" s="114"/>
      <c r="P14" s="109"/>
      <c r="Q14" s="109"/>
      <c r="R14" s="109"/>
      <c r="S14" s="109"/>
      <c r="T14" s="109"/>
      <c r="U14" s="109"/>
      <c r="V14" s="109"/>
      <c r="W14" s="113"/>
      <c r="X14" s="33"/>
      <c r="Y14" s="20"/>
      <c r="Z14" s="20"/>
      <c r="AB14" s="20"/>
    </row>
    <row r="15" spans="1:28" x14ac:dyDescent="0.2">
      <c r="B15" s="1" t="str">
        <f>'Statement Y'!B12</f>
        <v>Amortization of intangibles</v>
      </c>
      <c r="C15" s="109">
        <f>'Statement Y'!H12</f>
        <v>172</v>
      </c>
      <c r="D15" s="109">
        <f>'Statement Y'!I12</f>
        <v>169</v>
      </c>
      <c r="E15" s="109">
        <f>'Statement Y'!J12</f>
        <v>168</v>
      </c>
      <c r="F15" s="109">
        <f>'Statement Y'!K12</f>
        <v>169</v>
      </c>
      <c r="G15" s="113">
        <f>'Statement Y'!L12</f>
        <v>157</v>
      </c>
      <c r="H15" s="195">
        <v>161</v>
      </c>
      <c r="I15" s="195">
        <v>119</v>
      </c>
      <c r="J15" s="195">
        <v>73</v>
      </c>
      <c r="K15" s="195">
        <v>69</v>
      </c>
      <c r="L15" s="195">
        <v>65</v>
      </c>
      <c r="M15" s="114"/>
      <c r="N15" s="114"/>
      <c r="P15" s="109"/>
      <c r="Q15" s="109"/>
      <c r="R15" s="109"/>
      <c r="S15" s="109"/>
      <c r="T15" s="109"/>
      <c r="U15" s="109"/>
      <c r="V15" s="109"/>
      <c r="W15" s="113"/>
      <c r="X15" s="33"/>
      <c r="Y15" s="20"/>
      <c r="Z15" s="20"/>
      <c r="AB15" s="20"/>
    </row>
    <row r="16" spans="1:28" x14ac:dyDescent="0.2">
      <c r="B16" s="7" t="s">
        <v>11</v>
      </c>
      <c r="C16" s="119">
        <f>'Statement Y'!H13</f>
        <v>8118</v>
      </c>
      <c r="D16" s="119">
        <f>'Statement Y'!I13</f>
        <v>9343</v>
      </c>
      <c r="E16" s="119">
        <f>'Statement Y'!J13</f>
        <v>10405</v>
      </c>
      <c r="F16" s="119">
        <f>'Statement Y'!K13</f>
        <v>12406</v>
      </c>
      <c r="G16" s="120">
        <f>'Statement Y'!L13</f>
        <v>12512</v>
      </c>
      <c r="H16" s="21">
        <f>SUM(H12:H15)</f>
        <v>13948.13486</v>
      </c>
      <c r="I16" s="21">
        <f t="shared" ref="I16:L16" si="6">SUM(I12:I15)</f>
        <v>15356.776887920003</v>
      </c>
      <c r="J16" s="21">
        <f t="shared" si="6"/>
        <v>16971.361196641607</v>
      </c>
      <c r="K16" s="21">
        <f t="shared" si="6"/>
        <v>18726.606510581936</v>
      </c>
      <c r="L16" s="21">
        <f t="shared" si="6"/>
        <v>20530.274928150131</v>
      </c>
      <c r="M16" s="114"/>
      <c r="N16" s="114"/>
      <c r="O16" s="7" t="s">
        <v>11</v>
      </c>
      <c r="P16" s="119">
        <f>'Statement Q'!C13</f>
        <v>2826</v>
      </c>
      <c r="Q16" s="119">
        <f>'Statement Q'!D13</f>
        <v>2862</v>
      </c>
      <c r="R16" s="119">
        <f>'Statement Q'!E13</f>
        <v>3033</v>
      </c>
      <c r="S16" s="119">
        <f>'Statement Q'!F13</f>
        <v>2929</v>
      </c>
      <c r="T16" s="119">
        <f>'Statement Q'!G13</f>
        <v>3126</v>
      </c>
      <c r="U16" s="119">
        <f>'Statement Q'!H13</f>
        <v>3173</v>
      </c>
      <c r="V16" s="119">
        <f>'Statement Q'!I13</f>
        <v>3284</v>
      </c>
      <c r="W16" s="120">
        <f>'Statement Q'!J13</f>
        <v>3316</v>
      </c>
      <c r="X16" s="21">
        <f>SUM(X12:X13)</f>
        <v>3125.7592599999998</v>
      </c>
      <c r="Y16" s="21"/>
      <c r="Z16" s="21"/>
      <c r="AB16" s="20">
        <f t="shared" si="4"/>
        <v>12898.759259999999</v>
      </c>
    </row>
    <row r="19" spans="2:26" x14ac:dyDescent="0.2">
      <c r="C19" s="220" t="s">
        <v>122</v>
      </c>
      <c r="D19" s="220"/>
      <c r="E19" s="220"/>
      <c r="F19" s="220"/>
      <c r="G19" s="220"/>
      <c r="H19" s="220"/>
      <c r="I19" s="220"/>
      <c r="J19" s="220"/>
      <c r="K19" s="220"/>
      <c r="L19" s="220"/>
      <c r="P19" s="217" t="s">
        <v>122</v>
      </c>
      <c r="Q19" s="217"/>
      <c r="R19" s="217"/>
      <c r="S19" s="217"/>
      <c r="T19" s="217"/>
      <c r="U19" s="217"/>
      <c r="V19" s="217"/>
      <c r="W19" s="217"/>
      <c r="X19" s="217"/>
      <c r="Y19" s="217"/>
      <c r="Z19" s="217"/>
    </row>
    <row r="20" spans="2:26" x14ac:dyDescent="0.2">
      <c r="B20" s="7" t="s">
        <v>104</v>
      </c>
      <c r="C20" s="61">
        <f t="shared" ref="C20:L20" si="7">C5</f>
        <v>2021</v>
      </c>
      <c r="D20" s="61">
        <f t="shared" si="7"/>
        <v>2022</v>
      </c>
      <c r="E20" s="61">
        <f t="shared" si="7"/>
        <v>2023</v>
      </c>
      <c r="F20" s="61">
        <f t="shared" si="7"/>
        <v>2024</v>
      </c>
      <c r="G20" s="61">
        <f t="shared" si="7"/>
        <v>2025</v>
      </c>
      <c r="H20" s="61">
        <f t="shared" si="7"/>
        <v>2026</v>
      </c>
      <c r="I20" s="61">
        <f t="shared" si="7"/>
        <v>2027</v>
      </c>
      <c r="J20" s="61">
        <f t="shared" si="7"/>
        <v>2028</v>
      </c>
      <c r="K20" s="61">
        <f t="shared" si="7"/>
        <v>2029</v>
      </c>
      <c r="L20" s="61">
        <f t="shared" si="7"/>
        <v>2030</v>
      </c>
      <c r="O20" s="7" t="s">
        <v>104</v>
      </c>
      <c r="P20" s="61" t="str">
        <f t="shared" ref="P20:Z20" si="8">P5</f>
        <v>Q2 2024</v>
      </c>
      <c r="Q20" s="61" t="str">
        <f t="shared" si="8"/>
        <v>Q3 2024</v>
      </c>
      <c r="R20" s="61" t="str">
        <f t="shared" si="8"/>
        <v>Q4 2024</v>
      </c>
      <c r="S20" s="61" t="str">
        <f t="shared" si="8"/>
        <v>Q1 2025</v>
      </c>
      <c r="T20" s="61" t="str">
        <f t="shared" si="8"/>
        <v>Q2 2025</v>
      </c>
      <c r="U20" s="61" t="str">
        <f t="shared" si="8"/>
        <v>Q3 2025</v>
      </c>
      <c r="V20" s="61" t="str">
        <f t="shared" si="8"/>
        <v>Q4 2025</v>
      </c>
      <c r="W20" s="61" t="str">
        <f t="shared" si="8"/>
        <v>Q1 2026</v>
      </c>
      <c r="X20" s="61" t="str">
        <f t="shared" si="8"/>
        <v>FQ1</v>
      </c>
      <c r="Y20" s="61" t="str">
        <f t="shared" si="8"/>
        <v>FQ2</v>
      </c>
      <c r="Z20" s="61" t="str">
        <f t="shared" si="8"/>
        <v>FQ3</v>
      </c>
    </row>
    <row r="21" spans="2:26" x14ac:dyDescent="0.2">
      <c r="B21" s="1" t="str">
        <f>B11</f>
        <v>COGS</v>
      </c>
      <c r="C21" s="110">
        <f t="shared" ref="C21:G22" si="9">C11/C$6</f>
        <v>0.11815014254038644</v>
      </c>
      <c r="D21" s="110">
        <f t="shared" si="9"/>
        <v>0.12296944223560149</v>
      </c>
      <c r="E21" s="110">
        <f t="shared" si="9"/>
        <v>0.12128394044000206</v>
      </c>
      <c r="F21" s="110">
        <f t="shared" si="9"/>
        <v>0.10964891885607998</v>
      </c>
      <c r="G21" s="111">
        <f t="shared" si="9"/>
        <v>0.10732466658252346</v>
      </c>
      <c r="H21" s="112">
        <v>0.105</v>
      </c>
      <c r="I21" s="112">
        <v>0.10299999999999999</v>
      </c>
      <c r="J21" s="112">
        <v>0.10100000000000001</v>
      </c>
      <c r="K21" s="112">
        <v>0.1</v>
      </c>
      <c r="L21" s="112">
        <v>0.1</v>
      </c>
      <c r="O21" s="1" t="str">
        <f>O11</f>
        <v>COGS</v>
      </c>
      <c r="P21" s="110">
        <f t="shared" ref="P21:W22" si="10">P11/P$6</f>
        <v>0.11263891504991524</v>
      </c>
      <c r="Q21" s="110">
        <f t="shared" si="10"/>
        <v>0.10244082840236686</v>
      </c>
      <c r="R21" s="110">
        <f t="shared" si="10"/>
        <v>0.10988226899750267</v>
      </c>
      <c r="S21" s="110">
        <f t="shared" si="10"/>
        <v>0.10885544277213861</v>
      </c>
      <c r="T21" s="110">
        <f t="shared" si="10"/>
        <v>0.10863272603439469</v>
      </c>
      <c r="U21" s="110">
        <f t="shared" si="10"/>
        <v>0.10721442885771543</v>
      </c>
      <c r="V21" s="110">
        <f t="shared" si="10"/>
        <v>0.1047788182111721</v>
      </c>
      <c r="W21" s="111">
        <f t="shared" si="10"/>
        <v>0.10378243201000313</v>
      </c>
      <c r="X21" s="112">
        <v>0.28000000000000003</v>
      </c>
      <c r="Y21" s="112"/>
      <c r="Z21" s="112"/>
    </row>
    <row r="22" spans="2:26" x14ac:dyDescent="0.2">
      <c r="B22" s="1" t="str">
        <f>B12</f>
        <v>R&amp;D</v>
      </c>
      <c r="C22" s="110">
        <f t="shared" si="9"/>
        <v>0.16091225847323409</v>
      </c>
      <c r="D22" s="110">
        <f t="shared" si="9"/>
        <v>0.16965807111212086</v>
      </c>
      <c r="E22" s="110">
        <f t="shared" si="9"/>
        <v>0.17893760626513472</v>
      </c>
      <c r="F22" s="110">
        <f t="shared" si="9"/>
        <v>0.183399209486166</v>
      </c>
      <c r="G22" s="111">
        <f t="shared" si="9"/>
        <v>0.1806554756195044</v>
      </c>
      <c r="H22" s="112">
        <v>0.19</v>
      </c>
      <c r="I22" s="112">
        <v>0.191</v>
      </c>
      <c r="J22" s="112">
        <v>0.193</v>
      </c>
      <c r="K22" s="112">
        <v>0.19500000000000001</v>
      </c>
      <c r="L22" s="112">
        <v>0.19500000000000001</v>
      </c>
      <c r="O22" s="1" t="str">
        <f>O12</f>
        <v>R&amp;D</v>
      </c>
      <c r="P22" s="110">
        <f t="shared" si="10"/>
        <v>0.18534563948012808</v>
      </c>
      <c r="Q22" s="110">
        <f t="shared" si="10"/>
        <v>0.18897928994082841</v>
      </c>
      <c r="R22" s="110">
        <f t="shared" si="10"/>
        <v>0.17820192650731359</v>
      </c>
      <c r="S22" s="110">
        <f t="shared" si="10"/>
        <v>0.17955897794889744</v>
      </c>
      <c r="T22" s="110">
        <f t="shared" si="10"/>
        <v>0.18423293035927124</v>
      </c>
      <c r="U22" s="110">
        <f t="shared" si="10"/>
        <v>0.18169672678690715</v>
      </c>
      <c r="V22" s="110">
        <f t="shared" si="10"/>
        <v>0.17726832418469488</v>
      </c>
      <c r="W22" s="111">
        <f t="shared" si="10"/>
        <v>0.17349171616130041</v>
      </c>
      <c r="X22" s="112">
        <v>0.29599999999999999</v>
      </c>
      <c r="Y22" s="112"/>
      <c r="Z22" s="112"/>
    </row>
    <row r="23" spans="2:26" x14ac:dyDescent="0.2">
      <c r="B23" s="1" t="str">
        <f t="shared" ref="B23:B25" si="11">B13</f>
        <v>Sales and marketing</v>
      </c>
      <c r="C23" s="110">
        <f t="shared" ref="C23:G23" si="12">C13/C$6</f>
        <v>0.27374089325308837</v>
      </c>
      <c r="D23" s="110">
        <f t="shared" si="12"/>
        <v>0.28217653072816085</v>
      </c>
      <c r="E23" s="110">
        <f t="shared" si="12"/>
        <v>0.27569684167138958</v>
      </c>
      <c r="F23" s="110">
        <f t="shared" si="12"/>
        <v>0.26803069053708439</v>
      </c>
      <c r="G23" s="111">
        <f t="shared" si="12"/>
        <v>0.27296057890529679</v>
      </c>
      <c r="H23" s="112">
        <v>0.27</v>
      </c>
      <c r="I23" s="112">
        <v>0.27</v>
      </c>
      <c r="J23" s="112">
        <v>0.27</v>
      </c>
      <c r="K23" s="112">
        <v>0.27</v>
      </c>
      <c r="L23" s="112">
        <v>0.27</v>
      </c>
      <c r="O23" s="1" t="str">
        <f t="shared" ref="O23" si="13">O13</f>
        <v>General &amp; administrative</v>
      </c>
      <c r="P23" s="110" t="e">
        <f t="shared" ref="P23:W23" si="14">P13/P$6</f>
        <v>#REF!</v>
      </c>
      <c r="Q23" s="110" t="e">
        <f t="shared" si="14"/>
        <v>#REF!</v>
      </c>
      <c r="R23" s="110" t="e">
        <f t="shared" si="14"/>
        <v>#REF!</v>
      </c>
      <c r="S23" s="110" t="e">
        <f t="shared" si="14"/>
        <v>#REF!</v>
      </c>
      <c r="T23" s="110" t="e">
        <f t="shared" si="14"/>
        <v>#REF!</v>
      </c>
      <c r="U23" s="110" t="e">
        <f t="shared" si="14"/>
        <v>#REF!</v>
      </c>
      <c r="V23" s="110" t="e">
        <f t="shared" si="14"/>
        <v>#REF!</v>
      </c>
      <c r="W23" s="111" t="e">
        <f t="shared" si="14"/>
        <v>#REF!</v>
      </c>
      <c r="X23" s="112">
        <v>0.185</v>
      </c>
      <c r="Y23" s="112"/>
      <c r="Z23" s="112"/>
    </row>
    <row r="24" spans="2:26" x14ac:dyDescent="0.2">
      <c r="B24" s="1" t="str">
        <f t="shared" si="11"/>
        <v>General and administrative</v>
      </c>
      <c r="C24" s="110">
        <f t="shared" ref="C24:G24" si="15">C14/C$6</f>
        <v>6.8736141906873618E-2</v>
      </c>
      <c r="D24" s="110">
        <f t="shared" si="15"/>
        <v>6.923775985459503E-2</v>
      </c>
      <c r="E24" s="110">
        <f t="shared" si="15"/>
        <v>7.2801277757741256E-2</v>
      </c>
      <c r="F24" s="110">
        <f t="shared" si="15"/>
        <v>7.1099744245524302E-2</v>
      </c>
      <c r="G24" s="111">
        <f t="shared" si="15"/>
        <v>6.6178636038537589E-2</v>
      </c>
      <c r="H24" s="112">
        <v>7.0000000000000007E-2</v>
      </c>
      <c r="I24" s="112">
        <v>7.0000000000000007E-2</v>
      </c>
      <c r="J24" s="112">
        <v>7.0000000000000007E-2</v>
      </c>
      <c r="K24" s="112">
        <v>7.0000000000000007E-2</v>
      </c>
      <c r="L24" s="112">
        <v>7.0000000000000007E-2</v>
      </c>
    </row>
    <row r="25" spans="2:26" x14ac:dyDescent="0.2">
      <c r="B25" s="1" t="str">
        <f t="shared" si="11"/>
        <v>Amortization of intangibles</v>
      </c>
      <c r="C25" s="110">
        <f t="shared" ref="C25:G25" si="16">C15/C$6</f>
        <v>1.0896420652518213E-2</v>
      </c>
      <c r="D25" s="110">
        <f t="shared" si="16"/>
        <v>9.5990003407929111E-3</v>
      </c>
      <c r="E25" s="110">
        <f t="shared" si="16"/>
        <v>8.6557782472049052E-3</v>
      </c>
      <c r="F25" s="110">
        <f t="shared" si="16"/>
        <v>7.8586375261567084E-3</v>
      </c>
      <c r="G25" s="111">
        <f t="shared" si="16"/>
        <v>6.6052421220918001E-3</v>
      </c>
      <c r="H25" s="110">
        <f>H15/G$6</f>
        <v>6.7735285455845853E-3</v>
      </c>
      <c r="I25" s="110">
        <f t="shared" ref="I25:L25" si="17">I15/H$6</f>
        <v>4.5745545133515867E-3</v>
      </c>
      <c r="J25" s="110">
        <f t="shared" si="17"/>
        <v>2.543875020950727E-3</v>
      </c>
      <c r="K25" s="110">
        <f t="shared" si="17"/>
        <v>2.1763648895911335E-3</v>
      </c>
      <c r="L25" s="110">
        <f t="shared" si="17"/>
        <v>1.863851077590089E-3</v>
      </c>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E31" zoomScale="189" zoomScaleNormal="100" workbookViewId="0">
      <selection activeCell="H46" sqref="H4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236</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111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112</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7" t="s">
        <v>6</v>
      </c>
      <c r="C7" s="106">
        <f>Revenue!C9</f>
        <v>15785</v>
      </c>
      <c r="D7" s="106">
        <f>Revenue!D9</f>
        <v>17606</v>
      </c>
      <c r="E7" s="106">
        <f>Revenue!E9</f>
        <v>19409</v>
      </c>
      <c r="F7" s="106">
        <f>Revenue!F9</f>
        <v>21505</v>
      </c>
      <c r="G7" s="107">
        <f>Revenue!G9</f>
        <v>23769</v>
      </c>
      <c r="H7" s="106">
        <f>Revenue!H9</f>
        <v>26013.462</v>
      </c>
      <c r="I7" s="106">
        <f>Revenue!I9</f>
        <v>28696.378320000003</v>
      </c>
      <c r="J7" s="106">
        <f>Revenue!J9</f>
        <v>31704.242395200006</v>
      </c>
      <c r="K7" s="106">
        <f>Revenue!K9</f>
        <v>34874.030860900813</v>
      </c>
      <c r="L7" s="106">
        <f>Revenue!L9</f>
        <v>38252.850332990893</v>
      </c>
      <c r="N7" s="90"/>
      <c r="O7" s="7"/>
      <c r="P7" s="106"/>
      <c r="Q7" s="106"/>
      <c r="R7" s="106"/>
      <c r="S7" s="106"/>
      <c r="T7" s="106"/>
      <c r="U7" s="106"/>
      <c r="V7" s="106"/>
      <c r="W7" s="106"/>
      <c r="X7" s="108"/>
      <c r="Y7" s="108"/>
      <c r="Z7" s="108"/>
      <c r="AB7" s="108"/>
    </row>
    <row r="8" spans="1:28" x14ac:dyDescent="0.2">
      <c r="B8" s="8" t="s">
        <v>7</v>
      </c>
      <c r="C8" s="131">
        <f>'COGS &amp; OpEx'!C11</f>
        <v>1865</v>
      </c>
      <c r="D8" s="131">
        <f>'COGS &amp; OpEx'!D11</f>
        <v>2165</v>
      </c>
      <c r="E8" s="131">
        <f>'COGS &amp; OpEx'!E11</f>
        <v>2354</v>
      </c>
      <c r="F8" s="131">
        <f>'COGS &amp; OpEx'!F11</f>
        <v>2358</v>
      </c>
      <c r="G8" s="133">
        <f>'COGS &amp; OpEx'!G11</f>
        <v>2551</v>
      </c>
      <c r="H8" s="131">
        <f>'COGS &amp; OpEx'!H11</f>
        <v>2731.4135099999999</v>
      </c>
      <c r="I8" s="131">
        <f>'COGS &amp; OpEx'!I11</f>
        <v>2955.72696696</v>
      </c>
      <c r="J8" s="131">
        <f>'COGS &amp; OpEx'!J11</f>
        <v>3202.1284819152011</v>
      </c>
      <c r="K8" s="131">
        <f>'COGS &amp; OpEx'!K11</f>
        <v>3487.4030860900816</v>
      </c>
      <c r="L8" s="131">
        <f>'COGS &amp; OpEx'!L11</f>
        <v>3825.2850332990893</v>
      </c>
      <c r="N8" s="90"/>
      <c r="O8" s="7"/>
      <c r="P8" s="106"/>
      <c r="Q8" s="106"/>
      <c r="R8" s="106"/>
      <c r="S8" s="106"/>
      <c r="T8" s="106"/>
      <c r="U8" s="106"/>
      <c r="V8" s="106"/>
      <c r="W8" s="106"/>
      <c r="X8" s="108"/>
      <c r="Y8" s="108"/>
      <c r="Z8" s="108"/>
      <c r="AB8" s="108"/>
    </row>
    <row r="9" spans="1:28" x14ac:dyDescent="0.2">
      <c r="N9" s="90"/>
    </row>
    <row r="10" spans="1:28" x14ac:dyDescent="0.2">
      <c r="N10" s="90"/>
    </row>
    <row r="11" spans="1:28" x14ac:dyDescent="0.2">
      <c r="C11" s="220" t="s">
        <v>126</v>
      </c>
      <c r="D11" s="220"/>
      <c r="E11" s="220"/>
      <c r="F11" s="220"/>
      <c r="G11" s="220"/>
      <c r="H11" s="220"/>
      <c r="I11" s="220"/>
      <c r="J11" s="220"/>
      <c r="K11" s="220"/>
      <c r="L11" s="220"/>
      <c r="N11" s="90"/>
      <c r="P11" s="221"/>
      <c r="Q11" s="221"/>
      <c r="R11" s="221"/>
      <c r="S11" s="221"/>
      <c r="T11" s="221"/>
      <c r="U11" s="221"/>
      <c r="V11" s="221"/>
      <c r="W11" s="221"/>
      <c r="X11" s="221"/>
      <c r="Y11" s="221"/>
      <c r="Z11" s="221"/>
      <c r="AB11" s="122"/>
    </row>
    <row r="12" spans="1:28" x14ac:dyDescent="0.2">
      <c r="B12" s="7" t="s">
        <v>125</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90"/>
      <c r="O12" s="7"/>
      <c r="P12" s="123"/>
      <c r="Q12" s="123"/>
      <c r="R12" s="123"/>
      <c r="S12" s="123"/>
      <c r="T12" s="123"/>
      <c r="U12" s="123"/>
      <c r="V12" s="123"/>
      <c r="W12" s="123"/>
      <c r="X12" s="123"/>
      <c r="Y12" s="123"/>
      <c r="Z12" s="123"/>
      <c r="AB12" s="122"/>
    </row>
    <row r="13" spans="1:28" x14ac:dyDescent="0.2">
      <c r="B13" s="8" t="s">
        <v>127</v>
      </c>
      <c r="C13" s="126">
        <f>Statements!H28</f>
        <v>1878</v>
      </c>
      <c r="D13" s="126">
        <f>Statements!I28</f>
        <v>2065</v>
      </c>
      <c r="E13" s="126">
        <f>Statements!J28</f>
        <v>2224</v>
      </c>
      <c r="F13" s="126">
        <f>Statements!K28</f>
        <v>2072</v>
      </c>
      <c r="G13" s="127">
        <f>Statements!L28</f>
        <v>2344</v>
      </c>
      <c r="H13" s="33">
        <f>H20*H7/365</f>
        <v>2708.2508383561644</v>
      </c>
      <c r="I13" s="33">
        <f>I20*I7/365</f>
        <v>2987.5681538630142</v>
      </c>
      <c r="J13" s="33">
        <f>J20*J7/365</f>
        <v>3300.7156466235624</v>
      </c>
      <c r="K13" s="33">
        <f>K20*K7/365</f>
        <v>3630.7210211348788</v>
      </c>
      <c r="L13" s="33">
        <f>L20*L7/365</f>
        <v>3982.4885278182301</v>
      </c>
      <c r="N13" s="90"/>
      <c r="O13" s="7"/>
      <c r="P13" s="124"/>
      <c r="Q13" s="124"/>
      <c r="R13" s="124"/>
      <c r="S13" s="124"/>
      <c r="T13" s="124"/>
      <c r="U13" s="124"/>
      <c r="V13" s="124"/>
      <c r="W13" s="124"/>
      <c r="X13" s="21"/>
      <c r="Y13" s="21"/>
      <c r="Z13" s="21"/>
      <c r="AB13" s="20"/>
    </row>
    <row r="14" spans="1:28" x14ac:dyDescent="0.2">
      <c r="B14" s="8" t="s">
        <v>219</v>
      </c>
      <c r="C14" s="126">
        <v>0</v>
      </c>
      <c r="D14" s="126">
        <v>0</v>
      </c>
      <c r="E14" s="126">
        <v>0</v>
      </c>
      <c r="F14" s="126">
        <v>0</v>
      </c>
      <c r="G14" s="127">
        <v>0</v>
      </c>
      <c r="H14" s="33">
        <v>0</v>
      </c>
      <c r="I14" s="33">
        <v>0</v>
      </c>
      <c r="J14" s="33">
        <v>0</v>
      </c>
      <c r="K14" s="33">
        <v>0</v>
      </c>
      <c r="L14" s="33">
        <v>0</v>
      </c>
      <c r="N14" s="90"/>
      <c r="O14" s="7"/>
      <c r="P14" s="124"/>
      <c r="Q14" s="124"/>
      <c r="R14" s="124"/>
      <c r="S14" s="124"/>
      <c r="T14" s="124"/>
      <c r="U14" s="124"/>
      <c r="V14" s="124"/>
      <c r="W14" s="124"/>
      <c r="X14" s="21"/>
      <c r="Y14" s="21"/>
      <c r="Z14" s="21"/>
      <c r="AB14" s="20"/>
    </row>
    <row r="15" spans="1:28" x14ac:dyDescent="0.2">
      <c r="B15" s="1" t="s">
        <v>128</v>
      </c>
      <c r="C15" s="126">
        <f>Statements!H39</f>
        <v>312</v>
      </c>
      <c r="D15" s="126">
        <f>Statements!I39</f>
        <v>379</v>
      </c>
      <c r="E15" s="126">
        <f>Statements!J39</f>
        <v>314</v>
      </c>
      <c r="F15" s="126">
        <f>Statements!K39</f>
        <v>361</v>
      </c>
      <c r="G15" s="127">
        <f>Statements!L39</f>
        <v>417</v>
      </c>
      <c r="H15" s="20">
        <f>H22*H8/365</f>
        <v>426.54950704109586</v>
      </c>
      <c r="I15" s="20">
        <f>I22*I8/365</f>
        <v>461.57927977183567</v>
      </c>
      <c r="J15" s="20">
        <f>J22*J8/365</f>
        <v>500.05842046346976</v>
      </c>
      <c r="K15" s="20">
        <f>K22*K8/365</f>
        <v>544.60815317023196</v>
      </c>
      <c r="L15" s="20">
        <f>L22*L8/365</f>
        <v>597.37327917273444</v>
      </c>
      <c r="N15" s="90"/>
      <c r="P15" s="125"/>
      <c r="Q15" s="125"/>
      <c r="R15" s="125"/>
      <c r="S15" s="125"/>
      <c r="T15" s="125"/>
      <c r="U15" s="125"/>
      <c r="V15" s="125"/>
      <c r="W15" s="125"/>
      <c r="X15" s="33"/>
      <c r="Y15" s="20"/>
      <c r="Z15" s="20"/>
      <c r="AB15" s="20"/>
    </row>
    <row r="16" spans="1:28" x14ac:dyDescent="0.2">
      <c r="D16" s="20"/>
    </row>
    <row r="18" spans="2:12" x14ac:dyDescent="0.2">
      <c r="C18" s="220" t="s">
        <v>133</v>
      </c>
      <c r="D18" s="220"/>
      <c r="E18" s="220"/>
      <c r="F18" s="220"/>
      <c r="G18" s="220"/>
      <c r="H18" s="220"/>
      <c r="I18" s="220"/>
      <c r="J18" s="220"/>
      <c r="K18" s="220"/>
      <c r="L18" s="220"/>
    </row>
    <row r="19" spans="2:12" x14ac:dyDescent="0.2">
      <c r="B19" s="7" t="s">
        <v>130</v>
      </c>
      <c r="C19" s="61">
        <f t="shared" ref="C19:L19" si="1">C6</f>
        <v>2021</v>
      </c>
      <c r="D19" s="61">
        <f t="shared" si="1"/>
        <v>2022</v>
      </c>
      <c r="E19" s="61">
        <f t="shared" si="1"/>
        <v>2023</v>
      </c>
      <c r="F19" s="61">
        <f t="shared" si="1"/>
        <v>2024</v>
      </c>
      <c r="G19" s="61">
        <f t="shared" si="1"/>
        <v>2025</v>
      </c>
      <c r="H19" s="61">
        <f t="shared" si="1"/>
        <v>2026</v>
      </c>
      <c r="I19" s="61">
        <f t="shared" si="1"/>
        <v>2027</v>
      </c>
      <c r="J19" s="61">
        <f t="shared" si="1"/>
        <v>2028</v>
      </c>
      <c r="K19" s="61">
        <f t="shared" si="1"/>
        <v>2029</v>
      </c>
      <c r="L19" s="61">
        <f t="shared" si="1"/>
        <v>2030</v>
      </c>
    </row>
    <row r="20" spans="2:12" x14ac:dyDescent="0.2">
      <c r="B20" s="1" t="s">
        <v>131</v>
      </c>
      <c r="C20" s="128">
        <f>C13/C7*365</f>
        <v>43.425403864428255</v>
      </c>
      <c r="D20" s="128">
        <f>D13/D7*365</f>
        <v>42.810689537657616</v>
      </c>
      <c r="E20" s="128">
        <f>E13/E7*365</f>
        <v>41.823896130661034</v>
      </c>
      <c r="F20" s="128">
        <f>F13/F7*365</f>
        <v>35.167635433620084</v>
      </c>
      <c r="G20" s="134">
        <f>G13/G7*365</f>
        <v>35.994783120871723</v>
      </c>
      <c r="H20" s="96">
        <v>38</v>
      </c>
      <c r="I20" s="96">
        <v>38</v>
      </c>
      <c r="J20" s="96">
        <v>38</v>
      </c>
      <c r="K20" s="96">
        <v>38</v>
      </c>
      <c r="L20" s="96">
        <v>38</v>
      </c>
    </row>
    <row r="21" spans="2:12" x14ac:dyDescent="0.2">
      <c r="B21" s="1" t="s">
        <v>246</v>
      </c>
      <c r="C21" s="128">
        <f>C14/C8*365</f>
        <v>0</v>
      </c>
      <c r="D21" s="128">
        <f t="shared" ref="D21:G21" si="2">D14/D8*365</f>
        <v>0</v>
      </c>
      <c r="E21" s="128">
        <f t="shared" si="2"/>
        <v>0</v>
      </c>
      <c r="F21" s="128">
        <f t="shared" si="2"/>
        <v>0</v>
      </c>
      <c r="G21" s="134">
        <f t="shared" si="2"/>
        <v>0</v>
      </c>
      <c r="H21" s="96">
        <v>0</v>
      </c>
      <c r="I21" s="96">
        <v>0</v>
      </c>
      <c r="J21" s="96">
        <v>0</v>
      </c>
      <c r="K21" s="96">
        <v>0</v>
      </c>
      <c r="L21" s="96">
        <v>0</v>
      </c>
    </row>
    <row r="22" spans="2:12" x14ac:dyDescent="0.2">
      <c r="B22" s="1" t="s">
        <v>132</v>
      </c>
      <c r="C22" s="128">
        <f>C15/C8*365</f>
        <v>61.061662198391424</v>
      </c>
      <c r="D22" s="128">
        <f>D15/D8*365</f>
        <v>63.896073903002311</v>
      </c>
      <c r="E22" s="128">
        <f>E15/E8*365</f>
        <v>48.687340696686491</v>
      </c>
      <c r="F22" s="128">
        <f>F15/F8*365</f>
        <v>55.879983036471586</v>
      </c>
      <c r="G22" s="134">
        <f>G15/G8*365</f>
        <v>59.664837318698552</v>
      </c>
      <c r="H22" s="96">
        <v>57</v>
      </c>
      <c r="I22" s="96">
        <v>57</v>
      </c>
      <c r="J22" s="96">
        <v>57</v>
      </c>
      <c r="K22" s="96">
        <v>57</v>
      </c>
      <c r="L22" s="96">
        <v>57</v>
      </c>
    </row>
    <row r="23" spans="2:12" x14ac:dyDescent="0.2">
      <c r="B23" s="1" t="s">
        <v>129</v>
      </c>
      <c r="C23" s="128">
        <f>C20+C21-C22</f>
        <v>-17.63625833396317</v>
      </c>
      <c r="D23" s="128">
        <f t="shared" ref="D23:L23" si="3">D20+D21-D22</f>
        <v>-21.085384365344694</v>
      </c>
      <c r="E23" s="128">
        <f t="shared" si="3"/>
        <v>-6.863444566025457</v>
      </c>
      <c r="F23" s="128">
        <f t="shared" si="3"/>
        <v>-20.712347602851501</v>
      </c>
      <c r="G23" s="134">
        <f t="shared" si="3"/>
        <v>-23.670054197826829</v>
      </c>
      <c r="H23" s="128">
        <f t="shared" si="3"/>
        <v>-19</v>
      </c>
      <c r="I23" s="128">
        <f t="shared" si="3"/>
        <v>-19</v>
      </c>
      <c r="J23" s="128">
        <f t="shared" si="3"/>
        <v>-19</v>
      </c>
      <c r="K23" s="128">
        <f t="shared" si="3"/>
        <v>-19</v>
      </c>
      <c r="L23" s="128">
        <f t="shared" si="3"/>
        <v>-19</v>
      </c>
    </row>
    <row r="25" spans="2:12" x14ac:dyDescent="0.2">
      <c r="B25" s="221"/>
      <c r="C25" s="221"/>
    </row>
    <row r="26" spans="2:12" x14ac:dyDescent="0.2">
      <c r="B26" s="121"/>
      <c r="C26" s="220" t="s">
        <v>237</v>
      </c>
      <c r="D26" s="220"/>
      <c r="E26" s="220"/>
      <c r="F26" s="220"/>
      <c r="G26" s="220"/>
      <c r="H26" s="220"/>
      <c r="I26" s="220"/>
      <c r="J26" s="220"/>
      <c r="K26" s="220"/>
      <c r="L26" s="220"/>
    </row>
    <row r="27" spans="2:12" x14ac:dyDescent="0.2">
      <c r="B27" s="7" t="s">
        <v>125</v>
      </c>
      <c r="C27" s="61">
        <f t="shared" ref="C27:L27" si="4">C6</f>
        <v>2021</v>
      </c>
      <c r="D27" s="61">
        <f t="shared" si="4"/>
        <v>2022</v>
      </c>
      <c r="E27" s="61">
        <f t="shared" si="4"/>
        <v>2023</v>
      </c>
      <c r="F27" s="61">
        <f t="shared" si="4"/>
        <v>2024</v>
      </c>
      <c r="G27" s="61">
        <f t="shared" si="4"/>
        <v>2025</v>
      </c>
      <c r="H27" s="61">
        <f t="shared" si="4"/>
        <v>2026</v>
      </c>
      <c r="I27" s="61">
        <f t="shared" si="4"/>
        <v>2027</v>
      </c>
      <c r="J27" s="61">
        <f t="shared" si="4"/>
        <v>2028</v>
      </c>
      <c r="K27" s="61">
        <f t="shared" si="4"/>
        <v>2029</v>
      </c>
      <c r="L27" s="61">
        <f t="shared" si="4"/>
        <v>2030</v>
      </c>
    </row>
    <row r="28" spans="2:12" x14ac:dyDescent="0.2">
      <c r="B28" s="1" t="s">
        <v>238</v>
      </c>
      <c r="C28" s="126">
        <f>'Statement Y'!H74</f>
        <v>-430</v>
      </c>
      <c r="D28" s="126">
        <f>'Statement Y'!I74</f>
        <v>-198</v>
      </c>
      <c r="E28" s="126">
        <f>'Statement Y'!J74</f>
        <v>-159</v>
      </c>
      <c r="F28" s="126">
        <f>'Statement Y'!K74</f>
        <v>143</v>
      </c>
      <c r="G28" s="127">
        <f>'Statement Y'!L74</f>
        <v>-275</v>
      </c>
      <c r="H28" s="33">
        <f>-(H13-G13)</f>
        <v>-364.25083835616442</v>
      </c>
      <c r="I28" s="33">
        <f t="shared" ref="I28:L28" si="5">-(I13-H13)</f>
        <v>-279.31731550684981</v>
      </c>
      <c r="J28" s="33">
        <f t="shared" si="5"/>
        <v>-313.14749276054818</v>
      </c>
      <c r="K28" s="33">
        <f t="shared" si="5"/>
        <v>-330.0053745113164</v>
      </c>
      <c r="L28" s="33">
        <f t="shared" si="5"/>
        <v>-351.76750668335126</v>
      </c>
    </row>
    <row r="29" spans="2:12" x14ac:dyDescent="0.2">
      <c r="B29" s="1" t="s">
        <v>247</v>
      </c>
      <c r="C29" s="126">
        <v>0</v>
      </c>
      <c r="D29" s="126">
        <v>0</v>
      </c>
      <c r="E29" s="126">
        <v>0</v>
      </c>
      <c r="F29" s="126">
        <v>0</v>
      </c>
      <c r="G29" s="127">
        <v>0</v>
      </c>
      <c r="H29" s="33">
        <f>-(H14-G14)</f>
        <v>0</v>
      </c>
      <c r="I29" s="33">
        <f t="shared" ref="I29:L29" si="6">-(I14-H14)</f>
        <v>0</v>
      </c>
      <c r="J29" s="33">
        <f t="shared" si="6"/>
        <v>0</v>
      </c>
      <c r="K29" s="33">
        <f t="shared" si="6"/>
        <v>0</v>
      </c>
      <c r="L29" s="33">
        <f t="shared" si="6"/>
        <v>0</v>
      </c>
    </row>
    <row r="30" spans="2:12" x14ac:dyDescent="0.2">
      <c r="B30" s="1" t="s">
        <v>239</v>
      </c>
      <c r="C30" s="126">
        <f>'Statement Y'!H76</f>
        <v>-20</v>
      </c>
      <c r="D30" s="126">
        <f>'Statement Y'!I76</f>
        <v>66</v>
      </c>
      <c r="E30" s="126">
        <f>'Statement Y'!J76</f>
        <v>-49</v>
      </c>
      <c r="F30" s="126">
        <f>'Statement Y'!K76</f>
        <v>44</v>
      </c>
      <c r="G30" s="127">
        <f>'Statement Y'!L76</f>
        <v>64</v>
      </c>
      <c r="H30" s="20">
        <f>H15-G15</f>
        <v>9.5495070410958647</v>
      </c>
      <c r="I30" s="20">
        <f t="shared" ref="I30:L30" si="7">I15-H15</f>
        <v>35.029772730739808</v>
      </c>
      <c r="J30" s="20">
        <f t="shared" si="7"/>
        <v>38.479140691634086</v>
      </c>
      <c r="K30" s="20">
        <f t="shared" si="7"/>
        <v>44.5497327067622</v>
      </c>
      <c r="L30" s="20">
        <f t="shared" si="7"/>
        <v>52.765126002502484</v>
      </c>
    </row>
    <row r="31" spans="2:12" x14ac:dyDescent="0.2">
      <c r="B31" s="121"/>
      <c r="C31" s="121"/>
    </row>
    <row r="32" spans="2:12" x14ac:dyDescent="0.2">
      <c r="B32" s="121"/>
      <c r="C32" s="121"/>
    </row>
    <row r="33" spans="2:12" x14ac:dyDescent="0.2">
      <c r="B33" s="121"/>
      <c r="C33" s="220" t="s">
        <v>240</v>
      </c>
      <c r="D33" s="220"/>
      <c r="E33" s="220"/>
      <c r="F33" s="220"/>
      <c r="G33" s="220"/>
      <c r="H33" s="220"/>
      <c r="I33" s="220"/>
      <c r="J33" s="220"/>
      <c r="K33" s="220"/>
      <c r="L33" s="220"/>
    </row>
    <row r="34" spans="2:12" x14ac:dyDescent="0.2">
      <c r="B34" s="7" t="s">
        <v>125</v>
      </c>
      <c r="C34" s="61">
        <f t="shared" ref="C34:L34" si="8">C6</f>
        <v>2021</v>
      </c>
      <c r="D34" s="61">
        <f t="shared" si="8"/>
        <v>2022</v>
      </c>
      <c r="E34" s="61">
        <f t="shared" si="8"/>
        <v>2023</v>
      </c>
      <c r="F34" s="61">
        <f t="shared" si="8"/>
        <v>2024</v>
      </c>
      <c r="G34" s="61">
        <f t="shared" si="8"/>
        <v>2025</v>
      </c>
      <c r="H34" s="61">
        <f t="shared" si="8"/>
        <v>2026</v>
      </c>
      <c r="I34" s="61">
        <f t="shared" si="8"/>
        <v>2027</v>
      </c>
      <c r="J34" s="61">
        <f t="shared" si="8"/>
        <v>2028</v>
      </c>
      <c r="K34" s="61">
        <f t="shared" si="8"/>
        <v>2029</v>
      </c>
      <c r="L34" s="61">
        <f t="shared" si="8"/>
        <v>2030</v>
      </c>
    </row>
    <row r="35" spans="2:12" x14ac:dyDescent="0.2">
      <c r="B35" s="1" t="s">
        <v>241</v>
      </c>
      <c r="C35" s="126">
        <f>Statements!H67</f>
        <v>292</v>
      </c>
      <c r="D35" s="126">
        <f>Statements!I67</f>
        <v>336</v>
      </c>
      <c r="E35" s="126">
        <f>Statements!J67</f>
        <v>-355</v>
      </c>
      <c r="F35" s="126">
        <f>Statements!K67</f>
        <v>144</v>
      </c>
      <c r="G35" s="127">
        <f>Statements!L67</f>
        <v>605</v>
      </c>
      <c r="H35" s="33">
        <f>H36+H28+H29+H30</f>
        <v>165.56790868493141</v>
      </c>
      <c r="I35" s="33">
        <f t="shared" ref="I35:L35" si="9">I36+I28+I29+I30</f>
        <v>329.64002362389004</v>
      </c>
      <c r="J35" s="33">
        <f t="shared" si="9"/>
        <v>359.4164958350861</v>
      </c>
      <c r="K35" s="33">
        <f t="shared" si="9"/>
        <v>412.02497541346207</v>
      </c>
      <c r="L35" s="33">
        <f t="shared" si="9"/>
        <v>466.05462597896906</v>
      </c>
    </row>
    <row r="36" spans="2:12" x14ac:dyDescent="0.2">
      <c r="B36" s="1" t="s">
        <v>242</v>
      </c>
      <c r="C36" s="140">
        <f>C35-C28-C29-C30</f>
        <v>742</v>
      </c>
      <c r="D36" s="140">
        <f t="shared" ref="D36:G36" si="10">D35-D28-D29-D30</f>
        <v>468</v>
      </c>
      <c r="E36" s="140">
        <f t="shared" si="10"/>
        <v>-147</v>
      </c>
      <c r="F36" s="140">
        <f t="shared" si="10"/>
        <v>-43</v>
      </c>
      <c r="G36" s="141">
        <f t="shared" si="10"/>
        <v>816</v>
      </c>
      <c r="H36" s="20">
        <f>H7*H37</f>
        <v>520.26923999999997</v>
      </c>
      <c r="I36" s="20">
        <f>I7*I37</f>
        <v>573.92756640000005</v>
      </c>
      <c r="J36" s="20">
        <f>J7*J37</f>
        <v>634.08484790400018</v>
      </c>
      <c r="K36" s="20">
        <f>K7*K37</f>
        <v>697.48061721801628</v>
      </c>
      <c r="L36" s="20">
        <f>L7*L37</f>
        <v>765.05700665981783</v>
      </c>
    </row>
    <row r="37" spans="2:12" x14ac:dyDescent="0.2">
      <c r="B37" s="179" t="s">
        <v>104</v>
      </c>
      <c r="C37" s="180">
        <f>C36/C7</f>
        <v>4.7006651884700663E-2</v>
      </c>
      <c r="D37" s="180">
        <f>D36/D7</f>
        <v>2.658184709758037E-2</v>
      </c>
      <c r="E37" s="180">
        <f>E36/E7</f>
        <v>-7.5738059663042921E-3</v>
      </c>
      <c r="F37" s="180">
        <f>F36/F7</f>
        <v>-1.9995349918623577E-3</v>
      </c>
      <c r="G37" s="181">
        <f>G36/G7</f>
        <v>3.4330430392528082E-2</v>
      </c>
      <c r="H37" s="112">
        <v>0.02</v>
      </c>
      <c r="I37" s="112">
        <v>0.02</v>
      </c>
      <c r="J37" s="112">
        <v>0.02</v>
      </c>
      <c r="K37" s="112">
        <v>0.02</v>
      </c>
      <c r="L37" s="112">
        <v>0.02</v>
      </c>
    </row>
    <row r="38" spans="2:12" x14ac:dyDescent="0.2">
      <c r="C38" s="103"/>
    </row>
    <row r="39" spans="2:12" x14ac:dyDescent="0.2">
      <c r="C39" s="130"/>
    </row>
    <row r="40" spans="2:12" x14ac:dyDescent="0.2">
      <c r="C40" s="220" t="s">
        <v>243</v>
      </c>
      <c r="D40" s="220"/>
      <c r="E40" s="220"/>
      <c r="F40" s="220"/>
      <c r="G40" s="220"/>
      <c r="H40" s="220"/>
      <c r="I40" s="220"/>
      <c r="J40" s="220"/>
      <c r="K40" s="220"/>
      <c r="L40" s="220"/>
    </row>
    <row r="41" spans="2:12" x14ac:dyDescent="0.2">
      <c r="B41" s="7" t="s">
        <v>125</v>
      </c>
      <c r="C41" s="61">
        <f t="shared" ref="C41:L41" si="11">C6</f>
        <v>2021</v>
      </c>
      <c r="D41" s="61">
        <f t="shared" si="11"/>
        <v>2022</v>
      </c>
      <c r="E41" s="61">
        <f t="shared" si="11"/>
        <v>2023</v>
      </c>
      <c r="F41" s="61">
        <f t="shared" si="11"/>
        <v>2024</v>
      </c>
      <c r="G41" s="61">
        <f t="shared" si="11"/>
        <v>2025</v>
      </c>
      <c r="H41" s="61">
        <f t="shared" si="11"/>
        <v>2026</v>
      </c>
      <c r="I41" s="61">
        <f t="shared" si="11"/>
        <v>2027</v>
      </c>
      <c r="J41" s="61">
        <f t="shared" si="11"/>
        <v>2028</v>
      </c>
      <c r="K41" s="61">
        <f t="shared" si="11"/>
        <v>2029</v>
      </c>
      <c r="L41" s="61">
        <f t="shared" si="11"/>
        <v>2030</v>
      </c>
    </row>
    <row r="42" spans="2:12" x14ac:dyDescent="0.2">
      <c r="B42" s="1" t="s">
        <v>35</v>
      </c>
      <c r="C42" s="126">
        <f>Statements!H63</f>
        <v>788</v>
      </c>
      <c r="D42" s="126">
        <f>Statements!I63</f>
        <v>856</v>
      </c>
      <c r="E42" s="126">
        <f>Statements!J63</f>
        <v>872</v>
      </c>
      <c r="F42" s="126">
        <f>Statements!K63</f>
        <v>857</v>
      </c>
      <c r="G42" s="127">
        <f>Statements!L63</f>
        <v>818</v>
      </c>
      <c r="H42" s="33">
        <f>H7*H43</f>
        <v>780.40386000000001</v>
      </c>
      <c r="I42" s="33">
        <f>I7*I43</f>
        <v>860.89134960000013</v>
      </c>
      <c r="J42" s="33">
        <f>J7*J43</f>
        <v>951.12727185600011</v>
      </c>
      <c r="K42" s="33">
        <f>K7*K43</f>
        <v>1046.2209258270243</v>
      </c>
      <c r="L42" s="33">
        <f>L7*L43</f>
        <v>1147.5855099897267</v>
      </c>
    </row>
    <row r="43" spans="2:12" x14ac:dyDescent="0.2">
      <c r="B43" s="179" t="s">
        <v>244</v>
      </c>
      <c r="C43" s="180">
        <f>C42/C7</f>
        <v>4.9920810896420656E-2</v>
      </c>
      <c r="D43" s="180">
        <f>D42/D7</f>
        <v>4.8619788708394868E-2</v>
      </c>
      <c r="E43" s="180">
        <f>E42/E7</f>
        <v>4.4927610902158792E-2</v>
      </c>
      <c r="F43" s="180">
        <f>F42/F7</f>
        <v>3.9851197395954427E-2</v>
      </c>
      <c r="G43" s="181">
        <f>G42/G7</f>
        <v>3.4414573604274475E-2</v>
      </c>
      <c r="H43" s="112">
        <v>0.03</v>
      </c>
      <c r="I43" s="112">
        <v>0.03</v>
      </c>
      <c r="J43" s="112">
        <v>0.03</v>
      </c>
      <c r="K43" s="112">
        <v>0.03</v>
      </c>
      <c r="L43" s="112">
        <v>0.03</v>
      </c>
    </row>
    <row r="44" spans="2:12" x14ac:dyDescent="0.2">
      <c r="B44" s="179" t="s">
        <v>245</v>
      </c>
      <c r="C44" s="180">
        <f>C42/C45</f>
        <v>2.264367816091954</v>
      </c>
      <c r="D44" s="180">
        <f t="shared" ref="D44:L44" si="12">D42/D45</f>
        <v>1.9366515837104072</v>
      </c>
      <c r="E44" s="180">
        <f t="shared" si="12"/>
        <v>2.4222222222222221</v>
      </c>
      <c r="F44" s="180">
        <f t="shared" si="12"/>
        <v>4.6830601092896176</v>
      </c>
      <c r="G44" s="181">
        <f t="shared" si="12"/>
        <v>4.5698324022346366</v>
      </c>
      <c r="H44" s="180">
        <f t="shared" si="12"/>
        <v>2</v>
      </c>
      <c r="I44" s="180">
        <f t="shared" si="12"/>
        <v>2</v>
      </c>
      <c r="J44" s="180">
        <f t="shared" si="12"/>
        <v>2</v>
      </c>
      <c r="K44" s="180">
        <f t="shared" si="12"/>
        <v>2</v>
      </c>
      <c r="L44" s="180">
        <f t="shared" si="12"/>
        <v>2</v>
      </c>
    </row>
    <row r="45" spans="2:12" x14ac:dyDescent="0.2">
      <c r="B45" s="1" t="s">
        <v>39</v>
      </c>
      <c r="C45" s="126">
        <f>-Statements!H69</f>
        <v>348</v>
      </c>
      <c r="D45" s="126">
        <f>-Statements!I69</f>
        <v>442</v>
      </c>
      <c r="E45" s="126">
        <f>-Statements!J69</f>
        <v>360</v>
      </c>
      <c r="F45" s="126">
        <f>-Statements!K69</f>
        <v>183</v>
      </c>
      <c r="G45" s="127">
        <f>-Statements!L69</f>
        <v>179</v>
      </c>
      <c r="H45" s="33">
        <f>H7*H46</f>
        <v>390.20193</v>
      </c>
      <c r="I45" s="33">
        <f>I7*I46</f>
        <v>430.44567480000006</v>
      </c>
      <c r="J45" s="33">
        <f>J7*J46</f>
        <v>475.56363592800005</v>
      </c>
      <c r="K45" s="33">
        <f>K7*K46</f>
        <v>523.11046291351215</v>
      </c>
      <c r="L45" s="33">
        <f>L7*L46</f>
        <v>573.79275499486334</v>
      </c>
    </row>
    <row r="46" spans="2:12" x14ac:dyDescent="0.2">
      <c r="B46" s="179" t="s">
        <v>244</v>
      </c>
      <c r="C46" s="180">
        <f>C45/C7</f>
        <v>2.2046246436490339E-2</v>
      </c>
      <c r="D46" s="180">
        <f>D45/D7</f>
        <v>2.5105077814381462E-2</v>
      </c>
      <c r="E46" s="180">
        <f>E45/E7</f>
        <v>1.854809624401051E-2</v>
      </c>
      <c r="F46" s="180">
        <f>F45/F7</f>
        <v>8.5096489188560796E-3</v>
      </c>
      <c r="G46" s="181">
        <f>G45/G7</f>
        <v>7.5308174513021159E-3</v>
      </c>
      <c r="H46" s="112">
        <v>1.4999999999999999E-2</v>
      </c>
      <c r="I46" s="112">
        <v>1.4999999999999999E-2</v>
      </c>
      <c r="J46" s="112">
        <v>1.4999999999999999E-2</v>
      </c>
      <c r="K46" s="112">
        <v>1.4999999999999999E-2</v>
      </c>
      <c r="L46" s="112">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2"/>
  <sheetViews>
    <sheetView topLeftCell="B19" zoomScale="150" workbookViewId="0">
      <selection activeCell="H26" sqref="H26"/>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248</v>
      </c>
    </row>
    <row r="2" spans="1:31" x14ac:dyDescent="0.2">
      <c r="A2" s="99"/>
      <c r="C2" s="215" t="s">
        <v>102</v>
      </c>
      <c r="D2" s="215"/>
      <c r="E2" s="215"/>
      <c r="F2" s="215"/>
      <c r="G2" s="218"/>
      <c r="H2" s="219" t="s">
        <v>103</v>
      </c>
      <c r="I2" s="215"/>
      <c r="J2" s="215"/>
      <c r="K2" s="215"/>
      <c r="L2" s="215"/>
      <c r="S2" s="221"/>
      <c r="T2" s="221"/>
      <c r="U2" s="221"/>
      <c r="V2" s="221"/>
      <c r="W2" s="221"/>
      <c r="X2" s="221"/>
      <c r="Y2" s="221"/>
      <c r="Z2" s="221"/>
      <c r="AA2" s="221"/>
      <c r="AB2" s="221"/>
      <c r="AC2" s="221"/>
      <c r="AE2" s="121"/>
    </row>
    <row r="3" spans="1:31" ht="10" customHeight="1" x14ac:dyDescent="0.2"/>
    <row r="4" spans="1:31" ht="16" customHeight="1" x14ac:dyDescent="0.2">
      <c r="A4" s="104"/>
      <c r="B4" s="91"/>
      <c r="C4" s="220" t="s">
        <v>5</v>
      </c>
      <c r="D4" s="220"/>
      <c r="E4" s="220"/>
      <c r="F4" s="220"/>
      <c r="G4" s="220"/>
      <c r="H4" s="220"/>
      <c r="I4" s="220"/>
      <c r="J4" s="220"/>
      <c r="K4" s="220"/>
      <c r="L4" s="220"/>
      <c r="S4" s="221"/>
      <c r="T4" s="221"/>
      <c r="U4" s="221"/>
      <c r="V4" s="221"/>
      <c r="W4" s="221"/>
      <c r="X4" s="221"/>
      <c r="Y4" s="221"/>
      <c r="Z4" s="221"/>
      <c r="AA4" s="221"/>
      <c r="AB4" s="221"/>
      <c r="AC4" s="221"/>
      <c r="AE4" s="122"/>
    </row>
    <row r="5" spans="1:31" x14ac:dyDescent="0.2">
      <c r="B5" s="7" t="s">
        <v>125</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3"/>
      <c r="T5" s="123"/>
      <c r="U5" s="123"/>
      <c r="V5" s="123"/>
      <c r="W5" s="123"/>
      <c r="X5" s="123"/>
      <c r="Y5" s="123"/>
      <c r="Z5" s="123"/>
      <c r="AA5" s="123"/>
      <c r="AB5" s="123"/>
      <c r="AC5" s="123"/>
      <c r="AE5" s="122"/>
    </row>
    <row r="6" spans="1:31"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114" t="s">
        <v>145</v>
      </c>
      <c r="Q6" s="114"/>
      <c r="S6" s="102"/>
      <c r="T6" s="102"/>
      <c r="U6" s="102"/>
      <c r="V6" s="102"/>
      <c r="W6" s="102"/>
      <c r="X6" s="102"/>
      <c r="Y6" s="102"/>
      <c r="Z6" s="102"/>
      <c r="AA6" s="103"/>
      <c r="AB6" s="103"/>
      <c r="AC6" s="103"/>
      <c r="AE6" s="103"/>
    </row>
    <row r="7" spans="1:31" x14ac:dyDescent="0.2">
      <c r="B7" s="1" t="s">
        <v>7</v>
      </c>
      <c r="C7" s="102">
        <f>'COGS &amp; OpEx'!C11</f>
        <v>1865</v>
      </c>
      <c r="D7" s="102">
        <f>'COGS &amp; OpEx'!D11</f>
        <v>2165</v>
      </c>
      <c r="E7" s="102">
        <f>'COGS &amp; OpEx'!E11</f>
        <v>2354</v>
      </c>
      <c r="F7" s="102">
        <f>'COGS &amp; OpEx'!F11</f>
        <v>2358</v>
      </c>
      <c r="G7" s="105">
        <f>'COGS &amp; OpEx'!G11</f>
        <v>2551</v>
      </c>
      <c r="H7" s="131">
        <f>'COGS &amp; OpEx'!H11</f>
        <v>2731.4135099999999</v>
      </c>
      <c r="I7" s="131">
        <f>'COGS &amp; OpEx'!I11</f>
        <v>2955.72696696</v>
      </c>
      <c r="J7" s="131">
        <f>'COGS &amp; OpEx'!J11</f>
        <v>3202.1284819152011</v>
      </c>
      <c r="K7" s="131">
        <f>'COGS &amp; OpEx'!K11</f>
        <v>3487.4030860900816</v>
      </c>
      <c r="L7" s="131">
        <f>'COGS &amp; OpEx'!L11</f>
        <v>3825.2850332990893</v>
      </c>
      <c r="N7" s="114" t="s">
        <v>139</v>
      </c>
      <c r="Q7" s="114"/>
      <c r="S7" s="102"/>
      <c r="T7" s="102"/>
      <c r="U7" s="102"/>
      <c r="V7" s="102"/>
      <c r="W7" s="102"/>
      <c r="X7" s="102"/>
      <c r="Y7" s="102"/>
      <c r="Z7" s="102"/>
      <c r="AA7" s="103"/>
      <c r="AB7" s="103"/>
      <c r="AC7" s="103"/>
      <c r="AE7" s="103"/>
    </row>
    <row r="8" spans="1:31" x14ac:dyDescent="0.2">
      <c r="B8" s="7" t="s">
        <v>105</v>
      </c>
      <c r="C8" s="108">
        <f>C6-C7</f>
        <v>13920</v>
      </c>
      <c r="D8" s="108">
        <f t="shared" ref="D8:L8" si="0">D6-D7</f>
        <v>15441</v>
      </c>
      <c r="E8" s="108">
        <f t="shared" si="0"/>
        <v>17055</v>
      </c>
      <c r="F8" s="108">
        <f t="shared" si="0"/>
        <v>19147</v>
      </c>
      <c r="G8" s="135">
        <f t="shared" si="0"/>
        <v>21218</v>
      </c>
      <c r="H8" s="108">
        <f t="shared" si="0"/>
        <v>23282.048490000001</v>
      </c>
      <c r="I8" s="108">
        <f t="shared" si="0"/>
        <v>25740.651353040004</v>
      </c>
      <c r="J8" s="108">
        <f t="shared" si="0"/>
        <v>28502.113913284804</v>
      </c>
      <c r="K8" s="108">
        <f t="shared" si="0"/>
        <v>31386.627774810731</v>
      </c>
      <c r="L8" s="108">
        <f t="shared" si="0"/>
        <v>34427.565299691807</v>
      </c>
      <c r="N8" s="114"/>
      <c r="Q8" s="114"/>
      <c r="S8" s="102"/>
      <c r="T8" s="102"/>
      <c r="U8" s="102"/>
      <c r="V8" s="102"/>
      <c r="W8" s="102"/>
      <c r="X8" s="102"/>
      <c r="Y8" s="102"/>
      <c r="Z8" s="102"/>
      <c r="AA8" s="103"/>
      <c r="AB8" s="103"/>
      <c r="AC8" s="103"/>
      <c r="AE8" s="103"/>
    </row>
    <row r="9" spans="1:31" x14ac:dyDescent="0.2">
      <c r="B9" s="1" t="str">
        <f>'COGS &amp; OpEx'!B22</f>
        <v>R&amp;D</v>
      </c>
      <c r="C9" s="102">
        <f>'COGS &amp; OpEx'!C12</f>
        <v>2540</v>
      </c>
      <c r="D9" s="102">
        <f>'COGS &amp; OpEx'!D12</f>
        <v>2987</v>
      </c>
      <c r="E9" s="102">
        <f>'COGS &amp; OpEx'!E12</f>
        <v>3473</v>
      </c>
      <c r="F9" s="102">
        <f>'COGS &amp; OpEx'!F12</f>
        <v>3944</v>
      </c>
      <c r="G9" s="105">
        <f>'COGS &amp; OpEx'!G12</f>
        <v>4294</v>
      </c>
      <c r="H9" s="131">
        <f>'COGS &amp; OpEx'!H12</f>
        <v>4942.5577800000001</v>
      </c>
      <c r="I9" s="131">
        <f>'COGS &amp; OpEx'!I12</f>
        <v>5481.0082591200007</v>
      </c>
      <c r="J9" s="131">
        <f>'COGS &amp; OpEx'!J12</f>
        <v>6118.9187822736012</v>
      </c>
      <c r="K9" s="131">
        <f>'COGS &amp; OpEx'!K12</f>
        <v>6800.4360178756588</v>
      </c>
      <c r="L9" s="131">
        <f>'COGS &amp; OpEx'!L12</f>
        <v>7459.3058149332246</v>
      </c>
      <c r="N9" s="114" t="s">
        <v>139</v>
      </c>
      <c r="Q9" s="114"/>
      <c r="S9" s="102"/>
      <c r="T9" s="102"/>
      <c r="U9" s="102"/>
      <c r="V9" s="102"/>
      <c r="W9" s="102"/>
      <c r="X9" s="102"/>
      <c r="Y9" s="102"/>
      <c r="Z9" s="102"/>
      <c r="AA9" s="103"/>
      <c r="AB9" s="103"/>
      <c r="AC9" s="103"/>
      <c r="AE9" s="103"/>
    </row>
    <row r="10" spans="1:31" x14ac:dyDescent="0.2">
      <c r="B10" s="1" t="str">
        <f>'COGS &amp; OpEx'!B23</f>
        <v>Sales and marketing</v>
      </c>
      <c r="C10" s="102">
        <f>'COGS &amp; OpEx'!C13</f>
        <v>4321</v>
      </c>
      <c r="D10" s="102">
        <f>'COGS &amp; OpEx'!D13</f>
        <v>4968</v>
      </c>
      <c r="E10" s="102">
        <f>'COGS &amp; OpEx'!E13</f>
        <v>5351</v>
      </c>
      <c r="F10" s="102">
        <f>'COGS &amp; OpEx'!F13</f>
        <v>5764</v>
      </c>
      <c r="G10" s="105">
        <f>'COGS &amp; OpEx'!G13</f>
        <v>6488</v>
      </c>
      <c r="H10" s="131">
        <f>'COGS &amp; OpEx'!H13</f>
        <v>7023.6347400000004</v>
      </c>
      <c r="I10" s="131">
        <f>'COGS &amp; OpEx'!I13</f>
        <v>7748.0221464000015</v>
      </c>
      <c r="J10" s="131">
        <f>'COGS &amp; OpEx'!J13</f>
        <v>8560.1454467040021</v>
      </c>
      <c r="K10" s="131">
        <f>'COGS &amp; OpEx'!K13</f>
        <v>9415.9883324432194</v>
      </c>
      <c r="L10" s="131">
        <f>'COGS &amp; OpEx'!L13</f>
        <v>10328.269589907542</v>
      </c>
      <c r="N10" s="114" t="s">
        <v>139</v>
      </c>
      <c r="Q10" s="114"/>
      <c r="S10" s="102"/>
      <c r="T10" s="102"/>
      <c r="U10" s="102"/>
      <c r="V10" s="102"/>
      <c r="W10" s="102"/>
      <c r="X10" s="102"/>
      <c r="Y10" s="102"/>
      <c r="Z10" s="102"/>
      <c r="AA10" s="103"/>
      <c r="AB10" s="103"/>
      <c r="AC10" s="103"/>
      <c r="AE10" s="103"/>
    </row>
    <row r="11" spans="1:31" x14ac:dyDescent="0.2">
      <c r="B11" s="1" t="str">
        <f>'COGS &amp; OpEx'!B24</f>
        <v>General and administrative</v>
      </c>
      <c r="C11" s="102">
        <f>'COGS &amp; OpEx'!C14</f>
        <v>1085</v>
      </c>
      <c r="D11" s="102">
        <f>'COGS &amp; OpEx'!D14</f>
        <v>1219</v>
      </c>
      <c r="E11" s="102">
        <f>'COGS &amp; OpEx'!E14</f>
        <v>1413</v>
      </c>
      <c r="F11" s="102">
        <f>'COGS &amp; OpEx'!F14</f>
        <v>1529</v>
      </c>
      <c r="G11" s="105">
        <f>'COGS &amp; OpEx'!G14</f>
        <v>1573</v>
      </c>
      <c r="H11" s="131">
        <f>'COGS &amp; OpEx'!H14</f>
        <v>1820.9423400000001</v>
      </c>
      <c r="I11" s="131">
        <f>'COGS &amp; OpEx'!I14</f>
        <v>2008.7464824000003</v>
      </c>
      <c r="J11" s="131">
        <f>'COGS &amp; OpEx'!J14</f>
        <v>2219.2969676640005</v>
      </c>
      <c r="K11" s="131">
        <f>'COGS &amp; OpEx'!K14</f>
        <v>2441.1821602630571</v>
      </c>
      <c r="L11" s="131">
        <f>'COGS &amp; OpEx'!L14</f>
        <v>2677.6995233093626</v>
      </c>
      <c r="N11" s="114" t="s">
        <v>139</v>
      </c>
      <c r="Q11" s="114"/>
      <c r="S11" s="102"/>
      <c r="T11" s="102"/>
      <c r="U11" s="102"/>
      <c r="V11" s="102"/>
      <c r="W11" s="102"/>
      <c r="X11" s="102"/>
      <c r="Y11" s="102"/>
      <c r="Z11" s="102"/>
      <c r="AA11" s="103"/>
      <c r="AB11" s="103"/>
      <c r="AC11" s="103"/>
      <c r="AE11" s="103"/>
    </row>
    <row r="12" spans="1:31" x14ac:dyDescent="0.2">
      <c r="B12" s="1" t="str">
        <f>'COGS &amp; OpEx'!B25</f>
        <v>Amortization of intangibles</v>
      </c>
      <c r="C12" s="102">
        <f>'COGS &amp; OpEx'!C15</f>
        <v>172</v>
      </c>
      <c r="D12" s="102">
        <f>'COGS &amp; OpEx'!D15</f>
        <v>169</v>
      </c>
      <c r="E12" s="102">
        <f>'COGS &amp; OpEx'!E15</f>
        <v>168</v>
      </c>
      <c r="F12" s="102">
        <f>'COGS &amp; OpEx'!F15</f>
        <v>169</v>
      </c>
      <c r="G12" s="105">
        <f>'COGS &amp; OpEx'!G15</f>
        <v>157</v>
      </c>
      <c r="H12" s="131">
        <f>'COGS &amp; OpEx'!H15</f>
        <v>161</v>
      </c>
      <c r="I12" s="131">
        <f>'COGS &amp; OpEx'!I15</f>
        <v>119</v>
      </c>
      <c r="J12" s="131">
        <f>'COGS &amp; OpEx'!J15</f>
        <v>73</v>
      </c>
      <c r="K12" s="131">
        <f>'COGS &amp; OpEx'!K15</f>
        <v>69</v>
      </c>
      <c r="L12" s="131">
        <f>'COGS &amp; OpEx'!L15</f>
        <v>65</v>
      </c>
      <c r="N12" s="114" t="s">
        <v>139</v>
      </c>
      <c r="Q12" s="114"/>
      <c r="S12" s="102"/>
      <c r="T12" s="102"/>
      <c r="U12" s="102"/>
      <c r="V12" s="102"/>
      <c r="W12" s="102"/>
      <c r="X12" s="102"/>
      <c r="Y12" s="102"/>
      <c r="Z12" s="102"/>
      <c r="AA12" s="103"/>
      <c r="AB12" s="103"/>
      <c r="AC12" s="103"/>
      <c r="AE12" s="103"/>
    </row>
    <row r="13" spans="1:31" x14ac:dyDescent="0.2">
      <c r="B13" s="1" t="s">
        <v>11</v>
      </c>
      <c r="C13" s="102">
        <f>'COGS &amp; OpEx'!C16</f>
        <v>8118</v>
      </c>
      <c r="D13" s="102">
        <f>'COGS &amp; OpEx'!D16</f>
        <v>9343</v>
      </c>
      <c r="E13" s="102">
        <f>'COGS &amp; OpEx'!E16</f>
        <v>10405</v>
      </c>
      <c r="F13" s="102">
        <f>'COGS &amp; OpEx'!F16</f>
        <v>12406</v>
      </c>
      <c r="G13" s="105">
        <f>'COGS &amp; OpEx'!G16</f>
        <v>12512</v>
      </c>
      <c r="H13" s="131">
        <f>'COGS &amp; OpEx'!H16</f>
        <v>13948.13486</v>
      </c>
      <c r="I13" s="131">
        <f>'COGS &amp; OpEx'!I16</f>
        <v>15356.776887920003</v>
      </c>
      <c r="J13" s="131">
        <f>'COGS &amp; OpEx'!J16</f>
        <v>16971.361196641607</v>
      </c>
      <c r="K13" s="131">
        <f>'COGS &amp; OpEx'!K16</f>
        <v>18726.606510581936</v>
      </c>
      <c r="L13" s="131">
        <f>'COGS &amp; OpEx'!L16</f>
        <v>20530.274928150131</v>
      </c>
      <c r="N13" s="142" t="s">
        <v>139</v>
      </c>
      <c r="Q13" s="114"/>
      <c r="S13" s="102"/>
      <c r="T13" s="102"/>
      <c r="U13" s="102"/>
      <c r="V13" s="102"/>
      <c r="W13" s="102"/>
      <c r="X13" s="102"/>
      <c r="Y13" s="102"/>
      <c r="Z13" s="102"/>
      <c r="AA13" s="103"/>
      <c r="AB13" s="103"/>
      <c r="AC13" s="103"/>
      <c r="AE13" s="103"/>
    </row>
    <row r="14" spans="1:31" x14ac:dyDescent="0.2">
      <c r="B14" s="7" t="s">
        <v>106</v>
      </c>
      <c r="C14" s="108">
        <f t="shared" ref="C14:L14" si="1">C8-C13</f>
        <v>5802</v>
      </c>
      <c r="D14" s="108">
        <f t="shared" si="1"/>
        <v>6098</v>
      </c>
      <c r="E14" s="108">
        <f t="shared" si="1"/>
        <v>6650</v>
      </c>
      <c r="F14" s="108">
        <f t="shared" si="1"/>
        <v>6741</v>
      </c>
      <c r="G14" s="135">
        <f t="shared" si="1"/>
        <v>8706</v>
      </c>
      <c r="H14" s="108">
        <f t="shared" si="1"/>
        <v>9333.9136300000009</v>
      </c>
      <c r="I14" s="108">
        <f t="shared" si="1"/>
        <v>10383.874465120001</v>
      </c>
      <c r="J14" s="108">
        <f t="shared" si="1"/>
        <v>11530.752716643197</v>
      </c>
      <c r="K14" s="108">
        <f t="shared" si="1"/>
        <v>12660.021264228795</v>
      </c>
      <c r="L14" s="108">
        <f t="shared" si="1"/>
        <v>13897.290371541676</v>
      </c>
      <c r="N14" s="114"/>
      <c r="Q14" s="114"/>
      <c r="S14" s="102"/>
      <c r="T14" s="102"/>
      <c r="U14" s="102"/>
      <c r="V14" s="102"/>
      <c r="W14" s="102"/>
      <c r="X14" s="102"/>
      <c r="Y14" s="102"/>
      <c r="Z14" s="102"/>
      <c r="AA14" s="103"/>
      <c r="AB14" s="103"/>
      <c r="AC14" s="103"/>
      <c r="AE14" s="103"/>
    </row>
    <row r="17" spans="2:14" x14ac:dyDescent="0.2">
      <c r="C17" s="220" t="s">
        <v>134</v>
      </c>
      <c r="D17" s="220"/>
      <c r="E17" s="220"/>
      <c r="F17" s="220"/>
      <c r="G17" s="220"/>
      <c r="H17" s="220"/>
      <c r="I17" s="220"/>
      <c r="J17" s="220"/>
      <c r="K17" s="220"/>
      <c r="L17" s="220"/>
    </row>
    <row r="18" spans="2:14" x14ac:dyDescent="0.2">
      <c r="C18" s="61">
        <f t="shared" ref="C18:L18" si="2">C5</f>
        <v>2021</v>
      </c>
      <c r="D18" s="61">
        <f t="shared" si="2"/>
        <v>2022</v>
      </c>
      <c r="E18" s="61">
        <f t="shared" si="2"/>
        <v>2023</v>
      </c>
      <c r="F18" s="61">
        <f t="shared" si="2"/>
        <v>2024</v>
      </c>
      <c r="G18" s="61">
        <f t="shared" si="2"/>
        <v>2025</v>
      </c>
      <c r="H18" s="61">
        <f t="shared" si="2"/>
        <v>2026</v>
      </c>
      <c r="I18" s="61">
        <f t="shared" si="2"/>
        <v>2027</v>
      </c>
      <c r="J18" s="61">
        <f t="shared" si="2"/>
        <v>2028</v>
      </c>
      <c r="K18" s="61">
        <f t="shared" si="2"/>
        <v>2029</v>
      </c>
      <c r="L18" s="61">
        <f t="shared" si="2"/>
        <v>2030</v>
      </c>
    </row>
    <row r="19" spans="2:14" x14ac:dyDescent="0.2">
      <c r="B19" s="1" t="s">
        <v>92</v>
      </c>
      <c r="C19" s="94">
        <f>'Statement Y'!H128</f>
        <v>0.15477651183172655</v>
      </c>
      <c r="D19" s="94">
        <f>'Statement Y'!I128</f>
        <v>0.20838881491344874</v>
      </c>
      <c r="E19" s="94">
        <f>'Statement Y'!J128</f>
        <v>0.20164730107368731</v>
      </c>
      <c r="F19" s="94">
        <f>'Statement Y'!K128</f>
        <v>0.19780695426345404</v>
      </c>
      <c r="G19" s="136">
        <f>'Statement Y'!L128</f>
        <v>0.18365010304556903</v>
      </c>
      <c r="H19" s="95">
        <v>0.21</v>
      </c>
      <c r="I19" s="95">
        <v>0.21</v>
      </c>
      <c r="J19" s="95">
        <v>0.21</v>
      </c>
      <c r="K19" s="95">
        <v>0.21</v>
      </c>
      <c r="L19" s="95">
        <v>0.21</v>
      </c>
    </row>
    <row r="22" spans="2:14" x14ac:dyDescent="0.2">
      <c r="C22" s="220" t="s">
        <v>249</v>
      </c>
      <c r="D22" s="220"/>
      <c r="E22" s="220"/>
      <c r="F22" s="220"/>
      <c r="G22" s="220"/>
      <c r="H22" s="220"/>
      <c r="I22" s="220"/>
      <c r="J22" s="220"/>
      <c r="K22" s="220"/>
      <c r="L22" s="220"/>
    </row>
    <row r="23" spans="2:14" x14ac:dyDescent="0.2">
      <c r="B23" s="7" t="s">
        <v>125</v>
      </c>
      <c r="C23" s="61">
        <f t="shared" ref="C23:L23" si="3">C5</f>
        <v>2021</v>
      </c>
      <c r="D23" s="61">
        <f t="shared" si="3"/>
        <v>2022</v>
      </c>
      <c r="E23" s="61">
        <f t="shared" si="3"/>
        <v>2023</v>
      </c>
      <c r="F23" s="61">
        <f t="shared" si="3"/>
        <v>2024</v>
      </c>
      <c r="G23" s="61">
        <f t="shared" si="3"/>
        <v>2025</v>
      </c>
      <c r="H23" s="61">
        <f t="shared" si="3"/>
        <v>2026</v>
      </c>
      <c r="I23" s="61">
        <f t="shared" si="3"/>
        <v>2027</v>
      </c>
      <c r="J23" s="61">
        <f t="shared" si="3"/>
        <v>2028</v>
      </c>
      <c r="K23" s="61">
        <f t="shared" si="3"/>
        <v>2029</v>
      </c>
      <c r="L23" s="61">
        <f t="shared" si="3"/>
        <v>2030</v>
      </c>
    </row>
    <row r="24" spans="2:14" x14ac:dyDescent="0.2">
      <c r="B24" s="1" t="s">
        <v>35</v>
      </c>
      <c r="C24" s="102">
        <f>'WC &amp; Investments'!C42</f>
        <v>788</v>
      </c>
      <c r="D24" s="102">
        <f>'WC &amp; Investments'!D42</f>
        <v>856</v>
      </c>
      <c r="E24" s="102">
        <f>'WC &amp; Investments'!E42</f>
        <v>872</v>
      </c>
      <c r="F24" s="102">
        <f>'WC &amp; Investments'!F42</f>
        <v>857</v>
      </c>
      <c r="G24" s="105">
        <f>'WC &amp; Investments'!G42</f>
        <v>818</v>
      </c>
      <c r="H24" s="102">
        <f>'WC &amp; Investments'!H42</f>
        <v>780.40386000000001</v>
      </c>
      <c r="I24" s="102">
        <f>'WC &amp; Investments'!I42</f>
        <v>860.89134960000013</v>
      </c>
      <c r="J24" s="102">
        <f>'WC &amp; Investments'!J42</f>
        <v>951.12727185600011</v>
      </c>
      <c r="K24" s="102">
        <f>'WC &amp; Investments'!K42</f>
        <v>1046.2209258270243</v>
      </c>
      <c r="L24" s="102">
        <f>'WC &amp; Investments'!L42</f>
        <v>1147.5855099897267</v>
      </c>
      <c r="N24" s="1" t="s">
        <v>250</v>
      </c>
    </row>
    <row r="25" spans="2:14" x14ac:dyDescent="0.2">
      <c r="B25" s="1" t="s">
        <v>39</v>
      </c>
      <c r="C25" s="102">
        <f>'WC &amp; Investments'!C45</f>
        <v>348</v>
      </c>
      <c r="D25" s="102">
        <f>'WC &amp; Investments'!D45</f>
        <v>442</v>
      </c>
      <c r="E25" s="102">
        <f>'WC &amp; Investments'!E45</f>
        <v>360</v>
      </c>
      <c r="F25" s="102">
        <f>'WC &amp; Investments'!F45</f>
        <v>183</v>
      </c>
      <c r="G25" s="105">
        <f>'WC &amp; Investments'!G45</f>
        <v>179</v>
      </c>
      <c r="H25" s="102">
        <f>'WC &amp; Investments'!H45</f>
        <v>390.20193</v>
      </c>
      <c r="I25" s="102">
        <f>'WC &amp; Investments'!I45</f>
        <v>430.44567480000006</v>
      </c>
      <c r="J25" s="102">
        <f>'WC &amp; Investments'!J45</f>
        <v>475.56363592800005</v>
      </c>
      <c r="K25" s="102">
        <f>'WC &amp; Investments'!K45</f>
        <v>523.11046291351215</v>
      </c>
      <c r="L25" s="102">
        <f>'WC &amp; Investments'!L45</f>
        <v>573.79275499486334</v>
      </c>
      <c r="N25" s="1" t="s">
        <v>250</v>
      </c>
    </row>
    <row r="26" spans="2:14" x14ac:dyDescent="0.2">
      <c r="B26" s="1" t="s">
        <v>251</v>
      </c>
      <c r="C26" s="102">
        <f>'WC &amp; Investments'!C35</f>
        <v>292</v>
      </c>
      <c r="D26" s="102">
        <f>'WC &amp; Investments'!D35</f>
        <v>336</v>
      </c>
      <c r="E26" s="102">
        <f>'WC &amp; Investments'!E35</f>
        <v>-355</v>
      </c>
      <c r="F26" s="102">
        <f>'WC &amp; Investments'!F35</f>
        <v>144</v>
      </c>
      <c r="G26" s="105">
        <f>'WC &amp; Investments'!G35</f>
        <v>605</v>
      </c>
      <c r="H26" s="102">
        <f>'WC &amp; Investments'!H35</f>
        <v>165.56790868493141</v>
      </c>
      <c r="I26" s="102">
        <f>'WC &amp; Investments'!I35</f>
        <v>329.64002362389004</v>
      </c>
      <c r="J26" s="102">
        <f>'WC &amp; Investments'!J35</f>
        <v>359.4164958350861</v>
      </c>
      <c r="K26" s="102">
        <f>'WC &amp; Investments'!K35</f>
        <v>412.02497541346207</v>
      </c>
      <c r="L26" s="102">
        <f>'WC &amp; Investments'!L35</f>
        <v>466.05462597896906</v>
      </c>
      <c r="N26" s="1" t="s">
        <v>250</v>
      </c>
    </row>
    <row r="29" spans="2:14" x14ac:dyDescent="0.2">
      <c r="C29" s="220" t="s">
        <v>136</v>
      </c>
      <c r="D29" s="220"/>
      <c r="E29" s="220"/>
      <c r="F29" s="220"/>
      <c r="G29" s="220"/>
      <c r="H29" s="220"/>
      <c r="I29" s="220"/>
      <c r="J29" s="220"/>
      <c r="K29" s="220"/>
      <c r="L29" s="220"/>
    </row>
    <row r="30" spans="2:14" x14ac:dyDescent="0.2">
      <c r="B30" s="7" t="s">
        <v>125</v>
      </c>
      <c r="C30" s="61">
        <f t="shared" ref="C30:L30" si="4">C5</f>
        <v>2021</v>
      </c>
      <c r="D30" s="61">
        <f t="shared" si="4"/>
        <v>2022</v>
      </c>
      <c r="E30" s="61">
        <f t="shared" si="4"/>
        <v>2023</v>
      </c>
      <c r="F30" s="61">
        <f t="shared" si="4"/>
        <v>2024</v>
      </c>
      <c r="G30" s="61">
        <f t="shared" si="4"/>
        <v>2025</v>
      </c>
      <c r="H30" s="61">
        <f t="shared" si="4"/>
        <v>2026</v>
      </c>
      <c r="I30" s="61">
        <f t="shared" si="4"/>
        <v>2027</v>
      </c>
      <c r="J30" s="61">
        <f t="shared" si="4"/>
        <v>2028</v>
      </c>
      <c r="K30" s="61">
        <f t="shared" si="4"/>
        <v>2029</v>
      </c>
      <c r="L30" s="61">
        <f t="shared" si="4"/>
        <v>2030</v>
      </c>
    </row>
    <row r="31" spans="2:14" x14ac:dyDescent="0.2">
      <c r="B31" s="1" t="s">
        <v>135</v>
      </c>
      <c r="C31" s="132">
        <f>C14*(1-C19)</f>
        <v>4903.9866783523221</v>
      </c>
      <c r="D31" s="132">
        <f t="shared" ref="D31:L31" si="5">D14*(1-D19)</f>
        <v>4827.2450066577894</v>
      </c>
      <c r="E31" s="132">
        <f t="shared" si="5"/>
        <v>5309.0454478599795</v>
      </c>
      <c r="F31" s="132">
        <f t="shared" si="5"/>
        <v>5407.5833213100559</v>
      </c>
      <c r="G31" s="139">
        <f t="shared" si="5"/>
        <v>7107.1422028852758</v>
      </c>
      <c r="H31" s="132">
        <f t="shared" si="5"/>
        <v>7373.7917677000014</v>
      </c>
      <c r="I31" s="132">
        <f t="shared" si="5"/>
        <v>8203.2608274448012</v>
      </c>
      <c r="J31" s="132">
        <f t="shared" si="5"/>
        <v>9109.294646148126</v>
      </c>
      <c r="K31" s="132">
        <f t="shared" si="5"/>
        <v>10001.416798740749</v>
      </c>
      <c r="L31" s="132">
        <f t="shared" si="5"/>
        <v>10978.859393517925</v>
      </c>
    </row>
    <row r="32" spans="2:14" x14ac:dyDescent="0.2">
      <c r="B32" s="7" t="s">
        <v>136</v>
      </c>
      <c r="C32" s="108">
        <f>C31+C24-C25+C26</f>
        <v>5635.9866783523221</v>
      </c>
      <c r="D32" s="108">
        <f t="shared" ref="D32:L32" si="6">D31+D24-D25+D26</f>
        <v>5577.2450066577894</v>
      </c>
      <c r="E32" s="108">
        <f t="shared" si="6"/>
        <v>5466.0454478599795</v>
      </c>
      <c r="F32" s="108">
        <f t="shared" si="6"/>
        <v>6225.5833213100559</v>
      </c>
      <c r="G32" s="135">
        <f t="shared" si="6"/>
        <v>8351.1422028852758</v>
      </c>
      <c r="H32" s="108">
        <f t="shared" si="6"/>
        <v>7929.5616063849329</v>
      </c>
      <c r="I32" s="108">
        <f t="shared" si="6"/>
        <v>8963.346525868692</v>
      </c>
      <c r="J32" s="108">
        <f t="shared" si="6"/>
        <v>9944.2747779112124</v>
      </c>
      <c r="K32" s="108">
        <f t="shared" si="6"/>
        <v>10936.552237067724</v>
      </c>
      <c r="L32" s="108">
        <f t="shared" si="6"/>
        <v>12018.706774491759</v>
      </c>
    </row>
  </sheetData>
  <mergeCells count="9">
    <mergeCell ref="C29:L29"/>
    <mergeCell ref="C2:G2"/>
    <mergeCell ref="H2:L2"/>
    <mergeCell ref="S2:Z2"/>
    <mergeCell ref="AA2:AC2"/>
    <mergeCell ref="C4:L4"/>
    <mergeCell ref="S4:AC4"/>
    <mergeCell ref="C17:L17"/>
    <mergeCell ref="C22:L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146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4" zoomScale="187" zoomScaleNormal="100" workbookViewId="0">
      <selection activeCell="C19" sqref="C19"/>
    </sheetView>
  </sheetViews>
  <sheetFormatPr baseColWidth="10" defaultRowHeight="16" x14ac:dyDescent="0.2"/>
  <cols>
    <col min="1" max="1" width="2" style="98"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8" customFormat="1" ht="18" customHeight="1" x14ac:dyDescent="0.2">
      <c r="A1" s="99"/>
      <c r="B1" s="100" t="s">
        <v>147</v>
      </c>
    </row>
    <row r="2" spans="1:3" s="98" customFormat="1" ht="18" customHeight="1" x14ac:dyDescent="0.2">
      <c r="A2" s="99"/>
      <c r="B2" s="100"/>
    </row>
    <row r="3" spans="1:3" ht="17" customHeight="1" x14ac:dyDescent="0.2"/>
    <row r="4" spans="1:3" ht="17" customHeight="1" x14ac:dyDescent="0.2">
      <c r="B4" s="215" t="s">
        <v>151</v>
      </c>
      <c r="C4" s="215"/>
    </row>
    <row r="5" spans="1:3" ht="17" customHeight="1" x14ac:dyDescent="0.2">
      <c r="B5" s="1" t="s">
        <v>152</v>
      </c>
      <c r="C5" s="131">
        <f>'Statement Q'!N116</f>
        <v>404</v>
      </c>
    </row>
    <row r="6" spans="1:3" ht="17" customHeight="1" x14ac:dyDescent="0.2">
      <c r="B6" s="1" t="s">
        <v>73</v>
      </c>
      <c r="C6" s="144">
        <f ca="1">Overview!C3</f>
        <v>252.47</v>
      </c>
    </row>
    <row r="7" spans="1:3" ht="17" customHeight="1" x14ac:dyDescent="0.2">
      <c r="B7" s="1" t="s">
        <v>138</v>
      </c>
      <c r="C7" s="146">
        <f ca="1">C5*C6</f>
        <v>101997.88</v>
      </c>
    </row>
    <row r="8" spans="1:3" ht="17" customHeight="1" x14ac:dyDescent="0.2">
      <c r="B8" s="1" t="s">
        <v>137</v>
      </c>
      <c r="C8" s="131">
        <f>Statements!W41+Statements!W46</f>
        <v>6228</v>
      </c>
    </row>
    <row r="9" spans="1:3" ht="17" customHeight="1" x14ac:dyDescent="0.2">
      <c r="B9" s="1" t="s">
        <v>153</v>
      </c>
      <c r="C9" s="169">
        <f ca="1">[1]Sheet1!$C$10/1000</f>
        <v>4.3920000000000001E-2</v>
      </c>
    </row>
    <row r="10" spans="1:3" ht="17" customHeight="1" x14ac:dyDescent="0.2">
      <c r="B10" s="1" t="s">
        <v>154</v>
      </c>
      <c r="C10" s="144">
        <f ca="1">[1]Sheet1!$F$18</f>
        <v>1.4196</v>
      </c>
    </row>
    <row r="11" spans="1:3" ht="17" customHeight="1" x14ac:dyDescent="0.2">
      <c r="B11" s="1" t="s">
        <v>155</v>
      </c>
      <c r="C11" s="145">
        <v>0.05</v>
      </c>
    </row>
    <row r="12" spans="1:3" ht="17" customHeight="1" x14ac:dyDescent="0.2">
      <c r="B12" s="1" t="s">
        <v>92</v>
      </c>
      <c r="C12" s="145">
        <v>0.21</v>
      </c>
    </row>
    <row r="13" spans="1:3" ht="17" customHeight="1" x14ac:dyDescent="0.2">
      <c r="B13" s="1" t="s">
        <v>156</v>
      </c>
      <c r="C13" s="145">
        <v>5.3999999999999999E-2</v>
      </c>
    </row>
    <row r="14" spans="1:3" ht="17" customHeight="1" x14ac:dyDescent="0.2"/>
    <row r="15" spans="1:3" ht="17" customHeight="1" x14ac:dyDescent="0.2">
      <c r="B15" s="215" t="s">
        <v>157</v>
      </c>
      <c r="C15" s="215"/>
    </row>
    <row r="16" spans="1:3" ht="17" customHeight="1" x14ac:dyDescent="0.2">
      <c r="B16" s="1" t="s">
        <v>148</v>
      </c>
      <c r="C16" s="147">
        <f ca="1">C8/(C8+C7)</f>
        <v>5.7546309625756797E-2</v>
      </c>
    </row>
    <row r="17" spans="2:3" ht="17" customHeight="1" x14ac:dyDescent="0.2">
      <c r="B17" s="1" t="s">
        <v>149</v>
      </c>
      <c r="C17" s="147">
        <f ca="1">C7/(C8+C7)</f>
        <v>0.9424536903742432</v>
      </c>
    </row>
    <row r="18" spans="2:3" ht="17" customHeight="1" x14ac:dyDescent="0.2">
      <c r="B18" s="1" t="s">
        <v>158</v>
      </c>
      <c r="C18" s="147">
        <f>C13*(1-C12)</f>
        <v>4.2660000000000003E-2</v>
      </c>
    </row>
    <row r="19" spans="2:3" ht="17" customHeight="1" x14ac:dyDescent="0.2">
      <c r="B19" s="1" t="s">
        <v>150</v>
      </c>
      <c r="C19" s="147">
        <f ca="1">C9+C10*C11</f>
        <v>0.1149</v>
      </c>
    </row>
    <row r="20" spans="2:3" ht="17" customHeight="1" x14ac:dyDescent="0.2">
      <c r="B20" s="1" t="s">
        <v>147</v>
      </c>
      <c r="C20" s="147">
        <f ca="1">(C17*C19)+(C16*C18)</f>
        <v>0.11074285459263533</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4" zoomScale="188" zoomScaleNormal="100" workbookViewId="0">
      <selection activeCell="C26" sqref="C2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159</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1">
        <f>'FCF &amp; Other'!H32</f>
        <v>7929.5616063849329</v>
      </c>
      <c r="I7" s="131">
        <f>'FCF &amp; Other'!I32</f>
        <v>8963.346525868692</v>
      </c>
      <c r="J7" s="131">
        <f>'FCF &amp; Other'!J32</f>
        <v>9944.2747779112124</v>
      </c>
      <c r="K7" s="131">
        <f>'FCF &amp; Other'!K32</f>
        <v>10936.552237067724</v>
      </c>
      <c r="L7" s="131">
        <f>'FCF &amp; Other'!L32</f>
        <v>12018.706774491759</v>
      </c>
      <c r="N7" s="90"/>
      <c r="O7" s="7"/>
      <c r="P7" s="106"/>
      <c r="Q7" s="106"/>
      <c r="R7" s="106"/>
      <c r="S7" s="106"/>
      <c r="T7" s="106"/>
      <c r="U7" s="106"/>
      <c r="V7" s="106"/>
      <c r="W7" s="106"/>
      <c r="X7" s="108"/>
      <c r="Y7" s="108"/>
      <c r="Z7" s="108"/>
      <c r="AB7" s="108"/>
    </row>
    <row r="8" spans="1:28" x14ac:dyDescent="0.2">
      <c r="B8" s="8" t="s">
        <v>160</v>
      </c>
      <c r="C8" s="132">
        <v>0</v>
      </c>
      <c r="D8" s="132">
        <v>0</v>
      </c>
      <c r="E8" s="132">
        <v>0</v>
      </c>
      <c r="F8" s="132">
        <v>0</v>
      </c>
      <c r="G8" s="139">
        <v>0</v>
      </c>
      <c r="H8" s="132">
        <v>0</v>
      </c>
      <c r="I8" s="132">
        <v>0</v>
      </c>
      <c r="J8" s="132">
        <v>0</v>
      </c>
      <c r="K8" s="132">
        <v>0</v>
      </c>
      <c r="L8" s="132">
        <f ca="1">L7*(1+C14)/(C15-C14)</f>
        <v>143675.81418163067</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 ca="1">H7/(1+$C$15)^H9</f>
        <v>7138.971521264566</v>
      </c>
      <c r="I10" s="132">
        <f t="shared" ref="I10:L10" ca="1" si="0">I7/(1+$C$15)^I9</f>
        <v>7265.1256616940354</v>
      </c>
      <c r="J10" s="132">
        <f t="shared" ca="1" si="0"/>
        <v>7256.5890948679034</v>
      </c>
      <c r="K10" s="132">
        <f t="shared" ca="1" si="0"/>
        <v>7184.9925014780983</v>
      </c>
      <c r="L10" s="132">
        <f t="shared" ca="1" si="0"/>
        <v>7108.6985678410865</v>
      </c>
      <c r="N10" s="90"/>
    </row>
    <row r="11" spans="1:28" x14ac:dyDescent="0.2">
      <c r="B11" s="1" t="s">
        <v>164</v>
      </c>
      <c r="C11" s="129"/>
      <c r="D11" s="129"/>
      <c r="E11" s="129"/>
      <c r="F11" s="129"/>
      <c r="G11" s="149"/>
      <c r="H11" s="129"/>
      <c r="I11" s="129"/>
      <c r="J11" s="129"/>
      <c r="K11" s="129"/>
      <c r="L11" s="132">
        <f ca="1">L8/(1+C15)^L9</f>
        <v>84979.862947821224</v>
      </c>
    </row>
    <row r="13" spans="1:28" x14ac:dyDescent="0.2">
      <c r="B13" s="215" t="s">
        <v>172</v>
      </c>
      <c r="C13" s="215"/>
    </row>
    <row r="14" spans="1:28" x14ac:dyDescent="0.2">
      <c r="B14" s="1" t="s">
        <v>161</v>
      </c>
      <c r="C14" s="138">
        <v>2.5000000000000001E-2</v>
      </c>
    </row>
    <row r="15" spans="1:28" x14ac:dyDescent="0.2">
      <c r="B15" s="1" t="s">
        <v>147</v>
      </c>
      <c r="C15" s="148">
        <f ca="1">WACC!C20</f>
        <v>0.11074285459263533</v>
      </c>
    </row>
    <row r="18" spans="2:3" x14ac:dyDescent="0.2">
      <c r="B18" s="215" t="s">
        <v>79</v>
      </c>
      <c r="C18" s="215"/>
    </row>
    <row r="19" spans="2:3" x14ac:dyDescent="0.2">
      <c r="B19" s="1" t="s">
        <v>170</v>
      </c>
      <c r="C19" s="103">
        <f ca="1">SUM(H10:L10)</f>
        <v>35954.377347145688</v>
      </c>
    </row>
    <row r="20" spans="2:3" x14ac:dyDescent="0.2">
      <c r="B20" s="1" t="s">
        <v>164</v>
      </c>
      <c r="C20" s="103">
        <f ca="1">L11</f>
        <v>84979.862947821224</v>
      </c>
    </row>
    <row r="21" spans="2:3" x14ac:dyDescent="0.2">
      <c r="B21" s="7" t="s">
        <v>167</v>
      </c>
      <c r="C21" s="108">
        <f ca="1">C19+C20</f>
        <v>120934.2402949669</v>
      </c>
    </row>
    <row r="22" spans="2:3" x14ac:dyDescent="0.2">
      <c r="B22" s="1" t="s">
        <v>165</v>
      </c>
      <c r="C22" s="20">
        <f>Statements!W27</f>
        <v>6890</v>
      </c>
    </row>
    <row r="23" spans="2:3" x14ac:dyDescent="0.2">
      <c r="B23" s="1" t="s">
        <v>166</v>
      </c>
      <c r="C23" s="20">
        <f>Statements!W41+Statements!W46</f>
        <v>6228</v>
      </c>
    </row>
    <row r="24" spans="2:3" x14ac:dyDescent="0.2">
      <c r="B24" s="7" t="s">
        <v>168</v>
      </c>
      <c r="C24" s="108">
        <f ca="1">C21+C22-C23</f>
        <v>121596.2402949669</v>
      </c>
    </row>
    <row r="25" spans="2:3" x14ac:dyDescent="0.2">
      <c r="B25" s="1" t="s">
        <v>4</v>
      </c>
      <c r="C25" s="103">
        <f>'Statement Q'!N116</f>
        <v>404</v>
      </c>
    </row>
    <row r="26" spans="2:3" x14ac:dyDescent="0.2">
      <c r="B26" s="150" t="s">
        <v>169</v>
      </c>
      <c r="C26" s="151">
        <f ca="1">C24/C25</f>
        <v>300.98079280932404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H18" sqref="H18"/>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252</v>
      </c>
    </row>
    <row r="2" spans="1:14" x14ac:dyDescent="0.2">
      <c r="A2" s="99"/>
      <c r="C2" s="215" t="s">
        <v>102</v>
      </c>
      <c r="D2" s="215"/>
      <c r="E2" s="215"/>
      <c r="F2" s="215"/>
      <c r="G2" s="218"/>
      <c r="H2" s="219" t="s">
        <v>103</v>
      </c>
      <c r="I2" s="215"/>
      <c r="J2" s="215"/>
      <c r="K2" s="215"/>
      <c r="L2" s="215"/>
    </row>
    <row r="3" spans="1:14" ht="10" customHeight="1" x14ac:dyDescent="0.2"/>
    <row r="4" spans="1:14" ht="16" customHeight="1" x14ac:dyDescent="0.2">
      <c r="A4" s="104"/>
      <c r="B4" s="91"/>
      <c r="C4" s="220" t="s">
        <v>253</v>
      </c>
      <c r="D4" s="220"/>
      <c r="E4" s="220"/>
      <c r="F4" s="220"/>
      <c r="G4" s="220"/>
      <c r="H4" s="220"/>
      <c r="I4" s="220"/>
      <c r="J4" s="220"/>
      <c r="K4" s="220"/>
      <c r="L4" s="220"/>
    </row>
    <row r="5" spans="1:14" x14ac:dyDescent="0.2">
      <c r="B5" s="7" t="s">
        <v>112</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90"/>
    </row>
    <row r="7" spans="1:14" x14ac:dyDescent="0.2">
      <c r="B7" s="7" t="s">
        <v>106</v>
      </c>
      <c r="C7" s="106">
        <f>'FCF &amp; Other'!C14</f>
        <v>5802</v>
      </c>
      <c r="D7" s="106">
        <f>'FCF &amp; Other'!D14</f>
        <v>6098</v>
      </c>
      <c r="E7" s="106">
        <f>'FCF &amp; Other'!E14</f>
        <v>6650</v>
      </c>
      <c r="F7" s="106">
        <f>'FCF &amp; Other'!F14</f>
        <v>6741</v>
      </c>
      <c r="G7" s="107">
        <f>'FCF &amp; Other'!G14</f>
        <v>8706</v>
      </c>
      <c r="H7" s="106">
        <f>'FCF &amp; Other'!H14</f>
        <v>9333.9136300000009</v>
      </c>
      <c r="I7" s="106">
        <f>'FCF &amp; Other'!I14</f>
        <v>10383.874465120001</v>
      </c>
      <c r="J7" s="106">
        <f>'FCF &amp; Other'!J14</f>
        <v>11530.752716643197</v>
      </c>
      <c r="K7" s="106">
        <f>'FCF &amp; Other'!K14</f>
        <v>12660.021264228795</v>
      </c>
      <c r="L7" s="106">
        <f>'FCF &amp; Other'!L14</f>
        <v>13897.290371541676</v>
      </c>
      <c r="N7" s="90"/>
    </row>
    <row r="8" spans="1:14" x14ac:dyDescent="0.2">
      <c r="B8" s="7" t="s">
        <v>136</v>
      </c>
      <c r="C8" s="106">
        <f>'FCF &amp; Other'!C32</f>
        <v>5635.9866783523221</v>
      </c>
      <c r="D8" s="106">
        <f>'FCF &amp; Other'!D32</f>
        <v>5577.2450066577894</v>
      </c>
      <c r="E8" s="106">
        <f>'FCF &amp; Other'!E32</f>
        <v>5466.0454478599795</v>
      </c>
      <c r="F8" s="106">
        <f>'FCF &amp; Other'!F32</f>
        <v>6225.5833213100559</v>
      </c>
      <c r="G8" s="107">
        <f>'FCF &amp; Other'!G32</f>
        <v>8351.1422028852758</v>
      </c>
      <c r="H8" s="106">
        <f>'FCF &amp; Other'!H32</f>
        <v>7929.5616063849329</v>
      </c>
      <c r="I8" s="106">
        <f>'FCF &amp; Other'!I32</f>
        <v>8963.346525868692</v>
      </c>
      <c r="J8" s="106">
        <f>'FCF &amp; Other'!J32</f>
        <v>9944.2747779112124</v>
      </c>
      <c r="K8" s="106">
        <f>'FCF &amp; Other'!K32</f>
        <v>10936.552237067724</v>
      </c>
      <c r="L8" s="106">
        <f>'FCF &amp; Other'!L32</f>
        <v>12018.706774491759</v>
      </c>
      <c r="N8" s="90"/>
    </row>
    <row r="9" spans="1:14" x14ac:dyDescent="0.2">
      <c r="N9" s="90"/>
    </row>
    <row r="10" spans="1:14" x14ac:dyDescent="0.2">
      <c r="C10" s="220" t="s">
        <v>113</v>
      </c>
      <c r="D10" s="220"/>
      <c r="E10" s="220"/>
      <c r="F10" s="220"/>
      <c r="G10" s="220"/>
      <c r="H10" s="220"/>
      <c r="I10" s="220"/>
      <c r="J10" s="220"/>
      <c r="K10" s="220"/>
      <c r="L10" s="220"/>
      <c r="N10" s="90"/>
    </row>
    <row r="11" spans="1:14" x14ac:dyDescent="0.2">
      <c r="B11" s="7" t="s">
        <v>183</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90"/>
    </row>
    <row r="12" spans="1:14" x14ac:dyDescent="0.2">
      <c r="B12" s="1" t="s">
        <v>6</v>
      </c>
      <c r="C12" s="129"/>
      <c r="D12" s="110">
        <f>(D6-C6)/C6</f>
        <v>0.11536268609439342</v>
      </c>
      <c r="E12" s="110">
        <f t="shared" ref="E12:L14" si="1">(E6-D6)/D6</f>
        <v>0.10240826990798592</v>
      </c>
      <c r="F12" s="110">
        <f t="shared" si="1"/>
        <v>0.10799113813179453</v>
      </c>
      <c r="G12" s="111">
        <f t="shared" si="1"/>
        <v>0.10527784236224134</v>
      </c>
      <c r="H12" s="110">
        <f t="shared" si="1"/>
        <v>9.4428120661365619E-2</v>
      </c>
      <c r="I12" s="110">
        <f t="shared" si="1"/>
        <v>0.10313568874454326</v>
      </c>
      <c r="J12" s="110">
        <f t="shared" si="1"/>
        <v>0.10481685325090886</v>
      </c>
      <c r="K12" s="110">
        <f t="shared" si="1"/>
        <v>9.9979946727278057E-2</v>
      </c>
      <c r="L12" s="110">
        <f t="shared" si="1"/>
        <v>9.6886404831345682E-2</v>
      </c>
      <c r="N12" s="90"/>
    </row>
    <row r="13" spans="1:14" x14ac:dyDescent="0.2">
      <c r="B13" s="1" t="s">
        <v>106</v>
      </c>
      <c r="C13" s="129"/>
      <c r="D13" s="110">
        <f t="shared" ref="D13:D14" si="2">(D7-C7)/C7</f>
        <v>5.1016890727335402E-2</v>
      </c>
      <c r="E13" s="110">
        <f t="shared" si="1"/>
        <v>9.0521482453263372E-2</v>
      </c>
      <c r="F13" s="110">
        <f t="shared" si="1"/>
        <v>1.368421052631579E-2</v>
      </c>
      <c r="G13" s="111">
        <f t="shared" si="1"/>
        <v>0.29149977748108591</v>
      </c>
      <c r="H13" s="110">
        <f t="shared" si="1"/>
        <v>7.2124239604870313E-2</v>
      </c>
      <c r="I13" s="110">
        <f t="shared" si="1"/>
        <v>0.11248880981128173</v>
      </c>
      <c r="J13" s="110">
        <f t="shared" si="1"/>
        <v>0.11044800814721156</v>
      </c>
      <c r="K13" s="110">
        <f t="shared" si="1"/>
        <v>9.7935371205701088E-2</v>
      </c>
      <c r="L13" s="110">
        <f t="shared" si="1"/>
        <v>9.7730413045104075E-2</v>
      </c>
      <c r="N13" s="90"/>
    </row>
    <row r="14" spans="1:14" x14ac:dyDescent="0.2">
      <c r="B14" s="1" t="s">
        <v>136</v>
      </c>
      <c r="C14" s="129"/>
      <c r="D14" s="110">
        <f t="shared" si="2"/>
        <v>-1.0422606554440219E-2</v>
      </c>
      <c r="E14" s="110">
        <f t="shared" si="1"/>
        <v>-1.9938080300411113E-2</v>
      </c>
      <c r="F14" s="110">
        <f t="shared" si="1"/>
        <v>0.1389556454835999</v>
      </c>
      <c r="G14" s="111">
        <f t="shared" si="1"/>
        <v>0.34142324853310874</v>
      </c>
      <c r="H14" s="110">
        <f t="shared" si="1"/>
        <v>-5.0481788749171218E-2</v>
      </c>
      <c r="I14" s="110">
        <f t="shared" si="1"/>
        <v>0.13037100546029542</v>
      </c>
      <c r="J14" s="110">
        <f t="shared" si="1"/>
        <v>0.10943772498491602</v>
      </c>
      <c r="K14" s="110">
        <f t="shared" si="1"/>
        <v>9.978379332001315E-2</v>
      </c>
      <c r="L14" s="110">
        <f t="shared" si="1"/>
        <v>9.8948417560357035E-2</v>
      </c>
      <c r="N14" s="90"/>
    </row>
    <row r="15" spans="1:14" x14ac:dyDescent="0.2">
      <c r="N15" s="90"/>
    </row>
    <row r="16" spans="1:14" x14ac:dyDescent="0.2">
      <c r="C16" s="220" t="s">
        <v>208</v>
      </c>
      <c r="D16" s="220"/>
      <c r="E16" s="220"/>
      <c r="F16" s="220"/>
      <c r="G16" s="220"/>
      <c r="H16" s="220"/>
      <c r="I16" s="220"/>
      <c r="J16" s="220"/>
      <c r="K16" s="220"/>
      <c r="L16" s="220"/>
      <c r="N16" s="90"/>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90"/>
    </row>
    <row r="18" spans="2:14" x14ac:dyDescent="0.2">
      <c r="B18" s="1" t="s">
        <v>209</v>
      </c>
      <c r="C18" s="93">
        <f>'Statement Y'!H24</f>
        <v>481</v>
      </c>
      <c r="D18" s="93">
        <f>'Statement Y'!I24</f>
        <v>471</v>
      </c>
      <c r="E18" s="93">
        <f>'Statement Y'!J24</f>
        <v>459</v>
      </c>
      <c r="F18" s="93">
        <f>'Statement Y'!K24</f>
        <v>450</v>
      </c>
      <c r="G18" s="182">
        <f>'Statement Y'!L24</f>
        <v>427</v>
      </c>
      <c r="H18" s="172">
        <f>G18*(1+H19)</f>
        <v>407.78499999999997</v>
      </c>
      <c r="I18" s="172">
        <f t="shared" ref="I18:L18" si="4">H18*(1+I19)</f>
        <v>395.55144999999993</v>
      </c>
      <c r="J18" s="172">
        <f t="shared" si="4"/>
        <v>385.66266374999992</v>
      </c>
      <c r="K18" s="172">
        <f t="shared" si="4"/>
        <v>376.79242248374993</v>
      </c>
      <c r="L18" s="172">
        <f t="shared" si="4"/>
        <v>368.50298918910744</v>
      </c>
      <c r="N18" s="90"/>
    </row>
    <row r="19" spans="2:14" x14ac:dyDescent="0.2">
      <c r="B19" s="1" t="s">
        <v>210</v>
      </c>
      <c r="C19" s="129"/>
      <c r="D19" s="170">
        <f>D18/C18-1</f>
        <v>-2.0790020790020791E-2</v>
      </c>
      <c r="E19" s="170">
        <f t="shared" ref="E19:G19" si="5">E18/D18-1</f>
        <v>-2.5477707006369421E-2</v>
      </c>
      <c r="F19" s="170">
        <f t="shared" si="5"/>
        <v>-1.9607843137254943E-2</v>
      </c>
      <c r="G19" s="183">
        <f t="shared" si="5"/>
        <v>-5.1111111111111107E-2</v>
      </c>
      <c r="H19" s="171">
        <v>-4.4999999999999998E-2</v>
      </c>
      <c r="I19" s="112">
        <v>-0.03</v>
      </c>
      <c r="J19" s="112">
        <v>-2.5000000000000001E-2</v>
      </c>
      <c r="K19" s="112">
        <v>-2.3E-2</v>
      </c>
      <c r="L19" s="112">
        <v>-2.1999999999999999E-2</v>
      </c>
      <c r="N19" s="90"/>
    </row>
    <row r="20" spans="2:14" x14ac:dyDescent="0.2">
      <c r="N20" s="90"/>
    </row>
    <row r="21" spans="2:14" x14ac:dyDescent="0.2">
      <c r="C21" s="220" t="s">
        <v>254</v>
      </c>
      <c r="D21" s="220"/>
      <c r="E21" s="220"/>
      <c r="F21" s="220"/>
      <c r="G21" s="220"/>
      <c r="H21" s="220"/>
      <c r="I21" s="220"/>
      <c r="J21" s="220"/>
      <c r="K21" s="220"/>
      <c r="L21" s="220"/>
      <c r="N21" s="90"/>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90"/>
    </row>
    <row r="23" spans="2:14" x14ac:dyDescent="0.2">
      <c r="B23" s="1" t="s">
        <v>73</v>
      </c>
      <c r="C23" s="184">
        <f>'Statement Y'!H167</f>
        <v>671.88</v>
      </c>
      <c r="D23" s="184">
        <f>'Statement Y'!I167</f>
        <v>344.11</v>
      </c>
      <c r="E23" s="184">
        <f>'Statement Y'!J167</f>
        <v>611.01</v>
      </c>
      <c r="F23" s="184">
        <f>'Statement Y'!K167</f>
        <v>513.88</v>
      </c>
      <c r="G23" s="185">
        <f>'Statement Y'!L167</f>
        <v>317.52</v>
      </c>
      <c r="H23" s="129"/>
      <c r="I23" s="129"/>
      <c r="J23" s="129"/>
      <c r="K23" s="129"/>
      <c r="L23" s="129"/>
      <c r="N23" s="90"/>
    </row>
    <row r="24" spans="2:14" x14ac:dyDescent="0.2">
      <c r="N24" s="90"/>
    </row>
    <row r="25" spans="2:14" x14ac:dyDescent="0.2">
      <c r="N25" s="90"/>
    </row>
    <row r="26" spans="2:14" x14ac:dyDescent="0.2">
      <c r="C26" s="220" t="s">
        <v>255</v>
      </c>
      <c r="D26" s="220"/>
      <c r="E26" s="220"/>
      <c r="F26" s="220"/>
      <c r="G26" s="220"/>
      <c r="H26" s="220"/>
      <c r="I26" s="220"/>
      <c r="J26" s="220"/>
      <c r="K26" s="220"/>
      <c r="L26" s="220"/>
      <c r="N26" s="90"/>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90"/>
    </row>
    <row r="28" spans="2:14" x14ac:dyDescent="0.2">
      <c r="B28" s="7" t="s">
        <v>108</v>
      </c>
      <c r="C28" s="186">
        <f>C23/(C6/C18)</f>
        <v>20.473505226480839</v>
      </c>
      <c r="D28" s="186">
        <f t="shared" ref="D28:G28" si="8">D23/(D6/D18)</f>
        <v>9.2057145291377935</v>
      </c>
      <c r="E28" s="186">
        <f t="shared" si="8"/>
        <v>14.449667164717399</v>
      </c>
      <c r="F28" s="186">
        <f t="shared" si="8"/>
        <v>10.753127179725645</v>
      </c>
      <c r="G28" s="187">
        <f t="shared" si="8"/>
        <v>5.7041120787580457</v>
      </c>
      <c r="H28" s="129"/>
      <c r="I28" s="129"/>
      <c r="J28" s="129"/>
      <c r="K28" s="129"/>
      <c r="L28" s="129"/>
      <c r="N28" s="90"/>
    </row>
    <row r="29" spans="2:14" x14ac:dyDescent="0.2">
      <c r="B29" s="1" t="s">
        <v>256</v>
      </c>
      <c r="C29" s="172">
        <f>C23*C18</f>
        <v>323174.27999999997</v>
      </c>
      <c r="D29" s="172">
        <f t="shared" ref="D29:G29" si="9">D23*D18</f>
        <v>162075.81</v>
      </c>
      <c r="E29" s="172">
        <f t="shared" si="9"/>
        <v>280453.58999999997</v>
      </c>
      <c r="F29" s="172">
        <f t="shared" si="9"/>
        <v>231246</v>
      </c>
      <c r="G29" s="188">
        <f t="shared" si="9"/>
        <v>135581.03999999998</v>
      </c>
      <c r="H29" s="129"/>
      <c r="I29" s="129"/>
      <c r="J29" s="129"/>
      <c r="K29" s="129"/>
      <c r="L29" s="129"/>
      <c r="N29" s="90"/>
    </row>
    <row r="30" spans="2:14" x14ac:dyDescent="0.2">
      <c r="B30" s="1" t="s">
        <v>137</v>
      </c>
      <c r="C30" s="102">
        <f>Statements!H41+Statements!H46</f>
        <v>4123</v>
      </c>
      <c r="D30" s="189">
        <f>Statements!I41+Statements!I46</f>
        <v>4129</v>
      </c>
      <c r="E30" s="189">
        <f>Statements!J41+Statements!J46</f>
        <v>3634</v>
      </c>
      <c r="F30" s="189">
        <f>Statements!K41+Statements!K46</f>
        <v>5628</v>
      </c>
      <c r="G30" s="190">
        <f>Statements!L41+Statements!L46</f>
        <v>6210</v>
      </c>
      <c r="H30" s="129"/>
      <c r="I30" s="129"/>
      <c r="J30" s="129"/>
      <c r="K30" s="129"/>
      <c r="L30" s="129"/>
      <c r="N30" s="90"/>
    </row>
    <row r="31" spans="2:14" x14ac:dyDescent="0.2">
      <c r="B31" s="1" t="s">
        <v>141</v>
      </c>
      <c r="C31" s="189">
        <f>Statements!H27</f>
        <v>5798</v>
      </c>
      <c r="D31" s="189">
        <f>Statements!I27</f>
        <v>6096</v>
      </c>
      <c r="E31" s="189">
        <f>Statements!J27</f>
        <v>7842</v>
      </c>
      <c r="F31" s="189">
        <f>Statements!K27</f>
        <v>7886</v>
      </c>
      <c r="G31" s="190">
        <f>Statements!L27</f>
        <v>6595</v>
      </c>
      <c r="H31" s="129"/>
      <c r="I31" s="129"/>
      <c r="J31" s="129"/>
      <c r="K31" s="129"/>
      <c r="L31" s="129"/>
      <c r="N31" s="90"/>
    </row>
    <row r="32" spans="2:14" x14ac:dyDescent="0.2">
      <c r="B32" s="1" t="s">
        <v>142</v>
      </c>
      <c r="C32" s="172">
        <f>C29+C30-C31</f>
        <v>321499.27999999997</v>
      </c>
      <c r="D32" s="172">
        <f t="shared" ref="D32:G32" si="10">D29+D30-D31</f>
        <v>160108.81</v>
      </c>
      <c r="E32" s="172">
        <f t="shared" si="10"/>
        <v>276245.58999999997</v>
      </c>
      <c r="F32" s="172">
        <f t="shared" si="10"/>
        <v>228988</v>
      </c>
      <c r="G32" s="188">
        <f t="shared" si="10"/>
        <v>135196.03999999998</v>
      </c>
      <c r="H32" s="129"/>
      <c r="I32" s="129"/>
      <c r="J32" s="129"/>
      <c r="K32" s="129"/>
      <c r="L32" s="129"/>
      <c r="N32" s="90"/>
    </row>
    <row r="33" spans="2:14" x14ac:dyDescent="0.2">
      <c r="B33" s="7" t="s">
        <v>257</v>
      </c>
      <c r="C33" s="186">
        <f>C32/C7</f>
        <v>55.411802826611506</v>
      </c>
      <c r="D33" s="186">
        <f t="shared" ref="D33:G33" si="11">D32/D7</f>
        <v>26.255954411282389</v>
      </c>
      <c r="E33" s="186">
        <f t="shared" si="11"/>
        <v>41.540690225563907</v>
      </c>
      <c r="F33" s="186">
        <f t="shared" si="11"/>
        <v>33.969440735795878</v>
      </c>
      <c r="G33" s="187">
        <f t="shared" si="11"/>
        <v>15.529065012634963</v>
      </c>
      <c r="H33" s="129"/>
      <c r="I33" s="129"/>
      <c r="J33" s="129"/>
      <c r="K33" s="129"/>
      <c r="L33" s="129"/>
      <c r="N33" s="90"/>
    </row>
    <row r="34" spans="2:14" x14ac:dyDescent="0.2">
      <c r="B34" s="7" t="s">
        <v>258</v>
      </c>
      <c r="C34" s="186">
        <f>C32/C8</f>
        <v>57.044009921966342</v>
      </c>
      <c r="D34" s="186">
        <f t="shared" ref="D34:G34" si="12">D32/D8</f>
        <v>28.707508780566652</v>
      </c>
      <c r="E34" s="186">
        <f t="shared" si="12"/>
        <v>50.538472948144502</v>
      </c>
      <c r="F34" s="186">
        <f t="shared" si="12"/>
        <v>36.781774201973704</v>
      </c>
      <c r="G34" s="187">
        <f t="shared" si="12"/>
        <v>16.188928019126589</v>
      </c>
      <c r="H34" s="129"/>
      <c r="I34" s="129"/>
      <c r="J34" s="129"/>
      <c r="K34" s="129"/>
      <c r="L34" s="129"/>
      <c r="N34" s="90"/>
    </row>
    <row r="35" spans="2:14" x14ac:dyDescent="0.2">
      <c r="N35" s="90"/>
    </row>
    <row r="36" spans="2:14" x14ac:dyDescent="0.2">
      <c r="N36" s="90"/>
    </row>
    <row r="37" spans="2:14" x14ac:dyDescent="0.2">
      <c r="B37" s="215" t="s">
        <v>259</v>
      </c>
      <c r="C37" s="215"/>
      <c r="N37" s="90"/>
    </row>
    <row r="38" spans="2:14" x14ac:dyDescent="0.2">
      <c r="B38" s="1" t="s">
        <v>260</v>
      </c>
      <c r="C38" s="103">
        <f>L7</f>
        <v>13897.290371541676</v>
      </c>
    </row>
    <row r="39" spans="2:14" x14ac:dyDescent="0.2">
      <c r="B39" s="1" t="s">
        <v>147</v>
      </c>
      <c r="C39" s="137">
        <f ca="1">WACC!C20</f>
        <v>0.11074285459263533</v>
      </c>
    </row>
    <row r="40" spans="2:14" x14ac:dyDescent="0.2">
      <c r="B40" s="8" t="s">
        <v>261</v>
      </c>
      <c r="C40" s="117">
        <v>25</v>
      </c>
    </row>
    <row r="41" spans="2:14" x14ac:dyDescent="0.2">
      <c r="B41" s="1" t="s">
        <v>187</v>
      </c>
      <c r="C41" s="20">
        <f>L18</f>
        <v>368.50298918910744</v>
      </c>
    </row>
    <row r="42" spans="2:14" x14ac:dyDescent="0.2">
      <c r="B42" s="1" t="s">
        <v>142</v>
      </c>
      <c r="C42" s="20">
        <f>(C38*C40)-G30+G31</f>
        <v>347817.25928854191</v>
      </c>
    </row>
    <row r="43" spans="2:14" x14ac:dyDescent="0.2">
      <c r="B43" s="1" t="s">
        <v>169</v>
      </c>
      <c r="C43" s="20">
        <f>C42/C41</f>
        <v>943.8655031100709</v>
      </c>
    </row>
    <row r="44" spans="2:14" x14ac:dyDescent="0.2">
      <c r="B44" s="150" t="s">
        <v>262</v>
      </c>
      <c r="C44" s="151">
        <f ca="1">C43/(1+C48)^5</f>
        <v>558.2676635753852</v>
      </c>
    </row>
    <row r="46" spans="2:14" x14ac:dyDescent="0.2">
      <c r="B46" s="215" t="s">
        <v>184</v>
      </c>
      <c r="C46" s="215"/>
    </row>
    <row r="47" spans="2:14" x14ac:dyDescent="0.2">
      <c r="B47" s="1" t="s">
        <v>185</v>
      </c>
      <c r="C47" s="103">
        <f>L6</f>
        <v>38252.850332990893</v>
      </c>
    </row>
    <row r="48" spans="2:14" x14ac:dyDescent="0.2">
      <c r="B48" s="1" t="s">
        <v>147</v>
      </c>
      <c r="C48" s="137">
        <f ca="1">WACC!C20</f>
        <v>0.11074285459263533</v>
      </c>
    </row>
    <row r="49" spans="2:3" x14ac:dyDescent="0.2">
      <c r="B49" s="8" t="s">
        <v>186</v>
      </c>
      <c r="C49" s="117">
        <v>9</v>
      </c>
    </row>
    <row r="50" spans="2:3" x14ac:dyDescent="0.2">
      <c r="B50" s="1" t="s">
        <v>187</v>
      </c>
      <c r="C50" s="20">
        <f>L18</f>
        <v>368.50298918910744</v>
      </c>
    </row>
    <row r="51" spans="2:3" x14ac:dyDescent="0.2">
      <c r="B51" s="1" t="s">
        <v>169</v>
      </c>
      <c r="C51" s="20">
        <f>(C47*C49)/C50</f>
        <v>934.25470918023814</v>
      </c>
    </row>
    <row r="52" spans="2:3" x14ac:dyDescent="0.2">
      <c r="B52" s="150" t="s">
        <v>262</v>
      </c>
      <c r="C52" s="151">
        <f ca="1">C51/(1+C48)^5</f>
        <v>552.58317203010347</v>
      </c>
    </row>
    <row r="54" spans="2:3" x14ac:dyDescent="0.2">
      <c r="B54" s="215" t="s">
        <v>263</v>
      </c>
      <c r="C54" s="215"/>
    </row>
    <row r="55" spans="2:3" x14ac:dyDescent="0.2">
      <c r="B55" s="1" t="s">
        <v>264</v>
      </c>
      <c r="C55" s="103">
        <f>L8</f>
        <v>12018.706774491759</v>
      </c>
    </row>
    <row r="56" spans="2:3" x14ac:dyDescent="0.2">
      <c r="B56" s="1" t="s">
        <v>147</v>
      </c>
      <c r="C56" s="137">
        <f ca="1">WACC!C20</f>
        <v>0.11074285459263533</v>
      </c>
    </row>
    <row r="57" spans="2:3" x14ac:dyDescent="0.2">
      <c r="B57" s="8" t="s">
        <v>265</v>
      </c>
      <c r="C57" s="117">
        <v>27</v>
      </c>
    </row>
    <row r="58" spans="2:3" x14ac:dyDescent="0.2">
      <c r="B58" s="1" t="s">
        <v>187</v>
      </c>
      <c r="C58" s="20">
        <f>L18</f>
        <v>368.50298918910744</v>
      </c>
    </row>
    <row r="59" spans="2:3" x14ac:dyDescent="0.2">
      <c r="B59" s="1" t="s">
        <v>142</v>
      </c>
      <c r="C59" s="20">
        <f>(C55*C57)-G30+G31</f>
        <v>324890.08291127748</v>
      </c>
    </row>
    <row r="60" spans="2:3" x14ac:dyDescent="0.2">
      <c r="B60" s="1" t="s">
        <v>169</v>
      </c>
      <c r="C60" s="20">
        <f>C59/C58</f>
        <v>881.64843282872584</v>
      </c>
    </row>
    <row r="61" spans="2:3" x14ac:dyDescent="0.2">
      <c r="B61" s="150" t="s">
        <v>262</v>
      </c>
      <c r="C61" s="151">
        <f ca="1">C60/(1+C56)^5</f>
        <v>521.46816370382192</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C11" sqref="C11"/>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191</v>
      </c>
    </row>
    <row r="2" spans="1:14" x14ac:dyDescent="0.2">
      <c r="N2" s="90"/>
    </row>
    <row r="3" spans="1:14" x14ac:dyDescent="0.2">
      <c r="N3" s="90"/>
    </row>
    <row r="4" spans="1:14" x14ac:dyDescent="0.2">
      <c r="B4" s="215" t="s">
        <v>192</v>
      </c>
      <c r="C4" s="215"/>
      <c r="N4" s="90"/>
    </row>
    <row r="5" spans="1:14" x14ac:dyDescent="0.2">
      <c r="B5" s="1" t="s">
        <v>189</v>
      </c>
      <c r="C5" s="166">
        <f ca="1">DCF!C26</f>
        <v>300.98079280932404</v>
      </c>
    </row>
    <row r="6" spans="1:14" x14ac:dyDescent="0.2">
      <c r="B6" s="1" t="s">
        <v>266</v>
      </c>
      <c r="C6" s="166">
        <f ca="1">Multiples!C44</f>
        <v>558.2676635753852</v>
      </c>
    </row>
    <row r="7" spans="1:14" x14ac:dyDescent="0.2">
      <c r="B7" s="1" t="s">
        <v>190</v>
      </c>
      <c r="C7" s="166">
        <f ca="1">Multiples!C52</f>
        <v>552.58317203010347</v>
      </c>
    </row>
    <row r="8" spans="1:14" x14ac:dyDescent="0.2">
      <c r="B8" s="1" t="s">
        <v>267</v>
      </c>
      <c r="C8" s="166">
        <f ca="1">Multiples!C61</f>
        <v>521.46816370382192</v>
      </c>
    </row>
    <row r="9" spans="1:14" x14ac:dyDescent="0.2">
      <c r="B9" s="150" t="s">
        <v>188</v>
      </c>
      <c r="C9" s="151">
        <f ca="1">AVERAGE(C5:C8)</f>
        <v>483.32494802965869</v>
      </c>
    </row>
    <row r="10" spans="1:14" x14ac:dyDescent="0.2">
      <c r="B10" s="1" t="s">
        <v>335</v>
      </c>
      <c r="C10" s="34">
        <f ca="1">Overview!C3</f>
        <v>252.47</v>
      </c>
    </row>
    <row r="11" spans="1:14" x14ac:dyDescent="0.2">
      <c r="B11" s="1" t="s">
        <v>336</v>
      </c>
      <c r="C11" s="88">
        <f ca="1">(C9-C10)/C10</f>
        <v>0.91438566178024594</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B95F-5C52-354D-9429-210F6D3771CE}">
  <dimension ref="A1:AB49"/>
  <sheetViews>
    <sheetView tabSelected="1" topLeftCell="A2" zoomScale="209" zoomScaleNormal="100" workbookViewId="0">
      <selection activeCell="C6" sqref="C6:L6"/>
    </sheetView>
  </sheetViews>
  <sheetFormatPr baseColWidth="10" defaultRowHeight="16" x14ac:dyDescent="0.2"/>
  <cols>
    <col min="1" max="1" width="2" style="98"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337</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2">
        <f>G7*(1+$C$17)</f>
        <v>8601.6764689718348</v>
      </c>
      <c r="I7" s="132">
        <f t="shared" ref="I7:L7" si="0">H7*(1+$C$17)</f>
        <v>8859.7267630409897</v>
      </c>
      <c r="J7" s="132">
        <f t="shared" si="0"/>
        <v>9125.5185659322196</v>
      </c>
      <c r="K7" s="132">
        <f t="shared" si="0"/>
        <v>9399.2841229101869</v>
      </c>
      <c r="L7" s="132">
        <f t="shared" si="0"/>
        <v>9681.2626465974936</v>
      </c>
      <c r="N7" s="90"/>
      <c r="O7" s="7"/>
      <c r="P7" s="106"/>
      <c r="Q7" s="106"/>
      <c r="R7" s="106"/>
      <c r="S7" s="106"/>
      <c r="T7" s="106"/>
      <c r="U7" s="106"/>
      <c r="V7" s="106"/>
      <c r="W7" s="106"/>
      <c r="X7" s="108"/>
      <c r="Y7" s="108"/>
      <c r="Z7" s="108"/>
      <c r="AB7" s="108"/>
    </row>
    <row r="8" spans="1:28" x14ac:dyDescent="0.2">
      <c r="B8" s="8" t="s">
        <v>160</v>
      </c>
      <c r="C8" s="129"/>
      <c r="D8" s="129"/>
      <c r="E8" s="129"/>
      <c r="F8" s="129"/>
      <c r="G8" s="149"/>
      <c r="H8" s="129"/>
      <c r="I8" s="129"/>
      <c r="J8" s="129"/>
      <c r="K8" s="129"/>
      <c r="L8" s="132">
        <f ca="1">L7*(1+C20)/(C21-C20)</f>
        <v>115733.19152841414</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 ca="1">H7/(1+$C$21)^H9</f>
        <v>7744.0754477115197</v>
      </c>
      <c r="I10" s="132">
        <f t="shared" ref="I10:L10" ca="1" si="1">I7/(1+$C$21)^I9</f>
        <v>7181.1379908162517</v>
      </c>
      <c r="J10" s="132">
        <f t="shared" ca="1" si="1"/>
        <v>6659.1219560475402</v>
      </c>
      <c r="K10" s="132">
        <f t="shared" ca="1" si="1"/>
        <v>6175.0526563094254</v>
      </c>
      <c r="L10" s="132">
        <f t="shared" ca="1" si="1"/>
        <v>5726.1716424287497</v>
      </c>
      <c r="N10" s="90"/>
    </row>
    <row r="11" spans="1:28" x14ac:dyDescent="0.2">
      <c r="B11" s="1" t="s">
        <v>164</v>
      </c>
      <c r="C11" s="129"/>
      <c r="D11" s="129"/>
      <c r="E11" s="129"/>
      <c r="F11" s="129"/>
      <c r="G11" s="149"/>
      <c r="H11" s="129"/>
      <c r="I11" s="129"/>
      <c r="J11" s="129"/>
      <c r="K11" s="129"/>
      <c r="L11" s="132">
        <f ca="1">L8/(1+C21)^L9</f>
        <v>68452.653709450882</v>
      </c>
    </row>
    <row r="13" spans="1:28" ht="17" thickBot="1" x14ac:dyDescent="0.25"/>
    <row r="14" spans="1:28" x14ac:dyDescent="0.2">
      <c r="B14" s="222" t="s">
        <v>338</v>
      </c>
      <c r="C14" s="223"/>
    </row>
    <row r="15" spans="1:28" x14ac:dyDescent="0.2">
      <c r="B15" s="196" t="s">
        <v>339</v>
      </c>
      <c r="C15" s="197">
        <f ca="1">Overview!C3</f>
        <v>252.47</v>
      </c>
    </row>
    <row r="16" spans="1:28" x14ac:dyDescent="0.2">
      <c r="B16" s="196" t="s">
        <v>340</v>
      </c>
      <c r="C16" s="197">
        <f ca="1">C36</f>
        <v>253.96092426426827</v>
      </c>
    </row>
    <row r="17" spans="2:9" ht="17" thickBot="1" x14ac:dyDescent="0.25">
      <c r="B17" s="198" t="s">
        <v>341</v>
      </c>
      <c r="C17" s="199">
        <v>0.03</v>
      </c>
      <c r="E17" s="224" t="s">
        <v>342</v>
      </c>
      <c r="F17" s="224"/>
      <c r="G17" s="224"/>
      <c r="H17" s="224"/>
      <c r="I17" s="224"/>
    </row>
    <row r="18" spans="2:9" ht="17" thickBot="1" x14ac:dyDescent="0.25"/>
    <row r="19" spans="2:9" x14ac:dyDescent="0.2">
      <c r="B19" s="222" t="s">
        <v>172</v>
      </c>
      <c r="C19" s="223"/>
    </row>
    <row r="20" spans="2:9" x14ac:dyDescent="0.2">
      <c r="B20" s="200" t="s">
        <v>161</v>
      </c>
      <c r="C20" s="201">
        <v>2.5000000000000001E-2</v>
      </c>
    </row>
    <row r="21" spans="2:9" x14ac:dyDescent="0.2">
      <c r="B21" s="200" t="s">
        <v>147</v>
      </c>
      <c r="C21" s="202">
        <f ca="1">WACC!C20</f>
        <v>0.11074285459263533</v>
      </c>
    </row>
    <row r="22" spans="2:9" x14ac:dyDescent="0.2">
      <c r="B22" s="200" t="s">
        <v>4</v>
      </c>
      <c r="C22" s="203">
        <f>'Statement Q'!N116</f>
        <v>404</v>
      </c>
    </row>
    <row r="23" spans="2:9" x14ac:dyDescent="0.2">
      <c r="B23" s="200" t="s">
        <v>140</v>
      </c>
      <c r="C23" s="203">
        <f ca="1">C15*C22</f>
        <v>101997.88</v>
      </c>
    </row>
    <row r="24" spans="2:9" x14ac:dyDescent="0.2">
      <c r="B24" s="200" t="s">
        <v>141</v>
      </c>
      <c r="C24" s="203">
        <f>Statements!W27</f>
        <v>6890</v>
      </c>
    </row>
    <row r="25" spans="2:9" x14ac:dyDescent="0.2">
      <c r="B25" s="200" t="s">
        <v>137</v>
      </c>
      <c r="C25" s="203">
        <f>Statements!W41+Statements!W46</f>
        <v>6228</v>
      </c>
    </row>
    <row r="26" spans="2:9" ht="17" thickBot="1" x14ac:dyDescent="0.25">
      <c r="B26" s="198" t="s">
        <v>343</v>
      </c>
      <c r="C26" s="204">
        <f ca="1">C23+C25-C24</f>
        <v>101335.88</v>
      </c>
    </row>
    <row r="27" spans="2:9" ht="17" thickBot="1" x14ac:dyDescent="0.25"/>
    <row r="28" spans="2:9" x14ac:dyDescent="0.2">
      <c r="B28" s="222" t="s">
        <v>79</v>
      </c>
      <c r="C28" s="223"/>
    </row>
    <row r="29" spans="2:9" x14ac:dyDescent="0.2">
      <c r="B29" s="200" t="s">
        <v>170</v>
      </c>
      <c r="C29" s="203">
        <f ca="1">SUM(H10:L10)</f>
        <v>33485.559693313488</v>
      </c>
    </row>
    <row r="30" spans="2:9" x14ac:dyDescent="0.2">
      <c r="B30" s="200" t="s">
        <v>164</v>
      </c>
      <c r="C30" s="203">
        <f ca="1">L11</f>
        <v>68452.653709450882</v>
      </c>
    </row>
    <row r="31" spans="2:9" x14ac:dyDescent="0.2">
      <c r="B31" s="205" t="s">
        <v>167</v>
      </c>
      <c r="C31" s="206">
        <f ca="1">C29+C30</f>
        <v>101938.21340276438</v>
      </c>
    </row>
    <row r="32" spans="2:9" x14ac:dyDescent="0.2">
      <c r="B32" s="200" t="s">
        <v>165</v>
      </c>
      <c r="C32" s="207">
        <f>C24</f>
        <v>6890</v>
      </c>
    </row>
    <row r="33" spans="2:12" x14ac:dyDescent="0.2">
      <c r="B33" s="200" t="s">
        <v>166</v>
      </c>
      <c r="C33" s="207">
        <f>C25</f>
        <v>6228</v>
      </c>
    </row>
    <row r="34" spans="2:12" x14ac:dyDescent="0.2">
      <c r="B34" s="205" t="s">
        <v>168</v>
      </c>
      <c r="C34" s="206">
        <f ca="1">C31+C32-C33</f>
        <v>102600.21340276438</v>
      </c>
    </row>
    <row r="35" spans="2:12" x14ac:dyDescent="0.2">
      <c r="B35" s="200" t="s">
        <v>4</v>
      </c>
      <c r="C35" s="203">
        <f>C22</f>
        <v>404</v>
      </c>
    </row>
    <row r="36" spans="2:12" ht="17" thickBot="1" x14ac:dyDescent="0.25">
      <c r="B36" s="208" t="s">
        <v>169</v>
      </c>
      <c r="C36" s="209">
        <f ca="1">C34/C35</f>
        <v>253.96092426426827</v>
      </c>
    </row>
    <row r="39" spans="2:12" x14ac:dyDescent="0.2">
      <c r="C39" s="220" t="s">
        <v>344</v>
      </c>
      <c r="D39" s="220"/>
      <c r="E39" s="220"/>
      <c r="F39" s="220"/>
      <c r="G39" s="220"/>
      <c r="H39" s="220"/>
      <c r="I39" s="220"/>
      <c r="J39" s="220"/>
      <c r="K39" s="220"/>
      <c r="L39" s="220"/>
    </row>
    <row r="40" spans="2:12" x14ac:dyDescent="0.2">
      <c r="C40" s="61">
        <f>C6</f>
        <v>2021</v>
      </c>
      <c r="D40" s="61">
        <f t="shared" ref="D40:L41" si="2">D6</f>
        <v>2022</v>
      </c>
      <c r="E40" s="61">
        <f t="shared" si="2"/>
        <v>2023</v>
      </c>
      <c r="F40" s="61">
        <f t="shared" si="2"/>
        <v>2024</v>
      </c>
      <c r="G40" s="61">
        <f t="shared" si="2"/>
        <v>2025</v>
      </c>
      <c r="H40" s="61">
        <f t="shared" si="2"/>
        <v>2026</v>
      </c>
      <c r="I40" s="61">
        <f t="shared" si="2"/>
        <v>2027</v>
      </c>
      <c r="J40" s="61">
        <f t="shared" si="2"/>
        <v>2028</v>
      </c>
      <c r="K40" s="61">
        <f t="shared" si="2"/>
        <v>2029</v>
      </c>
      <c r="L40" s="61">
        <f t="shared" si="2"/>
        <v>2030</v>
      </c>
    </row>
    <row r="41" spans="2:12" x14ac:dyDescent="0.2">
      <c r="B41" s="8" t="s">
        <v>136</v>
      </c>
      <c r="C41" s="131">
        <f>C7</f>
        <v>5635.9866783523221</v>
      </c>
      <c r="D41" s="131">
        <f t="shared" si="2"/>
        <v>5577.2450066577894</v>
      </c>
      <c r="E41" s="131">
        <f t="shared" si="2"/>
        <v>5466.0454478599795</v>
      </c>
      <c r="F41" s="131">
        <f t="shared" si="2"/>
        <v>6225.5833213100559</v>
      </c>
      <c r="G41" s="133">
        <f t="shared" si="2"/>
        <v>8351.1422028852758</v>
      </c>
      <c r="H41" s="172">
        <f t="shared" si="2"/>
        <v>8601.6764689718348</v>
      </c>
      <c r="I41" s="172">
        <f t="shared" si="2"/>
        <v>8859.7267630409897</v>
      </c>
      <c r="J41" s="172">
        <f t="shared" si="2"/>
        <v>9125.5185659322196</v>
      </c>
      <c r="K41" s="172">
        <f t="shared" si="2"/>
        <v>9399.2841229101869</v>
      </c>
      <c r="L41" s="172">
        <f t="shared" si="2"/>
        <v>9681.2626465974936</v>
      </c>
    </row>
    <row r="42" spans="2:12" x14ac:dyDescent="0.2">
      <c r="B42" s="1" t="s">
        <v>106</v>
      </c>
      <c r="C42" s="131">
        <f>'FCF &amp; Other'!C14</f>
        <v>5802</v>
      </c>
      <c r="D42" s="131">
        <f>'FCF &amp; Other'!D14</f>
        <v>6098</v>
      </c>
      <c r="E42" s="131">
        <f>'FCF &amp; Other'!E14</f>
        <v>6650</v>
      </c>
      <c r="F42" s="131">
        <f>'FCF &amp; Other'!F14</f>
        <v>6741</v>
      </c>
      <c r="G42" s="133">
        <f>'FCF &amp; Other'!G14</f>
        <v>8706</v>
      </c>
      <c r="H42" s="172">
        <f>H41/H43</f>
        <v>9557.418298857594</v>
      </c>
      <c r="I42" s="172">
        <f t="shared" ref="I42:L42" si="3">I41/I43</f>
        <v>9844.1408478233225</v>
      </c>
      <c r="J42" s="172">
        <f t="shared" si="3"/>
        <v>10139.465073258021</v>
      </c>
      <c r="K42" s="172">
        <f t="shared" si="3"/>
        <v>10443.649025455763</v>
      </c>
      <c r="L42" s="172">
        <f t="shared" si="3"/>
        <v>10756.958496219437</v>
      </c>
    </row>
    <row r="43" spans="2:12" x14ac:dyDescent="0.2">
      <c r="B43" s="179" t="s">
        <v>345</v>
      </c>
      <c r="C43" s="110">
        <f>C41/C42</f>
        <v>0.97138688010208929</v>
      </c>
      <c r="D43" s="110">
        <f t="shared" ref="D43:G43" si="4">D41/D42</f>
        <v>0.91460232972413735</v>
      </c>
      <c r="E43" s="110">
        <f t="shared" si="4"/>
        <v>0.82196172148270363</v>
      </c>
      <c r="F43" s="110">
        <f t="shared" si="4"/>
        <v>0.92354002689661119</v>
      </c>
      <c r="G43" s="111">
        <f t="shared" si="4"/>
        <v>0.9592398579009046</v>
      </c>
      <c r="H43" s="210">
        <v>0.9</v>
      </c>
      <c r="I43" s="210">
        <v>0.9</v>
      </c>
      <c r="J43" s="210">
        <v>0.9</v>
      </c>
      <c r="K43" s="210">
        <v>0.9</v>
      </c>
      <c r="L43" s="210">
        <v>0.9</v>
      </c>
    </row>
    <row r="44" spans="2:12" x14ac:dyDescent="0.2">
      <c r="B44" s="1" t="s">
        <v>6</v>
      </c>
      <c r="C44" s="131">
        <f>'FCF &amp; Other'!C6</f>
        <v>15785</v>
      </c>
      <c r="D44" s="131">
        <f>'FCF &amp; Other'!D6</f>
        <v>17606</v>
      </c>
      <c r="E44" s="131">
        <f>'FCF &amp; Other'!E6</f>
        <v>19409</v>
      </c>
      <c r="F44" s="131">
        <f>'FCF &amp; Other'!F6</f>
        <v>21505</v>
      </c>
      <c r="G44" s="133">
        <f>'FCF &amp; Other'!G6</f>
        <v>23769</v>
      </c>
      <c r="H44" s="172">
        <f>H41/H45</f>
        <v>28672.254896572784</v>
      </c>
      <c r="I44" s="172">
        <f t="shared" ref="I44:L44" si="5">I41/I45</f>
        <v>29532.422543469966</v>
      </c>
      <c r="J44" s="172">
        <f t="shared" si="5"/>
        <v>30418.395219774065</v>
      </c>
      <c r="K44" s="172">
        <f t="shared" si="5"/>
        <v>31330.947076367291</v>
      </c>
      <c r="L44" s="172">
        <f t="shared" si="5"/>
        <v>32270.875488658312</v>
      </c>
    </row>
    <row r="45" spans="2:12" x14ac:dyDescent="0.2">
      <c r="B45" s="179" t="s">
        <v>346</v>
      </c>
      <c r="C45" s="110">
        <f>C41/C44</f>
        <v>0.35704698627509168</v>
      </c>
      <c r="D45" s="110">
        <f t="shared" ref="D45:G45" si="6">D41/D44</f>
        <v>0.3167809273348739</v>
      </c>
      <c r="E45" s="110">
        <f t="shared" si="6"/>
        <v>0.28162426955845121</v>
      </c>
      <c r="F45" s="110">
        <f t="shared" si="6"/>
        <v>0.28949469059800309</v>
      </c>
      <c r="G45" s="111">
        <f t="shared" si="6"/>
        <v>0.35134596335080465</v>
      </c>
      <c r="H45" s="210">
        <v>0.3</v>
      </c>
      <c r="I45" s="210">
        <v>0.3</v>
      </c>
      <c r="J45" s="210">
        <v>0.3</v>
      </c>
      <c r="K45" s="210">
        <v>0.3</v>
      </c>
      <c r="L45" s="210">
        <v>0.3</v>
      </c>
    </row>
    <row r="46" spans="2:12" x14ac:dyDescent="0.2">
      <c r="B46" s="179" t="s">
        <v>347</v>
      </c>
      <c r="C46" s="129"/>
      <c r="D46" s="110">
        <f>D41/C41-1</f>
        <v>-1.0422606554440272E-2</v>
      </c>
      <c r="E46" s="110">
        <f t="shared" ref="E46:L47" si="7">E41/D41-1</f>
        <v>-1.993808030041111E-2</v>
      </c>
      <c r="F46" s="110">
        <f t="shared" si="7"/>
        <v>0.13895564548359984</v>
      </c>
      <c r="G46" s="111">
        <f t="shared" si="7"/>
        <v>0.34142324853310879</v>
      </c>
      <c r="H46" s="211">
        <f t="shared" si="7"/>
        <v>3.0000000000000027E-2</v>
      </c>
      <c r="I46" s="211">
        <f t="shared" si="7"/>
        <v>3.0000000000000027E-2</v>
      </c>
      <c r="J46" s="211">
        <f t="shared" si="7"/>
        <v>3.0000000000000027E-2</v>
      </c>
      <c r="K46" s="211">
        <f t="shared" si="7"/>
        <v>3.0000000000000027E-2</v>
      </c>
      <c r="L46" s="211">
        <f t="shared" si="7"/>
        <v>3.0000000000000027E-2</v>
      </c>
    </row>
    <row r="47" spans="2:12" x14ac:dyDescent="0.2">
      <c r="B47" s="179" t="s">
        <v>348</v>
      </c>
      <c r="C47" s="129"/>
      <c r="D47" s="110">
        <f>D42/C42-1</f>
        <v>5.1016890727335396E-2</v>
      </c>
      <c r="E47" s="110">
        <f t="shared" si="7"/>
        <v>9.0521482453263413E-2</v>
      </c>
      <c r="F47" s="110">
        <f t="shared" si="7"/>
        <v>1.3684210526315743E-2</v>
      </c>
      <c r="G47" s="111">
        <f t="shared" si="7"/>
        <v>0.29149977748108591</v>
      </c>
      <c r="H47" s="211">
        <f t="shared" si="7"/>
        <v>9.7796726264368639E-2</v>
      </c>
      <c r="I47" s="211">
        <f t="shared" si="7"/>
        <v>3.0000000000000027E-2</v>
      </c>
      <c r="J47" s="211">
        <f t="shared" si="7"/>
        <v>2.9999999999999805E-2</v>
      </c>
      <c r="K47" s="211">
        <f t="shared" si="7"/>
        <v>3.0000000000000027E-2</v>
      </c>
      <c r="L47" s="211">
        <f t="shared" si="7"/>
        <v>3.0000000000000027E-2</v>
      </c>
    </row>
    <row r="48" spans="2:12" x14ac:dyDescent="0.2">
      <c r="B48" s="179" t="s">
        <v>349</v>
      </c>
      <c r="C48" s="129"/>
      <c r="D48" s="110">
        <f>D44/C44-1</f>
        <v>0.11536268609439349</v>
      </c>
      <c r="E48" s="110">
        <f t="shared" ref="E48:L48" si="8">E44/D44-1</f>
        <v>0.10240826990798602</v>
      </c>
      <c r="F48" s="110">
        <f t="shared" si="8"/>
        <v>0.10799113813179462</v>
      </c>
      <c r="G48" s="111">
        <f t="shared" si="8"/>
        <v>0.10527784236224136</v>
      </c>
      <c r="H48" s="211">
        <f t="shared" si="8"/>
        <v>0.20628780750442943</v>
      </c>
      <c r="I48" s="211">
        <f t="shared" si="8"/>
        <v>3.0000000000000027E-2</v>
      </c>
      <c r="J48" s="211">
        <f t="shared" si="8"/>
        <v>3.0000000000000027E-2</v>
      </c>
      <c r="K48" s="211">
        <f t="shared" si="8"/>
        <v>3.0000000000000027E-2</v>
      </c>
      <c r="L48" s="211">
        <f t="shared" si="8"/>
        <v>3.0000000000000027E-2</v>
      </c>
    </row>
    <row r="49" spans="2:12" x14ac:dyDescent="0.2">
      <c r="B49" s="179" t="s">
        <v>350</v>
      </c>
      <c r="C49" s="110">
        <f>C42/C44</f>
        <v>0.36756414317389929</v>
      </c>
      <c r="D49" s="110">
        <f t="shared" ref="D49:L49" si="9">D42/D44</f>
        <v>0.34635919572872886</v>
      </c>
      <c r="E49" s="110">
        <f t="shared" si="9"/>
        <v>0.3426245556185275</v>
      </c>
      <c r="F49" s="110">
        <f t="shared" si="9"/>
        <v>0.31346198558474775</v>
      </c>
      <c r="G49" s="111">
        <f t="shared" si="9"/>
        <v>0.36627540073204595</v>
      </c>
      <c r="H49" s="211">
        <f t="shared" si="9"/>
        <v>0.33333333333333331</v>
      </c>
      <c r="I49" s="211">
        <f t="shared" si="9"/>
        <v>0.33333333333333337</v>
      </c>
      <c r="J49" s="211">
        <f t="shared" si="9"/>
        <v>0.33333333333333331</v>
      </c>
      <c r="K49" s="211">
        <f t="shared" si="9"/>
        <v>0.33333333333333331</v>
      </c>
      <c r="L49" s="211">
        <f t="shared" si="9"/>
        <v>0.33333333333333331</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2026-05-08T17:57:56Z</dcterms:modified>
</cp:coreProperties>
</file>