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B69D71A-AC8B-AA4E-979E-4296009EAB2C}"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I13" i="1"/>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<sst xmlns="http://schemas.openxmlformats.org/spreadsheetml/2006/main" count="797" uniqueCount="426">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</sst>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5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1.3875</v>
    <v>-4.13</v>
    <v>-1.7047E-2</v>
    <v>-0.20250000000000001</v>
    <v>-8.5029999999999991E-4</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242.46</v>
    <v>3</v>
    <v>Software &amp; IT Services</v>
    <v>Stock</v>
    <v>46307.857740057814</v>
    <v>4</v>
    <v>232.85</v>
    <v>92684088000</v>
    <v>ADOBE INC.</v>
    <v>ADOBE INC.</v>
    <v>234.625</v>
    <v>13.2888</v>
    <v>242.27</v>
    <v>238.14</v>
    <v>237.9375</v>
    <v>389200000</v>
    <v>ADBE</v>
    <v>ADOBE INC. (XNAS:ADBE)</v>
    <v>4514737</v>
    <v>5401609</v>
    <v>1997</v>
  </rv>
  <rv s="4">
    <v>5</v>
  </rv>
  <rv s="0">
    <v>https://www.bing.com/financeapi/forcetrigger?t=a33knm&amp;q=10+Y+TSY+YLD+NDX&amp;form=skydnc</v>
    <v>Learn more on Bing</v>
  </rv>
  <rv s="5">
    <v>7</v>
    <v>10 Y TSY YLD NDX</v>
    <v>8</v>
    <v>9</v>
    <v>Finance</v>
    <v>10</v>
    <v>en-US</v>
    <v>a33knm</v>
    <v>268435456</v>
    <v>1</v>
    <v>Powered by Refinitiv</v>
    <v>53.64</v>
    <v>39.47</v>
    <v>0.13</v>
    <v>2.4849999999999998E-3</v>
    <v>US</v>
    <v>52.8</v>
    <v>Index</v>
    <v>7</v>
    <v>52.34</v>
    <v>10 Y TSY YLD NDX</v>
    <v>52.36</v>
    <v>52.31</v>
    <v>52.44</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B3" sqref="B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39" t="s">
        <v>17</v>
      </c>
      <c r="C2" s="240"/>
      <c r="E2" s="239" t="s">
        <v>288</v>
      </c>
      <c r="F2" s="240"/>
      <c r="H2" s="239" t="s">
        <v>326</v>
      </c>
      <c r="I2" s="240"/>
      <c r="K2" s="134" t="s">
        <v>420</v>
      </c>
    </row>
    <row r="3" spans="2:11" x14ac:dyDescent="0.2">
      <c r="B3" s="183" t="s">
        <v>11</v>
      </c>
      <c r="C3" s="215" t="e" vm="1">
        <v>#VALUE!</v>
      </c>
      <c r="D3" s="2"/>
      <c r="E3" s="183" t="s">
        <v>240</v>
      </c>
      <c r="F3" s="185">
        <f ca="1">Statement!AC153</f>
        <v>92874.599999999991</v>
      </c>
      <c r="H3" s="183" t="str">
        <f>'AVG target price'!B5</f>
        <v>DCF price</v>
      </c>
      <c r="I3" s="209">
        <f ca="1">'AVG target price'!C5</f>
        <v>306.03516812553221</v>
      </c>
      <c r="K3" s="237" t="s">
        <v>421</v>
      </c>
    </row>
    <row r="4" spans="2:11" x14ac:dyDescent="0.2">
      <c r="B4" s="183" t="s">
        <v>0</v>
      </c>
      <c r="C4" s="187" t="str" cm="1">
        <f t="array" aca="1" ref="C4" ca="1">_FV(C3,"Ticker symbol",TRUE)</f>
        <v>ADBE</v>
      </c>
      <c r="E4" s="184" t="s">
        <v>189</v>
      </c>
      <c r="F4" s="186">
        <f ca="1">Statement!AC154</f>
        <v>93598.599999999991</v>
      </c>
      <c r="H4" s="183" t="str">
        <f>'AVG target price'!B6</f>
        <v>EV/EBIT price</v>
      </c>
      <c r="I4" s="209">
        <f ca="1">'AVG target price'!C6</f>
        <v>402.11134975713304</v>
      </c>
      <c r="K4" s="237" t="s">
        <v>422</v>
      </c>
    </row>
    <row r="5" spans="2:11" x14ac:dyDescent="0.2">
      <c r="B5" s="183" t="s">
        <v>1</v>
      </c>
      <c r="C5" s="206" cm="1">
        <f t="array" aca="1" ref="C5" ca="1">_FV(C3,"Price",TRUE)</f>
        <v>238.14</v>
      </c>
      <c r="E5" s="183" t="s">
        <v>244</v>
      </c>
      <c r="F5" s="187">
        <f>Statement!AC26</f>
        <v>17.920000000000002</v>
      </c>
      <c r="H5" s="183" t="str">
        <f>'AVG target price'!B7</f>
        <v>PS price</v>
      </c>
      <c r="I5" s="209">
        <f ca="1">'AVG target price'!C7</f>
        <v>303.01747043136169</v>
      </c>
      <c r="K5" s="237" t="s">
        <v>423</v>
      </c>
    </row>
    <row r="6" spans="2:11" x14ac:dyDescent="0.2">
      <c r="B6" s="183" t="s">
        <v>2</v>
      </c>
      <c r="C6" s="206" cm="1">
        <f t="array" aca="1" ref="C6" ca="1">_FV(C3,"Price (Extended hours)",TRUE)</f>
        <v>237.9375</v>
      </c>
      <c r="E6" s="183" t="s">
        <v>238</v>
      </c>
      <c r="F6" s="188">
        <f ca="1">Statement!AC150</f>
        <v>13.289062499999998</v>
      </c>
      <c r="H6" s="183" t="str">
        <f>'AVG target price'!B8</f>
        <v>EV/FCFF price</v>
      </c>
      <c r="I6" s="209">
        <f ca="1">'AVG target price'!C8</f>
        <v>376.41983272411642</v>
      </c>
      <c r="K6" s="238" t="s">
        <v>424</v>
      </c>
    </row>
    <row r="7" spans="2:11" x14ac:dyDescent="0.2">
      <c r="B7" s="183" t="s">
        <v>3</v>
      </c>
      <c r="C7" s="6" cm="1">
        <f t="array" aca="1" ref="C7" ca="1">_FV(C3,"Change")</f>
        <v>-4.13</v>
      </c>
      <c r="E7" s="184" t="s">
        <v>202</v>
      </c>
      <c r="F7" s="189">
        <f ca="1">Statement!AC151</f>
        <v>3.7252358490566038</v>
      </c>
      <c r="H7" s="183" t="str">
        <f>'AVG target price'!B9</f>
        <v>EV/Sales price</v>
      </c>
      <c r="I7" s="209">
        <f ca="1">'AVG target price'!C9</f>
        <v>373.63936740900249</v>
      </c>
    </row>
    <row r="8" spans="2:11" x14ac:dyDescent="0.2">
      <c r="B8" s="183" t="s">
        <v>4</v>
      </c>
      <c r="C8" s="6" cm="1">
        <f t="array" aca="1" ref="C8" ca="1">_FV(C3,"Change (extended hours)",TRUE)</f>
        <v>-0.20250000000000001</v>
      </c>
      <c r="E8" s="183" t="s">
        <v>266</v>
      </c>
      <c r="F8" s="190">
        <f ca="1">Statement!AC161</f>
        <v>9.0972128009165057E-2</v>
      </c>
      <c r="H8" s="182" t="str">
        <f>'AVG target price'!B10</f>
        <v>AVG price</v>
      </c>
      <c r="I8" s="210">
        <f ca="1">'AVG target price'!C10</f>
        <v>352.24463768942917</v>
      </c>
    </row>
    <row r="9" spans="2:11" x14ac:dyDescent="0.2">
      <c r="B9" s="183" t="s">
        <v>5</v>
      </c>
      <c r="C9" s="73" cm="1">
        <f t="array" aca="1" ref="C9" ca="1">_FV(C3,"Change (%)",TRUE)</f>
        <v>-1.7047E-2</v>
      </c>
      <c r="E9" s="183" t="s">
        <v>289</v>
      </c>
      <c r="F9" s="190">
        <f ca="1">Statement!AC162</f>
        <v>7.524985302763082E-2</v>
      </c>
      <c r="H9" s="182" t="str">
        <f>'AVG target price'!B12</f>
        <v>Upside/Downside</v>
      </c>
      <c r="I9" s="211">
        <f ca="1">'AVG target price'!C12</f>
        <v>0.47914939820873936</v>
      </c>
    </row>
    <row r="10" spans="2:11" x14ac:dyDescent="0.2">
      <c r="B10" s="183" t="s">
        <v>6</v>
      </c>
      <c r="C10" s="73" cm="1">
        <f t="array" aca="1" ref="C10" ca="1">_FV(C3,"Change % (extended hours)",TRUE)</f>
        <v>-8.5029999999999991E-4</v>
      </c>
      <c r="E10" s="183" t="s">
        <v>294</v>
      </c>
      <c r="F10" s="190">
        <f ca="1">Statement!AC164</f>
        <v>0.1000811847372694</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1.3875</v>
      </c>
      <c r="E13" s="183" t="s">
        <v>105</v>
      </c>
      <c r="F13" s="190">
        <f>Statement!AC125</f>
        <v>0.61917715062903789</v>
      </c>
      <c r="H13" s="182" t="s">
        <v>414</v>
      </c>
      <c r="I13" s="211">
        <f>'Reverse DCF'!C17</f>
        <v>0.02</v>
      </c>
    </row>
    <row r="14" spans="2:11" x14ac:dyDescent="0.2">
      <c r="B14" s="184" t="s">
        <v>10</v>
      </c>
      <c r="C14" s="208" cm="1">
        <f t="array" aca="1" ref="C14" ca="1">_FV(C3,"Volume average",TRUE)</f>
        <v>5401609</v>
      </c>
      <c r="E14" s="184" t="s">
        <v>106</v>
      </c>
      <c r="F14" s="191">
        <f>Statement!AC140</f>
        <v>0.58265148204597283</v>
      </c>
    </row>
    <row r="15" spans="2:11" x14ac:dyDescent="0.2">
      <c r="E15" s="183" t="s">
        <v>291</v>
      </c>
      <c r="F15" s="190">
        <f ca="1">Statement!AC176</f>
        <v>-7.7954575309072674E-3</v>
      </c>
    </row>
    <row r="16" spans="2:11" x14ac:dyDescent="0.2">
      <c r="E16" s="184" t="s">
        <v>296</v>
      </c>
      <c r="F16" s="189">
        <f>Statement!AC175</f>
        <v>-1.8611825192802056</v>
      </c>
      <c r="H16" s="239" t="s">
        <v>418</v>
      </c>
      <c r="I16" s="240"/>
    </row>
    <row r="17" spans="2:9" x14ac:dyDescent="0.2">
      <c r="B17" s="241" t="s">
        <v>90</v>
      </c>
      <c r="C17" s="241"/>
      <c r="E17" s="182" t="s">
        <v>297</v>
      </c>
      <c r="F17" s="192">
        <f>Statement!AC171</f>
        <v>2.5641025641025641E-3</v>
      </c>
      <c r="H17" s="183" t="s">
        <v>166</v>
      </c>
      <c r="I17" s="235">
        <f ca="1">DCF!C15</f>
        <v>0.1104496130650076</v>
      </c>
    </row>
    <row r="18" spans="2:9" x14ac:dyDescent="0.2">
      <c r="B18" s="182" t="s">
        <v>12</v>
      </c>
      <c r="C18" s="69" t="s">
        <v>359</v>
      </c>
      <c r="E18" s="183" t="s">
        <v>298</v>
      </c>
      <c r="F18" s="188">
        <f>Statement!AC144</f>
        <v>-39.933511119339947</v>
      </c>
      <c r="H18" s="184" t="s">
        <v>419</v>
      </c>
      <c r="I18" s="236">
        <f ca="1">Multiples!C54</f>
        <v>0.11487749999999999</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1" t="s">
        <v>108</v>
      </c>
      <c r="C25" s="241"/>
      <c r="E25" s="239" t="s">
        <v>342</v>
      </c>
      <c r="F25" s="240"/>
    </row>
    <row r="26" spans="2:9" x14ac:dyDescent="0.2">
      <c r="B26" s="182" t="s">
        <v>109</v>
      </c>
      <c r="C26" s="168">
        <v>0.21</v>
      </c>
      <c r="E26" s="183" t="e" vm="2">
        <v>#VALUE!</v>
      </c>
      <c r="F26" s="217" cm="1">
        <f t="array" aca="1" ref="F26" ca="1">_FV(E26,"Price")</f>
        <v>52.44</v>
      </c>
    </row>
    <row r="27" spans="2:9" x14ac:dyDescent="0.2">
      <c r="B27" s="182" t="s">
        <v>173</v>
      </c>
      <c r="C27" s="219">
        <v>5.8000000000000003E-2</v>
      </c>
      <c r="E27" s="184" t="s">
        <v>343</v>
      </c>
      <c r="F27" s="218">
        <f ca="1">F26/1000</f>
        <v>5.2440000000000001E-2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L154"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238.14</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238.14</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13.289062499999998</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3.7252358490566038</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7.8745715742944569</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92874.599999999991</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93598.599999999991</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3.6041047362341159</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10.095847265667134</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10.992377796188897</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11.382326792211609</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9.0972128009165057E-2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7.524985302763082E-2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0.1000811847372694</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0.1000811847372694</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-7.7954575309072674E-3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2" t="s">
        <v>234</v>
      </c>
      <c r="C4" s="242"/>
      <c r="E4" s="242" t="s">
        <v>241</v>
      </c>
      <c r="F4" s="242"/>
      <c r="G4" s="242"/>
    </row>
    <row r="5" spans="2:7" x14ac:dyDescent="0.2">
      <c r="B5" s="20" t="s">
        <v>1</v>
      </c>
      <c r="C5" s="170">
        <f ca="1">Overview!C5</f>
        <v>238.14</v>
      </c>
      <c r="E5" s="12"/>
      <c r="F5" s="134" t="s">
        <v>242</v>
      </c>
      <c r="G5" s="134" t="s">
        <v>243</v>
      </c>
    </row>
    <row r="6" spans="2:7" x14ac:dyDescent="0.2">
      <c r="B6" s="20" t="s">
        <v>240</v>
      </c>
      <c r="C6" s="171">
        <f ca="1">Statement!AC153</f>
        <v>92874.599999999991</v>
      </c>
      <c r="E6" s="20" t="s">
        <v>19</v>
      </c>
      <c r="F6" s="176">
        <f>IF(Statement!M5&lt;=0,"N/A",_xlfn.RRI(4,Statement!M5,Statement!Q5))</f>
        <v>0.10774954699996808</v>
      </c>
      <c r="G6" s="176" t="str">
        <f>IF(Statement!H5&lt;=0,"N/A",_xlfn.RRI(9,Statement!H5,Statement!Q5))</f>
        <v>N/A</v>
      </c>
    </row>
    <row r="7" spans="2:7" x14ac:dyDescent="0.2">
      <c r="B7" s="20" t="s">
        <v>189</v>
      </c>
      <c r="C7" s="171">
        <f ca="1">Statement!AC154</f>
        <v>93598.599999999991</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13.289062499999998</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3.7252358490566038</v>
      </c>
      <c r="E9" s="20" t="s">
        <v>245</v>
      </c>
      <c r="F9" s="176" t="str">
        <f>IF(Statement!M82&lt;=0,"N/A",_xlfn.RRI(4,Statement!M82,Statement!Q82))</f>
        <v>N/A</v>
      </c>
      <c r="G9" s="176" t="str">
        <f>IF(Statement!H82&lt;=0,"N/A",_xlfn.RRI(9,Statement!H82,Statement!Q82))</f>
        <v>N/A</v>
      </c>
    </row>
    <row r="10" spans="2:7" x14ac:dyDescent="0.2">
      <c r="B10" s="20" t="s">
        <v>239</v>
      </c>
      <c r="C10" s="172">
        <f ca="1">Statement!AC152</f>
        <v>7.8745715742944569</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3.6041047362341159</v>
      </c>
    </row>
    <row r="12" spans="2:7" x14ac:dyDescent="0.2">
      <c r="B12" s="20" t="s">
        <v>205</v>
      </c>
      <c r="C12" s="172">
        <f ca="1">Statement!AC156</f>
        <v>10.095847265667134</v>
      </c>
    </row>
    <row r="15" spans="2:7" x14ac:dyDescent="0.2">
      <c r="B15" s="242" t="s">
        <v>77</v>
      </c>
      <c r="C15" s="242"/>
      <c r="E15" s="242" t="s">
        <v>247</v>
      </c>
      <c r="F15" s="242"/>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2" t="s">
        <v>246</v>
      </c>
      <c r="C21" s="242"/>
      <c r="E21" s="242" t="s">
        <v>250</v>
      </c>
      <c r="F21" s="242"/>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2" t="s">
        <v>251</v>
      </c>
      <c r="C29" s="242"/>
      <c r="E29" s="242" t="s">
        <v>257</v>
      </c>
      <c r="F29" s="242"/>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2" t="s">
        <v>269</v>
      </c>
      <c r="C37" s="242"/>
      <c r="E37" s="242" t="s">
        <v>272</v>
      </c>
      <c r="F37" s="242"/>
    </row>
    <row r="38" spans="2:6" x14ac:dyDescent="0.2">
      <c r="B38" s="20" t="s">
        <v>267</v>
      </c>
      <c r="C38" s="173">
        <f ca="1">Statement!AC162</f>
        <v>7.524985302763082E-2</v>
      </c>
      <c r="E38" s="20" t="s">
        <v>271</v>
      </c>
      <c r="F38" s="173">
        <f>Statement!AC168</f>
        <v>0</v>
      </c>
    </row>
    <row r="39" spans="2:6" x14ac:dyDescent="0.2">
      <c r="B39" s="54" t="s">
        <v>270</v>
      </c>
      <c r="C39" s="213">
        <f ca="1">Statement!AC161</f>
        <v>9.0972128009165057E-2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0.1000811847372694</v>
      </c>
    </row>
    <row r="42" spans="2:6" x14ac:dyDescent="0.2">
      <c r="B42" s="20" t="s">
        <v>295</v>
      </c>
      <c r="C42" s="173">
        <f ca="1">Statement!AC165</f>
        <v>0.1000811847372694</v>
      </c>
    </row>
    <row r="45" spans="2:6" x14ac:dyDescent="0.2">
      <c r="B45" s="242" t="s">
        <v>280</v>
      </c>
      <c r="C45" s="242"/>
      <c r="E45" s="242" t="s">
        <v>286</v>
      </c>
      <c r="F45" s="242"/>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-7.7954575309072674E-3</v>
      </c>
    </row>
    <row r="51" spans="2:6" x14ac:dyDescent="0.2">
      <c r="B51" s="242" t="s">
        <v>283</v>
      </c>
      <c r="C51" s="242"/>
      <c r="E51" s="242" t="s">
        <v>304</v>
      </c>
      <c r="F51" s="242"/>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238.14</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92874.599999999991</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93598.599999999991</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13.289062499999998</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3.7252358490566038</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7.8745715742944569</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3.6041047362341159</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10.095847265667134</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7.524985302763082E-2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9.0972128009165057E-2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0.1000811847372694</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0.1000811847372694</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-7.7954575309072674E-3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3" t="s">
        <v>314</v>
      </c>
      <c r="D3" s="244"/>
      <c r="F3" s="245" t="s">
        <v>315</v>
      </c>
      <c r="G3" s="244"/>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6">
        <f>Statement!AA89</f>
        <v>2.1456633423995165E-2</v>
      </c>
      <c r="D7" s="247"/>
      <c r="F7" s="246">
        <f>IF(F6=0,
IF(G6=0,0,IF(G6&gt;0,1,-1)),
(G6-F6)/ABS(F6)
)</f>
        <v>0.12892451569806279</v>
      </c>
      <c r="G7" s="247"/>
    </row>
    <row r="8" spans="2:7" x14ac:dyDescent="0.2">
      <c r="B8" s="205" t="s">
        <v>20</v>
      </c>
      <c r="C8" s="198">
        <f>Statement!Z6</f>
        <v>715</v>
      </c>
      <c r="D8" s="196">
        <f>Statement!AA6</f>
        <v>763</v>
      </c>
      <c r="F8" s="198">
        <f>Statement!W6</f>
        <v>642</v>
      </c>
      <c r="G8" s="196">
        <f>Statement!AA6</f>
        <v>763</v>
      </c>
    </row>
    <row r="9" spans="2:7" x14ac:dyDescent="0.2">
      <c r="B9" s="204" t="s">
        <v>316</v>
      </c>
      <c r="C9" s="246">
        <f>Statement!AA90</f>
        <v>6.7132867132867133E-2</v>
      </c>
      <c r="D9" s="247"/>
      <c r="F9" s="246">
        <f>IF(F8=0,
IF(G8=0,0,IF(G8&gt;0,1,-1)),
(G8-F8)/ABS(F8)
)</f>
        <v>0.18847352024922118</v>
      </c>
      <c r="G9" s="247"/>
    </row>
    <row r="10" spans="2:7" x14ac:dyDescent="0.2">
      <c r="B10" s="205" t="s">
        <v>21</v>
      </c>
      <c r="C10" s="198">
        <f>Statement!Z7</f>
        <v>5903</v>
      </c>
      <c r="D10" s="196">
        <f>Statement!AA7</f>
        <v>5997</v>
      </c>
      <c r="F10" s="198">
        <f>Statement!W7</f>
        <v>5346</v>
      </c>
      <c r="G10" s="196">
        <f>Statement!AA7</f>
        <v>5997</v>
      </c>
    </row>
    <row r="11" spans="2:7" x14ac:dyDescent="0.2">
      <c r="B11" s="204" t="s">
        <v>316</v>
      </c>
      <c r="C11" s="246">
        <f>Statement!AA91</f>
        <v>1.5924106386583092E-2</v>
      </c>
      <c r="D11" s="247"/>
      <c r="F11" s="246">
        <f>IF(F10=0,
IF(G10=0,0,IF(G10&gt;0,1,-1)),
(G10-F10)/ABS(F10)
)</f>
        <v>0.12177328843995511</v>
      </c>
      <c r="G11" s="247"/>
    </row>
    <row r="12" spans="2:7" x14ac:dyDescent="0.2">
      <c r="B12" s="205" t="s">
        <v>25</v>
      </c>
      <c r="C12" s="198">
        <f>Statement!Z11</f>
        <v>3665</v>
      </c>
      <c r="D12" s="196">
        <f>Statement!AA11</f>
        <v>3643</v>
      </c>
      <c r="F12" s="198">
        <f>Statement!W11</f>
        <v>3173</v>
      </c>
      <c r="G12" s="196">
        <f>Statement!AA11</f>
        <v>3643</v>
      </c>
    </row>
    <row r="13" spans="2:7" x14ac:dyDescent="0.2">
      <c r="B13" s="204" t="s">
        <v>316</v>
      </c>
      <c r="C13" s="246">
        <f>Statement!AA95</f>
        <v>-6.0027285129604369E-3</v>
      </c>
      <c r="D13" s="247"/>
      <c r="F13" s="246">
        <f>IF(F12=0,
IF(G12=0,0,IF(G12&gt;0,1,-1)),
(G12-F12)/ABS(F12)
)</f>
        <v>0.14812480302552788</v>
      </c>
      <c r="G13" s="247"/>
    </row>
    <row r="14" spans="2:7" x14ac:dyDescent="0.2">
      <c r="B14" s="205" t="s">
        <v>317</v>
      </c>
      <c r="C14" s="198">
        <f>Statement!Z12</f>
        <v>2238</v>
      </c>
      <c r="D14" s="196">
        <f>Statement!AA12</f>
        <v>2354</v>
      </c>
      <c r="F14" s="198">
        <f>Statement!W12</f>
        <v>2173</v>
      </c>
      <c r="G14" s="196">
        <f>Statement!AA12</f>
        <v>2354</v>
      </c>
    </row>
    <row r="15" spans="2:7" x14ac:dyDescent="0.2">
      <c r="B15" s="204" t="s">
        <v>316</v>
      </c>
      <c r="C15" s="246">
        <f>Statement!AA96</f>
        <v>5.1831992850759609E-2</v>
      </c>
      <c r="D15" s="247"/>
      <c r="F15" s="246">
        <f>IF(F14=0,
IF(G14=0,0,IF(G14&gt;0,1,-1)),
(G14-F14)/ABS(F14)
)</f>
        <v>8.3294983893235156E-2</v>
      </c>
      <c r="G15" s="247"/>
    </row>
    <row r="16" spans="2:7" x14ac:dyDescent="0.2">
      <c r="B16" s="205" t="s">
        <v>31</v>
      </c>
      <c r="C16" s="198">
        <f>Statement!Z18</f>
        <v>1712</v>
      </c>
      <c r="D16" s="196">
        <f>Statement!AA18</f>
        <v>1827</v>
      </c>
      <c r="F16" s="198">
        <f>Statement!W18</f>
        <v>1772</v>
      </c>
      <c r="G16" s="196">
        <f>Statement!AA18</f>
        <v>1827</v>
      </c>
    </row>
    <row r="17" spans="2:7" x14ac:dyDescent="0.2">
      <c r="B17" s="204" t="s">
        <v>316</v>
      </c>
      <c r="C17" s="246">
        <f>Statement!AA98</f>
        <v>6.7172897196261683E-2</v>
      </c>
      <c r="D17" s="247"/>
      <c r="F17" s="246">
        <f>IF(F16=0,
IF(G16=0,0,IF(G16&gt;0,1,-1)),
(G16-F16)/ABS(F16)
)</f>
        <v>3.1038374717832957E-2</v>
      </c>
      <c r="G17" s="247"/>
    </row>
    <row r="18" spans="2:7" x14ac:dyDescent="0.2">
      <c r="B18" s="205" t="s">
        <v>318</v>
      </c>
      <c r="C18" s="198">
        <f>Statement!Z22</f>
        <v>402</v>
      </c>
      <c r="D18" s="196">
        <f>Statement!AA22</f>
        <v>395</v>
      </c>
      <c r="F18" s="198">
        <f>Statement!W22</f>
        <v>424</v>
      </c>
      <c r="G18" s="196">
        <f>Statement!AA22</f>
        <v>395</v>
      </c>
    </row>
    <row r="19" spans="2:7" x14ac:dyDescent="0.2">
      <c r="B19" s="204" t="s">
        <v>316</v>
      </c>
      <c r="C19" s="246">
        <f>IF(C18=0,
IF(D18=0,0,IF(D18&gt;0,1,-1)),
(D18-C18)/ABS(C18)
)</f>
        <v>-1.7412935323383085E-2</v>
      </c>
      <c r="D19" s="247"/>
      <c r="F19" s="246">
        <f>IF(F18=0,
IF(G18=0,0,IF(G18&gt;0,1,-1)),
(G18-F18)/ABS(F18)
)</f>
        <v>-6.8396226415094338E-2</v>
      </c>
      <c r="G19" s="247"/>
    </row>
    <row r="20" spans="2:7" x14ac:dyDescent="0.2">
      <c r="B20" s="205" t="s">
        <v>38</v>
      </c>
      <c r="C20" s="199">
        <f>Statement!Z26</f>
        <v>4.25</v>
      </c>
      <c r="D20" s="200">
        <f>Statement!AA26</f>
        <v>4.62</v>
      </c>
      <c r="F20" s="199">
        <f>Statement!W26</f>
        <v>4.18</v>
      </c>
      <c r="G20" s="200">
        <f>Statement!AA26</f>
        <v>4.62</v>
      </c>
    </row>
    <row r="21" spans="2:7" x14ac:dyDescent="0.2">
      <c r="B21" s="204" t="s">
        <v>316</v>
      </c>
      <c r="C21" s="246">
        <f>IF(C20=0,
IF(D20=0,0,IF(D20&gt;0,1,-1)),
(D20-C20)/ABS(C20)
)</f>
        <v>8.7058823529411786E-2</v>
      </c>
      <c r="D21" s="247"/>
      <c r="F21" s="246">
        <f>IF(F20=0,
IF(G20=0,0,IF(G20&gt;0,1,-1)),
(G20-F20)/ABS(F20)
)</f>
        <v>0.10526315789473695</v>
      </c>
      <c r="G21" s="247"/>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6">
        <f>IF(C24=0,
IF(D24=0,0,IF(D24&gt;0,1,-1)),
(D24-C24)/ABS(C24)
)</f>
        <v>2.5872817955112218E-2</v>
      </c>
      <c r="D25" s="247"/>
      <c r="F25" s="246">
        <f>IF(F24=0,
IF(G24=0,0,IF(G24&gt;0,1,-1)),
(G24-F24)/ABS(F24)
)</f>
        <v>0.13659126230357452</v>
      </c>
      <c r="G25" s="247"/>
    </row>
    <row r="26" spans="2:7" x14ac:dyDescent="0.2">
      <c r="B26" s="20" t="s">
        <v>376</v>
      </c>
      <c r="C26" s="198">
        <f>Statement!Z188</f>
        <v>89</v>
      </c>
      <c r="D26" s="196">
        <f>Statement!AA188</f>
        <v>67</v>
      </c>
      <c r="F26" s="198">
        <f>Statement!W188</f>
        <v>68</v>
      </c>
      <c r="G26" s="196">
        <f>Statement!AA188</f>
        <v>67</v>
      </c>
    </row>
    <row r="27" spans="2:7" x14ac:dyDescent="0.2">
      <c r="B27" s="204" t="s">
        <v>316</v>
      </c>
      <c r="C27" s="246">
        <f>IF(C26=0,
IF(D26=0,0,IF(D26&gt;0,1,-1)),
(D26-C26)/ABS(C26)
)</f>
        <v>-0.24719101123595505</v>
      </c>
      <c r="D27" s="247"/>
      <c r="F27" s="246">
        <f>IF(F26=0,
IF(G26=0,0,IF(G26&gt;0,1,-1)),
(G26-F26)/ABS(F26)
)</f>
        <v>-1.4705882352941176E-2</v>
      </c>
      <c r="G27" s="247"/>
    </row>
    <row r="28" spans="2:7" x14ac:dyDescent="0.2">
      <c r="B28" s="20" t="s">
        <v>386</v>
      </c>
      <c r="C28" s="198">
        <f>Statement!Z189</f>
        <v>113</v>
      </c>
      <c r="D28" s="196">
        <f>Statement!AA189</f>
        <v>111</v>
      </c>
      <c r="F28" s="198">
        <f>Statement!W189</f>
        <v>129</v>
      </c>
      <c r="G28" s="196">
        <f>Statement!AA189</f>
        <v>111</v>
      </c>
    </row>
    <row r="29" spans="2:7" x14ac:dyDescent="0.2">
      <c r="B29" s="204" t="s">
        <v>316</v>
      </c>
      <c r="C29" s="246">
        <f>IF(C28=0,
IF(D28=0,0,IF(D28&gt;0,1,-1)),
(D28-C28)/ABS(C28)
)</f>
        <v>-1.7699115044247787E-2</v>
      </c>
      <c r="D29" s="247"/>
      <c r="F29" s="246">
        <f>IF(F28=0,
IF(G28=0,0,IF(G28&gt;0,1,-1)),
(G28-F28)/ABS(F28)
)</f>
        <v>-0.13953488372093023</v>
      </c>
      <c r="G29" s="247"/>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2" t="s">
        <v>114</v>
      </c>
      <c r="D2" s="242"/>
      <c r="E2" s="242"/>
      <c r="F2" s="242"/>
      <c r="G2" s="251"/>
      <c r="H2" s="252" t="s">
        <v>115</v>
      </c>
      <c r="I2" s="242"/>
      <c r="J2" s="242"/>
      <c r="K2" s="242"/>
      <c r="L2" s="242"/>
      <c r="O2" s="5"/>
      <c r="S2" s="242" t="s">
        <v>114</v>
      </c>
      <c r="T2" s="242"/>
      <c r="U2" s="242"/>
      <c r="V2" s="242"/>
      <c r="W2" s="242"/>
      <c r="X2" s="242"/>
      <c r="Y2" s="242"/>
      <c r="Z2" s="242"/>
      <c r="AA2" s="242" t="s">
        <v>115</v>
      </c>
      <c r="AB2" s="242"/>
      <c r="AC2" s="242"/>
      <c r="AE2" s="85" t="s">
        <v>116</v>
      </c>
    </row>
    <row r="3" spans="1:31" ht="10" customHeight="1" x14ac:dyDescent="0.2">
      <c r="O3" s="5"/>
    </row>
    <row r="4" spans="1:31" ht="16" customHeight="1" x14ac:dyDescent="0.2">
      <c r="A4" s="86"/>
      <c r="B4" s="60"/>
      <c r="C4" s="248" t="s">
        <v>117</v>
      </c>
      <c r="D4" s="248"/>
      <c r="E4" s="248"/>
      <c r="F4" s="248"/>
      <c r="G4" s="248"/>
      <c r="H4" s="248"/>
      <c r="I4" s="248"/>
      <c r="J4" s="248"/>
      <c r="K4" s="248"/>
      <c r="L4" s="248"/>
      <c r="O4" s="5"/>
      <c r="S4" s="249" t="s">
        <v>117</v>
      </c>
      <c r="T4" s="250"/>
      <c r="U4" s="250"/>
      <c r="V4" s="250"/>
      <c r="W4" s="250"/>
      <c r="X4" s="250"/>
      <c r="Y4" s="250"/>
      <c r="Z4" s="250"/>
      <c r="AA4" s="250"/>
      <c r="AB4" s="250"/>
      <c r="AC4" s="250"/>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48" t="s">
        <v>123</v>
      </c>
      <c r="D11" s="248"/>
      <c r="E11" s="248"/>
      <c r="F11" s="248"/>
      <c r="G11" s="248"/>
      <c r="H11" s="248"/>
      <c r="I11" s="248"/>
      <c r="J11" s="248"/>
      <c r="K11" s="248"/>
      <c r="L11" s="248"/>
      <c r="O11" s="5"/>
      <c r="Q11" s="91"/>
      <c r="S11" s="249" t="s">
        <v>123</v>
      </c>
      <c r="T11" s="250"/>
      <c r="U11" s="250"/>
      <c r="V11" s="250"/>
      <c r="W11" s="250"/>
      <c r="X11" s="250"/>
      <c r="Y11" s="250"/>
      <c r="Z11" s="250"/>
      <c r="AA11" s="250"/>
      <c r="AB11" s="250"/>
      <c r="AC11" s="250"/>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2" t="s">
        <v>114</v>
      </c>
      <c r="D2" s="242"/>
      <c r="E2" s="242"/>
      <c r="F2" s="242"/>
      <c r="G2" s="251"/>
      <c r="H2" s="252" t="s">
        <v>115</v>
      </c>
      <c r="I2" s="242"/>
      <c r="J2" s="242"/>
      <c r="K2" s="242"/>
      <c r="L2" s="242"/>
      <c r="P2" s="242" t="s">
        <v>114</v>
      </c>
      <c r="Q2" s="242"/>
      <c r="R2" s="242"/>
      <c r="S2" s="242"/>
      <c r="T2" s="242"/>
      <c r="U2" s="242"/>
      <c r="V2" s="242"/>
      <c r="W2" s="242"/>
      <c r="X2" s="242" t="s">
        <v>115</v>
      </c>
      <c r="Y2" s="242"/>
      <c r="Z2" s="242"/>
      <c r="AB2" s="85" t="s">
        <v>116</v>
      </c>
    </row>
    <row r="3" spans="1:28" ht="10" customHeight="1" x14ac:dyDescent="0.2"/>
    <row r="4" spans="1:28" ht="16" customHeight="1" x14ac:dyDescent="0.2">
      <c r="A4" s="86"/>
      <c r="B4" s="60"/>
      <c r="C4" s="248" t="s">
        <v>117</v>
      </c>
      <c r="D4" s="248"/>
      <c r="E4" s="248"/>
      <c r="F4" s="248"/>
      <c r="G4" s="248"/>
      <c r="H4" s="248"/>
      <c r="I4" s="248"/>
      <c r="J4" s="248"/>
      <c r="K4" s="248"/>
      <c r="L4" s="248"/>
      <c r="P4" s="250" t="s">
        <v>117</v>
      </c>
      <c r="Q4" s="250"/>
      <c r="R4" s="250"/>
      <c r="S4" s="250"/>
      <c r="T4" s="250"/>
      <c r="U4" s="250"/>
      <c r="V4" s="250"/>
      <c r="W4" s="250"/>
      <c r="X4" s="250"/>
      <c r="Y4" s="250"/>
      <c r="Z4" s="250"/>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48" t="s">
        <v>126</v>
      </c>
      <c r="D9" s="248"/>
      <c r="E9" s="248"/>
      <c r="F9" s="248"/>
      <c r="G9" s="248"/>
      <c r="H9" s="248"/>
      <c r="I9" s="248"/>
      <c r="J9" s="248"/>
      <c r="K9" s="248"/>
      <c r="L9" s="248"/>
      <c r="N9" s="91"/>
      <c r="P9" s="250" t="s">
        <v>127</v>
      </c>
      <c r="Q9" s="250"/>
      <c r="R9" s="250"/>
      <c r="S9" s="250"/>
      <c r="T9" s="250"/>
      <c r="U9" s="250"/>
      <c r="V9" s="250"/>
      <c r="W9" s="250"/>
      <c r="X9" s="250"/>
      <c r="Y9" s="250"/>
      <c r="Z9" s="250"/>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48" t="s">
        <v>129</v>
      </c>
      <c r="D21" s="248"/>
      <c r="E21" s="248"/>
      <c r="F21" s="248"/>
      <c r="G21" s="248"/>
      <c r="H21" s="248"/>
      <c r="I21" s="248"/>
      <c r="J21" s="248"/>
      <c r="K21" s="248"/>
      <c r="L21" s="248"/>
      <c r="P21" s="250" t="s">
        <v>129</v>
      </c>
      <c r="Q21" s="250"/>
      <c r="R21" s="250"/>
      <c r="S21" s="250"/>
      <c r="T21" s="250"/>
      <c r="U21" s="250"/>
      <c r="V21" s="250"/>
      <c r="W21" s="250"/>
      <c r="X21" s="250"/>
      <c r="Y21" s="250"/>
      <c r="Z21" s="250"/>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117</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8" t="s">
        <v>133</v>
      </c>
      <c r="D11" s="248"/>
      <c r="E11" s="248"/>
      <c r="F11" s="248"/>
      <c r="G11" s="248"/>
      <c r="H11" s="248"/>
      <c r="I11" s="248"/>
      <c r="J11" s="248"/>
      <c r="K11" s="248"/>
      <c r="L11" s="248"/>
      <c r="N11" s="91"/>
      <c r="P11" s="253"/>
      <c r="Q11" s="253"/>
      <c r="R11" s="253"/>
      <c r="S11" s="253"/>
      <c r="T11" s="253"/>
      <c r="U11" s="253"/>
      <c r="V11" s="253"/>
      <c r="W11" s="253"/>
      <c r="X11" s="253"/>
      <c r="Y11" s="253"/>
      <c r="Z11" s="253"/>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48" t="s">
        <v>138</v>
      </c>
      <c r="D18" s="248"/>
      <c r="E18" s="248"/>
      <c r="F18" s="248"/>
      <c r="G18" s="248"/>
      <c r="H18" s="248"/>
      <c r="I18" s="248"/>
      <c r="J18" s="248"/>
      <c r="K18" s="248"/>
      <c r="L18" s="248"/>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3"/>
      <c r="C25" s="253"/>
    </row>
    <row r="26" spans="2:12" x14ac:dyDescent="0.2">
      <c r="B26" s="111"/>
      <c r="C26" s="248" t="s">
        <v>144</v>
      </c>
      <c r="D26" s="248"/>
      <c r="E26" s="248"/>
      <c r="F26" s="248"/>
      <c r="G26" s="248"/>
      <c r="H26" s="248"/>
      <c r="I26" s="248"/>
      <c r="J26" s="248"/>
      <c r="K26" s="248"/>
      <c r="L26" s="248"/>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48" t="s">
        <v>148</v>
      </c>
      <c r="D33" s="248"/>
      <c r="E33" s="248"/>
      <c r="F33" s="248"/>
      <c r="G33" s="248"/>
      <c r="H33" s="248"/>
      <c r="I33" s="248"/>
      <c r="J33" s="248"/>
      <c r="K33" s="248"/>
      <c r="L33" s="248"/>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8" t="s">
        <v>151</v>
      </c>
      <c r="D40" s="248"/>
      <c r="E40" s="248"/>
      <c r="F40" s="248"/>
      <c r="G40" s="248"/>
      <c r="H40" s="248"/>
      <c r="I40" s="248"/>
      <c r="J40" s="248"/>
      <c r="K40" s="248"/>
      <c r="L40" s="248"/>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2" t="s">
        <v>114</v>
      </c>
      <c r="D2" s="242"/>
      <c r="E2" s="242"/>
      <c r="F2" s="242"/>
      <c r="G2" s="251"/>
      <c r="H2" s="252" t="s">
        <v>115</v>
      </c>
      <c r="I2" s="242"/>
      <c r="J2" s="242"/>
      <c r="K2" s="242"/>
      <c r="L2" s="242"/>
      <c r="S2" s="253"/>
      <c r="T2" s="253"/>
      <c r="U2" s="253"/>
      <c r="V2" s="253"/>
      <c r="W2" s="253"/>
      <c r="X2" s="253"/>
      <c r="Y2" s="253"/>
      <c r="Z2" s="253"/>
      <c r="AA2" s="253"/>
      <c r="AB2" s="253"/>
      <c r="AC2" s="253"/>
      <c r="AE2" s="111"/>
    </row>
    <row r="3" spans="1:31" ht="10" customHeight="1" x14ac:dyDescent="0.2"/>
    <row r="4" spans="1:31" ht="16" customHeight="1" x14ac:dyDescent="0.2">
      <c r="A4" s="86"/>
      <c r="B4" s="60"/>
      <c r="C4" s="248" t="s">
        <v>18</v>
      </c>
      <c r="D4" s="248"/>
      <c r="E4" s="248"/>
      <c r="F4" s="248"/>
      <c r="G4" s="248"/>
      <c r="H4" s="248"/>
      <c r="I4" s="248"/>
      <c r="J4" s="248"/>
      <c r="K4" s="248"/>
      <c r="L4" s="248"/>
      <c r="S4" s="253"/>
      <c r="T4" s="253"/>
      <c r="U4" s="253"/>
      <c r="V4" s="253"/>
      <c r="W4" s="253"/>
      <c r="X4" s="253"/>
      <c r="Y4" s="253"/>
      <c r="Z4" s="253"/>
      <c r="AA4" s="253"/>
      <c r="AB4" s="253"/>
      <c r="AC4" s="253"/>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48" t="s">
        <v>159</v>
      </c>
      <c r="D13" s="248"/>
      <c r="E13" s="248"/>
      <c r="F13" s="248"/>
      <c r="G13" s="248"/>
      <c r="H13" s="248"/>
      <c r="I13" s="248"/>
      <c r="J13" s="248"/>
      <c r="K13" s="248"/>
      <c r="L13" s="248"/>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8" t="s">
        <v>160</v>
      </c>
      <c r="D18" s="248"/>
      <c r="E18" s="248"/>
      <c r="F18" s="248"/>
      <c r="G18" s="248"/>
      <c r="H18" s="248"/>
      <c r="I18" s="248"/>
      <c r="J18" s="248"/>
      <c r="K18" s="248"/>
      <c r="L18" s="248"/>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48" t="s">
        <v>263</v>
      </c>
      <c r="D25" s="248"/>
      <c r="E25" s="248"/>
      <c r="F25" s="248"/>
      <c r="G25" s="248"/>
      <c r="H25" s="248"/>
      <c r="I25" s="248"/>
      <c r="J25" s="248"/>
      <c r="K25" s="248"/>
      <c r="L25" s="248"/>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48" t="s">
        <v>77</v>
      </c>
      <c r="D31" s="248"/>
      <c r="E31" s="248"/>
      <c r="F31" s="248"/>
      <c r="G31" s="248"/>
      <c r="H31" s="248"/>
      <c r="I31" s="248"/>
      <c r="J31" s="248"/>
      <c r="K31" s="248"/>
      <c r="L31" s="248"/>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2" t="s">
        <v>167</v>
      </c>
      <c r="C4" s="242"/>
    </row>
    <row r="5" spans="1:3" ht="17" customHeight="1" x14ac:dyDescent="0.2">
      <c r="B5" s="1" t="s">
        <v>168</v>
      </c>
      <c r="C5" s="138">
        <f>Statement!AC78</f>
        <v>390</v>
      </c>
    </row>
    <row r="6" spans="1:3" ht="17" customHeight="1" x14ac:dyDescent="0.2">
      <c r="B6" s="1" t="s">
        <v>1</v>
      </c>
      <c r="C6" s="135">
        <f ca="1">Overview!C5</f>
        <v>238.14</v>
      </c>
    </row>
    <row r="7" spans="1:3" ht="17" customHeight="1" x14ac:dyDescent="0.2">
      <c r="B7" s="1" t="s">
        <v>169</v>
      </c>
      <c r="C7" s="136">
        <f ca="1">C5*C6</f>
        <v>92874.599999999991</v>
      </c>
    </row>
    <row r="8" spans="1:3" ht="17" customHeight="1" x14ac:dyDescent="0.2">
      <c r="B8" s="1" t="s">
        <v>170</v>
      </c>
      <c r="C8" s="114">
        <f>Statement!AC108</f>
        <v>6363</v>
      </c>
    </row>
    <row r="9" spans="1:3" ht="17" customHeight="1" x14ac:dyDescent="0.2">
      <c r="B9" s="1" t="s">
        <v>171</v>
      </c>
      <c r="C9" s="137">
        <f ca="1">Overview!F27</f>
        <v>5.2440000000000001E-2</v>
      </c>
    </row>
    <row r="10" spans="1:3" ht="17" customHeight="1" x14ac:dyDescent="0.2">
      <c r="B10" s="1" t="s">
        <v>9</v>
      </c>
      <c r="C10" s="135">
        <f ca="1">Overview!C13</f>
        <v>1.3875</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2" t="s">
        <v>174</v>
      </c>
      <c r="C15" s="242"/>
    </row>
    <row r="16" spans="1:3" ht="17" customHeight="1" x14ac:dyDescent="0.2">
      <c r="B16" s="1" t="s">
        <v>175</v>
      </c>
      <c r="C16" s="46">
        <f ca="1">C8/(C8+C7)</f>
        <v>6.4118842051802946E-2</v>
      </c>
    </row>
    <row r="17" spans="2:3" ht="17" customHeight="1" x14ac:dyDescent="0.2">
      <c r="B17" s="1" t="s">
        <v>176</v>
      </c>
      <c r="C17" s="46">
        <f ca="1">C7/(C8+C7)</f>
        <v>0.93588115794819704</v>
      </c>
    </row>
    <row r="18" spans="2:3" ht="17" customHeight="1" x14ac:dyDescent="0.2">
      <c r="B18" s="1" t="s">
        <v>177</v>
      </c>
      <c r="C18" s="46">
        <f>C13*(1-C12)</f>
        <v>4.5820000000000007E-2</v>
      </c>
    </row>
    <row r="19" spans="2:3" ht="17" customHeight="1" x14ac:dyDescent="0.2">
      <c r="B19" s="1" t="s">
        <v>178</v>
      </c>
      <c r="C19" s="46">
        <f ca="1">C9+C10*C11</f>
        <v>0.11487749999999999</v>
      </c>
    </row>
    <row r="20" spans="2:3" ht="17" customHeight="1" x14ac:dyDescent="0.2">
      <c r="B20" s="1" t="s">
        <v>166</v>
      </c>
      <c r="C20" s="46">
        <f ca="1">(C17*C19)+(C16*C18)</f>
        <v>0.1104496130650076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181</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140390.26398473981</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7219.4627216205836</v>
      </c>
      <c r="I10" s="128">
        <f t="shared" ref="I10:L10" ca="1" si="0">I7/(1+$C$15)^I9</f>
        <v>7467.1740110460505</v>
      </c>
      <c r="J10" s="128">
        <f t="shared" ca="1" si="0"/>
        <v>7464.0172852918231</v>
      </c>
      <c r="K10" s="128">
        <f t="shared" ca="1" si="0"/>
        <v>7407.7191055428775</v>
      </c>
      <c r="L10" s="128">
        <f t="shared" ca="1" si="0"/>
        <v>7373.0851024315034</v>
      </c>
      <c r="N10" s="91"/>
    </row>
    <row r="11" spans="1:28" x14ac:dyDescent="0.2">
      <c r="B11" s="1" t="s">
        <v>184</v>
      </c>
      <c r="C11" s="139"/>
      <c r="D11" s="139"/>
      <c r="E11" s="139"/>
      <c r="F11" s="139"/>
      <c r="G11" s="140"/>
      <c r="H11" s="139"/>
      <c r="I11" s="139"/>
      <c r="J11" s="139"/>
      <c r="K11" s="139"/>
      <c r="L11" s="128">
        <f ca="1">L8/(1+C15)^L9</f>
        <v>83146.257343024728</v>
      </c>
    </row>
    <row r="13" spans="1:28" x14ac:dyDescent="0.2">
      <c r="B13" s="242" t="s">
        <v>185</v>
      </c>
      <c r="C13" s="242"/>
    </row>
    <row r="14" spans="1:28" x14ac:dyDescent="0.2">
      <c r="B14" s="1" t="s">
        <v>186</v>
      </c>
      <c r="C14" s="142">
        <v>0.02</v>
      </c>
    </row>
    <row r="15" spans="1:28" x14ac:dyDescent="0.2">
      <c r="B15" s="1" t="s">
        <v>166</v>
      </c>
      <c r="C15" s="137">
        <f ca="1">IF(Overview!C28&gt;0,Overview!C28,WACC!C20)</f>
        <v>0.1104496130650076</v>
      </c>
    </row>
    <row r="18" spans="2:3" x14ac:dyDescent="0.2">
      <c r="B18" s="242" t="s">
        <v>187</v>
      </c>
      <c r="C18" s="242"/>
    </row>
    <row r="19" spans="2:3" x14ac:dyDescent="0.2">
      <c r="B19" s="1" t="s">
        <v>188</v>
      </c>
      <c r="C19" s="64">
        <f ca="1">SUM(H10:L10)</f>
        <v>36931.458225932838</v>
      </c>
    </row>
    <row r="20" spans="2:3" x14ac:dyDescent="0.2">
      <c r="B20" s="1" t="s">
        <v>184</v>
      </c>
      <c r="C20" s="64">
        <f ca="1">L11</f>
        <v>83146.257343024728</v>
      </c>
    </row>
    <row r="21" spans="2:3" x14ac:dyDescent="0.2">
      <c r="B21" s="16" t="s">
        <v>189</v>
      </c>
      <c r="C21" s="94">
        <f ca="1">C19+C20</f>
        <v>120077.71556895756</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119353.71556895756</v>
      </c>
    </row>
    <row r="25" spans="2:3" x14ac:dyDescent="0.2">
      <c r="B25" s="1" t="s">
        <v>69</v>
      </c>
      <c r="C25" s="88">
        <f>Statement!AC78</f>
        <v>390</v>
      </c>
    </row>
    <row r="26" spans="2:3" x14ac:dyDescent="0.2">
      <c r="B26" s="233" t="s">
        <v>193</v>
      </c>
      <c r="C26" s="234">
        <f ca="1">C24/C25</f>
        <v>306.03516812553221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2" t="s">
        <v>114</v>
      </c>
      <c r="D2" s="242"/>
      <c r="E2" s="242"/>
      <c r="F2" s="242"/>
      <c r="G2" s="251"/>
      <c r="H2" s="252" t="s">
        <v>115</v>
      </c>
      <c r="I2" s="242"/>
      <c r="J2" s="242"/>
      <c r="K2" s="242"/>
      <c r="L2" s="242"/>
    </row>
    <row r="3" spans="1:14" ht="10" customHeight="1" x14ac:dyDescent="0.2"/>
    <row r="4" spans="1:14" ht="16" customHeight="1" x14ac:dyDescent="0.2">
      <c r="A4" s="86"/>
      <c r="B4" s="60"/>
      <c r="C4" s="248" t="s">
        <v>195</v>
      </c>
      <c r="D4" s="248"/>
      <c r="E4" s="248"/>
      <c r="F4" s="248"/>
      <c r="G4" s="248"/>
      <c r="H4" s="248"/>
      <c r="I4" s="248"/>
      <c r="J4" s="248"/>
      <c r="K4" s="248"/>
      <c r="L4" s="248"/>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7219.4627216205836</v>
      </c>
      <c r="I9" s="92">
        <f ca="1">DCF!I10</f>
        <v>7467.1740110460505</v>
      </c>
      <c r="J9" s="92">
        <f ca="1">DCF!J10</f>
        <v>7464.0172852918231</v>
      </c>
      <c r="K9" s="92">
        <f ca="1">DCF!K10</f>
        <v>7407.7191055428775</v>
      </c>
      <c r="L9" s="92">
        <f ca="1">DCF!L10</f>
        <v>7373.0851024315034</v>
      </c>
      <c r="N9" s="91"/>
    </row>
    <row r="10" spans="1:14" x14ac:dyDescent="0.2">
      <c r="N10" s="91"/>
    </row>
    <row r="11" spans="1:14" x14ac:dyDescent="0.2">
      <c r="C11" s="248" t="s">
        <v>123</v>
      </c>
      <c r="D11" s="248"/>
      <c r="E11" s="248"/>
      <c r="F11" s="248"/>
      <c r="G11" s="248"/>
      <c r="H11" s="248"/>
      <c r="I11" s="248"/>
      <c r="J11" s="248"/>
      <c r="K11" s="248"/>
      <c r="L11" s="248"/>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48" t="s">
        <v>197</v>
      </c>
      <c r="D17" s="248"/>
      <c r="E17" s="248"/>
      <c r="F17" s="248"/>
      <c r="G17" s="248"/>
      <c r="H17" s="248"/>
      <c r="I17" s="248"/>
      <c r="J17" s="248"/>
      <c r="K17" s="248"/>
      <c r="L17" s="248"/>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48" t="s">
        <v>200</v>
      </c>
      <c r="D22" s="248"/>
      <c r="E22" s="248"/>
      <c r="F22" s="248"/>
      <c r="G22" s="248"/>
      <c r="H22" s="248"/>
      <c r="I22" s="248"/>
      <c r="J22" s="248"/>
      <c r="K22" s="248"/>
      <c r="L22" s="248"/>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48" t="s">
        <v>201</v>
      </c>
      <c r="D27" s="248"/>
      <c r="E27" s="248"/>
      <c r="F27" s="248"/>
      <c r="G27" s="248"/>
      <c r="H27" s="248"/>
      <c r="I27" s="248"/>
      <c r="J27" s="248"/>
      <c r="K27" s="248"/>
      <c r="L27" s="248"/>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2" t="s">
        <v>206</v>
      </c>
      <c r="C39" s="242"/>
      <c r="N39" s="91"/>
    </row>
    <row r="40" spans="2:14" x14ac:dyDescent="0.2">
      <c r="B40" s="1" t="s">
        <v>207</v>
      </c>
      <c r="C40" s="64">
        <f>L7</f>
        <v>14407.076198476258</v>
      </c>
    </row>
    <row r="41" spans="2:14" x14ac:dyDescent="0.2">
      <c r="B41" s="1" t="s">
        <v>166</v>
      </c>
      <c r="C41" s="137">
        <f ca="1">IF(Overview!C28&gt;0,Overview!C28,WACC!C20)</f>
        <v>0.1104496130650076</v>
      </c>
    </row>
    <row r="42" spans="2:14" x14ac:dyDescent="0.2">
      <c r="B42" s="39" t="s">
        <v>208</v>
      </c>
      <c r="C42" s="105">
        <v>15</v>
      </c>
    </row>
    <row r="43" spans="2:14" x14ac:dyDescent="0.2">
      <c r="B43" s="1" t="s">
        <v>405</v>
      </c>
      <c r="C43" s="24">
        <f>(C40*C42)</f>
        <v>216106.14297714387</v>
      </c>
    </row>
    <row r="44" spans="2:14" x14ac:dyDescent="0.2">
      <c r="B44" s="1" t="s">
        <v>406</v>
      </c>
      <c r="C44" s="24">
        <f ca="1">C43/(1+C41)^5</f>
        <v>127989.05328178055</v>
      </c>
    </row>
    <row r="45" spans="2:14" x14ac:dyDescent="0.2">
      <c r="B45" s="16" t="s">
        <v>407</v>
      </c>
      <c r="C45" s="108">
        <f ca="1">SUM(H9:K9)+C44</f>
        <v>157547.42640528188</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156823.42640528188</v>
      </c>
    </row>
    <row r="49" spans="2:3" x14ac:dyDescent="0.2">
      <c r="B49" s="1" t="s">
        <v>69</v>
      </c>
      <c r="C49" s="88">
        <f>Statement!AC78</f>
        <v>390</v>
      </c>
    </row>
    <row r="50" spans="2:3" x14ac:dyDescent="0.2">
      <c r="B50" s="233" t="s">
        <v>210</v>
      </c>
      <c r="C50" s="234">
        <f ca="1">C48/C49</f>
        <v>402.11134975713304</v>
      </c>
    </row>
    <row r="52" spans="2:3" x14ac:dyDescent="0.2">
      <c r="B52" s="242" t="s">
        <v>211</v>
      </c>
      <c r="C52" s="242"/>
    </row>
    <row r="53" spans="2:3" x14ac:dyDescent="0.2">
      <c r="B53" s="1" t="s">
        <v>212</v>
      </c>
      <c r="C53" s="64">
        <f>L6</f>
        <v>39471.441639660981</v>
      </c>
    </row>
    <row r="54" spans="2:3" x14ac:dyDescent="0.2">
      <c r="B54" s="1" t="s">
        <v>348</v>
      </c>
      <c r="C54" s="137">
        <f ca="1">IF(Overview!C29&gt;0,Overview!C29,WACC!C19)</f>
        <v>0.11487749999999999</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303.01747043136169</v>
      </c>
    </row>
    <row r="60" spans="2:3" x14ac:dyDescent="0.2">
      <c r="B60" s="242" t="s">
        <v>323</v>
      </c>
      <c r="C60" s="242"/>
    </row>
    <row r="61" spans="2:3" x14ac:dyDescent="0.2">
      <c r="B61" s="1" t="s">
        <v>408</v>
      </c>
      <c r="C61" s="64">
        <f>L8</f>
        <v>12449.259858347046</v>
      </c>
    </row>
    <row r="62" spans="2:3" x14ac:dyDescent="0.2">
      <c r="B62" s="1" t="s">
        <v>166</v>
      </c>
      <c r="C62" s="137">
        <f ca="1">IF(Overview!C28&gt;0,Overview!C28,WACC!C20)</f>
        <v>0.1104496130650076</v>
      </c>
    </row>
    <row r="63" spans="2:3" x14ac:dyDescent="0.2">
      <c r="B63" s="39" t="s">
        <v>349</v>
      </c>
      <c r="C63" s="105">
        <v>16</v>
      </c>
    </row>
    <row r="64" spans="2:3" x14ac:dyDescent="0.2">
      <c r="B64" s="1" t="s">
        <v>405</v>
      </c>
      <c r="C64" s="24">
        <f>(C61*C63)</f>
        <v>199188.15773355274</v>
      </c>
    </row>
    <row r="65" spans="2:3" x14ac:dyDescent="0.2">
      <c r="B65" s="1" t="s">
        <v>406</v>
      </c>
      <c r="C65" s="24">
        <f ca="1">C64/(1+C62)^5</f>
        <v>117969.36163890405</v>
      </c>
    </row>
    <row r="66" spans="2:3" x14ac:dyDescent="0.2">
      <c r="B66" s="16" t="s">
        <v>407</v>
      </c>
      <c r="C66" s="108">
        <f ca="1">SUM(H9:K9)+C65</f>
        <v>147527.73476240539</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146803.73476240539</v>
      </c>
    </row>
    <row r="70" spans="2:3" x14ac:dyDescent="0.2">
      <c r="B70" s="1" t="s">
        <v>69</v>
      </c>
      <c r="C70" s="88">
        <f>Statement!AC78</f>
        <v>390</v>
      </c>
    </row>
    <row r="71" spans="2:3" x14ac:dyDescent="0.2">
      <c r="B71" s="233" t="s">
        <v>210</v>
      </c>
      <c r="C71" s="234">
        <f ca="1">C69/C70</f>
        <v>376.41983272411642</v>
      </c>
    </row>
    <row r="73" spans="2:3" x14ac:dyDescent="0.2">
      <c r="B73" s="242" t="s">
        <v>410</v>
      </c>
      <c r="C73" s="242"/>
    </row>
    <row r="74" spans="2:3" x14ac:dyDescent="0.2">
      <c r="B74" s="1" t="s">
        <v>411</v>
      </c>
      <c r="C74" s="64">
        <f>L6</f>
        <v>39471.441639660981</v>
      </c>
    </row>
    <row r="75" spans="2:3" x14ac:dyDescent="0.2">
      <c r="B75" s="1" t="s">
        <v>166</v>
      </c>
      <c r="C75" s="137">
        <f ca="1">IF(Overview!C28&gt;0,Overview!C28,WACC!C20)</f>
        <v>0.1104496130650076</v>
      </c>
    </row>
    <row r="76" spans="2:3" x14ac:dyDescent="0.2">
      <c r="B76" s="39" t="s">
        <v>412</v>
      </c>
      <c r="C76" s="105">
        <v>5</v>
      </c>
    </row>
    <row r="77" spans="2:3" x14ac:dyDescent="0.2">
      <c r="B77" s="1" t="s">
        <v>405</v>
      </c>
      <c r="C77" s="24">
        <f>(C74*C76)</f>
        <v>197357.2081983049</v>
      </c>
    </row>
    <row r="78" spans="2:3" x14ac:dyDescent="0.2">
      <c r="B78" s="1" t="s">
        <v>406</v>
      </c>
      <c r="C78" s="24">
        <f ca="1">C77/(1+C75)^5</f>
        <v>116884.98016600963</v>
      </c>
    </row>
    <row r="79" spans="2:3" x14ac:dyDescent="0.2">
      <c r="B79" s="16" t="s">
        <v>407</v>
      </c>
      <c r="C79" s="108">
        <f ca="1">SUM(H9:K9)+C78</f>
        <v>146443.35328951097</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145719.35328951097</v>
      </c>
    </row>
    <row r="83" spans="2:3" x14ac:dyDescent="0.2">
      <c r="B83" s="1" t="s">
        <v>69</v>
      </c>
      <c r="C83" s="88">
        <f>Statement!AC78</f>
        <v>390</v>
      </c>
    </row>
    <row r="84" spans="2:3" x14ac:dyDescent="0.2">
      <c r="B84" s="233" t="s">
        <v>210</v>
      </c>
      <c r="C84" s="234">
        <f ca="1">C82/C83</f>
        <v>373.63936740900249</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2" t="s">
        <v>215</v>
      </c>
      <c r="C4" s="242"/>
      <c r="N4" s="91"/>
    </row>
    <row r="5" spans="1:14" x14ac:dyDescent="0.2">
      <c r="B5" s="1" t="s">
        <v>216</v>
      </c>
      <c r="C5" s="135">
        <f ca="1">DCF!C26</f>
        <v>306.03516812553221</v>
      </c>
    </row>
    <row r="6" spans="1:14" x14ac:dyDescent="0.2">
      <c r="B6" s="1" t="s">
        <v>217</v>
      </c>
      <c r="C6" s="135">
        <f ca="1">Multiples!C50</f>
        <v>402.11134975713304</v>
      </c>
    </row>
    <row r="7" spans="1:14" x14ac:dyDescent="0.2">
      <c r="B7" s="1" t="s">
        <v>218</v>
      </c>
      <c r="C7" s="135">
        <f ca="1">Multiples!C58</f>
        <v>303.01747043136169</v>
      </c>
    </row>
    <row r="8" spans="1:14" x14ac:dyDescent="0.2">
      <c r="B8" s="1" t="s">
        <v>324</v>
      </c>
      <c r="C8" s="135">
        <f ca="1">Multiples!C71</f>
        <v>376.41983272411642</v>
      </c>
    </row>
    <row r="9" spans="1:14" x14ac:dyDescent="0.2">
      <c r="B9" s="1" t="s">
        <v>413</v>
      </c>
      <c r="C9" s="135">
        <f ca="1">Multiples!C84</f>
        <v>373.63936740900249</v>
      </c>
    </row>
    <row r="10" spans="1:14" x14ac:dyDescent="0.2">
      <c r="B10" s="233" t="s">
        <v>219</v>
      </c>
      <c r="C10" s="234">
        <f ca="1">AVERAGE(C5:C9)</f>
        <v>352.24463768942917</v>
      </c>
    </row>
    <row r="11" spans="1:14" x14ac:dyDescent="0.2">
      <c r="B11" s="1" t="s">
        <v>220</v>
      </c>
      <c r="C11" s="135">
        <f ca="1">Overview!C5</f>
        <v>238.14</v>
      </c>
    </row>
    <row r="12" spans="1:14" x14ac:dyDescent="0.2">
      <c r="B12" s="1" t="s">
        <v>221</v>
      </c>
      <c r="C12" s="154">
        <f ca="1">(C10-C11)/C11</f>
        <v>0.47914939820873936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2" t="s">
        <v>114</v>
      </c>
      <c r="D2" s="242"/>
      <c r="E2" s="242"/>
      <c r="F2" s="242"/>
      <c r="G2" s="251"/>
      <c r="H2" s="252" t="s">
        <v>115</v>
      </c>
      <c r="I2" s="242"/>
      <c r="J2" s="242"/>
      <c r="K2" s="242"/>
      <c r="L2" s="242"/>
    </row>
    <row r="3" spans="1:14" ht="10" customHeight="1" x14ac:dyDescent="0.2"/>
    <row r="4" spans="1:14" ht="16" customHeight="1" x14ac:dyDescent="0.2">
      <c r="A4" s="86"/>
      <c r="B4" s="60"/>
      <c r="C4" s="248" t="s">
        <v>195</v>
      </c>
      <c r="D4" s="248"/>
      <c r="E4" s="248"/>
      <c r="F4" s="248"/>
      <c r="G4" s="248"/>
      <c r="H4" s="248"/>
      <c r="I4" s="248"/>
      <c r="J4" s="248"/>
      <c r="K4" s="248"/>
      <c r="L4" s="248"/>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48" t="s">
        <v>123</v>
      </c>
      <c r="D9" s="248"/>
      <c r="E9" s="248"/>
      <c r="F9" s="248"/>
      <c r="G9" s="248"/>
      <c r="H9" s="248"/>
      <c r="I9" s="248"/>
      <c r="J9" s="248"/>
      <c r="K9" s="248"/>
      <c r="L9" s="248"/>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8" t="s">
        <v>398</v>
      </c>
      <c r="D14" s="248"/>
      <c r="E14" s="248"/>
      <c r="F14" s="248"/>
      <c r="G14" s="248"/>
      <c r="H14" s="248"/>
      <c r="I14" s="248"/>
      <c r="J14" s="248"/>
      <c r="K14" s="248"/>
      <c r="L14" s="248"/>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2" t="s">
        <v>400</v>
      </c>
      <c r="C20" s="242"/>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0.11487749999999999</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4"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2" t="s">
        <v>114</v>
      </c>
      <c r="D3" s="242"/>
      <c r="E3" s="242"/>
      <c r="F3" s="242"/>
      <c r="G3" s="251"/>
      <c r="H3" s="252" t="s">
        <v>115</v>
      </c>
      <c r="I3" s="242"/>
      <c r="J3" s="242"/>
      <c r="K3" s="242"/>
      <c r="L3" s="242"/>
      <c r="P3" s="253"/>
      <c r="Q3" s="253"/>
      <c r="R3" s="253"/>
      <c r="S3" s="253"/>
      <c r="T3" s="253"/>
      <c r="U3" s="253"/>
      <c r="V3" s="253"/>
      <c r="W3" s="253"/>
      <c r="X3" s="253"/>
      <c r="Y3" s="253"/>
      <c r="Z3" s="253"/>
      <c r="AB3" s="111"/>
    </row>
    <row r="4" spans="1:28" ht="10" customHeight="1" x14ac:dyDescent="0.2"/>
    <row r="5" spans="1:28" ht="16" customHeight="1" x14ac:dyDescent="0.2">
      <c r="A5" s="86"/>
      <c r="B5" s="60"/>
      <c r="C5" s="248" t="s">
        <v>181</v>
      </c>
      <c r="D5" s="248"/>
      <c r="E5" s="248"/>
      <c r="F5" s="248"/>
      <c r="G5" s="248"/>
      <c r="H5" s="248"/>
      <c r="I5" s="248"/>
      <c r="J5" s="248"/>
      <c r="K5" s="248"/>
      <c r="L5" s="248"/>
      <c r="P5" s="253"/>
      <c r="Q5" s="253"/>
      <c r="R5" s="253"/>
      <c r="S5" s="253"/>
      <c r="T5" s="253"/>
      <c r="U5" s="253"/>
      <c r="V5" s="253"/>
      <c r="W5" s="253"/>
      <c r="X5" s="253"/>
      <c r="Y5" s="253"/>
      <c r="Z5" s="25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103977.69750612014</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7670.9154082476252</v>
      </c>
      <c r="I10" s="128">
        <f t="shared" ref="I10:L10" ca="1" si="1">I7/(1+$C$21)^I9</f>
        <v>7046.0952251730196</v>
      </c>
      <c r="J10" s="128">
        <f t="shared" ca="1" si="1"/>
        <v>6472.1686109099837</v>
      </c>
      <c r="K10" s="128">
        <f t="shared" ca="1" si="1"/>
        <v>5944.9901242315209</v>
      </c>
      <c r="L10" s="128">
        <f t="shared" ca="1" si="1"/>
        <v>5460.7519831349255</v>
      </c>
      <c r="N10" s="91"/>
    </row>
    <row r="11" spans="1:28" x14ac:dyDescent="0.2">
      <c r="B11" s="1" t="s">
        <v>184</v>
      </c>
      <c r="C11" s="139"/>
      <c r="D11" s="139"/>
      <c r="E11" s="139"/>
      <c r="F11" s="139"/>
      <c r="G11" s="140"/>
      <c r="H11" s="139"/>
      <c r="I11" s="139"/>
      <c r="J11" s="139"/>
      <c r="K11" s="139"/>
      <c r="L11" s="128">
        <f ca="1">L8/(1+C21)^L9</f>
        <v>61580.882814771125</v>
      </c>
    </row>
    <row r="13" spans="1:28" ht="17" thickBot="1" x14ac:dyDescent="0.25"/>
    <row r="14" spans="1:28" x14ac:dyDescent="0.2">
      <c r="B14" s="254" t="s">
        <v>223</v>
      </c>
      <c r="C14" s="255"/>
    </row>
    <row r="15" spans="1:28" x14ac:dyDescent="0.2">
      <c r="B15" s="155" t="s">
        <v>224</v>
      </c>
      <c r="C15" s="156">
        <f ca="1">Overview!C5</f>
        <v>238.14</v>
      </c>
    </row>
    <row r="16" spans="1:28" x14ac:dyDescent="0.2">
      <c r="B16" s="155" t="s">
        <v>225</v>
      </c>
      <c r="C16" s="156">
        <f ca="1">C36</f>
        <v>240.23600042793885</v>
      </c>
    </row>
    <row r="17" spans="2:9" ht="17" thickBot="1" x14ac:dyDescent="0.25">
      <c r="B17" s="157" t="s">
        <v>325</v>
      </c>
      <c r="C17" s="158">
        <v>0.02</v>
      </c>
      <c r="E17" s="256" t="s">
        <v>226</v>
      </c>
      <c r="F17" s="256"/>
      <c r="G17" s="256"/>
      <c r="H17" s="256"/>
      <c r="I17" s="256"/>
    </row>
    <row r="18" spans="2:9" ht="17" thickBot="1" x14ac:dyDescent="0.25"/>
    <row r="19" spans="2:9" x14ac:dyDescent="0.2">
      <c r="B19" s="254" t="s">
        <v>185</v>
      </c>
      <c r="C19" s="255"/>
    </row>
    <row r="20" spans="2:9" x14ac:dyDescent="0.2">
      <c r="B20" s="159" t="s">
        <v>186</v>
      </c>
      <c r="C20" s="160">
        <v>0.02</v>
      </c>
    </row>
    <row r="21" spans="2:9" x14ac:dyDescent="0.2">
      <c r="B21" s="159" t="s">
        <v>166</v>
      </c>
      <c r="C21" s="220">
        <f ca="1">IF(Overview!C28&gt;0,Overview!C28,WACC!C20)</f>
        <v>0.1104496130650076</v>
      </c>
    </row>
    <row r="22" spans="2:9" x14ac:dyDescent="0.2">
      <c r="B22" s="159" t="s">
        <v>69</v>
      </c>
      <c r="C22" s="221">
        <f>Statement!AC75</f>
        <v>389</v>
      </c>
    </row>
    <row r="23" spans="2:9" x14ac:dyDescent="0.2">
      <c r="B23" s="159" t="s">
        <v>227</v>
      </c>
      <c r="C23" s="161">
        <f ca="1">C15*C22</f>
        <v>92636.459999999992</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93360.459999999992</v>
      </c>
    </row>
    <row r="27" spans="2:9" ht="17" thickBot="1" x14ac:dyDescent="0.25"/>
    <row r="28" spans="2:9" x14ac:dyDescent="0.2">
      <c r="B28" s="254" t="s">
        <v>187</v>
      </c>
      <c r="C28" s="255"/>
    </row>
    <row r="29" spans="2:9" x14ac:dyDescent="0.2">
      <c r="B29" s="159" t="s">
        <v>188</v>
      </c>
      <c r="C29" s="161">
        <f ca="1">SUM(H10:L10)</f>
        <v>32594.921351697078</v>
      </c>
    </row>
    <row r="30" spans="2:9" x14ac:dyDescent="0.2">
      <c r="B30" s="159" t="s">
        <v>184</v>
      </c>
      <c r="C30" s="161">
        <f ca="1">L11</f>
        <v>61580.882814771125</v>
      </c>
    </row>
    <row r="31" spans="2:9" x14ac:dyDescent="0.2">
      <c r="B31" s="163" t="s">
        <v>189</v>
      </c>
      <c r="C31" s="164">
        <f ca="1">C29+C30</f>
        <v>94175.80416646821</v>
      </c>
    </row>
    <row r="32" spans="2:9" x14ac:dyDescent="0.2">
      <c r="B32" s="159" t="s">
        <v>190</v>
      </c>
      <c r="C32" s="165">
        <f>C24</f>
        <v>5639</v>
      </c>
    </row>
    <row r="33" spans="2:3" x14ac:dyDescent="0.2">
      <c r="B33" s="159" t="s">
        <v>191</v>
      </c>
      <c r="C33" s="165">
        <f>C25</f>
        <v>6363</v>
      </c>
    </row>
    <row r="34" spans="2:3" x14ac:dyDescent="0.2">
      <c r="B34" s="163" t="s">
        <v>192</v>
      </c>
      <c r="C34" s="164">
        <f ca="1">C31+C32-C33</f>
        <v>93451.80416646821</v>
      </c>
    </row>
    <row r="35" spans="2:3" x14ac:dyDescent="0.2">
      <c r="B35" s="159" t="s">
        <v>69</v>
      </c>
      <c r="C35" s="161">
        <f>C22</f>
        <v>389</v>
      </c>
    </row>
    <row r="36" spans="2:3" ht="17" thickBot="1" x14ac:dyDescent="0.25">
      <c r="B36" s="166" t="s">
        <v>193</v>
      </c>
      <c r="C36" s="167">
        <f ca="1">C34/C35</f>
        <v>240.23600042793885</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2026-10-12T20:36:44Z</dcterms:modified>
</cp:coreProperties>
</file>