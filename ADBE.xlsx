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9C20E23C-5B8F-D349-9408-DA08814D1205}"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14" l="1"/>
  <c r="L5" i="12"/>
  <c r="K5" i="12"/>
  <c r="J5" i="12"/>
  <c r="I5" i="12"/>
  <c r="H5" i="12"/>
  <c r="G5" i="12"/>
  <c r="F5" i="12"/>
  <c r="E5" i="12"/>
  <c r="D5" i="12"/>
  <c r="C5" i="12"/>
  <c r="L6" i="11"/>
  <c r="K6" i="11"/>
  <c r="J6" i="11"/>
  <c r="I6" i="11"/>
  <c r="H6" i="11"/>
  <c r="G6" i="11"/>
  <c r="F6" i="11"/>
  <c r="E6" i="11"/>
  <c r="D6" i="11"/>
  <c r="C6" i="11"/>
  <c r="AA9" i="5"/>
  <c r="AA8" i="5"/>
  <c r="AA7" i="5"/>
  <c r="AA6" i="5"/>
  <c r="L9" i="5"/>
  <c r="K9" i="5"/>
  <c r="J9" i="5"/>
  <c r="I9" i="5"/>
  <c r="H9" i="5"/>
  <c r="H8" i="5"/>
  <c r="I8" i="5" s="1"/>
  <c r="J8" i="5" s="1"/>
  <c r="K8" i="5" s="1"/>
  <c r="L8" i="5" s="1"/>
  <c r="H7" i="5"/>
  <c r="I7" i="5" s="1"/>
  <c r="J7" i="5" s="1"/>
  <c r="K7" i="5" s="1"/>
  <c r="L7" i="5" s="1"/>
  <c r="I6" i="5"/>
  <c r="J6" i="5" s="1"/>
  <c r="K6" i="5" s="1"/>
  <c r="L6" i="5" s="1"/>
  <c r="H6" i="5"/>
  <c r="P26" i="3"/>
  <c r="P24" i="3"/>
  <c r="AA135" i="3"/>
  <c r="Z135" i="3"/>
  <c r="Y135" i="3"/>
  <c r="X135" i="3"/>
  <c r="W135" i="3"/>
  <c r="V135" i="3"/>
  <c r="U135" i="3"/>
  <c r="T135" i="3"/>
  <c r="AA110" i="3"/>
  <c r="T29" i="3"/>
  <c r="V29" i="3"/>
  <c r="W29" i="3"/>
  <c r="U29" i="3"/>
  <c r="X29" i="3"/>
  <c r="AA29" i="3"/>
  <c r="Z29" i="3"/>
  <c r="Y29" i="3"/>
  <c r="Q29" i="3"/>
  <c r="P29" i="3"/>
  <c r="O29" i="3"/>
  <c r="N29" i="3"/>
  <c r="M29" i="3"/>
  <c r="AC11" i="3"/>
  <c r="H73" i="19"/>
  <c r="G73" i="19"/>
  <c r="F73" i="19"/>
  <c r="E73" i="19"/>
  <c r="D73" i="19"/>
  <c r="C73" i="19"/>
  <c r="H72" i="19"/>
  <c r="G72" i="19"/>
  <c r="F72" i="19"/>
  <c r="E72" i="19"/>
  <c r="D72" i="19"/>
  <c r="C72" i="19"/>
  <c r="H71" i="19"/>
  <c r="G71" i="19"/>
  <c r="F71" i="19"/>
  <c r="E71" i="19"/>
  <c r="D71" i="19"/>
  <c r="C71" i="19"/>
  <c r="Q180" i="3"/>
  <c r="P180" i="3"/>
  <c r="O180" i="3"/>
  <c r="N180" i="3"/>
  <c r="M180" i="3"/>
  <c r="AC34" i="3"/>
  <c r="Q208" i="3"/>
  <c r="L72" i="19" s="1"/>
  <c r="P208" i="3"/>
  <c r="K72" i="19" s="1"/>
  <c r="O208" i="3"/>
  <c r="J72" i="19" s="1"/>
  <c r="N208" i="3"/>
  <c r="I72" i="19" s="1"/>
  <c r="C49" i="12"/>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3" i="3"/>
  <c r="P203" i="3"/>
  <c r="O203" i="3"/>
  <c r="N203" i="3"/>
  <c r="M203" i="3"/>
  <c r="AC84" i="3"/>
  <c r="AC45" i="3"/>
  <c r="AC6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AC56" i="3"/>
  <c r="G14" i="7"/>
  <c r="F14" i="7"/>
  <c r="E14" i="7"/>
  <c r="D14" i="7"/>
  <c r="C14" i="7"/>
  <c r="AA108" i="3"/>
  <c r="Z108" i="3"/>
  <c r="Y108" i="3"/>
  <c r="X108" i="3"/>
  <c r="W108" i="3"/>
  <c r="V108" i="3"/>
  <c r="U108" i="3"/>
  <c r="T108" i="3"/>
  <c r="Q108" i="3"/>
  <c r="P108" i="3"/>
  <c r="O108" i="3"/>
  <c r="N108" i="3"/>
  <c r="M108" i="3"/>
  <c r="AC39" i="3"/>
  <c r="AA77" i="3"/>
  <c r="Z199" i="3"/>
  <c r="Y199" i="3"/>
  <c r="X199" i="3"/>
  <c r="W199" i="3"/>
  <c r="V199" i="3"/>
  <c r="U199" i="3"/>
  <c r="T199" i="3"/>
  <c r="Z198" i="3"/>
  <c r="Y198" i="3"/>
  <c r="X198" i="3"/>
  <c r="W198" i="3"/>
  <c r="V198" i="3"/>
  <c r="U198" i="3"/>
  <c r="T198" i="3"/>
  <c r="Z197" i="3"/>
  <c r="Y197" i="3"/>
  <c r="X197" i="3"/>
  <c r="W197" i="3"/>
  <c r="V197" i="3"/>
  <c r="U197" i="3"/>
  <c r="T197" i="3"/>
  <c r="Z174" i="3"/>
  <c r="Y174" i="3"/>
  <c r="X174" i="3"/>
  <c r="W174" i="3"/>
  <c r="V174" i="3"/>
  <c r="U174" i="3"/>
  <c r="T174" i="3"/>
  <c r="Z173" i="3"/>
  <c r="Y173" i="3"/>
  <c r="X173" i="3"/>
  <c r="W173" i="3"/>
  <c r="V173" i="3"/>
  <c r="U173" i="3"/>
  <c r="T173"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31" i="3"/>
  <c r="Y131" i="3"/>
  <c r="X131" i="3"/>
  <c r="W131" i="3"/>
  <c r="V131" i="3"/>
  <c r="U131" i="3"/>
  <c r="T131" i="3"/>
  <c r="Z110" i="3"/>
  <c r="Y110" i="3"/>
  <c r="X110" i="3"/>
  <c r="W110" i="3"/>
  <c r="V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42" i="3"/>
  <c r="Y42" i="3"/>
  <c r="X42" i="3"/>
  <c r="W42" i="3"/>
  <c r="V42" i="3"/>
  <c r="U42" i="3"/>
  <c r="T42" i="3"/>
  <c r="Z36" i="3"/>
  <c r="Y36" i="3"/>
  <c r="X36" i="3"/>
  <c r="W36" i="3"/>
  <c r="V36" i="3"/>
  <c r="U36" i="3"/>
  <c r="T36" i="3"/>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7" i="3"/>
  <c r="Y7" i="3"/>
  <c r="X7" i="3"/>
  <c r="W7" i="3"/>
  <c r="V7" i="3"/>
  <c r="U7" i="3"/>
  <c r="T7" i="3"/>
  <c r="H8" i="1"/>
  <c r="H7" i="1"/>
  <c r="H6" i="1"/>
  <c r="H5" i="1"/>
  <c r="H4" i="1"/>
  <c r="H3" i="1"/>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C3" i="17"/>
  <c r="G2" i="17"/>
  <c r="F2" i="17"/>
  <c r="E2" i="17"/>
  <c r="D2" i="17"/>
  <c r="C2" i="17"/>
  <c r="Q110" i="3"/>
  <c r="P110" i="3"/>
  <c r="O110" i="3"/>
  <c r="N110" i="3"/>
  <c r="M110" i="3"/>
  <c r="AA142" i="3"/>
  <c r="Q142" i="3"/>
  <c r="P142" i="3"/>
  <c r="O142" i="3"/>
  <c r="N142" i="3"/>
  <c r="M142" i="3"/>
  <c r="AC31" i="3"/>
  <c r="AC64" i="3"/>
  <c r="AA174" i="3"/>
  <c r="Q174" i="3"/>
  <c r="P174" i="3"/>
  <c r="O174" i="3"/>
  <c r="N174" i="3"/>
  <c r="M174" i="3"/>
  <c r="AA173"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62" i="3"/>
  <c r="AC61" i="3"/>
  <c r="AC60" i="3"/>
  <c r="AC59" i="3"/>
  <c r="AC54" i="3"/>
  <c r="AC53" i="3"/>
  <c r="AC76" i="3"/>
  <c r="P77" i="3"/>
  <c r="O77" i="3"/>
  <c r="N77" i="3"/>
  <c r="M77" i="3"/>
  <c r="Q77" i="3"/>
  <c r="AA131" i="3"/>
  <c r="E30" i="12"/>
  <c r="D30" i="12"/>
  <c r="G23" i="12"/>
  <c r="F23" i="12"/>
  <c r="E23" i="12"/>
  <c r="D23" i="12"/>
  <c r="C23" i="12"/>
  <c r="AC108" i="3"/>
  <c r="L15" i="8"/>
  <c r="K15" i="8"/>
  <c r="J15" i="8"/>
  <c r="I15" i="8"/>
  <c r="H15" i="8"/>
  <c r="G45" i="7"/>
  <c r="F45" i="7"/>
  <c r="E45" i="7"/>
  <c r="D45" i="7"/>
  <c r="C45" i="7"/>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C5" i="5"/>
  <c r="R16" i="5"/>
  <c r="B16" i="5"/>
  <c r="AC12" i="5"/>
  <c r="AB12" i="5"/>
  <c r="AA12"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Q26" i="3"/>
  <c r="Q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AC180" i="3" l="1"/>
  <c r="D3" i="17"/>
  <c r="D5" i="5"/>
  <c r="I56" i="19"/>
  <c r="AC181" i="3"/>
  <c r="Q181" i="3"/>
  <c r="P181" i="3"/>
  <c r="O181" i="3"/>
  <c r="N181" i="3"/>
  <c r="M181" i="3"/>
  <c r="AA107" i="3"/>
  <c r="Z107" i="3"/>
  <c r="Y107" i="3"/>
  <c r="X107" i="3"/>
  <c r="W107" i="3"/>
  <c r="V107" i="3"/>
  <c r="U107" i="3"/>
  <c r="T107" i="3"/>
  <c r="Q107" i="3"/>
  <c r="P107" i="3"/>
  <c r="O107" i="3"/>
  <c r="N107" i="3"/>
  <c r="M107" i="3"/>
  <c r="Q209" i="3"/>
  <c r="L73" i="19" s="1"/>
  <c r="P209" i="3"/>
  <c r="K73" i="19" s="1"/>
  <c r="O209" i="3"/>
  <c r="J73" i="19" s="1"/>
  <c r="N209" i="3"/>
  <c r="I73" i="19" s="1"/>
  <c r="Q207" i="3"/>
  <c r="L71" i="19" s="1"/>
  <c r="P207" i="3"/>
  <c r="K71" i="19" s="1"/>
  <c r="O207" i="3"/>
  <c r="J71" i="19" s="1"/>
  <c r="N207" i="3"/>
  <c r="I71" i="19" s="1"/>
  <c r="F30" i="12"/>
  <c r="C23" i="11"/>
  <c r="C25" i="14"/>
  <c r="Z136" i="3"/>
  <c r="Y136" i="3"/>
  <c r="X136" i="3"/>
  <c r="W136" i="3"/>
  <c r="V136" i="3"/>
  <c r="U136" i="3"/>
  <c r="T136"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Z145" i="3"/>
  <c r="Y145" i="3"/>
  <c r="X145" i="3"/>
  <c r="W145" i="3"/>
  <c r="V145" i="3"/>
  <c r="U145" i="3"/>
  <c r="T145" i="3"/>
  <c r="AA157" i="3"/>
  <c r="J66" i="20" s="1"/>
  <c r="Z157" i="3"/>
  <c r="I66" i="20" s="1"/>
  <c r="Y157" i="3"/>
  <c r="H66" i="20" s="1"/>
  <c r="X157" i="3"/>
  <c r="G66" i="20" s="1"/>
  <c r="W157" i="3"/>
  <c r="F66" i="20" s="1"/>
  <c r="V157" i="3"/>
  <c r="E66" i="20" s="1"/>
  <c r="U157" i="3"/>
  <c r="D66" i="20" s="1"/>
  <c r="T157" i="3"/>
  <c r="C66"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Q69" i="3"/>
  <c r="P69" i="3"/>
  <c r="O69" i="3"/>
  <c r="N69" i="3"/>
  <c r="M69" i="3"/>
  <c r="L69" i="3"/>
  <c r="K69" i="3"/>
  <c r="J69" i="3"/>
  <c r="I69" i="3"/>
  <c r="H69" i="3"/>
  <c r="G69" i="3"/>
  <c r="F69" i="3"/>
  <c r="E69" i="3"/>
  <c r="D69" i="3"/>
  <c r="C69" i="3"/>
  <c r="AA69" i="3"/>
  <c r="Z69" i="3"/>
  <c r="Y69" i="3"/>
  <c r="X69" i="3"/>
  <c r="W69" i="3"/>
  <c r="V69" i="3"/>
  <c r="U69" i="3"/>
  <c r="T69" i="3"/>
  <c r="Q157" i="3"/>
  <c r="Q167" i="3" s="1"/>
  <c r="P157" i="3"/>
  <c r="P167" i="3" s="1"/>
  <c r="O157" i="3"/>
  <c r="O167" i="3" s="1"/>
  <c r="N157" i="3"/>
  <c r="N167" i="3" s="1"/>
  <c r="M157" i="3"/>
  <c r="M167" i="3" s="1"/>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0" i="12"/>
  <c r="E35" i="7"/>
  <c r="F35" i="7"/>
  <c r="D35" i="7"/>
  <c r="C35" i="7"/>
  <c r="Z179" i="3"/>
  <c r="Y179" i="3"/>
  <c r="X179" i="3"/>
  <c r="W179" i="3"/>
  <c r="V179" i="3"/>
  <c r="U179" i="3"/>
  <c r="T179" i="3"/>
  <c r="Z178" i="3"/>
  <c r="Y178" i="3"/>
  <c r="X178" i="3"/>
  <c r="W178" i="3"/>
  <c r="V178" i="3"/>
  <c r="U178" i="3"/>
  <c r="T178" i="3"/>
  <c r="Z177" i="3"/>
  <c r="Y177" i="3"/>
  <c r="X177" i="3"/>
  <c r="W177" i="3"/>
  <c r="V177" i="3"/>
  <c r="U177" i="3"/>
  <c r="T177" i="3"/>
  <c r="AC83" i="3"/>
  <c r="AC106" i="3" s="1"/>
  <c r="AA145" i="3"/>
  <c r="Q145" i="3"/>
  <c r="N145" i="3"/>
  <c r="P145" i="3"/>
  <c r="O145" i="3"/>
  <c r="M145" i="3"/>
  <c r="C30" i="12"/>
  <c r="X106" i="3"/>
  <c r="W106" i="3"/>
  <c r="V106" i="3"/>
  <c r="U106" i="3"/>
  <c r="T106" i="3"/>
  <c r="T95" i="3"/>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H7" i="7"/>
  <c r="H6" i="12"/>
  <c r="H6" i="8"/>
  <c r="H6" i="6"/>
  <c r="AC29" i="3"/>
  <c r="G20" i="18"/>
  <c r="D20" i="18"/>
  <c r="G18" i="18"/>
  <c r="D18" i="18"/>
  <c r="C17" i="18"/>
  <c r="AA106" i="3"/>
  <c r="C15" i="18"/>
  <c r="G12" i="18"/>
  <c r="D12" i="18"/>
  <c r="C9" i="18"/>
  <c r="G10" i="18"/>
  <c r="C7" i="18"/>
  <c r="D10" i="18"/>
  <c r="G23" i="18"/>
  <c r="Z141" i="3"/>
  <c r="Z144" i="3" s="1"/>
  <c r="Y141" i="3"/>
  <c r="Y144" i="3" s="1"/>
  <c r="X141" i="3"/>
  <c r="X144" i="3" s="1"/>
  <c r="W141" i="3"/>
  <c r="W144" i="3" s="1"/>
  <c r="V141" i="3"/>
  <c r="V144" i="3" s="1"/>
  <c r="U141" i="3"/>
  <c r="U144" i="3" s="1"/>
  <c r="T141" i="3"/>
  <c r="T144" i="3" s="1"/>
  <c r="Z95" i="3"/>
  <c r="Y95" i="3"/>
  <c r="W95" i="3"/>
  <c r="V95" i="3"/>
  <c r="U95" i="3"/>
  <c r="V91" i="3"/>
  <c r="U91" i="3"/>
  <c r="Z106" i="3"/>
  <c r="Y106" i="3"/>
  <c r="Z101" i="3"/>
  <c r="I60" i="20" s="1"/>
  <c r="Y101" i="3"/>
  <c r="H60" i="20" s="1"/>
  <c r="X101" i="3"/>
  <c r="G60" i="20" s="1"/>
  <c r="W101" i="3"/>
  <c r="F60" i="20" s="1"/>
  <c r="V101" i="3"/>
  <c r="E60" i="20" s="1"/>
  <c r="U101" i="3"/>
  <c r="D60" i="20" s="1"/>
  <c r="T101" i="3"/>
  <c r="C60" i="20" s="1"/>
  <c r="X95"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F18" i="16" s="1"/>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G44" i="14"/>
  <c r="F44" i="14"/>
  <c r="E44" i="14"/>
  <c r="D44" i="14"/>
  <c r="C44" i="14"/>
  <c r="C6" i="14"/>
  <c r="G18" i="12"/>
  <c r="F18" i="12"/>
  <c r="E18" i="12"/>
  <c r="D18" i="12"/>
  <c r="C18" i="12"/>
  <c r="G6" i="12"/>
  <c r="F6" i="12"/>
  <c r="E6" i="12"/>
  <c r="D6" i="12"/>
  <c r="C6" i="12"/>
  <c r="C8" i="10"/>
  <c r="H7" i="14"/>
  <c r="G41" i="14"/>
  <c r="C18" i="10"/>
  <c r="E7" i="8"/>
  <c r="E6" i="8"/>
  <c r="C5" i="8"/>
  <c r="C32" i="8" s="1"/>
  <c r="E13" i="7"/>
  <c r="C13" i="7"/>
  <c r="D7" i="7"/>
  <c r="U18" i="6"/>
  <c r="T18" i="6"/>
  <c r="P18" i="6"/>
  <c r="O16" i="6"/>
  <c r="O28" i="6" s="1"/>
  <c r="O15" i="6"/>
  <c r="O27" i="6" s="1"/>
  <c r="W6" i="6"/>
  <c r="T6" i="6"/>
  <c r="V5" i="6"/>
  <c r="S5" i="6"/>
  <c r="P5" i="6"/>
  <c r="B29" i="6"/>
  <c r="B27" i="6"/>
  <c r="E18" i="6"/>
  <c r="D18" i="6"/>
  <c r="G6" i="6"/>
  <c r="E6" i="6"/>
  <c r="C6" i="6"/>
  <c r="R6" i="5"/>
  <c r="G21" i="8"/>
  <c r="E21" i="8"/>
  <c r="G20" i="8"/>
  <c r="F20" i="8"/>
  <c r="C20" i="8"/>
  <c r="G15" i="8"/>
  <c r="E15" i="8"/>
  <c r="C15" i="8"/>
  <c r="F7" i="8"/>
  <c r="C7" i="8"/>
  <c r="F6" i="8"/>
  <c r="F13" i="7"/>
  <c r="D13" i="7"/>
  <c r="F7" i="7"/>
  <c r="C6" i="7"/>
  <c r="V18" i="6"/>
  <c r="R18" i="6"/>
  <c r="U6" i="6"/>
  <c r="R6" i="6"/>
  <c r="P6" i="6"/>
  <c r="Q5" i="6"/>
  <c r="G18" i="6"/>
  <c r="C18" i="6"/>
  <c r="C5" i="6"/>
  <c r="R7" i="5"/>
  <c r="F21" i="8"/>
  <c r="D21" i="8"/>
  <c r="C21" i="8"/>
  <c r="E20" i="8"/>
  <c r="D20" i="8"/>
  <c r="F15" i="8"/>
  <c r="D15" i="8"/>
  <c r="G7" i="8"/>
  <c r="D7" i="8"/>
  <c r="G6" i="8"/>
  <c r="D6" i="8"/>
  <c r="C6" i="8"/>
  <c r="G13" i="7"/>
  <c r="G7" i="7"/>
  <c r="E7" i="7"/>
  <c r="C7" i="7"/>
  <c r="W18" i="6"/>
  <c r="S18" i="6"/>
  <c r="Q18" i="6"/>
  <c r="O17" i="6"/>
  <c r="O29" i="6" s="1"/>
  <c r="V6" i="6"/>
  <c r="S6" i="6"/>
  <c r="Q6" i="6"/>
  <c r="W5" i="6"/>
  <c r="U5" i="6"/>
  <c r="T5" i="6"/>
  <c r="R5" i="6"/>
  <c r="B28" i="6"/>
  <c r="F18" i="6"/>
  <c r="F6" i="6"/>
  <c r="D6" i="6"/>
  <c r="D28" i="6" s="1"/>
  <c r="AE9" i="5"/>
  <c r="AB6" i="6" s="1"/>
  <c r="R8" i="5"/>
  <c r="G8" i="7"/>
  <c r="E8" i="7"/>
  <c r="F8" i="7"/>
  <c r="C8" i="7"/>
  <c r="D8" i="7"/>
  <c r="G44" i="7"/>
  <c r="F44" i="7"/>
  <c r="E44" i="7"/>
  <c r="D44" i="7"/>
  <c r="C44" i="7"/>
  <c r="O11" i="6"/>
  <c r="O23" i="6" s="1"/>
  <c r="O13" i="6"/>
  <c r="O25" i="6" s="1"/>
  <c r="B23" i="6"/>
  <c r="O12" i="6"/>
  <c r="O24" i="6" s="1"/>
  <c r="B25" i="6"/>
  <c r="B24" i="6"/>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P106" i="3"/>
  <c r="P109" i="3" s="1"/>
  <c r="P158" i="3" s="1"/>
  <c r="Q106" i="3"/>
  <c r="AC124" i="3"/>
  <c r="AC122" i="3"/>
  <c r="AC102" i="3"/>
  <c r="AA101" i="3"/>
  <c r="J60" i="20" s="1"/>
  <c r="AC82" i="3"/>
  <c r="AC74" i="3"/>
  <c r="AA75" i="3"/>
  <c r="AC75" i="3" s="1"/>
  <c r="C22" i="14" s="1"/>
  <c r="M75" i="3"/>
  <c r="N75" i="3"/>
  <c r="O75" i="3"/>
  <c r="P75" i="3"/>
  <c r="Q75" i="3"/>
  <c r="AC42" i="3"/>
  <c r="AC36" i="3"/>
  <c r="AA91" i="3"/>
  <c r="C11" i="18" s="1"/>
  <c r="AA95" i="3"/>
  <c r="C13" i="18" s="1"/>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Q183" i="3" l="1"/>
  <c r="Q182" i="3"/>
  <c r="P183" i="3"/>
  <c r="P182" i="3"/>
  <c r="O183" i="3"/>
  <c r="O182" i="3"/>
  <c r="N183" i="3"/>
  <c r="N182" i="3"/>
  <c r="M183" i="3"/>
  <c r="M182" i="3"/>
  <c r="E3" i="17"/>
  <c r="J56" i="19"/>
  <c r="E5" i="5"/>
  <c r="D6" i="14"/>
  <c r="D40" i="14" s="1"/>
  <c r="D6" i="7"/>
  <c r="D5" i="6"/>
  <c r="D5" i="8"/>
  <c r="D12" i="5"/>
  <c r="C52" i="16"/>
  <c r="G53" i="17"/>
  <c r="F53" i="17"/>
  <c r="E53" i="17"/>
  <c r="D53" i="17"/>
  <c r="G51" i="17"/>
  <c r="F51" i="17"/>
  <c r="E51" i="17"/>
  <c r="D51" i="17"/>
  <c r="C51" i="17"/>
  <c r="C53" i="17"/>
  <c r="Q152" i="3"/>
  <c r="P152" i="3"/>
  <c r="O152" i="3"/>
  <c r="N152" i="3"/>
  <c r="M152" i="3"/>
  <c r="AC69" i="3"/>
  <c r="AC157" i="3"/>
  <c r="AC170" i="3" s="1"/>
  <c r="M78" i="3"/>
  <c r="M153" i="3" s="1"/>
  <c r="N78" i="3"/>
  <c r="N153" i="3" s="1"/>
  <c r="O78" i="3"/>
  <c r="O153" i="3" s="1"/>
  <c r="P78" i="3"/>
  <c r="P153" i="3" s="1"/>
  <c r="Q78" i="3"/>
  <c r="Q153" i="3" s="1"/>
  <c r="F22" i="8"/>
  <c r="AC71" i="3"/>
  <c r="Q168" i="3"/>
  <c r="L60" i="19"/>
  <c r="Q170" i="3"/>
  <c r="P168" i="3"/>
  <c r="K60" i="19"/>
  <c r="P170" i="3"/>
  <c r="O168" i="3"/>
  <c r="J60" i="19"/>
  <c r="O170" i="3"/>
  <c r="N168" i="3"/>
  <c r="I60" i="19"/>
  <c r="N170" i="3"/>
  <c r="M168" i="3"/>
  <c r="H60" i="19"/>
  <c r="M170" i="3"/>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T70" i="3"/>
  <c r="C31" i="16"/>
  <c r="F21" i="18"/>
  <c r="C19" i="18"/>
  <c r="C21" i="18"/>
  <c r="F19" i="18"/>
  <c r="F11" i="18"/>
  <c r="X11" i="6"/>
  <c r="X16" i="6"/>
  <c r="AB16" i="6" s="1"/>
  <c r="X13" i="6"/>
  <c r="AB13" i="6" s="1"/>
  <c r="X15" i="6"/>
  <c r="X12" i="6"/>
  <c r="X17" i="6"/>
  <c r="AB17" i="6" s="1"/>
  <c r="H42" i="7"/>
  <c r="H20" i="8" s="1"/>
  <c r="H13" i="7"/>
  <c r="H28" i="7" s="1"/>
  <c r="H15" i="6"/>
  <c r="H16" i="6"/>
  <c r="H17" i="6"/>
  <c r="H11" i="6"/>
  <c r="H14" i="6" s="1"/>
  <c r="H12" i="6"/>
  <c r="H13" i="6"/>
  <c r="H45" i="7"/>
  <c r="H21" i="8" s="1"/>
  <c r="H36" i="7"/>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C33" i="14"/>
  <c r="G48" i="14"/>
  <c r="E48"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T28" i="6"/>
  <c r="T27" i="6"/>
  <c r="G29" i="6"/>
  <c r="G27" i="6"/>
  <c r="AC107" i="3"/>
  <c r="AA147" i="3"/>
  <c r="G31" i="12"/>
  <c r="Q147" i="3"/>
  <c r="G46" i="17" s="1"/>
  <c r="F31" i="12"/>
  <c r="P147" i="3"/>
  <c r="F46" i="17" s="1"/>
  <c r="E31" i="12"/>
  <c r="O147" i="3"/>
  <c r="E46" i="17" s="1"/>
  <c r="D31" i="12"/>
  <c r="N147" i="3"/>
  <c r="D46" i="17" s="1"/>
  <c r="C31" i="12"/>
  <c r="M147" i="3"/>
  <c r="C46" i="17" s="1"/>
  <c r="AC109" i="3"/>
  <c r="Q109" i="3"/>
  <c r="Q158" i="3" s="1"/>
  <c r="E46" i="7"/>
  <c r="Q25" i="6"/>
  <c r="F25" i="6"/>
  <c r="D23" i="6"/>
  <c r="V23" i="6"/>
  <c r="S23" i="6"/>
  <c r="Q23" i="6"/>
  <c r="W10" i="6"/>
  <c r="U10" i="6"/>
  <c r="R10" i="6"/>
  <c r="AA78" i="3"/>
  <c r="AC78" i="3" s="1"/>
  <c r="F19" i="12"/>
  <c r="D19" i="12"/>
  <c r="H12" i="12"/>
  <c r="G12" i="12"/>
  <c r="C29" i="12"/>
  <c r="E28" i="12"/>
  <c r="D28" i="12"/>
  <c r="G19" i="12"/>
  <c r="F12" i="12"/>
  <c r="E12" i="12"/>
  <c r="D12" i="12"/>
  <c r="G29" i="12"/>
  <c r="G8" i="8"/>
  <c r="D8" i="8"/>
  <c r="C46" i="7"/>
  <c r="G43" i="7"/>
  <c r="C43" i="7"/>
  <c r="V29" i="6"/>
  <c r="D26" i="6"/>
  <c r="F24" i="6"/>
  <c r="D36" i="7"/>
  <c r="D37" i="7" s="1"/>
  <c r="S29" i="6"/>
  <c r="Q29" i="6"/>
  <c r="V26" i="6"/>
  <c r="S26" i="6"/>
  <c r="Q26" i="6"/>
  <c r="V24" i="6"/>
  <c r="S24" i="6"/>
  <c r="Q24" i="6"/>
  <c r="R15" i="5"/>
  <c r="R13" i="5"/>
  <c r="Q27" i="6"/>
  <c r="F29" i="6"/>
  <c r="F28" i="6"/>
  <c r="F29" i="12"/>
  <c r="E29" i="12"/>
  <c r="G28" i="12"/>
  <c r="C28" i="12"/>
  <c r="D27" i="6"/>
  <c r="S28" i="6"/>
  <c r="Q28" i="6"/>
  <c r="V30" i="6"/>
  <c r="D29" i="6"/>
  <c r="G46" i="7"/>
  <c r="C35" i="14"/>
  <c r="C15" i="14"/>
  <c r="I7" i="14"/>
  <c r="H41" i="14"/>
  <c r="G45" i="14"/>
  <c r="AC116" i="3"/>
  <c r="AC117" i="3" s="1"/>
  <c r="C6" i="10"/>
  <c r="E30" i="6"/>
  <c r="E9" i="8"/>
  <c r="D9" i="8"/>
  <c r="D30" i="6"/>
  <c r="G30" i="6"/>
  <c r="G9" i="8"/>
  <c r="C9" i="8"/>
  <c r="C30" i="6"/>
  <c r="F30" i="6"/>
  <c r="F9" i="8"/>
  <c r="U27" i="6"/>
  <c r="P27" i="6"/>
  <c r="U30" i="6"/>
  <c r="T30" i="6"/>
  <c r="P30" i="6"/>
  <c r="C29" i="6"/>
  <c r="G28" i="6"/>
  <c r="E27" i="6"/>
  <c r="C27" i="6"/>
  <c r="U28" i="6"/>
  <c r="P28" i="6"/>
  <c r="W28" i="6"/>
  <c r="V28" i="6"/>
  <c r="W27" i="6"/>
  <c r="V27" i="6"/>
  <c r="S27" i="6"/>
  <c r="W30" i="6"/>
  <c r="S30" i="6"/>
  <c r="Q30" i="6"/>
  <c r="E29" i="6"/>
  <c r="E28" i="6"/>
  <c r="C28" i="6"/>
  <c r="F27" i="6"/>
  <c r="C23" i="6"/>
  <c r="Q10" i="6"/>
  <c r="C19" i="8"/>
  <c r="C14" i="8"/>
  <c r="C8" i="8"/>
  <c r="F46" i="7"/>
  <c r="C25" i="6"/>
  <c r="S10" i="6"/>
  <c r="P10" i="6"/>
  <c r="F8" i="8"/>
  <c r="C26" i="8"/>
  <c r="G36" i="7"/>
  <c r="G37" i="7" s="1"/>
  <c r="F20" i="7"/>
  <c r="C12" i="7"/>
  <c r="W23" i="6"/>
  <c r="R23" i="6"/>
  <c r="R14" i="5"/>
  <c r="E8" i="8"/>
  <c r="F43" i="7"/>
  <c r="D43" i="7"/>
  <c r="C41" i="7"/>
  <c r="C34" i="7"/>
  <c r="E26" i="6"/>
  <c r="C27" i="7"/>
  <c r="F22" i="7"/>
  <c r="F21" i="7"/>
  <c r="D21" i="7"/>
  <c r="G20" i="7"/>
  <c r="D46" i="7"/>
  <c r="E43" i="7"/>
  <c r="F36" i="7"/>
  <c r="F37" i="7" s="1"/>
  <c r="G21" i="7"/>
  <c r="C20" i="7"/>
  <c r="C19" i="7"/>
  <c r="E36" i="7"/>
  <c r="E37" i="7" s="1"/>
  <c r="C36" i="7"/>
  <c r="C37" i="7" s="1"/>
  <c r="E22" i="7"/>
  <c r="C22" i="7"/>
  <c r="E20" i="7"/>
  <c r="D20"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C22" i="6"/>
  <c r="U23" i="6"/>
  <c r="T23" i="6"/>
  <c r="P23" i="6"/>
  <c r="C10" i="6"/>
  <c r="G23" i="6"/>
  <c r="F23" i="6"/>
  <c r="E23" i="6"/>
  <c r="W22" i="6"/>
  <c r="V22" i="6"/>
  <c r="U22" i="6"/>
  <c r="T22" i="6"/>
  <c r="S22" i="6"/>
  <c r="R22" i="6"/>
  <c r="Q22" i="6"/>
  <c r="P22" i="6"/>
  <c r="V10" i="6"/>
  <c r="T10" i="6"/>
  <c r="R28" i="6"/>
  <c r="R27" i="6"/>
  <c r="R30" i="6"/>
  <c r="AA70" i="3"/>
  <c r="P70" i="3"/>
  <c r="M70" i="3"/>
  <c r="L70" i="3"/>
  <c r="O70" i="3"/>
  <c r="N70" i="3"/>
  <c r="K70" i="3"/>
  <c r="J70" i="3"/>
  <c r="I70" i="3"/>
  <c r="H70" i="3"/>
  <c r="G70" i="3"/>
  <c r="F70" i="3"/>
  <c r="E70" i="3"/>
  <c r="D70" i="3"/>
  <c r="C70" i="3"/>
  <c r="AC183" i="3" l="1"/>
  <c r="AC182" i="3"/>
  <c r="AC167" i="3"/>
  <c r="AC168" i="3"/>
  <c r="F5" i="5"/>
  <c r="F3" i="17"/>
  <c r="K56" i="19"/>
  <c r="E5" i="6"/>
  <c r="E6" i="7"/>
  <c r="E12" i="5"/>
  <c r="E5" i="8"/>
  <c r="E6" i="14"/>
  <c r="E40" i="14" s="1"/>
  <c r="D19" i="7"/>
  <c r="D27" i="7"/>
  <c r="D12" i="7"/>
  <c r="D34" i="7"/>
  <c r="D41" i="7"/>
  <c r="D22" i="6"/>
  <c r="D10" i="6"/>
  <c r="D32" i="8"/>
  <c r="D19" i="8"/>
  <c r="D26" i="8"/>
  <c r="D14" i="8"/>
  <c r="Q171" i="3"/>
  <c r="G63" i="17" s="1"/>
  <c r="D11" i="17"/>
  <c r="G58" i="17"/>
  <c r="E60" i="17"/>
  <c r="D58" i="17"/>
  <c r="D60" i="17"/>
  <c r="C58" i="17"/>
  <c r="N171" i="3"/>
  <c r="D63" i="17" s="1"/>
  <c r="C11" i="17"/>
  <c r="C60" i="17"/>
  <c r="P171" i="3"/>
  <c r="F63" i="17" s="1"/>
  <c r="G11" i="17"/>
  <c r="E11" i="17"/>
  <c r="M171" i="3"/>
  <c r="C63" i="17" s="1"/>
  <c r="O171" i="3"/>
  <c r="E63" i="17" s="1"/>
  <c r="F11" i="17"/>
  <c r="C22" i="11"/>
  <c r="C24" i="14"/>
  <c r="C25" i="11"/>
  <c r="C44" i="12"/>
  <c r="C61"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58" i="3"/>
  <c r="AC140" i="3"/>
  <c r="L61" i="19"/>
  <c r="Q140" i="3"/>
  <c r="L70" i="19" s="1"/>
  <c r="C18" i="16"/>
  <c r="I18" i="17"/>
  <c r="AB11" i="6"/>
  <c r="AB15" i="6"/>
  <c r="X18" i="6"/>
  <c r="AB12" i="6"/>
  <c r="X14" i="6"/>
  <c r="X26" i="6" s="1"/>
  <c r="H26" i="6"/>
  <c r="H8" i="7"/>
  <c r="H7" i="8"/>
  <c r="H8" i="8" s="1"/>
  <c r="H33" i="8" s="1"/>
  <c r="H44" i="7"/>
  <c r="H18" i="6"/>
  <c r="I6" i="6"/>
  <c r="I6" i="8"/>
  <c r="I7" i="7"/>
  <c r="I6" i="12"/>
  <c r="I12" i="12" s="1"/>
  <c r="F52" i="16"/>
  <c r="I75" i="17"/>
  <c r="F53" i="16"/>
  <c r="I76" i="17"/>
  <c r="F54" i="16"/>
  <c r="I77" i="17"/>
  <c r="AC169" i="3"/>
  <c r="I6" i="17"/>
  <c r="C23" i="14"/>
  <c r="C41" i="12"/>
  <c r="C51" i="12"/>
  <c r="C33" i="16"/>
  <c r="F18" i="1"/>
  <c r="AC172" i="3"/>
  <c r="AC175" i="3"/>
  <c r="I67" i="17" s="1"/>
  <c r="C32" i="12"/>
  <c r="D32" i="12"/>
  <c r="F32" i="12"/>
  <c r="E32" i="12"/>
  <c r="G32" i="12"/>
  <c r="AC147" i="3"/>
  <c r="I46" i="17" s="1"/>
  <c r="AC146" i="3"/>
  <c r="I45" i="17" s="1"/>
  <c r="D10" i="8"/>
  <c r="G10" i="8"/>
  <c r="C5" i="10"/>
  <c r="C7" i="10" s="1"/>
  <c r="C17" i="10" s="1"/>
  <c r="C11" i="12"/>
  <c r="C22" i="12"/>
  <c r="C17" i="12"/>
  <c r="C27" i="12"/>
  <c r="C10" i="8"/>
  <c r="F10" i="8"/>
  <c r="E10" i="8"/>
  <c r="I41" i="14"/>
  <c r="J7" i="14"/>
  <c r="H42" i="14"/>
  <c r="H46" i="14"/>
  <c r="H44" i="14"/>
  <c r="H48" i="14" s="1"/>
  <c r="E23" i="7"/>
  <c r="D23" i="7"/>
  <c r="F23" i="7"/>
  <c r="G23" i="7"/>
  <c r="C23" i="7"/>
  <c r="AB14" i="6" l="1"/>
  <c r="H15" i="7"/>
  <c r="H30" i="7" s="1"/>
  <c r="H14" i="7"/>
  <c r="H29" i="7" s="1"/>
  <c r="H35" i="7" s="1"/>
  <c r="H22" i="8" s="1"/>
  <c r="G3" i="17"/>
  <c r="L56" i="19"/>
  <c r="G5" i="5"/>
  <c r="F5" i="8"/>
  <c r="F6" i="14"/>
  <c r="F40" i="14" s="1"/>
  <c r="F6" i="7"/>
  <c r="F5" i="6"/>
  <c r="F12" i="5"/>
  <c r="E10" i="6"/>
  <c r="E22" i="6"/>
  <c r="E12" i="7"/>
  <c r="E34" i="7"/>
  <c r="E27" i="7"/>
  <c r="E41" i="7"/>
  <c r="E19" i="7"/>
  <c r="E14" i="8"/>
  <c r="E26" i="8"/>
  <c r="E19" i="8"/>
  <c r="E32" i="8"/>
  <c r="D27" i="12"/>
  <c r="D11" i="12"/>
  <c r="D17" i="12"/>
  <c r="D22" i="12"/>
  <c r="Q155" i="3"/>
  <c r="G12" i="17" s="1"/>
  <c r="Q156" i="3"/>
  <c r="G13" i="17"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H9" i="8"/>
  <c r="H10" i="8" s="1"/>
  <c r="H30" i="6"/>
  <c r="I11" i="6"/>
  <c r="I12" i="6"/>
  <c r="I13" i="6"/>
  <c r="I15" i="6"/>
  <c r="I16" i="6"/>
  <c r="I17" i="6"/>
  <c r="I13" i="7"/>
  <c r="I28" i="7" s="1"/>
  <c r="I42" i="7"/>
  <c r="I36" i="7"/>
  <c r="I45" i="7"/>
  <c r="I21" i="8" s="1"/>
  <c r="J6" i="12"/>
  <c r="J12"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Q160" i="3"/>
  <c r="C6" i="16"/>
  <c r="AC161" i="3"/>
  <c r="I52" i="17" s="1"/>
  <c r="AC159" i="3"/>
  <c r="D27" i="8"/>
  <c r="D28" i="8" s="1"/>
  <c r="G27" i="8"/>
  <c r="G28" i="8" s="1"/>
  <c r="G42" i="14"/>
  <c r="D42" i="14"/>
  <c r="G7" i="12"/>
  <c r="D7" i="12"/>
  <c r="C16" i="10"/>
  <c r="C20" i="10" s="1"/>
  <c r="C21" i="14" s="1"/>
  <c r="C7" i="12"/>
  <c r="C42" i="14"/>
  <c r="C49" i="14" s="1"/>
  <c r="C27" i="8"/>
  <c r="C28" i="8" s="1"/>
  <c r="F7" i="12"/>
  <c r="F42" i="14"/>
  <c r="F27" i="8"/>
  <c r="F28" i="8" s="1"/>
  <c r="E7" i="12"/>
  <c r="E42" i="14"/>
  <c r="E27" i="8"/>
  <c r="E28" i="8" s="1"/>
  <c r="I46" i="14"/>
  <c r="I42" i="14"/>
  <c r="I44" i="14"/>
  <c r="I48" i="14" s="1"/>
  <c r="J41" i="14"/>
  <c r="K7" i="14"/>
  <c r="H49" i="14"/>
  <c r="AE6" i="5"/>
  <c r="H27" i="8" l="1"/>
  <c r="H28" i="8" s="1"/>
  <c r="H34" i="8"/>
  <c r="H5" i="5"/>
  <c r="G12" i="5"/>
  <c r="G5" i="6"/>
  <c r="G5" i="8"/>
  <c r="G6" i="7"/>
  <c r="G6" i="14"/>
  <c r="G40" i="14" s="1"/>
  <c r="F19" i="8"/>
  <c r="F14" i="8"/>
  <c r="F26" i="8"/>
  <c r="F32" i="8"/>
  <c r="F27" i="7"/>
  <c r="F34" i="7"/>
  <c r="F41" i="7"/>
  <c r="F12" i="7"/>
  <c r="F19" i="7"/>
  <c r="F22" i="6"/>
  <c r="F10" i="6"/>
  <c r="E22" i="12"/>
  <c r="E17" i="12"/>
  <c r="E11" i="12"/>
  <c r="E27" i="12"/>
  <c r="F13" i="12"/>
  <c r="C57" i="12"/>
  <c r="C39" i="12"/>
  <c r="C15" i="11"/>
  <c r="C26" i="16"/>
  <c r="F23" i="16" s="1"/>
  <c r="F13" i="1"/>
  <c r="G13" i="12"/>
  <c r="E13" i="12"/>
  <c r="C33" i="12"/>
  <c r="D13" i="12"/>
  <c r="H7" i="12"/>
  <c r="I44" i="7"/>
  <c r="I20" i="8"/>
  <c r="J13" i="7"/>
  <c r="J28" i="7" s="1"/>
  <c r="J36" i="7"/>
  <c r="J42" i="7"/>
  <c r="J45" i="7"/>
  <c r="J21" i="8" s="1"/>
  <c r="J16" i="6"/>
  <c r="J17" i="6"/>
  <c r="J15" i="6"/>
  <c r="J11" i="6"/>
  <c r="J12" i="6"/>
  <c r="J13" i="6"/>
  <c r="I14" i="6"/>
  <c r="I18" i="6"/>
  <c r="K6" i="12"/>
  <c r="K12" i="12" s="1"/>
  <c r="K7" i="7"/>
  <c r="K6" i="6"/>
  <c r="K6" i="8"/>
  <c r="C42" i="16"/>
  <c r="I55" i="17"/>
  <c r="F4" i="1"/>
  <c r="I8" i="17"/>
  <c r="F10" i="1"/>
  <c r="C41" i="16"/>
  <c r="F48" i="16"/>
  <c r="F15" i="1"/>
  <c r="C39" i="16"/>
  <c r="F8" i="1"/>
  <c r="D7" i="11"/>
  <c r="D8" i="12"/>
  <c r="G7" i="11"/>
  <c r="G8" i="12"/>
  <c r="G43" i="14"/>
  <c r="G49" i="14"/>
  <c r="G33" i="12"/>
  <c r="H47" i="14"/>
  <c r="AC155" i="3"/>
  <c r="C7" i="16"/>
  <c r="AC156" i="3"/>
  <c r="AC160" i="3"/>
  <c r="D7" i="14"/>
  <c r="D41" i="14" s="1"/>
  <c r="D49" i="14"/>
  <c r="D33" i="12"/>
  <c r="D47" i="14"/>
  <c r="C7" i="11"/>
  <c r="C8" i="12"/>
  <c r="C7" i="14"/>
  <c r="C41" i="14" s="1"/>
  <c r="F33" i="12"/>
  <c r="F47" i="14"/>
  <c r="F49" i="14"/>
  <c r="F7" i="11"/>
  <c r="F8" i="12"/>
  <c r="F7" i="14"/>
  <c r="F41" i="14" s="1"/>
  <c r="E33" i="12"/>
  <c r="E47" i="14"/>
  <c r="E49" i="14"/>
  <c r="E7" i="11"/>
  <c r="E8" i="12"/>
  <c r="E7" i="14"/>
  <c r="E41" i="14" s="1"/>
  <c r="G47" i="14"/>
  <c r="I49" i="14"/>
  <c r="I47" i="14"/>
  <c r="J44" i="14"/>
  <c r="J48" i="14" s="1"/>
  <c r="J46" i="14"/>
  <c r="J42" i="14"/>
  <c r="L7" i="14"/>
  <c r="K41" i="14"/>
  <c r="AE7" i="5"/>
  <c r="H16" i="5"/>
  <c r="J18" i="6" l="1"/>
  <c r="H12" i="5"/>
  <c r="I5" i="5"/>
  <c r="H6" i="14"/>
  <c r="H40" i="14" s="1"/>
  <c r="G10" i="6"/>
  <c r="G22" i="6"/>
  <c r="H5" i="6"/>
  <c r="G19" i="8"/>
  <c r="G14" i="8"/>
  <c r="G26" i="8"/>
  <c r="H5" i="8"/>
  <c r="G32" i="8"/>
  <c r="G19" i="7"/>
  <c r="G34" i="7"/>
  <c r="G41" i="7"/>
  <c r="G12" i="7"/>
  <c r="G27" i="7"/>
  <c r="H6" i="7"/>
  <c r="F11" i="12"/>
  <c r="F27" i="12"/>
  <c r="F22" i="12"/>
  <c r="F17" i="12"/>
  <c r="F14" i="12"/>
  <c r="E14" i="12"/>
  <c r="H13" i="12"/>
  <c r="G14" i="12"/>
  <c r="C34" i="12"/>
  <c r="D14" i="12"/>
  <c r="H8" i="12"/>
  <c r="H7" i="11"/>
  <c r="J44" i="7"/>
  <c r="J20" i="8"/>
  <c r="J30" i="6"/>
  <c r="J9" i="8"/>
  <c r="I7" i="8"/>
  <c r="I8" i="8" s="1"/>
  <c r="I33" i="8" s="1"/>
  <c r="I8" i="7"/>
  <c r="I26" i="6"/>
  <c r="I9" i="8"/>
  <c r="I30" i="6"/>
  <c r="K42" i="7"/>
  <c r="K13" i="7"/>
  <c r="K28" i="7" s="1"/>
  <c r="K36" i="7"/>
  <c r="K45" i="7"/>
  <c r="K21" i="8" s="1"/>
  <c r="K16" i="6"/>
  <c r="K11" i="6"/>
  <c r="K12" i="6"/>
  <c r="K13" i="6"/>
  <c r="K17" i="6"/>
  <c r="K15" i="6"/>
  <c r="K18" i="6" s="1"/>
  <c r="J14" i="6"/>
  <c r="L6" i="8"/>
  <c r="L7" i="7"/>
  <c r="L6" i="12"/>
  <c r="L6" i="6"/>
  <c r="C11" i="16"/>
  <c r="I12" i="17"/>
  <c r="C12" i="16"/>
  <c r="I13" i="17"/>
  <c r="D34" i="12"/>
  <c r="D43" i="14"/>
  <c r="G34" i="12"/>
  <c r="D45" i="14"/>
  <c r="K10" i="14"/>
  <c r="I10" i="14"/>
  <c r="H10" i="14"/>
  <c r="J10" i="14"/>
  <c r="C45" i="14"/>
  <c r="C43" i="14"/>
  <c r="F34" i="12"/>
  <c r="F46" i="14"/>
  <c r="F45" i="14"/>
  <c r="F43" i="14"/>
  <c r="G46" i="14"/>
  <c r="E34" i="12"/>
  <c r="E43" i="14"/>
  <c r="E46" i="14"/>
  <c r="E45" i="14"/>
  <c r="D46" i="14"/>
  <c r="J49" i="14"/>
  <c r="J47" i="14"/>
  <c r="L8" i="14"/>
  <c r="L11" i="14" s="1"/>
  <c r="C30" i="14" s="1"/>
  <c r="L10" i="14"/>
  <c r="L41" i="14"/>
  <c r="K44" i="14"/>
  <c r="K48" i="14" s="1"/>
  <c r="K42" i="14"/>
  <c r="K46" i="14"/>
  <c r="AA16" i="5"/>
  <c r="I15" i="7" l="1"/>
  <c r="I30" i="7" s="1"/>
  <c r="I14" i="7"/>
  <c r="I29" i="7" s="1"/>
  <c r="I35" i="7" s="1"/>
  <c r="I22" i="8" s="1"/>
  <c r="I12" i="5"/>
  <c r="J5" i="5"/>
  <c r="I6" i="14"/>
  <c r="I40" i="14" s="1"/>
  <c r="G27" i="12"/>
  <c r="G11" i="12"/>
  <c r="G22" i="12"/>
  <c r="G17" i="12"/>
  <c r="H22" i="6"/>
  <c r="H10" i="6"/>
  <c r="I5" i="6"/>
  <c r="H19" i="8"/>
  <c r="H14" i="8"/>
  <c r="I5" i="8"/>
  <c r="H26" i="8"/>
  <c r="H32" i="8"/>
  <c r="H12" i="7"/>
  <c r="H19" i="7"/>
  <c r="I6" i="7"/>
  <c r="H27" i="7"/>
  <c r="H34" i="7"/>
  <c r="H41" i="7"/>
  <c r="H14" i="12"/>
  <c r="H10" i="11"/>
  <c r="K14" i="6"/>
  <c r="K44" i="7"/>
  <c r="K20" i="8"/>
  <c r="K9" i="8"/>
  <c r="K30" i="6"/>
  <c r="J7" i="8"/>
  <c r="J8" i="8" s="1"/>
  <c r="J26" i="6"/>
  <c r="J8" i="7"/>
  <c r="L36" i="7"/>
  <c r="L42" i="7"/>
  <c r="L13" i="7"/>
  <c r="L28" i="7" s="1"/>
  <c r="L45" i="7"/>
  <c r="L21" i="8" s="1"/>
  <c r="L12" i="12"/>
  <c r="C48" i="12"/>
  <c r="C52" i="12" s="1"/>
  <c r="C53" i="12" s="1"/>
  <c r="C7" i="13" s="1"/>
  <c r="I5" i="1" s="1"/>
  <c r="L11" i="6"/>
  <c r="L12" i="6"/>
  <c r="L13" i="6"/>
  <c r="L15" i="6"/>
  <c r="L16" i="6"/>
  <c r="L17" i="6"/>
  <c r="I10" i="8"/>
  <c r="I34" i="8" s="1"/>
  <c r="C29" i="14"/>
  <c r="L42" i="14"/>
  <c r="L46" i="14"/>
  <c r="L44" i="14"/>
  <c r="L48" i="14" s="1"/>
  <c r="K47" i="14"/>
  <c r="K49" i="14"/>
  <c r="I16" i="5"/>
  <c r="J16" i="5"/>
  <c r="K8" i="7" l="1"/>
  <c r="K7" i="8"/>
  <c r="K8" i="8" s="1"/>
  <c r="K26" i="6"/>
  <c r="K15" i="7"/>
  <c r="K14" i="7"/>
  <c r="J10" i="8"/>
  <c r="J33" i="8"/>
  <c r="J15" i="7"/>
  <c r="J30" i="7" s="1"/>
  <c r="J14" i="7"/>
  <c r="J29" i="7" s="1"/>
  <c r="H22" i="12"/>
  <c r="H27" i="12"/>
  <c r="H11" i="12"/>
  <c r="H17" i="12"/>
  <c r="K5" i="5"/>
  <c r="J12" i="5"/>
  <c r="J6" i="14"/>
  <c r="J40" i="14" s="1"/>
  <c r="I22" i="6"/>
  <c r="I10" i="6"/>
  <c r="J5" i="6"/>
  <c r="I14" i="8"/>
  <c r="J5" i="8"/>
  <c r="I19" i="8"/>
  <c r="I26" i="8"/>
  <c r="I32" i="8"/>
  <c r="I12" i="7"/>
  <c r="I34" i="7"/>
  <c r="I41" i="7"/>
  <c r="I19" i="7"/>
  <c r="I27" i="7"/>
  <c r="J6" i="7"/>
  <c r="L14" i="6"/>
  <c r="L44" i="7"/>
  <c r="L20" i="8"/>
  <c r="I7" i="12"/>
  <c r="I27" i="8"/>
  <c r="I28" i="8" s="1"/>
  <c r="L18" i="6"/>
  <c r="C31" i="14"/>
  <c r="C34" i="14" s="1"/>
  <c r="C36" i="14" s="1"/>
  <c r="C16" i="14" s="1"/>
  <c r="L49" i="14"/>
  <c r="L47" i="14"/>
  <c r="K30" i="7" l="1"/>
  <c r="J35" i="7"/>
  <c r="J22" i="8" s="1"/>
  <c r="K33" i="8"/>
  <c r="K10" i="8"/>
  <c r="J34" i="8"/>
  <c r="J27" i="8"/>
  <c r="J7" i="12"/>
  <c r="J13" i="12" s="1"/>
  <c r="K29" i="7"/>
  <c r="L7" i="8"/>
  <c r="L8" i="8" s="1"/>
  <c r="L33" i="8" s="1"/>
  <c r="L8" i="7"/>
  <c r="I11" i="12"/>
  <c r="I22" i="12"/>
  <c r="I27" i="12"/>
  <c r="I17" i="12"/>
  <c r="L5" i="5"/>
  <c r="K12" i="5"/>
  <c r="K6" i="14"/>
  <c r="K40" i="14" s="1"/>
  <c r="J10" i="6"/>
  <c r="J22" i="6"/>
  <c r="K5" i="6"/>
  <c r="K5" i="8"/>
  <c r="J14" i="8"/>
  <c r="J19" i="8"/>
  <c r="J26" i="8"/>
  <c r="J32" i="8"/>
  <c r="K6" i="7"/>
  <c r="J27" i="7"/>
  <c r="J19" i="7"/>
  <c r="J12" i="7"/>
  <c r="J41" i="7"/>
  <c r="J34" i="7"/>
  <c r="I13" i="12"/>
  <c r="L26" i="6"/>
  <c r="I7" i="11"/>
  <c r="I10" i="11" s="1"/>
  <c r="I8" i="12"/>
  <c r="L9" i="8"/>
  <c r="L30" i="6"/>
  <c r="K16" i="5"/>
  <c r="J28" i="8" l="1"/>
  <c r="K35" i="7"/>
  <c r="K22" i="8" s="1"/>
  <c r="J7" i="11"/>
  <c r="J10" i="11" s="1"/>
  <c r="J8" i="12"/>
  <c r="J14" i="12" s="1"/>
  <c r="L10" i="8"/>
  <c r="K34" i="8"/>
  <c r="K7" i="12"/>
  <c r="K13" i="12" s="1"/>
  <c r="K27" i="8"/>
  <c r="L14" i="7"/>
  <c r="L29" i="7" s="1"/>
  <c r="L15" i="7"/>
  <c r="L30" i="7" s="1"/>
  <c r="J11" i="12"/>
  <c r="J27" i="12"/>
  <c r="J22" i="12"/>
  <c r="J17" i="12"/>
  <c r="L12" i="5"/>
  <c r="L6" i="14"/>
  <c r="L40" i="14" s="1"/>
  <c r="K10" i="6"/>
  <c r="K22" i="6"/>
  <c r="L5" i="6"/>
  <c r="K14" i="8"/>
  <c r="K19" i="8"/>
  <c r="L5" i="8"/>
  <c r="K26" i="8"/>
  <c r="K32" i="8"/>
  <c r="L6" i="7"/>
  <c r="K41" i="7"/>
  <c r="K34" i="7"/>
  <c r="K27" i="7"/>
  <c r="K19" i="7"/>
  <c r="K12" i="7"/>
  <c r="I14" i="12"/>
  <c r="L16" i="5"/>
  <c r="K28" i="8" l="1"/>
  <c r="L34" i="8"/>
  <c r="L27" i="8"/>
  <c r="L7" i="12"/>
  <c r="K7" i="11"/>
  <c r="K10" i="11" s="1"/>
  <c r="K8" i="12"/>
  <c r="K14" i="12" s="1"/>
  <c r="L35" i="7"/>
  <c r="L22" i="8" s="1"/>
  <c r="L28" i="8" s="1"/>
  <c r="K22" i="12"/>
  <c r="K17" i="12"/>
  <c r="K11" i="12"/>
  <c r="K27" i="12"/>
  <c r="L22" i="6"/>
  <c r="L10" i="6"/>
  <c r="L26" i="8"/>
  <c r="L19" i="8"/>
  <c r="L14" i="8"/>
  <c r="L32" i="8"/>
  <c r="L34" i="7"/>
  <c r="L41" i="7"/>
  <c r="L19" i="7"/>
  <c r="L27" i="7"/>
  <c r="L12" i="7"/>
  <c r="AC66" i="3"/>
  <c r="L13" i="12" l="1"/>
  <c r="C38" i="12"/>
  <c r="C42" i="12" s="1"/>
  <c r="C43" i="12" s="1"/>
  <c r="C45" i="12" s="1"/>
  <c r="C6" i="13" s="1"/>
  <c r="I4" i="1" s="1"/>
  <c r="L7" i="11"/>
  <c r="L8" i="12"/>
  <c r="L27" i="12"/>
  <c r="L22" i="12"/>
  <c r="L17" i="12"/>
  <c r="L11" i="12"/>
  <c r="C56" i="12" l="1"/>
  <c r="C59" i="12" s="1"/>
  <c r="C60" i="12" s="1"/>
  <c r="C62" i="12" s="1"/>
  <c r="C8" i="13" s="1"/>
  <c r="I6" i="1" s="1"/>
  <c r="L14" i="12"/>
  <c r="L8" i="11"/>
  <c r="L11" i="11" s="1"/>
  <c r="C20" i="11" s="1"/>
  <c r="L10" i="11"/>
  <c r="C19" i="11" s="1"/>
  <c r="C21" i="11" l="1"/>
  <c r="C24" i="11" s="1"/>
  <c r="C26" i="11" s="1"/>
  <c r="C5" i="13" s="1"/>
  <c r="C9" i="13" l="1"/>
  <c r="I3" i="1"/>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<sst xmlns="http://schemas.openxmlformats.org/spreadsheetml/2006/main" count="729" uniqueCount="407">
  <si>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</si>
  <si>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</si>
  <si>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</si>
  <si>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</si>
  <si>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</si>
  <si>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</si>
  <si>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</si>
  <si>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</si>
  <si>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</si>
  <si>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</si>
  <si>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</si>
  <si>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</si>
  <si>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</si>
  <si>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</si>
  <si>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</si>
  <si>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</si>
  <si>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</si>
  <si>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</si>
  <si>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</si>
  <si>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</si>
  <si>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</si>
  <si>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</si>
  <si>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</si>
  <si>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</si>
  <si>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</si>
  <si>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</si>
  <si>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</si>
  <si>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</si>
  <si>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</si>
  <si>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</si>
  <si>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</si>
  <si>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</si>
  <si>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</si>
  <si>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</si>
  <si>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</si>
  <si>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</si>
  <si>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</si>
  <si>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</si>
  <si>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</si>
  <si>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</si>
  <si>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</si>
  <si>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</si>
  <si>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</si>
  <si>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</si>
  <si>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</si>
  <si>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</si>
  <si>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</si>
  <si>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</si>
  <si>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</si>
  <si>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</si>
  <si>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</si>
  <si>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</si>
  <si>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</si>
  <si>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</si>
  <si>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</si>
  <si>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</si>
  <si>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</si>
  <si>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</si>
  <si>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</si>
  <si>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</si>
  <si>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</si>
  <si>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</si>
  <si>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</si>
  <si>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</si>
  <si>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</si>
  <si>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</si>
  <si>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</si>
  <si>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</si>
  <si>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</si>
  <si>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</si>
  <si>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</si>
  <si>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</si>
  <si>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</si>
  <si>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</si>
  <si>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</si>
  <si>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</si>
  <si>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</si>
  <si>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</si>
  <si>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</si>
  <si>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</si>
  <si>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</si>
  <si>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</si>
  <si>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</si>
  <si>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</si>
  <si>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</si>
  <si>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</si>
  <si>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</si>
  <si>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</si>
  <si>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</si>
  <si>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</si>
  <si>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</si>
  <si>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</si>
  <si>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</si>
  <si>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</si>
  <si>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</si>
  <si>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</si>
  <si>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</si>
  <si>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</si>
  <si>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</si>
  <si>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</si>
  <si>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Subscription services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</si>
  <si>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</si>
  <si>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</si>
  <si>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</si>
  <si>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</si>
  <si>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</si>
  <si>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</si>
  <si>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</si>
  <si>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</si>
  <si>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</si>
  <si>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</si>
  <si>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</si>
  <si>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</si>
  <si>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</si>
  <si>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</si>
  <si>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</si>
  <si>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</si>
  <si>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</si>
  <si>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</si>
  <si>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</si>
  <si>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</si>
  <si>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</si>
  <si>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</si>
  <si>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</si>
  <si>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</si>
  <si>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</si>
  <si>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</si>
  <si>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</si>
  <si>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</si>
  <si>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</si>
  <si>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</si>
  <si>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</si>
  <si>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</si>
  <si>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</si>
  <si>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</si>
  <si>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</si>
  <si>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</si>
  <si>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</si>
  <si>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</si>
  <si>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</si>
  <si>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</si>
  <si>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</si>
  <si>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</si>
  <si>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</si>
  <si>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</si>
  <si>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</si>
  <si>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</si>
  <si>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</si>
  <si>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</si>
  <si>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</si>
  <si>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</si>
  <si>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</si>
  <si>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</si>
  <si>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</si>
  <si>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</si>
  <si>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</si>
  <si>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</si>
  <si>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</si>
  <si>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</si>
  <si>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</si>
  <si>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</si>
  <si>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</si>
  <si>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</si>
  <si>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</si>
  <si>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</si>
  <si>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</si>
  <si>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</si>
  <si>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</si>
  <si>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</si>
  <si>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</si>
  <si>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</si>
  <si>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</si>
  <si>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</si>
  <si>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</si>
  <si>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</si>
  <si>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</si>
  <si>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</si>
  <si>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</si>
  <si>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</si>
  <si>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</si>
  <si>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</si>
  <si>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</si>
  <si>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</si>
  <si>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</si>
  <si>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</si>
  <si>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</si>
  <si>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</si>
  <si>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</si>
  <si>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</si>
  <si>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</si>
  <si>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</si>
  <si>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</si>
  <si>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</si>
  <si>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</si>
  <si>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</si>
  <si>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</si>
  <si>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</si>
  <si>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</si>
  <si>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</si>
  <si>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</si>
  <si>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</si>
  <si>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</si>
  <si>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</si>
  <si>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</si>
  <si>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</si>
  <si>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</si>
  <si>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</si>
  <si>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</si>
  <si>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</si>
  <si>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</si>
  <si>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</si>
  <si>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</si>
  <si>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</si>
  <si>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</si>
  <si>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</si>
  <si>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</si>
  <si>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</si>
  <si>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</si>
  <si>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</si>
  <si>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</si>
  <si>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</si>
  <si>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</si>
  <si>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</si>
  <si>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</si>
  <si>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</si>
  <si>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</si>
  <si>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</si>
  <si>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</si>
  <si>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</si>
  <si>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</si>
  <si>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</si>
  <si>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</si>
  <si>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</si>
  <si>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</si>
  <si>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</si>
  <si>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</si>
  <si>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</si>
  <si>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</si>
  <si>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</si>
  <si>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</si>
  <si>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</si>
  <si>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</si>
  <si>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</si>
  <si>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</si>
  <si>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</si>
  <si>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</si>
  <si>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</si>
  <si>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</si>
  <si>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</si>
  <si>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</si>
  <si>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</si>
  <si>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</si>
  <si>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</si>
  <si>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</si>
  <si>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</si>
  <si>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</si>
  <si>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</si>
  <si>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</si>
  <si>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</si>
  <si>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</si>
  <si>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</si>
  <si>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</si>
  <si>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</si>
  <si>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</si>
  <si>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</si>
  <si>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</si>
  <si>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</si>
  <si>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</si>
  <si>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</si>
  <si>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</si>
  <si>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</si>
  <si>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</si>
  <si>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</si>
  <si>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</si>
  <si>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</si>
  <si>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</si>
  <si>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</si>
  <si>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</si>
  <si>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</si>
  <si>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</si>
  <si>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</si>
  <si>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</si>
  <si>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</si>
  <si>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</si>
  <si>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</si>
  <si>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</si>
  <si>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</si>
  <si>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</si>
  <si>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</si>
  <si>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</si>
  <si>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</si>
  <si>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</si>
  <si>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</si>
  <si>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</si>
  <si>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</si>
  <si>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</si>
  <si>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</si>
  <si>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</si>
  <si>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</si>
  <si>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</si>
  <si>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</si>
  <si>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</si>
  <si>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</si>
  <si>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</si>
  <si>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</si>
  <si>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</si>
  <si>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</si>
  <si>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</si>
  <si>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</si>
  <si>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</si>
  <si>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</si>
  <si>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</si>
  <si>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</si>
  <si>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</si>
  <si>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</si>
  <si>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</si>
  <si>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</si>
  <si>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</si>
  <si>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</si>
  <si>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</si>
  <si>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</si>
  <si>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</si>
  <si>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</si>
  <si>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</si>
  <si>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</si>
  <si>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</si>
  <si>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</si>
  <si>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</si>
  <si>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</si>
  <si>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</si>
  <si>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</si>
  <si>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</si>
  <si>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</si>
  <si>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</si>
  <si>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</si>
  <si>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</si>
  <si>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</si>
  <si>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</si>
  <si>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</si>
  <si>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</si>
  <si>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</si>
  <si>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</si>
  <si>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</si>
  <si>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</si>
  <si>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</si>
  <si>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</si>
  <si>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</si>
  <si>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</si>
  <si>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</si>
  <si>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</si>
  <si>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</si>
  <si>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</si>
  <si>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</si>
  <si>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</si>
  <si>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</si>
  <si>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</si>
  <si>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</si>
  <si>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</si>
  <si>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</si>
  <si>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</si>
  <si>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</si>
  <si>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</si>
  <si>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</si>
  <si>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</si>
  <si>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</si>
  <si>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</si>
  <si>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</si>
  <si>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</si>
  <si>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</si>
  <si>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</si>
  <si>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t>
  </si>
  <si>
    <t>03.12.2021</t>
  </si>
  <si>
    <t>02.12.2022</t>
  </si>
  <si>
    <t>01.12.2023</t>
  </si>
  <si>
    <t>29.11.2024</t>
  </si>
  <si>
    <t>28.11.2025</t>
  </si>
  <si>
    <t>30.08.2024</t>
  </si>
  <si>
    <t>28.02.2025</t>
  </si>
  <si>
    <t>30.05.2025</t>
  </si>
  <si>
    <t>29.08.2025</t>
  </si>
  <si>
    <t>27.02.2026</t>
  </si>
  <si>
    <t>29.05.2026</t>
  </si>
  <si>
    <t>Q3 2024</t>
  </si>
  <si>
    <t>Q4 2024</t>
  </si>
  <si>
    <t>Q1 2025</t>
  </si>
  <si>
    <t>EPS Lower</t>
  </si>
  <si>
    <t>EPS Upper</t>
  </si>
  <si>
    <t>Actual EPS</t>
  </si>
  <si>
    <t>Subscription</t>
  </si>
  <si>
    <t>Product</t>
  </si>
  <si>
    <t>Services &amp; Other</t>
  </si>
  <si>
    <t>Subscription COGS</t>
  </si>
  <si>
    <t>Product COGS</t>
  </si>
  <si>
    <t>Services &amp; Other COGS</t>
  </si>
  <si>
    <t>Empower everyone to create</t>
  </si>
  <si>
    <t>KPMG</t>
  </si>
  <si>
    <t>Subscription Revenue</t>
  </si>
  <si>
    <t>Product Revenue</t>
  </si>
  <si>
    <t>Services Revenue</t>
  </si>
  <si>
    <t>Services</t>
  </si>
  <si>
    <t>FY 2024</t>
  </si>
  <si>
    <t>-</t>
  </si>
  <si>
    <t>Net income, basic/diluted EPS</t>
  </si>
  <si>
    <t>Added 1B to net income because of a one time termination fee and adjusted the EPS values</t>
  </si>
  <si>
    <t>Subscription Growth Rate</t>
  </si>
  <si>
    <t>Product Growth Rate</t>
  </si>
  <si>
    <t>Services Growth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</si>
</sst>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Year'!$H$57:$L$57</c:f>
              <c:numCache>
                <c:formatCode>#,##0_);[Red]\(#,##0\)</c:formatCode>
                <c:ptCount val="5"/>
                <c:pt idx="0">
                  <c:v>15785</c:v>
                </c:pt>
                <c:pt idx="1">
                  <c:v>17606</c:v>
                </c:pt>
                <c:pt idx="2">
                  <c:v>19409</c:v>
                </c:pt>
                <c:pt idx="3">
                  <c:v>21505</c:v>
                </c:pt>
                <c:pt idx="4">
                  <c:v>23769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Year'!$H$58:$L$58</c:f>
              <c:numCache>
                <c:formatCode>#,##0_);\(#,##0\)</c:formatCode>
                <c:ptCount val="5"/>
                <c:pt idx="0">
                  <c:v>5802</c:v>
                </c:pt>
                <c:pt idx="1">
                  <c:v>6098</c:v>
                </c:pt>
                <c:pt idx="2">
                  <c:v>6650</c:v>
                </c:pt>
                <c:pt idx="3">
                  <c:v>6741</c:v>
                </c:pt>
                <c:pt idx="4">
                  <c:v>8706</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Year'!$H$59:$L$59</c:f>
              <c:numCache>
                <c:formatCode>#,##0_);\(#,##0\)</c:formatCode>
                <c:ptCount val="5"/>
                <c:pt idx="0">
                  <c:v>4822</c:v>
                </c:pt>
                <c:pt idx="1">
                  <c:v>4756</c:v>
                </c:pt>
                <c:pt idx="2">
                  <c:v>5428</c:v>
                </c:pt>
                <c:pt idx="3">
                  <c:v>6560</c:v>
                </c:pt>
                <c:pt idx="4">
                  <c:v>7130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5813</c:v>
                </c:pt>
                <c:pt idx="1">
                  <c:v>5956</c:v>
                </c:pt>
                <c:pt idx="2">
                  <c:v>5224</c:v>
                </c:pt>
                <c:pt idx="3">
                  <c:v>6040</c:v>
                </c:pt>
                <c:pt idx="4">
                  <c:v>7910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5635.9866783523221</c:v>
                </c:pt>
                <c:pt idx="1">
                  <c:v>5577.2450066577894</c:v>
                </c:pt>
                <c:pt idx="2">
                  <c:v>5466.0454478599795</c:v>
                </c:pt>
                <c:pt idx="3">
                  <c:v>6225.5833213100559</c:v>
                </c:pt>
                <c:pt idx="4">
                  <c:v>8351.1422028852758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0.88184985745961353</c:v>
                </c:pt>
                <c:pt idx="1">
                  <c:v>0.87703055776439853</c:v>
                </c:pt>
                <c:pt idx="2">
                  <c:v>0.87871605955999799</c:v>
                </c:pt>
                <c:pt idx="3">
                  <c:v>0.89035108114392003</c:v>
                </c:pt>
                <c:pt idx="4">
                  <c:v>0.89267533341747651</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0.36756414317389929</c:v>
                </c:pt>
                <c:pt idx="1">
                  <c:v>0.34635919572872886</c:v>
                </c:pt>
                <c:pt idx="2">
                  <c:v>0.3426245556185275</c:v>
                </c:pt>
                <c:pt idx="3">
                  <c:v>0.31346198558474775</c:v>
                </c:pt>
                <c:pt idx="4">
                  <c:v>0.36627540073204595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0.30547988596769082</c:v>
                </c:pt>
                <c:pt idx="1">
                  <c:v>0.27013518118823127</c:v>
                </c:pt>
                <c:pt idx="2">
                  <c:v>0.27966407336802512</c:v>
                </c:pt>
                <c:pt idx="3">
                  <c:v>0.30504533829342012</c:v>
                </c:pt>
                <c:pt idx="4">
                  <c:v>0.29997054987588878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14573</c:v>
                </c:pt>
                <c:pt idx="1">
                  <c:v>16388</c:v>
                </c:pt>
                <c:pt idx="2">
                  <c:v>18284</c:v>
                </c:pt>
                <c:pt idx="3">
                  <c:v>20521</c:v>
                </c:pt>
                <c:pt idx="4">
                  <c:v>22904</c:v>
                </c:pt>
              </c:numCache>
            </c:numRef>
          </c:val>
          <c:extLst>
            <c:ext xmlns:c16="http://schemas.microsoft.com/office/drawing/2014/chart" uri="{C3380CC4-5D6E-409C-BE32-E72D297353CC}">
              <c16:uniqueId val="{00000000-CDE5-154C-8153-319428CD8714}"/>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555</c:v>
                </c:pt>
                <c:pt idx="1">
                  <c:v>532</c:v>
                </c:pt>
                <c:pt idx="2">
                  <c:v>460</c:v>
                </c:pt>
                <c:pt idx="3">
                  <c:v>386</c:v>
                </c:pt>
                <c:pt idx="4">
                  <c:v>325</c:v>
                </c:pt>
              </c:numCache>
            </c:numRef>
          </c:val>
          <c:extLst>
            <c:ext xmlns:c16="http://schemas.microsoft.com/office/drawing/2014/chart" uri="{C3380CC4-5D6E-409C-BE32-E72D297353CC}">
              <c16:uniqueId val="{00000001-CDE5-154C-8153-319428CD8714}"/>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657</c:v>
                </c:pt>
                <c:pt idx="1">
                  <c:v>686</c:v>
                </c:pt>
                <c:pt idx="2">
                  <c:v>665</c:v>
                </c:pt>
                <c:pt idx="3">
                  <c:v>598</c:v>
                </c:pt>
                <c:pt idx="4">
                  <c:v>540</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0.1770125913145626</c:v>
                </c:pt>
                <c:pt idx="1">
                  <c:v>0.17507822565801581</c:v>
                </c:pt>
                <c:pt idx="2">
                  <c:v>0.18227610060781085</c:v>
                </c:pt>
                <c:pt idx="3">
                  <c:v>0.21700297717499173</c:v>
                </c:pt>
                <c:pt idx="4">
                  <c:v>0.24172769189042584</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0.3258768669324863</c:v>
                </c:pt>
                <c:pt idx="1">
                  <c:v>0.33848124688634257</c:v>
                </c:pt>
                <c:pt idx="2">
                  <c:v>0.32861121201113935</c:v>
                </c:pt>
                <c:pt idx="3">
                  <c:v>0.46508330379298118</c:v>
                </c:pt>
                <c:pt idx="4">
                  <c:v>0.61343887120364793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0.37372250254171024</c:v>
                </c:pt>
                <c:pt idx="1">
                  <c:v>0.39947409853176014</c:v>
                </c:pt>
                <c:pt idx="2">
                  <c:v>0.43127907781153368</c:v>
                </c:pt>
                <c:pt idx="3">
                  <c:v>0.45645170265130885</c:v>
                </c:pt>
                <c:pt idx="4">
                  <c:v>0.63242055551568566</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51.215990950765026</c:v>
                </c:pt>
                <c:pt idx="2">
                  <c:v>90.940346490444725</c:v>
                </c:pt>
                <c:pt idx="3">
                  <c:v>76.483895933797697</c:v>
                </c:pt>
                <c:pt idx="4">
                  <c:v>47.258439006965524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111.53626860943935</c:v>
                </c:pt>
                <c:pt idx="2">
                  <c:v>122.95850490972443</c:v>
                </c:pt>
                <c:pt idx="3">
                  <c:v>136.23693379790942</c:v>
                </c:pt>
                <c:pt idx="4">
                  <c:v>150.57966423820082</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100.79840319361277</c:v>
                </c:pt>
                <c:pt idx="2">
                  <c:v>117.96407185628743</c:v>
                </c:pt>
                <c:pt idx="3">
                  <c:v>145.4868041694389</c:v>
                </c:pt>
                <c:pt idx="4">
                  <c:v>166.66666666666666</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5408</c:v>
                </c:pt>
                <c:pt idx="1">
                  <c:v>5606</c:v>
                </c:pt>
                <c:pt idx="2">
                  <c:v>5714</c:v>
                </c:pt>
                <c:pt idx="3">
                  <c:v>5873</c:v>
                </c:pt>
                <c:pt idx="4">
                  <c:v>5988</c:v>
                </c:pt>
                <c:pt idx="5">
                  <c:v>6194</c:v>
                </c:pt>
                <c:pt idx="6">
                  <c:v>6398</c:v>
                </c:pt>
                <c:pt idx="7">
                  <c:v>6618</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1992</c:v>
                </c:pt>
                <c:pt idx="1">
                  <c:v>1957</c:v>
                </c:pt>
                <c:pt idx="2">
                  <c:v>2163</c:v>
                </c:pt>
                <c:pt idx="3">
                  <c:v>2109</c:v>
                </c:pt>
                <c:pt idx="4">
                  <c:v>2173</c:v>
                </c:pt>
                <c:pt idx="5">
                  <c:v>2261</c:v>
                </c:pt>
                <c:pt idx="6">
                  <c:v>2418</c:v>
                </c:pt>
                <c:pt idx="7">
                  <c:v>2238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1684</c:v>
                </c:pt>
                <c:pt idx="1">
                  <c:v>1683</c:v>
                </c:pt>
                <c:pt idx="2">
                  <c:v>1811</c:v>
                </c:pt>
                <c:pt idx="3">
                  <c:v>1691</c:v>
                </c:pt>
                <c:pt idx="4">
                  <c:v>1772</c:v>
                </c:pt>
                <c:pt idx="5">
                  <c:v>1856</c:v>
                </c:pt>
                <c:pt idx="6">
                  <c:v>1889</c:v>
                </c:pt>
                <c:pt idx="7">
                  <c:v>1712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0.8975591715976331</c:v>
                </c:pt>
                <c:pt idx="1">
                  <c:v>0.89011773100249736</c:v>
                </c:pt>
                <c:pt idx="2">
                  <c:v>0.89114455722786134</c:v>
                </c:pt>
                <c:pt idx="3">
                  <c:v>0.89136727396560533</c:v>
                </c:pt>
                <c:pt idx="4">
                  <c:v>0.89278557114228452</c:v>
                </c:pt>
                <c:pt idx="5">
                  <c:v>0.89522118178882792</c:v>
                </c:pt>
                <c:pt idx="6">
                  <c:v>0.89621756798999686</c:v>
                </c:pt>
                <c:pt idx="7">
                  <c:v>0.89196131761861586</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0.36834319526627218</c:v>
                </c:pt>
                <c:pt idx="1">
                  <c:v>0.34909026043524793</c:v>
                </c:pt>
                <c:pt idx="2">
                  <c:v>0.37854392719635982</c:v>
                </c:pt>
                <c:pt idx="3">
                  <c:v>0.35910097054316364</c:v>
                </c:pt>
                <c:pt idx="4">
                  <c:v>0.36289245156980626</c:v>
                </c:pt>
                <c:pt idx="5">
                  <c:v>0.36503067484662577</c:v>
                </c:pt>
                <c:pt idx="6">
                  <c:v>0.37793060331353551</c:v>
                </c:pt>
                <c:pt idx="7">
                  <c:v>0.33816863100634631</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0.31139053254437871</c:v>
                </c:pt>
                <c:pt idx="1">
                  <c:v>0.30021405636817694</c:v>
                </c:pt>
                <c:pt idx="2">
                  <c:v>0.31694084704235209</c:v>
                </c:pt>
                <c:pt idx="3">
                  <c:v>0.28792780521028433</c:v>
                </c:pt>
                <c:pt idx="4">
                  <c:v>0.29592518370073478</c:v>
                </c:pt>
                <c:pt idx="5">
                  <c:v>0.29964481756538586</c:v>
                </c:pt>
                <c:pt idx="6">
                  <c:v>0.29524851516098782</c:v>
                </c:pt>
                <c:pt idx="7">
                  <c:v>0.25868842550619525</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5180</c:v>
                </c:pt>
                <c:pt idx="1">
                  <c:v>5365</c:v>
                </c:pt>
                <c:pt idx="2">
                  <c:v>5483</c:v>
                </c:pt>
                <c:pt idx="3">
                  <c:v>5641</c:v>
                </c:pt>
                <c:pt idx="4">
                  <c:v>5791</c:v>
                </c:pt>
                <c:pt idx="5">
                  <c:v>5989</c:v>
                </c:pt>
                <c:pt idx="6">
                  <c:v>6198</c:v>
                </c:pt>
                <c:pt idx="7">
                  <c:v>6416</c:v>
                </c:pt>
              </c:numCache>
            </c:numRef>
          </c:val>
          <c:extLst>
            <c:ext xmlns:c16="http://schemas.microsoft.com/office/drawing/2014/chart" uri="{C3380CC4-5D6E-409C-BE32-E72D297353CC}">
              <c16:uniqueId val="{00000000-2E19-FD44-9C5E-C1716B02A7E3}"/>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82</c:v>
                </c:pt>
                <c:pt idx="1">
                  <c:v>81</c:v>
                </c:pt>
                <c:pt idx="2">
                  <c:v>95</c:v>
                </c:pt>
                <c:pt idx="3">
                  <c:v>88</c:v>
                </c:pt>
                <c:pt idx="4">
                  <c:v>68</c:v>
                </c:pt>
                <c:pt idx="5">
                  <c:v>74</c:v>
                </c:pt>
                <c:pt idx="6">
                  <c:v>90</c:v>
                </c:pt>
                <c:pt idx="7">
                  <c:v>89</c:v>
                </c:pt>
              </c:numCache>
            </c:numRef>
          </c:val>
          <c:extLst>
            <c:ext xmlns:c16="http://schemas.microsoft.com/office/drawing/2014/chart" uri="{C3380CC4-5D6E-409C-BE32-E72D297353CC}">
              <c16:uniqueId val="{00000001-2E19-FD44-9C5E-C1716B02A7E3}"/>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146</c:v>
                </c:pt>
                <c:pt idx="1">
                  <c:v>160</c:v>
                </c:pt>
                <c:pt idx="2">
                  <c:v>136</c:v>
                </c:pt>
                <c:pt idx="3">
                  <c:v>144</c:v>
                </c:pt>
                <c:pt idx="4">
                  <c:v>129</c:v>
                </c:pt>
                <c:pt idx="5">
                  <c:v>131</c:v>
                </c:pt>
                <c:pt idx="6">
                  <c:v>110</c:v>
                </c:pt>
                <c:pt idx="7">
                  <c:v>113</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1981</c:v>
                </c:pt>
                <c:pt idx="3">
                  <c:v>1663</c:v>
                </c:pt>
                <c:pt idx="4">
                  <c:v>1629</c:v>
                </c:pt>
                <c:pt idx="5">
                  <c:v>2637</c:v>
                </c:pt>
                <c:pt idx="6">
                  <c:v>2412</c:v>
                </c:pt>
                <c:pt idx="7">
                  <c:v>1501</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http://es.wikipedia.org/wiki/Adobe_(empresa)</v>
    <v>Wikipedia</v>
  </rv>
  <rv s="1">
    <v>0</v>
    <v>1</v>
  </rv>
  <rv s="2">
    <v>6</v>
    <v>https://www.bing.com/th?id=AMMS_503c684ccc667ad525fe1d703881df2c&amp;qlt=95</v>
    <v>2</v>
    <v>0</v>
    <v>https://www.bing.com/images/search?form=xlimg&amp;q=adobe+systems</v>
    <v>Image of ADOBE INC.</v>
  </rv>
  <rv s="0">
    <v>https://www.bing.com/financeapi/forcetrigger?t=a1mv7w&amp;q=XNAS%3aADBE&amp;form=skydnc</v>
    <v>Learn more on Bing</v>
  </rv>
  <rv s="3">
    <v>0</v>
    <v>ADOBE INC. (XNAS:ADBE)</v>
    <v>3</v>
    <v>4</v>
    <v>Finance</v>
    <v>5</v>
    <v>en-US</v>
    <v>a1mv7w</v>
    <v>268435456</v>
    <v>1</v>
    <v>Powered by Refinitiv</v>
    <v>392.58</v>
    <v>190.12</v>
    <v>1.4390000000000001</v>
    <v>-1.1200000000000001</v>
    <v>-5.7060000000000001E-3</v>
    <v>0.11990000000000001</v>
    <v>6.1439999999999997E-4</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196.78</v>
    <v>3</v>
    <v>Software &amp; IT Services</v>
    <v>Stock</v>
    <v>46191.999931932813</v>
    <v>4</v>
    <v>190.12</v>
    <v>77576100000</v>
    <v>ADOBE INC.</v>
    <v>ADOBE INC.</v>
    <v>193.6</v>
    <v>11.2325</v>
    <v>196.28</v>
    <v>195.16</v>
    <v>195.2799</v>
    <v>397500000</v>
    <v>ADBE</v>
    <v>ADOBE INC. (XNAS:ADBE)</v>
    <v>15852478</v>
    <v>7067597</v>
    <v>1997</v>
  </rv>
  <rv s="4">
    <v>5</v>
  </rv>
  <rv s="0">
    <v>https://www.bing.com/financeapi/forcetrigger?t=a33knm&amp;q=10+Y+TSY+YLD+NDX&amp;form=skydnc</v>
    <v>Learn more on Bing</v>
  </rv>
  <rv s="5">
    <v>7</v>
    <v>10 Y TSY YLD NDX</v>
    <v>8</v>
    <v>9</v>
    <v>Finance</v>
    <v>10</v>
    <v>en-US</v>
    <v>a33knm</v>
    <v>268435456</v>
    <v>1</v>
    <v>Powered by Refinitiv</v>
    <v>46.87</v>
    <v>39.47</v>
    <v>-0.12</v>
    <v>-2.6889999999999996E-3</v>
    <v>US</v>
    <v>44.53</v>
    <v>Index</v>
    <v>7</v>
    <v>44.2</v>
    <v>10 Y TSY YLD NDX</v>
    <v>44.53</v>
    <v>44.63</v>
    <v>44.51</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v>
      <v>GMT</v>
      <v>Delayed 15 minutes</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zoomScale="160" zoomScaleNormal="160" workbookViewId="0">
      <selection activeCell="F8" sqref="F8"/>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3" t="s">
        <v>17</v>
      </c>
      <c r="C2" s="234"/>
      <c r="E2" s="233" t="s">
        <v>293</v>
      </c>
      <c r="F2" s="234"/>
      <c r="H2" s="233" t="s">
        <v>334</v>
      </c>
      <c r="I2" s="234"/>
    </row>
    <row r="3" spans="2:9" x14ac:dyDescent="0.2">
      <c r="B3" s="187" t="s">
        <v>11</v>
      </c>
      <c r="C3" s="219" t="e" vm="1">
        <v>#VALUE!</v>
      </c>
      <c r="D3" s="2"/>
      <c r="E3" s="187" t="s">
        <v>245</v>
      </c>
      <c r="F3" s="189">
        <f ca="1">Statement!AC153</f>
        <v>77673.679999999993</v>
      </c>
      <c r="H3" s="187" t="str">
        <f>'AVG target price'!B5</f>
        <v>DCF price</v>
      </c>
      <c r="I3" s="213">
        <f ca="1">'AVG target price'!C5</f>
        <v>323.42914232415444</v>
      </c>
    </row>
    <row r="4" spans="2:9" x14ac:dyDescent="0.2">
      <c r="B4" s="187" t="s">
        <v>0</v>
      </c>
      <c r="C4" s="191" t="str" cm="1">
        <f t="array" aca="1" ref="C4" ca="1">_FV(C3,"Ticker symbol",TRUE)</f>
        <v>ADBE</v>
      </c>
      <c r="E4" s="188" t="s">
        <v>189</v>
      </c>
      <c r="F4" s="190">
        <f ca="1">Statement!AC154</f>
        <v>78692.679999999993</v>
      </c>
      <c r="H4" s="187" t="str">
        <f>'AVG target price'!B6</f>
        <v>EV/EBIT price</v>
      </c>
      <c r="I4" s="213">
        <f ca="1">'AVG target price'!C6</f>
        <v>507.95806113609035</v>
      </c>
    </row>
    <row r="5" spans="2:9" x14ac:dyDescent="0.2">
      <c r="B5" s="187" t="s">
        <v>1</v>
      </c>
      <c r="C5" s="210" cm="1">
        <f t="array" aca="1" ref="C5" ca="1">_FV(C3,"Price",TRUE)</f>
        <v>195.16</v>
      </c>
      <c r="E5" s="187" t="s">
        <v>249</v>
      </c>
      <c r="F5" s="191">
        <f>Statement!AC26</f>
        <v>17.479999999999997</v>
      </c>
      <c r="H5" s="187" t="str">
        <f>'AVG target price'!B7</f>
        <v>PS price</v>
      </c>
      <c r="I5" s="213">
        <f>'AVG target price'!C7</f>
        <v>323.39164811633128</v>
      </c>
    </row>
    <row r="6" spans="2:9" x14ac:dyDescent="0.2">
      <c r="B6" s="187" t="s">
        <v>2</v>
      </c>
      <c r="C6" s="210" cm="1">
        <f t="array" aca="1" ref="C6" ca="1">_FV(C3,"Price (Extended hours)",TRUE)</f>
        <v>195.2799</v>
      </c>
      <c r="E6" s="187" t="s">
        <v>243</v>
      </c>
      <c r="F6" s="192">
        <f ca="1">Statement!AC150</f>
        <v>11.16475972540046</v>
      </c>
      <c r="H6" s="187" t="str">
        <f>'AVG target price'!B8</f>
        <v>EV/FCFF price</v>
      </c>
      <c r="I6" s="213">
        <f ca="1">'AVG target price'!C8</f>
        <v>381.5574703663172</v>
      </c>
    </row>
    <row r="7" spans="2:9" x14ac:dyDescent="0.2">
      <c r="B7" s="187" t="s">
        <v>3</v>
      </c>
      <c r="C7" s="6" cm="1">
        <f t="array" aca="1" ref="C7" ca="1">_FV(C3,"Change")</f>
        <v>-1.1200000000000001</v>
      </c>
      <c r="E7" s="188" t="s">
        <v>202</v>
      </c>
      <c r="F7" s="193">
        <f ca="1">Statement!AC151</f>
        <v>3.2025819509484879</v>
      </c>
      <c r="H7" s="186" t="str">
        <f>'AVG target price'!B9</f>
        <v>AVG price</v>
      </c>
      <c r="I7" s="214">
        <f ca="1">'AVG target price'!C9</f>
        <v>384.08408048572329</v>
      </c>
    </row>
    <row r="8" spans="2:9" x14ac:dyDescent="0.2">
      <c r="B8" s="187" t="s">
        <v>4</v>
      </c>
      <c r="C8" s="6" cm="1">
        <f t="array" aca="1" ref="C8" ca="1">_FV(C3,"Change (extended hours)",TRUE)</f>
        <v>0.11990000000000001</v>
      </c>
      <c r="E8" s="187" t="s">
        <v>271</v>
      </c>
      <c r="F8" s="194">
        <f ca="1">Statement!AC161</f>
        <v>0.10529950428510662</v>
      </c>
      <c r="H8" s="186" t="str">
        <f>'AVG target price'!B11</f>
        <v>Upside/Downside</v>
      </c>
      <c r="I8" s="215">
        <f ca="1">'AVG target price'!C11</f>
        <v>0.96804714329638908</v>
      </c>
    </row>
    <row r="9" spans="2:9" x14ac:dyDescent="0.2">
      <c r="B9" s="187" t="s">
        <v>5</v>
      </c>
      <c r="C9" s="73" cm="1">
        <f t="array" aca="1" ref="C9" ca="1">_FV(C3,"Change (%)",TRUE)</f>
        <v>-5.7060000000000001E-3</v>
      </c>
      <c r="E9" s="187" t="s">
        <v>294</v>
      </c>
      <c r="F9" s="194">
        <f ca="1">Statement!AC162</f>
        <v>8.9567534330805484E-2</v>
      </c>
    </row>
    <row r="10" spans="2:9" x14ac:dyDescent="0.2">
      <c r="B10" s="187" t="s">
        <v>6</v>
      </c>
      <c r="C10" s="73" cm="1">
        <f t="array" aca="1" ref="C10" ca="1">_FV(C3,"Change % (extended hours)",TRUE)</f>
        <v>6.1439999999999997E-4</v>
      </c>
      <c r="E10" s="187" t="s">
        <v>299</v>
      </c>
      <c r="F10" s="194">
        <f ca="1">Statement!AC164</f>
        <v>0.11741429014307035</v>
      </c>
    </row>
    <row r="11" spans="2:9" x14ac:dyDescent="0.2">
      <c r="B11" s="187" t="s">
        <v>7</v>
      </c>
      <c r="C11" s="211" cm="1">
        <f t="array" aca="1" ref="C11" ca="1">_FV(C3,"52 week high",TRUE)</f>
        <v>392.58</v>
      </c>
      <c r="E11" s="188" t="s">
        <v>295</v>
      </c>
      <c r="F11" s="195">
        <f ca="1">Statement!AC163</f>
        <v>0</v>
      </c>
    </row>
    <row r="12" spans="2:9" x14ac:dyDescent="0.2">
      <c r="B12" s="187" t="s">
        <v>8</v>
      </c>
      <c r="C12" s="211" cm="1">
        <f t="array" aca="1" ref="C12" ca="1">_FV(C3,"52 week low",TRUE)</f>
        <v>190.12</v>
      </c>
      <c r="E12" s="187" t="s">
        <v>103</v>
      </c>
      <c r="F12" s="194">
        <f>Statement!AC123</f>
        <v>0.24150603013396588</v>
      </c>
    </row>
    <row r="13" spans="2:9" x14ac:dyDescent="0.2">
      <c r="B13" s="187" t="s">
        <v>9</v>
      </c>
      <c r="C13" s="211" cm="1">
        <f t="array" aca="1" ref="C13" ca="1">_FV(C3,"Beta")</f>
        <v>1.4390000000000001</v>
      </c>
      <c r="E13" s="187" t="s">
        <v>105</v>
      </c>
      <c r="F13" s="194">
        <f>Statement!AC125</f>
        <v>0.62762632401458585</v>
      </c>
    </row>
    <row r="14" spans="2:9" x14ac:dyDescent="0.2">
      <c r="B14" s="188" t="s">
        <v>10</v>
      </c>
      <c r="C14" s="212" cm="1">
        <f t="array" aca="1" ref="C14" ca="1">_FV(C3,"Volume average",TRUE)</f>
        <v>7067597</v>
      </c>
      <c r="E14" s="188" t="s">
        <v>106</v>
      </c>
      <c r="F14" s="195">
        <f>Statement!AC140</f>
        <v>0.5752841854820302</v>
      </c>
    </row>
    <row r="15" spans="2:9" x14ac:dyDescent="0.2">
      <c r="E15" s="187" t="s">
        <v>296</v>
      </c>
      <c r="F15" s="194">
        <f ca="1">Statement!AC176</f>
        <v>-1.311898702366104E-2</v>
      </c>
    </row>
    <row r="16" spans="2:9" x14ac:dyDescent="0.2">
      <c r="E16" s="188" t="s">
        <v>301</v>
      </c>
      <c r="F16" s="193">
        <f>Statement!AC175</f>
        <v>-2.5603015075376883</v>
      </c>
    </row>
    <row r="17" spans="2:9" x14ac:dyDescent="0.2">
      <c r="B17" s="235" t="s">
        <v>90</v>
      </c>
      <c r="C17" s="235"/>
      <c r="E17" s="186" t="s">
        <v>302</v>
      </c>
      <c r="F17" s="196">
        <f>Statement!AC171</f>
        <v>2.5125628140703518E-3</v>
      </c>
    </row>
    <row r="18" spans="2:9" x14ac:dyDescent="0.2">
      <c r="B18" s="186" t="s">
        <v>12</v>
      </c>
      <c r="C18" s="69" t="s">
        <v>370</v>
      </c>
      <c r="E18" s="187" t="s">
        <v>303</v>
      </c>
      <c r="F18" s="192">
        <f>Statement!AC144</f>
        <v>-39.346199522998823</v>
      </c>
      <c r="I18" s="50"/>
    </row>
    <row r="19" spans="2:9" x14ac:dyDescent="0.2">
      <c r="B19" s="186" t="s">
        <v>13</v>
      </c>
      <c r="C19" s="70">
        <v>1000000</v>
      </c>
      <c r="E19" s="187" t="s">
        <v>264</v>
      </c>
      <c r="F19" s="192">
        <f>Statement!AC146</f>
        <v>8.8470220524396598E-2</v>
      </c>
    </row>
    <row r="20" spans="2:9" x14ac:dyDescent="0.2">
      <c r="B20" s="186" t="s">
        <v>91</v>
      </c>
      <c r="C20" s="69" t="s">
        <v>92</v>
      </c>
      <c r="E20" s="188" t="s">
        <v>304</v>
      </c>
      <c r="F20" s="193">
        <f>Statement!AC147</f>
        <v>0.63081636032455701</v>
      </c>
    </row>
    <row r="21" spans="2:9" x14ac:dyDescent="0.2">
      <c r="B21" s="186" t="s">
        <v>93</v>
      </c>
      <c r="C21" s="69" t="s">
        <v>94</v>
      </c>
      <c r="I21" s="50"/>
    </row>
    <row r="22" spans="2:9" x14ac:dyDescent="0.2">
      <c r="B22" s="186" t="s">
        <v>95</v>
      </c>
      <c r="C22" s="69" t="s">
        <v>92</v>
      </c>
    </row>
    <row r="25" spans="2:9" x14ac:dyDescent="0.2">
      <c r="B25" s="235" t="s">
        <v>108</v>
      </c>
      <c r="C25" s="235"/>
      <c r="E25" s="233" t="s">
        <v>352</v>
      </c>
      <c r="F25" s="234"/>
    </row>
    <row r="26" spans="2:9" x14ac:dyDescent="0.2">
      <c r="B26" s="186" t="s">
        <v>109</v>
      </c>
      <c r="C26" s="172">
        <v>0.21</v>
      </c>
      <c r="E26" s="187" t="e" vm="2">
        <v>#VALUE!</v>
      </c>
      <c r="F26" s="221" cm="1">
        <f t="array" aca="1" ref="F26" ca="1">_FV(E26,"Price")</f>
        <v>44.51</v>
      </c>
    </row>
    <row r="27" spans="2:9" x14ac:dyDescent="0.2">
      <c r="B27" s="186" t="s">
        <v>173</v>
      </c>
      <c r="C27" s="223">
        <v>5.0999999999999997E-2</v>
      </c>
      <c r="E27" s="188" t="s">
        <v>353</v>
      </c>
      <c r="F27" s="222">
        <f ca="1">F26/1000</f>
        <v>4.4510000000000001E-2</v>
      </c>
    </row>
    <row r="28" spans="2:9" x14ac:dyDescent="0.2">
      <c r="B28" s="186" t="s">
        <v>357</v>
      </c>
      <c r="C28" s="223">
        <v>0</v>
      </c>
    </row>
    <row r="29" spans="2:9" x14ac:dyDescent="0.2">
      <c r="B29" s="186" t="s">
        <v>358</v>
      </c>
      <c r="C29" s="223">
        <v>0.1</v>
      </c>
    </row>
    <row r="33" spans="2:8" x14ac:dyDescent="0.2">
      <c r="B33" s="232" t="s">
        <v>344</v>
      </c>
      <c r="C33" s="232"/>
      <c r="D33" s="232"/>
      <c r="E33" s="232"/>
      <c r="F33" s="232"/>
      <c r="G33" s="232"/>
      <c r="H33" s="232"/>
    </row>
    <row r="35" spans="2:8" x14ac:dyDescent="0.2">
      <c r="B35" s="16" t="s">
        <v>345</v>
      </c>
      <c r="C35" s="1" t="s">
        <v>394</v>
      </c>
    </row>
    <row r="36" spans="2:8" x14ac:dyDescent="0.2">
      <c r="B36" s="16" t="s">
        <v>346</v>
      </c>
      <c r="C36" s="1" t="s">
        <v>395</v>
      </c>
    </row>
    <row r="39" spans="2:8" ht="6" customHeight="1" x14ac:dyDescent="0.2">
      <c r="B39" s="232"/>
      <c r="C39" s="232"/>
      <c r="D39" s="232"/>
      <c r="E39" s="232"/>
      <c r="F39" s="232"/>
      <c r="G39" s="232"/>
      <c r="H39" s="232"/>
    </row>
    <row r="42" spans="2:8" x14ac:dyDescent="0.2">
      <c r="B42" s="232" t="s">
        <v>347</v>
      </c>
      <c r="C42" s="232"/>
      <c r="D42" s="232"/>
      <c r="E42" s="232"/>
      <c r="F42" s="232"/>
      <c r="G42" s="232"/>
      <c r="H42" s="232"/>
    </row>
    <row r="44" spans="2:8" x14ac:dyDescent="0.2">
      <c r="B44" s="41" t="s">
        <v>348</v>
      </c>
      <c r="C44" s="41" t="s">
        <v>335</v>
      </c>
      <c r="D44" s="41"/>
      <c r="E44" s="41" t="s">
        <v>336</v>
      </c>
    </row>
    <row r="49" spans="2:8" ht="5" customHeight="1" x14ac:dyDescent="0.2">
      <c r="B49" s="232"/>
      <c r="C49" s="232"/>
      <c r="D49" s="232"/>
      <c r="E49" s="232"/>
      <c r="F49" s="232"/>
      <c r="G49" s="232"/>
      <c r="H49" s="232"/>
    </row>
    <row r="52" spans="2:8" x14ac:dyDescent="0.2">
      <c r="B52" s="232" t="s">
        <v>110</v>
      </c>
      <c r="C52" s="232"/>
      <c r="D52" s="232"/>
      <c r="E52" s="232"/>
      <c r="F52" s="232"/>
      <c r="G52" s="232"/>
      <c r="H52" s="232"/>
    </row>
    <row r="54" spans="2:8" x14ac:dyDescent="0.2">
      <c r="B54" s="41" t="s">
        <v>348</v>
      </c>
      <c r="C54" s="41" t="s">
        <v>374</v>
      </c>
      <c r="D54" s="41"/>
      <c r="E54" s="41" t="s">
        <v>400</v>
      </c>
    </row>
    <row r="55" spans="2:8" x14ac:dyDescent="0.2">
      <c r="B55" s="1" t="s">
        <v>401</v>
      </c>
      <c r="C55" s="1" t="s">
        <v>402</v>
      </c>
      <c r="E55" s="1" t="s">
        <v>403</v>
      </c>
    </row>
    <row r="59" spans="2:8" ht="5" customHeight="1" x14ac:dyDescent="0.2">
      <c r="B59" s="232"/>
      <c r="C59" s="232"/>
      <c r="D59" s="232"/>
      <c r="E59" s="232"/>
      <c r="F59" s="232"/>
      <c r="G59" s="232"/>
      <c r="H59" s="232"/>
    </row>
  </sheetData>
  <mergeCells count="12">
    <mergeCell ref="B2:C2"/>
    <mergeCell ref="B17:C17"/>
    <mergeCell ref="B25:C25"/>
    <mergeCell ref="E2:F2"/>
    <mergeCell ref="H2:I2"/>
    <mergeCell ref="E25:F25"/>
    <mergeCell ref="B52:H52"/>
    <mergeCell ref="B59:H59"/>
    <mergeCell ref="B33:H33"/>
    <mergeCell ref="B39:H39"/>
    <mergeCell ref="B42:H42"/>
    <mergeCell ref="B49:H49"/>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O16" activePane="bottomRight" state="frozen"/>
      <selection pane="topRight" activeCell="C1" sqref="C1"/>
      <selection pane="bottomLeft" activeCell="A4" sqref="A4"/>
      <selection pane="bottomRight" activeCell="R27" sqref="R2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371</v>
      </c>
      <c r="N2" s="9" t="s">
        <v>372</v>
      </c>
      <c r="O2" s="10" t="s">
        <v>373</v>
      </c>
      <c r="P2" s="10" t="s">
        <v>374</v>
      </c>
      <c r="Q2" s="10" t="s">
        <v>375</v>
      </c>
      <c r="R2" s="7"/>
      <c r="S2" s="7"/>
      <c r="T2" s="10" t="s">
        <v>376</v>
      </c>
      <c r="U2" s="10" t="s">
        <v>374</v>
      </c>
      <c r="V2" s="10" t="s">
        <v>377</v>
      </c>
      <c r="W2" s="10" t="s">
        <v>378</v>
      </c>
      <c r="X2" s="10" t="s">
        <v>379</v>
      </c>
      <c r="Y2" s="205" t="s">
        <v>375</v>
      </c>
      <c r="Z2" s="205" t="s">
        <v>380</v>
      </c>
      <c r="AA2" s="205" t="s">
        <v>381</v>
      </c>
      <c r="AB2" s="7"/>
      <c r="AD2" s="7"/>
      <c r="AE2" s="7"/>
    </row>
    <row r="3" spans="1:31" s="13" customFormat="1" x14ac:dyDescent="0.2">
      <c r="A3" s="11"/>
      <c r="B3" s="12" t="s">
        <v>16</v>
      </c>
      <c r="M3" s="13">
        <v>2021</v>
      </c>
      <c r="N3" s="13">
        <v>2022</v>
      </c>
      <c r="O3" s="13">
        <v>2023</v>
      </c>
      <c r="P3" s="13">
        <v>2024</v>
      </c>
      <c r="Q3" s="13">
        <v>2025</v>
      </c>
      <c r="R3" s="11"/>
      <c r="S3" s="11"/>
      <c r="T3" s="10" t="s">
        <v>382</v>
      </c>
      <c r="U3" s="10" t="s">
        <v>383</v>
      </c>
      <c r="V3" s="10" t="s">
        <v>384</v>
      </c>
      <c r="W3" s="10" t="s">
        <v>88</v>
      </c>
      <c r="X3" s="10" t="s">
        <v>86</v>
      </c>
      <c r="Y3" s="205" t="s">
        <v>85</v>
      </c>
      <c r="Z3" s="205" t="s">
        <v>89</v>
      </c>
      <c r="AA3" s="205" t="s">
        <v>87</v>
      </c>
      <c r="AB3" s="11"/>
      <c r="AC3" s="59" t="s">
        <v>84</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15785</v>
      </c>
      <c r="N5" s="18">
        <v>17606</v>
      </c>
      <c r="O5" s="18">
        <v>19409</v>
      </c>
      <c r="P5" s="18">
        <v>21505</v>
      </c>
      <c r="Q5" s="18">
        <v>23769</v>
      </c>
      <c r="R5" s="16"/>
      <c r="S5" s="16"/>
      <c r="T5" s="18">
        <v>5408</v>
      </c>
      <c r="U5" s="18">
        <v>5606</v>
      </c>
      <c r="V5" s="18">
        <v>5714</v>
      </c>
      <c r="W5" s="18">
        <v>5873</v>
      </c>
      <c r="X5" s="18">
        <v>5988</v>
      </c>
      <c r="Y5" s="18">
        <v>6194</v>
      </c>
      <c r="Z5" s="18">
        <v>6398</v>
      </c>
      <c r="AA5" s="18">
        <v>6618</v>
      </c>
      <c r="AB5" s="16"/>
      <c r="AC5" s="18">
        <f>SUM(X5:AA5)</f>
        <v>25198</v>
      </c>
      <c r="AD5" s="16"/>
      <c r="AE5" s="16"/>
    </row>
    <row r="6" spans="1:31" x14ac:dyDescent="0.2">
      <c r="B6" s="20" t="s">
        <v>20</v>
      </c>
      <c r="C6" s="21"/>
      <c r="D6" s="21"/>
      <c r="E6" s="21"/>
      <c r="F6" s="21"/>
      <c r="G6" s="21"/>
      <c r="H6" s="21"/>
      <c r="I6" s="21"/>
      <c r="J6" s="21"/>
      <c r="K6" s="21"/>
      <c r="L6" s="21"/>
      <c r="M6" s="21">
        <v>1865</v>
      </c>
      <c r="N6" s="21">
        <v>2165</v>
      </c>
      <c r="O6" s="21">
        <v>2354</v>
      </c>
      <c r="P6" s="21">
        <v>2358</v>
      </c>
      <c r="Q6" s="21">
        <v>2551</v>
      </c>
      <c r="T6" s="21">
        <v>554</v>
      </c>
      <c r="U6" s="21">
        <v>616</v>
      </c>
      <c r="V6" s="21">
        <v>622</v>
      </c>
      <c r="W6" s="21">
        <v>638</v>
      </c>
      <c r="X6" s="21">
        <v>642</v>
      </c>
      <c r="Y6" s="21">
        <v>649</v>
      </c>
      <c r="Z6" s="21">
        <v>664</v>
      </c>
      <c r="AA6" s="21">
        <v>715</v>
      </c>
      <c r="AC6" s="21">
        <f t="shared" ref="AC6:AC18" si="0">SUM(X6:AA6)</f>
        <v>2670</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13920</v>
      </c>
      <c r="N7" s="22">
        <f t="shared" si="1"/>
        <v>15441</v>
      </c>
      <c r="O7" s="22">
        <f t="shared" si="1"/>
        <v>17055</v>
      </c>
      <c r="P7" s="22">
        <f t="shared" si="1"/>
        <v>19147</v>
      </c>
      <c r="Q7" s="22">
        <f t="shared" si="1"/>
        <v>21218</v>
      </c>
      <c r="R7" s="16"/>
      <c r="S7" s="16"/>
      <c r="T7" s="22">
        <f t="shared" ref="T7:Z7" si="2">T5-T6</f>
        <v>4854</v>
      </c>
      <c r="U7" s="22">
        <f t="shared" si="2"/>
        <v>4990</v>
      </c>
      <c r="V7" s="22">
        <f t="shared" si="2"/>
        <v>5092</v>
      </c>
      <c r="W7" s="22">
        <f t="shared" si="2"/>
        <v>5235</v>
      </c>
      <c r="X7" s="22">
        <f t="shared" si="2"/>
        <v>5346</v>
      </c>
      <c r="Y7" s="22">
        <f t="shared" si="2"/>
        <v>5545</v>
      </c>
      <c r="Z7" s="22">
        <f t="shared" si="2"/>
        <v>5734</v>
      </c>
      <c r="AA7" s="22">
        <f t="shared" ref="AA7" si="3">AA5-AA6</f>
        <v>5903</v>
      </c>
      <c r="AB7" s="16"/>
      <c r="AC7" s="22">
        <f t="shared" si="0"/>
        <v>22528</v>
      </c>
      <c r="AD7" s="16"/>
      <c r="AE7" s="16"/>
    </row>
    <row r="8" spans="1:31" x14ac:dyDescent="0.2">
      <c r="B8" s="20" t="s">
        <v>22</v>
      </c>
      <c r="C8" s="21"/>
      <c r="D8" s="21"/>
      <c r="E8" s="21"/>
      <c r="F8" s="21"/>
      <c r="G8" s="21"/>
      <c r="H8" s="21"/>
      <c r="I8" s="21"/>
      <c r="J8" s="21"/>
      <c r="K8" s="21"/>
      <c r="L8" s="21"/>
      <c r="M8" s="21">
        <v>2540</v>
      </c>
      <c r="N8" s="21">
        <v>2987</v>
      </c>
      <c r="O8" s="21">
        <v>3473</v>
      </c>
      <c r="P8" s="21">
        <v>3944</v>
      </c>
      <c r="Q8" s="21">
        <v>4294</v>
      </c>
      <c r="T8" s="21">
        <v>1022</v>
      </c>
      <c r="U8" s="21">
        <v>999</v>
      </c>
      <c r="V8" s="21">
        <v>1026</v>
      </c>
      <c r="W8" s="21">
        <v>1082</v>
      </c>
      <c r="X8" s="21">
        <v>1088</v>
      </c>
      <c r="Y8" s="21">
        <v>1098</v>
      </c>
      <c r="Z8" s="21">
        <v>1110</v>
      </c>
      <c r="AA8" s="21">
        <v>1198</v>
      </c>
      <c r="AC8" s="21">
        <f t="shared" si="0"/>
        <v>4494</v>
      </c>
    </row>
    <row r="9" spans="1:31" x14ac:dyDescent="0.2">
      <c r="B9" s="20" t="s">
        <v>23</v>
      </c>
      <c r="C9" s="21"/>
      <c r="D9" s="21"/>
      <c r="E9" s="21"/>
      <c r="F9" s="21"/>
      <c r="G9" s="21"/>
      <c r="H9" s="21"/>
      <c r="I9" s="21"/>
      <c r="J9" s="21"/>
      <c r="K9" s="21"/>
      <c r="L9" s="21"/>
      <c r="M9" s="21">
        <v>4321</v>
      </c>
      <c r="N9" s="21">
        <v>4968</v>
      </c>
      <c r="O9" s="21">
        <v>5351</v>
      </c>
      <c r="P9" s="21">
        <v>5764</v>
      </c>
      <c r="Q9" s="21">
        <v>6488</v>
      </c>
      <c r="T9" s="21">
        <v>1431</v>
      </c>
      <c r="U9" s="21">
        <v>1536</v>
      </c>
      <c r="V9" s="21">
        <v>1495</v>
      </c>
      <c r="W9" s="21">
        <v>1626</v>
      </c>
      <c r="X9" s="21">
        <v>1639</v>
      </c>
      <c r="Y9" s="21">
        <v>1728</v>
      </c>
      <c r="Z9" s="21">
        <v>1708</v>
      </c>
      <c r="AA9" s="21">
        <v>1884</v>
      </c>
      <c r="AC9" s="21">
        <f t="shared" si="0"/>
        <v>6959</v>
      </c>
    </row>
    <row r="10" spans="1:31" x14ac:dyDescent="0.2">
      <c r="B10" s="23" t="s">
        <v>24</v>
      </c>
      <c r="C10" s="21"/>
      <c r="D10" s="21"/>
      <c r="E10" s="21"/>
      <c r="F10" s="21"/>
      <c r="G10" s="21"/>
      <c r="H10" s="21"/>
      <c r="I10" s="21"/>
      <c r="J10" s="21"/>
      <c r="K10" s="21"/>
      <c r="L10" s="21"/>
      <c r="M10" s="21">
        <v>1085</v>
      </c>
      <c r="N10" s="21">
        <v>1219</v>
      </c>
      <c r="O10" s="21">
        <v>1413</v>
      </c>
      <c r="P10" s="21">
        <v>1529</v>
      </c>
      <c r="Q10" s="21">
        <v>1573</v>
      </c>
      <c r="T10" s="21">
        <v>366</v>
      </c>
      <c r="U10" s="21">
        <v>456</v>
      </c>
      <c r="V10" s="21">
        <v>367</v>
      </c>
      <c r="W10" s="21">
        <v>377</v>
      </c>
      <c r="X10" s="21">
        <v>408</v>
      </c>
      <c r="Y10" s="21">
        <v>421</v>
      </c>
      <c r="Z10" s="21">
        <v>463</v>
      </c>
      <c r="AA10" s="21">
        <v>546</v>
      </c>
      <c r="AC10" s="21">
        <f t="shared" si="0"/>
        <v>1838</v>
      </c>
    </row>
    <row r="11" spans="1:31" x14ac:dyDescent="0.2">
      <c r="B11" s="23" t="s">
        <v>25</v>
      </c>
      <c r="C11" s="21"/>
      <c r="D11" s="21"/>
      <c r="E11" s="21"/>
      <c r="F11" s="21"/>
      <c r="G11" s="21"/>
      <c r="H11" s="21"/>
      <c r="I11" s="21"/>
      <c r="J11" s="21"/>
      <c r="K11" s="21"/>
      <c r="L11" s="21"/>
      <c r="M11" s="21">
        <v>8118</v>
      </c>
      <c r="N11" s="21">
        <v>9343</v>
      </c>
      <c r="O11" s="21">
        <v>10405</v>
      </c>
      <c r="P11" s="21">
        <v>12406</v>
      </c>
      <c r="Q11" s="21">
        <v>12512</v>
      </c>
      <c r="T11" s="21">
        <v>2862</v>
      </c>
      <c r="U11" s="21">
        <v>3033</v>
      </c>
      <c r="V11" s="21">
        <v>2929</v>
      </c>
      <c r="W11" s="21">
        <v>3126</v>
      </c>
      <c r="X11" s="21">
        <v>3173</v>
      </c>
      <c r="Y11" s="21">
        <v>3284</v>
      </c>
      <c r="Z11" s="21">
        <v>3316</v>
      </c>
      <c r="AA11" s="21">
        <v>3665</v>
      </c>
      <c r="AC11" s="21">
        <f t="shared" si="0"/>
        <v>13438</v>
      </c>
    </row>
    <row r="12" spans="1:31" s="19" customFormat="1" x14ac:dyDescent="0.2">
      <c r="A12" s="16"/>
      <c r="B12" s="17" t="s">
        <v>26</v>
      </c>
      <c r="C12" s="18"/>
      <c r="D12" s="18"/>
      <c r="E12" s="18"/>
      <c r="F12" s="18"/>
      <c r="G12" s="18"/>
      <c r="H12" s="18"/>
      <c r="I12" s="18"/>
      <c r="J12" s="18"/>
      <c r="K12" s="18"/>
      <c r="L12" s="18"/>
      <c r="M12" s="18">
        <v>5802</v>
      </c>
      <c r="N12" s="18">
        <v>6098</v>
      </c>
      <c r="O12" s="18">
        <v>6650</v>
      </c>
      <c r="P12" s="18">
        <v>6741</v>
      </c>
      <c r="Q12" s="18">
        <v>8706</v>
      </c>
      <c r="R12" s="16"/>
      <c r="S12" s="16"/>
      <c r="T12" s="18">
        <v>1992</v>
      </c>
      <c r="U12" s="18">
        <v>1957</v>
      </c>
      <c r="V12" s="18">
        <v>2163</v>
      </c>
      <c r="W12" s="18">
        <v>2109</v>
      </c>
      <c r="X12" s="18">
        <v>2173</v>
      </c>
      <c r="Y12" s="18">
        <v>2261</v>
      </c>
      <c r="Z12" s="18">
        <v>2418</v>
      </c>
      <c r="AA12" s="18">
        <v>2238</v>
      </c>
      <c r="AB12" s="1"/>
      <c r="AC12" s="18">
        <f t="shared" si="0"/>
        <v>9090</v>
      </c>
      <c r="AD12" s="1"/>
      <c r="AE12" s="1"/>
    </row>
    <row r="13" spans="1:31" x14ac:dyDescent="0.2">
      <c r="B13" s="23" t="s">
        <v>27</v>
      </c>
      <c r="C13" s="21"/>
      <c r="D13" s="21"/>
      <c r="E13" s="21"/>
      <c r="F13" s="21"/>
      <c r="G13" s="21"/>
      <c r="H13" s="21"/>
      <c r="I13" s="21"/>
      <c r="J13" s="21"/>
      <c r="K13" s="21"/>
      <c r="L13" s="21"/>
      <c r="M13" s="62">
        <v>-113</v>
      </c>
      <c r="N13" s="62">
        <v>-112</v>
      </c>
      <c r="O13" s="62">
        <v>-113</v>
      </c>
      <c r="P13" s="62">
        <v>-169</v>
      </c>
      <c r="Q13" s="62">
        <v>-263</v>
      </c>
      <c r="T13" s="62">
        <v>-51</v>
      </c>
      <c r="U13" s="62">
        <v>-50</v>
      </c>
      <c r="V13" s="62">
        <v>-62</v>
      </c>
      <c r="W13" s="62">
        <v>-68</v>
      </c>
      <c r="X13" s="62">
        <v>-67</v>
      </c>
      <c r="Y13" s="62">
        <v>-66</v>
      </c>
      <c r="Z13" s="62">
        <v>-63</v>
      </c>
      <c r="AA13" s="62">
        <v>-65</v>
      </c>
      <c r="AC13" s="62">
        <f t="shared" si="0"/>
        <v>-261</v>
      </c>
    </row>
    <row r="14" spans="1:31" x14ac:dyDescent="0.2">
      <c r="B14" s="23" t="s">
        <v>28</v>
      </c>
      <c r="C14" s="21"/>
      <c r="D14" s="21"/>
      <c r="E14" s="21"/>
      <c r="F14" s="21"/>
      <c r="G14" s="21"/>
      <c r="H14" s="21"/>
      <c r="I14" s="21"/>
      <c r="J14" s="21"/>
      <c r="K14" s="21"/>
      <c r="L14" s="21"/>
      <c r="M14" s="21">
        <v>0</v>
      </c>
      <c r="N14" s="21">
        <v>41</v>
      </c>
      <c r="O14" s="21">
        <v>246</v>
      </c>
      <c r="P14" s="21">
        <v>311</v>
      </c>
      <c r="Q14" s="21">
        <v>248</v>
      </c>
      <c r="T14" s="21">
        <v>89</v>
      </c>
      <c r="U14" s="21">
        <v>70</v>
      </c>
      <c r="V14" s="21">
        <v>75</v>
      </c>
      <c r="W14" s="21">
        <v>58</v>
      </c>
      <c r="X14" s="21">
        <v>58</v>
      </c>
      <c r="Y14" s="21">
        <v>57</v>
      </c>
      <c r="Z14" s="21">
        <v>62</v>
      </c>
      <c r="AA14" s="21">
        <v>47</v>
      </c>
      <c r="AC14" s="62">
        <f t="shared" si="0"/>
        <v>224</v>
      </c>
    </row>
    <row r="15" spans="1:31" s="19" customFormat="1" x14ac:dyDescent="0.2">
      <c r="A15" s="16"/>
      <c r="B15" s="17" t="s">
        <v>29</v>
      </c>
      <c r="C15" s="18"/>
      <c r="D15" s="18"/>
      <c r="E15" s="18"/>
      <c r="F15" s="18"/>
      <c r="G15" s="18"/>
      <c r="H15" s="18"/>
      <c r="I15" s="18"/>
      <c r="J15" s="18"/>
      <c r="K15" s="18"/>
      <c r="L15" s="18"/>
      <c r="M15" s="18">
        <v>5705</v>
      </c>
      <c r="N15" s="18">
        <v>6008</v>
      </c>
      <c r="O15" s="18">
        <v>6799</v>
      </c>
      <c r="P15" s="18">
        <v>6931</v>
      </c>
      <c r="Q15" s="18">
        <v>8734</v>
      </c>
      <c r="R15" s="1"/>
      <c r="S15" s="1"/>
      <c r="T15" s="18">
        <v>2042</v>
      </c>
      <c r="U15" s="18">
        <v>1991</v>
      </c>
      <c r="V15" s="18">
        <v>2182</v>
      </c>
      <c r="W15" s="18">
        <v>2101</v>
      </c>
      <c r="X15" s="18">
        <v>2187</v>
      </c>
      <c r="Y15" s="18">
        <v>2264</v>
      </c>
      <c r="Z15" s="18">
        <v>2422</v>
      </c>
      <c r="AA15" s="18">
        <v>2238</v>
      </c>
      <c r="AB15" s="1"/>
      <c r="AC15" s="18">
        <f t="shared" si="0"/>
        <v>9111</v>
      </c>
      <c r="AD15" s="1"/>
      <c r="AE15" s="1"/>
    </row>
    <row r="16" spans="1:31" x14ac:dyDescent="0.2">
      <c r="B16" s="23" t="s">
        <v>30</v>
      </c>
      <c r="C16" s="21"/>
      <c r="D16" s="21"/>
      <c r="E16" s="21"/>
      <c r="F16" s="21"/>
      <c r="G16" s="21"/>
      <c r="H16" s="21"/>
      <c r="I16" s="21"/>
      <c r="J16" s="21"/>
      <c r="K16" s="21"/>
      <c r="L16" s="21"/>
      <c r="M16" s="62">
        <v>-883</v>
      </c>
      <c r="N16" s="62">
        <v>-1252</v>
      </c>
      <c r="O16" s="62">
        <v>-1371</v>
      </c>
      <c r="P16" s="62">
        <v>-1371</v>
      </c>
      <c r="Q16" s="62">
        <v>-1604</v>
      </c>
      <c r="T16" s="62">
        <v>-358</v>
      </c>
      <c r="U16" s="62">
        <v>-308</v>
      </c>
      <c r="V16" s="62">
        <v>-371</v>
      </c>
      <c r="W16" s="62">
        <v>-410</v>
      </c>
      <c r="X16" s="62">
        <v>-415</v>
      </c>
      <c r="Y16" s="62">
        <v>-408</v>
      </c>
      <c r="Z16" s="62">
        <v>-533</v>
      </c>
      <c r="AA16" s="62">
        <v>-526</v>
      </c>
      <c r="AC16" s="62">
        <f t="shared" si="0"/>
        <v>-1882</v>
      </c>
    </row>
    <row r="17" spans="1:31" x14ac:dyDescent="0.2">
      <c r="B17" s="23" t="s">
        <v>337</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31</v>
      </c>
      <c r="C18" s="18"/>
      <c r="D18" s="18"/>
      <c r="E18" s="18"/>
      <c r="F18" s="18"/>
      <c r="G18" s="18"/>
      <c r="H18" s="18"/>
      <c r="I18" s="18"/>
      <c r="J18" s="18"/>
      <c r="K18" s="18"/>
      <c r="L18" s="18"/>
      <c r="M18" s="18">
        <v>4822</v>
      </c>
      <c r="N18" s="18">
        <v>4756</v>
      </c>
      <c r="O18" s="18">
        <v>5428</v>
      </c>
      <c r="P18" s="18">
        <v>6560</v>
      </c>
      <c r="Q18" s="18">
        <v>7130</v>
      </c>
      <c r="R18" s="60"/>
      <c r="S18" s="60"/>
      <c r="T18" s="18">
        <v>1684</v>
      </c>
      <c r="U18" s="18">
        <v>1683</v>
      </c>
      <c r="V18" s="18">
        <v>1811</v>
      </c>
      <c r="W18" s="18">
        <v>1691</v>
      </c>
      <c r="X18" s="18">
        <v>1772</v>
      </c>
      <c r="Y18" s="18">
        <v>1856</v>
      </c>
      <c r="Z18" s="18">
        <v>1889</v>
      </c>
      <c r="AA18" s="18">
        <v>1712</v>
      </c>
      <c r="AB18" s="1"/>
      <c r="AC18" s="61">
        <f t="shared" si="0"/>
        <v>7229</v>
      </c>
      <c r="AD18" s="1"/>
      <c r="AE18" s="1"/>
    </row>
    <row r="19" spans="1:31" x14ac:dyDescent="0.2">
      <c r="B19" s="23" t="s">
        <v>32</v>
      </c>
      <c r="C19" s="21"/>
      <c r="D19" s="21"/>
      <c r="E19" s="21"/>
      <c r="F19" s="21"/>
      <c r="G19" s="21"/>
      <c r="H19" s="21"/>
      <c r="I19" s="21"/>
      <c r="J19" s="21"/>
      <c r="K19" s="21"/>
      <c r="L19" s="21"/>
      <c r="M19" s="21">
        <v>477</v>
      </c>
      <c r="N19" s="21">
        <v>470</v>
      </c>
      <c r="O19" s="21">
        <v>457</v>
      </c>
      <c r="P19" s="21">
        <v>447</v>
      </c>
      <c r="Q19" s="21">
        <v>426</v>
      </c>
      <c r="R19" s="60"/>
      <c r="S19" s="60"/>
      <c r="T19" s="21">
        <v>445</v>
      </c>
      <c r="U19" s="21">
        <v>441</v>
      </c>
      <c r="V19" s="21">
        <v>436</v>
      </c>
      <c r="W19" s="21">
        <v>428</v>
      </c>
      <c r="X19" s="21">
        <v>423</v>
      </c>
      <c r="Y19" s="21">
        <v>417</v>
      </c>
      <c r="Z19" s="21">
        <v>410</v>
      </c>
      <c r="AA19" s="21">
        <v>402</v>
      </c>
      <c r="AC19" s="62">
        <f>AVERAGE(X19:AA19)</f>
        <v>413</v>
      </c>
    </row>
    <row r="20" spans="1:31" x14ac:dyDescent="0.2">
      <c r="B20" s="23" t="s">
        <v>33</v>
      </c>
      <c r="C20" s="25">
        <f t="shared" ref="C20:Q20" si="4">C19*C$85</f>
        <v>0</v>
      </c>
      <c r="D20" s="25">
        <f t="shared" si="4"/>
        <v>0</v>
      </c>
      <c r="E20" s="25">
        <f t="shared" si="4"/>
        <v>0</v>
      </c>
      <c r="F20" s="25">
        <f t="shared" si="4"/>
        <v>0</v>
      </c>
      <c r="G20" s="25">
        <f t="shared" si="4"/>
        <v>0</v>
      </c>
      <c r="H20" s="25">
        <f t="shared" si="4"/>
        <v>0</v>
      </c>
      <c r="I20" s="25">
        <f t="shared" si="4"/>
        <v>0</v>
      </c>
      <c r="J20" s="25">
        <f t="shared" si="4"/>
        <v>0</v>
      </c>
      <c r="K20" s="25">
        <f t="shared" si="4"/>
        <v>0</v>
      </c>
      <c r="L20" s="25">
        <f t="shared" si="4"/>
        <v>0</v>
      </c>
      <c r="M20" s="25">
        <f t="shared" si="4"/>
        <v>477</v>
      </c>
      <c r="N20" s="25">
        <f t="shared" si="4"/>
        <v>470</v>
      </c>
      <c r="O20" s="25">
        <f t="shared" si="4"/>
        <v>457</v>
      </c>
      <c r="P20" s="25">
        <f t="shared" si="4"/>
        <v>447</v>
      </c>
      <c r="Q20" s="25">
        <f t="shared" si="4"/>
        <v>426</v>
      </c>
      <c r="T20" s="25">
        <f t="shared" ref="T20:AA20" si="5">T19*T$85</f>
        <v>445</v>
      </c>
      <c r="U20" s="25">
        <f t="shared" si="5"/>
        <v>441</v>
      </c>
      <c r="V20" s="25">
        <f t="shared" si="5"/>
        <v>436</v>
      </c>
      <c r="W20" s="25">
        <f t="shared" si="5"/>
        <v>428</v>
      </c>
      <c r="X20" s="25">
        <f t="shared" si="5"/>
        <v>423</v>
      </c>
      <c r="Y20" s="25">
        <f t="shared" si="5"/>
        <v>417</v>
      </c>
      <c r="Z20" s="25">
        <f t="shared" si="5"/>
        <v>410</v>
      </c>
      <c r="AA20" s="25">
        <f t="shared" si="5"/>
        <v>402</v>
      </c>
      <c r="AC20" s="25">
        <f>AC19*AC$85</f>
        <v>413</v>
      </c>
    </row>
    <row r="21" spans="1:31" x14ac:dyDescent="0.2">
      <c r="B21" s="23" t="s">
        <v>34</v>
      </c>
      <c r="C21" s="21"/>
      <c r="D21" s="21"/>
      <c r="E21" s="21"/>
      <c r="F21" s="21"/>
      <c r="G21" s="21"/>
      <c r="H21" s="21"/>
      <c r="I21" s="21"/>
      <c r="J21" s="21"/>
      <c r="K21" s="21"/>
      <c r="L21" s="21"/>
      <c r="M21" s="21">
        <v>481</v>
      </c>
      <c r="N21" s="21">
        <v>471</v>
      </c>
      <c r="O21" s="21">
        <v>459</v>
      </c>
      <c r="P21" s="21">
        <v>450</v>
      </c>
      <c r="Q21" s="21">
        <v>427</v>
      </c>
      <c r="T21" s="21">
        <v>448</v>
      </c>
      <c r="U21" s="21">
        <v>443</v>
      </c>
      <c r="V21" s="21">
        <v>438</v>
      </c>
      <c r="W21" s="21">
        <v>429</v>
      </c>
      <c r="X21" s="21">
        <v>424</v>
      </c>
      <c r="Y21" s="21">
        <v>417</v>
      </c>
      <c r="Z21" s="21">
        <v>411</v>
      </c>
      <c r="AA21" s="21">
        <v>402</v>
      </c>
      <c r="AC21" s="62">
        <f>AVERAGE(X21:AA21)</f>
        <v>413.5</v>
      </c>
    </row>
    <row r="22" spans="1:31" x14ac:dyDescent="0.2">
      <c r="B22" s="23" t="s">
        <v>35</v>
      </c>
      <c r="C22" s="25">
        <f t="shared" ref="C22:Q22" si="6">C21*C$85</f>
        <v>0</v>
      </c>
      <c r="D22" s="25">
        <f t="shared" si="6"/>
        <v>0</v>
      </c>
      <c r="E22" s="25">
        <f t="shared" si="6"/>
        <v>0</v>
      </c>
      <c r="F22" s="25">
        <f t="shared" si="6"/>
        <v>0</v>
      </c>
      <c r="G22" s="25">
        <f t="shared" si="6"/>
        <v>0</v>
      </c>
      <c r="H22" s="25">
        <f t="shared" si="6"/>
        <v>0</v>
      </c>
      <c r="I22" s="25">
        <f t="shared" si="6"/>
        <v>0</v>
      </c>
      <c r="J22" s="25">
        <f t="shared" si="6"/>
        <v>0</v>
      </c>
      <c r="K22" s="25">
        <f t="shared" si="6"/>
        <v>0</v>
      </c>
      <c r="L22" s="25">
        <f t="shared" si="6"/>
        <v>0</v>
      </c>
      <c r="M22" s="25">
        <f t="shared" si="6"/>
        <v>481</v>
      </c>
      <c r="N22" s="25">
        <f t="shared" si="6"/>
        <v>471</v>
      </c>
      <c r="O22" s="25">
        <f t="shared" si="6"/>
        <v>459</v>
      </c>
      <c r="P22" s="25">
        <f t="shared" si="6"/>
        <v>450</v>
      </c>
      <c r="Q22" s="25">
        <f t="shared" si="6"/>
        <v>427</v>
      </c>
      <c r="T22" s="25">
        <f t="shared" ref="T22:AA22" si="7">T21*T$85</f>
        <v>448</v>
      </c>
      <c r="U22" s="25">
        <f t="shared" si="7"/>
        <v>443</v>
      </c>
      <c r="V22" s="25">
        <f t="shared" si="7"/>
        <v>438</v>
      </c>
      <c r="W22" s="25">
        <f t="shared" si="7"/>
        <v>429</v>
      </c>
      <c r="X22" s="25">
        <f t="shared" si="7"/>
        <v>424</v>
      </c>
      <c r="Y22" s="25">
        <f t="shared" si="7"/>
        <v>417</v>
      </c>
      <c r="Z22" s="25">
        <f t="shared" si="7"/>
        <v>411</v>
      </c>
      <c r="AA22" s="25">
        <f t="shared" si="7"/>
        <v>402</v>
      </c>
      <c r="AC22" s="25">
        <f>AC21*AC$85</f>
        <v>413.5</v>
      </c>
    </row>
    <row r="23" spans="1:31" x14ac:dyDescent="0.2">
      <c r="B23" s="23" t="s">
        <v>36</v>
      </c>
      <c r="C23" s="26"/>
      <c r="D23" s="26"/>
      <c r="E23" s="26"/>
      <c r="F23" s="26"/>
      <c r="G23" s="26"/>
      <c r="H23" s="26"/>
      <c r="I23" s="26"/>
      <c r="J23" s="26"/>
      <c r="K23" s="26"/>
      <c r="L23" s="26"/>
      <c r="M23" s="26">
        <v>10.1</v>
      </c>
      <c r="N23" s="26">
        <v>10.130000000000001</v>
      </c>
      <c r="O23" s="26">
        <v>11.87</v>
      </c>
      <c r="P23" s="26">
        <v>14.675615212527964</v>
      </c>
      <c r="Q23" s="26">
        <v>16.73</v>
      </c>
      <c r="T23" s="26">
        <v>3.78</v>
      </c>
      <c r="U23" s="26">
        <v>3.81</v>
      </c>
      <c r="V23" s="26">
        <v>4.1500000000000004</v>
      </c>
      <c r="W23" s="26">
        <v>3.95</v>
      </c>
      <c r="X23" s="26">
        <v>4.18</v>
      </c>
      <c r="Y23" s="26">
        <v>4.45</v>
      </c>
      <c r="Z23" s="26">
        <v>4.5999999999999996</v>
      </c>
      <c r="AA23" s="26">
        <v>4.26</v>
      </c>
      <c r="AC23" s="26">
        <f>SUM(X23:AA23)</f>
        <v>17.489999999999998</v>
      </c>
    </row>
    <row r="24" spans="1:31" x14ac:dyDescent="0.2">
      <c r="B24" s="23" t="s">
        <v>37</v>
      </c>
      <c r="C24" s="27"/>
      <c r="D24" s="27"/>
      <c r="E24" s="27"/>
      <c r="F24" s="27"/>
      <c r="G24" s="27"/>
      <c r="H24" s="27"/>
      <c r="I24" s="27"/>
      <c r="J24" s="27"/>
      <c r="K24" s="27"/>
      <c r="L24" s="27"/>
      <c r="M24" s="65">
        <f>M23/M$85</f>
        <v>10.1</v>
      </c>
      <c r="N24" s="65">
        <f>N23/N$85</f>
        <v>10.130000000000001</v>
      </c>
      <c r="O24" s="65">
        <f>O23/O$85</f>
        <v>11.87</v>
      </c>
      <c r="P24" s="65">
        <f>P23/P$85</f>
        <v>14.675615212527964</v>
      </c>
      <c r="Q24" s="65">
        <f>Q23/Q$85</f>
        <v>16.73</v>
      </c>
      <c r="T24" s="65">
        <f t="shared" ref="T24:AA24" si="8">T23/T$85</f>
        <v>3.78</v>
      </c>
      <c r="U24" s="65">
        <f t="shared" si="8"/>
        <v>3.81</v>
      </c>
      <c r="V24" s="65">
        <f t="shared" si="8"/>
        <v>4.1500000000000004</v>
      </c>
      <c r="W24" s="65">
        <f t="shared" si="8"/>
        <v>3.95</v>
      </c>
      <c r="X24" s="65">
        <f t="shared" si="8"/>
        <v>4.18</v>
      </c>
      <c r="Y24" s="65">
        <f t="shared" si="8"/>
        <v>4.45</v>
      </c>
      <c r="Z24" s="65">
        <f t="shared" si="8"/>
        <v>4.5999999999999996</v>
      </c>
      <c r="AA24" s="65">
        <f t="shared" si="8"/>
        <v>4.26</v>
      </c>
      <c r="AC24" s="65">
        <f>AC23/AC$85</f>
        <v>17.489999999999998</v>
      </c>
    </row>
    <row r="25" spans="1:31" x14ac:dyDescent="0.2">
      <c r="B25" s="23" t="s">
        <v>38</v>
      </c>
      <c r="C25" s="26"/>
      <c r="D25" s="26"/>
      <c r="E25" s="26"/>
      <c r="F25" s="26"/>
      <c r="G25" s="26"/>
      <c r="H25" s="26"/>
      <c r="I25" s="26"/>
      <c r="J25" s="26"/>
      <c r="K25" s="26"/>
      <c r="L25" s="26"/>
      <c r="M25" s="26">
        <v>10.02</v>
      </c>
      <c r="N25" s="26">
        <v>10.1</v>
      </c>
      <c r="O25" s="26">
        <v>11.82</v>
      </c>
      <c r="P25" s="26">
        <v>14.577777777777778</v>
      </c>
      <c r="Q25" s="26">
        <v>16.7</v>
      </c>
      <c r="T25" s="63">
        <v>3.76</v>
      </c>
      <c r="U25" s="63">
        <v>3.79</v>
      </c>
      <c r="V25" s="26">
        <v>4.1399999999999997</v>
      </c>
      <c r="W25" s="63">
        <v>3.94</v>
      </c>
      <c r="X25" s="26">
        <v>4.18</v>
      </c>
      <c r="Y25" s="26">
        <v>4.45</v>
      </c>
      <c r="Z25" s="26">
        <v>4.5999999999999996</v>
      </c>
      <c r="AA25" s="26">
        <v>4.25</v>
      </c>
      <c r="AC25" s="26">
        <f>SUM(X25:AA25)</f>
        <v>17.479999999999997</v>
      </c>
    </row>
    <row r="26" spans="1:31" s="30" customFormat="1" ht="17" thickBot="1" x14ac:dyDescent="0.25">
      <c r="A26" s="1"/>
      <c r="B26" s="28" t="s">
        <v>39</v>
      </c>
      <c r="C26" s="29"/>
      <c r="D26" s="29"/>
      <c r="E26" s="29"/>
      <c r="F26" s="29"/>
      <c r="G26" s="29"/>
      <c r="H26" s="29"/>
      <c r="I26" s="29"/>
      <c r="J26" s="29"/>
      <c r="K26" s="29"/>
      <c r="L26" s="29"/>
      <c r="M26" s="66">
        <f>M25/M$85</f>
        <v>10.02</v>
      </c>
      <c r="N26" s="66">
        <f>N25/N$85</f>
        <v>10.1</v>
      </c>
      <c r="O26" s="66">
        <f>O25/O$85</f>
        <v>11.82</v>
      </c>
      <c r="P26" s="66">
        <f>P25/P$85</f>
        <v>14.577777777777778</v>
      </c>
      <c r="Q26" s="66">
        <f>Q25/Q$85</f>
        <v>16.7</v>
      </c>
      <c r="R26" s="1"/>
      <c r="S26" s="1"/>
      <c r="T26" s="66">
        <f t="shared" ref="T26:AA26" si="9">T25/T$85</f>
        <v>3.76</v>
      </c>
      <c r="U26" s="66">
        <f t="shared" si="9"/>
        <v>3.79</v>
      </c>
      <c r="V26" s="66">
        <f t="shared" si="9"/>
        <v>4.1399999999999997</v>
      </c>
      <c r="W26" s="66">
        <f t="shared" si="9"/>
        <v>3.94</v>
      </c>
      <c r="X26" s="66">
        <f t="shared" si="9"/>
        <v>4.18</v>
      </c>
      <c r="Y26" s="66">
        <f t="shared" si="9"/>
        <v>4.45</v>
      </c>
      <c r="Z26" s="66">
        <f t="shared" si="9"/>
        <v>4.5999999999999996</v>
      </c>
      <c r="AA26" s="66">
        <f t="shared" si="9"/>
        <v>4.25</v>
      </c>
      <c r="AB26" s="1"/>
      <c r="AC26" s="66">
        <f>AC25/AC$85</f>
        <v>17.479999999999997</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40</v>
      </c>
      <c r="R28" s="1"/>
      <c r="S28" s="1"/>
      <c r="AB28" s="1"/>
      <c r="AD28" s="1"/>
      <c r="AE28" s="1"/>
    </row>
    <row r="29" spans="1:31" x14ac:dyDescent="0.2">
      <c r="B29" s="20" t="s">
        <v>41</v>
      </c>
      <c r="C29" s="21"/>
      <c r="D29" s="21"/>
      <c r="E29" s="21"/>
      <c r="F29" s="21"/>
      <c r="G29" s="21"/>
      <c r="H29" s="21"/>
      <c r="I29" s="21"/>
      <c r="J29" s="21"/>
      <c r="K29" s="21"/>
      <c r="L29" s="21"/>
      <c r="M29" s="21">
        <f>3844+1954</f>
        <v>5798</v>
      </c>
      <c r="N29" s="21">
        <f>4236+1860</f>
        <v>6096</v>
      </c>
      <c r="O29" s="21">
        <f>7141+701</f>
        <v>7842</v>
      </c>
      <c r="P29" s="21">
        <f>7613+273</f>
        <v>7886</v>
      </c>
      <c r="Q29" s="21">
        <f>5431+1164</f>
        <v>6595</v>
      </c>
      <c r="T29" s="21">
        <f>7193+322</f>
        <v>7515</v>
      </c>
      <c r="U29" s="21">
        <f>7613+273</f>
        <v>7886</v>
      </c>
      <c r="V29" s="21">
        <f>6758+677</f>
        <v>7435</v>
      </c>
      <c r="W29" s="21">
        <f>4931+782</f>
        <v>5713</v>
      </c>
      <c r="X29" s="21">
        <f>4982+958</f>
        <v>5940</v>
      </c>
      <c r="Y29" s="21">
        <f>5431+1164</f>
        <v>6595</v>
      </c>
      <c r="Z29" s="21">
        <f>6332+558</f>
        <v>6890</v>
      </c>
      <c r="AA29" s="21">
        <f>4919+707</f>
        <v>5626</v>
      </c>
      <c r="AC29" s="21">
        <f>AA29</f>
        <v>5626</v>
      </c>
    </row>
    <row r="30" spans="1:31" x14ac:dyDescent="0.2">
      <c r="B30" s="20" t="s">
        <v>42</v>
      </c>
      <c r="C30" s="21"/>
      <c r="D30" s="21"/>
      <c r="E30" s="21"/>
      <c r="F30" s="21"/>
      <c r="G30" s="21"/>
      <c r="H30" s="21"/>
      <c r="I30" s="21"/>
      <c r="J30" s="21"/>
      <c r="K30" s="21"/>
      <c r="L30" s="21"/>
      <c r="M30" s="21">
        <v>1878</v>
      </c>
      <c r="N30" s="21">
        <v>2065</v>
      </c>
      <c r="O30" s="21">
        <v>2224</v>
      </c>
      <c r="P30" s="21">
        <v>2072</v>
      </c>
      <c r="Q30" s="21">
        <v>2344</v>
      </c>
      <c r="T30" s="21">
        <v>1802</v>
      </c>
      <c r="U30" s="21">
        <v>2072</v>
      </c>
      <c r="V30" s="21">
        <v>1973</v>
      </c>
      <c r="W30" s="21">
        <v>1735</v>
      </c>
      <c r="X30" s="21">
        <v>2093</v>
      </c>
      <c r="Y30" s="21">
        <v>2344</v>
      </c>
      <c r="Z30" s="21">
        <v>2092</v>
      </c>
      <c r="AA30" s="21">
        <v>1993</v>
      </c>
      <c r="AC30" s="21">
        <f t="shared" ref="AC30:AC50" si="10">AA30</f>
        <v>1993</v>
      </c>
    </row>
    <row r="31" spans="1:31" x14ac:dyDescent="0.2">
      <c r="B31" s="20" t="s">
        <v>136</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43</v>
      </c>
      <c r="C32" s="33"/>
      <c r="D32" s="33"/>
      <c r="E32" s="33"/>
      <c r="F32" s="33"/>
      <c r="G32" s="33"/>
      <c r="H32" s="33"/>
      <c r="I32" s="33"/>
      <c r="J32" s="33"/>
      <c r="K32" s="33"/>
      <c r="L32" s="33"/>
      <c r="M32" s="33">
        <v>8669</v>
      </c>
      <c r="N32" s="33">
        <v>8996</v>
      </c>
      <c r="O32" s="33">
        <v>11084</v>
      </c>
      <c r="P32" s="33">
        <v>11232</v>
      </c>
      <c r="Q32" s="33">
        <v>10163</v>
      </c>
      <c r="R32" s="1"/>
      <c r="S32" s="1"/>
      <c r="T32" s="33">
        <v>10716</v>
      </c>
      <c r="U32" s="33">
        <v>11232</v>
      </c>
      <c r="V32" s="33">
        <v>10855</v>
      </c>
      <c r="W32" s="33">
        <v>8978</v>
      </c>
      <c r="X32" s="33">
        <v>9412</v>
      </c>
      <c r="Y32" s="33">
        <v>10163</v>
      </c>
      <c r="Z32" s="33">
        <v>10386</v>
      </c>
      <c r="AA32" s="33">
        <v>9068</v>
      </c>
      <c r="AB32" s="1"/>
      <c r="AC32" s="33">
        <f t="shared" si="10"/>
        <v>9068</v>
      </c>
      <c r="AD32" s="1"/>
      <c r="AE32" s="1"/>
    </row>
    <row r="33" spans="1:31" x14ac:dyDescent="0.2">
      <c r="B33" s="20" t="s">
        <v>44</v>
      </c>
      <c r="C33" s="21"/>
      <c r="D33" s="21"/>
      <c r="E33" s="21"/>
      <c r="F33" s="21"/>
      <c r="G33" s="21"/>
      <c r="H33" s="21"/>
      <c r="I33" s="21"/>
      <c r="J33" s="21"/>
      <c r="K33" s="21"/>
      <c r="L33" s="21"/>
      <c r="M33" s="21">
        <v>1673</v>
      </c>
      <c r="N33" s="21">
        <v>1908</v>
      </c>
      <c r="O33" s="21">
        <v>2030</v>
      </c>
      <c r="P33" s="21">
        <v>1936</v>
      </c>
      <c r="Q33" s="21">
        <v>1873</v>
      </c>
      <c r="T33" s="21">
        <v>1969</v>
      </c>
      <c r="U33" s="21">
        <v>1936</v>
      </c>
      <c r="V33" s="21">
        <v>1893</v>
      </c>
      <c r="W33" s="21">
        <v>1890</v>
      </c>
      <c r="X33" s="21">
        <v>1908</v>
      </c>
      <c r="Y33" s="21">
        <v>1873</v>
      </c>
      <c r="Z33" s="21">
        <v>1852</v>
      </c>
      <c r="AA33" s="21">
        <v>1870</v>
      </c>
      <c r="AC33" s="21">
        <f t="shared" si="10"/>
        <v>1870</v>
      </c>
    </row>
    <row r="34" spans="1:31" x14ac:dyDescent="0.2">
      <c r="B34" s="20" t="s">
        <v>365</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0"/>
        <v>0</v>
      </c>
    </row>
    <row r="35" spans="1:31" x14ac:dyDescent="0.2">
      <c r="B35" s="20" t="s">
        <v>45</v>
      </c>
      <c r="C35" s="21"/>
      <c r="D35" s="21"/>
      <c r="E35" s="21"/>
      <c r="F35" s="21"/>
      <c r="G35" s="21"/>
      <c r="H35" s="21"/>
      <c r="I35" s="21"/>
      <c r="J35" s="21"/>
      <c r="K35" s="21"/>
      <c r="L35" s="21"/>
      <c r="M35" s="21">
        <v>12668</v>
      </c>
      <c r="N35" s="21">
        <v>12787</v>
      </c>
      <c r="O35" s="21">
        <v>12805</v>
      </c>
      <c r="P35" s="21">
        <v>12788</v>
      </c>
      <c r="Q35" s="21">
        <v>12857</v>
      </c>
      <c r="T35" s="21">
        <v>12814</v>
      </c>
      <c r="U35" s="21">
        <v>12788</v>
      </c>
      <c r="V35" s="21">
        <v>12777</v>
      </c>
      <c r="W35" s="21">
        <v>12830</v>
      </c>
      <c r="X35" s="21">
        <v>12862</v>
      </c>
      <c r="Y35" s="230">
        <v>12857</v>
      </c>
      <c r="Z35" s="230">
        <v>12869</v>
      </c>
      <c r="AA35" s="230">
        <v>14041</v>
      </c>
      <c r="AC35" s="21">
        <f t="shared" si="10"/>
        <v>14041</v>
      </c>
    </row>
    <row r="36" spans="1:31" s="34" customFormat="1" x14ac:dyDescent="0.2">
      <c r="A36" s="16"/>
      <c r="B36" s="32" t="s">
        <v>46</v>
      </c>
      <c r="C36" s="35"/>
      <c r="D36" s="35"/>
      <c r="E36" s="35"/>
      <c r="F36" s="35"/>
      <c r="G36" s="35"/>
      <c r="H36" s="35"/>
      <c r="I36" s="35"/>
      <c r="J36" s="35"/>
      <c r="K36" s="35"/>
      <c r="L36" s="35"/>
      <c r="M36" s="35">
        <f t="shared" ref="M36:O36" si="11">M37-M32</f>
        <v>18572</v>
      </c>
      <c r="N36" s="35">
        <f t="shared" si="11"/>
        <v>18169</v>
      </c>
      <c r="O36" s="35">
        <f t="shared" si="11"/>
        <v>18695</v>
      </c>
      <c r="P36" s="35">
        <f>P37-P32</f>
        <v>18998</v>
      </c>
      <c r="Q36" s="35">
        <f>Q37-Q32</f>
        <v>19333</v>
      </c>
      <c r="R36" s="1"/>
      <c r="S36" s="1"/>
      <c r="T36" s="35">
        <f t="shared" ref="T36:Z36" si="12">T37-T32</f>
        <v>19114</v>
      </c>
      <c r="U36" s="35">
        <f t="shared" si="12"/>
        <v>18998</v>
      </c>
      <c r="V36" s="35">
        <f t="shared" si="12"/>
        <v>19100</v>
      </c>
      <c r="W36" s="35">
        <f t="shared" si="12"/>
        <v>19129</v>
      </c>
      <c r="X36" s="35">
        <f t="shared" si="12"/>
        <v>19342</v>
      </c>
      <c r="Y36" s="35">
        <f t="shared" si="12"/>
        <v>19333</v>
      </c>
      <c r="Z36" s="35">
        <f t="shared" si="12"/>
        <v>19318</v>
      </c>
      <c r="AA36" s="35">
        <f t="shared" ref="AA36" si="13">AA37-AA32</f>
        <v>20865</v>
      </c>
      <c r="AB36" s="1"/>
      <c r="AC36" s="35">
        <f t="shared" si="10"/>
        <v>20865</v>
      </c>
      <c r="AD36" s="1"/>
      <c r="AE36" s="1"/>
    </row>
    <row r="37" spans="1:31" s="19" customFormat="1" x14ac:dyDescent="0.2">
      <c r="A37" s="16"/>
      <c r="B37" s="17" t="s">
        <v>47</v>
      </c>
      <c r="C37" s="18"/>
      <c r="D37" s="18"/>
      <c r="E37" s="18"/>
      <c r="F37" s="18"/>
      <c r="G37" s="18"/>
      <c r="H37" s="18"/>
      <c r="I37" s="18"/>
      <c r="J37" s="18"/>
      <c r="K37" s="18"/>
      <c r="L37" s="18"/>
      <c r="M37" s="18">
        <v>27241</v>
      </c>
      <c r="N37" s="18">
        <v>27165</v>
      </c>
      <c r="O37" s="18">
        <v>29779</v>
      </c>
      <c r="P37" s="18">
        <v>30230</v>
      </c>
      <c r="Q37" s="18">
        <v>29496</v>
      </c>
      <c r="R37" s="1"/>
      <c r="S37" s="1"/>
      <c r="T37" s="18">
        <v>29830</v>
      </c>
      <c r="U37" s="18">
        <v>30230</v>
      </c>
      <c r="V37" s="18">
        <v>29955</v>
      </c>
      <c r="W37" s="18">
        <v>28107</v>
      </c>
      <c r="X37" s="18">
        <v>28754</v>
      </c>
      <c r="Y37" s="18">
        <v>29496</v>
      </c>
      <c r="Z37" s="18">
        <v>29704</v>
      </c>
      <c r="AA37" s="18">
        <v>29933</v>
      </c>
      <c r="AB37" s="1"/>
      <c r="AC37" s="18">
        <f t="shared" si="10"/>
        <v>29933</v>
      </c>
      <c r="AD37" s="1"/>
      <c r="AE37" s="1"/>
    </row>
    <row r="38" spans="1:31" x14ac:dyDescent="0.2">
      <c r="B38" s="20" t="s">
        <v>48</v>
      </c>
      <c r="C38" s="21"/>
      <c r="D38" s="21"/>
      <c r="E38" s="21"/>
      <c r="F38" s="21"/>
      <c r="G38" s="21"/>
      <c r="H38" s="21"/>
      <c r="I38" s="21"/>
      <c r="J38" s="21"/>
      <c r="K38" s="21"/>
      <c r="L38" s="21"/>
      <c r="M38" s="21">
        <v>312</v>
      </c>
      <c r="N38" s="21">
        <v>379</v>
      </c>
      <c r="O38" s="21">
        <v>314</v>
      </c>
      <c r="P38" s="21">
        <v>361</v>
      </c>
      <c r="Q38" s="21">
        <v>417</v>
      </c>
      <c r="T38" s="21">
        <v>318</v>
      </c>
      <c r="U38" s="21">
        <v>361</v>
      </c>
      <c r="V38" s="21">
        <v>326</v>
      </c>
      <c r="W38" s="21">
        <v>360</v>
      </c>
      <c r="X38" s="21">
        <v>337</v>
      </c>
      <c r="Y38" s="21">
        <v>417</v>
      </c>
      <c r="Z38" s="21">
        <v>419</v>
      </c>
      <c r="AA38" s="21">
        <v>499</v>
      </c>
      <c r="AC38" s="21">
        <f t="shared" si="10"/>
        <v>499</v>
      </c>
    </row>
    <row r="39" spans="1:31" x14ac:dyDescent="0.2">
      <c r="B39" s="20" t="s">
        <v>170</v>
      </c>
      <c r="C39" s="21"/>
      <c r="D39" s="21"/>
      <c r="E39" s="21"/>
      <c r="F39" s="21"/>
      <c r="G39" s="21"/>
      <c r="H39" s="21"/>
      <c r="I39" s="21"/>
      <c r="J39" s="21"/>
      <c r="K39" s="21"/>
      <c r="L39" s="21"/>
      <c r="M39" s="21">
        <v>0</v>
      </c>
      <c r="N39" s="21">
        <v>500</v>
      </c>
      <c r="O39" s="21">
        <v>0</v>
      </c>
      <c r="P39" s="21">
        <v>1499</v>
      </c>
      <c r="Q39" s="21">
        <v>0</v>
      </c>
      <c r="T39" s="21">
        <v>1499</v>
      </c>
      <c r="U39" s="21">
        <v>1499</v>
      </c>
      <c r="V39" s="21">
        <v>0</v>
      </c>
      <c r="W39" s="21">
        <v>0</v>
      </c>
      <c r="X39" s="21">
        <v>0</v>
      </c>
      <c r="Y39" s="21">
        <v>0</v>
      </c>
      <c r="Z39" s="21">
        <v>849</v>
      </c>
      <c r="AA39" s="21">
        <v>1843</v>
      </c>
      <c r="AC39" s="21">
        <f t="shared" si="10"/>
        <v>1843</v>
      </c>
    </row>
    <row r="40" spans="1:31" s="34" customFormat="1" x14ac:dyDescent="0.2">
      <c r="A40" s="16"/>
      <c r="B40" s="32" t="s">
        <v>49</v>
      </c>
      <c r="C40" s="33"/>
      <c r="D40" s="33"/>
      <c r="E40" s="33"/>
      <c r="F40" s="33"/>
      <c r="G40" s="33"/>
      <c r="H40" s="33"/>
      <c r="I40" s="33"/>
      <c r="J40" s="33"/>
      <c r="K40" s="33"/>
      <c r="L40" s="33"/>
      <c r="M40" s="33">
        <v>6932</v>
      </c>
      <c r="N40" s="33">
        <v>8128</v>
      </c>
      <c r="O40" s="33">
        <v>8251</v>
      </c>
      <c r="P40" s="33">
        <v>10521</v>
      </c>
      <c r="Q40" s="33">
        <v>10200</v>
      </c>
      <c r="R40" s="60"/>
      <c r="S40" s="60"/>
      <c r="T40" s="33">
        <v>9644</v>
      </c>
      <c r="U40" s="33">
        <v>10521</v>
      </c>
      <c r="V40" s="33">
        <v>9163</v>
      </c>
      <c r="W40" s="33">
        <v>9039</v>
      </c>
      <c r="X40" s="33">
        <v>9239</v>
      </c>
      <c r="Y40" s="33">
        <v>10200</v>
      </c>
      <c r="Z40" s="33">
        <v>11390</v>
      </c>
      <c r="AA40" s="33">
        <v>12078</v>
      </c>
      <c r="AB40" s="1"/>
      <c r="AC40" s="33">
        <f t="shared" si="10"/>
        <v>12078</v>
      </c>
      <c r="AD40" s="1"/>
      <c r="AE40" s="1"/>
    </row>
    <row r="41" spans="1:31" x14ac:dyDescent="0.2">
      <c r="B41" s="20" t="s">
        <v>170</v>
      </c>
      <c r="C41" s="21"/>
      <c r="D41" s="21"/>
      <c r="E41" s="21"/>
      <c r="F41" s="21"/>
      <c r="G41" s="21"/>
      <c r="H41" s="21"/>
      <c r="I41" s="21"/>
      <c r="J41" s="21"/>
      <c r="K41" s="21"/>
      <c r="L41" s="21"/>
      <c r="M41" s="21">
        <v>4123</v>
      </c>
      <c r="N41" s="21">
        <v>3629</v>
      </c>
      <c r="O41" s="21">
        <v>3634</v>
      </c>
      <c r="P41" s="21">
        <v>4129</v>
      </c>
      <c r="Q41" s="21">
        <v>6210</v>
      </c>
      <c r="T41" s="21">
        <v>4128</v>
      </c>
      <c r="U41" s="21">
        <v>4129</v>
      </c>
      <c r="V41" s="21">
        <v>6155</v>
      </c>
      <c r="W41" s="21">
        <v>6166</v>
      </c>
      <c r="X41" s="21">
        <v>6200</v>
      </c>
      <c r="Y41" s="21">
        <v>6210</v>
      </c>
      <c r="Z41" s="21">
        <v>5379</v>
      </c>
      <c r="AA41" s="21">
        <v>4802</v>
      </c>
      <c r="AC41" s="21">
        <f t="shared" si="10"/>
        <v>4802</v>
      </c>
    </row>
    <row r="42" spans="1:31" s="34" customFormat="1" x14ac:dyDescent="0.2">
      <c r="A42" s="16"/>
      <c r="B42" s="32" t="s">
        <v>50</v>
      </c>
      <c r="C42" s="35"/>
      <c r="D42" s="35"/>
      <c r="E42" s="35"/>
      <c r="F42" s="35"/>
      <c r="G42" s="35"/>
      <c r="H42" s="35"/>
      <c r="I42" s="35"/>
      <c r="J42" s="35"/>
      <c r="K42" s="35"/>
      <c r="L42" s="35"/>
      <c r="M42" s="35">
        <f t="shared" ref="M42:O42" si="14">M43-M40</f>
        <v>5512</v>
      </c>
      <c r="N42" s="35">
        <f t="shared" si="14"/>
        <v>4986</v>
      </c>
      <c r="O42" s="35">
        <f t="shared" si="14"/>
        <v>5010</v>
      </c>
      <c r="P42" s="35">
        <f>P43-P40</f>
        <v>5604</v>
      </c>
      <c r="Q42" s="35">
        <f>Q43-Q40</f>
        <v>7673</v>
      </c>
      <c r="R42" s="1"/>
      <c r="S42" s="1"/>
      <c r="T42" s="35">
        <f t="shared" ref="T42:Z42" si="15">T43-T40</f>
        <v>5641</v>
      </c>
      <c r="U42" s="35">
        <f t="shared" si="15"/>
        <v>5604</v>
      </c>
      <c r="V42" s="35">
        <f t="shared" si="15"/>
        <v>7697</v>
      </c>
      <c r="W42" s="35">
        <f t="shared" si="15"/>
        <v>7620</v>
      </c>
      <c r="X42" s="35">
        <f t="shared" si="15"/>
        <v>7745</v>
      </c>
      <c r="Y42" s="35">
        <f t="shared" si="15"/>
        <v>7673</v>
      </c>
      <c r="Z42" s="35">
        <f t="shared" si="15"/>
        <v>6881</v>
      </c>
      <c r="AA42" s="35">
        <f t="shared" ref="AA42" si="16">AA43-AA40</f>
        <v>6337</v>
      </c>
      <c r="AB42" s="1"/>
      <c r="AC42" s="35">
        <f t="shared" si="10"/>
        <v>6337</v>
      </c>
      <c r="AD42" s="1"/>
      <c r="AE42" s="1"/>
    </row>
    <row r="43" spans="1:31" s="19" customFormat="1" x14ac:dyDescent="0.2">
      <c r="A43" s="16"/>
      <c r="B43" s="17" t="s">
        <v>51</v>
      </c>
      <c r="C43" s="18"/>
      <c r="D43" s="18"/>
      <c r="E43" s="18"/>
      <c r="F43" s="18"/>
      <c r="G43" s="18"/>
      <c r="H43" s="18"/>
      <c r="I43" s="18"/>
      <c r="J43" s="18"/>
      <c r="K43" s="18"/>
      <c r="L43" s="18"/>
      <c r="M43" s="18">
        <v>12444</v>
      </c>
      <c r="N43" s="18">
        <v>13114</v>
      </c>
      <c r="O43" s="18">
        <v>13261</v>
      </c>
      <c r="P43" s="18">
        <v>16125</v>
      </c>
      <c r="Q43" s="18">
        <v>17873</v>
      </c>
      <c r="R43" s="1"/>
      <c r="S43" s="1"/>
      <c r="T43" s="18">
        <v>15285</v>
      </c>
      <c r="U43" s="18">
        <v>16125</v>
      </c>
      <c r="V43" s="18">
        <v>16860</v>
      </c>
      <c r="W43" s="18">
        <v>16659</v>
      </c>
      <c r="X43" s="18">
        <v>16984</v>
      </c>
      <c r="Y43" s="18">
        <v>17873</v>
      </c>
      <c r="Z43" s="18">
        <v>18271</v>
      </c>
      <c r="AA43" s="18">
        <v>18415</v>
      </c>
      <c r="AB43" s="1"/>
      <c r="AC43" s="18">
        <f t="shared" si="10"/>
        <v>18415</v>
      </c>
      <c r="AD43" s="1"/>
      <c r="AE43" s="1"/>
    </row>
    <row r="44" spans="1:31" x14ac:dyDescent="0.2">
      <c r="B44" s="20" t="s">
        <v>53</v>
      </c>
      <c r="C44" s="21"/>
      <c r="D44" s="21"/>
      <c r="E44" s="21"/>
      <c r="F44" s="21"/>
      <c r="G44" s="21"/>
      <c r="H44" s="21"/>
      <c r="I44" s="21"/>
      <c r="J44" s="21"/>
      <c r="K44" s="21"/>
      <c r="L44" s="21"/>
      <c r="M44" s="62">
        <v>-17399</v>
      </c>
      <c r="N44" s="62">
        <v>-23843</v>
      </c>
      <c r="O44" s="62">
        <v>-28129</v>
      </c>
      <c r="P44" s="62">
        <v>-37583</v>
      </c>
      <c r="Q44" s="62">
        <v>-48847</v>
      </c>
      <c r="T44" s="62">
        <v>-35083</v>
      </c>
      <c r="U44" s="62">
        <v>-37583</v>
      </c>
      <c r="V44" s="62">
        <v>-40827</v>
      </c>
      <c r="W44" s="62">
        <v>-44338</v>
      </c>
      <c r="X44" s="62">
        <v>-46373</v>
      </c>
      <c r="Y44" s="62">
        <v>-48847</v>
      </c>
      <c r="Z44" s="62">
        <v>-51312</v>
      </c>
      <c r="AA44" s="62">
        <v>-53418</v>
      </c>
      <c r="AC44" s="62">
        <f t="shared" si="10"/>
        <v>-53418</v>
      </c>
    </row>
    <row r="45" spans="1:31" x14ac:dyDescent="0.2">
      <c r="B45" s="20" t="s">
        <v>341</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0"/>
        <v>0</v>
      </c>
    </row>
    <row r="46" spans="1:31" x14ac:dyDescent="0.2">
      <c r="B46" s="20" t="s">
        <v>52</v>
      </c>
      <c r="C46" s="21"/>
      <c r="D46" s="21"/>
      <c r="E46" s="21"/>
      <c r="F46" s="21"/>
      <c r="G46" s="21"/>
      <c r="H46" s="21"/>
      <c r="I46" s="21"/>
      <c r="J46" s="21"/>
      <c r="K46" s="21"/>
      <c r="L46" s="21"/>
      <c r="M46" s="21">
        <v>8428</v>
      </c>
      <c r="N46" s="21">
        <v>9868</v>
      </c>
      <c r="O46" s="21">
        <v>11586</v>
      </c>
      <c r="P46" s="21">
        <v>13419</v>
      </c>
      <c r="Q46" s="21">
        <v>15361</v>
      </c>
      <c r="T46" s="62">
        <v>13026</v>
      </c>
      <c r="U46" s="21">
        <v>13419</v>
      </c>
      <c r="V46" s="62">
        <v>13894</v>
      </c>
      <c r="W46" s="62">
        <v>14375</v>
      </c>
      <c r="X46" s="62">
        <v>14968</v>
      </c>
      <c r="Y46" s="21">
        <v>15361</v>
      </c>
      <c r="Z46" s="21">
        <v>15870</v>
      </c>
      <c r="AA46" s="21">
        <v>16416</v>
      </c>
      <c r="AC46" s="62">
        <f t="shared" si="10"/>
        <v>16416</v>
      </c>
    </row>
    <row r="47" spans="1:31" x14ac:dyDescent="0.2">
      <c r="B47" s="20" t="s">
        <v>342</v>
      </c>
      <c r="C47" s="21"/>
      <c r="D47" s="21"/>
      <c r="E47" s="21"/>
      <c r="F47" s="21"/>
      <c r="G47" s="21"/>
      <c r="H47" s="21"/>
      <c r="I47" s="21"/>
      <c r="J47" s="21"/>
      <c r="K47" s="21"/>
      <c r="L47" s="21"/>
      <c r="M47" s="21">
        <v>23905</v>
      </c>
      <c r="N47" s="21">
        <v>28319</v>
      </c>
      <c r="O47" s="21">
        <v>33346</v>
      </c>
      <c r="P47" s="21">
        <v>38470</v>
      </c>
      <c r="Q47" s="21">
        <v>45354</v>
      </c>
      <c r="T47" s="62">
        <v>36911</v>
      </c>
      <c r="U47" s="21">
        <v>38470</v>
      </c>
      <c r="V47" s="62">
        <v>40186</v>
      </c>
      <c r="W47" s="62">
        <v>41744</v>
      </c>
      <c r="X47" s="62">
        <v>43516</v>
      </c>
      <c r="Y47" s="21">
        <v>45354</v>
      </c>
      <c r="Z47" s="21">
        <v>47170</v>
      </c>
      <c r="AA47" s="21">
        <v>48767</v>
      </c>
      <c r="AC47" s="62">
        <f t="shared" si="10"/>
        <v>48767</v>
      </c>
    </row>
    <row r="48" spans="1:31" x14ac:dyDescent="0.2">
      <c r="B48" s="20" t="s">
        <v>337</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0"/>
        <v>0</v>
      </c>
    </row>
    <row r="49" spans="1:31" s="34" customFormat="1" x14ac:dyDescent="0.2">
      <c r="A49" s="16"/>
      <c r="B49" s="32" t="s">
        <v>54</v>
      </c>
      <c r="C49" s="33"/>
      <c r="D49" s="33"/>
      <c r="E49" s="33"/>
      <c r="F49" s="33"/>
      <c r="G49" s="33"/>
      <c r="H49" s="33"/>
      <c r="I49" s="33"/>
      <c r="J49" s="33"/>
      <c r="K49" s="33"/>
      <c r="L49" s="33"/>
      <c r="M49" s="33">
        <v>14797</v>
      </c>
      <c r="N49" s="33">
        <v>14051</v>
      </c>
      <c r="O49" s="33">
        <v>16518</v>
      </c>
      <c r="P49" s="33">
        <v>14105</v>
      </c>
      <c r="Q49" s="33">
        <v>11623</v>
      </c>
      <c r="R49" s="1"/>
      <c r="S49" s="1"/>
      <c r="T49" s="33">
        <v>14545</v>
      </c>
      <c r="U49" s="33">
        <v>14105</v>
      </c>
      <c r="V49" s="33">
        <v>13095</v>
      </c>
      <c r="W49" s="33">
        <v>11448</v>
      </c>
      <c r="X49" s="33">
        <v>11770</v>
      </c>
      <c r="Y49" s="33">
        <v>11623</v>
      </c>
      <c r="Z49" s="33">
        <v>11433</v>
      </c>
      <c r="AA49" s="33">
        <v>11518</v>
      </c>
      <c r="AB49" s="1"/>
      <c r="AC49" s="33">
        <f t="shared" si="10"/>
        <v>11518</v>
      </c>
      <c r="AD49" s="1"/>
      <c r="AE49" s="1"/>
    </row>
    <row r="50" spans="1:31" s="38" customFormat="1" ht="17" thickBot="1" x14ac:dyDescent="0.25">
      <c r="A50" s="16"/>
      <c r="B50" s="36" t="s">
        <v>55</v>
      </c>
      <c r="C50" s="37"/>
      <c r="D50" s="37"/>
      <c r="E50" s="37"/>
      <c r="F50" s="37"/>
      <c r="G50" s="37"/>
      <c r="H50" s="37"/>
      <c r="I50" s="37"/>
      <c r="J50" s="37"/>
      <c r="K50" s="37"/>
      <c r="L50" s="37"/>
      <c r="M50" s="37">
        <v>27241</v>
      </c>
      <c r="N50" s="37">
        <v>27165</v>
      </c>
      <c r="O50" s="37">
        <v>29779</v>
      </c>
      <c r="P50" s="37">
        <v>30230</v>
      </c>
      <c r="Q50" s="37">
        <v>29496</v>
      </c>
      <c r="R50" s="1"/>
      <c r="S50" s="1"/>
      <c r="T50" s="37">
        <v>29830</v>
      </c>
      <c r="U50" s="37">
        <v>30230</v>
      </c>
      <c r="V50" s="37">
        <v>29955</v>
      </c>
      <c r="W50" s="37">
        <v>28107</v>
      </c>
      <c r="X50" s="37">
        <v>28754</v>
      </c>
      <c r="Y50" s="37">
        <v>29496</v>
      </c>
      <c r="Z50" s="37">
        <v>29704</v>
      </c>
      <c r="AA50" s="37">
        <v>29933</v>
      </c>
      <c r="AB50" s="1"/>
      <c r="AC50" s="37">
        <f t="shared" si="10"/>
        <v>29933</v>
      </c>
      <c r="AD50" s="1"/>
      <c r="AE50" s="1"/>
    </row>
    <row r="51" spans="1:31" x14ac:dyDescent="0.2">
      <c r="B51" s="1"/>
    </row>
    <row r="52" spans="1:31" s="15" customFormat="1" ht="17" thickBot="1" x14ac:dyDescent="0.25">
      <c r="A52" s="11"/>
      <c r="B52" s="14" t="s">
        <v>56</v>
      </c>
      <c r="R52" s="1"/>
      <c r="S52" s="1"/>
      <c r="AB52" s="1"/>
      <c r="AD52" s="1"/>
      <c r="AE52" s="1"/>
    </row>
    <row r="53" spans="1:31" x14ac:dyDescent="0.2">
      <c r="B53" s="20" t="s">
        <v>57</v>
      </c>
      <c r="C53" s="62"/>
      <c r="D53" s="62"/>
      <c r="E53" s="62"/>
      <c r="F53" s="62"/>
      <c r="G53" s="62"/>
      <c r="H53" s="62"/>
      <c r="I53" s="62"/>
      <c r="J53" s="62"/>
      <c r="K53" s="62"/>
      <c r="L53" s="62"/>
      <c r="M53" s="21">
        <v>788</v>
      </c>
      <c r="N53" s="21">
        <v>856</v>
      </c>
      <c r="O53" s="21">
        <v>872</v>
      </c>
      <c r="P53" s="21">
        <v>857</v>
      </c>
      <c r="Q53" s="21">
        <v>818</v>
      </c>
      <c r="T53" s="62"/>
      <c r="U53" s="62"/>
      <c r="V53" s="21">
        <v>217</v>
      </c>
      <c r="W53" s="21">
        <v>209</v>
      </c>
      <c r="X53" s="21">
        <v>208</v>
      </c>
      <c r="Y53" s="21">
        <v>184</v>
      </c>
      <c r="Z53" s="21">
        <v>174</v>
      </c>
      <c r="AA53" s="21">
        <v>193</v>
      </c>
      <c r="AC53" s="62">
        <f>SUM(X53:AA53)</f>
        <v>759</v>
      </c>
    </row>
    <row r="54" spans="1:31" x14ac:dyDescent="0.2">
      <c r="B54" s="23" t="s">
        <v>58</v>
      </c>
      <c r="C54" s="62"/>
      <c r="D54" s="62"/>
      <c r="E54" s="62"/>
      <c r="F54" s="62"/>
      <c r="G54" s="62"/>
      <c r="H54" s="62"/>
      <c r="I54" s="62"/>
      <c r="J54" s="62"/>
      <c r="K54" s="62"/>
      <c r="L54" s="62"/>
      <c r="M54" s="21">
        <v>1069</v>
      </c>
      <c r="N54" s="21">
        <v>1440</v>
      </c>
      <c r="O54" s="21">
        <v>1718</v>
      </c>
      <c r="P54" s="21">
        <v>1833</v>
      </c>
      <c r="Q54" s="21">
        <v>1942</v>
      </c>
      <c r="T54" s="62"/>
      <c r="U54" s="62"/>
      <c r="V54" s="21">
        <v>475</v>
      </c>
      <c r="W54" s="21">
        <v>481</v>
      </c>
      <c r="X54" s="21">
        <v>497</v>
      </c>
      <c r="Y54" s="21">
        <v>489</v>
      </c>
      <c r="Z54" s="21">
        <v>509</v>
      </c>
      <c r="AA54" s="21">
        <v>534</v>
      </c>
      <c r="AC54" s="62">
        <f t="shared" ref="AC54:AC58" si="17">SUM(X54:AA54)</f>
        <v>2029</v>
      </c>
    </row>
    <row r="55" spans="1:31" x14ac:dyDescent="0.2">
      <c r="B55" s="23" t="s">
        <v>96</v>
      </c>
      <c r="C55" s="62"/>
      <c r="D55" s="62"/>
      <c r="E55" s="62"/>
      <c r="F55" s="62"/>
      <c r="G55" s="62"/>
      <c r="H55" s="62"/>
      <c r="I55" s="62"/>
      <c r="J55" s="62"/>
      <c r="K55" s="62"/>
      <c r="L55" s="62"/>
      <c r="M55" s="62">
        <v>-430</v>
      </c>
      <c r="N55" s="62">
        <v>-198</v>
      </c>
      <c r="O55" s="62">
        <v>-159</v>
      </c>
      <c r="P55" s="62">
        <v>143</v>
      </c>
      <c r="Q55" s="62">
        <v>-275</v>
      </c>
      <c r="T55" s="62"/>
      <c r="U55" s="62"/>
      <c r="V55" s="21">
        <v>97</v>
      </c>
      <c r="W55" s="21">
        <v>237</v>
      </c>
      <c r="X55" s="21">
        <v>-359</v>
      </c>
      <c r="Y55" s="21">
        <v>-250</v>
      </c>
      <c r="Z55" s="21">
        <v>252</v>
      </c>
      <c r="AA55" s="62">
        <v>116</v>
      </c>
      <c r="AC55" s="62">
        <f t="shared" si="17"/>
        <v>-241</v>
      </c>
    </row>
    <row r="56" spans="1:31" x14ac:dyDescent="0.2">
      <c r="B56" s="23" t="s">
        <v>146</v>
      </c>
      <c r="C56" s="62"/>
      <c r="D56" s="62"/>
      <c r="E56" s="62"/>
      <c r="F56" s="62"/>
      <c r="G56" s="62"/>
      <c r="H56" s="62"/>
      <c r="I56" s="62"/>
      <c r="J56" s="62"/>
      <c r="K56" s="62"/>
      <c r="L56" s="62"/>
      <c r="M56" s="62">
        <v>0</v>
      </c>
      <c r="N56" s="62">
        <v>0</v>
      </c>
      <c r="O56" s="62">
        <v>0</v>
      </c>
      <c r="P56" s="62">
        <v>0</v>
      </c>
      <c r="Q56" s="62">
        <v>0</v>
      </c>
      <c r="T56" s="62"/>
      <c r="U56" s="62"/>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-20</v>
      </c>
      <c r="N57" s="62">
        <v>66</v>
      </c>
      <c r="O57" s="62">
        <v>-49</v>
      </c>
      <c r="P57" s="62">
        <v>44</v>
      </c>
      <c r="Q57" s="62">
        <v>64</v>
      </c>
      <c r="T57" s="62"/>
      <c r="U57" s="62"/>
      <c r="V57" s="21">
        <v>-28</v>
      </c>
      <c r="W57" s="21">
        <v>35</v>
      </c>
      <c r="X57" s="21">
        <v>-30</v>
      </c>
      <c r="Y57" s="21">
        <v>87</v>
      </c>
      <c r="Z57" s="21">
        <v>3</v>
      </c>
      <c r="AA57" s="62">
        <v>12</v>
      </c>
      <c r="AC57" s="62">
        <f t="shared" si="17"/>
        <v>72</v>
      </c>
    </row>
    <row r="58" spans="1:31" x14ac:dyDescent="0.2">
      <c r="B58" s="23" t="s">
        <v>98</v>
      </c>
      <c r="C58" s="62"/>
      <c r="D58" s="62"/>
      <c r="E58" s="62"/>
      <c r="F58" s="62"/>
      <c r="G58" s="62"/>
      <c r="H58" s="62"/>
      <c r="I58" s="62"/>
      <c r="J58" s="62"/>
      <c r="K58" s="62"/>
      <c r="L58" s="62"/>
      <c r="M58" s="62">
        <v>742</v>
      </c>
      <c r="N58" s="62">
        <v>468</v>
      </c>
      <c r="O58" s="62">
        <v>-147</v>
      </c>
      <c r="P58" s="62">
        <v>-43</v>
      </c>
      <c r="Q58" s="62">
        <v>816</v>
      </c>
      <c r="T58" s="62"/>
      <c r="U58" s="62"/>
      <c r="V58" s="62">
        <v>62</v>
      </c>
      <c r="W58" s="62">
        <v>-361</v>
      </c>
      <c r="X58" s="62">
        <v>211</v>
      </c>
      <c r="Y58" s="62">
        <v>904</v>
      </c>
      <c r="Z58" s="62">
        <v>21</v>
      </c>
      <c r="AA58" s="62">
        <v>-549</v>
      </c>
      <c r="AC58" s="62">
        <f t="shared" si="17"/>
        <v>587</v>
      </c>
    </row>
    <row r="59" spans="1:31" s="19" customFormat="1" x14ac:dyDescent="0.2">
      <c r="A59" s="16"/>
      <c r="B59" s="17" t="s">
        <v>59</v>
      </c>
      <c r="C59" s="61"/>
      <c r="D59" s="61"/>
      <c r="E59" s="61"/>
      <c r="F59" s="61"/>
      <c r="G59" s="61"/>
      <c r="H59" s="61"/>
      <c r="I59" s="61"/>
      <c r="J59" s="61"/>
      <c r="K59" s="61"/>
      <c r="L59" s="61"/>
      <c r="M59" s="18">
        <v>7230</v>
      </c>
      <c r="N59" s="18">
        <v>7838</v>
      </c>
      <c r="O59" s="18">
        <v>7302</v>
      </c>
      <c r="P59" s="18">
        <v>8056</v>
      </c>
      <c r="Q59" s="18">
        <v>10031</v>
      </c>
      <c r="R59" s="1"/>
      <c r="S59" s="1"/>
      <c r="T59" s="61"/>
      <c r="U59" s="61"/>
      <c r="V59" s="18">
        <v>2482</v>
      </c>
      <c r="W59" s="18">
        <v>2191</v>
      </c>
      <c r="X59" s="18">
        <v>2198</v>
      </c>
      <c r="Y59" s="18">
        <v>3160</v>
      </c>
      <c r="Z59" s="18">
        <v>2958</v>
      </c>
      <c r="AA59" s="18">
        <v>2165</v>
      </c>
      <c r="AB59" s="1"/>
      <c r="AC59" s="61">
        <f>SUM(X59:AA59)</f>
        <v>10481</v>
      </c>
      <c r="AD59" s="1"/>
      <c r="AE59" s="1"/>
    </row>
    <row r="60" spans="1:31" x14ac:dyDescent="0.2">
      <c r="B60" s="20" t="s">
        <v>60</v>
      </c>
      <c r="C60" s="62"/>
      <c r="D60" s="62"/>
      <c r="E60" s="62"/>
      <c r="F60" s="62"/>
      <c r="G60" s="62"/>
      <c r="H60" s="62"/>
      <c r="I60" s="62"/>
      <c r="J60" s="62"/>
      <c r="K60" s="62"/>
      <c r="L60" s="62"/>
      <c r="M60" s="62">
        <v>-348</v>
      </c>
      <c r="N60" s="62">
        <v>-442</v>
      </c>
      <c r="O60" s="62">
        <v>-360</v>
      </c>
      <c r="P60" s="62">
        <v>-183</v>
      </c>
      <c r="Q60" s="62">
        <v>-179</v>
      </c>
      <c r="T60" s="62"/>
      <c r="U60" s="62"/>
      <c r="V60" s="62">
        <v>-26</v>
      </c>
      <c r="W60" s="62">
        <v>-47</v>
      </c>
      <c r="X60" s="62">
        <v>-72</v>
      </c>
      <c r="Y60" s="62">
        <v>-34</v>
      </c>
      <c r="Z60" s="62">
        <v>-37</v>
      </c>
      <c r="AA60" s="62">
        <v>-130</v>
      </c>
      <c r="AC60" s="62">
        <f>SUM(X60:AA60)</f>
        <v>-273</v>
      </c>
    </row>
    <row r="61" spans="1:31" x14ac:dyDescent="0.2">
      <c r="B61" s="20" t="s">
        <v>99</v>
      </c>
      <c r="C61" s="62"/>
      <c r="D61" s="62"/>
      <c r="E61" s="62"/>
      <c r="F61" s="62"/>
      <c r="G61" s="62"/>
      <c r="H61" s="62"/>
      <c r="I61" s="62"/>
      <c r="J61" s="62"/>
      <c r="K61" s="62"/>
      <c r="L61" s="62"/>
      <c r="M61" s="62">
        <v>0</v>
      </c>
      <c r="N61" s="62">
        <v>0</v>
      </c>
      <c r="O61" s="62">
        <v>0</v>
      </c>
      <c r="P61" s="62">
        <v>0</v>
      </c>
      <c r="Q61" s="62">
        <v>0</v>
      </c>
      <c r="T61" s="62"/>
      <c r="U61" s="62"/>
      <c r="V61" s="62">
        <v>0</v>
      </c>
      <c r="W61" s="62">
        <v>0</v>
      </c>
      <c r="X61" s="62">
        <v>0</v>
      </c>
      <c r="Y61" s="62">
        <v>0</v>
      </c>
      <c r="Z61" s="62">
        <v>0</v>
      </c>
      <c r="AA61" s="62">
        <v>0</v>
      </c>
      <c r="AC61" s="62">
        <f t="shared" ref="AC61:AC66" si="18">SUM(X61:AA61)</f>
        <v>0</v>
      </c>
    </row>
    <row r="62" spans="1:31" s="19" customFormat="1" x14ac:dyDescent="0.2">
      <c r="A62" s="16"/>
      <c r="B62" s="17" t="s">
        <v>61</v>
      </c>
      <c r="C62" s="61"/>
      <c r="D62" s="61"/>
      <c r="E62" s="61"/>
      <c r="F62" s="61"/>
      <c r="G62" s="61"/>
      <c r="H62" s="61"/>
      <c r="I62" s="61"/>
      <c r="J62" s="61"/>
      <c r="K62" s="61"/>
      <c r="L62" s="61"/>
      <c r="M62" s="61">
        <v>-3537</v>
      </c>
      <c r="N62" s="61">
        <v>-570</v>
      </c>
      <c r="O62" s="61">
        <v>776</v>
      </c>
      <c r="P62" s="61">
        <v>149</v>
      </c>
      <c r="Q62" s="61">
        <v>-1187</v>
      </c>
      <c r="R62" s="1"/>
      <c r="S62" s="1"/>
      <c r="T62" s="61"/>
      <c r="U62" s="61"/>
      <c r="V62" s="61">
        <v>-484</v>
      </c>
      <c r="W62" s="61">
        <v>-278</v>
      </c>
      <c r="X62" s="61">
        <v>-279</v>
      </c>
      <c r="Y62" s="61">
        <v>-146</v>
      </c>
      <c r="Z62" s="61">
        <v>474</v>
      </c>
      <c r="AA62" s="61">
        <v>-1714</v>
      </c>
      <c r="AB62" s="1"/>
      <c r="AC62" s="61">
        <f t="shared" si="18"/>
        <v>-1665</v>
      </c>
      <c r="AD62" s="1"/>
      <c r="AE62" s="1"/>
    </row>
    <row r="63" spans="1:31" x14ac:dyDescent="0.2">
      <c r="B63" s="20" t="s">
        <v>62</v>
      </c>
      <c r="C63" s="62"/>
      <c r="D63" s="62"/>
      <c r="E63" s="62"/>
      <c r="F63" s="62"/>
      <c r="G63" s="62"/>
      <c r="H63" s="62"/>
      <c r="I63" s="62"/>
      <c r="J63" s="62"/>
      <c r="K63" s="62"/>
      <c r="L63" s="62"/>
      <c r="M63" s="62">
        <v>-3950</v>
      </c>
      <c r="N63" s="62">
        <v>-6550</v>
      </c>
      <c r="O63" s="62">
        <v>-4400</v>
      </c>
      <c r="P63" s="62">
        <v>-9500</v>
      </c>
      <c r="Q63" s="62">
        <v>-11281</v>
      </c>
      <c r="T63" s="62"/>
      <c r="U63" s="62"/>
      <c r="V63" s="62">
        <v>-3250</v>
      </c>
      <c r="W63" s="62">
        <v>-3500</v>
      </c>
      <c r="X63" s="62">
        <v>-2057</v>
      </c>
      <c r="Y63" s="62">
        <v>-2474</v>
      </c>
      <c r="Z63" s="62">
        <v>-2478</v>
      </c>
      <c r="AA63" s="62">
        <v>-2111</v>
      </c>
      <c r="AC63" s="62">
        <f t="shared" si="18"/>
        <v>-9120</v>
      </c>
    </row>
    <row r="64" spans="1:31" x14ac:dyDescent="0.2">
      <c r="B64" s="20" t="s">
        <v>290</v>
      </c>
      <c r="C64" s="62"/>
      <c r="D64" s="62"/>
      <c r="E64" s="62"/>
      <c r="F64" s="62"/>
      <c r="G64" s="62"/>
      <c r="H64" s="62"/>
      <c r="I64" s="62"/>
      <c r="J64" s="62"/>
      <c r="K64" s="62"/>
      <c r="L64" s="62"/>
      <c r="M64" s="62">
        <v>0</v>
      </c>
      <c r="N64" s="62">
        <v>0</v>
      </c>
      <c r="O64" s="62">
        <v>0</v>
      </c>
      <c r="P64" s="62">
        <v>0</v>
      </c>
      <c r="Q64" s="62">
        <v>0</v>
      </c>
      <c r="T64" s="62"/>
      <c r="U64" s="62"/>
      <c r="V64" s="62">
        <v>0</v>
      </c>
      <c r="W64" s="62">
        <v>0</v>
      </c>
      <c r="X64" s="62">
        <v>0</v>
      </c>
      <c r="Y64" s="62">
        <v>0</v>
      </c>
      <c r="Z64" s="62">
        <v>0</v>
      </c>
      <c r="AA64" s="62">
        <v>0</v>
      </c>
      <c r="AC64" s="62">
        <f>SUM(X64:AA64)</f>
        <v>0</v>
      </c>
    </row>
    <row r="65" spans="1:31" x14ac:dyDescent="0.2">
      <c r="B65" s="20" t="s">
        <v>340</v>
      </c>
      <c r="C65" s="62"/>
      <c r="D65" s="62"/>
      <c r="E65" s="62"/>
      <c r="F65" s="62"/>
      <c r="G65" s="62"/>
      <c r="H65" s="62"/>
      <c r="I65" s="62"/>
      <c r="J65" s="62"/>
      <c r="K65" s="62"/>
      <c r="L65" s="62"/>
      <c r="M65" s="62">
        <v>0</v>
      </c>
      <c r="N65" s="62">
        <v>0</v>
      </c>
      <c r="O65" s="62">
        <v>0</v>
      </c>
      <c r="P65" s="62">
        <v>0</v>
      </c>
      <c r="Q65" s="62">
        <v>0</v>
      </c>
      <c r="T65" s="62"/>
      <c r="U65" s="62"/>
      <c r="V65" s="62">
        <v>0</v>
      </c>
      <c r="W65" s="62">
        <v>0</v>
      </c>
      <c r="X65" s="62">
        <v>0</v>
      </c>
      <c r="Y65" s="62">
        <v>0</v>
      </c>
      <c r="Z65" s="62">
        <v>0</v>
      </c>
      <c r="AA65" s="62">
        <v>0</v>
      </c>
      <c r="AC65" s="62">
        <f>SUM(X65:AA65)</f>
        <v>0</v>
      </c>
    </row>
    <row r="66" spans="1:31" s="19" customFormat="1" ht="17" thickBot="1" x14ac:dyDescent="0.25">
      <c r="A66" s="16"/>
      <c r="B66" s="36" t="s">
        <v>63</v>
      </c>
      <c r="C66" s="71"/>
      <c r="D66" s="71"/>
      <c r="E66" s="71"/>
      <c r="F66" s="71"/>
      <c r="G66" s="71"/>
      <c r="H66" s="71"/>
      <c r="I66" s="71"/>
      <c r="J66" s="71"/>
      <c r="K66" s="71"/>
      <c r="L66" s="71"/>
      <c r="M66" s="71">
        <v>-4301</v>
      </c>
      <c r="N66" s="71">
        <v>-6825</v>
      </c>
      <c r="O66" s="71">
        <v>-5182</v>
      </c>
      <c r="P66" s="71">
        <v>-7724</v>
      </c>
      <c r="Q66" s="71">
        <v>-11060</v>
      </c>
      <c r="R66" s="1"/>
      <c r="S66" s="1"/>
      <c r="T66" s="71"/>
      <c r="U66" s="71"/>
      <c r="V66" s="71">
        <v>-2841</v>
      </c>
      <c r="W66" s="71">
        <v>-3788</v>
      </c>
      <c r="X66" s="71">
        <v>-1876</v>
      </c>
      <c r="Y66" s="71">
        <v>-2555</v>
      </c>
      <c r="Z66" s="71">
        <v>-2544</v>
      </c>
      <c r="AA66" s="71">
        <v>-1855</v>
      </c>
      <c r="AB66" s="1"/>
      <c r="AC66" s="71">
        <f t="shared" si="18"/>
        <v>-8830</v>
      </c>
      <c r="AD66" s="1"/>
      <c r="AE66" s="1"/>
    </row>
    <row r="67" spans="1:31" x14ac:dyDescent="0.2">
      <c r="B67" s="1"/>
    </row>
    <row r="68" spans="1:31" s="15" customFormat="1" ht="17" thickBot="1" x14ac:dyDescent="0.25">
      <c r="A68" s="11"/>
      <c r="B68" s="14" t="s">
        <v>64</v>
      </c>
      <c r="R68" s="1"/>
      <c r="S68" s="1"/>
      <c r="AB68" s="1"/>
      <c r="AD68" s="1"/>
      <c r="AE68" s="1"/>
    </row>
    <row r="69" spans="1:31" x14ac:dyDescent="0.2">
      <c r="B69" s="20" t="s">
        <v>65</v>
      </c>
      <c r="C69" s="64">
        <f t="shared" ref="C69:Q69" si="19">C5-C6-C11+C13+C14+C16-C17</f>
        <v>0</v>
      </c>
      <c r="D69" s="64">
        <f t="shared" si="19"/>
        <v>0</v>
      </c>
      <c r="E69" s="64">
        <f t="shared" si="19"/>
        <v>0</v>
      </c>
      <c r="F69" s="64">
        <f t="shared" si="19"/>
        <v>0</v>
      </c>
      <c r="G69" s="64">
        <f t="shared" si="19"/>
        <v>0</v>
      </c>
      <c r="H69" s="64">
        <f t="shared" si="19"/>
        <v>0</v>
      </c>
      <c r="I69" s="64">
        <f t="shared" si="19"/>
        <v>0</v>
      </c>
      <c r="J69" s="64">
        <f t="shared" si="19"/>
        <v>0</v>
      </c>
      <c r="K69" s="64">
        <f t="shared" si="19"/>
        <v>0</v>
      </c>
      <c r="L69" s="64">
        <f t="shared" si="19"/>
        <v>0</v>
      </c>
      <c r="M69" s="64">
        <f t="shared" si="19"/>
        <v>4806</v>
      </c>
      <c r="N69" s="64">
        <f t="shared" si="19"/>
        <v>4775</v>
      </c>
      <c r="O69" s="64">
        <f t="shared" si="19"/>
        <v>5412</v>
      </c>
      <c r="P69" s="64">
        <f t="shared" si="19"/>
        <v>5512</v>
      </c>
      <c r="Q69" s="64">
        <f t="shared" si="19"/>
        <v>7087</v>
      </c>
      <c r="T69" s="64">
        <f t="shared" ref="T69:AA69" si="20">T5-T6-T11+T13+T14+T16-T17</f>
        <v>1672</v>
      </c>
      <c r="U69" s="64">
        <f t="shared" si="20"/>
        <v>1669</v>
      </c>
      <c r="V69" s="64">
        <f t="shared" si="20"/>
        <v>1805</v>
      </c>
      <c r="W69" s="64">
        <f t="shared" si="20"/>
        <v>1689</v>
      </c>
      <c r="X69" s="64">
        <f t="shared" si="20"/>
        <v>1749</v>
      </c>
      <c r="Y69" s="64">
        <f t="shared" si="20"/>
        <v>1844</v>
      </c>
      <c r="Z69" s="64">
        <f t="shared" si="20"/>
        <v>1884</v>
      </c>
      <c r="AA69" s="64">
        <f t="shared" si="20"/>
        <v>1694</v>
      </c>
      <c r="AC69" s="64">
        <f>AC5-AC6-AC11+AC13+AC14+AC16-AC17</f>
        <v>7171</v>
      </c>
    </row>
    <row r="70" spans="1:31" s="41" customFormat="1" x14ac:dyDescent="0.2">
      <c r="A70" s="16"/>
      <c r="B70" s="17" t="s">
        <v>66</v>
      </c>
      <c r="C70" s="40">
        <f t="shared" ref="C70:Q70" si="21">C18-C69</f>
        <v>0</v>
      </c>
      <c r="D70" s="40">
        <f t="shared" si="21"/>
        <v>0</v>
      </c>
      <c r="E70" s="40">
        <f t="shared" si="21"/>
        <v>0</v>
      </c>
      <c r="F70" s="40">
        <f t="shared" si="21"/>
        <v>0</v>
      </c>
      <c r="G70" s="40">
        <f t="shared" si="21"/>
        <v>0</v>
      </c>
      <c r="H70" s="40">
        <f t="shared" si="21"/>
        <v>0</v>
      </c>
      <c r="I70" s="40">
        <f t="shared" si="21"/>
        <v>0</v>
      </c>
      <c r="J70" s="40">
        <f t="shared" si="21"/>
        <v>0</v>
      </c>
      <c r="K70" s="40">
        <f t="shared" si="21"/>
        <v>0</v>
      </c>
      <c r="L70" s="40">
        <f t="shared" si="21"/>
        <v>0</v>
      </c>
      <c r="M70" s="40">
        <f t="shared" si="21"/>
        <v>16</v>
      </c>
      <c r="N70" s="40">
        <f t="shared" si="21"/>
        <v>-19</v>
      </c>
      <c r="O70" s="40">
        <f t="shared" si="21"/>
        <v>16</v>
      </c>
      <c r="P70" s="40">
        <f t="shared" si="21"/>
        <v>1048</v>
      </c>
      <c r="Q70" s="40">
        <f t="shared" si="21"/>
        <v>43</v>
      </c>
      <c r="R70" s="1"/>
      <c r="S70" s="1"/>
      <c r="T70" s="40">
        <f t="shared" ref="T70:Z70" si="22">T18-T69</f>
        <v>12</v>
      </c>
      <c r="U70" s="40">
        <f t="shared" si="22"/>
        <v>14</v>
      </c>
      <c r="V70" s="40">
        <f t="shared" si="22"/>
        <v>6</v>
      </c>
      <c r="W70" s="40">
        <f t="shared" si="22"/>
        <v>2</v>
      </c>
      <c r="X70" s="40">
        <f t="shared" si="22"/>
        <v>23</v>
      </c>
      <c r="Y70" s="40">
        <f t="shared" si="22"/>
        <v>12</v>
      </c>
      <c r="Z70" s="40">
        <f t="shared" si="22"/>
        <v>5</v>
      </c>
      <c r="AA70" s="40">
        <f t="shared" ref="AA70" si="23">AA18-AA69</f>
        <v>18</v>
      </c>
      <c r="AB70" s="16"/>
      <c r="AC70" s="40">
        <f>AC18-AC69</f>
        <v>58</v>
      </c>
      <c r="AD70" s="1"/>
      <c r="AE70" s="1"/>
    </row>
    <row r="71" spans="1:31" s="41" customFormat="1" x14ac:dyDescent="0.2">
      <c r="A71" s="16"/>
      <c r="B71" s="17" t="s">
        <v>67</v>
      </c>
      <c r="C71" s="42">
        <f t="shared" ref="C71:Q71" si="24">C37-(C43+C112)</f>
        <v>0</v>
      </c>
      <c r="D71" s="42">
        <f t="shared" si="24"/>
        <v>0</v>
      </c>
      <c r="E71" s="42">
        <f t="shared" si="24"/>
        <v>0</v>
      </c>
      <c r="F71" s="42">
        <f t="shared" si="24"/>
        <v>0</v>
      </c>
      <c r="G71" s="42">
        <f t="shared" si="24"/>
        <v>0</v>
      </c>
      <c r="H71" s="42">
        <f t="shared" si="24"/>
        <v>0</v>
      </c>
      <c r="I71" s="42">
        <f t="shared" si="24"/>
        <v>0</v>
      </c>
      <c r="J71" s="42">
        <f t="shared" si="24"/>
        <v>0</v>
      </c>
      <c r="K71" s="42">
        <f t="shared" si="24"/>
        <v>0</v>
      </c>
      <c r="L71" s="42">
        <f t="shared" si="24"/>
        <v>0</v>
      </c>
      <c r="M71" s="42">
        <f t="shared" si="24"/>
        <v>0</v>
      </c>
      <c r="N71" s="42">
        <f t="shared" si="24"/>
        <v>0</v>
      </c>
      <c r="O71" s="42">
        <f t="shared" si="24"/>
        <v>0</v>
      </c>
      <c r="P71" s="42">
        <f t="shared" si="24"/>
        <v>0</v>
      </c>
      <c r="Q71" s="42">
        <f t="shared" si="24"/>
        <v>0</v>
      </c>
      <c r="R71" s="1"/>
      <c r="S71" s="1"/>
      <c r="T71" s="42">
        <f t="shared" ref="T71:AA71" si="25">T37-(T43+T112)</f>
        <v>0</v>
      </c>
      <c r="U71" s="42">
        <f t="shared" si="25"/>
        <v>0</v>
      </c>
      <c r="V71" s="42">
        <f t="shared" si="25"/>
        <v>0</v>
      </c>
      <c r="W71" s="42">
        <f t="shared" si="25"/>
        <v>0</v>
      </c>
      <c r="X71" s="42">
        <f t="shared" si="25"/>
        <v>0</v>
      </c>
      <c r="Y71" s="42">
        <f t="shared" si="25"/>
        <v>0</v>
      </c>
      <c r="Z71" s="42">
        <f t="shared" si="25"/>
        <v>0</v>
      </c>
      <c r="AA71" s="42">
        <f t="shared" si="25"/>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68</v>
      </c>
      <c r="R73" s="1"/>
      <c r="S73" s="1"/>
      <c r="AB73" s="1"/>
      <c r="AD73" s="1"/>
      <c r="AE73" s="1"/>
    </row>
    <row r="74" spans="1:31" x14ac:dyDescent="0.2">
      <c r="B74" s="20" t="s">
        <v>69</v>
      </c>
      <c r="C74" s="43"/>
      <c r="D74" s="43"/>
      <c r="E74" s="43"/>
      <c r="F74" s="43"/>
      <c r="G74" s="43"/>
      <c r="H74" s="43"/>
      <c r="I74" s="43"/>
      <c r="J74" s="21"/>
      <c r="K74" s="21"/>
      <c r="L74" s="21"/>
      <c r="M74" s="43">
        <v>472</v>
      </c>
      <c r="N74" s="43">
        <v>458</v>
      </c>
      <c r="O74" s="21">
        <v>452</v>
      </c>
      <c r="P74" s="21">
        <v>435</v>
      </c>
      <c r="Q74" s="21">
        <v>411</v>
      </c>
      <c r="T74" s="21">
        <v>440</v>
      </c>
      <c r="U74" s="21">
        <v>435</v>
      </c>
      <c r="V74" s="21">
        <v>426</v>
      </c>
      <c r="W74" s="21">
        <v>424</v>
      </c>
      <c r="X74" s="21">
        <v>419</v>
      </c>
      <c r="Y74" s="21">
        <v>411</v>
      </c>
      <c r="Z74" s="21">
        <v>404</v>
      </c>
      <c r="AA74" s="21">
        <v>398</v>
      </c>
      <c r="AC74" s="24">
        <f>AA74</f>
        <v>398</v>
      </c>
    </row>
    <row r="75" spans="1:31" x14ac:dyDescent="0.2">
      <c r="B75" s="20" t="s">
        <v>70</v>
      </c>
      <c r="C75" s="25"/>
      <c r="D75" s="25"/>
      <c r="E75" s="25"/>
      <c r="F75" s="25"/>
      <c r="G75" s="25"/>
      <c r="H75" s="25"/>
      <c r="I75" s="25"/>
      <c r="J75" s="25"/>
      <c r="K75" s="25"/>
      <c r="L75" s="25"/>
      <c r="M75" s="25">
        <f t="shared" ref="M75:Q75" si="26">M74*M85</f>
        <v>472</v>
      </c>
      <c r="N75" s="25">
        <f t="shared" si="26"/>
        <v>458</v>
      </c>
      <c r="O75" s="25">
        <f t="shared" si="26"/>
        <v>452</v>
      </c>
      <c r="P75" s="25">
        <f t="shared" si="26"/>
        <v>435</v>
      </c>
      <c r="Q75" s="25">
        <f t="shared" si="26"/>
        <v>411</v>
      </c>
      <c r="T75" s="25">
        <f t="shared" ref="T75" si="27">T74*T85</f>
        <v>440</v>
      </c>
      <c r="U75" s="25">
        <f t="shared" ref="U75" si="28">U74*U85</f>
        <v>435</v>
      </c>
      <c r="V75" s="25">
        <f t="shared" ref="V75" si="29">V74*V85</f>
        <v>426</v>
      </c>
      <c r="W75" s="25">
        <f t="shared" ref="W75" si="30">W74*W85</f>
        <v>424</v>
      </c>
      <c r="X75" s="25">
        <f t="shared" ref="X75" si="31">X74*X85</f>
        <v>419</v>
      </c>
      <c r="Y75" s="25">
        <f t="shared" ref="Y75" si="32">Y74*Y85</f>
        <v>411</v>
      </c>
      <c r="Z75" s="25">
        <f t="shared" ref="Z75:AA75" si="33">Z74*Z85</f>
        <v>404</v>
      </c>
      <c r="AA75" s="25">
        <f t="shared" si="33"/>
        <v>398</v>
      </c>
      <c r="AC75" s="24">
        <f>AA75</f>
        <v>398</v>
      </c>
    </row>
    <row r="76" spans="1:31" x14ac:dyDescent="0.2">
      <c r="B76" s="20" t="s">
        <v>240</v>
      </c>
      <c r="C76" s="25"/>
      <c r="D76" s="25"/>
      <c r="E76" s="25"/>
      <c r="F76" s="25"/>
      <c r="G76" s="25"/>
      <c r="H76" s="25"/>
      <c r="I76" s="25"/>
      <c r="J76" s="25"/>
      <c r="K76" s="25"/>
      <c r="L76" s="25"/>
      <c r="M76" s="21">
        <v>4</v>
      </c>
      <c r="N76" s="21">
        <v>1</v>
      </c>
      <c r="O76" s="21">
        <v>2</v>
      </c>
      <c r="P76" s="21">
        <v>3</v>
      </c>
      <c r="Q76" s="21">
        <v>1</v>
      </c>
      <c r="T76" s="21">
        <v>2</v>
      </c>
      <c r="U76" s="21">
        <v>3</v>
      </c>
      <c r="V76" s="21">
        <v>1</v>
      </c>
      <c r="W76" s="21">
        <v>1</v>
      </c>
      <c r="X76" s="21">
        <v>1</v>
      </c>
      <c r="Y76" s="21">
        <v>1</v>
      </c>
      <c r="Z76" s="21">
        <v>1</v>
      </c>
      <c r="AA76" s="21">
        <v>0</v>
      </c>
      <c r="AC76" s="21">
        <f>AA76</f>
        <v>0</v>
      </c>
    </row>
    <row r="77" spans="1:31" x14ac:dyDescent="0.2">
      <c r="B77" s="20" t="s">
        <v>241</v>
      </c>
      <c r="C77" s="25"/>
      <c r="D77" s="25"/>
      <c r="E77" s="25"/>
      <c r="F77" s="25"/>
      <c r="G77" s="25"/>
      <c r="H77" s="25"/>
      <c r="I77" s="25"/>
      <c r="J77" s="25"/>
      <c r="K77" s="25"/>
      <c r="L77" s="25"/>
      <c r="M77" s="25">
        <f t="shared" ref="M77:P77" si="34">M76*M85</f>
        <v>4</v>
      </c>
      <c r="N77" s="25">
        <f t="shared" si="34"/>
        <v>1</v>
      </c>
      <c r="O77" s="25">
        <f t="shared" si="34"/>
        <v>2</v>
      </c>
      <c r="P77" s="25">
        <f t="shared" si="34"/>
        <v>3</v>
      </c>
      <c r="Q77" s="25">
        <f>Q76*Q85</f>
        <v>1</v>
      </c>
      <c r="T77" s="25">
        <f t="shared" ref="T77:Z77" si="35">T76*T85</f>
        <v>2</v>
      </c>
      <c r="U77" s="25">
        <f t="shared" si="35"/>
        <v>3</v>
      </c>
      <c r="V77" s="25">
        <f t="shared" si="35"/>
        <v>1</v>
      </c>
      <c r="W77" s="25">
        <f t="shared" si="35"/>
        <v>1</v>
      </c>
      <c r="X77" s="25">
        <f t="shared" si="35"/>
        <v>1</v>
      </c>
      <c r="Y77" s="25">
        <f t="shared" si="35"/>
        <v>1</v>
      </c>
      <c r="Z77" s="25">
        <f t="shared" si="35"/>
        <v>1</v>
      </c>
      <c r="AA77" s="25">
        <f t="shared" ref="AA77" si="36">AA76*AA85</f>
        <v>0</v>
      </c>
      <c r="AC77" s="24">
        <f>AA77</f>
        <v>0</v>
      </c>
    </row>
    <row r="78" spans="1:31" x14ac:dyDescent="0.2">
      <c r="B78" s="20" t="s">
        <v>242</v>
      </c>
      <c r="C78" s="25"/>
      <c r="D78" s="25"/>
      <c r="E78" s="25"/>
      <c r="F78" s="25"/>
      <c r="G78" s="25"/>
      <c r="H78" s="25"/>
      <c r="I78" s="25"/>
      <c r="J78" s="25"/>
      <c r="K78" s="25"/>
      <c r="L78" s="25"/>
      <c r="M78" s="25">
        <f t="shared" ref="M78:P78" si="37">M75+M77</f>
        <v>476</v>
      </c>
      <c r="N78" s="25">
        <f t="shared" si="37"/>
        <v>459</v>
      </c>
      <c r="O78" s="25">
        <f t="shared" si="37"/>
        <v>454</v>
      </c>
      <c r="P78" s="25">
        <f t="shared" si="37"/>
        <v>438</v>
      </c>
      <c r="Q78" s="25">
        <f>Q75+Q77</f>
        <v>412</v>
      </c>
      <c r="T78" s="25">
        <f t="shared" ref="T78:Z78" si="38">T75+T77</f>
        <v>442</v>
      </c>
      <c r="U78" s="25">
        <f t="shared" si="38"/>
        <v>438</v>
      </c>
      <c r="V78" s="25">
        <f t="shared" si="38"/>
        <v>427</v>
      </c>
      <c r="W78" s="25">
        <f t="shared" si="38"/>
        <v>425</v>
      </c>
      <c r="X78" s="25">
        <f t="shared" si="38"/>
        <v>420</v>
      </c>
      <c r="Y78" s="25">
        <f t="shared" si="38"/>
        <v>412</v>
      </c>
      <c r="Z78" s="25">
        <f t="shared" si="38"/>
        <v>405</v>
      </c>
      <c r="AA78" s="25">
        <f t="shared" ref="AA78" si="39">AA75+AA77</f>
        <v>398</v>
      </c>
      <c r="AC78" s="24">
        <f>AA78</f>
        <v>398</v>
      </c>
    </row>
    <row r="79" spans="1:31" x14ac:dyDescent="0.2">
      <c r="B79" s="20" t="s">
        <v>281</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282</v>
      </c>
      <c r="C80" s="25"/>
      <c r="D80" s="25"/>
      <c r="E80" s="25"/>
      <c r="F80" s="25"/>
      <c r="G80" s="25"/>
      <c r="H80" s="25"/>
      <c r="I80" s="25"/>
      <c r="J80" s="25"/>
      <c r="K80" s="25"/>
      <c r="L80" s="25"/>
      <c r="M80" s="25">
        <f t="shared" ref="M80:P80" si="40">M79*M85</f>
        <v>1</v>
      </c>
      <c r="N80" s="25">
        <f t="shared" si="40"/>
        <v>1</v>
      </c>
      <c r="O80" s="25">
        <f t="shared" si="40"/>
        <v>1</v>
      </c>
      <c r="P80" s="25">
        <f t="shared" si="40"/>
        <v>1</v>
      </c>
      <c r="Q80" s="25">
        <f>Q79*Q85</f>
        <v>1</v>
      </c>
      <c r="T80" s="68"/>
      <c r="U80" s="68"/>
      <c r="V80" s="68"/>
      <c r="W80" s="68"/>
      <c r="X80" s="68"/>
      <c r="Y80" s="68"/>
      <c r="Z80" s="68"/>
      <c r="AA80" s="68"/>
      <c r="AC80" s="24">
        <f>Q80</f>
        <v>1</v>
      </c>
    </row>
    <row r="81" spans="1:31" x14ac:dyDescent="0.2">
      <c r="B81" s="23" t="s">
        <v>71</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72</v>
      </c>
      <c r="C82" s="39"/>
      <c r="D82" s="45"/>
      <c r="E82" s="45"/>
      <c r="F82" s="45"/>
      <c r="G82" s="45"/>
      <c r="H82" s="45"/>
      <c r="I82" s="45"/>
      <c r="J82" s="45"/>
      <c r="K82" s="45"/>
      <c r="L82" s="45"/>
      <c r="M82" s="45">
        <f t="shared" ref="M82:Q82" si="41">M81/M85</f>
        <v>0</v>
      </c>
      <c r="N82" s="45">
        <f t="shared" si="41"/>
        <v>0</v>
      </c>
      <c r="O82" s="45">
        <f t="shared" si="41"/>
        <v>0</v>
      </c>
      <c r="P82" s="45">
        <f t="shared" si="41"/>
        <v>0</v>
      </c>
      <c r="Q82" s="45">
        <f t="shared" si="41"/>
        <v>0</v>
      </c>
      <c r="T82" s="45">
        <f t="shared" ref="T82" si="42">T81/T85</f>
        <v>0</v>
      </c>
      <c r="U82" s="45">
        <f t="shared" ref="U82" si="43">U81/U85</f>
        <v>0</v>
      </c>
      <c r="V82" s="45">
        <f t="shared" ref="V82" si="44">V81/V85</f>
        <v>0</v>
      </c>
      <c r="W82" s="45">
        <f t="shared" ref="W82" si="45">W81/W85</f>
        <v>0</v>
      </c>
      <c r="X82" s="45">
        <f t="shared" ref="X82" si="46">X81/X85</f>
        <v>0</v>
      </c>
      <c r="Y82" s="45">
        <f t="shared" ref="Y82" si="47">Y81/Y85</f>
        <v>0</v>
      </c>
      <c r="Z82" s="45">
        <f t="shared" ref="Z82:AA82" si="48">Z81/Z85</f>
        <v>0</v>
      </c>
      <c r="AA82" s="45">
        <f t="shared" si="48"/>
        <v>0</v>
      </c>
      <c r="AC82" s="72">
        <f>SUM(X82:AA82)</f>
        <v>0</v>
      </c>
    </row>
    <row r="83" spans="1:31" x14ac:dyDescent="0.2">
      <c r="B83" s="20" t="s">
        <v>73</v>
      </c>
      <c r="C83" s="46">
        <f t="shared" ref="C83:Q83" si="49">IF(AND(C15&gt;0,C16&lt;0),-(C16)/C15,0)</f>
        <v>0</v>
      </c>
      <c r="D83" s="46">
        <f t="shared" si="49"/>
        <v>0</v>
      </c>
      <c r="E83" s="46">
        <f t="shared" si="49"/>
        <v>0</v>
      </c>
      <c r="F83" s="46">
        <f t="shared" si="49"/>
        <v>0</v>
      </c>
      <c r="G83" s="46">
        <f t="shared" si="49"/>
        <v>0</v>
      </c>
      <c r="H83" s="46">
        <f t="shared" si="49"/>
        <v>0</v>
      </c>
      <c r="I83" s="46">
        <f t="shared" si="49"/>
        <v>0</v>
      </c>
      <c r="J83" s="46">
        <f t="shared" si="49"/>
        <v>0</v>
      </c>
      <c r="K83" s="46">
        <f t="shared" si="49"/>
        <v>0</v>
      </c>
      <c r="L83" s="46">
        <f t="shared" si="49"/>
        <v>0</v>
      </c>
      <c r="M83" s="46">
        <f t="shared" si="49"/>
        <v>0.15477651183172655</v>
      </c>
      <c r="N83" s="46">
        <f t="shared" si="49"/>
        <v>0.20838881491344874</v>
      </c>
      <c r="O83" s="46">
        <f t="shared" si="49"/>
        <v>0.20164730107368731</v>
      </c>
      <c r="P83" s="46">
        <f t="shared" si="49"/>
        <v>0.19780695426345404</v>
      </c>
      <c r="Q83" s="46">
        <f t="shared" si="49"/>
        <v>0.18365010304556903</v>
      </c>
      <c r="T83" s="46">
        <f t="shared" ref="T83:AA83" si="50">IF(AND(T15&gt;0,T16&lt;0),-(T16)/T15,0)</f>
        <v>0.17531831537708129</v>
      </c>
      <c r="U83" s="46">
        <f t="shared" si="50"/>
        <v>0.15469613259668508</v>
      </c>
      <c r="V83" s="46">
        <f t="shared" si="50"/>
        <v>0.17002749770852429</v>
      </c>
      <c r="W83" s="46">
        <f t="shared" si="50"/>
        <v>0.1951451689671585</v>
      </c>
      <c r="X83" s="46">
        <f t="shared" si="50"/>
        <v>0.18975765889346136</v>
      </c>
      <c r="Y83" s="46">
        <f t="shared" si="50"/>
        <v>0.18021201413427562</v>
      </c>
      <c r="Z83" s="46">
        <f t="shared" si="50"/>
        <v>0.22006606110652355</v>
      </c>
      <c r="AA83" s="46">
        <f t="shared" si="50"/>
        <v>0.23503127792672029</v>
      </c>
      <c r="AC83" s="46">
        <f>IF(AND(AC15&gt;0,AC16&lt;0),-(AC16)/AC15,0)</f>
        <v>0.20656349467676435</v>
      </c>
    </row>
    <row r="84" spans="1:31" x14ac:dyDescent="0.2">
      <c r="B84" s="20" t="s">
        <v>74</v>
      </c>
      <c r="C84" s="21"/>
      <c r="D84" s="21"/>
      <c r="E84" s="21"/>
      <c r="F84" s="21"/>
      <c r="G84" s="21"/>
      <c r="H84" s="21"/>
      <c r="I84" s="21"/>
      <c r="J84" s="21"/>
      <c r="K84" s="21"/>
      <c r="L84" s="21"/>
      <c r="M84" s="21">
        <v>25988</v>
      </c>
      <c r="N84" s="21">
        <v>29239</v>
      </c>
      <c r="O84" s="21">
        <v>29945</v>
      </c>
      <c r="P84" s="21">
        <v>30709</v>
      </c>
      <c r="Q84" s="21">
        <v>31360</v>
      </c>
      <c r="T84" s="68"/>
      <c r="U84" s="68"/>
      <c r="V84" s="68"/>
      <c r="W84" s="68"/>
      <c r="X84" s="68"/>
      <c r="Y84" s="68"/>
      <c r="Z84" s="68"/>
      <c r="AA84" s="68"/>
      <c r="AC84" s="21">
        <f>Q84</f>
        <v>31360</v>
      </c>
    </row>
    <row r="85" spans="1:31" x14ac:dyDescent="0.2">
      <c r="B85" s="20" t="s">
        <v>75</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76</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1">IF(L5=0,
IF(M5=0,0,IF(M5&gt;0,1,-1)),
(M5-L5)/ABS(L5)
)</f>
        <v>1</v>
      </c>
      <c r="N89" s="48">
        <f t="shared" si="51"/>
        <v>0.11536268609439342</v>
      </c>
      <c r="O89" s="48">
        <f t="shared" si="51"/>
        <v>0.10240826990798592</v>
      </c>
      <c r="P89" s="48">
        <f t="shared" si="51"/>
        <v>0.10799113813179453</v>
      </c>
      <c r="Q89" s="48">
        <f t="shared" si="51"/>
        <v>0.10527784236224134</v>
      </c>
      <c r="R89" s="1"/>
      <c r="S89" s="1"/>
      <c r="T89" s="48">
        <f t="shared" ref="T89:AA96" si="52">IF(S5=0,
IF(T5=0,0,IF(T5&gt;0,1,-1)),
(T5-S5)/ABS(S5)
)</f>
        <v>1</v>
      </c>
      <c r="U89" s="48">
        <f t="shared" si="52"/>
        <v>3.6612426035502958E-2</v>
      </c>
      <c r="V89" s="48">
        <f t="shared" si="52"/>
        <v>1.9265073135925792E-2</v>
      </c>
      <c r="W89" s="48">
        <f t="shared" si="52"/>
        <v>2.7826391319565977E-2</v>
      </c>
      <c r="X89" s="48">
        <f t="shared" si="52"/>
        <v>1.9581134003064875E-2</v>
      </c>
      <c r="Y89" s="48">
        <f t="shared" si="52"/>
        <v>3.4402137608550432E-2</v>
      </c>
      <c r="Z89" s="48">
        <f t="shared" si="52"/>
        <v>3.2935098482402322E-2</v>
      </c>
      <c r="AA89" s="48">
        <f t="shared" si="52"/>
        <v>3.4385745545482967E-2</v>
      </c>
      <c r="AB89" s="1"/>
      <c r="AC89" s="67"/>
      <c r="AD89" s="1"/>
      <c r="AE89" s="1"/>
    </row>
    <row r="90" spans="1:31" x14ac:dyDescent="0.2">
      <c r="B90" s="20" t="s">
        <v>20</v>
      </c>
      <c r="C90" s="49"/>
      <c r="D90" s="50"/>
      <c r="E90" s="50"/>
      <c r="F90" s="50"/>
      <c r="G90" s="50"/>
      <c r="H90" s="50"/>
      <c r="I90" s="50"/>
      <c r="J90" s="50"/>
      <c r="K90" s="50"/>
      <c r="L90" s="50"/>
      <c r="M90" s="50">
        <f t="shared" si="51"/>
        <v>1</v>
      </c>
      <c r="N90" s="50">
        <f t="shared" si="51"/>
        <v>0.16085790884718498</v>
      </c>
      <c r="O90" s="50">
        <f t="shared" si="51"/>
        <v>8.729792147806005E-2</v>
      </c>
      <c r="P90" s="50">
        <f t="shared" si="51"/>
        <v>1.6992353440951572E-3</v>
      </c>
      <c r="Q90" s="50">
        <f t="shared" si="51"/>
        <v>8.1849024597116196E-2</v>
      </c>
      <c r="T90" s="50">
        <f t="shared" si="52"/>
        <v>1</v>
      </c>
      <c r="U90" s="50">
        <f t="shared" si="52"/>
        <v>0.11191335740072202</v>
      </c>
      <c r="V90" s="50">
        <f t="shared" si="52"/>
        <v>9.74025974025974E-3</v>
      </c>
      <c r="W90" s="50">
        <f t="shared" si="52"/>
        <v>2.5723472668810289E-2</v>
      </c>
      <c r="X90" s="50">
        <f t="shared" si="52"/>
        <v>6.269592476489028E-3</v>
      </c>
      <c r="Y90" s="50">
        <f t="shared" si="52"/>
        <v>1.0903426791277258E-2</v>
      </c>
      <c r="Z90" s="50">
        <f t="shared" si="52"/>
        <v>2.3112480739599383E-2</v>
      </c>
      <c r="AA90" s="50">
        <f t="shared" si="52"/>
        <v>7.6807228915662648E-2</v>
      </c>
      <c r="AC90" s="68"/>
    </row>
    <row r="91" spans="1:31" s="41" customFormat="1" x14ac:dyDescent="0.2">
      <c r="A91" s="16"/>
      <c r="B91" s="17" t="s">
        <v>21</v>
      </c>
      <c r="C91" s="47"/>
      <c r="D91" s="48"/>
      <c r="E91" s="48"/>
      <c r="F91" s="48"/>
      <c r="G91" s="48"/>
      <c r="H91" s="48"/>
      <c r="I91" s="48"/>
      <c r="J91" s="48"/>
      <c r="K91" s="48"/>
      <c r="L91" s="48"/>
      <c r="M91" s="48">
        <f t="shared" si="51"/>
        <v>1</v>
      </c>
      <c r="N91" s="48">
        <f t="shared" si="51"/>
        <v>0.10926724137931035</v>
      </c>
      <c r="O91" s="48">
        <f t="shared" si="51"/>
        <v>0.10452690887895862</v>
      </c>
      <c r="P91" s="48">
        <f t="shared" si="51"/>
        <v>0.122661975960129</v>
      </c>
      <c r="Q91" s="48">
        <f t="shared" si="51"/>
        <v>0.10816315871938163</v>
      </c>
      <c r="R91" s="1"/>
      <c r="S91" s="1"/>
      <c r="T91" s="48">
        <f t="shared" si="52"/>
        <v>1</v>
      </c>
      <c r="U91" s="48">
        <f t="shared" si="52"/>
        <v>2.8018129377832716E-2</v>
      </c>
      <c r="V91" s="48">
        <f t="shared" si="52"/>
        <v>2.0440881763527055E-2</v>
      </c>
      <c r="W91" s="48">
        <f t="shared" si="52"/>
        <v>2.8083267871170464E-2</v>
      </c>
      <c r="X91" s="48">
        <f t="shared" si="52"/>
        <v>2.1203438395415473E-2</v>
      </c>
      <c r="Y91" s="48">
        <f t="shared" si="52"/>
        <v>3.7224092779648332E-2</v>
      </c>
      <c r="Z91" s="48">
        <f t="shared" si="52"/>
        <v>3.4084761045987379E-2</v>
      </c>
      <c r="AA91" s="48">
        <f t="shared" si="52"/>
        <v>2.9473317056156263E-2</v>
      </c>
      <c r="AB91" s="1"/>
      <c r="AC91" s="67"/>
      <c r="AD91" s="1"/>
      <c r="AE91" s="1"/>
    </row>
    <row r="92" spans="1:31" x14ac:dyDescent="0.2">
      <c r="B92" s="20" t="s">
        <v>23</v>
      </c>
      <c r="C92" s="49"/>
      <c r="D92" s="50"/>
      <c r="E92" s="50"/>
      <c r="F92" s="50"/>
      <c r="G92" s="50"/>
      <c r="H92" s="50"/>
      <c r="I92" s="50"/>
      <c r="J92" s="50"/>
      <c r="K92" s="50"/>
      <c r="L92" s="50"/>
      <c r="M92" s="50">
        <f t="shared" si="51"/>
        <v>1</v>
      </c>
      <c r="N92" s="50">
        <f t="shared" si="51"/>
        <v>0.17598425196850392</v>
      </c>
      <c r="O92" s="50">
        <f t="shared" si="51"/>
        <v>0.16270505523937059</v>
      </c>
      <c r="P92" s="50">
        <f t="shared" si="51"/>
        <v>0.13561762165274979</v>
      </c>
      <c r="Q92" s="50">
        <f t="shared" si="51"/>
        <v>8.8742393509127784E-2</v>
      </c>
      <c r="T92" s="50">
        <f t="shared" si="52"/>
        <v>1</v>
      </c>
      <c r="U92" s="50">
        <f t="shared" si="52"/>
        <v>-2.2504892367906065E-2</v>
      </c>
      <c r="V92" s="50">
        <f t="shared" si="52"/>
        <v>2.7027027027027029E-2</v>
      </c>
      <c r="W92" s="50">
        <f t="shared" si="52"/>
        <v>5.4580896686159841E-2</v>
      </c>
      <c r="X92" s="50">
        <f t="shared" si="52"/>
        <v>5.5452865064695009E-3</v>
      </c>
      <c r="Y92" s="50">
        <f t="shared" si="52"/>
        <v>9.1911764705882356E-3</v>
      </c>
      <c r="Z92" s="50">
        <f t="shared" si="52"/>
        <v>1.092896174863388E-2</v>
      </c>
      <c r="AA92" s="50">
        <f t="shared" si="52"/>
        <v>7.9279279279279274E-2</v>
      </c>
      <c r="AC92" s="68"/>
    </row>
    <row r="93" spans="1:31" x14ac:dyDescent="0.2">
      <c r="B93" s="20" t="s">
        <v>22</v>
      </c>
      <c r="C93" s="49"/>
      <c r="D93" s="50"/>
      <c r="E93" s="50"/>
      <c r="F93" s="50"/>
      <c r="G93" s="50"/>
      <c r="H93" s="50"/>
      <c r="I93" s="50"/>
      <c r="J93" s="50"/>
      <c r="K93" s="50"/>
      <c r="L93" s="50"/>
      <c r="M93" s="50">
        <f t="shared" si="51"/>
        <v>1</v>
      </c>
      <c r="N93" s="50">
        <f t="shared" si="51"/>
        <v>0.14973385790326313</v>
      </c>
      <c r="O93" s="50">
        <f t="shared" si="51"/>
        <v>7.7093397745571654E-2</v>
      </c>
      <c r="P93" s="50">
        <f t="shared" si="51"/>
        <v>7.7181835170996069E-2</v>
      </c>
      <c r="Q93" s="50">
        <f t="shared" si="51"/>
        <v>0.12560721721027066</v>
      </c>
      <c r="T93" s="50">
        <f t="shared" si="52"/>
        <v>1</v>
      </c>
      <c r="U93" s="50">
        <f t="shared" si="52"/>
        <v>7.337526205450734E-2</v>
      </c>
      <c r="V93" s="50">
        <f t="shared" si="52"/>
        <v>-2.6692708333333332E-2</v>
      </c>
      <c r="W93" s="50">
        <f t="shared" si="52"/>
        <v>8.7625418060200674E-2</v>
      </c>
      <c r="X93" s="50">
        <f t="shared" si="52"/>
        <v>7.9950799507995073E-3</v>
      </c>
      <c r="Y93" s="50">
        <f t="shared" si="52"/>
        <v>5.4301403294691887E-2</v>
      </c>
      <c r="Z93" s="50">
        <f t="shared" si="52"/>
        <v>-1.1574074074074073E-2</v>
      </c>
      <c r="AA93" s="50">
        <f t="shared" si="52"/>
        <v>0.10304449648711944</v>
      </c>
      <c r="AC93" s="68"/>
    </row>
    <row r="94" spans="1:31" x14ac:dyDescent="0.2">
      <c r="B94" s="23" t="s">
        <v>24</v>
      </c>
      <c r="C94" s="49"/>
      <c r="D94" s="50"/>
      <c r="E94" s="50"/>
      <c r="F94" s="50"/>
      <c r="G94" s="50"/>
      <c r="H94" s="50"/>
      <c r="I94" s="50"/>
      <c r="J94" s="50"/>
      <c r="K94" s="50"/>
      <c r="L94" s="50"/>
      <c r="M94" s="50">
        <f t="shared" si="51"/>
        <v>1</v>
      </c>
      <c r="N94" s="50">
        <f t="shared" si="51"/>
        <v>0.12350230414746544</v>
      </c>
      <c r="O94" s="50">
        <f t="shared" si="51"/>
        <v>0.15914684167350288</v>
      </c>
      <c r="P94" s="50">
        <f t="shared" si="51"/>
        <v>8.209483368719038E-2</v>
      </c>
      <c r="Q94" s="50">
        <f t="shared" si="51"/>
        <v>2.8776978417266189E-2</v>
      </c>
      <c r="T94" s="50">
        <f t="shared" si="52"/>
        <v>1</v>
      </c>
      <c r="U94" s="50">
        <f t="shared" si="52"/>
        <v>0.24590163934426229</v>
      </c>
      <c r="V94" s="50">
        <f t="shared" si="52"/>
        <v>-0.19517543859649122</v>
      </c>
      <c r="W94" s="50">
        <f t="shared" si="52"/>
        <v>2.7247956403269755E-2</v>
      </c>
      <c r="X94" s="50">
        <f t="shared" si="52"/>
        <v>8.2228116710875335E-2</v>
      </c>
      <c r="Y94" s="50">
        <f t="shared" si="52"/>
        <v>3.1862745098039214E-2</v>
      </c>
      <c r="Z94" s="50">
        <f t="shared" si="52"/>
        <v>9.9762470308788598E-2</v>
      </c>
      <c r="AA94" s="50">
        <f t="shared" si="52"/>
        <v>0.17926565874730022</v>
      </c>
      <c r="AC94" s="68"/>
    </row>
    <row r="95" spans="1:31" x14ac:dyDescent="0.2">
      <c r="B95" s="23" t="s">
        <v>25</v>
      </c>
      <c r="C95" s="49"/>
      <c r="D95" s="50"/>
      <c r="E95" s="50"/>
      <c r="F95" s="50"/>
      <c r="G95" s="50"/>
      <c r="H95" s="50"/>
      <c r="I95" s="50"/>
      <c r="J95" s="50"/>
      <c r="K95" s="50"/>
      <c r="L95" s="50"/>
      <c r="M95" s="50">
        <f t="shared" si="51"/>
        <v>1</v>
      </c>
      <c r="N95" s="50">
        <f t="shared" si="51"/>
        <v>0.15089923626508991</v>
      </c>
      <c r="O95" s="50">
        <f t="shared" si="51"/>
        <v>0.11366798672803168</v>
      </c>
      <c r="P95" s="50">
        <f t="shared" si="51"/>
        <v>0.19231138875540604</v>
      </c>
      <c r="Q95" s="50">
        <f t="shared" si="51"/>
        <v>8.5442527809124619E-3</v>
      </c>
      <c r="T95" s="50">
        <f t="shared" si="52"/>
        <v>1</v>
      </c>
      <c r="U95" s="50">
        <f t="shared" si="52"/>
        <v>5.9748427672955975E-2</v>
      </c>
      <c r="V95" s="50">
        <f t="shared" si="52"/>
        <v>-3.4289482360698981E-2</v>
      </c>
      <c r="W95" s="50">
        <f t="shared" si="52"/>
        <v>6.7258449982929333E-2</v>
      </c>
      <c r="X95" s="50">
        <f t="shared" si="52"/>
        <v>1.5035188739603326E-2</v>
      </c>
      <c r="Y95" s="50">
        <f t="shared" si="52"/>
        <v>3.4982666246454457E-2</v>
      </c>
      <c r="Z95" s="50">
        <f t="shared" si="52"/>
        <v>9.7442143727161992E-3</v>
      </c>
      <c r="AA95" s="50">
        <f t="shared" si="52"/>
        <v>0.10524728588661038</v>
      </c>
      <c r="AC95" s="68"/>
    </row>
    <row r="96" spans="1:31" s="41" customFormat="1" x14ac:dyDescent="0.2">
      <c r="A96" s="16"/>
      <c r="B96" s="17" t="s">
        <v>26</v>
      </c>
      <c r="C96" s="47"/>
      <c r="D96" s="48"/>
      <c r="E96" s="48"/>
      <c r="F96" s="48"/>
      <c r="G96" s="48"/>
      <c r="H96" s="48"/>
      <c r="I96" s="48"/>
      <c r="J96" s="48"/>
      <c r="K96" s="48"/>
      <c r="L96" s="48"/>
      <c r="M96" s="48">
        <f t="shared" si="51"/>
        <v>1</v>
      </c>
      <c r="N96" s="48">
        <f t="shared" si="51"/>
        <v>5.1016890727335402E-2</v>
      </c>
      <c r="O96" s="48">
        <f t="shared" si="51"/>
        <v>9.0521482453263372E-2</v>
      </c>
      <c r="P96" s="48">
        <f t="shared" si="51"/>
        <v>1.368421052631579E-2</v>
      </c>
      <c r="Q96" s="48">
        <f t="shared" si="51"/>
        <v>0.29149977748108591</v>
      </c>
      <c r="R96" s="1"/>
      <c r="S96" s="1"/>
      <c r="T96" s="48">
        <f t="shared" si="52"/>
        <v>1</v>
      </c>
      <c r="U96" s="48">
        <f t="shared" si="52"/>
        <v>-1.7570281124497992E-2</v>
      </c>
      <c r="V96" s="48">
        <f t="shared" si="52"/>
        <v>0.10526315789473684</v>
      </c>
      <c r="W96" s="48">
        <f t="shared" si="52"/>
        <v>-2.4965325936199722E-2</v>
      </c>
      <c r="X96" s="48">
        <f t="shared" si="52"/>
        <v>3.0346135609293504E-2</v>
      </c>
      <c r="Y96" s="48">
        <f t="shared" si="52"/>
        <v>4.049700874367234E-2</v>
      </c>
      <c r="Z96" s="48">
        <f t="shared" si="52"/>
        <v>6.9438301636444058E-2</v>
      </c>
      <c r="AA96" s="48">
        <f t="shared" si="52"/>
        <v>-7.4441687344913146E-2</v>
      </c>
      <c r="AB96" s="1"/>
      <c r="AC96" s="67"/>
      <c r="AD96" s="1"/>
      <c r="AE96" s="1"/>
    </row>
    <row r="97" spans="1:31" s="53" customFormat="1" x14ac:dyDescent="0.2">
      <c r="A97" s="16"/>
      <c r="B97" s="51" t="s">
        <v>29</v>
      </c>
      <c r="C97" s="47"/>
      <c r="D97" s="52"/>
      <c r="E97" s="52"/>
      <c r="F97" s="52"/>
      <c r="G97" s="52"/>
      <c r="H97" s="52"/>
      <c r="I97" s="52"/>
      <c r="J97" s="52"/>
      <c r="K97" s="52"/>
      <c r="L97" s="52"/>
      <c r="M97" s="52">
        <f>IF(L15=0,
IF(M15=0,0,IF(M15&gt;0,1,-1)),
(M15-L15)/ABS(L15)
)</f>
        <v>1</v>
      </c>
      <c r="N97" s="52">
        <f>IF(M15=0,
IF(N15=0,0,IF(N15&gt;0,1,-1)),
(N15-M15)/ABS(M15)
)</f>
        <v>5.3111305872042068E-2</v>
      </c>
      <c r="O97" s="52">
        <f>IF(N15=0,
IF(O15=0,0,IF(O15&gt;0,1,-1)),
(O15-N15)/ABS(N15)
)</f>
        <v>0.13165778961384819</v>
      </c>
      <c r="P97" s="52">
        <f>IF(O15=0,
IF(P15=0,0,IF(P15&gt;0,1,-1)),
(P15-O15)/ABS(O15)
)</f>
        <v>1.9414619797028975E-2</v>
      </c>
      <c r="Q97" s="52">
        <f>IF(P15=0,
IF(Q15=0,0,IF(Q15&gt;0,1,-1)),
(Q15-P15)/ABS(P15)
)</f>
        <v>0.26013562256528638</v>
      </c>
      <c r="R97" s="1"/>
      <c r="S97" s="1"/>
      <c r="T97" s="52">
        <f t="shared" ref="T97:AA97" si="53">IF(S15=0,
IF(T15=0,0,IF(T15&gt;0,1,-1)),
(T15-S15)/ABS(S15)
)</f>
        <v>1</v>
      </c>
      <c r="U97" s="52">
        <f t="shared" si="53"/>
        <v>-2.4975514201762979E-2</v>
      </c>
      <c r="V97" s="52">
        <f t="shared" si="53"/>
        <v>9.5931692616775491E-2</v>
      </c>
      <c r="W97" s="52">
        <f t="shared" si="53"/>
        <v>-3.7121906507791021E-2</v>
      </c>
      <c r="X97" s="52">
        <f t="shared" si="53"/>
        <v>4.0932889100428367E-2</v>
      </c>
      <c r="Y97" s="52">
        <f t="shared" si="53"/>
        <v>3.5208047553726564E-2</v>
      </c>
      <c r="Z97" s="52">
        <f t="shared" si="53"/>
        <v>6.9787985865724378E-2</v>
      </c>
      <c r="AA97" s="52">
        <f t="shared" si="53"/>
        <v>-7.5970272502064409E-2</v>
      </c>
      <c r="AB97" s="1"/>
      <c r="AC97" s="67"/>
      <c r="AD97" s="1"/>
      <c r="AE97" s="1"/>
    </row>
    <row r="98" spans="1:31" s="53" customFormat="1" x14ac:dyDescent="0.2">
      <c r="A98" s="16"/>
      <c r="B98" s="51" t="s">
        <v>31</v>
      </c>
      <c r="C98" s="47"/>
      <c r="D98" s="52"/>
      <c r="E98" s="52"/>
      <c r="F98" s="52"/>
      <c r="G98" s="52"/>
      <c r="H98" s="52"/>
      <c r="I98" s="52"/>
      <c r="J98" s="52"/>
      <c r="K98" s="52"/>
      <c r="L98" s="52"/>
      <c r="M98" s="52">
        <f>IF(L18=0,
IF(M18=0,0,IF(M18&gt;0,1,-1)),
(M18-L18)/ABS(L18)
)</f>
        <v>1</v>
      </c>
      <c r="N98" s="52">
        <f>IF(M18=0,
IF(N18=0,0,IF(N18&gt;0,1,-1)),
(N18-M18)/ABS(M18)
)</f>
        <v>-1.3687266694317711E-2</v>
      </c>
      <c r="O98" s="52">
        <f>IF(N18=0,
IF(O18=0,0,IF(O18&gt;0,1,-1)),
(O18-N18)/ABS(N18)
)</f>
        <v>0.14129520605550883</v>
      </c>
      <c r="P98" s="52">
        <f>IF(O18=0,
IF(P18=0,0,IF(P18&gt;0,1,-1)),
(P18-O18)/ABS(O18)
)</f>
        <v>0.20854826823876196</v>
      </c>
      <c r="Q98" s="52">
        <f>IF(P18=0,
IF(Q18=0,0,IF(Q18&gt;0,1,-1)),
(Q18-P18)/ABS(P18)
)</f>
        <v>8.6890243902439018E-2</v>
      </c>
      <c r="R98" s="1"/>
      <c r="S98" s="1"/>
      <c r="T98" s="52">
        <f t="shared" ref="T98:AA98" si="54">IF(S18=0,
IF(T18=0,0,IF(T18&gt;0,1,-1)),
(T18-S18)/ABS(S18)
)</f>
        <v>1</v>
      </c>
      <c r="U98" s="52">
        <f t="shared" si="54"/>
        <v>-5.9382422802850359E-4</v>
      </c>
      <c r="V98" s="52">
        <f t="shared" si="54"/>
        <v>7.6054664289958412E-2</v>
      </c>
      <c r="W98" s="52">
        <f t="shared" si="54"/>
        <v>-6.6261733848702375E-2</v>
      </c>
      <c r="X98" s="52">
        <f t="shared" si="54"/>
        <v>4.7900650502661145E-2</v>
      </c>
      <c r="Y98" s="52">
        <f t="shared" si="54"/>
        <v>4.740406320541761E-2</v>
      </c>
      <c r="Z98" s="52">
        <f t="shared" si="54"/>
        <v>1.7780172413793104E-2</v>
      </c>
      <c r="AA98" s="52">
        <f t="shared" si="54"/>
        <v>-9.3700370566437263E-2</v>
      </c>
      <c r="AB98" s="1"/>
      <c r="AC98" s="67"/>
      <c r="AD98" s="1"/>
      <c r="AE98" s="1"/>
    </row>
    <row r="99" spans="1:31" x14ac:dyDescent="0.2">
      <c r="B99" s="1"/>
    </row>
    <row r="100" spans="1:31" s="15" customFormat="1" ht="17" thickBot="1" x14ac:dyDescent="0.25">
      <c r="A100" s="11"/>
      <c r="B100" s="14" t="s">
        <v>77</v>
      </c>
      <c r="R100" s="1"/>
      <c r="S100" s="1"/>
      <c r="AB100" s="1"/>
      <c r="AD100" s="1"/>
      <c r="AE100" s="1"/>
    </row>
    <row r="101" spans="1:31" x14ac:dyDescent="0.2">
      <c r="B101" s="20" t="s">
        <v>78</v>
      </c>
      <c r="C101" s="50"/>
      <c r="D101" s="50"/>
      <c r="E101" s="50"/>
      <c r="F101" s="50"/>
      <c r="G101" s="50"/>
      <c r="H101" s="50"/>
      <c r="I101" s="50"/>
      <c r="J101" s="50"/>
      <c r="K101" s="50"/>
      <c r="L101" s="50"/>
      <c r="M101" s="50">
        <f>M7/M5</f>
        <v>0.88184985745961353</v>
      </c>
      <c r="N101" s="50">
        <f>N7/N5</f>
        <v>0.87703055776439853</v>
      </c>
      <c r="O101" s="50">
        <f>O7/O5</f>
        <v>0.87871605955999799</v>
      </c>
      <c r="P101" s="50">
        <f>P7/P5</f>
        <v>0.89035108114392003</v>
      </c>
      <c r="Q101" s="50">
        <f>Q7/Q5</f>
        <v>0.89267533341747651</v>
      </c>
      <c r="T101" s="50">
        <f t="shared" ref="T101:AA101" si="55">T7/T5</f>
        <v>0.8975591715976331</v>
      </c>
      <c r="U101" s="50">
        <f t="shared" si="55"/>
        <v>0.89011773100249736</v>
      </c>
      <c r="V101" s="50">
        <f t="shared" si="55"/>
        <v>0.89114455722786134</v>
      </c>
      <c r="W101" s="50">
        <f t="shared" si="55"/>
        <v>0.89136727396560533</v>
      </c>
      <c r="X101" s="50">
        <f t="shared" si="55"/>
        <v>0.89278557114228452</v>
      </c>
      <c r="Y101" s="50">
        <f t="shared" si="55"/>
        <v>0.89522118178882792</v>
      </c>
      <c r="Z101" s="50">
        <f t="shared" si="55"/>
        <v>0.89621756798999686</v>
      </c>
      <c r="AA101" s="50">
        <f t="shared" si="55"/>
        <v>0.89196131761861586</v>
      </c>
      <c r="AC101" s="50">
        <f>AC7/AC5</f>
        <v>0.8940392094610683</v>
      </c>
    </row>
    <row r="102" spans="1:31" x14ac:dyDescent="0.2">
      <c r="B102" s="20" t="s">
        <v>79</v>
      </c>
      <c r="C102" s="50"/>
      <c r="D102" s="50"/>
      <c r="E102" s="50"/>
      <c r="F102" s="50"/>
      <c r="G102" s="50"/>
      <c r="H102" s="50"/>
      <c r="I102" s="50"/>
      <c r="J102" s="50"/>
      <c r="K102" s="50"/>
      <c r="L102" s="50"/>
      <c r="M102" s="50">
        <f>M12/M5</f>
        <v>0.36756414317389929</v>
      </c>
      <c r="N102" s="50">
        <f>N12/N5</f>
        <v>0.34635919572872886</v>
      </c>
      <c r="O102" s="50">
        <f>O12/O5</f>
        <v>0.3426245556185275</v>
      </c>
      <c r="P102" s="50">
        <f>P12/P5</f>
        <v>0.31346198558474775</v>
      </c>
      <c r="Q102" s="50">
        <f>Q12/Q5</f>
        <v>0.36627540073204595</v>
      </c>
      <c r="T102" s="50">
        <f t="shared" ref="T102:AA102" si="56">T12/T5</f>
        <v>0.36834319526627218</v>
      </c>
      <c r="U102" s="50">
        <f t="shared" si="56"/>
        <v>0.34909026043524793</v>
      </c>
      <c r="V102" s="50">
        <f t="shared" si="56"/>
        <v>0.37854392719635982</v>
      </c>
      <c r="W102" s="50">
        <f t="shared" si="56"/>
        <v>0.35910097054316364</v>
      </c>
      <c r="X102" s="50">
        <f t="shared" si="56"/>
        <v>0.36289245156980626</v>
      </c>
      <c r="Y102" s="50">
        <f t="shared" si="56"/>
        <v>0.36503067484662577</v>
      </c>
      <c r="Z102" s="50">
        <f t="shared" si="56"/>
        <v>0.37793060331353551</v>
      </c>
      <c r="AA102" s="50">
        <f t="shared" si="56"/>
        <v>0.33816863100634631</v>
      </c>
      <c r="AC102" s="50">
        <f>AC12/AC5</f>
        <v>0.36074291610445275</v>
      </c>
    </row>
    <row r="103" spans="1:31" s="56" customFormat="1" x14ac:dyDescent="0.2">
      <c r="A103" s="1"/>
      <c r="B103" s="54" t="s">
        <v>80</v>
      </c>
      <c r="C103" s="55"/>
      <c r="D103" s="55"/>
      <c r="E103" s="55"/>
      <c r="F103" s="55"/>
      <c r="G103" s="55"/>
      <c r="H103" s="55"/>
      <c r="I103" s="55"/>
      <c r="J103" s="55"/>
      <c r="K103" s="55"/>
      <c r="L103" s="55"/>
      <c r="M103" s="55">
        <f>M111/M5</f>
        <v>0.30547988596769082</v>
      </c>
      <c r="N103" s="55">
        <f>N111/N5</f>
        <v>0.27013518118823127</v>
      </c>
      <c r="O103" s="55">
        <f>O111/O5</f>
        <v>0.27966407336802512</v>
      </c>
      <c r="P103" s="55">
        <f>P111/P5</f>
        <v>0.30504533829342012</v>
      </c>
      <c r="Q103" s="55">
        <f>Q111/Q5</f>
        <v>0.29997054987588878</v>
      </c>
      <c r="R103" s="1"/>
      <c r="S103" s="1"/>
      <c r="T103" s="55">
        <f t="shared" ref="T103:AA103" si="57">T111/T5</f>
        <v>0.31139053254437871</v>
      </c>
      <c r="U103" s="55">
        <f t="shared" si="57"/>
        <v>0.30021405636817694</v>
      </c>
      <c r="V103" s="55">
        <f t="shared" si="57"/>
        <v>0.31694084704235209</v>
      </c>
      <c r="W103" s="55">
        <f t="shared" si="57"/>
        <v>0.28792780521028433</v>
      </c>
      <c r="X103" s="55">
        <f t="shared" si="57"/>
        <v>0.29592518370073478</v>
      </c>
      <c r="Y103" s="55">
        <f t="shared" si="57"/>
        <v>0.29964481756538586</v>
      </c>
      <c r="Z103" s="55">
        <f t="shared" si="57"/>
        <v>0.29524851516098782</v>
      </c>
      <c r="AA103" s="55">
        <f t="shared" si="57"/>
        <v>0.25868842550619525</v>
      </c>
      <c r="AB103" s="1"/>
      <c r="AC103" s="55">
        <f>AC111/AC5</f>
        <v>0.28688784824192398</v>
      </c>
      <c r="AD103" s="1"/>
      <c r="AE103" s="1"/>
    </row>
    <row r="104" spans="1:31" x14ac:dyDescent="0.2">
      <c r="B104" s="1"/>
    </row>
    <row r="105" spans="1:31" s="15" customFormat="1" ht="17" thickBot="1" x14ac:dyDescent="0.25">
      <c r="A105" s="11"/>
      <c r="B105" s="14" t="s">
        <v>110</v>
      </c>
      <c r="R105" s="1"/>
      <c r="S105" s="1"/>
      <c r="AB105" s="1"/>
      <c r="AD105" s="1"/>
      <c r="AE105" s="1"/>
    </row>
    <row r="106" spans="1:31" x14ac:dyDescent="0.2">
      <c r="B106" s="20" t="s">
        <v>73</v>
      </c>
      <c r="C106" s="81">
        <f t="shared" ref="C106:Q106" si="58">IF(AND(C83&gt;=0,C12&gt;=0),C83,0)</f>
        <v>0</v>
      </c>
      <c r="D106" s="81">
        <f t="shared" si="58"/>
        <v>0</v>
      </c>
      <c r="E106" s="81">
        <f t="shared" si="58"/>
        <v>0</v>
      </c>
      <c r="F106" s="81">
        <f t="shared" si="58"/>
        <v>0</v>
      </c>
      <c r="G106" s="81">
        <f t="shared" si="58"/>
        <v>0</v>
      </c>
      <c r="H106" s="81">
        <f t="shared" si="58"/>
        <v>0</v>
      </c>
      <c r="I106" s="81">
        <f t="shared" si="58"/>
        <v>0</v>
      </c>
      <c r="J106" s="81">
        <f t="shared" si="58"/>
        <v>0</v>
      </c>
      <c r="K106" s="81">
        <f t="shared" si="58"/>
        <v>0</v>
      </c>
      <c r="L106" s="81">
        <f t="shared" si="58"/>
        <v>0</v>
      </c>
      <c r="M106" s="81">
        <f t="shared" si="58"/>
        <v>0.15477651183172655</v>
      </c>
      <c r="N106" s="81">
        <f t="shared" si="58"/>
        <v>0.20838881491344874</v>
      </c>
      <c r="O106" s="81">
        <f t="shared" si="58"/>
        <v>0.20164730107368731</v>
      </c>
      <c r="P106" s="81">
        <f t="shared" si="58"/>
        <v>0.19780695426345404</v>
      </c>
      <c r="Q106" s="81">
        <f t="shared" si="58"/>
        <v>0.18365010304556903</v>
      </c>
      <c r="T106" s="81">
        <f t="shared" ref="T106:AA106" si="59">IF(AND(T83&gt;=0,T12&gt;=0),T83,0)</f>
        <v>0.17531831537708129</v>
      </c>
      <c r="U106" s="81">
        <f t="shared" si="59"/>
        <v>0.15469613259668508</v>
      </c>
      <c r="V106" s="81">
        <f t="shared" si="59"/>
        <v>0.17002749770852429</v>
      </c>
      <c r="W106" s="81">
        <f t="shared" si="59"/>
        <v>0.1951451689671585</v>
      </c>
      <c r="X106" s="81">
        <f t="shared" si="59"/>
        <v>0.18975765889346136</v>
      </c>
      <c r="Y106" s="81">
        <f t="shared" si="59"/>
        <v>0.18021201413427562</v>
      </c>
      <c r="Z106" s="81">
        <f t="shared" si="59"/>
        <v>0.22006606110652355</v>
      </c>
      <c r="AA106" s="81">
        <f t="shared" si="59"/>
        <v>0.23503127792672029</v>
      </c>
      <c r="AC106" s="81">
        <f>IF(AND(AC83&gt;=0,AC12&gt;=0),AC83,0)</f>
        <v>0.20656349467676435</v>
      </c>
    </row>
    <row r="107" spans="1:31" x14ac:dyDescent="0.2">
      <c r="B107" s="20" t="s">
        <v>179</v>
      </c>
      <c r="C107" s="25"/>
      <c r="D107" s="25"/>
      <c r="E107" s="25"/>
      <c r="F107" s="25"/>
      <c r="G107" s="25"/>
      <c r="H107" s="25"/>
      <c r="I107" s="25"/>
      <c r="J107" s="25"/>
      <c r="K107" s="25"/>
      <c r="L107" s="25"/>
      <c r="M107" s="25">
        <f>M29+M34</f>
        <v>5798</v>
      </c>
      <c r="N107" s="25">
        <f t="shared" ref="N107:Q107" si="60">N29+N34</f>
        <v>6096</v>
      </c>
      <c r="O107" s="25">
        <f t="shared" si="60"/>
        <v>7842</v>
      </c>
      <c r="P107" s="25">
        <f t="shared" si="60"/>
        <v>7886</v>
      </c>
      <c r="Q107" s="25">
        <f t="shared" si="60"/>
        <v>6595</v>
      </c>
      <c r="T107" s="25">
        <f t="shared" ref="T107:AA107" si="61">T29+T34</f>
        <v>7515</v>
      </c>
      <c r="U107" s="25">
        <f t="shared" si="61"/>
        <v>7886</v>
      </c>
      <c r="V107" s="25">
        <f t="shared" si="61"/>
        <v>7435</v>
      </c>
      <c r="W107" s="25">
        <f t="shared" si="61"/>
        <v>5713</v>
      </c>
      <c r="X107" s="25">
        <f t="shared" si="61"/>
        <v>5940</v>
      </c>
      <c r="Y107" s="25">
        <f t="shared" si="61"/>
        <v>6595</v>
      </c>
      <c r="Z107" s="25">
        <f t="shared" si="61"/>
        <v>6890</v>
      </c>
      <c r="AA107" s="25">
        <f t="shared" si="61"/>
        <v>5626</v>
      </c>
      <c r="AC107" s="25">
        <f>AA107</f>
        <v>5626</v>
      </c>
    </row>
    <row r="108" spans="1:31" x14ac:dyDescent="0.2">
      <c r="B108" s="20" t="s">
        <v>170</v>
      </c>
      <c r="C108" s="25">
        <v>0</v>
      </c>
      <c r="D108" s="25">
        <v>0</v>
      </c>
      <c r="E108" s="25">
        <v>0</v>
      </c>
      <c r="F108" s="25">
        <v>0</v>
      </c>
      <c r="G108" s="25">
        <v>0</v>
      </c>
      <c r="H108" s="25">
        <v>0</v>
      </c>
      <c r="I108" s="25">
        <v>0</v>
      </c>
      <c r="J108" s="25">
        <v>0</v>
      </c>
      <c r="K108" s="25">
        <v>0</v>
      </c>
      <c r="L108" s="25">
        <v>0</v>
      </c>
      <c r="M108" s="25">
        <f>M39+M41</f>
        <v>4123</v>
      </c>
      <c r="N108" s="25">
        <f>N39+N41</f>
        <v>4129</v>
      </c>
      <c r="O108" s="25">
        <f>O39+O41</f>
        <v>3634</v>
      </c>
      <c r="P108" s="25">
        <f>P39+P41</f>
        <v>5628</v>
      </c>
      <c r="Q108" s="25">
        <f>Q39+Q41</f>
        <v>6210</v>
      </c>
      <c r="T108" s="25">
        <f t="shared" ref="T108:AA108" si="62">T39+T41</f>
        <v>5627</v>
      </c>
      <c r="U108" s="25">
        <f t="shared" si="62"/>
        <v>5628</v>
      </c>
      <c r="V108" s="25">
        <f t="shared" si="62"/>
        <v>6155</v>
      </c>
      <c r="W108" s="25">
        <f t="shared" si="62"/>
        <v>6166</v>
      </c>
      <c r="X108" s="25">
        <f t="shared" si="62"/>
        <v>6200</v>
      </c>
      <c r="Y108" s="25">
        <f t="shared" si="62"/>
        <v>6210</v>
      </c>
      <c r="Z108" s="25">
        <f t="shared" si="62"/>
        <v>6228</v>
      </c>
      <c r="AA108" s="25">
        <f t="shared" si="62"/>
        <v>6645</v>
      </c>
      <c r="AC108" s="25">
        <f>AA108</f>
        <v>6645</v>
      </c>
    </row>
    <row r="109" spans="1:31" x14ac:dyDescent="0.2">
      <c r="B109" s="20" t="s">
        <v>163</v>
      </c>
      <c r="C109" s="25"/>
      <c r="D109" s="25"/>
      <c r="E109" s="25"/>
      <c r="F109" s="25"/>
      <c r="G109" s="25"/>
      <c r="H109" s="25"/>
      <c r="I109" s="25"/>
      <c r="J109" s="25"/>
      <c r="K109" s="25"/>
      <c r="L109" s="25"/>
      <c r="M109" s="128">
        <f>M12*(1-M106)</f>
        <v>4903.9866783523221</v>
      </c>
      <c r="N109" s="128">
        <f>N12*(1-N106)</f>
        <v>4827.2450066577894</v>
      </c>
      <c r="O109" s="128">
        <f>O12*(1-O106)</f>
        <v>5309.0454478599795</v>
      </c>
      <c r="P109" s="128">
        <f>P12*(1-P106)</f>
        <v>5407.5833213100559</v>
      </c>
      <c r="Q109" s="25">
        <f>Q12*(1-Q106)</f>
        <v>7107.1422028852758</v>
      </c>
      <c r="T109" s="67"/>
      <c r="U109" s="67"/>
      <c r="V109" s="67"/>
      <c r="W109" s="67"/>
      <c r="X109" s="67"/>
      <c r="Y109" s="67"/>
      <c r="Z109" s="67"/>
      <c r="AA109" s="67"/>
      <c r="AC109" s="25">
        <f>AC12*(1-AC106)</f>
        <v>7212.3378333882119</v>
      </c>
    </row>
    <row r="110" spans="1:31" x14ac:dyDescent="0.2">
      <c r="B110" s="20" t="s">
        <v>305</v>
      </c>
      <c r="C110" s="25"/>
      <c r="D110" s="25"/>
      <c r="E110" s="25"/>
      <c r="F110" s="25"/>
      <c r="G110" s="25"/>
      <c r="H110" s="25"/>
      <c r="I110" s="25"/>
      <c r="J110" s="25"/>
      <c r="K110" s="25"/>
      <c r="L110" s="25"/>
      <c r="M110" s="128">
        <f>M60+M61</f>
        <v>-348</v>
      </c>
      <c r="N110" s="128">
        <f>N60+N61</f>
        <v>-442</v>
      </c>
      <c r="O110" s="128">
        <f>O60+O61</f>
        <v>-360</v>
      </c>
      <c r="P110" s="128">
        <f>P60+P61</f>
        <v>-183</v>
      </c>
      <c r="Q110" s="128">
        <f>Q60+Q61</f>
        <v>-179</v>
      </c>
      <c r="T110" s="128">
        <f t="shared" ref="T110:AA110" si="63">T60+T61</f>
        <v>0</v>
      </c>
      <c r="U110" s="128">
        <f t="shared" si="63"/>
        <v>0</v>
      </c>
      <c r="V110" s="128">
        <f t="shared" si="63"/>
        <v>-26</v>
      </c>
      <c r="W110" s="128">
        <f t="shared" si="63"/>
        <v>-47</v>
      </c>
      <c r="X110" s="128">
        <f t="shared" si="63"/>
        <v>-72</v>
      </c>
      <c r="Y110" s="128">
        <f t="shared" si="63"/>
        <v>-34</v>
      </c>
      <c r="Z110" s="128">
        <f t="shared" si="63"/>
        <v>-37</v>
      </c>
      <c r="AA110" s="128">
        <f t="shared" si="63"/>
        <v>-130</v>
      </c>
      <c r="AC110" s="128">
        <f>AC60+AC61</f>
        <v>-273</v>
      </c>
    </row>
    <row r="111" spans="1:31" x14ac:dyDescent="0.2">
      <c r="B111" s="20" t="s">
        <v>338</v>
      </c>
      <c r="C111" s="25"/>
      <c r="D111" s="25"/>
      <c r="E111" s="25"/>
      <c r="F111" s="25"/>
      <c r="G111" s="25"/>
      <c r="H111" s="25"/>
      <c r="I111" s="25"/>
      <c r="J111" s="25"/>
      <c r="K111" s="25"/>
      <c r="L111" s="25"/>
      <c r="M111" s="128">
        <f>M17+M18</f>
        <v>4822</v>
      </c>
      <c r="N111" s="128">
        <f>N17+N18</f>
        <v>4756</v>
      </c>
      <c r="O111" s="128">
        <f>O17+O18</f>
        <v>5428</v>
      </c>
      <c r="P111" s="128">
        <f>P17+P18</f>
        <v>6560</v>
      </c>
      <c r="Q111" s="128">
        <f>Q17+Q18</f>
        <v>7130</v>
      </c>
      <c r="T111" s="128">
        <f t="shared" ref="T111:AA111" si="64">T17+T18</f>
        <v>1684</v>
      </c>
      <c r="U111" s="128">
        <f t="shared" si="64"/>
        <v>1683</v>
      </c>
      <c r="V111" s="128">
        <f t="shared" si="64"/>
        <v>1811</v>
      </c>
      <c r="W111" s="128">
        <f t="shared" si="64"/>
        <v>1691</v>
      </c>
      <c r="X111" s="128">
        <f t="shared" si="64"/>
        <v>1772</v>
      </c>
      <c r="Y111" s="128">
        <f t="shared" si="64"/>
        <v>1856</v>
      </c>
      <c r="Z111" s="128">
        <f t="shared" si="64"/>
        <v>1889</v>
      </c>
      <c r="AA111" s="128">
        <f t="shared" si="64"/>
        <v>1712</v>
      </c>
      <c r="AC111" s="128">
        <f>AC17+AC18</f>
        <v>7229</v>
      </c>
    </row>
    <row r="112" spans="1:31" x14ac:dyDescent="0.2">
      <c r="B112" s="20" t="s">
        <v>339</v>
      </c>
      <c r="C112" s="25"/>
      <c r="D112" s="25"/>
      <c r="E112" s="25"/>
      <c r="F112" s="25"/>
      <c r="G112" s="25"/>
      <c r="H112" s="25"/>
      <c r="I112" s="25"/>
      <c r="J112" s="25"/>
      <c r="K112" s="25"/>
      <c r="L112" s="25"/>
      <c r="M112" s="128">
        <f>M49+M48</f>
        <v>14797</v>
      </c>
      <c r="N112" s="128">
        <f>N49+N48</f>
        <v>14051</v>
      </c>
      <c r="O112" s="128">
        <f>O49+O48</f>
        <v>16518</v>
      </c>
      <c r="P112" s="128">
        <f>P49+P48</f>
        <v>14105</v>
      </c>
      <c r="Q112" s="128">
        <f>Q49+Q48</f>
        <v>11623</v>
      </c>
      <c r="T112" s="128">
        <f t="shared" ref="T112:AA112" si="65">T49+T48</f>
        <v>14545</v>
      </c>
      <c r="U112" s="128">
        <f t="shared" si="65"/>
        <v>14105</v>
      </c>
      <c r="V112" s="128">
        <f t="shared" si="65"/>
        <v>13095</v>
      </c>
      <c r="W112" s="128">
        <f t="shared" si="65"/>
        <v>11448</v>
      </c>
      <c r="X112" s="128">
        <f t="shared" si="65"/>
        <v>11770</v>
      </c>
      <c r="Y112" s="128">
        <f t="shared" si="65"/>
        <v>11623</v>
      </c>
      <c r="Z112" s="128">
        <f t="shared" si="65"/>
        <v>11433</v>
      </c>
      <c r="AA112" s="128">
        <f t="shared" si="65"/>
        <v>11518</v>
      </c>
      <c r="AC112" s="128">
        <f>AC49+AC48</f>
        <v>11518</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82</v>
      </c>
      <c r="R115" s="1"/>
      <c r="S115" s="1"/>
      <c r="AB115" s="1"/>
      <c r="AD115" s="1"/>
      <c r="AE115" s="1"/>
    </row>
    <row r="116" spans="1:31" x14ac:dyDescent="0.2">
      <c r="B116" s="20" t="s">
        <v>83</v>
      </c>
      <c r="C116" s="26"/>
      <c r="D116" s="26"/>
      <c r="E116" s="26"/>
      <c r="F116" s="26"/>
      <c r="G116" s="26"/>
      <c r="H116" s="26"/>
      <c r="I116" s="26"/>
      <c r="J116" s="26"/>
      <c r="K116" s="26"/>
      <c r="L116" s="26"/>
      <c r="M116" s="26">
        <v>671.88</v>
      </c>
      <c r="N116" s="26">
        <v>344.11</v>
      </c>
      <c r="O116" s="26">
        <v>611.01</v>
      </c>
      <c r="P116" s="26">
        <v>513.88</v>
      </c>
      <c r="Q116" s="26">
        <v>317.52</v>
      </c>
      <c r="T116" s="68"/>
      <c r="U116" s="68"/>
      <c r="V116" s="68"/>
      <c r="W116" s="68"/>
      <c r="X116" s="68"/>
      <c r="Y116" s="68"/>
      <c r="Z116" s="68"/>
      <c r="AA116" s="68"/>
      <c r="AC116" s="63">
        <f ca="1">Overview!C5</f>
        <v>195.16</v>
      </c>
    </row>
    <row r="117" spans="1:31" x14ac:dyDescent="0.2">
      <c r="B117" s="20" t="s">
        <v>354</v>
      </c>
      <c r="C117" s="26"/>
      <c r="D117" s="26"/>
      <c r="E117" s="26"/>
      <c r="F117" s="26"/>
      <c r="G117" s="26"/>
      <c r="H117" s="26"/>
      <c r="I117" s="26"/>
      <c r="J117" s="26"/>
      <c r="K117" s="26"/>
      <c r="L117" s="26"/>
      <c r="M117" s="65">
        <f>M116/M85</f>
        <v>671.88</v>
      </c>
      <c r="N117" s="65">
        <f>N116/N85</f>
        <v>344.11</v>
      </c>
      <c r="O117" s="65">
        <f>O116/O85</f>
        <v>611.01</v>
      </c>
      <c r="P117" s="65">
        <f>P116/P85</f>
        <v>513.88</v>
      </c>
      <c r="Q117" s="65">
        <f>Q116/Q85</f>
        <v>317.52</v>
      </c>
      <c r="T117" s="68"/>
      <c r="U117" s="68"/>
      <c r="V117" s="68"/>
      <c r="W117" s="68"/>
      <c r="X117" s="68"/>
      <c r="Y117" s="68"/>
      <c r="Z117" s="68"/>
      <c r="AA117" s="68"/>
      <c r="AC117" s="65">
        <f ca="1">AC116/AC85</f>
        <v>195.16</v>
      </c>
    </row>
    <row r="119" spans="1:31" x14ac:dyDescent="0.2">
      <c r="B119" s="1"/>
    </row>
    <row r="120" spans="1:31" ht="17" thickBot="1" x14ac:dyDescent="0.25">
      <c r="B120" s="14" t="s">
        <v>107</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101</v>
      </c>
      <c r="M121" s="74">
        <f>M111/M5</f>
        <v>0.30547988596769082</v>
      </c>
      <c r="N121" s="74">
        <f>N111/N5</f>
        <v>0.27013518118823127</v>
      </c>
      <c r="O121" s="74">
        <f>O111/O5</f>
        <v>0.27966407336802512</v>
      </c>
      <c r="P121" s="74">
        <f>P111/P5</f>
        <v>0.30504533829342012</v>
      </c>
      <c r="Q121" s="74">
        <f>Q111/Q5</f>
        <v>0.29997054987588878</v>
      </c>
      <c r="T121" s="77"/>
      <c r="U121" s="77"/>
      <c r="V121" s="77"/>
      <c r="W121" s="77"/>
      <c r="X121" s="77"/>
      <c r="Y121" s="77"/>
      <c r="Z121" s="77"/>
      <c r="AA121" s="77"/>
      <c r="AC121" s="74">
        <f>AC111/AC5</f>
        <v>0.28688784824192398</v>
      </c>
    </row>
    <row r="122" spans="1:31" x14ac:dyDescent="0.2">
      <c r="B122" s="20" t="s">
        <v>102</v>
      </c>
      <c r="M122" s="75">
        <f>M5/M37</f>
        <v>0.57945743548327888</v>
      </c>
      <c r="N122" s="75">
        <f>N5/N37</f>
        <v>0.64811338118902995</v>
      </c>
      <c r="O122" s="75">
        <f>O5/O37</f>
        <v>0.65176802444675774</v>
      </c>
      <c r="P122" s="75">
        <f>P5/P37</f>
        <v>0.71137942441283497</v>
      </c>
      <c r="Q122" s="75">
        <f>Q5/Q37</f>
        <v>0.80583807973962573</v>
      </c>
      <c r="T122" s="78"/>
      <c r="U122" s="78"/>
      <c r="V122" s="78"/>
      <c r="W122" s="78"/>
      <c r="X122" s="78"/>
      <c r="Y122" s="78"/>
      <c r="Z122" s="78"/>
      <c r="AA122" s="78"/>
      <c r="AC122" s="75">
        <f>AC5/AC37</f>
        <v>0.8418133832225303</v>
      </c>
    </row>
    <row r="123" spans="1:31" x14ac:dyDescent="0.2">
      <c r="B123" s="32" t="s">
        <v>103</v>
      </c>
      <c r="M123" s="76">
        <f t="shared" ref="M123:P123" si="66">M121*M122</f>
        <v>0.1770125913145626</v>
      </c>
      <c r="N123" s="76">
        <f t="shared" si="66"/>
        <v>0.17507822565801581</v>
      </c>
      <c r="O123" s="76">
        <f t="shared" si="66"/>
        <v>0.18227610060781085</v>
      </c>
      <c r="P123" s="76">
        <f t="shared" si="66"/>
        <v>0.21700297717499173</v>
      </c>
      <c r="Q123" s="76">
        <f>Q121*Q122</f>
        <v>0.24172769189042584</v>
      </c>
      <c r="T123" s="79"/>
      <c r="U123" s="79"/>
      <c r="V123" s="79"/>
      <c r="W123" s="79"/>
      <c r="X123" s="79"/>
      <c r="Y123" s="79"/>
      <c r="Z123" s="79"/>
      <c r="AA123" s="79"/>
      <c r="AC123" s="76">
        <f>AC121*AC122</f>
        <v>0.24150603013396588</v>
      </c>
    </row>
    <row r="124" spans="1:31" x14ac:dyDescent="0.2">
      <c r="B124" s="20" t="s">
        <v>104</v>
      </c>
      <c r="M124" s="75">
        <f>M37/M49</f>
        <v>1.8409812799891869</v>
      </c>
      <c r="N124" s="75">
        <f>N37/N49</f>
        <v>1.9333143548501885</v>
      </c>
      <c r="O124" s="75">
        <f>O37/O49</f>
        <v>1.8028211647899262</v>
      </c>
      <c r="P124" s="75">
        <f>P37/P49</f>
        <v>2.1432116270825947</v>
      </c>
      <c r="Q124" s="75">
        <f>Q37/Q49</f>
        <v>2.5377269207605608</v>
      </c>
      <c r="T124" s="80"/>
      <c r="U124" s="80"/>
      <c r="V124" s="80"/>
      <c r="W124" s="80"/>
      <c r="X124" s="80"/>
      <c r="Y124" s="80"/>
      <c r="Z124" s="80"/>
      <c r="AA124" s="80"/>
      <c r="AC124" s="75">
        <f>AC37/AC49</f>
        <v>2.5988018753255773</v>
      </c>
    </row>
    <row r="125" spans="1:31" x14ac:dyDescent="0.2">
      <c r="B125" s="32" t="s">
        <v>105</v>
      </c>
      <c r="M125" s="76">
        <f t="shared" ref="M125:P125" si="67">M123*M124</f>
        <v>0.3258768669324863</v>
      </c>
      <c r="N125" s="76">
        <f t="shared" si="67"/>
        <v>0.33848124688634257</v>
      </c>
      <c r="O125" s="76">
        <f t="shared" si="67"/>
        <v>0.32861121201113935</v>
      </c>
      <c r="P125" s="76">
        <f t="shared" si="67"/>
        <v>0.46508330379298118</v>
      </c>
      <c r="Q125" s="76">
        <f>Q123*Q124</f>
        <v>0.61343887120364793</v>
      </c>
      <c r="T125" s="79"/>
      <c r="U125" s="79"/>
      <c r="V125" s="79"/>
      <c r="W125" s="79"/>
      <c r="X125" s="79"/>
      <c r="Y125" s="79"/>
      <c r="Z125" s="79"/>
      <c r="AA125" s="79"/>
      <c r="AC125" s="76">
        <f>AC123*AC124</f>
        <v>0.62762632401458585</v>
      </c>
    </row>
    <row r="127" spans="1:31" x14ac:dyDescent="0.2">
      <c r="B127" s="1"/>
    </row>
    <row r="128" spans="1:31" ht="17" thickBot="1" x14ac:dyDescent="0.25">
      <c r="B128" s="14" t="s">
        <v>234</v>
      </c>
      <c r="C128" s="173"/>
      <c r="D128" s="173"/>
      <c r="E128" s="173"/>
      <c r="F128" s="173"/>
      <c r="G128" s="173"/>
      <c r="H128" s="173"/>
      <c r="I128" s="173"/>
      <c r="J128" s="173"/>
      <c r="K128" s="173"/>
      <c r="L128" s="173"/>
      <c r="M128" s="173"/>
      <c r="N128" s="173"/>
      <c r="O128" s="173"/>
      <c r="P128" s="173"/>
      <c r="Q128" s="173"/>
      <c r="T128" s="173"/>
      <c r="U128" s="173"/>
      <c r="V128" s="173"/>
      <c r="W128" s="173"/>
      <c r="X128" s="173"/>
      <c r="Y128" s="173"/>
      <c r="Z128" s="173"/>
      <c r="AA128" s="173"/>
      <c r="AC128" s="173"/>
    </row>
    <row r="129" spans="2:29" x14ac:dyDescent="0.2">
      <c r="B129" s="20" t="s">
        <v>235</v>
      </c>
      <c r="C129" s="49"/>
      <c r="D129" s="49"/>
      <c r="E129" s="49"/>
      <c r="F129" s="49"/>
      <c r="G129" s="49"/>
      <c r="H129" s="49"/>
      <c r="I129" s="49"/>
      <c r="J129" s="49"/>
      <c r="K129" s="49"/>
      <c r="L129" s="49"/>
      <c r="M129" s="49"/>
      <c r="N129" s="49"/>
      <c r="O129" s="49"/>
      <c r="P129" s="49"/>
      <c r="Q129" s="49"/>
      <c r="T129" s="21">
        <v>5500</v>
      </c>
      <c r="U129" s="21">
        <v>5630</v>
      </c>
      <c r="V129" s="21">
        <v>5770</v>
      </c>
      <c r="W129" s="21">
        <v>5875</v>
      </c>
      <c r="X129" s="21">
        <v>6075</v>
      </c>
      <c r="Y129" s="21">
        <v>6250</v>
      </c>
      <c r="Z129" s="21">
        <v>6430</v>
      </c>
      <c r="AA129" s="21">
        <v>6670</v>
      </c>
      <c r="AC129" s="49"/>
    </row>
    <row r="130" spans="2:29" x14ac:dyDescent="0.2">
      <c r="B130" s="20" t="s">
        <v>236</v>
      </c>
      <c r="C130" s="49"/>
      <c r="D130" s="49"/>
      <c r="E130" s="49"/>
      <c r="F130" s="49"/>
      <c r="G130" s="49"/>
      <c r="H130" s="49"/>
      <c r="I130" s="49"/>
      <c r="J130" s="49"/>
      <c r="K130" s="49"/>
      <c r="L130" s="49"/>
      <c r="M130" s="49"/>
      <c r="N130" s="49"/>
      <c r="O130" s="49"/>
      <c r="P130" s="49"/>
      <c r="Q130" s="49"/>
      <c r="T130" s="21">
        <v>5550</v>
      </c>
      <c r="U130" s="21">
        <v>5680</v>
      </c>
      <c r="V130" s="21">
        <v>5820</v>
      </c>
      <c r="W130" s="21">
        <v>5925</v>
      </c>
      <c r="X130" s="21">
        <v>6125</v>
      </c>
      <c r="Y130" s="21">
        <v>6300</v>
      </c>
      <c r="Z130" s="21">
        <v>6480</v>
      </c>
      <c r="AA130" s="21">
        <v>6720</v>
      </c>
      <c r="AC130" s="49"/>
    </row>
    <row r="131" spans="2:29" x14ac:dyDescent="0.2">
      <c r="B131" s="20" t="s">
        <v>237</v>
      </c>
      <c r="C131" s="49"/>
      <c r="D131" s="49"/>
      <c r="E131" s="49"/>
      <c r="F131" s="49"/>
      <c r="G131" s="49"/>
      <c r="H131" s="49"/>
      <c r="I131" s="49"/>
      <c r="J131" s="49"/>
      <c r="K131" s="49"/>
      <c r="L131" s="49"/>
      <c r="M131" s="49"/>
      <c r="N131" s="49"/>
      <c r="O131" s="49"/>
      <c r="P131" s="49"/>
      <c r="Q131" s="49"/>
      <c r="T131" s="25">
        <f t="shared" ref="T131:AA131" si="68">U5</f>
        <v>5606</v>
      </c>
      <c r="U131" s="25">
        <f t="shared" si="68"/>
        <v>5714</v>
      </c>
      <c r="V131" s="25">
        <f t="shared" si="68"/>
        <v>5873</v>
      </c>
      <c r="W131" s="25">
        <f t="shared" si="68"/>
        <v>5988</v>
      </c>
      <c r="X131" s="25">
        <f t="shared" si="68"/>
        <v>6194</v>
      </c>
      <c r="Y131" s="25">
        <f t="shared" si="68"/>
        <v>6398</v>
      </c>
      <c r="Z131" s="25">
        <f t="shared" si="68"/>
        <v>6618</v>
      </c>
      <c r="AA131" s="25">
        <f t="shared" si="68"/>
        <v>0</v>
      </c>
      <c r="AC131" s="49"/>
    </row>
    <row r="132" spans="2:29" x14ac:dyDescent="0.2">
      <c r="B132" s="20" t="s">
        <v>187</v>
      </c>
      <c r="C132" s="49"/>
      <c r="D132" s="49"/>
      <c r="E132" s="49"/>
      <c r="F132" s="49"/>
      <c r="G132" s="49"/>
      <c r="H132" s="49"/>
      <c r="I132" s="49"/>
      <c r="J132" s="49"/>
      <c r="K132" s="49"/>
      <c r="L132" s="49"/>
      <c r="M132" s="49"/>
      <c r="N132" s="49"/>
      <c r="O132" s="49"/>
      <c r="P132" s="49"/>
      <c r="Q132" s="49"/>
      <c r="T132" s="227" t="str">
        <f t="shared" ref="T132:Z132" si="69">IF(T131&gt;T130, "BEAT", IF(T131&lt;T129, "MISSED", "MET"))</f>
        <v>BEAT</v>
      </c>
      <c r="U132" s="227" t="str">
        <f t="shared" si="69"/>
        <v>BEAT</v>
      </c>
      <c r="V132" s="227" t="str">
        <f t="shared" si="69"/>
        <v>BEAT</v>
      </c>
      <c r="W132" s="227" t="str">
        <f t="shared" si="69"/>
        <v>BEAT</v>
      </c>
      <c r="X132" s="227" t="str">
        <f t="shared" si="69"/>
        <v>BEAT</v>
      </c>
      <c r="Y132" s="227" t="str">
        <f t="shared" si="69"/>
        <v>BEAT</v>
      </c>
      <c r="Z132" s="227" t="str">
        <f t="shared" si="69"/>
        <v>BEAT</v>
      </c>
      <c r="AA132" s="227" t="str">
        <f>IF(AA131&gt;AA130, "BEAT", IF(AA131&lt;AA129, "MISSED", "MET"))</f>
        <v>MISSED</v>
      </c>
      <c r="AC132" s="49"/>
    </row>
    <row r="133" spans="2:29" x14ac:dyDescent="0.2">
      <c r="B133" s="20" t="s">
        <v>385</v>
      </c>
      <c r="C133" s="49"/>
      <c r="D133" s="49"/>
      <c r="E133" s="49"/>
      <c r="F133" s="49"/>
      <c r="G133" s="49"/>
      <c r="H133" s="49"/>
      <c r="I133" s="49"/>
      <c r="J133" s="49"/>
      <c r="K133" s="49"/>
      <c r="L133" s="49"/>
      <c r="M133" s="49"/>
      <c r="N133" s="49"/>
      <c r="O133" s="49"/>
      <c r="P133" s="49"/>
      <c r="Q133" s="49"/>
      <c r="T133" s="26">
        <v>3.58</v>
      </c>
      <c r="U133" s="26">
        <v>3.85</v>
      </c>
      <c r="V133" s="26">
        <v>3.8</v>
      </c>
      <c r="W133" s="26">
        <v>4</v>
      </c>
      <c r="X133" s="26">
        <v>4.2699999999999996</v>
      </c>
      <c r="Y133" s="26">
        <v>4.55</v>
      </c>
      <c r="Z133" s="26">
        <v>4.3499999999999996</v>
      </c>
      <c r="AA133" s="26">
        <v>4.4000000000000004</v>
      </c>
      <c r="AC133" s="49"/>
    </row>
    <row r="134" spans="2:29" x14ac:dyDescent="0.2">
      <c r="B134" s="20" t="s">
        <v>386</v>
      </c>
      <c r="C134" s="49"/>
      <c r="D134" s="49"/>
      <c r="E134" s="49"/>
      <c r="F134" s="49"/>
      <c r="G134" s="49"/>
      <c r="H134" s="49"/>
      <c r="I134" s="49"/>
      <c r="J134" s="49"/>
      <c r="K134" s="49"/>
      <c r="L134" s="49"/>
      <c r="M134" s="49"/>
      <c r="N134" s="49"/>
      <c r="O134" s="49"/>
      <c r="P134" s="49"/>
      <c r="Q134" s="49"/>
      <c r="T134" s="26">
        <v>3.63</v>
      </c>
      <c r="U134" s="26">
        <v>3.9</v>
      </c>
      <c r="V134" s="26">
        <v>3.85</v>
      </c>
      <c r="W134" s="26">
        <v>4.05</v>
      </c>
      <c r="X134" s="26">
        <v>4.32</v>
      </c>
      <c r="Y134" s="26">
        <v>4.5999999999999996</v>
      </c>
      <c r="Z134" s="26">
        <v>4.4000000000000004</v>
      </c>
      <c r="AA134" s="26">
        <v>4.45</v>
      </c>
      <c r="AC134" s="49"/>
    </row>
    <row r="135" spans="2:29" x14ac:dyDescent="0.2">
      <c r="B135" s="20" t="s">
        <v>387</v>
      </c>
      <c r="C135" s="49"/>
      <c r="D135" s="49"/>
      <c r="E135" s="49"/>
      <c r="F135" s="49"/>
      <c r="G135" s="49"/>
      <c r="H135" s="49"/>
      <c r="I135" s="49"/>
      <c r="J135" s="49"/>
      <c r="K135" s="49"/>
      <c r="L135" s="49"/>
      <c r="M135" s="49"/>
      <c r="N135" s="49"/>
      <c r="O135" s="49"/>
      <c r="P135" s="49"/>
      <c r="Q135" s="49"/>
      <c r="T135" s="231">
        <f>U25</f>
        <v>3.79</v>
      </c>
      <c r="U135" s="231">
        <f t="shared" ref="U135:AA135" si="70">V25</f>
        <v>4.1399999999999997</v>
      </c>
      <c r="V135" s="231">
        <f t="shared" si="70"/>
        <v>3.94</v>
      </c>
      <c r="W135" s="231">
        <f t="shared" si="70"/>
        <v>4.18</v>
      </c>
      <c r="X135" s="231">
        <f t="shared" si="70"/>
        <v>4.45</v>
      </c>
      <c r="Y135" s="231">
        <f t="shared" si="70"/>
        <v>4.5999999999999996</v>
      </c>
      <c r="Z135" s="231">
        <f t="shared" si="70"/>
        <v>4.25</v>
      </c>
      <c r="AA135" s="231">
        <f t="shared" si="70"/>
        <v>0</v>
      </c>
      <c r="AC135" s="49"/>
    </row>
    <row r="136" spans="2:29" x14ac:dyDescent="0.2">
      <c r="B136" s="23" t="s">
        <v>187</v>
      </c>
      <c r="C136" s="49"/>
      <c r="D136" s="49"/>
      <c r="E136" s="49"/>
      <c r="F136" s="49"/>
      <c r="G136" s="49"/>
      <c r="H136" s="49"/>
      <c r="I136" s="49"/>
      <c r="J136" s="49"/>
      <c r="K136" s="49"/>
      <c r="L136" s="49"/>
      <c r="M136" s="49"/>
      <c r="N136" s="49"/>
      <c r="O136" s="49"/>
      <c r="P136" s="49"/>
      <c r="Q136" s="49"/>
      <c r="T136" s="227" t="str">
        <f t="shared" ref="T136:Z136" si="71">IF(T135&gt;T134, "BEAT", IF(T135&lt;T133, "MISSED", "MET"))</f>
        <v>BEAT</v>
      </c>
      <c r="U136" s="227" t="str">
        <f t="shared" si="71"/>
        <v>BEAT</v>
      </c>
      <c r="V136" s="227" t="str">
        <f t="shared" si="71"/>
        <v>BEAT</v>
      </c>
      <c r="W136" s="227" t="str">
        <f t="shared" si="71"/>
        <v>BEAT</v>
      </c>
      <c r="X136" s="227" t="str">
        <f t="shared" si="71"/>
        <v>BEAT</v>
      </c>
      <c r="Y136" s="227" t="str">
        <f t="shared" si="71"/>
        <v>MET</v>
      </c>
      <c r="Z136" s="227" t="str">
        <f t="shared" si="71"/>
        <v>MISSED</v>
      </c>
      <c r="AA136" s="227" t="str">
        <f>IF(AA135&gt;AA134, "BEAT", IF(AA135&lt;AA133, "MISSED", "MET"))</f>
        <v>MISSED</v>
      </c>
      <c r="AC136" s="49"/>
    </row>
    <row r="138" spans="2:29" x14ac:dyDescent="0.2">
      <c r="B138" s="1"/>
    </row>
    <row r="139" spans="2:29" ht="17" thickBot="1" x14ac:dyDescent="0.25">
      <c r="B139" s="14" t="s">
        <v>254</v>
      </c>
      <c r="C139" s="173"/>
      <c r="D139" s="173"/>
      <c r="E139" s="173"/>
      <c r="F139" s="173"/>
      <c r="G139" s="173"/>
      <c r="H139" s="173"/>
      <c r="I139" s="173"/>
      <c r="J139" s="173"/>
      <c r="K139" s="173"/>
      <c r="L139" s="173"/>
      <c r="M139" s="173"/>
      <c r="N139" s="173"/>
      <c r="O139" s="173"/>
      <c r="P139" s="173"/>
      <c r="Q139" s="173"/>
      <c r="T139" s="173"/>
      <c r="U139" s="173"/>
      <c r="V139" s="173"/>
      <c r="W139" s="173"/>
      <c r="X139" s="173"/>
      <c r="Y139" s="173"/>
      <c r="Z139" s="173"/>
      <c r="AA139" s="173"/>
      <c r="AC139" s="173"/>
    </row>
    <row r="140" spans="2:29" x14ac:dyDescent="0.2">
      <c r="B140" s="20" t="s">
        <v>106</v>
      </c>
      <c r="C140" s="81"/>
      <c r="D140" s="81"/>
      <c r="E140" s="81"/>
      <c r="F140" s="81"/>
      <c r="G140" s="81"/>
      <c r="H140" s="81"/>
      <c r="I140" s="81"/>
      <c r="J140" s="81"/>
      <c r="K140" s="81"/>
      <c r="L140" s="81"/>
      <c r="M140" s="81">
        <f>M109/(M108+M112-M107)</f>
        <v>0.37372250254171024</v>
      </c>
      <c r="N140" s="81">
        <f>N109/(N108+N112-N107)</f>
        <v>0.39947409853176014</v>
      </c>
      <c r="O140" s="81">
        <f>O109/(O108+O112-O107)</f>
        <v>0.43127907781153368</v>
      </c>
      <c r="P140" s="81">
        <f>P109/(P108+P112-P107)</f>
        <v>0.45645170265130885</v>
      </c>
      <c r="Q140" s="81">
        <f>Q109/(Q108+Q112-Q107)</f>
        <v>0.63242055551568566</v>
      </c>
      <c r="T140" s="49"/>
      <c r="U140" s="49"/>
      <c r="V140" s="49"/>
      <c r="W140" s="49"/>
      <c r="X140" s="49"/>
      <c r="Y140" s="49"/>
      <c r="Z140" s="49"/>
      <c r="AA140" s="49"/>
      <c r="AC140" s="81">
        <f>AC109/(AC108+AC112-AC107)</f>
        <v>0.5752841854820302</v>
      </c>
    </row>
    <row r="141" spans="2:29" x14ac:dyDescent="0.2">
      <c r="B141" s="20" t="s">
        <v>140</v>
      </c>
      <c r="M141" s="120">
        <f t="shared" ref="M141:Q142" si="72">M30/M5*365</f>
        <v>43.425403864428255</v>
      </c>
      <c r="N141" s="120">
        <f t="shared" si="72"/>
        <v>42.810689537657616</v>
      </c>
      <c r="O141" s="120">
        <f t="shared" si="72"/>
        <v>41.823896130661034</v>
      </c>
      <c r="P141" s="120">
        <f t="shared" si="72"/>
        <v>35.167635433620084</v>
      </c>
      <c r="Q141" s="120">
        <f t="shared" si="72"/>
        <v>35.994783120871723</v>
      </c>
      <c r="T141" s="120">
        <f t="shared" ref="T141:AA141" si="73">T30/T5*90</f>
        <v>29.988905325443788</v>
      </c>
      <c r="U141" s="120">
        <f t="shared" si="73"/>
        <v>33.264359614698542</v>
      </c>
      <c r="V141" s="120">
        <f t="shared" si="73"/>
        <v>31.076303815190759</v>
      </c>
      <c r="W141" s="120">
        <f t="shared" si="73"/>
        <v>26.587774561552866</v>
      </c>
      <c r="X141" s="120">
        <f t="shared" si="73"/>
        <v>31.457915831663328</v>
      </c>
      <c r="Y141" s="120">
        <f t="shared" si="73"/>
        <v>34.058766548272523</v>
      </c>
      <c r="Z141" s="120">
        <f t="shared" si="73"/>
        <v>29.427946233197872</v>
      </c>
      <c r="AA141" s="120">
        <f t="shared" si="73"/>
        <v>27.103354487760654</v>
      </c>
      <c r="AC141" s="120">
        <f>AC30/AC5*365</f>
        <v>28.869156282244624</v>
      </c>
    </row>
    <row r="142" spans="2:29" x14ac:dyDescent="0.2">
      <c r="B142" s="20" t="s">
        <v>141</v>
      </c>
      <c r="M142" s="120">
        <f t="shared" si="72"/>
        <v>0</v>
      </c>
      <c r="N142" s="120">
        <f t="shared" si="72"/>
        <v>0</v>
      </c>
      <c r="O142" s="120">
        <f t="shared" si="72"/>
        <v>0</v>
      </c>
      <c r="P142" s="120">
        <f t="shared" si="72"/>
        <v>0</v>
      </c>
      <c r="Q142" s="120">
        <f t="shared" si="72"/>
        <v>0</v>
      </c>
      <c r="T142" s="120">
        <f t="shared" ref="T142:AA142" si="74">T31/T6*365</f>
        <v>0</v>
      </c>
      <c r="U142" s="120">
        <f t="shared" si="74"/>
        <v>0</v>
      </c>
      <c r="V142" s="120">
        <f t="shared" si="74"/>
        <v>0</v>
      </c>
      <c r="W142" s="120">
        <f t="shared" si="74"/>
        <v>0</v>
      </c>
      <c r="X142" s="120">
        <f t="shared" si="74"/>
        <v>0</v>
      </c>
      <c r="Y142" s="120">
        <f t="shared" si="74"/>
        <v>0</v>
      </c>
      <c r="Z142" s="120">
        <f t="shared" si="74"/>
        <v>0</v>
      </c>
      <c r="AA142" s="120">
        <f t="shared" si="74"/>
        <v>0</v>
      </c>
      <c r="AC142" s="120">
        <f>AC31/AC6*365</f>
        <v>0</v>
      </c>
    </row>
    <row r="143" spans="2:29" x14ac:dyDescent="0.2">
      <c r="B143" s="20" t="s">
        <v>142</v>
      </c>
      <c r="M143" s="120">
        <f>M38/M6*365</f>
        <v>61.061662198391424</v>
      </c>
      <c r="N143" s="120">
        <f>N38/N6*365</f>
        <v>63.896073903002311</v>
      </c>
      <c r="O143" s="120">
        <f>O38/O6*365</f>
        <v>48.687340696686491</v>
      </c>
      <c r="P143" s="120">
        <f>P38/P6*365</f>
        <v>55.879983036471586</v>
      </c>
      <c r="Q143" s="120">
        <f>Q38/Q6*365</f>
        <v>59.664837318698552</v>
      </c>
      <c r="T143" s="120">
        <f t="shared" ref="T143:AA143" si="75">T38/T6*90</f>
        <v>51.660649819494587</v>
      </c>
      <c r="U143" s="120">
        <f t="shared" si="75"/>
        <v>52.743506493506494</v>
      </c>
      <c r="V143" s="120">
        <f t="shared" si="75"/>
        <v>47.170418006430864</v>
      </c>
      <c r="W143" s="120">
        <f t="shared" si="75"/>
        <v>50.783699059561123</v>
      </c>
      <c r="X143" s="120">
        <f t="shared" si="75"/>
        <v>47.242990654205606</v>
      </c>
      <c r="Y143" s="120">
        <f t="shared" si="75"/>
        <v>57.827426810477661</v>
      </c>
      <c r="Z143" s="120">
        <f t="shared" si="75"/>
        <v>56.792168674698793</v>
      </c>
      <c r="AA143" s="120">
        <f t="shared" si="75"/>
        <v>62.811188811188813</v>
      </c>
      <c r="AC143" s="120">
        <f>AC38/AC6*365</f>
        <v>68.215355805243448</v>
      </c>
    </row>
    <row r="144" spans="2:29" x14ac:dyDescent="0.2">
      <c r="B144" s="20" t="s">
        <v>143</v>
      </c>
      <c r="M144" s="120">
        <f>M141+M142-M143</f>
        <v>-17.63625833396317</v>
      </c>
      <c r="N144" s="120">
        <f t="shared" ref="N144:Q144" si="76">N141+N142-N143</f>
        <v>-21.085384365344694</v>
      </c>
      <c r="O144" s="120">
        <f t="shared" si="76"/>
        <v>-6.863444566025457</v>
      </c>
      <c r="P144" s="120">
        <f t="shared" si="76"/>
        <v>-20.712347602851501</v>
      </c>
      <c r="Q144" s="120">
        <f t="shared" si="76"/>
        <v>-23.670054197826829</v>
      </c>
      <c r="T144" s="120">
        <f t="shared" ref="T144" si="77">T141+T142-T143</f>
        <v>-21.671744494050799</v>
      </c>
      <c r="U144" s="120">
        <f t="shared" ref="U144" si="78">U141+U142-U143</f>
        <v>-19.479146878807953</v>
      </c>
      <c r="V144" s="120">
        <f t="shared" ref="V144" si="79">V141+V142-V143</f>
        <v>-16.094114191240106</v>
      </c>
      <c r="W144" s="120">
        <f t="shared" ref="W144" si="80">W141+W142-W143</f>
        <v>-24.195924498008257</v>
      </c>
      <c r="X144" s="120">
        <f t="shared" ref="X144" si="81">X141+X142-X143</f>
        <v>-15.785074822542278</v>
      </c>
      <c r="Y144" s="120">
        <f t="shared" ref="Y144" si="82">Y141+Y142-Y143</f>
        <v>-23.768660262205138</v>
      </c>
      <c r="Z144" s="120">
        <f t="shared" ref="Z144:AA144" si="83">Z141+Z142-Z143</f>
        <v>-27.364222441500921</v>
      </c>
      <c r="AA144" s="120">
        <f t="shared" si="83"/>
        <v>-35.707834323428159</v>
      </c>
      <c r="AC144" s="120">
        <f t="shared" ref="AC144" si="84">AC141+AC142-AC143</f>
        <v>-39.346199522998823</v>
      </c>
    </row>
    <row r="145" spans="2:29" x14ac:dyDescent="0.2">
      <c r="B145" s="20" t="s">
        <v>257</v>
      </c>
      <c r="M145" s="120">
        <f>M108/M49</f>
        <v>0.27863756166790565</v>
      </c>
      <c r="N145" s="120">
        <f>N108/N49</f>
        <v>0.29385808839228522</v>
      </c>
      <c r="O145" s="120">
        <f>O108/O49</f>
        <v>0.22000242160067804</v>
      </c>
      <c r="P145" s="120">
        <f>P108/P49</f>
        <v>0.39900744416873452</v>
      </c>
      <c r="Q145" s="120">
        <f>Q108/Q49</f>
        <v>0.53428546846769331</v>
      </c>
      <c r="T145" s="120">
        <f t="shared" ref="T145:AA145" si="85">T108/T49</f>
        <v>0.38686833963561362</v>
      </c>
      <c r="U145" s="120">
        <f t="shared" si="85"/>
        <v>0.39900744416873452</v>
      </c>
      <c r="V145" s="120">
        <f t="shared" si="85"/>
        <v>0.47002672775868654</v>
      </c>
      <c r="W145" s="120">
        <f t="shared" si="85"/>
        <v>0.53860936408106219</v>
      </c>
      <c r="X145" s="120">
        <f t="shared" si="85"/>
        <v>0.52676295666949868</v>
      </c>
      <c r="Y145" s="120">
        <f t="shared" si="85"/>
        <v>0.53428546846769331</v>
      </c>
      <c r="Z145" s="120">
        <f t="shared" si="85"/>
        <v>0.54473891367095251</v>
      </c>
      <c r="AA145" s="120">
        <f t="shared" si="85"/>
        <v>0.57692307692307687</v>
      </c>
      <c r="AC145" s="120">
        <f>AC108/AC49</f>
        <v>0.57692307692307687</v>
      </c>
    </row>
    <row r="146" spans="2:29" x14ac:dyDescent="0.2">
      <c r="B146" s="20" t="s">
        <v>261</v>
      </c>
      <c r="M146" s="181">
        <f>(M108-M107)/M49</f>
        <v>-0.11319862134216395</v>
      </c>
      <c r="N146" s="181">
        <f>(N108-N107)/N49</f>
        <v>-0.13999003629634901</v>
      </c>
      <c r="O146" s="181">
        <f>(O108-O107)/O49</f>
        <v>-0.25475239133066957</v>
      </c>
      <c r="P146" s="181">
        <f>(P108-P107)/P49</f>
        <v>-0.16008507621410847</v>
      </c>
      <c r="Q146" s="181">
        <f>(Q108-Q107)/Q49</f>
        <v>-3.3123978318850555E-2</v>
      </c>
      <c r="T146" s="181">
        <f t="shared" ref="T146:AA146" si="86">(T108-T107)/T49</f>
        <v>-0.12980405637676176</v>
      </c>
      <c r="U146" s="181">
        <f t="shared" si="86"/>
        <v>-0.16008507621410847</v>
      </c>
      <c r="V146" s="181">
        <f t="shared" si="86"/>
        <v>-9.7747231767850329E-2</v>
      </c>
      <c r="W146" s="181">
        <f t="shared" si="86"/>
        <v>3.957023060796646E-2</v>
      </c>
      <c r="X146" s="181">
        <f t="shared" si="86"/>
        <v>2.2090059473237042E-2</v>
      </c>
      <c r="Y146" s="181">
        <f t="shared" si="86"/>
        <v>-3.3123978318850555E-2</v>
      </c>
      <c r="Z146" s="181">
        <f t="shared" si="86"/>
        <v>-5.7902562756931689E-2</v>
      </c>
      <c r="AA146" s="181">
        <f t="shared" si="86"/>
        <v>8.8470220524396598E-2</v>
      </c>
      <c r="AC146" s="181">
        <f>(AC108-AC107)/AC49</f>
        <v>8.8470220524396598E-2</v>
      </c>
    </row>
    <row r="147" spans="2:29" x14ac:dyDescent="0.2">
      <c r="B147" s="20" t="s">
        <v>258</v>
      </c>
      <c r="M147" s="120">
        <f>(M107+M30)/M40</f>
        <v>1.1073283323716099</v>
      </c>
      <c r="N147" s="120">
        <f>(N107+N30)/N40</f>
        <v>1.0040600393700787</v>
      </c>
      <c r="O147" s="120">
        <f>(O107+O30)/O40</f>
        <v>1.2199733365652647</v>
      </c>
      <c r="P147" s="120">
        <f>(P107+P30)/P40</f>
        <v>0.94648797642809623</v>
      </c>
      <c r="Q147" s="120">
        <f>(Q107+Q30)/Q40</f>
        <v>0.87637254901960782</v>
      </c>
      <c r="T147" s="120">
        <f t="shared" ref="T147:AA147" si="87">(T107+T30)/T40</f>
        <v>0.9660929075072584</v>
      </c>
      <c r="U147" s="120">
        <f t="shared" si="87"/>
        <v>0.94648797642809623</v>
      </c>
      <c r="V147" s="120">
        <f t="shared" si="87"/>
        <v>1.0267379679144386</v>
      </c>
      <c r="W147" s="120">
        <f t="shared" si="87"/>
        <v>0.82398495408784156</v>
      </c>
      <c r="X147" s="120">
        <f t="shared" si="87"/>
        <v>0.8694663924667172</v>
      </c>
      <c r="Y147" s="120">
        <f t="shared" si="87"/>
        <v>0.87637254901960782</v>
      </c>
      <c r="Z147" s="120">
        <f t="shared" si="87"/>
        <v>0.78858647936786652</v>
      </c>
      <c r="AA147" s="120">
        <f t="shared" si="87"/>
        <v>0.63081636032455701</v>
      </c>
      <c r="AC147" s="120">
        <f>(AC107+AC30)/AC40</f>
        <v>0.63081636032455701</v>
      </c>
    </row>
    <row r="148" spans="2:29" x14ac:dyDescent="0.2">
      <c r="B148" s="20" t="s">
        <v>259</v>
      </c>
      <c r="M148" s="120">
        <f>M32/M40</f>
        <v>1.2505770340450086</v>
      </c>
      <c r="N148" s="120">
        <f>N32/N40</f>
        <v>1.1067913385826771</v>
      </c>
      <c r="O148" s="120">
        <f>O32/O40</f>
        <v>1.3433523209307963</v>
      </c>
      <c r="P148" s="120">
        <f>P32/P40</f>
        <v>1.0675791274593669</v>
      </c>
      <c r="Q148" s="120">
        <f>Q32/Q40</f>
        <v>0.99637254901960781</v>
      </c>
      <c r="T148" s="120">
        <f t="shared" ref="T148:AA148" si="88">T32/T40</f>
        <v>1.111157196184156</v>
      </c>
      <c r="U148" s="120">
        <f t="shared" si="88"/>
        <v>1.0675791274593669</v>
      </c>
      <c r="V148" s="120">
        <f t="shared" si="88"/>
        <v>1.1846556804539998</v>
      </c>
      <c r="W148" s="120">
        <f t="shared" si="88"/>
        <v>0.99325146587011837</v>
      </c>
      <c r="X148" s="120">
        <f t="shared" si="88"/>
        <v>1.018724970234874</v>
      </c>
      <c r="Y148" s="120">
        <f t="shared" si="88"/>
        <v>0.99637254901960781</v>
      </c>
      <c r="Z148" s="120">
        <f t="shared" si="88"/>
        <v>0.91185250219490777</v>
      </c>
      <c r="AA148" s="120">
        <f t="shared" si="88"/>
        <v>0.75078655406524264</v>
      </c>
      <c r="AC148" s="120">
        <f>AC32/AC40</f>
        <v>0.75078655406524264</v>
      </c>
    </row>
    <row r="149" spans="2:29" x14ac:dyDescent="0.2">
      <c r="B149" s="20" t="s">
        <v>265</v>
      </c>
      <c r="M149" s="183">
        <f>IF(M13&gt;=0,"N/A",IF(M12&lt;=0,"N/A",M12/-M13))</f>
        <v>51.345132743362832</v>
      </c>
      <c r="N149" s="183">
        <f>IF(N13&gt;=0,"N/A",IF(N12&lt;=0,"N/A",N12/-N13))</f>
        <v>54.446428571428569</v>
      </c>
      <c r="O149" s="183">
        <f>IF(O13&gt;=0,"N/A",IF(O12&lt;=0,"N/A",O12/-O13))</f>
        <v>58.849557522123895</v>
      </c>
      <c r="P149" s="183">
        <f>IF(P13&gt;=0,"N/A",IF(P12&lt;=0,"N/A",P12/-P13))</f>
        <v>39.887573964497044</v>
      </c>
      <c r="Q149" s="183">
        <f>IF(Q13&gt;=0,"N/A",IF(Q12&lt;=0,"N/A",Q12/-Q13))</f>
        <v>33.102661596958178</v>
      </c>
      <c r="T149" s="183">
        <f t="shared" ref="T149:AA149" si="89">IF(T13&gt;=0,"N/A",IF(T12&lt;=0,"N/A",T12/-T13))</f>
        <v>39.058823529411768</v>
      </c>
      <c r="U149" s="183">
        <f t="shared" si="89"/>
        <v>39.14</v>
      </c>
      <c r="V149" s="183">
        <f t="shared" si="89"/>
        <v>34.887096774193552</v>
      </c>
      <c r="W149" s="183">
        <f t="shared" si="89"/>
        <v>31.014705882352942</v>
      </c>
      <c r="X149" s="183">
        <f t="shared" si="89"/>
        <v>32.432835820895519</v>
      </c>
      <c r="Y149" s="183">
        <f t="shared" si="89"/>
        <v>34.257575757575758</v>
      </c>
      <c r="Z149" s="183">
        <f t="shared" si="89"/>
        <v>38.38095238095238</v>
      </c>
      <c r="AA149" s="183">
        <f t="shared" si="89"/>
        <v>34.430769230769229</v>
      </c>
      <c r="AC149" s="183">
        <f>IF(AC13&gt;=0,"N/A",IF(AC12&lt;=0,"N/A",AC12/-AC13))</f>
        <v>34.827586206896555</v>
      </c>
    </row>
    <row r="150" spans="2:29" x14ac:dyDescent="0.2">
      <c r="B150" s="20" t="s">
        <v>243</v>
      </c>
      <c r="M150" s="72">
        <f>M117/Statement!M26</f>
        <v>67.053892215568865</v>
      </c>
      <c r="N150" s="72">
        <f>N117/Statement!N26</f>
        <v>34.070297029702971</v>
      </c>
      <c r="O150" s="72">
        <f>O117/Statement!O26</f>
        <v>51.692893401015226</v>
      </c>
      <c r="P150" s="72">
        <f>P117/Statement!P26</f>
        <v>35.250914634146341</v>
      </c>
      <c r="Q150" s="72">
        <f>Q117/Statement!Q26</f>
        <v>19.013173652694611</v>
      </c>
      <c r="T150" s="49"/>
      <c r="U150" s="49"/>
      <c r="V150" s="49"/>
      <c r="W150" s="49"/>
      <c r="X150" s="49"/>
      <c r="Y150" s="49"/>
      <c r="Z150" s="49"/>
      <c r="AA150" s="49"/>
      <c r="AC150" s="72">
        <f ca="1">AC117/Statement!AC26</f>
        <v>11.16475972540046</v>
      </c>
    </row>
    <row r="151" spans="2:29" x14ac:dyDescent="0.2">
      <c r="B151" s="20" t="s">
        <v>202</v>
      </c>
      <c r="M151" s="72">
        <f>M117/(Statement!M5/Statement!M22)</f>
        <v>20.473505226480839</v>
      </c>
      <c r="N151" s="72">
        <f>N117/(Statement!N5/Statement!N22)</f>
        <v>9.2057145291377935</v>
      </c>
      <c r="O151" s="72">
        <f>O117/(Statement!O5/Statement!O22)</f>
        <v>14.449667164717399</v>
      </c>
      <c r="P151" s="72">
        <f>P117/(Statement!P5/Statement!P22)</f>
        <v>10.753127179725645</v>
      </c>
      <c r="Q151" s="72">
        <f>Q117/(Statement!Q5/Statement!Q22)</f>
        <v>5.7041120787580457</v>
      </c>
      <c r="T151" s="49"/>
      <c r="U151" s="49"/>
      <c r="V151" s="49"/>
      <c r="W151" s="49"/>
      <c r="X151" s="49"/>
      <c r="Y151" s="49"/>
      <c r="Z151" s="49"/>
      <c r="AA151" s="49"/>
      <c r="AC151" s="72">
        <f ca="1">AC117/(Statement!AC5/Statement!AC22)</f>
        <v>3.2025819509484879</v>
      </c>
    </row>
    <row r="152" spans="2:29" x14ac:dyDescent="0.2">
      <c r="B152" s="20" t="s">
        <v>244</v>
      </c>
      <c r="M152" s="72">
        <f>M117/(Statement!M49/Statement!M75)</f>
        <v>21.431868622017976</v>
      </c>
      <c r="N152" s="72">
        <f>N117/(Statement!N49/Statement!N75)</f>
        <v>11.216452921500249</v>
      </c>
      <c r="O152" s="72">
        <f>O117/(Statement!O49/Statement!O75)</f>
        <v>16.719731202324734</v>
      </c>
      <c r="P152" s="72">
        <f>P117/(Statement!P49/Statement!P75)</f>
        <v>15.848124778447358</v>
      </c>
      <c r="Q152" s="72">
        <f>Q117/(Statement!Q49/Statement!Q75)</f>
        <v>11.227800051621784</v>
      </c>
      <c r="T152" s="49"/>
      <c r="U152" s="49"/>
      <c r="V152" s="49"/>
      <c r="W152" s="49"/>
      <c r="X152" s="49"/>
      <c r="Y152" s="49"/>
      <c r="Z152" s="49"/>
      <c r="AA152" s="49"/>
      <c r="AC152" s="72">
        <f ca="1">AC117/(Statement!AC49/Statement!AC75)</f>
        <v>6.7436777218267059</v>
      </c>
    </row>
    <row r="153" spans="2:29" x14ac:dyDescent="0.2">
      <c r="B153" s="20" t="s">
        <v>245</v>
      </c>
      <c r="M153" s="145">
        <f>Statement!M117*Statement!M78</f>
        <v>319814.88</v>
      </c>
      <c r="N153" s="145">
        <f>Statement!N117*Statement!N78</f>
        <v>157946.49000000002</v>
      </c>
      <c r="O153" s="145">
        <f>Statement!O117*Statement!O78</f>
        <v>277398.53999999998</v>
      </c>
      <c r="P153" s="145">
        <f>Statement!P117*Statement!P78</f>
        <v>225079.44</v>
      </c>
      <c r="Q153" s="145">
        <f>Statement!Q117*Statement!Q78</f>
        <v>130818.23999999999</v>
      </c>
      <c r="T153" s="49"/>
      <c r="U153" s="49"/>
      <c r="V153" s="49"/>
      <c r="W153" s="49"/>
      <c r="X153" s="49"/>
      <c r="Y153" s="49"/>
      <c r="Z153" s="49"/>
      <c r="AA153" s="49"/>
      <c r="AC153" s="145">
        <f ca="1">Statement!AC117*Statement!AC78</f>
        <v>77673.679999999993</v>
      </c>
    </row>
    <row r="154" spans="2:29" x14ac:dyDescent="0.2">
      <c r="B154" s="20" t="s">
        <v>189</v>
      </c>
      <c r="M154" s="145">
        <f>M153+M108-M107+M48+M45</f>
        <v>318139.88</v>
      </c>
      <c r="N154" s="145">
        <f>N153+N108-N107+N48+N45</f>
        <v>155979.49000000002</v>
      </c>
      <c r="O154" s="145">
        <f>O153+O108-O107+O48+O45</f>
        <v>273190.53999999998</v>
      </c>
      <c r="P154" s="145">
        <f>P153+P108-P107+P48+P45</f>
        <v>222821.44</v>
      </c>
      <c r="Q154" s="145">
        <f>Q153+Q108-Q107+Q48+Q45</f>
        <v>130433.23999999999</v>
      </c>
      <c r="T154" s="49"/>
      <c r="U154" s="49"/>
      <c r="V154" s="49"/>
      <c r="W154" s="49"/>
      <c r="X154" s="49"/>
      <c r="Y154" s="49"/>
      <c r="Z154" s="49"/>
      <c r="AA154" s="49"/>
      <c r="AC154" s="145">
        <f ca="1">AC153+AC108-AC107+AC48+AC45</f>
        <v>78692.679999999993</v>
      </c>
    </row>
    <row r="155" spans="2:29" x14ac:dyDescent="0.2">
      <c r="B155" s="20" t="s">
        <v>266</v>
      </c>
      <c r="M155" s="185">
        <f>M154/M5</f>
        <v>20.154569528032944</v>
      </c>
      <c r="N155" s="185">
        <f>N154/N5</f>
        <v>8.8594507554242892</v>
      </c>
      <c r="O155" s="185">
        <f>O154/O5</f>
        <v>14.075456746870008</v>
      </c>
      <c r="P155" s="185">
        <f>P154/P5</f>
        <v>10.361378284119972</v>
      </c>
      <c r="Q155" s="185">
        <f>Q154/Q5</f>
        <v>5.4875358660440066</v>
      </c>
      <c r="T155" s="49"/>
      <c r="U155" s="49"/>
      <c r="V155" s="49"/>
      <c r="W155" s="49"/>
      <c r="X155" s="49"/>
      <c r="Y155" s="49"/>
      <c r="Z155" s="49"/>
      <c r="AA155" s="49"/>
      <c r="AC155" s="185">
        <f ca="1">AC154/AC5</f>
        <v>3.1229732518453841</v>
      </c>
    </row>
    <row r="156" spans="2:29" x14ac:dyDescent="0.2">
      <c r="B156" s="20" t="s">
        <v>205</v>
      </c>
      <c r="M156" s="185">
        <f>M154/M12</f>
        <v>54.83279558772837</v>
      </c>
      <c r="N156" s="185">
        <f>N154/N12</f>
        <v>25.578794686782555</v>
      </c>
      <c r="O156" s="185">
        <f>O154/O12</f>
        <v>41.081284210526313</v>
      </c>
      <c r="P156" s="185">
        <f>P154/P12</f>
        <v>33.054656579142559</v>
      </c>
      <c r="Q156" s="185">
        <f>Q154/Q12</f>
        <v>14.98199402710774</v>
      </c>
      <c r="T156" s="49"/>
      <c r="U156" s="49"/>
      <c r="V156" s="49"/>
      <c r="W156" s="49"/>
      <c r="X156" s="49"/>
      <c r="Y156" s="49"/>
      <c r="Z156" s="49"/>
      <c r="AA156" s="49"/>
      <c r="AC156" s="185">
        <f ca="1">AC154/AC12</f>
        <v>8.6570605060506036</v>
      </c>
    </row>
    <row r="157" spans="2:29" x14ac:dyDescent="0.2">
      <c r="B157" s="20" t="s">
        <v>267</v>
      </c>
      <c r="M157" s="64">
        <f>M59-M54+M110+M65</f>
        <v>5813</v>
      </c>
      <c r="N157" s="64">
        <f>N59-N54+N110+N65</f>
        <v>5956</v>
      </c>
      <c r="O157" s="64">
        <f>O59-O54+O110+O65</f>
        <v>5224</v>
      </c>
      <c r="P157" s="64">
        <f>P59-P54+P110+P65</f>
        <v>6040</v>
      </c>
      <c r="Q157" s="64">
        <f>Q59-Q54+Q110+Q65</f>
        <v>7910</v>
      </c>
      <c r="T157" s="64">
        <f t="shared" ref="T157:AA157" si="90">T59-T54+T110+T65</f>
        <v>0</v>
      </c>
      <c r="U157" s="64">
        <f t="shared" si="90"/>
        <v>0</v>
      </c>
      <c r="V157" s="64">
        <f t="shared" si="90"/>
        <v>1981</v>
      </c>
      <c r="W157" s="64">
        <f t="shared" si="90"/>
        <v>1663</v>
      </c>
      <c r="X157" s="64">
        <f t="shared" si="90"/>
        <v>1629</v>
      </c>
      <c r="Y157" s="64">
        <f t="shared" si="90"/>
        <v>2637</v>
      </c>
      <c r="Z157" s="64">
        <f t="shared" si="90"/>
        <v>2412</v>
      </c>
      <c r="AA157" s="64">
        <f t="shared" si="90"/>
        <v>1501</v>
      </c>
      <c r="AC157" s="64">
        <f>AC59-AC54+AC110+AC65</f>
        <v>8179</v>
      </c>
    </row>
    <row r="158" spans="2:29" x14ac:dyDescent="0.2">
      <c r="B158" s="20" t="s">
        <v>268</v>
      </c>
      <c r="M158" s="64">
        <f>M109+M53+M110+M55+M57+M58+M56</f>
        <v>5635.9866783523221</v>
      </c>
      <c r="N158" s="64">
        <f>N109+N53+N110+N55+N57+N58+N56</f>
        <v>5577.2450066577894</v>
      </c>
      <c r="O158" s="64">
        <f>O109+O53+O110+O55+O57+O58+O56</f>
        <v>5466.0454478599795</v>
      </c>
      <c r="P158" s="64">
        <f>P109+P53+P110+P55+P57+P58+P56</f>
        <v>6225.5833213100559</v>
      </c>
      <c r="Q158" s="64">
        <f>Q109+Q53+Q110+Q55+Q57+Q58+Q56</f>
        <v>8351.1422028852758</v>
      </c>
      <c r="T158" s="49"/>
      <c r="U158" s="49"/>
      <c r="V158" s="49"/>
      <c r="W158" s="49"/>
      <c r="X158" s="49"/>
      <c r="Y158" s="49"/>
      <c r="Z158" s="49"/>
      <c r="AA158" s="49"/>
      <c r="AC158" s="64">
        <f>AC109+AC53+AC110+AC55+AC57+AC58</f>
        <v>8116.3378333882119</v>
      </c>
    </row>
    <row r="159" spans="2:29" x14ac:dyDescent="0.2">
      <c r="B159" s="20" t="s">
        <v>269</v>
      </c>
      <c r="M159" s="72">
        <f>M153/M157</f>
        <v>55.017182177877174</v>
      </c>
      <c r="N159" s="72">
        <f t="shared" ref="N159:Q159" si="91">N153/N157</f>
        <v>26.518886836803226</v>
      </c>
      <c r="O159" s="72">
        <f t="shared" si="91"/>
        <v>53.100792496171515</v>
      </c>
      <c r="P159" s="72">
        <f t="shared" si="91"/>
        <v>37.264807947019868</v>
      </c>
      <c r="Q159" s="72">
        <f t="shared" si="91"/>
        <v>16.538336283185838</v>
      </c>
      <c r="T159" s="49"/>
      <c r="U159" s="49"/>
      <c r="V159" s="49"/>
      <c r="W159" s="49"/>
      <c r="X159" s="49"/>
      <c r="Y159" s="49"/>
      <c r="Z159" s="49"/>
      <c r="AA159" s="49"/>
      <c r="AC159" s="72">
        <f t="shared" ref="AC159:AC160" ca="1" si="92">AC153/AC157</f>
        <v>9.4967208705220685</v>
      </c>
    </row>
    <row r="160" spans="2:29" x14ac:dyDescent="0.2">
      <c r="B160" s="20" t="s">
        <v>270</v>
      </c>
      <c r="M160" s="72">
        <f>M154/M158</f>
        <v>56.447947476875164</v>
      </c>
      <c r="N160" s="72">
        <f t="shared" ref="N160:Q160" si="93">N154/N158</f>
        <v>27.967121726551518</v>
      </c>
      <c r="O160" s="72">
        <f t="shared" si="93"/>
        <v>49.979558824736309</v>
      </c>
      <c r="P160" s="72">
        <f t="shared" si="93"/>
        <v>35.791254971608261</v>
      </c>
      <c r="Q160" s="72">
        <f t="shared" si="93"/>
        <v>15.618610823671041</v>
      </c>
      <c r="T160" s="49"/>
      <c r="U160" s="49"/>
      <c r="V160" s="49"/>
      <c r="W160" s="49"/>
      <c r="X160" s="49"/>
      <c r="Y160" s="49"/>
      <c r="Z160" s="49"/>
      <c r="AA160" s="49"/>
      <c r="AC160" s="72">
        <f t="shared" ca="1" si="92"/>
        <v>9.6955895152961222</v>
      </c>
    </row>
    <row r="161" spans="2:29" x14ac:dyDescent="0.2">
      <c r="B161" s="20" t="s">
        <v>271</v>
      </c>
      <c r="M161" s="74">
        <f>M157/M153</f>
        <v>1.8176139896930375E-2</v>
      </c>
      <c r="N161" s="74">
        <f t="shared" ref="N161:Q161" si="94">N157/N153</f>
        <v>3.7708973463101328E-2</v>
      </c>
      <c r="O161" s="74">
        <f t="shared" si="94"/>
        <v>1.8832110652060391E-2</v>
      </c>
      <c r="P161" s="74">
        <f t="shared" si="94"/>
        <v>2.6834969911067843E-2</v>
      </c>
      <c r="Q161" s="74">
        <f t="shared" si="94"/>
        <v>6.0465574219619532E-2</v>
      </c>
      <c r="T161" s="49"/>
      <c r="U161" s="49"/>
      <c r="V161" s="49"/>
      <c r="W161" s="49"/>
      <c r="X161" s="49"/>
      <c r="Y161" s="49"/>
      <c r="Z161" s="49"/>
      <c r="AA161" s="49"/>
      <c r="AC161" s="74">
        <f t="shared" ref="AC161" ca="1" si="95">AC157/AC153</f>
        <v>0.10529950428510662</v>
      </c>
    </row>
    <row r="162" spans="2:29" x14ac:dyDescent="0.2">
      <c r="B162" s="20" t="s">
        <v>272</v>
      </c>
      <c r="M162" s="74">
        <f>M26/M117</f>
        <v>1.4913377388819432E-2</v>
      </c>
      <c r="N162" s="74">
        <f>N26/N117</f>
        <v>2.9351079596640607E-2</v>
      </c>
      <c r="O162" s="74">
        <f>O26/O117</f>
        <v>1.9345018903127609E-2</v>
      </c>
      <c r="P162" s="74">
        <f>P26/P117</f>
        <v>2.8368058258305007E-2</v>
      </c>
      <c r="Q162" s="74">
        <f>Q26/Q117</f>
        <v>5.2595112118921643E-2</v>
      </c>
      <c r="T162" s="49"/>
      <c r="U162" s="49"/>
      <c r="V162" s="49"/>
      <c r="W162" s="49"/>
      <c r="X162" s="49"/>
      <c r="Y162" s="49"/>
      <c r="Z162" s="49"/>
      <c r="AA162" s="49"/>
      <c r="AC162" s="74">
        <f ca="1">AC26/AC117</f>
        <v>8.9567534330805484E-2</v>
      </c>
    </row>
    <row r="163" spans="2:29" x14ac:dyDescent="0.2">
      <c r="B163" s="20" t="s">
        <v>273</v>
      </c>
      <c r="M163" s="156">
        <f>M82/M117</f>
        <v>0</v>
      </c>
      <c r="N163" s="156">
        <f>N82/N117</f>
        <v>0</v>
      </c>
      <c r="O163" s="156">
        <f>O82/O117</f>
        <v>0</v>
      </c>
      <c r="P163" s="156">
        <f>P82/P117</f>
        <v>0</v>
      </c>
      <c r="Q163" s="156">
        <f>Q82/Q117</f>
        <v>0</v>
      </c>
      <c r="T163" s="49"/>
      <c r="U163" s="49"/>
      <c r="V163" s="49"/>
      <c r="W163" s="49"/>
      <c r="X163" s="49"/>
      <c r="Y163" s="49"/>
      <c r="Z163" s="49"/>
      <c r="AA163" s="49"/>
      <c r="AC163" s="156">
        <f ca="1">AC82/AC117</f>
        <v>0</v>
      </c>
    </row>
    <row r="164" spans="2:29" x14ac:dyDescent="0.2">
      <c r="B164" s="20" t="s">
        <v>298</v>
      </c>
      <c r="M164" s="156">
        <f>-M63/M153</f>
        <v>1.2350894992753308E-2</v>
      </c>
      <c r="N164" s="156">
        <f>-N63/N153</f>
        <v>4.1469740796392492E-2</v>
      </c>
      <c r="O164" s="156">
        <f>-O63/O153</f>
        <v>1.586165521995898E-2</v>
      </c>
      <c r="P164" s="156">
        <f>-P63/P153</f>
        <v>4.2207320224361675E-2</v>
      </c>
      <c r="Q164" s="156">
        <f>-Q63/Q153</f>
        <v>8.623415205708318E-2</v>
      </c>
      <c r="T164" s="49"/>
      <c r="U164" s="49"/>
      <c r="V164" s="49"/>
      <c r="W164" s="49"/>
      <c r="X164" s="49"/>
      <c r="Y164" s="49"/>
      <c r="Z164" s="49"/>
      <c r="AA164" s="49"/>
      <c r="AC164" s="156">
        <f ca="1">-AC63/AC153</f>
        <v>0.11741429014307035</v>
      </c>
    </row>
    <row r="165" spans="2:29" x14ac:dyDescent="0.2">
      <c r="B165" s="20" t="s">
        <v>300</v>
      </c>
      <c r="M165" s="156">
        <f>-(M63+M64)/M153</f>
        <v>1.2350894992753308E-2</v>
      </c>
      <c r="N165" s="156">
        <f>-(N63+N64)/N153</f>
        <v>4.1469740796392492E-2</v>
      </c>
      <c r="O165" s="156">
        <f>-(O63+O64)/O153</f>
        <v>1.586165521995898E-2</v>
      </c>
      <c r="P165" s="156">
        <f>-(P63+P64)/P153</f>
        <v>4.2207320224361675E-2</v>
      </c>
      <c r="Q165" s="156">
        <f>-(Q63+Q64)/Q153</f>
        <v>8.623415205708318E-2</v>
      </c>
      <c r="T165" s="49"/>
      <c r="U165" s="49"/>
      <c r="V165" s="49"/>
      <c r="W165" s="49"/>
      <c r="X165" s="49"/>
      <c r="Y165" s="49"/>
      <c r="Z165" s="49"/>
      <c r="AA165" s="49"/>
      <c r="AC165" s="156">
        <f ca="1">-(AC63+AC64)/AC153</f>
        <v>0.11741429014307035</v>
      </c>
    </row>
    <row r="166" spans="2:29" x14ac:dyDescent="0.2">
      <c r="B166" s="20" t="s">
        <v>355</v>
      </c>
      <c r="M166" s="156">
        <f>M158/M5</f>
        <v>0.35704698627509168</v>
      </c>
      <c r="N166" s="156">
        <f>N158/N5</f>
        <v>0.3167809273348739</v>
      </c>
      <c r="O166" s="156">
        <f>O158/O5</f>
        <v>0.28162426955845121</v>
      </c>
      <c r="P166" s="156">
        <f>P158/P5</f>
        <v>0.28949469059800309</v>
      </c>
      <c r="Q166" s="156">
        <f>Q158/Q5</f>
        <v>0.35134596335080465</v>
      </c>
      <c r="T166" s="49"/>
      <c r="U166" s="49"/>
      <c r="V166" s="49"/>
      <c r="W166" s="49"/>
      <c r="X166" s="49"/>
      <c r="Y166" s="49"/>
      <c r="Z166" s="49"/>
      <c r="AA166" s="49"/>
      <c r="AC166" s="156">
        <f>AC158/AC5</f>
        <v>0.3221024618377733</v>
      </c>
    </row>
    <row r="167" spans="2:29" x14ac:dyDescent="0.2">
      <c r="B167" s="20" t="s">
        <v>356</v>
      </c>
      <c r="M167" s="156">
        <f>M157/M5</f>
        <v>0.36826100728539751</v>
      </c>
      <c r="N167" s="156">
        <f>N157/N5</f>
        <v>0.3382937634897194</v>
      </c>
      <c r="O167" s="156">
        <f>O157/O5</f>
        <v>0.26915348549641921</v>
      </c>
      <c r="P167" s="156">
        <f>P157/P5</f>
        <v>0.28086491513601486</v>
      </c>
      <c r="Q167" s="156">
        <f>Q157/Q5</f>
        <v>0.33278640245698177</v>
      </c>
      <c r="T167" s="49"/>
      <c r="U167" s="49"/>
      <c r="V167" s="49"/>
      <c r="W167" s="49"/>
      <c r="X167" s="49"/>
      <c r="Y167" s="49"/>
      <c r="Z167" s="49"/>
      <c r="AA167" s="49"/>
      <c r="AC167" s="156">
        <f>AC157/AC5</f>
        <v>0.3245892531153266</v>
      </c>
    </row>
    <row r="168" spans="2:29" x14ac:dyDescent="0.2">
      <c r="B168" s="20" t="s">
        <v>276</v>
      </c>
      <c r="M168" s="156">
        <f>-M64/M157</f>
        <v>0</v>
      </c>
      <c r="N168" s="156">
        <f>-N64/N157</f>
        <v>0</v>
      </c>
      <c r="O168" s="156">
        <f>-O64/O157</f>
        <v>0</v>
      </c>
      <c r="P168" s="156">
        <f>-P64/P157</f>
        <v>0</v>
      </c>
      <c r="Q168" s="156">
        <f>-Q64/Q157</f>
        <v>0</v>
      </c>
      <c r="T168" s="49"/>
      <c r="U168" s="49"/>
      <c r="V168" s="49"/>
      <c r="W168" s="49"/>
      <c r="X168" s="49"/>
      <c r="Y168" s="49"/>
      <c r="Z168" s="49"/>
      <c r="AA168" s="49"/>
      <c r="AC168" s="156">
        <f>-AC64/AC157</f>
        <v>0</v>
      </c>
    </row>
    <row r="169" spans="2:29" x14ac:dyDescent="0.2">
      <c r="B169" s="20" t="s">
        <v>278</v>
      </c>
      <c r="M169" s="156">
        <f>-M63/M157</f>
        <v>0.67951143987613971</v>
      </c>
      <c r="N169" s="156">
        <f>-N63/N157</f>
        <v>1.0997313633310948</v>
      </c>
      <c r="O169" s="156">
        <f>-O63/O157</f>
        <v>0.84226646248085757</v>
      </c>
      <c r="P169" s="156">
        <f>-P63/P157</f>
        <v>1.5728476821192052</v>
      </c>
      <c r="Q169" s="156">
        <f>-Q63/Q157</f>
        <v>1.4261694058154235</v>
      </c>
      <c r="T169" s="49"/>
      <c r="U169" s="49"/>
      <c r="V169" s="49"/>
      <c r="W169" s="49"/>
      <c r="X169" s="49"/>
      <c r="Y169" s="49"/>
      <c r="Z169" s="49"/>
      <c r="AA169" s="49"/>
      <c r="AC169" s="156">
        <f>-AC63/AC157</f>
        <v>1.1150507396992297</v>
      </c>
    </row>
    <row r="170" spans="2:29" x14ac:dyDescent="0.2">
      <c r="B170" s="20" t="s">
        <v>289</v>
      </c>
      <c r="M170" s="156">
        <f>(-M64-M63)/M157</f>
        <v>0.67951143987613971</v>
      </c>
      <c r="N170" s="156">
        <f>(-N64-N63)/N157</f>
        <v>1.0997313633310948</v>
      </c>
      <c r="O170" s="156">
        <f>(-O64-O63)/O157</f>
        <v>0.84226646248085757</v>
      </c>
      <c r="P170" s="156">
        <f>(-P64-P63)/P157</f>
        <v>1.5728476821192052</v>
      </c>
      <c r="Q170" s="156">
        <f>(-Q64-Q63)/Q157</f>
        <v>1.4261694058154235</v>
      </c>
      <c r="T170" s="49"/>
      <c r="U170" s="49"/>
      <c r="V170" s="49"/>
      <c r="W170" s="49"/>
      <c r="X170" s="49"/>
      <c r="Y170" s="49"/>
      <c r="Z170" s="49"/>
      <c r="AA170" s="49"/>
      <c r="AC170" s="156">
        <f>(-AC64-AC63)/AC157</f>
        <v>1.1150507396992297</v>
      </c>
    </row>
    <row r="171" spans="2:29" x14ac:dyDescent="0.2">
      <c r="B171" s="20" t="s">
        <v>283</v>
      </c>
      <c r="M171" s="156">
        <f>M80/M78</f>
        <v>2.1008403361344537E-3</v>
      </c>
      <c r="N171" s="156">
        <f>N80/N78</f>
        <v>2.1786492374727671E-3</v>
      </c>
      <c r="O171" s="156">
        <f>O80/O78</f>
        <v>2.2026431718061676E-3</v>
      </c>
      <c r="P171" s="156">
        <f>P80/P78</f>
        <v>2.2831050228310501E-3</v>
      </c>
      <c r="Q171" s="156">
        <f>Q80/Q78</f>
        <v>2.4271844660194173E-3</v>
      </c>
      <c r="T171" s="49"/>
      <c r="U171" s="49"/>
      <c r="V171" s="49"/>
      <c r="W171" s="49"/>
      <c r="X171" s="49"/>
      <c r="Y171" s="49"/>
      <c r="Z171" s="49"/>
      <c r="AA171" s="49"/>
      <c r="AC171" s="156">
        <f>AC80/AC78</f>
        <v>2.5125628140703518E-3</v>
      </c>
    </row>
    <row r="172" spans="2:29" x14ac:dyDescent="0.2">
      <c r="B172" s="20" t="s">
        <v>284</v>
      </c>
      <c r="M172" s="72">
        <f>M107/M75</f>
        <v>12.283898305084746</v>
      </c>
      <c r="N172" s="72">
        <f>N107/N75</f>
        <v>13.310043668122271</v>
      </c>
      <c r="O172" s="72">
        <f>O107/O75</f>
        <v>17.349557522123895</v>
      </c>
      <c r="P172" s="72">
        <f>P107/P75</f>
        <v>18.128735632183908</v>
      </c>
      <c r="Q172" s="72">
        <f>Q107/Q75</f>
        <v>16.046228710462287</v>
      </c>
      <c r="T172" s="72">
        <f t="shared" ref="T172:AA172" si="96">T107/T75</f>
        <v>17.079545454545453</v>
      </c>
      <c r="U172" s="72">
        <f t="shared" si="96"/>
        <v>18.128735632183908</v>
      </c>
      <c r="V172" s="72">
        <f t="shared" si="96"/>
        <v>17.453051643192488</v>
      </c>
      <c r="W172" s="72">
        <f t="shared" si="96"/>
        <v>13.474056603773585</v>
      </c>
      <c r="X172" s="72">
        <f t="shared" si="96"/>
        <v>14.176610978520287</v>
      </c>
      <c r="Y172" s="72">
        <f t="shared" si="96"/>
        <v>16.046228710462287</v>
      </c>
      <c r="Z172" s="72">
        <f t="shared" si="96"/>
        <v>17.054455445544555</v>
      </c>
      <c r="AA172" s="72">
        <f t="shared" si="96"/>
        <v>14.135678391959798</v>
      </c>
      <c r="AC172" s="72">
        <f>AC107/AC75</f>
        <v>14.135678391959798</v>
      </c>
    </row>
    <row r="173" spans="2:29" x14ac:dyDescent="0.2">
      <c r="B173" s="20" t="s">
        <v>286</v>
      </c>
      <c r="M173" s="156">
        <f>M54/M59</f>
        <v>0.14785615491009682</v>
      </c>
      <c r="N173" s="156">
        <f>N54/N59</f>
        <v>0.1837203368206175</v>
      </c>
      <c r="O173" s="156">
        <f>O54/O59</f>
        <v>0.23527800602574636</v>
      </c>
      <c r="P173" s="156">
        <f>P54/P59</f>
        <v>0.22753227408142998</v>
      </c>
      <c r="Q173" s="156">
        <f>Q54/Q59</f>
        <v>0.19359984049446716</v>
      </c>
      <c r="T173" s="156" t="e">
        <f t="shared" ref="T173:AA173" si="97">T54/T59</f>
        <v>#DIV/0!</v>
      </c>
      <c r="U173" s="156" t="e">
        <f t="shared" si="97"/>
        <v>#DIV/0!</v>
      </c>
      <c r="V173" s="156">
        <f t="shared" si="97"/>
        <v>0.19137792103142626</v>
      </c>
      <c r="W173" s="156">
        <f t="shared" si="97"/>
        <v>0.21953445915107256</v>
      </c>
      <c r="X173" s="156">
        <f t="shared" si="97"/>
        <v>0.22611464968152867</v>
      </c>
      <c r="Y173" s="156">
        <f t="shared" si="97"/>
        <v>0.15474683544303797</v>
      </c>
      <c r="Z173" s="156">
        <f t="shared" si="97"/>
        <v>0.17207572684246111</v>
      </c>
      <c r="AA173" s="156">
        <f t="shared" si="97"/>
        <v>0.24665127020785219</v>
      </c>
      <c r="AC173" s="156">
        <f>AC54/AC59</f>
        <v>0.19358839805362082</v>
      </c>
    </row>
    <row r="174" spans="2:29" x14ac:dyDescent="0.2">
      <c r="B174" s="20" t="s">
        <v>287</v>
      </c>
      <c r="M174" s="156">
        <f>M54/M5</f>
        <v>6.7722521381057971E-2</v>
      </c>
      <c r="N174" s="156">
        <f>N54/N5</f>
        <v>8.1790298761785757E-2</v>
      </c>
      <c r="O174" s="156">
        <f>O54/O5</f>
        <v>8.8515637075583492E-2</v>
      </c>
      <c r="P174" s="156">
        <f>P54/P5</f>
        <v>8.5235991629853528E-2</v>
      </c>
      <c r="Q174" s="156">
        <f>Q54/Q5</f>
        <v>8.1703058605746975E-2</v>
      </c>
      <c r="T174" s="156">
        <f t="shared" ref="T174:AA174" si="98">T54/T5</f>
        <v>0</v>
      </c>
      <c r="U174" s="156">
        <f t="shared" si="98"/>
        <v>0</v>
      </c>
      <c r="V174" s="156">
        <f t="shared" si="98"/>
        <v>8.3129156457822886E-2</v>
      </c>
      <c r="W174" s="156">
        <f t="shared" si="98"/>
        <v>8.1900221351949604E-2</v>
      </c>
      <c r="X174" s="156">
        <f t="shared" si="98"/>
        <v>8.2999331997327994E-2</v>
      </c>
      <c r="Y174" s="156">
        <f t="shared" si="98"/>
        <v>7.8947368421052627E-2</v>
      </c>
      <c r="Z174" s="156">
        <f t="shared" si="98"/>
        <v>7.9556111284776493E-2</v>
      </c>
      <c r="AA174" s="156">
        <f t="shared" si="98"/>
        <v>8.0689029918404348E-2</v>
      </c>
      <c r="AC174" s="156">
        <f>AC54/AC5</f>
        <v>8.0522263671719982E-2</v>
      </c>
    </row>
    <row r="175" spans="2:29" x14ac:dyDescent="0.2">
      <c r="B175" s="20" t="s">
        <v>292</v>
      </c>
      <c r="M175" s="72">
        <f>(M107-M108)/M75</f>
        <v>3.5487288135593222</v>
      </c>
      <c r="N175" s="72">
        <f>(N107-N108)/N75</f>
        <v>4.2947598253275112</v>
      </c>
      <c r="O175" s="72">
        <f>(O107-O108)/O75</f>
        <v>9.3097345132743357</v>
      </c>
      <c r="P175" s="72">
        <f>(P107-P108)/P75</f>
        <v>5.190804597701149</v>
      </c>
      <c r="Q175" s="72">
        <f>(Q107-Q108)/Q75</f>
        <v>0.93673965936739656</v>
      </c>
      <c r="T175" s="72">
        <f t="shared" ref="T175:AA175" si="99">(T107-T108)/T75</f>
        <v>4.290909090909091</v>
      </c>
      <c r="U175" s="72">
        <f t="shared" si="99"/>
        <v>5.190804597701149</v>
      </c>
      <c r="V175" s="72">
        <f t="shared" si="99"/>
        <v>3.004694835680751</v>
      </c>
      <c r="W175" s="72">
        <f t="shared" si="99"/>
        <v>-1.0683962264150944</v>
      </c>
      <c r="X175" s="72">
        <f t="shared" si="99"/>
        <v>-0.62052505966587113</v>
      </c>
      <c r="Y175" s="72">
        <f t="shared" si="99"/>
        <v>0.93673965936739656</v>
      </c>
      <c r="Z175" s="72">
        <f t="shared" si="99"/>
        <v>1.6386138613861385</v>
      </c>
      <c r="AA175" s="72">
        <f t="shared" si="99"/>
        <v>-2.5603015075376883</v>
      </c>
      <c r="AC175" s="72">
        <f>(AC107-AC108)/AC75</f>
        <v>-2.5603015075376883</v>
      </c>
    </row>
    <row r="176" spans="2:29" x14ac:dyDescent="0.2">
      <c r="B176" s="20" t="s">
        <v>297</v>
      </c>
      <c r="M176" s="156">
        <f>(M107-M108)/M153</f>
        <v>5.2374048386991875E-3</v>
      </c>
      <c r="N176" s="156">
        <f>(N107-N108)/N153</f>
        <v>1.2453584755191456E-2</v>
      </c>
      <c r="O176" s="156">
        <f>(O107-O108)/O153</f>
        <v>1.5169510264906226E-2</v>
      </c>
      <c r="P176" s="156">
        <f>(P107-P108)/P153</f>
        <v>1.0032013585958807E-2</v>
      </c>
      <c r="Q176" s="156">
        <f>(Q107-Q108)/Q153</f>
        <v>2.9430146744062603E-3</v>
      </c>
      <c r="T176" s="49"/>
      <c r="U176" s="49"/>
      <c r="V176" s="49"/>
      <c r="W176" s="49"/>
      <c r="X176" s="49"/>
      <c r="Y176" s="49"/>
      <c r="Z176" s="49"/>
      <c r="AA176" s="49"/>
      <c r="AC176" s="156">
        <f ca="1">(AC107-AC108)/AC153</f>
        <v>-1.311898702366104E-2</v>
      </c>
    </row>
    <row r="177" spans="1:31" x14ac:dyDescent="0.2">
      <c r="B177" s="20" t="s">
        <v>306</v>
      </c>
      <c r="M177" s="156">
        <f>-M110/M5</f>
        <v>2.2046246436490339E-2</v>
      </c>
      <c r="N177" s="156">
        <f>-N110/N5</f>
        <v>2.5105077814381462E-2</v>
      </c>
      <c r="O177" s="156">
        <f>-O110/O5</f>
        <v>1.854809624401051E-2</v>
      </c>
      <c r="P177" s="156">
        <f>-P110/P5</f>
        <v>8.5096489188560796E-3</v>
      </c>
      <c r="Q177" s="156">
        <f>-Q110/Q5</f>
        <v>7.5308174513021159E-3</v>
      </c>
      <c r="T177" s="156">
        <f t="shared" ref="T177:AA177" si="100">-T110/T5</f>
        <v>0</v>
      </c>
      <c r="U177" s="156">
        <f t="shared" si="100"/>
        <v>0</v>
      </c>
      <c r="V177" s="156">
        <f t="shared" si="100"/>
        <v>4.5502275113755691E-3</v>
      </c>
      <c r="W177" s="156">
        <f t="shared" si="100"/>
        <v>8.0027243316873834E-3</v>
      </c>
      <c r="X177" s="156">
        <f t="shared" si="100"/>
        <v>1.2024048096192385E-2</v>
      </c>
      <c r="Y177" s="156">
        <f t="shared" si="100"/>
        <v>5.4891830804003876E-3</v>
      </c>
      <c r="Z177" s="156">
        <f t="shared" si="100"/>
        <v>5.7830572053766804E-3</v>
      </c>
      <c r="AA177" s="156">
        <f t="shared" si="100"/>
        <v>1.9643396796615292E-2</v>
      </c>
      <c r="AC177" s="156">
        <f>-AC110/AC5</f>
        <v>1.0834193189935708E-2</v>
      </c>
    </row>
    <row r="178" spans="1:31" x14ac:dyDescent="0.2">
      <c r="B178" s="20" t="s">
        <v>307</v>
      </c>
      <c r="M178" s="156">
        <f>-(M110/M59)</f>
        <v>4.8132780082987554E-2</v>
      </c>
      <c r="N178" s="156">
        <f>-(N110/N59)</f>
        <v>5.6391936718550653E-2</v>
      </c>
      <c r="O178" s="156">
        <f>-(O110/O59)</f>
        <v>4.9301561216105176E-2</v>
      </c>
      <c r="P178" s="156">
        <f>-(P110/P59)</f>
        <v>2.2715988083416086E-2</v>
      </c>
      <c r="Q178" s="156">
        <f>-(Q110/Q59)</f>
        <v>1.7844681487389095E-2</v>
      </c>
      <c r="T178" s="156" t="e">
        <f t="shared" ref="T178:AA178" si="101">-(T110/T59)</f>
        <v>#DIV/0!</v>
      </c>
      <c r="U178" s="156" t="e">
        <f t="shared" si="101"/>
        <v>#DIV/0!</v>
      </c>
      <c r="V178" s="156">
        <f t="shared" si="101"/>
        <v>1.0475423045930701E-2</v>
      </c>
      <c r="W178" s="156">
        <f t="shared" si="101"/>
        <v>2.1451392058420813E-2</v>
      </c>
      <c r="X178" s="156">
        <f t="shared" si="101"/>
        <v>3.2757051865332121E-2</v>
      </c>
      <c r="Y178" s="156">
        <f t="shared" si="101"/>
        <v>1.0759493670886076E-2</v>
      </c>
      <c r="Z178" s="156">
        <f t="shared" si="101"/>
        <v>1.2508451656524679E-2</v>
      </c>
      <c r="AA178" s="156">
        <f t="shared" si="101"/>
        <v>6.0046189376443418E-2</v>
      </c>
      <c r="AC178" s="156">
        <f>-(AC110/AC59)</f>
        <v>2.6047132907165347E-2</v>
      </c>
    </row>
    <row r="179" spans="1:31" x14ac:dyDescent="0.2">
      <c r="B179" s="20" t="s">
        <v>308</v>
      </c>
      <c r="M179" s="156">
        <f>-M110/M53</f>
        <v>0.44162436548223349</v>
      </c>
      <c r="N179" s="156">
        <f>-N110/N53</f>
        <v>0.51635514018691586</v>
      </c>
      <c r="O179" s="156">
        <f>-O110/O53</f>
        <v>0.41284403669724773</v>
      </c>
      <c r="P179" s="156">
        <f>-P110/P53</f>
        <v>0.21353558926487748</v>
      </c>
      <c r="Q179" s="156">
        <f>-Q110/Q53</f>
        <v>0.21882640586797067</v>
      </c>
      <c r="T179" s="156" t="e">
        <f t="shared" ref="T179:AA179" si="102">-T110/T53</f>
        <v>#DIV/0!</v>
      </c>
      <c r="U179" s="156" t="e">
        <f t="shared" si="102"/>
        <v>#DIV/0!</v>
      </c>
      <c r="V179" s="156">
        <f t="shared" si="102"/>
        <v>0.11981566820276497</v>
      </c>
      <c r="W179" s="156">
        <f t="shared" si="102"/>
        <v>0.22488038277511962</v>
      </c>
      <c r="X179" s="156">
        <f t="shared" si="102"/>
        <v>0.34615384615384615</v>
      </c>
      <c r="Y179" s="156">
        <f t="shared" si="102"/>
        <v>0.18478260869565216</v>
      </c>
      <c r="Z179" s="156">
        <f t="shared" si="102"/>
        <v>0.21264367816091953</v>
      </c>
      <c r="AA179" s="156">
        <f t="shared" si="102"/>
        <v>0.67357512953367871</v>
      </c>
      <c r="AC179" s="156">
        <f>-AC110/AC53</f>
        <v>0.35968379446640314</v>
      </c>
    </row>
    <row r="180" spans="1:31" x14ac:dyDescent="0.2">
      <c r="B180" s="20" t="s">
        <v>369</v>
      </c>
      <c r="M180" s="226">
        <f>M5/M37</f>
        <v>0.57945743548327888</v>
      </c>
      <c r="N180" s="226">
        <f t="shared" ref="N180:Q180" si="103">N5/N37</f>
        <v>0.64811338118902995</v>
      </c>
      <c r="O180" s="226">
        <f t="shared" si="103"/>
        <v>0.65176802444675774</v>
      </c>
      <c r="P180" s="226">
        <f t="shared" si="103"/>
        <v>0.71137942441283497</v>
      </c>
      <c r="Q180" s="226">
        <f t="shared" si="103"/>
        <v>0.80583807973962573</v>
      </c>
      <c r="T180" s="49"/>
      <c r="U180" s="49"/>
      <c r="V180" s="49"/>
      <c r="W180" s="49"/>
      <c r="X180" s="49"/>
      <c r="Y180" s="49"/>
      <c r="Z180" s="49"/>
      <c r="AA180" s="49"/>
      <c r="AC180" s="226">
        <f t="shared" ref="AC180" si="104">AC5/AC37</f>
        <v>0.8418133832225303</v>
      </c>
    </row>
    <row r="181" spans="1:31" x14ac:dyDescent="0.2">
      <c r="B181" s="20" t="s">
        <v>366</v>
      </c>
      <c r="M181" s="228">
        <f>IF(AND(M12&gt;0,M108&gt;0),M108/M12,"N/A")</f>
        <v>0.71061702861082388</v>
      </c>
      <c r="N181" s="228">
        <f t="shared" ref="N181:Q181" si="105">IF(AND(N12&gt;0,N108&gt;0),N108/N12,"N/A")</f>
        <v>0.67710724827812396</v>
      </c>
      <c r="O181" s="228">
        <f t="shared" si="105"/>
        <v>0.54646616541353388</v>
      </c>
      <c r="P181" s="228">
        <f t="shared" si="105"/>
        <v>0.83489096573208721</v>
      </c>
      <c r="Q181" s="228">
        <f t="shared" si="105"/>
        <v>0.7133011716057891</v>
      </c>
      <c r="T181" s="49"/>
      <c r="U181" s="49"/>
      <c r="V181" s="49"/>
      <c r="W181" s="49"/>
      <c r="X181" s="49"/>
      <c r="Y181" s="49"/>
      <c r="Z181" s="49"/>
      <c r="AA181" s="49"/>
      <c r="AC181" s="228">
        <f t="shared" ref="AC181" si="106">IF(AND(AC12&gt;0,AC108&gt;0),AC108/AC12,"N/A")</f>
        <v>0.73102310231023104</v>
      </c>
    </row>
    <row r="182" spans="1:31" x14ac:dyDescent="0.2">
      <c r="B182" s="20" t="s">
        <v>367</v>
      </c>
      <c r="M182" s="228">
        <f>IF(AND(M12&gt;0,M108&gt;0),(M108-M107)/M12,"N/A")</f>
        <v>-0.28869355394691487</v>
      </c>
      <c r="N182" s="228">
        <f t="shared" ref="N182:Q182" si="107">IF(AND(N12&gt;0,N108&gt;0),(N108-N107)/N12,"N/A")</f>
        <v>-0.32256477533617578</v>
      </c>
      <c r="O182" s="228">
        <f t="shared" si="107"/>
        <v>-0.632781954887218</v>
      </c>
      <c r="P182" s="228">
        <f t="shared" si="107"/>
        <v>-0.33496513870345646</v>
      </c>
      <c r="Q182" s="228">
        <f t="shared" si="107"/>
        <v>-4.422237537330577E-2</v>
      </c>
      <c r="T182" s="49"/>
      <c r="U182" s="49"/>
      <c r="V182" s="49"/>
      <c r="W182" s="49"/>
      <c r="X182" s="49"/>
      <c r="Y182" s="49"/>
      <c r="Z182" s="49"/>
      <c r="AA182" s="49"/>
      <c r="AC182" s="228">
        <f t="shared" ref="AC182" si="108">IF(AND(AC12&gt;0,AC108&gt;0),(AC108-AC107)/AC12,"N/A")</f>
        <v>0.1121012101210121</v>
      </c>
    </row>
    <row r="183" spans="1:31" x14ac:dyDescent="0.2">
      <c r="B183" s="20" t="s">
        <v>368</v>
      </c>
      <c r="M183" s="228">
        <f>M5/(M108+M112-M107)</f>
        <v>1.2029416247523244</v>
      </c>
      <c r="N183" s="228">
        <f t="shared" ref="N183:Q183" si="109">N5/(N108+N112-N107)</f>
        <v>1.4569678914266799</v>
      </c>
      <c r="O183" s="228">
        <f t="shared" si="109"/>
        <v>1.5766856214459788</v>
      </c>
      <c r="P183" s="228">
        <f t="shared" si="109"/>
        <v>1.8152274837511606</v>
      </c>
      <c r="Q183" s="228">
        <f t="shared" si="109"/>
        <v>2.1150560597971171</v>
      </c>
      <c r="T183" s="49"/>
      <c r="U183" s="49"/>
      <c r="V183" s="49"/>
      <c r="W183" s="49"/>
      <c r="X183" s="49"/>
      <c r="Y183" s="49"/>
      <c r="Z183" s="49"/>
      <c r="AA183" s="49"/>
      <c r="AC183" s="228">
        <f t="shared" ref="AC183" si="110">AC5/(AC108+AC112-AC107)</f>
        <v>2.0098907234585628</v>
      </c>
    </row>
    <row r="185" spans="1:31" x14ac:dyDescent="0.2">
      <c r="B185" s="1"/>
    </row>
    <row r="186" spans="1:31" s="15" customFormat="1" ht="17" thickBot="1" x14ac:dyDescent="0.25">
      <c r="A186" s="11"/>
      <c r="B186" s="14" t="s">
        <v>81</v>
      </c>
      <c r="R186" s="1"/>
      <c r="S186" s="1"/>
      <c r="AB186" s="1"/>
      <c r="AD186" s="1"/>
      <c r="AE186" s="1"/>
    </row>
    <row r="187" spans="1:31" x14ac:dyDescent="0.2">
      <c r="B187" s="20" t="s">
        <v>388</v>
      </c>
      <c r="C187" s="62"/>
      <c r="D187" s="62"/>
      <c r="E187" s="62"/>
      <c r="F187" s="62"/>
      <c r="G187" s="62"/>
      <c r="H187" s="62"/>
      <c r="I187" s="62"/>
      <c r="J187" s="62"/>
      <c r="K187" s="62"/>
      <c r="L187" s="62"/>
      <c r="M187" s="21">
        <v>14573</v>
      </c>
      <c r="N187" s="21">
        <v>16388</v>
      </c>
      <c r="O187" s="21">
        <v>18284</v>
      </c>
      <c r="P187" s="21">
        <v>20521</v>
      </c>
      <c r="Q187" s="21">
        <v>22904</v>
      </c>
      <c r="T187" s="21">
        <v>5180</v>
      </c>
      <c r="U187" s="21">
        <v>5365</v>
      </c>
      <c r="V187" s="21">
        <v>5483</v>
      </c>
      <c r="W187" s="21">
        <v>5641</v>
      </c>
      <c r="X187" s="21">
        <v>5791</v>
      </c>
      <c r="Y187" s="21">
        <v>5989</v>
      </c>
      <c r="Z187" s="21">
        <v>6198</v>
      </c>
      <c r="AA187" s="21">
        <v>6416</v>
      </c>
      <c r="AC187" s="62">
        <f>SUM(X187:AA187)</f>
        <v>24394</v>
      </c>
    </row>
    <row r="188" spans="1:31" x14ac:dyDescent="0.2">
      <c r="B188" s="20" t="s">
        <v>389</v>
      </c>
      <c r="C188" s="62"/>
      <c r="D188" s="62"/>
      <c r="E188" s="62"/>
      <c r="F188" s="62"/>
      <c r="G188" s="62"/>
      <c r="H188" s="62"/>
      <c r="I188" s="62"/>
      <c r="J188" s="62"/>
      <c r="K188" s="62"/>
      <c r="L188" s="62"/>
      <c r="M188" s="21">
        <v>555</v>
      </c>
      <c r="N188" s="21">
        <v>532</v>
      </c>
      <c r="O188" s="21">
        <v>460</v>
      </c>
      <c r="P188" s="21">
        <v>386</v>
      </c>
      <c r="Q188" s="21">
        <v>325</v>
      </c>
      <c r="T188" s="21">
        <v>82</v>
      </c>
      <c r="U188" s="21">
        <v>81</v>
      </c>
      <c r="V188" s="21">
        <v>95</v>
      </c>
      <c r="W188" s="21">
        <v>88</v>
      </c>
      <c r="X188" s="21">
        <v>68</v>
      </c>
      <c r="Y188" s="21">
        <v>74</v>
      </c>
      <c r="Z188" s="21">
        <v>90</v>
      </c>
      <c r="AA188" s="21">
        <v>89</v>
      </c>
      <c r="AC188" s="62">
        <f t="shared" ref="AC188:AC193" si="111">SUM(X188:AA188)</f>
        <v>321</v>
      </c>
    </row>
    <row r="189" spans="1:31" x14ac:dyDescent="0.2">
      <c r="B189" s="20" t="s">
        <v>390</v>
      </c>
      <c r="C189" s="62"/>
      <c r="D189" s="62"/>
      <c r="E189" s="62"/>
      <c r="F189" s="62"/>
      <c r="G189" s="62"/>
      <c r="H189" s="62"/>
      <c r="I189" s="62"/>
      <c r="J189" s="62"/>
      <c r="K189" s="62"/>
      <c r="L189" s="62"/>
      <c r="M189" s="21">
        <v>657</v>
      </c>
      <c r="N189" s="21">
        <v>686</v>
      </c>
      <c r="O189" s="21">
        <v>665</v>
      </c>
      <c r="P189" s="21">
        <v>598</v>
      </c>
      <c r="Q189" s="21">
        <v>540</v>
      </c>
      <c r="T189" s="21">
        <v>146</v>
      </c>
      <c r="U189" s="21">
        <v>160</v>
      </c>
      <c r="V189" s="21">
        <v>136</v>
      </c>
      <c r="W189" s="21">
        <v>144</v>
      </c>
      <c r="X189" s="21">
        <v>129</v>
      </c>
      <c r="Y189" s="21">
        <v>131</v>
      </c>
      <c r="Z189" s="21">
        <v>110</v>
      </c>
      <c r="AA189" s="21">
        <v>113</v>
      </c>
      <c r="AC189" s="62">
        <f t="shared" si="111"/>
        <v>483</v>
      </c>
    </row>
    <row r="190" spans="1:31" x14ac:dyDescent="0.2">
      <c r="C190" s="21"/>
      <c r="D190" s="21"/>
      <c r="E190" s="21"/>
      <c r="F190" s="21"/>
      <c r="G190" s="21"/>
      <c r="H190" s="21"/>
      <c r="I190" s="21"/>
      <c r="J190" s="21"/>
      <c r="K190" s="21"/>
      <c r="L190" s="21"/>
      <c r="M190" s="21"/>
      <c r="AC190" s="62"/>
    </row>
    <row r="191" spans="1:31" x14ac:dyDescent="0.2">
      <c r="B191" s="20" t="s">
        <v>391</v>
      </c>
      <c r="C191" s="62"/>
      <c r="D191" s="62"/>
      <c r="E191" s="62"/>
      <c r="F191" s="62"/>
      <c r="G191" s="62"/>
      <c r="H191" s="62"/>
      <c r="I191" s="62"/>
      <c r="J191" s="62"/>
      <c r="K191" s="62"/>
      <c r="L191" s="62"/>
      <c r="M191" s="21">
        <v>1374</v>
      </c>
      <c r="N191" s="21">
        <v>1646</v>
      </c>
      <c r="O191" s="21">
        <v>1822</v>
      </c>
      <c r="P191" s="21">
        <v>1799</v>
      </c>
      <c r="Q191" s="21">
        <v>2027</v>
      </c>
      <c r="T191" s="21">
        <v>413</v>
      </c>
      <c r="U191" s="21">
        <v>475</v>
      </c>
      <c r="V191" s="21">
        <v>490</v>
      </c>
      <c r="W191" s="21">
        <v>505</v>
      </c>
      <c r="X191" s="21">
        <v>510</v>
      </c>
      <c r="Y191" s="21">
        <v>522</v>
      </c>
      <c r="Z191" s="21">
        <v>540</v>
      </c>
      <c r="AA191" s="21">
        <v>586</v>
      </c>
      <c r="AC191" s="62">
        <f t="shared" si="111"/>
        <v>2158</v>
      </c>
    </row>
    <row r="192" spans="1:31" x14ac:dyDescent="0.2">
      <c r="B192" s="20" t="s">
        <v>392</v>
      </c>
      <c r="C192" s="62"/>
      <c r="D192" s="62"/>
      <c r="E192" s="62"/>
      <c r="F192" s="62"/>
      <c r="G192" s="62"/>
      <c r="H192" s="62"/>
      <c r="I192" s="62"/>
      <c r="J192" s="62"/>
      <c r="K192" s="62"/>
      <c r="L192" s="62"/>
      <c r="M192" s="21">
        <v>41</v>
      </c>
      <c r="N192" s="21">
        <v>35</v>
      </c>
      <c r="O192" s="21">
        <v>29</v>
      </c>
      <c r="P192" s="21">
        <v>25</v>
      </c>
      <c r="Q192" s="21">
        <v>23</v>
      </c>
      <c r="T192" s="21">
        <v>6</v>
      </c>
      <c r="U192" s="21">
        <v>6</v>
      </c>
      <c r="V192" s="21">
        <v>6</v>
      </c>
      <c r="W192" s="21">
        <v>6</v>
      </c>
      <c r="X192" s="21">
        <v>5</v>
      </c>
      <c r="Y192" s="21">
        <v>6</v>
      </c>
      <c r="Z192" s="21">
        <v>6</v>
      </c>
      <c r="AA192" s="21">
        <v>5</v>
      </c>
      <c r="AC192" s="62">
        <f t="shared" si="111"/>
        <v>22</v>
      </c>
    </row>
    <row r="193" spans="2:29" x14ac:dyDescent="0.2">
      <c r="B193" s="20" t="s">
        <v>393</v>
      </c>
      <c r="C193" s="62"/>
      <c r="D193" s="62"/>
      <c r="E193" s="62"/>
      <c r="F193" s="62"/>
      <c r="G193" s="62"/>
      <c r="H193" s="62"/>
      <c r="I193" s="62"/>
      <c r="J193" s="62"/>
      <c r="K193" s="62"/>
      <c r="L193" s="62"/>
      <c r="M193" s="21">
        <v>450</v>
      </c>
      <c r="N193" s="21">
        <v>484</v>
      </c>
      <c r="O193" s="21">
        <v>503</v>
      </c>
      <c r="P193" s="21">
        <v>534</v>
      </c>
      <c r="Q193" s="21">
        <v>501</v>
      </c>
      <c r="T193" s="21">
        <v>135</v>
      </c>
      <c r="U193" s="21">
        <v>135</v>
      </c>
      <c r="V193" s="21">
        <v>126</v>
      </c>
      <c r="W193" s="21">
        <v>127</v>
      </c>
      <c r="X193" s="21">
        <v>127</v>
      </c>
      <c r="Y193" s="21">
        <v>121</v>
      </c>
      <c r="Z193" s="21">
        <v>118</v>
      </c>
      <c r="AA193" s="21">
        <v>124</v>
      </c>
      <c r="AC193" s="62">
        <f t="shared" si="111"/>
        <v>490</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317</v>
      </c>
      <c r="C196" s="173"/>
      <c r="D196" s="173"/>
      <c r="E196" s="173"/>
      <c r="F196" s="173"/>
      <c r="G196" s="173"/>
      <c r="H196" s="173"/>
      <c r="I196" s="173"/>
      <c r="J196" s="173"/>
      <c r="K196" s="173"/>
      <c r="L196" s="173"/>
      <c r="M196" s="173"/>
      <c r="N196" s="173"/>
      <c r="O196" s="173"/>
      <c r="P196" s="173"/>
      <c r="Q196" s="173"/>
      <c r="T196" s="173"/>
      <c r="U196" s="173"/>
      <c r="V196" s="173"/>
      <c r="W196" s="173"/>
      <c r="X196" s="173"/>
      <c r="Y196" s="173"/>
      <c r="Z196" s="173"/>
      <c r="AA196" s="173"/>
      <c r="AC196" s="173"/>
    </row>
    <row r="197" spans="2:29" x14ac:dyDescent="0.2">
      <c r="B197" s="20" t="s">
        <v>388</v>
      </c>
      <c r="C197" s="81"/>
      <c r="D197" s="81"/>
      <c r="E197" s="81"/>
      <c r="F197" s="81"/>
      <c r="G197" s="81"/>
      <c r="H197" s="81"/>
      <c r="I197" s="81"/>
      <c r="J197" s="81"/>
      <c r="K197" s="81"/>
      <c r="L197" s="81"/>
      <c r="M197" s="81">
        <f t="shared" ref="M197:Q199" si="112">IF(L187=0,
IF(M187=0,0,IF(M187&gt;0,1,-1)),
(M187-L187)/ABS(L187)
)</f>
        <v>1</v>
      </c>
      <c r="N197" s="81">
        <f t="shared" si="112"/>
        <v>0.1245453921635902</v>
      </c>
      <c r="O197" s="81">
        <f t="shared" si="112"/>
        <v>0.11569441054430071</v>
      </c>
      <c r="P197" s="81">
        <f t="shared" si="112"/>
        <v>0.12234740756945964</v>
      </c>
      <c r="Q197" s="81">
        <f t="shared" si="112"/>
        <v>0.11612494517811023</v>
      </c>
      <c r="T197" s="81">
        <f t="shared" ref="T197:AA199" si="113">IF(S187=0,
IF(T187=0,0,IF(T187&gt;0,1,-1)),
(T187-S187)/ABS(S187)
)</f>
        <v>1</v>
      </c>
      <c r="U197" s="81">
        <f t="shared" si="113"/>
        <v>3.5714285714285712E-2</v>
      </c>
      <c r="V197" s="81">
        <f t="shared" si="113"/>
        <v>2.1994408201304754E-2</v>
      </c>
      <c r="W197" s="81">
        <f t="shared" si="113"/>
        <v>2.8816341418931243E-2</v>
      </c>
      <c r="X197" s="81">
        <f t="shared" si="113"/>
        <v>2.6591029959227089E-2</v>
      </c>
      <c r="Y197" s="81">
        <f t="shared" si="113"/>
        <v>3.4190986012778452E-2</v>
      </c>
      <c r="Z197" s="81">
        <f t="shared" si="113"/>
        <v>3.4897311738186679E-2</v>
      </c>
      <c r="AA197" s="81">
        <f t="shared" si="113"/>
        <v>3.5172636334301385E-2</v>
      </c>
      <c r="AC197" s="49"/>
    </row>
    <row r="198" spans="2:29" x14ac:dyDescent="0.2">
      <c r="B198" s="20" t="s">
        <v>389</v>
      </c>
      <c r="M198" s="81">
        <f t="shared" si="112"/>
        <v>1</v>
      </c>
      <c r="N198" s="81">
        <f t="shared" si="112"/>
        <v>-4.1441441441441441E-2</v>
      </c>
      <c r="O198" s="81">
        <f t="shared" si="112"/>
        <v>-0.13533834586466165</v>
      </c>
      <c r="P198" s="81">
        <f t="shared" si="112"/>
        <v>-0.16086956521739129</v>
      </c>
      <c r="Q198" s="81">
        <f t="shared" si="112"/>
        <v>-0.15803108808290156</v>
      </c>
      <c r="T198" s="81">
        <f t="shared" si="113"/>
        <v>1</v>
      </c>
      <c r="U198" s="81">
        <f t="shared" si="113"/>
        <v>-1.2195121951219513E-2</v>
      </c>
      <c r="V198" s="81">
        <f t="shared" si="113"/>
        <v>0.1728395061728395</v>
      </c>
      <c r="W198" s="81">
        <f t="shared" si="113"/>
        <v>-7.3684210526315783E-2</v>
      </c>
      <c r="X198" s="81">
        <f t="shared" si="113"/>
        <v>-0.22727272727272727</v>
      </c>
      <c r="Y198" s="81">
        <f t="shared" si="113"/>
        <v>8.8235294117647065E-2</v>
      </c>
      <c r="Z198" s="81">
        <f t="shared" si="113"/>
        <v>0.21621621621621623</v>
      </c>
      <c r="AA198" s="81">
        <f t="shared" si="113"/>
        <v>-1.1111111111111112E-2</v>
      </c>
      <c r="AC198" s="49"/>
    </row>
    <row r="199" spans="2:29" x14ac:dyDescent="0.2">
      <c r="B199" s="20" t="s">
        <v>390</v>
      </c>
      <c r="M199" s="81">
        <f t="shared" si="112"/>
        <v>1</v>
      </c>
      <c r="N199" s="81">
        <f t="shared" si="112"/>
        <v>4.4140030441400302E-2</v>
      </c>
      <c r="O199" s="81">
        <f t="shared" si="112"/>
        <v>-3.0612244897959183E-2</v>
      </c>
      <c r="P199" s="81">
        <f t="shared" si="112"/>
        <v>-0.10075187969924812</v>
      </c>
      <c r="Q199" s="81">
        <f t="shared" si="112"/>
        <v>-9.6989966555183951E-2</v>
      </c>
      <c r="T199" s="81">
        <f t="shared" si="113"/>
        <v>1</v>
      </c>
      <c r="U199" s="81">
        <f t="shared" si="113"/>
        <v>9.5890410958904104E-2</v>
      </c>
      <c r="V199" s="81">
        <f t="shared" si="113"/>
        <v>-0.15</v>
      </c>
      <c r="W199" s="81">
        <f t="shared" si="113"/>
        <v>5.8823529411764705E-2</v>
      </c>
      <c r="X199" s="81">
        <f t="shared" si="113"/>
        <v>-0.10416666666666667</v>
      </c>
      <c r="Y199" s="81">
        <f t="shared" si="113"/>
        <v>1.5503875968992248E-2</v>
      </c>
      <c r="Z199" s="81">
        <f t="shared" si="113"/>
        <v>-0.16030534351145037</v>
      </c>
      <c r="AA199" s="81">
        <f t="shared" si="113"/>
        <v>2.7272727272727271E-2</v>
      </c>
      <c r="AC199" s="49"/>
    </row>
    <row r="201" spans="2:29" x14ac:dyDescent="0.2">
      <c r="B201" s="1"/>
    </row>
    <row r="202" spans="2:29" ht="17" thickBot="1" x14ac:dyDescent="0.25">
      <c r="B202" s="14" t="s">
        <v>318</v>
      </c>
      <c r="C202" s="173"/>
      <c r="D202" s="173"/>
      <c r="E202" s="173"/>
      <c r="F202" s="173"/>
      <c r="G202" s="173"/>
      <c r="H202" s="173"/>
      <c r="I202" s="173"/>
      <c r="J202" s="173"/>
      <c r="K202" s="173"/>
      <c r="L202" s="173"/>
      <c r="M202" s="173"/>
      <c r="N202" s="173"/>
      <c r="O202" s="173"/>
      <c r="P202" s="173"/>
      <c r="Q202" s="173"/>
      <c r="T202" s="173"/>
      <c r="U202" s="173"/>
      <c r="V202" s="173"/>
      <c r="W202" s="173"/>
      <c r="X202" s="173"/>
      <c r="Y202" s="173"/>
      <c r="Z202" s="173"/>
      <c r="AA202" s="173"/>
      <c r="AC202" s="173"/>
    </row>
    <row r="203" spans="2:29" x14ac:dyDescent="0.2">
      <c r="B203" s="20" t="s">
        <v>290</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361</v>
      </c>
      <c r="C206" s="173"/>
      <c r="D206" s="173"/>
      <c r="E206" s="173"/>
      <c r="F206" s="173"/>
      <c r="G206" s="173"/>
      <c r="H206" s="173"/>
      <c r="I206" s="173"/>
      <c r="J206" s="173"/>
      <c r="K206" s="173"/>
      <c r="L206" s="173"/>
      <c r="M206" s="173"/>
      <c r="N206" s="173"/>
      <c r="O206" s="173"/>
      <c r="P206" s="173"/>
      <c r="Q206" s="173"/>
      <c r="T206" s="173"/>
      <c r="U206" s="173"/>
      <c r="V206" s="173"/>
      <c r="W206" s="173"/>
      <c r="X206" s="173"/>
      <c r="Y206" s="173"/>
      <c r="Z206" s="173"/>
      <c r="AA206" s="173"/>
      <c r="AC206" s="173"/>
    </row>
    <row r="207" spans="2:29" x14ac:dyDescent="0.2">
      <c r="B207" s="20" t="s">
        <v>362</v>
      </c>
      <c r="M207" s="145">
        <v>100</v>
      </c>
      <c r="N207" s="145">
        <f>100*(1+((N117-$M117)/ABS($M117)))</f>
        <v>51.215990950765026</v>
      </c>
      <c r="O207" s="145">
        <f t="shared" ref="O207:Q207" si="114">100*(1+((O117-$M117)/ABS($M117)))</f>
        <v>90.940346490444725</v>
      </c>
      <c r="P207" s="145">
        <f t="shared" si="114"/>
        <v>76.483895933797697</v>
      </c>
      <c r="Q207" s="145">
        <f t="shared" si="114"/>
        <v>47.258439006965524</v>
      </c>
      <c r="T207" s="49"/>
      <c r="U207" s="49"/>
      <c r="V207" s="49"/>
      <c r="W207" s="49"/>
      <c r="X207" s="49"/>
      <c r="Y207" s="49"/>
      <c r="Z207" s="49"/>
      <c r="AA207" s="49"/>
      <c r="AC207" s="49"/>
    </row>
    <row r="208" spans="2:29" x14ac:dyDescent="0.2">
      <c r="B208" s="20" t="s">
        <v>363</v>
      </c>
      <c r="M208" s="145">
        <v>100</v>
      </c>
      <c r="N208" s="145">
        <f>100*(1+((N5-$M5)/ABS($M5)))</f>
        <v>111.53626860943935</v>
      </c>
      <c r="O208" s="145">
        <f t="shared" ref="O208:Q208" si="115">100*(1+((O5-$M5)/ABS($M5)))</f>
        <v>122.95850490972443</v>
      </c>
      <c r="P208" s="145">
        <f t="shared" si="115"/>
        <v>136.23693379790942</v>
      </c>
      <c r="Q208" s="145">
        <f t="shared" si="115"/>
        <v>150.57966423820082</v>
      </c>
      <c r="T208" s="49"/>
      <c r="U208" s="49"/>
      <c r="V208" s="49"/>
      <c r="W208" s="49"/>
      <c r="X208" s="49"/>
      <c r="Y208" s="49"/>
      <c r="Z208" s="49"/>
      <c r="AA208" s="49"/>
      <c r="AC208" s="49"/>
    </row>
    <row r="209" spans="1:31" x14ac:dyDescent="0.2">
      <c r="B209" s="20" t="s">
        <v>364</v>
      </c>
      <c r="M209" s="145">
        <v>100</v>
      </c>
      <c r="N209" s="145">
        <f>100*(1+((N26-$M26)/ABS($M26)))</f>
        <v>100.79840319361277</v>
      </c>
      <c r="O209" s="145">
        <f t="shared" ref="O209:Q209" si="116">100*(1+((O26-$M26)/ABS($M26)))</f>
        <v>117.96407185628743</v>
      </c>
      <c r="P209" s="145">
        <f t="shared" si="116"/>
        <v>145.4868041694389</v>
      </c>
      <c r="Q209" s="145">
        <f t="shared" si="116"/>
        <v>166.66666666666666</v>
      </c>
      <c r="T209" s="49"/>
      <c r="U209" s="49"/>
      <c r="V209" s="49"/>
      <c r="W209" s="49"/>
      <c r="X209" s="49"/>
      <c r="Y209" s="49"/>
      <c r="Z209" s="49"/>
      <c r="AA209" s="49"/>
      <c r="AC209" s="49"/>
    </row>
    <row r="211" spans="1:31" x14ac:dyDescent="0.2">
      <c r="B211" s="1"/>
    </row>
    <row r="212" spans="1:31" s="15" customFormat="1" ht="17" thickBot="1" x14ac:dyDescent="0.25">
      <c r="A212" s="11"/>
      <c r="B212" s="14" t="s">
        <v>111</v>
      </c>
      <c r="R212" s="1"/>
      <c r="S212" s="1"/>
      <c r="AB212" s="1"/>
      <c r="AD212" s="1"/>
      <c r="AE212" s="1"/>
    </row>
    <row r="213" spans="1:31" x14ac:dyDescent="0.2">
      <c r="C213" s="62"/>
      <c r="D213" s="62"/>
      <c r="E213" s="62"/>
      <c r="F213" s="62"/>
      <c r="G213" s="62"/>
      <c r="H213" s="62"/>
      <c r="I213" s="62"/>
      <c r="J213" s="62"/>
      <c r="K213" s="62"/>
      <c r="L213" s="62"/>
      <c r="M213" s="62"/>
      <c r="N213" s="62"/>
      <c r="O213" s="62"/>
      <c r="P213" s="62"/>
      <c r="Q213" s="62"/>
      <c r="T213" s="62"/>
      <c r="U213" s="62"/>
      <c r="V213" s="62"/>
      <c r="W213" s="62"/>
      <c r="X213" s="62"/>
      <c r="Y213" s="62"/>
      <c r="Z213" s="62"/>
      <c r="AA213" s="62"/>
      <c r="AC213" s="62"/>
    </row>
    <row r="214" spans="1:31" x14ac:dyDescent="0.2">
      <c r="B214"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10" zoomScale="173" workbookViewId="0">
      <selection activeCell="C10" sqref="C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280</v>
      </c>
    </row>
    <row r="4" spans="2:7" x14ac:dyDescent="0.2">
      <c r="B4" s="232" t="s">
        <v>239</v>
      </c>
      <c r="C4" s="232"/>
      <c r="E4" s="232" t="s">
        <v>246</v>
      </c>
      <c r="F4" s="232"/>
      <c r="G4" s="232"/>
    </row>
    <row r="5" spans="2:7" x14ac:dyDescent="0.2">
      <c r="B5" s="20" t="s">
        <v>1</v>
      </c>
      <c r="C5" s="174">
        <f ca="1">Overview!C5</f>
        <v>195.16</v>
      </c>
      <c r="E5" s="12"/>
      <c r="F5" s="134" t="s">
        <v>247</v>
      </c>
      <c r="G5" s="134" t="s">
        <v>248</v>
      </c>
    </row>
    <row r="6" spans="2:7" x14ac:dyDescent="0.2">
      <c r="B6" s="20" t="s">
        <v>245</v>
      </c>
      <c r="C6" s="175">
        <f ca="1">Statement!AC153</f>
        <v>77673.679999999993</v>
      </c>
      <c r="E6" s="20" t="s">
        <v>19</v>
      </c>
      <c r="F6" s="180">
        <f>IF(Statement!M5&lt;=0,"N/A",_xlfn.RRI(4,Statement!M5,Statement!Q5))</f>
        <v>0.10774954699996808</v>
      </c>
      <c r="G6" s="180" t="str">
        <f>IF(Statement!H5&lt;=0,"N/A",_xlfn.RRI(9,Statement!H5,Statement!Q5))</f>
        <v>N/A</v>
      </c>
    </row>
    <row r="7" spans="2:7" x14ac:dyDescent="0.2">
      <c r="B7" s="20" t="s">
        <v>189</v>
      </c>
      <c r="C7" s="175">
        <f ca="1">Statement!AC154</f>
        <v>78692.679999999993</v>
      </c>
      <c r="E7" s="20" t="s">
        <v>31</v>
      </c>
      <c r="F7" s="180">
        <f>IF(OR(Statement!M18&lt;=0, Statement!Q18&lt;=0), "N/A", _xlfn.RRI(4, Statement!M18, Statement!Q18))</f>
        <v>0.10272083668849241</v>
      </c>
      <c r="G7" s="180" t="str">
        <f>IF(OR(Statement!H18&lt;=0, Statement!Q18&lt;=0), "N/A", _xlfn.RRI(9, Statement!H18, Statement!Q18))</f>
        <v>N/A</v>
      </c>
    </row>
    <row r="8" spans="2:7" x14ac:dyDescent="0.2">
      <c r="B8" s="20" t="s">
        <v>243</v>
      </c>
      <c r="C8" s="176">
        <f ca="1">Statement!AC150</f>
        <v>11.16475972540046</v>
      </c>
      <c r="E8" s="20" t="s">
        <v>249</v>
      </c>
      <c r="F8" s="180">
        <f>IF(OR(Statement!M26&lt;=0, Statement!Q26&lt;=0), "N/A", _xlfn.RRI(4, Statement!M26, Statement!Q26))</f>
        <v>0.13621936646749933</v>
      </c>
      <c r="G8" s="180" t="str">
        <f>IF(OR(Statement!H26&lt;=0, Statement!Q26&lt;=0), "N/A", _xlfn.RRI(9, Statement!H26, Statement!Q26))</f>
        <v>N/A</v>
      </c>
    </row>
    <row r="9" spans="2:7" x14ac:dyDescent="0.2">
      <c r="B9" s="20" t="s">
        <v>202</v>
      </c>
      <c r="C9" s="176">
        <f ca="1">Statement!AC151</f>
        <v>3.2025819509484879</v>
      </c>
      <c r="E9" s="20" t="s">
        <v>250</v>
      </c>
      <c r="F9" s="180" t="str">
        <f>IF(Statement!M82&lt;=0,"N/A",_xlfn.RRI(4,Statement!M82,Statement!Q82))</f>
        <v>N/A</v>
      </c>
      <c r="G9" s="180" t="str">
        <f>IF(Statement!H82&lt;=0,"N/A",_xlfn.RRI(9,Statement!H82,Statement!Q82))</f>
        <v>N/A</v>
      </c>
    </row>
    <row r="10" spans="2:7" x14ac:dyDescent="0.2">
      <c r="B10" s="20" t="s">
        <v>244</v>
      </c>
      <c r="C10" s="176">
        <f ca="1">Statement!AC152</f>
        <v>6.7436777218267059</v>
      </c>
      <c r="E10" s="20" t="s">
        <v>1</v>
      </c>
      <c r="F10" s="180">
        <f>IF(Statement!M117&lt;=0,"N/A",_xlfn.RRI(4,Statement!M117,Statement!Q117))</f>
        <v>-0.17087531923966282</v>
      </c>
      <c r="G10" s="180" t="str">
        <f>IF(Statement!H117&lt;=0,"N/A",_xlfn.RRI(9,Statement!H117,Statement!Q117))</f>
        <v>N/A</v>
      </c>
    </row>
    <row r="11" spans="2:7" x14ac:dyDescent="0.2">
      <c r="B11" s="20" t="s">
        <v>266</v>
      </c>
      <c r="C11" s="176">
        <f ca="1">Statement!AC155</f>
        <v>3.1229732518453841</v>
      </c>
    </row>
    <row r="12" spans="2:7" x14ac:dyDescent="0.2">
      <c r="B12" s="20" t="s">
        <v>205</v>
      </c>
      <c r="C12" s="176">
        <f ca="1">Statement!AC156</f>
        <v>8.6570605060506036</v>
      </c>
    </row>
    <row r="15" spans="2:7" x14ac:dyDescent="0.2">
      <c r="B15" s="232" t="s">
        <v>77</v>
      </c>
      <c r="C15" s="232"/>
      <c r="E15" s="232" t="s">
        <v>252</v>
      </c>
      <c r="F15" s="232"/>
    </row>
    <row r="16" spans="2:7" x14ac:dyDescent="0.2">
      <c r="B16" s="20" t="s">
        <v>78</v>
      </c>
      <c r="C16" s="177">
        <f>Statement!AC101</f>
        <v>0.8940392094610683</v>
      </c>
      <c r="E16" s="20" t="s">
        <v>31</v>
      </c>
      <c r="F16" s="175">
        <f>Statement!AC18</f>
        <v>7229</v>
      </c>
    </row>
    <row r="17" spans="2:6" x14ac:dyDescent="0.2">
      <c r="B17" s="20" t="s">
        <v>79</v>
      </c>
      <c r="C17" s="177">
        <f>Statement!AC102</f>
        <v>0.36074291610445275</v>
      </c>
      <c r="E17" s="20" t="s">
        <v>253</v>
      </c>
      <c r="F17" s="175">
        <f>Statement!AC59</f>
        <v>10481</v>
      </c>
    </row>
    <row r="18" spans="2:6" x14ac:dyDescent="0.2">
      <c r="B18" s="20" t="s">
        <v>80</v>
      </c>
      <c r="C18" s="177">
        <f>Statement!AC103</f>
        <v>0.28688784824192398</v>
      </c>
      <c r="E18" s="20" t="s">
        <v>260</v>
      </c>
      <c r="F18" s="179">
        <f>IF(OR(F16&lt;=0, F17&lt;=0),"N/A",F16-F17)</f>
        <v>-3252</v>
      </c>
    </row>
    <row r="21" spans="2:6" x14ac:dyDescent="0.2">
      <c r="B21" s="232" t="s">
        <v>251</v>
      </c>
      <c r="C21" s="232"/>
      <c r="E21" s="232" t="s">
        <v>255</v>
      </c>
      <c r="F21" s="232"/>
    </row>
    <row r="22" spans="2:6" x14ac:dyDescent="0.2">
      <c r="B22" s="20" t="s">
        <v>101</v>
      </c>
      <c r="C22" s="177">
        <f>Statement!AC121</f>
        <v>0.28688784824192398</v>
      </c>
      <c r="E22" s="20" t="s">
        <v>103</v>
      </c>
      <c r="F22" s="177">
        <f>C24</f>
        <v>0.24150603013396588</v>
      </c>
    </row>
    <row r="23" spans="2:6" x14ac:dyDescent="0.2">
      <c r="B23" s="20" t="s">
        <v>102</v>
      </c>
      <c r="C23" s="176">
        <f>Statement!AC122</f>
        <v>0.8418133832225303</v>
      </c>
      <c r="E23" s="20" t="s">
        <v>105</v>
      </c>
      <c r="F23" s="177">
        <f>C26</f>
        <v>0.62762632401458585</v>
      </c>
    </row>
    <row r="24" spans="2:6" x14ac:dyDescent="0.2">
      <c r="B24" s="32" t="s">
        <v>103</v>
      </c>
      <c r="C24" s="178">
        <f>Statement!AC123</f>
        <v>0.24150603013396588</v>
      </c>
      <c r="E24" s="20" t="s">
        <v>106</v>
      </c>
      <c r="F24" s="177">
        <f>Statement!AC140</f>
        <v>0.5752841854820302</v>
      </c>
    </row>
    <row r="25" spans="2:6" x14ac:dyDescent="0.2">
      <c r="B25" s="20" t="s">
        <v>104</v>
      </c>
      <c r="C25" s="176">
        <f>Statement!AC124</f>
        <v>2.5988018753255773</v>
      </c>
    </row>
    <row r="26" spans="2:6" x14ac:dyDescent="0.2">
      <c r="B26" s="32" t="s">
        <v>105</v>
      </c>
      <c r="C26" s="178">
        <f>Statement!AC125</f>
        <v>0.62762632401458585</v>
      </c>
    </row>
    <row r="29" spans="2:6" x14ac:dyDescent="0.2">
      <c r="B29" s="232" t="s">
        <v>256</v>
      </c>
      <c r="C29" s="232"/>
      <c r="E29" s="232" t="s">
        <v>262</v>
      </c>
      <c r="F29" s="232"/>
    </row>
    <row r="30" spans="2:6" x14ac:dyDescent="0.2">
      <c r="B30" s="20" t="s">
        <v>140</v>
      </c>
      <c r="C30" s="176">
        <f>Statement!AC141</f>
        <v>28.869156282244624</v>
      </c>
      <c r="E30" s="20" t="s">
        <v>263</v>
      </c>
      <c r="F30" s="182">
        <f>Statement!AC145</f>
        <v>0.57692307692307687</v>
      </c>
    </row>
    <row r="31" spans="2:6" x14ac:dyDescent="0.2">
      <c r="B31" s="20" t="s">
        <v>141</v>
      </c>
      <c r="C31" s="176">
        <f>Statement!AC142</f>
        <v>0</v>
      </c>
      <c r="E31" s="20" t="s">
        <v>264</v>
      </c>
      <c r="F31" s="182">
        <f>Statement!AC146</f>
        <v>8.8470220524396598E-2</v>
      </c>
    </row>
    <row r="32" spans="2:6" x14ac:dyDescent="0.2">
      <c r="B32" s="20" t="s">
        <v>142</v>
      </c>
      <c r="C32" s="176">
        <f>Statement!AC143</f>
        <v>68.215355805243448</v>
      </c>
      <c r="E32" s="20" t="s">
        <v>259</v>
      </c>
      <c r="F32" s="182">
        <f>Statement!AC148</f>
        <v>0.75078655406524264</v>
      </c>
    </row>
    <row r="33" spans="2:6" x14ac:dyDescent="0.2">
      <c r="B33" s="20" t="s">
        <v>143</v>
      </c>
      <c r="C33" s="176">
        <f>Statement!AC144</f>
        <v>-39.346199522998823</v>
      </c>
      <c r="E33" s="20" t="s">
        <v>258</v>
      </c>
      <c r="F33" s="182">
        <f>Statement!AC147</f>
        <v>0.63081636032455701</v>
      </c>
    </row>
    <row r="34" spans="2:6" x14ac:dyDescent="0.2">
      <c r="E34" s="20" t="s">
        <v>265</v>
      </c>
      <c r="F34" s="184">
        <f>Statement!AC149</f>
        <v>34.827586206896555</v>
      </c>
    </row>
    <row r="37" spans="2:6" x14ac:dyDescent="0.2">
      <c r="B37" s="232" t="s">
        <v>274</v>
      </c>
      <c r="C37" s="232"/>
      <c r="E37" s="232" t="s">
        <v>277</v>
      </c>
      <c r="F37" s="232"/>
    </row>
    <row r="38" spans="2:6" x14ac:dyDescent="0.2">
      <c r="B38" s="20" t="s">
        <v>272</v>
      </c>
      <c r="C38" s="177">
        <f ca="1">Statement!AC162</f>
        <v>8.9567534330805484E-2</v>
      </c>
      <c r="E38" s="20" t="s">
        <v>276</v>
      </c>
      <c r="F38" s="177">
        <f>Statement!AC168</f>
        <v>0</v>
      </c>
    </row>
    <row r="39" spans="2:6" x14ac:dyDescent="0.2">
      <c r="B39" s="54" t="s">
        <v>275</v>
      </c>
      <c r="C39" s="217">
        <f ca="1">Statement!AC161</f>
        <v>0.10529950428510662</v>
      </c>
      <c r="E39" s="20" t="s">
        <v>278</v>
      </c>
      <c r="F39" s="177">
        <f>Statement!AC169</f>
        <v>1.1150507396992297</v>
      </c>
    </row>
    <row r="40" spans="2:6" x14ac:dyDescent="0.2">
      <c r="B40" s="20" t="s">
        <v>273</v>
      </c>
      <c r="C40" s="177">
        <f ca="1">Statement!AC163</f>
        <v>0</v>
      </c>
      <c r="E40" s="20" t="s">
        <v>279</v>
      </c>
      <c r="F40" s="177">
        <f>Statement!AC170</f>
        <v>1.1150507396992297</v>
      </c>
    </row>
    <row r="41" spans="2:6" x14ac:dyDescent="0.2">
      <c r="B41" s="20" t="s">
        <v>298</v>
      </c>
      <c r="C41" s="177">
        <f ca="1">Statement!AC164</f>
        <v>0.11741429014307035</v>
      </c>
    </row>
    <row r="42" spans="2:6" x14ac:dyDescent="0.2">
      <c r="B42" s="20" t="s">
        <v>300</v>
      </c>
      <c r="C42" s="177">
        <f ca="1">Statement!AC165</f>
        <v>0.11741429014307035</v>
      </c>
    </row>
    <row r="45" spans="2:6" x14ac:dyDescent="0.2">
      <c r="B45" s="232" t="s">
        <v>285</v>
      </c>
      <c r="C45" s="232"/>
      <c r="E45" s="232" t="s">
        <v>291</v>
      </c>
      <c r="F45" s="232"/>
    </row>
    <row r="46" spans="2:6" x14ac:dyDescent="0.2">
      <c r="B46" s="20" t="s">
        <v>283</v>
      </c>
      <c r="C46" s="177">
        <f>Statement!AC171</f>
        <v>2.5125628140703518E-3</v>
      </c>
      <c r="E46" s="20" t="s">
        <v>284</v>
      </c>
      <c r="F46" s="176">
        <f>Statement!AC172</f>
        <v>14.135678391959798</v>
      </c>
    </row>
    <row r="47" spans="2:6" x14ac:dyDescent="0.2">
      <c r="E47" s="20" t="s">
        <v>292</v>
      </c>
      <c r="F47" s="176">
        <f>Statement!AC175</f>
        <v>-2.5603015075376883</v>
      </c>
    </row>
    <row r="48" spans="2:6" x14ac:dyDescent="0.2">
      <c r="E48" s="20" t="s">
        <v>297</v>
      </c>
      <c r="F48" s="177">
        <f ca="1">Statement!AC176</f>
        <v>-1.311898702366104E-2</v>
      </c>
    </row>
    <row r="51" spans="2:6" x14ac:dyDescent="0.2">
      <c r="B51" s="232" t="s">
        <v>288</v>
      </c>
      <c r="C51" s="232"/>
      <c r="E51" s="232" t="s">
        <v>309</v>
      </c>
      <c r="F51" s="232"/>
    </row>
    <row r="52" spans="2:6" x14ac:dyDescent="0.2">
      <c r="B52" s="20" t="s">
        <v>286</v>
      </c>
      <c r="C52" s="177">
        <f>Statement!AC173</f>
        <v>0.19358839805362082</v>
      </c>
      <c r="E52" s="20" t="s">
        <v>310</v>
      </c>
      <c r="F52" s="177">
        <f>Statement!AC177</f>
        <v>1.0834193189935708E-2</v>
      </c>
    </row>
    <row r="53" spans="2:6" x14ac:dyDescent="0.2">
      <c r="B53" s="20" t="s">
        <v>287</v>
      </c>
      <c r="C53" s="177">
        <f>Statement!AC174</f>
        <v>8.0522263671719982E-2</v>
      </c>
      <c r="E53" s="20" t="s">
        <v>307</v>
      </c>
      <c r="F53" s="177">
        <f>Statement!AC178</f>
        <v>2.6047132907165347E-2</v>
      </c>
    </row>
    <row r="54" spans="2:6" x14ac:dyDescent="0.2">
      <c r="E54" s="20" t="s">
        <v>308</v>
      </c>
      <c r="F54" s="177">
        <f>Statement!AC179</f>
        <v>0.35968379446640314</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5" activePane="bottomRight" state="frozen"/>
      <selection pane="topRight" activeCell="C1" sqref="C1"/>
      <selection pane="bottomLeft" activeCell="A4" sqref="A4"/>
      <selection pane="bottomRight" activeCell="B91" sqref="B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03.12.2021</v>
      </c>
      <c r="D2" s="10" t="str">
        <f>Statement!N2</f>
        <v>02.12.2022</v>
      </c>
      <c r="E2" s="10" t="str">
        <f>Statement!O2</f>
        <v>01.12.2023</v>
      </c>
      <c r="F2" s="10" t="str">
        <f>Statement!P2</f>
        <v>29.11.2024</v>
      </c>
      <c r="G2" s="10" t="str">
        <f>Statement!Q2</f>
        <v>28.11.2025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239</v>
      </c>
      <c r="C5" s="14"/>
      <c r="D5" s="14"/>
      <c r="E5" s="14"/>
      <c r="F5" s="14"/>
      <c r="G5" s="14"/>
      <c r="I5" s="14"/>
    </row>
    <row r="6" spans="2:9" x14ac:dyDescent="0.2">
      <c r="B6" s="20" t="s">
        <v>1</v>
      </c>
      <c r="C6" s="174">
        <f>Statement!M116</f>
        <v>671.88</v>
      </c>
      <c r="D6" s="174">
        <f>Statement!N116</f>
        <v>344.11</v>
      </c>
      <c r="E6" s="174">
        <f>Statement!O116</f>
        <v>611.01</v>
      </c>
      <c r="F6" s="174">
        <f>Statement!P116</f>
        <v>513.88</v>
      </c>
      <c r="G6" s="174">
        <f>Statement!Q116</f>
        <v>317.52</v>
      </c>
      <c r="I6" s="174">
        <f ca="1">Statement!AC116</f>
        <v>195.16</v>
      </c>
    </row>
    <row r="7" spans="2:9" x14ac:dyDescent="0.2">
      <c r="B7" s="20" t="s">
        <v>245</v>
      </c>
      <c r="C7" s="175">
        <f>Statement!M153</f>
        <v>319814.88</v>
      </c>
      <c r="D7" s="175">
        <f>Statement!N153</f>
        <v>157946.49000000002</v>
      </c>
      <c r="E7" s="175">
        <f>Statement!O153</f>
        <v>277398.53999999998</v>
      </c>
      <c r="F7" s="175">
        <f>Statement!P153</f>
        <v>225079.44</v>
      </c>
      <c r="G7" s="175">
        <f>Statement!Q153</f>
        <v>130818.23999999999</v>
      </c>
      <c r="I7" s="175">
        <f ca="1">Statement!AC153</f>
        <v>77673.679999999993</v>
      </c>
    </row>
    <row r="8" spans="2:9" x14ac:dyDescent="0.2">
      <c r="B8" s="20" t="s">
        <v>189</v>
      </c>
      <c r="C8" s="175">
        <f>Statement!M154</f>
        <v>318139.88</v>
      </c>
      <c r="D8" s="175">
        <f>Statement!N154</f>
        <v>155979.49000000002</v>
      </c>
      <c r="E8" s="175">
        <f>Statement!O154</f>
        <v>273190.53999999998</v>
      </c>
      <c r="F8" s="175">
        <f>Statement!P154</f>
        <v>222821.44</v>
      </c>
      <c r="G8" s="175">
        <f>Statement!Q154</f>
        <v>130433.23999999999</v>
      </c>
      <c r="I8" s="175">
        <f ca="1">Statement!AC154</f>
        <v>78692.679999999993</v>
      </c>
    </row>
    <row r="9" spans="2:9" x14ac:dyDescent="0.2">
      <c r="B9" s="20" t="s">
        <v>243</v>
      </c>
      <c r="C9" s="176">
        <f>Statement!M150</f>
        <v>67.053892215568865</v>
      </c>
      <c r="D9" s="176">
        <f>Statement!N150</f>
        <v>34.070297029702971</v>
      </c>
      <c r="E9" s="176">
        <f>Statement!O150</f>
        <v>51.692893401015226</v>
      </c>
      <c r="F9" s="176">
        <f>Statement!P150</f>
        <v>35.250914634146341</v>
      </c>
      <c r="G9" s="176">
        <f>Statement!Q150</f>
        <v>19.013173652694611</v>
      </c>
      <c r="I9" s="176">
        <f ca="1">Statement!AC150</f>
        <v>11.16475972540046</v>
      </c>
    </row>
    <row r="10" spans="2:9" x14ac:dyDescent="0.2">
      <c r="B10" s="20" t="s">
        <v>202</v>
      </c>
      <c r="C10" s="176">
        <f>Statement!M151</f>
        <v>20.473505226480839</v>
      </c>
      <c r="D10" s="176">
        <f>Statement!N151</f>
        <v>9.2057145291377935</v>
      </c>
      <c r="E10" s="176">
        <f>Statement!O151</f>
        <v>14.449667164717399</v>
      </c>
      <c r="F10" s="176">
        <f>Statement!P151</f>
        <v>10.753127179725645</v>
      </c>
      <c r="G10" s="176">
        <f>Statement!Q151</f>
        <v>5.7041120787580457</v>
      </c>
      <c r="I10" s="176">
        <f ca="1">Statement!AC151</f>
        <v>3.2025819509484879</v>
      </c>
    </row>
    <row r="11" spans="2:9" x14ac:dyDescent="0.2">
      <c r="B11" s="20" t="s">
        <v>244</v>
      </c>
      <c r="C11" s="176">
        <f>Statement!M152</f>
        <v>21.431868622017976</v>
      </c>
      <c r="D11" s="176">
        <f>Statement!N152</f>
        <v>11.216452921500249</v>
      </c>
      <c r="E11" s="176">
        <f>Statement!O152</f>
        <v>16.719731202324734</v>
      </c>
      <c r="F11" s="176">
        <f>Statement!P152</f>
        <v>15.848124778447358</v>
      </c>
      <c r="G11" s="176">
        <f>Statement!Q152</f>
        <v>11.227800051621784</v>
      </c>
      <c r="I11" s="176">
        <f ca="1">Statement!AC152</f>
        <v>6.7436777218267059</v>
      </c>
    </row>
    <row r="12" spans="2:9" x14ac:dyDescent="0.2">
      <c r="B12" s="20" t="s">
        <v>266</v>
      </c>
      <c r="C12" s="176">
        <f>Statement!M155</f>
        <v>20.154569528032944</v>
      </c>
      <c r="D12" s="176">
        <f>Statement!N155</f>
        <v>8.8594507554242892</v>
      </c>
      <c r="E12" s="176">
        <f>Statement!O155</f>
        <v>14.075456746870008</v>
      </c>
      <c r="F12" s="176">
        <f>Statement!P155</f>
        <v>10.361378284119972</v>
      </c>
      <c r="G12" s="176">
        <f>Statement!Q155</f>
        <v>5.4875358660440066</v>
      </c>
      <c r="I12" s="176">
        <f ca="1">Statement!AC155</f>
        <v>3.1229732518453841</v>
      </c>
    </row>
    <row r="13" spans="2:9" x14ac:dyDescent="0.2">
      <c r="B13" s="20" t="s">
        <v>205</v>
      </c>
      <c r="C13" s="176">
        <f>Statement!M156</f>
        <v>54.83279558772837</v>
      </c>
      <c r="D13" s="176">
        <f>Statement!N156</f>
        <v>25.578794686782555</v>
      </c>
      <c r="E13" s="176">
        <f>Statement!O156</f>
        <v>41.081284210526313</v>
      </c>
      <c r="F13" s="176">
        <f>Statement!P156</f>
        <v>33.054656579142559</v>
      </c>
      <c r="G13" s="176">
        <f>Statement!Q156</f>
        <v>14.98199402710774</v>
      </c>
      <c r="I13" s="176">
        <f ca="1">Statement!AC156</f>
        <v>8.6570605060506036</v>
      </c>
    </row>
    <row r="15" spans="2:9" ht="17" thickBot="1" x14ac:dyDescent="0.25">
      <c r="B15" s="14" t="s">
        <v>77</v>
      </c>
      <c r="C15" s="14"/>
      <c r="D15" s="14"/>
      <c r="E15" s="14"/>
      <c r="F15" s="14"/>
      <c r="G15" s="14"/>
      <c r="I15" s="14"/>
    </row>
    <row r="16" spans="2:9" x14ac:dyDescent="0.2">
      <c r="B16" s="20" t="s">
        <v>78</v>
      </c>
      <c r="C16" s="177">
        <f>Statement!M101</f>
        <v>0.88184985745961353</v>
      </c>
      <c r="D16" s="177">
        <f>Statement!N101</f>
        <v>0.87703055776439853</v>
      </c>
      <c r="E16" s="177">
        <f>Statement!O101</f>
        <v>0.87871605955999799</v>
      </c>
      <c r="F16" s="177">
        <f>Statement!P101</f>
        <v>0.89035108114392003</v>
      </c>
      <c r="G16" s="177">
        <f>Statement!Q101</f>
        <v>0.89267533341747651</v>
      </c>
      <c r="I16" s="177">
        <f>Statement!AC101</f>
        <v>0.8940392094610683</v>
      </c>
    </row>
    <row r="17" spans="2:9" x14ac:dyDescent="0.2">
      <c r="B17" s="20" t="s">
        <v>79</v>
      </c>
      <c r="C17" s="177">
        <f>Statement!M102</f>
        <v>0.36756414317389929</v>
      </c>
      <c r="D17" s="177">
        <f>Statement!N102</f>
        <v>0.34635919572872886</v>
      </c>
      <c r="E17" s="177">
        <f>Statement!O102</f>
        <v>0.3426245556185275</v>
      </c>
      <c r="F17" s="177">
        <f>Statement!P102</f>
        <v>0.31346198558474775</v>
      </c>
      <c r="G17" s="177">
        <f>Statement!Q102</f>
        <v>0.36627540073204595</v>
      </c>
      <c r="I17" s="177">
        <f>Statement!AC102</f>
        <v>0.36074291610445275</v>
      </c>
    </row>
    <row r="18" spans="2:9" x14ac:dyDescent="0.2">
      <c r="B18" s="20" t="s">
        <v>80</v>
      </c>
      <c r="C18" s="177">
        <f>Statement!M103</f>
        <v>0.30547988596769082</v>
      </c>
      <c r="D18" s="177">
        <f>Statement!N103</f>
        <v>0.27013518118823127</v>
      </c>
      <c r="E18" s="177">
        <f>Statement!O103</f>
        <v>0.27966407336802512</v>
      </c>
      <c r="F18" s="177">
        <f>Statement!P103</f>
        <v>0.30504533829342012</v>
      </c>
      <c r="G18" s="177">
        <f>Statement!Q103</f>
        <v>0.29997054987588878</v>
      </c>
      <c r="I18" s="177">
        <f>Statement!AC103</f>
        <v>0.28688784824192398</v>
      </c>
    </row>
    <row r="20" spans="2:9" ht="17" thickBot="1" x14ac:dyDescent="0.25">
      <c r="B20" s="14" t="s">
        <v>252</v>
      </c>
      <c r="C20" s="14"/>
      <c r="D20" s="14"/>
      <c r="E20" s="14"/>
      <c r="F20" s="14"/>
      <c r="G20" s="14"/>
      <c r="I20" s="14"/>
    </row>
    <row r="21" spans="2:9" x14ac:dyDescent="0.2">
      <c r="B21" s="20" t="s">
        <v>31</v>
      </c>
      <c r="C21" s="179">
        <f>Statement!M18</f>
        <v>4822</v>
      </c>
      <c r="D21" s="179">
        <f>Statement!N18</f>
        <v>4756</v>
      </c>
      <c r="E21" s="179">
        <f>Statement!O18</f>
        <v>5428</v>
      </c>
      <c r="F21" s="179">
        <f>Statement!P18</f>
        <v>6560</v>
      </c>
      <c r="G21" s="179">
        <f>Statement!Q18</f>
        <v>7130</v>
      </c>
      <c r="I21" s="179">
        <f>Statement!AC18</f>
        <v>7229</v>
      </c>
    </row>
    <row r="22" spans="2:9" x14ac:dyDescent="0.2">
      <c r="B22" s="20" t="s">
        <v>253</v>
      </c>
      <c r="C22" s="179">
        <f>Statement!M59</f>
        <v>7230</v>
      </c>
      <c r="D22" s="179">
        <f>Statement!N59</f>
        <v>7838</v>
      </c>
      <c r="E22" s="179">
        <f>Statement!O59</f>
        <v>7302</v>
      </c>
      <c r="F22" s="179">
        <f>Statement!P59</f>
        <v>8056</v>
      </c>
      <c r="G22" s="179">
        <f>Statement!Q59</f>
        <v>10031</v>
      </c>
      <c r="I22" s="179">
        <f>Statement!AC59</f>
        <v>10481</v>
      </c>
    </row>
    <row r="23" spans="2:9" x14ac:dyDescent="0.2">
      <c r="B23" s="20" t="s">
        <v>260</v>
      </c>
      <c r="C23" s="197">
        <f>IF(OR(C21&lt;=0, C22&lt;=0),"N/A",C21-C22)</f>
        <v>-2408</v>
      </c>
      <c r="D23" s="197">
        <f t="shared" ref="D23:I23" si="0">IF(OR(D21&lt;=0, D22&lt;=0),"N/A",D21-D22)</f>
        <v>-3082</v>
      </c>
      <c r="E23" s="197">
        <f t="shared" si="0"/>
        <v>-1874</v>
      </c>
      <c r="F23" s="197">
        <f t="shared" si="0"/>
        <v>-1496</v>
      </c>
      <c r="G23" s="197">
        <f t="shared" si="0"/>
        <v>-2901</v>
      </c>
      <c r="I23" s="197">
        <f t="shared" si="0"/>
        <v>-3252</v>
      </c>
    </row>
    <row r="25" spans="2:9" ht="17" thickBot="1" x14ac:dyDescent="0.25">
      <c r="B25" s="14" t="s">
        <v>251</v>
      </c>
      <c r="C25" s="14"/>
      <c r="D25" s="14"/>
      <c r="E25" s="14"/>
      <c r="F25" s="14"/>
      <c r="G25" s="14"/>
      <c r="I25" s="14"/>
    </row>
    <row r="26" spans="2:9" x14ac:dyDescent="0.2">
      <c r="B26" s="20" t="s">
        <v>101</v>
      </c>
      <c r="C26" s="177">
        <f>Statement!M121</f>
        <v>0.30547988596769082</v>
      </c>
      <c r="D26" s="177">
        <f>Statement!N121</f>
        <v>0.27013518118823127</v>
      </c>
      <c r="E26" s="177">
        <f>Statement!O121</f>
        <v>0.27966407336802512</v>
      </c>
      <c r="F26" s="177">
        <f>Statement!P121</f>
        <v>0.30504533829342012</v>
      </c>
      <c r="G26" s="177">
        <f>Statement!Q121</f>
        <v>0.29997054987588878</v>
      </c>
      <c r="I26" s="177">
        <f>Statement!AC121</f>
        <v>0.28688784824192398</v>
      </c>
    </row>
    <row r="27" spans="2:9" x14ac:dyDescent="0.2">
      <c r="B27" s="20" t="s">
        <v>102</v>
      </c>
      <c r="C27" s="216">
        <f>Statement!M122</f>
        <v>0.57945743548327888</v>
      </c>
      <c r="D27" s="216">
        <f>Statement!N122</f>
        <v>0.64811338118902995</v>
      </c>
      <c r="E27" s="216">
        <f>Statement!O122</f>
        <v>0.65176802444675774</v>
      </c>
      <c r="F27" s="216">
        <f>Statement!P122</f>
        <v>0.71137942441283497</v>
      </c>
      <c r="G27" s="216">
        <f>Statement!Q122</f>
        <v>0.80583807973962573</v>
      </c>
      <c r="I27" s="216">
        <f>Statement!AC122</f>
        <v>0.8418133832225303</v>
      </c>
    </row>
    <row r="28" spans="2:9" x14ac:dyDescent="0.2">
      <c r="B28" s="32" t="s">
        <v>103</v>
      </c>
      <c r="C28" s="178">
        <f>Statement!M123</f>
        <v>0.1770125913145626</v>
      </c>
      <c r="D28" s="178">
        <f>Statement!N123</f>
        <v>0.17507822565801581</v>
      </c>
      <c r="E28" s="178">
        <f>Statement!O123</f>
        <v>0.18227610060781085</v>
      </c>
      <c r="F28" s="178">
        <f>Statement!P123</f>
        <v>0.21700297717499173</v>
      </c>
      <c r="G28" s="178">
        <f>Statement!Q123</f>
        <v>0.24172769189042584</v>
      </c>
      <c r="I28" s="178">
        <f>Statement!AC123</f>
        <v>0.24150603013396588</v>
      </c>
    </row>
    <row r="29" spans="2:9" x14ac:dyDescent="0.2">
      <c r="B29" s="20" t="s">
        <v>104</v>
      </c>
      <c r="C29" s="216">
        <f>Statement!M124</f>
        <v>1.8409812799891869</v>
      </c>
      <c r="D29" s="216">
        <f>Statement!N124</f>
        <v>1.9333143548501885</v>
      </c>
      <c r="E29" s="216">
        <f>Statement!O124</f>
        <v>1.8028211647899262</v>
      </c>
      <c r="F29" s="216">
        <f>Statement!P124</f>
        <v>2.1432116270825947</v>
      </c>
      <c r="G29" s="216">
        <f>Statement!Q124</f>
        <v>2.5377269207605608</v>
      </c>
      <c r="I29" s="216">
        <f>Statement!AC124</f>
        <v>2.5988018753255773</v>
      </c>
    </row>
    <row r="30" spans="2:9" x14ac:dyDescent="0.2">
      <c r="B30" s="32" t="s">
        <v>105</v>
      </c>
      <c r="C30" s="178">
        <f>Statement!M125</f>
        <v>0.3258768669324863</v>
      </c>
      <c r="D30" s="178">
        <f>Statement!N125</f>
        <v>0.33848124688634257</v>
      </c>
      <c r="E30" s="178">
        <f>Statement!O125</f>
        <v>0.32861121201113935</v>
      </c>
      <c r="F30" s="178">
        <f>Statement!P125</f>
        <v>0.46508330379298118</v>
      </c>
      <c r="G30" s="178">
        <f>Statement!Q125</f>
        <v>0.61343887120364793</v>
      </c>
      <c r="I30" s="178">
        <f>Statement!AC125</f>
        <v>0.62762632401458585</v>
      </c>
    </row>
    <row r="32" spans="2:9" ht="17" thickBot="1" x14ac:dyDescent="0.25">
      <c r="B32" s="14" t="s">
        <v>311</v>
      </c>
      <c r="C32" s="14"/>
      <c r="D32" s="14"/>
      <c r="E32" s="14"/>
      <c r="F32" s="14"/>
      <c r="G32" s="14"/>
      <c r="I32" s="14"/>
    </row>
    <row r="33" spans="2:9" x14ac:dyDescent="0.2">
      <c r="B33" s="20" t="s">
        <v>103</v>
      </c>
      <c r="C33" s="177">
        <f>C28</f>
        <v>0.1770125913145626</v>
      </c>
      <c r="D33" s="177">
        <f t="shared" ref="D33:G33" si="1">D28</f>
        <v>0.17507822565801581</v>
      </c>
      <c r="E33" s="177">
        <f t="shared" si="1"/>
        <v>0.18227610060781085</v>
      </c>
      <c r="F33" s="177">
        <f t="shared" si="1"/>
        <v>0.21700297717499173</v>
      </c>
      <c r="G33" s="177">
        <f t="shared" si="1"/>
        <v>0.24172769189042584</v>
      </c>
      <c r="I33" s="177">
        <f>I28</f>
        <v>0.24150603013396588</v>
      </c>
    </row>
    <row r="34" spans="2:9" x14ac:dyDescent="0.2">
      <c r="B34" s="20" t="s">
        <v>105</v>
      </c>
      <c r="C34" s="177">
        <f>C30</f>
        <v>0.3258768669324863</v>
      </c>
      <c r="D34" s="177">
        <f t="shared" ref="D34:G34" si="2">D30</f>
        <v>0.33848124688634257</v>
      </c>
      <c r="E34" s="177">
        <f t="shared" si="2"/>
        <v>0.32861121201113935</v>
      </c>
      <c r="F34" s="177">
        <f t="shared" si="2"/>
        <v>0.46508330379298118</v>
      </c>
      <c r="G34" s="177">
        <f t="shared" si="2"/>
        <v>0.61343887120364793</v>
      </c>
      <c r="I34" s="177">
        <f>I30</f>
        <v>0.62762632401458585</v>
      </c>
    </row>
    <row r="35" spans="2:9" x14ac:dyDescent="0.2">
      <c r="B35" s="20" t="s">
        <v>106</v>
      </c>
      <c r="C35" s="177">
        <f>Statement!M140</f>
        <v>0.37372250254171024</v>
      </c>
      <c r="D35" s="177">
        <f>Statement!N140</f>
        <v>0.39947409853176014</v>
      </c>
      <c r="E35" s="177">
        <f>Statement!O140</f>
        <v>0.43127907781153368</v>
      </c>
      <c r="F35" s="177">
        <f>Statement!P140</f>
        <v>0.45645170265130885</v>
      </c>
      <c r="G35" s="177">
        <f>Statement!Q140</f>
        <v>0.63242055551568566</v>
      </c>
      <c r="I35" s="177">
        <f>Statement!AC140</f>
        <v>0.5752841854820302</v>
      </c>
    </row>
    <row r="37" spans="2:9" ht="17" thickBot="1" x14ac:dyDescent="0.25">
      <c r="B37" s="14" t="s">
        <v>256</v>
      </c>
      <c r="C37" s="14"/>
      <c r="D37" s="14"/>
      <c r="E37" s="14"/>
      <c r="F37" s="14"/>
      <c r="G37" s="14"/>
      <c r="I37" s="14"/>
    </row>
    <row r="38" spans="2:9" x14ac:dyDescent="0.2">
      <c r="B38" s="20" t="s">
        <v>140</v>
      </c>
      <c r="C38" s="176">
        <f>Statement!M141</f>
        <v>43.425403864428255</v>
      </c>
      <c r="D38" s="176">
        <f>Statement!N141</f>
        <v>42.810689537657616</v>
      </c>
      <c r="E38" s="176">
        <f>Statement!O141</f>
        <v>41.823896130661034</v>
      </c>
      <c r="F38" s="176">
        <f>Statement!P141</f>
        <v>35.167635433620084</v>
      </c>
      <c r="G38" s="176">
        <f>Statement!Q141</f>
        <v>35.994783120871723</v>
      </c>
      <c r="I38" s="176">
        <f>Statement!AC141</f>
        <v>28.869156282244624</v>
      </c>
    </row>
    <row r="39" spans="2:9" x14ac:dyDescent="0.2">
      <c r="B39" s="20" t="s">
        <v>141</v>
      </c>
      <c r="C39" s="176">
        <f>Statement!M142</f>
        <v>0</v>
      </c>
      <c r="D39" s="176">
        <f>Statement!N142</f>
        <v>0</v>
      </c>
      <c r="E39" s="176">
        <f>Statement!O142</f>
        <v>0</v>
      </c>
      <c r="F39" s="176">
        <f>Statement!P142</f>
        <v>0</v>
      </c>
      <c r="G39" s="176">
        <f>Statement!Q142</f>
        <v>0</v>
      </c>
      <c r="I39" s="176">
        <f>Statement!AC142</f>
        <v>0</v>
      </c>
    </row>
    <row r="40" spans="2:9" x14ac:dyDescent="0.2">
      <c r="B40" s="20" t="s">
        <v>142</v>
      </c>
      <c r="C40" s="176">
        <f>Statement!M143</f>
        <v>61.061662198391424</v>
      </c>
      <c r="D40" s="176">
        <f>Statement!N143</f>
        <v>63.896073903002311</v>
      </c>
      <c r="E40" s="176">
        <f>Statement!O143</f>
        <v>48.687340696686491</v>
      </c>
      <c r="F40" s="176">
        <f>Statement!P143</f>
        <v>55.879983036471586</v>
      </c>
      <c r="G40" s="176">
        <f>Statement!Q143</f>
        <v>59.664837318698552</v>
      </c>
      <c r="I40" s="176">
        <f>Statement!AC143</f>
        <v>68.215355805243448</v>
      </c>
    </row>
    <row r="41" spans="2:9" x14ac:dyDescent="0.2">
      <c r="B41" s="20" t="s">
        <v>143</v>
      </c>
      <c r="C41" s="176">
        <f>Statement!M144</f>
        <v>-17.63625833396317</v>
      </c>
      <c r="D41" s="176">
        <f>Statement!N144</f>
        <v>-21.085384365344694</v>
      </c>
      <c r="E41" s="176">
        <f>Statement!O144</f>
        <v>-6.863444566025457</v>
      </c>
      <c r="F41" s="176">
        <f>Statement!P144</f>
        <v>-20.712347602851501</v>
      </c>
      <c r="G41" s="176">
        <f>Statement!Q144</f>
        <v>-23.670054197826829</v>
      </c>
      <c r="I41" s="176">
        <f>Statement!AC144</f>
        <v>-39.346199522998823</v>
      </c>
    </row>
    <row r="43" spans="2:9" ht="17" thickBot="1" x14ac:dyDescent="0.25">
      <c r="B43" s="14" t="s">
        <v>262</v>
      </c>
      <c r="C43" s="14"/>
      <c r="D43" s="14"/>
      <c r="E43" s="14"/>
      <c r="F43" s="14"/>
      <c r="G43" s="14"/>
      <c r="I43" s="14"/>
    </row>
    <row r="44" spans="2:9" x14ac:dyDescent="0.2">
      <c r="B44" s="20" t="s">
        <v>263</v>
      </c>
      <c r="C44" s="182">
        <f>Statement!M145</f>
        <v>0.27863756166790565</v>
      </c>
      <c r="D44" s="182">
        <f>Statement!N145</f>
        <v>0.29385808839228522</v>
      </c>
      <c r="E44" s="182">
        <f>Statement!O145</f>
        <v>0.22000242160067804</v>
      </c>
      <c r="F44" s="182">
        <f>Statement!P145</f>
        <v>0.39900744416873452</v>
      </c>
      <c r="G44" s="182">
        <f>Statement!Q145</f>
        <v>0.53428546846769331</v>
      </c>
      <c r="I44" s="182">
        <f>Statement!AC145</f>
        <v>0.57692307692307687</v>
      </c>
    </row>
    <row r="45" spans="2:9" x14ac:dyDescent="0.2">
      <c r="B45" s="20" t="s">
        <v>264</v>
      </c>
      <c r="C45" s="182">
        <f>Statement!M146</f>
        <v>-0.11319862134216395</v>
      </c>
      <c r="D45" s="182">
        <f>Statement!N146</f>
        <v>-0.13999003629634901</v>
      </c>
      <c r="E45" s="182">
        <f>Statement!O146</f>
        <v>-0.25475239133066957</v>
      </c>
      <c r="F45" s="182">
        <f>Statement!P146</f>
        <v>-0.16008507621410847</v>
      </c>
      <c r="G45" s="182">
        <f>Statement!Q146</f>
        <v>-3.3123978318850555E-2</v>
      </c>
      <c r="I45" s="182">
        <f>Statement!AC146</f>
        <v>8.8470220524396598E-2</v>
      </c>
    </row>
    <row r="46" spans="2:9" x14ac:dyDescent="0.2">
      <c r="B46" s="20" t="s">
        <v>258</v>
      </c>
      <c r="C46" s="182">
        <f>Statement!M147</f>
        <v>1.1073283323716099</v>
      </c>
      <c r="D46" s="182">
        <f>Statement!N147</f>
        <v>1.0040600393700787</v>
      </c>
      <c r="E46" s="182">
        <f>Statement!O147</f>
        <v>1.2199733365652647</v>
      </c>
      <c r="F46" s="182">
        <f>Statement!P147</f>
        <v>0.94648797642809623</v>
      </c>
      <c r="G46" s="182">
        <f>Statement!Q147</f>
        <v>0.87637254901960782</v>
      </c>
      <c r="I46" s="182">
        <f>Statement!AC147</f>
        <v>0.63081636032455701</v>
      </c>
    </row>
    <row r="47" spans="2:9" x14ac:dyDescent="0.2">
      <c r="B47" s="20" t="s">
        <v>259</v>
      </c>
      <c r="C47" s="182">
        <f>Statement!M148</f>
        <v>1.2505770340450086</v>
      </c>
      <c r="D47" s="182">
        <f>Statement!N148</f>
        <v>1.1067913385826771</v>
      </c>
      <c r="E47" s="182">
        <f>Statement!O148</f>
        <v>1.3433523209307963</v>
      </c>
      <c r="F47" s="182">
        <f>Statement!P148</f>
        <v>1.0675791274593669</v>
      </c>
      <c r="G47" s="182">
        <f>Statement!Q148</f>
        <v>0.99637254901960781</v>
      </c>
      <c r="I47" s="182">
        <f>Statement!AC148</f>
        <v>0.75078655406524264</v>
      </c>
    </row>
    <row r="48" spans="2:9" x14ac:dyDescent="0.2">
      <c r="B48" s="20" t="s">
        <v>265</v>
      </c>
      <c r="C48" s="184">
        <f>Statement!M149</f>
        <v>51.345132743362832</v>
      </c>
      <c r="D48" s="184">
        <f>Statement!N149</f>
        <v>54.446428571428569</v>
      </c>
      <c r="E48" s="184">
        <f>Statement!O149</f>
        <v>58.849557522123895</v>
      </c>
      <c r="F48" s="184">
        <f>Statement!P149</f>
        <v>39.887573964497044</v>
      </c>
      <c r="G48" s="184">
        <f>Statement!Q149</f>
        <v>33.102661596958178</v>
      </c>
      <c r="I48" s="184">
        <f>Statement!AC149</f>
        <v>34.827586206896555</v>
      </c>
    </row>
    <row r="50" spans="2:9" ht="17" thickBot="1" x14ac:dyDescent="0.25">
      <c r="B50" s="14" t="s">
        <v>274</v>
      </c>
      <c r="C50" s="14"/>
      <c r="D50" s="14"/>
      <c r="E50" s="14"/>
      <c r="F50" s="14"/>
      <c r="G50" s="14"/>
      <c r="I50" s="14"/>
    </row>
    <row r="51" spans="2:9" x14ac:dyDescent="0.2">
      <c r="B51" s="20" t="s">
        <v>272</v>
      </c>
      <c r="C51" s="177">
        <f>Statement!M162</f>
        <v>1.4913377388819432E-2</v>
      </c>
      <c r="D51" s="177">
        <f>Statement!N162</f>
        <v>2.9351079596640607E-2</v>
      </c>
      <c r="E51" s="177">
        <f>Statement!O162</f>
        <v>1.9345018903127609E-2</v>
      </c>
      <c r="F51" s="177">
        <f>Statement!P162</f>
        <v>2.8368058258305007E-2</v>
      </c>
      <c r="G51" s="177">
        <f>Statement!Q162</f>
        <v>5.2595112118921643E-2</v>
      </c>
      <c r="I51" s="177">
        <f ca="1">Statement!AC162</f>
        <v>8.9567534330805484E-2</v>
      </c>
    </row>
    <row r="52" spans="2:9" x14ac:dyDescent="0.2">
      <c r="B52" s="20" t="s">
        <v>275</v>
      </c>
      <c r="C52" s="177">
        <f>Statement!M161</f>
        <v>1.8176139896930375E-2</v>
      </c>
      <c r="D52" s="177">
        <f>Statement!N161</f>
        <v>3.7708973463101328E-2</v>
      </c>
      <c r="E52" s="177">
        <f>Statement!O161</f>
        <v>1.8832110652060391E-2</v>
      </c>
      <c r="F52" s="177">
        <f>Statement!P161</f>
        <v>2.6834969911067843E-2</v>
      </c>
      <c r="G52" s="177">
        <f>Statement!Q161</f>
        <v>6.0465574219619532E-2</v>
      </c>
      <c r="I52" s="177">
        <f ca="1">Statement!AC161</f>
        <v>0.10529950428510662</v>
      </c>
    </row>
    <row r="53" spans="2:9" x14ac:dyDescent="0.2">
      <c r="B53" s="20" t="s">
        <v>273</v>
      </c>
      <c r="C53" s="177">
        <f>Statement!M163</f>
        <v>0</v>
      </c>
      <c r="D53" s="177">
        <f>Statement!N163</f>
        <v>0</v>
      </c>
      <c r="E53" s="177">
        <f>Statement!O163</f>
        <v>0</v>
      </c>
      <c r="F53" s="177">
        <f>Statement!P163</f>
        <v>0</v>
      </c>
      <c r="G53" s="177">
        <f>Statement!Q163</f>
        <v>0</v>
      </c>
      <c r="I53" s="177">
        <f ca="1">Statement!AC163</f>
        <v>0</v>
      </c>
    </row>
    <row r="54" spans="2:9" x14ac:dyDescent="0.2">
      <c r="B54" s="20" t="s">
        <v>298</v>
      </c>
      <c r="C54" s="177">
        <f>Statement!M164</f>
        <v>1.2350894992753308E-2</v>
      </c>
      <c r="D54" s="177">
        <f>Statement!N164</f>
        <v>4.1469740796392492E-2</v>
      </c>
      <c r="E54" s="177">
        <f>Statement!O164</f>
        <v>1.586165521995898E-2</v>
      </c>
      <c r="F54" s="177">
        <f>Statement!P164</f>
        <v>4.2207320224361675E-2</v>
      </c>
      <c r="G54" s="177">
        <f>Statement!Q164</f>
        <v>8.623415205708318E-2</v>
      </c>
      <c r="I54" s="177">
        <f ca="1">Statement!AC164</f>
        <v>0.11741429014307035</v>
      </c>
    </row>
    <row r="55" spans="2:9" x14ac:dyDescent="0.2">
      <c r="B55" s="20" t="s">
        <v>300</v>
      </c>
      <c r="C55" s="177">
        <f>Statement!M165</f>
        <v>1.2350894992753308E-2</v>
      </c>
      <c r="D55" s="177">
        <f>Statement!N165</f>
        <v>4.1469740796392492E-2</v>
      </c>
      <c r="E55" s="177">
        <f>Statement!O165</f>
        <v>1.586165521995898E-2</v>
      </c>
      <c r="F55" s="177">
        <f>Statement!P165</f>
        <v>4.2207320224361675E-2</v>
      </c>
      <c r="G55" s="177">
        <f>Statement!Q165</f>
        <v>8.623415205708318E-2</v>
      </c>
      <c r="I55" s="177">
        <f ca="1">Statement!AC165</f>
        <v>0.11741429014307035</v>
      </c>
    </row>
    <row r="57" spans="2:9" ht="17" thickBot="1" x14ac:dyDescent="0.25">
      <c r="B57" s="14" t="s">
        <v>277</v>
      </c>
      <c r="C57" s="14"/>
      <c r="D57" s="14"/>
      <c r="E57" s="14"/>
      <c r="F57" s="14"/>
      <c r="G57" s="14"/>
      <c r="I57" s="14"/>
    </row>
    <row r="58" spans="2:9" x14ac:dyDescent="0.2">
      <c r="B58" s="20" t="s">
        <v>276</v>
      </c>
      <c r="C58" s="177">
        <f>Statement!M168</f>
        <v>0</v>
      </c>
      <c r="D58" s="177">
        <f>Statement!N168</f>
        <v>0</v>
      </c>
      <c r="E58" s="177">
        <f>Statement!O168</f>
        <v>0</v>
      </c>
      <c r="F58" s="177">
        <f>Statement!P168</f>
        <v>0</v>
      </c>
      <c r="G58" s="177">
        <f>Statement!Q168</f>
        <v>0</v>
      </c>
      <c r="I58" s="177">
        <f>Statement!AC168</f>
        <v>0</v>
      </c>
    </row>
    <row r="59" spans="2:9" x14ac:dyDescent="0.2">
      <c r="B59" s="20" t="s">
        <v>278</v>
      </c>
      <c r="C59" s="177">
        <f>Statement!M169</f>
        <v>0.67951143987613971</v>
      </c>
      <c r="D59" s="177">
        <f>Statement!N169</f>
        <v>1.0997313633310948</v>
      </c>
      <c r="E59" s="177">
        <f>Statement!O169</f>
        <v>0.84226646248085757</v>
      </c>
      <c r="F59" s="177">
        <f>Statement!P169</f>
        <v>1.5728476821192052</v>
      </c>
      <c r="G59" s="177">
        <f>Statement!Q169</f>
        <v>1.4261694058154235</v>
      </c>
      <c r="I59" s="177">
        <f>Statement!AC169</f>
        <v>1.1150507396992297</v>
      </c>
    </row>
    <row r="60" spans="2:9" x14ac:dyDescent="0.2">
      <c r="B60" s="20" t="s">
        <v>279</v>
      </c>
      <c r="C60" s="177">
        <f>Statement!M170</f>
        <v>0.67951143987613971</v>
      </c>
      <c r="D60" s="177">
        <f>Statement!N170</f>
        <v>1.0997313633310948</v>
      </c>
      <c r="E60" s="177">
        <f>Statement!O170</f>
        <v>0.84226646248085757</v>
      </c>
      <c r="F60" s="177">
        <f>Statement!P170</f>
        <v>1.5728476821192052</v>
      </c>
      <c r="G60" s="177">
        <f>Statement!Q170</f>
        <v>1.4261694058154235</v>
      </c>
      <c r="I60" s="177">
        <f>Statement!AC170</f>
        <v>1.1150507396992297</v>
      </c>
    </row>
    <row r="62" spans="2:9" ht="17" thickBot="1" x14ac:dyDescent="0.25">
      <c r="B62" s="14" t="s">
        <v>285</v>
      </c>
      <c r="C62" s="14"/>
      <c r="D62" s="14"/>
      <c r="E62" s="14"/>
      <c r="F62" s="14"/>
      <c r="G62" s="14"/>
      <c r="I62" s="14"/>
    </row>
    <row r="63" spans="2:9" x14ac:dyDescent="0.2">
      <c r="B63" s="20" t="s">
        <v>283</v>
      </c>
      <c r="C63" s="177">
        <f>Statement!M171</f>
        <v>2.1008403361344537E-3</v>
      </c>
      <c r="D63" s="177">
        <f>Statement!N171</f>
        <v>2.1786492374727671E-3</v>
      </c>
      <c r="E63" s="177">
        <f>Statement!O171</f>
        <v>2.2026431718061676E-3</v>
      </c>
      <c r="F63" s="177">
        <f>Statement!P171</f>
        <v>2.2831050228310501E-3</v>
      </c>
      <c r="G63" s="177">
        <f>Statement!Q171</f>
        <v>2.4271844660194173E-3</v>
      </c>
      <c r="I63" s="177">
        <f>Statement!AC171</f>
        <v>2.5125628140703518E-3</v>
      </c>
    </row>
    <row r="65" spans="2:9" ht="17" thickBot="1" x14ac:dyDescent="0.25">
      <c r="B65" s="14" t="s">
        <v>291</v>
      </c>
      <c r="C65" s="14"/>
      <c r="D65" s="14"/>
      <c r="E65" s="14"/>
      <c r="F65" s="14"/>
      <c r="G65" s="14"/>
      <c r="I65" s="14"/>
    </row>
    <row r="66" spans="2:9" x14ac:dyDescent="0.2">
      <c r="B66" s="20" t="s">
        <v>284</v>
      </c>
      <c r="C66" s="176">
        <f>Statement!M172</f>
        <v>12.283898305084746</v>
      </c>
      <c r="D66" s="176">
        <f>Statement!N172</f>
        <v>13.310043668122271</v>
      </c>
      <c r="E66" s="176">
        <f>Statement!O172</f>
        <v>17.349557522123895</v>
      </c>
      <c r="F66" s="176">
        <f>Statement!P172</f>
        <v>18.128735632183908</v>
      </c>
      <c r="G66" s="176">
        <f>Statement!Q172</f>
        <v>16.046228710462287</v>
      </c>
      <c r="I66" s="176">
        <f>Statement!AC172</f>
        <v>14.135678391959798</v>
      </c>
    </row>
    <row r="67" spans="2:9" x14ac:dyDescent="0.2">
      <c r="B67" s="20" t="s">
        <v>292</v>
      </c>
      <c r="C67" s="176">
        <f>Statement!M175</f>
        <v>3.5487288135593222</v>
      </c>
      <c r="D67" s="176">
        <f>Statement!N175</f>
        <v>4.2947598253275112</v>
      </c>
      <c r="E67" s="176">
        <f>Statement!O175</f>
        <v>9.3097345132743357</v>
      </c>
      <c r="F67" s="176">
        <f>Statement!P175</f>
        <v>5.190804597701149</v>
      </c>
      <c r="G67" s="176">
        <f>Statement!Q175</f>
        <v>0.93673965936739656</v>
      </c>
      <c r="I67" s="176">
        <f>Statement!AC175</f>
        <v>-2.5603015075376883</v>
      </c>
    </row>
    <row r="68" spans="2:9" x14ac:dyDescent="0.2">
      <c r="B68" s="20" t="s">
        <v>297</v>
      </c>
      <c r="C68" s="198">
        <f>Statement!M176</f>
        <v>5.2374048386991875E-3</v>
      </c>
      <c r="D68" s="198">
        <f>Statement!N176</f>
        <v>1.2453584755191456E-2</v>
      </c>
      <c r="E68" s="198">
        <f>Statement!O176</f>
        <v>1.5169510264906226E-2</v>
      </c>
      <c r="F68" s="198">
        <f>Statement!P176</f>
        <v>1.0032013585958807E-2</v>
      </c>
      <c r="G68" s="198">
        <f>Statement!Q176</f>
        <v>2.9430146744062603E-3</v>
      </c>
      <c r="I68" s="198">
        <f ca="1">Statement!AC176</f>
        <v>-1.311898702366104E-2</v>
      </c>
    </row>
    <row r="70" spans="2:9" ht="17" thickBot="1" x14ac:dyDescent="0.25">
      <c r="B70" s="14" t="s">
        <v>312</v>
      </c>
      <c r="C70" s="14"/>
      <c r="D70" s="14"/>
      <c r="E70" s="14"/>
      <c r="F70" s="14"/>
      <c r="G70" s="14"/>
      <c r="I70" s="14"/>
    </row>
    <row r="71" spans="2:9" x14ac:dyDescent="0.2">
      <c r="B71" s="20" t="s">
        <v>286</v>
      </c>
      <c r="C71" s="177">
        <f>Statement!M173</f>
        <v>0.14785615491009682</v>
      </c>
      <c r="D71" s="177">
        <f>Statement!N173</f>
        <v>0.1837203368206175</v>
      </c>
      <c r="E71" s="177">
        <f>Statement!O173</f>
        <v>0.23527800602574636</v>
      </c>
      <c r="F71" s="177">
        <f>Statement!P173</f>
        <v>0.22753227408142998</v>
      </c>
      <c r="G71" s="177">
        <f>Statement!Q173</f>
        <v>0.19359984049446716</v>
      </c>
      <c r="I71" s="177">
        <f>Statement!AC173</f>
        <v>0.19358839805362082</v>
      </c>
    </row>
    <row r="72" spans="2:9" x14ac:dyDescent="0.2">
      <c r="B72" s="20" t="s">
        <v>287</v>
      </c>
      <c r="C72" s="177">
        <f>Statement!M174</f>
        <v>6.7722521381057971E-2</v>
      </c>
      <c r="D72" s="177">
        <f>Statement!N174</f>
        <v>8.1790298761785757E-2</v>
      </c>
      <c r="E72" s="177">
        <f>Statement!O174</f>
        <v>8.8515637075583492E-2</v>
      </c>
      <c r="F72" s="177">
        <f>Statement!P174</f>
        <v>8.5235991629853528E-2</v>
      </c>
      <c r="G72" s="177">
        <f>Statement!Q174</f>
        <v>8.1703058605746975E-2</v>
      </c>
      <c r="I72" s="177">
        <f>Statement!AC174</f>
        <v>8.0522263671719982E-2</v>
      </c>
    </row>
    <row r="74" spans="2:9" ht="17" thickBot="1" x14ac:dyDescent="0.25">
      <c r="B74" s="14" t="s">
        <v>313</v>
      </c>
      <c r="C74" s="14"/>
      <c r="D74" s="14"/>
      <c r="E74" s="14"/>
      <c r="F74" s="14"/>
      <c r="G74" s="14"/>
      <c r="I74" s="14"/>
    </row>
    <row r="75" spans="2:9" x14ac:dyDescent="0.2">
      <c r="B75" s="20" t="s">
        <v>310</v>
      </c>
      <c r="C75" s="177">
        <f>Statement!M177</f>
        <v>2.2046246436490339E-2</v>
      </c>
      <c r="D75" s="177">
        <f>Statement!N177</f>
        <v>2.5105077814381462E-2</v>
      </c>
      <c r="E75" s="177">
        <f>Statement!O177</f>
        <v>1.854809624401051E-2</v>
      </c>
      <c r="F75" s="177">
        <f>Statement!P177</f>
        <v>8.5096489188560796E-3</v>
      </c>
      <c r="G75" s="177">
        <f>Statement!Q177</f>
        <v>7.5308174513021159E-3</v>
      </c>
      <c r="I75" s="177">
        <f>Statement!AC177</f>
        <v>1.0834193189935708E-2</v>
      </c>
    </row>
    <row r="76" spans="2:9" x14ac:dyDescent="0.2">
      <c r="B76" s="20" t="s">
        <v>307</v>
      </c>
      <c r="C76" s="177">
        <f>Statement!M178</f>
        <v>4.8132780082987554E-2</v>
      </c>
      <c r="D76" s="177">
        <f>Statement!N178</f>
        <v>5.6391936718550653E-2</v>
      </c>
      <c r="E76" s="177">
        <f>Statement!O178</f>
        <v>4.9301561216105176E-2</v>
      </c>
      <c r="F76" s="177">
        <f>Statement!P178</f>
        <v>2.2715988083416086E-2</v>
      </c>
      <c r="G76" s="177">
        <f>Statement!Q178</f>
        <v>1.7844681487389095E-2</v>
      </c>
      <c r="I76" s="177">
        <f>Statement!AC178</f>
        <v>2.6047132907165347E-2</v>
      </c>
    </row>
    <row r="77" spans="2:9" x14ac:dyDescent="0.2">
      <c r="B77" s="20" t="s">
        <v>308</v>
      </c>
      <c r="C77" s="177">
        <f>Statement!M179</f>
        <v>0.44162436548223349</v>
      </c>
      <c r="D77" s="177">
        <f>Statement!N179</f>
        <v>0.51635514018691586</v>
      </c>
      <c r="E77" s="177">
        <f>Statement!O179</f>
        <v>0.41284403669724773</v>
      </c>
      <c r="F77" s="177">
        <f>Statement!P179</f>
        <v>0.21353558926487748</v>
      </c>
      <c r="G77" s="177">
        <f>Statement!Q179</f>
        <v>0.21882640586797067</v>
      </c>
      <c r="I77" s="177">
        <f>Statement!AC179</f>
        <v>0.35968379446640314</v>
      </c>
    </row>
    <row r="79" spans="2:9" ht="17" thickBot="1" x14ac:dyDescent="0.25">
      <c r="B79" s="14" t="s">
        <v>123</v>
      </c>
      <c r="C79" s="14"/>
      <c r="D79" s="14"/>
      <c r="E79" s="14"/>
      <c r="F79" s="14"/>
      <c r="G79" s="14"/>
      <c r="I79" s="14"/>
    </row>
    <row r="80" spans="2:9" x14ac:dyDescent="0.2">
      <c r="B80" s="20" t="s">
        <v>19</v>
      </c>
      <c r="C80" s="177">
        <f>Statement!M89</f>
        <v>1</v>
      </c>
      <c r="D80" s="177">
        <f>Statement!N89</f>
        <v>0.11536268609439342</v>
      </c>
      <c r="E80" s="177">
        <f>Statement!O89</f>
        <v>0.10240826990798592</v>
      </c>
      <c r="F80" s="177">
        <f>Statement!P89</f>
        <v>0.10799113813179453</v>
      </c>
      <c r="G80" s="177">
        <f>Statement!Q89</f>
        <v>0.10527784236224134</v>
      </c>
      <c r="I80" s="199"/>
    </row>
    <row r="81" spans="2:9" x14ac:dyDescent="0.2">
      <c r="B81" s="20" t="s">
        <v>20</v>
      </c>
      <c r="C81" s="177">
        <f>Statement!M90</f>
        <v>1</v>
      </c>
      <c r="D81" s="177">
        <f>Statement!N90</f>
        <v>0.16085790884718498</v>
      </c>
      <c r="E81" s="177">
        <f>Statement!O90</f>
        <v>8.729792147806005E-2</v>
      </c>
      <c r="F81" s="177">
        <f>Statement!P90</f>
        <v>1.6992353440951572E-3</v>
      </c>
      <c r="G81" s="177">
        <f>Statement!Q90</f>
        <v>8.1849024597116196E-2</v>
      </c>
      <c r="I81" s="199"/>
    </row>
    <row r="82" spans="2:9" x14ac:dyDescent="0.2">
      <c r="B82" s="20" t="s">
        <v>21</v>
      </c>
      <c r="C82" s="177">
        <f>Statement!M91</f>
        <v>1</v>
      </c>
      <c r="D82" s="177">
        <f>Statement!N91</f>
        <v>0.10926724137931035</v>
      </c>
      <c r="E82" s="177">
        <f>Statement!O91</f>
        <v>0.10452690887895862</v>
      </c>
      <c r="F82" s="177">
        <f>Statement!P91</f>
        <v>0.122661975960129</v>
      </c>
      <c r="G82" s="177">
        <f>Statement!Q91</f>
        <v>0.10816315871938163</v>
      </c>
      <c r="I82" s="199"/>
    </row>
    <row r="83" spans="2:9" x14ac:dyDescent="0.2">
      <c r="B83" s="20" t="s">
        <v>25</v>
      </c>
      <c r="C83" s="177">
        <f>Statement!M95</f>
        <v>1</v>
      </c>
      <c r="D83" s="177">
        <f>Statement!N95</f>
        <v>0.15089923626508991</v>
      </c>
      <c r="E83" s="177">
        <f>Statement!O95</f>
        <v>0.11366798672803168</v>
      </c>
      <c r="F83" s="177">
        <f>Statement!P95</f>
        <v>0.19231138875540604</v>
      </c>
      <c r="G83" s="177">
        <f>Statement!Q95</f>
        <v>8.5442527809124619E-3</v>
      </c>
      <c r="I83" s="199"/>
    </row>
    <row r="84" spans="2:9" x14ac:dyDescent="0.2">
      <c r="B84" s="20" t="s">
        <v>314</v>
      </c>
      <c r="C84" s="177">
        <f>Statement!M96</f>
        <v>1</v>
      </c>
      <c r="D84" s="177">
        <f>Statement!N96</f>
        <v>5.1016890727335402E-2</v>
      </c>
      <c r="E84" s="177">
        <f>Statement!O96</f>
        <v>9.0521482453263372E-2</v>
      </c>
      <c r="F84" s="177">
        <f>Statement!P96</f>
        <v>1.368421052631579E-2</v>
      </c>
      <c r="G84" s="177">
        <f>Statement!Q96</f>
        <v>0.29149977748108591</v>
      </c>
      <c r="I84" s="199"/>
    </row>
    <row r="85" spans="2:9" x14ac:dyDescent="0.2">
      <c r="B85" s="20" t="s">
        <v>315</v>
      </c>
      <c r="C85" s="177">
        <f>Statement!M98</f>
        <v>1</v>
      </c>
      <c r="D85" s="177">
        <f>Statement!N98</f>
        <v>-1.3687266694317711E-2</v>
      </c>
      <c r="E85" s="177">
        <f>Statement!O98</f>
        <v>0.14129520605550883</v>
      </c>
      <c r="F85" s="177">
        <f>Statement!P98</f>
        <v>0.20854826823876196</v>
      </c>
      <c r="G85" s="177">
        <f>Statement!Q98</f>
        <v>8.6890243902439018E-2</v>
      </c>
      <c r="I85" s="199"/>
    </row>
    <row r="88" spans="2:9" ht="17" thickBot="1" x14ac:dyDescent="0.25">
      <c r="B88" s="14" t="s">
        <v>316</v>
      </c>
      <c r="C88" s="14"/>
      <c r="D88" s="14"/>
      <c r="E88" s="14"/>
      <c r="F88" s="14"/>
      <c r="G88" s="14"/>
      <c r="I88" s="14"/>
    </row>
    <row r="89" spans="2:9" x14ac:dyDescent="0.2">
      <c r="B89" s="20" t="s">
        <v>396</v>
      </c>
      <c r="C89" s="177">
        <f>Statement!M197</f>
        <v>1</v>
      </c>
      <c r="D89" s="177">
        <f>Statement!N197</f>
        <v>0.1245453921635902</v>
      </c>
      <c r="E89" s="177">
        <f>Statement!O197</f>
        <v>0.11569441054430071</v>
      </c>
      <c r="F89" s="177">
        <f>Statement!P197</f>
        <v>0.12234740756945964</v>
      </c>
      <c r="G89" s="177">
        <f>Statement!Q197</f>
        <v>0.11612494517811023</v>
      </c>
      <c r="I89" s="199"/>
    </row>
    <row r="90" spans="2:9" x14ac:dyDescent="0.2">
      <c r="B90" s="20" t="s">
        <v>397</v>
      </c>
      <c r="C90" s="177">
        <f>Statement!M198</f>
        <v>1</v>
      </c>
      <c r="D90" s="177">
        <f>Statement!N198</f>
        <v>-4.1441441441441441E-2</v>
      </c>
      <c r="E90" s="177">
        <f>Statement!O198</f>
        <v>-0.13533834586466165</v>
      </c>
      <c r="F90" s="177">
        <f>Statement!P198</f>
        <v>-0.16086956521739129</v>
      </c>
      <c r="G90" s="177">
        <f>Statement!Q198</f>
        <v>-0.15803108808290156</v>
      </c>
      <c r="I90" s="199"/>
    </row>
    <row r="91" spans="2:9" x14ac:dyDescent="0.2">
      <c r="B91" s="20" t="s">
        <v>398</v>
      </c>
      <c r="C91" s="177">
        <f>Statement!M199</f>
        <v>1</v>
      </c>
      <c r="D91" s="177">
        <f>Statement!N199</f>
        <v>4.4140030441400302E-2</v>
      </c>
      <c r="E91" s="177">
        <f>Statement!O199</f>
        <v>-3.0612244897959183E-2</v>
      </c>
      <c r="F91" s="177">
        <f>Statement!P199</f>
        <v>-0.10075187969924812</v>
      </c>
      <c r="G91" s="177">
        <f>Statement!Q199</f>
        <v>-9.6989966555183951E-2</v>
      </c>
      <c r="I91" s="199"/>
    </row>
    <row r="93" spans="2:9" ht="17" thickBot="1" x14ac:dyDescent="0.25">
      <c r="B93" s="14" t="s">
        <v>318</v>
      </c>
      <c r="C93" s="14"/>
      <c r="D93" s="14"/>
      <c r="E93" s="14"/>
      <c r="F93" s="14"/>
      <c r="G93" s="14"/>
      <c r="I93" s="14"/>
    </row>
    <row r="94" spans="2:9" x14ac:dyDescent="0.2">
      <c r="B94" s="20" t="s">
        <v>290</v>
      </c>
      <c r="C94" s="177">
        <f>Statement!M203</f>
        <v>0</v>
      </c>
      <c r="D94" s="177">
        <f>Statement!N203</f>
        <v>0</v>
      </c>
      <c r="E94" s="177">
        <f>Statement!O203</f>
        <v>0</v>
      </c>
      <c r="F94" s="177">
        <f>Statement!P203</f>
        <v>0</v>
      </c>
      <c r="G94" s="177">
        <f>Statement!Q203</f>
        <v>0</v>
      </c>
      <c r="I94" s="19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9"/>
  <sheetViews>
    <sheetView topLeftCell="A22" zoomScale="180" workbookViewId="0">
      <selection activeCell="C31" sqref="C31"/>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6" t="s">
        <v>319</v>
      </c>
      <c r="D3" s="237"/>
      <c r="F3" s="238" t="s">
        <v>320</v>
      </c>
      <c r="G3" s="237"/>
    </row>
    <row r="4" spans="2:7" x14ac:dyDescent="0.2">
      <c r="B4" s="8"/>
      <c r="C4" s="10" t="str">
        <f>Statement!Z2</f>
        <v>27.02.2026</v>
      </c>
      <c r="D4" s="205" t="str">
        <f>Statement!AA2</f>
        <v>29.05.2026</v>
      </c>
      <c r="F4" s="206" t="str">
        <f>Statement!W2</f>
        <v>30.05.2025</v>
      </c>
      <c r="G4" s="205" t="str">
        <f>Statement!AA2</f>
        <v>29.05.2026</v>
      </c>
    </row>
    <row r="5" spans="2:7" x14ac:dyDescent="0.2">
      <c r="B5" s="8" t="s">
        <v>325</v>
      </c>
      <c r="C5" s="10" t="str">
        <f>Statement!Z3</f>
        <v>Q1 2026</v>
      </c>
      <c r="D5" s="205" t="str">
        <f>Statement!AA3</f>
        <v>Q2 2026</v>
      </c>
      <c r="F5" s="206" t="str">
        <f>Statement!W3</f>
        <v>Q2 2025</v>
      </c>
      <c r="G5" s="205" t="str">
        <f>Statement!AA3</f>
        <v>Q2 2026</v>
      </c>
    </row>
    <row r="6" spans="2:7" x14ac:dyDescent="0.2">
      <c r="B6" s="207" t="s">
        <v>19</v>
      </c>
      <c r="C6" s="201">
        <f>Statement!Z5</f>
        <v>6398</v>
      </c>
      <c r="D6" s="200">
        <f>Statement!AA5</f>
        <v>6618</v>
      </c>
      <c r="F6" s="201">
        <f>Statement!W5</f>
        <v>5873</v>
      </c>
      <c r="G6" s="200">
        <f>Statement!AA5</f>
        <v>6618</v>
      </c>
    </row>
    <row r="7" spans="2:7" x14ac:dyDescent="0.2">
      <c r="B7" s="208" t="s">
        <v>321</v>
      </c>
      <c r="C7" s="239">
        <f>Statement!AA89</f>
        <v>3.4385745545482967E-2</v>
      </c>
      <c r="D7" s="240"/>
      <c r="F7" s="239">
        <f>IF(F6=0,
IF(G6=0,0,IF(G6&gt;0,1,-1)),
(G6-F6)/ABS(F6)
)</f>
        <v>0.1268516941937681</v>
      </c>
      <c r="G7" s="240"/>
    </row>
    <row r="8" spans="2:7" x14ac:dyDescent="0.2">
      <c r="B8" s="209" t="s">
        <v>20</v>
      </c>
      <c r="C8" s="202">
        <f>Statement!Z6</f>
        <v>664</v>
      </c>
      <c r="D8" s="200">
        <f>Statement!AA6</f>
        <v>715</v>
      </c>
      <c r="F8" s="202">
        <f>Statement!W6</f>
        <v>638</v>
      </c>
      <c r="G8" s="200">
        <f>Statement!AA6</f>
        <v>715</v>
      </c>
    </row>
    <row r="9" spans="2:7" x14ac:dyDescent="0.2">
      <c r="B9" s="208" t="s">
        <v>321</v>
      </c>
      <c r="C9" s="239">
        <f>Statement!AA90</f>
        <v>7.6807228915662648E-2</v>
      </c>
      <c r="D9" s="240"/>
      <c r="F9" s="239">
        <f>IF(F8=0,
IF(G8=0,0,IF(G8&gt;0,1,-1)),
(G8-F8)/ABS(F8)
)</f>
        <v>0.1206896551724138</v>
      </c>
      <c r="G9" s="240"/>
    </row>
    <row r="10" spans="2:7" x14ac:dyDescent="0.2">
      <c r="B10" s="209" t="s">
        <v>21</v>
      </c>
      <c r="C10" s="202">
        <f>Statement!Z7</f>
        <v>5734</v>
      </c>
      <c r="D10" s="200">
        <f>Statement!AA7</f>
        <v>5903</v>
      </c>
      <c r="F10" s="202">
        <f>Statement!W7</f>
        <v>5235</v>
      </c>
      <c r="G10" s="200">
        <f>Statement!AA7</f>
        <v>5903</v>
      </c>
    </row>
    <row r="11" spans="2:7" x14ac:dyDescent="0.2">
      <c r="B11" s="208" t="s">
        <v>321</v>
      </c>
      <c r="C11" s="239">
        <f>Statement!AA91</f>
        <v>2.9473317056156263E-2</v>
      </c>
      <c r="D11" s="240"/>
      <c r="F11" s="239">
        <f>IF(F10=0,
IF(G10=0,0,IF(G10&gt;0,1,-1)),
(G10-F10)/ABS(F10)
)</f>
        <v>0.12760267430754538</v>
      </c>
      <c r="G11" s="240"/>
    </row>
    <row r="12" spans="2:7" x14ac:dyDescent="0.2">
      <c r="B12" s="209" t="s">
        <v>25</v>
      </c>
      <c r="C12" s="202">
        <f>Statement!Z11</f>
        <v>3316</v>
      </c>
      <c r="D12" s="200">
        <f>Statement!AA11</f>
        <v>3665</v>
      </c>
      <c r="F12" s="202">
        <f>Statement!W11</f>
        <v>3126</v>
      </c>
      <c r="G12" s="200">
        <f>Statement!AA11</f>
        <v>3665</v>
      </c>
    </row>
    <row r="13" spans="2:7" x14ac:dyDescent="0.2">
      <c r="B13" s="208" t="s">
        <v>321</v>
      </c>
      <c r="C13" s="239">
        <f>Statement!AA95</f>
        <v>0.10524728588661038</v>
      </c>
      <c r="D13" s="240"/>
      <c r="F13" s="239">
        <f>IF(F12=0,
IF(G12=0,0,IF(G12&gt;0,1,-1)),
(G12-F12)/ABS(F12)
)</f>
        <v>0.172424824056302</v>
      </c>
      <c r="G13" s="240"/>
    </row>
    <row r="14" spans="2:7" x14ac:dyDescent="0.2">
      <c r="B14" s="209" t="s">
        <v>322</v>
      </c>
      <c r="C14" s="202">
        <f>Statement!Z12</f>
        <v>2418</v>
      </c>
      <c r="D14" s="200">
        <f>Statement!AA12</f>
        <v>2238</v>
      </c>
      <c r="F14" s="202">
        <f>Statement!W12</f>
        <v>2109</v>
      </c>
      <c r="G14" s="200">
        <f>Statement!AA12</f>
        <v>2238</v>
      </c>
    </row>
    <row r="15" spans="2:7" x14ac:dyDescent="0.2">
      <c r="B15" s="208" t="s">
        <v>321</v>
      </c>
      <c r="C15" s="239">
        <f>Statement!AA96</f>
        <v>-7.4441687344913146E-2</v>
      </c>
      <c r="D15" s="240"/>
      <c r="F15" s="239">
        <f>IF(F14=0,
IF(G14=0,0,IF(G14&gt;0,1,-1)),
(G14-F14)/ABS(F14)
)</f>
        <v>6.1166429587482217E-2</v>
      </c>
      <c r="G15" s="240"/>
    </row>
    <row r="16" spans="2:7" x14ac:dyDescent="0.2">
      <c r="B16" s="209" t="s">
        <v>31</v>
      </c>
      <c r="C16" s="202">
        <f>Statement!Z18</f>
        <v>1889</v>
      </c>
      <c r="D16" s="200">
        <f>Statement!AA18</f>
        <v>1712</v>
      </c>
      <c r="F16" s="202">
        <f>Statement!W18</f>
        <v>1691</v>
      </c>
      <c r="G16" s="200">
        <f>Statement!AA18</f>
        <v>1712</v>
      </c>
    </row>
    <row r="17" spans="2:7" x14ac:dyDescent="0.2">
      <c r="B17" s="208" t="s">
        <v>321</v>
      </c>
      <c r="C17" s="239">
        <f>Statement!AA98</f>
        <v>-9.3700370566437263E-2</v>
      </c>
      <c r="D17" s="240"/>
      <c r="F17" s="239">
        <f>IF(F16=0,
IF(G16=0,0,IF(G16&gt;0,1,-1)),
(G16-F16)/ABS(F16)
)</f>
        <v>1.2418687167356593E-2</v>
      </c>
      <c r="G17" s="240"/>
    </row>
    <row r="18" spans="2:7" x14ac:dyDescent="0.2">
      <c r="B18" s="209" t="s">
        <v>323</v>
      </c>
      <c r="C18" s="202">
        <f>Statement!Z22</f>
        <v>411</v>
      </c>
      <c r="D18" s="200">
        <f>Statement!AA22</f>
        <v>402</v>
      </c>
      <c r="F18" s="202">
        <f>Statement!W22</f>
        <v>429</v>
      </c>
      <c r="G18" s="200">
        <f>Statement!AA22</f>
        <v>402</v>
      </c>
    </row>
    <row r="19" spans="2:7" x14ac:dyDescent="0.2">
      <c r="B19" s="208" t="s">
        <v>321</v>
      </c>
      <c r="C19" s="239">
        <f>IF(C18=0,
IF(D18=0,0,IF(D18&gt;0,1,-1)),
(D18-C18)/ABS(C18)
)</f>
        <v>-2.1897810218978103E-2</v>
      </c>
      <c r="D19" s="240"/>
      <c r="F19" s="239">
        <f>IF(F18=0,
IF(G18=0,0,IF(G18&gt;0,1,-1)),
(G18-F18)/ABS(F18)
)</f>
        <v>-6.2937062937062943E-2</v>
      </c>
      <c r="G19" s="240"/>
    </row>
    <row r="20" spans="2:7" x14ac:dyDescent="0.2">
      <c r="B20" s="209" t="s">
        <v>38</v>
      </c>
      <c r="C20" s="203">
        <f>Statement!Z26</f>
        <v>4.5999999999999996</v>
      </c>
      <c r="D20" s="204">
        <f>Statement!AA26</f>
        <v>4.25</v>
      </c>
      <c r="F20" s="203">
        <f>Statement!W26</f>
        <v>3.94</v>
      </c>
      <c r="G20" s="204">
        <f>Statement!AA26</f>
        <v>4.25</v>
      </c>
    </row>
    <row r="21" spans="2:7" x14ac:dyDescent="0.2">
      <c r="B21" s="208" t="s">
        <v>321</v>
      </c>
      <c r="C21" s="239">
        <f>IF(C20=0,
IF(D20=0,0,IF(D20&gt;0,1,-1)),
(D20-C20)/ABS(C20)
)</f>
        <v>-7.6086956521739066E-2</v>
      </c>
      <c r="D21" s="240"/>
      <c r="F21" s="239">
        <f>IF(F20=0,
IF(G20=0,0,IF(G20&gt;0,1,-1)),
(G20-F20)/ABS(F20)
)</f>
        <v>7.8680203045685293E-2</v>
      </c>
      <c r="G21" s="240"/>
    </row>
    <row r="23" spans="2:7" x14ac:dyDescent="0.2">
      <c r="B23" s="8" t="s">
        <v>324</v>
      </c>
      <c r="C23" s="10" t="str">
        <f>C5</f>
        <v>Q1 2026</v>
      </c>
      <c r="D23" s="205" t="str">
        <f>D5</f>
        <v>Q2 2026</v>
      </c>
      <c r="F23" s="206" t="str">
        <f>F5</f>
        <v>Q2 2025</v>
      </c>
      <c r="G23" s="205" t="str">
        <f>G5</f>
        <v>Q2 2026</v>
      </c>
    </row>
    <row r="24" spans="2:7" x14ac:dyDescent="0.2">
      <c r="B24" s="20" t="s">
        <v>100</v>
      </c>
      <c r="C24" s="202">
        <f>Statement!Z187</f>
        <v>6198</v>
      </c>
      <c r="D24" s="200">
        <f>Statement!AA187</f>
        <v>6416</v>
      </c>
      <c r="F24" s="202">
        <f>Statement!W187</f>
        <v>5641</v>
      </c>
      <c r="G24" s="200">
        <f>Statement!AA187</f>
        <v>6416</v>
      </c>
    </row>
    <row r="25" spans="2:7" x14ac:dyDescent="0.2">
      <c r="B25" s="208" t="s">
        <v>321</v>
      </c>
      <c r="C25" s="239">
        <f>IF(C24=0,
IF(D24=0,0,IF(D24&gt;0,1,-1)),
(D24-C24)/ABS(C24)
)</f>
        <v>3.5172636334301385E-2</v>
      </c>
      <c r="D25" s="240"/>
      <c r="F25" s="239">
        <f>IF(F24=0,
IF(G24=0,0,IF(G24&gt;0,1,-1)),
(G24-F24)/ABS(F24)
)</f>
        <v>0.13738698812267328</v>
      </c>
      <c r="G25" s="240"/>
    </row>
    <row r="26" spans="2:7" x14ac:dyDescent="0.2">
      <c r="B26" s="20" t="s">
        <v>389</v>
      </c>
      <c r="C26" s="202">
        <f>Statement!Z188</f>
        <v>90</v>
      </c>
      <c r="D26" s="200">
        <f>Statement!AA188</f>
        <v>89</v>
      </c>
      <c r="F26" s="202">
        <f>Statement!W188</f>
        <v>88</v>
      </c>
      <c r="G26" s="200">
        <f>Statement!AA188</f>
        <v>89</v>
      </c>
    </row>
    <row r="27" spans="2:7" x14ac:dyDescent="0.2">
      <c r="B27" s="208" t="s">
        <v>321</v>
      </c>
      <c r="C27" s="239">
        <f>IF(C26=0,
IF(D26=0,0,IF(D26&gt;0,1,-1)),
(D26-C26)/ABS(C26)
)</f>
        <v>-1.1111111111111112E-2</v>
      </c>
      <c r="D27" s="240"/>
      <c r="F27" s="239">
        <f>IF(F26=0,
IF(G26=0,0,IF(G26&gt;0,1,-1)),
(G26-F26)/ABS(F26)
)</f>
        <v>1.1363636363636364E-2</v>
      </c>
      <c r="G27" s="240"/>
    </row>
    <row r="28" spans="2:7" x14ac:dyDescent="0.2">
      <c r="B28" s="20" t="s">
        <v>399</v>
      </c>
      <c r="C28" s="202">
        <f>Statement!Z189</f>
        <v>110</v>
      </c>
      <c r="D28" s="200">
        <f>Statement!AA189</f>
        <v>113</v>
      </c>
      <c r="F28" s="202">
        <f>Statement!W189</f>
        <v>144</v>
      </c>
      <c r="G28" s="200">
        <f>Statement!AA189</f>
        <v>113</v>
      </c>
    </row>
    <row r="29" spans="2:7" x14ac:dyDescent="0.2">
      <c r="B29" s="208" t="s">
        <v>321</v>
      </c>
      <c r="C29" s="239">
        <f>IF(C28=0,
IF(D28=0,0,IF(D28&gt;0,1,-1)),
(D28-C28)/ABS(C28)
)</f>
        <v>2.7272727272727271E-2</v>
      </c>
      <c r="D29" s="240"/>
      <c r="F29" s="239">
        <f>IF(F28=0,
IF(G28=0,0,IF(G28&gt;0,1,-1)),
(G28-F28)/ABS(F28)
)</f>
        <v>-0.21527777777777779</v>
      </c>
      <c r="G29" s="240"/>
    </row>
  </sheetData>
  <mergeCells count="24">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B25"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03.12.2021</v>
      </c>
      <c r="I55" s="10" t="str">
        <f>Statement!N2</f>
        <v>02.12.2022</v>
      </c>
      <c r="J55" s="10" t="str">
        <f>Statement!O2</f>
        <v>01.12.2023</v>
      </c>
      <c r="K55" s="10" t="str">
        <f>Statement!P2</f>
        <v>29.11.2024</v>
      </c>
      <c r="L55" s="10" t="str">
        <f>Statement!Q2</f>
        <v>28.11.2025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15785</v>
      </c>
      <c r="I57" s="24">
        <f>Statement!N5</f>
        <v>17606</v>
      </c>
      <c r="J57" s="24">
        <f>Statement!O5</f>
        <v>19409</v>
      </c>
      <c r="K57" s="24">
        <f>Statement!P5</f>
        <v>21505</v>
      </c>
      <c r="L57" s="24">
        <f>Statement!Q5</f>
        <v>23769</v>
      </c>
    </row>
    <row r="58" spans="2:12" x14ac:dyDescent="0.2">
      <c r="B58" s="20" t="s">
        <v>26</v>
      </c>
      <c r="C58" s="64">
        <f>Statement!H12</f>
        <v>0</v>
      </c>
      <c r="D58" s="64">
        <f>Statement!I12</f>
        <v>0</v>
      </c>
      <c r="E58" s="64">
        <f>Statement!J12</f>
        <v>0</v>
      </c>
      <c r="F58" s="64">
        <f>Statement!K12</f>
        <v>0</v>
      </c>
      <c r="G58" s="64">
        <f>Statement!L12</f>
        <v>0</v>
      </c>
      <c r="H58" s="64">
        <f>Statement!M12</f>
        <v>5802</v>
      </c>
      <c r="I58" s="64">
        <f>Statement!N12</f>
        <v>6098</v>
      </c>
      <c r="J58" s="64">
        <f>Statement!O12</f>
        <v>6650</v>
      </c>
      <c r="K58" s="64">
        <f>Statement!P12</f>
        <v>6741</v>
      </c>
      <c r="L58" s="64">
        <f>Statement!Q12</f>
        <v>8706</v>
      </c>
    </row>
    <row r="59" spans="2:12" x14ac:dyDescent="0.2">
      <c r="B59" s="20" t="s">
        <v>31</v>
      </c>
      <c r="C59" s="64">
        <f>Statement!H18</f>
        <v>0</v>
      </c>
      <c r="D59" s="64">
        <f>Statement!I18</f>
        <v>0</v>
      </c>
      <c r="E59" s="64">
        <f>Statement!J18</f>
        <v>0</v>
      </c>
      <c r="F59" s="64">
        <f>Statement!K18</f>
        <v>0</v>
      </c>
      <c r="G59" s="64">
        <f>Statement!L18</f>
        <v>0</v>
      </c>
      <c r="H59" s="64">
        <f>Statement!M18</f>
        <v>4822</v>
      </c>
      <c r="I59" s="64">
        <f>Statement!N18</f>
        <v>4756</v>
      </c>
      <c r="J59" s="64">
        <f>Statement!O18</f>
        <v>5428</v>
      </c>
      <c r="K59" s="64">
        <f>Statement!P18</f>
        <v>6560</v>
      </c>
      <c r="L59" s="64">
        <f>Statement!Q18</f>
        <v>7130</v>
      </c>
    </row>
    <row r="60" spans="2:12" x14ac:dyDescent="0.2">
      <c r="B60" s="20" t="s">
        <v>267</v>
      </c>
      <c r="C60" s="64">
        <f>Statement!H157</f>
        <v>0</v>
      </c>
      <c r="D60" s="64">
        <f>Statement!I157</f>
        <v>0</v>
      </c>
      <c r="E60" s="64">
        <f>Statement!J157</f>
        <v>0</v>
      </c>
      <c r="F60" s="64">
        <f>Statement!K157</f>
        <v>0</v>
      </c>
      <c r="G60" s="64">
        <f>Statement!L157</f>
        <v>0</v>
      </c>
      <c r="H60" s="64">
        <f>Statement!M157</f>
        <v>5813</v>
      </c>
      <c r="I60" s="64">
        <f>Statement!N157</f>
        <v>5956</v>
      </c>
      <c r="J60" s="64">
        <f>Statement!O157</f>
        <v>5224</v>
      </c>
      <c r="K60" s="64">
        <f>Statement!P157</f>
        <v>6040</v>
      </c>
      <c r="L60" s="64">
        <f>Statement!Q157</f>
        <v>7910</v>
      </c>
    </row>
    <row r="61" spans="2:12" x14ac:dyDescent="0.2">
      <c r="B61" s="20" t="s">
        <v>268</v>
      </c>
      <c r="C61" s="64">
        <f>Statement!H158</f>
        <v>0</v>
      </c>
      <c r="D61" s="64">
        <f>Statement!I158</f>
        <v>0</v>
      </c>
      <c r="E61" s="64">
        <f>Statement!J158</f>
        <v>0</v>
      </c>
      <c r="F61" s="64">
        <f>Statement!K158</f>
        <v>0</v>
      </c>
      <c r="G61" s="64">
        <f>Statement!L158</f>
        <v>0</v>
      </c>
      <c r="H61" s="64">
        <f>Statement!M158</f>
        <v>5635.9866783523221</v>
      </c>
      <c r="I61" s="64">
        <f>Statement!N158</f>
        <v>5577.2450066577894</v>
      </c>
      <c r="J61" s="64">
        <f>Statement!O158</f>
        <v>5466.0454478599795</v>
      </c>
      <c r="K61" s="64">
        <f>Statement!P158</f>
        <v>6225.5833213100559</v>
      </c>
      <c r="L61" s="64">
        <f>Statement!Q158</f>
        <v>8351.1422028852758</v>
      </c>
    </row>
    <row r="62" spans="2:12" x14ac:dyDescent="0.2">
      <c r="B62" s="20" t="s">
        <v>78</v>
      </c>
      <c r="C62" s="58">
        <f>Statement!H101</f>
        <v>0</v>
      </c>
      <c r="D62" s="58">
        <f>Statement!I101</f>
        <v>0</v>
      </c>
      <c r="E62" s="58">
        <f>Statement!J101</f>
        <v>0</v>
      </c>
      <c r="F62" s="58">
        <f>Statement!K101</f>
        <v>0</v>
      </c>
      <c r="G62" s="58">
        <f>Statement!L101</f>
        <v>0</v>
      </c>
      <c r="H62" s="58">
        <f>Statement!M101</f>
        <v>0.88184985745961353</v>
      </c>
      <c r="I62" s="58">
        <f>Statement!N101</f>
        <v>0.87703055776439853</v>
      </c>
      <c r="J62" s="58">
        <f>Statement!O101</f>
        <v>0.87871605955999799</v>
      </c>
      <c r="K62" s="58">
        <f>Statement!P101</f>
        <v>0.89035108114392003</v>
      </c>
      <c r="L62" s="58">
        <f>Statement!Q101</f>
        <v>0.89267533341747651</v>
      </c>
    </row>
    <row r="63" spans="2:12" x14ac:dyDescent="0.2">
      <c r="B63" s="20" t="s">
        <v>79</v>
      </c>
      <c r="C63" s="58">
        <f>Statement!H102</f>
        <v>0</v>
      </c>
      <c r="D63" s="58">
        <f>Statement!I102</f>
        <v>0</v>
      </c>
      <c r="E63" s="58">
        <f>Statement!J102</f>
        <v>0</v>
      </c>
      <c r="F63" s="58">
        <f>Statement!K102</f>
        <v>0</v>
      </c>
      <c r="G63" s="58">
        <f>Statement!L102</f>
        <v>0</v>
      </c>
      <c r="H63" s="58">
        <f>Statement!M102</f>
        <v>0.36756414317389929</v>
      </c>
      <c r="I63" s="58">
        <f>Statement!N102</f>
        <v>0.34635919572872886</v>
      </c>
      <c r="J63" s="58">
        <f>Statement!O102</f>
        <v>0.3426245556185275</v>
      </c>
      <c r="K63" s="58">
        <f>Statement!P102</f>
        <v>0.31346198558474775</v>
      </c>
      <c r="L63" s="58">
        <f>Statement!Q102</f>
        <v>0.36627540073204595</v>
      </c>
    </row>
    <row r="64" spans="2:12" x14ac:dyDescent="0.2">
      <c r="B64" s="20" t="s">
        <v>80</v>
      </c>
      <c r="C64" s="58">
        <f>Statement!H103</f>
        <v>0</v>
      </c>
      <c r="D64" s="58">
        <f>Statement!I103</f>
        <v>0</v>
      </c>
      <c r="E64" s="58">
        <f>Statement!J103</f>
        <v>0</v>
      </c>
      <c r="F64" s="58">
        <f>Statement!K103</f>
        <v>0</v>
      </c>
      <c r="G64" s="58">
        <f>Statement!L103</f>
        <v>0</v>
      </c>
      <c r="H64" s="58">
        <f>Statement!M103</f>
        <v>0.30547988596769082</v>
      </c>
      <c r="I64" s="58">
        <f>Statement!N103</f>
        <v>0.27013518118823127</v>
      </c>
      <c r="J64" s="58">
        <f>Statement!O103</f>
        <v>0.27966407336802512</v>
      </c>
      <c r="K64" s="58">
        <f>Statement!P103</f>
        <v>0.30504533829342012</v>
      </c>
      <c r="L64" s="58">
        <f>Statement!Q103</f>
        <v>0.29997054987588878</v>
      </c>
    </row>
    <row r="65" spans="2:12" x14ac:dyDescent="0.2">
      <c r="B65" s="20" t="s">
        <v>349</v>
      </c>
      <c r="C65" s="64">
        <f>Statement!H187</f>
        <v>0</v>
      </c>
      <c r="D65" s="64">
        <f>Statement!I187</f>
        <v>0</v>
      </c>
      <c r="E65" s="64">
        <f>Statement!J187</f>
        <v>0</v>
      </c>
      <c r="F65" s="64">
        <f>Statement!K187</f>
        <v>0</v>
      </c>
      <c r="G65" s="64">
        <f>Statement!L187</f>
        <v>0</v>
      </c>
      <c r="H65" s="64">
        <f>Statement!M187</f>
        <v>14573</v>
      </c>
      <c r="I65" s="64">
        <f>Statement!N187</f>
        <v>16388</v>
      </c>
      <c r="J65" s="64">
        <f>Statement!O187</f>
        <v>18284</v>
      </c>
      <c r="K65" s="64">
        <f>Statement!P187</f>
        <v>20521</v>
      </c>
      <c r="L65" s="64">
        <f>Statement!Q187</f>
        <v>22904</v>
      </c>
    </row>
    <row r="66" spans="2:12" x14ac:dyDescent="0.2">
      <c r="B66" s="20" t="s">
        <v>350</v>
      </c>
      <c r="C66" s="64">
        <f>Statement!H188</f>
        <v>0</v>
      </c>
      <c r="D66" s="64">
        <f>Statement!I188</f>
        <v>0</v>
      </c>
      <c r="E66" s="64">
        <f>Statement!J188</f>
        <v>0</v>
      </c>
      <c r="F66" s="64">
        <f>Statement!K188</f>
        <v>0</v>
      </c>
      <c r="G66" s="64">
        <f>Statement!L188</f>
        <v>0</v>
      </c>
      <c r="H66" s="64">
        <f>Statement!M188</f>
        <v>555</v>
      </c>
      <c r="I66" s="64">
        <f>Statement!N188</f>
        <v>532</v>
      </c>
      <c r="J66" s="64">
        <f>Statement!O188</f>
        <v>460</v>
      </c>
      <c r="K66" s="64">
        <f>Statement!P188</f>
        <v>386</v>
      </c>
      <c r="L66" s="64">
        <f>Statement!Q188</f>
        <v>325</v>
      </c>
    </row>
    <row r="67" spans="2:12" x14ac:dyDescent="0.2">
      <c r="B67" s="20" t="s">
        <v>351</v>
      </c>
      <c r="C67" s="64">
        <f>Statement!H189</f>
        <v>0</v>
      </c>
      <c r="D67" s="64">
        <f>Statement!I189</f>
        <v>0</v>
      </c>
      <c r="E67" s="64">
        <f>Statement!J189</f>
        <v>0</v>
      </c>
      <c r="F67" s="64">
        <f>Statement!K189</f>
        <v>0</v>
      </c>
      <c r="G67" s="64">
        <f>Statement!L189</f>
        <v>0</v>
      </c>
      <c r="H67" s="64">
        <f>Statement!M189</f>
        <v>657</v>
      </c>
      <c r="I67" s="64">
        <f>Statement!N189</f>
        <v>686</v>
      </c>
      <c r="J67" s="64">
        <f>Statement!O189</f>
        <v>665</v>
      </c>
      <c r="K67" s="64">
        <f>Statement!P189</f>
        <v>598</v>
      </c>
      <c r="L67" s="64">
        <f>Statement!Q189</f>
        <v>540</v>
      </c>
    </row>
    <row r="68" spans="2:12" x14ac:dyDescent="0.2">
      <c r="B68" s="20" t="s">
        <v>103</v>
      </c>
      <c r="C68" s="220">
        <f>Statement!H123</f>
        <v>0</v>
      </c>
      <c r="D68" s="220">
        <f>Statement!I123</f>
        <v>0</v>
      </c>
      <c r="E68" s="220">
        <f>Statement!J123</f>
        <v>0</v>
      </c>
      <c r="F68" s="220">
        <f>Statement!K123</f>
        <v>0</v>
      </c>
      <c r="G68" s="220">
        <f>Statement!L123</f>
        <v>0</v>
      </c>
      <c r="H68" s="220">
        <f>Statement!M123</f>
        <v>0.1770125913145626</v>
      </c>
      <c r="I68" s="220">
        <f>Statement!N123</f>
        <v>0.17507822565801581</v>
      </c>
      <c r="J68" s="220">
        <f>Statement!O123</f>
        <v>0.18227610060781085</v>
      </c>
      <c r="K68" s="220">
        <f>Statement!P123</f>
        <v>0.21700297717499173</v>
      </c>
      <c r="L68" s="220">
        <f>Statement!Q123</f>
        <v>0.24172769189042584</v>
      </c>
    </row>
    <row r="69" spans="2:12" x14ac:dyDescent="0.2">
      <c r="B69" s="20" t="s">
        <v>105</v>
      </c>
      <c r="C69" s="220">
        <f>Statement!H125</f>
        <v>0</v>
      </c>
      <c r="D69" s="220">
        <f>Statement!I125</f>
        <v>0</v>
      </c>
      <c r="E69" s="220">
        <f>Statement!J125</f>
        <v>0</v>
      </c>
      <c r="F69" s="220">
        <f>Statement!K125</f>
        <v>0</v>
      </c>
      <c r="G69" s="220">
        <f>Statement!L125</f>
        <v>0</v>
      </c>
      <c r="H69" s="220">
        <f>Statement!M125</f>
        <v>0.3258768669324863</v>
      </c>
      <c r="I69" s="220">
        <f>Statement!N125</f>
        <v>0.33848124688634257</v>
      </c>
      <c r="J69" s="220">
        <f>Statement!O125</f>
        <v>0.32861121201113935</v>
      </c>
      <c r="K69" s="220">
        <f>Statement!P125</f>
        <v>0.46508330379298118</v>
      </c>
      <c r="L69" s="220">
        <f>Statement!Q125</f>
        <v>0.61343887120364793</v>
      </c>
    </row>
    <row r="70" spans="2:12" x14ac:dyDescent="0.2">
      <c r="B70" s="20" t="s">
        <v>106</v>
      </c>
      <c r="C70" s="220">
        <f>Statement!H140</f>
        <v>0</v>
      </c>
      <c r="D70" s="220">
        <f>Statement!I140</f>
        <v>0</v>
      </c>
      <c r="E70" s="220">
        <f>Statement!J140</f>
        <v>0</v>
      </c>
      <c r="F70" s="220">
        <f>Statement!K140</f>
        <v>0</v>
      </c>
      <c r="G70" s="220">
        <f>Statement!L140</f>
        <v>0</v>
      </c>
      <c r="H70" s="220">
        <f>Statement!M140</f>
        <v>0.37372250254171024</v>
      </c>
      <c r="I70" s="220">
        <f>Statement!N140</f>
        <v>0.39947409853176014</v>
      </c>
      <c r="J70" s="220">
        <f>Statement!O140</f>
        <v>0.43127907781153368</v>
      </c>
      <c r="K70" s="220">
        <f>Statement!P140</f>
        <v>0.45645170265130885</v>
      </c>
      <c r="L70" s="220">
        <f>Statement!Q140</f>
        <v>0.63242055551568566</v>
      </c>
    </row>
    <row r="71" spans="2:12" x14ac:dyDescent="0.2">
      <c r="B71" s="20" t="s">
        <v>362</v>
      </c>
      <c r="C71" s="229">
        <f>Statement!H207</f>
        <v>0</v>
      </c>
      <c r="D71" s="229">
        <f>Statement!I207</f>
        <v>0</v>
      </c>
      <c r="E71" s="229">
        <f>Statement!J207</f>
        <v>0</v>
      </c>
      <c r="F71" s="229">
        <f>Statement!K207</f>
        <v>0</v>
      </c>
      <c r="G71" s="229">
        <f>Statement!L207</f>
        <v>0</v>
      </c>
      <c r="H71" s="229">
        <f>Statement!M207</f>
        <v>100</v>
      </c>
      <c r="I71" s="229">
        <f>Statement!N207</f>
        <v>51.215990950765026</v>
      </c>
      <c r="J71" s="229">
        <f>Statement!O207</f>
        <v>90.940346490444725</v>
      </c>
      <c r="K71" s="229">
        <f>Statement!P207</f>
        <v>76.483895933797697</v>
      </c>
      <c r="L71" s="229">
        <f>Statement!Q207</f>
        <v>47.258439006965524</v>
      </c>
    </row>
    <row r="72" spans="2:12" x14ac:dyDescent="0.2">
      <c r="B72" s="20" t="s">
        <v>363</v>
      </c>
      <c r="C72" s="229">
        <f>Statement!H208</f>
        <v>0</v>
      </c>
      <c r="D72" s="229">
        <f>Statement!I208</f>
        <v>0</v>
      </c>
      <c r="E72" s="229">
        <f>Statement!J208</f>
        <v>0</v>
      </c>
      <c r="F72" s="229">
        <f>Statement!K208</f>
        <v>0</v>
      </c>
      <c r="G72" s="229">
        <f>Statement!L208</f>
        <v>0</v>
      </c>
      <c r="H72" s="229">
        <f>Statement!M208</f>
        <v>100</v>
      </c>
      <c r="I72" s="229">
        <f>Statement!N208</f>
        <v>111.53626860943935</v>
      </c>
      <c r="J72" s="229">
        <f>Statement!O208</f>
        <v>122.95850490972443</v>
      </c>
      <c r="K72" s="229">
        <f>Statement!P208</f>
        <v>136.23693379790942</v>
      </c>
      <c r="L72" s="229">
        <f>Statement!Q208</f>
        <v>150.57966423820082</v>
      </c>
    </row>
    <row r="73" spans="2:12" x14ac:dyDescent="0.2">
      <c r="B73" s="20" t="s">
        <v>364</v>
      </c>
      <c r="C73" s="229">
        <f>Statement!H209</f>
        <v>0</v>
      </c>
      <c r="D73" s="229">
        <f>Statement!I209</f>
        <v>0</v>
      </c>
      <c r="E73" s="229">
        <f>Statement!J209</f>
        <v>0</v>
      </c>
      <c r="F73" s="229">
        <f>Statement!K209</f>
        <v>0</v>
      </c>
      <c r="G73" s="229">
        <f>Statement!L209</f>
        <v>0</v>
      </c>
      <c r="H73" s="229">
        <f>Statement!M209</f>
        <v>100</v>
      </c>
      <c r="I73" s="229">
        <f>Statement!N209</f>
        <v>100.79840319361277</v>
      </c>
      <c r="J73" s="229">
        <f>Statement!O209</f>
        <v>117.96407185628743</v>
      </c>
      <c r="K73" s="229">
        <f>Statement!P209</f>
        <v>145.4868041694389</v>
      </c>
      <c r="L73" s="229">
        <f>Statement!Q209</f>
        <v>166.66666666666666</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49"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30.08.2024</v>
      </c>
      <c r="D55" s="10" t="str">
        <f>Statement!U2</f>
        <v>29.11.2024</v>
      </c>
      <c r="E55" s="10" t="str">
        <f>Statement!V2</f>
        <v>28.02.2025</v>
      </c>
      <c r="F55" s="10" t="str">
        <f>Statement!W2</f>
        <v>30.05.2025</v>
      </c>
      <c r="G55" s="10" t="str">
        <f>Statement!X2</f>
        <v>29.08.2025</v>
      </c>
      <c r="H55" s="10" t="str">
        <f>Statement!Y2</f>
        <v>28.11.2025</v>
      </c>
      <c r="I55" s="10" t="str">
        <f>Statement!Z2</f>
        <v>27.02.2026</v>
      </c>
      <c r="J55" s="10" t="str">
        <f>Statement!AA2</f>
        <v>29.05.2026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5408</v>
      </c>
      <c r="D57" s="64">
        <f>Statement!U5</f>
        <v>5606</v>
      </c>
      <c r="E57" s="64">
        <f>Statement!V5</f>
        <v>5714</v>
      </c>
      <c r="F57" s="64">
        <f>Statement!W5</f>
        <v>5873</v>
      </c>
      <c r="G57" s="64">
        <f>Statement!X5</f>
        <v>5988</v>
      </c>
      <c r="H57" s="64">
        <f>Statement!Y5</f>
        <v>6194</v>
      </c>
      <c r="I57" s="64">
        <f>Statement!Z5</f>
        <v>6398</v>
      </c>
      <c r="J57" s="64">
        <f>Statement!AA5</f>
        <v>6618</v>
      </c>
    </row>
    <row r="58" spans="2:10" x14ac:dyDescent="0.2">
      <c r="B58" s="20" t="s">
        <v>26</v>
      </c>
      <c r="C58" s="64">
        <f>Statement!T12</f>
        <v>1992</v>
      </c>
      <c r="D58" s="64">
        <f>Statement!U12</f>
        <v>1957</v>
      </c>
      <c r="E58" s="64">
        <f>Statement!V12</f>
        <v>2163</v>
      </c>
      <c r="F58" s="64">
        <f>Statement!W12</f>
        <v>2109</v>
      </c>
      <c r="G58" s="64">
        <f>Statement!X12</f>
        <v>2173</v>
      </c>
      <c r="H58" s="64">
        <f>Statement!Y12</f>
        <v>2261</v>
      </c>
      <c r="I58" s="64">
        <f>Statement!Z12</f>
        <v>2418</v>
      </c>
      <c r="J58" s="64">
        <f>Statement!AA12</f>
        <v>2238</v>
      </c>
    </row>
    <row r="59" spans="2:10" x14ac:dyDescent="0.2">
      <c r="B59" s="20" t="s">
        <v>31</v>
      </c>
      <c r="C59" s="64">
        <f>Statement!T18</f>
        <v>1684</v>
      </c>
      <c r="D59" s="64">
        <f>Statement!U18</f>
        <v>1683</v>
      </c>
      <c r="E59" s="64">
        <f>Statement!V18</f>
        <v>1811</v>
      </c>
      <c r="F59" s="64">
        <f>Statement!W18</f>
        <v>1691</v>
      </c>
      <c r="G59" s="64">
        <f>Statement!X18</f>
        <v>1772</v>
      </c>
      <c r="H59" s="64">
        <f>Statement!Y18</f>
        <v>1856</v>
      </c>
      <c r="I59" s="64">
        <f>Statement!Z18</f>
        <v>1889</v>
      </c>
      <c r="J59" s="64">
        <f>Statement!AA18</f>
        <v>1712</v>
      </c>
    </row>
    <row r="60" spans="2:10" x14ac:dyDescent="0.2">
      <c r="B60" s="20" t="s">
        <v>78</v>
      </c>
      <c r="C60" s="58">
        <f>Statement!T101</f>
        <v>0.8975591715976331</v>
      </c>
      <c r="D60" s="58">
        <f>Statement!U101</f>
        <v>0.89011773100249736</v>
      </c>
      <c r="E60" s="58">
        <f>Statement!V101</f>
        <v>0.89114455722786134</v>
      </c>
      <c r="F60" s="58">
        <f>Statement!W101</f>
        <v>0.89136727396560533</v>
      </c>
      <c r="G60" s="58">
        <f>Statement!X101</f>
        <v>0.89278557114228452</v>
      </c>
      <c r="H60" s="58">
        <f>Statement!Y101</f>
        <v>0.89522118178882792</v>
      </c>
      <c r="I60" s="58">
        <f>Statement!Z101</f>
        <v>0.89621756798999686</v>
      </c>
      <c r="J60" s="58">
        <f>Statement!AA101</f>
        <v>0.89196131761861586</v>
      </c>
    </row>
    <row r="61" spans="2:10" x14ac:dyDescent="0.2">
      <c r="B61" s="20" t="s">
        <v>79</v>
      </c>
      <c r="C61" s="58">
        <f>Statement!T102</f>
        <v>0.36834319526627218</v>
      </c>
      <c r="D61" s="58">
        <f>Statement!U102</f>
        <v>0.34909026043524793</v>
      </c>
      <c r="E61" s="58">
        <f>Statement!V102</f>
        <v>0.37854392719635982</v>
      </c>
      <c r="F61" s="58">
        <f>Statement!W102</f>
        <v>0.35910097054316364</v>
      </c>
      <c r="G61" s="58">
        <f>Statement!X102</f>
        <v>0.36289245156980626</v>
      </c>
      <c r="H61" s="58">
        <f>Statement!Y102</f>
        <v>0.36503067484662577</v>
      </c>
      <c r="I61" s="58">
        <f>Statement!Z102</f>
        <v>0.37793060331353551</v>
      </c>
      <c r="J61" s="58">
        <f>Statement!AA102</f>
        <v>0.33816863100634631</v>
      </c>
    </row>
    <row r="62" spans="2:10" x14ac:dyDescent="0.2">
      <c r="B62" s="20" t="s">
        <v>80</v>
      </c>
      <c r="C62" s="58">
        <f>Statement!T103</f>
        <v>0.31139053254437871</v>
      </c>
      <c r="D62" s="58">
        <f>Statement!U103</f>
        <v>0.30021405636817694</v>
      </c>
      <c r="E62" s="58">
        <f>Statement!V103</f>
        <v>0.31694084704235209</v>
      </c>
      <c r="F62" s="58">
        <f>Statement!W103</f>
        <v>0.28792780521028433</v>
      </c>
      <c r="G62" s="58">
        <f>Statement!X103</f>
        <v>0.29592518370073478</v>
      </c>
      <c r="H62" s="58">
        <f>Statement!Y103</f>
        <v>0.29964481756538586</v>
      </c>
      <c r="I62" s="58">
        <f>Statement!Z103</f>
        <v>0.29524851516098782</v>
      </c>
      <c r="J62" s="58">
        <f>Statement!AA103</f>
        <v>0.25868842550619525</v>
      </c>
    </row>
    <row r="63" spans="2:10" x14ac:dyDescent="0.2">
      <c r="B63" s="20" t="s">
        <v>349</v>
      </c>
      <c r="C63" s="64">
        <f>Statement!T187</f>
        <v>5180</v>
      </c>
      <c r="D63" s="64">
        <f>Statement!U187</f>
        <v>5365</v>
      </c>
      <c r="E63" s="64">
        <f>Statement!V187</f>
        <v>5483</v>
      </c>
      <c r="F63" s="64">
        <f>Statement!W187</f>
        <v>5641</v>
      </c>
      <c r="G63" s="64">
        <f>Statement!X187</f>
        <v>5791</v>
      </c>
      <c r="H63" s="64">
        <f>Statement!Y187</f>
        <v>5989</v>
      </c>
      <c r="I63" s="64">
        <f>Statement!Z187</f>
        <v>6198</v>
      </c>
      <c r="J63" s="64">
        <f>Statement!AA187</f>
        <v>6416</v>
      </c>
    </row>
    <row r="64" spans="2:10" x14ac:dyDescent="0.2">
      <c r="B64" s="20" t="s">
        <v>350</v>
      </c>
      <c r="C64" s="64">
        <f>Statement!T188</f>
        <v>82</v>
      </c>
      <c r="D64" s="64">
        <f>Statement!U188</f>
        <v>81</v>
      </c>
      <c r="E64" s="64">
        <f>Statement!V188</f>
        <v>95</v>
      </c>
      <c r="F64" s="64">
        <f>Statement!W188</f>
        <v>88</v>
      </c>
      <c r="G64" s="64">
        <f>Statement!X188</f>
        <v>68</v>
      </c>
      <c r="H64" s="64">
        <f>Statement!Y188</f>
        <v>74</v>
      </c>
      <c r="I64" s="64">
        <f>Statement!Z188</f>
        <v>90</v>
      </c>
      <c r="J64" s="64">
        <f>Statement!AA188</f>
        <v>89</v>
      </c>
    </row>
    <row r="65" spans="2:10" x14ac:dyDescent="0.2">
      <c r="B65" s="20" t="s">
        <v>351</v>
      </c>
      <c r="C65" s="64">
        <f>Statement!T189</f>
        <v>146</v>
      </c>
      <c r="D65" s="64">
        <f>Statement!U189</f>
        <v>160</v>
      </c>
      <c r="E65" s="64">
        <f>Statement!V189</f>
        <v>136</v>
      </c>
      <c r="F65" s="64">
        <f>Statement!W189</f>
        <v>144</v>
      </c>
      <c r="G65" s="64">
        <f>Statement!X189</f>
        <v>129</v>
      </c>
      <c r="H65" s="64">
        <f>Statement!Y189</f>
        <v>131</v>
      </c>
      <c r="I65" s="64">
        <f>Statement!Z189</f>
        <v>110</v>
      </c>
      <c r="J65" s="64">
        <f>Statement!AA189</f>
        <v>113</v>
      </c>
    </row>
    <row r="66" spans="2:10" x14ac:dyDescent="0.2">
      <c r="B66" s="20" t="s">
        <v>267</v>
      </c>
      <c r="C66" s="64">
        <f>Statement!T157</f>
        <v>0</v>
      </c>
      <c r="D66" s="64">
        <f>Statement!U157</f>
        <v>0</v>
      </c>
      <c r="E66" s="64">
        <f>Statement!V157</f>
        <v>1981</v>
      </c>
      <c r="F66" s="64">
        <f>Statement!W157</f>
        <v>1663</v>
      </c>
      <c r="G66" s="64">
        <f>Statement!X157</f>
        <v>1629</v>
      </c>
      <c r="H66" s="64">
        <f>Statement!Y157</f>
        <v>2637</v>
      </c>
      <c r="I66" s="64">
        <f>Statement!Z157</f>
        <v>2412</v>
      </c>
      <c r="J66" s="64">
        <f>Statement!AA157</f>
        <v>1501</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8"/>
  <sheetViews>
    <sheetView zoomScale="184" zoomScaleNormal="75" workbookViewId="0">
      <selection activeCell="AA9" sqref="AA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113</v>
      </c>
      <c r="O1" s="84"/>
    </row>
    <row r="2" spans="1:31" x14ac:dyDescent="0.2">
      <c r="A2" s="4"/>
      <c r="C2" s="232" t="s">
        <v>114</v>
      </c>
      <c r="D2" s="232"/>
      <c r="E2" s="232"/>
      <c r="F2" s="232"/>
      <c r="G2" s="244"/>
      <c r="H2" s="245" t="s">
        <v>115</v>
      </c>
      <c r="I2" s="232"/>
      <c r="J2" s="232"/>
      <c r="K2" s="232"/>
      <c r="L2" s="232"/>
      <c r="O2" s="5"/>
      <c r="S2" s="232" t="s">
        <v>114</v>
      </c>
      <c r="T2" s="232"/>
      <c r="U2" s="232"/>
      <c r="V2" s="232"/>
      <c r="W2" s="232"/>
      <c r="X2" s="232"/>
      <c r="Y2" s="232"/>
      <c r="Z2" s="232"/>
      <c r="AA2" s="232" t="s">
        <v>115</v>
      </c>
      <c r="AB2" s="232"/>
      <c r="AC2" s="232"/>
      <c r="AE2" s="85" t="s">
        <v>116</v>
      </c>
    </row>
    <row r="3" spans="1:31" ht="10" customHeight="1" x14ac:dyDescent="0.2">
      <c r="O3" s="5"/>
    </row>
    <row r="4" spans="1:31" ht="16" customHeight="1" x14ac:dyDescent="0.2">
      <c r="A4" s="86"/>
      <c r="B4" s="60"/>
      <c r="C4" s="241" t="s">
        <v>117</v>
      </c>
      <c r="D4" s="241"/>
      <c r="E4" s="241"/>
      <c r="F4" s="241"/>
      <c r="G4" s="241"/>
      <c r="H4" s="241"/>
      <c r="I4" s="241"/>
      <c r="J4" s="241"/>
      <c r="K4" s="241"/>
      <c r="L4" s="241"/>
      <c r="O4" s="5"/>
      <c r="S4" s="242" t="s">
        <v>117</v>
      </c>
      <c r="T4" s="243"/>
      <c r="U4" s="243"/>
      <c r="V4" s="243"/>
      <c r="W4" s="243"/>
      <c r="X4" s="243"/>
      <c r="Y4" s="243"/>
      <c r="Z4" s="243"/>
      <c r="AA4" s="243"/>
      <c r="AB4" s="243"/>
      <c r="AC4" s="243"/>
      <c r="AE4" s="87"/>
    </row>
    <row r="5" spans="1:31" x14ac:dyDescent="0.2">
      <c r="B5" s="16" t="s">
        <v>118</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119</v>
      </c>
      <c r="AB5" s="12" t="s">
        <v>120</v>
      </c>
      <c r="AC5" s="12" t="s">
        <v>121</v>
      </c>
      <c r="AE5" s="8" t="s">
        <v>119</v>
      </c>
    </row>
    <row r="6" spans="1:31" x14ac:dyDescent="0.2">
      <c r="B6" s="1" t="str">
        <f>Statement!B187</f>
        <v>Subscription</v>
      </c>
      <c r="C6" s="88">
        <f>Statement!M187</f>
        <v>14573</v>
      </c>
      <c r="D6" s="88">
        <f>Statement!N187</f>
        <v>16388</v>
      </c>
      <c r="E6" s="88">
        <f>Statement!O187</f>
        <v>18284</v>
      </c>
      <c r="F6" s="88">
        <f>Statement!P187</f>
        <v>20521</v>
      </c>
      <c r="G6" s="89">
        <f>Statement!Q187</f>
        <v>22904</v>
      </c>
      <c r="H6" s="64">
        <f>G6*(1+H13)</f>
        <v>25789.903999999999</v>
      </c>
      <c r="I6" s="64">
        <f t="shared" ref="I6:L6" si="1">H6*(1+I13)</f>
        <v>28884.692480000002</v>
      </c>
      <c r="J6" s="64">
        <f t="shared" si="1"/>
        <v>32062.008652800003</v>
      </c>
      <c r="K6" s="64">
        <f t="shared" si="1"/>
        <v>35396.457552691209</v>
      </c>
      <c r="L6" s="64">
        <f t="shared" si="1"/>
        <v>38936.103307960329</v>
      </c>
      <c r="N6" s="90" t="s">
        <v>404</v>
      </c>
      <c r="O6" s="5"/>
      <c r="Q6" s="90" t="s">
        <v>404</v>
      </c>
      <c r="R6" s="1" t="str">
        <f>B6</f>
        <v>Subscription</v>
      </c>
      <c r="S6" s="88">
        <f>Statement!T187</f>
        <v>5180</v>
      </c>
      <c r="T6" s="88">
        <f>Statement!U187</f>
        <v>5365</v>
      </c>
      <c r="U6" s="88">
        <f>Statement!V187</f>
        <v>5483</v>
      </c>
      <c r="V6" s="88">
        <f>Statement!W187</f>
        <v>5641</v>
      </c>
      <c r="W6" s="88">
        <f>Statement!X187</f>
        <v>5791</v>
      </c>
      <c r="X6" s="88">
        <f>Statement!Y187</f>
        <v>5989</v>
      </c>
      <c r="Y6" s="88">
        <f>Statement!Z187</f>
        <v>6198</v>
      </c>
      <c r="Z6" s="89">
        <f>Statement!AA187</f>
        <v>6416</v>
      </c>
      <c r="AA6" s="64">
        <f>Z6*(1+AA13)</f>
        <v>6512.24</v>
      </c>
      <c r="AB6" s="64"/>
      <c r="AC6" s="64"/>
      <c r="AE6" s="64">
        <f>SUM(X6:AA6)</f>
        <v>25115.239999999998</v>
      </c>
    </row>
    <row r="7" spans="1:31" x14ac:dyDescent="0.2">
      <c r="B7" s="1" t="str">
        <f>Statement!B188</f>
        <v>Product</v>
      </c>
      <c r="C7" s="88">
        <f>Statement!M188</f>
        <v>555</v>
      </c>
      <c r="D7" s="88">
        <f>Statement!N188</f>
        <v>532</v>
      </c>
      <c r="E7" s="88">
        <f>Statement!O188</f>
        <v>460</v>
      </c>
      <c r="F7" s="88">
        <f>Statement!P188</f>
        <v>386</v>
      </c>
      <c r="G7" s="89">
        <f>Statement!Q188</f>
        <v>325</v>
      </c>
      <c r="H7" s="64">
        <f t="shared" ref="H7:L7" si="2">G7*(1+H14)</f>
        <v>269.75</v>
      </c>
      <c r="I7" s="64">
        <f t="shared" si="2"/>
        <v>226.59</v>
      </c>
      <c r="J7" s="64">
        <f t="shared" si="2"/>
        <v>192.60149999999999</v>
      </c>
      <c r="K7" s="64">
        <f t="shared" si="2"/>
        <v>163.71127499999997</v>
      </c>
      <c r="L7" s="64">
        <f t="shared" si="2"/>
        <v>140.79169649999997</v>
      </c>
      <c r="N7" s="90" t="s">
        <v>405</v>
      </c>
      <c r="O7" s="5"/>
      <c r="Q7" s="90" t="s">
        <v>405</v>
      </c>
      <c r="R7" s="1" t="str">
        <f t="shared" ref="R7:R8" si="3">B7</f>
        <v>Product</v>
      </c>
      <c r="S7" s="88">
        <f>Statement!T188</f>
        <v>82</v>
      </c>
      <c r="T7" s="88">
        <f>Statement!U188</f>
        <v>81</v>
      </c>
      <c r="U7" s="88">
        <f>Statement!V188</f>
        <v>95</v>
      </c>
      <c r="V7" s="88">
        <f>Statement!W188</f>
        <v>88</v>
      </c>
      <c r="W7" s="88">
        <f>Statement!X188</f>
        <v>68</v>
      </c>
      <c r="X7" s="88">
        <f>Statement!Y188</f>
        <v>74</v>
      </c>
      <c r="Y7" s="88">
        <f>Statement!Z188</f>
        <v>90</v>
      </c>
      <c r="Z7" s="89">
        <f>Statement!AA188</f>
        <v>89</v>
      </c>
      <c r="AA7" s="64">
        <f t="shared" ref="AA7:AA8" si="4">Z7*(1+AA14)</f>
        <v>78.320000000000007</v>
      </c>
      <c r="AB7" s="64"/>
      <c r="AC7" s="64"/>
      <c r="AE7" s="64">
        <f t="shared" ref="AE7:AE8" si="5">SUM(X7:AA7)</f>
        <v>331.32</v>
      </c>
    </row>
    <row r="8" spans="1:31" x14ac:dyDescent="0.2">
      <c r="B8" s="1" t="str">
        <f>Statement!B189</f>
        <v>Services &amp; Other</v>
      </c>
      <c r="C8" s="88">
        <f>Statement!M189</f>
        <v>657</v>
      </c>
      <c r="D8" s="88">
        <f>Statement!N189</f>
        <v>686</v>
      </c>
      <c r="E8" s="88">
        <f>Statement!O189</f>
        <v>665</v>
      </c>
      <c r="F8" s="88">
        <f>Statement!P189</f>
        <v>598</v>
      </c>
      <c r="G8" s="89">
        <f>Statement!Q189</f>
        <v>540</v>
      </c>
      <c r="H8" s="64">
        <f t="shared" ref="H8:L8" si="6">G8*(1+H15)</f>
        <v>480.6</v>
      </c>
      <c r="I8" s="64">
        <f t="shared" si="6"/>
        <v>427.73400000000004</v>
      </c>
      <c r="J8" s="64">
        <f t="shared" si="6"/>
        <v>384.96060000000006</v>
      </c>
      <c r="K8" s="64">
        <f t="shared" si="6"/>
        <v>346.46454000000006</v>
      </c>
      <c r="L8" s="64">
        <f t="shared" si="6"/>
        <v>311.81808600000005</v>
      </c>
      <c r="N8" s="90" t="s">
        <v>406</v>
      </c>
      <c r="O8" s="5"/>
      <c r="Q8" s="90" t="s">
        <v>406</v>
      </c>
      <c r="R8" s="1" t="str">
        <f t="shared" si="3"/>
        <v>Services &amp; Other</v>
      </c>
      <c r="S8" s="88">
        <f>Statement!T189</f>
        <v>146</v>
      </c>
      <c r="T8" s="88">
        <f>Statement!U189</f>
        <v>160</v>
      </c>
      <c r="U8" s="88">
        <f>Statement!V189</f>
        <v>136</v>
      </c>
      <c r="V8" s="88">
        <f>Statement!W189</f>
        <v>144</v>
      </c>
      <c r="W8" s="88">
        <f>Statement!X189</f>
        <v>129</v>
      </c>
      <c r="X8" s="88">
        <f>Statement!Y189</f>
        <v>131</v>
      </c>
      <c r="Y8" s="88">
        <f>Statement!Z189</f>
        <v>110</v>
      </c>
      <c r="Z8" s="89">
        <f>Statement!AA189</f>
        <v>113</v>
      </c>
      <c r="AA8" s="64">
        <f t="shared" si="4"/>
        <v>96.05</v>
      </c>
      <c r="AB8" s="64"/>
      <c r="AC8" s="64"/>
      <c r="AE8" s="64">
        <f t="shared" si="5"/>
        <v>450.05</v>
      </c>
    </row>
    <row r="9" spans="1:31" x14ac:dyDescent="0.2">
      <c r="B9" s="16" t="s">
        <v>122</v>
      </c>
      <c r="C9" s="92">
        <f>Statement!M5</f>
        <v>15785</v>
      </c>
      <c r="D9" s="92">
        <f>Statement!N5</f>
        <v>17606</v>
      </c>
      <c r="E9" s="92">
        <f>Statement!O5</f>
        <v>19409</v>
      </c>
      <c r="F9" s="92">
        <f>Statement!P5</f>
        <v>21505</v>
      </c>
      <c r="G9" s="93">
        <f>Statement!Q5</f>
        <v>23769</v>
      </c>
      <c r="H9" s="94">
        <f>SUM(H6:H8)</f>
        <v>26540.253999999997</v>
      </c>
      <c r="I9" s="94">
        <f t="shared" ref="I9:L9" si="7">SUM(I6:I8)</f>
        <v>29539.016480000002</v>
      </c>
      <c r="J9" s="94">
        <f t="shared" si="7"/>
        <v>32639.570752800002</v>
      </c>
      <c r="K9" s="94">
        <f t="shared" si="7"/>
        <v>35906.633367691211</v>
      </c>
      <c r="L9" s="94">
        <f t="shared" si="7"/>
        <v>39388.713090460325</v>
      </c>
      <c r="O9" s="5"/>
      <c r="R9" s="16" t="s">
        <v>122</v>
      </c>
      <c r="S9" s="92">
        <f>Statement!T5</f>
        <v>5408</v>
      </c>
      <c r="T9" s="92">
        <f>Statement!U5</f>
        <v>5606</v>
      </c>
      <c r="U9" s="92">
        <f>Statement!V5</f>
        <v>5714</v>
      </c>
      <c r="V9" s="92">
        <f>Statement!W5</f>
        <v>5873</v>
      </c>
      <c r="W9" s="92">
        <f>Statement!X5</f>
        <v>5988</v>
      </c>
      <c r="X9" s="92">
        <f>Statement!Y5</f>
        <v>6194</v>
      </c>
      <c r="Y9" s="92">
        <f>Statement!Z5</f>
        <v>6398</v>
      </c>
      <c r="Z9" s="93">
        <f>Statement!AA5</f>
        <v>6618</v>
      </c>
      <c r="AA9" s="94">
        <f>SUM(AA6:AA8)</f>
        <v>6686.61</v>
      </c>
      <c r="AB9" s="94"/>
      <c r="AC9" s="94"/>
      <c r="AE9" s="94">
        <f>SUM(X9:AA9)</f>
        <v>25896.61</v>
      </c>
    </row>
    <row r="10" spans="1:31" x14ac:dyDescent="0.2">
      <c r="O10" s="5"/>
      <c r="Q10" s="91"/>
    </row>
    <row r="11" spans="1:31" x14ac:dyDescent="0.2">
      <c r="C11" s="241" t="s">
        <v>123</v>
      </c>
      <c r="D11" s="241"/>
      <c r="E11" s="241"/>
      <c r="F11" s="241"/>
      <c r="G11" s="241"/>
      <c r="H11" s="241"/>
      <c r="I11" s="241"/>
      <c r="J11" s="241"/>
      <c r="K11" s="241"/>
      <c r="L11" s="241"/>
      <c r="O11" s="5"/>
      <c r="Q11" s="91"/>
      <c r="S11" s="242" t="s">
        <v>123</v>
      </c>
      <c r="T11" s="243"/>
      <c r="U11" s="243"/>
      <c r="V11" s="243"/>
      <c r="W11" s="243"/>
      <c r="X11" s="243"/>
      <c r="Y11" s="243"/>
      <c r="Z11" s="243"/>
      <c r="AA11" s="243"/>
      <c r="AB11" s="243"/>
      <c r="AC11" s="243"/>
    </row>
    <row r="12" spans="1:31" x14ac:dyDescent="0.2">
      <c r="B12" s="16" t="s">
        <v>124</v>
      </c>
      <c r="C12" s="12">
        <f t="shared" ref="C12:L12" si="8">C5</f>
        <v>2021</v>
      </c>
      <c r="D12" s="12">
        <f t="shared" si="8"/>
        <v>2022</v>
      </c>
      <c r="E12" s="12">
        <f t="shared" si="8"/>
        <v>2023</v>
      </c>
      <c r="F12" s="12">
        <f t="shared" si="8"/>
        <v>2024</v>
      </c>
      <c r="G12" s="12">
        <f t="shared" si="8"/>
        <v>2025</v>
      </c>
      <c r="H12" s="12">
        <f t="shared" si="8"/>
        <v>2026</v>
      </c>
      <c r="I12" s="12">
        <f t="shared" si="8"/>
        <v>2027</v>
      </c>
      <c r="J12" s="12">
        <f t="shared" si="8"/>
        <v>2028</v>
      </c>
      <c r="K12" s="12">
        <f t="shared" si="8"/>
        <v>2029</v>
      </c>
      <c r="L12" s="12">
        <f t="shared" si="8"/>
        <v>2030</v>
      </c>
      <c r="O12" s="5"/>
      <c r="Q12" s="91"/>
      <c r="R12" s="16" t="s">
        <v>124</v>
      </c>
      <c r="S12" s="12" t="str">
        <f t="shared" ref="S12:AC12" si="9">S5</f>
        <v>Q3 2024</v>
      </c>
      <c r="T12" s="12" t="str">
        <f t="shared" si="9"/>
        <v>Q4 2024</v>
      </c>
      <c r="U12" s="12" t="str">
        <f t="shared" si="9"/>
        <v>Q1 2025</v>
      </c>
      <c r="V12" s="12" t="str">
        <f t="shared" si="9"/>
        <v>Q2 2025</v>
      </c>
      <c r="W12" s="12" t="str">
        <f t="shared" si="9"/>
        <v>Q3 2025</v>
      </c>
      <c r="X12" s="12" t="str">
        <f t="shared" si="9"/>
        <v>Q4 2025</v>
      </c>
      <c r="Y12" s="12" t="str">
        <f t="shared" si="9"/>
        <v>Q1 2026</v>
      </c>
      <c r="Z12" s="12" t="str">
        <f t="shared" si="9"/>
        <v>Q2 2026</v>
      </c>
      <c r="AA12" s="12" t="str">
        <f t="shared" si="9"/>
        <v>FQ1</v>
      </c>
      <c r="AB12" s="12" t="str">
        <f t="shared" si="9"/>
        <v>FQ2</v>
      </c>
      <c r="AC12" s="12" t="str">
        <f t="shared" si="9"/>
        <v>FQ3</v>
      </c>
    </row>
    <row r="13" spans="1:31" x14ac:dyDescent="0.2">
      <c r="B13" s="1" t="str">
        <f>B6</f>
        <v>Subscription</v>
      </c>
      <c r="C13" s="47"/>
      <c r="D13" s="95">
        <f t="shared" ref="D13:G13" si="10">D6/C6-1</f>
        <v>0.12454539216359017</v>
      </c>
      <c r="E13" s="95">
        <f t="shared" si="10"/>
        <v>0.11569441054430074</v>
      </c>
      <c r="F13" s="95">
        <f t="shared" si="10"/>
        <v>0.12234740756945972</v>
      </c>
      <c r="G13" s="96">
        <f t="shared" si="10"/>
        <v>0.11612494517811034</v>
      </c>
      <c r="H13" s="97">
        <v>0.126</v>
      </c>
      <c r="I13" s="97">
        <v>0.12</v>
      </c>
      <c r="J13" s="97">
        <v>0.11</v>
      </c>
      <c r="K13" s="97">
        <v>0.104</v>
      </c>
      <c r="L13" s="97">
        <v>0.1</v>
      </c>
      <c r="O13" s="5"/>
      <c r="Q13" s="91"/>
      <c r="R13" s="1" t="str">
        <f>R6</f>
        <v>Subscription</v>
      </c>
      <c r="S13" s="47"/>
      <c r="T13" s="95">
        <f t="shared" ref="T13:AA16" si="11">T6/S6-1</f>
        <v>3.5714285714285809E-2</v>
      </c>
      <c r="U13" s="95">
        <f t="shared" si="11"/>
        <v>2.1994408201304827E-2</v>
      </c>
      <c r="V13" s="95">
        <f t="shared" si="11"/>
        <v>2.8816341418931302E-2</v>
      </c>
      <c r="W13" s="95">
        <f t="shared" si="11"/>
        <v>2.659102995922713E-2</v>
      </c>
      <c r="X13" s="95">
        <f t="shared" si="11"/>
        <v>3.4190986012778479E-2</v>
      </c>
      <c r="Y13" s="95">
        <f t="shared" si="11"/>
        <v>3.4897311738186776E-2</v>
      </c>
      <c r="Z13" s="96">
        <f t="shared" si="11"/>
        <v>3.5172636334301455E-2</v>
      </c>
      <c r="AA13" s="97">
        <v>1.4999999999999999E-2</v>
      </c>
      <c r="AB13" s="95"/>
      <c r="AC13" s="95"/>
    </row>
    <row r="14" spans="1:31" x14ac:dyDescent="0.2">
      <c r="B14" s="1" t="str">
        <f>B7</f>
        <v>Product</v>
      </c>
      <c r="C14" s="47"/>
      <c r="D14" s="95">
        <f t="shared" ref="D14:G14" si="12">D7/C7-1</f>
        <v>-4.1441441441441462E-2</v>
      </c>
      <c r="E14" s="95">
        <f t="shared" si="12"/>
        <v>-0.13533834586466165</v>
      </c>
      <c r="F14" s="95">
        <f t="shared" si="12"/>
        <v>-0.16086956521739126</v>
      </c>
      <c r="G14" s="96">
        <f t="shared" si="12"/>
        <v>-0.15803108808290156</v>
      </c>
      <c r="H14" s="97">
        <v>-0.17</v>
      </c>
      <c r="I14" s="97">
        <v>-0.16</v>
      </c>
      <c r="J14" s="97">
        <v>-0.15</v>
      </c>
      <c r="K14" s="97">
        <v>-0.15</v>
      </c>
      <c r="L14" s="97">
        <v>-0.14000000000000001</v>
      </c>
      <c r="O14" s="5"/>
      <c r="Q14" s="91"/>
      <c r="R14" s="1" t="str">
        <f>R7</f>
        <v>Product</v>
      </c>
      <c r="S14" s="47"/>
      <c r="T14" s="95">
        <f t="shared" si="11"/>
        <v>-1.2195121951219523E-2</v>
      </c>
      <c r="U14" s="95">
        <f t="shared" si="11"/>
        <v>0.17283950617283961</v>
      </c>
      <c r="V14" s="95">
        <f t="shared" si="11"/>
        <v>-7.3684210526315796E-2</v>
      </c>
      <c r="W14" s="95">
        <f t="shared" si="11"/>
        <v>-0.22727272727272729</v>
      </c>
      <c r="X14" s="95">
        <f t="shared" si="11"/>
        <v>8.8235294117646967E-2</v>
      </c>
      <c r="Y14" s="95">
        <f t="shared" si="11"/>
        <v>0.21621621621621623</v>
      </c>
      <c r="Z14" s="96">
        <f t="shared" si="11"/>
        <v>-1.1111111111111072E-2</v>
      </c>
      <c r="AA14" s="97">
        <v>-0.12</v>
      </c>
      <c r="AB14" s="95"/>
      <c r="AC14" s="95"/>
    </row>
    <row r="15" spans="1:31" x14ac:dyDescent="0.2">
      <c r="B15" s="1" t="str">
        <f>B8</f>
        <v>Services &amp; Other</v>
      </c>
      <c r="C15" s="47"/>
      <c r="D15" s="95">
        <f t="shared" ref="D15:G15" si="13">D8/C8-1</f>
        <v>4.4140030441400357E-2</v>
      </c>
      <c r="E15" s="95">
        <f t="shared" si="13"/>
        <v>-3.0612244897959218E-2</v>
      </c>
      <c r="F15" s="95">
        <f t="shared" si="13"/>
        <v>-0.10075187969924815</v>
      </c>
      <c r="G15" s="96">
        <f t="shared" si="13"/>
        <v>-9.6989966555183993E-2</v>
      </c>
      <c r="H15" s="97">
        <v>-0.11</v>
      </c>
      <c r="I15" s="97">
        <v>-0.11</v>
      </c>
      <c r="J15" s="97">
        <v>-0.1</v>
      </c>
      <c r="K15" s="97">
        <v>-0.1</v>
      </c>
      <c r="L15" s="97">
        <v>-0.1</v>
      </c>
      <c r="O15" s="5"/>
      <c r="Q15" s="91"/>
      <c r="R15" s="1" t="str">
        <f>R8</f>
        <v>Services &amp; Other</v>
      </c>
      <c r="S15" s="47"/>
      <c r="T15" s="95">
        <f t="shared" si="11"/>
        <v>9.5890410958904049E-2</v>
      </c>
      <c r="U15" s="95">
        <f t="shared" si="11"/>
        <v>-0.15000000000000002</v>
      </c>
      <c r="V15" s="95">
        <f t="shared" si="11"/>
        <v>5.8823529411764719E-2</v>
      </c>
      <c r="W15" s="95">
        <f t="shared" si="11"/>
        <v>-0.10416666666666663</v>
      </c>
      <c r="X15" s="95">
        <f t="shared" si="11"/>
        <v>1.5503875968992276E-2</v>
      </c>
      <c r="Y15" s="95">
        <f t="shared" si="11"/>
        <v>-0.16030534351145043</v>
      </c>
      <c r="Z15" s="96">
        <f t="shared" si="11"/>
        <v>2.7272727272727337E-2</v>
      </c>
      <c r="AA15" s="97">
        <v>-0.15</v>
      </c>
      <c r="AB15" s="95"/>
      <c r="AC15" s="95"/>
    </row>
    <row r="16" spans="1:31" x14ac:dyDescent="0.2">
      <c r="B16" s="16" t="str">
        <f>B9</f>
        <v>Total</v>
      </c>
      <c r="C16" s="47"/>
      <c r="D16" s="103">
        <f t="shared" ref="D16:L16" si="14">D9/C9-1</f>
        <v>0.11536268609439349</v>
      </c>
      <c r="E16" s="103">
        <f t="shared" si="14"/>
        <v>0.10240826990798602</v>
      </c>
      <c r="F16" s="103">
        <f t="shared" si="14"/>
        <v>0.10799113813179462</v>
      </c>
      <c r="G16" s="104">
        <f t="shared" si="14"/>
        <v>0.10527784236224136</v>
      </c>
      <c r="H16" s="103">
        <f t="shared" si="14"/>
        <v>0.11659110606251821</v>
      </c>
      <c r="I16" s="103">
        <f t="shared" si="14"/>
        <v>0.11298921555159214</v>
      </c>
      <c r="J16" s="103">
        <f t="shared" si="14"/>
        <v>0.10496470912967926</v>
      </c>
      <c r="K16" s="103">
        <f t="shared" si="14"/>
        <v>0.10009514645994355</v>
      </c>
      <c r="L16" s="103">
        <f t="shared" si="14"/>
        <v>9.6975945561699195E-2</v>
      </c>
      <c r="O16" s="5"/>
      <c r="Q16" s="91"/>
      <c r="R16" s="16" t="str">
        <f>R9</f>
        <v>Total</v>
      </c>
      <c r="S16" s="47"/>
      <c r="T16" s="103">
        <f t="shared" si="11"/>
        <v>3.6612426035502965E-2</v>
      </c>
      <c r="U16" s="103">
        <f t="shared" si="11"/>
        <v>1.9265073135925848E-2</v>
      </c>
      <c r="V16" s="103">
        <f t="shared" si="11"/>
        <v>2.7826391319565991E-2</v>
      </c>
      <c r="W16" s="103">
        <f t="shared" si="11"/>
        <v>1.9581134003064937E-2</v>
      </c>
      <c r="X16" s="103">
        <f t="shared" si="11"/>
        <v>3.4402137608550376E-2</v>
      </c>
      <c r="Y16" s="103">
        <f t="shared" si="11"/>
        <v>3.2935098482402392E-2</v>
      </c>
      <c r="Z16" s="104">
        <f t="shared" si="11"/>
        <v>3.4385745545483015E-2</v>
      </c>
      <c r="AA16" s="103">
        <f t="shared" si="11"/>
        <v>1.036718041704443E-2</v>
      </c>
      <c r="AB16" s="103"/>
      <c r="AC16" s="103"/>
    </row>
    <row r="17" spans="15:17" x14ac:dyDescent="0.2">
      <c r="O17" s="5"/>
      <c r="Q17" s="91"/>
    </row>
    <row r="18" spans="15:17" x14ac:dyDescent="0.2">
      <c r="O18" s="5"/>
      <c r="Q18" s="91"/>
    </row>
  </sheetData>
  <mergeCells count="8">
    <mergeCell ref="C2:G2"/>
    <mergeCell ref="H2:L2"/>
    <mergeCell ref="S2:Z2"/>
    <mergeCell ref="AA2:AC2"/>
    <mergeCell ref="C4:L4"/>
    <mergeCell ref="S4:AC4"/>
    <mergeCell ref="C11:L11"/>
    <mergeCell ref="S11:AC11"/>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A23" zoomScale="178" zoomScaleNormal="100" workbookViewId="0">
      <selection activeCell="X29" sqref="X2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125</v>
      </c>
    </row>
    <row r="2" spans="1:28" x14ac:dyDescent="0.2">
      <c r="A2" s="4"/>
      <c r="C2" s="232" t="s">
        <v>114</v>
      </c>
      <c r="D2" s="232"/>
      <c r="E2" s="232"/>
      <c r="F2" s="232"/>
      <c r="G2" s="244"/>
      <c r="H2" s="245" t="s">
        <v>115</v>
      </c>
      <c r="I2" s="232"/>
      <c r="J2" s="232"/>
      <c r="K2" s="232"/>
      <c r="L2" s="232"/>
      <c r="P2" s="232" t="s">
        <v>114</v>
      </c>
      <c r="Q2" s="232"/>
      <c r="R2" s="232"/>
      <c r="S2" s="232"/>
      <c r="T2" s="232"/>
      <c r="U2" s="232"/>
      <c r="V2" s="232"/>
      <c r="W2" s="232"/>
      <c r="X2" s="232" t="s">
        <v>115</v>
      </c>
      <c r="Y2" s="232"/>
      <c r="Z2" s="232"/>
      <c r="AB2" s="85" t="s">
        <v>116</v>
      </c>
    </row>
    <row r="3" spans="1:28" ht="10" customHeight="1" x14ac:dyDescent="0.2"/>
    <row r="4" spans="1:28" ht="16" customHeight="1" x14ac:dyDescent="0.2">
      <c r="A4" s="86"/>
      <c r="B4" s="60"/>
      <c r="C4" s="241" t="s">
        <v>117</v>
      </c>
      <c r="D4" s="241"/>
      <c r="E4" s="241"/>
      <c r="F4" s="241"/>
      <c r="G4" s="241"/>
      <c r="H4" s="241"/>
      <c r="I4" s="241"/>
      <c r="J4" s="241"/>
      <c r="K4" s="241"/>
      <c r="L4" s="241"/>
      <c r="P4" s="243" t="s">
        <v>117</v>
      </c>
      <c r="Q4" s="243"/>
      <c r="R4" s="243"/>
      <c r="S4" s="243"/>
      <c r="T4" s="243"/>
      <c r="U4" s="243"/>
      <c r="V4" s="243"/>
      <c r="W4" s="243"/>
      <c r="X4" s="243"/>
      <c r="Y4" s="243"/>
      <c r="Z4" s="243"/>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118</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119</v>
      </c>
      <c r="Y5" s="12" t="s">
        <v>120</v>
      </c>
      <c r="Z5" s="12" t="s">
        <v>121</v>
      </c>
      <c r="AB5" s="87" t="str">
        <f>Revenue!AE5</f>
        <v>FQ1</v>
      </c>
    </row>
    <row r="6" spans="1:28"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1"/>
      <c r="O6" s="16" t="s">
        <v>19</v>
      </c>
      <c r="P6" s="92">
        <f>Revenue!S9</f>
        <v>5408</v>
      </c>
      <c r="Q6" s="92">
        <f>Revenue!T9</f>
        <v>5606</v>
      </c>
      <c r="R6" s="92">
        <f>Revenue!U9</f>
        <v>5714</v>
      </c>
      <c r="S6" s="92">
        <f>Revenue!V9</f>
        <v>5873</v>
      </c>
      <c r="T6" s="92">
        <f>Revenue!W9</f>
        <v>5988</v>
      </c>
      <c r="U6" s="92">
        <f>Revenue!X9</f>
        <v>6194</v>
      </c>
      <c r="V6" s="92">
        <f>Revenue!Y9</f>
        <v>6398</v>
      </c>
      <c r="W6" s="93">
        <f>Revenue!Z9</f>
        <v>6618</v>
      </c>
      <c r="X6" s="92">
        <f>Revenue!AA9</f>
        <v>6686.61</v>
      </c>
      <c r="Y6" s="94"/>
      <c r="Z6" s="94"/>
      <c r="AB6" s="92">
        <f>Revenue!AE9</f>
        <v>25896.61</v>
      </c>
    </row>
    <row r="7" spans="1:28" x14ac:dyDescent="0.2">
      <c r="N7" s="91"/>
    </row>
    <row r="8" spans="1:28" x14ac:dyDescent="0.2">
      <c r="N8" s="91"/>
    </row>
    <row r="9" spans="1:28" x14ac:dyDescent="0.2">
      <c r="C9" s="241" t="s">
        <v>126</v>
      </c>
      <c r="D9" s="241"/>
      <c r="E9" s="241"/>
      <c r="F9" s="241"/>
      <c r="G9" s="241"/>
      <c r="H9" s="241"/>
      <c r="I9" s="241"/>
      <c r="J9" s="241"/>
      <c r="K9" s="241"/>
      <c r="L9" s="241"/>
      <c r="N9" s="91"/>
      <c r="P9" s="243" t="s">
        <v>127</v>
      </c>
      <c r="Q9" s="243"/>
      <c r="R9" s="243"/>
      <c r="S9" s="243"/>
      <c r="T9" s="243"/>
      <c r="U9" s="243"/>
      <c r="V9" s="243"/>
      <c r="W9" s="243"/>
      <c r="X9" s="243"/>
      <c r="Y9" s="243"/>
      <c r="Z9" s="243"/>
      <c r="AB9" s="87">
        <f>AB4</f>
        <v>0</v>
      </c>
    </row>
    <row r="10" spans="1:28" x14ac:dyDescent="0.2">
      <c r="B10" s="16" t="s">
        <v>131</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128</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39" t="str">
        <f>Statement!B191</f>
        <v>Subscription COGS</v>
      </c>
      <c r="C11" s="109">
        <f>Statement!M191</f>
        <v>1374</v>
      </c>
      <c r="D11" s="109">
        <f>Statement!N191</f>
        <v>1646</v>
      </c>
      <c r="E11" s="109">
        <f>Statement!O191</f>
        <v>1822</v>
      </c>
      <c r="F11" s="109">
        <f>Statement!P191</f>
        <v>1799</v>
      </c>
      <c r="G11" s="110">
        <f>Statement!Q191</f>
        <v>2027</v>
      </c>
      <c r="H11" s="25">
        <f>H6*H23</f>
        <v>2282.4618439999995</v>
      </c>
      <c r="I11" s="25">
        <f t="shared" ref="I11:L11" si="3">I6*I23</f>
        <v>2540.35541728</v>
      </c>
      <c r="J11" s="25">
        <f t="shared" si="3"/>
        <v>2741.7239432352003</v>
      </c>
      <c r="K11" s="25">
        <f t="shared" si="3"/>
        <v>2944.3439361506794</v>
      </c>
      <c r="L11" s="25">
        <f t="shared" si="3"/>
        <v>3151.0970472368263</v>
      </c>
      <c r="N11" s="91"/>
      <c r="O11" s="39" t="str">
        <f>B11</f>
        <v>Subscription COGS</v>
      </c>
      <c r="P11" s="109">
        <f>Statement!T191</f>
        <v>413</v>
      </c>
      <c r="Q11" s="109">
        <f>Statement!U191</f>
        <v>475</v>
      </c>
      <c r="R11" s="109">
        <f>Statement!V191</f>
        <v>490</v>
      </c>
      <c r="S11" s="109">
        <f>Statement!W191</f>
        <v>505</v>
      </c>
      <c r="T11" s="109">
        <f>Statement!X191</f>
        <v>510</v>
      </c>
      <c r="U11" s="109">
        <f>Statement!Y191</f>
        <v>522</v>
      </c>
      <c r="V11" s="109">
        <f>Statement!Z191</f>
        <v>540</v>
      </c>
      <c r="W11" s="110">
        <f>Statement!AA191</f>
        <v>586</v>
      </c>
      <c r="X11" s="25">
        <f>X23*X$6</f>
        <v>575.04845999999998</v>
      </c>
      <c r="Y11" s="25"/>
      <c r="Z11" s="25"/>
      <c r="AB11" s="24">
        <f>SUM(U11:X11)</f>
        <v>2223.04846</v>
      </c>
    </row>
    <row r="12" spans="1:28" x14ac:dyDescent="0.2">
      <c r="B12" s="39" t="str">
        <f>Statement!B192</f>
        <v>Product COGS</v>
      </c>
      <c r="C12" s="109">
        <f>Statement!M192</f>
        <v>41</v>
      </c>
      <c r="D12" s="109">
        <f>Statement!N192</f>
        <v>35</v>
      </c>
      <c r="E12" s="109">
        <f>Statement!O192</f>
        <v>29</v>
      </c>
      <c r="F12" s="109">
        <f>Statement!P192</f>
        <v>25</v>
      </c>
      <c r="G12" s="110">
        <f>Statement!Q192</f>
        <v>23</v>
      </c>
      <c r="H12" s="25">
        <f>H6*H24</f>
        <v>26.540253999999997</v>
      </c>
      <c r="I12" s="25">
        <f t="shared" ref="I12:L12" si="4">I6*I24</f>
        <v>29.539016480000004</v>
      </c>
      <c r="J12" s="25">
        <f t="shared" si="4"/>
        <v>32.639570752800005</v>
      </c>
      <c r="K12" s="25">
        <f t="shared" si="4"/>
        <v>35.906633367691214</v>
      </c>
      <c r="L12" s="25">
        <f t="shared" si="4"/>
        <v>39.388713090460328</v>
      </c>
      <c r="N12" s="91"/>
      <c r="O12" s="39" t="str">
        <f t="shared" ref="O12:O18" si="5">B12</f>
        <v>Product COGS</v>
      </c>
      <c r="P12" s="109">
        <f>Statement!T192</f>
        <v>6</v>
      </c>
      <c r="Q12" s="109">
        <f>Statement!U192</f>
        <v>6</v>
      </c>
      <c r="R12" s="109">
        <f>Statement!V192</f>
        <v>6</v>
      </c>
      <c r="S12" s="109">
        <f>Statement!W192</f>
        <v>6</v>
      </c>
      <c r="T12" s="109">
        <f>Statement!X192</f>
        <v>5</v>
      </c>
      <c r="U12" s="109">
        <f>Statement!Y192</f>
        <v>6</v>
      </c>
      <c r="V12" s="109">
        <f>Statement!Z192</f>
        <v>6</v>
      </c>
      <c r="W12" s="110">
        <f>Statement!AA192</f>
        <v>5</v>
      </c>
      <c r="X12" s="25">
        <f>X24*X$6</f>
        <v>6.6866099999999999</v>
      </c>
      <c r="Y12" s="25"/>
      <c r="Z12" s="25"/>
      <c r="AB12" s="24">
        <f>SUM(U12:X12)</f>
        <v>23.686610000000002</v>
      </c>
    </row>
    <row r="13" spans="1:28" x14ac:dyDescent="0.2">
      <c r="B13" s="39" t="str">
        <f>Statement!B193</f>
        <v>Services &amp; Other COGS</v>
      </c>
      <c r="C13" s="109">
        <f>Statement!M193</f>
        <v>450</v>
      </c>
      <c r="D13" s="109">
        <f>Statement!N193</f>
        <v>484</v>
      </c>
      <c r="E13" s="109">
        <f>Statement!O193</f>
        <v>503</v>
      </c>
      <c r="F13" s="109">
        <f>Statement!P193</f>
        <v>534</v>
      </c>
      <c r="G13" s="110">
        <f>Statement!Q193</f>
        <v>501</v>
      </c>
      <c r="H13" s="25">
        <f>H6*H25</f>
        <v>583.88558799999987</v>
      </c>
      <c r="I13" s="25">
        <f t="shared" ref="I13:L13" si="6">I6*I25</f>
        <v>649.85836256000005</v>
      </c>
      <c r="J13" s="25">
        <f t="shared" si="6"/>
        <v>652.79141505600001</v>
      </c>
      <c r="K13" s="25">
        <f t="shared" si="6"/>
        <v>718.13266735382422</v>
      </c>
      <c r="L13" s="25">
        <f t="shared" si="6"/>
        <v>748.38554871874612</v>
      </c>
      <c r="N13" s="91"/>
      <c r="O13" s="39" t="str">
        <f t="shared" si="5"/>
        <v>Services &amp; Other COGS</v>
      </c>
      <c r="P13" s="109">
        <f>Statement!T193</f>
        <v>135</v>
      </c>
      <c r="Q13" s="109">
        <f>Statement!U193</f>
        <v>135</v>
      </c>
      <c r="R13" s="109">
        <f>Statement!V193</f>
        <v>126</v>
      </c>
      <c r="S13" s="109">
        <f>Statement!W193</f>
        <v>127</v>
      </c>
      <c r="T13" s="109">
        <f>Statement!X193</f>
        <v>127</v>
      </c>
      <c r="U13" s="109">
        <f>Statement!Y193</f>
        <v>121</v>
      </c>
      <c r="V13" s="109">
        <f>Statement!Z193</f>
        <v>118</v>
      </c>
      <c r="W13" s="110">
        <f>Statement!AA193</f>
        <v>124</v>
      </c>
      <c r="X13" s="25">
        <f>X25*X$6</f>
        <v>120.35897999999999</v>
      </c>
      <c r="Y13" s="25"/>
      <c r="Z13" s="25"/>
      <c r="AB13" s="24">
        <f>SUM(U13:X13)</f>
        <v>483.35897999999997</v>
      </c>
    </row>
    <row r="14" spans="1:28" x14ac:dyDescent="0.2">
      <c r="B14" s="16" t="s">
        <v>20</v>
      </c>
      <c r="C14" s="106">
        <f>Statement!M6</f>
        <v>1865</v>
      </c>
      <c r="D14" s="106">
        <f>Statement!N6</f>
        <v>2165</v>
      </c>
      <c r="E14" s="106">
        <f>Statement!O6</f>
        <v>2354</v>
      </c>
      <c r="F14" s="106">
        <f>Statement!P6</f>
        <v>2358</v>
      </c>
      <c r="G14" s="107">
        <f>Statement!Q6</f>
        <v>2551</v>
      </c>
      <c r="H14" s="108">
        <f>SUM(H11:H13)</f>
        <v>2892.8876859999991</v>
      </c>
      <c r="I14" s="108">
        <f t="shared" ref="I14:L14" si="7">SUM(I11:I13)</f>
        <v>3219.75279632</v>
      </c>
      <c r="J14" s="108">
        <f t="shared" si="7"/>
        <v>3427.1549290440003</v>
      </c>
      <c r="K14" s="108">
        <f t="shared" si="7"/>
        <v>3698.3832368721946</v>
      </c>
      <c r="L14" s="108">
        <f t="shared" si="7"/>
        <v>3938.8713090460328</v>
      </c>
      <c r="N14" s="91"/>
      <c r="O14" s="16" t="str">
        <f t="shared" si="5"/>
        <v>COGS</v>
      </c>
      <c r="P14" s="106">
        <f>Statement!T6</f>
        <v>554</v>
      </c>
      <c r="Q14" s="106">
        <f>Statement!U6</f>
        <v>616</v>
      </c>
      <c r="R14" s="106">
        <f>Statement!V6</f>
        <v>622</v>
      </c>
      <c r="S14" s="106">
        <f>Statement!W6</f>
        <v>638</v>
      </c>
      <c r="T14" s="106">
        <f>Statement!X6</f>
        <v>642</v>
      </c>
      <c r="U14" s="106">
        <f>Statement!Y6</f>
        <v>649</v>
      </c>
      <c r="V14" s="106">
        <f>Statement!Z6</f>
        <v>664</v>
      </c>
      <c r="W14" s="107">
        <f>Statement!AA6</f>
        <v>715</v>
      </c>
      <c r="X14" s="108">
        <f>SUM(X11:X13)</f>
        <v>702.09404999999992</v>
      </c>
      <c r="Y14" s="108"/>
      <c r="Z14" s="108"/>
      <c r="AB14" s="108">
        <f>SUM(AB11:AB13)</f>
        <v>2730.0940500000002</v>
      </c>
    </row>
    <row r="15" spans="1:28" x14ac:dyDescent="0.2">
      <c r="B15" s="1" t="str">
        <f>Statement!B8</f>
        <v>R&amp;D</v>
      </c>
      <c r="C15" s="98">
        <f>Statement!M8</f>
        <v>2540</v>
      </c>
      <c r="D15" s="98">
        <f>Statement!N8</f>
        <v>2987</v>
      </c>
      <c r="E15" s="98">
        <f>Statement!O8</f>
        <v>3473</v>
      </c>
      <c r="F15" s="98">
        <f>Statement!P8</f>
        <v>3944</v>
      </c>
      <c r="G15" s="99">
        <f>Statement!Q8</f>
        <v>4294</v>
      </c>
      <c r="H15" s="24">
        <f>H6*H27</f>
        <v>5042.6482599999999</v>
      </c>
      <c r="I15" s="24">
        <f t="shared" ref="I15:L15" si="8">I6*I27</f>
        <v>5641.9521476800001</v>
      </c>
      <c r="J15" s="24">
        <f t="shared" si="8"/>
        <v>6299.4371552904004</v>
      </c>
      <c r="K15" s="24">
        <f t="shared" si="8"/>
        <v>7001.7935066997861</v>
      </c>
      <c r="L15" s="24">
        <f t="shared" si="8"/>
        <v>7680.7990526397634</v>
      </c>
      <c r="N15" s="91"/>
      <c r="O15" s="39" t="str">
        <f t="shared" si="5"/>
        <v>R&amp;D</v>
      </c>
      <c r="P15" s="98">
        <f>Statement!T8</f>
        <v>1022</v>
      </c>
      <c r="Q15" s="98">
        <f>Statement!U8</f>
        <v>999</v>
      </c>
      <c r="R15" s="98">
        <f>Statement!V8</f>
        <v>1026</v>
      </c>
      <c r="S15" s="98">
        <f>Statement!W8</f>
        <v>1082</v>
      </c>
      <c r="T15" s="98">
        <f>Statement!X8</f>
        <v>1088</v>
      </c>
      <c r="U15" s="98">
        <f>Statement!Y8</f>
        <v>1098</v>
      </c>
      <c r="V15" s="98">
        <f>Statement!Z8</f>
        <v>1110</v>
      </c>
      <c r="W15" s="99">
        <f>Statement!AA8</f>
        <v>1198</v>
      </c>
      <c r="X15" s="25">
        <f>X27*X$6</f>
        <v>1196.90319</v>
      </c>
      <c r="Y15" s="24"/>
      <c r="Z15" s="24"/>
      <c r="AB15" s="24">
        <f t="shared" ref="AB15:AB18" si="9">SUM(U15:X15)</f>
        <v>4602.90319</v>
      </c>
    </row>
    <row r="16" spans="1:28" x14ac:dyDescent="0.2">
      <c r="B16" s="1" t="str">
        <f>Statement!B9</f>
        <v>Sales and marketing</v>
      </c>
      <c r="C16" s="98">
        <f>Statement!M9</f>
        <v>4321</v>
      </c>
      <c r="D16" s="98">
        <f>Statement!N9</f>
        <v>4968</v>
      </c>
      <c r="E16" s="98">
        <f>Statement!O9</f>
        <v>5351</v>
      </c>
      <c r="F16" s="98">
        <f>Statement!P9</f>
        <v>5764</v>
      </c>
      <c r="G16" s="99">
        <f>Statement!Q9</f>
        <v>6488</v>
      </c>
      <c r="H16" s="24">
        <f>H6*H28</f>
        <v>7165.8685799999994</v>
      </c>
      <c r="I16" s="24">
        <f t="shared" ref="I16:L16" si="10">I6*I28</f>
        <v>7975.5344496000007</v>
      </c>
      <c r="J16" s="24">
        <f t="shared" si="10"/>
        <v>8812.6841032560005</v>
      </c>
      <c r="K16" s="24">
        <f t="shared" si="10"/>
        <v>9694.7910092766269</v>
      </c>
      <c r="L16" s="24">
        <f t="shared" si="10"/>
        <v>10634.952534424288</v>
      </c>
      <c r="M16" s="90"/>
      <c r="N16" s="90"/>
      <c r="O16" s="39" t="str">
        <f t="shared" si="5"/>
        <v>Sales and marketing</v>
      </c>
      <c r="P16" s="98">
        <f>Statement!T9</f>
        <v>1431</v>
      </c>
      <c r="Q16" s="98">
        <f>Statement!U9</f>
        <v>1536</v>
      </c>
      <c r="R16" s="98">
        <f>Statement!V9</f>
        <v>1495</v>
      </c>
      <c r="S16" s="98">
        <f>Statement!W9</f>
        <v>1626</v>
      </c>
      <c r="T16" s="98">
        <f>Statement!X9</f>
        <v>1639</v>
      </c>
      <c r="U16" s="98">
        <f>Statement!Y9</f>
        <v>1728</v>
      </c>
      <c r="V16" s="98">
        <f>Statement!Z9</f>
        <v>1708</v>
      </c>
      <c r="W16" s="99">
        <f>Statement!AA9</f>
        <v>1884</v>
      </c>
      <c r="X16" s="25">
        <f>X28*X$6</f>
        <v>1805.3847000000001</v>
      </c>
      <c r="Y16" s="24"/>
      <c r="Z16" s="24"/>
      <c r="AB16" s="24">
        <f t="shared" si="9"/>
        <v>7125.3847000000005</v>
      </c>
    </row>
    <row r="17" spans="2:28" x14ac:dyDescent="0.2">
      <c r="B17" s="1" t="str">
        <f>Statement!B10</f>
        <v>General and administrative</v>
      </c>
      <c r="C17" s="98">
        <f>Statement!M10</f>
        <v>1085</v>
      </c>
      <c r="D17" s="98">
        <f>Statement!N10</f>
        <v>1219</v>
      </c>
      <c r="E17" s="98">
        <f>Statement!O10</f>
        <v>1413</v>
      </c>
      <c r="F17" s="98">
        <f>Statement!P10</f>
        <v>1529</v>
      </c>
      <c r="G17" s="99">
        <f>Statement!Q10</f>
        <v>1573</v>
      </c>
      <c r="H17" s="24">
        <f>H6*H29</f>
        <v>1857.8177800000001</v>
      </c>
      <c r="I17" s="24">
        <f t="shared" ref="I17:L17" si="11">I6*I29</f>
        <v>2067.7311536000002</v>
      </c>
      <c r="J17" s="24">
        <f t="shared" si="11"/>
        <v>2284.7699526960005</v>
      </c>
      <c r="K17" s="24">
        <f t="shared" si="11"/>
        <v>2513.4643357383852</v>
      </c>
      <c r="L17" s="24">
        <f t="shared" si="11"/>
        <v>2757.2099163322232</v>
      </c>
      <c r="M17" s="90"/>
      <c r="N17" s="90"/>
      <c r="O17" s="39" t="str">
        <f t="shared" si="5"/>
        <v>General and administrative</v>
      </c>
      <c r="P17" s="98">
        <f>Statement!T10</f>
        <v>366</v>
      </c>
      <c r="Q17" s="98">
        <f>Statement!U10</f>
        <v>456</v>
      </c>
      <c r="R17" s="98">
        <f>Statement!V10</f>
        <v>367</v>
      </c>
      <c r="S17" s="98">
        <f>Statement!W10</f>
        <v>377</v>
      </c>
      <c r="T17" s="98">
        <f>Statement!X10</f>
        <v>408</v>
      </c>
      <c r="U17" s="98">
        <f>Statement!Y10</f>
        <v>421</v>
      </c>
      <c r="V17" s="98">
        <f>Statement!Z10</f>
        <v>463</v>
      </c>
      <c r="W17" s="99">
        <f>Statement!AA10</f>
        <v>546</v>
      </c>
      <c r="X17" s="25">
        <f>X29*X$6</f>
        <v>528.24218999999994</v>
      </c>
      <c r="Y17" s="24"/>
      <c r="Z17" s="24"/>
      <c r="AB17" s="24">
        <f t="shared" si="9"/>
        <v>1958.2421899999999</v>
      </c>
    </row>
    <row r="18" spans="2:28" x14ac:dyDescent="0.2">
      <c r="B18" s="16" t="s">
        <v>25</v>
      </c>
      <c r="C18" s="106">
        <f>Statement!M11</f>
        <v>8118</v>
      </c>
      <c r="D18" s="106">
        <f>Statement!N11</f>
        <v>9343</v>
      </c>
      <c r="E18" s="106">
        <f>Statement!O11</f>
        <v>10405</v>
      </c>
      <c r="F18" s="106">
        <f>Statement!P11</f>
        <v>12406</v>
      </c>
      <c r="G18" s="107">
        <f>Statement!Q11</f>
        <v>12512</v>
      </c>
      <c r="H18" s="108">
        <f>SUM(H15:H17)</f>
        <v>14066.33462</v>
      </c>
      <c r="I18" s="108">
        <f>SUM(I15:I17)</f>
        <v>15685.21775088</v>
      </c>
      <c r="J18" s="108">
        <f>SUM(J15:J17)</f>
        <v>17396.8912112424</v>
      </c>
      <c r="K18" s="108">
        <f>SUM(K15:K17)</f>
        <v>19210.048851714801</v>
      </c>
      <c r="L18" s="108">
        <f>SUM(L15:L17)</f>
        <v>21072.961503396276</v>
      </c>
      <c r="M18" s="90"/>
      <c r="N18" s="90"/>
      <c r="O18" s="16" t="str">
        <f t="shared" si="5"/>
        <v>OpEx</v>
      </c>
      <c r="P18" s="106">
        <f>Statement!T11</f>
        <v>2862</v>
      </c>
      <c r="Q18" s="106">
        <f>Statement!U11</f>
        <v>3033</v>
      </c>
      <c r="R18" s="106">
        <f>Statement!V11</f>
        <v>2929</v>
      </c>
      <c r="S18" s="106">
        <f>Statement!W11</f>
        <v>3126</v>
      </c>
      <c r="T18" s="106">
        <f>Statement!X11</f>
        <v>3173</v>
      </c>
      <c r="U18" s="106">
        <f>Statement!Y11</f>
        <v>3284</v>
      </c>
      <c r="V18" s="106">
        <f>Statement!Z11</f>
        <v>3316</v>
      </c>
      <c r="W18" s="107">
        <f>Statement!AA11</f>
        <v>3665</v>
      </c>
      <c r="X18" s="108">
        <f>SUM(X15:X17)</f>
        <v>3530.53008</v>
      </c>
      <c r="Y18" s="108"/>
      <c r="Z18" s="108"/>
      <c r="AB18" s="108">
        <f t="shared" si="9"/>
        <v>13795.53008</v>
      </c>
    </row>
    <row r="21" spans="2:28" x14ac:dyDescent="0.2">
      <c r="C21" s="241" t="s">
        <v>129</v>
      </c>
      <c r="D21" s="241"/>
      <c r="E21" s="241"/>
      <c r="F21" s="241"/>
      <c r="G21" s="241"/>
      <c r="H21" s="241"/>
      <c r="I21" s="241"/>
      <c r="J21" s="241"/>
      <c r="K21" s="241"/>
      <c r="L21" s="241"/>
      <c r="P21" s="243" t="s">
        <v>129</v>
      </c>
      <c r="Q21" s="243"/>
      <c r="R21" s="243"/>
      <c r="S21" s="243"/>
      <c r="T21" s="243"/>
      <c r="U21" s="243"/>
      <c r="V21" s="243"/>
      <c r="W21" s="243"/>
      <c r="X21" s="243"/>
      <c r="Y21" s="243"/>
      <c r="Z21" s="243"/>
    </row>
    <row r="22" spans="2:28" x14ac:dyDescent="0.2">
      <c r="B22" s="16" t="s">
        <v>130</v>
      </c>
      <c r="C22" s="12">
        <f t="shared" ref="C22:L22" si="12">C5</f>
        <v>2021</v>
      </c>
      <c r="D22" s="12">
        <f t="shared" si="12"/>
        <v>2022</v>
      </c>
      <c r="E22" s="12">
        <f t="shared" si="12"/>
        <v>2023</v>
      </c>
      <c r="F22" s="12">
        <f t="shared" si="12"/>
        <v>2024</v>
      </c>
      <c r="G22" s="12">
        <f t="shared" si="12"/>
        <v>2025</v>
      </c>
      <c r="H22" s="12">
        <f t="shared" si="12"/>
        <v>2026</v>
      </c>
      <c r="I22" s="12">
        <f t="shared" si="12"/>
        <v>2027</v>
      </c>
      <c r="J22" s="12">
        <f t="shared" si="12"/>
        <v>2028</v>
      </c>
      <c r="K22" s="12">
        <f t="shared" si="12"/>
        <v>2029</v>
      </c>
      <c r="L22" s="12">
        <f t="shared" si="12"/>
        <v>2030</v>
      </c>
      <c r="O22" s="16" t="s">
        <v>130</v>
      </c>
      <c r="P22" s="12" t="str">
        <f t="shared" ref="P22:Z22" si="13">P5</f>
        <v>Q3 2024</v>
      </c>
      <c r="Q22" s="12" t="str">
        <f t="shared" si="13"/>
        <v>Q4 2024</v>
      </c>
      <c r="R22" s="12" t="str">
        <f t="shared" si="13"/>
        <v>Q1 2025</v>
      </c>
      <c r="S22" s="12" t="str">
        <f t="shared" si="13"/>
        <v>Q2 2025</v>
      </c>
      <c r="T22" s="12" t="str">
        <f t="shared" si="13"/>
        <v>Q3 2025</v>
      </c>
      <c r="U22" s="12" t="str">
        <f t="shared" si="13"/>
        <v>Q4 2025</v>
      </c>
      <c r="V22" s="12" t="str">
        <f t="shared" si="13"/>
        <v>Q1 2026</v>
      </c>
      <c r="W22" s="12" t="str">
        <f t="shared" si="13"/>
        <v>Q2 2026</v>
      </c>
      <c r="X22" s="12" t="str">
        <f t="shared" si="13"/>
        <v>FQ1</v>
      </c>
      <c r="Y22" s="12" t="str">
        <f t="shared" si="13"/>
        <v>FQ2</v>
      </c>
      <c r="Z22" s="12" t="str">
        <f t="shared" si="13"/>
        <v>FQ3</v>
      </c>
    </row>
    <row r="23" spans="2:28" x14ac:dyDescent="0.2">
      <c r="B23" s="1" t="str">
        <f>B11</f>
        <v>Subscription COGS</v>
      </c>
      <c r="C23" s="95">
        <f>C11/C$6</f>
        <v>8.704466265441875E-2</v>
      </c>
      <c r="D23" s="95">
        <f>D11/D$6</f>
        <v>9.3490855390207878E-2</v>
      </c>
      <c r="E23" s="95">
        <f>E11/E$6</f>
        <v>9.3873975990519859E-2</v>
      </c>
      <c r="F23" s="95">
        <f>F11/F$6</f>
        <v>8.3654963961869333E-2</v>
      </c>
      <c r="G23" s="96">
        <f>G11/G$6</f>
        <v>8.5279145104968659E-2</v>
      </c>
      <c r="H23" s="97">
        <v>8.5999999999999993E-2</v>
      </c>
      <c r="I23" s="97">
        <v>8.5999999999999993E-2</v>
      </c>
      <c r="J23" s="97">
        <v>8.4000000000000005E-2</v>
      </c>
      <c r="K23" s="97">
        <v>8.2000000000000003E-2</v>
      </c>
      <c r="L23" s="97">
        <v>0.08</v>
      </c>
      <c r="O23" s="1" t="str">
        <f>O11</f>
        <v>Subscription COGS</v>
      </c>
      <c r="P23" s="95">
        <f t="shared" ref="P23:W23" si="14">P11/P$6</f>
        <v>7.6368343195266267E-2</v>
      </c>
      <c r="Q23" s="95">
        <f t="shared" si="14"/>
        <v>8.4730645736710672E-2</v>
      </c>
      <c r="R23" s="95">
        <f t="shared" si="14"/>
        <v>8.5754287714385716E-2</v>
      </c>
      <c r="S23" s="95">
        <f t="shared" si="14"/>
        <v>8.5986718883024005E-2</v>
      </c>
      <c r="T23" s="95">
        <f t="shared" si="14"/>
        <v>8.5170340681362727E-2</v>
      </c>
      <c r="U23" s="95">
        <f t="shared" si="14"/>
        <v>8.4275104940264772E-2</v>
      </c>
      <c r="V23" s="95">
        <f t="shared" si="14"/>
        <v>8.4401375429821818E-2</v>
      </c>
      <c r="W23" s="96">
        <f t="shared" si="14"/>
        <v>8.8546388637050472E-2</v>
      </c>
      <c r="X23" s="97">
        <v>8.5999999999999993E-2</v>
      </c>
      <c r="Y23" s="97"/>
      <c r="Z23" s="97"/>
    </row>
    <row r="24" spans="2:28" x14ac:dyDescent="0.2">
      <c r="B24" s="1" t="str">
        <f t="shared" ref="B24:B26" si="15">B12</f>
        <v>Product COGS</v>
      </c>
      <c r="C24" s="95">
        <f>C12/C$6</f>
        <v>2.5974025974025974E-3</v>
      </c>
      <c r="D24" s="95">
        <f t="shared" ref="D24:G24" si="16">D12/D$6</f>
        <v>1.9879586504600705E-3</v>
      </c>
      <c r="E24" s="95">
        <f t="shared" si="16"/>
        <v>1.49415219743418E-3</v>
      </c>
      <c r="F24" s="95">
        <f t="shared" si="16"/>
        <v>1.1625203441060219E-3</v>
      </c>
      <c r="G24" s="96">
        <f t="shared" si="16"/>
        <v>9.676469350835121E-4</v>
      </c>
      <c r="H24" s="97">
        <v>1E-3</v>
      </c>
      <c r="I24" s="97">
        <v>1E-3</v>
      </c>
      <c r="J24" s="97">
        <v>1E-3</v>
      </c>
      <c r="K24" s="97">
        <v>1E-3</v>
      </c>
      <c r="L24" s="97">
        <v>1E-3</v>
      </c>
      <c r="O24" s="1" t="str">
        <f t="shared" ref="O24:O30" si="17">O12</f>
        <v>Product COGS</v>
      </c>
      <c r="P24" s="95">
        <f>P12/P$6</f>
        <v>1.1094674556213018E-3</v>
      </c>
      <c r="Q24" s="95">
        <f t="shared" ref="Q24:W24" si="18">Q12/Q$6</f>
        <v>1.0702818408847663E-3</v>
      </c>
      <c r="R24" s="95">
        <f t="shared" si="18"/>
        <v>1.0500525026251313E-3</v>
      </c>
      <c r="S24" s="95">
        <f t="shared" si="18"/>
        <v>1.021624382768602E-3</v>
      </c>
      <c r="T24" s="95">
        <f t="shared" si="18"/>
        <v>8.3500334001336009E-4</v>
      </c>
      <c r="U24" s="95">
        <f t="shared" si="18"/>
        <v>9.686793671294801E-4</v>
      </c>
      <c r="V24" s="95">
        <f t="shared" si="18"/>
        <v>9.3779306033135354E-4</v>
      </c>
      <c r="W24" s="96">
        <f t="shared" si="18"/>
        <v>7.5551526140828044E-4</v>
      </c>
      <c r="X24" s="97">
        <v>1E-3</v>
      </c>
      <c r="Y24" s="97"/>
      <c r="Z24" s="97"/>
    </row>
    <row r="25" spans="2:28" x14ac:dyDescent="0.2">
      <c r="B25" s="1" t="str">
        <f t="shared" si="15"/>
        <v>Services &amp; Other COGS</v>
      </c>
      <c r="C25" s="95">
        <f>C13/C$6</f>
        <v>2.8508077288565095E-2</v>
      </c>
      <c r="D25" s="95">
        <f t="shared" ref="D25:G25" si="19">D13/D$6</f>
        <v>2.7490628194933545E-2</v>
      </c>
      <c r="E25" s="95">
        <f t="shared" si="19"/>
        <v>2.5915812252048018E-2</v>
      </c>
      <c r="F25" s="95">
        <f t="shared" si="19"/>
        <v>2.4831434550104628E-2</v>
      </c>
      <c r="G25" s="96">
        <f t="shared" si="19"/>
        <v>2.1077874542471287E-2</v>
      </c>
      <c r="H25" s="97">
        <v>2.1999999999999999E-2</v>
      </c>
      <c r="I25" s="97">
        <v>2.1999999999999999E-2</v>
      </c>
      <c r="J25" s="97">
        <v>0.02</v>
      </c>
      <c r="K25" s="97">
        <v>0.02</v>
      </c>
      <c r="L25" s="97">
        <v>1.9E-2</v>
      </c>
      <c r="O25" s="1" t="str">
        <f t="shared" si="17"/>
        <v>Services &amp; Other COGS</v>
      </c>
      <c r="P25" s="95">
        <f>P13/P$6</f>
        <v>2.4963017751479289E-2</v>
      </c>
      <c r="Q25" s="95">
        <f t="shared" ref="Q25:X30" si="20">Q13/Q$6</f>
        <v>2.4081341419907244E-2</v>
      </c>
      <c r="R25" s="95">
        <f t="shared" si="20"/>
        <v>2.2051102555127756E-2</v>
      </c>
      <c r="S25" s="95">
        <f t="shared" si="20"/>
        <v>2.1624382768602079E-2</v>
      </c>
      <c r="T25" s="95">
        <f t="shared" si="20"/>
        <v>2.1209084836339345E-2</v>
      </c>
      <c r="U25" s="95">
        <f t="shared" si="20"/>
        <v>1.9535033903777848E-2</v>
      </c>
      <c r="V25" s="95">
        <f t="shared" si="20"/>
        <v>1.8443263519849953E-2</v>
      </c>
      <c r="W25" s="96">
        <f t="shared" si="20"/>
        <v>1.8736778482925355E-2</v>
      </c>
      <c r="X25" s="97">
        <v>1.7999999999999999E-2</v>
      </c>
      <c r="Y25" s="97"/>
      <c r="Z25" s="97"/>
    </row>
    <row r="26" spans="2:28" x14ac:dyDescent="0.2">
      <c r="B26" s="16" t="str">
        <f t="shared" si="15"/>
        <v>COGS</v>
      </c>
      <c r="C26" s="103">
        <f>C14/C$6</f>
        <v>0.11815014254038644</v>
      </c>
      <c r="D26" s="103">
        <f t="shared" ref="D26:L26" si="21">D14/D$6</f>
        <v>0.12296944223560149</v>
      </c>
      <c r="E26" s="103">
        <f t="shared" si="21"/>
        <v>0.12128394044000206</v>
      </c>
      <c r="F26" s="103">
        <f t="shared" si="21"/>
        <v>0.10964891885607998</v>
      </c>
      <c r="G26" s="104">
        <f t="shared" si="21"/>
        <v>0.10732466658252346</v>
      </c>
      <c r="H26" s="103">
        <f t="shared" si="21"/>
        <v>0.10899999999999997</v>
      </c>
      <c r="I26" s="103">
        <f t="shared" si="21"/>
        <v>0.109</v>
      </c>
      <c r="J26" s="103">
        <f t="shared" si="21"/>
        <v>0.105</v>
      </c>
      <c r="K26" s="103">
        <f t="shared" si="21"/>
        <v>0.10299999999999999</v>
      </c>
      <c r="L26" s="103">
        <f t="shared" si="21"/>
        <v>0.1</v>
      </c>
      <c r="O26" s="16" t="str">
        <f t="shared" si="17"/>
        <v>COGS</v>
      </c>
      <c r="P26" s="103">
        <f>P14/P$6</f>
        <v>0.10244082840236686</v>
      </c>
      <c r="Q26" s="103">
        <f t="shared" ref="Q26:V26" si="22">Q14/Q$6</f>
        <v>0.10988226899750267</v>
      </c>
      <c r="R26" s="103">
        <f t="shared" si="22"/>
        <v>0.10885544277213861</v>
      </c>
      <c r="S26" s="103">
        <f t="shared" si="22"/>
        <v>0.10863272603439469</v>
      </c>
      <c r="T26" s="103">
        <f t="shared" si="22"/>
        <v>0.10721442885771543</v>
      </c>
      <c r="U26" s="103">
        <f t="shared" si="22"/>
        <v>0.1047788182111721</v>
      </c>
      <c r="V26" s="103">
        <f t="shared" si="22"/>
        <v>0.10378243201000313</v>
      </c>
      <c r="W26" s="104">
        <f t="shared" si="20"/>
        <v>0.1080386823813841</v>
      </c>
      <c r="X26" s="103">
        <f t="shared" si="20"/>
        <v>0.105</v>
      </c>
      <c r="Y26" s="16"/>
      <c r="Z26" s="16"/>
    </row>
    <row r="27" spans="2:28" x14ac:dyDescent="0.2">
      <c r="B27" s="1" t="str">
        <f>B15</f>
        <v>R&amp;D</v>
      </c>
      <c r="C27" s="95">
        <f t="shared" ref="C27:G27" si="23">C15/C$6</f>
        <v>0.16091225847323409</v>
      </c>
      <c r="D27" s="95">
        <f t="shared" si="23"/>
        <v>0.16965807111212086</v>
      </c>
      <c r="E27" s="95">
        <f t="shared" si="23"/>
        <v>0.17893760626513472</v>
      </c>
      <c r="F27" s="95">
        <f t="shared" si="23"/>
        <v>0.183399209486166</v>
      </c>
      <c r="G27" s="96">
        <f t="shared" si="23"/>
        <v>0.1806554756195044</v>
      </c>
      <c r="H27" s="97">
        <v>0.19</v>
      </c>
      <c r="I27" s="97">
        <v>0.191</v>
      </c>
      <c r="J27" s="97">
        <v>0.193</v>
      </c>
      <c r="K27" s="97">
        <v>0.19500000000000001</v>
      </c>
      <c r="L27" s="97">
        <v>0.19500000000000001</v>
      </c>
      <c r="O27" s="1" t="str">
        <f t="shared" si="17"/>
        <v>R&amp;D</v>
      </c>
      <c r="P27" s="95">
        <f>P15/P$6</f>
        <v>0.18897928994082841</v>
      </c>
      <c r="Q27" s="95">
        <f t="shared" ref="Q27:V27" si="24">Q15/Q$6</f>
        <v>0.17820192650731359</v>
      </c>
      <c r="R27" s="95">
        <f t="shared" si="24"/>
        <v>0.17955897794889744</v>
      </c>
      <c r="S27" s="95">
        <f t="shared" si="24"/>
        <v>0.18423293035927124</v>
      </c>
      <c r="T27" s="95">
        <f t="shared" si="24"/>
        <v>0.18169672678690715</v>
      </c>
      <c r="U27" s="95">
        <f t="shared" si="24"/>
        <v>0.17726832418469488</v>
      </c>
      <c r="V27" s="95">
        <f t="shared" si="24"/>
        <v>0.17349171616130041</v>
      </c>
      <c r="W27" s="96">
        <f t="shared" si="20"/>
        <v>0.181021456633424</v>
      </c>
      <c r="X27" s="97">
        <v>0.17899999999999999</v>
      </c>
      <c r="Y27" s="97"/>
      <c r="Z27" s="97"/>
    </row>
    <row r="28" spans="2:28" x14ac:dyDescent="0.2">
      <c r="B28" s="1" t="str">
        <f t="shared" ref="B28:B30" si="25">B16</f>
        <v>Sales and marketing</v>
      </c>
      <c r="C28" s="95">
        <f t="shared" ref="C28:G28" si="26">C16/C$6</f>
        <v>0.27374089325308837</v>
      </c>
      <c r="D28" s="95">
        <f t="shared" si="26"/>
        <v>0.28217653072816085</v>
      </c>
      <c r="E28" s="95">
        <f t="shared" si="26"/>
        <v>0.27569684167138958</v>
      </c>
      <c r="F28" s="95">
        <f t="shared" si="26"/>
        <v>0.26803069053708439</v>
      </c>
      <c r="G28" s="96">
        <f t="shared" si="26"/>
        <v>0.27296057890529679</v>
      </c>
      <c r="H28" s="97">
        <v>0.27</v>
      </c>
      <c r="I28" s="97">
        <v>0.27</v>
      </c>
      <c r="J28" s="97">
        <v>0.27</v>
      </c>
      <c r="K28" s="97">
        <v>0.27</v>
      </c>
      <c r="L28" s="97">
        <v>0.27</v>
      </c>
      <c r="O28" s="1" t="str">
        <f t="shared" si="17"/>
        <v>Sales and marketing</v>
      </c>
      <c r="P28" s="95">
        <f t="shared" ref="P28:V30" si="27">P16/P$6</f>
        <v>0.26460798816568049</v>
      </c>
      <c r="Q28" s="95">
        <f t="shared" si="27"/>
        <v>0.27399215126650017</v>
      </c>
      <c r="R28" s="95">
        <f t="shared" si="27"/>
        <v>0.26163808190409521</v>
      </c>
      <c r="S28" s="95">
        <f t="shared" si="27"/>
        <v>0.27686020773029119</v>
      </c>
      <c r="T28" s="95">
        <f t="shared" si="27"/>
        <v>0.27371409485637943</v>
      </c>
      <c r="U28" s="95">
        <f t="shared" si="27"/>
        <v>0.27897965773329025</v>
      </c>
      <c r="V28" s="95">
        <f t="shared" si="27"/>
        <v>0.26695842450765866</v>
      </c>
      <c r="W28" s="96">
        <f t="shared" si="20"/>
        <v>0.28467815049864009</v>
      </c>
      <c r="X28" s="97">
        <v>0.27</v>
      </c>
      <c r="Y28" s="97"/>
      <c r="Z28" s="97"/>
    </row>
    <row r="29" spans="2:28" x14ac:dyDescent="0.2">
      <c r="B29" s="1" t="str">
        <f t="shared" si="25"/>
        <v>General and administrative</v>
      </c>
      <c r="C29" s="95">
        <f t="shared" ref="C29:G29" si="28">C17/C$6</f>
        <v>6.8736141906873618E-2</v>
      </c>
      <c r="D29" s="95">
        <f t="shared" si="28"/>
        <v>6.923775985459503E-2</v>
      </c>
      <c r="E29" s="95">
        <f t="shared" si="28"/>
        <v>7.2801277757741256E-2</v>
      </c>
      <c r="F29" s="95">
        <f t="shared" si="28"/>
        <v>7.1099744245524302E-2</v>
      </c>
      <c r="G29" s="96">
        <f t="shared" si="28"/>
        <v>6.6178636038537589E-2</v>
      </c>
      <c r="H29" s="97">
        <v>7.0000000000000007E-2</v>
      </c>
      <c r="I29" s="97">
        <v>7.0000000000000007E-2</v>
      </c>
      <c r="J29" s="97">
        <v>7.0000000000000007E-2</v>
      </c>
      <c r="K29" s="97">
        <v>7.0000000000000007E-2</v>
      </c>
      <c r="L29" s="97">
        <v>7.0000000000000007E-2</v>
      </c>
      <c r="O29" s="1" t="str">
        <f t="shared" si="17"/>
        <v>General and administrative</v>
      </c>
      <c r="P29" s="95">
        <f t="shared" si="27"/>
        <v>6.7677514792899407E-2</v>
      </c>
      <c r="Q29" s="95">
        <f t="shared" si="27"/>
        <v>8.1341419907242238E-2</v>
      </c>
      <c r="R29" s="95">
        <f t="shared" si="27"/>
        <v>6.4228211410570529E-2</v>
      </c>
      <c r="S29" s="95">
        <f t="shared" si="27"/>
        <v>6.4192065383960495E-2</v>
      </c>
      <c r="T29" s="95">
        <f t="shared" si="27"/>
        <v>6.8136272545090179E-2</v>
      </c>
      <c r="U29" s="95">
        <f t="shared" si="27"/>
        <v>6.7969002260251862E-2</v>
      </c>
      <c r="V29" s="95">
        <f t="shared" si="27"/>
        <v>7.2366364488902782E-2</v>
      </c>
      <c r="W29" s="96">
        <f t="shared" si="20"/>
        <v>8.2502266545784228E-2</v>
      </c>
      <c r="X29" s="97">
        <v>7.9000000000000001E-2</v>
      </c>
      <c r="Y29" s="97"/>
      <c r="Z29" s="97"/>
    </row>
    <row r="30" spans="2:28" x14ac:dyDescent="0.2">
      <c r="B30" s="16" t="str">
        <f t="shared" si="25"/>
        <v>OpEx</v>
      </c>
      <c r="C30" s="103">
        <f>C18/C$6</f>
        <v>0.51428571428571423</v>
      </c>
      <c r="D30" s="103">
        <f t="shared" ref="D30:L30" si="29">D18/D$6</f>
        <v>0.53067136203566967</v>
      </c>
      <c r="E30" s="103">
        <f t="shared" si="29"/>
        <v>0.53609150394147043</v>
      </c>
      <c r="F30" s="103">
        <f t="shared" si="29"/>
        <v>0.57688909555917234</v>
      </c>
      <c r="G30" s="104">
        <f t="shared" si="29"/>
        <v>0.52639993268543062</v>
      </c>
      <c r="H30" s="103">
        <f t="shared" si="29"/>
        <v>0.53</v>
      </c>
      <c r="I30" s="103">
        <f t="shared" si="29"/>
        <v>0.53099999999999992</v>
      </c>
      <c r="J30" s="103">
        <f t="shared" si="29"/>
        <v>0.53300000000000003</v>
      </c>
      <c r="K30" s="103">
        <f t="shared" si="29"/>
        <v>0.53500000000000003</v>
      </c>
      <c r="L30" s="103">
        <f t="shared" si="29"/>
        <v>0.53500000000000003</v>
      </c>
      <c r="O30" s="16" t="str">
        <f t="shared" si="17"/>
        <v>OpEx</v>
      </c>
      <c r="P30" s="103">
        <f t="shared" si="27"/>
        <v>0.52921597633136097</v>
      </c>
      <c r="Q30" s="103">
        <f t="shared" si="27"/>
        <v>0.54102747056724942</v>
      </c>
      <c r="R30" s="103">
        <f t="shared" si="27"/>
        <v>0.51260063003150158</v>
      </c>
      <c r="S30" s="103">
        <f t="shared" si="27"/>
        <v>0.53226630342244163</v>
      </c>
      <c r="T30" s="103">
        <f t="shared" si="27"/>
        <v>0.52989311957247831</v>
      </c>
      <c r="U30" s="103">
        <f t="shared" si="27"/>
        <v>0.53019050694220216</v>
      </c>
      <c r="V30" s="103">
        <f t="shared" si="27"/>
        <v>0.5182869646764614</v>
      </c>
      <c r="W30" s="104">
        <f t="shared" si="20"/>
        <v>0.55379268661226955</v>
      </c>
      <c r="X30" s="103">
        <f t="shared" si="20"/>
        <v>0.52800000000000002</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D37" zoomScale="189" zoomScaleNormal="100" workbookViewId="0">
      <selection activeCell="H46" sqref="H46:L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132</v>
      </c>
    </row>
    <row r="2" spans="1:28" s="83" customFormat="1" ht="18" customHeight="1" x14ac:dyDescent="0.2">
      <c r="A2" s="4"/>
      <c r="B2" s="82"/>
    </row>
    <row r="3" spans="1:28" x14ac:dyDescent="0.2">
      <c r="A3" s="4"/>
      <c r="C3" s="232" t="s">
        <v>114</v>
      </c>
      <c r="D3" s="232"/>
      <c r="E3" s="232"/>
      <c r="F3" s="232"/>
      <c r="G3" s="244"/>
      <c r="H3" s="245" t="s">
        <v>115</v>
      </c>
      <c r="I3" s="232"/>
      <c r="J3" s="232"/>
      <c r="K3" s="232"/>
      <c r="L3" s="232"/>
      <c r="P3" s="246"/>
      <c r="Q3" s="246"/>
      <c r="R3" s="246"/>
      <c r="S3" s="246"/>
      <c r="T3" s="246"/>
      <c r="U3" s="246"/>
      <c r="V3" s="246"/>
      <c r="W3" s="246"/>
      <c r="X3" s="246"/>
      <c r="Y3" s="246"/>
      <c r="Z3" s="246"/>
      <c r="AB3" s="111"/>
    </row>
    <row r="4" spans="1:28" ht="10" customHeight="1" x14ac:dyDescent="0.2"/>
    <row r="5" spans="1:28" ht="16" customHeight="1" x14ac:dyDescent="0.2">
      <c r="A5" s="86"/>
      <c r="B5" s="60"/>
      <c r="C5" s="241" t="s">
        <v>117</v>
      </c>
      <c r="D5" s="241"/>
      <c r="E5" s="241"/>
      <c r="F5" s="241"/>
      <c r="G5" s="241"/>
      <c r="H5" s="241"/>
      <c r="I5" s="241"/>
      <c r="J5" s="241"/>
      <c r="K5" s="241"/>
      <c r="L5" s="241"/>
      <c r="P5" s="246"/>
      <c r="Q5" s="246"/>
      <c r="R5" s="246"/>
      <c r="S5" s="246"/>
      <c r="T5" s="246"/>
      <c r="U5" s="246"/>
      <c r="V5" s="246"/>
      <c r="W5" s="246"/>
      <c r="X5" s="246"/>
      <c r="Y5" s="246"/>
      <c r="Z5" s="246"/>
      <c r="AB5" s="112"/>
    </row>
    <row r="6" spans="1:28" x14ac:dyDescent="0.2">
      <c r="B6" s="16" t="s">
        <v>118</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19</v>
      </c>
      <c r="C7" s="92">
        <f>Revenue!C9</f>
        <v>15785</v>
      </c>
      <c r="D7" s="92">
        <f>Revenue!D9</f>
        <v>17606</v>
      </c>
      <c r="E7" s="92">
        <f>Revenue!E9</f>
        <v>19409</v>
      </c>
      <c r="F7" s="92">
        <f>Revenue!F9</f>
        <v>21505</v>
      </c>
      <c r="G7" s="93">
        <f>Revenue!G9</f>
        <v>23769</v>
      </c>
      <c r="H7" s="92">
        <f>Revenue!H9</f>
        <v>26540.253999999997</v>
      </c>
      <c r="I7" s="92">
        <f>Revenue!I9</f>
        <v>29539.016480000002</v>
      </c>
      <c r="J7" s="92">
        <f>Revenue!J9</f>
        <v>32639.570752800002</v>
      </c>
      <c r="K7" s="92">
        <f>Revenue!K9</f>
        <v>35906.633367691211</v>
      </c>
      <c r="L7" s="92">
        <f>Revenue!L9</f>
        <v>39388.713090460325</v>
      </c>
      <c r="N7" s="91"/>
      <c r="O7" s="16"/>
      <c r="P7" s="92"/>
      <c r="Q7" s="92"/>
      <c r="R7" s="92"/>
      <c r="S7" s="92"/>
      <c r="T7" s="92"/>
      <c r="U7" s="92"/>
      <c r="V7" s="92"/>
      <c r="W7" s="92"/>
      <c r="X7" s="94"/>
      <c r="Y7" s="94"/>
      <c r="Z7" s="94"/>
      <c r="AB7" s="94"/>
    </row>
    <row r="8" spans="1:28" x14ac:dyDescent="0.2">
      <c r="B8" s="39" t="s">
        <v>20</v>
      </c>
      <c r="C8" s="114">
        <f>'COGS &amp; OpEx'!C14</f>
        <v>1865</v>
      </c>
      <c r="D8" s="114">
        <f>'COGS &amp; OpEx'!D14</f>
        <v>2165</v>
      </c>
      <c r="E8" s="114">
        <f>'COGS &amp; OpEx'!E14</f>
        <v>2354</v>
      </c>
      <c r="F8" s="114">
        <f>'COGS &amp; OpEx'!F14</f>
        <v>2358</v>
      </c>
      <c r="G8" s="115">
        <f>'COGS &amp; OpEx'!G14</f>
        <v>2551</v>
      </c>
      <c r="H8" s="114">
        <f>'COGS &amp; OpEx'!H14</f>
        <v>2892.8876859999991</v>
      </c>
      <c r="I8" s="114">
        <f>'COGS &amp; OpEx'!I14</f>
        <v>3219.75279632</v>
      </c>
      <c r="J8" s="114">
        <f>'COGS &amp; OpEx'!J14</f>
        <v>3427.1549290440003</v>
      </c>
      <c r="K8" s="114">
        <f>'COGS &amp; OpEx'!K14</f>
        <v>3698.3832368721946</v>
      </c>
      <c r="L8" s="114">
        <f>'COGS &amp; OpEx'!L14</f>
        <v>3938.8713090460328</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1" t="s">
        <v>133</v>
      </c>
      <c r="D11" s="241"/>
      <c r="E11" s="241"/>
      <c r="F11" s="241"/>
      <c r="G11" s="241"/>
      <c r="H11" s="241"/>
      <c r="I11" s="241"/>
      <c r="J11" s="241"/>
      <c r="K11" s="241"/>
      <c r="L11" s="241"/>
      <c r="N11" s="91"/>
      <c r="P11" s="246"/>
      <c r="Q11" s="246"/>
      <c r="R11" s="246"/>
      <c r="S11" s="246"/>
      <c r="T11" s="246"/>
      <c r="U11" s="246"/>
      <c r="V11" s="246"/>
      <c r="W11" s="246"/>
      <c r="X11" s="246"/>
      <c r="Y11" s="246"/>
      <c r="Z11" s="246"/>
      <c r="AB11" s="112"/>
    </row>
    <row r="12" spans="1:28" x14ac:dyDescent="0.2">
      <c r="B12" s="16" t="s">
        <v>134</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3"/>
      <c r="Q12" s="113"/>
      <c r="R12" s="113"/>
      <c r="S12" s="113"/>
      <c r="T12" s="113"/>
      <c r="U12" s="113"/>
      <c r="V12" s="113"/>
      <c r="W12" s="113"/>
      <c r="X12" s="113"/>
      <c r="Y12" s="113"/>
      <c r="Z12" s="113"/>
      <c r="AB12" s="112"/>
    </row>
    <row r="13" spans="1:28" x14ac:dyDescent="0.2">
      <c r="B13" s="39" t="s">
        <v>135</v>
      </c>
      <c r="C13" s="116">
        <f>Statement!M30</f>
        <v>1878</v>
      </c>
      <c r="D13" s="116">
        <f>Statement!N30</f>
        <v>2065</v>
      </c>
      <c r="E13" s="116">
        <f>Statement!O30</f>
        <v>2224</v>
      </c>
      <c r="F13" s="116">
        <f>Statement!P30</f>
        <v>2072</v>
      </c>
      <c r="G13" s="117">
        <f>Statement!Q30</f>
        <v>2344</v>
      </c>
      <c r="H13" s="25">
        <f>H20*H7/365</f>
        <v>2763.094936986301</v>
      </c>
      <c r="I13" s="25">
        <f>I20*I7/365</f>
        <v>3075.2948664109595</v>
      </c>
      <c r="J13" s="25">
        <f>J20*J7/365</f>
        <v>3398.092297551781</v>
      </c>
      <c r="K13" s="25">
        <f>K20*K7/365</f>
        <v>3738.2248437596331</v>
      </c>
      <c r="L13" s="25">
        <f>L20*L7/365</f>
        <v>4100.7427327054584</v>
      </c>
      <c r="N13" s="91"/>
      <c r="O13" s="16"/>
      <c r="P13" s="118"/>
      <c r="Q13" s="118"/>
      <c r="R13" s="118"/>
      <c r="S13" s="118"/>
      <c r="T13" s="118"/>
      <c r="U13" s="118"/>
      <c r="V13" s="118"/>
      <c r="W13" s="118"/>
      <c r="X13" s="108"/>
      <c r="Y13" s="108"/>
      <c r="Z13" s="108"/>
      <c r="AB13" s="24"/>
    </row>
    <row r="14" spans="1:28" x14ac:dyDescent="0.2">
      <c r="B14" s="39" t="s">
        <v>136</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1"/>
      <c r="O14" s="16"/>
      <c r="P14" s="118"/>
      <c r="Q14" s="118"/>
      <c r="R14" s="118"/>
      <c r="S14" s="118"/>
      <c r="T14" s="118"/>
      <c r="U14" s="118"/>
      <c r="V14" s="118"/>
      <c r="W14" s="118"/>
      <c r="X14" s="108"/>
      <c r="Y14" s="108"/>
      <c r="Z14" s="108"/>
      <c r="AB14" s="24"/>
    </row>
    <row r="15" spans="1:28" x14ac:dyDescent="0.2">
      <c r="B15" s="1" t="s">
        <v>137</v>
      </c>
      <c r="C15" s="116">
        <f>Statement!M38</f>
        <v>312</v>
      </c>
      <c r="D15" s="116">
        <f>Statement!N38</f>
        <v>379</v>
      </c>
      <c r="E15" s="116">
        <f>Statement!O38</f>
        <v>314</v>
      </c>
      <c r="F15" s="116">
        <f>Statement!P38</f>
        <v>361</v>
      </c>
      <c r="G15" s="117">
        <f>Statement!Q38</f>
        <v>417</v>
      </c>
      <c r="H15" s="24">
        <f>H22*H8/365</f>
        <v>451.76602219726016</v>
      </c>
      <c r="I15" s="24">
        <f>I22*I8/365</f>
        <v>502.81071065819179</v>
      </c>
      <c r="J15" s="24">
        <f>J22*J8/365</f>
        <v>535.19953686440556</v>
      </c>
      <c r="K15" s="24">
        <f>K22*K8/365</f>
        <v>577.5557383608633</v>
      </c>
      <c r="L15" s="24">
        <f>L22*L8/365</f>
        <v>615.11140990581873</v>
      </c>
      <c r="N15" s="91"/>
      <c r="P15" s="119"/>
      <c r="Q15" s="119"/>
      <c r="R15" s="119"/>
      <c r="S15" s="119"/>
      <c r="T15" s="119"/>
      <c r="U15" s="119"/>
      <c r="V15" s="119"/>
      <c r="W15" s="119"/>
      <c r="X15" s="25"/>
      <c r="Y15" s="24"/>
      <c r="Z15" s="24"/>
      <c r="AB15" s="24"/>
    </row>
    <row r="16" spans="1:28" x14ac:dyDescent="0.2">
      <c r="D16" s="24"/>
    </row>
    <row r="18" spans="2:12" x14ac:dyDescent="0.2">
      <c r="C18" s="241" t="s">
        <v>138</v>
      </c>
      <c r="D18" s="241"/>
      <c r="E18" s="241"/>
      <c r="F18" s="241"/>
      <c r="G18" s="241"/>
      <c r="H18" s="241"/>
      <c r="I18" s="241"/>
      <c r="J18" s="241"/>
      <c r="K18" s="241"/>
      <c r="L18" s="241"/>
    </row>
    <row r="19" spans="2:12" x14ac:dyDescent="0.2">
      <c r="B19" s="16" t="s">
        <v>139</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140</v>
      </c>
      <c r="C20" s="120">
        <f>C13/C7*365</f>
        <v>43.425403864428255</v>
      </c>
      <c r="D20" s="120">
        <f>D13/D7*365</f>
        <v>42.810689537657616</v>
      </c>
      <c r="E20" s="120">
        <f>E13/E7*365</f>
        <v>41.823896130661034</v>
      </c>
      <c r="F20" s="120">
        <f>F13/F7*365</f>
        <v>35.167635433620084</v>
      </c>
      <c r="G20" s="121">
        <f>G13/G7*365</f>
        <v>35.994783120871723</v>
      </c>
      <c r="H20" s="102">
        <v>38</v>
      </c>
      <c r="I20" s="102">
        <v>38</v>
      </c>
      <c r="J20" s="102">
        <v>38</v>
      </c>
      <c r="K20" s="102">
        <v>38</v>
      </c>
      <c r="L20" s="102">
        <v>38</v>
      </c>
    </row>
    <row r="21" spans="2:12" x14ac:dyDescent="0.2">
      <c r="B21" s="1" t="s">
        <v>141</v>
      </c>
      <c r="C21" s="120">
        <f>C14/C8*365</f>
        <v>0</v>
      </c>
      <c r="D21" s="120">
        <f t="shared" ref="D21:G21" si="4">D14/D8*365</f>
        <v>0</v>
      </c>
      <c r="E21" s="120">
        <f t="shared" si="4"/>
        <v>0</v>
      </c>
      <c r="F21" s="120">
        <f t="shared" si="4"/>
        <v>0</v>
      </c>
      <c r="G21" s="121">
        <f t="shared" si="4"/>
        <v>0</v>
      </c>
      <c r="H21" s="102">
        <v>0</v>
      </c>
      <c r="I21" s="102">
        <v>0</v>
      </c>
      <c r="J21" s="102">
        <v>0</v>
      </c>
      <c r="K21" s="102">
        <v>0</v>
      </c>
      <c r="L21" s="102">
        <v>0</v>
      </c>
    </row>
    <row r="22" spans="2:12" x14ac:dyDescent="0.2">
      <c r="B22" s="1" t="s">
        <v>142</v>
      </c>
      <c r="C22" s="120">
        <f>C15/C8*365</f>
        <v>61.061662198391424</v>
      </c>
      <c r="D22" s="120">
        <f>D15/D8*365</f>
        <v>63.896073903002311</v>
      </c>
      <c r="E22" s="120">
        <f>E15/E8*365</f>
        <v>48.687340696686491</v>
      </c>
      <c r="F22" s="120">
        <f>F15/F8*365</f>
        <v>55.879983036471586</v>
      </c>
      <c r="G22" s="121">
        <f>G15/G8*365</f>
        <v>59.664837318698552</v>
      </c>
      <c r="H22" s="102">
        <v>57</v>
      </c>
      <c r="I22" s="102">
        <v>57</v>
      </c>
      <c r="J22" s="102">
        <v>57</v>
      </c>
      <c r="K22" s="102">
        <v>57</v>
      </c>
      <c r="L22" s="102">
        <v>57</v>
      </c>
    </row>
    <row r="23" spans="2:12" x14ac:dyDescent="0.2">
      <c r="B23" s="1" t="s">
        <v>143</v>
      </c>
      <c r="C23" s="120">
        <f>C20+C21-C22</f>
        <v>-17.63625833396317</v>
      </c>
      <c r="D23" s="120">
        <f t="shared" ref="D23:L23" si="5">D20+D21-D22</f>
        <v>-21.085384365344694</v>
      </c>
      <c r="E23" s="120">
        <f t="shared" si="5"/>
        <v>-6.863444566025457</v>
      </c>
      <c r="F23" s="120">
        <f t="shared" si="5"/>
        <v>-20.712347602851501</v>
      </c>
      <c r="G23" s="121">
        <f t="shared" si="5"/>
        <v>-23.670054197826829</v>
      </c>
      <c r="H23" s="120">
        <f t="shared" si="5"/>
        <v>-19</v>
      </c>
      <c r="I23" s="120">
        <f t="shared" si="5"/>
        <v>-19</v>
      </c>
      <c r="J23" s="120">
        <f t="shared" si="5"/>
        <v>-19</v>
      </c>
      <c r="K23" s="120">
        <f t="shared" si="5"/>
        <v>-19</v>
      </c>
      <c r="L23" s="120">
        <f t="shared" si="5"/>
        <v>-19</v>
      </c>
    </row>
    <row r="25" spans="2:12" x14ac:dyDescent="0.2">
      <c r="B25" s="246"/>
      <c r="C25" s="246"/>
    </row>
    <row r="26" spans="2:12" x14ac:dyDescent="0.2">
      <c r="B26" s="111"/>
      <c r="C26" s="241" t="s">
        <v>144</v>
      </c>
      <c r="D26" s="241"/>
      <c r="E26" s="241"/>
      <c r="F26" s="241"/>
      <c r="G26" s="241"/>
      <c r="H26" s="241"/>
      <c r="I26" s="241"/>
      <c r="J26" s="241"/>
      <c r="K26" s="241"/>
      <c r="L26" s="241"/>
    </row>
    <row r="27" spans="2:12" x14ac:dyDescent="0.2">
      <c r="B27" s="16" t="s">
        <v>134</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145</v>
      </c>
      <c r="C28" s="116">
        <f>Statement!M55</f>
        <v>-430</v>
      </c>
      <c r="D28" s="116">
        <f>Statement!N55</f>
        <v>-198</v>
      </c>
      <c r="E28" s="116">
        <f>Statement!O55</f>
        <v>-159</v>
      </c>
      <c r="F28" s="116">
        <f>Statement!P55</f>
        <v>143</v>
      </c>
      <c r="G28" s="117">
        <f>Statement!Q55</f>
        <v>-275</v>
      </c>
      <c r="H28" s="128">
        <f>-(H13-G13)</f>
        <v>-419.09493698630104</v>
      </c>
      <c r="I28" s="128">
        <f t="shared" ref="I28:L29" si="7">-(I13-H13)</f>
        <v>-312.19992942465842</v>
      </c>
      <c r="J28" s="128">
        <f t="shared" si="7"/>
        <v>-322.79743114082157</v>
      </c>
      <c r="K28" s="128">
        <f t="shared" si="7"/>
        <v>-340.1325462078521</v>
      </c>
      <c r="L28" s="128">
        <f t="shared" si="7"/>
        <v>-362.51788894582523</v>
      </c>
    </row>
    <row r="29" spans="2:12" x14ac:dyDescent="0.2">
      <c r="B29" s="1" t="s">
        <v>146</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147</v>
      </c>
      <c r="C30" s="116">
        <f>Statement!M57</f>
        <v>-20</v>
      </c>
      <c r="D30" s="116">
        <f>Statement!N57</f>
        <v>66</v>
      </c>
      <c r="E30" s="116">
        <f>Statement!O57</f>
        <v>-49</v>
      </c>
      <c r="F30" s="116">
        <f>Statement!P57</f>
        <v>44</v>
      </c>
      <c r="G30" s="117">
        <f>Statement!Q57</f>
        <v>64</v>
      </c>
      <c r="H30" s="64">
        <f>H15-G15</f>
        <v>34.766022197260156</v>
      </c>
      <c r="I30" s="64">
        <f t="shared" ref="I30:L30" si="8">I15-H15</f>
        <v>51.044688460931638</v>
      </c>
      <c r="J30" s="64">
        <f t="shared" si="8"/>
        <v>32.388826206213764</v>
      </c>
      <c r="K30" s="64">
        <f t="shared" si="8"/>
        <v>42.356201496457743</v>
      </c>
      <c r="L30" s="64">
        <f t="shared" si="8"/>
        <v>37.55567154495543</v>
      </c>
    </row>
    <row r="31" spans="2:12" x14ac:dyDescent="0.2">
      <c r="B31" s="111"/>
      <c r="C31" s="111"/>
    </row>
    <row r="32" spans="2:12" x14ac:dyDescent="0.2">
      <c r="B32" s="111"/>
      <c r="C32" s="111"/>
    </row>
    <row r="33" spans="2:12" x14ac:dyDescent="0.2">
      <c r="B33" s="111"/>
      <c r="C33" s="241" t="s">
        <v>148</v>
      </c>
      <c r="D33" s="241"/>
      <c r="E33" s="241"/>
      <c r="F33" s="241"/>
      <c r="G33" s="241"/>
      <c r="H33" s="241"/>
      <c r="I33" s="241"/>
      <c r="J33" s="241"/>
      <c r="K33" s="241"/>
      <c r="L33" s="241"/>
    </row>
    <row r="34" spans="2:12" x14ac:dyDescent="0.2">
      <c r="B34" s="16" t="s">
        <v>134</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149</v>
      </c>
      <c r="C35" s="116">
        <f>Statement!M55+Statement!M56+Statement!M57+Statement!M58</f>
        <v>292</v>
      </c>
      <c r="D35" s="116">
        <f>Statement!N55+Statement!N56+Statement!N57+Statement!N58</f>
        <v>336</v>
      </c>
      <c r="E35" s="116">
        <f>Statement!O55+Statement!O56+Statement!O57+Statement!O58</f>
        <v>-355</v>
      </c>
      <c r="F35" s="116">
        <f>Statement!P55+Statement!P56+Statement!P57+Statement!P58</f>
        <v>144</v>
      </c>
      <c r="G35" s="117">
        <f>Statement!Q55+Statement!Q56+Statement!Q57+Statement!Q58</f>
        <v>605</v>
      </c>
      <c r="H35" s="128">
        <f>H36+H28+H29+H30</f>
        <v>146.4761652109591</v>
      </c>
      <c r="I35" s="128">
        <f t="shared" ref="I35:L35" si="10">I36+I28+I29+I30</f>
        <v>329.62508863627329</v>
      </c>
      <c r="J35" s="128">
        <f t="shared" si="10"/>
        <v>362.3828101213922</v>
      </c>
      <c r="K35" s="128">
        <f t="shared" si="10"/>
        <v>420.35632264242986</v>
      </c>
      <c r="L35" s="128">
        <f t="shared" si="10"/>
        <v>462.81204440833676</v>
      </c>
    </row>
    <row r="36" spans="2:12" x14ac:dyDescent="0.2">
      <c r="B36" s="1" t="s">
        <v>150</v>
      </c>
      <c r="C36" s="122">
        <f>C35-C28-C29-C30</f>
        <v>742</v>
      </c>
      <c r="D36" s="122">
        <f t="shared" ref="D36:G36" si="11">D35-D28-D29-D30</f>
        <v>468</v>
      </c>
      <c r="E36" s="122">
        <f t="shared" si="11"/>
        <v>-147</v>
      </c>
      <c r="F36" s="122">
        <f t="shared" si="11"/>
        <v>-43</v>
      </c>
      <c r="G36" s="123">
        <f t="shared" si="11"/>
        <v>816</v>
      </c>
      <c r="H36" s="64">
        <f>H7*H37</f>
        <v>530.80507999999998</v>
      </c>
      <c r="I36" s="64">
        <f>I7*I37</f>
        <v>590.78032960000007</v>
      </c>
      <c r="J36" s="64">
        <f>J7*J37</f>
        <v>652.79141505600001</v>
      </c>
      <c r="K36" s="64">
        <f>K7*K37</f>
        <v>718.13266735382422</v>
      </c>
      <c r="L36" s="64">
        <f>L7*L37</f>
        <v>787.77426180920656</v>
      </c>
    </row>
    <row r="37" spans="2:12" x14ac:dyDescent="0.2">
      <c r="B37" s="124" t="s">
        <v>130</v>
      </c>
      <c r="C37" s="125">
        <f>C36/C7</f>
        <v>4.7006651884700663E-2</v>
      </c>
      <c r="D37" s="125">
        <f>D36/D7</f>
        <v>2.658184709758037E-2</v>
      </c>
      <c r="E37" s="125">
        <f>E36/E7</f>
        <v>-7.5738059663042921E-3</v>
      </c>
      <c r="F37" s="125">
        <f>F36/F7</f>
        <v>-1.9995349918623577E-3</v>
      </c>
      <c r="G37" s="126">
        <f>G36/G7</f>
        <v>3.4330430392528082E-2</v>
      </c>
      <c r="H37" s="97">
        <v>0.02</v>
      </c>
      <c r="I37" s="97">
        <v>0.02</v>
      </c>
      <c r="J37" s="97">
        <v>0.02</v>
      </c>
      <c r="K37" s="97">
        <v>0.02</v>
      </c>
      <c r="L37" s="97">
        <v>0.02</v>
      </c>
    </row>
    <row r="38" spans="2:12" x14ac:dyDescent="0.2">
      <c r="C38" s="64"/>
    </row>
    <row r="39" spans="2:12" x14ac:dyDescent="0.2">
      <c r="C39" s="127"/>
    </row>
    <row r="40" spans="2:12" x14ac:dyDescent="0.2">
      <c r="C40" s="241" t="s">
        <v>151</v>
      </c>
      <c r="D40" s="241"/>
      <c r="E40" s="241"/>
      <c r="F40" s="241"/>
      <c r="G40" s="241"/>
      <c r="H40" s="241"/>
      <c r="I40" s="241"/>
      <c r="J40" s="241"/>
      <c r="K40" s="241"/>
      <c r="L40" s="241"/>
    </row>
    <row r="41" spans="2:12" x14ac:dyDescent="0.2">
      <c r="B41" s="16" t="s">
        <v>134</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57</v>
      </c>
      <c r="C42" s="116">
        <f>Statement!M53</f>
        <v>788</v>
      </c>
      <c r="D42" s="116">
        <f>Statement!N53</f>
        <v>856</v>
      </c>
      <c r="E42" s="116">
        <f>Statement!O53</f>
        <v>872</v>
      </c>
      <c r="F42" s="116">
        <f>Statement!P53</f>
        <v>857</v>
      </c>
      <c r="G42" s="117">
        <f>Statement!Q53</f>
        <v>818</v>
      </c>
      <c r="H42" s="25">
        <f>H7*H43</f>
        <v>796.20761999999991</v>
      </c>
      <c r="I42" s="25">
        <f>I7*I43</f>
        <v>886.17049440000005</v>
      </c>
      <c r="J42" s="25">
        <f>J7*J43</f>
        <v>979.18712258400001</v>
      </c>
      <c r="K42" s="25">
        <f>K7*K43</f>
        <v>1077.1990010307363</v>
      </c>
      <c r="L42" s="25">
        <f>L7*L43</f>
        <v>1181.6613927138096</v>
      </c>
    </row>
    <row r="43" spans="2:12" x14ac:dyDescent="0.2">
      <c r="B43" s="124" t="s">
        <v>152</v>
      </c>
      <c r="C43" s="125">
        <f>C42/C7</f>
        <v>4.9920810896420656E-2</v>
      </c>
      <c r="D43" s="125">
        <f>D42/D7</f>
        <v>4.8619788708394868E-2</v>
      </c>
      <c r="E43" s="125">
        <f>E42/E7</f>
        <v>4.4927610902158792E-2</v>
      </c>
      <c r="F43" s="125">
        <f>F42/F7</f>
        <v>3.9851197395954427E-2</v>
      </c>
      <c r="G43" s="126">
        <f>G42/G7</f>
        <v>3.4414573604274475E-2</v>
      </c>
      <c r="H43" s="97">
        <v>0.03</v>
      </c>
      <c r="I43" s="97">
        <v>0.03</v>
      </c>
      <c r="J43" s="97">
        <v>0.03</v>
      </c>
      <c r="K43" s="97">
        <v>0.03</v>
      </c>
      <c r="L43" s="97">
        <v>0.03</v>
      </c>
    </row>
    <row r="44" spans="2:12" x14ac:dyDescent="0.2">
      <c r="B44" s="124" t="s">
        <v>153</v>
      </c>
      <c r="C44" s="125">
        <f>C42/C45</f>
        <v>2.264367816091954</v>
      </c>
      <c r="D44" s="125">
        <f t="shared" ref="D44:L44" si="13">D42/D45</f>
        <v>1.9366515837104072</v>
      </c>
      <c r="E44" s="125">
        <f t="shared" si="13"/>
        <v>2.4222222222222221</v>
      </c>
      <c r="F44" s="125">
        <f t="shared" si="13"/>
        <v>4.6830601092896176</v>
      </c>
      <c r="G44" s="126">
        <f t="shared" si="13"/>
        <v>4.5698324022346366</v>
      </c>
      <c r="H44" s="125">
        <f t="shared" si="13"/>
        <v>2</v>
      </c>
      <c r="I44" s="125">
        <f t="shared" si="13"/>
        <v>2</v>
      </c>
      <c r="J44" s="125">
        <f t="shared" si="13"/>
        <v>2</v>
      </c>
      <c r="K44" s="125">
        <f t="shared" si="13"/>
        <v>2</v>
      </c>
      <c r="L44" s="125">
        <f t="shared" si="13"/>
        <v>2</v>
      </c>
    </row>
    <row r="45" spans="2:12" x14ac:dyDescent="0.2">
      <c r="B45" s="1" t="s">
        <v>60</v>
      </c>
      <c r="C45" s="116">
        <f>-Statement!M60</f>
        <v>348</v>
      </c>
      <c r="D45" s="116">
        <f>-Statement!N60</f>
        <v>442</v>
      </c>
      <c r="E45" s="116">
        <f>-Statement!O60</f>
        <v>360</v>
      </c>
      <c r="F45" s="116">
        <f>-Statement!P60</f>
        <v>183</v>
      </c>
      <c r="G45" s="117">
        <f>-Statement!Q60</f>
        <v>179</v>
      </c>
      <c r="H45" s="25">
        <f>H7*H46</f>
        <v>398.10380999999995</v>
      </c>
      <c r="I45" s="25">
        <f>I7*I46</f>
        <v>443.08524720000003</v>
      </c>
      <c r="J45" s="25">
        <f>J7*J46</f>
        <v>489.593561292</v>
      </c>
      <c r="K45" s="25">
        <f>K7*K46</f>
        <v>538.59950051536816</v>
      </c>
      <c r="L45" s="25">
        <f>L7*L46</f>
        <v>590.83069635690481</v>
      </c>
    </row>
    <row r="46" spans="2:12" x14ac:dyDescent="0.2">
      <c r="B46" s="124" t="s">
        <v>152</v>
      </c>
      <c r="C46" s="125">
        <f>C45/C7</f>
        <v>2.2046246436490339E-2</v>
      </c>
      <c r="D46" s="125">
        <f>D45/D7</f>
        <v>2.5105077814381462E-2</v>
      </c>
      <c r="E46" s="125">
        <f>E45/E7</f>
        <v>1.854809624401051E-2</v>
      </c>
      <c r="F46" s="125">
        <f>F45/F7</f>
        <v>8.5096489188560796E-3</v>
      </c>
      <c r="G46" s="126">
        <f>G45/G7</f>
        <v>7.5308174513021159E-3</v>
      </c>
      <c r="H46" s="97">
        <v>1.4999999999999999E-2</v>
      </c>
      <c r="I46" s="97">
        <v>1.4999999999999999E-2</v>
      </c>
      <c r="J46" s="97">
        <v>1.4999999999999999E-2</v>
      </c>
      <c r="K46" s="97">
        <v>1.4999999999999999E-2</v>
      </c>
      <c r="L46" s="97">
        <v>1.4999999999999999E-2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1"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154</v>
      </c>
    </row>
    <row r="2" spans="1:31" x14ac:dyDescent="0.2">
      <c r="A2" s="4"/>
      <c r="C2" s="232" t="s">
        <v>114</v>
      </c>
      <c r="D2" s="232"/>
      <c r="E2" s="232"/>
      <c r="F2" s="232"/>
      <c r="G2" s="244"/>
      <c r="H2" s="245" t="s">
        <v>115</v>
      </c>
      <c r="I2" s="232"/>
      <c r="J2" s="232"/>
      <c r="K2" s="232"/>
      <c r="L2" s="232"/>
      <c r="S2" s="246"/>
      <c r="T2" s="246"/>
      <c r="U2" s="246"/>
      <c r="V2" s="246"/>
      <c r="W2" s="246"/>
      <c r="X2" s="246"/>
      <c r="Y2" s="246"/>
      <c r="Z2" s="246"/>
      <c r="AA2" s="246"/>
      <c r="AB2" s="246"/>
      <c r="AC2" s="246"/>
      <c r="AE2" s="111"/>
    </row>
    <row r="3" spans="1:31" ht="10" customHeight="1" x14ac:dyDescent="0.2"/>
    <row r="4" spans="1:31" ht="16" customHeight="1" x14ac:dyDescent="0.2">
      <c r="A4" s="86"/>
      <c r="B4" s="60"/>
      <c r="C4" s="241" t="s">
        <v>18</v>
      </c>
      <c r="D4" s="241"/>
      <c r="E4" s="241"/>
      <c r="F4" s="241"/>
      <c r="G4" s="241"/>
      <c r="H4" s="241"/>
      <c r="I4" s="241"/>
      <c r="J4" s="241"/>
      <c r="K4" s="241"/>
      <c r="L4" s="241"/>
      <c r="S4" s="246"/>
      <c r="T4" s="246"/>
      <c r="U4" s="246"/>
      <c r="V4" s="246"/>
      <c r="W4" s="246"/>
      <c r="X4" s="246"/>
      <c r="Y4" s="246"/>
      <c r="Z4" s="246"/>
      <c r="AA4" s="246"/>
      <c r="AB4" s="246"/>
      <c r="AC4" s="246"/>
      <c r="AE4" s="112"/>
    </row>
    <row r="5" spans="1:31" x14ac:dyDescent="0.2">
      <c r="B5" s="16" t="s">
        <v>134</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0" t="s">
        <v>155</v>
      </c>
      <c r="Q6" s="90"/>
      <c r="S6" s="88"/>
      <c r="T6" s="88"/>
      <c r="U6" s="88"/>
      <c r="V6" s="88"/>
      <c r="W6" s="88"/>
      <c r="X6" s="88"/>
      <c r="Y6" s="88"/>
      <c r="Z6" s="88"/>
      <c r="AA6" s="64"/>
      <c r="AB6" s="64"/>
      <c r="AC6" s="64"/>
      <c r="AE6" s="64"/>
    </row>
    <row r="7" spans="1:31" x14ac:dyDescent="0.2">
      <c r="B7" s="1" t="s">
        <v>20</v>
      </c>
      <c r="C7" s="88">
        <f>'COGS &amp; OpEx'!C14</f>
        <v>1865</v>
      </c>
      <c r="D7" s="88">
        <f>'COGS &amp; OpEx'!D14</f>
        <v>2165</v>
      </c>
      <c r="E7" s="88">
        <f>'COGS &amp; OpEx'!E14</f>
        <v>2354</v>
      </c>
      <c r="F7" s="88">
        <f>'COGS &amp; OpEx'!F14</f>
        <v>2358</v>
      </c>
      <c r="G7" s="89">
        <f>'COGS &amp; OpEx'!G14</f>
        <v>2551</v>
      </c>
      <c r="H7" s="114">
        <f>'COGS &amp; OpEx'!H14</f>
        <v>2892.8876859999991</v>
      </c>
      <c r="I7" s="114">
        <f>'COGS &amp; OpEx'!I14</f>
        <v>3219.75279632</v>
      </c>
      <c r="J7" s="114">
        <f>'COGS &amp; OpEx'!J14</f>
        <v>3427.1549290440003</v>
      </c>
      <c r="K7" s="114">
        <f>'COGS &amp; OpEx'!K14</f>
        <v>3698.3832368721946</v>
      </c>
      <c r="L7" s="114">
        <f>'COGS &amp; OpEx'!L14</f>
        <v>3938.8713090460328</v>
      </c>
      <c r="N7" s="90" t="s">
        <v>156</v>
      </c>
      <c r="Q7" s="90"/>
      <c r="S7" s="88"/>
      <c r="T7" s="88"/>
      <c r="U7" s="88"/>
      <c r="V7" s="88"/>
      <c r="W7" s="88"/>
      <c r="X7" s="88"/>
      <c r="Y7" s="88"/>
      <c r="Z7" s="88"/>
      <c r="AA7" s="64"/>
      <c r="AB7" s="64"/>
      <c r="AC7" s="64"/>
      <c r="AE7" s="64"/>
    </row>
    <row r="8" spans="1:31" x14ac:dyDescent="0.2">
      <c r="B8" s="16" t="s">
        <v>157</v>
      </c>
      <c r="C8" s="94">
        <f>C6-C7</f>
        <v>13920</v>
      </c>
      <c r="D8" s="94">
        <f t="shared" ref="D8:L8" si="1">D6-D7</f>
        <v>15441</v>
      </c>
      <c r="E8" s="94">
        <f t="shared" si="1"/>
        <v>17055</v>
      </c>
      <c r="F8" s="94">
        <f t="shared" si="1"/>
        <v>19147</v>
      </c>
      <c r="G8" s="129">
        <f t="shared" si="1"/>
        <v>21218</v>
      </c>
      <c r="H8" s="94">
        <f t="shared" si="1"/>
        <v>23647.366313999999</v>
      </c>
      <c r="I8" s="94">
        <f t="shared" si="1"/>
        <v>26319.263683680001</v>
      </c>
      <c r="J8" s="94">
        <f t="shared" si="1"/>
        <v>29212.415823756</v>
      </c>
      <c r="K8" s="94">
        <f t="shared" si="1"/>
        <v>32208.250130819015</v>
      </c>
      <c r="L8" s="94">
        <f t="shared" si="1"/>
        <v>35449.841781414296</v>
      </c>
      <c r="N8" s="90"/>
      <c r="Q8" s="90"/>
      <c r="S8" s="88"/>
      <c r="T8" s="88"/>
      <c r="U8" s="88"/>
      <c r="V8" s="88"/>
      <c r="W8" s="88"/>
      <c r="X8" s="88"/>
      <c r="Y8" s="88"/>
      <c r="Z8" s="88"/>
      <c r="AA8" s="64"/>
      <c r="AB8" s="64"/>
      <c r="AC8" s="64"/>
      <c r="AE8" s="64"/>
    </row>
    <row r="9" spans="1:31" x14ac:dyDescent="0.2">
      <c r="B9" s="1" t="s">
        <v>25</v>
      </c>
      <c r="C9" s="88">
        <f>'COGS &amp; OpEx'!C18</f>
        <v>8118</v>
      </c>
      <c r="D9" s="88">
        <f>'COGS &amp; OpEx'!D18</f>
        <v>9343</v>
      </c>
      <c r="E9" s="88">
        <f>'COGS &amp; OpEx'!E18</f>
        <v>10405</v>
      </c>
      <c r="F9" s="88">
        <f>'COGS &amp; OpEx'!F18</f>
        <v>12406</v>
      </c>
      <c r="G9" s="89">
        <f>'COGS &amp; OpEx'!G18</f>
        <v>12512</v>
      </c>
      <c r="H9" s="114">
        <f>'COGS &amp; OpEx'!H18</f>
        <v>14066.33462</v>
      </c>
      <c r="I9" s="114">
        <f>'COGS &amp; OpEx'!I18</f>
        <v>15685.21775088</v>
      </c>
      <c r="J9" s="114">
        <f>'COGS &amp; OpEx'!J18</f>
        <v>17396.8912112424</v>
      </c>
      <c r="K9" s="114">
        <f>'COGS &amp; OpEx'!K18</f>
        <v>19210.048851714801</v>
      </c>
      <c r="L9" s="114">
        <f>'COGS &amp; OpEx'!L18</f>
        <v>21072.961503396276</v>
      </c>
      <c r="N9" s="130" t="s">
        <v>156</v>
      </c>
      <c r="Q9" s="90"/>
      <c r="S9" s="88"/>
      <c r="T9" s="88"/>
      <c r="U9" s="88"/>
      <c r="V9" s="88"/>
      <c r="W9" s="88"/>
      <c r="X9" s="88"/>
      <c r="Y9" s="88"/>
      <c r="Z9" s="88"/>
      <c r="AA9" s="64"/>
      <c r="AB9" s="64"/>
      <c r="AC9" s="64"/>
      <c r="AE9" s="64"/>
    </row>
    <row r="10" spans="1:31" x14ac:dyDescent="0.2">
      <c r="B10" s="16" t="s">
        <v>158</v>
      </c>
      <c r="C10" s="94">
        <f t="shared" ref="C10:L10" si="2">C8-C9</f>
        <v>5802</v>
      </c>
      <c r="D10" s="94">
        <f t="shared" si="2"/>
        <v>6098</v>
      </c>
      <c r="E10" s="94">
        <f t="shared" si="2"/>
        <v>6650</v>
      </c>
      <c r="F10" s="94">
        <f t="shared" si="2"/>
        <v>6741</v>
      </c>
      <c r="G10" s="129">
        <f t="shared" si="2"/>
        <v>8706</v>
      </c>
      <c r="H10" s="94">
        <f t="shared" si="2"/>
        <v>9581.0316939999993</v>
      </c>
      <c r="I10" s="94">
        <f t="shared" si="2"/>
        <v>10634.045932800002</v>
      </c>
      <c r="J10" s="94">
        <f t="shared" si="2"/>
        <v>11815.5246125136</v>
      </c>
      <c r="K10" s="94">
        <f t="shared" si="2"/>
        <v>12998.201279104214</v>
      </c>
      <c r="L10" s="94">
        <f t="shared" si="2"/>
        <v>14376.880278018019</v>
      </c>
      <c r="N10" s="90"/>
      <c r="Q10" s="90"/>
      <c r="S10" s="88"/>
      <c r="T10" s="88"/>
      <c r="U10" s="88"/>
      <c r="V10" s="88"/>
      <c r="W10" s="88"/>
      <c r="X10" s="88"/>
      <c r="Y10" s="88"/>
      <c r="Z10" s="88"/>
      <c r="AA10" s="64"/>
      <c r="AB10" s="64"/>
      <c r="AC10" s="64"/>
      <c r="AE10" s="64"/>
    </row>
    <row r="13" spans="1:31" x14ac:dyDescent="0.2">
      <c r="C13" s="241" t="s">
        <v>159</v>
      </c>
      <c r="D13" s="241"/>
      <c r="E13" s="241"/>
      <c r="F13" s="241"/>
      <c r="G13" s="241"/>
      <c r="H13" s="241"/>
      <c r="I13" s="241"/>
      <c r="J13" s="241"/>
      <c r="K13" s="241"/>
      <c r="L13" s="241"/>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73</v>
      </c>
      <c r="C15" s="131">
        <f>-Statement!M83</f>
        <v>-0.15477651183172655</v>
      </c>
      <c r="D15" s="131">
        <f>-Statement!N83</f>
        <v>-0.20838881491344874</v>
      </c>
      <c r="E15" s="131">
        <f>-Statement!O83</f>
        <v>-0.20164730107368731</v>
      </c>
      <c r="F15" s="131">
        <f>-Statement!P83</f>
        <v>-0.19780695426345404</v>
      </c>
      <c r="G15" s="132">
        <f>-Statement!Q83</f>
        <v>-0.18365010304556903</v>
      </c>
      <c r="H15" s="131">
        <f>Overview!$C$26</f>
        <v>0.21</v>
      </c>
      <c r="I15" s="131">
        <f>Overview!$C$26</f>
        <v>0.21</v>
      </c>
      <c r="J15" s="131">
        <f>Overview!$C$26</f>
        <v>0.21</v>
      </c>
      <c r="K15" s="131">
        <f>Overview!$C$26</f>
        <v>0.21</v>
      </c>
      <c r="L15" s="131">
        <f>Overview!$C$26</f>
        <v>0.21</v>
      </c>
      <c r="N15" s="1" t="s">
        <v>164</v>
      </c>
    </row>
    <row r="18" spans="2:14" x14ac:dyDescent="0.2">
      <c r="C18" s="241" t="s">
        <v>160</v>
      </c>
      <c r="D18" s="241"/>
      <c r="E18" s="241"/>
      <c r="F18" s="241"/>
      <c r="G18" s="241"/>
      <c r="H18" s="241"/>
      <c r="I18" s="241"/>
      <c r="J18" s="241"/>
      <c r="K18" s="241"/>
      <c r="L18" s="241"/>
    </row>
    <row r="19" spans="2:14" x14ac:dyDescent="0.2">
      <c r="B19" s="16" t="s">
        <v>134</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57</v>
      </c>
      <c r="C20" s="88">
        <f>'WC &amp; Investments'!C42</f>
        <v>788</v>
      </c>
      <c r="D20" s="88">
        <f>'WC &amp; Investments'!D42</f>
        <v>856</v>
      </c>
      <c r="E20" s="88">
        <f>'WC &amp; Investments'!E42</f>
        <v>872</v>
      </c>
      <c r="F20" s="88">
        <f>'WC &amp; Investments'!F42</f>
        <v>857</v>
      </c>
      <c r="G20" s="89">
        <f>'WC &amp; Investments'!G42</f>
        <v>818</v>
      </c>
      <c r="H20" s="88">
        <f>'WC &amp; Investments'!H42</f>
        <v>796.20761999999991</v>
      </c>
      <c r="I20" s="88">
        <f>'WC &amp; Investments'!I42</f>
        <v>886.17049440000005</v>
      </c>
      <c r="J20" s="88">
        <f>'WC &amp; Investments'!J42</f>
        <v>979.18712258400001</v>
      </c>
      <c r="K20" s="88">
        <f>'WC &amp; Investments'!K42</f>
        <v>1077.1990010307363</v>
      </c>
      <c r="L20" s="88">
        <f>'WC &amp; Investments'!L42</f>
        <v>1181.6613927138096</v>
      </c>
      <c r="N20" s="1" t="s">
        <v>161</v>
      </c>
    </row>
    <row r="21" spans="2:14" x14ac:dyDescent="0.2">
      <c r="B21" s="1" t="s">
        <v>60</v>
      </c>
      <c r="C21" s="88">
        <f>'WC &amp; Investments'!C45</f>
        <v>348</v>
      </c>
      <c r="D21" s="88">
        <f>'WC &amp; Investments'!D45</f>
        <v>442</v>
      </c>
      <c r="E21" s="88">
        <f>'WC &amp; Investments'!E45</f>
        <v>360</v>
      </c>
      <c r="F21" s="88">
        <f>'WC &amp; Investments'!F45</f>
        <v>183</v>
      </c>
      <c r="G21" s="89">
        <f>'WC &amp; Investments'!G45</f>
        <v>179</v>
      </c>
      <c r="H21" s="88">
        <f>'WC &amp; Investments'!H45</f>
        <v>398.10380999999995</v>
      </c>
      <c r="I21" s="88">
        <f>'WC &amp; Investments'!I45</f>
        <v>443.08524720000003</v>
      </c>
      <c r="J21" s="88">
        <f>'WC &amp; Investments'!J45</f>
        <v>489.593561292</v>
      </c>
      <c r="K21" s="88">
        <f>'WC &amp; Investments'!K45</f>
        <v>538.59950051536816</v>
      </c>
      <c r="L21" s="88">
        <f>'WC &amp; Investments'!L45</f>
        <v>590.83069635690481</v>
      </c>
      <c r="N21" s="1" t="s">
        <v>161</v>
      </c>
    </row>
    <row r="22" spans="2:14" x14ac:dyDescent="0.2">
      <c r="B22" s="1" t="s">
        <v>162</v>
      </c>
      <c r="C22" s="88">
        <f>'WC &amp; Investments'!C35</f>
        <v>292</v>
      </c>
      <c r="D22" s="88">
        <f>'WC &amp; Investments'!D35</f>
        <v>336</v>
      </c>
      <c r="E22" s="88">
        <f>'WC &amp; Investments'!E35</f>
        <v>-355</v>
      </c>
      <c r="F22" s="88">
        <f>'WC &amp; Investments'!F35</f>
        <v>144</v>
      </c>
      <c r="G22" s="89">
        <f>'WC &amp; Investments'!G35</f>
        <v>605</v>
      </c>
      <c r="H22" s="88">
        <f>'WC &amp; Investments'!H35</f>
        <v>146.4761652109591</v>
      </c>
      <c r="I22" s="88">
        <f>'WC &amp; Investments'!I35</f>
        <v>329.62508863627329</v>
      </c>
      <c r="J22" s="88">
        <f>'WC &amp; Investments'!J35</f>
        <v>362.3828101213922</v>
      </c>
      <c r="K22" s="88">
        <f>'WC &amp; Investments'!K35</f>
        <v>420.35632264242986</v>
      </c>
      <c r="L22" s="88">
        <f>'WC &amp; Investments'!L35</f>
        <v>462.81204440833676</v>
      </c>
      <c r="N22" s="1" t="s">
        <v>161</v>
      </c>
    </row>
    <row r="25" spans="2:14" x14ac:dyDescent="0.2">
      <c r="C25" s="241" t="s">
        <v>268</v>
      </c>
      <c r="D25" s="241"/>
      <c r="E25" s="241"/>
      <c r="F25" s="241"/>
      <c r="G25" s="241"/>
      <c r="H25" s="241"/>
      <c r="I25" s="241"/>
      <c r="J25" s="241"/>
      <c r="K25" s="241"/>
      <c r="L25" s="241"/>
    </row>
    <row r="26" spans="2:14" x14ac:dyDescent="0.2">
      <c r="B26" s="16" t="s">
        <v>134</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163</v>
      </c>
      <c r="C27" s="128">
        <f>C10*(1-C15)</f>
        <v>6700.0133216476779</v>
      </c>
      <c r="D27" s="128">
        <f t="shared" ref="D27:L27" si="6">D10*(1-D15)</f>
        <v>7368.7549933422106</v>
      </c>
      <c r="E27" s="128">
        <f t="shared" si="6"/>
        <v>7990.9545521400196</v>
      </c>
      <c r="F27" s="128">
        <f t="shared" si="6"/>
        <v>8074.4166786899432</v>
      </c>
      <c r="G27" s="133">
        <f t="shared" si="6"/>
        <v>10304.857797114724</v>
      </c>
      <c r="H27" s="128">
        <f t="shared" si="6"/>
        <v>7569.0150382599995</v>
      </c>
      <c r="I27" s="128">
        <f t="shared" si="6"/>
        <v>8400.8962869120023</v>
      </c>
      <c r="J27" s="128">
        <f t="shared" si="6"/>
        <v>9334.2644438857442</v>
      </c>
      <c r="K27" s="128">
        <f t="shared" si="6"/>
        <v>10268.579010492329</v>
      </c>
      <c r="L27" s="128">
        <f t="shared" si="6"/>
        <v>11357.735419634237</v>
      </c>
    </row>
    <row r="28" spans="2:14" x14ac:dyDescent="0.2">
      <c r="B28" s="16" t="s">
        <v>268</v>
      </c>
      <c r="C28" s="94">
        <f>C27+C20-C21+C22</f>
        <v>7432.0133216476779</v>
      </c>
      <c r="D28" s="94">
        <f t="shared" ref="D28:L28" si="7">D27+D20-D21+D22</f>
        <v>8118.7549933422106</v>
      </c>
      <c r="E28" s="94">
        <f t="shared" si="7"/>
        <v>8147.9545521400196</v>
      </c>
      <c r="F28" s="94">
        <f t="shared" si="7"/>
        <v>8892.4166786899441</v>
      </c>
      <c r="G28" s="129">
        <f t="shared" si="7"/>
        <v>11548.857797114724</v>
      </c>
      <c r="H28" s="94">
        <f t="shared" si="7"/>
        <v>8113.5950134709592</v>
      </c>
      <c r="I28" s="94">
        <f t="shared" si="7"/>
        <v>9173.6066227482752</v>
      </c>
      <c r="J28" s="94">
        <f t="shared" si="7"/>
        <v>10186.240815299137</v>
      </c>
      <c r="K28" s="94">
        <f t="shared" si="7"/>
        <v>11227.534833650127</v>
      </c>
      <c r="L28" s="94">
        <f t="shared" si="7"/>
        <v>12411.378160399478</v>
      </c>
    </row>
    <row r="31" spans="2:14" x14ac:dyDescent="0.2">
      <c r="C31" s="241" t="s">
        <v>77</v>
      </c>
      <c r="D31" s="241"/>
      <c r="E31" s="241"/>
      <c r="F31" s="241"/>
      <c r="G31" s="241"/>
      <c r="H31" s="241"/>
      <c r="I31" s="241"/>
      <c r="J31" s="241"/>
      <c r="K31" s="241"/>
      <c r="L31" s="241"/>
    </row>
    <row r="32" spans="2:14" x14ac:dyDescent="0.2">
      <c r="B32" s="16" t="s">
        <v>343</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78</v>
      </c>
      <c r="C33" s="131">
        <f>Statement!M101</f>
        <v>0.88184985745961353</v>
      </c>
      <c r="D33" s="131">
        <f>Statement!N101</f>
        <v>0.87703055776439853</v>
      </c>
      <c r="E33" s="131">
        <f>Statement!O101</f>
        <v>0.87871605955999799</v>
      </c>
      <c r="F33" s="131">
        <f>Statement!P101</f>
        <v>0.89035108114392003</v>
      </c>
      <c r="G33" s="132">
        <f>Statement!Q101</f>
        <v>0.89267533341747651</v>
      </c>
      <c r="H33" s="218">
        <f>H8/H6</f>
        <v>0.89100000000000001</v>
      </c>
      <c r="I33" s="218">
        <f t="shared" ref="I33:L33" si="9">I8/I6</f>
        <v>0.89100000000000001</v>
      </c>
      <c r="J33" s="218">
        <f t="shared" si="9"/>
        <v>0.89499999999999991</v>
      </c>
      <c r="K33" s="218">
        <f t="shared" si="9"/>
        <v>0.89700000000000002</v>
      </c>
      <c r="L33" s="218">
        <f t="shared" si="9"/>
        <v>0.9</v>
      </c>
    </row>
    <row r="34" spans="2:12" x14ac:dyDescent="0.2">
      <c r="B34" s="1" t="s">
        <v>79</v>
      </c>
      <c r="C34" s="131">
        <f>Statement!M102</f>
        <v>0.36756414317389929</v>
      </c>
      <c r="D34" s="131">
        <f>Statement!N102</f>
        <v>0.34635919572872886</v>
      </c>
      <c r="E34" s="131">
        <f>Statement!O102</f>
        <v>0.3426245556185275</v>
      </c>
      <c r="F34" s="131">
        <f>Statement!P102</f>
        <v>0.31346198558474775</v>
      </c>
      <c r="G34" s="132">
        <f>Statement!Q102</f>
        <v>0.36627540073204595</v>
      </c>
      <c r="H34" s="218">
        <f>H10/H6</f>
        <v>0.36099999999999999</v>
      </c>
      <c r="I34" s="218">
        <f t="shared" ref="I34:L34" si="10">I10/I6</f>
        <v>0.36000000000000004</v>
      </c>
      <c r="J34" s="218">
        <f t="shared" si="10"/>
        <v>0.36199999999999999</v>
      </c>
      <c r="K34" s="218">
        <f t="shared" si="10"/>
        <v>0.36199999999999988</v>
      </c>
      <c r="L34" s="218">
        <f t="shared" si="10"/>
        <v>0.36499999999999999</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6"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166</v>
      </c>
    </row>
    <row r="2" spans="1:3" s="83" customFormat="1" ht="18" customHeight="1" x14ac:dyDescent="0.2">
      <c r="A2" s="4"/>
      <c r="B2" s="82"/>
    </row>
    <row r="3" spans="1:3" ht="17" customHeight="1" x14ac:dyDescent="0.2"/>
    <row r="4" spans="1:3" ht="17" customHeight="1" x14ac:dyDescent="0.2">
      <c r="B4" s="232" t="s">
        <v>167</v>
      </c>
      <c r="C4" s="232"/>
    </row>
    <row r="5" spans="1:3" ht="17" customHeight="1" x14ac:dyDescent="0.2">
      <c r="B5" s="1" t="s">
        <v>168</v>
      </c>
      <c r="C5" s="138">
        <f>Statement!AC78</f>
        <v>398</v>
      </c>
    </row>
    <row r="6" spans="1:3" ht="17" customHeight="1" x14ac:dyDescent="0.2">
      <c r="B6" s="1" t="s">
        <v>1</v>
      </c>
      <c r="C6" s="135">
        <f ca="1">Overview!C5</f>
        <v>195.16</v>
      </c>
    </row>
    <row r="7" spans="1:3" ht="17" customHeight="1" x14ac:dyDescent="0.2">
      <c r="B7" s="1" t="s">
        <v>169</v>
      </c>
      <c r="C7" s="136">
        <f ca="1">C5*C6</f>
        <v>77673.679999999993</v>
      </c>
    </row>
    <row r="8" spans="1:3" ht="17" customHeight="1" x14ac:dyDescent="0.2">
      <c r="B8" s="1" t="s">
        <v>170</v>
      </c>
      <c r="C8" s="114">
        <f>Statement!AC108</f>
        <v>6645</v>
      </c>
    </row>
    <row r="9" spans="1:3" ht="17" customHeight="1" x14ac:dyDescent="0.2">
      <c r="B9" s="1" t="s">
        <v>171</v>
      </c>
      <c r="C9" s="137">
        <f ca="1">Overview!F27</f>
        <v>4.4510000000000001E-2</v>
      </c>
    </row>
    <row r="10" spans="1:3" ht="17" customHeight="1" x14ac:dyDescent="0.2">
      <c r="B10" s="1" t="s">
        <v>9</v>
      </c>
      <c r="C10" s="135">
        <f ca="1">Overview!C13</f>
        <v>1.4390000000000001</v>
      </c>
    </row>
    <row r="11" spans="1:3" ht="17" customHeight="1" x14ac:dyDescent="0.2">
      <c r="B11" s="1" t="s">
        <v>172</v>
      </c>
      <c r="C11" s="137">
        <f>[1]Sheet1!$C$12</f>
        <v>4.4999999999999998E-2</v>
      </c>
    </row>
    <row r="12" spans="1:3" ht="17" customHeight="1" x14ac:dyDescent="0.2">
      <c r="B12" s="1" t="s">
        <v>73</v>
      </c>
      <c r="C12" s="137">
        <f>Overview!C26</f>
        <v>0.21</v>
      </c>
    </row>
    <row r="13" spans="1:3" ht="17" customHeight="1" x14ac:dyDescent="0.2">
      <c r="B13" s="1" t="s">
        <v>173</v>
      </c>
      <c r="C13" s="137">
        <f>Overview!C27</f>
        <v>5.0999999999999997E-2</v>
      </c>
    </row>
    <row r="14" spans="1:3" ht="17" customHeight="1" x14ac:dyDescent="0.2"/>
    <row r="15" spans="1:3" ht="17" customHeight="1" x14ac:dyDescent="0.2">
      <c r="B15" s="232" t="s">
        <v>174</v>
      </c>
      <c r="C15" s="232"/>
    </row>
    <row r="16" spans="1:3" ht="17" customHeight="1" x14ac:dyDescent="0.2">
      <c r="B16" s="1" t="s">
        <v>175</v>
      </c>
      <c r="C16" s="46">
        <f ca="1">C8/(C8+C7)</f>
        <v>7.8808159710280101E-2</v>
      </c>
    </row>
    <row r="17" spans="2:3" ht="17" customHeight="1" x14ac:dyDescent="0.2">
      <c r="B17" s="1" t="s">
        <v>176</v>
      </c>
      <c r="C17" s="46">
        <f ca="1">C7/(C8+C7)</f>
        <v>0.9211918402897199</v>
      </c>
    </row>
    <row r="18" spans="2:3" ht="17" customHeight="1" x14ac:dyDescent="0.2">
      <c r="B18" s="1" t="s">
        <v>177</v>
      </c>
      <c r="C18" s="46">
        <f>C13*(1-C12)</f>
        <v>4.0289999999999999E-2</v>
      </c>
    </row>
    <row r="19" spans="2:3" ht="17" customHeight="1" x14ac:dyDescent="0.2">
      <c r="B19" s="1" t="s">
        <v>178</v>
      </c>
      <c r="C19" s="46">
        <f ca="1">C9+C10*C11</f>
        <v>0.109265</v>
      </c>
    </row>
    <row r="20" spans="2:3" ht="17" customHeight="1" x14ac:dyDescent="0.2">
      <c r="B20" s="1" t="s">
        <v>166</v>
      </c>
      <c r="C20" s="46">
        <f ca="1">(C17*C19)+(C16*C18)</f>
        <v>0.10382920718398343</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7"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180</v>
      </c>
    </row>
    <row r="2" spans="1:28" s="83" customFormat="1" ht="18" customHeight="1" x14ac:dyDescent="0.2">
      <c r="A2" s="4"/>
      <c r="B2" s="82"/>
    </row>
    <row r="3" spans="1:28" x14ac:dyDescent="0.2">
      <c r="A3" s="4"/>
      <c r="C3" s="232" t="s">
        <v>114</v>
      </c>
      <c r="D3" s="232"/>
      <c r="E3" s="232"/>
      <c r="F3" s="232"/>
      <c r="G3" s="244"/>
      <c r="H3" s="245" t="s">
        <v>115</v>
      </c>
      <c r="I3" s="232"/>
      <c r="J3" s="232"/>
      <c r="K3" s="232"/>
      <c r="L3" s="232"/>
      <c r="P3" s="246"/>
      <c r="Q3" s="246"/>
      <c r="R3" s="246"/>
      <c r="S3" s="246"/>
      <c r="T3" s="246"/>
      <c r="U3" s="246"/>
      <c r="V3" s="246"/>
      <c r="W3" s="246"/>
      <c r="X3" s="246"/>
      <c r="Y3" s="246"/>
      <c r="Z3" s="246"/>
      <c r="AB3" s="111"/>
    </row>
    <row r="4" spans="1:28" ht="10" customHeight="1" x14ac:dyDescent="0.2"/>
    <row r="5" spans="1:28" ht="16" customHeight="1" x14ac:dyDescent="0.2">
      <c r="A5" s="86"/>
      <c r="B5" s="60"/>
      <c r="C5" s="241" t="s">
        <v>181</v>
      </c>
      <c r="D5" s="241"/>
      <c r="E5" s="241"/>
      <c r="F5" s="241"/>
      <c r="G5" s="241"/>
      <c r="H5" s="241"/>
      <c r="I5" s="241"/>
      <c r="J5" s="241"/>
      <c r="K5" s="241"/>
      <c r="L5" s="241"/>
      <c r="P5" s="246"/>
      <c r="Q5" s="246"/>
      <c r="R5" s="246"/>
      <c r="S5" s="246"/>
      <c r="T5" s="246"/>
      <c r="U5" s="246"/>
      <c r="V5" s="246"/>
      <c r="W5" s="246"/>
      <c r="X5" s="246"/>
      <c r="Y5" s="246"/>
      <c r="Z5" s="246"/>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268</v>
      </c>
      <c r="C7" s="114">
        <f>'FCF &amp; Other'!C28</f>
        <v>7432.0133216476779</v>
      </c>
      <c r="D7" s="114">
        <f>'FCF &amp; Other'!D28</f>
        <v>8118.7549933422106</v>
      </c>
      <c r="E7" s="114">
        <f>'FCF &amp; Other'!E28</f>
        <v>8147.9545521400196</v>
      </c>
      <c r="F7" s="114">
        <f>'FCF &amp; Other'!F28</f>
        <v>8892.4166786899441</v>
      </c>
      <c r="G7" s="115">
        <f>'FCF &amp; Other'!G28</f>
        <v>11548.857797114724</v>
      </c>
      <c r="H7" s="114">
        <f>'FCF &amp; Other'!H28</f>
        <v>8113.5950134709592</v>
      </c>
      <c r="I7" s="114">
        <f>'FCF &amp; Other'!I28</f>
        <v>9173.6066227482752</v>
      </c>
      <c r="J7" s="114">
        <f>'FCF &amp; Other'!J28</f>
        <v>10186.240815299137</v>
      </c>
      <c r="K7" s="114">
        <f>'FCF &amp; Other'!K28</f>
        <v>11227.534833650127</v>
      </c>
      <c r="L7" s="114">
        <f>'FCF &amp; Other'!L28</f>
        <v>12411.378160399478</v>
      </c>
      <c r="N7" s="91"/>
      <c r="O7" s="16"/>
      <c r="P7" s="92"/>
      <c r="Q7" s="92"/>
      <c r="R7" s="92"/>
      <c r="S7" s="92"/>
      <c r="T7" s="92"/>
      <c r="U7" s="92"/>
      <c r="V7" s="92"/>
      <c r="W7" s="92"/>
      <c r="X7" s="94"/>
      <c r="Y7" s="94"/>
      <c r="Z7" s="94"/>
      <c r="AB7" s="94"/>
    </row>
    <row r="8" spans="1:28" x14ac:dyDescent="0.2">
      <c r="B8" s="39" t="s">
        <v>182</v>
      </c>
      <c r="C8" s="128">
        <v>0</v>
      </c>
      <c r="D8" s="128">
        <v>0</v>
      </c>
      <c r="E8" s="128">
        <v>0</v>
      </c>
      <c r="F8" s="128">
        <v>0</v>
      </c>
      <c r="G8" s="133">
        <v>0</v>
      </c>
      <c r="H8" s="128">
        <v>0</v>
      </c>
      <c r="I8" s="128">
        <v>0</v>
      </c>
      <c r="J8" s="128">
        <v>0</v>
      </c>
      <c r="K8" s="128">
        <v>0</v>
      </c>
      <c r="L8" s="128">
        <f ca="1">L7*(1+C14)/(C15-C14)</f>
        <v>151016.64621285163</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326</v>
      </c>
      <c r="C10" s="139"/>
      <c r="D10" s="139"/>
      <c r="E10" s="139"/>
      <c r="F10" s="139"/>
      <c r="G10" s="140"/>
      <c r="H10" s="128">
        <f ca="1">H7/(1+$C$15)^H9</f>
        <v>7350.407980388406</v>
      </c>
      <c r="I10" s="128">
        <f t="shared" ref="I10:L10" ca="1" si="0">I7/(1+$C$15)^I9</f>
        <v>7528.9835891361308</v>
      </c>
      <c r="J10" s="128">
        <f t="shared" ca="1" si="0"/>
        <v>7573.703436352208</v>
      </c>
      <c r="K10" s="128">
        <f t="shared" ca="1" si="0"/>
        <v>7562.7002285352801</v>
      </c>
      <c r="L10" s="128">
        <f t="shared" ca="1" si="0"/>
        <v>7573.7436602897133</v>
      </c>
      <c r="N10" s="91"/>
    </row>
    <row r="11" spans="1:28" x14ac:dyDescent="0.2">
      <c r="B11" s="1" t="s">
        <v>184</v>
      </c>
      <c r="C11" s="139"/>
      <c r="D11" s="139"/>
      <c r="E11" s="139"/>
      <c r="F11" s="139"/>
      <c r="G11" s="140"/>
      <c r="H11" s="139"/>
      <c r="I11" s="139"/>
      <c r="J11" s="139"/>
      <c r="K11" s="139"/>
      <c r="L11" s="128">
        <f ca="1">L8/(1+C15)^L9</f>
        <v>92154.259750311729</v>
      </c>
    </row>
    <row r="13" spans="1:28" x14ac:dyDescent="0.2">
      <c r="B13" s="232" t="s">
        <v>185</v>
      </c>
      <c r="C13" s="232"/>
    </row>
    <row r="14" spans="1:28" x14ac:dyDescent="0.2">
      <c r="B14" s="1" t="s">
        <v>186</v>
      </c>
      <c r="C14" s="142">
        <v>0.02</v>
      </c>
    </row>
    <row r="15" spans="1:28" x14ac:dyDescent="0.2">
      <c r="B15" s="1" t="s">
        <v>166</v>
      </c>
      <c r="C15" s="137">
        <f ca="1">IF(Overview!C28&gt;0,Overview!C28,WACC!C20)</f>
        <v>0.10382920718398343</v>
      </c>
    </row>
    <row r="18" spans="2:3" x14ac:dyDescent="0.2">
      <c r="B18" s="232" t="s">
        <v>187</v>
      </c>
      <c r="C18" s="232"/>
    </row>
    <row r="19" spans="2:3" x14ac:dyDescent="0.2">
      <c r="B19" s="1" t="s">
        <v>188</v>
      </c>
      <c r="C19" s="64">
        <f ca="1">SUM(H10:L10)</f>
        <v>37589.538894701735</v>
      </c>
    </row>
    <row r="20" spans="2:3" x14ac:dyDescent="0.2">
      <c r="B20" s="1" t="s">
        <v>184</v>
      </c>
      <c r="C20" s="64">
        <f ca="1">L11</f>
        <v>92154.259750311729</v>
      </c>
    </row>
    <row r="21" spans="2:3" x14ac:dyDescent="0.2">
      <c r="B21" s="16" t="s">
        <v>189</v>
      </c>
      <c r="C21" s="94">
        <f ca="1">C19+C20</f>
        <v>129743.79864501346</v>
      </c>
    </row>
    <row r="22" spans="2:3" x14ac:dyDescent="0.2">
      <c r="B22" s="1" t="s">
        <v>190</v>
      </c>
      <c r="C22" s="88">
        <f>Statement!AC107</f>
        <v>5626</v>
      </c>
    </row>
    <row r="23" spans="2:3" x14ac:dyDescent="0.2">
      <c r="B23" s="1" t="s">
        <v>191</v>
      </c>
      <c r="C23" s="88">
        <f>Statement!AC108</f>
        <v>6645</v>
      </c>
    </row>
    <row r="24" spans="2:3" x14ac:dyDescent="0.2">
      <c r="B24" s="16" t="s">
        <v>192</v>
      </c>
      <c r="C24" s="94">
        <f ca="1">C21+C22-C23</f>
        <v>128724.79864501348</v>
      </c>
    </row>
    <row r="25" spans="2:3" x14ac:dyDescent="0.2">
      <c r="B25" s="1" t="s">
        <v>69</v>
      </c>
      <c r="C25" s="88">
        <f>Statement!AC78</f>
        <v>398</v>
      </c>
    </row>
    <row r="26" spans="2:3" x14ac:dyDescent="0.2">
      <c r="B26" s="143" t="s">
        <v>193</v>
      </c>
      <c r="C26" s="144">
        <f ca="1">C24/C25</f>
        <v>323.42914232415444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2"/>
  <sheetViews>
    <sheetView topLeftCell="A56" zoomScale="192" zoomScaleNormal="100" workbookViewId="0">
      <selection activeCell="C40" sqref="C4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194</v>
      </c>
    </row>
    <row r="2" spans="1:14" x14ac:dyDescent="0.2">
      <c r="A2" s="4"/>
      <c r="C2" s="232" t="s">
        <v>114</v>
      </c>
      <c r="D2" s="232"/>
      <c r="E2" s="232"/>
      <c r="F2" s="232"/>
      <c r="G2" s="244"/>
      <c r="H2" s="245" t="s">
        <v>115</v>
      </c>
      <c r="I2" s="232"/>
      <c r="J2" s="232"/>
      <c r="K2" s="232"/>
      <c r="L2" s="232"/>
    </row>
    <row r="3" spans="1:14" ht="10" customHeight="1" x14ac:dyDescent="0.2"/>
    <row r="4" spans="1:14" ht="16" customHeight="1" x14ac:dyDescent="0.2">
      <c r="A4" s="86"/>
      <c r="B4" s="60"/>
      <c r="C4" s="241" t="s">
        <v>195</v>
      </c>
      <c r="D4" s="241"/>
      <c r="E4" s="241"/>
      <c r="F4" s="241"/>
      <c r="G4" s="241"/>
      <c r="H4" s="241"/>
      <c r="I4" s="241"/>
      <c r="J4" s="241"/>
      <c r="K4" s="241"/>
      <c r="L4" s="241"/>
    </row>
    <row r="5" spans="1:14" x14ac:dyDescent="0.2">
      <c r="B5" s="16" t="s">
        <v>118</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1"/>
    </row>
    <row r="7" spans="1:14" x14ac:dyDescent="0.2">
      <c r="B7" s="16" t="s">
        <v>158</v>
      </c>
      <c r="C7" s="92">
        <f>'FCF &amp; Other'!C10</f>
        <v>5802</v>
      </c>
      <c r="D7" s="92">
        <f>'FCF &amp; Other'!D10</f>
        <v>6098</v>
      </c>
      <c r="E7" s="92">
        <f>'FCF &amp; Other'!E10</f>
        <v>6650</v>
      </c>
      <c r="F7" s="92">
        <f>'FCF &amp; Other'!F10</f>
        <v>6741</v>
      </c>
      <c r="G7" s="93">
        <f>'FCF &amp; Other'!G10</f>
        <v>8706</v>
      </c>
      <c r="H7" s="92">
        <f>'FCF &amp; Other'!H10</f>
        <v>9581.0316939999993</v>
      </c>
      <c r="I7" s="92">
        <f>'FCF &amp; Other'!I10</f>
        <v>10634.045932800002</v>
      </c>
      <c r="J7" s="92">
        <f>'FCF &amp; Other'!J10</f>
        <v>11815.5246125136</v>
      </c>
      <c r="K7" s="92">
        <f>'FCF &amp; Other'!K10</f>
        <v>12998.201279104214</v>
      </c>
      <c r="L7" s="92">
        <f>'FCF &amp; Other'!L10</f>
        <v>14376.880278018019</v>
      </c>
      <c r="N7" s="91"/>
    </row>
    <row r="8" spans="1:14" x14ac:dyDescent="0.2">
      <c r="B8" s="16" t="s">
        <v>268</v>
      </c>
      <c r="C8" s="92">
        <f>'FCF &amp; Other'!C28</f>
        <v>7432.0133216476779</v>
      </c>
      <c r="D8" s="92">
        <f>'FCF &amp; Other'!D28</f>
        <v>8118.7549933422106</v>
      </c>
      <c r="E8" s="92">
        <f>'FCF &amp; Other'!E28</f>
        <v>8147.9545521400196</v>
      </c>
      <c r="F8" s="92">
        <f>'FCF &amp; Other'!F28</f>
        <v>8892.4166786899441</v>
      </c>
      <c r="G8" s="93">
        <f>'FCF &amp; Other'!G28</f>
        <v>11548.857797114724</v>
      </c>
      <c r="H8" s="92">
        <f>'FCF &amp; Other'!H28</f>
        <v>8113.5950134709592</v>
      </c>
      <c r="I8" s="92">
        <f>'FCF &amp; Other'!I28</f>
        <v>9173.6066227482752</v>
      </c>
      <c r="J8" s="92">
        <f>'FCF &amp; Other'!J28</f>
        <v>10186.240815299137</v>
      </c>
      <c r="K8" s="92">
        <f>'FCF &amp; Other'!K28</f>
        <v>11227.534833650127</v>
      </c>
      <c r="L8" s="92">
        <f>'FCF &amp; Other'!L28</f>
        <v>12411.378160399478</v>
      </c>
      <c r="N8" s="91"/>
    </row>
    <row r="9" spans="1:14" x14ac:dyDescent="0.2">
      <c r="N9" s="91"/>
    </row>
    <row r="10" spans="1:14" x14ac:dyDescent="0.2">
      <c r="C10" s="241" t="s">
        <v>123</v>
      </c>
      <c r="D10" s="241"/>
      <c r="E10" s="241"/>
      <c r="F10" s="241"/>
      <c r="G10" s="241"/>
      <c r="H10" s="241"/>
      <c r="I10" s="241"/>
      <c r="J10" s="241"/>
      <c r="K10" s="241"/>
      <c r="L10" s="241"/>
      <c r="N10" s="91"/>
    </row>
    <row r="11" spans="1:14" x14ac:dyDescent="0.2">
      <c r="B11" s="16" t="s">
        <v>196</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9"/>
      <c r="D12" s="95">
        <f>(D6-C6)/C6</f>
        <v>0.11536268609439342</v>
      </c>
      <c r="E12" s="95">
        <f t="shared" ref="E12:L12" si="1">(E6-D6)/D6</f>
        <v>0.10240826990798592</v>
      </c>
      <c r="F12" s="95">
        <f t="shared" si="1"/>
        <v>0.10799113813179453</v>
      </c>
      <c r="G12" s="96">
        <f t="shared" si="1"/>
        <v>0.10527784236224134</v>
      </c>
      <c r="H12" s="95">
        <f t="shared" si="1"/>
        <v>0.11659110606251828</v>
      </c>
      <c r="I12" s="95">
        <f t="shared" si="1"/>
        <v>0.11298921555159212</v>
      </c>
      <c r="J12" s="95">
        <f t="shared" si="1"/>
        <v>0.10496470912967919</v>
      </c>
      <c r="K12" s="95">
        <f t="shared" si="1"/>
        <v>0.10009514645994363</v>
      </c>
      <c r="L12" s="95">
        <f t="shared" si="1"/>
        <v>9.6975945561699195E-2</v>
      </c>
      <c r="N12" s="91"/>
    </row>
    <row r="13" spans="1:14" x14ac:dyDescent="0.2">
      <c r="B13" s="1" t="s">
        <v>158</v>
      </c>
      <c r="C13" s="139"/>
      <c r="D13" s="95">
        <f>IF(C7=0,
IF(D7=0,0,IF(D7&gt;0,1,-1)),
(D7-C7)/ABS(C7)
)</f>
        <v>5.1016890727335402E-2</v>
      </c>
      <c r="E13" s="95">
        <f t="shared" ref="E13:L13" si="2">IF(D7=0,
IF(E7=0,0,IF(E7&gt;0,1,-1)),
(E7-D7)/ABS(D7)
)</f>
        <v>9.0521482453263372E-2</v>
      </c>
      <c r="F13" s="95">
        <f t="shared" si="2"/>
        <v>1.368421052631579E-2</v>
      </c>
      <c r="G13" s="96">
        <f t="shared" si="2"/>
        <v>0.29149977748108591</v>
      </c>
      <c r="H13" s="95">
        <f t="shared" si="2"/>
        <v>0.10050903905352623</v>
      </c>
      <c r="I13" s="95">
        <f t="shared" si="2"/>
        <v>0.10990614293233568</v>
      </c>
      <c r="J13" s="95">
        <f t="shared" si="2"/>
        <v>0.11110340195817725</v>
      </c>
      <c r="K13" s="95">
        <f t="shared" si="2"/>
        <v>0.10009514645994336</v>
      </c>
      <c r="L13" s="95">
        <f t="shared" si="2"/>
        <v>0.10606690643652029</v>
      </c>
      <c r="N13" s="91"/>
    </row>
    <row r="14" spans="1:14" x14ac:dyDescent="0.2">
      <c r="B14" s="1" t="s">
        <v>268</v>
      </c>
      <c r="C14" s="139"/>
      <c r="D14" s="95">
        <f>IF(C8=0,
IF(D8=0,0,IF(D8&gt;0,1,-1)),
(D8-C8)/ABS(C8)
)</f>
        <v>9.2403180938093632E-2</v>
      </c>
      <c r="E14" s="95">
        <f t="shared" ref="E14:L14" si="3">IF(D8=0,
IF(E8=0,0,IF(E8&gt;0,1,-1)),
(E8-D8)/ABS(D8)
)</f>
        <v>3.5965562234300846E-3</v>
      </c>
      <c r="F14" s="95">
        <f t="shared" si="3"/>
        <v>9.1367977298596401E-2</v>
      </c>
      <c r="G14" s="96">
        <f t="shared" si="3"/>
        <v>0.29873106652669074</v>
      </c>
      <c r="H14" s="95">
        <f t="shared" si="3"/>
        <v>-0.29745476513720726</v>
      </c>
      <c r="I14" s="95">
        <f t="shared" si="3"/>
        <v>0.13064635436170827</v>
      </c>
      <c r="J14" s="95">
        <f t="shared" si="3"/>
        <v>0.11038561322651223</v>
      </c>
      <c r="K14" s="95">
        <f t="shared" si="3"/>
        <v>0.10222554495148263</v>
      </c>
      <c r="L14" s="95">
        <f t="shared" si="3"/>
        <v>0.10544107360070223</v>
      </c>
      <c r="N14" s="91"/>
    </row>
    <row r="15" spans="1:14" x14ac:dyDescent="0.2">
      <c r="N15" s="91"/>
    </row>
    <row r="16" spans="1:14" x14ac:dyDescent="0.2">
      <c r="C16" s="241" t="s">
        <v>197</v>
      </c>
      <c r="D16" s="241"/>
      <c r="E16" s="241"/>
      <c r="F16" s="241"/>
      <c r="G16" s="241"/>
      <c r="H16" s="241"/>
      <c r="I16" s="241"/>
      <c r="J16" s="241"/>
      <c r="K16" s="241"/>
      <c r="L16" s="241"/>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198</v>
      </c>
      <c r="C18" s="100">
        <f>Statement!M22</f>
        <v>481</v>
      </c>
      <c r="D18" s="100">
        <f>Statement!N22</f>
        <v>471</v>
      </c>
      <c r="E18" s="100">
        <f>Statement!O22</f>
        <v>459</v>
      </c>
      <c r="F18" s="100">
        <f>Statement!P22</f>
        <v>450</v>
      </c>
      <c r="G18" s="101">
        <f>Statement!Q22</f>
        <v>427</v>
      </c>
      <c r="H18" s="145">
        <f>G18*(1+H19)</f>
        <v>414.19</v>
      </c>
      <c r="I18" s="145">
        <f t="shared" ref="I18:L18" si="5">H18*(1+I19)</f>
        <v>401.76429999999999</v>
      </c>
      <c r="J18" s="145">
        <f t="shared" si="5"/>
        <v>393.72901400000001</v>
      </c>
      <c r="K18" s="145">
        <f t="shared" si="5"/>
        <v>385.85443371999997</v>
      </c>
      <c r="L18" s="145">
        <f t="shared" si="5"/>
        <v>378.13734504559994</v>
      </c>
      <c r="N18" s="91"/>
    </row>
    <row r="19" spans="2:14" x14ac:dyDescent="0.2">
      <c r="B19" s="1" t="s">
        <v>199</v>
      </c>
      <c r="C19" s="139"/>
      <c r="D19" s="146">
        <f>D18/C18-1</f>
        <v>-2.0790020790020791E-2</v>
      </c>
      <c r="E19" s="146">
        <f t="shared" ref="E19:G19" si="6">E18/D18-1</f>
        <v>-2.5477707006369421E-2</v>
      </c>
      <c r="F19" s="146">
        <f t="shared" si="6"/>
        <v>-1.9607843137254943E-2</v>
      </c>
      <c r="G19" s="147">
        <f t="shared" si="6"/>
        <v>-5.1111111111111107E-2</v>
      </c>
      <c r="H19" s="148">
        <v>-0.03</v>
      </c>
      <c r="I19" s="97">
        <v>-0.03</v>
      </c>
      <c r="J19" s="97">
        <v>-0.02</v>
      </c>
      <c r="K19" s="97">
        <v>-0.02</v>
      </c>
      <c r="L19" s="97">
        <v>-0.02</v>
      </c>
      <c r="N19" s="91"/>
    </row>
    <row r="20" spans="2:14" x14ac:dyDescent="0.2">
      <c r="N20" s="91"/>
    </row>
    <row r="21" spans="2:14" x14ac:dyDescent="0.2">
      <c r="C21" s="241" t="s">
        <v>200</v>
      </c>
      <c r="D21" s="241"/>
      <c r="E21" s="241"/>
      <c r="F21" s="241"/>
      <c r="G21" s="241"/>
      <c r="H21" s="241"/>
      <c r="I21" s="241"/>
      <c r="J21" s="241"/>
      <c r="K21" s="241"/>
      <c r="L21" s="241"/>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9">
        <f>Statement!M116</f>
        <v>671.88</v>
      </c>
      <c r="D23" s="149">
        <f>Statement!N116</f>
        <v>344.11</v>
      </c>
      <c r="E23" s="149">
        <f>Statement!O116</f>
        <v>611.01</v>
      </c>
      <c r="F23" s="149">
        <f>Statement!P116</f>
        <v>513.88</v>
      </c>
      <c r="G23" s="150">
        <f>Statement!Q116</f>
        <v>317.52</v>
      </c>
      <c r="H23" s="139"/>
      <c r="I23" s="139"/>
      <c r="J23" s="139"/>
      <c r="K23" s="139"/>
      <c r="L23" s="139"/>
      <c r="N23" s="91"/>
    </row>
    <row r="24" spans="2:14" x14ac:dyDescent="0.2">
      <c r="N24" s="91"/>
    </row>
    <row r="25" spans="2:14" x14ac:dyDescent="0.2">
      <c r="N25" s="91"/>
    </row>
    <row r="26" spans="2:14" x14ac:dyDescent="0.2">
      <c r="C26" s="241" t="s">
        <v>201</v>
      </c>
      <c r="D26" s="241"/>
      <c r="E26" s="241"/>
      <c r="F26" s="241"/>
      <c r="G26" s="241"/>
      <c r="H26" s="241"/>
      <c r="I26" s="241"/>
      <c r="J26" s="241"/>
      <c r="K26" s="241"/>
      <c r="L26" s="241"/>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202</v>
      </c>
      <c r="C28" s="151">
        <f>C23/(C6/C18)</f>
        <v>20.473505226480839</v>
      </c>
      <c r="D28" s="151">
        <f t="shared" ref="D28:G28" si="9">D23/(D6/D18)</f>
        <v>9.2057145291377935</v>
      </c>
      <c r="E28" s="151">
        <f t="shared" si="9"/>
        <v>14.449667164717399</v>
      </c>
      <c r="F28" s="151">
        <f t="shared" si="9"/>
        <v>10.753127179725645</v>
      </c>
      <c r="G28" s="152">
        <f t="shared" si="9"/>
        <v>5.7041120787580457</v>
      </c>
      <c r="H28" s="139"/>
      <c r="I28" s="139"/>
      <c r="J28" s="139"/>
      <c r="K28" s="139"/>
      <c r="L28" s="139"/>
      <c r="N28" s="91"/>
    </row>
    <row r="29" spans="2:14" x14ac:dyDescent="0.2">
      <c r="B29" s="1" t="s">
        <v>203</v>
      </c>
      <c r="C29" s="145">
        <f>C23*C18</f>
        <v>323174.27999999997</v>
      </c>
      <c r="D29" s="145">
        <f t="shared" ref="D29:G29" si="10">D23*D18</f>
        <v>162075.81</v>
      </c>
      <c r="E29" s="145">
        <f t="shared" si="10"/>
        <v>280453.58999999997</v>
      </c>
      <c r="F29" s="145">
        <f t="shared" si="10"/>
        <v>231246</v>
      </c>
      <c r="G29" s="153">
        <f t="shared" si="10"/>
        <v>135581.03999999998</v>
      </c>
      <c r="H29" s="139"/>
      <c r="I29" s="139"/>
      <c r="J29" s="139"/>
      <c r="K29" s="139"/>
      <c r="L29" s="139"/>
      <c r="N29" s="91"/>
    </row>
    <row r="30" spans="2:14" x14ac:dyDescent="0.2">
      <c r="B30" s="1" t="s">
        <v>170</v>
      </c>
      <c r="C30" s="88">
        <f>Statement!M108</f>
        <v>4123</v>
      </c>
      <c r="D30" s="154">
        <f>Statement!N108</f>
        <v>4129</v>
      </c>
      <c r="E30" s="154">
        <f>Statement!O108</f>
        <v>3634</v>
      </c>
      <c r="F30" s="154">
        <f>Statement!P108</f>
        <v>5628</v>
      </c>
      <c r="G30" s="155">
        <f>Statement!Q108</f>
        <v>6210</v>
      </c>
      <c r="H30" s="139"/>
      <c r="I30" s="139"/>
      <c r="J30" s="139"/>
      <c r="K30" s="139"/>
      <c r="L30" s="139"/>
      <c r="N30" s="91"/>
    </row>
    <row r="31" spans="2:14" x14ac:dyDescent="0.2">
      <c r="B31" s="1" t="s">
        <v>179</v>
      </c>
      <c r="C31" s="154">
        <f>Statement!M107</f>
        <v>5798</v>
      </c>
      <c r="D31" s="154">
        <f>Statement!N107</f>
        <v>6096</v>
      </c>
      <c r="E31" s="154">
        <f>Statement!O107</f>
        <v>7842</v>
      </c>
      <c r="F31" s="154">
        <f>Statement!P107</f>
        <v>7886</v>
      </c>
      <c r="G31" s="155">
        <f>Statement!Q107</f>
        <v>6595</v>
      </c>
      <c r="H31" s="139"/>
      <c r="I31" s="139"/>
      <c r="J31" s="139"/>
      <c r="K31" s="139"/>
      <c r="L31" s="139"/>
      <c r="N31" s="91"/>
    </row>
    <row r="32" spans="2:14" x14ac:dyDescent="0.2">
      <c r="B32" s="1" t="s">
        <v>204</v>
      </c>
      <c r="C32" s="145">
        <f>C29+C30-C31</f>
        <v>321499.27999999997</v>
      </c>
      <c r="D32" s="145">
        <f t="shared" ref="D32:G32" si="11">D29+D30-D31</f>
        <v>160108.81</v>
      </c>
      <c r="E32" s="145">
        <f t="shared" si="11"/>
        <v>276245.58999999997</v>
      </c>
      <c r="F32" s="145">
        <f t="shared" si="11"/>
        <v>228988</v>
      </c>
      <c r="G32" s="153">
        <f t="shared" si="11"/>
        <v>135196.03999999998</v>
      </c>
      <c r="H32" s="139"/>
      <c r="I32" s="139"/>
      <c r="J32" s="139"/>
      <c r="K32" s="139"/>
      <c r="L32" s="139"/>
      <c r="N32" s="91"/>
    </row>
    <row r="33" spans="2:14" x14ac:dyDescent="0.2">
      <c r="B33" s="16" t="s">
        <v>205</v>
      </c>
      <c r="C33" s="151">
        <f>C32/C7</f>
        <v>55.411802826611506</v>
      </c>
      <c r="D33" s="151">
        <f t="shared" ref="D33:G33" si="12">D32/D7</f>
        <v>26.255954411282389</v>
      </c>
      <c r="E33" s="151">
        <f t="shared" si="12"/>
        <v>41.540690225563907</v>
      </c>
      <c r="F33" s="151">
        <f t="shared" si="12"/>
        <v>33.969440735795878</v>
      </c>
      <c r="G33" s="152">
        <f t="shared" si="12"/>
        <v>15.529065012634963</v>
      </c>
      <c r="H33" s="139"/>
      <c r="I33" s="139"/>
      <c r="J33" s="139"/>
      <c r="K33" s="139"/>
      <c r="L33" s="139"/>
      <c r="N33" s="91"/>
    </row>
    <row r="34" spans="2:14" x14ac:dyDescent="0.2">
      <c r="B34" s="16" t="s">
        <v>327</v>
      </c>
      <c r="C34" s="151">
        <f>C32/C8</f>
        <v>43.258706098325931</v>
      </c>
      <c r="D34" s="151">
        <f t="shared" ref="D34:G34" si="13">D32/D8</f>
        <v>19.720857462911162</v>
      </c>
      <c r="E34" s="151">
        <f t="shared" si="13"/>
        <v>33.903673398306502</v>
      </c>
      <c r="F34" s="151">
        <f t="shared" si="13"/>
        <v>25.750930064799341</v>
      </c>
      <c r="G34" s="152">
        <f t="shared" si="13"/>
        <v>11.706442522287901</v>
      </c>
      <c r="H34" s="139"/>
      <c r="I34" s="139"/>
      <c r="J34" s="139"/>
      <c r="K34" s="139"/>
      <c r="L34" s="139"/>
      <c r="N34" s="91"/>
    </row>
    <row r="35" spans="2:14" x14ac:dyDescent="0.2">
      <c r="N35" s="91"/>
    </row>
    <row r="36" spans="2:14" x14ac:dyDescent="0.2">
      <c r="N36" s="91"/>
    </row>
    <row r="37" spans="2:14" x14ac:dyDescent="0.2">
      <c r="B37" s="232" t="s">
        <v>206</v>
      </c>
      <c r="C37" s="232"/>
      <c r="N37" s="91"/>
    </row>
    <row r="38" spans="2:14" x14ac:dyDescent="0.2">
      <c r="B38" s="1" t="s">
        <v>207</v>
      </c>
      <c r="C38" s="64">
        <f>L7</f>
        <v>14376.880278018019</v>
      </c>
    </row>
    <row r="39" spans="2:14" x14ac:dyDescent="0.2">
      <c r="B39" s="1" t="s">
        <v>166</v>
      </c>
      <c r="C39" s="137">
        <f ca="1">IF(Overview!C28&gt;0,Overview!C28,WACC!C20)</f>
        <v>0.10382920718398343</v>
      </c>
    </row>
    <row r="40" spans="2:14" x14ac:dyDescent="0.2">
      <c r="B40" s="39" t="s">
        <v>208</v>
      </c>
      <c r="C40" s="105">
        <v>23</v>
      </c>
    </row>
    <row r="41" spans="2:14" x14ac:dyDescent="0.2">
      <c r="B41" s="1" t="s">
        <v>209</v>
      </c>
      <c r="C41" s="24">
        <f>L18</f>
        <v>378.13734504559994</v>
      </c>
    </row>
    <row r="42" spans="2:14" x14ac:dyDescent="0.2">
      <c r="B42" s="1" t="s">
        <v>204</v>
      </c>
      <c r="C42" s="24">
        <f>(C38*C40)</f>
        <v>330668.24639441445</v>
      </c>
    </row>
    <row r="43" spans="2:14" x14ac:dyDescent="0.2">
      <c r="B43" s="1" t="s">
        <v>359</v>
      </c>
      <c r="C43" s="24">
        <f ca="1">C42/(1+C39)^5-G30+G31</f>
        <v>202167.30833216396</v>
      </c>
    </row>
    <row r="44" spans="2:14" x14ac:dyDescent="0.2">
      <c r="B44" s="1" t="s">
        <v>69</v>
      </c>
      <c r="C44" s="88">
        <f>Statement!AC78</f>
        <v>398</v>
      </c>
    </row>
    <row r="45" spans="2:14" x14ac:dyDescent="0.2">
      <c r="B45" s="143" t="s">
        <v>210</v>
      </c>
      <c r="C45" s="144">
        <f ca="1">C43/C44</f>
        <v>507.95806113609035</v>
      </c>
    </row>
    <row r="47" spans="2:14" x14ac:dyDescent="0.2">
      <c r="B47" s="232" t="s">
        <v>211</v>
      </c>
      <c r="C47" s="232"/>
    </row>
    <row r="48" spans="2:14" x14ac:dyDescent="0.2">
      <c r="B48" s="1" t="s">
        <v>212</v>
      </c>
      <c r="C48" s="64">
        <f>L6</f>
        <v>39388.713090460325</v>
      </c>
    </row>
    <row r="49" spans="2:3" x14ac:dyDescent="0.2">
      <c r="B49" s="1" t="s">
        <v>358</v>
      </c>
      <c r="C49" s="137">
        <f>Overview!C29</f>
        <v>0.1</v>
      </c>
    </row>
    <row r="50" spans="2:3" x14ac:dyDescent="0.2">
      <c r="B50" s="39" t="s">
        <v>213</v>
      </c>
      <c r="C50" s="105">
        <v>5</v>
      </c>
    </row>
    <row r="51" spans="2:3" x14ac:dyDescent="0.2">
      <c r="B51" s="1" t="s">
        <v>209</v>
      </c>
      <c r="C51" s="24">
        <f>L18</f>
        <v>378.13734504559994</v>
      </c>
    </row>
    <row r="52" spans="2:3" x14ac:dyDescent="0.2">
      <c r="B52" s="1" t="s">
        <v>193</v>
      </c>
      <c r="C52" s="24">
        <f>(C48*C50)/C51</f>
        <v>520.82548320783292</v>
      </c>
    </row>
    <row r="53" spans="2:3" x14ac:dyDescent="0.2">
      <c r="B53" s="143" t="s">
        <v>210</v>
      </c>
      <c r="C53" s="144">
        <f>C52/(1+C49)^5</f>
        <v>323.39164811633128</v>
      </c>
    </row>
    <row r="55" spans="2:3" x14ac:dyDescent="0.2">
      <c r="B55" s="232" t="s">
        <v>328</v>
      </c>
      <c r="C55" s="232"/>
    </row>
    <row r="56" spans="2:3" x14ac:dyDescent="0.2">
      <c r="B56" s="1" t="s">
        <v>214</v>
      </c>
      <c r="C56" s="64">
        <f>L8</f>
        <v>12411.378160399478</v>
      </c>
    </row>
    <row r="57" spans="2:3" x14ac:dyDescent="0.2">
      <c r="B57" s="1" t="s">
        <v>166</v>
      </c>
      <c r="C57" s="137">
        <f ca="1">IF(Overview!C28&gt;0,Overview!C28,WACC!C20)</f>
        <v>0.10382920718398343</v>
      </c>
    </row>
    <row r="58" spans="2:3" x14ac:dyDescent="0.2">
      <c r="B58" s="39" t="s">
        <v>360</v>
      </c>
      <c r="C58" s="105">
        <v>20</v>
      </c>
    </row>
    <row r="59" spans="2:3" x14ac:dyDescent="0.2">
      <c r="B59" s="1" t="s">
        <v>204</v>
      </c>
      <c r="C59" s="24">
        <f>(C56*C58)</f>
        <v>248227.56320798956</v>
      </c>
    </row>
    <row r="60" spans="2:3" x14ac:dyDescent="0.2">
      <c r="B60" s="1" t="s">
        <v>359</v>
      </c>
      <c r="C60" s="24">
        <f ca="1">C59/(1+C57)^5-G30+G31</f>
        <v>151859.87320579425</v>
      </c>
    </row>
    <row r="61" spans="2:3" x14ac:dyDescent="0.2">
      <c r="B61" s="1" t="s">
        <v>69</v>
      </c>
      <c r="C61" s="88">
        <f>Statement!AC78</f>
        <v>398</v>
      </c>
    </row>
    <row r="62" spans="2:3" x14ac:dyDescent="0.2">
      <c r="B62" s="143" t="s">
        <v>210</v>
      </c>
      <c r="C62" s="144">
        <f ca="1">C60/C61</f>
        <v>381.5574703663172</v>
      </c>
    </row>
  </sheetData>
  <mergeCells count="10">
    <mergeCell ref="C26:L26"/>
    <mergeCell ref="B37:C37"/>
    <mergeCell ref="B47:C47"/>
    <mergeCell ref="B55:C55"/>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215</v>
      </c>
    </row>
    <row r="2" spans="1:14" x14ac:dyDescent="0.2">
      <c r="N2" s="91"/>
    </row>
    <row r="3" spans="1:14" x14ac:dyDescent="0.2">
      <c r="N3" s="91"/>
    </row>
    <row r="4" spans="1:14" x14ac:dyDescent="0.2">
      <c r="B4" s="232" t="s">
        <v>216</v>
      </c>
      <c r="C4" s="232"/>
      <c r="N4" s="91"/>
    </row>
    <row r="5" spans="1:14" x14ac:dyDescent="0.2">
      <c r="B5" s="1" t="s">
        <v>217</v>
      </c>
      <c r="C5" s="135">
        <f ca="1">DCF!C26</f>
        <v>323.42914232415444</v>
      </c>
    </row>
    <row r="6" spans="1:14" x14ac:dyDescent="0.2">
      <c r="B6" s="1" t="s">
        <v>218</v>
      </c>
      <c r="C6" s="135">
        <f ca="1">Multiples!C45</f>
        <v>507.95806113609035</v>
      </c>
    </row>
    <row r="7" spans="1:14" x14ac:dyDescent="0.2">
      <c r="B7" s="1" t="s">
        <v>219</v>
      </c>
      <c r="C7" s="135">
        <f>Multiples!C53</f>
        <v>323.39164811633128</v>
      </c>
    </row>
    <row r="8" spans="1:14" x14ac:dyDescent="0.2">
      <c r="B8" s="1" t="s">
        <v>329</v>
      </c>
      <c r="C8" s="135">
        <f ca="1">Multiples!C62</f>
        <v>381.5574703663172</v>
      </c>
    </row>
    <row r="9" spans="1:14" x14ac:dyDescent="0.2">
      <c r="B9" s="143" t="s">
        <v>220</v>
      </c>
      <c r="C9" s="144">
        <f ca="1">AVERAGE(C5:C8)</f>
        <v>384.08408048572329</v>
      </c>
    </row>
    <row r="10" spans="1:14" x14ac:dyDescent="0.2">
      <c r="B10" s="1" t="s">
        <v>221</v>
      </c>
      <c r="C10" s="135">
        <f ca="1">Overview!C5</f>
        <v>195.16</v>
      </c>
    </row>
    <row r="11" spans="1:14" x14ac:dyDescent="0.2">
      <c r="B11" s="1" t="s">
        <v>222</v>
      </c>
      <c r="C11" s="156">
        <f ca="1">(C9-C10)/C10</f>
        <v>0.96804714329638908</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G7" sqref="G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223</v>
      </c>
    </row>
    <row r="2" spans="1:28" s="83" customFormat="1" ht="18" customHeight="1" x14ac:dyDescent="0.2">
      <c r="A2" s="4"/>
      <c r="B2" s="82"/>
    </row>
    <row r="3" spans="1:28" x14ac:dyDescent="0.2">
      <c r="A3" s="4"/>
      <c r="C3" s="232" t="s">
        <v>114</v>
      </c>
      <c r="D3" s="232"/>
      <c r="E3" s="232"/>
      <c r="F3" s="232"/>
      <c r="G3" s="244"/>
      <c r="H3" s="245" t="s">
        <v>115</v>
      </c>
      <c r="I3" s="232"/>
      <c r="J3" s="232"/>
      <c r="K3" s="232"/>
      <c r="L3" s="232"/>
      <c r="P3" s="246"/>
      <c r="Q3" s="246"/>
      <c r="R3" s="246"/>
      <c r="S3" s="246"/>
      <c r="T3" s="246"/>
      <c r="U3" s="246"/>
      <c r="V3" s="246"/>
      <c r="W3" s="246"/>
      <c r="X3" s="246"/>
      <c r="Y3" s="246"/>
      <c r="Z3" s="246"/>
      <c r="AB3" s="111"/>
    </row>
    <row r="4" spans="1:28" ht="10" customHeight="1" x14ac:dyDescent="0.2"/>
    <row r="5" spans="1:28" ht="16" customHeight="1" x14ac:dyDescent="0.2">
      <c r="A5" s="86"/>
      <c r="B5" s="60"/>
      <c r="C5" s="241" t="s">
        <v>181</v>
      </c>
      <c r="D5" s="241"/>
      <c r="E5" s="241"/>
      <c r="F5" s="241"/>
      <c r="G5" s="241"/>
      <c r="H5" s="241"/>
      <c r="I5" s="241"/>
      <c r="J5" s="241"/>
      <c r="K5" s="241"/>
      <c r="L5" s="241"/>
      <c r="P5" s="246"/>
      <c r="Q5" s="246"/>
      <c r="R5" s="246"/>
      <c r="S5" s="246"/>
      <c r="T5" s="246"/>
      <c r="U5" s="246"/>
      <c r="V5" s="246"/>
      <c r="W5" s="246"/>
      <c r="X5" s="246"/>
      <c r="Y5" s="246"/>
      <c r="Z5" s="246"/>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268</v>
      </c>
      <c r="C7" s="114">
        <f>'FCF &amp; Other'!C28</f>
        <v>7432.0133216476779</v>
      </c>
      <c r="D7" s="114">
        <f>'FCF &amp; Other'!D28</f>
        <v>8118.7549933422106</v>
      </c>
      <c r="E7" s="114">
        <f>'FCF &amp; Other'!E28</f>
        <v>8147.9545521400196</v>
      </c>
      <c r="F7" s="114">
        <f>'FCF &amp; Other'!F28</f>
        <v>8892.4166786899441</v>
      </c>
      <c r="G7" s="115">
        <f>'FCF &amp; Other'!G28</f>
        <v>11548.857797114724</v>
      </c>
      <c r="H7" s="128">
        <f>G7*(1+$C$17)</f>
        <v>10278.483439432104</v>
      </c>
      <c r="I7" s="128">
        <f t="shared" ref="I7:L7" si="0">H7*(1+$C$17)</f>
        <v>9147.8502610945725</v>
      </c>
      <c r="J7" s="128">
        <f t="shared" si="0"/>
        <v>8141.5867323741695</v>
      </c>
      <c r="K7" s="128">
        <f t="shared" si="0"/>
        <v>7246.0121918130108</v>
      </c>
      <c r="L7" s="128">
        <f t="shared" si="0"/>
        <v>6448.9508507135797</v>
      </c>
      <c r="N7" s="91"/>
      <c r="O7" s="16"/>
      <c r="P7" s="92"/>
      <c r="Q7" s="92"/>
      <c r="R7" s="92"/>
      <c r="S7" s="92"/>
      <c r="T7" s="92"/>
      <c r="U7" s="92"/>
      <c r="V7" s="92"/>
      <c r="W7" s="92"/>
      <c r="X7" s="94"/>
      <c r="Y7" s="94"/>
      <c r="Z7" s="94"/>
      <c r="AB7" s="94"/>
    </row>
    <row r="8" spans="1:28" x14ac:dyDescent="0.2">
      <c r="B8" s="39" t="s">
        <v>182</v>
      </c>
      <c r="C8" s="139"/>
      <c r="D8" s="139"/>
      <c r="E8" s="139"/>
      <c r="F8" s="139"/>
      <c r="G8" s="140"/>
      <c r="H8" s="139"/>
      <c r="I8" s="139"/>
      <c r="J8" s="139"/>
      <c r="K8" s="139"/>
      <c r="L8" s="128">
        <f ca="1">L7*(1+C20)/(C21-C20)</f>
        <v>78468.234266978048</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326</v>
      </c>
      <c r="C10" s="139"/>
      <c r="D10" s="139"/>
      <c r="E10" s="139"/>
      <c r="F10" s="139"/>
      <c r="G10" s="140"/>
      <c r="H10" s="128">
        <f ca="1">H7/(1+$C$21)^H9</f>
        <v>9311.6610545701133</v>
      </c>
      <c r="I10" s="128">
        <f t="shared" ref="I10:L10" ca="1" si="1">I7/(1+$C$21)^I9</f>
        <v>7507.8447685848205</v>
      </c>
      <c r="J10" s="128">
        <f t="shared" ca="1" si="1"/>
        <v>6053.4562779753969</v>
      </c>
      <c r="K10" s="128">
        <f t="shared" ca="1" si="1"/>
        <v>4880.8058822274988</v>
      </c>
      <c r="L10" s="128">
        <f t="shared" ca="1" si="1"/>
        <v>3935.3164483338774</v>
      </c>
      <c r="N10" s="91"/>
    </row>
    <row r="11" spans="1:28" x14ac:dyDescent="0.2">
      <c r="B11" s="1" t="s">
        <v>184</v>
      </c>
      <c r="C11" s="139"/>
      <c r="D11" s="139"/>
      <c r="E11" s="139"/>
      <c r="F11" s="139"/>
      <c r="G11" s="140"/>
      <c r="H11" s="139"/>
      <c r="I11" s="139"/>
      <c r="J11" s="139"/>
      <c r="K11" s="139"/>
      <c r="L11" s="128">
        <f ca="1">L8/(1+C21)^L9</f>
        <v>47883.34414866662</v>
      </c>
    </row>
    <row r="13" spans="1:28" ht="17" thickBot="1" x14ac:dyDescent="0.25"/>
    <row r="14" spans="1:28" x14ac:dyDescent="0.2">
      <c r="B14" s="247" t="s">
        <v>224</v>
      </c>
      <c r="C14" s="248"/>
    </row>
    <row r="15" spans="1:28" x14ac:dyDescent="0.2">
      <c r="B15" s="157" t="s">
        <v>225</v>
      </c>
      <c r="C15" s="158">
        <f ca="1">Overview!C5</f>
        <v>195.16</v>
      </c>
    </row>
    <row r="16" spans="1:28" x14ac:dyDescent="0.2">
      <c r="B16" s="157" t="s">
        <v>226</v>
      </c>
      <c r="C16" s="158">
        <f ca="1">C36</f>
        <v>197.37042356873954</v>
      </c>
    </row>
    <row r="17" spans="2:9" ht="17" thickBot="1" x14ac:dyDescent="0.25">
      <c r="B17" s="159" t="s">
        <v>330</v>
      </c>
      <c r="C17" s="160">
        <v>-0.11</v>
      </c>
      <c r="E17" s="249" t="s">
        <v>227</v>
      </c>
      <c r="F17" s="249"/>
      <c r="G17" s="249"/>
      <c r="H17" s="249"/>
      <c r="I17" s="249"/>
    </row>
    <row r="18" spans="2:9" ht="17" thickBot="1" x14ac:dyDescent="0.25"/>
    <row r="19" spans="2:9" x14ac:dyDescent="0.2">
      <c r="B19" s="247" t="s">
        <v>185</v>
      </c>
      <c r="C19" s="248"/>
    </row>
    <row r="20" spans="2:9" x14ac:dyDescent="0.2">
      <c r="B20" s="161" t="s">
        <v>186</v>
      </c>
      <c r="C20" s="162">
        <v>0.02</v>
      </c>
    </row>
    <row r="21" spans="2:9" x14ac:dyDescent="0.2">
      <c r="B21" s="161" t="s">
        <v>166</v>
      </c>
      <c r="C21" s="224">
        <f ca="1">IF(Overview!C28&gt;0,Overview!C28,WACC!C20)</f>
        <v>0.10382920718398343</v>
      </c>
    </row>
    <row r="22" spans="2:9" x14ac:dyDescent="0.2">
      <c r="B22" s="161" t="s">
        <v>69</v>
      </c>
      <c r="C22" s="225">
        <f>Statement!AC75</f>
        <v>398</v>
      </c>
    </row>
    <row r="23" spans="2:9" x14ac:dyDescent="0.2">
      <c r="B23" s="161" t="s">
        <v>228</v>
      </c>
      <c r="C23" s="163">
        <f ca="1">C15*C22</f>
        <v>77673.679999999993</v>
      </c>
    </row>
    <row r="24" spans="2:9" x14ac:dyDescent="0.2">
      <c r="B24" s="161" t="s">
        <v>179</v>
      </c>
      <c r="C24" s="225">
        <f>Statement!AC107</f>
        <v>5626</v>
      </c>
    </row>
    <row r="25" spans="2:9" x14ac:dyDescent="0.2">
      <c r="B25" s="161" t="s">
        <v>170</v>
      </c>
      <c r="C25" s="225">
        <f>Statement!AC108</f>
        <v>6645</v>
      </c>
    </row>
    <row r="26" spans="2:9" ht="17" thickBot="1" x14ac:dyDescent="0.25">
      <c r="B26" s="159" t="s">
        <v>229</v>
      </c>
      <c r="C26" s="164">
        <f ca="1">C23+C25-C24</f>
        <v>78692.679999999993</v>
      </c>
    </row>
    <row r="27" spans="2:9" ht="17" thickBot="1" x14ac:dyDescent="0.25"/>
    <row r="28" spans="2:9" x14ac:dyDescent="0.2">
      <c r="B28" s="247" t="s">
        <v>187</v>
      </c>
      <c r="C28" s="248"/>
    </row>
    <row r="29" spans="2:9" x14ac:dyDescent="0.2">
      <c r="B29" s="161" t="s">
        <v>188</v>
      </c>
      <c r="C29" s="163">
        <f ca="1">SUM(H10:L10)</f>
        <v>31689.084431691706</v>
      </c>
    </row>
    <row r="30" spans="2:9" x14ac:dyDescent="0.2">
      <c r="B30" s="161" t="s">
        <v>184</v>
      </c>
      <c r="C30" s="163">
        <f ca="1">L11</f>
        <v>47883.34414866662</v>
      </c>
    </row>
    <row r="31" spans="2:9" x14ac:dyDescent="0.2">
      <c r="B31" s="165" t="s">
        <v>189</v>
      </c>
      <c r="C31" s="166">
        <f ca="1">C29+C30</f>
        <v>79572.428580358333</v>
      </c>
    </row>
    <row r="32" spans="2:9" x14ac:dyDescent="0.2">
      <c r="B32" s="161" t="s">
        <v>190</v>
      </c>
      <c r="C32" s="167">
        <f>C24</f>
        <v>5626</v>
      </c>
    </row>
    <row r="33" spans="2:12" x14ac:dyDescent="0.2">
      <c r="B33" s="161" t="s">
        <v>191</v>
      </c>
      <c r="C33" s="167">
        <f>C25</f>
        <v>6645</v>
      </c>
    </row>
    <row r="34" spans="2:12" x14ac:dyDescent="0.2">
      <c r="B34" s="165" t="s">
        <v>192</v>
      </c>
      <c r="C34" s="166">
        <f ca="1">C31+C32-C33</f>
        <v>78553.428580358333</v>
      </c>
    </row>
    <row r="35" spans="2:12" x14ac:dyDescent="0.2">
      <c r="B35" s="161" t="s">
        <v>69</v>
      </c>
      <c r="C35" s="163">
        <f>C22</f>
        <v>398</v>
      </c>
    </row>
    <row r="36" spans="2:12" ht="17" thickBot="1" x14ac:dyDescent="0.25">
      <c r="B36" s="168" t="s">
        <v>193</v>
      </c>
      <c r="C36" s="169">
        <f ca="1">C34/C35</f>
        <v>197.37042356873954</v>
      </c>
    </row>
    <row r="39" spans="2:12" x14ac:dyDescent="0.2">
      <c r="C39" s="241" t="s">
        <v>230</v>
      </c>
      <c r="D39" s="241"/>
      <c r="E39" s="241"/>
      <c r="F39" s="241"/>
      <c r="G39" s="241"/>
      <c r="H39" s="241"/>
      <c r="I39" s="241"/>
      <c r="J39" s="241"/>
      <c r="K39" s="241"/>
      <c r="L39" s="241"/>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268</v>
      </c>
      <c r="C41" s="114">
        <f>C7</f>
        <v>7432.0133216476779</v>
      </c>
      <c r="D41" s="114">
        <f t="shared" si="2"/>
        <v>8118.7549933422106</v>
      </c>
      <c r="E41" s="114">
        <f t="shared" si="2"/>
        <v>8147.9545521400196</v>
      </c>
      <c r="F41" s="114">
        <f t="shared" si="2"/>
        <v>8892.4166786899441</v>
      </c>
      <c r="G41" s="115">
        <f t="shared" si="2"/>
        <v>11548.857797114724</v>
      </c>
      <c r="H41" s="145">
        <f t="shared" si="2"/>
        <v>10278.483439432104</v>
      </c>
      <c r="I41" s="145">
        <f t="shared" si="2"/>
        <v>9147.8502610945725</v>
      </c>
      <c r="J41" s="145">
        <f t="shared" si="2"/>
        <v>8141.5867323741695</v>
      </c>
      <c r="K41" s="145">
        <f t="shared" si="2"/>
        <v>7246.0121918130108</v>
      </c>
      <c r="L41" s="145">
        <f t="shared" si="2"/>
        <v>6448.9508507135797</v>
      </c>
    </row>
    <row r="42" spans="2:12" x14ac:dyDescent="0.2">
      <c r="B42" s="1" t="s">
        <v>158</v>
      </c>
      <c r="C42" s="114">
        <f>'FCF &amp; Other'!C10</f>
        <v>5802</v>
      </c>
      <c r="D42" s="114">
        <f>'FCF &amp; Other'!D10</f>
        <v>6098</v>
      </c>
      <c r="E42" s="114">
        <f>'FCF &amp; Other'!E10</f>
        <v>6650</v>
      </c>
      <c r="F42" s="114">
        <f>'FCF &amp; Other'!F10</f>
        <v>6741</v>
      </c>
      <c r="G42" s="115">
        <f>'FCF &amp; Other'!G10</f>
        <v>8706</v>
      </c>
      <c r="H42" s="145">
        <f>H41/H43</f>
        <v>9344.0758540291845</v>
      </c>
      <c r="I42" s="145">
        <f t="shared" ref="I42:L42" si="3">I41/I43</f>
        <v>8316.2275100859752</v>
      </c>
      <c r="J42" s="145">
        <f t="shared" si="3"/>
        <v>7401.442483976517</v>
      </c>
      <c r="K42" s="145">
        <f t="shared" si="3"/>
        <v>6587.2838107390999</v>
      </c>
      <c r="L42" s="145">
        <f t="shared" si="3"/>
        <v>5862.6825915577992</v>
      </c>
    </row>
    <row r="43" spans="2:12" x14ac:dyDescent="0.2">
      <c r="B43" s="124" t="s">
        <v>331</v>
      </c>
      <c r="C43" s="95">
        <f>C41/C42</f>
        <v>1.2809399037655425</v>
      </c>
      <c r="D43" s="95">
        <f t="shared" ref="D43:G43" si="4">D41/D42</f>
        <v>1.3313799595510349</v>
      </c>
      <c r="E43" s="95">
        <f t="shared" si="4"/>
        <v>1.2252563236300782</v>
      </c>
      <c r="F43" s="95">
        <f t="shared" si="4"/>
        <v>1.3191539354235193</v>
      </c>
      <c r="G43" s="96">
        <f t="shared" si="4"/>
        <v>1.3265400639920428</v>
      </c>
      <c r="H43" s="170">
        <v>1.1000000000000001</v>
      </c>
      <c r="I43" s="170">
        <v>1.1000000000000001</v>
      </c>
      <c r="J43" s="170">
        <v>1.1000000000000001</v>
      </c>
      <c r="K43" s="170">
        <v>1.1000000000000001</v>
      </c>
      <c r="L43" s="170">
        <v>1.1000000000000001</v>
      </c>
    </row>
    <row r="44" spans="2:12" x14ac:dyDescent="0.2">
      <c r="B44" s="1" t="s">
        <v>19</v>
      </c>
      <c r="C44" s="114">
        <f>Revenue!C9</f>
        <v>15785</v>
      </c>
      <c r="D44" s="114">
        <f>Revenue!D9</f>
        <v>17606</v>
      </c>
      <c r="E44" s="114">
        <f>Revenue!E9</f>
        <v>19409</v>
      </c>
      <c r="F44" s="114">
        <f>Revenue!F9</f>
        <v>21505</v>
      </c>
      <c r="G44" s="115">
        <f>Revenue!G9</f>
        <v>23769</v>
      </c>
      <c r="H44" s="145">
        <f>H41/H45</f>
        <v>1027848.3439432104</v>
      </c>
      <c r="I44" s="145">
        <f t="shared" ref="I44:L44" si="5">I41/I45</f>
        <v>457392.51305472862</v>
      </c>
      <c r="J44" s="145">
        <f t="shared" si="5"/>
        <v>193847.30315176593</v>
      </c>
      <c r="K44" s="145">
        <f t="shared" si="5"/>
        <v>103514.459883043</v>
      </c>
      <c r="L44" s="145">
        <f t="shared" si="5"/>
        <v>42993.005671423867</v>
      </c>
    </row>
    <row r="45" spans="2:12" x14ac:dyDescent="0.2">
      <c r="B45" s="124" t="s">
        <v>332</v>
      </c>
      <c r="C45" s="95">
        <f>C41/C44</f>
        <v>0.47082757818483861</v>
      </c>
      <c r="D45" s="95">
        <f t="shared" ref="D45:G45" si="6">D41/D44</f>
        <v>0.46113569199944399</v>
      </c>
      <c r="E45" s="95">
        <f t="shared" si="6"/>
        <v>0.41980290340254622</v>
      </c>
      <c r="F45" s="95">
        <f t="shared" si="6"/>
        <v>0.41350461188979049</v>
      </c>
      <c r="G45" s="96">
        <f t="shared" si="6"/>
        <v>0.48587899352579933</v>
      </c>
      <c r="H45" s="170">
        <v>0.01</v>
      </c>
      <c r="I45" s="170">
        <v>0.02</v>
      </c>
      <c r="J45" s="170">
        <v>4.2000000000000003E-2</v>
      </c>
      <c r="K45" s="170">
        <v>7.0000000000000007E-2</v>
      </c>
      <c r="L45" s="170">
        <v>0.15</v>
      </c>
    </row>
    <row r="46" spans="2:12" x14ac:dyDescent="0.2">
      <c r="B46" s="124" t="s">
        <v>333</v>
      </c>
      <c r="C46" s="139"/>
      <c r="D46" s="95">
        <f>D41/C41-1</f>
        <v>9.2403180938093632E-2</v>
      </c>
      <c r="E46" s="95">
        <f t="shared" ref="E46:L47" si="7">E41/D41-1</f>
        <v>3.5965562234301363E-3</v>
      </c>
      <c r="F46" s="95">
        <f t="shared" si="7"/>
        <v>9.136797729859647E-2</v>
      </c>
      <c r="G46" s="96">
        <f t="shared" si="7"/>
        <v>0.29873106652669068</v>
      </c>
      <c r="H46" s="171">
        <f t="shared" si="7"/>
        <v>-0.10999999999999999</v>
      </c>
      <c r="I46" s="171">
        <f t="shared" si="7"/>
        <v>-0.10999999999999999</v>
      </c>
      <c r="J46" s="171">
        <f t="shared" si="7"/>
        <v>-0.10999999999999999</v>
      </c>
      <c r="K46" s="171">
        <f t="shared" si="7"/>
        <v>-0.10999999999999999</v>
      </c>
      <c r="L46" s="171">
        <f t="shared" si="7"/>
        <v>-0.10999999999999999</v>
      </c>
    </row>
    <row r="47" spans="2:12" x14ac:dyDescent="0.2">
      <c r="B47" s="124" t="s">
        <v>231</v>
      </c>
      <c r="C47" s="139"/>
      <c r="D47" s="95">
        <f>D42/C42-1</f>
        <v>5.1016890727335396E-2</v>
      </c>
      <c r="E47" s="95">
        <f t="shared" si="7"/>
        <v>9.0521482453263413E-2</v>
      </c>
      <c r="F47" s="95">
        <f t="shared" si="7"/>
        <v>1.3684210526315743E-2</v>
      </c>
      <c r="G47" s="96">
        <f t="shared" si="7"/>
        <v>0.29149977748108591</v>
      </c>
      <c r="H47" s="171">
        <f t="shared" si="7"/>
        <v>7.3291506320834365E-2</v>
      </c>
      <c r="I47" s="171">
        <f t="shared" si="7"/>
        <v>-0.10999999999999988</v>
      </c>
      <c r="J47" s="171">
        <f t="shared" si="7"/>
        <v>-0.1100000000000001</v>
      </c>
      <c r="K47" s="171">
        <f t="shared" si="7"/>
        <v>-0.10999999999999999</v>
      </c>
      <c r="L47" s="171">
        <f t="shared" si="7"/>
        <v>-0.10999999999999999</v>
      </c>
    </row>
    <row r="48" spans="2:12" x14ac:dyDescent="0.2">
      <c r="B48" s="124" t="s">
        <v>232</v>
      </c>
      <c r="C48" s="139"/>
      <c r="D48" s="95">
        <f>D44/C44-1</f>
        <v>0.11536268609439349</v>
      </c>
      <c r="E48" s="95">
        <f t="shared" ref="E48:L48" si="8">E44/D44-1</f>
        <v>0.10240826990798602</v>
      </c>
      <c r="F48" s="95">
        <f t="shared" si="8"/>
        <v>0.10799113813179462</v>
      </c>
      <c r="G48" s="96">
        <f t="shared" si="8"/>
        <v>0.10527784236224136</v>
      </c>
      <c r="H48" s="171">
        <f t="shared" si="8"/>
        <v>42.243230423796142</v>
      </c>
      <c r="I48" s="171">
        <f t="shared" si="8"/>
        <v>-0.55499999999999994</v>
      </c>
      <c r="J48" s="171">
        <f t="shared" si="8"/>
        <v>-0.57619047619047614</v>
      </c>
      <c r="K48" s="171">
        <f t="shared" si="8"/>
        <v>-0.46599999999999997</v>
      </c>
      <c r="L48" s="171">
        <f t="shared" si="8"/>
        <v>-0.58466666666666667</v>
      </c>
    </row>
    <row r="49" spans="2:12" x14ac:dyDescent="0.2">
      <c r="B49" s="124" t="s">
        <v>233</v>
      </c>
      <c r="C49" s="95">
        <f>C42/C44</f>
        <v>0.36756414317389929</v>
      </c>
      <c r="D49" s="95">
        <f t="shared" ref="D49:L49" si="9">D42/D44</f>
        <v>0.34635919572872886</v>
      </c>
      <c r="E49" s="95">
        <f t="shared" si="9"/>
        <v>0.3426245556185275</v>
      </c>
      <c r="F49" s="95">
        <f t="shared" si="9"/>
        <v>0.31346198558474775</v>
      </c>
      <c r="G49" s="96">
        <f t="shared" si="9"/>
        <v>0.36627540073204595</v>
      </c>
      <c r="H49" s="171">
        <f t="shared" si="9"/>
        <v>9.0909090909090905E-3</v>
      </c>
      <c r="I49" s="171">
        <f t="shared" si="9"/>
        <v>1.8181818181818181E-2</v>
      </c>
      <c r="J49" s="171">
        <f t="shared" si="9"/>
        <v>3.8181818181818178E-2</v>
      </c>
      <c r="K49" s="171">
        <f t="shared" si="9"/>
        <v>6.363636363636363E-2</v>
      </c>
      <c r="L49" s="171">
        <f t="shared" si="9"/>
        <v>0.13636363636363635</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2026-06-20T18:02:01Z</dcterms:modified>
</cp:coreProperties>
</file>