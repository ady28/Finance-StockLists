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Volumes/KINGSTON/MyStockData/Finance-StockLists/_Compare Lists/"/>
    </mc:Choice>
  </mc:AlternateContent>
  <xr:revisionPtr revIDLastSave="0" documentId="13_ncr:1_{33809497-938E-7D4D-8FED-F61B7A6664BE}" xr6:coauthVersionLast="47" xr6:coauthVersionMax="47" xr10:uidLastSave="{00000000-0000-0000-0000-000000000000}"/>
  <bookViews>
    <workbookView xWindow="0" yWindow="0" windowWidth="25600" windowHeight="14400" xr2:uid="{AEC0C047-6E16-294C-82BD-58123BA913A1}"/>
  </bookViews>
  <sheets>
    <sheet name="Basic" sheetId="2" r:id="rId1"/>
    <sheet name="Advanced" sheetId="3" r:id="rId2"/>
    <sheet name="Comps" sheetId="1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1" l="1"/>
  <c r="AF13" i="1"/>
  <c r="AE13" i="1"/>
  <c r="AC13" i="1"/>
  <c r="AB13" i="1"/>
  <c r="AA13" i="1"/>
  <c r="Y13" i="1"/>
  <c r="X13" i="1"/>
  <c r="W13" i="1"/>
  <c r="AG12" i="1"/>
  <c r="AF12" i="1"/>
  <c r="AE12" i="1"/>
  <c r="AC12" i="1"/>
  <c r="AB12" i="1"/>
  <c r="AA12" i="1"/>
  <c r="Y12" i="1"/>
  <c r="X12" i="1"/>
  <c r="W12" i="1"/>
  <c r="U13" i="1"/>
  <c r="T13" i="1"/>
  <c r="S13" i="1"/>
  <c r="Q13" i="1"/>
  <c r="P13" i="1"/>
  <c r="O13" i="1"/>
  <c r="M13" i="1"/>
  <c r="L13" i="1"/>
  <c r="U12" i="1"/>
  <c r="T12" i="1"/>
  <c r="S12" i="1"/>
  <c r="Q12" i="1"/>
  <c r="P12" i="1"/>
  <c r="O12" i="1"/>
  <c r="M12" i="1"/>
  <c r="L12" i="1"/>
  <c r="AG10" i="1"/>
  <c r="AF10" i="1"/>
  <c r="AE10" i="1"/>
  <c r="AG9" i="1"/>
  <c r="AF9" i="1"/>
  <c r="AE9" i="1"/>
  <c r="AC10" i="1"/>
  <c r="AB10" i="1"/>
  <c r="AA10" i="1"/>
  <c r="AC9" i="1"/>
  <c r="AB9" i="1"/>
  <c r="AA9" i="1"/>
  <c r="Y10" i="1"/>
  <c r="X10" i="1"/>
  <c r="W10" i="1"/>
  <c r="Y9" i="1"/>
  <c r="X9" i="1"/>
  <c r="W9" i="1"/>
  <c r="U10" i="1"/>
  <c r="T10" i="1"/>
  <c r="S10" i="1"/>
  <c r="U9" i="1"/>
  <c r="T9" i="1"/>
  <c r="S9" i="1"/>
  <c r="Q10" i="1"/>
  <c r="P10" i="1"/>
  <c r="O10" i="1"/>
  <c r="Q9" i="1"/>
  <c r="P9" i="1"/>
  <c r="O9" i="1"/>
  <c r="M10" i="1"/>
  <c r="L10" i="1"/>
  <c r="M9" i="1"/>
  <c r="L9" i="1"/>
</calcChain>
</file>

<file path=xl/sharedStrings.xml><?xml version="1.0" encoding="utf-8"?>
<sst xmlns="http://schemas.openxmlformats.org/spreadsheetml/2006/main" count="90" uniqueCount="56">
  <si>
    <t>Ticker</t>
  </si>
  <si>
    <t>STX</t>
  </si>
  <si>
    <t>WDC</t>
  </si>
  <si>
    <t>Price</t>
  </si>
  <si>
    <t>Market Cap</t>
  </si>
  <si>
    <t>EV</t>
  </si>
  <si>
    <t>Unit</t>
  </si>
  <si>
    <t>M</t>
  </si>
  <si>
    <t>Revenue</t>
  </si>
  <si>
    <t>TTM</t>
  </si>
  <si>
    <t>Latest 2 years</t>
  </si>
  <si>
    <t>Revenue growth</t>
  </si>
  <si>
    <t>Latest 3 years</t>
  </si>
  <si>
    <t>EBIT margin</t>
  </si>
  <si>
    <t>Profit margin</t>
  </si>
  <si>
    <t>EV/Revenue</t>
  </si>
  <si>
    <t>EV/EBIT</t>
  </si>
  <si>
    <t>P/E</t>
  </si>
  <si>
    <t>Median</t>
  </si>
  <si>
    <t>Mean</t>
  </si>
  <si>
    <t>Min</t>
  </si>
  <si>
    <t>Max</t>
  </si>
  <si>
    <t>PE</t>
  </si>
  <si>
    <t>PS</t>
  </si>
  <si>
    <t>EV/Sales</t>
  </si>
  <si>
    <t>EBIT Margin</t>
  </si>
  <si>
    <t>Net Margin</t>
  </si>
  <si>
    <t>ROA</t>
  </si>
  <si>
    <t>ROE</t>
  </si>
  <si>
    <t>ROIC</t>
  </si>
  <si>
    <t>DE</t>
  </si>
  <si>
    <t>Dividend Yield</t>
  </si>
  <si>
    <t>FCF Yield</t>
  </si>
  <si>
    <t>Dividend Payout</t>
  </si>
  <si>
    <t>Cash/Share</t>
  </si>
  <si>
    <t>EPS</t>
  </si>
  <si>
    <t>Units</t>
  </si>
  <si>
    <t>P/S</t>
  </si>
  <si>
    <t>P/B</t>
  </si>
  <si>
    <t>P/FCF</t>
  </si>
  <si>
    <t>EV/FCF</t>
  </si>
  <si>
    <t>Gross Margin</t>
  </si>
  <si>
    <t>Asset Turnover</t>
  </si>
  <si>
    <t>Equity Multiplier</t>
  </si>
  <si>
    <t>Quick Ratio</t>
  </si>
  <si>
    <t>Current Ratio</t>
  </si>
  <si>
    <t>Interest Coverage</t>
  </si>
  <si>
    <t>Earnings Yield</t>
  </si>
  <si>
    <t>Buyback Yield</t>
  </si>
  <si>
    <t>Buyback Payout</t>
  </si>
  <si>
    <t>Net Cash/Share</t>
  </si>
  <si>
    <t>DSO</t>
  </si>
  <si>
    <t>DIO</t>
  </si>
  <si>
    <t>DPO</t>
  </si>
  <si>
    <t>FCFF/Sales</t>
  </si>
  <si>
    <t>FCFE/Sales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</si>
</sst>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2"/>
      <color theme="1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theme="1"/>
      <name val="Aptos Narrow"/>
      <scheme val="minor"/>
    </font>
    <font>
      <b/>
      <sz val="12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AD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bgColor theme="6" tint="0.79992065187536243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slantDashDot">
        <color indexed="64"/>
      </top>
      <bottom/>
      <diagonal/>
    </border>
    <border>
      <left/>
      <right style="medium">
        <color theme="0" tint="-4.9989318521683403E-2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39" fontId="0" fillId="4" borderId="0" xfId="0" applyNumberFormat="1" applyFill="1"/>
    <xf numFmtId="3" fontId="0" fillId="4" borderId="0" xfId="0" applyNumberFormat="1" applyFill="1"/>
    <xf numFmtId="164" fontId="0" fillId="4" borderId="0" xfId="1" applyNumberFormat="1" applyFont="1" applyFill="1"/>
    <xf numFmtId="49" fontId="4" fillId="5" borderId="0" xfId="1" applyNumberFormat="1" applyFont="1" applyFill="1"/>
    <xf numFmtId="0" fontId="0" fillId="2" borderId="1" xfId="0" applyFill="1" applyBorder="1"/>
    <xf numFmtId="0" fontId="0" fillId="2" borderId="2" xfId="0" applyFill="1" applyBorder="1"/>
    <xf numFmtId="164" fontId="0" fillId="6" borderId="2" xfId="0" applyNumberFormat="1" applyFill="1" applyBorder="1"/>
    <xf numFmtId="164" fontId="0" fillId="6" borderId="1" xfId="0" applyNumberFormat="1" applyFill="1" applyBorder="1"/>
    <xf numFmtId="39" fontId="0" fillId="6" borderId="2" xfId="0" applyNumberFormat="1" applyFill="1" applyBorder="1"/>
    <xf numFmtId="39" fontId="0" fillId="6" borderId="1" xfId="0" applyNumberFormat="1" applyFill="1" applyBorder="1"/>
    <xf numFmtId="0" fontId="0" fillId="7" borderId="2" xfId="0" applyFill="1" applyBorder="1"/>
    <xf numFmtId="0" fontId="0" fillId="7" borderId="1" xfId="0" applyFill="1" applyBorder="1"/>
    <xf numFmtId="164" fontId="5" fillId="6" borderId="2" xfId="0" applyNumberFormat="1" applyFont="1" applyFill="1" applyBorder="1"/>
    <xf numFmtId="0" fontId="5" fillId="2" borderId="2" xfId="0" applyFont="1" applyFill="1" applyBorder="1"/>
    <xf numFmtId="39" fontId="5" fillId="6" borderId="2" xfId="0" applyNumberFormat="1" applyFont="1" applyFill="1" applyBorder="1"/>
    <xf numFmtId="0" fontId="1" fillId="3" borderId="3" xfId="0" applyFon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4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0" fontId="0" fillId="4" borderId="4" xfId="0" applyNumberFormat="1" applyFill="1" applyBorder="1" applyAlignment="1">
      <alignment horizontal="center"/>
    </xf>
    <xf numFmtId="49" fontId="4" fillId="5" borderId="6" xfId="1" applyNumberFormat="1" applyFont="1" applyFill="1" applyBorder="1" applyAlignment="1">
      <alignment horizontal="center"/>
    </xf>
    <xf numFmtId="49" fontId="4" fillId="5" borderId="5" xfId="1" applyNumberFormat="1" applyFont="1" applyFill="1" applyBorder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4" borderId="7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4" fontId="0" fillId="4" borderId="0" xfId="0" applyNumberFormat="1" applyFill="1" applyAlignment="1">
      <alignment horizontal="center"/>
    </xf>
    <xf numFmtId="4" fontId="0" fillId="4" borderId="8" xfId="0" applyNumberFormat="1" applyFill="1" applyBorder="1" applyAlignment="1">
      <alignment horizontal="center"/>
    </xf>
    <xf numFmtId="10" fontId="0" fillId="4" borderId="8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9" xfId="0" applyNumberForma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4" fontId="0" fillId="4" borderId="1" xfId="0" applyNumberFormat="1" applyFill="1" applyBorder="1" applyAlignment="1">
      <alignment horizontal="center"/>
    </xf>
    <xf numFmtId="4" fontId="0" fillId="4" borderId="9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0" fontId="0" fillId="4" borderId="9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50800</xdr:rowOff>
        </xdr:from>
        <xdr:to>
          <xdr:col>4</xdr:col>
          <xdr:colOff>469900</xdr:colOff>
          <xdr:row>2</xdr:row>
          <xdr:rowOff>114300</xdr:rowOff>
        </xdr:to>
        <xdr:sp macro="" textlink="">
          <xdr:nvSpPr>
            <xdr:cNvPr id="2049" name="Button 1" descr="Update 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12700</xdr:rowOff>
        </xdr:from>
        <xdr:to>
          <xdr:col>3</xdr:col>
          <xdr:colOff>800100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</xdr:row>
          <xdr:rowOff>50800</xdr:rowOff>
        </xdr:from>
        <xdr:to>
          <xdr:col>5</xdr:col>
          <xdr:colOff>12700</xdr:colOff>
          <xdr:row>2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96B941-4CA9-1F40-939E-2B90447D217E}">
  <we:reference id="wa200001365" version="2.5.0.0" store="en-US" storeType="OMEX"/>
  <we:alternateReferences>
    <we:reference id="wa200001365" version="2.5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_xldudf_ALPHAVANTAGE_EQUITYQUOTE</we:customFunctionIds>
        <we:customFunctionIds>_xldudf_ALPHAVANTAGE_EQUITYTIMESERIES</we:customFunctionIds>
        <we:customFunctionIds>_xldudf_ALPHAVANTAGE_INTRADAYEQUITYSERIESUPDATING</we:customFunctionIds>
        <we:customFunctionIds>_xldudf_ALPHAVANTAGE_EXCHANGERATE</we:customFunctionIds>
        <we:customFunctionIds>_xldudf_ALPHAVANTAGE_EXCHANGERATEUPDATING</we:customFunctionIds>
        <we:customFunctionIds>_xldudf_ALPHAVANTAGE_EXCHANGERATESERIES</we:customFunctionIds>
        <we:customFunctionIds>_xldudf_ALPHAVANTAGE_EXCHANGERATESERIESUPDATING</we:customFunctionIds>
        <we:customFunctionIds>_xldudf_ALPHAVANTAGE_TECHNICALINDICATOR</we:customFunctionIds>
        <we:customFunctionIds>_xldudf_ALPHAVANTAGE_SYMBOLSEARCH</we:customFunctionIds>
        <we:customFunctionIds>_xldudf_ALPHAVANTAGE_COMMODITYTIMESERIES</we:customFunctionIds>
        <we:customFunctionIds>_xldudf_ALPHAVANTAGE_AVAILABLECRYPTOCURRENCIES</we:customFunctionIds>
        <we:customFunctionIds>_xldudf_ALPHAVANTAGE_AVAILABLEPHYSICALCURRENCIES</we:customFunctionIds>
        <we:customFunctionIds>_xldudf_ALPHAVANTAGE_COMPANYOVERVIEW</we:customFunctionIds>
        <we:customFunctionIds>_xldudf_ALPHAVANTAGE_COMPANYEARNINGS</we:customFunctionIds>
        <we:customFunctionIds>_xldudf_ALPHAVANTAGE_COMPANYFILINGS</we:customFunctionIds>
        <we:customFunctionIds>_xldudf_ALPHAVANTAGE_LISTINGSTATUS</we:customFunctionIds>
        <we:customFunctionIds>_xldudf_ALPHAVANTAGE_EARNINGSCALENDAR</we:customFunctionIds>
        <we:customFunctionIds>_xldudf_ALPHAVANTAGE_ECONOMICINDICATOR</we:customFunctionIds>
        <we:customFunctionIds>_xldudf_ALPHAVANTAGE_TREASURYYIELD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3C11-7CCF-8846-8FC8-32BA381A3F5B}">
  <sheetPr codeName="Sheet2"/>
  <dimension ref="B1:P6"/>
  <sheetViews>
    <sheetView tabSelected="1" zoomScale="17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baseColWidth="10" defaultRowHeight="16" x14ac:dyDescent="0.2"/>
  <cols>
    <col min="1" max="1" width="3" style="1" customWidth="1"/>
    <col min="2" max="2" width="8.33203125" style="1" customWidth="1"/>
    <col min="3" max="3" width="7.6640625" style="1" customWidth="1"/>
    <col min="4" max="4" width="7.5" style="1" customWidth="1"/>
    <col min="5" max="5" width="8.5" style="1" customWidth="1"/>
    <col min="6" max="6" width="9.33203125" style="1" customWidth="1"/>
    <col min="7" max="7" width="10.83203125" style="1"/>
    <col min="8" max="8" width="10.5" style="1" customWidth="1"/>
    <col min="9" max="9" width="8" style="1" customWidth="1"/>
    <col min="10" max="10" width="9.1640625" style="1" customWidth="1"/>
    <col min="11" max="11" width="8.6640625" style="1" customWidth="1"/>
    <col min="12" max="12" width="6.6640625" style="1" customWidth="1"/>
    <col min="13" max="13" width="10.83203125" style="1" customWidth="1"/>
    <col min="14" max="14" width="10.1640625" style="1" customWidth="1"/>
    <col min="15" max="15" width="13.33203125" style="1" customWidth="1"/>
    <col min="16" max="16" width="15.1640625" style="1" customWidth="1"/>
    <col min="17" max="16384" width="10.83203125" style="1"/>
  </cols>
  <sheetData>
    <row r="1" spans="2:16" ht="7" customHeight="1" x14ac:dyDescent="0.2"/>
    <row r="2" spans="2:16" ht="25" customHeight="1" x14ac:dyDescent="0.2"/>
    <row r="4" spans="2:16" x14ac:dyDescent="0.2">
      <c r="B4" s="2" t="s">
        <v>0</v>
      </c>
      <c r="C4" s="2" t="s">
        <v>22</v>
      </c>
      <c r="D4" s="18" t="s">
        <v>23</v>
      </c>
      <c r="E4" s="2" t="s">
        <v>16</v>
      </c>
      <c r="F4" s="18" t="s">
        <v>24</v>
      </c>
      <c r="G4" s="2" t="s">
        <v>25</v>
      </c>
      <c r="H4" s="18" t="s">
        <v>26</v>
      </c>
      <c r="I4" s="2" t="s">
        <v>27</v>
      </c>
      <c r="J4" s="2" t="s">
        <v>28</v>
      </c>
      <c r="K4" s="18" t="s">
        <v>29</v>
      </c>
      <c r="L4" s="2" t="s">
        <v>30</v>
      </c>
      <c r="M4" s="18" t="s">
        <v>34</v>
      </c>
      <c r="N4" s="2" t="s">
        <v>32</v>
      </c>
      <c r="O4" s="2" t="s">
        <v>31</v>
      </c>
      <c r="P4" s="2" t="s">
        <v>33</v>
      </c>
    </row>
    <row r="5" spans="2:16" x14ac:dyDescent="0.2">
      <c r="B5" s="6" t="s">
        <v>1</v>
      </c>
      <c r="C5" s="19">
        <v>48.758285302593656</v>
      </c>
      <c r="D5" s="20">
        <v>12.69454643296433</v>
      </c>
      <c r="E5" s="19">
        <v>39.632219101123596</v>
      </c>
      <c r="F5" s="20">
        <v>13.304986059860598</v>
      </c>
      <c r="G5" s="21">
        <v>0.33571135711357114</v>
      </c>
      <c r="H5" s="22">
        <v>0.26109061090610908</v>
      </c>
      <c r="I5" s="21">
        <v>0.31929402326514245</v>
      </c>
      <c r="J5" s="21">
        <v>1.4693124134748501</v>
      </c>
      <c r="K5" s="22">
        <v>0.87701105809469215</v>
      </c>
      <c r="L5" s="19">
        <v>1.6451315182279649</v>
      </c>
      <c r="M5" s="20">
        <v>7.5066079295154182</v>
      </c>
      <c r="N5" s="21">
        <v>1.8030677776731393E-2</v>
      </c>
      <c r="O5" s="21">
        <v>4.3146439310543542E-3</v>
      </c>
      <c r="P5" s="21">
        <v>0.21922544951590595</v>
      </c>
    </row>
    <row r="6" spans="2:16" x14ac:dyDescent="0.2">
      <c r="B6" s="6" t="s">
        <v>2</v>
      </c>
      <c r="C6" s="19">
        <v>36.296867669337487</v>
      </c>
      <c r="D6" s="20">
        <v>10.722040986144439</v>
      </c>
      <c r="E6" s="19">
        <v>32.266689871996405</v>
      </c>
      <c r="F6" s="20">
        <v>11.121880176484249</v>
      </c>
      <c r="G6" s="21">
        <v>0.34468612121681247</v>
      </c>
      <c r="H6" s="22">
        <v>0.29669479061846893</v>
      </c>
      <c r="I6" s="21">
        <v>0.276531274799798</v>
      </c>
      <c r="J6" s="21">
        <v>0.432423285198556</v>
      </c>
      <c r="K6" s="22">
        <v>0.50818716392752861</v>
      </c>
      <c r="L6" s="19">
        <v>0.11868231046931407</v>
      </c>
      <c r="M6" s="20">
        <v>4.3739612188365653</v>
      </c>
      <c r="N6" s="21">
        <v>2.2931744878340054E-2</v>
      </c>
      <c r="O6" s="21">
        <v>1.3833937415267132E-3</v>
      </c>
      <c r="P6" s="21">
        <v>5.4127608104021771E-2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StockDataBasic" altText="Update data">
                <anchor moveWithCells="1" sizeWithCells="1">
                  <from>
                    <xdr:col>2</xdr:col>
                    <xdr:colOff>101600</xdr:colOff>
                    <xdr:row>1</xdr:row>
                    <xdr:rowOff>50800</xdr:rowOff>
                  </from>
                  <to>
                    <xdr:col>4</xdr:col>
                    <xdr:colOff>469900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D4E71-B89C-FD4B-83D9-DF1B56007874}">
  <sheetPr codeName="Sheet3"/>
  <dimension ref="B1:D40"/>
  <sheetViews>
    <sheetView zoomScale="170" zoomScaleNormal="1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20" sqref="C20"/>
    </sheetView>
  </sheetViews>
  <sheetFormatPr baseColWidth="10" defaultRowHeight="16" x14ac:dyDescent="0.2"/>
  <cols>
    <col min="1" max="1" width="2" style="1" customWidth="1"/>
    <col min="2" max="2" width="16.33203125" style="1" customWidth="1"/>
    <col min="3" max="16384" width="10.83203125" style="1"/>
  </cols>
  <sheetData>
    <row r="1" spans="2:4" ht="10" customHeight="1" x14ac:dyDescent="0.2"/>
    <row r="2" spans="2:4" ht="28" customHeight="1" x14ac:dyDescent="0.2"/>
    <row r="4" spans="2:4" x14ac:dyDescent="0.2">
      <c r="C4" s="24" t="s">
        <v>1</v>
      </c>
      <c r="D4" s="23" t="s">
        <v>2</v>
      </c>
    </row>
    <row r="5" spans="2:4" x14ac:dyDescent="0.2">
      <c r="B5" s="2" t="s">
        <v>4</v>
      </c>
      <c r="C5" s="25">
        <v>160393.30499999999</v>
      </c>
      <c r="D5" s="26">
        <v>144210.57</v>
      </c>
    </row>
    <row r="6" spans="2:4" x14ac:dyDescent="0.2">
      <c r="B6" s="2" t="s">
        <v>5</v>
      </c>
      <c r="C6" s="25">
        <v>162254.30499999999</v>
      </c>
      <c r="D6" s="27">
        <v>143683.57</v>
      </c>
    </row>
    <row r="7" spans="2:4" ht="17" thickBot="1" x14ac:dyDescent="0.25">
      <c r="B7" s="33" t="s">
        <v>36</v>
      </c>
      <c r="C7" s="31" t="s">
        <v>7</v>
      </c>
      <c r="D7" s="32" t="s">
        <v>7</v>
      </c>
    </row>
    <row r="8" spans="2:4" x14ac:dyDescent="0.2">
      <c r="B8" s="2" t="s">
        <v>35</v>
      </c>
      <c r="C8" s="28">
        <v>13.88</v>
      </c>
      <c r="D8" s="29">
        <v>9.9576085543415989</v>
      </c>
    </row>
    <row r="9" spans="2:4" x14ac:dyDescent="0.2">
      <c r="B9" s="2" t="s">
        <v>17</v>
      </c>
      <c r="C9" s="28">
        <v>48.758285302593656</v>
      </c>
      <c r="D9" s="29">
        <v>36.296867669337487</v>
      </c>
    </row>
    <row r="10" spans="2:4" x14ac:dyDescent="0.2">
      <c r="B10" s="2" t="s">
        <v>37</v>
      </c>
      <c r="C10" s="28">
        <v>12.69454643296433</v>
      </c>
      <c r="D10" s="29">
        <v>10.722040986144439</v>
      </c>
    </row>
    <row r="11" spans="2:4" ht="17" thickBot="1" x14ac:dyDescent="0.25">
      <c r="B11" s="33" t="s">
        <v>38</v>
      </c>
      <c r="C11" s="34">
        <v>70.893241808952467</v>
      </c>
      <c r="D11" s="35">
        <v>14.719791290613719</v>
      </c>
    </row>
    <row r="12" spans="2:4" x14ac:dyDescent="0.2">
      <c r="B12" s="2" t="s">
        <v>15</v>
      </c>
      <c r="C12" s="28">
        <v>13.304986059860598</v>
      </c>
      <c r="D12" s="29">
        <v>11.121880176484249</v>
      </c>
    </row>
    <row r="13" spans="2:4" x14ac:dyDescent="0.2">
      <c r="B13" s="2" t="s">
        <v>16</v>
      </c>
      <c r="C13" s="28">
        <v>39.632219101123596</v>
      </c>
      <c r="D13" s="29">
        <v>32.266689871996405</v>
      </c>
    </row>
    <row r="14" spans="2:4" x14ac:dyDescent="0.2">
      <c r="B14" s="2" t="s">
        <v>39</v>
      </c>
      <c r="C14" s="28"/>
      <c r="D14" s="29"/>
    </row>
    <row r="15" spans="2:4" ht="17" thickBot="1" x14ac:dyDescent="0.25">
      <c r="B15" s="33" t="s">
        <v>40</v>
      </c>
      <c r="C15" s="34"/>
      <c r="D15" s="35"/>
    </row>
    <row r="16" spans="2:4" x14ac:dyDescent="0.2">
      <c r="B16" s="2" t="s">
        <v>41</v>
      </c>
      <c r="C16" s="21">
        <v>0.45576055760557604</v>
      </c>
      <c r="D16" s="30">
        <v>0.48850530226797739</v>
      </c>
    </row>
    <row r="17" spans="2:4" x14ac:dyDescent="0.2">
      <c r="B17" s="2" t="s">
        <v>25</v>
      </c>
      <c r="C17" s="21">
        <v>0.33571135711357114</v>
      </c>
      <c r="D17" s="30">
        <v>0.34468612121681247</v>
      </c>
    </row>
    <row r="18" spans="2:4" x14ac:dyDescent="0.2">
      <c r="B18" s="2" t="s">
        <v>26</v>
      </c>
      <c r="C18" s="21">
        <v>0.26109061090610908</v>
      </c>
      <c r="D18" s="30">
        <v>0.29669479061846893</v>
      </c>
    </row>
    <row r="19" spans="2:4" x14ac:dyDescent="0.2">
      <c r="B19" s="2" t="s">
        <v>42</v>
      </c>
      <c r="C19" s="28">
        <v>1.2229241877256318</v>
      </c>
      <c r="D19" s="29">
        <v>0.93203953538705719</v>
      </c>
    </row>
    <row r="20" spans="2:4" x14ac:dyDescent="0.2">
      <c r="B20" s="2" t="s">
        <v>27</v>
      </c>
      <c r="C20" s="21">
        <v>0.31929402326514245</v>
      </c>
      <c r="D20" s="30">
        <v>0.276531274799798</v>
      </c>
    </row>
    <row r="21" spans="2:4" x14ac:dyDescent="0.2">
      <c r="B21" s="2" t="s">
        <v>43</v>
      </c>
      <c r="C21" s="28">
        <v>4.6017535763728654</v>
      </c>
      <c r="D21" s="29">
        <v>1.5637409747292419</v>
      </c>
    </row>
    <row r="22" spans="2:4" x14ac:dyDescent="0.2">
      <c r="B22" s="2" t="s">
        <v>28</v>
      </c>
      <c r="C22" s="21">
        <v>1.4693124134748501</v>
      </c>
      <c r="D22" s="30">
        <v>0.432423285198556</v>
      </c>
    </row>
    <row r="23" spans="2:4" ht="17" thickBot="1" x14ac:dyDescent="0.25">
      <c r="B23" s="33" t="s">
        <v>29</v>
      </c>
      <c r="C23" s="36">
        <v>0.87701105809469215</v>
      </c>
      <c r="D23" s="37">
        <v>0.50818716392752861</v>
      </c>
    </row>
    <row r="24" spans="2:4" x14ac:dyDescent="0.2">
      <c r="B24" s="2" t="s">
        <v>30</v>
      </c>
      <c r="C24" s="28">
        <v>1.6451315182279649</v>
      </c>
      <c r="D24" s="29">
        <v>0.11868231046931407</v>
      </c>
    </row>
    <row r="25" spans="2:4" x14ac:dyDescent="0.2">
      <c r="B25" s="2" t="s">
        <v>44</v>
      </c>
      <c r="C25" s="28">
        <v>1.0354972817396866</v>
      </c>
      <c r="D25" s="29">
        <v>0.85023584905660377</v>
      </c>
    </row>
    <row r="26" spans="2:4" x14ac:dyDescent="0.2">
      <c r="B26" s="2" t="s">
        <v>45</v>
      </c>
      <c r="C26" s="28">
        <v>1.669651423089223</v>
      </c>
      <c r="D26" s="29">
        <v>1.3287735849056603</v>
      </c>
    </row>
    <row r="27" spans="2:4" ht="17" thickBot="1" x14ac:dyDescent="0.25">
      <c r="B27" s="33" t="s">
        <v>46</v>
      </c>
      <c r="C27" s="34">
        <v>16.118110236220474</v>
      </c>
      <c r="D27" s="35">
        <v>39.061403508771932</v>
      </c>
    </row>
    <row r="28" spans="2:4" x14ac:dyDescent="0.2">
      <c r="B28" s="2" t="s">
        <v>47</v>
      </c>
      <c r="C28" s="21">
        <v>2.050933485035426E-2</v>
      </c>
      <c r="D28" s="30">
        <v>2.7550586709298063E-2</v>
      </c>
    </row>
    <row r="29" spans="2:4" x14ac:dyDescent="0.2">
      <c r="B29" s="2" t="s">
        <v>32</v>
      </c>
      <c r="C29" s="21">
        <v>1.8030677776731393E-2</v>
      </c>
      <c r="D29" s="30">
        <v>2.2931744878340054E-2</v>
      </c>
    </row>
    <row r="30" spans="2:4" x14ac:dyDescent="0.2">
      <c r="B30" s="2" t="s">
        <v>31</v>
      </c>
      <c r="C30" s="21">
        <v>4.3146439310543542E-3</v>
      </c>
      <c r="D30" s="30">
        <v>1.3833937415267132E-3</v>
      </c>
    </row>
    <row r="31" spans="2:4" x14ac:dyDescent="0.2">
      <c r="B31" s="2" t="s">
        <v>48</v>
      </c>
      <c r="C31" s="21">
        <v>1.0973026586115924E-3</v>
      </c>
      <c r="D31" s="30">
        <v>1.7973717183144063E-2</v>
      </c>
    </row>
    <row r="32" spans="2:4" x14ac:dyDescent="0.2">
      <c r="B32" s="2" t="s">
        <v>33</v>
      </c>
      <c r="C32" s="21">
        <v>0.21922544951590595</v>
      </c>
      <c r="D32" s="30">
        <v>5.4127608104021771E-2</v>
      </c>
    </row>
    <row r="33" spans="2:4" ht="17" thickBot="1" x14ac:dyDescent="0.25">
      <c r="B33" s="33" t="s">
        <v>49</v>
      </c>
      <c r="C33" s="36">
        <v>6.0857538035961271E-2</v>
      </c>
      <c r="D33" s="37">
        <v>0.78379195645600241</v>
      </c>
    </row>
    <row r="34" spans="2:4" x14ac:dyDescent="0.2">
      <c r="B34" s="2" t="s">
        <v>34</v>
      </c>
      <c r="C34" s="28">
        <v>7.5066079295154182</v>
      </c>
      <c r="D34" s="29">
        <v>4.3739612188365653</v>
      </c>
    </row>
    <row r="35" spans="2:4" ht="17" thickBot="1" x14ac:dyDescent="0.25">
      <c r="B35" s="33" t="s">
        <v>50</v>
      </c>
      <c r="C35" s="34">
        <v>-8.1982378854625555</v>
      </c>
      <c r="D35" s="35">
        <v>1.4598337950138505</v>
      </c>
    </row>
    <row r="36" spans="2:4" x14ac:dyDescent="0.2">
      <c r="B36" s="2" t="s">
        <v>51</v>
      </c>
      <c r="C36" s="28">
        <v>45.913079130791303</v>
      </c>
      <c r="D36" s="29">
        <v>57.240498490595243</v>
      </c>
    </row>
    <row r="37" spans="2:4" x14ac:dyDescent="0.2">
      <c r="B37" s="2" t="s">
        <v>52</v>
      </c>
      <c r="C37" s="28">
        <v>86.396715383456382</v>
      </c>
      <c r="D37" s="29">
        <v>83.461713075060544</v>
      </c>
    </row>
    <row r="38" spans="2:4" ht="17" thickBot="1" x14ac:dyDescent="0.25">
      <c r="B38" s="33" t="s">
        <v>53</v>
      </c>
      <c r="C38" s="34">
        <v>96.130781979810152</v>
      </c>
      <c r="D38" s="35">
        <v>97.9888014527845</v>
      </c>
    </row>
    <row r="39" spans="2:4" x14ac:dyDescent="0.2">
      <c r="B39" s="2" t="s">
        <v>54</v>
      </c>
      <c r="C39" s="21"/>
      <c r="D39" s="30"/>
    </row>
    <row r="40" spans="2:4" ht="17" thickBot="1" x14ac:dyDescent="0.25">
      <c r="B40" s="33" t="s">
        <v>55</v>
      </c>
      <c r="C40" s="36"/>
      <c r="D40" s="3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tockDataAdvanced">
                <anchor moveWithCells="1" sizeWithCells="1">
                  <from>
                    <xdr:col>2</xdr:col>
                    <xdr:colOff>101600</xdr:colOff>
                    <xdr:row>1</xdr:row>
                    <xdr:rowOff>12700</xdr:rowOff>
                  </from>
                  <to>
                    <xdr:col>3</xdr:col>
                    <xdr:colOff>800100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B172E-7ADE-4B4A-B533-F037BCFCDCB0}">
  <sheetPr codeName="Sheet1"/>
  <dimension ref="B1:AG13"/>
  <sheetViews>
    <sheetView zoomScale="16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5" sqref="E5"/>
    </sheetView>
  </sheetViews>
  <sheetFormatPr baseColWidth="10" defaultRowHeight="16" x14ac:dyDescent="0.2"/>
  <cols>
    <col min="1" max="1" width="1.33203125" style="1" customWidth="1"/>
    <col min="2" max="2" width="8" style="1" customWidth="1"/>
    <col min="3" max="3" width="9" style="1" customWidth="1"/>
    <col min="4" max="4" width="7.6640625" style="1" customWidth="1"/>
    <col min="5" max="6" width="10.83203125" style="1"/>
    <col min="7" max="7" width="1.5" style="1" customWidth="1"/>
    <col min="8" max="10" width="10.83203125" style="1"/>
    <col min="11" max="11" width="1.6640625" style="1" customWidth="1"/>
    <col min="12" max="13" width="10.83203125" style="1"/>
    <col min="14" max="14" width="1.83203125" style="1" customWidth="1"/>
    <col min="15" max="17" width="10.83203125" style="1"/>
    <col min="18" max="18" width="1.6640625" style="1" customWidth="1"/>
    <col min="19" max="21" width="10.83203125" style="1"/>
    <col min="22" max="22" width="2.1640625" style="1" customWidth="1"/>
    <col min="23" max="25" width="10.83203125" style="1"/>
    <col min="26" max="26" width="1.6640625" style="1" customWidth="1"/>
    <col min="27" max="29" width="10.83203125" style="1"/>
    <col min="30" max="30" width="1.33203125" style="1" customWidth="1"/>
    <col min="31" max="16384" width="10.83203125" style="1"/>
  </cols>
  <sheetData>
    <row r="1" spans="2:33" ht="9" customHeight="1" x14ac:dyDescent="0.2"/>
    <row r="2" spans="2:33" ht="24" customHeight="1" x14ac:dyDescent="0.2"/>
    <row r="3" spans="2:33" x14ac:dyDescent="0.2">
      <c r="H3" s="38" t="s">
        <v>8</v>
      </c>
      <c r="I3" s="38"/>
      <c r="J3" s="38"/>
      <c r="L3" s="38" t="s">
        <v>11</v>
      </c>
      <c r="M3" s="38"/>
      <c r="O3" s="38" t="s">
        <v>13</v>
      </c>
      <c r="P3" s="38"/>
      <c r="Q3" s="38"/>
      <c r="S3" s="38" t="s">
        <v>14</v>
      </c>
      <c r="T3" s="38"/>
      <c r="U3" s="38"/>
      <c r="W3" s="38" t="s">
        <v>15</v>
      </c>
      <c r="X3" s="38"/>
      <c r="Y3" s="38"/>
      <c r="AA3" s="38" t="s">
        <v>16</v>
      </c>
      <c r="AB3" s="38"/>
      <c r="AC3" s="38"/>
      <c r="AE3" s="38" t="s">
        <v>17</v>
      </c>
      <c r="AF3" s="38"/>
      <c r="AG3" s="38"/>
    </row>
    <row r="4" spans="2:33" x14ac:dyDescent="0.2">
      <c r="B4" s="2" t="s">
        <v>0</v>
      </c>
      <c r="C4" s="2" t="s">
        <v>3</v>
      </c>
      <c r="D4" s="2" t="s">
        <v>6</v>
      </c>
      <c r="E4" s="2" t="s">
        <v>4</v>
      </c>
      <c r="F4" s="2" t="s">
        <v>5</v>
      </c>
      <c r="H4" s="38" t="s">
        <v>10</v>
      </c>
      <c r="I4" s="38"/>
      <c r="J4" s="2" t="s">
        <v>9</v>
      </c>
      <c r="L4" s="38" t="s">
        <v>12</v>
      </c>
      <c r="M4" s="38"/>
      <c r="O4" s="38" t="s">
        <v>10</v>
      </c>
      <c r="P4" s="38"/>
      <c r="Q4" s="2" t="s">
        <v>9</v>
      </c>
      <c r="S4" s="38" t="s">
        <v>10</v>
      </c>
      <c r="T4" s="38"/>
      <c r="U4" s="2" t="s">
        <v>9</v>
      </c>
      <c r="W4" s="38" t="s">
        <v>10</v>
      </c>
      <c r="X4" s="38"/>
      <c r="Y4" s="2" t="s">
        <v>9</v>
      </c>
      <c r="AA4" s="38" t="s">
        <v>10</v>
      </c>
      <c r="AB4" s="38"/>
      <c r="AC4" s="2" t="s">
        <v>9</v>
      </c>
      <c r="AE4" s="38" t="s">
        <v>10</v>
      </c>
      <c r="AF4" s="38"/>
      <c r="AG4" s="2" t="s">
        <v>9</v>
      </c>
    </row>
    <row r="5" spans="2:33" x14ac:dyDescent="0.2">
      <c r="B5" s="6" t="s">
        <v>1</v>
      </c>
      <c r="C5" s="3">
        <v>676.76499999999999</v>
      </c>
      <c r="D5" s="3" t="s">
        <v>7</v>
      </c>
      <c r="E5" s="4">
        <v>160393.30499999999</v>
      </c>
      <c r="F5" s="4">
        <v>162254.30499999999</v>
      </c>
      <c r="H5" s="4">
        <v>9097</v>
      </c>
      <c r="I5" s="4">
        <v>12195</v>
      </c>
      <c r="J5" s="4">
        <v>12195</v>
      </c>
      <c r="L5" s="5">
        <v>0.38864295527400394</v>
      </c>
      <c r="M5" s="5">
        <v>0.3405518302737166</v>
      </c>
      <c r="O5" s="5">
        <v>0.20776080026382324</v>
      </c>
      <c r="P5" s="5">
        <v>0.33571135711357114</v>
      </c>
      <c r="Q5" s="5">
        <v>0.33571135711357114</v>
      </c>
      <c r="S5" s="5">
        <v>0.16148180718918326</v>
      </c>
      <c r="T5" s="5">
        <v>0.26109061090610908</v>
      </c>
      <c r="U5" s="5">
        <v>0.26109061090610908</v>
      </c>
      <c r="W5" s="3">
        <v>3.8405979993404418</v>
      </c>
      <c r="X5" s="3">
        <v>16.091752357523575</v>
      </c>
      <c r="Y5" s="3">
        <v>13.304986059860598</v>
      </c>
      <c r="AA5" s="3">
        <v>18.485671957671958</v>
      </c>
      <c r="AB5" s="3">
        <v>47.933297508549096</v>
      </c>
      <c r="AC5" s="3">
        <v>39.632219101123596</v>
      </c>
      <c r="AE5" s="3">
        <v>20.892171344165437</v>
      </c>
      <c r="AF5" s="3">
        <v>59.004316546762588</v>
      </c>
      <c r="AG5" s="3">
        <v>48.758285302593656</v>
      </c>
    </row>
    <row r="6" spans="2:33" x14ac:dyDescent="0.2">
      <c r="B6" s="6" t="s">
        <v>2</v>
      </c>
      <c r="C6" s="3">
        <v>361.43</v>
      </c>
      <c r="D6" s="3" t="s">
        <v>7</v>
      </c>
      <c r="E6" s="4">
        <v>144210.57</v>
      </c>
      <c r="F6" s="4">
        <v>143683.57</v>
      </c>
      <c r="H6" s="4">
        <v>9520</v>
      </c>
      <c r="I6" s="4">
        <v>12919</v>
      </c>
      <c r="J6" s="4">
        <v>12919</v>
      </c>
      <c r="L6" s="5">
        <v>0.50704448314073136</v>
      </c>
      <c r="M6" s="5">
        <v>0.35703781512605043</v>
      </c>
      <c r="O6" s="5">
        <v>0.24516806722689075</v>
      </c>
      <c r="P6" s="5">
        <v>0.34468612121681247</v>
      </c>
      <c r="Q6" s="5">
        <v>0.34468612121681247</v>
      </c>
      <c r="S6" s="5">
        <v>0.17258403361344538</v>
      </c>
      <c r="T6" s="5">
        <v>0.29669479061846893</v>
      </c>
      <c r="U6" s="5">
        <v>0.29669479061846893</v>
      </c>
      <c r="W6" s="3">
        <v>2.6904737394957983</v>
      </c>
      <c r="X6" s="3">
        <v>16.606084062233919</v>
      </c>
      <c r="Y6" s="3">
        <v>11.121880176484249</v>
      </c>
      <c r="AA6" s="3">
        <v>10.973997429305912</v>
      </c>
      <c r="AB6" s="3">
        <v>48.177408488659331</v>
      </c>
      <c r="AC6" s="3">
        <v>32.266689871996405</v>
      </c>
      <c r="AE6" s="3">
        <v>14.343820224719099</v>
      </c>
      <c r="AF6" s="3">
        <v>54.580378237889889</v>
      </c>
      <c r="AG6" s="3">
        <v>36.296867669337487</v>
      </c>
    </row>
    <row r="8" spans="2:33" ht="17" thickBot="1" x14ac:dyDescent="0.25"/>
    <row r="9" spans="2:33" x14ac:dyDescent="0.2">
      <c r="B9" s="2" t="s">
        <v>18</v>
      </c>
      <c r="C9" s="13"/>
      <c r="D9" s="13"/>
      <c r="E9" s="13"/>
      <c r="F9" s="13"/>
      <c r="G9" s="13"/>
      <c r="H9" s="13"/>
      <c r="I9" s="13"/>
      <c r="J9" s="13"/>
      <c r="K9" s="8"/>
      <c r="L9" s="15">
        <f>MEDIAN(L5:L6)</f>
        <v>0.44784371920736765</v>
      </c>
      <c r="M9" s="15">
        <f>MEDIAN(M5:M6)</f>
        <v>0.34879482269988349</v>
      </c>
      <c r="N9" s="16"/>
      <c r="O9" s="15">
        <f t="shared" ref="O9:U9" si="0">MEDIAN(O5:O6)</f>
        <v>0.22646443374535699</v>
      </c>
      <c r="P9" s="15">
        <f t="shared" si="0"/>
        <v>0.34019873916519183</v>
      </c>
      <c r="Q9" s="15">
        <f t="shared" si="0"/>
        <v>0.34019873916519183</v>
      </c>
      <c r="R9" s="16"/>
      <c r="S9" s="15">
        <f t="shared" si="0"/>
        <v>0.16703292040131432</v>
      </c>
      <c r="T9" s="15">
        <f t="shared" si="0"/>
        <v>0.278892700762289</v>
      </c>
      <c r="U9" s="15">
        <f t="shared" si="0"/>
        <v>0.278892700762289</v>
      </c>
      <c r="V9" s="16"/>
      <c r="W9" s="17">
        <f>MEDIAN(W5:W6)</f>
        <v>3.26553586941812</v>
      </c>
      <c r="X9" s="17">
        <f t="shared" ref="X9:AG9" si="1">MEDIAN(X5:X6)</f>
        <v>16.348918209878747</v>
      </c>
      <c r="Y9" s="17">
        <f t="shared" si="1"/>
        <v>12.213433118172423</v>
      </c>
      <c r="Z9" s="16"/>
      <c r="AA9" s="17">
        <f t="shared" si="1"/>
        <v>14.729834693488936</v>
      </c>
      <c r="AB9" s="17">
        <f t="shared" si="1"/>
        <v>48.055352998604214</v>
      </c>
      <c r="AC9" s="17">
        <f t="shared" si="1"/>
        <v>35.949454486560001</v>
      </c>
      <c r="AD9" s="16"/>
      <c r="AE9" s="17">
        <f t="shared" si="1"/>
        <v>17.617995784442268</v>
      </c>
      <c r="AF9" s="17">
        <f t="shared" si="1"/>
        <v>56.792347392326235</v>
      </c>
      <c r="AG9" s="17">
        <f t="shared" si="1"/>
        <v>42.527576485965568</v>
      </c>
    </row>
    <row r="10" spans="2:33" ht="17" thickBot="1" x14ac:dyDescent="0.25">
      <c r="B10" s="2" t="s">
        <v>19</v>
      </c>
      <c r="C10" s="14"/>
      <c r="D10" s="14"/>
      <c r="E10" s="14"/>
      <c r="F10" s="14"/>
      <c r="G10" s="14"/>
      <c r="H10" s="14"/>
      <c r="I10" s="14"/>
      <c r="J10" s="14"/>
      <c r="K10" s="7"/>
      <c r="L10" s="10">
        <f>AVERAGE(L5:L6)</f>
        <v>0.44784371920736765</v>
      </c>
      <c r="M10" s="10">
        <f>AVERAGE(M5:M6)</f>
        <v>0.34879482269988349</v>
      </c>
      <c r="N10" s="7"/>
      <c r="O10" s="10">
        <f t="shared" ref="O10:U10" si="2">AVERAGE(O5:O6)</f>
        <v>0.22646443374535699</v>
      </c>
      <c r="P10" s="10">
        <f t="shared" si="2"/>
        <v>0.34019873916519183</v>
      </c>
      <c r="Q10" s="10">
        <f t="shared" si="2"/>
        <v>0.34019873916519183</v>
      </c>
      <c r="R10" s="7"/>
      <c r="S10" s="10">
        <f t="shared" si="2"/>
        <v>0.16703292040131432</v>
      </c>
      <c r="T10" s="10">
        <f t="shared" si="2"/>
        <v>0.278892700762289</v>
      </c>
      <c r="U10" s="10">
        <f t="shared" si="2"/>
        <v>0.278892700762289</v>
      </c>
      <c r="V10" s="7"/>
      <c r="W10" s="12">
        <f>AVERAGE(W5:W6)</f>
        <v>3.26553586941812</v>
      </c>
      <c r="X10" s="12">
        <f t="shared" ref="X10:AG10" si="3">AVERAGE(X5:X6)</f>
        <v>16.348918209878747</v>
      </c>
      <c r="Y10" s="12">
        <f t="shared" si="3"/>
        <v>12.213433118172423</v>
      </c>
      <c r="Z10" s="7"/>
      <c r="AA10" s="12">
        <f t="shared" si="3"/>
        <v>14.729834693488936</v>
      </c>
      <c r="AB10" s="12">
        <f t="shared" si="3"/>
        <v>48.055352998604214</v>
      </c>
      <c r="AC10" s="12">
        <f t="shared" si="3"/>
        <v>35.949454486560001</v>
      </c>
      <c r="AD10" s="7"/>
      <c r="AE10" s="12">
        <f t="shared" si="3"/>
        <v>17.617995784442268</v>
      </c>
      <c r="AF10" s="12">
        <f t="shared" si="3"/>
        <v>56.792347392326235</v>
      </c>
      <c r="AG10" s="12">
        <f t="shared" si="3"/>
        <v>42.527576485965568</v>
      </c>
    </row>
    <row r="11" spans="2:33" ht="8" customHeight="1" thickBot="1" x14ac:dyDescent="0.25"/>
    <row r="12" spans="2:33" x14ac:dyDescent="0.2">
      <c r="B12" s="2" t="s">
        <v>20</v>
      </c>
      <c r="C12" s="13"/>
      <c r="D12" s="13"/>
      <c r="E12" s="13"/>
      <c r="F12" s="13"/>
      <c r="G12" s="13"/>
      <c r="H12" s="13"/>
      <c r="I12" s="13"/>
      <c r="J12" s="13"/>
      <c r="K12" s="8"/>
      <c r="L12" s="9">
        <f>MIN(L5:L6)</f>
        <v>0.38864295527400394</v>
      </c>
      <c r="M12" s="9">
        <f>MIN(M5:M6)</f>
        <v>0.3405518302737166</v>
      </c>
      <c r="N12" s="8"/>
      <c r="O12" s="9">
        <f t="shared" ref="O12:U12" si="4">MIN(O5:O6)</f>
        <v>0.20776080026382324</v>
      </c>
      <c r="P12" s="9">
        <f t="shared" si="4"/>
        <v>0.33571135711357114</v>
      </c>
      <c r="Q12" s="9">
        <f t="shared" si="4"/>
        <v>0.33571135711357114</v>
      </c>
      <c r="R12" s="8"/>
      <c r="S12" s="9">
        <f t="shared" si="4"/>
        <v>0.16148180718918326</v>
      </c>
      <c r="T12" s="9">
        <f t="shared" si="4"/>
        <v>0.26109061090610908</v>
      </c>
      <c r="U12" s="9">
        <f t="shared" si="4"/>
        <v>0.26109061090610908</v>
      </c>
      <c r="V12" s="8"/>
      <c r="W12" s="11">
        <f>MIN(W5:W6)</f>
        <v>2.6904737394957983</v>
      </c>
      <c r="X12" s="11">
        <f t="shared" ref="X12:AG12" si="5">MIN(X5:X6)</f>
        <v>16.091752357523575</v>
      </c>
      <c r="Y12" s="11">
        <f t="shared" si="5"/>
        <v>11.121880176484249</v>
      </c>
      <c r="Z12" s="8"/>
      <c r="AA12" s="11">
        <f t="shared" si="5"/>
        <v>10.973997429305912</v>
      </c>
      <c r="AB12" s="11">
        <f t="shared" si="5"/>
        <v>47.933297508549096</v>
      </c>
      <c r="AC12" s="11">
        <f t="shared" si="5"/>
        <v>32.266689871996405</v>
      </c>
      <c r="AD12" s="8"/>
      <c r="AE12" s="11">
        <f t="shared" si="5"/>
        <v>14.343820224719099</v>
      </c>
      <c r="AF12" s="11">
        <f t="shared" si="5"/>
        <v>54.580378237889889</v>
      </c>
      <c r="AG12" s="11">
        <f t="shared" si="5"/>
        <v>36.296867669337487</v>
      </c>
    </row>
    <row r="13" spans="2:33" ht="17" thickBot="1" x14ac:dyDescent="0.25">
      <c r="B13" s="2" t="s">
        <v>21</v>
      </c>
      <c r="C13" s="14"/>
      <c r="D13" s="14"/>
      <c r="E13" s="14"/>
      <c r="F13" s="14"/>
      <c r="G13" s="14"/>
      <c r="H13" s="14"/>
      <c r="I13" s="14"/>
      <c r="J13" s="14"/>
      <c r="K13" s="7"/>
      <c r="L13" s="10">
        <f>MAX(L5:L6)</f>
        <v>0.50704448314073136</v>
      </c>
      <c r="M13" s="10">
        <f>MAX(M5:M6)</f>
        <v>0.35703781512605043</v>
      </c>
      <c r="N13" s="7"/>
      <c r="O13" s="10">
        <f t="shared" ref="O13:U13" si="6">MAX(O5:O6)</f>
        <v>0.24516806722689075</v>
      </c>
      <c r="P13" s="10">
        <f t="shared" si="6"/>
        <v>0.34468612121681247</v>
      </c>
      <c r="Q13" s="10">
        <f t="shared" si="6"/>
        <v>0.34468612121681247</v>
      </c>
      <c r="R13" s="7"/>
      <c r="S13" s="10">
        <f t="shared" si="6"/>
        <v>0.17258403361344538</v>
      </c>
      <c r="T13" s="10">
        <f t="shared" si="6"/>
        <v>0.29669479061846893</v>
      </c>
      <c r="U13" s="10">
        <f t="shared" si="6"/>
        <v>0.29669479061846893</v>
      </c>
      <c r="V13" s="7"/>
      <c r="W13" s="12">
        <f>MAX(W5:W6)</f>
        <v>3.8405979993404418</v>
      </c>
      <c r="X13" s="12">
        <f t="shared" ref="X13:AG13" si="7">MAX(X5:X6)</f>
        <v>16.606084062233919</v>
      </c>
      <c r="Y13" s="12">
        <f t="shared" si="7"/>
        <v>13.304986059860598</v>
      </c>
      <c r="Z13" s="7"/>
      <c r="AA13" s="12">
        <f t="shared" si="7"/>
        <v>18.485671957671958</v>
      </c>
      <c r="AB13" s="12">
        <f t="shared" si="7"/>
        <v>48.177408488659331</v>
      </c>
      <c r="AC13" s="12">
        <f t="shared" si="7"/>
        <v>39.632219101123596</v>
      </c>
      <c r="AD13" s="7"/>
      <c r="AE13" s="12">
        <f t="shared" si="7"/>
        <v>20.892171344165437</v>
      </c>
      <c r="AF13" s="12">
        <f t="shared" si="7"/>
        <v>59.004316546762588</v>
      </c>
      <c r="AG13" s="12">
        <f t="shared" si="7"/>
        <v>48.758285302593656</v>
      </c>
    </row>
  </sheetData>
  <mergeCells count="14">
    <mergeCell ref="AE3:AG3"/>
    <mergeCell ref="AE4:AF4"/>
    <mergeCell ref="S3:U3"/>
    <mergeCell ref="S4:T4"/>
    <mergeCell ref="W3:Y3"/>
    <mergeCell ref="W4:X4"/>
    <mergeCell ref="AA3:AC3"/>
    <mergeCell ref="AA4:AB4"/>
    <mergeCell ref="H3:J3"/>
    <mergeCell ref="H4:I4"/>
    <mergeCell ref="L4:M4"/>
    <mergeCell ref="L3:M3"/>
    <mergeCell ref="O4:P4"/>
    <mergeCell ref="O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StockDataComps">
                <anchor moveWithCells="1" sizeWithCells="1">
                  <from>
                    <xdr:col>2</xdr:col>
                    <xdr:colOff>127000</xdr:colOff>
                    <xdr:row>1</xdr:row>
                    <xdr:rowOff>50800</xdr:rowOff>
                  </from>
                  <to>
                    <xdr:col>5</xdr:col>
                    <xdr:colOff>12700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</vt:lpstr>
      <vt:lpstr>Advanced</vt:lpstr>
      <vt:lpstr>Comps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 dumitras</dc:creator>
  <cp:lastModifiedBy>adi dumitras</cp:lastModifiedBy>
  <dcterms:created xsi:type="dcterms:W3CDTF">2025-11-16T22:36:04Z</dcterms:created>
  <dcterms:modified xsi:type="dcterms:W3CDTF">2026-10-20T16:48:07Z</dcterms:modified>
</cp:coreProperties>
</file>