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6EE16C3-9505-8F4F-AABE-296A86B8052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G7" i="14"/>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G15" i="8"/>
  <c r="E15" i="8"/>
  <c r="C15"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F15" i="8"/>
  <c r="D15"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I7" i="14"/>
  <c r="H41" i="14"/>
  <c r="G4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3" i="5"/>
  <c r="K6" i="14" l="1"/>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23"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3" i="5"/>
  <c r="L6" i="14" l="1"/>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L14" i="8" l="1"/>
  <c r="L19" i="8"/>
  <c r="L26" i="8"/>
  <c r="L10" i="6"/>
  <c r="L23" i="6"/>
  <c r="C29" i="14"/>
  <c r="K27" i="12"/>
  <c r="K11" i="12"/>
  <c r="K17" i="12"/>
  <c r="K22" i="12"/>
  <c r="L42" i="14"/>
  <c r="L46" i="14"/>
  <c r="L44" i="14"/>
  <c r="L48" i="14" s="1"/>
  <c r="K47" i="14"/>
  <c r="K49" i="14"/>
  <c r="C31" i="14" l="1"/>
  <c r="C34" i="14" s="1"/>
  <c r="C36" i="14" s="1"/>
  <c r="C16" i="14" s="1"/>
  <c r="L11" i="12"/>
  <c r="L17" i="12"/>
  <c r="L22" i="12"/>
  <c r="L27" i="12"/>
  <c r="L49" i="14"/>
  <c r="L47" i="14"/>
  <c r="AC66" i="3" l="1"/>
  <c r="AE6" i="5" l="1"/>
  <c r="AE7" i="5"/>
  <c r="AE8" i="5"/>
  <c r="AA10" i="5"/>
  <c r="X6" i="6" l="1"/>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<sst xmlns="http://schemas.openxmlformats.org/spreadsheetml/2006/main" count="775" uniqueCount="432">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</sst>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154.65</v>
    <v>2.2385000000000002</v>
    <v>-2.15</v>
    <v>-2.2000000000000001E-3</v>
    <v>0.19</v>
    <v>1.9480000000000002E-4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993.99</v>
    <v>Semiconductors &amp; Semiconductor Equipment</v>
    <v>Stock</v>
    <v>46276.999989652344</v>
    <v>0</v>
    <v>967.38</v>
    <v>1101451817180</v>
    <v>MICRON TECHNOLOGY, INC.</v>
    <v>MICRON TECHNOLOGY, INC.</v>
    <v>993.19500000000005</v>
    <v>22.127300000000002</v>
    <v>977.41</v>
    <v>975.26</v>
    <v>975.45</v>
    <v>1129393000</v>
    <v>MU</v>
    <v>MICRON TECHNOLOGY, INC. (XNAS:MU)</v>
    <v>21740290</v>
    <v>28045808</v>
    <v>1984</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zoomScale="160" zoomScaleNormal="160" workbookViewId="0">
      <selection activeCell="C63" sqref="C6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292</v>
      </c>
      <c r="F2" s="241"/>
      <c r="H2" s="240" t="s">
        <v>333</v>
      </c>
      <c r="I2" s="241"/>
    </row>
    <row r="3" spans="2:9" x14ac:dyDescent="0.2">
      <c r="B3" s="189" t="s">
        <v>11</v>
      </c>
      <c r="C3" s="221" t="e" vm="1">
        <v>#VALUE!</v>
      </c>
      <c r="D3" s="2"/>
      <c r="E3" s="189" t="s">
        <v>244</v>
      </c>
      <c r="F3" s="191">
        <f ca="1">Statement!AC153</f>
        <v>1117647.96</v>
      </c>
      <c r="H3" s="189" t="str">
        <f>'AVG target price'!B5</f>
        <v>DCF price</v>
      </c>
      <c r="I3" s="215">
        <f ca="1">'AVG target price'!C5</f>
        <v>547.86252718665423</v>
      </c>
    </row>
    <row r="4" spans="2:9" x14ac:dyDescent="0.2">
      <c r="B4" s="189" t="s">
        <v>0</v>
      </c>
      <c r="C4" s="193" t="str" cm="1">
        <f t="array" aca="1" ref="C4" ca="1">_FV(C3,"Ticker symbol",TRUE)</f>
        <v>MU</v>
      </c>
      <c r="E4" s="190" t="s">
        <v>188</v>
      </c>
      <c r="F4" s="192">
        <f ca="1">Statement!AC154</f>
        <v>1093241.96</v>
      </c>
      <c r="H4" s="189" t="str">
        <f>'AVG target price'!B6</f>
        <v>EV/EBIT price</v>
      </c>
      <c r="I4" s="215">
        <f ca="1">'AVG target price'!C6</f>
        <v>534.21883237825875</v>
      </c>
    </row>
    <row r="5" spans="2:9" x14ac:dyDescent="0.2">
      <c r="B5" s="189" t="s">
        <v>1</v>
      </c>
      <c r="C5" s="212" cm="1">
        <f t="array" aca="1" ref="C5" ca="1">_FV(C3,"Price",TRUE)</f>
        <v>975.26</v>
      </c>
      <c r="E5" s="189" t="s">
        <v>248</v>
      </c>
      <c r="F5" s="194">
        <f>Statement!AC26</f>
        <v>44.17</v>
      </c>
      <c r="H5" s="189" t="str">
        <f>'AVG target price'!B7</f>
        <v>PS price</v>
      </c>
      <c r="I5" s="215">
        <f ca="1">'AVG target price'!C7</f>
        <v>174.15557400143445</v>
      </c>
    </row>
    <row r="6" spans="2:9" x14ac:dyDescent="0.2">
      <c r="B6" s="189" t="s">
        <v>2</v>
      </c>
      <c r="C6" s="212" cm="1">
        <f t="array" aca="1" ref="C6" ca="1">_FV(C3,"Price (Extended hours)",TRUE)</f>
        <v>975.45</v>
      </c>
      <c r="E6" s="189" t="s">
        <v>242</v>
      </c>
      <c r="F6" s="194">
        <f ca="1">Statement!AC150</f>
        <v>22.079692098709529</v>
      </c>
      <c r="H6" s="189" t="str">
        <f>'AVG target price'!B8</f>
        <v>EV/FCFF price</v>
      </c>
      <c r="I6" s="215">
        <f ca="1">'AVG target price'!C8</f>
        <v>807.88844297483342</v>
      </c>
    </row>
    <row r="7" spans="2:9" x14ac:dyDescent="0.2">
      <c r="B7" s="189" t="s">
        <v>3</v>
      </c>
      <c r="C7" s="6" cm="1">
        <f t="array" aca="1" ref="C7" ca="1">_FV(C3,"Change")</f>
        <v>-2.15</v>
      </c>
      <c r="E7" s="190" t="s">
        <v>201</v>
      </c>
      <c r="F7" s="195">
        <f ca="1">Statement!AC151</f>
        <v>12.304995236723752</v>
      </c>
      <c r="H7" s="188" t="str">
        <f>'AVG target price'!B9</f>
        <v>AVG price</v>
      </c>
      <c r="I7" s="216">
        <f ca="1">'AVG target price'!C9</f>
        <v>516.03134413529517</v>
      </c>
    </row>
    <row r="8" spans="2:9" x14ac:dyDescent="0.2">
      <c r="B8" s="189" t="s">
        <v>4</v>
      </c>
      <c r="C8" s="6" cm="1">
        <f t="array" aca="1" ref="C8" ca="1">_FV(C3,"Change (extended hours)",TRUE)</f>
        <v>0.19</v>
      </c>
      <c r="E8" s="189" t="s">
        <v>270</v>
      </c>
      <c r="F8" s="196">
        <f ca="1">Statement!AC161</f>
        <v>2.233977146077375E-2</v>
      </c>
      <c r="H8" s="188" t="str">
        <f>'AVG target price'!B11</f>
        <v>Upside/Downside</v>
      </c>
      <c r="I8" s="217">
        <f ca="1">'AVG target price'!C11</f>
        <v>-0.47087818208960158</v>
      </c>
    </row>
    <row r="9" spans="2:9" x14ac:dyDescent="0.2">
      <c r="B9" s="189" t="s">
        <v>5</v>
      </c>
      <c r="C9" s="73" cm="1">
        <f t="array" aca="1" ref="C9" ca="1">_FV(C3,"Change (%)",TRUE)</f>
        <v>-2.2000000000000001E-3</v>
      </c>
      <c r="E9" s="189" t="s">
        <v>293</v>
      </c>
      <c r="F9" s="196">
        <f ca="1">Statement!AC162</f>
        <v>4.5290486639460246E-2</v>
      </c>
    </row>
    <row r="10" spans="2:9" x14ac:dyDescent="0.2">
      <c r="B10" s="189" t="s">
        <v>6</v>
      </c>
      <c r="C10" s="73" cm="1">
        <f t="array" aca="1" ref="C10" ca="1">_FV(C3,"Change % (extended hours)",TRUE)</f>
        <v>1.9480000000000002E-4</v>
      </c>
      <c r="E10" s="189" t="s">
        <v>298</v>
      </c>
      <c r="F10" s="196">
        <f ca="1">Statement!AC164</f>
        <v>1.0038939273865808E-3</v>
      </c>
      <c r="H10" s="188" t="s">
        <v>376</v>
      </c>
      <c r="I10" s="216">
        <f ca="1">DDM!C26</f>
        <v>4.1518386714116255</v>
      </c>
    </row>
    <row r="11" spans="2:9" x14ac:dyDescent="0.2">
      <c r="B11" s="189" t="s">
        <v>7</v>
      </c>
      <c r="C11" s="213" cm="1">
        <f t="array" aca="1" ref="C11" ca="1">_FV(C3,"52 week high",TRUE)</f>
        <v>1255</v>
      </c>
      <c r="E11" s="190" t="s">
        <v>294</v>
      </c>
      <c r="F11" s="197">
        <f ca="1">Statement!AC163</f>
        <v>5.4344482496975171E-4</v>
      </c>
    </row>
    <row r="12" spans="2:9" x14ac:dyDescent="0.2">
      <c r="B12" s="189" t="s">
        <v>8</v>
      </c>
      <c r="C12" s="213" cm="1">
        <f t="array" aca="1" ref="C12" ca="1">_FV(C3,"52 week low",TRUE)</f>
        <v>154.65</v>
      </c>
      <c r="E12" s="189" t="s">
        <v>102</v>
      </c>
      <c r="F12" s="196">
        <f>Statement!AC123</f>
        <v>0.37631979241231212</v>
      </c>
    </row>
    <row r="13" spans="2:9" x14ac:dyDescent="0.2">
      <c r="B13" s="189" t="s">
        <v>9</v>
      </c>
      <c r="C13" s="213" cm="1">
        <f t="array" aca="1" ref="C13" ca="1">_FV(C3,"Beta")</f>
        <v>2.2385000000000002</v>
      </c>
      <c r="E13" s="189" t="s">
        <v>104</v>
      </c>
      <c r="F13" s="196">
        <f>Statement!AC125</f>
        <v>0.50106230888368219</v>
      </c>
    </row>
    <row r="14" spans="2:9" x14ac:dyDescent="0.2">
      <c r="B14" s="190" t="s">
        <v>10</v>
      </c>
      <c r="C14" s="214" cm="1">
        <f t="array" aca="1" ref="C14" ca="1">_FV(C3,"Volume average",TRUE)</f>
        <v>28045808</v>
      </c>
      <c r="E14" s="190" t="s">
        <v>105</v>
      </c>
      <c r="F14" s="197">
        <f>Statement!AC140</f>
        <v>0.66314520207950856</v>
      </c>
    </row>
    <row r="15" spans="2:9" x14ac:dyDescent="0.2">
      <c r="E15" s="189" t="s">
        <v>295</v>
      </c>
      <c r="F15" s="196">
        <f ca="1">Statement!AC176</f>
        <v>2.1836929760959793E-2</v>
      </c>
    </row>
    <row r="16" spans="2:9" x14ac:dyDescent="0.2">
      <c r="E16" s="190" t="s">
        <v>300</v>
      </c>
      <c r="F16" s="195">
        <f>Statement!AC175</f>
        <v>21.617360496014172</v>
      </c>
    </row>
    <row r="17" spans="2:9" x14ac:dyDescent="0.2">
      <c r="B17" s="242" t="s">
        <v>90</v>
      </c>
      <c r="C17" s="242"/>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2" t="s">
        <v>107</v>
      </c>
      <c r="C25" s="242"/>
      <c r="E25" s="240" t="s">
        <v>348</v>
      </c>
      <c r="F25" s="241"/>
    </row>
    <row r="26" spans="2:9" x14ac:dyDescent="0.2">
      <c r="B26" s="188" t="s">
        <v>108</v>
      </c>
      <c r="C26" s="174">
        <v>0.21</v>
      </c>
      <c r="E26" s="189" t="e" vm="2">
        <v>#VALUE!</v>
      </c>
      <c r="F26" s="223" cm="1">
        <f t="array" aca="1" ref="F26" ca="1">_FV(E26,"Price")</f>
        <v>47.84</v>
      </c>
    </row>
    <row r="27" spans="2:9" x14ac:dyDescent="0.2">
      <c r="B27" s="188" t="s">
        <v>172</v>
      </c>
      <c r="C27" s="225">
        <v>5.0999999999999997E-2</v>
      </c>
      <c r="E27" s="190" t="s">
        <v>349</v>
      </c>
      <c r="F27" s="224">
        <f ca="1">F26/1000</f>
        <v>4.7840000000000001E-2</v>
      </c>
    </row>
    <row r="28" spans="2:9" x14ac:dyDescent="0.2">
      <c r="B28" s="188" t="s">
        <v>353</v>
      </c>
      <c r="C28" s="225">
        <v>0</v>
      </c>
    </row>
    <row r="29" spans="2:9" x14ac:dyDescent="0.2">
      <c r="B29" s="188" t="s">
        <v>366</v>
      </c>
      <c r="C29" s="225">
        <v>0</v>
      </c>
    </row>
    <row r="33" spans="2:8" x14ac:dyDescent="0.2">
      <c r="B33" s="243" t="s">
        <v>343</v>
      </c>
      <c r="C33" s="243"/>
      <c r="D33" s="243"/>
      <c r="E33" s="243"/>
      <c r="F33" s="243"/>
      <c r="G33" s="243"/>
      <c r="H33" s="243"/>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43"/>
      <c r="C43" s="243"/>
      <c r="D43" s="243"/>
      <c r="E43" s="243"/>
      <c r="F43" s="243"/>
      <c r="G43" s="243"/>
      <c r="H43" s="243"/>
    </row>
    <row r="46" spans="2:8" x14ac:dyDescent="0.2">
      <c r="B46" s="243" t="s">
        <v>346</v>
      </c>
      <c r="C46" s="243"/>
      <c r="D46" s="243"/>
      <c r="E46" s="243"/>
      <c r="F46" s="243"/>
      <c r="G46" s="243"/>
      <c r="H46" s="243"/>
    </row>
    <row r="48" spans="2:8" x14ac:dyDescent="0.2">
      <c r="B48" s="41" t="s">
        <v>347</v>
      </c>
      <c r="C48" s="41" t="s">
        <v>407</v>
      </c>
      <c r="D48" s="41"/>
      <c r="E48" s="41" t="s">
        <v>85</v>
      </c>
    </row>
    <row r="49" spans="2:5" x14ac:dyDescent="0.2">
      <c r="B49" s="1" t="s">
        <v>408</v>
      </c>
      <c r="C49" s="1" t="s">
        <v>409</v>
      </c>
    </row>
    <row r="50" spans="2:5" x14ac:dyDescent="0.2">
      <c r="B50" s="1" t="s">
        <v>408</v>
      </c>
      <c r="C50" s="1" t="s">
        <v>410</v>
      </c>
    </row>
    <row r="51" spans="2:5" x14ac:dyDescent="0.2">
      <c r="C51" s="1" t="s">
        <v>411</v>
      </c>
    </row>
    <row r="52" spans="2:5" x14ac:dyDescent="0.2">
      <c r="C52" s="1" t="s">
        <v>412</v>
      </c>
    </row>
    <row r="53" spans="2:5" x14ac:dyDescent="0.2">
      <c r="C53" s="1" t="s">
        <v>413</v>
      </c>
    </row>
    <row r="54" spans="2:5" x14ac:dyDescent="0.2">
      <c r="C54" s="1" t="s">
        <v>414</v>
      </c>
    </row>
    <row r="55" spans="2:5" x14ac:dyDescent="0.2">
      <c r="B55" s="1" t="s">
        <v>408</v>
      </c>
      <c r="C55" s="1" t="s">
        <v>415</v>
      </c>
    </row>
    <row r="56" spans="2:5" x14ac:dyDescent="0.2">
      <c r="B56" s="1" t="s">
        <v>408</v>
      </c>
      <c r="C56" s="1" t="s">
        <v>416</v>
      </c>
    </row>
    <row r="57" spans="2:5" x14ac:dyDescent="0.2">
      <c r="B57" s="1" t="s">
        <v>408</v>
      </c>
      <c r="C57" s="1" t="s">
        <v>417</v>
      </c>
    </row>
    <row r="58" spans="2:5" x14ac:dyDescent="0.2">
      <c r="B58" s="1" t="s">
        <v>408</v>
      </c>
      <c r="C58" s="1" t="s">
        <v>418</v>
      </c>
    </row>
    <row r="59" spans="2:5" x14ac:dyDescent="0.2">
      <c r="B59" s="1" t="s">
        <v>408</v>
      </c>
      <c r="C59" s="1" t="s">
        <v>419</v>
      </c>
    </row>
    <row r="60" spans="2:5" x14ac:dyDescent="0.2">
      <c r="B60" s="1" t="s">
        <v>408</v>
      </c>
      <c r="C60" s="1" t="s">
        <v>420</v>
      </c>
    </row>
    <row r="62" spans="2:5" x14ac:dyDescent="0.2">
      <c r="B62" s="41" t="s">
        <v>347</v>
      </c>
      <c r="C62" s="41" t="s">
        <v>430</v>
      </c>
      <c r="D62" s="41"/>
      <c r="E62" s="41" t="s">
        <v>89</v>
      </c>
    </row>
    <row r="63" spans="2:5" x14ac:dyDescent="0.2">
      <c r="B63" s="1" t="s">
        <v>408</v>
      </c>
      <c r="C63" s="1" t="s">
        <v>431</v>
      </c>
    </row>
    <row r="66" spans="2:8" ht="5" customHeight="1" x14ac:dyDescent="0.2">
      <c r="B66" s="243"/>
      <c r="C66" s="243"/>
      <c r="D66" s="243"/>
      <c r="E66" s="243"/>
      <c r="F66" s="243"/>
      <c r="G66" s="243"/>
      <c r="H66" s="243"/>
    </row>
    <row r="69" spans="2:8" x14ac:dyDescent="0.2">
      <c r="B69" s="243" t="s">
        <v>109</v>
      </c>
      <c r="C69" s="243"/>
      <c r="D69" s="243"/>
      <c r="E69" s="243"/>
      <c r="F69" s="243"/>
      <c r="G69" s="243"/>
      <c r="H69" s="243"/>
    </row>
    <row r="71" spans="2:8" x14ac:dyDescent="0.2">
      <c r="B71" s="41" t="s">
        <v>347</v>
      </c>
      <c r="C71" s="41" t="s">
        <v>334</v>
      </c>
      <c r="D71" s="41"/>
      <c r="E71" s="41" t="s">
        <v>335</v>
      </c>
    </row>
    <row r="76" spans="2:8" ht="5" customHeight="1" x14ac:dyDescent="0.2">
      <c r="B76" s="243"/>
      <c r="C76" s="243"/>
      <c r="D76" s="243"/>
      <c r="E76" s="243"/>
      <c r="F76" s="243"/>
      <c r="G76" s="243"/>
      <c r="H76" s="243"/>
    </row>
  </sheetData>
  <mergeCells count="12">
    <mergeCell ref="B69:H69"/>
    <mergeCell ref="B76:H76"/>
    <mergeCell ref="B33:H33"/>
    <mergeCell ref="B43:H43"/>
    <mergeCell ref="B46:H46"/>
    <mergeCell ref="B66:H6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975.26</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975.26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8">IF(T131&gt;T130, "BEAT", IF(T131&lt;T129, "MISSED", "MET"))</f>
        <v>MET</v>
      </c>
      <c r="U132" s="229" t="str">
        <f t="shared" si="78"/>
        <v>MET</v>
      </c>
      <c r="V132" s="229" t="str">
        <f t="shared" si="78"/>
        <v>BEAT</v>
      </c>
      <c r="W132" s="229" t="str">
        <f t="shared" si="78"/>
        <v>BEAT</v>
      </c>
      <c r="X132" s="229" t="str">
        <f t="shared" si="78"/>
        <v>BEAT</v>
      </c>
      <c r="Y132" s="229" t="str">
        <f t="shared" si="78"/>
        <v>BEAT</v>
      </c>
      <c r="Z132" s="229" t="str">
        <f t="shared" si="78"/>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80">IF(T135&gt;T134, "BEAT", IF(T135&lt;T133, "MISSED", "MET"))</f>
        <v>MET</v>
      </c>
      <c r="U136" s="229" t="str">
        <f t="shared" si="80"/>
        <v>MET</v>
      </c>
      <c r="V136" s="229" t="str">
        <f t="shared" si="80"/>
        <v>BEAT</v>
      </c>
      <c r="W136" s="229" t="str">
        <f t="shared" si="80"/>
        <v>BEAT</v>
      </c>
      <c r="X136" s="229" t="str">
        <f t="shared" si="80"/>
        <v>BEAT</v>
      </c>
      <c r="Y136" s="229" t="str">
        <f t="shared" si="80"/>
        <v>BEAT</v>
      </c>
      <c r="Z136" s="229" t="str">
        <f t="shared" si="80"/>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5">(T108-T107)/T49</f>
        <v>9.4059515632270496E-2</v>
      </c>
      <c r="U146" s="183">
        <f t="shared" si="95"/>
        <v>0.10772058037908414</v>
      </c>
      <c r="V146" s="183">
        <f t="shared" si="95"/>
        <v>9.7978738716509362E-2</v>
      </c>
      <c r="W146" s="183">
        <f t="shared" si="95"/>
        <v>6.5578939071490497E-2</v>
      </c>
      <c r="X146" s="183">
        <f t="shared" si="95"/>
        <v>4.8758423336102648E-2</v>
      </c>
      <c r="Y146" s="183">
        <f t="shared" si="95"/>
        <v>-4.4043124851205658E-3</v>
      </c>
      <c r="Z146" s="183">
        <f t="shared" si="95"/>
        <v>-8.9498889026897968E-2</v>
      </c>
      <c r="AA146" s="183">
        <f t="shared" si="95"/>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8">IF(T13&gt;=0,"N/A",IF(T12&lt;=0,"N/A",T12/-T13))</f>
        <v>304.39999999999998</v>
      </c>
      <c r="U149" s="185">
        <f t="shared" si="98"/>
        <v>197.63636363636363</v>
      </c>
      <c r="V149" s="185">
        <f t="shared" si="98"/>
        <v>443.25</v>
      </c>
      <c r="W149" s="185" t="str">
        <f t="shared" si="98"/>
        <v>N/A</v>
      </c>
      <c r="X149" s="185" t="str">
        <f t="shared" si="98"/>
        <v>N/A</v>
      </c>
      <c r="Y149" s="185" t="str">
        <f t="shared" si="98"/>
        <v>N/A</v>
      </c>
      <c r="Z149" s="185" t="str">
        <f t="shared" si="98"/>
        <v>N/A</v>
      </c>
      <c r="AA149" s="185" t="str">
        <f t="shared" si="98"/>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22.079692098709529</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12.304995236723752</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10.931541042849767</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147">
        <f>Statement!T117*Statement!T78</f>
        <v>107229.54</v>
      </c>
      <c r="U153" s="147">
        <f>Statement!U117*Statement!U78</f>
        <v>109912.5</v>
      </c>
      <c r="V153" s="147">
        <f>Statement!V117*Statement!V78</f>
        <v>103389.31999999999</v>
      </c>
      <c r="W153" s="147">
        <f>Statement!W117*Statement!W78</f>
        <v>108715.3</v>
      </c>
      <c r="X153" s="147">
        <f>Statement!X117*Statement!X78</f>
        <v>137982</v>
      </c>
      <c r="Y153" s="147">
        <f>Statement!Y117*Statement!Y78</f>
        <v>262266.14</v>
      </c>
      <c r="Z153" s="147">
        <f>Statement!Z117*Statement!Z78</f>
        <v>475400.64</v>
      </c>
      <c r="AA153" s="147">
        <f>Statement!AA117*Statement!AA78</f>
        <v>1058353.92</v>
      </c>
      <c r="AC153" s="147">
        <f ca="1">Statement!AC117*Statement!AC78</f>
        <v>1117647.96</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147">
        <f t="shared" ref="T154:AA154" si="99">T153+T108-T107+T48+T45</f>
        <v>111474.54</v>
      </c>
      <c r="U154" s="147">
        <f t="shared" si="99"/>
        <v>114953.5</v>
      </c>
      <c r="V154" s="147">
        <f t="shared" si="99"/>
        <v>108154.31999999999</v>
      </c>
      <c r="W154" s="147">
        <f t="shared" si="99"/>
        <v>112043.3</v>
      </c>
      <c r="X154" s="147">
        <f t="shared" si="99"/>
        <v>140623</v>
      </c>
      <c r="Y154" s="147">
        <f t="shared" si="99"/>
        <v>262007.14</v>
      </c>
      <c r="Z154" s="147">
        <f t="shared" si="99"/>
        <v>468915.64</v>
      </c>
      <c r="AA154" s="147">
        <f t="shared" si="99"/>
        <v>1033947.9199999999</v>
      </c>
      <c r="AC154" s="147">
        <f ca="1">AC153+AC108-AC107+AC48+AC45</f>
        <v>1093241.96</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12.110263863349358</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18.453521259895684</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44.763215315603972</v>
      </c>
    </row>
    <row r="160" spans="2:29" x14ac:dyDescent="0.2">
      <c r="B160" s="20" t="s">
        <v>269</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44.210841733579024</v>
      </c>
    </row>
    <row r="161" spans="2:29" x14ac:dyDescent="0.2">
      <c r="B161" s="20" t="s">
        <v>270</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2.233977146077375E-2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4.5290486639460246E-2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5.4344482496975171E-4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1.0038939273865808E-3</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1.5112093078038635E-3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7">T54/T59</f>
        <v>#DIV/0!</v>
      </c>
      <c r="U173" s="158">
        <f t="shared" si="107"/>
        <v>6.7817509247842175E-2</v>
      </c>
      <c r="V173" s="158">
        <f t="shared" si="107"/>
        <v>6.3165905631659053E-2</v>
      </c>
      <c r="W173" s="158">
        <f t="shared" si="107"/>
        <v>5.4892601431980909E-2</v>
      </c>
      <c r="X173" s="158">
        <f t="shared" si="107"/>
        <v>4.3630017452006981E-2</v>
      </c>
      <c r="Y173" s="158">
        <f t="shared" si="107"/>
        <v>3.4478658899060752E-2</v>
      </c>
      <c r="Z173" s="158">
        <f t="shared" si="107"/>
        <v>2.5959842056624379E-2</v>
      </c>
      <c r="AA173" s="158">
        <f t="shared" si="107"/>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8">T54/T5</f>
        <v>0</v>
      </c>
      <c r="U174" s="158">
        <f t="shared" si="108"/>
        <v>2.5261224021127571E-2</v>
      </c>
      <c r="V174" s="158">
        <f t="shared" si="108"/>
        <v>3.0920153979883274E-2</v>
      </c>
      <c r="W174" s="158">
        <f t="shared" si="108"/>
        <v>2.7201376196107945E-2</v>
      </c>
      <c r="X174" s="158">
        <f t="shared" si="108"/>
        <v>2.209456473707468E-2</v>
      </c>
      <c r="Y174" s="158">
        <f t="shared" si="108"/>
        <v>2.1256321923330646E-2</v>
      </c>
      <c r="Z174" s="158">
        <f t="shared" si="108"/>
        <v>1.2950544844928752E-2</v>
      </c>
      <c r="AA174" s="158">
        <f t="shared" si="108"/>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2.1836929760959793E-2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10">-T110/T5</f>
        <v>0</v>
      </c>
      <c r="U177" s="158">
        <f t="shared" si="110"/>
        <v>0.36812492823515902</v>
      </c>
      <c r="V177" s="158">
        <f t="shared" si="110"/>
        <v>0.50353905376878183</v>
      </c>
      <c r="W177" s="158">
        <f t="shared" si="110"/>
        <v>0.31588001290183854</v>
      </c>
      <c r="X177" s="158">
        <f t="shared" si="110"/>
        <v>0.50004418912947413</v>
      </c>
      <c r="Y177" s="158">
        <f t="shared" si="110"/>
        <v>0.39500109946492706</v>
      </c>
      <c r="Z177" s="158">
        <f t="shared" si="110"/>
        <v>0.26768650461022631</v>
      </c>
      <c r="AA177" s="158">
        <f t="shared" si="110"/>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11">-(T110/T59)</f>
        <v>#DIV/0!</v>
      </c>
      <c r="U178" s="158">
        <f t="shared" si="111"/>
        <v>0.98828606658446361</v>
      </c>
      <c r="V178" s="158">
        <f t="shared" si="111"/>
        <v>1.0286656519533233</v>
      </c>
      <c r="W178" s="158">
        <f t="shared" si="111"/>
        <v>0.6374484703840313</v>
      </c>
      <c r="X178" s="158">
        <f t="shared" si="111"/>
        <v>0.98743455497382204</v>
      </c>
      <c r="Y178" s="158">
        <f t="shared" si="111"/>
        <v>0.64070859588633933</v>
      </c>
      <c r="Z178" s="158">
        <f t="shared" si="111"/>
        <v>0.53658741493741069</v>
      </c>
      <c r="AA178" s="158">
        <f t="shared" si="111"/>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2">-T110/T53</f>
        <v>#DIV/0!</v>
      </c>
      <c r="U179" s="158">
        <f t="shared" si="112"/>
        <v>1.5793103448275863</v>
      </c>
      <c r="V179" s="158">
        <f t="shared" si="112"/>
        <v>1.9504569504569504</v>
      </c>
      <c r="W179" s="158">
        <f t="shared" si="112"/>
        <v>1.4030563514804202</v>
      </c>
      <c r="X179" s="158">
        <f t="shared" si="112"/>
        <v>2.6328524895300141</v>
      </c>
      <c r="Y179" s="158">
        <f t="shared" si="112"/>
        <v>2.4362567811934901</v>
      </c>
      <c r="Z179" s="158">
        <f t="shared" si="112"/>
        <v>2.7939632545931761</v>
      </c>
      <c r="AA179" s="158">
        <f t="shared" si="112"/>
        <v>3.3104906937394247</v>
      </c>
      <c r="AC179" s="158">
        <f>-AC110/AC53</f>
        <v>2.8032404838530685</v>
      </c>
    </row>
    <row r="180" spans="1:31" x14ac:dyDescent="0.2">
      <c r="B180" s="20" t="s">
        <v>365</v>
      </c>
      <c r="M180" s="228">
        <f>M5/M37</f>
        <v>0.47078115176128738</v>
      </c>
      <c r="N180" s="228">
        <f t="shared" ref="N180:Q180" si="113">N5/N37</f>
        <v>0.4640405533847291</v>
      </c>
      <c r="O180" s="228">
        <f t="shared" si="113"/>
        <v>0.24185264730600431</v>
      </c>
      <c r="P180" s="228">
        <f t="shared" si="113"/>
        <v>0.36174657139564365</v>
      </c>
      <c r="Q180" s="228">
        <f t="shared" si="113"/>
        <v>0.45143602502475905</v>
      </c>
      <c r="T180" s="49"/>
      <c r="U180" s="49"/>
      <c r="V180" s="49"/>
      <c r="W180" s="49"/>
      <c r="X180" s="49"/>
      <c r="Y180" s="49"/>
      <c r="Z180" s="49"/>
      <c r="AA180" s="49"/>
      <c r="AC180" s="228">
        <f t="shared" ref="AC180" si="114">AC5/AC37</f>
        <v>0.67312395609639708</v>
      </c>
    </row>
    <row r="181" spans="1:31" x14ac:dyDescent="0.2">
      <c r="B181" s="20" t="s">
        <v>362</v>
      </c>
      <c r="M181" s="230">
        <f>IF(AND(M12&gt;0,M108&gt;0),M108/M12,"N/A")</f>
        <v>1.0784657010982015</v>
      </c>
      <c r="N181" s="230">
        <f t="shared" ref="N181:Q181" si="115">IF(AND(N12&gt;0,N108&gt;0),N108/N12,"N/A")</f>
        <v>0.71181199752628321</v>
      </c>
      <c r="O181" s="230" t="str">
        <f t="shared" si="115"/>
        <v>N/A</v>
      </c>
      <c r="P181" s="230">
        <f t="shared" si="115"/>
        <v>10.27377300613497</v>
      </c>
      <c r="Q181" s="230">
        <f t="shared" si="115"/>
        <v>1.4920163766632548</v>
      </c>
      <c r="T181" s="49"/>
      <c r="U181" s="49"/>
      <c r="V181" s="49"/>
      <c r="W181" s="49"/>
      <c r="X181" s="49"/>
      <c r="Y181" s="49"/>
      <c r="Z181" s="49"/>
      <c r="AA181" s="49"/>
      <c r="AC181" s="230">
        <f t="shared" ref="AC181" si="116">IF(AND(AC12&gt;0,AC108&gt;0),AC108/AC12,"N/A")</f>
        <v>9.6585250578127377E-2</v>
      </c>
    </row>
    <row r="182" spans="1:31" x14ac:dyDescent="0.2">
      <c r="B182" s="20" t="s">
        <v>363</v>
      </c>
      <c r="M182" s="230">
        <f>IF(AND(M12&gt;0,M108&gt;0),(M108-M107)/M12,"N/A")</f>
        <v>-0.57647620563425117</v>
      </c>
      <c r="N182" s="230">
        <f t="shared" ref="N182:Q182" si="117">IF(AND(N12&gt;0,N108&gt;0),(N108-N107)/N12,"N/A")</f>
        <v>-0.41970727685013398</v>
      </c>
      <c r="O182" s="230" t="str">
        <f t="shared" si="117"/>
        <v>N/A</v>
      </c>
      <c r="P182" s="230">
        <f t="shared" si="117"/>
        <v>3.2553680981595092</v>
      </c>
      <c r="Q182" s="230">
        <f t="shared" si="117"/>
        <v>0.27031729785056297</v>
      </c>
      <c r="T182" s="49"/>
      <c r="U182" s="49"/>
      <c r="V182" s="49"/>
      <c r="W182" s="49"/>
      <c r="X182" s="49"/>
      <c r="Y182" s="49"/>
      <c r="Z182" s="49"/>
      <c r="AA182" s="49"/>
      <c r="AC182" s="230">
        <f t="shared" ref="AC182" si="118">IF(AND(AC12&gt;0,AC108&gt;0),(AC108-AC107)/AC12,"N/A")</f>
        <v>-0.41196428270006585</v>
      </c>
    </row>
    <row r="183" spans="1:31" x14ac:dyDescent="0.2">
      <c r="B183" s="20" t="s">
        <v>364</v>
      </c>
      <c r="M183" s="230">
        <f>M5/(M108+M112-M107)</f>
        <v>0.68728138721440801</v>
      </c>
      <c r="N183" s="230">
        <f t="shared" ref="N183:Q183" si="119">N5/(N108+N112-N107)</f>
        <v>0.67105923420966507</v>
      </c>
      <c r="O183" s="230">
        <f t="shared" si="119"/>
        <v>0.33055390113162597</v>
      </c>
      <c r="P183" s="230">
        <f t="shared" si="119"/>
        <v>0.50856691510045371</v>
      </c>
      <c r="Q183" s="230">
        <f t="shared" si="119"/>
        <v>0.65799387388656128</v>
      </c>
      <c r="T183" s="49"/>
      <c r="U183" s="49"/>
      <c r="V183" s="49"/>
      <c r="W183" s="49"/>
      <c r="X183" s="49"/>
      <c r="Y183" s="49"/>
      <c r="Z183" s="49"/>
      <c r="AA183" s="49"/>
      <c r="AC183" s="230">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7">100*(1+((O117-$M117)/ABS($M117)))</f>
        <v>81.721075372059531</v>
      </c>
      <c r="P218" s="147">
        <f t="shared" si="137"/>
        <v>114.70235237638022</v>
      </c>
      <c r="Q218" s="147">
        <f t="shared" si="137"/>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8">100*(1+((O5-$M5)/ABS($M5)))</f>
        <v>56.090958310774234</v>
      </c>
      <c r="P219" s="147">
        <f t="shared" si="138"/>
        <v>90.637069121097284</v>
      </c>
      <c r="Q219" s="147">
        <f t="shared" si="138"/>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9">100*(1+((O26-$M26)/ABS($M26)))</f>
        <v>-103.89105058365762</v>
      </c>
      <c r="P220" s="147">
        <f t="shared" si="139"/>
        <v>13.618677042801563</v>
      </c>
      <c r="Q220" s="147">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3" t="s">
        <v>238</v>
      </c>
      <c r="C4" s="243"/>
      <c r="E4" s="243" t="s">
        <v>245</v>
      </c>
      <c r="F4" s="243"/>
      <c r="G4" s="243"/>
    </row>
    <row r="5" spans="2:7" x14ac:dyDescent="0.2">
      <c r="B5" s="20" t="s">
        <v>1</v>
      </c>
      <c r="C5" s="176">
        <f ca="1">Overview!C5</f>
        <v>975.26</v>
      </c>
      <c r="E5" s="12"/>
      <c r="F5" s="136" t="s">
        <v>246</v>
      </c>
      <c r="G5" s="136" t="s">
        <v>247</v>
      </c>
    </row>
    <row r="6" spans="2:7" x14ac:dyDescent="0.2">
      <c r="B6" s="20" t="s">
        <v>244</v>
      </c>
      <c r="C6" s="177">
        <f ca="1">Statement!AC153</f>
        <v>1117647.96</v>
      </c>
      <c r="E6" s="20" t="s">
        <v>19</v>
      </c>
      <c r="F6" s="182">
        <f>IF(Statement!M5&lt;=0,"N/A",_xlfn.RRI(4,Statement!M5,Statement!Q5))</f>
        <v>7.7741177345151069E-2</v>
      </c>
      <c r="G6" s="182" t="str">
        <f>IF(Statement!H5&lt;=0,"N/A",_xlfn.RRI(9,Statement!H5,Statement!Q5))</f>
        <v>N/A</v>
      </c>
    </row>
    <row r="7" spans="2:7" x14ac:dyDescent="0.2">
      <c r="B7" s="20" t="s">
        <v>188</v>
      </c>
      <c r="C7" s="177">
        <f ca="1">Statement!AC154</f>
        <v>1093241.96</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22.079692098709529</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12.304995236723752</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10.931541042849767</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12.110263863349358</v>
      </c>
    </row>
    <row r="12" spans="2:7" x14ac:dyDescent="0.2">
      <c r="B12" s="20" t="s">
        <v>204</v>
      </c>
      <c r="C12" s="178">
        <f ca="1">Statement!AC156</f>
        <v>18.453521259895684</v>
      </c>
    </row>
    <row r="15" spans="2:7" x14ac:dyDescent="0.2">
      <c r="B15" s="243" t="s">
        <v>76</v>
      </c>
      <c r="C15" s="243"/>
      <c r="E15" s="243" t="s">
        <v>251</v>
      </c>
      <c r="F15" s="243"/>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43" t="s">
        <v>250</v>
      </c>
      <c r="C21" s="243"/>
      <c r="E21" s="243" t="s">
        <v>254</v>
      </c>
      <c r="F21" s="243"/>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43" t="s">
        <v>255</v>
      </c>
      <c r="C29" s="243"/>
      <c r="E29" s="243" t="s">
        <v>261</v>
      </c>
      <c r="F29" s="243"/>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43" t="s">
        <v>273</v>
      </c>
      <c r="C37" s="243"/>
      <c r="E37" s="243" t="s">
        <v>276</v>
      </c>
      <c r="F37" s="243"/>
    </row>
    <row r="38" spans="2:6" x14ac:dyDescent="0.2">
      <c r="B38" s="20" t="s">
        <v>271</v>
      </c>
      <c r="C38" s="179">
        <f ca="1">Statement!AC162</f>
        <v>4.5290486639460246E-2</v>
      </c>
      <c r="E38" s="20" t="s">
        <v>275</v>
      </c>
      <c r="F38" s="179">
        <f>Statement!AC168</f>
        <v>2.2709067606536366E-2</v>
      </c>
    </row>
    <row r="39" spans="2:6" x14ac:dyDescent="0.2">
      <c r="B39" s="54" t="s">
        <v>274</v>
      </c>
      <c r="C39" s="219">
        <f ca="1">Statement!AC161</f>
        <v>2.233977146077375E-2</v>
      </c>
      <c r="E39" s="20" t="s">
        <v>277</v>
      </c>
      <c r="F39" s="179">
        <f>Statement!AC169</f>
        <v>4.493752002563281E-2</v>
      </c>
    </row>
    <row r="40" spans="2:6" x14ac:dyDescent="0.2">
      <c r="B40" s="20" t="s">
        <v>272</v>
      </c>
      <c r="C40" s="179">
        <f ca="1">Statement!AC163</f>
        <v>5.4344482496975171E-4</v>
      </c>
      <c r="E40" s="20" t="s">
        <v>278</v>
      </c>
      <c r="F40" s="179">
        <f>Statement!AC170</f>
        <v>6.7646587632169172E-2</v>
      </c>
    </row>
    <row r="41" spans="2:6" x14ac:dyDescent="0.2">
      <c r="B41" s="20" t="s">
        <v>297</v>
      </c>
      <c r="C41" s="179">
        <f ca="1">Statement!AC164</f>
        <v>1.0038939273865808E-3</v>
      </c>
    </row>
    <row r="42" spans="2:6" x14ac:dyDescent="0.2">
      <c r="B42" s="20" t="s">
        <v>299</v>
      </c>
      <c r="C42" s="179">
        <f ca="1">Statement!AC165</f>
        <v>1.5112093078038635E-3</v>
      </c>
    </row>
    <row r="45" spans="2:6" x14ac:dyDescent="0.2">
      <c r="B45" s="243" t="s">
        <v>284</v>
      </c>
      <c r="C45" s="243"/>
      <c r="E45" s="243" t="s">
        <v>290</v>
      </c>
      <c r="F45" s="243"/>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2.1836929760959793E-2</v>
      </c>
    </row>
    <row r="51" spans="2:6" x14ac:dyDescent="0.2">
      <c r="B51" s="243" t="s">
        <v>287</v>
      </c>
      <c r="C51" s="243"/>
      <c r="E51" s="243" t="s">
        <v>308</v>
      </c>
      <c r="F51" s="243"/>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975.26</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1117647.96</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1093241.96</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22.079692098709529</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12.304995236723752</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10.931541042849767</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12.110263863349358</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18.453521259895684</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4.5290486639460246E-2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2.233977146077375E-2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5.4344482496975171E-4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1.0038939273865808E-3</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1.5112093078038635E-3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2.1836929760959793E-2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318</v>
      </c>
      <c r="D3" s="247"/>
      <c r="F3" s="248" t="s">
        <v>319</v>
      </c>
      <c r="G3" s="247"/>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4">
        <f>Statement!AA89</f>
        <v>0.73746856663872595</v>
      </c>
      <c r="D7" s="245"/>
      <c r="F7" s="244">
        <f>IF(F6=0,
IF(G6=0,0,IF(G6&gt;0,1,-1)),
(G6-F6)/ABS(F6)
)</f>
        <v>3.4571551446081066</v>
      </c>
      <c r="G7" s="245"/>
    </row>
    <row r="8" spans="2:7" x14ac:dyDescent="0.2">
      <c r="B8" s="211" t="s">
        <v>20</v>
      </c>
      <c r="C8" s="204">
        <f>Statement!Z6</f>
        <v>6105</v>
      </c>
      <c r="D8" s="202">
        <f>Statement!AA6</f>
        <v>6400</v>
      </c>
      <c r="F8" s="204">
        <f>Statement!W6</f>
        <v>5793</v>
      </c>
      <c r="G8" s="202">
        <f>Statement!AA6</f>
        <v>6400</v>
      </c>
    </row>
    <row r="9" spans="2:7" x14ac:dyDescent="0.2">
      <c r="B9" s="210" t="s">
        <v>320</v>
      </c>
      <c r="C9" s="244">
        <f>Statement!AA90</f>
        <v>4.8321048321048318E-2</v>
      </c>
      <c r="D9" s="245"/>
      <c r="F9" s="244">
        <f>IF(F8=0,
IF(G8=0,0,IF(G8&gt;0,1,-1)),
(G8-F8)/ABS(F8)
)</f>
        <v>0.10478163300535129</v>
      </c>
      <c r="G9" s="245"/>
    </row>
    <row r="10" spans="2:7" x14ac:dyDescent="0.2">
      <c r="B10" s="211" t="s">
        <v>21</v>
      </c>
      <c r="C10" s="204">
        <f>Statement!Z7</f>
        <v>17755</v>
      </c>
      <c r="D10" s="202">
        <f>Statement!AA7</f>
        <v>35056</v>
      </c>
      <c r="F10" s="204">
        <f>Statement!W7</f>
        <v>3508</v>
      </c>
      <c r="G10" s="202">
        <f>Statement!AA7</f>
        <v>35056</v>
      </c>
    </row>
    <row r="11" spans="2:7" x14ac:dyDescent="0.2">
      <c r="B11" s="210" t="s">
        <v>320</v>
      </c>
      <c r="C11" s="244">
        <f>Statement!AA91</f>
        <v>0.97442973810194311</v>
      </c>
      <c r="D11" s="245"/>
      <c r="F11" s="244">
        <f>IF(F10=0,
IF(G10=0,0,IF(G10&gt;0,1,-1)),
(G10-F10)/ABS(F10)
)</f>
        <v>8.9931584948688705</v>
      </c>
      <c r="G11" s="245"/>
    </row>
    <row r="12" spans="2:7" x14ac:dyDescent="0.2">
      <c r="B12" s="211" t="s">
        <v>24</v>
      </c>
      <c r="C12" s="204">
        <f>Statement!Z11</f>
        <v>1620</v>
      </c>
      <c r="D12" s="202">
        <f>Statement!AA11</f>
        <v>1738</v>
      </c>
      <c r="F12" s="204">
        <f>Statement!W11</f>
        <v>1339</v>
      </c>
      <c r="G12" s="202">
        <f>Statement!AA11</f>
        <v>1738</v>
      </c>
    </row>
    <row r="13" spans="2:7" x14ac:dyDescent="0.2">
      <c r="B13" s="210" t="s">
        <v>320</v>
      </c>
      <c r="C13" s="244">
        <f>Statement!AA95</f>
        <v>7.2839506172839505E-2</v>
      </c>
      <c r="D13" s="245"/>
      <c r="F13" s="244">
        <f>IF(F12=0,
IF(G12=0,0,IF(G12&gt;0,1,-1)),
(G12-F12)/ABS(F12)
)</f>
        <v>0.29798356982823004</v>
      </c>
      <c r="G13" s="245"/>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4">
        <f>Statement!AA96</f>
        <v>1.0649519677719244</v>
      </c>
      <c r="D15" s="245"/>
      <c r="F15" s="244">
        <f>IF(F14=0,
IF(G14=0,0,IF(G14&gt;0,1,-1)),
(G14-F14)/ABS(F14)
)</f>
        <v>14.360995850622407</v>
      </c>
      <c r="G15" s="245"/>
    </row>
    <row r="16" spans="2:7" x14ac:dyDescent="0.2">
      <c r="B16" s="211" t="s">
        <v>30</v>
      </c>
      <c r="C16" s="204">
        <f>Statement!Z18</f>
        <v>13785</v>
      </c>
      <c r="D16" s="202">
        <f>Statement!AA18</f>
        <v>28243</v>
      </c>
      <c r="F16" s="204">
        <f>Statement!W18</f>
        <v>1885</v>
      </c>
      <c r="G16" s="202">
        <f>Statement!AA18</f>
        <v>28243</v>
      </c>
    </row>
    <row r="17" spans="2:7" x14ac:dyDescent="0.2">
      <c r="B17" s="210" t="s">
        <v>320</v>
      </c>
      <c r="C17" s="244">
        <f>Statement!AA98</f>
        <v>1.0488211824446863</v>
      </c>
      <c r="D17" s="245"/>
      <c r="F17" s="244">
        <f>IF(F16=0,
IF(G16=0,0,IF(G16&gt;0,1,-1)),
(G16-F16)/ABS(F16)
)</f>
        <v>13.983023872679045</v>
      </c>
      <c r="G17" s="245"/>
    </row>
    <row r="18" spans="2:7" x14ac:dyDescent="0.2">
      <c r="B18" s="211" t="s">
        <v>322</v>
      </c>
      <c r="C18" s="204">
        <f>Statement!Z22</f>
        <v>1142</v>
      </c>
      <c r="D18" s="202">
        <f>Statement!AA22</f>
        <v>1145</v>
      </c>
      <c r="F18" s="204">
        <f>Statement!W22</f>
        <v>1125</v>
      </c>
      <c r="G18" s="202">
        <f>Statement!AA22</f>
        <v>1145</v>
      </c>
    </row>
    <row r="19" spans="2:7" x14ac:dyDescent="0.2">
      <c r="B19" s="210" t="s">
        <v>320</v>
      </c>
      <c r="C19" s="244">
        <f>IF(C18=0,
IF(D18=0,0,IF(D18&gt;0,1,-1)),
(D18-C18)/ABS(C18)
)</f>
        <v>2.6269702276707531E-3</v>
      </c>
      <c r="D19" s="245"/>
      <c r="F19" s="244">
        <f>IF(F18=0,
IF(G18=0,0,IF(G18&gt;0,1,-1)),
(G18-F18)/ABS(F18)
)</f>
        <v>1.7777777777777778E-2</v>
      </c>
      <c r="G19" s="245"/>
    </row>
    <row r="20" spans="2:7" x14ac:dyDescent="0.2">
      <c r="B20" s="211" t="s">
        <v>37</v>
      </c>
      <c r="C20" s="205">
        <f>Statement!Z26</f>
        <v>12.07</v>
      </c>
      <c r="D20" s="206">
        <f>Statement!AA26</f>
        <v>24.67</v>
      </c>
      <c r="F20" s="205">
        <f>Statement!W26</f>
        <v>1.68</v>
      </c>
      <c r="G20" s="206">
        <f>Statement!AA26</f>
        <v>24.67</v>
      </c>
    </row>
    <row r="21" spans="2:7" x14ac:dyDescent="0.2">
      <c r="B21" s="210" t="s">
        <v>320</v>
      </c>
      <c r="C21" s="244">
        <f>IF(C20=0,
IF(D20=0,0,IF(D20&gt;0,1,-1)),
(D20-C20)/ABS(C20)
)</f>
        <v>1.0439105219552611</v>
      </c>
      <c r="D21" s="245"/>
      <c r="F21" s="244">
        <f>IF(F20=0,
IF(G20=0,0,IF(G20&gt;0,1,-1)),
(G20-F20)/ABS(F20)
)</f>
        <v>13.684523809523812</v>
      </c>
      <c r="G21" s="245"/>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4">
        <f>IF(C24=0,
IF(D24=0,0,IF(D24&gt;0,1,-1)),
(D24-C24)/ABS(C24)
)</f>
        <v>0.66922421142369992</v>
      </c>
      <c r="D25" s="245"/>
      <c r="F25" s="244">
        <f>IF(F24=0,
IF(G24=0,0,IF(G24&gt;0,1,-1)),
(G24-F24)/ABS(F24)
)</f>
        <v>3.4304907368123319</v>
      </c>
      <c r="G25" s="245"/>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4">
        <f>IF(C26=0,
IF(D26=0,0,IF(D26&gt;0,1,-1)),
(D26-C26)/ABS(C26)
)</f>
        <v>0.98979387632579552</v>
      </c>
      <c r="D27" s="245"/>
      <c r="F27" s="244">
        <f>IF(F26=0,
IF(G26=0,0,IF(G26&gt;0,1,-1)),
(G26-F26)/ABS(F26)
)</f>
        <v>3.613921113689095</v>
      </c>
      <c r="G27" s="245"/>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4">
        <f>IF(C28=0,
IF(D28=0,0,IF(D28&gt;0,1,-1)),
(D28-C28)/ABS(C28)
)</f>
        <v>0.94736842105263153</v>
      </c>
      <c r="D29" s="245"/>
      <c r="F29" s="244">
        <f>IF(F28=0,
IF(G28=0,0,IF(G28&gt;0,1,-1)),
(G28-F28)/ABS(F28)
)</f>
        <v>1.4666666666666666</v>
      </c>
      <c r="G29" s="245"/>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37" t="s">
        <v>320</v>
      </c>
      <c r="C32" s="244">
        <f>IF(C31=0,
IF(D31=0,0,IF(D31&gt;0,1,-1)),
(D31-C31)/ABS(C31)
)</f>
        <v>0.77687443541102075</v>
      </c>
      <c r="D32" s="245"/>
      <c r="F32" s="244">
        <f>IF(F31=0,
IF(G31=0,0,IF(G31&gt;0,1,-1)),
(G31-F31)/ABS(F31)
)</f>
        <v>3.066450088600118</v>
      </c>
      <c r="G32" s="245"/>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37" t="s">
        <v>320</v>
      </c>
      <c r="C34" s="244">
        <f>IF(C33=0,
IF(D33=0,0,IF(D33&gt;0,1,-1)),
(D33-C33)/ABS(C33)
)</f>
        <v>1.0263759451380341</v>
      </c>
      <c r="D34" s="245"/>
      <c r="F34" s="244">
        <f>IF(F33=0,
IF(G33=0,0,IF(G33&gt;0,1,-1)),
(G33-F33)/ABS(F33)
)</f>
        <v>6.5320261437908496</v>
      </c>
      <c r="G34" s="245"/>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37" t="s">
        <v>320</v>
      </c>
      <c r="C36" s="244">
        <f>IF(C35=0,
IF(D35=0,0,IF(D35&gt;0,1,-1)),
(D35-C35)/ABS(C35)
)</f>
        <v>0.49409933860718452</v>
      </c>
      <c r="D36" s="245"/>
      <c r="F36" s="244">
        <f>IF(F35=0,
IF(G35=0,0,IF(G35&gt;0,1,-1)),
(G35-F35)/ABS(F35)
)</f>
        <v>2.5394777265745008</v>
      </c>
      <c r="G36" s="245"/>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37" t="s">
        <v>320</v>
      </c>
      <c r="C38" s="244">
        <f>IF(C37=0,
IF(D37=0,0,IF(D37&gt;0,1,-1)),
(D37-C37)/ABS(C37)
)</f>
        <v>0.71122599704579026</v>
      </c>
      <c r="D38" s="245"/>
      <c r="F38" s="244">
        <f>IF(F37=0,
IF(G37=0,0,IF(G37&gt;0,1,-1)),
(G37-F37)/ABS(F37)
)</f>
        <v>3.1118012422360248</v>
      </c>
      <c r="G38" s="245"/>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3" t="s">
        <v>113</v>
      </c>
      <c r="D2" s="243"/>
      <c r="E2" s="243"/>
      <c r="F2" s="243"/>
      <c r="G2" s="252"/>
      <c r="H2" s="253" t="s">
        <v>114</v>
      </c>
      <c r="I2" s="243"/>
      <c r="J2" s="243"/>
      <c r="K2" s="243"/>
      <c r="L2" s="243"/>
      <c r="O2" s="5"/>
      <c r="S2" s="243" t="s">
        <v>113</v>
      </c>
      <c r="T2" s="243"/>
      <c r="U2" s="243"/>
      <c r="V2" s="243"/>
      <c r="W2" s="243"/>
      <c r="X2" s="243"/>
      <c r="Y2" s="243"/>
      <c r="Z2" s="243"/>
      <c r="AA2" s="243" t="s">
        <v>114</v>
      </c>
      <c r="AB2" s="243"/>
      <c r="AC2" s="243"/>
      <c r="AE2" s="85" t="s">
        <v>115</v>
      </c>
    </row>
    <row r="3" spans="1:31" ht="10" customHeight="1" x14ac:dyDescent="0.2">
      <c r="O3" s="5"/>
    </row>
    <row r="4" spans="1:31" ht="16" customHeight="1" x14ac:dyDescent="0.2">
      <c r="A4" s="86"/>
      <c r="B4" s="60"/>
      <c r="C4" s="249" t="s">
        <v>116</v>
      </c>
      <c r="D4" s="249"/>
      <c r="E4" s="249"/>
      <c r="F4" s="249"/>
      <c r="G4" s="249"/>
      <c r="H4" s="249"/>
      <c r="I4" s="249"/>
      <c r="J4" s="249"/>
      <c r="K4" s="249"/>
      <c r="L4" s="249"/>
      <c r="O4" s="5"/>
      <c r="S4" s="250" t="s">
        <v>116</v>
      </c>
      <c r="T4" s="251"/>
      <c r="U4" s="251"/>
      <c r="V4" s="251"/>
      <c r="W4" s="251"/>
      <c r="X4" s="251"/>
      <c r="Y4" s="251"/>
      <c r="Z4" s="251"/>
      <c r="AA4" s="251"/>
      <c r="AB4" s="251"/>
      <c r="AC4" s="251"/>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427</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428</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429</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9" t="s">
        <v>122</v>
      </c>
      <c r="D12" s="249"/>
      <c r="E12" s="249"/>
      <c r="F12" s="249"/>
      <c r="G12" s="249"/>
      <c r="H12" s="249"/>
      <c r="I12" s="249"/>
      <c r="J12" s="249"/>
      <c r="K12" s="249"/>
      <c r="L12" s="249"/>
      <c r="O12" s="5"/>
      <c r="Q12" s="91"/>
      <c r="S12" s="250" t="s">
        <v>122</v>
      </c>
      <c r="T12" s="251"/>
      <c r="U12" s="251"/>
      <c r="V12" s="251"/>
      <c r="W12" s="251"/>
      <c r="X12" s="251"/>
      <c r="Y12" s="251"/>
      <c r="Z12" s="251"/>
      <c r="AA12" s="251"/>
      <c r="AB12" s="251"/>
      <c r="AC12" s="251"/>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3" t="s">
        <v>113</v>
      </c>
      <c r="D2" s="243"/>
      <c r="E2" s="243"/>
      <c r="F2" s="243"/>
      <c r="G2" s="252"/>
      <c r="H2" s="253" t="s">
        <v>114</v>
      </c>
      <c r="I2" s="243"/>
      <c r="J2" s="243"/>
      <c r="K2" s="243"/>
      <c r="L2" s="243"/>
      <c r="P2" s="243" t="s">
        <v>113</v>
      </c>
      <c r="Q2" s="243"/>
      <c r="R2" s="243"/>
      <c r="S2" s="243"/>
      <c r="T2" s="243"/>
      <c r="U2" s="243"/>
      <c r="V2" s="243"/>
      <c r="W2" s="243"/>
      <c r="X2" s="243" t="s">
        <v>114</v>
      </c>
      <c r="Y2" s="243"/>
      <c r="Z2" s="243"/>
      <c r="AB2" s="85" t="s">
        <v>115</v>
      </c>
    </row>
    <row r="3" spans="1:30" ht="10" customHeight="1" x14ac:dyDescent="0.2"/>
    <row r="4" spans="1:30" ht="16" customHeight="1" x14ac:dyDescent="0.2">
      <c r="A4" s="86"/>
      <c r="B4" s="60"/>
      <c r="C4" s="249" t="s">
        <v>116</v>
      </c>
      <c r="D4" s="249"/>
      <c r="E4" s="249"/>
      <c r="F4" s="249"/>
      <c r="G4" s="249"/>
      <c r="H4" s="249"/>
      <c r="I4" s="249"/>
      <c r="J4" s="249"/>
      <c r="K4" s="249"/>
      <c r="L4" s="249"/>
      <c r="P4" s="251" t="s">
        <v>116</v>
      </c>
      <c r="Q4" s="251"/>
      <c r="R4" s="251"/>
      <c r="S4" s="251"/>
      <c r="T4" s="251"/>
      <c r="U4" s="251"/>
      <c r="V4" s="251"/>
      <c r="W4" s="251"/>
      <c r="X4" s="251"/>
      <c r="Y4" s="251"/>
      <c r="Z4" s="251"/>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9" t="s">
        <v>125</v>
      </c>
      <c r="D9" s="249"/>
      <c r="E9" s="249"/>
      <c r="F9" s="249"/>
      <c r="G9" s="249"/>
      <c r="H9" s="249"/>
      <c r="I9" s="249"/>
      <c r="J9" s="249"/>
      <c r="K9" s="249"/>
      <c r="L9" s="249"/>
      <c r="N9" s="91"/>
      <c r="P9" s="251" t="s">
        <v>126</v>
      </c>
      <c r="Q9" s="251"/>
      <c r="R9" s="251"/>
      <c r="S9" s="251"/>
      <c r="T9" s="251"/>
      <c r="U9" s="251"/>
      <c r="V9" s="251"/>
      <c r="W9" s="251"/>
      <c r="X9" s="251"/>
      <c r="Y9" s="251"/>
      <c r="Z9" s="251"/>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8"/>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9">
        <v>150</v>
      </c>
      <c r="I18" s="239">
        <v>150</v>
      </c>
      <c r="J18" s="239">
        <v>150</v>
      </c>
      <c r="K18" s="239">
        <v>150</v>
      </c>
      <c r="L18" s="239">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9">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9" t="s">
        <v>128</v>
      </c>
      <c r="D22" s="249"/>
      <c r="E22" s="249"/>
      <c r="F22" s="249"/>
      <c r="G22" s="249"/>
      <c r="H22" s="249"/>
      <c r="I22" s="249"/>
      <c r="J22" s="249"/>
      <c r="K22" s="249"/>
      <c r="L22" s="249"/>
      <c r="P22" s="251" t="s">
        <v>128</v>
      </c>
      <c r="Q22" s="251"/>
      <c r="R22" s="251"/>
      <c r="S22" s="251"/>
      <c r="T22" s="251"/>
      <c r="U22" s="251"/>
      <c r="V22" s="251"/>
      <c r="W22" s="251"/>
      <c r="X22" s="251"/>
      <c r="Y22" s="251"/>
      <c r="Z22" s="251"/>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3" t="s">
        <v>113</v>
      </c>
      <c r="D3" s="243"/>
      <c r="E3" s="243"/>
      <c r="F3" s="243"/>
      <c r="G3" s="252"/>
      <c r="H3" s="253" t="s">
        <v>114</v>
      </c>
      <c r="I3" s="243"/>
      <c r="J3" s="243"/>
      <c r="K3" s="243"/>
      <c r="L3" s="243"/>
      <c r="P3" s="254"/>
      <c r="Q3" s="254"/>
      <c r="R3" s="254"/>
      <c r="S3" s="254"/>
      <c r="T3" s="254"/>
      <c r="U3" s="254"/>
      <c r="V3" s="254"/>
      <c r="W3" s="254"/>
      <c r="X3" s="254"/>
      <c r="Y3" s="254"/>
      <c r="Z3" s="254"/>
      <c r="AB3" s="113"/>
    </row>
    <row r="4" spans="1:28" ht="10" customHeight="1" x14ac:dyDescent="0.2"/>
    <row r="5" spans="1:28" ht="16" customHeight="1" x14ac:dyDescent="0.2">
      <c r="A5" s="86"/>
      <c r="B5" s="60"/>
      <c r="C5" s="249" t="s">
        <v>116</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132</v>
      </c>
      <c r="D11" s="249"/>
      <c r="E11" s="249"/>
      <c r="F11" s="249"/>
      <c r="G11" s="249"/>
      <c r="H11" s="249"/>
      <c r="I11" s="249"/>
      <c r="J11" s="249"/>
      <c r="K11" s="249"/>
      <c r="L11" s="249"/>
      <c r="N11" s="91"/>
      <c r="P11" s="254"/>
      <c r="Q11" s="254"/>
      <c r="R11" s="254"/>
      <c r="S11" s="254"/>
      <c r="T11" s="254"/>
      <c r="U11" s="254"/>
      <c r="V11" s="254"/>
      <c r="W11" s="254"/>
      <c r="X11" s="254"/>
      <c r="Y11" s="254"/>
      <c r="Z11" s="25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9" t="s">
        <v>137</v>
      </c>
      <c r="D18" s="249"/>
      <c r="E18" s="249"/>
      <c r="F18" s="249"/>
      <c r="G18" s="249"/>
      <c r="H18" s="249"/>
      <c r="I18" s="249"/>
      <c r="J18" s="249"/>
      <c r="K18" s="249"/>
      <c r="L18" s="249"/>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4"/>
      <c r="C25" s="254"/>
    </row>
    <row r="26" spans="2:12" x14ac:dyDescent="0.2">
      <c r="B26" s="113"/>
      <c r="C26" s="249" t="s">
        <v>143</v>
      </c>
      <c r="D26" s="249"/>
      <c r="E26" s="249"/>
      <c r="F26" s="249"/>
      <c r="G26" s="249"/>
      <c r="H26" s="249"/>
      <c r="I26" s="249"/>
      <c r="J26" s="249"/>
      <c r="K26" s="249"/>
      <c r="L26" s="249"/>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9" t="s">
        <v>147</v>
      </c>
      <c r="D33" s="249"/>
      <c r="E33" s="249"/>
      <c r="F33" s="249"/>
      <c r="G33" s="249"/>
      <c r="H33" s="249"/>
      <c r="I33" s="249"/>
      <c r="J33" s="249"/>
      <c r="K33" s="249"/>
      <c r="L33" s="249"/>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9" t="s">
        <v>150</v>
      </c>
      <c r="D40" s="249"/>
      <c r="E40" s="249"/>
      <c r="F40" s="249"/>
      <c r="G40" s="249"/>
      <c r="H40" s="249"/>
      <c r="I40" s="249"/>
      <c r="J40" s="249"/>
      <c r="K40" s="249"/>
      <c r="L40" s="249"/>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1" zoomScale="183" workbookViewId="0">
      <selection activeCell="I10" sqref="I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3" t="s">
        <v>113</v>
      </c>
      <c r="D2" s="243"/>
      <c r="E2" s="243"/>
      <c r="F2" s="243"/>
      <c r="G2" s="252"/>
      <c r="H2" s="253" t="s">
        <v>114</v>
      </c>
      <c r="I2" s="243"/>
      <c r="J2" s="243"/>
      <c r="K2" s="243"/>
      <c r="L2" s="243"/>
      <c r="S2" s="254"/>
      <c r="T2" s="254"/>
      <c r="U2" s="254"/>
      <c r="V2" s="254"/>
      <c r="W2" s="254"/>
      <c r="X2" s="254"/>
      <c r="Y2" s="254"/>
      <c r="Z2" s="254"/>
      <c r="AA2" s="254"/>
      <c r="AB2" s="254"/>
      <c r="AC2" s="254"/>
      <c r="AE2" s="113"/>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9" t="s">
        <v>158</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9" t="s">
        <v>159</v>
      </c>
      <c r="D18" s="249"/>
      <c r="E18" s="249"/>
      <c r="F18" s="249"/>
      <c r="G18" s="249"/>
      <c r="H18" s="249"/>
      <c r="I18" s="249"/>
      <c r="J18" s="249"/>
      <c r="K18" s="249"/>
      <c r="L18" s="249"/>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9" t="s">
        <v>267</v>
      </c>
      <c r="D25" s="249"/>
      <c r="E25" s="249"/>
      <c r="F25" s="249"/>
      <c r="G25" s="249"/>
      <c r="H25" s="249"/>
      <c r="I25" s="249"/>
      <c r="J25" s="249"/>
      <c r="K25" s="249"/>
      <c r="L25" s="249"/>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6681.118687680927</v>
      </c>
      <c r="D27" s="130">
        <f t="shared" ref="D27:L27" si="6">D10*(1-D15)</f>
        <v>10602.154215860412</v>
      </c>
      <c r="E27" s="130">
        <f t="shared" si="6"/>
        <v>-5745</v>
      </c>
      <c r="F27" s="130">
        <f t="shared" si="6"/>
        <v>1778.2774193548387</v>
      </c>
      <c r="G27" s="135">
        <f t="shared" si="6"/>
        <v>10907.505697120363</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267</v>
      </c>
      <c r="C28" s="94">
        <f>C27+C20-C21+C22</f>
        <v>2495.1186876809261</v>
      </c>
      <c r="D28" s="94">
        <f t="shared" ref="D28:L28" si="7">D27+D20-D21+D22</f>
        <v>4406.1542158604134</v>
      </c>
      <c r="E28" s="94">
        <f t="shared" si="7"/>
        <v>-8557</v>
      </c>
      <c r="F28" s="94">
        <f t="shared" si="7"/>
        <v>288.27741935483937</v>
      </c>
      <c r="G28" s="131">
        <f t="shared" si="7"/>
        <v>3064.505697120363</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9" t="s">
        <v>76</v>
      </c>
      <c r="D31" s="249"/>
      <c r="E31" s="249"/>
      <c r="F31" s="249"/>
      <c r="G31" s="249"/>
      <c r="H31" s="249"/>
      <c r="I31" s="249"/>
      <c r="J31" s="249"/>
      <c r="K31" s="249"/>
      <c r="L31" s="249"/>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0.79093201339682395</v>
      </c>
      <c r="I34" s="220">
        <f t="shared" ref="I34:L34" si="10">I10/I6</f>
        <v>0.81418636415758372</v>
      </c>
      <c r="J34" s="220">
        <f t="shared" si="10"/>
        <v>0.81430090079445294</v>
      </c>
      <c r="K34" s="220">
        <f t="shared" si="10"/>
        <v>0.79918628312980189</v>
      </c>
      <c r="L34" s="220">
        <f t="shared" si="10"/>
        <v>0.78878237293346909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3" t="s">
        <v>166</v>
      </c>
      <c r="C4" s="243"/>
    </row>
    <row r="5" spans="1:3" ht="17" customHeight="1" x14ac:dyDescent="0.2">
      <c r="B5" s="1" t="s">
        <v>167</v>
      </c>
      <c r="C5" s="140">
        <f>Statement!AC78</f>
        <v>1146</v>
      </c>
    </row>
    <row r="6" spans="1:3" ht="17" customHeight="1" x14ac:dyDescent="0.2">
      <c r="B6" s="1" t="s">
        <v>1</v>
      </c>
      <c r="C6" s="137">
        <f ca="1">Overview!C5</f>
        <v>975.26</v>
      </c>
    </row>
    <row r="7" spans="1:3" ht="17" customHeight="1" x14ac:dyDescent="0.2">
      <c r="B7" s="1" t="s">
        <v>168</v>
      </c>
      <c r="C7" s="138">
        <f ca="1">C5*C6</f>
        <v>1117647.96</v>
      </c>
    </row>
    <row r="8" spans="1:3" ht="17" customHeight="1" x14ac:dyDescent="0.2">
      <c r="B8" s="1" t="s">
        <v>169</v>
      </c>
      <c r="C8" s="116">
        <f>Statement!AC108</f>
        <v>5722</v>
      </c>
    </row>
    <row r="9" spans="1:3" ht="17" customHeight="1" x14ac:dyDescent="0.2">
      <c r="B9" s="1" t="s">
        <v>170</v>
      </c>
      <c r="C9" s="139">
        <f ca="1">Overview!F27</f>
        <v>4.7840000000000001E-2</v>
      </c>
    </row>
    <row r="10" spans="1:3" ht="17" customHeight="1" x14ac:dyDescent="0.2">
      <c r="B10" s="1" t="s">
        <v>9</v>
      </c>
      <c r="C10" s="137">
        <f ca="1">Overview!C13</f>
        <v>2.2385000000000002</v>
      </c>
    </row>
    <row r="11" spans="1:3" ht="17" customHeight="1" x14ac:dyDescent="0.2">
      <c r="B11" s="1" t="s">
        <v>171</v>
      </c>
      <c r="C11" s="139">
        <f>[1]Sheet1!$C$12</f>
        <v>4.3999999999999997E-2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3" t="s">
        <v>173</v>
      </c>
      <c r="C15" s="243"/>
    </row>
    <row r="16" spans="1:3" ht="17" customHeight="1" x14ac:dyDescent="0.2">
      <c r="B16" s="1" t="s">
        <v>174</v>
      </c>
      <c r="C16" s="46">
        <f ca="1">C8/(C8+C7)</f>
        <v>5.0936024673474446E-3</v>
      </c>
    </row>
    <row r="17" spans="2:3" ht="17" customHeight="1" x14ac:dyDescent="0.2">
      <c r="B17" s="1" t="s">
        <v>175</v>
      </c>
      <c r="C17" s="46">
        <f ca="1">C7/(C8+C7)</f>
        <v>0.99490639753265253</v>
      </c>
    </row>
    <row r="18" spans="2:3" ht="17" customHeight="1" x14ac:dyDescent="0.2">
      <c r="B18" s="1" t="s">
        <v>176</v>
      </c>
      <c r="C18" s="46">
        <f>C13*(1-C12)</f>
        <v>4.0289999999999999E-2</v>
      </c>
    </row>
    <row r="19" spans="2:3" ht="17" customHeight="1" x14ac:dyDescent="0.2">
      <c r="B19" s="1" t="s">
        <v>177</v>
      </c>
      <c r="C19" s="46">
        <f ca="1">C9+C10*C11</f>
        <v>0.14633399999999999</v>
      </c>
    </row>
    <row r="20" spans="2:3" ht="17" customHeight="1" x14ac:dyDescent="0.2">
      <c r="B20" s="1" t="s">
        <v>165</v>
      </c>
      <c r="C20" s="46">
        <f ca="1">(C17*C19)+(C16*C18)</f>
        <v>0.1457938540199526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3" t="s">
        <v>113</v>
      </c>
      <c r="D3" s="243"/>
      <c r="E3" s="243"/>
      <c r="F3" s="243"/>
      <c r="G3" s="252"/>
      <c r="H3" s="253" t="s">
        <v>114</v>
      </c>
      <c r="I3" s="243"/>
      <c r="J3" s="243"/>
      <c r="K3" s="243"/>
      <c r="L3" s="243"/>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663969.66870370845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37855.340973877588</v>
      </c>
      <c r="I10" s="130">
        <f t="shared" ref="I10:L10" ca="1" si="0">I7/(1+$C$15)^I9</f>
        <v>53841.745959987173</v>
      </c>
      <c r="J10" s="130">
        <f t="shared" ca="1" si="0"/>
        <v>67250.54708209369</v>
      </c>
      <c r="K10" s="130">
        <f t="shared" ca="1" si="0"/>
        <v>63079.060492673736</v>
      </c>
      <c r="L10" s="130">
        <f t="shared" ca="1" si="0"/>
        <v>45203.757782457957</v>
      </c>
      <c r="N10" s="91"/>
    </row>
    <row r="11" spans="1:28" x14ac:dyDescent="0.2">
      <c r="B11" s="1" t="s">
        <v>183</v>
      </c>
      <c r="C11" s="141"/>
      <c r="D11" s="141"/>
      <c r="E11" s="141"/>
      <c r="F11" s="141"/>
      <c r="G11" s="142"/>
      <c r="H11" s="141"/>
      <c r="I11" s="141"/>
      <c r="J11" s="141"/>
      <c r="K11" s="141"/>
      <c r="L11" s="130">
        <f ca="1">L8/(1+C15)^L9</f>
        <v>336214.00386481558</v>
      </c>
    </row>
    <row r="13" spans="1:28" x14ac:dyDescent="0.2">
      <c r="B13" s="243" t="s">
        <v>184</v>
      </c>
      <c r="C13" s="243"/>
    </row>
    <row r="14" spans="1:28" x14ac:dyDescent="0.2">
      <c r="B14" s="1" t="s">
        <v>185</v>
      </c>
      <c r="C14" s="144">
        <v>0.01</v>
      </c>
    </row>
    <row r="15" spans="1:28" x14ac:dyDescent="0.2">
      <c r="B15" s="1" t="s">
        <v>165</v>
      </c>
      <c r="C15" s="139">
        <f ca="1">IF(Overview!C28&gt;0,Overview!C28,WACC!C20)</f>
        <v>0.1457938540199526</v>
      </c>
    </row>
    <row r="18" spans="2:3" x14ac:dyDescent="0.2">
      <c r="B18" s="243" t="s">
        <v>186</v>
      </c>
      <c r="C18" s="243"/>
    </row>
    <row r="19" spans="2:3" x14ac:dyDescent="0.2">
      <c r="B19" s="1" t="s">
        <v>187</v>
      </c>
      <c r="C19" s="64">
        <f ca="1">SUM(H10:L10)</f>
        <v>267230.45229109016</v>
      </c>
    </row>
    <row r="20" spans="2:3" x14ac:dyDescent="0.2">
      <c r="B20" s="1" t="s">
        <v>183</v>
      </c>
      <c r="C20" s="64">
        <f ca="1">L11</f>
        <v>336214.00386481558</v>
      </c>
    </row>
    <row r="21" spans="2:3" x14ac:dyDescent="0.2">
      <c r="B21" s="16" t="s">
        <v>188</v>
      </c>
      <c r="C21" s="94">
        <f ca="1">C19+C20</f>
        <v>603444.45615590573</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627850.45615590573</v>
      </c>
    </row>
    <row r="25" spans="2:3" x14ac:dyDescent="0.2">
      <c r="B25" s="1" t="s">
        <v>68</v>
      </c>
      <c r="C25" s="88">
        <f>Statement!AC78</f>
        <v>1146</v>
      </c>
    </row>
    <row r="26" spans="2:3" x14ac:dyDescent="0.2">
      <c r="B26" s="145" t="s">
        <v>192</v>
      </c>
      <c r="C26" s="146">
        <f ca="1">C24/C25</f>
        <v>547.86252718665423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3" t="s">
        <v>113</v>
      </c>
      <c r="D2" s="243"/>
      <c r="E2" s="243"/>
      <c r="F2" s="243"/>
      <c r="G2" s="252"/>
      <c r="H2" s="253" t="s">
        <v>114</v>
      </c>
      <c r="I2" s="243"/>
      <c r="J2" s="243"/>
      <c r="K2" s="243"/>
      <c r="L2" s="243"/>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267</v>
      </c>
      <c r="C8" s="92">
        <f>'FCF &amp; Other'!C28</f>
        <v>2495.1186876809261</v>
      </c>
      <c r="D8" s="92">
        <f>'FCF &amp; Other'!D28</f>
        <v>4406.1542158604134</v>
      </c>
      <c r="E8" s="92">
        <f>'FCF &amp; Other'!E28</f>
        <v>-8557</v>
      </c>
      <c r="F8" s="92">
        <f>'FCF &amp; Other'!F28</f>
        <v>288.27741935483937</v>
      </c>
      <c r="G8" s="93">
        <f>'FCF &amp; Other'!G28</f>
        <v>3064.505697120363</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N9" s="91"/>
    </row>
    <row r="10" spans="1:14" x14ac:dyDescent="0.2">
      <c r="C10" s="249" t="s">
        <v>122</v>
      </c>
      <c r="D10" s="249"/>
      <c r="E10" s="249"/>
      <c r="F10" s="249"/>
      <c r="G10" s="249"/>
      <c r="H10" s="249"/>
      <c r="I10" s="249"/>
      <c r="J10" s="249"/>
      <c r="K10" s="249"/>
      <c r="L10" s="249"/>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10.370250808597749</v>
      </c>
      <c r="I13" s="95">
        <f t="shared" si="2"/>
        <v>0.35120238586588881</v>
      </c>
      <c r="J13" s="95">
        <f t="shared" si="2"/>
        <v>0.16399832119857613</v>
      </c>
      <c r="K13" s="95">
        <f t="shared" si="2"/>
        <v>-0.1568038893567256</v>
      </c>
      <c r="L13" s="95">
        <f t="shared" si="2"/>
        <v>-0.34041890081192172</v>
      </c>
      <c r="N13" s="91"/>
    </row>
    <row r="14" spans="1:14" x14ac:dyDescent="0.2">
      <c r="B14" s="1" t="s">
        <v>267</v>
      </c>
      <c r="C14" s="141"/>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13.153805316941147</v>
      </c>
      <c r="I14" s="95">
        <f t="shared" si="3"/>
        <v>0.62966545865292067</v>
      </c>
      <c r="J14" s="95">
        <f t="shared" si="3"/>
        <v>0.43114347709687012</v>
      </c>
      <c r="K14" s="95">
        <f t="shared" si="3"/>
        <v>7.4721366082428131E-2</v>
      </c>
      <c r="L14" s="95">
        <f t="shared" si="3"/>
        <v>-0.1789004553775414</v>
      </c>
      <c r="N14" s="91"/>
    </row>
    <row r="15" spans="1:14" x14ac:dyDescent="0.2">
      <c r="N15" s="91"/>
    </row>
    <row r="16" spans="1:14" x14ac:dyDescent="0.2">
      <c r="C16" s="249" t="s">
        <v>196</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9" t="s">
        <v>199</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9" t="s">
        <v>200</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36.650008054323891</v>
      </c>
      <c r="D34" s="153">
        <f t="shared" ref="D34:G34" si="13">D32/D8</f>
        <v>13.669476157506351</v>
      </c>
      <c r="E34" s="153">
        <f t="shared" si="13"/>
        <v>-9.0352191188500655</v>
      </c>
      <c r="F34" s="153">
        <f t="shared" si="13"/>
        <v>385.36580578743502</v>
      </c>
      <c r="G34" s="154">
        <f t="shared" si="13"/>
        <v>45.648797498223601</v>
      </c>
      <c r="H34" s="141"/>
      <c r="I34" s="141"/>
      <c r="J34" s="141"/>
      <c r="K34" s="141"/>
      <c r="L34" s="141"/>
      <c r="N34" s="91"/>
    </row>
    <row r="35" spans="2:14" x14ac:dyDescent="0.2">
      <c r="N35" s="91"/>
    </row>
    <row r="36" spans="2:14" x14ac:dyDescent="0.2">
      <c r="N36" s="91"/>
    </row>
    <row r="37" spans="2:14" x14ac:dyDescent="0.2">
      <c r="B37" s="243" t="s">
        <v>205</v>
      </c>
      <c r="C37" s="243"/>
      <c r="N37" s="91"/>
    </row>
    <row r="38" spans="2:14" x14ac:dyDescent="0.2">
      <c r="B38" s="1" t="s">
        <v>206</v>
      </c>
      <c r="C38" s="64">
        <f>L7</f>
        <v>97170.438463650018</v>
      </c>
    </row>
    <row r="39" spans="2:14" x14ac:dyDescent="0.2">
      <c r="B39" s="1" t="s">
        <v>165</v>
      </c>
      <c r="C39" s="139">
        <f ca="1">IF(Overview!C28&gt;0,Overview!C28,WACC!C20)</f>
        <v>0.1457938540199526</v>
      </c>
    </row>
    <row r="40" spans="2:14" x14ac:dyDescent="0.2">
      <c r="B40" s="39" t="s">
        <v>207</v>
      </c>
      <c r="C40" s="105">
        <v>12</v>
      </c>
    </row>
    <row r="41" spans="2:14" x14ac:dyDescent="0.2">
      <c r="B41" s="1" t="s">
        <v>203</v>
      </c>
      <c r="C41" s="24">
        <f>(C38*C40)</f>
        <v>1166045.2615638003</v>
      </c>
    </row>
    <row r="42" spans="2:14" x14ac:dyDescent="0.2">
      <c r="B42" s="1" t="s">
        <v>355</v>
      </c>
      <c r="C42" s="24">
        <f ca="1">C41/(1+C39)^5-G30+G31</f>
        <v>587808.7819054845</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612214.7819054845</v>
      </c>
    </row>
    <row r="46" spans="2:14" x14ac:dyDescent="0.2">
      <c r="B46" s="1" t="s">
        <v>68</v>
      </c>
      <c r="C46" s="88">
        <f>Statement!AC78</f>
        <v>1146</v>
      </c>
    </row>
    <row r="47" spans="2:14" x14ac:dyDescent="0.2">
      <c r="B47" s="145" t="s">
        <v>209</v>
      </c>
      <c r="C47" s="146">
        <f ca="1">C45/C46</f>
        <v>534.21883237825875</v>
      </c>
    </row>
    <row r="49" spans="2:3" x14ac:dyDescent="0.2">
      <c r="B49" s="243" t="s">
        <v>210</v>
      </c>
      <c r="C49" s="243"/>
    </row>
    <row r="50" spans="2:3" x14ac:dyDescent="0.2">
      <c r="B50" s="1" t="s">
        <v>211</v>
      </c>
      <c r="C50" s="64">
        <f>L6</f>
        <v>123190.42843500002</v>
      </c>
    </row>
    <row r="51" spans="2:3" x14ac:dyDescent="0.2">
      <c r="B51" s="1" t="s">
        <v>354</v>
      </c>
      <c r="C51" s="139">
        <f ca="1">IF(Overview!C29&gt;0,Overview!C29,WACC!C19)</f>
        <v>0.14633399999999999</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174.15557400143445</v>
      </c>
    </row>
    <row r="57" spans="2:3" x14ac:dyDescent="0.2">
      <c r="B57" s="243" t="s">
        <v>327</v>
      </c>
      <c r="C57" s="243"/>
    </row>
    <row r="58" spans="2:3" x14ac:dyDescent="0.2">
      <c r="B58" s="1" t="s">
        <v>213</v>
      </c>
      <c r="C58" s="64">
        <f>L8</f>
        <v>89270.297292700649</v>
      </c>
    </row>
    <row r="59" spans="2:3" x14ac:dyDescent="0.2">
      <c r="B59" s="1" t="s">
        <v>165</v>
      </c>
      <c r="C59" s="139">
        <f ca="1">IF(Overview!C28&gt;0,Overview!C28,WACC!C20)</f>
        <v>0.1457938540199526</v>
      </c>
    </row>
    <row r="60" spans="2:3" x14ac:dyDescent="0.2">
      <c r="B60" s="39" t="s">
        <v>356</v>
      </c>
      <c r="C60" s="105">
        <v>20</v>
      </c>
    </row>
    <row r="61" spans="2:3" x14ac:dyDescent="0.2">
      <c r="B61" s="1" t="s">
        <v>203</v>
      </c>
      <c r="C61" s="24">
        <f>(C58*C60)</f>
        <v>1785405.9458540129</v>
      </c>
    </row>
    <row r="62" spans="2:3" x14ac:dyDescent="0.2">
      <c r="B62" s="1" t="s">
        <v>355</v>
      </c>
      <c r="C62" s="24">
        <f ca="1">C61/(1+C59)^5-G30+G31</f>
        <v>901434.1556491591</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925840.1556491591</v>
      </c>
    </row>
    <row r="66" spans="2:3" x14ac:dyDescent="0.2">
      <c r="B66" s="1" t="s">
        <v>68</v>
      </c>
      <c r="C66" s="88">
        <f>Statement!AC78</f>
        <v>1146</v>
      </c>
    </row>
    <row r="67" spans="2:3" x14ac:dyDescent="0.2">
      <c r="B67" s="145" t="s">
        <v>209</v>
      </c>
      <c r="C67" s="146">
        <f ca="1">C65/C66</f>
        <v>807.88844297483342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3" t="s">
        <v>215</v>
      </c>
      <c r="C4" s="243"/>
      <c r="N4" s="91"/>
    </row>
    <row r="5" spans="1:14" x14ac:dyDescent="0.2">
      <c r="B5" s="1" t="s">
        <v>216</v>
      </c>
      <c r="C5" s="137">
        <f ca="1">DCF!C26</f>
        <v>547.86252718665423</v>
      </c>
    </row>
    <row r="6" spans="1:14" x14ac:dyDescent="0.2">
      <c r="B6" s="1" t="s">
        <v>217</v>
      </c>
      <c r="C6" s="137">
        <f ca="1">Multiples!C47</f>
        <v>534.21883237825875</v>
      </c>
    </row>
    <row r="7" spans="1:14" x14ac:dyDescent="0.2">
      <c r="B7" s="1" t="s">
        <v>218</v>
      </c>
      <c r="C7" s="137">
        <f ca="1">Multiples!C55</f>
        <v>174.15557400143445</v>
      </c>
    </row>
    <row r="8" spans="1:14" x14ac:dyDescent="0.2">
      <c r="B8" s="1" t="s">
        <v>328</v>
      </c>
      <c r="C8" s="137">
        <f ca="1">Multiples!C67</f>
        <v>807.88844297483342</v>
      </c>
    </row>
    <row r="9" spans="1:14" x14ac:dyDescent="0.2">
      <c r="B9" s="145" t="s">
        <v>219</v>
      </c>
      <c r="C9" s="146">
        <f ca="1">AVERAGE(C5:C8)</f>
        <v>516.03134413529517</v>
      </c>
    </row>
    <row r="10" spans="1:14" x14ac:dyDescent="0.2">
      <c r="B10" s="1" t="s">
        <v>220</v>
      </c>
      <c r="C10" s="137">
        <f ca="1">Overview!C5</f>
        <v>975.26</v>
      </c>
    </row>
    <row r="11" spans="1:14" x14ac:dyDescent="0.2">
      <c r="B11" s="1" t="s">
        <v>221</v>
      </c>
      <c r="C11" s="158">
        <f ca="1">(C9-C10)/C10</f>
        <v>-0.47087818208960158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43" t="s">
        <v>113</v>
      </c>
      <c r="D2" s="243"/>
      <c r="E2" s="243"/>
      <c r="F2" s="243"/>
      <c r="G2" s="252"/>
      <c r="H2" s="253" t="s">
        <v>114</v>
      </c>
      <c r="I2" s="243"/>
      <c r="J2" s="243"/>
      <c r="K2" s="243"/>
      <c r="L2" s="243"/>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9" t="s">
        <v>122</v>
      </c>
      <c r="D9" s="249"/>
      <c r="E9" s="249"/>
      <c r="F9" s="249"/>
      <c r="G9" s="249"/>
      <c r="H9" s="249"/>
      <c r="I9" s="249"/>
      <c r="J9" s="249"/>
      <c r="K9" s="249"/>
      <c r="L9" s="249"/>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9" t="s">
        <v>369</v>
      </c>
      <c r="D14" s="249"/>
      <c r="E14" s="249"/>
      <c r="F14" s="249"/>
      <c r="G14" s="249"/>
      <c r="H14" s="249"/>
      <c r="I14" s="249"/>
      <c r="J14" s="249"/>
      <c r="K14" s="249"/>
      <c r="L14" s="249"/>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3" t="s">
        <v>371</v>
      </c>
      <c r="C20" s="243"/>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0.14633399999999999</v>
      </c>
    </row>
    <row r="25" spans="2:14" x14ac:dyDescent="0.2">
      <c r="B25" s="39" t="s">
        <v>375</v>
      </c>
      <c r="C25" s="234">
        <v>0.03</v>
      </c>
    </row>
    <row r="26" spans="2:14" x14ac:dyDescent="0.2">
      <c r="B26" s="145" t="s">
        <v>209</v>
      </c>
      <c r="C26" s="146">
        <f ca="1">C23/(C24-C25)</f>
        <v>4.1518386714116255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3" t="s">
        <v>113</v>
      </c>
      <c r="D3" s="243"/>
      <c r="E3" s="243"/>
      <c r="F3" s="243"/>
      <c r="G3" s="252"/>
      <c r="H3" s="253" t="s">
        <v>114</v>
      </c>
      <c r="I3" s="243"/>
      <c r="J3" s="243"/>
      <c r="K3" s="243"/>
      <c r="L3" s="243"/>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30">
        <f>G7*(1+$C$17)</f>
        <v>7017.7180464056319</v>
      </c>
      <c r="I7" s="130">
        <f t="shared" ref="I7:L7" si="0">H7*(1+$C$17)</f>
        <v>16070.574326268897</v>
      </c>
      <c r="J7" s="130">
        <f t="shared" si="0"/>
        <v>36801.615207155774</v>
      </c>
      <c r="K7" s="130">
        <f t="shared" si="0"/>
        <v>84275.698824386724</v>
      </c>
      <c r="L7" s="130">
        <f t="shared" si="0"/>
        <v>192991.3503078456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1435420.3672743812</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6124.7649581854248</v>
      </c>
      <c r="I10" s="130">
        <f t="shared" ref="I10:L10" ca="1" si="1">I7/(1+$C$21)^I9</f>
        <v>12241.042928478111</v>
      </c>
      <c r="J10" s="130">
        <f t="shared" ca="1" si="1"/>
        <v>24465.123641452814</v>
      </c>
      <c r="K10" s="130">
        <f t="shared" ca="1" si="1"/>
        <v>48896.346356166898</v>
      </c>
      <c r="L10" s="130">
        <f t="shared" ca="1" si="1"/>
        <v>97724.937834823068</v>
      </c>
      <c r="N10" s="91"/>
    </row>
    <row r="11" spans="1:28" x14ac:dyDescent="0.2">
      <c r="B11" s="1" t="s">
        <v>183</v>
      </c>
      <c r="C11" s="141"/>
      <c r="D11" s="141"/>
      <c r="E11" s="141"/>
      <c r="F11" s="141"/>
      <c r="G11" s="142"/>
      <c r="H11" s="141"/>
      <c r="I11" s="141"/>
      <c r="J11" s="141"/>
      <c r="K11" s="141"/>
      <c r="L11" s="130">
        <f ca="1">L8/(1+C21)^L9</f>
        <v>726853.12546375406</v>
      </c>
    </row>
    <row r="13" spans="1:28" ht="17" thickBot="1" x14ac:dyDescent="0.25"/>
    <row r="14" spans="1:28" x14ac:dyDescent="0.2">
      <c r="B14" s="255" t="s">
        <v>223</v>
      </c>
      <c r="C14" s="256"/>
    </row>
    <row r="15" spans="1:28" x14ac:dyDescent="0.2">
      <c r="B15" s="159" t="s">
        <v>224</v>
      </c>
      <c r="C15" s="160">
        <f ca="1">Overview!C5</f>
        <v>975.26</v>
      </c>
    </row>
    <row r="16" spans="1:28" x14ac:dyDescent="0.2">
      <c r="B16" s="159" t="s">
        <v>225</v>
      </c>
      <c r="C16" s="160">
        <f ca="1">C36</f>
        <v>833.2252800556779</v>
      </c>
    </row>
    <row r="17" spans="2:9" ht="17" thickBot="1" x14ac:dyDescent="0.25">
      <c r="B17" s="161" t="s">
        <v>329</v>
      </c>
      <c r="C17" s="162">
        <v>1.29</v>
      </c>
      <c r="E17" s="257" t="s">
        <v>226</v>
      </c>
      <c r="F17" s="257"/>
      <c r="G17" s="257"/>
      <c r="H17" s="257"/>
      <c r="I17" s="257"/>
    </row>
    <row r="18" spans="2:9" ht="17" thickBot="1" x14ac:dyDescent="0.25"/>
    <row r="19" spans="2:9" x14ac:dyDescent="0.2">
      <c r="B19" s="255" t="s">
        <v>184</v>
      </c>
      <c r="C19" s="256"/>
    </row>
    <row r="20" spans="2:9" x14ac:dyDescent="0.2">
      <c r="B20" s="163" t="s">
        <v>185</v>
      </c>
      <c r="C20" s="164">
        <v>0.01</v>
      </c>
    </row>
    <row r="21" spans="2:9" x14ac:dyDescent="0.2">
      <c r="B21" s="163" t="s">
        <v>165</v>
      </c>
      <c r="C21" s="226">
        <f ca="1">IF(Overview!C28&gt;0,Overview!C28,WACC!C20)</f>
        <v>0.1457938540199526</v>
      </c>
    </row>
    <row r="22" spans="2:9" x14ac:dyDescent="0.2">
      <c r="B22" s="163" t="s">
        <v>68</v>
      </c>
      <c r="C22" s="227">
        <f>Statement!AC75</f>
        <v>1129</v>
      </c>
    </row>
    <row r="23" spans="2:9" x14ac:dyDescent="0.2">
      <c r="B23" s="163" t="s">
        <v>227</v>
      </c>
      <c r="C23" s="165">
        <f ca="1">C15*C22</f>
        <v>1101068.54</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1076662.54</v>
      </c>
    </row>
    <row r="27" spans="2:9" ht="17" thickBot="1" x14ac:dyDescent="0.25"/>
    <row r="28" spans="2:9" x14ac:dyDescent="0.2">
      <c r="B28" s="255" t="s">
        <v>186</v>
      </c>
      <c r="C28" s="256"/>
    </row>
    <row r="29" spans="2:9" x14ac:dyDescent="0.2">
      <c r="B29" s="163" t="s">
        <v>187</v>
      </c>
      <c r="C29" s="165">
        <f ca="1">SUM(H10:L10)</f>
        <v>189452.21571910632</v>
      </c>
    </row>
    <row r="30" spans="2:9" x14ac:dyDescent="0.2">
      <c r="B30" s="163" t="s">
        <v>183</v>
      </c>
      <c r="C30" s="165">
        <f ca="1">L11</f>
        <v>726853.12546375406</v>
      </c>
    </row>
    <row r="31" spans="2:9" x14ac:dyDescent="0.2">
      <c r="B31" s="167" t="s">
        <v>188</v>
      </c>
      <c r="C31" s="168">
        <f ca="1">C29+C30</f>
        <v>916305.34118286031</v>
      </c>
    </row>
    <row r="32" spans="2:9" x14ac:dyDescent="0.2">
      <c r="B32" s="163" t="s">
        <v>189</v>
      </c>
      <c r="C32" s="169">
        <f>C24</f>
        <v>30128</v>
      </c>
    </row>
    <row r="33" spans="2:12" x14ac:dyDescent="0.2">
      <c r="B33" s="163" t="s">
        <v>190</v>
      </c>
      <c r="C33" s="169">
        <f>C25</f>
        <v>5722</v>
      </c>
    </row>
    <row r="34" spans="2:12" x14ac:dyDescent="0.2">
      <c r="B34" s="167" t="s">
        <v>191</v>
      </c>
      <c r="C34" s="168">
        <f ca="1">C31+C32-C33</f>
        <v>940711.34118286031</v>
      </c>
    </row>
    <row r="35" spans="2:12" x14ac:dyDescent="0.2">
      <c r="B35" s="163" t="s">
        <v>68</v>
      </c>
      <c r="C35" s="165">
        <f>C22</f>
        <v>1129</v>
      </c>
    </row>
    <row r="36" spans="2:12" ht="17" thickBot="1" x14ac:dyDescent="0.25">
      <c r="B36" s="170" t="s">
        <v>192</v>
      </c>
      <c r="C36" s="171">
        <f ca="1">C34/C35</f>
        <v>833.2252800556779</v>
      </c>
    </row>
    <row r="39" spans="2:12" x14ac:dyDescent="0.2">
      <c r="C39" s="249" t="s">
        <v>229</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2495.1186876809261</v>
      </c>
      <c r="D41" s="116">
        <f t="shared" si="2"/>
        <v>4406.1542158604134</v>
      </c>
      <c r="E41" s="116">
        <f t="shared" si="2"/>
        <v>-8557</v>
      </c>
      <c r="F41" s="116">
        <f t="shared" si="2"/>
        <v>288.27741935483937</v>
      </c>
      <c r="G41" s="117">
        <f t="shared" si="2"/>
        <v>3064.505697120363</v>
      </c>
      <c r="H41" s="147">
        <f t="shared" si="2"/>
        <v>7017.7180464056319</v>
      </c>
      <c r="I41" s="147">
        <f t="shared" si="2"/>
        <v>16070.574326268897</v>
      </c>
      <c r="J41" s="147">
        <f t="shared" si="2"/>
        <v>36801.615207155774</v>
      </c>
      <c r="K41" s="147">
        <f t="shared" si="2"/>
        <v>84275.698824386724</v>
      </c>
      <c r="L41" s="147">
        <f t="shared" si="2"/>
        <v>192991.3503078456</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28070.872185622527</v>
      </c>
      <c r="I42" s="147">
        <f t="shared" ref="I42:L42" si="3">I41/I43</f>
        <v>64282.29730507559</v>
      </c>
      <c r="J42" s="147">
        <f t="shared" si="3"/>
        <v>147206.46082862309</v>
      </c>
      <c r="K42" s="147">
        <f t="shared" si="3"/>
        <v>337102.79529754689</v>
      </c>
      <c r="L42" s="147">
        <f t="shared" si="3"/>
        <v>771965.40123138239</v>
      </c>
    </row>
    <row r="43" spans="2:12" x14ac:dyDescent="0.2">
      <c r="B43" s="126" t="s">
        <v>330</v>
      </c>
      <c r="C43" s="95">
        <f>C41/C42</f>
        <v>0.39712218489271461</v>
      </c>
      <c r="D43" s="95">
        <f t="shared" ref="D43:G43" si="4">D41/D42</f>
        <v>0.45414906368381913</v>
      </c>
      <c r="E43" s="95">
        <f t="shared" si="4"/>
        <v>1.4894691035683203</v>
      </c>
      <c r="F43" s="95">
        <f t="shared" si="4"/>
        <v>0.2210716406095394</v>
      </c>
      <c r="G43" s="96">
        <f t="shared" si="4"/>
        <v>0.313664861527161</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701771.8046405632</v>
      </c>
      <c r="I44" s="147">
        <f t="shared" ref="I44:L44" si="5">I41/I45</f>
        <v>803528.71631344489</v>
      </c>
      <c r="J44" s="147">
        <f t="shared" si="5"/>
        <v>876228.9335037088</v>
      </c>
      <c r="K44" s="147">
        <f t="shared" si="5"/>
        <v>1203938.5546340959</v>
      </c>
      <c r="L44" s="147">
        <f t="shared" si="5"/>
        <v>1286609.0020523041</v>
      </c>
    </row>
    <row r="45" spans="2:12" x14ac:dyDescent="0.2">
      <c r="B45" s="126" t="s">
        <v>331</v>
      </c>
      <c r="C45" s="95">
        <f>C41/C44</f>
        <v>9.0060230560582058E-2</v>
      </c>
      <c r="D45" s="95">
        <f t="shared" ref="D45:G45" si="6">D41/D44</f>
        <v>0.14325229910463663</v>
      </c>
      <c r="E45" s="95">
        <f t="shared" si="6"/>
        <v>-0.55064350064350065</v>
      </c>
      <c r="F45" s="95">
        <f t="shared" si="6"/>
        <v>1.1480125019108733E-2</v>
      </c>
      <c r="G45" s="96">
        <f t="shared" si="6"/>
        <v>8.1986882581207204E-2</v>
      </c>
      <c r="H45" s="172">
        <v>0.01</v>
      </c>
      <c r="I45" s="172">
        <v>0.02</v>
      </c>
      <c r="J45" s="172">
        <v>4.2000000000000003E-2</v>
      </c>
      <c r="K45" s="172">
        <v>7.0000000000000007E-2</v>
      </c>
      <c r="L45" s="172">
        <v>0.15</v>
      </c>
    </row>
    <row r="46" spans="2:12" x14ac:dyDescent="0.2">
      <c r="B46" s="126" t="s">
        <v>332</v>
      </c>
      <c r="C46" s="141"/>
      <c r="D46" s="95">
        <f>D41/C41-1</f>
        <v>0.76590966899281598</v>
      </c>
      <c r="E46" s="95">
        <f t="shared" ref="E46:L47" si="7">E41/D41-1</f>
        <v>-2.9420564012939407</v>
      </c>
      <c r="F46" s="95">
        <f t="shared" si="7"/>
        <v>-1.0336890755352155</v>
      </c>
      <c r="G46" s="96">
        <f t="shared" si="7"/>
        <v>9.6304049202975452</v>
      </c>
      <c r="H46" s="173">
        <f t="shared" si="7"/>
        <v>1.29</v>
      </c>
      <c r="I46" s="173">
        <f t="shared" si="7"/>
        <v>1.29</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1.873170131588795</v>
      </c>
      <c r="I47" s="173">
        <f t="shared" si="7"/>
        <v>1.29</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17.774996111096453</v>
      </c>
      <c r="I48" s="173">
        <f t="shared" si="8"/>
        <v>0.14500000000000002</v>
      </c>
      <c r="J48" s="173">
        <f t="shared" si="8"/>
        <v>9.0476190476190377E-2</v>
      </c>
      <c r="K48" s="173">
        <f t="shared" si="8"/>
        <v>0.37399999999999989</v>
      </c>
      <c r="L48" s="173">
        <f t="shared" si="8"/>
        <v>6.8666666666666876E-2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2026-09-13T21:47:19Z</dcterms:modified>
</cp:coreProperties>
</file>