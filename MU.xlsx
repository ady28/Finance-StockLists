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315567D-30FC-584D-82D0-0160322AD03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<sst xmlns="http://schemas.openxmlformats.org/spreadsheetml/2006/main" count="799" uniqueCount="439">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</sst>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186.25</v>
    <v>2.3264999999999998</v>
    <v>-6.84</v>
    <v>-6.6030000000000004E-3</v>
    <v>-0.55000000000000004</v>
    <v>-5.3449999999999993E-4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1054.17</v>
    <v>Semiconductors &amp; Semiconductor Equipment</v>
    <v>Stock</v>
    <v>46304.999930890626</v>
    <v>0</v>
    <v>1017</v>
    <v>1162145397000</v>
    <v>MICRON TECHNOLOGY, INC.</v>
    <v>MICRON TECHNOLOGY, INC.</v>
    <v>1054.17</v>
    <v>13.958</v>
    <v>1035.8399999999999</v>
    <v>1029</v>
    <v>1028.45</v>
    <v>1129393000</v>
    <v>MU</v>
    <v>MICRON TECHNOLOGY, INC. (XNAS:MU)</v>
    <v>19918874</v>
    <v>26095676</v>
    <v>1984</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85"/>
  <sheetViews>
    <sheetView tabSelected="1" topLeftCell="A8"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287</v>
      </c>
      <c r="F2" s="240"/>
      <c r="H2" s="239" t="s">
        <v>325</v>
      </c>
      <c r="I2" s="240"/>
    </row>
    <row r="3" spans="2:9" x14ac:dyDescent="0.2">
      <c r="B3" s="185" t="s">
        <v>11</v>
      </c>
      <c r="C3" s="217" t="e" vm="1">
        <v>#VALUE!</v>
      </c>
      <c r="D3" s="2"/>
      <c r="E3" s="185" t="s">
        <v>239</v>
      </c>
      <c r="F3" s="187">
        <f ca="1">Statement!AC153</f>
        <v>1179234</v>
      </c>
      <c r="H3" s="185" t="str">
        <f>'AVG target price'!B5</f>
        <v>DCF price</v>
      </c>
      <c r="I3" s="211">
        <f ca="1">'AVG target price'!C5</f>
        <v>922.22734663899018</v>
      </c>
    </row>
    <row r="4" spans="2:9" x14ac:dyDescent="0.2">
      <c r="B4" s="185" t="s">
        <v>0</v>
      </c>
      <c r="C4" s="189" t="str" cm="1">
        <f t="array" aca="1" ref="C4" ca="1">_FV(C3,"Ticker symbol",TRUE)</f>
        <v>MU</v>
      </c>
      <c r="E4" s="186" t="s">
        <v>188</v>
      </c>
      <c r="F4" s="188">
        <f ca="1">Statement!AC154</f>
        <v>1110960</v>
      </c>
      <c r="H4" s="185" t="str">
        <f>'AVG target price'!B6</f>
        <v>EV/EBIT price</v>
      </c>
      <c r="I4" s="211">
        <f ca="1">'AVG target price'!C6</f>
        <v>1276.424251985522</v>
      </c>
    </row>
    <row r="5" spans="2:9" x14ac:dyDescent="0.2">
      <c r="B5" s="185" t="s">
        <v>1</v>
      </c>
      <c r="C5" s="208" cm="1">
        <f t="array" aca="1" ref="C5" ca="1">_FV(C3,"Price",TRUE)</f>
        <v>1029</v>
      </c>
      <c r="E5" s="185" t="s">
        <v>243</v>
      </c>
      <c r="F5" s="190">
        <f>Statement!AC26</f>
        <v>74.210000000000008</v>
      </c>
      <c r="H5" s="185" t="str">
        <f>'AVG target price'!B7</f>
        <v>PS price</v>
      </c>
      <c r="I5" s="211">
        <f ca="1">'AVG target price'!C7</f>
        <v>565.04494238496375</v>
      </c>
    </row>
    <row r="6" spans="2:9" x14ac:dyDescent="0.2">
      <c r="B6" s="185" t="s">
        <v>2</v>
      </c>
      <c r="C6" s="208" cm="1">
        <f t="array" aca="1" ref="C6" ca="1">_FV(C3,"Price (Extended hours)",TRUE)</f>
        <v>1028.45</v>
      </c>
      <c r="E6" s="185" t="s">
        <v>237</v>
      </c>
      <c r="F6" s="190">
        <f ca="1">Statement!AC150</f>
        <v>13.866055787629698</v>
      </c>
      <c r="H6" s="185" t="str">
        <f>'AVG target price'!B8</f>
        <v>EV/FCFF price</v>
      </c>
      <c r="I6" s="211">
        <f ca="1">'AVG target price'!C8</f>
        <v>1722.9156209789164</v>
      </c>
    </row>
    <row r="7" spans="2:9" x14ac:dyDescent="0.2">
      <c r="B7" s="185" t="s">
        <v>3</v>
      </c>
      <c r="C7" s="6" cm="1">
        <f t="array" aca="1" ref="C7" ca="1">_FV(C3,"Change")</f>
        <v>-6.84</v>
      </c>
      <c r="E7" s="186" t="s">
        <v>201</v>
      </c>
      <c r="F7" s="191">
        <f ca="1">Statement!AC151</f>
        <v>8.8307279935129301</v>
      </c>
      <c r="H7" s="185" t="str">
        <f>'AVG target price'!B9</f>
        <v>EV/Sales price</v>
      </c>
      <c r="I7" s="211">
        <f ca="1">'AVG target price'!C9</f>
        <v>909.26219957987337</v>
      </c>
    </row>
    <row r="8" spans="2:9" x14ac:dyDescent="0.2">
      <c r="B8" s="185" t="s">
        <v>4</v>
      </c>
      <c r="C8" s="6" cm="1">
        <f t="array" aca="1" ref="C8" ca="1">_FV(C3,"Change (extended hours)",TRUE)</f>
        <v>-0.55000000000000004</v>
      </c>
      <c r="E8" s="185" t="s">
        <v>265</v>
      </c>
      <c r="F8" s="192">
        <f ca="1">Statement!AC161</f>
        <v>4.8870707594930271E-2</v>
      </c>
      <c r="H8" s="184" t="str">
        <f>'AVG target price'!B10</f>
        <v>AVG price</v>
      </c>
      <c r="I8" s="212">
        <f ca="1">'AVG target price'!C10</f>
        <v>1079.1748723136532</v>
      </c>
    </row>
    <row r="9" spans="2:9" x14ac:dyDescent="0.2">
      <c r="B9" s="185" t="s">
        <v>5</v>
      </c>
      <c r="C9" s="73" cm="1">
        <f t="array" aca="1" ref="C9" ca="1">_FV(C3,"Change (%)",TRUE)</f>
        <v>-6.6030000000000004E-3</v>
      </c>
      <c r="E9" s="185" t="s">
        <v>288</v>
      </c>
      <c r="F9" s="192">
        <f ca="1">Statement!AC162</f>
        <v>7.2118561710398446E-2</v>
      </c>
      <c r="H9" s="184" t="str">
        <f>'AVG target price'!B12</f>
        <v>Upside/Downside</v>
      </c>
      <c r="I9" s="213">
        <f ca="1">'AVG target price'!C12</f>
        <v>4.8760808856805803E-2</v>
      </c>
    </row>
    <row r="10" spans="2:9" x14ac:dyDescent="0.2">
      <c r="B10" s="185" t="s">
        <v>6</v>
      </c>
      <c r="C10" s="73" cm="1">
        <f t="array" aca="1" ref="C10" ca="1">_FV(C3,"Change % (extended hours)",TRUE)</f>
        <v>-5.3449999999999993E-4</v>
      </c>
      <c r="E10" s="185" t="s">
        <v>293</v>
      </c>
      <c r="F10" s="192">
        <f ca="1">Statement!AC164</f>
        <v>5.5120527393206099E-4</v>
      </c>
    </row>
    <row r="11" spans="2:9" x14ac:dyDescent="0.2">
      <c r="B11" s="185" t="s">
        <v>7</v>
      </c>
      <c r="C11" s="209" cm="1">
        <f t="array" aca="1" ref="C11" ca="1">_FV(C3,"52 week high",TRUE)</f>
        <v>1255</v>
      </c>
      <c r="E11" s="186" t="s">
        <v>289</v>
      </c>
      <c r="F11" s="193">
        <f ca="1">Statement!AC163</f>
        <v>5.4907677356656954E-4</v>
      </c>
      <c r="H11" s="184" t="s">
        <v>367</v>
      </c>
      <c r="I11" s="212">
        <f ca="1">DDM!C26</f>
        <v>5.156037991858887</v>
      </c>
    </row>
    <row r="12" spans="2:9" x14ac:dyDescent="0.2">
      <c r="B12" s="185" t="s">
        <v>8</v>
      </c>
      <c r="C12" s="209" cm="1">
        <f t="array" aca="1" ref="C12" ca="1">_FV(C3,"52 week low",TRUE)</f>
        <v>186.25</v>
      </c>
      <c r="E12" s="185" t="s">
        <v>102</v>
      </c>
      <c r="F12" s="192">
        <f>Statement!AC123</f>
        <v>0.43376317079147264</v>
      </c>
    </row>
    <row r="13" spans="2:9" x14ac:dyDescent="0.2">
      <c r="B13" s="185" t="s">
        <v>9</v>
      </c>
      <c r="C13" s="209" cm="1">
        <f t="array" aca="1" ref="C13" ca="1">_FV(C3,"Beta")</f>
        <v>2.3264999999999998</v>
      </c>
      <c r="E13" s="185" t="s">
        <v>104</v>
      </c>
      <c r="F13" s="192">
        <f>Statement!AC125</f>
        <v>0.61403546806573295</v>
      </c>
      <c r="H13" s="184" t="s">
        <v>431</v>
      </c>
      <c r="I13" s="213">
        <f>'Reverse DCF'!C17</f>
        <v>0.28999999999999998</v>
      </c>
    </row>
    <row r="14" spans="2:9" x14ac:dyDescent="0.2">
      <c r="B14" s="186" t="s">
        <v>10</v>
      </c>
      <c r="C14" s="210" cm="1">
        <f t="array" aca="1" ref="C14" ca="1">_FV(C3,"Volume average",TRUE)</f>
        <v>26095676</v>
      </c>
      <c r="E14" s="186" t="s">
        <v>105</v>
      </c>
      <c r="F14" s="193">
        <f>Statement!AC140</f>
        <v>1.2071781950589597</v>
      </c>
    </row>
    <row r="15" spans="2:9" x14ac:dyDescent="0.2">
      <c r="E15" s="185" t="s">
        <v>290</v>
      </c>
      <c r="F15" s="192">
        <f ca="1">Statement!AC176</f>
        <v>5.7896905957596202E-2</v>
      </c>
    </row>
    <row r="16" spans="2:9" x14ac:dyDescent="0.2">
      <c r="E16" s="186" t="s">
        <v>295</v>
      </c>
      <c r="F16" s="191">
        <f>Statement!AC175</f>
        <v>60.472984942426926</v>
      </c>
    </row>
    <row r="17" spans="2:9" x14ac:dyDescent="0.2">
      <c r="B17" s="241" t="s">
        <v>90</v>
      </c>
      <c r="C17" s="241"/>
      <c r="E17" s="184" t="s">
        <v>296</v>
      </c>
      <c r="F17" s="194">
        <f>Statement!AC171</f>
        <v>2.617801047120419E-3</v>
      </c>
    </row>
    <row r="18" spans="2:9" x14ac:dyDescent="0.2">
      <c r="B18" s="184" t="s">
        <v>12</v>
      </c>
      <c r="C18" s="69" t="s">
        <v>368</v>
      </c>
      <c r="E18" s="185" t="s">
        <v>297</v>
      </c>
      <c r="F18" s="190">
        <f>Statement!AC144</f>
        <v>-74.647977446327559</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1" t="s">
        <v>107</v>
      </c>
      <c r="C25" s="241"/>
      <c r="E25" s="239" t="s">
        <v>340</v>
      </c>
      <c r="F25" s="240"/>
    </row>
    <row r="26" spans="2:9" x14ac:dyDescent="0.2">
      <c r="B26" s="184" t="s">
        <v>108</v>
      </c>
      <c r="C26" s="170">
        <v>0.21</v>
      </c>
      <c r="E26" s="185" t="e" vm="2">
        <v>#VALUE!</v>
      </c>
      <c r="F26" s="219" cm="1">
        <f t="array" aca="1" ref="F26" ca="1">_FV(E26,"Price")</f>
        <v>52.44</v>
      </c>
    </row>
    <row r="27" spans="2:9" x14ac:dyDescent="0.2">
      <c r="B27" s="184" t="s">
        <v>172</v>
      </c>
      <c r="C27" s="221">
        <v>5.7000000000000002E-2</v>
      </c>
      <c r="E27" s="186" t="s">
        <v>341</v>
      </c>
      <c r="F27" s="220">
        <f ca="1">F26/1000</f>
        <v>5.2440000000000001E-2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K9"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1029</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1029</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13.866055787629698</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8.8307279935129301</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8.3954169015305897</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1179234</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1110960</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8.3412920082890345</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11.183410509361789</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20.462155127537741</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19.261744043110316</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4.8870707594930271E-2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7.2118561710398446E-2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5.4907677356656954E-4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5.5120527393206099E-4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1.0684902233144566E-3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5.7896905957596202E-2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5"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2" t="s">
        <v>233</v>
      </c>
      <c r="C4" s="242"/>
      <c r="E4" s="242" t="s">
        <v>240</v>
      </c>
      <c r="F4" s="242"/>
      <c r="G4" s="242"/>
    </row>
    <row r="5" spans="2:7" x14ac:dyDescent="0.2">
      <c r="B5" s="20" t="s">
        <v>1</v>
      </c>
      <c r="C5" s="172">
        <f ca="1">Overview!C5</f>
        <v>1029</v>
      </c>
      <c r="E5" s="12"/>
      <c r="F5" s="136" t="s">
        <v>241</v>
      </c>
      <c r="G5" s="136" t="s">
        <v>242</v>
      </c>
    </row>
    <row r="6" spans="2:7" x14ac:dyDescent="0.2">
      <c r="B6" s="20" t="s">
        <v>239</v>
      </c>
      <c r="C6" s="173">
        <f ca="1">Statement!AC153</f>
        <v>1179234</v>
      </c>
      <c r="E6" s="20" t="s">
        <v>19</v>
      </c>
      <c r="F6" s="178">
        <f>IF(Statement!M5&lt;=0,"N/A",_xlfn.RRI(4,Statement!M5,Statement!Q5))</f>
        <v>0.44253630217364326</v>
      </c>
      <c r="G6" s="178" t="str">
        <f>IF(Statement!H5&lt;=0,"N/A",_xlfn.RRI(9,Statement!H5,Statement!Q5))</f>
        <v>N/A</v>
      </c>
    </row>
    <row r="7" spans="2:7" x14ac:dyDescent="0.2">
      <c r="B7" s="20" t="s">
        <v>188</v>
      </c>
      <c r="C7" s="173">
        <f ca="1">Statement!AC154</f>
        <v>1110960</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13.866055787629698</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8.8307279935129301</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8.3954169015305897</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8.3412920082890345</v>
      </c>
    </row>
    <row r="12" spans="2:7" x14ac:dyDescent="0.2">
      <c r="B12" s="20" t="s">
        <v>204</v>
      </c>
      <c r="C12" s="174">
        <f ca="1">Statement!AC156</f>
        <v>11.183410509361789</v>
      </c>
    </row>
    <row r="15" spans="2:7" x14ac:dyDescent="0.2">
      <c r="B15" s="242" t="s">
        <v>76</v>
      </c>
      <c r="C15" s="242"/>
      <c r="E15" s="242" t="s">
        <v>246</v>
      </c>
      <c r="F15" s="242"/>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2" t="s">
        <v>245</v>
      </c>
      <c r="C21" s="242"/>
      <c r="E21" s="242" t="s">
        <v>249</v>
      </c>
      <c r="F21" s="242"/>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2" t="s">
        <v>250</v>
      </c>
      <c r="C29" s="242"/>
      <c r="E29" s="242" t="s">
        <v>256</v>
      </c>
      <c r="F29" s="242"/>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2" t="s">
        <v>268</v>
      </c>
      <c r="C37" s="242"/>
      <c r="E37" s="242" t="s">
        <v>271</v>
      </c>
      <c r="F37" s="242"/>
    </row>
    <row r="38" spans="2:6" x14ac:dyDescent="0.2">
      <c r="B38" s="20" t="s">
        <v>266</v>
      </c>
      <c r="C38" s="175">
        <f ca="1">Statement!AC162</f>
        <v>7.2118561710398446E-2</v>
      </c>
      <c r="E38" s="20" t="s">
        <v>270</v>
      </c>
      <c r="F38" s="175">
        <f>Statement!AC168</f>
        <v>1.0584764879403089E-2</v>
      </c>
    </row>
    <row r="39" spans="2:6" x14ac:dyDescent="0.2">
      <c r="B39" s="54" t="s">
        <v>269</v>
      </c>
      <c r="C39" s="215">
        <f ca="1">Statement!AC161</f>
        <v>4.8870707594930271E-2</v>
      </c>
      <c r="E39" s="20" t="s">
        <v>272</v>
      </c>
      <c r="F39" s="175">
        <f>Statement!AC169</f>
        <v>1.1278847822314766E-2</v>
      </c>
    </row>
    <row r="40" spans="2:6" x14ac:dyDescent="0.2">
      <c r="B40" s="20" t="s">
        <v>267</v>
      </c>
      <c r="C40" s="175">
        <f ca="1">Statement!AC163</f>
        <v>5.4907677356656954E-4</v>
      </c>
      <c r="E40" s="20" t="s">
        <v>273</v>
      </c>
      <c r="F40" s="175">
        <f>Statement!AC170</f>
        <v>2.1863612701717855E-2</v>
      </c>
    </row>
    <row r="41" spans="2:6" x14ac:dyDescent="0.2">
      <c r="B41" s="20" t="s">
        <v>292</v>
      </c>
      <c r="C41" s="175">
        <f ca="1">Statement!AC164</f>
        <v>5.5120527393206099E-4</v>
      </c>
    </row>
    <row r="42" spans="2:6" x14ac:dyDescent="0.2">
      <c r="B42" s="20" t="s">
        <v>294</v>
      </c>
      <c r="C42" s="175">
        <f ca="1">Statement!AC165</f>
        <v>1.0684902233144566E-3</v>
      </c>
    </row>
    <row r="45" spans="2:6" x14ac:dyDescent="0.2">
      <c r="B45" s="242" t="s">
        <v>279</v>
      </c>
      <c r="C45" s="242"/>
      <c r="E45" s="242" t="s">
        <v>285</v>
      </c>
      <c r="F45" s="242"/>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5.7896905957596202E-2</v>
      </c>
    </row>
    <row r="51" spans="2:6" x14ac:dyDescent="0.2">
      <c r="B51" s="242" t="s">
        <v>282</v>
      </c>
      <c r="C51" s="242"/>
      <c r="E51" s="242" t="s">
        <v>303</v>
      </c>
      <c r="F51" s="242"/>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3"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1029</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1179234</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1110960</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13.866055787629698</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8.8307279935129301</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8.3954169015305897</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8.3412920082890345</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11.183410509361789</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7.2118561710398446E-2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4.8870707594930271E-2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5.4907677356656954E-4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5.5120527393206099E-4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1.0684902233144566E-3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5.7896905957596202E-2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313</v>
      </c>
      <c r="D3" s="244"/>
      <c r="F3" s="245" t="s">
        <v>314</v>
      </c>
      <c r="G3" s="244"/>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46">
        <f>Statement!AA89</f>
        <v>0.30810980316480124</v>
      </c>
      <c r="D7" s="247"/>
      <c r="F7" s="246">
        <f>IF(F6=0,
IF(G6=0,0,IF(G6&gt;0,1,-1)),
(G6-F6)/ABS(F6)
)</f>
        <v>3.7926646045072911</v>
      </c>
      <c r="G7" s="247"/>
    </row>
    <row r="8" spans="2:7" x14ac:dyDescent="0.2">
      <c r="B8" s="207" t="s">
        <v>20</v>
      </c>
      <c r="C8" s="200">
        <f>Statement!Z6</f>
        <v>6400</v>
      </c>
      <c r="D8" s="198">
        <f>Statement!AA6</f>
        <v>7182</v>
      </c>
      <c r="F8" s="200">
        <f>Statement!W6</f>
        <v>6261</v>
      </c>
      <c r="G8" s="198">
        <f>Statement!AA6</f>
        <v>7182</v>
      </c>
    </row>
    <row r="9" spans="2:7" x14ac:dyDescent="0.2">
      <c r="B9" s="206" t="s">
        <v>315</v>
      </c>
      <c r="C9" s="246">
        <f>Statement!AA90</f>
        <v>0.1221875</v>
      </c>
      <c r="D9" s="247"/>
      <c r="F9" s="246">
        <f>IF(F8=0,
IF(G8=0,0,IF(G8&gt;0,1,-1)),
(G8-F8)/ABS(F8)
)</f>
        <v>0.14710110206037375</v>
      </c>
      <c r="G9" s="247"/>
    </row>
    <row r="10" spans="2:7" x14ac:dyDescent="0.2">
      <c r="B10" s="207" t="s">
        <v>21</v>
      </c>
      <c r="C10" s="200">
        <f>Statement!Z7</f>
        <v>35056</v>
      </c>
      <c r="D10" s="198">
        <f>Statement!AA7</f>
        <v>47047</v>
      </c>
      <c r="F10" s="200">
        <f>Statement!W7</f>
        <v>5054</v>
      </c>
      <c r="G10" s="198">
        <f>Statement!AA7</f>
        <v>47047</v>
      </c>
    </row>
    <row r="11" spans="2:7" x14ac:dyDescent="0.2">
      <c r="B11" s="206" t="s">
        <v>315</v>
      </c>
      <c r="C11" s="246">
        <f>Statement!AA91</f>
        <v>0.3420527156549521</v>
      </c>
      <c r="D11" s="247"/>
      <c r="F11" s="246">
        <f>IF(F10=0,
IF(G10=0,0,IF(G10&gt;0,1,-1)),
(G10-F10)/ABS(F10)
)</f>
        <v>8.3088642659279781</v>
      </c>
      <c r="G11" s="247"/>
    </row>
    <row r="12" spans="2:7" x14ac:dyDescent="0.2">
      <c r="B12" s="207" t="s">
        <v>24</v>
      </c>
      <c r="C12" s="200">
        <f>Statement!Z11</f>
        <v>1738</v>
      </c>
      <c r="D12" s="198">
        <f>Statement!AA11</f>
        <v>3296</v>
      </c>
      <c r="F12" s="200">
        <f>Statement!W11</f>
        <v>1400</v>
      </c>
      <c r="G12" s="198">
        <f>Statement!AA11</f>
        <v>3296</v>
      </c>
    </row>
    <row r="13" spans="2:7" x14ac:dyDescent="0.2">
      <c r="B13" s="206" t="s">
        <v>315</v>
      </c>
      <c r="C13" s="246">
        <f>Statement!AA95</f>
        <v>0.89643268124280784</v>
      </c>
      <c r="D13" s="247"/>
      <c r="F13" s="246">
        <f>IF(F12=0,
IF(G12=0,0,IF(G12&gt;0,1,-1)),
(G12-F12)/ABS(F12)
)</f>
        <v>1.3542857142857143</v>
      </c>
      <c r="G13" s="247"/>
    </row>
    <row r="14" spans="2:7" x14ac:dyDescent="0.2">
      <c r="B14" s="207" t="s">
        <v>316</v>
      </c>
      <c r="C14" s="200">
        <f>Statement!Z12</f>
        <v>33318</v>
      </c>
      <c r="D14" s="198">
        <f>Statement!AA12</f>
        <v>43751</v>
      </c>
      <c r="F14" s="200">
        <f>Statement!W12</f>
        <v>3654</v>
      </c>
      <c r="G14" s="198">
        <f>Statement!AA12</f>
        <v>43751</v>
      </c>
    </row>
    <row r="15" spans="2:7" x14ac:dyDescent="0.2">
      <c r="B15" s="206" t="s">
        <v>315</v>
      </c>
      <c r="C15" s="246">
        <f>Statement!AA96</f>
        <v>0.3131340416591632</v>
      </c>
      <c r="D15" s="247"/>
      <c r="F15" s="246">
        <f>IF(F14=0,
IF(G14=0,0,IF(G14&gt;0,1,-1)),
(G14-F14)/ABS(F14)
)</f>
        <v>10.973453749315818</v>
      </c>
      <c r="G15" s="247"/>
    </row>
    <row r="16" spans="2:7" x14ac:dyDescent="0.2">
      <c r="B16" s="207" t="s">
        <v>30</v>
      </c>
      <c r="C16" s="200">
        <f>Statement!Z18</f>
        <v>28243</v>
      </c>
      <c r="D16" s="198">
        <f>Statement!AA18</f>
        <v>37701</v>
      </c>
      <c r="F16" s="200">
        <f>Statement!W18</f>
        <v>3201</v>
      </c>
      <c r="G16" s="198">
        <f>Statement!AA18</f>
        <v>37701</v>
      </c>
    </row>
    <row r="17" spans="2:7" x14ac:dyDescent="0.2">
      <c r="B17" s="206" t="s">
        <v>315</v>
      </c>
      <c r="C17" s="246">
        <f>Statement!AA98</f>
        <v>0.33487943915306445</v>
      </c>
      <c r="D17" s="247"/>
      <c r="F17" s="246">
        <f>IF(F16=0,
IF(G16=0,0,IF(G16&gt;0,1,-1)),
(G16-F16)/ABS(F16)
)</f>
        <v>10.777881911902531</v>
      </c>
      <c r="G17" s="247"/>
    </row>
    <row r="18" spans="2:7" x14ac:dyDescent="0.2">
      <c r="B18" s="207" t="s">
        <v>317</v>
      </c>
      <c r="C18" s="200">
        <f>Statement!Z22</f>
        <v>1145</v>
      </c>
      <c r="D18" s="198">
        <f>Statement!AA22</f>
        <v>1147</v>
      </c>
      <c r="F18" s="200">
        <f>Statement!W22</f>
        <v>1131</v>
      </c>
      <c r="G18" s="198">
        <f>Statement!AA22</f>
        <v>1147</v>
      </c>
    </row>
    <row r="19" spans="2:7" x14ac:dyDescent="0.2">
      <c r="B19" s="206" t="s">
        <v>315</v>
      </c>
      <c r="C19" s="246">
        <f>IF(C18=0,
IF(D18=0,0,IF(D18&gt;0,1,-1)),
(D18-C18)/ABS(C18)
)</f>
        <v>1.7467248908296944E-3</v>
      </c>
      <c r="D19" s="247"/>
      <c r="F19" s="246">
        <f>IF(F18=0,
IF(G18=0,0,IF(G18&gt;0,1,-1)),
(G18-F18)/ABS(F18)
)</f>
        <v>1.4146772767462422E-2</v>
      </c>
      <c r="G19" s="247"/>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46">
        <f>IF(C20=0,
IF(D20=0,0,IF(D20&gt;0,1,-1)),
(D20-C20)/ABS(C20)
)</f>
        <v>0.33238751520064835</v>
      </c>
      <c r="D21" s="247"/>
      <c r="F21" s="246">
        <f>IF(F20=0,
IF(G20=0,0,IF(G20&gt;0,1,-1)),
(G20-F20)/ABS(F20)
)</f>
        <v>10.614840989399292</v>
      </c>
      <c r="G21" s="247"/>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46">
        <f>IF(C24=0,
IF(D24=0,0,IF(D24&gt;0,1,-1)),
(D24-C24)/ABS(C24)
)</f>
        <v>0.26950331971399388</v>
      </c>
      <c r="D25" s="247"/>
      <c r="F25" s="246">
        <f>IF(F24=0,
IF(G24=0,0,IF(G24&gt;0,1,-1)),
(G24-F24)/ABS(F24)
)</f>
        <v>0.79326359455316076</v>
      </c>
      <c r="G25" s="247"/>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46">
        <f>IF(C26=0,
IF(D26=0,0,IF(D26&gt;0,1,-1)),
(D26-C26)/ABS(C26)
)</f>
        <v>0.41828422005430954</v>
      </c>
      <c r="D27" s="247"/>
      <c r="F27" s="246">
        <f>IF(F26=0,
IF(G26=0,0,IF(G26&gt;0,1,-1)),
(G26-F26)/ABS(F26)
)</f>
        <v>1.2519961673586713</v>
      </c>
      <c r="G27" s="247"/>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46">
        <f>IF(C28=0,
IF(D28=0,0,IF(D28&gt;0,1,-1)),
(D28-C28)/ABS(C28)
)</f>
        <v>0.92432432432432432</v>
      </c>
      <c r="D29" s="247"/>
      <c r="F29" s="246">
        <f>IF(F28=0,
IF(G28=0,0,IF(G28&gt;0,1,-1)),
(G28-F28)/ABS(F28)
)</f>
        <v>0.55458515283842791</v>
      </c>
      <c r="G29" s="247"/>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46">
        <f>IF(C31=0,
IF(D31=0,0,IF(D31&gt;0,1,-1)),
(D31-C31)/ABS(C31)
)</f>
        <v>0.18258406565473165</v>
      </c>
      <c r="D32" s="247"/>
      <c r="F32" s="246">
        <f>IF(F31=0,
IF(G31=0,0,IF(G31&gt;0,1,-1)),
(G31-F31)/ABS(F31)
)</f>
        <v>2.5841954655513977</v>
      </c>
      <c r="G32" s="247"/>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46">
        <f>IF(C33=0,
IF(D33=0,0,IF(D33&gt;0,1,-1)),
(D33-C33)/ABS(C33)
)</f>
        <v>0.56213120444290177</v>
      </c>
      <c r="D34" s="247"/>
      <c r="F34" s="246">
        <f>IF(F33=0,
IF(G33=0,0,IF(G33&gt;0,1,-1)),
(G33-F33)/ABS(F33)
)</f>
        <v>10.415345592897907</v>
      </c>
      <c r="G34" s="247"/>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46">
        <f>IF(C35=0,
IF(D35=0,0,IF(D35&gt;0,1,-1)),
(D35-C35)/ABS(C35)
)</f>
        <v>0.13826924746115787</v>
      </c>
      <c r="D36" s="247"/>
      <c r="F36" s="246">
        <f>IF(F35=0,
IF(G35=0,0,IF(G35&gt;0,1,-1)),
(G35-F35)/ABS(F35)
)</f>
        <v>2.4877659574468085</v>
      </c>
      <c r="G36" s="247"/>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46">
        <f>IF(C37=0,
IF(D37=0,0,IF(D37&gt;0,1,-1)),
(D37-C37)/ABS(C37)
)</f>
        <v>0.47259387138541215</v>
      </c>
      <c r="D38" s="247"/>
      <c r="F38" s="246">
        <f>IF(F37=0,
IF(G37=0,0,IF(G37&gt;0,1,-1)),
(G37-F37)/ABS(F37)
)</f>
        <v>3.7587168758716878</v>
      </c>
      <c r="G38" s="247"/>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2" t="s">
        <v>113</v>
      </c>
      <c r="D2" s="242"/>
      <c r="E2" s="242"/>
      <c r="F2" s="242"/>
      <c r="G2" s="251"/>
      <c r="H2" s="252" t="s">
        <v>114</v>
      </c>
      <c r="I2" s="242"/>
      <c r="J2" s="242"/>
      <c r="K2" s="242"/>
      <c r="L2" s="242"/>
      <c r="O2" s="5"/>
      <c r="S2" s="242" t="s">
        <v>113</v>
      </c>
      <c r="T2" s="242"/>
      <c r="U2" s="242"/>
      <c r="V2" s="242"/>
      <c r="W2" s="242"/>
      <c r="X2" s="242"/>
      <c r="Y2" s="242"/>
      <c r="Z2" s="242"/>
      <c r="AA2" s="242" t="s">
        <v>114</v>
      </c>
      <c r="AB2" s="242"/>
      <c r="AC2" s="242"/>
      <c r="AE2" s="85" t="s">
        <v>115</v>
      </c>
    </row>
    <row r="3" spans="1:31" ht="10" customHeight="1" x14ac:dyDescent="0.2">
      <c r="O3" s="5"/>
    </row>
    <row r="4" spans="1:31" ht="16" customHeight="1" x14ac:dyDescent="0.2">
      <c r="A4" s="86"/>
      <c r="B4" s="60"/>
      <c r="C4" s="248" t="s">
        <v>116</v>
      </c>
      <c r="D4" s="248"/>
      <c r="E4" s="248"/>
      <c r="F4" s="248"/>
      <c r="G4" s="248"/>
      <c r="H4" s="248"/>
      <c r="I4" s="248"/>
      <c r="J4" s="248"/>
      <c r="K4" s="248"/>
      <c r="L4" s="248"/>
      <c r="O4" s="5"/>
      <c r="S4" s="249" t="s">
        <v>116</v>
      </c>
      <c r="T4" s="250"/>
      <c r="U4" s="250"/>
      <c r="V4" s="250"/>
      <c r="W4" s="250"/>
      <c r="X4" s="250"/>
      <c r="Y4" s="250"/>
      <c r="Z4" s="250"/>
      <c r="AA4" s="250"/>
      <c r="AB4" s="250"/>
      <c r="AC4" s="250"/>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48" t="s">
        <v>122</v>
      </c>
      <c r="D12" s="248"/>
      <c r="E12" s="248"/>
      <c r="F12" s="248"/>
      <c r="G12" s="248"/>
      <c r="H12" s="248"/>
      <c r="I12" s="248"/>
      <c r="J12" s="248"/>
      <c r="K12" s="248"/>
      <c r="L12" s="248"/>
      <c r="O12" s="5"/>
      <c r="Q12" s="91"/>
      <c r="S12" s="249" t="s">
        <v>122</v>
      </c>
      <c r="T12" s="250"/>
      <c r="U12" s="250"/>
      <c r="V12" s="250"/>
      <c r="W12" s="250"/>
      <c r="X12" s="250"/>
      <c r="Y12" s="250"/>
      <c r="Z12" s="250"/>
      <c r="AA12" s="250"/>
      <c r="AB12" s="250"/>
      <c r="AC12" s="250"/>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2" t="s">
        <v>113</v>
      </c>
      <c r="D2" s="242"/>
      <c r="E2" s="242"/>
      <c r="F2" s="242"/>
      <c r="G2" s="251"/>
      <c r="H2" s="252" t="s">
        <v>114</v>
      </c>
      <c r="I2" s="242"/>
      <c r="J2" s="242"/>
      <c r="K2" s="242"/>
      <c r="L2" s="242"/>
      <c r="P2" s="242" t="s">
        <v>113</v>
      </c>
      <c r="Q2" s="242"/>
      <c r="R2" s="242"/>
      <c r="S2" s="242"/>
      <c r="T2" s="242"/>
      <c r="U2" s="242"/>
      <c r="V2" s="242"/>
      <c r="W2" s="242"/>
      <c r="X2" s="242" t="s">
        <v>114</v>
      </c>
      <c r="Y2" s="242"/>
      <c r="Z2" s="242"/>
      <c r="AB2" s="85" t="s">
        <v>115</v>
      </c>
    </row>
    <row r="3" spans="1:30" ht="10" customHeight="1" x14ac:dyDescent="0.2"/>
    <row r="4" spans="1:30" ht="16" customHeight="1" x14ac:dyDescent="0.2">
      <c r="A4" s="86"/>
      <c r="B4" s="60"/>
      <c r="C4" s="248" t="s">
        <v>116</v>
      </c>
      <c r="D4" s="248"/>
      <c r="E4" s="248"/>
      <c r="F4" s="248"/>
      <c r="G4" s="248"/>
      <c r="H4" s="248"/>
      <c r="I4" s="248"/>
      <c r="J4" s="248"/>
      <c r="K4" s="248"/>
      <c r="L4" s="248"/>
      <c r="P4" s="250" t="s">
        <v>116</v>
      </c>
      <c r="Q4" s="250"/>
      <c r="R4" s="250"/>
      <c r="S4" s="250"/>
      <c r="T4" s="250"/>
      <c r="U4" s="250"/>
      <c r="V4" s="250"/>
      <c r="W4" s="250"/>
      <c r="X4" s="250"/>
      <c r="Y4" s="250"/>
      <c r="Z4" s="25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48" t="s">
        <v>125</v>
      </c>
      <c r="D9" s="248"/>
      <c r="E9" s="248"/>
      <c r="F9" s="248"/>
      <c r="G9" s="248"/>
      <c r="H9" s="248"/>
      <c r="I9" s="248"/>
      <c r="J9" s="248"/>
      <c r="K9" s="248"/>
      <c r="L9" s="248"/>
      <c r="N9" s="91"/>
      <c r="P9" s="250" t="s">
        <v>126</v>
      </c>
      <c r="Q9" s="250"/>
      <c r="R9" s="250"/>
      <c r="S9" s="250"/>
      <c r="T9" s="250"/>
      <c r="U9" s="250"/>
      <c r="V9" s="250"/>
      <c r="W9" s="250"/>
      <c r="X9" s="250"/>
      <c r="Y9" s="250"/>
      <c r="Z9" s="250"/>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48" t="s">
        <v>128</v>
      </c>
      <c r="D22" s="248"/>
      <c r="E22" s="248"/>
      <c r="F22" s="248"/>
      <c r="G22" s="248"/>
      <c r="H22" s="248"/>
      <c r="I22" s="248"/>
      <c r="J22" s="248"/>
      <c r="K22" s="248"/>
      <c r="L22" s="248"/>
      <c r="P22" s="250" t="s">
        <v>128</v>
      </c>
      <c r="Q22" s="250"/>
      <c r="R22" s="250"/>
      <c r="S22" s="250"/>
      <c r="T22" s="250"/>
      <c r="U22" s="250"/>
      <c r="V22" s="250"/>
      <c r="W22" s="250"/>
      <c r="X22" s="250"/>
      <c r="Y22" s="250"/>
      <c r="Z22" s="250"/>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116</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132</v>
      </c>
      <c r="D11" s="248"/>
      <c r="E11" s="248"/>
      <c r="F11" s="248"/>
      <c r="G11" s="248"/>
      <c r="H11" s="248"/>
      <c r="I11" s="248"/>
      <c r="J11" s="248"/>
      <c r="K11" s="248"/>
      <c r="L11" s="248"/>
      <c r="N11" s="91"/>
      <c r="P11" s="253"/>
      <c r="Q11" s="253"/>
      <c r="R11" s="253"/>
      <c r="S11" s="253"/>
      <c r="T11" s="253"/>
      <c r="U11" s="253"/>
      <c r="V11" s="253"/>
      <c r="W11" s="253"/>
      <c r="X11" s="253"/>
      <c r="Y11" s="253"/>
      <c r="Z11" s="253"/>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48" t="s">
        <v>137</v>
      </c>
      <c r="D18" s="248"/>
      <c r="E18" s="248"/>
      <c r="F18" s="248"/>
      <c r="G18" s="248"/>
      <c r="H18" s="248"/>
      <c r="I18" s="248"/>
      <c r="J18" s="248"/>
      <c r="K18" s="248"/>
      <c r="L18" s="248"/>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3"/>
      <c r="C25" s="253"/>
    </row>
    <row r="26" spans="2:12" x14ac:dyDescent="0.2">
      <c r="B26" s="113"/>
      <c r="C26" s="248" t="s">
        <v>143</v>
      </c>
      <c r="D26" s="248"/>
      <c r="E26" s="248"/>
      <c r="F26" s="248"/>
      <c r="G26" s="248"/>
      <c r="H26" s="248"/>
      <c r="I26" s="248"/>
      <c r="J26" s="248"/>
      <c r="K26" s="248"/>
      <c r="L26" s="248"/>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48" t="s">
        <v>147</v>
      </c>
      <c r="D33" s="248"/>
      <c r="E33" s="248"/>
      <c r="F33" s="248"/>
      <c r="G33" s="248"/>
      <c r="H33" s="248"/>
      <c r="I33" s="248"/>
      <c r="J33" s="248"/>
      <c r="K33" s="248"/>
      <c r="L33" s="248"/>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48" t="s">
        <v>150</v>
      </c>
      <c r="D40" s="248"/>
      <c r="E40" s="248"/>
      <c r="F40" s="248"/>
      <c r="G40" s="248"/>
      <c r="H40" s="248"/>
      <c r="I40" s="248"/>
      <c r="J40" s="248"/>
      <c r="K40" s="248"/>
      <c r="L40" s="248"/>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2" t="s">
        <v>113</v>
      </c>
      <c r="D2" s="242"/>
      <c r="E2" s="242"/>
      <c r="F2" s="242"/>
      <c r="G2" s="251"/>
      <c r="H2" s="252" t="s">
        <v>114</v>
      </c>
      <c r="I2" s="242"/>
      <c r="J2" s="242"/>
      <c r="K2" s="242"/>
      <c r="L2" s="242"/>
      <c r="S2" s="253"/>
      <c r="T2" s="253"/>
      <c r="U2" s="253"/>
      <c r="V2" s="253"/>
      <c r="W2" s="253"/>
      <c r="X2" s="253"/>
      <c r="Y2" s="253"/>
      <c r="Z2" s="253"/>
      <c r="AA2" s="253"/>
      <c r="AB2" s="253"/>
      <c r="AC2" s="253"/>
      <c r="AE2" s="113"/>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48" t="s">
        <v>158</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48" t="s">
        <v>159</v>
      </c>
      <c r="D18" s="248"/>
      <c r="E18" s="248"/>
      <c r="F18" s="248"/>
      <c r="G18" s="248"/>
      <c r="H18" s="248"/>
      <c r="I18" s="248"/>
      <c r="J18" s="248"/>
      <c r="K18" s="248"/>
      <c r="L18" s="248"/>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48" t="s">
        <v>262</v>
      </c>
      <c r="D25" s="248"/>
      <c r="E25" s="248"/>
      <c r="F25" s="248"/>
      <c r="G25" s="248"/>
      <c r="H25" s="248"/>
      <c r="I25" s="248"/>
      <c r="J25" s="248"/>
      <c r="K25" s="248"/>
      <c r="L25" s="248"/>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48" t="s">
        <v>76</v>
      </c>
      <c r="D31" s="248"/>
      <c r="E31" s="248"/>
      <c r="F31" s="248"/>
      <c r="G31" s="248"/>
      <c r="H31" s="248"/>
      <c r="I31" s="248"/>
      <c r="J31" s="248"/>
      <c r="K31" s="248"/>
      <c r="L31" s="248"/>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2" t="s">
        <v>166</v>
      </c>
      <c r="C4" s="242"/>
    </row>
    <row r="5" spans="1:3" ht="17" customHeight="1" x14ac:dyDescent="0.2">
      <c r="B5" s="1" t="s">
        <v>167</v>
      </c>
      <c r="C5" s="140">
        <f>Statement!AC78</f>
        <v>1146</v>
      </c>
    </row>
    <row r="6" spans="1:3" ht="17" customHeight="1" x14ac:dyDescent="0.2">
      <c r="B6" s="1" t="s">
        <v>1</v>
      </c>
      <c r="C6" s="137">
        <f ca="1">Overview!C5</f>
        <v>1029</v>
      </c>
    </row>
    <row r="7" spans="1:3" ht="17" customHeight="1" x14ac:dyDescent="0.2">
      <c r="B7" s="1" t="s">
        <v>168</v>
      </c>
      <c r="C7" s="138">
        <f ca="1">C5*C6</f>
        <v>1179234</v>
      </c>
    </row>
    <row r="8" spans="1:3" ht="17" customHeight="1" x14ac:dyDescent="0.2">
      <c r="B8" s="1" t="s">
        <v>169</v>
      </c>
      <c r="C8" s="116">
        <f>Statement!AC108</f>
        <v>5179</v>
      </c>
    </row>
    <row r="9" spans="1:3" ht="17" customHeight="1" x14ac:dyDescent="0.2">
      <c r="B9" s="1" t="s">
        <v>170</v>
      </c>
      <c r="C9" s="139">
        <f ca="1">Overview!F27</f>
        <v>5.2440000000000001E-2</v>
      </c>
    </row>
    <row r="10" spans="1:3" ht="17" customHeight="1" x14ac:dyDescent="0.2">
      <c r="B10" s="1" t="s">
        <v>9</v>
      </c>
      <c r="C10" s="137">
        <f ca="1">Overview!C13</f>
        <v>2.3264999999999998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2" t="s">
        <v>173</v>
      </c>
      <c r="C15" s="242"/>
    </row>
    <row r="16" spans="1:3" ht="17" customHeight="1" x14ac:dyDescent="0.2">
      <c r="B16" s="1" t="s">
        <v>174</v>
      </c>
      <c r="C16" s="46">
        <f ca="1">C8/(C8+C7)</f>
        <v>4.3726301551907992E-3</v>
      </c>
    </row>
    <row r="17" spans="2:3" ht="17" customHeight="1" x14ac:dyDescent="0.2">
      <c r="B17" s="1" t="s">
        <v>175</v>
      </c>
      <c r="C17" s="46">
        <f ca="1">C7/(C8+C7)</f>
        <v>0.99562736984480915</v>
      </c>
    </row>
    <row r="18" spans="2:3" ht="17" customHeight="1" x14ac:dyDescent="0.2">
      <c r="B18" s="1" t="s">
        <v>176</v>
      </c>
      <c r="C18" s="46">
        <f>C13*(1-C12)</f>
        <v>4.5030000000000001E-2</v>
      </c>
    </row>
    <row r="19" spans="2:3" ht="17" customHeight="1" x14ac:dyDescent="0.2">
      <c r="B19" s="1" t="s">
        <v>177</v>
      </c>
      <c r="C19" s="46">
        <f ca="1">C9+C10*C11</f>
        <v>0.15713249999999998</v>
      </c>
    </row>
    <row r="20" spans="2:3" ht="17" customHeight="1" x14ac:dyDescent="0.2">
      <c r="B20" s="1" t="s">
        <v>165</v>
      </c>
      <c r="C20" s="46">
        <f ca="1">(C17*C19)+(C16*C18)</f>
        <v>0.15664231722802771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1080119.9729734343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79514.634287508015</v>
      </c>
      <c r="I10" s="130">
        <f t="shared" ref="I10:L10" ca="1" si="0">I7/(1+$C$15)^I9</f>
        <v>92736.415731196175</v>
      </c>
      <c r="J10" s="130">
        <f t="shared" ca="1" si="0"/>
        <v>113433.98268067047</v>
      </c>
      <c r="K10" s="130">
        <f t="shared" ca="1" si="0"/>
        <v>105390.93815840858</v>
      </c>
      <c r="L10" s="130">
        <f t="shared" ca="1" si="0"/>
        <v>75755.566539202744</v>
      </c>
      <c r="N10" s="91"/>
    </row>
    <row r="11" spans="1:28" x14ac:dyDescent="0.2">
      <c r="B11" s="1" t="s">
        <v>183</v>
      </c>
      <c r="C11" s="141"/>
      <c r="D11" s="141"/>
      <c r="E11" s="141"/>
      <c r="F11" s="141"/>
      <c r="G11" s="142"/>
      <c r="H11" s="141"/>
      <c r="I11" s="141"/>
      <c r="J11" s="141"/>
      <c r="K11" s="141"/>
      <c r="L11" s="130">
        <f ca="1">L8/(1+C15)^L9</f>
        <v>521767.00185129675</v>
      </c>
    </row>
    <row r="13" spans="1:28" x14ac:dyDescent="0.2">
      <c r="B13" s="242" t="s">
        <v>184</v>
      </c>
      <c r="C13" s="242"/>
    </row>
    <row r="14" spans="1:28" x14ac:dyDescent="0.2">
      <c r="B14" s="1" t="s">
        <v>185</v>
      </c>
      <c r="C14" s="144">
        <v>0.01</v>
      </c>
    </row>
    <row r="15" spans="1:28" x14ac:dyDescent="0.2">
      <c r="B15" s="1" t="s">
        <v>165</v>
      </c>
      <c r="C15" s="139">
        <f ca="1">IF(Overview!C28&gt;0,Overview!C28,WACC!C20)</f>
        <v>0.15664231722802771</v>
      </c>
    </row>
    <row r="18" spans="2:3" x14ac:dyDescent="0.2">
      <c r="B18" s="242" t="s">
        <v>186</v>
      </c>
      <c r="C18" s="242"/>
    </row>
    <row r="19" spans="2:3" x14ac:dyDescent="0.2">
      <c r="B19" s="1" t="s">
        <v>187</v>
      </c>
      <c r="C19" s="64">
        <f ca="1">SUM(H10:L10)</f>
        <v>466831.53739698598</v>
      </c>
    </row>
    <row r="20" spans="2:3" x14ac:dyDescent="0.2">
      <c r="B20" s="1" t="s">
        <v>183</v>
      </c>
      <c r="C20" s="64">
        <f ca="1">L11</f>
        <v>521767.00185129675</v>
      </c>
    </row>
    <row r="21" spans="2:3" x14ac:dyDescent="0.2">
      <c r="B21" s="16" t="s">
        <v>188</v>
      </c>
      <c r="C21" s="94">
        <f ca="1">C19+C20</f>
        <v>988598.53924828279</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1056872.5392482828</v>
      </c>
    </row>
    <row r="25" spans="2:3" x14ac:dyDescent="0.2">
      <c r="B25" s="1" t="s">
        <v>68</v>
      </c>
      <c r="C25" s="88">
        <f>Statement!AC78</f>
        <v>1146</v>
      </c>
    </row>
    <row r="26" spans="2:3" x14ac:dyDescent="0.2">
      <c r="B26" s="236" t="s">
        <v>192</v>
      </c>
      <c r="C26" s="237">
        <f ca="1">C24/C25</f>
        <v>922.22734663899018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79514.634287508015</v>
      </c>
      <c r="I9" s="92">
        <f ca="1">DCF!I10</f>
        <v>92736.415731196175</v>
      </c>
      <c r="J9" s="92">
        <f ca="1">DCF!J10</f>
        <v>113433.98268067047</v>
      </c>
      <c r="K9" s="92">
        <f ca="1">DCF!K10</f>
        <v>105390.93815840858</v>
      </c>
      <c r="L9" s="92">
        <f ca="1">DCF!L10</f>
        <v>75755.566539202744</v>
      </c>
      <c r="N9" s="91"/>
    </row>
    <row r="10" spans="1:14" x14ac:dyDescent="0.2">
      <c r="N10" s="91"/>
    </row>
    <row r="11" spans="1:14" x14ac:dyDescent="0.2">
      <c r="C11" s="248" t="s">
        <v>122</v>
      </c>
      <c r="D11" s="248"/>
      <c r="E11" s="248"/>
      <c r="F11" s="248"/>
      <c r="G11" s="248"/>
      <c r="H11" s="248"/>
      <c r="I11" s="248"/>
      <c r="J11" s="248"/>
      <c r="K11" s="248"/>
      <c r="L11" s="248"/>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48" t="s">
        <v>196</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48" t="s">
        <v>199</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48" t="s">
        <v>200</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2" t="s">
        <v>205</v>
      </c>
      <c r="C39" s="242"/>
      <c r="N39" s="91"/>
    </row>
    <row r="40" spans="2:14" x14ac:dyDescent="0.2">
      <c r="B40" s="1" t="s">
        <v>206</v>
      </c>
      <c r="C40" s="64">
        <f>L7</f>
        <v>173102.03925200002</v>
      </c>
    </row>
    <row r="41" spans="2:14" x14ac:dyDescent="0.2">
      <c r="B41" s="1" t="s">
        <v>165</v>
      </c>
      <c r="C41" s="139">
        <f ca="1">IF(Overview!C28&gt;0,Overview!C28,WACC!C20)</f>
        <v>0.15664231722802771</v>
      </c>
    </row>
    <row r="42" spans="2:14" x14ac:dyDescent="0.2">
      <c r="B42" s="39" t="s">
        <v>207</v>
      </c>
      <c r="C42" s="105">
        <v>12</v>
      </c>
    </row>
    <row r="43" spans="2:14" x14ac:dyDescent="0.2">
      <c r="B43" s="1" t="s">
        <v>422</v>
      </c>
      <c r="C43" s="24">
        <f>(C40*C42)</f>
        <v>2077224.4710240001</v>
      </c>
    </row>
    <row r="44" spans="2:14" x14ac:dyDescent="0.2">
      <c r="B44" s="1" t="s">
        <v>423</v>
      </c>
      <c r="C44" s="24">
        <f ca="1">C43/(1+C41)^5</f>
        <v>1003432.2219176252</v>
      </c>
    </row>
    <row r="45" spans="2:14" x14ac:dyDescent="0.2">
      <c r="B45" s="16" t="s">
        <v>424</v>
      </c>
      <c r="C45" s="110">
        <f ca="1">SUM(H9:K9)+C44</f>
        <v>1394508.1927754083</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1462782.1927754083</v>
      </c>
    </row>
    <row r="49" spans="2:3" x14ac:dyDescent="0.2">
      <c r="B49" s="1" t="s">
        <v>68</v>
      </c>
      <c r="C49" s="88">
        <f>Statement!AC78</f>
        <v>1146</v>
      </c>
    </row>
    <row r="50" spans="2:3" x14ac:dyDescent="0.2">
      <c r="B50" s="236" t="s">
        <v>209</v>
      </c>
      <c r="C50" s="237">
        <f ca="1">C48/C49</f>
        <v>1276.424251985522</v>
      </c>
    </row>
    <row r="52" spans="2:3" x14ac:dyDescent="0.2">
      <c r="B52" s="242" t="s">
        <v>210</v>
      </c>
      <c r="C52" s="242"/>
    </row>
    <row r="53" spans="2:3" x14ac:dyDescent="0.2">
      <c r="B53" s="1" t="s">
        <v>211</v>
      </c>
      <c r="C53" s="64">
        <f>L6</f>
        <v>219306.37880000001</v>
      </c>
    </row>
    <row r="54" spans="2:3" x14ac:dyDescent="0.2">
      <c r="B54" s="1" t="s">
        <v>346</v>
      </c>
      <c r="C54" s="139">
        <f ca="1">IF(Overview!C29&gt;0,Overview!C29,WACC!C19)</f>
        <v>0.15713249999999998</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565.04494238496375</v>
      </c>
    </row>
    <row r="60" spans="2:3" x14ac:dyDescent="0.2">
      <c r="B60" s="242" t="s">
        <v>322</v>
      </c>
      <c r="C60" s="242"/>
    </row>
    <row r="61" spans="2:3" x14ac:dyDescent="0.2">
      <c r="B61" s="1" t="s">
        <v>425</v>
      </c>
      <c r="C61" s="64">
        <f>L8</f>
        <v>156823.0650703951</v>
      </c>
    </row>
    <row r="62" spans="2:3" x14ac:dyDescent="0.2">
      <c r="B62" s="1" t="s">
        <v>165</v>
      </c>
      <c r="C62" s="139">
        <f ca="1">IF(Overview!C28&gt;0,Overview!C28,WACC!C20)</f>
        <v>0.15664231722802771</v>
      </c>
    </row>
    <row r="63" spans="2:3" x14ac:dyDescent="0.2">
      <c r="B63" s="39" t="s">
        <v>347</v>
      </c>
      <c r="C63" s="105">
        <v>20</v>
      </c>
    </row>
    <row r="64" spans="2:3" x14ac:dyDescent="0.2">
      <c r="B64" s="1" t="s">
        <v>422</v>
      </c>
      <c r="C64" s="24">
        <f>(C61*C63)</f>
        <v>3136461.301407902</v>
      </c>
    </row>
    <row r="65" spans="2:3" x14ac:dyDescent="0.2">
      <c r="B65" s="1" t="s">
        <v>423</v>
      </c>
      <c r="C65" s="24">
        <f ca="1">C64/(1+C62)^5</f>
        <v>1515111.3307840549</v>
      </c>
    </row>
    <row r="66" spans="2:3" x14ac:dyDescent="0.2">
      <c r="B66" s="16" t="s">
        <v>424</v>
      </c>
      <c r="C66" s="110">
        <f ca="1">SUM(H9:K9)+C65</f>
        <v>1906187.3016418382</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1974461.3016418382</v>
      </c>
    </row>
    <row r="70" spans="2:3" x14ac:dyDescent="0.2">
      <c r="B70" s="1" t="s">
        <v>68</v>
      </c>
      <c r="C70" s="88">
        <f>Statement!AC78</f>
        <v>1146</v>
      </c>
    </row>
    <row r="71" spans="2:3" x14ac:dyDescent="0.2">
      <c r="B71" s="236" t="s">
        <v>209</v>
      </c>
      <c r="C71" s="237">
        <f ca="1">C69/C70</f>
        <v>1722.9156209789164</v>
      </c>
    </row>
    <row r="73" spans="2:3" x14ac:dyDescent="0.2">
      <c r="B73" s="242" t="s">
        <v>427</v>
      </c>
      <c r="C73" s="242"/>
    </row>
    <row r="74" spans="2:3" x14ac:dyDescent="0.2">
      <c r="B74" s="1" t="s">
        <v>428</v>
      </c>
      <c r="C74" s="64">
        <f>L6</f>
        <v>219306.37880000001</v>
      </c>
    </row>
    <row r="75" spans="2:3" x14ac:dyDescent="0.2">
      <c r="B75" s="1" t="s">
        <v>165</v>
      </c>
      <c r="C75" s="139">
        <f ca="1">IF(Overview!C28&gt;0,Overview!C28,WACC!C20)</f>
        <v>0.15664231722802771</v>
      </c>
    </row>
    <row r="76" spans="2:3" x14ac:dyDescent="0.2">
      <c r="B76" s="39" t="s">
        <v>429</v>
      </c>
      <c r="C76" s="105">
        <v>5.5</v>
      </c>
    </row>
    <row r="77" spans="2:3" x14ac:dyDescent="0.2">
      <c r="B77" s="1" t="s">
        <v>422</v>
      </c>
      <c r="C77" s="24">
        <f>(C74*C76)</f>
        <v>1206185.0834000001</v>
      </c>
    </row>
    <row r="78" spans="2:3" x14ac:dyDescent="0.2">
      <c r="B78" s="1" t="s">
        <v>423</v>
      </c>
      <c r="C78" s="24">
        <f ca="1">C77/(1+C75)^5</f>
        <v>582664.50986075168</v>
      </c>
    </row>
    <row r="79" spans="2:3" x14ac:dyDescent="0.2">
      <c r="B79" s="16" t="s">
        <v>424</v>
      </c>
      <c r="C79" s="110">
        <f ca="1">SUM(H9:K9)+C78</f>
        <v>973740.48071853491</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1042014.4807185349</v>
      </c>
    </row>
    <row r="83" spans="2:3" x14ac:dyDescent="0.2">
      <c r="B83" s="1" t="s">
        <v>68</v>
      </c>
      <c r="C83" s="88">
        <f>Statement!AC78</f>
        <v>1146</v>
      </c>
    </row>
    <row r="84" spans="2:3" x14ac:dyDescent="0.2">
      <c r="B84" s="236" t="s">
        <v>209</v>
      </c>
      <c r="C84" s="237">
        <f ca="1">C82/C83</f>
        <v>909.26219957987337</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7">
        <f ca="1">DCF!C26</f>
        <v>922.22734663899018</v>
      </c>
    </row>
    <row r="6" spans="1:14" x14ac:dyDescent="0.2">
      <c r="B6" s="1" t="s">
        <v>216</v>
      </c>
      <c r="C6" s="137">
        <f ca="1">Multiples!C50</f>
        <v>1276.424251985522</v>
      </c>
    </row>
    <row r="7" spans="1:14" x14ac:dyDescent="0.2">
      <c r="B7" s="1" t="s">
        <v>217</v>
      </c>
      <c r="C7" s="137">
        <f ca="1">Multiples!C58</f>
        <v>565.04494238496375</v>
      </c>
    </row>
    <row r="8" spans="1:14" x14ac:dyDescent="0.2">
      <c r="B8" s="1" t="s">
        <v>323</v>
      </c>
      <c r="C8" s="137">
        <f ca="1">Multiples!C71</f>
        <v>1722.9156209789164</v>
      </c>
    </row>
    <row r="9" spans="1:14" x14ac:dyDescent="0.2">
      <c r="B9" s="1" t="s">
        <v>430</v>
      </c>
      <c r="C9" s="137">
        <f ca="1">Multiples!C84</f>
        <v>909.26219957987337</v>
      </c>
    </row>
    <row r="10" spans="1:14" x14ac:dyDescent="0.2">
      <c r="B10" s="236" t="s">
        <v>218</v>
      </c>
      <c r="C10" s="237">
        <f ca="1">AVERAGE(C5:C9)</f>
        <v>1079.1748723136532</v>
      </c>
    </row>
    <row r="11" spans="1:14" x14ac:dyDescent="0.2">
      <c r="B11" s="1" t="s">
        <v>219</v>
      </c>
      <c r="C11" s="137">
        <f ca="1">Overview!C5</f>
        <v>1029</v>
      </c>
    </row>
    <row r="12" spans="1:14" x14ac:dyDescent="0.2">
      <c r="B12" s="1" t="s">
        <v>220</v>
      </c>
      <c r="C12" s="156">
        <f ca="1">(C10-C11)/C11</f>
        <v>4.8760808856805803E-2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48" t="s">
        <v>122</v>
      </c>
      <c r="D9" s="248"/>
      <c r="E9" s="248"/>
      <c r="F9" s="248"/>
      <c r="G9" s="248"/>
      <c r="H9" s="248"/>
      <c r="I9" s="248"/>
      <c r="J9" s="248"/>
      <c r="K9" s="248"/>
      <c r="L9" s="248"/>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48" t="s">
        <v>360</v>
      </c>
      <c r="D14" s="248"/>
      <c r="E14" s="248"/>
      <c r="F14" s="248"/>
      <c r="G14" s="248"/>
      <c r="H14" s="248"/>
      <c r="I14" s="248"/>
      <c r="J14" s="248"/>
      <c r="K14" s="248"/>
      <c r="L14" s="248"/>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2" t="s">
        <v>362</v>
      </c>
      <c r="C20" s="242"/>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0.15713249999999998</v>
      </c>
    </row>
    <row r="25" spans="2:14" x14ac:dyDescent="0.2">
      <c r="B25" s="39" t="s">
        <v>366</v>
      </c>
      <c r="C25" s="230">
        <v>0.03</v>
      </c>
    </row>
    <row r="26" spans="2:14" x14ac:dyDescent="0.2">
      <c r="B26" s="236" t="s">
        <v>209</v>
      </c>
      <c r="C26" s="237">
        <f ca="1">C23/(C24-C25)</f>
        <v>5.156037991858887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3"/>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74403.356040473169</v>
      </c>
      <c r="I7" s="130">
        <f t="shared" ref="I7:L7" si="0">H7*(1+$C$17)</f>
        <v>95980.329292210386</v>
      </c>
      <c r="J7" s="130">
        <f t="shared" si="0"/>
        <v>123814.6247869514</v>
      </c>
      <c r="K7" s="130">
        <f t="shared" si="0"/>
        <v>159720.86597516731</v>
      </c>
      <c r="L7" s="130">
        <f t="shared" si="0"/>
        <v>206039.91710796583</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1419101.3904632388</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64327.022219614002</v>
      </c>
      <c r="I10" s="130">
        <f t="shared" ref="I10:L10" ca="1" si="1">I7/(1+$C$21)^I9</f>
        <v>71743.751224815758</v>
      </c>
      <c r="J10" s="130">
        <f t="shared" ca="1" si="1"/>
        <v>80015.60871628263</v>
      </c>
      <c r="K10" s="130">
        <f t="shared" ca="1" si="1"/>
        <v>89241.188660102533</v>
      </c>
      <c r="L10" s="130">
        <f t="shared" ca="1" si="1"/>
        <v>99530.452635891721</v>
      </c>
      <c r="N10" s="91"/>
    </row>
    <row r="11" spans="1:28" x14ac:dyDescent="0.2">
      <c r="B11" s="1" t="s">
        <v>183</v>
      </c>
      <c r="C11" s="141"/>
      <c r="D11" s="141"/>
      <c r="E11" s="141"/>
      <c r="F11" s="141"/>
      <c r="G11" s="142"/>
      <c r="H11" s="141"/>
      <c r="I11" s="141"/>
      <c r="J11" s="141"/>
      <c r="K11" s="141"/>
      <c r="L11" s="130">
        <f ca="1">L8/(1+C21)^L9</f>
        <v>685516.69847070018</v>
      </c>
    </row>
    <row r="13" spans="1:28" ht="17" thickBot="1" x14ac:dyDescent="0.25"/>
    <row r="14" spans="1:28" x14ac:dyDescent="0.2">
      <c r="B14" s="254" t="s">
        <v>222</v>
      </c>
      <c r="C14" s="255"/>
    </row>
    <row r="15" spans="1:28" x14ac:dyDescent="0.2">
      <c r="B15" s="157" t="s">
        <v>223</v>
      </c>
      <c r="C15" s="158">
        <f ca="1">Overview!C5</f>
        <v>1029</v>
      </c>
    </row>
    <row r="16" spans="1:28" x14ac:dyDescent="0.2">
      <c r="B16" s="157" t="s">
        <v>224</v>
      </c>
      <c r="C16" s="158">
        <f ca="1">C36</f>
        <v>1026.2610468798996</v>
      </c>
    </row>
    <row r="17" spans="2:9" ht="17" thickBot="1" x14ac:dyDescent="0.25">
      <c r="B17" s="159" t="s">
        <v>324</v>
      </c>
      <c r="C17" s="160">
        <v>0.28999999999999998</v>
      </c>
      <c r="E17" s="256" t="s">
        <v>225</v>
      </c>
      <c r="F17" s="256"/>
      <c r="G17" s="256"/>
      <c r="H17" s="256"/>
      <c r="I17" s="256"/>
    </row>
    <row r="18" spans="2:9" ht="17" thickBot="1" x14ac:dyDescent="0.25"/>
    <row r="19" spans="2:9" x14ac:dyDescent="0.2">
      <c r="B19" s="254" t="s">
        <v>184</v>
      </c>
      <c r="C19" s="255"/>
    </row>
    <row r="20" spans="2:9" x14ac:dyDescent="0.2">
      <c r="B20" s="161" t="s">
        <v>185</v>
      </c>
      <c r="C20" s="162">
        <v>0.01</v>
      </c>
    </row>
    <row r="21" spans="2:9" x14ac:dyDescent="0.2">
      <c r="B21" s="161" t="s">
        <v>165</v>
      </c>
      <c r="C21" s="222">
        <f ca="1">IF(Overview!C28&gt;0,Overview!C28,WACC!C20)</f>
        <v>0.15664231722802771</v>
      </c>
    </row>
    <row r="22" spans="2:9" x14ac:dyDescent="0.2">
      <c r="B22" s="161" t="s">
        <v>68</v>
      </c>
      <c r="C22" s="223">
        <f>Statement!AC75</f>
        <v>1129</v>
      </c>
    </row>
    <row r="23" spans="2:9" x14ac:dyDescent="0.2">
      <c r="B23" s="161" t="s">
        <v>226</v>
      </c>
      <c r="C23" s="163">
        <f ca="1">C15*C22</f>
        <v>1161741</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1093467</v>
      </c>
    </row>
    <row r="27" spans="2:9" ht="17" thickBot="1" x14ac:dyDescent="0.25"/>
    <row r="28" spans="2:9" x14ac:dyDescent="0.2">
      <c r="B28" s="254" t="s">
        <v>186</v>
      </c>
      <c r="C28" s="255"/>
    </row>
    <row r="29" spans="2:9" x14ac:dyDescent="0.2">
      <c r="B29" s="161" t="s">
        <v>187</v>
      </c>
      <c r="C29" s="163">
        <f ca="1">SUM(H10:L10)</f>
        <v>404858.02345670667</v>
      </c>
    </row>
    <row r="30" spans="2:9" x14ac:dyDescent="0.2">
      <c r="B30" s="161" t="s">
        <v>183</v>
      </c>
      <c r="C30" s="163">
        <f ca="1">L11</f>
        <v>685516.69847070018</v>
      </c>
    </row>
    <row r="31" spans="2:9" x14ac:dyDescent="0.2">
      <c r="B31" s="165" t="s">
        <v>188</v>
      </c>
      <c r="C31" s="166">
        <f ca="1">C29+C30</f>
        <v>1090374.7219274067</v>
      </c>
    </row>
    <row r="32" spans="2:9" x14ac:dyDescent="0.2">
      <c r="B32" s="161" t="s">
        <v>189</v>
      </c>
      <c r="C32" s="167">
        <f>C24</f>
        <v>73453</v>
      </c>
    </row>
    <row r="33" spans="2:3" x14ac:dyDescent="0.2">
      <c r="B33" s="161" t="s">
        <v>190</v>
      </c>
      <c r="C33" s="167">
        <f>C25</f>
        <v>5179</v>
      </c>
    </row>
    <row r="34" spans="2:3" x14ac:dyDescent="0.2">
      <c r="B34" s="165" t="s">
        <v>191</v>
      </c>
      <c r="C34" s="166">
        <f ca="1">C31+C32-C33</f>
        <v>1158648.7219274067</v>
      </c>
    </row>
    <row r="35" spans="2:3" x14ac:dyDescent="0.2">
      <c r="B35" s="161" t="s">
        <v>68</v>
      </c>
      <c r="C35" s="163">
        <f>C22</f>
        <v>1129</v>
      </c>
    </row>
    <row r="36" spans="2:3" ht="17" thickBot="1" x14ac:dyDescent="0.25">
      <c r="B36" s="168" t="s">
        <v>192</v>
      </c>
      <c r="C36" s="169">
        <f ca="1">C34/C35</f>
        <v>1026.2610468798996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2026-10-11T17:31:11Z</dcterms:modified>
</cp:coreProperties>
</file>