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defaultThemeVersion="202300"/>
  <mc:AlternateContent xmlns:mc="http://schemas.openxmlformats.org/markup-compatibility/2006">
    <mc:Choice Requires="x15">
      <x15ac:absPath xmlns:x15ac="http://schemas.microsoft.com/office/spreadsheetml/2010/11/ac" url="/Volumes/KINGSTON/MyStockData/Finance-StockLists/"/>
    </mc:Choice>
  </mc:AlternateContent>
  <xr:revisionPtr revIDLastSave="0" documentId="13_ncr:1_{CE5827A8-2161-CA4E-AE3C-436ED3EACB03}" xr6:coauthVersionLast="47" xr6:coauthVersionMax="47" xr10:uidLastSave="{00000000-0000-0000-0000-000000000000}"/>
  <bookViews>
    <workbookView xWindow="0" yWindow="0" windowWidth="25600" windowHeight="14400" xr2:uid="{AEC0C047-6E16-294C-82BD-58123BA913A1}"/>
  </bookViews>
  <sheets>
    <sheet name="Overview" sheetId="1" r:id="rId1"/>
    <sheet name="Financials -&gt;" sheetId="2" r:id="rId2"/>
    <sheet name="Statement" sheetId="3" r:id="rId3"/>
    <sheet name="Analysis -&gt;" sheetId="15" r:id="rId4"/>
    <sheet name="Basic" sheetId="16" r:id="rId5"/>
    <sheet name="Yearly Analysis" sheetId="17" r:id="rId6"/>
    <sheet name="Quarter analysis" sheetId="18" r:id="rId7"/>
    <sheet name="Graphs Year" sheetId="19" r:id="rId8"/>
    <sheet name="Graphs Quarter" sheetId="20" r:id="rId9"/>
    <sheet name="Forecast -&gt;" sheetId="4" r:id="rId10"/>
    <sheet name="Revenue" sheetId="5" r:id="rId11"/>
    <sheet name="COGS &amp; OpEx" sheetId="6" r:id="rId12"/>
    <sheet name="WC &amp; Investments" sheetId="7" r:id="rId13"/>
    <sheet name="FCF &amp; Other" sheetId="8" r:id="rId14"/>
    <sheet name="Valuation -&gt;" sheetId="9" r:id="rId15"/>
    <sheet name="WACC" sheetId="10" r:id="rId16"/>
    <sheet name="DCF" sheetId="11" r:id="rId17"/>
    <sheet name="Multiples" sheetId="12" r:id="rId18"/>
    <sheet name="AVG target price" sheetId="13" r:id="rId19"/>
    <sheet name="DDM" sheetId="21" r:id="rId20"/>
    <sheet name="Reverse DCF" sheetId="14" r:id="rId21"/>
  </sheets>
  <externalReferences>
    <externalReference r:id="rId22"/>
    <externalReference r:id="rId23"/>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6" l="1"/>
  <c r="W13" i="6"/>
  <c r="W12" i="6"/>
  <c r="W11" i="6"/>
  <c r="G14" i="6"/>
  <c r="G13" i="6"/>
  <c r="G11" i="6"/>
  <c r="L74" i="19"/>
  <c r="L73" i="19"/>
  <c r="L72" i="19"/>
  <c r="AC158" i="3"/>
  <c r="AC56" i="3"/>
  <c r="AC65" i="3"/>
  <c r="AC64" i="3"/>
  <c r="AC62" i="3"/>
  <c r="AC61" i="3"/>
  <c r="AC59" i="3"/>
  <c r="AC53" i="3"/>
  <c r="AA29" i="3"/>
  <c r="Z210" i="3"/>
  <c r="Y210" i="3"/>
  <c r="X210" i="3"/>
  <c r="W210" i="3"/>
  <c r="V210" i="3"/>
  <c r="U210" i="3"/>
  <c r="T210" i="3"/>
  <c r="Z209" i="3"/>
  <c r="Y209" i="3"/>
  <c r="X209" i="3"/>
  <c r="W209" i="3"/>
  <c r="V209" i="3"/>
  <c r="U209" i="3"/>
  <c r="T209" i="3"/>
  <c r="Z208" i="3"/>
  <c r="Y208" i="3"/>
  <c r="X208" i="3"/>
  <c r="W208" i="3"/>
  <c r="V208" i="3"/>
  <c r="U208" i="3"/>
  <c r="T208" i="3"/>
  <c r="Z207" i="3"/>
  <c r="Y207" i="3"/>
  <c r="X207" i="3"/>
  <c r="W207" i="3"/>
  <c r="V207" i="3"/>
  <c r="U207" i="3"/>
  <c r="T207" i="3"/>
  <c r="Z205" i="3"/>
  <c r="Y205" i="3"/>
  <c r="V205" i="3"/>
  <c r="U205" i="3"/>
  <c r="T205" i="3"/>
  <c r="Z204" i="3"/>
  <c r="Y204" i="3"/>
  <c r="V204" i="3"/>
  <c r="U204" i="3"/>
  <c r="T204" i="3"/>
  <c r="Z203" i="3"/>
  <c r="Y203" i="3"/>
  <c r="V203" i="3"/>
  <c r="U203" i="3"/>
  <c r="T203" i="3"/>
  <c r="W189" i="3"/>
  <c r="W188" i="3"/>
  <c r="W187" i="3"/>
  <c r="Z179" i="3"/>
  <c r="Y179" i="3"/>
  <c r="X179" i="3"/>
  <c r="W179" i="3"/>
  <c r="V179" i="3"/>
  <c r="U179" i="3"/>
  <c r="T179" i="3"/>
  <c r="Z178" i="3"/>
  <c r="Y178" i="3"/>
  <c r="X178" i="3"/>
  <c r="W178" i="3"/>
  <c r="V178" i="3"/>
  <c r="U178" i="3"/>
  <c r="T178" i="3"/>
  <c r="Z177" i="3"/>
  <c r="Y177" i="3"/>
  <c r="X177" i="3"/>
  <c r="W177" i="3"/>
  <c r="V177" i="3"/>
  <c r="U177" i="3"/>
  <c r="T177" i="3"/>
  <c r="Z174" i="3"/>
  <c r="Y174" i="3"/>
  <c r="X174" i="3"/>
  <c r="W174" i="3"/>
  <c r="V174" i="3"/>
  <c r="U174" i="3"/>
  <c r="T174" i="3"/>
  <c r="Z173" i="3"/>
  <c r="Y173" i="3"/>
  <c r="X173" i="3"/>
  <c r="W173" i="3"/>
  <c r="V173" i="3"/>
  <c r="U173" i="3"/>
  <c r="T173" i="3"/>
  <c r="Z157" i="3"/>
  <c r="Y157" i="3"/>
  <c r="X157" i="3"/>
  <c r="W157" i="3"/>
  <c r="V157" i="3"/>
  <c r="U157" i="3"/>
  <c r="T157" i="3"/>
  <c r="Z152" i="3"/>
  <c r="Y152" i="3"/>
  <c r="X152" i="3"/>
  <c r="W152" i="3"/>
  <c r="V152" i="3"/>
  <c r="U152" i="3"/>
  <c r="T152" i="3"/>
  <c r="Z149" i="3"/>
  <c r="Y149" i="3"/>
  <c r="X149" i="3"/>
  <c r="W149" i="3"/>
  <c r="V149" i="3"/>
  <c r="U149" i="3"/>
  <c r="T149" i="3"/>
  <c r="Z148" i="3"/>
  <c r="Y148" i="3"/>
  <c r="X148" i="3"/>
  <c r="W148" i="3"/>
  <c r="V148" i="3"/>
  <c r="U148" i="3"/>
  <c r="T148" i="3"/>
  <c r="Z145" i="3"/>
  <c r="Y145" i="3"/>
  <c r="X145" i="3"/>
  <c r="W145" i="3"/>
  <c r="V145" i="3"/>
  <c r="U145" i="3"/>
  <c r="T145" i="3"/>
  <c r="U144" i="3"/>
  <c r="T144" i="3"/>
  <c r="Z143" i="3"/>
  <c r="Z144" i="3" s="1"/>
  <c r="Y143" i="3"/>
  <c r="Y144" i="3" s="1"/>
  <c r="X143" i="3"/>
  <c r="X144" i="3" s="1"/>
  <c r="W143" i="3"/>
  <c r="W144" i="3" s="1"/>
  <c r="V143" i="3"/>
  <c r="V144" i="3" s="1"/>
  <c r="U143" i="3"/>
  <c r="T143" i="3"/>
  <c r="Z142" i="3"/>
  <c r="Y142" i="3"/>
  <c r="X142" i="3"/>
  <c r="W142" i="3"/>
  <c r="V142" i="3"/>
  <c r="U142" i="3"/>
  <c r="T142" i="3"/>
  <c r="Z141" i="3"/>
  <c r="Y141" i="3"/>
  <c r="X141" i="3"/>
  <c r="W141" i="3"/>
  <c r="V141" i="3"/>
  <c r="U141" i="3"/>
  <c r="T141" i="3"/>
  <c r="Z131" i="3"/>
  <c r="Z132" i="3" s="1"/>
  <c r="Y131" i="3"/>
  <c r="Y132" i="3" s="1"/>
  <c r="X131" i="3"/>
  <c r="X132" i="3" s="1"/>
  <c r="W131" i="3"/>
  <c r="W132" i="3" s="1"/>
  <c r="V131" i="3"/>
  <c r="V132" i="3" s="1"/>
  <c r="U131" i="3"/>
  <c r="U132" i="3" s="1"/>
  <c r="T131" i="3"/>
  <c r="T132" i="3" s="1"/>
  <c r="Z117" i="3"/>
  <c r="Y117" i="3"/>
  <c r="X117" i="3"/>
  <c r="W117" i="3"/>
  <c r="V117" i="3"/>
  <c r="U117" i="3"/>
  <c r="T117" i="3"/>
  <c r="Z112" i="3"/>
  <c r="Y112" i="3"/>
  <c r="X112" i="3"/>
  <c r="W112" i="3"/>
  <c r="V112" i="3"/>
  <c r="U112" i="3"/>
  <c r="T112" i="3"/>
  <c r="Z111" i="3"/>
  <c r="Y111" i="3"/>
  <c r="X111" i="3"/>
  <c r="W111" i="3"/>
  <c r="V111" i="3"/>
  <c r="U111" i="3"/>
  <c r="T111" i="3"/>
  <c r="Z110" i="3"/>
  <c r="Y110" i="3"/>
  <c r="X110" i="3"/>
  <c r="W110" i="3"/>
  <c r="V110" i="3"/>
  <c r="U110" i="3"/>
  <c r="T110" i="3"/>
  <c r="Z108" i="3"/>
  <c r="Y108" i="3"/>
  <c r="X108" i="3"/>
  <c r="W108" i="3"/>
  <c r="V108" i="3"/>
  <c r="U108" i="3"/>
  <c r="T108" i="3"/>
  <c r="Z106" i="3"/>
  <c r="Y106" i="3"/>
  <c r="X106" i="3"/>
  <c r="W106" i="3"/>
  <c r="V106" i="3"/>
  <c r="U106" i="3"/>
  <c r="T106" i="3"/>
  <c r="Z103" i="3"/>
  <c r="Y103" i="3"/>
  <c r="X103" i="3"/>
  <c r="W103" i="3"/>
  <c r="V103" i="3"/>
  <c r="U103" i="3"/>
  <c r="T103" i="3"/>
  <c r="Z102" i="3"/>
  <c r="Y102" i="3"/>
  <c r="X102" i="3"/>
  <c r="W102" i="3"/>
  <c r="V102" i="3"/>
  <c r="U102" i="3"/>
  <c r="T102" i="3"/>
  <c r="Z98" i="3"/>
  <c r="Y98" i="3"/>
  <c r="X98" i="3"/>
  <c r="W98" i="3"/>
  <c r="V98" i="3"/>
  <c r="U98" i="3"/>
  <c r="T98" i="3"/>
  <c r="Z97" i="3"/>
  <c r="Y97" i="3"/>
  <c r="X97" i="3"/>
  <c r="W97" i="3"/>
  <c r="V97" i="3"/>
  <c r="U97" i="3"/>
  <c r="T97" i="3"/>
  <c r="Z96" i="3"/>
  <c r="Y96" i="3"/>
  <c r="X96" i="3"/>
  <c r="W96" i="3"/>
  <c r="V96" i="3"/>
  <c r="U96" i="3"/>
  <c r="T96" i="3"/>
  <c r="Z94" i="3"/>
  <c r="Y94" i="3"/>
  <c r="X94" i="3"/>
  <c r="W94" i="3"/>
  <c r="V94" i="3"/>
  <c r="U94" i="3"/>
  <c r="T94" i="3"/>
  <c r="Z93" i="3"/>
  <c r="Y93" i="3"/>
  <c r="X93" i="3"/>
  <c r="W93" i="3"/>
  <c r="V93" i="3"/>
  <c r="U93" i="3"/>
  <c r="T93" i="3"/>
  <c r="Z92" i="3"/>
  <c r="Y92" i="3"/>
  <c r="X92" i="3"/>
  <c r="W92" i="3"/>
  <c r="V92" i="3"/>
  <c r="U92" i="3"/>
  <c r="T92" i="3"/>
  <c r="Z91" i="3"/>
  <c r="Y91" i="3"/>
  <c r="X91" i="3"/>
  <c r="W91" i="3"/>
  <c r="V91" i="3"/>
  <c r="U91" i="3"/>
  <c r="T91" i="3"/>
  <c r="Z90" i="3"/>
  <c r="Y90" i="3"/>
  <c r="X90" i="3"/>
  <c r="W90" i="3"/>
  <c r="V90" i="3"/>
  <c r="U90" i="3"/>
  <c r="T90" i="3"/>
  <c r="Z89" i="3"/>
  <c r="Y89" i="3"/>
  <c r="X89" i="3"/>
  <c r="W89" i="3"/>
  <c r="V89" i="3"/>
  <c r="U89" i="3"/>
  <c r="T89" i="3"/>
  <c r="Z83" i="3"/>
  <c r="Y83" i="3"/>
  <c r="X83" i="3"/>
  <c r="W83" i="3"/>
  <c r="V83" i="3"/>
  <c r="U83" i="3"/>
  <c r="T83" i="3"/>
  <c r="Z82" i="3"/>
  <c r="Y82" i="3"/>
  <c r="X82" i="3"/>
  <c r="W82" i="3"/>
  <c r="V82" i="3"/>
  <c r="U82" i="3"/>
  <c r="T82" i="3"/>
  <c r="Z77" i="3"/>
  <c r="Y77" i="3"/>
  <c r="X77" i="3"/>
  <c r="W77" i="3"/>
  <c r="V77" i="3"/>
  <c r="U77" i="3"/>
  <c r="T77" i="3"/>
  <c r="Z75" i="3"/>
  <c r="Z78" i="3" s="1"/>
  <c r="Z153" i="3" s="1"/>
  <c r="Y75" i="3"/>
  <c r="Y78" i="3" s="1"/>
  <c r="Y153" i="3" s="1"/>
  <c r="X75" i="3"/>
  <c r="X78" i="3" s="1"/>
  <c r="X153" i="3" s="1"/>
  <c r="W75" i="3"/>
  <c r="W78" i="3" s="1"/>
  <c r="W153" i="3" s="1"/>
  <c r="V75" i="3"/>
  <c r="V78" i="3" s="1"/>
  <c r="V153" i="3" s="1"/>
  <c r="U75" i="3"/>
  <c r="U78" i="3" s="1"/>
  <c r="U153" i="3" s="1"/>
  <c r="U154" i="3" s="1"/>
  <c r="T75" i="3"/>
  <c r="T78" i="3" s="1"/>
  <c r="T153" i="3" s="1"/>
  <c r="Z71" i="3"/>
  <c r="Y71" i="3"/>
  <c r="X71" i="3"/>
  <c r="W71" i="3"/>
  <c r="V71" i="3"/>
  <c r="U71" i="3"/>
  <c r="T71" i="3"/>
  <c r="X58" i="3"/>
  <c r="T58" i="3"/>
  <c r="Z42" i="3"/>
  <c r="Y42" i="3"/>
  <c r="X42" i="3"/>
  <c r="W42" i="3"/>
  <c r="V42" i="3"/>
  <c r="U42" i="3"/>
  <c r="T42" i="3"/>
  <c r="Z36" i="3"/>
  <c r="Y36" i="3"/>
  <c r="X36" i="3"/>
  <c r="W36" i="3"/>
  <c r="V36" i="3"/>
  <c r="U36" i="3"/>
  <c r="T36" i="3"/>
  <c r="Z29" i="3"/>
  <c r="Z107" i="3" s="1"/>
  <c r="Y29" i="3"/>
  <c r="Y107" i="3" s="1"/>
  <c r="X29" i="3"/>
  <c r="X107" i="3" s="1"/>
  <c r="W29" i="3"/>
  <c r="W107" i="3" s="1"/>
  <c r="V29" i="3"/>
  <c r="V107" i="3" s="1"/>
  <c r="U29" i="3"/>
  <c r="U107" i="3" s="1"/>
  <c r="T29" i="3"/>
  <c r="T107" i="3" s="1"/>
  <c r="Z26" i="3"/>
  <c r="Y135" i="3" s="1"/>
  <c r="Y136" i="3" s="1"/>
  <c r="Y26" i="3"/>
  <c r="X135" i="3" s="1"/>
  <c r="X136" i="3" s="1"/>
  <c r="X26" i="3"/>
  <c r="W135" i="3" s="1"/>
  <c r="W136" i="3" s="1"/>
  <c r="W26" i="3"/>
  <c r="V135" i="3" s="1"/>
  <c r="V136" i="3" s="1"/>
  <c r="V26" i="3"/>
  <c r="U135" i="3" s="1"/>
  <c r="U136" i="3" s="1"/>
  <c r="U26" i="3"/>
  <c r="T135" i="3" s="1"/>
  <c r="T136" i="3" s="1"/>
  <c r="T26" i="3"/>
  <c r="Z24" i="3"/>
  <c r="Y24" i="3"/>
  <c r="X24" i="3"/>
  <c r="W24" i="3"/>
  <c r="V24" i="3"/>
  <c r="U24" i="3"/>
  <c r="T24" i="3"/>
  <c r="Z22" i="3"/>
  <c r="Y22" i="3"/>
  <c r="X22" i="3"/>
  <c r="W22" i="3"/>
  <c r="V22" i="3"/>
  <c r="U22" i="3"/>
  <c r="T22" i="3"/>
  <c r="Z20" i="3"/>
  <c r="Y20" i="3"/>
  <c r="X20" i="3"/>
  <c r="W20" i="3"/>
  <c r="V20" i="3"/>
  <c r="U20" i="3"/>
  <c r="T20" i="3"/>
  <c r="Y13" i="3"/>
  <c r="X13" i="3"/>
  <c r="W13" i="3"/>
  <c r="V13" i="3"/>
  <c r="U13" i="3"/>
  <c r="T13" i="3"/>
  <c r="Z11" i="3"/>
  <c r="Z69" i="3" s="1"/>
  <c r="Z70" i="3" s="1"/>
  <c r="Y11" i="3"/>
  <c r="X11" i="3"/>
  <c r="W11" i="3"/>
  <c r="V11" i="3"/>
  <c r="U11" i="3"/>
  <c r="T11" i="3"/>
  <c r="Z7" i="3"/>
  <c r="Z101" i="3" s="1"/>
  <c r="Y7" i="3"/>
  <c r="Y101" i="3" s="1"/>
  <c r="X7" i="3"/>
  <c r="X101" i="3" s="1"/>
  <c r="W7" i="3"/>
  <c r="W101" i="3" s="1"/>
  <c r="V7" i="3"/>
  <c r="V101" i="3" s="1"/>
  <c r="U7" i="3"/>
  <c r="U101" i="3" s="1"/>
  <c r="T7" i="3"/>
  <c r="T101" i="3" s="1"/>
  <c r="Q58" i="3"/>
  <c r="Q29" i="3"/>
  <c r="Q13" i="3"/>
  <c r="Q149" i="3" s="1"/>
  <c r="P219" i="3"/>
  <c r="O219" i="3"/>
  <c r="N219" i="3"/>
  <c r="M219" i="3"/>
  <c r="P218" i="3"/>
  <c r="O218" i="3"/>
  <c r="N218" i="3"/>
  <c r="M218" i="3"/>
  <c r="P214" i="3"/>
  <c r="O214" i="3"/>
  <c r="N214" i="3"/>
  <c r="M214" i="3"/>
  <c r="L214" i="3"/>
  <c r="P210" i="3"/>
  <c r="O210" i="3"/>
  <c r="N210" i="3"/>
  <c r="M210" i="3"/>
  <c r="L210" i="3"/>
  <c r="P209" i="3"/>
  <c r="O209" i="3"/>
  <c r="N209" i="3"/>
  <c r="M209" i="3"/>
  <c r="L209" i="3"/>
  <c r="P208" i="3"/>
  <c r="O208" i="3"/>
  <c r="N208" i="3"/>
  <c r="M208" i="3"/>
  <c r="L208" i="3"/>
  <c r="P207" i="3"/>
  <c r="O207" i="3"/>
  <c r="N207" i="3"/>
  <c r="M207" i="3"/>
  <c r="L207" i="3"/>
  <c r="P205" i="3"/>
  <c r="O205" i="3"/>
  <c r="N205" i="3"/>
  <c r="M205" i="3"/>
  <c r="L205" i="3"/>
  <c r="P204" i="3"/>
  <c r="O204" i="3"/>
  <c r="N204" i="3"/>
  <c r="M204" i="3"/>
  <c r="L204" i="3"/>
  <c r="P203" i="3"/>
  <c r="O203" i="3"/>
  <c r="N203" i="3"/>
  <c r="M203" i="3"/>
  <c r="L203" i="3"/>
  <c r="N182" i="3"/>
  <c r="P181" i="3"/>
  <c r="O181" i="3"/>
  <c r="N181" i="3"/>
  <c r="M181" i="3"/>
  <c r="L181" i="3"/>
  <c r="P180" i="3"/>
  <c r="O180" i="3"/>
  <c r="N180" i="3"/>
  <c r="M180" i="3"/>
  <c r="L180" i="3"/>
  <c r="P179" i="3"/>
  <c r="O179" i="3"/>
  <c r="N179" i="3"/>
  <c r="M179" i="3"/>
  <c r="L179" i="3"/>
  <c r="P178" i="3"/>
  <c r="O178" i="3"/>
  <c r="N178" i="3"/>
  <c r="M178" i="3"/>
  <c r="L178" i="3"/>
  <c r="P177" i="3"/>
  <c r="O177" i="3"/>
  <c r="N177" i="3"/>
  <c r="M177" i="3"/>
  <c r="L177" i="3"/>
  <c r="P174" i="3"/>
  <c r="O174" i="3"/>
  <c r="N174" i="3"/>
  <c r="M174" i="3"/>
  <c r="L174" i="3"/>
  <c r="P173" i="3"/>
  <c r="O173" i="3"/>
  <c r="N173" i="3"/>
  <c r="M173" i="3"/>
  <c r="L173" i="3"/>
  <c r="P163" i="3"/>
  <c r="O163" i="3"/>
  <c r="N163" i="3"/>
  <c r="M163" i="3"/>
  <c r="L163" i="3"/>
  <c r="P162" i="3"/>
  <c r="O162" i="3"/>
  <c r="N162" i="3"/>
  <c r="M162" i="3"/>
  <c r="L162" i="3"/>
  <c r="P148" i="3"/>
  <c r="O148" i="3"/>
  <c r="N148" i="3"/>
  <c r="M148" i="3"/>
  <c r="L148" i="3"/>
  <c r="P143" i="3"/>
  <c r="O143" i="3"/>
  <c r="N143" i="3"/>
  <c r="M143" i="3"/>
  <c r="L143" i="3"/>
  <c r="P142" i="3"/>
  <c r="O142" i="3"/>
  <c r="N142" i="3"/>
  <c r="M142" i="3"/>
  <c r="L142" i="3"/>
  <c r="P141" i="3"/>
  <c r="P144" i="3" s="1"/>
  <c r="O141" i="3"/>
  <c r="O144" i="3" s="1"/>
  <c r="N141" i="3"/>
  <c r="N144" i="3" s="1"/>
  <c r="M141" i="3"/>
  <c r="M144" i="3" s="1"/>
  <c r="L141" i="3"/>
  <c r="L144" i="3" s="1"/>
  <c r="P124" i="3"/>
  <c r="O124" i="3"/>
  <c r="N124" i="3"/>
  <c r="M124" i="3"/>
  <c r="L124" i="3"/>
  <c r="P122" i="3"/>
  <c r="O122" i="3"/>
  <c r="N122" i="3"/>
  <c r="M122" i="3"/>
  <c r="L122" i="3"/>
  <c r="P117" i="3"/>
  <c r="O117" i="3"/>
  <c r="N117" i="3"/>
  <c r="M117" i="3"/>
  <c r="L117" i="3"/>
  <c r="P112" i="3"/>
  <c r="O112" i="3"/>
  <c r="N112" i="3"/>
  <c r="M112" i="3"/>
  <c r="L112" i="3"/>
  <c r="P111" i="3"/>
  <c r="P121" i="3" s="1"/>
  <c r="P123" i="3" s="1"/>
  <c r="P125" i="3" s="1"/>
  <c r="O111" i="3"/>
  <c r="O121" i="3" s="1"/>
  <c r="O123" i="3" s="1"/>
  <c r="O125" i="3" s="1"/>
  <c r="N111" i="3"/>
  <c r="N121" i="3" s="1"/>
  <c r="N123" i="3" s="1"/>
  <c r="N125" i="3" s="1"/>
  <c r="M111" i="3"/>
  <c r="M121" i="3" s="1"/>
  <c r="M123" i="3" s="1"/>
  <c r="M125" i="3" s="1"/>
  <c r="L111" i="3"/>
  <c r="L121" i="3" s="1"/>
  <c r="L123" i="3" s="1"/>
  <c r="P110" i="3"/>
  <c r="P157" i="3" s="1"/>
  <c r="O110" i="3"/>
  <c r="O157" i="3" s="1"/>
  <c r="N110" i="3"/>
  <c r="N157" i="3" s="1"/>
  <c r="M110" i="3"/>
  <c r="M157" i="3" s="1"/>
  <c r="L110" i="3"/>
  <c r="L157" i="3" s="1"/>
  <c r="P108" i="3"/>
  <c r="O108" i="3"/>
  <c r="N108" i="3"/>
  <c r="M108" i="3"/>
  <c r="L108" i="3"/>
  <c r="P103" i="3"/>
  <c r="O103" i="3"/>
  <c r="N103" i="3"/>
  <c r="M103" i="3"/>
  <c r="L103" i="3"/>
  <c r="P102" i="3"/>
  <c r="O102" i="3"/>
  <c r="N102" i="3"/>
  <c r="M102" i="3"/>
  <c r="L102" i="3"/>
  <c r="P98" i="3"/>
  <c r="O98" i="3"/>
  <c r="N98" i="3"/>
  <c r="M98" i="3"/>
  <c r="L98" i="3"/>
  <c r="P97" i="3"/>
  <c r="O97" i="3"/>
  <c r="N97" i="3"/>
  <c r="M97" i="3"/>
  <c r="L97" i="3"/>
  <c r="P96" i="3"/>
  <c r="O96" i="3"/>
  <c r="N96" i="3"/>
  <c r="M96" i="3"/>
  <c r="L96" i="3"/>
  <c r="P94" i="3"/>
  <c r="P93" i="3"/>
  <c r="O93" i="3"/>
  <c r="N93" i="3"/>
  <c r="M93" i="3"/>
  <c r="L93" i="3"/>
  <c r="P92" i="3"/>
  <c r="O92" i="3"/>
  <c r="N92" i="3"/>
  <c r="M92" i="3"/>
  <c r="L92" i="3"/>
  <c r="P90" i="3"/>
  <c r="O90" i="3"/>
  <c r="N90" i="3"/>
  <c r="M90" i="3"/>
  <c r="L90" i="3"/>
  <c r="P89" i="3"/>
  <c r="O89" i="3"/>
  <c r="N89" i="3"/>
  <c r="M89" i="3"/>
  <c r="L89" i="3"/>
  <c r="P83" i="3"/>
  <c r="O83" i="3"/>
  <c r="O106" i="3" s="1"/>
  <c r="O109" i="3" s="1"/>
  <c r="N83" i="3"/>
  <c r="N106" i="3" s="1"/>
  <c r="N109" i="3" s="1"/>
  <c r="M83" i="3"/>
  <c r="M106" i="3" s="1"/>
  <c r="M109" i="3" s="1"/>
  <c r="L83" i="3"/>
  <c r="L106" i="3" s="1"/>
  <c r="L109" i="3" s="1"/>
  <c r="P82" i="3"/>
  <c r="F7" i="21" s="1"/>
  <c r="O82" i="3"/>
  <c r="E7" i="21" s="1"/>
  <c r="N82" i="3"/>
  <c r="D7" i="21" s="1"/>
  <c r="M82" i="3"/>
  <c r="C7" i="21" s="1"/>
  <c r="L82" i="3"/>
  <c r="P80" i="3"/>
  <c r="O80" i="3"/>
  <c r="N80" i="3"/>
  <c r="M80" i="3"/>
  <c r="L80" i="3"/>
  <c r="P77" i="3"/>
  <c r="O77" i="3"/>
  <c r="N77" i="3"/>
  <c r="M77" i="3"/>
  <c r="L77" i="3"/>
  <c r="P75" i="3"/>
  <c r="P78" i="3" s="1"/>
  <c r="P171" i="3" s="1"/>
  <c r="O75" i="3"/>
  <c r="O78" i="3" s="1"/>
  <c r="O171" i="3" s="1"/>
  <c r="N75" i="3"/>
  <c r="N78" i="3" s="1"/>
  <c r="N171" i="3" s="1"/>
  <c r="M75" i="3"/>
  <c r="M78" i="3" s="1"/>
  <c r="M171" i="3" s="1"/>
  <c r="L75" i="3"/>
  <c r="L78" i="3" s="1"/>
  <c r="L171" i="3" s="1"/>
  <c r="P71" i="3"/>
  <c r="O71" i="3"/>
  <c r="N71" i="3"/>
  <c r="M71" i="3"/>
  <c r="L71" i="3"/>
  <c r="M63" i="3"/>
  <c r="L63" i="3"/>
  <c r="P58" i="3"/>
  <c r="O58" i="3"/>
  <c r="N58" i="3"/>
  <c r="P42" i="3"/>
  <c r="O42" i="3"/>
  <c r="N42" i="3"/>
  <c r="M42" i="3"/>
  <c r="L42" i="3"/>
  <c r="P36" i="3"/>
  <c r="O36" i="3"/>
  <c r="N36" i="3"/>
  <c r="M36" i="3"/>
  <c r="L36" i="3"/>
  <c r="P29" i="3"/>
  <c r="P107" i="3" s="1"/>
  <c r="O29" i="3"/>
  <c r="O107" i="3" s="1"/>
  <c r="N29" i="3"/>
  <c r="N107" i="3" s="1"/>
  <c r="M29" i="3"/>
  <c r="M107" i="3" s="1"/>
  <c r="L29" i="3"/>
  <c r="L107" i="3" s="1"/>
  <c r="P26" i="3"/>
  <c r="O26" i="3"/>
  <c r="N26" i="3"/>
  <c r="M26" i="3"/>
  <c r="L26" i="3"/>
  <c r="P24" i="3"/>
  <c r="O24" i="3"/>
  <c r="N24" i="3"/>
  <c r="M24" i="3"/>
  <c r="L24" i="3"/>
  <c r="P22" i="3"/>
  <c r="O22" i="3"/>
  <c r="N22" i="3"/>
  <c r="M22" i="3"/>
  <c r="L22" i="3"/>
  <c r="P20" i="3"/>
  <c r="O20" i="3"/>
  <c r="N20" i="3"/>
  <c r="M20" i="3"/>
  <c r="L20" i="3"/>
  <c r="P13" i="3"/>
  <c r="P149" i="3" s="1"/>
  <c r="O13" i="3"/>
  <c r="O149" i="3" s="1"/>
  <c r="N13" i="3"/>
  <c r="N149" i="3" s="1"/>
  <c r="M13" i="3"/>
  <c r="M149" i="3" s="1"/>
  <c r="L13" i="3"/>
  <c r="L149" i="3" s="1"/>
  <c r="P11" i="3"/>
  <c r="P69" i="3" s="1"/>
  <c r="P70" i="3" s="1"/>
  <c r="O11" i="3"/>
  <c r="N10" i="3"/>
  <c r="M10" i="3"/>
  <c r="L10" i="3"/>
  <c r="P7" i="3"/>
  <c r="P101" i="3" s="1"/>
  <c r="O7" i="3"/>
  <c r="N7" i="3"/>
  <c r="M7" i="3"/>
  <c r="L7" i="3"/>
  <c r="I13" i="1"/>
  <c r="H7" i="1"/>
  <c r="H6" i="1"/>
  <c r="C83" i="12"/>
  <c r="E15" i="8"/>
  <c r="D15" i="8"/>
  <c r="C15" i="8"/>
  <c r="AA117" i="3"/>
  <c r="V14" i="6"/>
  <c r="U14" i="6"/>
  <c r="T14" i="6"/>
  <c r="S14" i="6"/>
  <c r="R14" i="6"/>
  <c r="Q14" i="6"/>
  <c r="V13" i="6"/>
  <c r="U13" i="6"/>
  <c r="T13" i="6"/>
  <c r="S13" i="6"/>
  <c r="R13" i="6"/>
  <c r="Q13" i="6"/>
  <c r="V12" i="6"/>
  <c r="U12" i="6"/>
  <c r="T12" i="6"/>
  <c r="S12" i="6"/>
  <c r="R12" i="6"/>
  <c r="Q12" i="6"/>
  <c r="V11" i="6"/>
  <c r="U11" i="6"/>
  <c r="T11" i="6"/>
  <c r="S11" i="6"/>
  <c r="R11" i="6"/>
  <c r="Q11" i="6"/>
  <c r="P14" i="6"/>
  <c r="P13" i="6"/>
  <c r="P12" i="6"/>
  <c r="P11" i="6"/>
  <c r="F14" i="6"/>
  <c r="E14" i="6"/>
  <c r="D14" i="6"/>
  <c r="F13" i="6"/>
  <c r="E13" i="6"/>
  <c r="D13" i="6"/>
  <c r="F12" i="6"/>
  <c r="E12" i="6"/>
  <c r="D12" i="6"/>
  <c r="F11" i="6"/>
  <c r="E11" i="6"/>
  <c r="D11" i="6"/>
  <c r="C14" i="6"/>
  <c r="C13" i="6"/>
  <c r="C12" i="6"/>
  <c r="C11" i="6"/>
  <c r="B14" i="6"/>
  <c r="Q9" i="5"/>
  <c r="Q8" i="5"/>
  <c r="Q7" i="5"/>
  <c r="Q6" i="5"/>
  <c r="Z9" i="5"/>
  <c r="Y9" i="5"/>
  <c r="X9" i="5"/>
  <c r="W9" i="5"/>
  <c r="V9" i="5"/>
  <c r="U9" i="5"/>
  <c r="T9" i="5"/>
  <c r="S9" i="5"/>
  <c r="Z8" i="5"/>
  <c r="AA8" i="5" s="1"/>
  <c r="Y8" i="5"/>
  <c r="X8" i="5"/>
  <c r="W8" i="5"/>
  <c r="V8" i="5"/>
  <c r="U8" i="5"/>
  <c r="T8" i="5"/>
  <c r="S8" i="5"/>
  <c r="Z7" i="5"/>
  <c r="AA7" i="5" s="1"/>
  <c r="Y7" i="5"/>
  <c r="X7" i="5"/>
  <c r="W7" i="5"/>
  <c r="V7" i="5"/>
  <c r="U7" i="5"/>
  <c r="T7" i="5"/>
  <c r="S7" i="5"/>
  <c r="Z6" i="5"/>
  <c r="AA6" i="5" s="1"/>
  <c r="Y6" i="5"/>
  <c r="X6" i="5"/>
  <c r="W6" i="5"/>
  <c r="V6" i="5"/>
  <c r="U6" i="5"/>
  <c r="T6" i="5"/>
  <c r="S6" i="5"/>
  <c r="F9" i="5"/>
  <c r="E9" i="5"/>
  <c r="D9" i="5"/>
  <c r="C9" i="5"/>
  <c r="F8" i="5"/>
  <c r="E8" i="5"/>
  <c r="D8" i="5"/>
  <c r="C8" i="5"/>
  <c r="F7" i="5"/>
  <c r="E7" i="5"/>
  <c r="D7" i="5"/>
  <c r="C7" i="5"/>
  <c r="F6" i="5"/>
  <c r="E6" i="5"/>
  <c r="D6" i="5"/>
  <c r="C6" i="5"/>
  <c r="B9" i="5"/>
  <c r="B8" i="5"/>
  <c r="B7" i="5"/>
  <c r="B6" i="5"/>
  <c r="J69" i="20"/>
  <c r="I69" i="20"/>
  <c r="H69" i="20"/>
  <c r="G69" i="20"/>
  <c r="F69" i="20"/>
  <c r="E69" i="20"/>
  <c r="D69" i="20"/>
  <c r="J68" i="20"/>
  <c r="I68" i="20"/>
  <c r="H68" i="20"/>
  <c r="G68" i="20"/>
  <c r="F68" i="20"/>
  <c r="E68" i="20"/>
  <c r="D68" i="20"/>
  <c r="J67" i="20"/>
  <c r="I67" i="20"/>
  <c r="H67" i="20"/>
  <c r="G67" i="20"/>
  <c r="F67" i="20"/>
  <c r="E67" i="20"/>
  <c r="D67" i="20"/>
  <c r="J66" i="20"/>
  <c r="I66" i="20"/>
  <c r="H66" i="20"/>
  <c r="G66" i="20"/>
  <c r="F66" i="20"/>
  <c r="E66" i="20"/>
  <c r="D66" i="20"/>
  <c r="C69" i="20"/>
  <c r="C68" i="20"/>
  <c r="C67" i="20"/>
  <c r="C66" i="20"/>
  <c r="B69" i="20"/>
  <c r="B68" i="20"/>
  <c r="B67" i="20"/>
  <c r="B66" i="20"/>
  <c r="K78" i="19"/>
  <c r="J78" i="19"/>
  <c r="I78" i="19"/>
  <c r="H78" i="19"/>
  <c r="G78" i="19"/>
  <c r="F78" i="19"/>
  <c r="E78" i="19"/>
  <c r="D78" i="19"/>
  <c r="C78" i="19"/>
  <c r="K77" i="19"/>
  <c r="J77" i="19"/>
  <c r="I77" i="19"/>
  <c r="H77" i="19"/>
  <c r="G77" i="19"/>
  <c r="F77" i="19"/>
  <c r="E77" i="19"/>
  <c r="D77" i="19"/>
  <c r="C77" i="19"/>
  <c r="K76" i="19"/>
  <c r="J76" i="19"/>
  <c r="I76" i="19"/>
  <c r="H76" i="19"/>
  <c r="G76" i="19"/>
  <c r="F76" i="19"/>
  <c r="E76" i="19"/>
  <c r="D76" i="19"/>
  <c r="C76" i="19"/>
  <c r="K75" i="19"/>
  <c r="J75" i="19"/>
  <c r="I75" i="19"/>
  <c r="H75" i="19"/>
  <c r="G75" i="19"/>
  <c r="F75" i="19"/>
  <c r="E75" i="19"/>
  <c r="D75" i="19"/>
  <c r="C75" i="19"/>
  <c r="B78" i="19"/>
  <c r="B77" i="19"/>
  <c r="B76" i="19"/>
  <c r="B75" i="19"/>
  <c r="G37" i="18"/>
  <c r="F37" i="18"/>
  <c r="D37" i="18"/>
  <c r="C37" i="18"/>
  <c r="B37" i="18"/>
  <c r="G35" i="18"/>
  <c r="F35" i="18"/>
  <c r="D35" i="18"/>
  <c r="C35" i="18"/>
  <c r="B35" i="18"/>
  <c r="G33" i="18"/>
  <c r="F33" i="18"/>
  <c r="D33" i="18"/>
  <c r="C34" i="18" s="1"/>
  <c r="C33" i="18"/>
  <c r="B33" i="18"/>
  <c r="G31" i="18"/>
  <c r="F31" i="18"/>
  <c r="D31" i="18"/>
  <c r="C31" i="18"/>
  <c r="B31" i="18"/>
  <c r="F96" i="17"/>
  <c r="E96" i="17"/>
  <c r="D96" i="17"/>
  <c r="F95" i="17"/>
  <c r="E95" i="17"/>
  <c r="D95" i="17"/>
  <c r="F94" i="17"/>
  <c r="E94" i="17"/>
  <c r="D94" i="17"/>
  <c r="F93" i="17"/>
  <c r="E93" i="17"/>
  <c r="D93" i="17"/>
  <c r="C96" i="17"/>
  <c r="C95" i="17"/>
  <c r="C94" i="17"/>
  <c r="C93" i="17"/>
  <c r="B96" i="17"/>
  <c r="B95" i="17"/>
  <c r="B94" i="17"/>
  <c r="B93" i="17"/>
  <c r="B65" i="20"/>
  <c r="B64" i="20"/>
  <c r="B63" i="20"/>
  <c r="B74" i="19"/>
  <c r="B73" i="19"/>
  <c r="B72" i="19"/>
  <c r="B28" i="18"/>
  <c r="B26" i="18"/>
  <c r="B24" i="18"/>
  <c r="B91" i="17"/>
  <c r="B90" i="17"/>
  <c r="B89" i="17"/>
  <c r="AA210" i="3"/>
  <c r="AA209" i="3"/>
  <c r="AA208" i="3"/>
  <c r="AA207" i="3"/>
  <c r="G65" i="20"/>
  <c r="G64" i="20"/>
  <c r="C65" i="20"/>
  <c r="C63" i="20"/>
  <c r="AC198" i="3"/>
  <c r="AC197" i="3"/>
  <c r="AC196" i="3"/>
  <c r="AC194" i="3"/>
  <c r="Q210" i="3"/>
  <c r="G96" i="17" s="1"/>
  <c r="Q209" i="3"/>
  <c r="G95" i="17" s="1"/>
  <c r="Q208" i="3"/>
  <c r="G94" i="17" s="1"/>
  <c r="Q207" i="3"/>
  <c r="G93" i="17" s="1"/>
  <c r="B210" i="3"/>
  <c r="B209" i="3"/>
  <c r="B208" i="3"/>
  <c r="B207" i="3"/>
  <c r="B205" i="3"/>
  <c r="B204" i="3"/>
  <c r="B203" i="3"/>
  <c r="AA135" i="3"/>
  <c r="E18" i="6"/>
  <c r="L5" i="21"/>
  <c r="K5" i="21"/>
  <c r="J5" i="21"/>
  <c r="I5" i="21"/>
  <c r="H5" i="21"/>
  <c r="G5" i="21"/>
  <c r="F5" i="21"/>
  <c r="E5" i="21"/>
  <c r="D5" i="21"/>
  <c r="C5" i="21"/>
  <c r="G84" i="19"/>
  <c r="F84" i="19"/>
  <c r="E84" i="19"/>
  <c r="D84" i="19"/>
  <c r="C84" i="19"/>
  <c r="H83" i="19"/>
  <c r="G83" i="19"/>
  <c r="F83" i="19"/>
  <c r="E83" i="19"/>
  <c r="D83" i="19"/>
  <c r="C83" i="19"/>
  <c r="H82" i="19"/>
  <c r="G82" i="19"/>
  <c r="F82" i="19"/>
  <c r="E82" i="19"/>
  <c r="D82" i="19"/>
  <c r="C82" i="19"/>
  <c r="Q180" i="3"/>
  <c r="AC34" i="3"/>
  <c r="Q219" i="3"/>
  <c r="L83" i="19" s="1"/>
  <c r="K83" i="19"/>
  <c r="J83" i="19"/>
  <c r="I83" i="19"/>
  <c r="G10" i="16"/>
  <c r="Q117" i="3"/>
  <c r="F26" i="1" a="1"/>
  <c r="J65" i="20"/>
  <c r="I65" i="20"/>
  <c r="H65" i="20"/>
  <c r="F65" i="20"/>
  <c r="E65" i="20"/>
  <c r="D65" i="20"/>
  <c r="J64" i="20"/>
  <c r="I64" i="20"/>
  <c r="H64" i="20"/>
  <c r="F64" i="20"/>
  <c r="E64" i="20"/>
  <c r="D64" i="20"/>
  <c r="J63" i="20"/>
  <c r="I63" i="20"/>
  <c r="H63" i="20"/>
  <c r="F63" i="20"/>
  <c r="E63" i="20"/>
  <c r="D63" i="20"/>
  <c r="J59" i="20"/>
  <c r="I59" i="20"/>
  <c r="H59" i="20"/>
  <c r="G59" i="20"/>
  <c r="F59" i="20"/>
  <c r="E59" i="20"/>
  <c r="D59" i="20"/>
  <c r="C59" i="20"/>
  <c r="J58" i="20"/>
  <c r="I58" i="20"/>
  <c r="H58" i="20"/>
  <c r="G58" i="20"/>
  <c r="F58" i="20"/>
  <c r="E58" i="20"/>
  <c r="D58" i="20"/>
  <c r="C58" i="20"/>
  <c r="J57" i="20"/>
  <c r="I57" i="20"/>
  <c r="H57" i="20"/>
  <c r="G57" i="20"/>
  <c r="F57" i="20"/>
  <c r="E57" i="20"/>
  <c r="D57" i="20"/>
  <c r="C57" i="20"/>
  <c r="J56" i="20"/>
  <c r="I56" i="20"/>
  <c r="H56" i="20"/>
  <c r="G56" i="20"/>
  <c r="F56" i="20"/>
  <c r="E56" i="20"/>
  <c r="D56" i="20"/>
  <c r="J55" i="20"/>
  <c r="I55" i="20"/>
  <c r="H55" i="20"/>
  <c r="G55" i="20"/>
  <c r="F55" i="20"/>
  <c r="E55" i="20"/>
  <c r="D55" i="20"/>
  <c r="C56" i="20"/>
  <c r="C55" i="20"/>
  <c r="F81" i="19"/>
  <c r="E81" i="19"/>
  <c r="D81" i="19"/>
  <c r="C81" i="19"/>
  <c r="F80" i="19"/>
  <c r="E80" i="19"/>
  <c r="D80" i="19"/>
  <c r="C80" i="19"/>
  <c r="F79" i="19"/>
  <c r="E79" i="19"/>
  <c r="D79" i="19"/>
  <c r="C79" i="19"/>
  <c r="K74" i="19"/>
  <c r="J74" i="19"/>
  <c r="I74" i="19"/>
  <c r="H74" i="19"/>
  <c r="G74" i="19"/>
  <c r="F74" i="19"/>
  <c r="E74" i="19"/>
  <c r="D74" i="19"/>
  <c r="C74" i="19"/>
  <c r="K73" i="19"/>
  <c r="J73" i="19"/>
  <c r="I73" i="19"/>
  <c r="H73" i="19"/>
  <c r="G73" i="19"/>
  <c r="F73" i="19"/>
  <c r="E73" i="19"/>
  <c r="D73" i="19"/>
  <c r="C73" i="19"/>
  <c r="K72" i="19"/>
  <c r="J72" i="19"/>
  <c r="I72" i="19"/>
  <c r="H72" i="19"/>
  <c r="G72" i="19"/>
  <c r="F72" i="19"/>
  <c r="E72" i="19"/>
  <c r="D72" i="19"/>
  <c r="C72" i="19"/>
  <c r="G71" i="19"/>
  <c r="F71" i="19"/>
  <c r="E71" i="19"/>
  <c r="D71" i="19"/>
  <c r="G70" i="19"/>
  <c r="F70" i="19"/>
  <c r="E70" i="19"/>
  <c r="D70" i="19"/>
  <c r="F69" i="19"/>
  <c r="E69" i="19"/>
  <c r="D69" i="19"/>
  <c r="C71" i="19"/>
  <c r="C70" i="19"/>
  <c r="C69" i="19"/>
  <c r="F68" i="19"/>
  <c r="E68" i="19"/>
  <c r="D68" i="19"/>
  <c r="F67" i="19"/>
  <c r="E67" i="19"/>
  <c r="D67" i="19"/>
  <c r="C68" i="19"/>
  <c r="C67" i="19"/>
  <c r="L66" i="19"/>
  <c r="K66" i="19"/>
  <c r="J66" i="19"/>
  <c r="I66" i="19"/>
  <c r="H66" i="19"/>
  <c r="G66" i="19"/>
  <c r="F66" i="19"/>
  <c r="E66" i="19"/>
  <c r="D66" i="19"/>
  <c r="C66" i="19"/>
  <c r="L65" i="19"/>
  <c r="K65" i="19"/>
  <c r="J65" i="19"/>
  <c r="I65" i="19"/>
  <c r="H65" i="19"/>
  <c r="G65" i="19"/>
  <c r="F65" i="19"/>
  <c r="E65" i="19"/>
  <c r="D65" i="19"/>
  <c r="C65" i="19"/>
  <c r="L64" i="19"/>
  <c r="K64" i="19"/>
  <c r="J64" i="19"/>
  <c r="I64" i="19"/>
  <c r="H64" i="19"/>
  <c r="G64" i="19"/>
  <c r="F64" i="19"/>
  <c r="E64" i="19"/>
  <c r="D64" i="19"/>
  <c r="C64" i="19"/>
  <c r="L63" i="19"/>
  <c r="K63" i="19"/>
  <c r="J63" i="19"/>
  <c r="I63" i="19"/>
  <c r="H63" i="19"/>
  <c r="G63" i="19"/>
  <c r="F63" i="19"/>
  <c r="E63" i="19"/>
  <c r="D63" i="19"/>
  <c r="L62" i="19"/>
  <c r="K62" i="19"/>
  <c r="J62" i="19"/>
  <c r="I62" i="19"/>
  <c r="H62" i="19"/>
  <c r="G62" i="19"/>
  <c r="F62" i="19"/>
  <c r="E62" i="19"/>
  <c r="D62" i="19"/>
  <c r="C63" i="19"/>
  <c r="C62" i="19"/>
  <c r="G7" i="16"/>
  <c r="F7" i="16"/>
  <c r="K71" i="3"/>
  <c r="J71" i="3"/>
  <c r="I71" i="3"/>
  <c r="H71" i="3"/>
  <c r="G71" i="3"/>
  <c r="F71" i="3"/>
  <c r="E71" i="3"/>
  <c r="D71" i="3"/>
  <c r="C71" i="3"/>
  <c r="Q214" i="3"/>
  <c r="AC84" i="3"/>
  <c r="AC45" i="3"/>
  <c r="AA112" i="3"/>
  <c r="Q112" i="3"/>
  <c r="AC48" i="3"/>
  <c r="AA111" i="3"/>
  <c r="Q111" i="3"/>
  <c r="AC17" i="3"/>
  <c r="C13" i="10"/>
  <c r="C12" i="10"/>
  <c r="C11" i="10"/>
  <c r="G29" i="7"/>
  <c r="F29" i="7"/>
  <c r="E29" i="7"/>
  <c r="D29" i="7"/>
  <c r="C29" i="7"/>
  <c r="G14" i="7"/>
  <c r="F14" i="7"/>
  <c r="E14" i="7"/>
  <c r="D14" i="7"/>
  <c r="C14" i="7"/>
  <c r="AA108" i="3"/>
  <c r="AC108" i="3" s="1"/>
  <c r="C81" i="12" s="1"/>
  <c r="Q108" i="3"/>
  <c r="E31" i="12"/>
  <c r="D31" i="12"/>
  <c r="AC39" i="3"/>
  <c r="AA77" i="3"/>
  <c r="H9" i="1"/>
  <c r="H8" i="1"/>
  <c r="H5" i="1"/>
  <c r="H4" i="1"/>
  <c r="H3" i="1"/>
  <c r="G28" i="18"/>
  <c r="F28" i="18"/>
  <c r="D28" i="18"/>
  <c r="C28" i="18"/>
  <c r="G26" i="18"/>
  <c r="F26" i="18"/>
  <c r="D26" i="18"/>
  <c r="C26" i="18"/>
  <c r="G24" i="18"/>
  <c r="F24" i="18"/>
  <c r="D24" i="18"/>
  <c r="C24" i="18"/>
  <c r="AA205" i="3"/>
  <c r="AA204" i="3"/>
  <c r="AA203" i="3"/>
  <c r="G16" i="18"/>
  <c r="F16" i="18"/>
  <c r="D16" i="18"/>
  <c r="C16" i="18"/>
  <c r="G14" i="18"/>
  <c r="F14" i="18"/>
  <c r="D14" i="18"/>
  <c r="C14" i="18"/>
  <c r="G8" i="18"/>
  <c r="F8" i="18"/>
  <c r="D8" i="18"/>
  <c r="C8" i="18"/>
  <c r="G6" i="18"/>
  <c r="F6" i="18"/>
  <c r="D6" i="18"/>
  <c r="C6" i="18"/>
  <c r="G5" i="18"/>
  <c r="G4" i="18"/>
  <c r="F5" i="18"/>
  <c r="F4" i="18"/>
  <c r="D5" i="18"/>
  <c r="D4" i="18"/>
  <c r="C5" i="18"/>
  <c r="C4" i="18"/>
  <c r="Q205" i="3"/>
  <c r="Q204" i="3"/>
  <c r="Q203" i="3"/>
  <c r="G22" i="17"/>
  <c r="F22" i="17"/>
  <c r="E22" i="17"/>
  <c r="D22" i="17"/>
  <c r="C22" i="17"/>
  <c r="G21" i="17"/>
  <c r="F21" i="17"/>
  <c r="E21" i="17"/>
  <c r="D21" i="17"/>
  <c r="C21" i="17"/>
  <c r="G6" i="17"/>
  <c r="F6" i="17"/>
  <c r="E6" i="17"/>
  <c r="D6" i="17"/>
  <c r="C6" i="17"/>
  <c r="I3" i="17"/>
  <c r="G3" i="17"/>
  <c r="F3" i="17"/>
  <c r="E3" i="17"/>
  <c r="D3" i="17"/>
  <c r="C3" i="17"/>
  <c r="G2" i="17"/>
  <c r="F2" i="17"/>
  <c r="E2" i="17"/>
  <c r="D2" i="17"/>
  <c r="C2" i="17"/>
  <c r="Q110" i="3"/>
  <c r="G45" i="7" s="1"/>
  <c r="F45" i="7"/>
  <c r="E45" i="7"/>
  <c r="D45" i="7"/>
  <c r="C45" i="7"/>
  <c r="AA142" i="3"/>
  <c r="Q142" i="3"/>
  <c r="AC31" i="3"/>
  <c r="Q174" i="3"/>
  <c r="Q173" i="3"/>
  <c r="AA149" i="3"/>
  <c r="AA148" i="3"/>
  <c r="Q148" i="3"/>
  <c r="AA143" i="3"/>
  <c r="Q143" i="3"/>
  <c r="G9" i="16"/>
  <c r="F6" i="16"/>
  <c r="G6" i="16"/>
  <c r="AC76" i="3"/>
  <c r="Q77" i="3"/>
  <c r="AA131" i="3"/>
  <c r="G24" i="12"/>
  <c r="F24" i="12"/>
  <c r="E24" i="12"/>
  <c r="D24" i="12"/>
  <c r="C24" i="12"/>
  <c r="L15" i="8"/>
  <c r="K15" i="8"/>
  <c r="J15" i="8"/>
  <c r="I15" i="8"/>
  <c r="H15" i="8"/>
  <c r="G42" i="7"/>
  <c r="F42" i="7"/>
  <c r="E42" i="7"/>
  <c r="D42" i="7"/>
  <c r="C42" i="7"/>
  <c r="G30" i="7"/>
  <c r="F30" i="7"/>
  <c r="E30" i="7"/>
  <c r="D30" i="7"/>
  <c r="C30" i="7"/>
  <c r="G28" i="7"/>
  <c r="F28" i="7"/>
  <c r="E28" i="7"/>
  <c r="D28" i="7"/>
  <c r="C28" i="7"/>
  <c r="G15" i="7"/>
  <c r="F15" i="7"/>
  <c r="E15" i="7"/>
  <c r="D15" i="7"/>
  <c r="C15" i="7"/>
  <c r="L23" i="7"/>
  <c r="K23" i="7"/>
  <c r="J23" i="7"/>
  <c r="I23" i="7"/>
  <c r="H23" i="7"/>
  <c r="AB5" i="6"/>
  <c r="W18" i="6"/>
  <c r="V18" i="6"/>
  <c r="U18" i="6"/>
  <c r="T18" i="6"/>
  <c r="S18" i="6"/>
  <c r="R18" i="6"/>
  <c r="Q18" i="6"/>
  <c r="P18" i="6"/>
  <c r="W17" i="6"/>
  <c r="V17" i="6"/>
  <c r="U17" i="6"/>
  <c r="T17" i="6"/>
  <c r="S17" i="6"/>
  <c r="R17" i="6"/>
  <c r="Q17" i="6"/>
  <c r="P17" i="6"/>
  <c r="W16" i="6"/>
  <c r="V16" i="6"/>
  <c r="U16" i="6"/>
  <c r="T16" i="6"/>
  <c r="S16" i="6"/>
  <c r="R16" i="6"/>
  <c r="Q16" i="6"/>
  <c r="P16" i="6"/>
  <c r="W15" i="6"/>
  <c r="V15" i="6"/>
  <c r="U15" i="6"/>
  <c r="T15" i="6"/>
  <c r="S15" i="6"/>
  <c r="R15" i="6"/>
  <c r="Q15" i="6"/>
  <c r="P15" i="6"/>
  <c r="O19" i="6"/>
  <c r="O15" i="6"/>
  <c r="B31" i="6"/>
  <c r="B28" i="6"/>
  <c r="G18" i="6"/>
  <c r="F18" i="6"/>
  <c r="G17" i="6"/>
  <c r="F17" i="6"/>
  <c r="E17" i="6"/>
  <c r="D17" i="6"/>
  <c r="C17" i="6"/>
  <c r="G16" i="6"/>
  <c r="F16" i="6"/>
  <c r="E16" i="6"/>
  <c r="D16" i="6"/>
  <c r="C16" i="6"/>
  <c r="B18" i="6"/>
  <c r="B17" i="6"/>
  <c r="B16" i="6"/>
  <c r="B13" i="6"/>
  <c r="B12" i="6"/>
  <c r="B11" i="6"/>
  <c r="G15" i="6"/>
  <c r="F15" i="6"/>
  <c r="E15" i="6"/>
  <c r="D15" i="6"/>
  <c r="C15" i="6"/>
  <c r="B5" i="6"/>
  <c r="Z23" i="6"/>
  <c r="Y23" i="6"/>
  <c r="X23" i="6"/>
  <c r="Z10" i="6"/>
  <c r="Y10" i="6"/>
  <c r="X10" i="6"/>
  <c r="Z10" i="5"/>
  <c r="Y10" i="5"/>
  <c r="X10" i="5"/>
  <c r="W10" i="5"/>
  <c r="V10" i="5"/>
  <c r="U10" i="5"/>
  <c r="T10" i="5"/>
  <c r="S10" i="5"/>
  <c r="Z5" i="5"/>
  <c r="Y5" i="5"/>
  <c r="X5" i="5"/>
  <c r="W5" i="5"/>
  <c r="V5" i="5"/>
  <c r="U5" i="5"/>
  <c r="T5" i="5"/>
  <c r="S5" i="5"/>
  <c r="R5" i="5"/>
  <c r="G10" i="5"/>
  <c r="F10" i="5"/>
  <c r="E10" i="5"/>
  <c r="D10" i="5"/>
  <c r="C10" i="5"/>
  <c r="G5" i="5"/>
  <c r="F5" i="5"/>
  <c r="E5" i="5"/>
  <c r="D5" i="5"/>
  <c r="C5" i="5"/>
  <c r="R18" i="5"/>
  <c r="B18" i="5"/>
  <c r="AC13" i="5"/>
  <c r="AB13" i="5"/>
  <c r="AA13" i="5"/>
  <c r="AA83" i="3"/>
  <c r="K83" i="3"/>
  <c r="J83" i="3"/>
  <c r="I83" i="3"/>
  <c r="H83" i="3"/>
  <c r="G83" i="3"/>
  <c r="F83" i="3"/>
  <c r="E83" i="3"/>
  <c r="D83" i="3"/>
  <c r="C83" i="3"/>
  <c r="Q83" i="3"/>
  <c r="G15" i="8" s="1"/>
  <c r="Q124" i="3"/>
  <c r="Q122" i="3"/>
  <c r="AC193" i="3"/>
  <c r="AC192" i="3"/>
  <c r="AC191" i="3"/>
  <c r="AC189" i="3"/>
  <c r="AC188" i="3"/>
  <c r="AC187" i="3"/>
  <c r="AA102" i="3"/>
  <c r="AC81" i="3"/>
  <c r="AA82" i="3"/>
  <c r="Q82" i="3"/>
  <c r="G7" i="21" s="1"/>
  <c r="AC50" i="3"/>
  <c r="AC49" i="3"/>
  <c r="AC47" i="3"/>
  <c r="AC46" i="3"/>
  <c r="AC44" i="3"/>
  <c r="AC43" i="3"/>
  <c r="AC41" i="3"/>
  <c r="AC40" i="3"/>
  <c r="AC38" i="3"/>
  <c r="AC37" i="3"/>
  <c r="AC35" i="3"/>
  <c r="AC33" i="3"/>
  <c r="AC32" i="3"/>
  <c r="AC30" i="3"/>
  <c r="AA42" i="3"/>
  <c r="AA36" i="3"/>
  <c r="Q42" i="3"/>
  <c r="Q36" i="3"/>
  <c r="AA98" i="3"/>
  <c r="AA97" i="3"/>
  <c r="AA96" i="3"/>
  <c r="AA94" i="3"/>
  <c r="AA93" i="3"/>
  <c r="AA92" i="3"/>
  <c r="AA90" i="3"/>
  <c r="AA89" i="3"/>
  <c r="AC25" i="3"/>
  <c r="AC23" i="3"/>
  <c r="AC21" i="3"/>
  <c r="AC19" i="3"/>
  <c r="AC18" i="3"/>
  <c r="AC16" i="3"/>
  <c r="AC15" i="3"/>
  <c r="AC14" i="3"/>
  <c r="AC13" i="3"/>
  <c r="AC12" i="3"/>
  <c r="AC10" i="3"/>
  <c r="AC9" i="3"/>
  <c r="AC8" i="3"/>
  <c r="AC6" i="3"/>
  <c r="AC5" i="3"/>
  <c r="AA26" i="3"/>
  <c r="Z135" i="3" s="1"/>
  <c r="Z136" i="3" s="1"/>
  <c r="AA24" i="3"/>
  <c r="AA22" i="3"/>
  <c r="AA20" i="3"/>
  <c r="AA11" i="3"/>
  <c r="AA7" i="3"/>
  <c r="Q102" i="3"/>
  <c r="Q98" i="3"/>
  <c r="Q97" i="3"/>
  <c r="Q96" i="3"/>
  <c r="Q94" i="3"/>
  <c r="Q93" i="3"/>
  <c r="Q92" i="3"/>
  <c r="Q90" i="3"/>
  <c r="Q89" i="3"/>
  <c r="Q26" i="3"/>
  <c r="G6" i="21" s="1"/>
  <c r="Q24" i="3"/>
  <c r="Q22" i="3"/>
  <c r="Q20" i="3"/>
  <c r="Q11" i="3"/>
  <c r="Q7" i="3"/>
  <c r="K22" i="3"/>
  <c r="J22" i="3"/>
  <c r="I22" i="3"/>
  <c r="H22" i="3"/>
  <c r="G22" i="3"/>
  <c r="F22" i="3"/>
  <c r="E22" i="3"/>
  <c r="D22" i="3"/>
  <c r="C22" i="3"/>
  <c r="K20" i="3"/>
  <c r="J20" i="3"/>
  <c r="I20" i="3"/>
  <c r="H20" i="3"/>
  <c r="G20" i="3"/>
  <c r="F20" i="3"/>
  <c r="E20" i="3"/>
  <c r="D20" i="3"/>
  <c r="C20" i="3"/>
  <c r="K11" i="3"/>
  <c r="J11" i="3"/>
  <c r="I11" i="3"/>
  <c r="H11" i="3"/>
  <c r="G11" i="3"/>
  <c r="F11" i="3"/>
  <c r="E11" i="3"/>
  <c r="D11" i="3"/>
  <c r="C11" i="3"/>
  <c r="K7" i="3"/>
  <c r="J7" i="3"/>
  <c r="I7" i="3"/>
  <c r="H7" i="3"/>
  <c r="G7" i="3"/>
  <c r="F7" i="3"/>
  <c r="E7" i="3"/>
  <c r="D7" i="3"/>
  <c r="C7" i="3"/>
  <c r="C8" i="1" a="1"/>
  <c r="C9" i="1" a="1"/>
  <c r="C10" i="1" a="1"/>
  <c r="C14" i="1" a="1"/>
  <c r="C13" i="1" a="1"/>
  <c r="C12" i="1" a="1"/>
  <c r="C11" i="1" a="1"/>
  <c r="C7" i="1" a="1"/>
  <c r="C6" i="1" a="1"/>
  <c r="C5" i="1" a="1"/>
  <c r="C4" i="1" a="1"/>
  <c r="W14" i="6" l="1"/>
  <c r="AC199" i="3"/>
  <c r="G9" i="5"/>
  <c r="L78" i="19"/>
  <c r="G8" i="5"/>
  <c r="L77" i="19"/>
  <c r="L76" i="19"/>
  <c r="G7" i="5"/>
  <c r="G6" i="5"/>
  <c r="L75" i="19"/>
  <c r="AA9" i="5"/>
  <c r="AE9" i="5" s="1"/>
  <c r="AA153" i="3"/>
  <c r="AA152" i="3"/>
  <c r="W205" i="3"/>
  <c r="X205" i="3"/>
  <c r="X204" i="3"/>
  <c r="W204" i="3"/>
  <c r="X203" i="3"/>
  <c r="W203" i="3"/>
  <c r="Z146" i="3"/>
  <c r="Z147" i="3"/>
  <c r="Z172" i="3"/>
  <c r="Z175" i="3"/>
  <c r="Y146" i="3"/>
  <c r="Y147" i="3"/>
  <c r="Y172" i="3"/>
  <c r="Y175" i="3"/>
  <c r="X146" i="3"/>
  <c r="X147" i="3"/>
  <c r="X172" i="3"/>
  <c r="X175" i="3"/>
  <c r="W146" i="3"/>
  <c r="W147" i="3"/>
  <c r="W172" i="3"/>
  <c r="W175" i="3"/>
  <c r="V146" i="3"/>
  <c r="V147" i="3"/>
  <c r="V172" i="3"/>
  <c r="V175" i="3"/>
  <c r="U146" i="3"/>
  <c r="U147" i="3"/>
  <c r="U172" i="3"/>
  <c r="U175" i="3"/>
  <c r="T146" i="3"/>
  <c r="T147" i="3"/>
  <c r="T172" i="3"/>
  <c r="T175" i="3"/>
  <c r="Y69" i="3"/>
  <c r="Y70" i="3" s="1"/>
  <c r="Z95" i="3"/>
  <c r="X69" i="3"/>
  <c r="X70" i="3" s="1"/>
  <c r="Y95" i="3"/>
  <c r="W69" i="3"/>
  <c r="W70" i="3" s="1"/>
  <c r="X95" i="3"/>
  <c r="V69" i="3"/>
  <c r="V70" i="3" s="1"/>
  <c r="W95" i="3"/>
  <c r="U69" i="3"/>
  <c r="U70" i="3" s="1"/>
  <c r="V95" i="3"/>
  <c r="T69" i="3"/>
  <c r="T70" i="3" s="1"/>
  <c r="T95" i="3"/>
  <c r="U95" i="3"/>
  <c r="X154" i="3"/>
  <c r="W154" i="3"/>
  <c r="T154" i="3"/>
  <c r="Y154" i="3"/>
  <c r="V154" i="3"/>
  <c r="Z154" i="3"/>
  <c r="P153" i="3"/>
  <c r="P150" i="3"/>
  <c r="P152" i="3"/>
  <c r="P151" i="3"/>
  <c r="O150" i="3"/>
  <c r="O153" i="3"/>
  <c r="O152" i="3"/>
  <c r="O151" i="3"/>
  <c r="N151" i="3"/>
  <c r="N150" i="3"/>
  <c r="N153" i="3"/>
  <c r="N152" i="3"/>
  <c r="M150" i="3"/>
  <c r="M153" i="3"/>
  <c r="M176" i="3" s="1"/>
  <c r="M152" i="3"/>
  <c r="M151" i="3"/>
  <c r="L151" i="3"/>
  <c r="L152" i="3"/>
  <c r="L153" i="3"/>
  <c r="L176" i="3" s="1"/>
  <c r="L150" i="3"/>
  <c r="L125" i="3"/>
  <c r="G80" i="19" s="1"/>
  <c r="G79" i="19"/>
  <c r="P167" i="3"/>
  <c r="P169" i="3"/>
  <c r="P161" i="3"/>
  <c r="P168" i="3"/>
  <c r="P170" i="3"/>
  <c r="O161" i="3"/>
  <c r="O167" i="3"/>
  <c r="O169" i="3"/>
  <c r="O168" i="3"/>
  <c r="O170" i="3"/>
  <c r="N161" i="3"/>
  <c r="N170" i="3"/>
  <c r="N167" i="3"/>
  <c r="N169" i="3"/>
  <c r="N168" i="3"/>
  <c r="M168" i="3"/>
  <c r="M167" i="3"/>
  <c r="M170" i="3"/>
  <c r="M161" i="3"/>
  <c r="M169" i="3"/>
  <c r="L168" i="3"/>
  <c r="L169" i="3"/>
  <c r="G67" i="19"/>
  <c r="L161" i="3"/>
  <c r="L167" i="3"/>
  <c r="L170" i="3"/>
  <c r="P146" i="3"/>
  <c r="P145" i="3"/>
  <c r="O146" i="3"/>
  <c r="O145" i="3"/>
  <c r="N146" i="3"/>
  <c r="N145" i="3"/>
  <c r="M146" i="3"/>
  <c r="M145" i="3"/>
  <c r="L146" i="3"/>
  <c r="L145" i="3"/>
  <c r="P106" i="3"/>
  <c r="P109" i="3" s="1"/>
  <c r="F15" i="8"/>
  <c r="O140" i="3"/>
  <c r="O158" i="3"/>
  <c r="O166" i="3" s="1"/>
  <c r="N140" i="3"/>
  <c r="N158" i="3"/>
  <c r="N166" i="3" s="1"/>
  <c r="M140" i="3"/>
  <c r="M158" i="3"/>
  <c r="M166" i="3" s="1"/>
  <c r="L140" i="3"/>
  <c r="G81" i="19" s="1"/>
  <c r="L158" i="3"/>
  <c r="P147" i="3"/>
  <c r="P172" i="3"/>
  <c r="P176" i="3"/>
  <c r="P182" i="3"/>
  <c r="P183" i="3"/>
  <c r="P175" i="3"/>
  <c r="O147" i="3"/>
  <c r="O172" i="3"/>
  <c r="O175" i="3"/>
  <c r="O183" i="3"/>
  <c r="O182" i="3"/>
  <c r="O176" i="3"/>
  <c r="N147" i="3"/>
  <c r="N176" i="3"/>
  <c r="N183" i="3"/>
  <c r="N172" i="3"/>
  <c r="N175" i="3"/>
  <c r="M147" i="3"/>
  <c r="M183" i="3"/>
  <c r="M182" i="3"/>
  <c r="M172" i="3"/>
  <c r="M175" i="3"/>
  <c r="L147" i="3"/>
  <c r="L172" i="3"/>
  <c r="L175" i="3"/>
  <c r="L183" i="3"/>
  <c r="L182" i="3"/>
  <c r="P220" i="3"/>
  <c r="F6" i="21"/>
  <c r="O220" i="3"/>
  <c r="E6" i="21"/>
  <c r="N220" i="3"/>
  <c r="D6" i="21"/>
  <c r="M220" i="3"/>
  <c r="H84" i="19" s="1"/>
  <c r="C6" i="21"/>
  <c r="O69" i="3"/>
  <c r="O70" i="3" s="1"/>
  <c r="P95" i="3"/>
  <c r="O94" i="3"/>
  <c r="N11" i="3"/>
  <c r="D18" i="6"/>
  <c r="M11" i="3"/>
  <c r="N94" i="3"/>
  <c r="C18" i="6"/>
  <c r="L11" i="3"/>
  <c r="M94" i="3"/>
  <c r="L94" i="3"/>
  <c r="O101" i="3"/>
  <c r="P91" i="3"/>
  <c r="O91" i="3"/>
  <c r="N101" i="3"/>
  <c r="N91" i="3"/>
  <c r="M101" i="3"/>
  <c r="M91" i="3"/>
  <c r="L91" i="3"/>
  <c r="L101" i="3"/>
  <c r="G69" i="19" s="1"/>
  <c r="O14" i="6"/>
  <c r="O27" i="6" s="1"/>
  <c r="B27" i="6"/>
  <c r="Z17" i="5"/>
  <c r="Y17" i="5"/>
  <c r="X17" i="5"/>
  <c r="W17" i="5"/>
  <c r="V17" i="5"/>
  <c r="U17" i="5"/>
  <c r="T17" i="5"/>
  <c r="F17" i="5"/>
  <c r="E17" i="5"/>
  <c r="D17" i="5"/>
  <c r="R9" i="5"/>
  <c r="R17" i="5" s="1"/>
  <c r="B17" i="5"/>
  <c r="F38" i="18"/>
  <c r="C38" i="18"/>
  <c r="F36" i="18"/>
  <c r="C36" i="18"/>
  <c r="F34" i="18"/>
  <c r="F32" i="18"/>
  <c r="C32" i="18"/>
  <c r="G63" i="20"/>
  <c r="C64" i="20"/>
  <c r="G5" i="12"/>
  <c r="G6" i="11"/>
  <c r="AA110" i="3"/>
  <c r="AA157" i="3" s="1"/>
  <c r="J70" i="20" s="1"/>
  <c r="AC60" i="3"/>
  <c r="AC110" i="3" s="1"/>
  <c r="AA174" i="3"/>
  <c r="AA173" i="3"/>
  <c r="AC54" i="3"/>
  <c r="C68" i="12"/>
  <c r="C47" i="12"/>
  <c r="AC180" i="3"/>
  <c r="E11" i="21"/>
  <c r="F11" i="21"/>
  <c r="G11" i="21"/>
  <c r="F5" i="12"/>
  <c r="F6" i="11"/>
  <c r="E5" i="12"/>
  <c r="E6" i="11"/>
  <c r="D5" i="12"/>
  <c r="D6" i="11"/>
  <c r="C5" i="12"/>
  <c r="C6" i="11"/>
  <c r="D11" i="21"/>
  <c r="G16" i="21"/>
  <c r="C21" i="21"/>
  <c r="C23" i="21" s="1"/>
  <c r="F16" i="21"/>
  <c r="G12" i="21"/>
  <c r="E16" i="21"/>
  <c r="F12" i="21"/>
  <c r="E12" i="21"/>
  <c r="D16" i="21"/>
  <c r="C16" i="21"/>
  <c r="D12" i="21"/>
  <c r="L10" i="21"/>
  <c r="L15" i="21"/>
  <c r="K15" i="21"/>
  <c r="K10" i="21"/>
  <c r="J15" i="21"/>
  <c r="J10" i="21"/>
  <c r="I10" i="21"/>
  <c r="I15" i="21"/>
  <c r="H15" i="21"/>
  <c r="H10" i="21"/>
  <c r="G10" i="21"/>
  <c r="G15" i="21"/>
  <c r="F15" i="21"/>
  <c r="F10" i="21"/>
  <c r="E10" i="21"/>
  <c r="E15" i="21"/>
  <c r="D15" i="21"/>
  <c r="D10" i="21"/>
  <c r="C15" i="21"/>
  <c r="C10" i="21"/>
  <c r="AC181" i="3"/>
  <c r="Q181" i="3"/>
  <c r="AA107" i="3"/>
  <c r="Q107" i="3"/>
  <c r="Q220" i="3"/>
  <c r="L84" i="19" s="1"/>
  <c r="K84" i="19"/>
  <c r="J84" i="19"/>
  <c r="I84" i="19"/>
  <c r="Q218" i="3"/>
  <c r="L82" i="19" s="1"/>
  <c r="K82" i="19"/>
  <c r="J82" i="19"/>
  <c r="I82" i="19"/>
  <c r="F31" i="12"/>
  <c r="C23" i="11"/>
  <c r="C25" i="14"/>
  <c r="AA136" i="3"/>
  <c r="AA132" i="3"/>
  <c r="F10" i="16"/>
  <c r="Q163" i="3"/>
  <c r="Q162" i="3"/>
  <c r="Q151" i="3"/>
  <c r="Q150" i="3"/>
  <c r="I70" i="20"/>
  <c r="H70" i="20"/>
  <c r="G70" i="20"/>
  <c r="F70" i="20"/>
  <c r="E70" i="20"/>
  <c r="D70" i="20"/>
  <c r="C70" i="20"/>
  <c r="J61" i="20"/>
  <c r="I61" i="20"/>
  <c r="H61" i="20"/>
  <c r="G61" i="20"/>
  <c r="F61" i="20"/>
  <c r="E61" i="20"/>
  <c r="D61" i="20"/>
  <c r="C61" i="20"/>
  <c r="F27" i="1" s="1"/>
  <c r="C9" i="10" s="1"/>
  <c r="L70" i="19"/>
  <c r="K70" i="19"/>
  <c r="J70" i="19"/>
  <c r="I70" i="19"/>
  <c r="H70" i="19"/>
  <c r="G34" i="8"/>
  <c r="F34" i="8"/>
  <c r="E34" i="8"/>
  <c r="D34" i="8"/>
  <c r="C34" i="8"/>
  <c r="G8" i="16"/>
  <c r="F8" i="16"/>
  <c r="AA71" i="3"/>
  <c r="Q71" i="3"/>
  <c r="Q69" i="3"/>
  <c r="K69" i="3"/>
  <c r="J69" i="3"/>
  <c r="I69" i="3"/>
  <c r="H69" i="3"/>
  <c r="G69" i="3"/>
  <c r="F69" i="3"/>
  <c r="E69" i="3"/>
  <c r="D69" i="3"/>
  <c r="C69" i="3"/>
  <c r="AA69" i="3"/>
  <c r="Q157" i="3"/>
  <c r="Q167" i="3" s="1"/>
  <c r="AC112" i="3"/>
  <c r="Q121" i="3"/>
  <c r="AA103" i="3"/>
  <c r="J62" i="20" s="1"/>
  <c r="I62" i="20"/>
  <c r="H62" i="20"/>
  <c r="G62" i="20"/>
  <c r="F62" i="20"/>
  <c r="E62" i="20"/>
  <c r="D62" i="20"/>
  <c r="C62" i="20"/>
  <c r="Q103" i="3"/>
  <c r="L71" i="19" s="1"/>
  <c r="K71" i="19"/>
  <c r="J71" i="19"/>
  <c r="I71" i="19"/>
  <c r="H71" i="19"/>
  <c r="AC111" i="3"/>
  <c r="G35" i="7"/>
  <c r="AC63" i="3"/>
  <c r="G31" i="12"/>
  <c r="E35" i="7"/>
  <c r="F35" i="7"/>
  <c r="D35" i="7"/>
  <c r="C35" i="7"/>
  <c r="AC83" i="3"/>
  <c r="AC106" i="3" s="1"/>
  <c r="AA145" i="3"/>
  <c r="Q145" i="3"/>
  <c r="C31" i="12"/>
  <c r="G91" i="17"/>
  <c r="G90" i="17"/>
  <c r="D90" i="17"/>
  <c r="C90" i="17"/>
  <c r="G89" i="17"/>
  <c r="F20" i="18"/>
  <c r="C20" i="18"/>
  <c r="F18" i="18"/>
  <c r="C18" i="18"/>
  <c r="F12" i="18"/>
  <c r="C12" i="18"/>
  <c r="F10" i="18"/>
  <c r="C10" i="18"/>
  <c r="G99" i="17"/>
  <c r="F99" i="17"/>
  <c r="E99" i="17"/>
  <c r="D99" i="17"/>
  <c r="C99" i="17"/>
  <c r="F91" i="17"/>
  <c r="E91" i="17"/>
  <c r="D91" i="17"/>
  <c r="C91" i="17"/>
  <c r="F90" i="17"/>
  <c r="E90" i="17"/>
  <c r="F89" i="17"/>
  <c r="E89" i="17"/>
  <c r="D89" i="17"/>
  <c r="C89" i="17"/>
  <c r="AC29" i="3"/>
  <c r="G20" i="18"/>
  <c r="D20" i="18"/>
  <c r="G18" i="18"/>
  <c r="D18" i="18"/>
  <c r="C17" i="18"/>
  <c r="AA106" i="3"/>
  <c r="C15" i="18"/>
  <c r="G12" i="18"/>
  <c r="D12" i="18"/>
  <c r="C9" i="18"/>
  <c r="G10" i="18"/>
  <c r="C7" i="18"/>
  <c r="D10" i="18"/>
  <c r="G23" i="18"/>
  <c r="I60" i="20"/>
  <c r="H60" i="20"/>
  <c r="G60" i="20"/>
  <c r="F60" i="20"/>
  <c r="E60" i="20"/>
  <c r="D60" i="20"/>
  <c r="C60" i="20"/>
  <c r="F23" i="18"/>
  <c r="C23" i="18"/>
  <c r="F27" i="18"/>
  <c r="C27" i="18"/>
  <c r="C25" i="18"/>
  <c r="F29" i="18"/>
  <c r="C29" i="18"/>
  <c r="F25" i="18"/>
  <c r="F17" i="18"/>
  <c r="F15" i="18"/>
  <c r="D23" i="18"/>
  <c r="F9" i="18"/>
  <c r="F7" i="18"/>
  <c r="G85" i="17"/>
  <c r="F85" i="17"/>
  <c r="E85" i="17"/>
  <c r="D85" i="17"/>
  <c r="C85" i="17"/>
  <c r="G84" i="17"/>
  <c r="F84" i="17"/>
  <c r="E84" i="17"/>
  <c r="D84" i="17"/>
  <c r="C84" i="17"/>
  <c r="G81" i="17"/>
  <c r="F81" i="17"/>
  <c r="E81" i="17"/>
  <c r="D81" i="17"/>
  <c r="C81" i="17"/>
  <c r="G80" i="17"/>
  <c r="F80" i="17"/>
  <c r="E80" i="17"/>
  <c r="D80" i="17"/>
  <c r="C80" i="17"/>
  <c r="G72" i="17"/>
  <c r="F72" i="17"/>
  <c r="E72" i="17"/>
  <c r="D72" i="17"/>
  <c r="G71" i="17"/>
  <c r="F71" i="17"/>
  <c r="E71" i="17"/>
  <c r="D71" i="17"/>
  <c r="C72" i="17"/>
  <c r="C71" i="17"/>
  <c r="G48" i="17"/>
  <c r="F48" i="17"/>
  <c r="E48" i="17"/>
  <c r="D48" i="17"/>
  <c r="G47" i="17"/>
  <c r="F47" i="17"/>
  <c r="E47" i="17"/>
  <c r="D47" i="17"/>
  <c r="C48" i="17"/>
  <c r="C47" i="17"/>
  <c r="G40" i="17"/>
  <c r="F40" i="17"/>
  <c r="E40" i="17"/>
  <c r="D40" i="17"/>
  <c r="G39" i="17"/>
  <c r="F39" i="17"/>
  <c r="E39" i="17"/>
  <c r="D39" i="17"/>
  <c r="C40" i="17"/>
  <c r="C39" i="17"/>
  <c r="G29" i="17"/>
  <c r="F29" i="17"/>
  <c r="E29" i="17"/>
  <c r="D29" i="17"/>
  <c r="G27" i="17"/>
  <c r="F27" i="17"/>
  <c r="E27" i="17"/>
  <c r="D27" i="17"/>
  <c r="C29" i="17"/>
  <c r="C27" i="17"/>
  <c r="I22" i="17"/>
  <c r="I21" i="17"/>
  <c r="G17" i="17"/>
  <c r="F17" i="17"/>
  <c r="E17" i="17"/>
  <c r="D17" i="17"/>
  <c r="C17" i="17"/>
  <c r="Q179" i="3"/>
  <c r="G77" i="17" s="1"/>
  <c r="F77" i="17"/>
  <c r="E77" i="17"/>
  <c r="D77" i="17"/>
  <c r="C77" i="17"/>
  <c r="Q178" i="3"/>
  <c r="G76" i="17" s="1"/>
  <c r="F76" i="17"/>
  <c r="E76" i="17"/>
  <c r="D76" i="17"/>
  <c r="C76" i="17"/>
  <c r="Q177" i="3"/>
  <c r="G75" i="17" s="1"/>
  <c r="F75" i="17"/>
  <c r="E75" i="17"/>
  <c r="D75" i="17"/>
  <c r="C75" i="17"/>
  <c r="D23" i="17"/>
  <c r="E23" i="17"/>
  <c r="F23" i="17"/>
  <c r="G23" i="17"/>
  <c r="C23" i="17"/>
  <c r="AC142" i="3"/>
  <c r="I39" i="17" s="1"/>
  <c r="AC79" i="3"/>
  <c r="Q80" i="3"/>
  <c r="AC149" i="3"/>
  <c r="AC148" i="3"/>
  <c r="AC145" i="3"/>
  <c r="AA141" i="3"/>
  <c r="AC143" i="3"/>
  <c r="AC141" i="3"/>
  <c r="Q141" i="3"/>
  <c r="F9" i="16"/>
  <c r="F17" i="16"/>
  <c r="AC58" i="3"/>
  <c r="F16" i="16"/>
  <c r="AC77" i="3"/>
  <c r="O31" i="6"/>
  <c r="O28" i="6"/>
  <c r="AC57" i="3"/>
  <c r="AC55" i="3"/>
  <c r="K106" i="3"/>
  <c r="J106" i="3"/>
  <c r="I106" i="3"/>
  <c r="H106" i="3"/>
  <c r="G106" i="3"/>
  <c r="F106" i="3"/>
  <c r="E106" i="3"/>
  <c r="D106" i="3"/>
  <c r="C106" i="3"/>
  <c r="G6" i="14"/>
  <c r="F6" i="14"/>
  <c r="E6" i="14"/>
  <c r="D6" i="14"/>
  <c r="C6" i="14"/>
  <c r="G19" i="12"/>
  <c r="F19" i="12"/>
  <c r="E19" i="12"/>
  <c r="D19" i="12"/>
  <c r="C19" i="12"/>
  <c r="G6" i="12"/>
  <c r="F6" i="12"/>
  <c r="E6" i="12"/>
  <c r="D6" i="12"/>
  <c r="C6" i="12"/>
  <c r="C8" i="10"/>
  <c r="C18" i="10"/>
  <c r="E7" i="8"/>
  <c r="E6" i="8"/>
  <c r="F5" i="8"/>
  <c r="F32" i="8" s="1"/>
  <c r="E5" i="8"/>
  <c r="E32" i="8" s="1"/>
  <c r="C5" i="8"/>
  <c r="C32" i="8" s="1"/>
  <c r="E13" i="7"/>
  <c r="C13" i="7"/>
  <c r="D7" i="7"/>
  <c r="G6" i="7"/>
  <c r="H6" i="7" s="1"/>
  <c r="E6" i="7"/>
  <c r="U19" i="6"/>
  <c r="T19" i="6"/>
  <c r="P19" i="6"/>
  <c r="O17" i="6"/>
  <c r="O30" i="6" s="1"/>
  <c r="O16" i="6"/>
  <c r="O29" i="6" s="1"/>
  <c r="W6" i="6"/>
  <c r="T6" i="6"/>
  <c r="T27" i="6" s="1"/>
  <c r="V5" i="6"/>
  <c r="S5" i="6"/>
  <c r="P5" i="6"/>
  <c r="B29" i="6"/>
  <c r="E19" i="6"/>
  <c r="D19" i="6"/>
  <c r="G6" i="6"/>
  <c r="G27" i="6" s="1"/>
  <c r="E6" i="6"/>
  <c r="E27" i="6" s="1"/>
  <c r="C6" i="6"/>
  <c r="C27" i="6" s="1"/>
  <c r="F5" i="6"/>
  <c r="R6" i="5"/>
  <c r="G21" i="8"/>
  <c r="E21" i="8"/>
  <c r="G20" i="8"/>
  <c r="F20" i="8"/>
  <c r="C20" i="8"/>
  <c r="F7" i="8"/>
  <c r="C7" i="8"/>
  <c r="F6" i="8"/>
  <c r="G5" i="8"/>
  <c r="D5" i="8"/>
  <c r="D32" i="8" s="1"/>
  <c r="F13" i="7"/>
  <c r="D13" i="7"/>
  <c r="F7" i="7"/>
  <c r="C6" i="7"/>
  <c r="V19" i="6"/>
  <c r="R19" i="6"/>
  <c r="U6" i="6"/>
  <c r="U27" i="6" s="1"/>
  <c r="R6" i="6"/>
  <c r="R27" i="6" s="1"/>
  <c r="P6" i="6"/>
  <c r="P27" i="6" s="1"/>
  <c r="Q5" i="6"/>
  <c r="G19" i="6"/>
  <c r="C19" i="6"/>
  <c r="E5" i="6"/>
  <c r="C5" i="6"/>
  <c r="R7" i="5"/>
  <c r="F21" i="8"/>
  <c r="D21" i="8"/>
  <c r="C21" i="8"/>
  <c r="E20" i="8"/>
  <c r="D20" i="8"/>
  <c r="G7" i="8"/>
  <c r="D7" i="8"/>
  <c r="G6" i="8"/>
  <c r="D6" i="8"/>
  <c r="C6" i="8"/>
  <c r="G13" i="7"/>
  <c r="G7" i="7"/>
  <c r="E7" i="7"/>
  <c r="C7" i="7"/>
  <c r="F6" i="7"/>
  <c r="D6" i="7"/>
  <c r="W19" i="6"/>
  <c r="S19" i="6"/>
  <c r="Q19" i="6"/>
  <c r="O18" i="6"/>
  <c r="V6" i="6"/>
  <c r="V27" i="6" s="1"/>
  <c r="S6" i="6"/>
  <c r="S27" i="6" s="1"/>
  <c r="Q6" i="6"/>
  <c r="Q27" i="6" s="1"/>
  <c r="W5" i="6"/>
  <c r="U5" i="6"/>
  <c r="T5" i="6"/>
  <c r="R5" i="6"/>
  <c r="B30" i="6"/>
  <c r="F19" i="6"/>
  <c r="F6" i="6"/>
  <c r="F27" i="6" s="1"/>
  <c r="D6" i="6"/>
  <c r="D5" i="6"/>
  <c r="R8" i="5"/>
  <c r="G5" i="6"/>
  <c r="G8" i="7"/>
  <c r="E8" i="7"/>
  <c r="F8" i="7"/>
  <c r="C8" i="7"/>
  <c r="D8" i="7"/>
  <c r="G44" i="7"/>
  <c r="F44" i="7"/>
  <c r="E44" i="7"/>
  <c r="D44" i="7"/>
  <c r="C44" i="7"/>
  <c r="O11" i="6"/>
  <c r="O24" i="6" s="1"/>
  <c r="O13" i="6"/>
  <c r="O26" i="6" s="1"/>
  <c r="B24" i="6"/>
  <c r="O12" i="6"/>
  <c r="O25" i="6" s="1"/>
  <c r="B26" i="6"/>
  <c r="B25" i="6"/>
  <c r="AB9" i="6"/>
  <c r="AB10" i="6"/>
  <c r="E13" i="5"/>
  <c r="D13" i="5"/>
  <c r="F13" i="5"/>
  <c r="G13" i="5"/>
  <c r="S13" i="5"/>
  <c r="C13" i="5"/>
  <c r="Z18" i="5"/>
  <c r="Y18" i="5"/>
  <c r="X18" i="5"/>
  <c r="W18" i="5"/>
  <c r="V18" i="5"/>
  <c r="U18" i="5"/>
  <c r="T18" i="5"/>
  <c r="G18" i="5"/>
  <c r="F18" i="5"/>
  <c r="E18" i="5"/>
  <c r="D18" i="5"/>
  <c r="Z16" i="5"/>
  <c r="Y16" i="5"/>
  <c r="X16" i="5"/>
  <c r="W16" i="5"/>
  <c r="V16" i="5"/>
  <c r="U16" i="5"/>
  <c r="T16" i="5"/>
  <c r="F16" i="5"/>
  <c r="E16" i="5"/>
  <c r="D16" i="5"/>
  <c r="B16" i="5"/>
  <c r="Z15" i="5"/>
  <c r="Y15" i="5"/>
  <c r="X15" i="5"/>
  <c r="W15" i="5"/>
  <c r="V15" i="5"/>
  <c r="U15" i="5"/>
  <c r="T15" i="5"/>
  <c r="F15" i="5"/>
  <c r="E15" i="5"/>
  <c r="D15" i="5"/>
  <c r="B15" i="5"/>
  <c r="Z14" i="5"/>
  <c r="Y14" i="5"/>
  <c r="X14" i="5"/>
  <c r="W14" i="5"/>
  <c r="V14" i="5"/>
  <c r="U14" i="5"/>
  <c r="T14" i="5"/>
  <c r="F14" i="5"/>
  <c r="E14" i="5"/>
  <c r="D14" i="5"/>
  <c r="B14" i="5"/>
  <c r="Z13" i="5"/>
  <c r="Y13" i="5"/>
  <c r="X13" i="5"/>
  <c r="W13" i="5"/>
  <c r="V13" i="5"/>
  <c r="U13" i="5"/>
  <c r="T13" i="5"/>
  <c r="H5" i="5"/>
  <c r="Q106" i="3"/>
  <c r="AC124" i="3"/>
  <c r="AC122" i="3"/>
  <c r="AC102" i="3"/>
  <c r="AA101" i="3"/>
  <c r="J60" i="20" s="1"/>
  <c r="AC82" i="3"/>
  <c r="AC74" i="3"/>
  <c r="AA75" i="3"/>
  <c r="AC75" i="3" s="1"/>
  <c r="C22" i="14" s="1"/>
  <c r="Q75" i="3"/>
  <c r="AC42" i="3"/>
  <c r="AC36" i="3"/>
  <c r="AA91" i="3"/>
  <c r="C11" i="18" s="1"/>
  <c r="AA95" i="3"/>
  <c r="C13" i="18" s="1"/>
  <c r="AC11" i="3"/>
  <c r="AC7" i="3"/>
  <c r="AC101" i="3" s="1"/>
  <c r="Q101" i="3"/>
  <c r="Q95" i="3"/>
  <c r="G83" i="17" s="1"/>
  <c r="F83" i="17"/>
  <c r="AC26" i="3"/>
  <c r="F5" i="1" s="1"/>
  <c r="AC24" i="3"/>
  <c r="AC22" i="3"/>
  <c r="AC20" i="3"/>
  <c r="Q91" i="3"/>
  <c r="G82" i="17" s="1"/>
  <c r="E82" i="17"/>
  <c r="C82" i="17"/>
  <c r="F82" i="17"/>
  <c r="D82" i="17"/>
  <c r="C10" i="10" s="1"/>
  <c r="C11" i="13" s="1"/>
  <c r="W27" i="6" l="1"/>
  <c r="H9" i="5"/>
  <c r="I9" i="5" s="1"/>
  <c r="J9" i="5" s="1"/>
  <c r="K9" i="5" s="1"/>
  <c r="L9" i="5" s="1"/>
  <c r="G17" i="5"/>
  <c r="H8" i="5"/>
  <c r="I8" i="5" s="1"/>
  <c r="J8" i="5" s="1"/>
  <c r="K8" i="5" s="1"/>
  <c r="L8" i="5" s="1"/>
  <c r="G16" i="5"/>
  <c r="H7" i="5"/>
  <c r="I7" i="5" s="1"/>
  <c r="J7" i="5" s="1"/>
  <c r="K7" i="5" s="1"/>
  <c r="L7" i="5" s="1"/>
  <c r="G15" i="5"/>
  <c r="H6" i="5"/>
  <c r="I6" i="5" s="1"/>
  <c r="G14" i="5"/>
  <c r="AA154" i="3"/>
  <c r="P154" i="3"/>
  <c r="P159" i="3"/>
  <c r="P164" i="3"/>
  <c r="P165" i="3"/>
  <c r="O154" i="3"/>
  <c r="O165" i="3"/>
  <c r="O159" i="3"/>
  <c r="O164" i="3"/>
  <c r="N154" i="3"/>
  <c r="N165" i="3"/>
  <c r="N164" i="3"/>
  <c r="N159" i="3"/>
  <c r="M154" i="3"/>
  <c r="M159" i="3"/>
  <c r="M164" i="3"/>
  <c r="M165" i="3"/>
  <c r="L154" i="3"/>
  <c r="L159" i="3"/>
  <c r="L164" i="3"/>
  <c r="L165" i="3"/>
  <c r="P140" i="3"/>
  <c r="P158" i="3"/>
  <c r="P166" i="3" s="1"/>
  <c r="G68" i="19"/>
  <c r="L166" i="3"/>
  <c r="N69" i="3"/>
  <c r="N70" i="3" s="1"/>
  <c r="O95" i="3"/>
  <c r="E83" i="17" s="1"/>
  <c r="M69" i="3"/>
  <c r="M70" i="3" s="1"/>
  <c r="N95" i="3"/>
  <c r="D83" i="17" s="1"/>
  <c r="L69" i="3"/>
  <c r="L70" i="3" s="1"/>
  <c r="L95" i="3"/>
  <c r="M95" i="3"/>
  <c r="C83" i="17" s="1"/>
  <c r="D30" i="6"/>
  <c r="D27" i="6"/>
  <c r="Q183" i="3"/>
  <c r="Q182" i="3"/>
  <c r="AA179" i="3"/>
  <c r="AA177" i="3"/>
  <c r="AA178" i="3"/>
  <c r="AC174" i="3"/>
  <c r="AC173" i="3"/>
  <c r="F18" i="16"/>
  <c r="H6" i="14"/>
  <c r="H5" i="12"/>
  <c r="H6" i="11"/>
  <c r="G53" i="17"/>
  <c r="F53" i="17"/>
  <c r="E53" i="17"/>
  <c r="D53" i="17"/>
  <c r="G51" i="17"/>
  <c r="F51" i="17"/>
  <c r="E51" i="17"/>
  <c r="D51" i="17"/>
  <c r="C51" i="17"/>
  <c r="C53" i="17"/>
  <c r="Q152" i="3"/>
  <c r="AC69" i="3"/>
  <c r="AC157" i="3"/>
  <c r="Q78" i="3"/>
  <c r="Q153" i="3" s="1"/>
  <c r="F22" i="8"/>
  <c r="AC71" i="3"/>
  <c r="Q168" i="3"/>
  <c r="L67" i="19"/>
  <c r="Q170" i="3"/>
  <c r="K67" i="19"/>
  <c r="J67" i="19"/>
  <c r="I67" i="19"/>
  <c r="H67" i="19"/>
  <c r="H5" i="8"/>
  <c r="H32" i="8" s="1"/>
  <c r="G32" i="8"/>
  <c r="G16" i="17"/>
  <c r="G33" i="8"/>
  <c r="L69" i="19"/>
  <c r="F16" i="17"/>
  <c r="F33" i="8"/>
  <c r="K69" i="19"/>
  <c r="E16" i="17"/>
  <c r="E33" i="8"/>
  <c r="J69" i="19"/>
  <c r="D16" i="17"/>
  <c r="D33" i="8"/>
  <c r="I69" i="19"/>
  <c r="C16" i="17"/>
  <c r="C33" i="8"/>
  <c r="H69" i="19"/>
  <c r="C19" i="10"/>
  <c r="E22" i="8"/>
  <c r="C22" i="8"/>
  <c r="G44" i="17"/>
  <c r="F44" i="17"/>
  <c r="E44" i="17"/>
  <c r="D44" i="17"/>
  <c r="C44" i="17"/>
  <c r="G26" i="17"/>
  <c r="F26" i="17"/>
  <c r="E26" i="17"/>
  <c r="D26" i="17"/>
  <c r="C26" i="17"/>
  <c r="G18" i="17"/>
  <c r="F18" i="17"/>
  <c r="E18" i="17"/>
  <c r="D18" i="17"/>
  <c r="C18" i="17"/>
  <c r="G22" i="8"/>
  <c r="D22" i="8"/>
  <c r="K79" i="19"/>
  <c r="J79" i="19"/>
  <c r="I79" i="19"/>
  <c r="H79" i="19"/>
  <c r="Q123" i="3"/>
  <c r="L79" i="19" s="1"/>
  <c r="Q70" i="3"/>
  <c r="J81" i="19"/>
  <c r="I81" i="19"/>
  <c r="H81" i="19"/>
  <c r="K68" i="19"/>
  <c r="K81" i="19"/>
  <c r="AC80" i="3"/>
  <c r="AC103" i="3"/>
  <c r="AC121" i="3"/>
  <c r="I26" i="17" s="1"/>
  <c r="C31" i="16"/>
  <c r="F21" i="18"/>
  <c r="C19" i="18"/>
  <c r="C21" i="18"/>
  <c r="F19" i="18"/>
  <c r="F11" i="18"/>
  <c r="F13" i="18"/>
  <c r="Q169" i="3"/>
  <c r="G59" i="17" s="1"/>
  <c r="F59" i="17"/>
  <c r="E59" i="17"/>
  <c r="D59" i="17"/>
  <c r="C59" i="17"/>
  <c r="AC177" i="3"/>
  <c r="AC178" i="3"/>
  <c r="AC179" i="3"/>
  <c r="I23" i="17"/>
  <c r="G22" i="7"/>
  <c r="D22" i="7"/>
  <c r="E21" i="7"/>
  <c r="C21" i="7"/>
  <c r="F34" i="16"/>
  <c r="I48" i="17"/>
  <c r="F32" i="16"/>
  <c r="I47" i="17"/>
  <c r="F30" i="16"/>
  <c r="I44" i="17"/>
  <c r="C32" i="16"/>
  <c r="I40" i="17"/>
  <c r="C30" i="16"/>
  <c r="I38" i="17"/>
  <c r="Q144" i="3"/>
  <c r="G41" i="17" s="1"/>
  <c r="G38" i="17"/>
  <c r="F41" i="17"/>
  <c r="F38" i="17"/>
  <c r="E41" i="17"/>
  <c r="E38" i="17"/>
  <c r="D41" i="17"/>
  <c r="D38" i="17"/>
  <c r="C41" i="17"/>
  <c r="C38" i="17"/>
  <c r="C25" i="16"/>
  <c r="I29" i="17"/>
  <c r="C23" i="16"/>
  <c r="I27" i="17"/>
  <c r="C17" i="16"/>
  <c r="I17" i="17"/>
  <c r="C16" i="16"/>
  <c r="I16" i="17"/>
  <c r="AA175" i="3"/>
  <c r="Q175" i="3"/>
  <c r="G67" i="17" s="1"/>
  <c r="F67" i="17"/>
  <c r="E67" i="17"/>
  <c r="D67" i="17"/>
  <c r="C67" i="17"/>
  <c r="AA144" i="3"/>
  <c r="C33" i="14"/>
  <c r="D30" i="12"/>
  <c r="F29" i="12"/>
  <c r="E20" i="12"/>
  <c r="H19" i="12"/>
  <c r="I19" i="12" s="1"/>
  <c r="J19" i="12" s="1"/>
  <c r="K19" i="12" s="1"/>
  <c r="L19" i="12" s="1"/>
  <c r="AA146" i="3"/>
  <c r="AA172" i="3"/>
  <c r="Q146" i="3"/>
  <c r="G45" i="17" s="1"/>
  <c r="Q172" i="3"/>
  <c r="G66" i="17" s="1"/>
  <c r="F45" i="17"/>
  <c r="F66" i="17"/>
  <c r="E45" i="17"/>
  <c r="E66" i="17"/>
  <c r="D45" i="17"/>
  <c r="D66" i="17"/>
  <c r="C45" i="17"/>
  <c r="C66" i="17"/>
  <c r="AC144" i="3"/>
  <c r="I41" i="17" s="1"/>
  <c r="C9" i="17"/>
  <c r="D9" i="17"/>
  <c r="E9" i="17"/>
  <c r="G10" i="17"/>
  <c r="F10" i="17"/>
  <c r="E10" i="17"/>
  <c r="D10" i="17"/>
  <c r="C10" i="17"/>
  <c r="G9" i="17"/>
  <c r="F9" i="17"/>
  <c r="C5" i="16"/>
  <c r="H5" i="6"/>
  <c r="G23" i="6"/>
  <c r="G10" i="6"/>
  <c r="T30" i="6"/>
  <c r="T29" i="6"/>
  <c r="G29" i="6"/>
  <c r="AC107" i="3"/>
  <c r="AA147" i="3"/>
  <c r="G32" i="12"/>
  <c r="Q147" i="3"/>
  <c r="G46" i="17" s="1"/>
  <c r="F32" i="12"/>
  <c r="F46" i="17"/>
  <c r="E32" i="12"/>
  <c r="E46" i="17"/>
  <c r="D32" i="12"/>
  <c r="D46" i="17"/>
  <c r="C32" i="12"/>
  <c r="C46" i="17"/>
  <c r="AC109" i="3"/>
  <c r="Q109" i="3"/>
  <c r="Q158" i="3" s="1"/>
  <c r="E46" i="7"/>
  <c r="Q26" i="6"/>
  <c r="F26" i="6"/>
  <c r="D24" i="6"/>
  <c r="D23" i="6"/>
  <c r="V24" i="6"/>
  <c r="S24" i="6"/>
  <c r="Q24" i="6"/>
  <c r="W10" i="6"/>
  <c r="U10" i="6"/>
  <c r="R10" i="6"/>
  <c r="AA78" i="3"/>
  <c r="AC78" i="3" s="1"/>
  <c r="F20" i="12"/>
  <c r="D20" i="12"/>
  <c r="G13" i="12"/>
  <c r="C30" i="12"/>
  <c r="E29" i="12"/>
  <c r="D29" i="12"/>
  <c r="G20" i="12"/>
  <c r="F13" i="12"/>
  <c r="E13" i="12"/>
  <c r="D13" i="12"/>
  <c r="G30" i="12"/>
  <c r="G8" i="8"/>
  <c r="D8" i="8"/>
  <c r="C46" i="7"/>
  <c r="G43" i="7"/>
  <c r="C43" i="7"/>
  <c r="F27" i="7"/>
  <c r="D12" i="7"/>
  <c r="D28" i="6"/>
  <c r="F25" i="6"/>
  <c r="D36" i="7"/>
  <c r="D37" i="7" s="1"/>
  <c r="E27" i="7"/>
  <c r="V28" i="6"/>
  <c r="S28" i="6"/>
  <c r="Q28" i="6"/>
  <c r="V25" i="6"/>
  <c r="S25" i="6"/>
  <c r="Q25" i="6"/>
  <c r="R16" i="5"/>
  <c r="R14" i="5"/>
  <c r="Q29" i="6"/>
  <c r="F30" i="6"/>
  <c r="F30" i="12"/>
  <c r="E30" i="12"/>
  <c r="G29" i="12"/>
  <c r="C29" i="12"/>
  <c r="D29" i="6"/>
  <c r="I6" i="7"/>
  <c r="S30" i="6"/>
  <c r="Q30" i="6"/>
  <c r="V31" i="6"/>
  <c r="G46" i="7"/>
  <c r="C35" i="14"/>
  <c r="C15" i="14"/>
  <c r="AC116" i="3"/>
  <c r="AC117" i="3" s="1"/>
  <c r="C6" i="10"/>
  <c r="E31" i="6"/>
  <c r="E9" i="8"/>
  <c r="D9" i="8"/>
  <c r="D31" i="6"/>
  <c r="G31" i="6"/>
  <c r="G9" i="8"/>
  <c r="C9" i="8"/>
  <c r="C31" i="6"/>
  <c r="F31" i="6"/>
  <c r="F9" i="8"/>
  <c r="U29" i="6"/>
  <c r="P29" i="6"/>
  <c r="U31" i="6"/>
  <c r="T31" i="6"/>
  <c r="P31" i="6"/>
  <c r="G30" i="6"/>
  <c r="E29" i="6"/>
  <c r="C29" i="6"/>
  <c r="U30" i="6"/>
  <c r="P30" i="6"/>
  <c r="W30" i="6"/>
  <c r="V30" i="6"/>
  <c r="W29" i="6"/>
  <c r="V29" i="6"/>
  <c r="S29" i="6"/>
  <c r="W31" i="6"/>
  <c r="S31" i="6"/>
  <c r="Q31" i="6"/>
  <c r="E30" i="6"/>
  <c r="C30" i="6"/>
  <c r="F29" i="6"/>
  <c r="H19" i="7"/>
  <c r="C24" i="6"/>
  <c r="Q10" i="6"/>
  <c r="F23" i="6"/>
  <c r="G26" i="8"/>
  <c r="C19" i="8"/>
  <c r="F14" i="8"/>
  <c r="G14" i="8"/>
  <c r="C14" i="8"/>
  <c r="C8" i="8"/>
  <c r="F46" i="7"/>
  <c r="G41" i="7"/>
  <c r="H34" i="7"/>
  <c r="E34" i="7"/>
  <c r="C26" i="6"/>
  <c r="S10" i="6"/>
  <c r="P10" i="6"/>
  <c r="F8" i="8"/>
  <c r="E26" i="8"/>
  <c r="D26" i="8"/>
  <c r="C26" i="8"/>
  <c r="G19" i="8"/>
  <c r="F19" i="8"/>
  <c r="E14" i="8"/>
  <c r="G36" i="7"/>
  <c r="G37" i="7" s="1"/>
  <c r="F20" i="7"/>
  <c r="H12" i="7"/>
  <c r="C12" i="7"/>
  <c r="W24" i="6"/>
  <c r="R24" i="6"/>
  <c r="R15" i="5"/>
  <c r="E19" i="8"/>
  <c r="D14" i="8"/>
  <c r="E8" i="8"/>
  <c r="F26" i="8"/>
  <c r="D19" i="8"/>
  <c r="F43" i="7"/>
  <c r="E41" i="7"/>
  <c r="D43" i="7"/>
  <c r="C41" i="7"/>
  <c r="C34" i="7"/>
  <c r="E28" i="6"/>
  <c r="C27" i="7"/>
  <c r="F22" i="7"/>
  <c r="F21" i="7"/>
  <c r="D21" i="7"/>
  <c r="G20" i="7"/>
  <c r="F12" i="7"/>
  <c r="E12" i="7"/>
  <c r="D46" i="7"/>
  <c r="E43" i="7"/>
  <c r="H41" i="7"/>
  <c r="F36" i="7"/>
  <c r="F37" i="7" s="1"/>
  <c r="G34" i="7"/>
  <c r="D34" i="7"/>
  <c r="G27" i="7"/>
  <c r="G21" i="7"/>
  <c r="C20" i="7"/>
  <c r="G19" i="7"/>
  <c r="F19" i="7"/>
  <c r="E19" i="7"/>
  <c r="D19" i="7"/>
  <c r="C19" i="7"/>
  <c r="F41" i="7"/>
  <c r="D41" i="7"/>
  <c r="E36" i="7"/>
  <c r="E37" i="7" s="1"/>
  <c r="C36" i="7"/>
  <c r="C37" i="7" s="1"/>
  <c r="F34" i="7"/>
  <c r="H27" i="7"/>
  <c r="D27" i="7"/>
  <c r="E22" i="7"/>
  <c r="C22" i="7"/>
  <c r="E20" i="7"/>
  <c r="D20" i="7"/>
  <c r="G12" i="7"/>
  <c r="W28" i="6"/>
  <c r="T28" i="6"/>
  <c r="W26" i="6"/>
  <c r="V26" i="6"/>
  <c r="U26" i="6"/>
  <c r="T26" i="6"/>
  <c r="S26" i="6"/>
  <c r="R26" i="6"/>
  <c r="F28" i="6"/>
  <c r="G26" i="6"/>
  <c r="D26" i="6"/>
  <c r="E25" i="6"/>
  <c r="D25" i="6"/>
  <c r="C25" i="6"/>
  <c r="R28" i="6"/>
  <c r="P28" i="6"/>
  <c r="P26" i="6"/>
  <c r="W25" i="6"/>
  <c r="U25" i="6"/>
  <c r="T25" i="6"/>
  <c r="R25" i="6"/>
  <c r="P25" i="6"/>
  <c r="E26" i="6"/>
  <c r="G25" i="6"/>
  <c r="U28" i="6"/>
  <c r="G28" i="6"/>
  <c r="C28" i="6"/>
  <c r="E23" i="6"/>
  <c r="C23" i="6"/>
  <c r="U24" i="6"/>
  <c r="T24" i="6"/>
  <c r="P24" i="6"/>
  <c r="F10" i="6"/>
  <c r="D10" i="6"/>
  <c r="C10" i="6"/>
  <c r="G24" i="6"/>
  <c r="F24" i="6"/>
  <c r="E24" i="6"/>
  <c r="W23" i="6"/>
  <c r="V23" i="6"/>
  <c r="U23" i="6"/>
  <c r="T23" i="6"/>
  <c r="S23" i="6"/>
  <c r="R23" i="6"/>
  <c r="Q23" i="6"/>
  <c r="P23" i="6"/>
  <c r="V10" i="6"/>
  <c r="T10" i="6"/>
  <c r="E10" i="6"/>
  <c r="R30" i="6"/>
  <c r="R29" i="6"/>
  <c r="R31" i="6"/>
  <c r="I5" i="5"/>
  <c r="H13" i="5"/>
  <c r="AA70" i="3"/>
  <c r="K70" i="3"/>
  <c r="J70" i="3"/>
  <c r="I70" i="3"/>
  <c r="H70" i="3"/>
  <c r="G70" i="3"/>
  <c r="F70" i="3"/>
  <c r="E70" i="3"/>
  <c r="D70" i="3"/>
  <c r="C70" i="3"/>
  <c r="J6" i="5" l="1"/>
  <c r="I10" i="5"/>
  <c r="AC182" i="3"/>
  <c r="C80" i="12"/>
  <c r="P155" i="3"/>
  <c r="P156" i="3"/>
  <c r="P160" i="3"/>
  <c r="O155" i="3"/>
  <c r="O156" i="3"/>
  <c r="O160" i="3"/>
  <c r="N155" i="3"/>
  <c r="N156" i="3"/>
  <c r="N160" i="3"/>
  <c r="M155" i="3"/>
  <c r="M156" i="3"/>
  <c r="M160" i="3"/>
  <c r="L155" i="3"/>
  <c r="L156" i="3"/>
  <c r="L160" i="3"/>
  <c r="I71" i="17"/>
  <c r="C52" i="16"/>
  <c r="C53" i="16"/>
  <c r="I72" i="17"/>
  <c r="AC167" i="3"/>
  <c r="AC170" i="3"/>
  <c r="AC168" i="3"/>
  <c r="C67" i="12"/>
  <c r="C46" i="12"/>
  <c r="AC183" i="3"/>
  <c r="C24" i="21"/>
  <c r="C26" i="21" s="1"/>
  <c r="I11" i="1" s="1"/>
  <c r="C54" i="12"/>
  <c r="I18" i="1" s="1"/>
  <c r="I6" i="14"/>
  <c r="I5" i="12"/>
  <c r="I6" i="11"/>
  <c r="Q171" i="3"/>
  <c r="G63" i="17" s="1"/>
  <c r="D11" i="17"/>
  <c r="G58" i="17"/>
  <c r="E60" i="17"/>
  <c r="D58" i="17"/>
  <c r="D60" i="17"/>
  <c r="C58" i="17"/>
  <c r="D63" i="17"/>
  <c r="C11" i="17"/>
  <c r="C60" i="17"/>
  <c r="F63" i="17"/>
  <c r="G11" i="17"/>
  <c r="E11" i="17"/>
  <c r="C63" i="17"/>
  <c r="E63" i="17"/>
  <c r="F11" i="17"/>
  <c r="H26" i="8"/>
  <c r="I5" i="8"/>
  <c r="I32" i="8" s="1"/>
  <c r="H14" i="8"/>
  <c r="H19" i="8"/>
  <c r="C22" i="11"/>
  <c r="C24" i="14"/>
  <c r="C25" i="11"/>
  <c r="C49" i="12"/>
  <c r="C70" i="12"/>
  <c r="AC70" i="3"/>
  <c r="C55" i="17"/>
  <c r="C68" i="17"/>
  <c r="C52" i="17"/>
  <c r="C54" i="17"/>
  <c r="C7" i="17"/>
  <c r="D68" i="17"/>
  <c r="D54" i="17"/>
  <c r="D7" i="17"/>
  <c r="D55" i="17"/>
  <c r="D52" i="17"/>
  <c r="E52" i="17"/>
  <c r="E68" i="17"/>
  <c r="E54" i="17"/>
  <c r="E7" i="17"/>
  <c r="E55" i="17"/>
  <c r="F68" i="17"/>
  <c r="F54" i="17"/>
  <c r="F52" i="17"/>
  <c r="F55" i="17"/>
  <c r="F7" i="17"/>
  <c r="Q176" i="3"/>
  <c r="G68" i="17" s="1"/>
  <c r="Q164" i="3"/>
  <c r="G54" i="17" s="1"/>
  <c r="G7" i="17"/>
  <c r="Q154" i="3"/>
  <c r="Q165" i="3"/>
  <c r="G55" i="17" s="1"/>
  <c r="Q159" i="3"/>
  <c r="Q161" i="3"/>
  <c r="G52" i="17" s="1"/>
  <c r="AC163" i="3"/>
  <c r="AC162" i="3"/>
  <c r="AC153" i="3"/>
  <c r="AC152" i="3"/>
  <c r="AC151" i="3"/>
  <c r="AC150" i="3"/>
  <c r="G60" i="17"/>
  <c r="F58" i="17"/>
  <c r="F60" i="17"/>
  <c r="E58" i="17"/>
  <c r="F28" i="17"/>
  <c r="F33" i="17" s="1"/>
  <c r="E28" i="17"/>
  <c r="E33" i="17" s="1"/>
  <c r="D28" i="17"/>
  <c r="D33" i="17" s="1"/>
  <c r="C28" i="17"/>
  <c r="C33" i="17" s="1"/>
  <c r="Q125" i="3"/>
  <c r="J68" i="19"/>
  <c r="I68" i="19"/>
  <c r="H68" i="19"/>
  <c r="G28" i="17"/>
  <c r="G33" i="17" s="1"/>
  <c r="E35" i="17"/>
  <c r="D35" i="17"/>
  <c r="C35" i="17"/>
  <c r="F35" i="17"/>
  <c r="AC171" i="3"/>
  <c r="I63" i="17" s="1"/>
  <c r="AC123" i="3"/>
  <c r="I28" i="17" s="1"/>
  <c r="I33" i="17" s="1"/>
  <c r="C22" i="16"/>
  <c r="AC140" i="3"/>
  <c r="L68" i="19"/>
  <c r="Q140" i="3"/>
  <c r="L81" i="19" s="1"/>
  <c r="C18" i="16"/>
  <c r="I18" i="17"/>
  <c r="F52" i="16"/>
  <c r="I75" i="17"/>
  <c r="F53" i="16"/>
  <c r="I76" i="17"/>
  <c r="F54" i="16"/>
  <c r="I77" i="17"/>
  <c r="AC169" i="3"/>
  <c r="I6" i="17"/>
  <c r="C23" i="14"/>
  <c r="C56" i="12"/>
  <c r="C33" i="16"/>
  <c r="F18" i="1"/>
  <c r="AC172" i="3"/>
  <c r="AC175" i="3"/>
  <c r="I67" i="17" s="1"/>
  <c r="C33" i="12"/>
  <c r="C36" i="12" s="1"/>
  <c r="D33" i="12"/>
  <c r="D36" i="12" s="1"/>
  <c r="F33" i="12"/>
  <c r="F36" i="12" s="1"/>
  <c r="E33" i="12"/>
  <c r="E36" i="12" s="1"/>
  <c r="G33" i="12"/>
  <c r="G36" i="12" s="1"/>
  <c r="I5" i="6"/>
  <c r="H10" i="6"/>
  <c r="H23" i="6"/>
  <c r="AC147" i="3"/>
  <c r="I46" i="17" s="1"/>
  <c r="AC146" i="3"/>
  <c r="I45" i="17" s="1"/>
  <c r="D10" i="8"/>
  <c r="G10" i="8"/>
  <c r="C5" i="10"/>
  <c r="C7" i="10" s="1"/>
  <c r="C17" i="10" s="1"/>
  <c r="J6" i="7"/>
  <c r="I27" i="7"/>
  <c r="I19" i="7"/>
  <c r="I41" i="7"/>
  <c r="I34" i="7"/>
  <c r="G18" i="12"/>
  <c r="G23" i="12"/>
  <c r="G12" i="12"/>
  <c r="G28" i="12"/>
  <c r="F18" i="12"/>
  <c r="F23" i="12"/>
  <c r="F28" i="12"/>
  <c r="F12" i="12"/>
  <c r="E28" i="12"/>
  <c r="E12" i="12"/>
  <c r="E18" i="12"/>
  <c r="E23" i="12"/>
  <c r="D28" i="12"/>
  <c r="D12" i="12"/>
  <c r="D18" i="12"/>
  <c r="D23" i="12"/>
  <c r="C12" i="12"/>
  <c r="C23" i="12"/>
  <c r="C18" i="12"/>
  <c r="C28" i="12"/>
  <c r="C10" i="8"/>
  <c r="F10" i="8"/>
  <c r="E10" i="8"/>
  <c r="I12" i="7"/>
  <c r="E23" i="7"/>
  <c r="D23" i="7"/>
  <c r="F23" i="7"/>
  <c r="G23" i="7"/>
  <c r="C23" i="7"/>
  <c r="J5" i="5"/>
  <c r="I13" i="5"/>
  <c r="K6" i="5" l="1"/>
  <c r="J10" i="5"/>
  <c r="J6" i="14"/>
  <c r="J5" i="12"/>
  <c r="J6" i="11"/>
  <c r="Q155" i="3"/>
  <c r="G12" i="17" s="1"/>
  <c r="Q156" i="3"/>
  <c r="G13" i="17" s="1"/>
  <c r="I14" i="8"/>
  <c r="I19" i="8"/>
  <c r="I26" i="8"/>
  <c r="J5" i="8"/>
  <c r="J32" i="8" s="1"/>
  <c r="C8" i="17"/>
  <c r="D8" i="17"/>
  <c r="E8" i="17"/>
  <c r="F8" i="17"/>
  <c r="G8" i="17"/>
  <c r="C32" i="14"/>
  <c r="C12" i="17"/>
  <c r="C13" i="17"/>
  <c r="D12" i="17"/>
  <c r="D13" i="17"/>
  <c r="E12" i="17"/>
  <c r="E13" i="17"/>
  <c r="F12" i="17"/>
  <c r="F13" i="17"/>
  <c r="C46" i="16"/>
  <c r="F17" i="1"/>
  <c r="C24" i="16"/>
  <c r="F22" i="16" s="1"/>
  <c r="F12" i="1"/>
  <c r="AC125" i="3"/>
  <c r="I30" i="17" s="1"/>
  <c r="I34" i="17" s="1"/>
  <c r="I10" i="17"/>
  <c r="I9" i="17"/>
  <c r="I53" i="17"/>
  <c r="AC154" i="3"/>
  <c r="I51" i="17"/>
  <c r="F30" i="17"/>
  <c r="F34" i="17" s="1"/>
  <c r="K80" i="19"/>
  <c r="E30" i="17"/>
  <c r="E34" i="17" s="1"/>
  <c r="J80" i="19"/>
  <c r="D30" i="17"/>
  <c r="D34" i="17" s="1"/>
  <c r="I80" i="19"/>
  <c r="C30" i="17"/>
  <c r="C34" i="17" s="1"/>
  <c r="H80" i="19"/>
  <c r="G30" i="17"/>
  <c r="G34" i="17" s="1"/>
  <c r="L80" i="19"/>
  <c r="I35" i="17"/>
  <c r="AC166" i="3"/>
  <c r="G35" i="17"/>
  <c r="Q166" i="3"/>
  <c r="I7" i="17"/>
  <c r="I11" i="17"/>
  <c r="C10" i="16"/>
  <c r="F38" i="16"/>
  <c r="I58" i="17"/>
  <c r="F39" i="16"/>
  <c r="I59" i="17"/>
  <c r="F40" i="16"/>
  <c r="I60" i="17"/>
  <c r="F46" i="16"/>
  <c r="I66" i="17"/>
  <c r="C8" i="16"/>
  <c r="F6" i="1"/>
  <c r="C9" i="16"/>
  <c r="F7" i="1"/>
  <c r="C40" i="16"/>
  <c r="F11" i="1"/>
  <c r="F47" i="16"/>
  <c r="F16" i="1"/>
  <c r="F33" i="16"/>
  <c r="F20" i="1"/>
  <c r="F31" i="16"/>
  <c r="F19" i="1"/>
  <c r="AC164" i="3"/>
  <c r="I54" i="17" s="1"/>
  <c r="AC165" i="3"/>
  <c r="F24" i="16"/>
  <c r="F14" i="1"/>
  <c r="AC176" i="3"/>
  <c r="I68" i="17" s="1"/>
  <c r="F3" i="1"/>
  <c r="C38" i="16"/>
  <c r="F9" i="1"/>
  <c r="C26" i="14"/>
  <c r="J5" i="6"/>
  <c r="I10" i="6"/>
  <c r="I23" i="6"/>
  <c r="Q160" i="3"/>
  <c r="C6" i="16"/>
  <c r="AC161" i="3"/>
  <c r="I52" i="17" s="1"/>
  <c r="AC159" i="3"/>
  <c r="D27" i="8"/>
  <c r="D28" i="8" s="1"/>
  <c r="G27" i="8"/>
  <c r="G28" i="8" s="1"/>
  <c r="G7" i="14" s="1"/>
  <c r="G7" i="12"/>
  <c r="D7" i="12"/>
  <c r="C16" i="10"/>
  <c r="C20" i="10" s="1"/>
  <c r="J34" i="7"/>
  <c r="J41" i="7"/>
  <c r="J12" i="7"/>
  <c r="J19" i="7"/>
  <c r="J27" i="7"/>
  <c r="K6" i="7"/>
  <c r="C7" i="12"/>
  <c r="C27" i="8"/>
  <c r="C28" i="8" s="1"/>
  <c r="F7" i="12"/>
  <c r="F27" i="8"/>
  <c r="F28" i="8" s="1"/>
  <c r="E7" i="12"/>
  <c r="E27" i="8"/>
  <c r="E28" i="8" s="1"/>
  <c r="H18" i="12"/>
  <c r="H12" i="12"/>
  <c r="H28" i="12"/>
  <c r="H23" i="12"/>
  <c r="K5" i="5"/>
  <c r="J13" i="5"/>
  <c r="K10" i="5" l="1"/>
  <c r="L6" i="5"/>
  <c r="L10" i="5" s="1"/>
  <c r="C21" i="14"/>
  <c r="C75" i="12"/>
  <c r="H7" i="14"/>
  <c r="K6" i="14"/>
  <c r="K5" i="12"/>
  <c r="K6" i="11"/>
  <c r="F14" i="12"/>
  <c r="J26" i="8"/>
  <c r="J19" i="8"/>
  <c r="J14" i="8"/>
  <c r="K5" i="8"/>
  <c r="K32" i="8" s="1"/>
  <c r="C62" i="12"/>
  <c r="C41" i="12"/>
  <c r="C15" i="11"/>
  <c r="I17" i="1" s="1"/>
  <c r="C26" i="16"/>
  <c r="F23" i="16" s="1"/>
  <c r="F13" i="1"/>
  <c r="G14" i="12"/>
  <c r="E14" i="12"/>
  <c r="C34" i="12"/>
  <c r="D14" i="12"/>
  <c r="C42" i="16"/>
  <c r="I55" i="17"/>
  <c r="F4" i="1"/>
  <c r="I8" i="17"/>
  <c r="F10" i="1"/>
  <c r="C41" i="16"/>
  <c r="F48" i="16"/>
  <c r="F15" i="1"/>
  <c r="C39" i="16"/>
  <c r="F8" i="1"/>
  <c r="D7" i="11"/>
  <c r="D8" i="12"/>
  <c r="G7" i="11"/>
  <c r="G8" i="12"/>
  <c r="K5" i="6"/>
  <c r="J23" i="6"/>
  <c r="J10" i="6"/>
  <c r="G34" i="12"/>
  <c r="AC155" i="3"/>
  <c r="C7" i="16"/>
  <c r="AC156" i="3"/>
  <c r="AC160" i="3"/>
  <c r="D7" i="14"/>
  <c r="D34" i="12"/>
  <c r="K12" i="7"/>
  <c r="K19" i="7"/>
  <c r="K27" i="7"/>
  <c r="K34" i="7"/>
  <c r="K41" i="7"/>
  <c r="L6" i="7"/>
  <c r="C7" i="11"/>
  <c r="C8" i="12"/>
  <c r="C7" i="14"/>
  <c r="F34" i="12"/>
  <c r="F7" i="11"/>
  <c r="F8" i="12"/>
  <c r="F7" i="14"/>
  <c r="E34" i="12"/>
  <c r="E7" i="11"/>
  <c r="E8" i="12"/>
  <c r="E7" i="14"/>
  <c r="I18" i="12"/>
  <c r="I12" i="12"/>
  <c r="I28" i="12"/>
  <c r="I23" i="12"/>
  <c r="L5" i="5"/>
  <c r="K13" i="5"/>
  <c r="I7" i="14" l="1"/>
  <c r="I10" i="14" s="1"/>
  <c r="L6" i="14"/>
  <c r="L5" i="12"/>
  <c r="L6" i="11"/>
  <c r="F15" i="12"/>
  <c r="K26" i="8"/>
  <c r="L5" i="8"/>
  <c r="L32" i="8" s="1"/>
  <c r="K19" i="8"/>
  <c r="K14" i="8"/>
  <c r="E15" i="12"/>
  <c r="G15" i="12"/>
  <c r="C35" i="12"/>
  <c r="D15" i="12"/>
  <c r="C11" i="16"/>
  <c r="I12" i="17"/>
  <c r="C12" i="16"/>
  <c r="I13" i="17"/>
  <c r="D35" i="12"/>
  <c r="G35" i="12"/>
  <c r="L5" i="6"/>
  <c r="K23" i="6"/>
  <c r="K10" i="6"/>
  <c r="L12" i="7"/>
  <c r="L27" i="7"/>
  <c r="L19" i="7"/>
  <c r="L41" i="7"/>
  <c r="L34" i="7"/>
  <c r="H10" i="14"/>
  <c r="F35" i="12"/>
  <c r="E35" i="12"/>
  <c r="J18" i="12"/>
  <c r="J23" i="12"/>
  <c r="J28" i="12"/>
  <c r="J12" i="12"/>
  <c r="L13" i="5"/>
  <c r="J7" i="14" l="1"/>
  <c r="L14" i="8"/>
  <c r="L19" i="8"/>
  <c r="L26" i="8"/>
  <c r="L10" i="6"/>
  <c r="L23" i="6"/>
  <c r="K28" i="12"/>
  <c r="K12" i="12"/>
  <c r="K18" i="12"/>
  <c r="K23" i="12"/>
  <c r="J10" i="14" l="1"/>
  <c r="K7" i="14"/>
  <c r="L12" i="12"/>
  <c r="L18" i="12"/>
  <c r="L23" i="12"/>
  <c r="L28" i="12"/>
  <c r="K10" i="14" l="1"/>
  <c r="L7" i="14"/>
  <c r="AC66" i="3"/>
  <c r="L10" i="14" l="1"/>
  <c r="C29" i="14" s="1"/>
  <c r="L8" i="14"/>
  <c r="L11" i="14" s="1"/>
  <c r="C30" i="14" s="1"/>
  <c r="AE6" i="5"/>
  <c r="AE7" i="5"/>
  <c r="AE8" i="5"/>
  <c r="AA10" i="5"/>
  <c r="C31" i="14" l="1"/>
  <c r="C34" i="14" s="1"/>
  <c r="C36" i="14" s="1"/>
  <c r="C16" i="14" s="1"/>
  <c r="I14" i="1" s="1"/>
  <c r="X6" i="6"/>
  <c r="X14" i="6" s="1"/>
  <c r="AB14" i="6" s="1"/>
  <c r="AE10" i="5"/>
  <c r="AB6" i="6" s="1"/>
  <c r="AA18" i="5"/>
  <c r="X17" i="6" l="1"/>
  <c r="AB17" i="6" s="1"/>
  <c r="X16" i="6"/>
  <c r="AB18" i="6"/>
  <c r="X13" i="6"/>
  <c r="AB13" i="6" s="1"/>
  <c r="X12" i="6"/>
  <c r="AB12" i="6" s="1"/>
  <c r="X11" i="6"/>
  <c r="X15" i="6" l="1"/>
  <c r="X28" i="6" s="1"/>
  <c r="AB16" i="6"/>
  <c r="X19" i="6"/>
  <c r="AB11" i="6"/>
  <c r="AB15" i="6" s="1"/>
  <c r="X31" i="6" l="1"/>
  <c r="AB19" i="6"/>
  <c r="H10" i="5"/>
  <c r="H6" i="6" l="1"/>
  <c r="H14" i="6" s="1"/>
  <c r="H7" i="7"/>
  <c r="H6" i="8"/>
  <c r="H18" i="5"/>
  <c r="H6" i="12"/>
  <c r="H13" i="12" s="1"/>
  <c r="H16" i="6" l="1"/>
  <c r="H11" i="6"/>
  <c r="H13" i="6"/>
  <c r="H17" i="6"/>
  <c r="H12" i="6"/>
  <c r="H42" i="7"/>
  <c r="H36" i="7"/>
  <c r="H13" i="7"/>
  <c r="H28" i="7" s="1"/>
  <c r="H45" i="7"/>
  <c r="H21" i="8" s="1"/>
  <c r="H15" i="6" l="1"/>
  <c r="H28" i="6" s="1"/>
  <c r="H44" i="7"/>
  <c r="H20" i="8"/>
  <c r="H19" i="6"/>
  <c r="H31" i="6" l="1"/>
  <c r="H9" i="8"/>
  <c r="H8" i="7"/>
  <c r="H7" i="8"/>
  <c r="H8" i="8" s="1"/>
  <c r="H14" i="7" l="1"/>
  <c r="H29" i="7" s="1"/>
  <c r="H15" i="7"/>
  <c r="H30" i="7" s="1"/>
  <c r="H10" i="8"/>
  <c r="H33" i="8"/>
  <c r="H27" i="8" l="1"/>
  <c r="H34" i="8"/>
  <c r="H7" i="12"/>
  <c r="H35" i="7"/>
  <c r="H22" i="8" s="1"/>
  <c r="H28" i="8" l="1"/>
  <c r="H14" i="12"/>
  <c r="H7" i="11" l="1"/>
  <c r="H10" i="11" s="1"/>
  <c r="H9" i="12" s="1"/>
  <c r="H8" i="12"/>
  <c r="H15" i="12" s="1"/>
  <c r="I6" i="6" l="1"/>
  <c r="I14" i="6" s="1"/>
  <c r="I6" i="8"/>
  <c r="I6" i="12"/>
  <c r="I13" i="12" s="1"/>
  <c r="I18" i="5"/>
  <c r="I7" i="7"/>
  <c r="I11" i="6" l="1"/>
  <c r="I12" i="6"/>
  <c r="I13" i="6"/>
  <c r="I16" i="6"/>
  <c r="I17" i="6"/>
  <c r="I13" i="7"/>
  <c r="I28" i="7" s="1"/>
  <c r="I36" i="7"/>
  <c r="I42" i="7"/>
  <c r="I45" i="7"/>
  <c r="I21" i="8" s="1"/>
  <c r="I15" i="6" l="1"/>
  <c r="I20" i="8"/>
  <c r="I44" i="7"/>
  <c r="I19" i="6"/>
  <c r="I7" i="8" l="1"/>
  <c r="I8" i="8" s="1"/>
  <c r="I33" i="8" s="1"/>
  <c r="I28" i="6"/>
  <c r="I8" i="7"/>
  <c r="I31" i="6"/>
  <c r="I9" i="8"/>
  <c r="I14" i="7" l="1"/>
  <c r="I29" i="7" s="1"/>
  <c r="I15" i="7"/>
  <c r="I30" i="7" s="1"/>
  <c r="I10" i="8"/>
  <c r="I35" i="7" l="1"/>
  <c r="I22" i="8" s="1"/>
  <c r="I27" i="8"/>
  <c r="I34" i="8"/>
  <c r="I7" i="12"/>
  <c r="I14" i="12" s="1"/>
  <c r="I28" i="8" l="1"/>
  <c r="I8" i="12" l="1"/>
  <c r="I15" i="12" s="1"/>
  <c r="I7" i="11"/>
  <c r="I10" i="11" s="1"/>
  <c r="I9" i="12" s="1"/>
  <c r="J6" i="6" l="1"/>
  <c r="J6" i="8"/>
  <c r="J6" i="12"/>
  <c r="J13" i="12" s="1"/>
  <c r="J18" i="5"/>
  <c r="J7" i="7"/>
  <c r="J13" i="7" s="1"/>
  <c r="J28" i="7" s="1"/>
  <c r="J11" i="6" l="1"/>
  <c r="J14" i="6"/>
  <c r="J12" i="6"/>
  <c r="J13" i="6"/>
  <c r="J36" i="7"/>
  <c r="J42" i="7"/>
  <c r="J45" i="7"/>
  <c r="J21" i="8" s="1"/>
  <c r="J16" i="6"/>
  <c r="J17" i="6"/>
  <c r="J15" i="6" l="1"/>
  <c r="J20" i="8"/>
  <c r="J44" i="7"/>
  <c r="J19" i="6"/>
  <c r="J28" i="6" l="1"/>
  <c r="J7" i="8"/>
  <c r="J8" i="8" s="1"/>
  <c r="J33" i="8" s="1"/>
  <c r="J8" i="7"/>
  <c r="J9" i="8"/>
  <c r="J31" i="6"/>
  <c r="J10" i="8" l="1"/>
  <c r="J15" i="7"/>
  <c r="J30" i="7" s="1"/>
  <c r="J14" i="7"/>
  <c r="J29" i="7" s="1"/>
  <c r="J35" i="7" l="1"/>
  <c r="J22" i="8" s="1"/>
  <c r="J27" i="8"/>
  <c r="J7" i="12"/>
  <c r="J14" i="12" s="1"/>
  <c r="J34" i="8"/>
  <c r="J28" i="8" l="1"/>
  <c r="K6" i="6"/>
  <c r="K14" i="6" s="1"/>
  <c r="K6" i="8"/>
  <c r="K6" i="12"/>
  <c r="K13" i="12" s="1"/>
  <c r="K18" i="5"/>
  <c r="K7" i="7"/>
  <c r="J8" i="12" l="1"/>
  <c r="J15" i="12" s="1"/>
  <c r="J7" i="11"/>
  <c r="J10" i="11" s="1"/>
  <c r="J9" i="12" s="1"/>
  <c r="K12" i="6"/>
  <c r="K11" i="6"/>
  <c r="K13" i="7"/>
  <c r="K28" i="7" s="1"/>
  <c r="K36" i="7"/>
  <c r="K42" i="7"/>
  <c r="K45" i="7"/>
  <c r="K21" i="8" s="1"/>
  <c r="K13" i="6"/>
  <c r="K16" i="6"/>
  <c r="K17" i="6"/>
  <c r="K15" i="6" l="1"/>
  <c r="K19" i="6"/>
  <c r="K20" i="8"/>
  <c r="K44" i="7"/>
  <c r="K31" i="6" l="1"/>
  <c r="K9" i="8"/>
  <c r="K8" i="7"/>
  <c r="K7" i="8"/>
  <c r="K8" i="8" s="1"/>
  <c r="K28" i="6"/>
  <c r="K14" i="7" l="1"/>
  <c r="K29" i="7" s="1"/>
  <c r="K15" i="7"/>
  <c r="K30" i="7" s="1"/>
  <c r="K33" i="8"/>
  <c r="K10" i="8"/>
  <c r="K35" i="7" l="1"/>
  <c r="K22" i="8" s="1"/>
  <c r="K27" i="8"/>
  <c r="K7" i="12"/>
  <c r="K14" i="12" s="1"/>
  <c r="K34" i="8"/>
  <c r="K28" i="8" l="1"/>
  <c r="L6" i="6"/>
  <c r="L14" i="6" s="1"/>
  <c r="L6" i="8"/>
  <c r="L6" i="12"/>
  <c r="C74" i="12" s="1"/>
  <c r="C77" i="12" s="1"/>
  <c r="C78" i="12" s="1"/>
  <c r="L18" i="5"/>
  <c r="L7" i="7"/>
  <c r="K8" i="12" l="1"/>
  <c r="K15" i="12" s="1"/>
  <c r="K7" i="11"/>
  <c r="K10" i="11" s="1"/>
  <c r="K9" i="12" s="1"/>
  <c r="C79" i="12" s="1"/>
  <c r="C82" i="12" s="1"/>
  <c r="C84" i="12" s="1"/>
  <c r="C9" i="13" s="1"/>
  <c r="I7" i="1" s="1"/>
  <c r="L13" i="7"/>
  <c r="L28" i="7" s="1"/>
  <c r="L36" i="7"/>
  <c r="L13" i="12"/>
  <c r="C53" i="12"/>
  <c r="C57" i="12" s="1"/>
  <c r="C58" i="12" s="1"/>
  <c r="C7" i="13" s="1"/>
  <c r="I5" i="1" s="1"/>
  <c r="L12" i="6"/>
  <c r="L13" i="6"/>
  <c r="L16" i="6"/>
  <c r="L17" i="6"/>
  <c r="L11" i="6"/>
  <c r="L42" i="7"/>
  <c r="L45" i="7"/>
  <c r="L21" i="8" s="1"/>
  <c r="L15" i="6" l="1"/>
  <c r="L20" i="8"/>
  <c r="L44" i="7"/>
  <c r="L19" i="6"/>
  <c r="L31" i="6" l="1"/>
  <c r="L9" i="8"/>
  <c r="L28" i="6"/>
  <c r="L7" i="8"/>
  <c r="L8" i="8" s="1"/>
  <c r="L33" i="8" s="1"/>
  <c r="L8" i="7"/>
  <c r="L10" i="8" l="1"/>
  <c r="L15" i="7"/>
  <c r="L30" i="7" s="1"/>
  <c r="L14" i="7"/>
  <c r="L29" i="7" s="1"/>
  <c r="L7" i="12" l="1"/>
  <c r="L27" i="8"/>
  <c r="L34" i="8"/>
  <c r="L35" i="7"/>
  <c r="L22" i="8" s="1"/>
  <c r="C40" i="12" l="1"/>
  <c r="C43" i="12" s="1"/>
  <c r="C44" i="12" s="1"/>
  <c r="C45" i="12" s="1"/>
  <c r="C48" i="12" s="1"/>
  <c r="C50" i="12" s="1"/>
  <c r="C6" i="13" s="1"/>
  <c r="I4" i="1" s="1"/>
  <c r="L14" i="12"/>
  <c r="L28" i="8"/>
  <c r="L8" i="12" l="1"/>
  <c r="L7" i="11"/>
  <c r="C61" i="12" l="1"/>
  <c r="C64" i="12" s="1"/>
  <c r="C65" i="12" s="1"/>
  <c r="C66" i="12" s="1"/>
  <c r="C69" i="12" s="1"/>
  <c r="C71" i="12" s="1"/>
  <c r="C8" i="13" s="1"/>
  <c r="I6" i="1" s="1"/>
  <c r="L15" i="12"/>
  <c r="L10" i="11"/>
  <c r="L8" i="11"/>
  <c r="L11" i="11" s="1"/>
  <c r="C20" i="11" s="1"/>
  <c r="C19" i="11" l="1"/>
  <c r="C21" i="11" s="1"/>
  <c r="C24" i="11" s="1"/>
  <c r="C26" i="11" s="1"/>
  <c r="C5" i="13" s="1"/>
  <c r="C10" i="13" s="1"/>
  <c r="L9" i="12"/>
  <c r="I3" i="1" l="1"/>
  <c r="C12" i="13" l="1"/>
  <c r="I9" i="1" s="1"/>
  <c r="I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tc={22B2B3EF-EBF6-0D4F-BF74-BA371A77FD6F}</author>
    <author>tc={8A10573A-B1E5-5443-A272-E27CCC9C056F}</author>
  </authors>
  <commentList>
    <comment ref="B84" authorId="0" shapeId="0" xr:uid="{22B2B3EF-EBF6-0D4F-BF74-BA371A77FD6F}">
      <text>
        <t>[Threaded comment]
Your version of Excel allows you to read this threaded comment; however, any edits to it will get removed if the file is opened in a newer version of Excel. Learn more: https://go.microsoft.com/fwlink/?linkid=870924
Comment:
    Actual number</t>
      </text>
    </comment>
    <comment ref="B116" authorId="1" shapeId="0" xr:uid="{8A10573A-B1E5-5443-A272-E27CCC9C056F}">
      <text>
        <t>[Threaded comment]
Your version of Excel allows you to read this threaded comment; however, any edits to it will get removed if the file is opened in a newer version of Excel. Learn more: https://go.microsoft.com/fwlink/?linkid=870924
Comment:
    Take the closing price of the last day of the period. In case the price has seen heavy fluctuations make an average of the last days. Info found at Yahoo Finance in the Historical Data section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tc={87FCD2F5-1815-1140-9144-DCAA38F9CA74}</author>
  </authors>
  <commentList>
    <comment ref="B35" authorId="0" shapeId="0" xr:uid="{87FCD2F5-1815-1140-9144-DCAA38F9CA74}">
      <text>
        <t>[Threaded comment]
Your version of Excel allows you to read this threaded comment; however, any edits to it will get removed if the file is opened in a newer version of Excel. Learn more: https://go.microsoft.com/fwlink/?linkid=870924
Comment:
    We use here the inverted signg as are used in the CashFlow statement which means we will Add the change in NWC to the NOPAT instead of subtracting it</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2"/>
        </ext>
      </extLst>
    </bk>
    <bk>
      <extLst>
        <ext uri="{3e2802c4-a4d2-4d8b-9148-e3be6c30e623}">
          <xlrd:rvb i="5"/>
        </ext>
      </extLst>
    </bk>
  </futureMetadata>
  <cellMetadata count="1">
    <bk>
      <rc t="1" v="0"/>
    </bk>
  </cellMetadata>
  <valueMetadata count="2">
    <bk>
      <rc t="2" v="0"/>
    </bk>
    <bk>
      <rc t="2" v="1"/>
    </bk>
  </valueMetadata>
</metadata>
</file>

<file path=xl/sharedStrings.xml><?xml version="1.0" encoding="utf-8"?>
<sst xmlns="http://schemas.openxmlformats.org/spreadsheetml/2006/main" count="832" uniqueCount="448">
  <si>
    <t>Ticker</t>
  </si>
  <si>
    <t>Price</t>
  </si>
  <si>
    <t>Price Extended Hours</t>
  </si>
  <si>
    <t>Day change</t>
  </si>
  <si>
    <t>Day change extended</t>
  </si>
  <si>
    <t>Day change %</t>
  </si>
  <si>
    <t>Day change extended %</t>
  </si>
  <si>
    <t>52 week high</t>
  </si>
  <si>
    <t>52 week low</t>
  </si>
  <si>
    <t>Beta</t>
  </si>
  <si>
    <t>Avg volume</t>
  </si>
  <si>
    <t>Company</t>
  </si>
  <si>
    <t>Units</t>
  </si>
  <si>
    <t>Units conversion</t>
  </si>
  <si>
    <t>Financials -&gt;</t>
  </si>
  <si>
    <t>Date</t>
  </si>
  <si>
    <t>FY</t>
  </si>
  <si>
    <t>Automatic Data</t>
  </si>
  <si>
    <t>Income statement</t>
  </si>
  <si>
    <t>Revenue</t>
  </si>
  <si>
    <t>COGS</t>
  </si>
  <si>
    <t>Gross Profit</t>
  </si>
  <si>
    <t>R&amp;D</t>
  </si>
  <si>
    <t>Sales and marketing</t>
  </si>
  <si>
    <t>OpEx</t>
  </si>
  <si>
    <t>Operating income</t>
  </si>
  <si>
    <t>Interest income/expense</t>
  </si>
  <si>
    <t>Other income/expense</t>
  </si>
  <si>
    <t>Income before taxes</t>
  </si>
  <si>
    <t>Income tax expense/benefit</t>
  </si>
  <si>
    <t>Net income</t>
  </si>
  <si>
    <t>Basic Shares outstanding avg</t>
  </si>
  <si>
    <t>Basic Shares outstanding avg adjusted</t>
  </si>
  <si>
    <t>Diluted Shares outstanding avg</t>
  </si>
  <si>
    <t>Diluted Shares outstanding avg adjusted</t>
  </si>
  <si>
    <t>Basic EPS</t>
  </si>
  <si>
    <t>Basic EPS adjusted</t>
  </si>
  <si>
    <t>Diluted EPS</t>
  </si>
  <si>
    <t>Diluted EPS adjusted</t>
  </si>
  <si>
    <t>Balance sheet</t>
  </si>
  <si>
    <t>Cash and cash equivalents</t>
  </si>
  <si>
    <t>Acc receivable</t>
  </si>
  <si>
    <t>Current assets</t>
  </si>
  <si>
    <t>PP&amp;E</t>
  </si>
  <si>
    <t>Goodwill</t>
  </si>
  <si>
    <t>Long term assets</t>
  </si>
  <si>
    <t>Total assets</t>
  </si>
  <si>
    <t>Acc payable</t>
  </si>
  <si>
    <t>Current liabilities</t>
  </si>
  <si>
    <t>Long term liabilities</t>
  </si>
  <si>
    <t>Total liabilities</t>
  </si>
  <si>
    <t>Paid in capital</t>
  </si>
  <si>
    <t>Treasury stock</t>
  </si>
  <si>
    <t>Stockholder equity</t>
  </si>
  <si>
    <t>Total liabilities and equity</t>
  </si>
  <si>
    <t>Cashflow statement</t>
  </si>
  <si>
    <t>D&amp;A</t>
  </si>
  <si>
    <t>Stock-based compensation</t>
  </si>
  <si>
    <t>Operating cashflow</t>
  </si>
  <si>
    <t>CapEx</t>
  </si>
  <si>
    <t>Investing cashflow</t>
  </si>
  <si>
    <t>Repurchase stock</t>
  </si>
  <si>
    <t>Financing cashflow</t>
  </si>
  <si>
    <t>Sanity checks</t>
  </si>
  <si>
    <t>Calculated Net Income</t>
  </si>
  <si>
    <t>Check Net Income</t>
  </si>
  <si>
    <t>Check balance</t>
  </si>
  <si>
    <t>Other data</t>
  </si>
  <si>
    <t>Shares outstanding</t>
  </si>
  <si>
    <t>Split adjusted shares outstanding</t>
  </si>
  <si>
    <t>Dividends per share</t>
  </si>
  <si>
    <t>Split adjusted dividends per share</t>
  </si>
  <si>
    <t>Tax rate</t>
  </si>
  <si>
    <t>Employees</t>
  </si>
  <si>
    <t>Stock split factor</t>
  </si>
  <si>
    <t>Growth rates Income Statement</t>
  </si>
  <si>
    <t>Margins</t>
  </si>
  <si>
    <t>Gross margin</t>
  </si>
  <si>
    <t>Operating margin</t>
  </si>
  <si>
    <t>Net margin</t>
  </si>
  <si>
    <t>Revenue and Costs breakdown</t>
  </si>
  <si>
    <t>Market data</t>
  </si>
  <si>
    <t>Last market price for period</t>
  </si>
  <si>
    <t>TTM/YTD</t>
  </si>
  <si>
    <t>Q4 2025</t>
  </si>
  <si>
    <t>Q3 2026</t>
  </si>
  <si>
    <t>Q3 2025</t>
  </si>
  <si>
    <t>Q2 2026</t>
  </si>
  <si>
    <t>Q2 2025</t>
  </si>
  <si>
    <t>Q1 2026</t>
  </si>
  <si>
    <t>Unit data and other info</t>
  </si>
  <si>
    <t>Has operating lease</t>
  </si>
  <si>
    <t>Yes</t>
  </si>
  <si>
    <t>Has finance lease</t>
  </si>
  <si>
    <t>No</t>
  </si>
  <si>
    <t>Has debt</t>
  </si>
  <si>
    <t>Change in accounts receivable</t>
  </si>
  <si>
    <t>Change in accounts payable</t>
  </si>
  <si>
    <t>Change in other operating NWC</t>
  </si>
  <si>
    <t>Capitalized software</t>
  </si>
  <si>
    <t>Profit Margin (Earnings/Revenue)</t>
  </si>
  <si>
    <t>Asset Turnover (Revenue/Total assets)</t>
  </si>
  <si>
    <t>ROA</t>
  </si>
  <si>
    <t>Equity Multiplier (Total assets/Equity)</t>
  </si>
  <si>
    <t>ROE</t>
  </si>
  <si>
    <t>ROIC</t>
  </si>
  <si>
    <t>DuPont Identity and performance</t>
  </si>
  <si>
    <t>Constants</t>
  </si>
  <si>
    <t>Default tax rate</t>
  </si>
  <si>
    <t>Adjustments</t>
  </si>
  <si>
    <t>Company metrics</t>
  </si>
  <si>
    <t>Forecast -&gt;</t>
  </si>
  <si>
    <t>Revenue forecast</t>
  </si>
  <si>
    <t>History</t>
  </si>
  <si>
    <t>Forecast</t>
  </si>
  <si>
    <t>TTM</t>
  </si>
  <si>
    <t>Revenues</t>
  </si>
  <si>
    <t>Revenues (thousand)</t>
  </si>
  <si>
    <t>FQ1</t>
  </si>
  <si>
    <t>FQ2</t>
  </si>
  <si>
    <t>FQ3</t>
  </si>
  <si>
    <t>Total</t>
  </si>
  <si>
    <t>Growth rates</t>
  </si>
  <si>
    <t>Revenue growth %</t>
  </si>
  <si>
    <t>COGS &amp; OpEx forecast</t>
  </si>
  <si>
    <t>COGS and OpEx</t>
  </si>
  <si>
    <t>COGS &amp; OpEx</t>
  </si>
  <si>
    <t>Expenses (thousand)</t>
  </si>
  <si>
    <t>Expenses % of Revenue</t>
  </si>
  <si>
    <t>% of revenue</t>
  </si>
  <si>
    <t>Expenses (tnousand)</t>
  </si>
  <si>
    <t>Working Capital, Capex, D&amp;A</t>
  </si>
  <si>
    <t>Working Capital</t>
  </si>
  <si>
    <t>$ (thousand)</t>
  </si>
  <si>
    <t>Accounts receivable</t>
  </si>
  <si>
    <t>Inventory</t>
  </si>
  <si>
    <t>Accounts payable</t>
  </si>
  <si>
    <t>WC metrics and drivers</t>
  </si>
  <si>
    <t>Days</t>
  </si>
  <si>
    <t>DSO</t>
  </si>
  <si>
    <t>DIO</t>
  </si>
  <si>
    <t>DPO</t>
  </si>
  <si>
    <t>Net trade cycle</t>
  </si>
  <si>
    <t>Change in SIP NWC</t>
  </si>
  <si>
    <t>Change in acc receivable</t>
  </si>
  <si>
    <t>Change in inventory</t>
  </si>
  <si>
    <t>Change in acc payable</t>
  </si>
  <si>
    <t>Total change in NWC and less SIP</t>
  </si>
  <si>
    <t>Total change in NWC</t>
  </si>
  <si>
    <t>Change in NWC less SIP</t>
  </si>
  <si>
    <t>Investments</t>
  </si>
  <si>
    <t>% of Revenue</t>
  </si>
  <si>
    <t>% of CapEx</t>
  </si>
  <si>
    <t>Results</t>
  </si>
  <si>
    <t>From Revenue Sheet</t>
  </si>
  <si>
    <t>From COGS and OpEx Sheet</t>
  </si>
  <si>
    <t>Gross profit</t>
  </si>
  <si>
    <t>EBIT</t>
  </si>
  <si>
    <t>Drivers</t>
  </si>
  <si>
    <t>Cash Flow Statement</t>
  </si>
  <si>
    <t>From WC &amp; Investments Sheet</t>
  </si>
  <si>
    <t>Change in NWC</t>
  </si>
  <si>
    <t>NOPAT</t>
  </si>
  <si>
    <t>From Statements and Overview sheet</t>
  </si>
  <si>
    <t>Valuation -&gt;</t>
  </si>
  <si>
    <t>WACC</t>
  </si>
  <si>
    <t>Inputs</t>
  </si>
  <si>
    <t>Shares Outstanding</t>
  </si>
  <si>
    <t>Equity</t>
  </si>
  <si>
    <t>Debt</t>
  </si>
  <si>
    <t>Risk free rate</t>
  </si>
  <si>
    <t>Market risk premium</t>
  </si>
  <si>
    <t>Cost of debt</t>
  </si>
  <si>
    <t>Calculations</t>
  </si>
  <si>
    <t>Debt/(Debt+Equity)</t>
  </si>
  <si>
    <t>Equity/(Debt+Equity)</t>
  </si>
  <si>
    <t>Cost of debt with tax</t>
  </si>
  <si>
    <t>Cost of equity</t>
  </si>
  <si>
    <t>Cash</t>
  </si>
  <si>
    <t>DCF</t>
  </si>
  <si>
    <t>PV of FCF</t>
  </si>
  <si>
    <t>Perpetual cashflow</t>
  </si>
  <si>
    <t>Period</t>
  </si>
  <si>
    <t>PV of Perpetual cashflow</t>
  </si>
  <si>
    <t>Input parameters</t>
  </si>
  <si>
    <t>Perpetual growth</t>
  </si>
  <si>
    <t>Result</t>
  </si>
  <si>
    <t>Total PV of Unlevered FCF</t>
  </si>
  <si>
    <t>Enterprise value</t>
  </si>
  <si>
    <t>(+) Cash</t>
  </si>
  <si>
    <t>(-) Debt</t>
  </si>
  <si>
    <t>Equity value</t>
  </si>
  <si>
    <t>Price per share</t>
  </si>
  <si>
    <t>Multiples valuations</t>
  </si>
  <si>
    <t>Revenues, earnings cash</t>
  </si>
  <si>
    <t>% Growth</t>
  </si>
  <si>
    <t>Shares</t>
  </si>
  <si>
    <t>Avg diluted shares</t>
  </si>
  <si>
    <t>Dilution rate</t>
  </si>
  <si>
    <t>Historical price</t>
  </si>
  <si>
    <t>Historical ratios</t>
  </si>
  <si>
    <t>PS</t>
  </si>
  <si>
    <t>Market Cap</t>
  </si>
  <si>
    <t>EV</t>
  </si>
  <si>
    <t>EV/EBIT</t>
  </si>
  <si>
    <t>EV/EBIT valuation</t>
  </si>
  <si>
    <t>Year 5 EBIT</t>
  </si>
  <si>
    <t>Applied EV/EBIT ratio</t>
  </si>
  <si>
    <t>Shares outstanding diluted</t>
  </si>
  <si>
    <t>PV of price per share</t>
  </si>
  <si>
    <t>PS valuation</t>
  </si>
  <si>
    <t>Year 5 sales</t>
  </si>
  <si>
    <t>Applied PS ratio</t>
  </si>
  <si>
    <t>AVG target price</t>
  </si>
  <si>
    <t>AVG  target price</t>
  </si>
  <si>
    <t>DCF price</t>
  </si>
  <si>
    <t>EV/EBIT price</t>
  </si>
  <si>
    <t>PS price</t>
  </si>
  <si>
    <t>AVG price</t>
  </si>
  <si>
    <t>Current price</t>
  </si>
  <si>
    <t>Upside/Downside</t>
  </si>
  <si>
    <t>Reverse DCF</t>
  </si>
  <si>
    <t>Growth adjustment</t>
  </si>
  <si>
    <t>Current Price</t>
  </si>
  <si>
    <t>Calculated Price</t>
  </si>
  <si>
    <t>Modify until Calculated Price is very close to Current Price</t>
  </si>
  <si>
    <t>Market cap</t>
  </si>
  <si>
    <t>Enterprise Value</t>
  </si>
  <si>
    <t>Company guidance next Quarter</t>
  </si>
  <si>
    <t>Revenue Lower</t>
  </si>
  <si>
    <t>Revenue Upper</t>
  </si>
  <si>
    <t>Actual Revenue</t>
  </si>
  <si>
    <t>Analysis -&gt;</t>
  </si>
  <si>
    <t>Overview</t>
  </si>
  <si>
    <t>Dilutive shares</t>
  </si>
  <si>
    <t>Split adjusted dilutive shares</t>
  </si>
  <si>
    <t>Split adjusted diluted shares</t>
  </si>
  <si>
    <t>PE</t>
  </si>
  <si>
    <t>PB</t>
  </si>
  <si>
    <t>Market capitalization</t>
  </si>
  <si>
    <t>CAGR</t>
  </si>
  <si>
    <t>5Y</t>
  </si>
  <si>
    <t>10Y</t>
  </si>
  <si>
    <t>EPS</t>
  </si>
  <si>
    <t>Dividend</t>
  </si>
  <si>
    <t>DuPont Identity</t>
  </si>
  <si>
    <t>Earnings quality</t>
  </si>
  <si>
    <t>Operating cash</t>
  </si>
  <si>
    <t>Metrics and ratios</t>
  </si>
  <si>
    <t>Performance indicators</t>
  </si>
  <si>
    <t>Cash conversion cycle</t>
  </si>
  <si>
    <t>Debt to Equity</t>
  </si>
  <si>
    <t>Quick ratio</t>
  </si>
  <si>
    <t>Current ratio</t>
  </si>
  <si>
    <t>Cash accruals</t>
  </si>
  <si>
    <t>Net debt to equity</t>
  </si>
  <si>
    <t>Liquidity ratios</t>
  </si>
  <si>
    <t>Debt/Equity</t>
  </si>
  <si>
    <t>Net Debt/Equity</t>
  </si>
  <si>
    <t>Interest coverage</t>
  </si>
  <si>
    <t>EV/Revenue</t>
  </si>
  <si>
    <t>FCFE</t>
  </si>
  <si>
    <t>FCFF</t>
  </si>
  <si>
    <t>P/FCF</t>
  </si>
  <si>
    <t>EV/FCF</t>
  </si>
  <si>
    <t>FCF Yield</t>
  </si>
  <si>
    <t>Earnings yield</t>
  </si>
  <si>
    <t>Dividend yield</t>
  </si>
  <si>
    <t>Earnings yields</t>
  </si>
  <si>
    <t>FCF yield</t>
  </si>
  <si>
    <t>Dividend payout ratio</t>
  </si>
  <si>
    <t>Payout ratios</t>
  </si>
  <si>
    <t>Buyback payout ratio</t>
  </si>
  <si>
    <t>Full payout ratio</t>
  </si>
  <si>
    <t>TTM/YTD data</t>
  </si>
  <si>
    <t>Shares held by insiders</t>
  </si>
  <si>
    <t>Split adjusted shares held by insiders</t>
  </si>
  <si>
    <t>Insider ownership</t>
  </si>
  <si>
    <t>Cash per share</t>
  </si>
  <si>
    <t>Ownership</t>
  </si>
  <si>
    <t>Stock based compensation % OCF</t>
  </si>
  <si>
    <t>Stock based compensation % Revenue</t>
  </si>
  <si>
    <t>Stock based compensation</t>
  </si>
  <si>
    <t>Total payout ratio</t>
  </si>
  <si>
    <t>Dividends</t>
  </si>
  <si>
    <t>Cash holdings</t>
  </si>
  <si>
    <t>Net cash per share</t>
  </si>
  <si>
    <t>At a glance</t>
  </si>
  <si>
    <t>Earnings Yield</t>
  </si>
  <si>
    <t>Dividend Yield</t>
  </si>
  <si>
    <t>Net Cash/Market Cap</t>
  </si>
  <si>
    <t>Net cash to market cap</t>
  </si>
  <si>
    <t>Buyback yield</t>
  </si>
  <si>
    <t>Buyback Yield</t>
  </si>
  <si>
    <t>Total shareholder yield</t>
  </si>
  <si>
    <t>Net Cash/Share</t>
  </si>
  <si>
    <t>Insider Ownership</t>
  </si>
  <si>
    <t>Net Trade Cycle</t>
  </si>
  <si>
    <t>Quick Ratio</t>
  </si>
  <si>
    <t>Capex</t>
  </si>
  <si>
    <t>CapEx to Revenue</t>
  </si>
  <si>
    <t>CapEx to OCF</t>
  </si>
  <si>
    <t>CapEx to D&amp;A</t>
  </si>
  <si>
    <t>CapEx usage</t>
  </si>
  <si>
    <t>Capex to Revenue</t>
  </si>
  <si>
    <t>Performance Indicators</t>
  </si>
  <si>
    <t>Stock Based Compensation</t>
  </si>
  <si>
    <t>CapEx Usage</t>
  </si>
  <si>
    <t>Operating Income</t>
  </si>
  <si>
    <t>Net Income</t>
  </si>
  <si>
    <t>Growth rates breakdown</t>
  </si>
  <si>
    <t>Growth rate breakdown</t>
  </si>
  <si>
    <t>Other growth rates</t>
  </si>
  <si>
    <t>Latest 2 quarters</t>
  </si>
  <si>
    <t>YoY</t>
  </si>
  <si>
    <t>Growth</t>
  </si>
  <si>
    <t>Operating profit</t>
  </si>
  <si>
    <t>Diluted shares outstanding</t>
  </si>
  <si>
    <t>Revenue breakdown</t>
  </si>
  <si>
    <t>Income statement growth</t>
  </si>
  <si>
    <t>PV of FCFF</t>
  </si>
  <si>
    <t>EV/FCFF</t>
  </si>
  <si>
    <t>EV/FCFF valuation</t>
  </si>
  <si>
    <t>EV/FCFF price</t>
  </si>
  <si>
    <t>FCFF Growth</t>
  </si>
  <si>
    <t>Valuation</t>
  </si>
  <si>
    <t>30.04.2026</t>
  </si>
  <si>
    <t>Q1 2027</t>
  </si>
  <si>
    <t>Non-controlling interest</t>
  </si>
  <si>
    <t>Net income with non-controlling</t>
  </si>
  <si>
    <t>Equity with non-controlling</t>
  </si>
  <si>
    <t>Dividends to minority interest</t>
  </si>
  <si>
    <t>Preferred stock</t>
  </si>
  <si>
    <t>Accumulated income/loss</t>
  </si>
  <si>
    <t>%</t>
  </si>
  <si>
    <t>Info</t>
  </si>
  <si>
    <t>Mission:</t>
  </si>
  <si>
    <t>Auditor:</t>
  </si>
  <si>
    <t>Notes</t>
  </si>
  <si>
    <t>Date:</t>
  </si>
  <si>
    <t>10 Year Bond Yield</t>
  </si>
  <si>
    <t>Percentage</t>
  </si>
  <si>
    <t>Last market price for period adjusted</t>
  </si>
  <si>
    <t>FCFF/Sales (FCFF Margin)</t>
  </si>
  <si>
    <t>FCFE/Sales (FCFE Margin)</t>
  </si>
  <si>
    <t>Manual WACC</t>
  </si>
  <si>
    <t>Discount rate</t>
  </si>
  <si>
    <t>Applied EV/FCFF ratio</t>
  </si>
  <si>
    <t>Common size growth rates</t>
  </si>
  <si>
    <t>Price 5y</t>
  </si>
  <si>
    <t>Revenue 5y</t>
  </si>
  <si>
    <t>EPS 5y</t>
  </si>
  <si>
    <t>Marketable securities and investments</t>
  </si>
  <si>
    <t>Debt/EBIT</t>
  </si>
  <si>
    <t>Net Debt/EBIT</t>
  </si>
  <si>
    <t>Sales/Invested Capital</t>
  </si>
  <si>
    <t>Sales/Assets</t>
  </si>
  <si>
    <t>Manual Cost of Equity</t>
  </si>
  <si>
    <t>Dividend discount model</t>
  </si>
  <si>
    <t>Dividend per share</t>
  </si>
  <si>
    <t>Ratios</t>
  </si>
  <si>
    <t>Payout</t>
  </si>
  <si>
    <t>DDM valuation</t>
  </si>
  <si>
    <t>Latest dividend</t>
  </si>
  <si>
    <t>Year 1 growth rate</t>
  </si>
  <si>
    <t>Year 1 dividend</t>
  </si>
  <si>
    <t>Perpetual dividend growth</t>
  </si>
  <si>
    <t>DDM price</t>
  </si>
  <si>
    <t>M</t>
  </si>
  <si>
    <t>28.08.2025</t>
  </si>
  <si>
    <t>29.08.2024</t>
  </si>
  <si>
    <t>31.08.2023</t>
  </si>
  <si>
    <t>01.09.2022</t>
  </si>
  <si>
    <t>02.09.2021</t>
  </si>
  <si>
    <t>28.05.2026</t>
  </si>
  <si>
    <t>29.05.2025</t>
  </si>
  <si>
    <t>26.02.2026</t>
  </si>
  <si>
    <t>27.02.2025</t>
  </si>
  <si>
    <t>27.11.2025</t>
  </si>
  <si>
    <t>Q1 2025</t>
  </si>
  <si>
    <t>28.11.2024</t>
  </si>
  <si>
    <t>EPS Lower</t>
  </si>
  <si>
    <t>EPS Upper</t>
  </si>
  <si>
    <t>EPS Actual</t>
  </si>
  <si>
    <t>DRAM</t>
  </si>
  <si>
    <t>NAND</t>
  </si>
  <si>
    <t>Other</t>
  </si>
  <si>
    <t>Cloud Memory</t>
  </si>
  <si>
    <t>Core Data Center</t>
  </si>
  <si>
    <t>Mobile and Client</t>
  </si>
  <si>
    <t>Automotive and Embedded</t>
  </si>
  <si>
    <t>Cloud Memory COGS</t>
  </si>
  <si>
    <t>Core Data Center COGS</t>
  </si>
  <si>
    <t>Mobile and Client COGS</t>
  </si>
  <si>
    <t>Automotive and Embedded COGS</t>
  </si>
  <si>
    <t>Transform how the world uses information to enrich life for all</t>
  </si>
  <si>
    <t>PwC</t>
  </si>
  <si>
    <t>17.06.2026</t>
  </si>
  <si>
    <t>-</t>
  </si>
  <si>
    <t>Tight supply conditions to persist beyond calendar year 2027</t>
  </si>
  <si>
    <t>16 signed agreements with customers in datacenter consumer and automotive fields</t>
  </si>
  <si>
    <t>DRAM volume of agreements: 20%</t>
  </si>
  <si>
    <t>NAND volume of agreements: 25%</t>
  </si>
  <si>
    <t>Agreements until end of 2030</t>
  </si>
  <si>
    <t>14 of the SCAs have planned revenue of 100B until end of term</t>
  </si>
  <si>
    <t>Cloud memory revenue increased because of higher pricing and higher bit shipments</t>
  </si>
  <si>
    <t>Datacenter revenue increased because of higher pricing</t>
  </si>
  <si>
    <t>Mobile and client revenue increased because of higher pricing though they had lower bit shipments</t>
  </si>
  <si>
    <t>Automotive revenue increaeed because of higher pricing and higher bit shipments</t>
  </si>
  <si>
    <t>Q4 gross margin expected at 86% and OpEx at 1.65B and CapEx at 10B</t>
  </si>
  <si>
    <t>CapEx in fiscal 2027 will increase above 2026 with 50% YoY each quarter and OpEx will increase in fiscal 2027 with about 1B</t>
  </si>
  <si>
    <t>Business units:</t>
  </si>
  <si>
    <t>Cloud memory business unit (CMBU) - memory for large hyperscalers and HBM for datacenter customers</t>
  </si>
  <si>
    <t>Core datacenter business unit (CDBU) - memory for mid-tier cloud, enterprise and OEM datacenter customers and storage for all datacenter customers</t>
  </si>
  <si>
    <t>Mobile and client business unit (MCBU) - memory and storage for mobile and client</t>
  </si>
  <si>
    <t>Automotive and embedded business unit (AEBU) - memory and storage for automotive, industrial and consumer</t>
  </si>
  <si>
    <t>Cloud growth rate</t>
  </si>
  <si>
    <t>Datacenter growth rate</t>
  </si>
  <si>
    <t>Mobile growth rate</t>
  </si>
  <si>
    <t>Automotive growth rate</t>
  </si>
  <si>
    <t>10.12.2025</t>
  </si>
  <si>
    <t>HBM TAM to be 100B in 2028</t>
  </si>
  <si>
    <t>Terminal EV</t>
  </si>
  <si>
    <t>PV of Terminal EV</t>
  </si>
  <si>
    <t>Total EV</t>
  </si>
  <si>
    <t>Year 5 FCFF</t>
  </si>
  <si>
    <t>EV/Sales</t>
  </si>
  <si>
    <t>EV/Sales valuation</t>
  </si>
  <si>
    <t>Year 5 Sales</t>
  </si>
  <si>
    <t>Applied EV/Sales ratio</t>
  </si>
  <si>
    <t>EV/Sales price</t>
  </si>
  <si>
    <t>Reverse DCF rate</t>
  </si>
  <si>
    <t>03.09.2025</t>
  </si>
  <si>
    <t>03.09.2026</t>
  </si>
  <si>
    <t>Q4 2026</t>
  </si>
  <si>
    <t>30.09.2026</t>
  </si>
  <si>
    <t>In Q1 2027 gross margin will be 85.95% and Opex $2.35B</t>
  </si>
  <si>
    <t>26 signed agreements with customers in datacenter consumer and automotive fields representing more than 35% of revenue through 2030</t>
  </si>
  <si>
    <t>Datacenter revenue increased because of higher pricing and higher bit shipments</t>
  </si>
  <si>
    <t>Discount rates used</t>
  </si>
  <si>
    <t>Cost of Equity</t>
  </si>
  <si>
    <t>Links</t>
  </si>
  <si>
    <t>Financials -&gt;'!B13</t>
  </si>
  <si>
    <t>Analysis -&gt;'!B13</t>
  </si>
  <si>
    <t>Forecast -&gt;'!B13</t>
  </si>
  <si>
    <t>Valuation -&gt;'!B13</t>
  </si>
  <si>
    <t>Overview'!B3</t>
  </si>
  <si>
    <t>Reverse DCF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</si>
</sst>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164" formatCode="_([$$-409]* #,##0.00_);_([$$-409]* \(#,##0.00\);_([$$-409]* &quot;-&quot;??_);_(@_)"/>
    <numFmt numFmtId="165" formatCode="0.00_);[Red]\(0.00\)"/>
    <numFmt numFmtId="166" formatCode="#,##0.0_);[Red]\(#,##0.0\)"/>
    <numFmt numFmtId="167" formatCode="0.00_);\(0.00\)"/>
    <numFmt numFmtId="168" formatCode="0.0%"/>
    <numFmt numFmtId="169" formatCode="#,##0.0_);\(#,##0.0\)"/>
    <numFmt numFmtId="170" formatCode="0.0"/>
  </numFmts>
  <fonts count="26" x14ac:knownFonts="1">
    <font>
      <sz val="12"/>
      <color theme="1"/>
      <name val="Aptos Narrow"/>
      <family val="2"/>
      <scheme val="minor"/>
    </font>
    <font>
      <sz val="12"/>
      <color theme="1"/>
      <name val="Aptos Narrow"/>
      <family val="2"/>
      <scheme val="minor"/>
    </font>
    <font>
      <sz val="12"/>
      <color rgb="FF000000"/>
      <name val="Aptos Narrow"/>
      <family val="2"/>
      <scheme val="minor"/>
    </font>
    <font>
      <b/>
      <sz val="40"/>
      <color rgb="FF002060"/>
      <name val="Arial"/>
      <family val="2"/>
      <charset val="204"/>
    </font>
    <font>
      <b/>
      <sz val="12"/>
      <color theme="0"/>
      <name val="Aptos Narrow"/>
      <scheme val="minor"/>
    </font>
    <font>
      <b/>
      <sz val="12"/>
      <color theme="0" tint="-4.9989318521683403E-2"/>
      <name val="Aptos Narrow"/>
      <scheme val="minor"/>
    </font>
    <font>
      <b/>
      <sz val="12"/>
      <color rgb="FFF2F2F2"/>
      <name val="Aptos Narrow"/>
      <scheme val="minor"/>
    </font>
    <font>
      <b/>
      <sz val="12"/>
      <color theme="1"/>
      <name val="Aptos Narrow"/>
      <scheme val="minor"/>
    </font>
    <font>
      <b/>
      <sz val="12"/>
      <color rgb="FF0070C0"/>
      <name val="Aptos Narrow"/>
      <scheme val="minor"/>
    </font>
    <font>
      <sz val="12"/>
      <color rgb="FF0070C0"/>
      <name val="Aptos Narrow"/>
      <scheme val="minor"/>
    </font>
    <font>
      <sz val="12"/>
      <color theme="1"/>
      <name val="Aptos Narrow"/>
      <scheme val="minor"/>
    </font>
    <font>
      <sz val="12"/>
      <color rgb="FF0070C0"/>
      <name val="Aptos Narrow"/>
      <family val="2"/>
      <scheme val="minor"/>
    </font>
    <font>
      <sz val="12"/>
      <color theme="9"/>
      <name val="Aptos Narrow"/>
      <scheme val="minor"/>
    </font>
    <font>
      <b/>
      <sz val="12"/>
      <color rgb="FF002060"/>
      <name val="Arial"/>
      <family val="2"/>
      <charset val="204"/>
    </font>
    <font>
      <sz val="9"/>
      <name val="Arial"/>
      <family val="2"/>
      <charset val="204"/>
    </font>
    <font>
      <b/>
      <sz val="12"/>
      <color rgb="FFFFFFFF"/>
      <name val="Aptos Narrow"/>
      <scheme val="minor"/>
    </font>
    <font>
      <sz val="12"/>
      <color theme="9"/>
      <name val="Aptos Narrow"/>
      <family val="2"/>
      <scheme val="minor"/>
    </font>
    <font>
      <b/>
      <sz val="12"/>
      <color theme="9"/>
      <name val="Aptos Narrow"/>
      <scheme val="minor"/>
    </font>
    <font>
      <i/>
      <sz val="12"/>
      <color theme="1"/>
      <name val="Aptos Narrow"/>
      <scheme val="minor"/>
    </font>
    <font>
      <sz val="12"/>
      <color rgb="FF4EA72E"/>
      <name val="Aptos Narrow"/>
      <family val="2"/>
      <scheme val="minor"/>
    </font>
    <font>
      <b/>
      <i/>
      <sz val="12"/>
      <color theme="1"/>
      <name val="Aptos Narrow"/>
      <scheme val="minor"/>
    </font>
    <font>
      <b/>
      <sz val="12"/>
      <color rgb="FF4EA72E"/>
      <name val="Aptos Narrow"/>
      <scheme val="minor"/>
    </font>
    <font>
      <sz val="12"/>
      <color rgb="FF4EA72E"/>
      <name val="Aptos Narrow"/>
      <scheme val="minor"/>
    </font>
    <font>
      <b/>
      <sz val="12"/>
      <color rgb="FF000000"/>
      <name val="Aptos Narrow"/>
      <scheme val="minor"/>
    </font>
    <font>
      <i/>
      <sz val="12"/>
      <color rgb="FF000000"/>
      <name val="Aptos Narrow"/>
      <scheme val="minor"/>
    </font>
    <font>
      <u/>
      <sz val="12"/>
      <color theme="10"/>
      <name val="Aptos Narrow"/>
      <family val="2"/>
      <scheme val="minor"/>
    </font>
  </fonts>
  <fills count="20">
    <fill>
      <patternFill patternType="none"/>
    </fill>
    <fill>
      <patternFill patternType="gray125"/>
    </fill>
    <fill>
      <patternFill patternType="solid">
        <fgColor theme="0"/>
        <bgColor indexed="64"/>
      </patternFill>
    </fill>
    <fill>
      <patternFill patternType="solid">
        <fgColor rgb="FFFFFAD5"/>
        <bgColor indexed="64"/>
      </patternFill>
    </fill>
    <fill>
      <patternFill patternType="solid">
        <fgColor rgb="FF002060"/>
        <bgColor indexed="64"/>
      </patternFill>
    </fill>
    <fill>
      <patternFill patternType="solid">
        <fgColor rgb="FF002060"/>
        <bgColor rgb="FF000000"/>
      </patternFill>
    </fill>
    <fill>
      <patternFill patternType="solid">
        <fgColor theme="3" tint="0.49998474074526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rgb="FFFFFFFF"/>
        <bgColor rgb="FF000000"/>
      </patternFill>
    </fill>
    <fill>
      <patternFill patternType="solid">
        <fgColor theme="0" tint="-0.249977111117893"/>
        <bgColor indexed="64"/>
      </patternFill>
    </fill>
    <fill>
      <patternFill patternType="solid">
        <fgColor theme="0"/>
        <bgColor rgb="FF000000"/>
      </patternFill>
    </fill>
    <fill>
      <patternFill patternType="solid">
        <fgColor rgb="FFADADAD"/>
        <bgColor rgb="FF000000"/>
      </patternFill>
    </fill>
    <fill>
      <patternFill patternType="solid">
        <fgColor rgb="FFFFFAD5"/>
        <bgColor rgb="FF000000"/>
      </patternFill>
    </fill>
    <fill>
      <patternFill patternType="solid">
        <fgColor theme="3" tint="0.89999084444715716"/>
        <bgColor indexed="64"/>
      </patternFill>
    </fill>
    <fill>
      <patternFill patternType="solid">
        <fgColor theme="3" tint="0.749992370372631"/>
        <bgColor indexed="64"/>
      </patternFill>
    </fill>
    <fill>
      <patternFill patternType="solid">
        <fgColor theme="5"/>
        <bgColor indexed="64"/>
      </patternFill>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0"/>
      </bottom>
      <diagonal/>
    </border>
    <border>
      <left/>
      <right/>
      <top/>
      <bottom style="thin">
        <color theme="2"/>
      </bottom>
      <diagonal/>
    </border>
    <border>
      <left style="thin">
        <color theme="0"/>
      </left>
      <right/>
      <top/>
      <bottom style="thin">
        <color theme="0"/>
      </bottom>
      <diagonal/>
    </border>
    <border>
      <left/>
      <right style="thick">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1" fillId="0" borderId="0" applyFont="0" applyFill="0" applyBorder="0" applyAlignment="0" applyProtection="0"/>
    <xf numFmtId="0" fontId="25" fillId="0" borderId="0" applyNumberFormat="0" applyFill="0" applyBorder="0" applyAlignment="0" applyProtection="0"/>
  </cellStyleXfs>
  <cellXfs count="264">
    <xf numFmtId="0" fontId="0" fillId="0" borderId="0" xfId="0"/>
    <xf numFmtId="0" fontId="0" fillId="2" borderId="0" xfId="0" applyFill="1"/>
    <xf numFmtId="164" fontId="0" fillId="2" borderId="0" xfId="0" applyNumberFormat="1" applyFill="1"/>
    <xf numFmtId="0" fontId="3" fillId="2" borderId="0" xfId="0" applyFont="1" applyFill="1" applyAlignment="1">
      <alignment vertical="top"/>
    </xf>
    <xf numFmtId="0" fontId="0" fillId="2" borderId="0" xfId="0" applyFill="1" applyAlignment="1">
      <alignment vertical="top"/>
    </xf>
    <xf numFmtId="0" fontId="0" fillId="2" borderId="4" xfId="0" applyFill="1" applyBorder="1"/>
    <xf numFmtId="39" fontId="0" fillId="2" borderId="4" xfId="0" applyNumberFormat="1" applyFill="1" applyBorder="1" applyAlignment="1">
      <alignment horizontal="left"/>
    </xf>
    <xf numFmtId="0" fontId="5" fillId="2" borderId="0" xfId="0" applyFont="1" applyFill="1" applyAlignment="1">
      <alignment horizontal="right"/>
    </xf>
    <xf numFmtId="0" fontId="4" fillId="4" borderId="0" xfId="0" applyFont="1" applyFill="1" applyAlignment="1">
      <alignment horizontal="left"/>
    </xf>
    <xf numFmtId="0" fontId="6" fillId="5" borderId="0" xfId="0" applyFont="1" applyFill="1" applyAlignment="1">
      <alignment horizontal="right"/>
    </xf>
    <xf numFmtId="0" fontId="5" fillId="4" borderId="0" xfId="0" applyFont="1" applyFill="1" applyAlignment="1">
      <alignment horizontal="right"/>
    </xf>
    <xf numFmtId="0" fontId="5" fillId="2" borderId="0" xfId="0" applyFont="1" applyFill="1"/>
    <xf numFmtId="0" fontId="4" fillId="4" borderId="0" xfId="0" applyFont="1" applyFill="1"/>
    <xf numFmtId="0" fontId="5" fillId="4" borderId="0" xfId="0" applyFont="1" applyFill="1"/>
    <xf numFmtId="0" fontId="4" fillId="6" borderId="7" xfId="0" applyFont="1" applyFill="1" applyBorder="1"/>
    <xf numFmtId="0" fontId="5" fillId="6" borderId="7" xfId="0" applyFont="1" applyFill="1" applyBorder="1"/>
    <xf numFmtId="0" fontId="7" fillId="2" borderId="0" xfId="0" applyFont="1" applyFill="1"/>
    <xf numFmtId="0" fontId="7" fillId="7" borderId="8" xfId="0" applyFont="1" applyFill="1" applyBorder="1"/>
    <xf numFmtId="38" fontId="8" fillId="8" borderId="8" xfId="0" applyNumberFormat="1" applyFont="1" applyFill="1" applyBorder="1"/>
    <xf numFmtId="0" fontId="7" fillId="8" borderId="8" xfId="0" applyFont="1" applyFill="1" applyBorder="1"/>
    <xf numFmtId="0" fontId="0" fillId="7" borderId="0" xfId="0" applyFill="1"/>
    <xf numFmtId="38" fontId="9" fillId="2" borderId="0" xfId="0" applyNumberFormat="1" applyFont="1" applyFill="1"/>
    <xf numFmtId="38" fontId="7" fillId="8" borderId="8" xfId="0" applyNumberFormat="1" applyFont="1" applyFill="1" applyBorder="1"/>
    <xf numFmtId="0" fontId="10" fillId="7" borderId="0" xfId="0" applyFont="1" applyFill="1"/>
    <xf numFmtId="38" fontId="0" fillId="2" borderId="0" xfId="0" applyNumberFormat="1" applyFill="1"/>
    <xf numFmtId="38" fontId="10" fillId="2" borderId="0" xfId="0" applyNumberFormat="1" applyFont="1" applyFill="1"/>
    <xf numFmtId="165" fontId="9" fillId="2" borderId="0" xfId="0" applyNumberFormat="1" applyFont="1" applyFill="1"/>
    <xf numFmtId="165" fontId="10" fillId="2" borderId="0" xfId="0" applyNumberFormat="1" applyFont="1" applyFill="1"/>
    <xf numFmtId="0" fontId="10" fillId="7" borderId="7" xfId="0" applyFont="1" applyFill="1" applyBorder="1"/>
    <xf numFmtId="165" fontId="10" fillId="2" borderId="7" xfId="0" applyNumberFormat="1" applyFont="1" applyFill="1" applyBorder="1"/>
    <xf numFmtId="0" fontId="0" fillId="2" borderId="7" xfId="0" applyFill="1" applyBorder="1"/>
    <xf numFmtId="0" fontId="10" fillId="2" borderId="7" xfId="0" applyFont="1" applyFill="1" applyBorder="1"/>
    <xf numFmtId="0" fontId="7" fillId="7" borderId="0" xfId="0" applyFont="1" applyFill="1"/>
    <xf numFmtId="38" fontId="8" fillId="8" borderId="0" xfId="0" applyNumberFormat="1" applyFont="1" applyFill="1"/>
    <xf numFmtId="0" fontId="7" fillId="8" borderId="0" xfId="0" applyFont="1" applyFill="1"/>
    <xf numFmtId="38" fontId="7" fillId="8" borderId="0" xfId="0" applyNumberFormat="1" applyFont="1" applyFill="1"/>
    <xf numFmtId="0" fontId="7" fillId="7" borderId="7" xfId="0" applyFont="1" applyFill="1" applyBorder="1"/>
    <xf numFmtId="38" fontId="8" fillId="8" borderId="7" xfId="0" applyNumberFormat="1" applyFont="1" applyFill="1" applyBorder="1"/>
    <xf numFmtId="0" fontId="7" fillId="8" borderId="7" xfId="0" applyFont="1" applyFill="1" applyBorder="1"/>
    <xf numFmtId="0" fontId="10" fillId="2" borderId="0" xfId="0" applyFont="1" applyFill="1"/>
    <xf numFmtId="41" fontId="7" fillId="9" borderId="8" xfId="0" applyNumberFormat="1" applyFont="1" applyFill="1" applyBorder="1"/>
    <xf numFmtId="0" fontId="7" fillId="2" borderId="8" xfId="0" applyFont="1" applyFill="1" applyBorder="1"/>
    <xf numFmtId="41" fontId="7" fillId="10" borderId="8" xfId="0" applyNumberFormat="1" applyFont="1" applyFill="1" applyBorder="1"/>
    <xf numFmtId="38" fontId="11" fillId="2" borderId="0" xfId="0" applyNumberFormat="1" applyFont="1" applyFill="1"/>
    <xf numFmtId="2" fontId="11" fillId="2" borderId="0" xfId="0" applyNumberFormat="1" applyFont="1" applyFill="1"/>
    <xf numFmtId="2" fontId="10" fillId="2" borderId="0" xfId="0" applyNumberFormat="1" applyFont="1" applyFill="1"/>
    <xf numFmtId="10" fontId="10" fillId="2" borderId="0" xfId="0" applyNumberFormat="1" applyFont="1" applyFill="1"/>
    <xf numFmtId="0" fontId="7" fillId="11" borderId="0" xfId="0" applyFont="1" applyFill="1"/>
    <xf numFmtId="9" fontId="7" fillId="2" borderId="8" xfId="1" applyFont="1" applyFill="1" applyBorder="1"/>
    <xf numFmtId="0" fontId="0" fillId="11" borderId="0" xfId="0" applyFill="1"/>
    <xf numFmtId="9" fontId="0" fillId="2" borderId="0" xfId="1" applyFont="1" applyFill="1"/>
    <xf numFmtId="0" fontId="7" fillId="7" borderId="9" xfId="0" applyFont="1" applyFill="1" applyBorder="1"/>
    <xf numFmtId="9" fontId="7" fillId="2" borderId="9" xfId="1" applyFont="1" applyFill="1" applyBorder="1"/>
    <xf numFmtId="0" fontId="7" fillId="2" borderId="9" xfId="0" applyFont="1" applyFill="1" applyBorder="1"/>
    <xf numFmtId="0" fontId="0" fillId="7" borderId="8" xfId="0" applyFill="1" applyBorder="1"/>
    <xf numFmtId="9" fontId="0" fillId="2" borderId="8" xfId="1" applyFont="1" applyFill="1" applyBorder="1"/>
    <xf numFmtId="0" fontId="0" fillId="2" borderId="8" xfId="0" applyFill="1" applyBorder="1"/>
    <xf numFmtId="166" fontId="10" fillId="2" borderId="0" xfId="0" applyNumberFormat="1" applyFont="1" applyFill="1"/>
    <xf numFmtId="9" fontId="0" fillId="2" borderId="0" xfId="0" applyNumberFormat="1" applyFill="1"/>
    <xf numFmtId="0" fontId="5" fillId="4" borderId="0" xfId="0" applyFont="1" applyFill="1" applyAlignment="1">
      <alignment horizontal="center"/>
    </xf>
    <xf numFmtId="0" fontId="2" fillId="12" borderId="0" xfId="0" applyFont="1" applyFill="1"/>
    <xf numFmtId="37" fontId="8" fillId="8" borderId="8" xfId="0" applyNumberFormat="1" applyFont="1" applyFill="1" applyBorder="1"/>
    <xf numFmtId="37" fontId="9" fillId="2" borderId="0" xfId="0" applyNumberFormat="1" applyFont="1" applyFill="1"/>
    <xf numFmtId="167" fontId="9" fillId="2" borderId="0" xfId="0" applyNumberFormat="1" applyFont="1" applyFill="1"/>
    <xf numFmtId="37" fontId="0" fillId="2" borderId="0" xfId="0" applyNumberFormat="1" applyFill="1"/>
    <xf numFmtId="167" fontId="10" fillId="2" borderId="0" xfId="0" applyNumberFormat="1" applyFont="1" applyFill="1"/>
    <xf numFmtId="167" fontId="10" fillId="2" borderId="7" xfId="0" applyNumberFormat="1" applyFont="1" applyFill="1" applyBorder="1"/>
    <xf numFmtId="0" fontId="7" fillId="13" borderId="0" xfId="0" applyFont="1" applyFill="1"/>
    <xf numFmtId="0" fontId="0" fillId="13" borderId="0" xfId="0" applyFill="1"/>
    <xf numFmtId="0" fontId="0" fillId="3" borderId="10" xfId="0" applyFill="1" applyBorder="1"/>
    <xf numFmtId="3" fontId="0" fillId="3" borderId="10" xfId="0" applyNumberFormat="1" applyFill="1" applyBorder="1" applyAlignment="1">
      <alignment horizontal="left"/>
    </xf>
    <xf numFmtId="37" fontId="8" fillId="8" borderId="7" xfId="0" applyNumberFormat="1" applyFont="1" applyFill="1" applyBorder="1"/>
    <xf numFmtId="2" fontId="0" fillId="2" borderId="0" xfId="0" applyNumberFormat="1" applyFill="1"/>
    <xf numFmtId="168" fontId="0" fillId="2" borderId="4" xfId="1" applyNumberFormat="1" applyFont="1" applyFill="1" applyBorder="1" applyAlignment="1">
      <alignment horizontal="left"/>
    </xf>
    <xf numFmtId="168" fontId="10" fillId="2" borderId="0" xfId="1" applyNumberFormat="1" applyFont="1" applyFill="1"/>
    <xf numFmtId="2" fontId="10" fillId="2" borderId="0" xfId="1" applyNumberFormat="1" applyFont="1" applyFill="1"/>
    <xf numFmtId="168" fontId="7" fillId="2" borderId="0" xfId="1" applyNumberFormat="1" applyFont="1" applyFill="1"/>
    <xf numFmtId="168" fontId="0" fillId="13" borderId="0" xfId="1" applyNumberFormat="1" applyFont="1" applyFill="1"/>
    <xf numFmtId="2" fontId="0" fillId="13" borderId="0" xfId="1" applyNumberFormat="1" applyFont="1" applyFill="1"/>
    <xf numFmtId="168" fontId="7" fillId="13" borderId="0" xfId="1" applyNumberFormat="1" applyFont="1" applyFill="1"/>
    <xf numFmtId="2" fontId="10" fillId="13" borderId="0" xfId="1" applyNumberFormat="1" applyFont="1" applyFill="1"/>
    <xf numFmtId="10" fontId="10" fillId="2" borderId="0" xfId="1" applyNumberFormat="1" applyFont="1" applyFill="1"/>
    <xf numFmtId="0" fontId="13" fillId="2" borderId="0" xfId="0" applyFont="1" applyFill="1" applyAlignment="1">
      <alignment vertical="top"/>
    </xf>
    <xf numFmtId="0" fontId="14" fillId="2" borderId="0" xfId="0" applyFont="1" applyFill="1" applyAlignment="1">
      <alignment vertical="top"/>
    </xf>
    <xf numFmtId="0" fontId="14" fillId="2" borderId="4" xfId="0" applyFont="1" applyFill="1" applyBorder="1" applyAlignment="1">
      <alignment vertical="top"/>
    </xf>
    <xf numFmtId="0" fontId="4" fillId="4" borderId="11" xfId="0" applyFont="1" applyFill="1" applyBorder="1" applyAlignment="1">
      <alignment horizontal="center"/>
    </xf>
    <xf numFmtId="0" fontId="2" fillId="12" borderId="0" xfId="0" applyFont="1" applyFill="1" applyAlignment="1">
      <alignment vertical="top"/>
    </xf>
    <xf numFmtId="0" fontId="4" fillId="4" borderId="11" xfId="0" applyFont="1" applyFill="1" applyBorder="1" applyAlignment="1">
      <alignment horizontal="left"/>
    </xf>
    <xf numFmtId="37" fontId="16" fillId="2" borderId="0" xfId="0" applyNumberFormat="1" applyFont="1" applyFill="1"/>
    <xf numFmtId="37" fontId="16" fillId="2" borderId="14" xfId="0" applyNumberFormat="1" applyFont="1" applyFill="1" applyBorder="1"/>
    <xf numFmtId="0" fontId="0" fillId="2" borderId="0" xfId="0" applyFill="1" applyAlignment="1">
      <alignment horizontal="left"/>
    </xf>
    <xf numFmtId="0" fontId="0" fillId="2" borderId="0" xfId="0" applyFill="1" applyAlignment="1">
      <alignment horizontal="center"/>
    </xf>
    <xf numFmtId="37" fontId="17" fillId="2" borderId="0" xfId="0" applyNumberFormat="1" applyFont="1" applyFill="1"/>
    <xf numFmtId="37" fontId="17" fillId="2" borderId="14" xfId="0" applyNumberFormat="1" applyFont="1" applyFill="1" applyBorder="1"/>
    <xf numFmtId="37" fontId="7" fillId="2" borderId="0" xfId="0" applyNumberFormat="1" applyFont="1" applyFill="1"/>
    <xf numFmtId="168" fontId="18" fillId="2" borderId="0" xfId="1" applyNumberFormat="1" applyFont="1" applyFill="1"/>
    <xf numFmtId="168" fontId="18" fillId="2" borderId="14" xfId="1" applyNumberFormat="1" applyFont="1" applyFill="1" applyBorder="1"/>
    <xf numFmtId="168" fontId="18" fillId="3" borderId="0" xfId="1" applyNumberFormat="1" applyFont="1" applyFill="1"/>
    <xf numFmtId="38" fontId="19" fillId="12" borderId="0" xfId="0" applyNumberFormat="1" applyFont="1" applyFill="1"/>
    <xf numFmtId="38" fontId="19" fillId="12" borderId="14" xfId="0" applyNumberFormat="1" applyFont="1" applyFill="1" applyBorder="1"/>
    <xf numFmtId="38" fontId="16" fillId="2" borderId="0" xfId="0" applyNumberFormat="1" applyFont="1" applyFill="1"/>
    <xf numFmtId="38" fontId="16" fillId="2" borderId="14" xfId="0" applyNumberFormat="1" applyFont="1" applyFill="1" applyBorder="1"/>
    <xf numFmtId="170" fontId="0" fillId="3" borderId="0" xfId="0" applyNumberFormat="1" applyFill="1"/>
    <xf numFmtId="168" fontId="20" fillId="2" borderId="0" xfId="1" applyNumberFormat="1" applyFont="1" applyFill="1"/>
    <xf numFmtId="168" fontId="20" fillId="2" borderId="14" xfId="1" applyNumberFormat="1" applyFont="1" applyFill="1" applyBorder="1"/>
    <xf numFmtId="2" fontId="0" fillId="3" borderId="0" xfId="0" applyNumberFormat="1" applyFill="1"/>
    <xf numFmtId="9" fontId="18" fillId="3" borderId="0" xfId="1" applyFont="1" applyFill="1"/>
    <xf numFmtId="39" fontId="0" fillId="2" borderId="0" xfId="0" applyNumberFormat="1" applyFill="1"/>
    <xf numFmtId="38" fontId="21" fillId="12" borderId="0" xfId="0" applyNumberFormat="1" applyFont="1" applyFill="1"/>
    <xf numFmtId="38" fontId="21" fillId="12" borderId="14" xfId="0" applyNumberFormat="1" applyFont="1" applyFill="1" applyBorder="1"/>
    <xf numFmtId="38" fontId="7" fillId="2" borderId="0" xfId="0" applyNumberFormat="1" applyFont="1" applyFill="1"/>
    <xf numFmtId="38" fontId="22" fillId="12" borderId="0" xfId="0" applyNumberFormat="1" applyFont="1" applyFill="1"/>
    <xf numFmtId="38" fontId="22" fillId="12" borderId="14" xfId="0" applyNumberFormat="1" applyFont="1" applyFill="1" applyBorder="1"/>
    <xf numFmtId="0" fontId="4" fillId="2" borderId="0" xfId="0" applyFont="1" applyFill="1" applyAlignment="1">
      <alignment horizontal="center"/>
    </xf>
    <xf numFmtId="0" fontId="4" fillId="2" borderId="0" xfId="0" applyFont="1" applyFill="1" applyAlignment="1">
      <alignment horizontal="left"/>
    </xf>
    <xf numFmtId="0" fontId="4" fillId="2" borderId="0" xfId="0" applyFont="1" applyFill="1"/>
    <xf numFmtId="37" fontId="12" fillId="2" borderId="0" xfId="0" applyNumberFormat="1" applyFont="1" applyFill="1"/>
    <xf numFmtId="37" fontId="12" fillId="2" borderId="14" xfId="0" applyNumberFormat="1" applyFont="1" applyFill="1" applyBorder="1"/>
    <xf numFmtId="37" fontId="19" fillId="12" borderId="0" xfId="0" applyNumberFormat="1" applyFont="1" applyFill="1"/>
    <xf numFmtId="37" fontId="19" fillId="12" borderId="14" xfId="0" applyNumberFormat="1" applyFont="1" applyFill="1" applyBorder="1"/>
    <xf numFmtId="38" fontId="21" fillId="14" borderId="0" xfId="0" applyNumberFormat="1" applyFont="1" applyFill="1"/>
    <xf numFmtId="38" fontId="19" fillId="14" borderId="0" xfId="0" applyNumberFormat="1" applyFont="1" applyFill="1"/>
    <xf numFmtId="169" fontId="0" fillId="12" borderId="0" xfId="0" applyNumberFormat="1" applyFill="1"/>
    <xf numFmtId="169" fontId="0" fillId="12" borderId="14" xfId="0" applyNumberFormat="1" applyFill="1" applyBorder="1"/>
    <xf numFmtId="37" fontId="0" fillId="12" borderId="0" xfId="0" applyNumberFormat="1" applyFill="1"/>
    <xf numFmtId="37" fontId="0" fillId="12" borderId="14" xfId="0" applyNumberFormat="1" applyFill="1" applyBorder="1"/>
    <xf numFmtId="0" fontId="18" fillId="2" borderId="0" xfId="0" applyFont="1" applyFill="1"/>
    <xf numFmtId="168" fontId="18" fillId="12" borderId="0" xfId="1" applyNumberFormat="1" applyFont="1" applyFill="1"/>
    <xf numFmtId="168" fontId="18" fillId="12" borderId="14" xfId="1" applyNumberFormat="1" applyFont="1" applyFill="1" applyBorder="1"/>
    <xf numFmtId="169" fontId="0" fillId="14" borderId="0" xfId="0" applyNumberFormat="1" applyFill="1"/>
    <xf numFmtId="37" fontId="10" fillId="2" borderId="0" xfId="0" applyNumberFormat="1" applyFont="1" applyFill="1"/>
    <xf numFmtId="37" fontId="7" fillId="2" borderId="14" xfId="0" applyNumberFormat="1" applyFont="1" applyFill="1" applyBorder="1"/>
    <xf numFmtId="0" fontId="2" fillId="12" borderId="0" xfId="0" applyFont="1" applyFill="1" applyAlignment="1">
      <alignment horizontal="left"/>
    </xf>
    <xf numFmtId="10" fontId="16" fillId="2" borderId="0" xfId="0" applyNumberFormat="1" applyFont="1" applyFill="1"/>
    <xf numFmtId="10" fontId="16" fillId="2" borderId="14" xfId="0" applyNumberFormat="1" applyFont="1" applyFill="1" applyBorder="1"/>
    <xf numFmtId="37" fontId="10" fillId="2" borderId="14" xfId="0" applyNumberFormat="1" applyFont="1" applyFill="1" applyBorder="1"/>
    <xf numFmtId="0" fontId="4" fillId="4" borderId="0" xfId="0" applyFont="1" applyFill="1" applyAlignment="1">
      <alignment horizontal="center"/>
    </xf>
    <xf numFmtId="4" fontId="12" fillId="2" borderId="0" xfId="0" applyNumberFormat="1" applyFont="1" applyFill="1"/>
    <xf numFmtId="3" fontId="10" fillId="2" borderId="0" xfId="0" applyNumberFormat="1" applyFont="1" applyFill="1"/>
    <xf numFmtId="10" fontId="12" fillId="2" borderId="0" xfId="1" applyNumberFormat="1" applyFont="1" applyFill="1"/>
    <xf numFmtId="3" fontId="12" fillId="2" borderId="0" xfId="0" applyNumberFormat="1" applyFont="1" applyFill="1"/>
    <xf numFmtId="0" fontId="23" fillId="15" borderId="0" xfId="0" applyFont="1" applyFill="1"/>
    <xf numFmtId="37" fontId="10" fillId="11" borderId="14" xfId="0" applyNumberFormat="1" applyFont="1" applyFill="1" applyBorder="1"/>
    <xf numFmtId="0" fontId="0" fillId="3" borderId="0" xfId="0" applyFill="1"/>
    <xf numFmtId="10" fontId="10" fillId="3" borderId="0" xfId="1" applyNumberFormat="1" applyFont="1" applyFill="1"/>
    <xf numFmtId="3" fontId="0" fillId="2" borderId="0" xfId="0" applyNumberFormat="1" applyFill="1"/>
    <xf numFmtId="168" fontId="24" fillId="12" borderId="0" xfId="0" applyNumberFormat="1" applyFont="1" applyFill="1"/>
    <xf numFmtId="168" fontId="24" fillId="12" borderId="14" xfId="0" applyNumberFormat="1" applyFont="1" applyFill="1" applyBorder="1"/>
    <xf numFmtId="168" fontId="24" fillId="16" borderId="0" xfId="0" applyNumberFormat="1" applyFont="1" applyFill="1"/>
    <xf numFmtId="0" fontId="16" fillId="2" borderId="0" xfId="0" applyFont="1" applyFill="1"/>
    <xf numFmtId="0" fontId="16" fillId="2" borderId="14" xfId="0" applyFont="1" applyFill="1" applyBorder="1"/>
    <xf numFmtId="2" fontId="7" fillId="2" borderId="0" xfId="0" applyNumberFormat="1" applyFont="1" applyFill="1"/>
    <xf numFmtId="2" fontId="7" fillId="2" borderId="14" xfId="0" applyNumberFormat="1" applyFont="1" applyFill="1" applyBorder="1"/>
    <xf numFmtId="3" fontId="0" fillId="2" borderId="14" xfId="0" applyNumberFormat="1" applyFill="1" applyBorder="1"/>
    <xf numFmtId="3" fontId="16" fillId="2" borderId="0" xfId="0" applyNumberFormat="1" applyFont="1" applyFill="1"/>
    <xf numFmtId="3" fontId="16" fillId="2" borderId="14" xfId="0" applyNumberFormat="1" applyFont="1" applyFill="1" applyBorder="1"/>
    <xf numFmtId="168" fontId="0" fillId="2" borderId="0" xfId="1" applyNumberFormat="1" applyFont="1" applyFill="1"/>
    <xf numFmtId="0" fontId="0" fillId="9" borderId="19" xfId="0" applyFill="1" applyBorder="1"/>
    <xf numFmtId="167" fontId="0" fillId="9" borderId="20" xfId="0" applyNumberFormat="1" applyFill="1" applyBorder="1"/>
    <xf numFmtId="0" fontId="0" fillId="2" borderId="21" xfId="0" applyFill="1" applyBorder="1"/>
    <xf numFmtId="10" fontId="10" fillId="3" borderId="22" xfId="1" applyNumberFormat="1" applyFont="1" applyFill="1" applyBorder="1"/>
    <xf numFmtId="0" fontId="0" fillId="2" borderId="19" xfId="0" applyFill="1" applyBorder="1"/>
    <xf numFmtId="10" fontId="10" fillId="3" borderId="20" xfId="1" applyNumberFormat="1" applyFont="1" applyFill="1" applyBorder="1"/>
    <xf numFmtId="37" fontId="0" fillId="2" borderId="20" xfId="0" applyNumberFormat="1" applyFill="1" applyBorder="1"/>
    <xf numFmtId="37" fontId="10" fillId="2" borderId="22" xfId="0" applyNumberFormat="1" applyFont="1" applyFill="1" applyBorder="1"/>
    <xf numFmtId="0" fontId="7" fillId="2" borderId="19" xfId="0" applyFont="1" applyFill="1" applyBorder="1"/>
    <xf numFmtId="37" fontId="7" fillId="2" borderId="20" xfId="0" applyNumberFormat="1" applyFont="1" applyFill="1" applyBorder="1"/>
    <xf numFmtId="38" fontId="0" fillId="2" borderId="20" xfId="0" applyNumberFormat="1" applyFill="1" applyBorder="1"/>
    <xf numFmtId="0" fontId="0" fillId="9" borderId="23" xfId="0" applyFill="1" applyBorder="1"/>
    <xf numFmtId="167" fontId="0" fillId="9" borderId="24" xfId="0" applyNumberFormat="1" applyFill="1" applyBorder="1"/>
    <xf numFmtId="9" fontId="0" fillId="3" borderId="10" xfId="1" applyFont="1" applyFill="1" applyBorder="1" applyAlignment="1">
      <alignment horizontal="left"/>
    </xf>
    <xf numFmtId="0" fontId="0" fillId="6" borderId="7" xfId="0" applyFill="1" applyBorder="1"/>
    <xf numFmtId="2" fontId="10" fillId="17" borderId="0" xfId="0" applyNumberFormat="1" applyFont="1" applyFill="1"/>
    <xf numFmtId="3" fontId="0" fillId="17" borderId="0" xfId="0" applyNumberFormat="1" applyFill="1"/>
    <xf numFmtId="2" fontId="0" fillId="17" borderId="0" xfId="0" applyNumberFormat="1" applyFill="1"/>
    <xf numFmtId="168" fontId="10" fillId="17" borderId="0" xfId="1" applyNumberFormat="1" applyFont="1" applyFill="1"/>
    <xf numFmtId="168" fontId="7" fillId="17" borderId="0" xfId="1" applyNumberFormat="1" applyFont="1" applyFill="1"/>
    <xf numFmtId="37" fontId="0" fillId="17" borderId="0" xfId="0" applyNumberFormat="1" applyFill="1"/>
    <xf numFmtId="168" fontId="10" fillId="17" borderId="0" xfId="1" applyNumberFormat="1" applyFont="1" applyFill="1" applyAlignment="1">
      <alignment horizontal="right"/>
    </xf>
    <xf numFmtId="169" fontId="10" fillId="12" borderId="0" xfId="0" applyNumberFormat="1" applyFont="1" applyFill="1"/>
    <xf numFmtId="167" fontId="0" fillId="17" borderId="0" xfId="0" applyNumberFormat="1" applyFill="1"/>
    <xf numFmtId="2" fontId="0" fillId="2" borderId="0" xfId="0" applyNumberFormat="1" applyFill="1" applyAlignment="1">
      <alignment horizontal="right"/>
    </xf>
    <xf numFmtId="167" fontId="0" fillId="17" borderId="0" xfId="0" applyNumberFormat="1" applyFill="1" applyAlignment="1">
      <alignment horizontal="right"/>
    </xf>
    <xf numFmtId="170" fontId="0" fillId="2" borderId="0" xfId="0" applyNumberFormat="1" applyFill="1"/>
    <xf numFmtId="0" fontId="0" fillId="7" borderId="10" xfId="0" applyFill="1" applyBorder="1"/>
    <xf numFmtId="0" fontId="0" fillId="7" borderId="25" xfId="0" applyFill="1" applyBorder="1"/>
    <xf numFmtId="0" fontId="0" fillId="7" borderId="26" xfId="0" applyFill="1" applyBorder="1"/>
    <xf numFmtId="3" fontId="0" fillId="17" borderId="4" xfId="0" applyNumberFormat="1" applyFill="1" applyBorder="1"/>
    <xf numFmtId="3" fontId="0" fillId="17" borderId="6" xfId="0" applyNumberFormat="1" applyFill="1" applyBorder="1"/>
    <xf numFmtId="0" fontId="0" fillId="17" borderId="4" xfId="0" applyFill="1" applyBorder="1"/>
    <xf numFmtId="2" fontId="0" fillId="17" borderId="4" xfId="0" applyNumberFormat="1" applyFill="1" applyBorder="1"/>
    <xf numFmtId="2" fontId="0" fillId="17" borderId="6" xfId="0" applyNumberFormat="1" applyFill="1" applyBorder="1"/>
    <xf numFmtId="168" fontId="0" fillId="17" borderId="4" xfId="1" applyNumberFormat="1" applyFont="1" applyFill="1" applyBorder="1"/>
    <xf numFmtId="168" fontId="0" fillId="17" borderId="6" xfId="1" applyNumberFormat="1" applyFont="1" applyFill="1" applyBorder="1"/>
    <xf numFmtId="168" fontId="0" fillId="17" borderId="16" xfId="1" applyNumberFormat="1" applyFont="1" applyFill="1" applyBorder="1"/>
    <xf numFmtId="37" fontId="0" fillId="17" borderId="0" xfId="0" applyNumberFormat="1" applyFill="1" applyAlignment="1">
      <alignment horizontal="right"/>
    </xf>
    <xf numFmtId="168" fontId="0" fillId="17" borderId="0" xfId="1" applyNumberFormat="1" applyFont="1" applyFill="1"/>
    <xf numFmtId="0" fontId="2" fillId="15" borderId="0" xfId="0" applyFont="1" applyFill="1"/>
    <xf numFmtId="3" fontId="0" fillId="18" borderId="4" xfId="0" applyNumberFormat="1" applyFill="1" applyBorder="1"/>
    <xf numFmtId="3" fontId="0" fillId="18" borderId="25" xfId="0" applyNumberFormat="1" applyFill="1" applyBorder="1"/>
    <xf numFmtId="3" fontId="0" fillId="18" borderId="27" xfId="0" applyNumberFormat="1" applyFill="1" applyBorder="1"/>
    <xf numFmtId="2" fontId="0" fillId="18" borderId="27" xfId="0" applyNumberFormat="1" applyFill="1" applyBorder="1"/>
    <xf numFmtId="2" fontId="0" fillId="18" borderId="4" xfId="0" applyNumberFormat="1" applyFill="1" applyBorder="1"/>
    <xf numFmtId="0" fontId="5" fillId="4" borderId="4" xfId="0" applyFont="1" applyFill="1" applyBorder="1" applyAlignment="1">
      <alignment horizontal="right"/>
    </xf>
    <xf numFmtId="0" fontId="5" fillId="4" borderId="3" xfId="0" applyFont="1" applyFill="1" applyBorder="1" applyAlignment="1">
      <alignment horizontal="right"/>
    </xf>
    <xf numFmtId="0" fontId="0" fillId="7" borderId="6" xfId="0" applyFill="1" applyBorder="1"/>
    <xf numFmtId="0" fontId="18" fillId="7" borderId="16" xfId="0" applyFont="1" applyFill="1" applyBorder="1" applyAlignment="1">
      <alignment horizontal="left" indent="1"/>
    </xf>
    <xf numFmtId="0" fontId="0" fillId="7" borderId="16" xfId="0" applyFill="1" applyBorder="1"/>
    <xf numFmtId="39" fontId="0" fillId="17" borderId="4" xfId="0" applyNumberFormat="1" applyFill="1" applyBorder="1" applyAlignment="1">
      <alignment horizontal="left"/>
    </xf>
    <xf numFmtId="4" fontId="0" fillId="17" borderId="4" xfId="0" applyNumberFormat="1" applyFill="1" applyBorder="1" applyAlignment="1">
      <alignment horizontal="left"/>
    </xf>
    <xf numFmtId="3" fontId="0" fillId="17" borderId="6" xfId="0" applyNumberFormat="1" applyFill="1" applyBorder="1" applyAlignment="1">
      <alignment horizontal="left"/>
    </xf>
    <xf numFmtId="2" fontId="0" fillId="17" borderId="25" xfId="0" applyNumberFormat="1" applyFill="1" applyBorder="1"/>
    <xf numFmtId="2" fontId="0" fillId="17" borderId="10" xfId="0" applyNumberFormat="1" applyFill="1" applyBorder="1"/>
    <xf numFmtId="168" fontId="0" fillId="17" borderId="10" xfId="1" applyNumberFormat="1" applyFont="1" applyFill="1" applyBorder="1"/>
    <xf numFmtId="2" fontId="10" fillId="17" borderId="0" xfId="1" applyNumberFormat="1" applyFont="1" applyFill="1"/>
    <xf numFmtId="168" fontId="10" fillId="17" borderId="8" xfId="1" applyNumberFormat="1" applyFont="1" applyFill="1" applyBorder="1"/>
    <xf numFmtId="10" fontId="0" fillId="2" borderId="0" xfId="0" applyNumberFormat="1" applyFill="1"/>
    <xf numFmtId="0" fontId="0" fillId="17" borderId="4" xfId="0" applyFill="1" applyBorder="1" applyAlignment="1">
      <alignment shrinkToFit="1"/>
    </xf>
    <xf numFmtId="10" fontId="0" fillId="2" borderId="0" xfId="1" applyNumberFormat="1" applyFont="1" applyFill="1"/>
    <xf numFmtId="39" fontId="0" fillId="17" borderId="4" xfId="0" applyNumberFormat="1" applyFill="1" applyBorder="1" applyAlignment="1">
      <alignment horizontal="right"/>
    </xf>
    <xf numFmtId="10" fontId="0" fillId="17" borderId="6" xfId="1" applyNumberFormat="1" applyFont="1" applyFill="1" applyBorder="1"/>
    <xf numFmtId="10" fontId="0" fillId="3" borderId="10" xfId="1" applyNumberFormat="1" applyFont="1" applyFill="1" applyBorder="1" applyAlignment="1">
      <alignment horizontal="left"/>
    </xf>
    <xf numFmtId="10" fontId="12" fillId="2" borderId="20" xfId="1" applyNumberFormat="1" applyFont="1" applyFill="1" applyBorder="1"/>
    <xf numFmtId="3" fontId="12" fillId="2" borderId="20" xfId="0" applyNumberFormat="1" applyFont="1" applyFill="1" applyBorder="1"/>
    <xf numFmtId="2" fontId="0" fillId="2" borderId="0" xfId="1" applyNumberFormat="1" applyFont="1" applyFill="1"/>
    <xf numFmtId="0" fontId="0" fillId="9" borderId="0" xfId="0" applyFill="1" applyAlignment="1">
      <alignment horizontal="right"/>
    </xf>
    <xf numFmtId="2" fontId="0" fillId="2" borderId="0" xfId="1" applyNumberFormat="1" applyFont="1" applyFill="1" applyAlignment="1">
      <alignment horizontal="right"/>
    </xf>
    <xf numFmtId="1" fontId="0" fillId="2" borderId="0" xfId="0" applyNumberFormat="1" applyFill="1"/>
    <xf numFmtId="39" fontId="17" fillId="2" borderId="0" xfId="0" applyNumberFormat="1" applyFont="1" applyFill="1"/>
    <xf numFmtId="39" fontId="17" fillId="2" borderId="14" xfId="0" applyNumberFormat="1" applyFont="1" applyFill="1" applyBorder="1"/>
    <xf numFmtId="10" fontId="0" fillId="3" borderId="0" xfId="1" applyNumberFormat="1" applyFont="1" applyFill="1"/>
    <xf numFmtId="39" fontId="10" fillId="2" borderId="0" xfId="0" applyNumberFormat="1" applyFont="1" applyFill="1"/>
    <xf numFmtId="37" fontId="7" fillId="8" borderId="8" xfId="0" applyNumberFormat="1" applyFont="1" applyFill="1" applyBorder="1"/>
    <xf numFmtId="0" fontId="18" fillId="7" borderId="10" xfId="0" applyFont="1" applyFill="1" applyBorder="1" applyAlignment="1">
      <alignment horizontal="left" indent="1"/>
    </xf>
    <xf numFmtId="1" fontId="0" fillId="2" borderId="0" xfId="1" applyNumberFormat="1" applyFont="1" applyFill="1"/>
    <xf numFmtId="3" fontId="10" fillId="3" borderId="0" xfId="1" applyNumberFormat="1" applyFont="1" applyFill="1"/>
    <xf numFmtId="0" fontId="7" fillId="9" borderId="15" xfId="0" applyFont="1" applyFill="1" applyBorder="1"/>
    <xf numFmtId="167" fontId="7" fillId="9" borderId="16" xfId="0" applyNumberFormat="1" applyFont="1" applyFill="1" applyBorder="1"/>
    <xf numFmtId="38" fontId="9" fillId="19" borderId="0" xfId="0" applyNumberFormat="1" applyFont="1" applyFill="1"/>
    <xf numFmtId="168" fontId="0" fillId="17" borderId="25" xfId="1" applyNumberFormat="1" applyFont="1" applyFill="1" applyBorder="1"/>
    <xf numFmtId="168" fontId="0" fillId="17" borderId="26" xfId="1" applyNumberFormat="1" applyFont="1" applyFill="1" applyBorder="1"/>
    <xf numFmtId="0" fontId="25" fillId="8" borderId="25" xfId="2" quotePrefix="1" applyFill="1" applyBorder="1" applyAlignment="1">
      <alignment horizontal="center"/>
    </xf>
    <xf numFmtId="0" fontId="25" fillId="8" borderId="26" xfId="2" quotePrefix="1" applyFill="1" applyBorder="1" applyAlignment="1">
      <alignment horizontal="center"/>
    </xf>
    <xf numFmtId="168" fontId="0" fillId="17" borderId="2" xfId="1" applyNumberFormat="1" applyFont="1" applyFill="1" applyBorder="1"/>
    <xf numFmtId="2" fontId="0" fillId="17" borderId="6" xfId="1" applyNumberFormat="1" applyFont="1" applyFill="1" applyBorder="1"/>
    <xf numFmtId="0" fontId="0" fillId="7" borderId="27" xfId="0" applyFill="1" applyBorder="1"/>
    <xf numFmtId="0" fontId="4" fillId="4" borderId="1" xfId="0" applyFont="1" applyFill="1" applyBorder="1" applyAlignment="1">
      <alignment horizontal="center"/>
    </xf>
    <xf numFmtId="0" fontId="4" fillId="4" borderId="2" xfId="0" applyFont="1" applyFill="1" applyBorder="1" applyAlignment="1">
      <alignment horizontal="center"/>
    </xf>
    <xf numFmtId="0" fontId="4" fillId="4" borderId="10" xfId="0" applyFont="1" applyFill="1" applyBorder="1" applyAlignment="1">
      <alignment horizontal="center"/>
    </xf>
    <xf numFmtId="0" fontId="4" fillId="4" borderId="0" xfId="0" applyFont="1" applyFill="1" applyAlignment="1">
      <alignment horizontal="center"/>
    </xf>
    <xf numFmtId="0" fontId="5" fillId="4" borderId="0" xfId="0" applyFont="1" applyFill="1" applyAlignment="1">
      <alignment horizontal="center"/>
    </xf>
    <xf numFmtId="0" fontId="5" fillId="4" borderId="4" xfId="0" applyFont="1" applyFill="1" applyBorder="1" applyAlignment="1">
      <alignment horizontal="center"/>
    </xf>
    <xf numFmtId="0" fontId="5" fillId="4" borderId="3" xfId="0" applyFont="1" applyFill="1" applyBorder="1" applyAlignment="1">
      <alignment horizontal="center"/>
    </xf>
    <xf numFmtId="168" fontId="18" fillId="17" borderId="5" xfId="1" applyNumberFormat="1" applyFont="1" applyFill="1" applyBorder="1" applyAlignment="1">
      <alignment horizontal="center"/>
    </xf>
    <xf numFmtId="168" fontId="18" fillId="17" borderId="6" xfId="1" applyNumberFormat="1" applyFont="1" applyFill="1" applyBorder="1" applyAlignment="1">
      <alignment horizontal="center"/>
    </xf>
    <xf numFmtId="0" fontId="15" fillId="5" borderId="12" xfId="0" applyFont="1" applyFill="1" applyBorder="1" applyAlignment="1">
      <alignment horizontal="center"/>
    </xf>
    <xf numFmtId="0" fontId="4" fillId="4" borderId="13" xfId="0" applyFont="1" applyFill="1" applyBorder="1" applyAlignment="1">
      <alignment horizontal="center"/>
    </xf>
    <xf numFmtId="0" fontId="4" fillId="4" borderId="11" xfId="0" applyFont="1" applyFill="1" applyBorder="1" applyAlignment="1">
      <alignment horizontal="center"/>
    </xf>
    <xf numFmtId="0" fontId="4" fillId="4" borderId="4" xfId="0" applyFont="1" applyFill="1" applyBorder="1" applyAlignment="1">
      <alignment horizontal="center"/>
    </xf>
    <xf numFmtId="0" fontId="4" fillId="4" borderId="3" xfId="0" applyFont="1" applyFill="1" applyBorder="1" applyAlignment="1">
      <alignment horizontal="center"/>
    </xf>
    <xf numFmtId="0" fontId="4" fillId="2" borderId="0" xfId="0" applyFont="1" applyFill="1" applyAlignment="1">
      <alignment horizontal="center"/>
    </xf>
    <xf numFmtId="0" fontId="4" fillId="4" borderId="17" xfId="0" applyFont="1" applyFill="1" applyBorder="1" applyAlignment="1">
      <alignment horizontal="center"/>
    </xf>
    <xf numFmtId="0" fontId="4" fillId="4" borderId="18" xfId="0" applyFont="1" applyFill="1" applyBorder="1" applyAlignment="1">
      <alignment horizontal="center"/>
    </xf>
    <xf numFmtId="0" fontId="0" fillId="2" borderId="0" xfId="0" applyFill="1" applyAlignment="1">
      <alignment horizontal="left"/>
    </xf>
  </cellXfs>
  <cellStyles count="3">
    <cellStyle name="Hyperlink" xfId="2" builtinId="8"/>
    <cellStyle name="Normal" xfId="0" builtinId="0"/>
    <cellStyle name="Percent" xfId="1" builtinId="5"/>
  </cellStyles>
  <dxfs count="3">
    <dxf>
      <fill>
        <patternFill>
          <bgColor theme="9" tint="0.59996337778862885"/>
        </patternFill>
      </fill>
    </dxf>
    <dxf>
      <fill>
        <patternFill>
          <bgColor theme="0"/>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 Id="rId30" Type="http://schemas.microsoft.com/office/2017/06/relationships/richStyles" Target="richData/richStyles.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Year'!$H$62:$L$62</c:f>
              <c:strCache>
                <c:ptCount val="5"/>
                <c:pt idx="0">
                  <c:v>01.09.2022</c:v>
                </c:pt>
                <c:pt idx="1">
                  <c:v>31.08.2023</c:v>
                </c:pt>
                <c:pt idx="2">
                  <c:v>29.08.2024</c:v>
                </c:pt>
                <c:pt idx="3">
                  <c:v>28.08.2025</c:v>
                </c:pt>
                <c:pt idx="4">
                  <c:v>03.09.2025</c:v>
                </c:pt>
              </c:strCache>
            </c:strRef>
          </c:cat>
          <c:val>
            <c:numRef>
              <c:f>'Graphs Year'!$H$64:$L$64</c:f>
              <c:numCache>
                <c:formatCode>#,##0_);[Red]\(#,##0\)</c:formatCode>
                <c:ptCount val="5"/>
                <c:pt idx="0">
                  <c:v>30758</c:v>
                </c:pt>
                <c:pt idx="1">
                  <c:v>15540</c:v>
                </c:pt>
                <c:pt idx="2">
                  <c:v>25111</c:v>
                </c:pt>
                <c:pt idx="3">
                  <c:v>37378</c:v>
                </c:pt>
                <c:pt idx="4">
                  <c:v>133188</c:v>
                </c:pt>
              </c:numCache>
            </c:numRef>
          </c:val>
          <c:extLst>
            <c:ext xmlns:c16="http://schemas.microsoft.com/office/drawing/2014/chart" uri="{C3380CC4-5D6E-409C-BE32-E72D297353CC}">
              <c16:uniqueId val="{00000000-FBD8-F544-8D7A-E766A179560A}"/>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Year'!$H$62:$L$62</c:f>
              <c:strCache>
                <c:ptCount val="5"/>
                <c:pt idx="0">
                  <c:v>01.09.2022</c:v>
                </c:pt>
                <c:pt idx="1">
                  <c:v>31.08.2023</c:v>
                </c:pt>
                <c:pt idx="2">
                  <c:v>29.08.2024</c:v>
                </c:pt>
                <c:pt idx="3">
                  <c:v>28.08.2025</c:v>
                </c:pt>
                <c:pt idx="4">
                  <c:v>03.09.2025</c:v>
                </c:pt>
              </c:strCache>
            </c:strRef>
          </c:cat>
          <c:val>
            <c:numRef>
              <c:f>'Graphs Year'!$H$65:$L$65</c:f>
              <c:numCache>
                <c:formatCode>#,##0_);\(#,##0\)</c:formatCode>
                <c:ptCount val="5"/>
                <c:pt idx="0">
                  <c:v>9702</c:v>
                </c:pt>
                <c:pt idx="1">
                  <c:v>-5745</c:v>
                </c:pt>
                <c:pt idx="2">
                  <c:v>1304</c:v>
                </c:pt>
                <c:pt idx="3">
                  <c:v>9770</c:v>
                </c:pt>
                <c:pt idx="4">
                  <c:v>99340</c:v>
                </c:pt>
              </c:numCache>
            </c:numRef>
          </c:val>
          <c:extLst>
            <c:ext xmlns:c16="http://schemas.microsoft.com/office/drawing/2014/chart" uri="{C3380CC4-5D6E-409C-BE32-E72D297353CC}">
              <c16:uniqueId val="{00000001-FBD8-F544-8D7A-E766A179560A}"/>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Year'!$H$62:$L$62</c:f>
              <c:strCache>
                <c:ptCount val="5"/>
                <c:pt idx="0">
                  <c:v>01.09.2022</c:v>
                </c:pt>
                <c:pt idx="1">
                  <c:v>31.08.2023</c:v>
                </c:pt>
                <c:pt idx="2">
                  <c:v>29.08.2024</c:v>
                </c:pt>
                <c:pt idx="3">
                  <c:v>28.08.2025</c:v>
                </c:pt>
                <c:pt idx="4">
                  <c:v>03.09.2025</c:v>
                </c:pt>
              </c:strCache>
            </c:strRef>
          </c:cat>
          <c:val>
            <c:numRef>
              <c:f>'Graphs Year'!$H$66:$L$66</c:f>
              <c:numCache>
                <c:formatCode>#,##0_);\(#,##0\)</c:formatCode>
                <c:ptCount val="5"/>
                <c:pt idx="0">
                  <c:v>8687</c:v>
                </c:pt>
                <c:pt idx="1">
                  <c:v>-5833</c:v>
                </c:pt>
                <c:pt idx="2">
                  <c:v>778</c:v>
                </c:pt>
                <c:pt idx="3">
                  <c:v>8539</c:v>
                </c:pt>
                <c:pt idx="4">
                  <c:v>84969</c:v>
                </c:pt>
              </c:numCache>
            </c:numRef>
          </c:val>
          <c:extLst>
            <c:ext xmlns:c16="http://schemas.microsoft.com/office/drawing/2014/chart" uri="{C3380CC4-5D6E-409C-BE32-E72D297353CC}">
              <c16:uniqueId val="{00000002-FBD8-F544-8D7A-E766A179560A}"/>
            </c:ext>
          </c:extLst>
        </c:ser>
        <c:dLbls>
          <c:showLegendKey val="0"/>
          <c:showVal val="0"/>
          <c:showCatName val="0"/>
          <c:showSerName val="0"/>
          <c:showPercent val="0"/>
          <c:showBubbleSize val="0"/>
        </c:dLbls>
        <c:gapWidth val="75"/>
        <c:overlap val="-25"/>
        <c:axId val="53038591"/>
        <c:axId val="53037247"/>
      </c:barChart>
      <c:catAx>
        <c:axId val="53038591"/>
        <c:scaling>
          <c:orientation val="minMax"/>
        </c:scaling>
        <c:delete val="1"/>
        <c:axPos val="b"/>
        <c:numFmt formatCode="General" sourceLinked="1"/>
        <c:majorTickMark val="none"/>
        <c:minorTickMark val="none"/>
        <c:tickLblPos val="nextTo"/>
        <c:crossAx val="53037247"/>
        <c:crosses val="autoZero"/>
        <c:auto val="1"/>
        <c:lblAlgn val="ctr"/>
        <c:lblOffset val="100"/>
        <c:noMultiLvlLbl val="0"/>
      </c:catAx>
      <c:valAx>
        <c:axId val="53037247"/>
        <c:scaling>
          <c:orientation val="minMax"/>
        </c:scaling>
        <c:delete val="0"/>
        <c:axPos val="l"/>
        <c:majorGridlines>
          <c:spPr>
            <a:ln w="9525" cap="flat" cmpd="sng" algn="ctr">
              <a:solidFill>
                <a:schemeClr val="lt1">
                  <a:lumMod val="95000"/>
                  <a:alpha val="10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038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FCFE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Year'!$H$67:$L$67</c:f>
              <c:numCache>
                <c:formatCode>#,##0_);\(#,##0\)</c:formatCode>
                <c:ptCount val="5"/>
                <c:pt idx="0">
                  <c:v>2600</c:v>
                </c:pt>
                <c:pt idx="1">
                  <c:v>-6713</c:v>
                </c:pt>
                <c:pt idx="2">
                  <c:v>-712</c:v>
                </c:pt>
                <c:pt idx="3">
                  <c:v>696</c:v>
                </c:pt>
                <c:pt idx="4">
                  <c:v>57630</c:v>
                </c:pt>
              </c:numCache>
            </c:numRef>
          </c:val>
          <c:extLst>
            <c:ext xmlns:c16="http://schemas.microsoft.com/office/drawing/2014/chart" uri="{C3380CC4-5D6E-409C-BE32-E72D297353CC}">
              <c16:uniqueId val="{00000000-BB17-2F4C-8690-419106F20D70}"/>
            </c:ext>
          </c:extLst>
        </c:ser>
        <c:ser>
          <c:idx val="1"/>
          <c:order val="1"/>
          <c:tx>
            <c:v>FCFF</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Year'!$H$68:$L$68</c:f>
              <c:numCache>
                <c:formatCode>#,##0_);\(#,##0\)</c:formatCode>
                <c:ptCount val="5"/>
                <c:pt idx="0">
                  <c:v>2605.8457841395884</c:v>
                </c:pt>
                <c:pt idx="1">
                  <c:v>-8557</c:v>
                </c:pt>
                <c:pt idx="2">
                  <c:v>-660.27741935483937</c:v>
                </c:pt>
                <c:pt idx="3">
                  <c:v>789.49430287963332</c:v>
                </c:pt>
                <c:pt idx="4">
                  <c:v>57677.020186413312</c:v>
                </c:pt>
              </c:numCache>
            </c:numRef>
          </c:val>
          <c:extLst>
            <c:ext xmlns:c16="http://schemas.microsoft.com/office/drawing/2014/chart" uri="{C3380CC4-5D6E-409C-BE32-E72D297353CC}">
              <c16:uniqueId val="{00000001-BB17-2F4C-8690-419106F20D70}"/>
            </c:ext>
          </c:extLst>
        </c:ser>
        <c:dLbls>
          <c:showLegendKey val="0"/>
          <c:showVal val="0"/>
          <c:showCatName val="0"/>
          <c:showSerName val="0"/>
          <c:showPercent val="0"/>
          <c:showBubbleSize val="0"/>
        </c:dLbls>
        <c:gapWidth val="100"/>
        <c:overlap val="-24"/>
        <c:axId val="2187135"/>
        <c:axId val="58967807"/>
      </c:barChart>
      <c:catAx>
        <c:axId val="2187135"/>
        <c:scaling>
          <c:orientation val="minMax"/>
        </c:scaling>
        <c:delete val="1"/>
        <c:axPos val="b"/>
        <c:majorTickMark val="none"/>
        <c:minorTickMark val="none"/>
        <c:tickLblPos val="nextTo"/>
        <c:crossAx val="58967807"/>
        <c:crosses val="autoZero"/>
        <c:auto val="1"/>
        <c:lblAlgn val="ctr"/>
        <c:lblOffset val="100"/>
        <c:noMultiLvlLbl val="0"/>
      </c:catAx>
      <c:valAx>
        <c:axId val="58967807"/>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87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261592300962376E-2"/>
          <c:y val="2.5428331875182269E-2"/>
          <c:w val="0.87129396325459318"/>
          <c:h val="0.79224482356372117"/>
        </c:manualLayout>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Year'!$H$69:$L$69</c:f>
              <c:numCache>
                <c:formatCode>0%</c:formatCode>
                <c:ptCount val="5"/>
                <c:pt idx="0">
                  <c:v>0.45184992522270628</c:v>
                </c:pt>
                <c:pt idx="1">
                  <c:v>-9.1119691119691121E-2</c:v>
                </c:pt>
                <c:pt idx="2">
                  <c:v>0.22352753773246783</c:v>
                </c:pt>
                <c:pt idx="3">
                  <c:v>0.39790786023864305</c:v>
                </c:pt>
                <c:pt idx="4">
                  <c:v>0.8071598041865633</c:v>
                </c:pt>
              </c:numCache>
            </c:numRef>
          </c:val>
          <c:extLst>
            <c:ext xmlns:c16="http://schemas.microsoft.com/office/drawing/2014/chart" uri="{C3380CC4-5D6E-409C-BE32-E72D297353CC}">
              <c16:uniqueId val="{00000000-F190-BE4A-9FEF-2CC4F95DC82E}"/>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Year'!$H$70:$L$70</c:f>
              <c:numCache>
                <c:formatCode>0%</c:formatCode>
                <c:ptCount val="5"/>
                <c:pt idx="0">
                  <c:v>0.31543013199817932</c:v>
                </c:pt>
                <c:pt idx="1">
                  <c:v>-0.36969111969111967</c:v>
                </c:pt>
                <c:pt idx="2">
                  <c:v>5.192943331607662E-2</c:v>
                </c:pt>
                <c:pt idx="3">
                  <c:v>0.26138370164267749</c:v>
                </c:pt>
                <c:pt idx="4">
                  <c:v>0.7458629906598192</c:v>
                </c:pt>
              </c:numCache>
            </c:numRef>
          </c:val>
          <c:extLst>
            <c:ext xmlns:c16="http://schemas.microsoft.com/office/drawing/2014/chart" uri="{C3380CC4-5D6E-409C-BE32-E72D297353CC}">
              <c16:uniqueId val="{00000001-F190-BE4A-9FEF-2CC4F95DC82E}"/>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Year'!$H$71:$L$71</c:f>
              <c:numCache>
                <c:formatCode>0%</c:formatCode>
                <c:ptCount val="5"/>
                <c:pt idx="0">
                  <c:v>0.28243058716431496</c:v>
                </c:pt>
                <c:pt idx="1">
                  <c:v>-0.37535392535392537</c:v>
                </c:pt>
                <c:pt idx="2">
                  <c:v>3.0982437975389271E-2</c:v>
                </c:pt>
                <c:pt idx="3">
                  <c:v>0.22844989030980792</c:v>
                </c:pt>
                <c:pt idx="4">
                  <c:v>0.63796287953869713</c:v>
                </c:pt>
              </c:numCache>
            </c:numRef>
          </c:val>
          <c:extLst>
            <c:ext xmlns:c16="http://schemas.microsoft.com/office/drawing/2014/chart" uri="{C3380CC4-5D6E-409C-BE32-E72D297353CC}">
              <c16:uniqueId val="{00000002-F190-BE4A-9FEF-2CC4F95DC82E}"/>
            </c:ext>
          </c:extLst>
        </c:ser>
        <c:dLbls>
          <c:showLegendKey val="0"/>
          <c:showVal val="0"/>
          <c:showCatName val="0"/>
          <c:showSerName val="0"/>
          <c:showPercent val="0"/>
          <c:showBubbleSize val="0"/>
        </c:dLbls>
        <c:gapWidth val="100"/>
        <c:overlap val="-24"/>
        <c:axId val="91790783"/>
        <c:axId val="91797055"/>
      </c:barChart>
      <c:catAx>
        <c:axId val="91790783"/>
        <c:scaling>
          <c:orientation val="minMax"/>
        </c:scaling>
        <c:delete val="1"/>
        <c:axPos val="b"/>
        <c:majorTickMark val="none"/>
        <c:minorTickMark val="none"/>
        <c:tickLblPos val="nextTo"/>
        <c:crossAx val="91797055"/>
        <c:crosses val="autoZero"/>
        <c:auto val="1"/>
        <c:lblAlgn val="ctr"/>
        <c:lblOffset val="100"/>
        <c:noMultiLvlLbl val="0"/>
      </c:catAx>
      <c:valAx>
        <c:axId val="9179705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790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DRAM</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Year'!$H$72:$L$72</c:f>
              <c:numCache>
                <c:formatCode>#,##0_);\(#,##0\)</c:formatCode>
                <c:ptCount val="5"/>
                <c:pt idx="0">
                  <c:v>22386</c:v>
                </c:pt>
                <c:pt idx="1">
                  <c:v>10978</c:v>
                </c:pt>
                <c:pt idx="2">
                  <c:v>17603</c:v>
                </c:pt>
                <c:pt idx="3">
                  <c:v>28578</c:v>
                </c:pt>
                <c:pt idx="4">
                  <c:v>100679</c:v>
                </c:pt>
              </c:numCache>
            </c:numRef>
          </c:val>
          <c:extLst>
            <c:ext xmlns:c16="http://schemas.microsoft.com/office/drawing/2014/chart" uri="{C3380CC4-5D6E-409C-BE32-E72D297353CC}">
              <c16:uniqueId val="{00000000-CDE5-154C-8153-319428CD8714}"/>
            </c:ext>
          </c:extLst>
        </c:ser>
        <c:ser>
          <c:idx val="1"/>
          <c:order val="1"/>
          <c:tx>
            <c:v>NAND</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Year'!$H$73:$L$73</c:f>
              <c:numCache>
                <c:formatCode>#,##0_);\(#,##0\)</c:formatCode>
                <c:ptCount val="5"/>
                <c:pt idx="0">
                  <c:v>7811</c:v>
                </c:pt>
                <c:pt idx="1">
                  <c:v>4206</c:v>
                </c:pt>
                <c:pt idx="2">
                  <c:v>7227</c:v>
                </c:pt>
                <c:pt idx="3">
                  <c:v>8503</c:v>
                </c:pt>
                <c:pt idx="4">
                  <c:v>31785</c:v>
                </c:pt>
              </c:numCache>
            </c:numRef>
          </c:val>
          <c:extLst>
            <c:ext xmlns:c16="http://schemas.microsoft.com/office/drawing/2014/chart" uri="{C3380CC4-5D6E-409C-BE32-E72D297353CC}">
              <c16:uniqueId val="{00000001-CDE5-154C-8153-319428CD8714}"/>
            </c:ext>
          </c:extLst>
        </c:ser>
        <c:ser>
          <c:idx val="2"/>
          <c:order val="2"/>
          <c:tx>
            <c:v>Other</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Year'!$H$74:$L$74</c:f>
              <c:numCache>
                <c:formatCode>#,##0_);\(#,##0\)</c:formatCode>
                <c:ptCount val="5"/>
                <c:pt idx="0">
                  <c:v>561</c:v>
                </c:pt>
                <c:pt idx="1">
                  <c:v>356</c:v>
                </c:pt>
                <c:pt idx="2">
                  <c:v>281</c:v>
                </c:pt>
                <c:pt idx="3">
                  <c:v>297</c:v>
                </c:pt>
                <c:pt idx="4">
                  <c:v>724</c:v>
                </c:pt>
              </c:numCache>
            </c:numRef>
          </c:val>
          <c:extLst>
            <c:ext xmlns:c16="http://schemas.microsoft.com/office/drawing/2014/chart" uri="{C3380CC4-5D6E-409C-BE32-E72D297353CC}">
              <c16:uniqueId val="{00000002-CDE5-154C-8153-319428CD8714}"/>
            </c:ext>
          </c:extLst>
        </c:ser>
        <c:dLbls>
          <c:showLegendKey val="0"/>
          <c:showVal val="0"/>
          <c:showCatName val="0"/>
          <c:showSerName val="0"/>
          <c:showPercent val="0"/>
          <c:showBubbleSize val="0"/>
        </c:dLbls>
        <c:gapWidth val="150"/>
        <c:overlap val="100"/>
        <c:axId val="57928639"/>
        <c:axId val="57930431"/>
      </c:barChart>
      <c:catAx>
        <c:axId val="57928639"/>
        <c:scaling>
          <c:orientation val="minMax"/>
        </c:scaling>
        <c:delete val="1"/>
        <c:axPos val="b"/>
        <c:majorTickMark val="none"/>
        <c:minorTickMark val="none"/>
        <c:tickLblPos val="nextTo"/>
        <c:crossAx val="57930431"/>
        <c:crosses val="autoZero"/>
        <c:auto val="1"/>
        <c:lblAlgn val="ctr"/>
        <c:lblOffset val="100"/>
        <c:noMultiLvlLbl val="0"/>
      </c:catAx>
      <c:valAx>
        <c:axId val="5793043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92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ROA</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Year'!$H$79:$L$79</c:f>
              <c:numCache>
                <c:formatCode>0.00%</c:formatCode>
                <c:ptCount val="5"/>
                <c:pt idx="0">
                  <c:v>0.1310592459605027</c:v>
                </c:pt>
                <c:pt idx="1">
                  <c:v>-9.0780340523547179E-2</c:v>
                </c:pt>
                <c:pt idx="2">
                  <c:v>1.1207790711075256E-2</c:v>
                </c:pt>
                <c:pt idx="3">
                  <c:v>0.1031305103988019</c:v>
                </c:pt>
                <c:pt idx="4">
                  <c:v>0.43376317079147264</c:v>
                </c:pt>
              </c:numCache>
            </c:numRef>
          </c:val>
          <c:extLst>
            <c:ext xmlns:c16="http://schemas.microsoft.com/office/drawing/2014/chart" uri="{C3380CC4-5D6E-409C-BE32-E72D297353CC}">
              <c16:uniqueId val="{00000000-5130-D94B-93C9-EC406C04EEFA}"/>
            </c:ext>
          </c:extLst>
        </c:ser>
        <c:ser>
          <c:idx val="1"/>
          <c:order val="1"/>
          <c:tx>
            <c:v>ROE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Year'!$H$80:$L$80</c:f>
              <c:numCache>
                <c:formatCode>0.00%</c:formatCode>
                <c:ptCount val="5"/>
                <c:pt idx="0">
                  <c:v>0.17406375859097922</c:v>
                </c:pt>
                <c:pt idx="1">
                  <c:v>-0.13220761559383501</c:v>
                </c:pt>
                <c:pt idx="2">
                  <c:v>1.7238705102922601E-2</c:v>
                </c:pt>
                <c:pt idx="3">
                  <c:v>0.15764792762854241</c:v>
                </c:pt>
                <c:pt idx="4">
                  <c:v>0.61403546806573295</c:v>
                </c:pt>
              </c:numCache>
            </c:numRef>
          </c:val>
          <c:extLst>
            <c:ext xmlns:c16="http://schemas.microsoft.com/office/drawing/2014/chart" uri="{C3380CC4-5D6E-409C-BE32-E72D297353CC}">
              <c16:uniqueId val="{00000001-5130-D94B-93C9-EC406C04EEFA}"/>
            </c:ext>
          </c:extLst>
        </c:ser>
        <c:ser>
          <c:idx val="2"/>
          <c:order val="2"/>
          <c:tx>
            <c:v>ROIC</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Year'!$H$81:$L$81</c:f>
              <c:numCache>
                <c:formatCode>0.00%</c:formatCode>
                <c:ptCount val="5"/>
                <c:pt idx="0">
                  <c:v>0.19203328862527738</c:v>
                </c:pt>
                <c:pt idx="1">
                  <c:v>-0.12220284182761848</c:v>
                </c:pt>
                <c:pt idx="2">
                  <c:v>1.6804167624861494E-2</c:v>
                </c:pt>
                <c:pt idx="3">
                  <c:v>0.15196448091538983</c:v>
                </c:pt>
                <c:pt idx="4">
                  <c:v>1.2071781950589597</c:v>
                </c:pt>
              </c:numCache>
            </c:numRef>
          </c:val>
          <c:extLst>
            <c:ext xmlns:c16="http://schemas.microsoft.com/office/drawing/2014/chart" uri="{C3380CC4-5D6E-409C-BE32-E72D297353CC}">
              <c16:uniqueId val="{00000002-5130-D94B-93C9-EC406C04EEFA}"/>
            </c:ext>
          </c:extLst>
        </c:ser>
        <c:dLbls>
          <c:showLegendKey val="0"/>
          <c:showVal val="0"/>
          <c:showCatName val="0"/>
          <c:showSerName val="0"/>
          <c:showPercent val="0"/>
          <c:showBubbleSize val="0"/>
        </c:dLbls>
        <c:gapWidth val="100"/>
        <c:overlap val="-24"/>
        <c:axId val="92276031"/>
        <c:axId val="92282303"/>
      </c:barChart>
      <c:catAx>
        <c:axId val="92276031"/>
        <c:scaling>
          <c:orientation val="minMax"/>
        </c:scaling>
        <c:delete val="1"/>
        <c:axPos val="b"/>
        <c:majorTickMark val="none"/>
        <c:minorTickMark val="none"/>
        <c:tickLblPos val="nextTo"/>
        <c:crossAx val="92282303"/>
        <c:crosses val="autoZero"/>
        <c:auto val="1"/>
        <c:lblAlgn val="ctr"/>
        <c:lblOffset val="100"/>
        <c:noMultiLvlLbl val="0"/>
      </c:catAx>
      <c:valAx>
        <c:axId val="922823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276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Price 5y</c:v>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Year'!$H$82:$L$82</c:f>
              <c:numCache>
                <c:formatCode>0</c:formatCode>
                <c:ptCount val="5"/>
                <c:pt idx="0">
                  <c:v>100</c:v>
                </c:pt>
                <c:pt idx="1">
                  <c:v>118.80998080614202</c:v>
                </c:pt>
                <c:pt idx="2">
                  <c:v>166.75972779619613</c:v>
                </c:pt>
                <c:pt idx="3">
                  <c:v>212.87733379863897</c:v>
                </c:pt>
                <c:pt idx="4">
                  <c:v>1671.8897225615074</c:v>
                </c:pt>
              </c:numCache>
            </c:numRef>
          </c:val>
          <c:smooth val="0"/>
          <c:extLst>
            <c:ext xmlns:c16="http://schemas.microsoft.com/office/drawing/2014/chart" uri="{C3380CC4-5D6E-409C-BE32-E72D297353CC}">
              <c16:uniqueId val="{00000000-E1C7-E644-B67E-BC4064FDD059}"/>
            </c:ext>
          </c:extLst>
        </c:ser>
        <c:ser>
          <c:idx val="1"/>
          <c:order val="1"/>
          <c:tx>
            <c:v>Revenue 5y</c:v>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'Graphs Year'!$H$83:$L$83</c:f>
              <c:numCache>
                <c:formatCode>0</c:formatCode>
                <c:ptCount val="5"/>
                <c:pt idx="0">
                  <c:v>100</c:v>
                </c:pt>
                <c:pt idx="1">
                  <c:v>50.52344105598543</c:v>
                </c:pt>
                <c:pt idx="2">
                  <c:v>81.640548800312104</c:v>
                </c:pt>
                <c:pt idx="3">
                  <c:v>121.52285584238247</c:v>
                </c:pt>
                <c:pt idx="4">
                  <c:v>433.01905195396319</c:v>
                </c:pt>
              </c:numCache>
            </c:numRef>
          </c:val>
          <c:smooth val="0"/>
          <c:extLst>
            <c:ext xmlns:c16="http://schemas.microsoft.com/office/drawing/2014/chart" uri="{C3380CC4-5D6E-409C-BE32-E72D297353CC}">
              <c16:uniqueId val="{00000001-E1C7-E644-B67E-BC4064FDD059}"/>
            </c:ext>
          </c:extLst>
        </c:ser>
        <c:ser>
          <c:idx val="2"/>
          <c:order val="2"/>
          <c:tx>
            <c:v>EPS 5y</c:v>
          </c:tx>
          <c:spPr>
            <a:ln w="34925" cap="rnd">
              <a:solidFill>
                <a:schemeClr val="accent3"/>
              </a:solidFill>
              <a:round/>
            </a:ln>
            <a:effectLst>
              <a:outerShdw blurRad="57150" dist="19050" dir="5400000" algn="ctr" rotWithShape="0">
                <a:srgbClr val="000000">
                  <a:alpha val="63000"/>
                </a:srgbClr>
              </a:outerShdw>
            </a:effectLst>
          </c:spPr>
          <c:marker>
            <c:symbol val="none"/>
          </c:marker>
          <c:val>
            <c:numRef>
              <c:f>'Graphs Year'!$H$84:$L$84</c:f>
              <c:numCache>
                <c:formatCode>0</c:formatCode>
                <c:ptCount val="5"/>
                <c:pt idx="0">
                  <c:v>100</c:v>
                </c:pt>
                <c:pt idx="1">
                  <c:v>-68.903225806451601</c:v>
                </c:pt>
                <c:pt idx="2">
                  <c:v>9.0322580645161299</c:v>
                </c:pt>
                <c:pt idx="3">
                  <c:v>97.935483870967744</c:v>
                </c:pt>
                <c:pt idx="4">
                  <c:v>959.0967741935483</c:v>
                </c:pt>
              </c:numCache>
            </c:numRef>
          </c:val>
          <c:smooth val="0"/>
          <c:extLst>
            <c:ext xmlns:c16="http://schemas.microsoft.com/office/drawing/2014/chart" uri="{C3380CC4-5D6E-409C-BE32-E72D297353CC}">
              <c16:uniqueId val="{00000002-E1C7-E644-B67E-BC4064FDD059}"/>
            </c:ext>
          </c:extLst>
        </c:ser>
        <c:dLbls>
          <c:showLegendKey val="0"/>
          <c:showVal val="0"/>
          <c:showCatName val="0"/>
          <c:showSerName val="0"/>
          <c:showPercent val="0"/>
          <c:showBubbleSize val="0"/>
        </c:dLbls>
        <c:smooth val="0"/>
        <c:axId val="1656736831"/>
        <c:axId val="1848533759"/>
      </c:lineChart>
      <c:catAx>
        <c:axId val="1656736831"/>
        <c:scaling>
          <c:orientation val="minMax"/>
        </c:scaling>
        <c:delete val="1"/>
        <c:axPos val="b"/>
        <c:majorTickMark val="none"/>
        <c:minorTickMark val="none"/>
        <c:tickLblPos val="nextTo"/>
        <c:crossAx val="1848533759"/>
        <c:crosses val="autoZero"/>
        <c:auto val="1"/>
        <c:lblAlgn val="ctr"/>
        <c:lblOffset val="100"/>
        <c:noMultiLvlLbl val="0"/>
      </c:catAx>
      <c:valAx>
        <c:axId val="184853375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6736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v>Cloud</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Year'!$H$75:$L$75</c:f>
              <c:numCache>
                <c:formatCode>#,##0_);\(#,##0\)</c:formatCode>
                <c:ptCount val="5"/>
                <c:pt idx="0">
                  <c:v>0</c:v>
                </c:pt>
                <c:pt idx="1">
                  <c:v>1872</c:v>
                </c:pt>
                <c:pt idx="2">
                  <c:v>3792</c:v>
                </c:pt>
                <c:pt idx="3">
                  <c:v>13524</c:v>
                </c:pt>
                <c:pt idx="4">
                  <c:v>43085</c:v>
                </c:pt>
              </c:numCache>
            </c:numRef>
          </c:val>
          <c:extLst>
            <c:ext xmlns:c16="http://schemas.microsoft.com/office/drawing/2014/chart" uri="{C3380CC4-5D6E-409C-BE32-E72D297353CC}">
              <c16:uniqueId val="{00000000-C7FA-FE44-8166-757F4D40996F}"/>
            </c:ext>
          </c:extLst>
        </c:ser>
        <c:ser>
          <c:idx val="1"/>
          <c:order val="1"/>
          <c:tx>
            <c:v>Datacenter</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Year'!$H$76:$L$76</c:f>
              <c:numCache>
                <c:formatCode>#,##0_);\(#,##0\)</c:formatCode>
                <c:ptCount val="5"/>
                <c:pt idx="0">
                  <c:v>0</c:v>
                </c:pt>
                <c:pt idx="1">
                  <c:v>2124</c:v>
                </c:pt>
                <c:pt idx="2">
                  <c:v>4984</c:v>
                </c:pt>
                <c:pt idx="3">
                  <c:v>7229</c:v>
                </c:pt>
                <c:pt idx="4">
                  <c:v>37592</c:v>
                </c:pt>
              </c:numCache>
            </c:numRef>
          </c:val>
          <c:extLst>
            <c:ext xmlns:c16="http://schemas.microsoft.com/office/drawing/2014/chart" uri="{C3380CC4-5D6E-409C-BE32-E72D297353CC}">
              <c16:uniqueId val="{00000001-C7FA-FE44-8166-757F4D40996F}"/>
            </c:ext>
          </c:extLst>
        </c:ser>
        <c:ser>
          <c:idx val="2"/>
          <c:order val="2"/>
          <c:tx>
            <c:v>Mobile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Year'!$H$77:$L$77</c:f>
              <c:numCache>
                <c:formatCode>#,##0_);\(#,##0\)</c:formatCode>
                <c:ptCount val="5"/>
                <c:pt idx="0">
                  <c:v>0</c:v>
                </c:pt>
                <c:pt idx="1">
                  <c:v>7394</c:v>
                </c:pt>
                <c:pt idx="2">
                  <c:v>11667</c:v>
                </c:pt>
                <c:pt idx="3">
                  <c:v>11859</c:v>
                </c:pt>
                <c:pt idx="4">
                  <c:v>36601</c:v>
                </c:pt>
              </c:numCache>
            </c:numRef>
          </c:val>
          <c:extLst>
            <c:ext xmlns:c16="http://schemas.microsoft.com/office/drawing/2014/chart" uri="{C3380CC4-5D6E-409C-BE32-E72D297353CC}">
              <c16:uniqueId val="{00000002-C7FA-FE44-8166-757F4D40996F}"/>
            </c:ext>
          </c:extLst>
        </c:ser>
        <c:ser>
          <c:idx val="3"/>
          <c:order val="3"/>
          <c:tx>
            <c:v>Automotive</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Year'!$H$78:$L$78</c:f>
              <c:numCache>
                <c:formatCode>#,##0_);\(#,##0\)</c:formatCode>
                <c:ptCount val="5"/>
                <c:pt idx="0">
                  <c:v>0</c:v>
                </c:pt>
                <c:pt idx="1">
                  <c:v>4139</c:v>
                </c:pt>
                <c:pt idx="2">
                  <c:v>4631</c:v>
                </c:pt>
                <c:pt idx="3">
                  <c:v>4753</c:v>
                </c:pt>
                <c:pt idx="4">
                  <c:v>15886</c:v>
                </c:pt>
              </c:numCache>
            </c:numRef>
          </c:val>
          <c:extLst>
            <c:ext xmlns:c16="http://schemas.microsoft.com/office/drawing/2014/chart" uri="{C3380CC4-5D6E-409C-BE32-E72D297353CC}">
              <c16:uniqueId val="{00000003-C7FA-FE44-8166-757F4D40996F}"/>
            </c:ext>
          </c:extLst>
        </c:ser>
        <c:dLbls>
          <c:showLegendKey val="0"/>
          <c:showVal val="0"/>
          <c:showCatName val="0"/>
          <c:showSerName val="0"/>
          <c:showPercent val="0"/>
          <c:showBubbleSize val="0"/>
        </c:dLbls>
        <c:gapWidth val="100"/>
        <c:overlap val="-24"/>
        <c:axId val="977903488"/>
        <c:axId val="975229760"/>
      </c:barChart>
      <c:catAx>
        <c:axId val="977903488"/>
        <c:scaling>
          <c:orientation val="minMax"/>
        </c:scaling>
        <c:delete val="1"/>
        <c:axPos val="b"/>
        <c:majorTickMark val="none"/>
        <c:minorTickMark val="none"/>
        <c:tickLblPos val="nextTo"/>
        <c:crossAx val="975229760"/>
        <c:crosses val="autoZero"/>
        <c:auto val="1"/>
        <c:lblAlgn val="ctr"/>
        <c:lblOffset val="100"/>
        <c:noMultiLvlLbl val="0"/>
      </c:catAx>
      <c:valAx>
        <c:axId val="975229760"/>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7903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Quarter'!$C$57:$J$57</c:f>
              <c:numCache>
                <c:formatCode>#,##0_);\(#,##0\)</c:formatCode>
                <c:ptCount val="8"/>
                <c:pt idx="0">
                  <c:v>8709</c:v>
                </c:pt>
                <c:pt idx="1">
                  <c:v>8053</c:v>
                </c:pt>
                <c:pt idx="2">
                  <c:v>9301</c:v>
                </c:pt>
                <c:pt idx="3">
                  <c:v>11315</c:v>
                </c:pt>
                <c:pt idx="4">
                  <c:v>13643</c:v>
                </c:pt>
                <c:pt idx="5">
                  <c:v>23860</c:v>
                </c:pt>
                <c:pt idx="6">
                  <c:v>41456</c:v>
                </c:pt>
                <c:pt idx="7">
                  <c:v>54229</c:v>
                </c:pt>
              </c:numCache>
            </c:numRef>
          </c:val>
          <c:extLst>
            <c:ext xmlns:c16="http://schemas.microsoft.com/office/drawing/2014/chart" uri="{C3380CC4-5D6E-409C-BE32-E72D297353CC}">
              <c16:uniqueId val="{00000000-A52F-B540-A9D4-A0F6D2821008}"/>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Quarter'!$C$58:$J$58</c:f>
              <c:numCache>
                <c:formatCode>#,##0_);\(#,##0\)</c:formatCode>
                <c:ptCount val="8"/>
                <c:pt idx="0">
                  <c:v>2174</c:v>
                </c:pt>
                <c:pt idx="1">
                  <c:v>1773</c:v>
                </c:pt>
                <c:pt idx="2">
                  <c:v>2169</c:v>
                </c:pt>
                <c:pt idx="3">
                  <c:v>3654</c:v>
                </c:pt>
                <c:pt idx="4">
                  <c:v>6136</c:v>
                </c:pt>
                <c:pt idx="5">
                  <c:v>16135</c:v>
                </c:pt>
                <c:pt idx="6">
                  <c:v>33318</c:v>
                </c:pt>
                <c:pt idx="7">
                  <c:v>43751</c:v>
                </c:pt>
              </c:numCache>
            </c:numRef>
          </c:val>
          <c:extLst>
            <c:ext xmlns:c16="http://schemas.microsoft.com/office/drawing/2014/chart" uri="{C3380CC4-5D6E-409C-BE32-E72D297353CC}">
              <c16:uniqueId val="{00000001-A52F-B540-A9D4-A0F6D2821008}"/>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Quarter'!$C$59:$J$59</c:f>
              <c:numCache>
                <c:formatCode>#,##0_);\(#,##0\)</c:formatCode>
                <c:ptCount val="8"/>
                <c:pt idx="0">
                  <c:v>1870</c:v>
                </c:pt>
                <c:pt idx="1">
                  <c:v>1583</c:v>
                </c:pt>
                <c:pt idx="2">
                  <c:v>1885</c:v>
                </c:pt>
                <c:pt idx="3">
                  <c:v>3201</c:v>
                </c:pt>
                <c:pt idx="4">
                  <c:v>5240</c:v>
                </c:pt>
                <c:pt idx="5">
                  <c:v>13785</c:v>
                </c:pt>
                <c:pt idx="6">
                  <c:v>28243</c:v>
                </c:pt>
                <c:pt idx="7">
                  <c:v>37701</c:v>
                </c:pt>
              </c:numCache>
            </c:numRef>
          </c:val>
          <c:extLst>
            <c:ext xmlns:c16="http://schemas.microsoft.com/office/drawing/2014/chart" uri="{C3380CC4-5D6E-409C-BE32-E72D297353CC}">
              <c16:uniqueId val="{00000002-A52F-B540-A9D4-A0F6D2821008}"/>
            </c:ext>
          </c:extLst>
        </c:ser>
        <c:dLbls>
          <c:showLegendKey val="0"/>
          <c:showVal val="0"/>
          <c:showCatName val="0"/>
          <c:showSerName val="0"/>
          <c:showPercent val="0"/>
          <c:showBubbleSize val="0"/>
        </c:dLbls>
        <c:gapWidth val="100"/>
        <c:overlap val="-24"/>
        <c:axId val="1076387263"/>
        <c:axId val="1076391295"/>
      </c:barChart>
      <c:catAx>
        <c:axId val="1076387263"/>
        <c:scaling>
          <c:orientation val="minMax"/>
        </c:scaling>
        <c:delete val="1"/>
        <c:axPos val="b"/>
        <c:majorTickMark val="none"/>
        <c:minorTickMark val="none"/>
        <c:tickLblPos val="nextTo"/>
        <c:crossAx val="1076391295"/>
        <c:crosses val="autoZero"/>
        <c:auto val="1"/>
        <c:lblAlgn val="ctr"/>
        <c:lblOffset val="100"/>
        <c:noMultiLvlLbl val="0"/>
      </c:catAx>
      <c:valAx>
        <c:axId val="107639129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638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Quarter'!$C$60:$J$60</c:f>
              <c:numCache>
                <c:formatCode>0%</c:formatCode>
                <c:ptCount val="8"/>
                <c:pt idx="0">
                  <c:v>0.38442990010334138</c:v>
                </c:pt>
                <c:pt idx="1">
                  <c:v>0.36793741462808893</c:v>
                </c:pt>
                <c:pt idx="2">
                  <c:v>0.37716374583378132</c:v>
                </c:pt>
                <c:pt idx="3">
                  <c:v>0.44666372072470173</c:v>
                </c:pt>
                <c:pt idx="4">
                  <c:v>0.56043392215788312</c:v>
                </c:pt>
                <c:pt idx="5">
                  <c:v>0.74413243922883487</c:v>
                </c:pt>
                <c:pt idx="6">
                  <c:v>0.84561945194905441</c:v>
                </c:pt>
                <c:pt idx="7">
                  <c:v>0.86756163676261777</c:v>
                </c:pt>
              </c:numCache>
            </c:numRef>
          </c:val>
          <c:extLst>
            <c:ext xmlns:c16="http://schemas.microsoft.com/office/drawing/2014/chart" uri="{C3380CC4-5D6E-409C-BE32-E72D297353CC}">
              <c16:uniqueId val="{00000000-A048-6D48-B3EA-D7065FE0E79C}"/>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Quarter'!$C$61:$J$61</c:f>
              <c:numCache>
                <c:formatCode>0%</c:formatCode>
                <c:ptCount val="8"/>
                <c:pt idx="0">
                  <c:v>0.24962682282696061</c:v>
                </c:pt>
                <c:pt idx="1">
                  <c:v>0.22016639761579535</c:v>
                </c:pt>
                <c:pt idx="2">
                  <c:v>0.23320073110418235</c:v>
                </c:pt>
                <c:pt idx="3">
                  <c:v>0.32293415819708354</c:v>
                </c:pt>
                <c:pt idx="4">
                  <c:v>0.44975445283295462</c:v>
                </c:pt>
                <c:pt idx="5">
                  <c:v>0.67623637887678123</c:v>
                </c:pt>
                <c:pt idx="6">
                  <c:v>0.80369548436896954</c:v>
                </c:pt>
                <c:pt idx="7">
                  <c:v>0.80678234892769551</c:v>
                </c:pt>
              </c:numCache>
            </c:numRef>
          </c:val>
          <c:extLst>
            <c:ext xmlns:c16="http://schemas.microsoft.com/office/drawing/2014/chart" uri="{C3380CC4-5D6E-409C-BE32-E72D297353CC}">
              <c16:uniqueId val="{00000001-A048-6D48-B3EA-D7065FE0E79C}"/>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Quarter'!$C$62:$J$62</c:f>
              <c:numCache>
                <c:formatCode>0%</c:formatCode>
                <c:ptCount val="8"/>
                <c:pt idx="0">
                  <c:v>0.21472040417958435</c:v>
                </c:pt>
                <c:pt idx="1">
                  <c:v>0.19657270582391656</c:v>
                </c:pt>
                <c:pt idx="2">
                  <c:v>0.20266637995914419</c:v>
                </c:pt>
                <c:pt idx="3">
                  <c:v>0.28289880689350422</c:v>
                </c:pt>
                <c:pt idx="4">
                  <c:v>0.38407974785604337</c:v>
                </c:pt>
                <c:pt idx="5">
                  <c:v>0.57774518021793797</c:v>
                </c:pt>
                <c:pt idx="6">
                  <c:v>0.68127653415669631</c:v>
                </c:pt>
                <c:pt idx="7">
                  <c:v>0.69521842556565672</c:v>
                </c:pt>
              </c:numCache>
            </c:numRef>
          </c:val>
          <c:extLst>
            <c:ext xmlns:c16="http://schemas.microsoft.com/office/drawing/2014/chart" uri="{C3380CC4-5D6E-409C-BE32-E72D297353CC}">
              <c16:uniqueId val="{00000002-A048-6D48-B3EA-D7065FE0E79C}"/>
            </c:ext>
          </c:extLst>
        </c:ser>
        <c:dLbls>
          <c:showLegendKey val="0"/>
          <c:showVal val="0"/>
          <c:showCatName val="0"/>
          <c:showSerName val="0"/>
          <c:showPercent val="0"/>
          <c:showBubbleSize val="0"/>
        </c:dLbls>
        <c:gapWidth val="100"/>
        <c:overlap val="-24"/>
        <c:axId val="1157457983"/>
        <c:axId val="1157451711"/>
      </c:barChart>
      <c:catAx>
        <c:axId val="1157457983"/>
        <c:scaling>
          <c:orientation val="minMax"/>
        </c:scaling>
        <c:delete val="1"/>
        <c:axPos val="b"/>
        <c:majorTickMark val="none"/>
        <c:minorTickMark val="none"/>
        <c:tickLblPos val="nextTo"/>
        <c:crossAx val="1157451711"/>
        <c:crosses val="autoZero"/>
        <c:auto val="1"/>
        <c:lblAlgn val="ctr"/>
        <c:lblOffset val="100"/>
        <c:noMultiLvlLbl val="0"/>
      </c:catAx>
      <c:valAx>
        <c:axId val="115745171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7457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DRAM</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Quarter'!$C$63:$J$63</c:f>
              <c:numCache>
                <c:formatCode>#,##0_);\(#,##0\)</c:formatCode>
                <c:ptCount val="8"/>
                <c:pt idx="0">
                  <c:v>6400</c:v>
                </c:pt>
                <c:pt idx="1">
                  <c:v>6123</c:v>
                </c:pt>
                <c:pt idx="2">
                  <c:v>7071</c:v>
                </c:pt>
                <c:pt idx="3">
                  <c:v>22178</c:v>
                </c:pt>
                <c:pt idx="4">
                  <c:v>10812</c:v>
                </c:pt>
                <c:pt idx="5">
                  <c:v>18768</c:v>
                </c:pt>
                <c:pt idx="6">
                  <c:v>31328</c:v>
                </c:pt>
                <c:pt idx="7">
                  <c:v>39771</c:v>
                </c:pt>
              </c:numCache>
            </c:numRef>
          </c:val>
          <c:extLst>
            <c:ext xmlns:c16="http://schemas.microsoft.com/office/drawing/2014/chart" uri="{C3380CC4-5D6E-409C-BE32-E72D297353CC}">
              <c16:uniqueId val="{00000000-2E19-FD44-9C5E-C1716B02A7E3}"/>
            </c:ext>
          </c:extLst>
        </c:ser>
        <c:ser>
          <c:idx val="1"/>
          <c:order val="1"/>
          <c:tx>
            <c:v>NAND</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Quarter'!$C$64:$J$64</c:f>
              <c:numCache>
                <c:formatCode>#,##0_);\(#,##0\)</c:formatCode>
                <c:ptCount val="8"/>
                <c:pt idx="0">
                  <c:v>2241</c:v>
                </c:pt>
                <c:pt idx="1">
                  <c:v>1855</c:v>
                </c:pt>
                <c:pt idx="2">
                  <c:v>2155</c:v>
                </c:pt>
                <c:pt idx="3">
                  <c:v>6262</c:v>
                </c:pt>
                <c:pt idx="4">
                  <c:v>2743</c:v>
                </c:pt>
                <c:pt idx="5">
                  <c:v>4997</c:v>
                </c:pt>
                <c:pt idx="6">
                  <c:v>9943</c:v>
                </c:pt>
                <c:pt idx="7">
                  <c:v>14102</c:v>
                </c:pt>
              </c:numCache>
            </c:numRef>
          </c:val>
          <c:extLst>
            <c:ext xmlns:c16="http://schemas.microsoft.com/office/drawing/2014/chart" uri="{C3380CC4-5D6E-409C-BE32-E72D297353CC}">
              <c16:uniqueId val="{00000001-2E19-FD44-9C5E-C1716B02A7E3}"/>
            </c:ext>
          </c:extLst>
        </c:ser>
        <c:ser>
          <c:idx val="2"/>
          <c:order val="2"/>
          <c:tx>
            <c:v>Other</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Quarter'!$C$65:$J$65</c:f>
              <c:numCache>
                <c:formatCode>#,##0_);\(#,##0\)</c:formatCode>
                <c:ptCount val="8"/>
                <c:pt idx="0">
                  <c:v>68</c:v>
                </c:pt>
                <c:pt idx="1">
                  <c:v>75</c:v>
                </c:pt>
                <c:pt idx="2">
                  <c:v>75</c:v>
                </c:pt>
                <c:pt idx="3">
                  <c:v>229</c:v>
                </c:pt>
                <c:pt idx="4">
                  <c:v>88</c:v>
                </c:pt>
                <c:pt idx="5">
                  <c:v>95</c:v>
                </c:pt>
                <c:pt idx="6">
                  <c:v>185</c:v>
                </c:pt>
                <c:pt idx="7">
                  <c:v>356</c:v>
                </c:pt>
              </c:numCache>
            </c:numRef>
          </c:val>
          <c:extLst>
            <c:ext xmlns:c16="http://schemas.microsoft.com/office/drawing/2014/chart" uri="{C3380CC4-5D6E-409C-BE32-E72D297353CC}">
              <c16:uniqueId val="{00000002-2E19-FD44-9C5E-C1716B02A7E3}"/>
            </c:ext>
          </c:extLst>
        </c:ser>
        <c:dLbls>
          <c:showLegendKey val="0"/>
          <c:showVal val="0"/>
          <c:showCatName val="0"/>
          <c:showSerName val="0"/>
          <c:showPercent val="0"/>
          <c:showBubbleSize val="0"/>
        </c:dLbls>
        <c:gapWidth val="100"/>
        <c:overlap val="100"/>
        <c:axId val="1156718463"/>
        <c:axId val="1156723391"/>
      </c:barChart>
      <c:catAx>
        <c:axId val="1156718463"/>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723391"/>
        <c:crosses val="autoZero"/>
        <c:auto val="1"/>
        <c:lblAlgn val="ctr"/>
        <c:lblOffset val="100"/>
        <c:noMultiLvlLbl val="0"/>
      </c:catAx>
      <c:valAx>
        <c:axId val="115672339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718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FCFE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Quarter'!$C$70:$J$70</c:f>
              <c:numCache>
                <c:formatCode>#,##0_);\(#,##0\)</c:formatCode>
                <c:ptCount val="8"/>
                <c:pt idx="0">
                  <c:v>-182</c:v>
                </c:pt>
                <c:pt idx="1">
                  <c:v>-362</c:v>
                </c:pt>
                <c:pt idx="2">
                  <c:v>1418</c:v>
                </c:pt>
                <c:pt idx="3">
                  <c:v>-178</c:v>
                </c:pt>
                <c:pt idx="4">
                  <c:v>2732</c:v>
                </c:pt>
                <c:pt idx="5">
                  <c:v>5207</c:v>
                </c:pt>
                <c:pt idx="6">
                  <c:v>17207</c:v>
                </c:pt>
                <c:pt idx="7">
                  <c:v>32484</c:v>
                </c:pt>
              </c:numCache>
            </c:numRef>
          </c:val>
          <c:smooth val="0"/>
          <c:extLst>
            <c:ext xmlns:c16="http://schemas.microsoft.com/office/drawing/2014/chart" uri="{C3380CC4-5D6E-409C-BE32-E72D297353CC}">
              <c16:uniqueId val="{00000000-2537-A641-96D5-AEFA40A2B2D6}"/>
            </c:ext>
          </c:extLst>
        </c:ser>
        <c:dLbls>
          <c:showLegendKey val="0"/>
          <c:showVal val="0"/>
          <c:showCatName val="0"/>
          <c:showSerName val="0"/>
          <c:showPercent val="0"/>
          <c:showBubbleSize val="0"/>
        </c:dLbls>
        <c:smooth val="0"/>
        <c:axId val="1163393471"/>
        <c:axId val="1163381375"/>
      </c:lineChart>
      <c:catAx>
        <c:axId val="1163393471"/>
        <c:scaling>
          <c:orientation val="minMax"/>
        </c:scaling>
        <c:delete val="1"/>
        <c:axPos val="b"/>
        <c:majorTickMark val="none"/>
        <c:minorTickMark val="none"/>
        <c:tickLblPos val="nextTo"/>
        <c:crossAx val="1163381375"/>
        <c:crosses val="autoZero"/>
        <c:auto val="1"/>
        <c:lblAlgn val="ctr"/>
        <c:lblOffset val="100"/>
        <c:noMultiLvlLbl val="0"/>
      </c:catAx>
      <c:valAx>
        <c:axId val="116338137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39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breakdown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v>Cloud</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Quarter'!$C$66:$J$66</c:f>
              <c:numCache>
                <c:formatCode>#,##0_);\(#,##0\)</c:formatCode>
                <c:ptCount val="8"/>
                <c:pt idx="0">
                  <c:v>2658</c:v>
                </c:pt>
                <c:pt idx="1">
                  <c:v>2947</c:v>
                </c:pt>
                <c:pt idx="2">
                  <c:v>3386</c:v>
                </c:pt>
                <c:pt idx="3">
                  <c:v>4543</c:v>
                </c:pt>
                <c:pt idx="4">
                  <c:v>5284</c:v>
                </c:pt>
                <c:pt idx="5">
                  <c:v>7749</c:v>
                </c:pt>
                <c:pt idx="6">
                  <c:v>13769</c:v>
                </c:pt>
                <c:pt idx="7">
                  <c:v>16283</c:v>
                </c:pt>
              </c:numCache>
            </c:numRef>
          </c:val>
          <c:extLst>
            <c:ext xmlns:c16="http://schemas.microsoft.com/office/drawing/2014/chart" uri="{C3380CC4-5D6E-409C-BE32-E72D297353CC}">
              <c16:uniqueId val="{00000000-7044-C648-9188-8FE58A762034}"/>
            </c:ext>
          </c:extLst>
        </c:ser>
        <c:ser>
          <c:idx val="1"/>
          <c:order val="1"/>
          <c:tx>
            <c:v>Data center</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Quarter'!$C$67:$J$67</c:f>
              <c:numCache>
                <c:formatCode>#,##0_);\(#,##0\)</c:formatCode>
                <c:ptCount val="8"/>
                <c:pt idx="0">
                  <c:v>2292</c:v>
                </c:pt>
                <c:pt idx="1">
                  <c:v>1830</c:v>
                </c:pt>
                <c:pt idx="2">
                  <c:v>1530</c:v>
                </c:pt>
                <c:pt idx="3">
                  <c:v>1577</c:v>
                </c:pt>
                <c:pt idx="4">
                  <c:v>2379</c:v>
                </c:pt>
                <c:pt idx="5">
                  <c:v>5687</c:v>
                </c:pt>
                <c:pt idx="6">
                  <c:v>11524</c:v>
                </c:pt>
                <c:pt idx="7">
                  <c:v>18002</c:v>
                </c:pt>
              </c:numCache>
            </c:numRef>
          </c:val>
          <c:extLst>
            <c:ext xmlns:c16="http://schemas.microsoft.com/office/drawing/2014/chart" uri="{C3380CC4-5D6E-409C-BE32-E72D297353CC}">
              <c16:uniqueId val="{00000001-7044-C648-9188-8FE58A762034}"/>
            </c:ext>
          </c:extLst>
        </c:ser>
        <c:ser>
          <c:idx val="2"/>
          <c:order val="2"/>
          <c:tx>
            <c:v>Mobile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Quarter'!$C$68:$J$68</c:f>
              <c:numCache>
                <c:formatCode>#,##0_);\(#,##0\)</c:formatCode>
                <c:ptCount val="8"/>
                <c:pt idx="0">
                  <c:v>2608</c:v>
                </c:pt>
                <c:pt idx="1">
                  <c:v>2236</c:v>
                </c:pt>
                <c:pt idx="2">
                  <c:v>3255</c:v>
                </c:pt>
                <c:pt idx="3">
                  <c:v>3760</c:v>
                </c:pt>
                <c:pt idx="4">
                  <c:v>4255</c:v>
                </c:pt>
                <c:pt idx="5">
                  <c:v>7711</c:v>
                </c:pt>
                <c:pt idx="6">
                  <c:v>11521</c:v>
                </c:pt>
                <c:pt idx="7">
                  <c:v>13114</c:v>
                </c:pt>
              </c:numCache>
            </c:numRef>
          </c:val>
          <c:extLst>
            <c:ext xmlns:c16="http://schemas.microsoft.com/office/drawing/2014/chart" uri="{C3380CC4-5D6E-409C-BE32-E72D297353CC}">
              <c16:uniqueId val="{00000002-7044-C648-9188-8FE58A762034}"/>
            </c:ext>
          </c:extLst>
        </c:ser>
        <c:ser>
          <c:idx val="3"/>
          <c:order val="3"/>
          <c:tx>
            <c:v>Automotive</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Quarter'!$C$69:$J$69</c:f>
              <c:numCache>
                <c:formatCode>#,##0_);\(#,##0\)</c:formatCode>
                <c:ptCount val="8"/>
                <c:pt idx="0">
                  <c:v>1158</c:v>
                </c:pt>
                <c:pt idx="1">
                  <c:v>1034</c:v>
                </c:pt>
                <c:pt idx="2">
                  <c:v>1127</c:v>
                </c:pt>
                <c:pt idx="3">
                  <c:v>1434</c:v>
                </c:pt>
                <c:pt idx="4">
                  <c:v>1720</c:v>
                </c:pt>
                <c:pt idx="5">
                  <c:v>2708</c:v>
                </c:pt>
                <c:pt idx="6">
                  <c:v>4634</c:v>
                </c:pt>
                <c:pt idx="7">
                  <c:v>6824</c:v>
                </c:pt>
              </c:numCache>
            </c:numRef>
          </c:val>
          <c:extLst>
            <c:ext xmlns:c16="http://schemas.microsoft.com/office/drawing/2014/chart" uri="{C3380CC4-5D6E-409C-BE32-E72D297353CC}">
              <c16:uniqueId val="{00000003-7044-C648-9188-8FE58A762034}"/>
            </c:ext>
          </c:extLst>
        </c:ser>
        <c:dLbls>
          <c:showLegendKey val="0"/>
          <c:showVal val="0"/>
          <c:showCatName val="0"/>
          <c:showSerName val="0"/>
          <c:showPercent val="0"/>
          <c:showBubbleSize val="0"/>
        </c:dLbls>
        <c:gapWidth val="100"/>
        <c:overlap val="-24"/>
        <c:axId val="958419328"/>
        <c:axId val="956601600"/>
      </c:barChart>
      <c:catAx>
        <c:axId val="958419328"/>
        <c:scaling>
          <c:orientation val="minMax"/>
        </c:scaling>
        <c:delete val="1"/>
        <c:axPos val="b"/>
        <c:majorTickMark val="none"/>
        <c:minorTickMark val="none"/>
        <c:tickLblPos val="nextTo"/>
        <c:crossAx val="956601600"/>
        <c:crosses val="autoZero"/>
        <c:auto val="1"/>
        <c:lblAlgn val="ctr"/>
        <c:lblOffset val="100"/>
        <c:noMultiLvlLbl val="0"/>
      </c:catAx>
      <c:valAx>
        <c:axId val="956601600"/>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8419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22364</xdr:colOff>
      <xdr:row>2</xdr:row>
      <xdr:rowOff>10227</xdr:rowOff>
    </xdr:from>
    <xdr:to>
      <xdr:col>5</xdr:col>
      <xdr:colOff>528767</xdr:colOff>
      <xdr:row>15</xdr:row>
      <xdr:rowOff>157515</xdr:rowOff>
    </xdr:to>
    <xdr:graphicFrame macro="">
      <xdr:nvGraphicFramePr>
        <xdr:cNvPr id="2" name="Chart 1">
          <a:extLst>
            <a:ext uri="{FF2B5EF4-FFF2-40B4-BE49-F238E27FC236}">
              <a16:creationId xmlns:a16="http://schemas.microsoft.com/office/drawing/2014/main" id="{9AAB82B6-E718-1553-9A8A-71AB1CB30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717270</xdr:colOff>
      <xdr:row>2</xdr:row>
      <xdr:rowOff>10221</xdr:rowOff>
    </xdr:from>
    <xdr:to>
      <xdr:col>11</xdr:col>
      <xdr:colOff>353043</xdr:colOff>
      <xdr:row>15</xdr:row>
      <xdr:rowOff>157509</xdr:rowOff>
    </xdr:to>
    <xdr:graphicFrame macro="">
      <xdr:nvGraphicFramePr>
        <xdr:cNvPr id="3" name="Chart 2">
          <a:extLst>
            <a:ext uri="{FF2B5EF4-FFF2-40B4-BE49-F238E27FC236}">
              <a16:creationId xmlns:a16="http://schemas.microsoft.com/office/drawing/2014/main" id="{C193E931-8DC7-D7CC-D47C-6903365BAA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22365</xdr:colOff>
      <xdr:row>16</xdr:row>
      <xdr:rowOff>177959</xdr:rowOff>
    </xdr:from>
    <xdr:to>
      <xdr:col>5</xdr:col>
      <xdr:colOff>528768</xdr:colOff>
      <xdr:row>30</xdr:row>
      <xdr:rowOff>125562</xdr:rowOff>
    </xdr:to>
    <xdr:graphicFrame macro="">
      <xdr:nvGraphicFramePr>
        <xdr:cNvPr id="4" name="Chart 3">
          <a:extLst>
            <a:ext uri="{FF2B5EF4-FFF2-40B4-BE49-F238E27FC236}">
              <a16:creationId xmlns:a16="http://schemas.microsoft.com/office/drawing/2014/main" id="{7C1A4ED0-7A66-D55A-012D-14A8004B4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725258</xdr:colOff>
      <xdr:row>16</xdr:row>
      <xdr:rowOff>169971</xdr:rowOff>
    </xdr:from>
    <xdr:to>
      <xdr:col>11</xdr:col>
      <xdr:colOff>361031</xdr:colOff>
      <xdr:row>30</xdr:row>
      <xdr:rowOff>117574</xdr:rowOff>
    </xdr:to>
    <xdr:graphicFrame macro="">
      <xdr:nvGraphicFramePr>
        <xdr:cNvPr id="5" name="Chart 4">
          <a:extLst>
            <a:ext uri="{FF2B5EF4-FFF2-40B4-BE49-F238E27FC236}">
              <a16:creationId xmlns:a16="http://schemas.microsoft.com/office/drawing/2014/main" id="{BF106170-16E4-9CE8-051D-B7F6A8CA0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14378</xdr:colOff>
      <xdr:row>31</xdr:row>
      <xdr:rowOff>50160</xdr:rowOff>
    </xdr:from>
    <xdr:to>
      <xdr:col>5</xdr:col>
      <xdr:colOff>520781</xdr:colOff>
      <xdr:row>44</xdr:row>
      <xdr:rowOff>197448</xdr:rowOff>
    </xdr:to>
    <xdr:graphicFrame macro="">
      <xdr:nvGraphicFramePr>
        <xdr:cNvPr id="6" name="Chart 5">
          <a:extLst>
            <a:ext uri="{FF2B5EF4-FFF2-40B4-BE49-F238E27FC236}">
              <a16:creationId xmlns:a16="http://schemas.microsoft.com/office/drawing/2014/main" id="{1D0A5BEF-EF3A-9CEE-94C8-768A2579A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709282</xdr:colOff>
      <xdr:row>31</xdr:row>
      <xdr:rowOff>54154</xdr:rowOff>
    </xdr:from>
    <xdr:to>
      <xdr:col>11</xdr:col>
      <xdr:colOff>345056</xdr:colOff>
      <xdr:row>45</xdr:row>
      <xdr:rowOff>1757</xdr:rowOff>
    </xdr:to>
    <xdr:graphicFrame macro="">
      <xdr:nvGraphicFramePr>
        <xdr:cNvPr id="7" name="Chart 6">
          <a:extLst>
            <a:ext uri="{FF2B5EF4-FFF2-40B4-BE49-F238E27FC236}">
              <a16:creationId xmlns:a16="http://schemas.microsoft.com/office/drawing/2014/main" id="{F0680505-B7C9-318D-14CF-8CEACBFA9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14377</xdr:colOff>
      <xdr:row>45</xdr:row>
      <xdr:rowOff>74121</xdr:rowOff>
    </xdr:from>
    <xdr:to>
      <xdr:col>5</xdr:col>
      <xdr:colOff>520780</xdr:colOff>
      <xdr:row>59</xdr:row>
      <xdr:rowOff>39936</xdr:rowOff>
    </xdr:to>
    <xdr:graphicFrame macro="">
      <xdr:nvGraphicFramePr>
        <xdr:cNvPr id="8" name="Chart 7">
          <a:extLst>
            <a:ext uri="{FF2B5EF4-FFF2-40B4-BE49-F238E27FC236}">
              <a16:creationId xmlns:a16="http://schemas.microsoft.com/office/drawing/2014/main" id="{8C9F97C2-C812-D6C5-AF2D-FF4CEBC4D6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1578</xdr:colOff>
      <xdr:row>1</xdr:row>
      <xdr:rowOff>174488</xdr:rowOff>
    </xdr:from>
    <xdr:to>
      <xdr:col>5</xdr:col>
      <xdr:colOff>629478</xdr:colOff>
      <xdr:row>15</xdr:row>
      <xdr:rowOff>46383</xdr:rowOff>
    </xdr:to>
    <xdr:graphicFrame macro="">
      <xdr:nvGraphicFramePr>
        <xdr:cNvPr id="2" name="Chart 1">
          <a:extLst>
            <a:ext uri="{FF2B5EF4-FFF2-40B4-BE49-F238E27FC236}">
              <a16:creationId xmlns:a16="http://schemas.microsoft.com/office/drawing/2014/main" id="{71232299-7FA9-0039-D056-D8E3B8535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814063</xdr:colOff>
      <xdr:row>1</xdr:row>
      <xdr:rowOff>174486</xdr:rowOff>
    </xdr:from>
    <xdr:to>
      <xdr:col>11</xdr:col>
      <xdr:colOff>416498</xdr:colOff>
      <xdr:row>15</xdr:row>
      <xdr:rowOff>46381</xdr:rowOff>
    </xdr:to>
    <xdr:graphicFrame macro="">
      <xdr:nvGraphicFramePr>
        <xdr:cNvPr id="3" name="Chart 2">
          <a:extLst>
            <a:ext uri="{FF2B5EF4-FFF2-40B4-BE49-F238E27FC236}">
              <a16:creationId xmlns:a16="http://schemas.microsoft.com/office/drawing/2014/main" id="{596D588C-4223-6A47-5C25-B5CE03A95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9465</xdr:colOff>
      <xdr:row>16</xdr:row>
      <xdr:rowOff>947</xdr:rowOff>
    </xdr:from>
    <xdr:to>
      <xdr:col>5</xdr:col>
      <xdr:colOff>646831</xdr:colOff>
      <xdr:row>29</xdr:row>
      <xdr:rowOff>77936</xdr:rowOff>
    </xdr:to>
    <xdr:graphicFrame macro="">
      <xdr:nvGraphicFramePr>
        <xdr:cNvPr id="4" name="Chart 3">
          <a:extLst>
            <a:ext uri="{FF2B5EF4-FFF2-40B4-BE49-F238E27FC236}">
              <a16:creationId xmlns:a16="http://schemas.microsoft.com/office/drawing/2014/main" id="{3C7CD02C-4465-C3A2-3510-E1D80F197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814063</xdr:colOff>
      <xdr:row>16</xdr:row>
      <xdr:rowOff>8838</xdr:rowOff>
    </xdr:from>
    <xdr:to>
      <xdr:col>11</xdr:col>
      <xdr:colOff>416498</xdr:colOff>
      <xdr:row>29</xdr:row>
      <xdr:rowOff>85827</xdr:rowOff>
    </xdr:to>
    <xdr:graphicFrame macro="">
      <xdr:nvGraphicFramePr>
        <xdr:cNvPr id="5" name="Chart 4">
          <a:extLst>
            <a:ext uri="{FF2B5EF4-FFF2-40B4-BE49-F238E27FC236}">
              <a16:creationId xmlns:a16="http://schemas.microsoft.com/office/drawing/2014/main" id="{7B2EB754-366B-7BD3-2DC6-930FE8A3D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17354</xdr:colOff>
      <xdr:row>29</xdr:row>
      <xdr:rowOff>182374</xdr:rowOff>
    </xdr:from>
    <xdr:to>
      <xdr:col>5</xdr:col>
      <xdr:colOff>670497</xdr:colOff>
      <xdr:row>43</xdr:row>
      <xdr:rowOff>54270</xdr:rowOff>
    </xdr:to>
    <xdr:graphicFrame macro="">
      <xdr:nvGraphicFramePr>
        <xdr:cNvPr id="6" name="Chart 5">
          <a:extLst>
            <a:ext uri="{FF2B5EF4-FFF2-40B4-BE49-F238E27FC236}">
              <a16:creationId xmlns:a16="http://schemas.microsoft.com/office/drawing/2014/main" id="{8765AE8A-ACCE-A1FE-4751-76683BB4F6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128348</xdr:colOff>
      <xdr:row>16</xdr:row>
      <xdr:rowOff>20266</xdr:rowOff>
    </xdr:from>
    <xdr:to>
      <xdr:col>3</xdr:col>
      <xdr:colOff>716064</xdr:colOff>
      <xdr:row>16</xdr:row>
      <xdr:rowOff>216170</xdr:rowOff>
    </xdr:to>
    <xdr:sp macro="" textlink="">
      <xdr:nvSpPr>
        <xdr:cNvPr id="2" name="Right Arrow 1">
          <a:extLst>
            <a:ext uri="{FF2B5EF4-FFF2-40B4-BE49-F238E27FC236}">
              <a16:creationId xmlns:a16="http://schemas.microsoft.com/office/drawing/2014/main" id="{02CDC1E2-04C0-0B4F-AADE-DCF6B72A8310}"/>
            </a:ext>
          </a:extLst>
        </xdr:cNvPr>
        <xdr:cNvSpPr/>
      </xdr:nvSpPr>
      <xdr:spPr>
        <a:xfrm rot="10800000">
          <a:off x="3544648" y="3258766"/>
          <a:ext cx="587716" cy="19590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Volumes/KINGSTON/MyStockData/Finance-StockLists/1.%20List_ManualData.xlsx" TargetMode="External"/><Relationship Id="rId1" Type="http://schemas.openxmlformats.org/officeDocument/2006/relationships/externalLinkPath" Target="1.%20List_ManualDat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Volumes/KINGSTON/MyStockData/Finance-StockLists/QCOM.xlsx" TargetMode="External"/><Relationship Id="rId1" Type="http://schemas.openxmlformats.org/officeDocument/2006/relationships/externalLinkPath" Target="QCO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2">
          <cell r="C12">
            <v>4.4999999999999998E-2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Financials -&gt;"/>
      <sheetName val="Statement"/>
      <sheetName val="Analysis -&gt;"/>
      <sheetName val="Basic"/>
      <sheetName val="Yearly Analysis"/>
      <sheetName val="Quarter analysis"/>
      <sheetName val="Graphs Year"/>
      <sheetName val="Graphs Quarter"/>
      <sheetName val="Forecast -&gt;"/>
      <sheetName val="Revenue"/>
      <sheetName val="COGS &amp; OpEx"/>
      <sheetName val="WC &amp; Investments"/>
      <sheetName val="FCF &amp; Other"/>
      <sheetName val="Valuation -&gt;"/>
      <sheetName val="WACC"/>
      <sheetName val="DCF"/>
      <sheetName val="Multiples"/>
      <sheetName val="AVG target price"/>
      <sheetName val="DDM"/>
      <sheetName val="Reverse DCF"/>
    </sheetNames>
    <sheetDataSet>
      <sheetData sheetId="0"/>
      <sheetData sheetId="1"/>
      <sheetData sheetId="2"/>
      <sheetData sheetId="3"/>
      <sheetData sheetId="4"/>
      <sheetData sheetId="5"/>
      <sheetData sheetId="6"/>
      <sheetData sheetId="7"/>
      <sheetData sheetId="8"/>
      <sheetData sheetId="9"/>
      <sheetData sheetId="10">
        <row r="5">
          <cell r="C5">
            <v>2021</v>
          </cell>
          <cell r="D5">
            <v>2022</v>
          </cell>
          <cell r="E5">
            <v>2023</v>
          </cell>
          <cell r="F5">
            <v>2024</v>
          </cell>
          <cell r="G5">
            <v>2025</v>
          </cell>
          <cell r="H5">
            <v>2026</v>
          </cell>
          <cell r="I5">
            <v>2027</v>
          </cell>
          <cell r="J5">
            <v>2028</v>
          </cell>
          <cell r="K5">
            <v>2029</v>
          </cell>
          <cell r="L5">
            <v>2030</v>
          </cell>
        </row>
      </sheetData>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person displayName="adi dumitras" id="{A0F62302-F8D3-B346-B5DF-839B413AE710}" userId="b24535bb88af1c42"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
  <rv s="0">
    <v>https://www.bing.com/financeapi/forcetrigger?t=a1y4oc&amp;q=XNAS%3aMU&amp;form=skydnc</v>
    <v>Learn more on Bing</v>
  </rv>
  <rv s="1">
    <v>0</v>
    <v>MICRON TECHNOLOGY, INC. (XNAS:MU)</v>
    <v>2</v>
    <v>3</v>
    <v>Finance</v>
    <v>4</v>
    <v>en-US</v>
    <v>a1y4oc</v>
    <v>268435456</v>
    <v>1</v>
    <v>Powered by Refinitiv</v>
    <v>1255</v>
    <v>192.59</v>
    <v>2.3616000000000001</v>
    <v>26.15</v>
    <v>2.9799000000000003E-2</v>
    <v>1.05</v>
    <v>1.1620000000000001E-3</v>
    <v>USD</v>
    <v>Micron Technology, Inc. provides memory and storage solutions. The Company delivers a portfolio of high-performance dynamic random-access memory (DRAM), NAND, and NOR memory and storage products through its Micron and Crucial brands. The Company's products enable advancing in artificial intelligence (AI) and compute-intensive applications. Its segments include Cloud Memory Business Unit (CMBU), Core Data Center Business Unit (CDBU), Mobile and Client Business Unit (MCBU) and Automotive and Embedded Business Unit (AEBU). CMBU is focused on memory solutions for large hyperscale cloud customers, and high bandwidth memory (HBM) for all data center customers. CDBU is focused on memory solutions for mid-tier cloud, enterprise, and OEM data center customers and storage solutions for all data center customers. MCBU is focused on memory and storage solutions for mobile and client segments. AEBU is focused on memory and storage solutions for the automotive, industrial, and consumer segments.</v>
    <v>61000</v>
    <v>Nasdaq Stock Market</v>
    <v>XNAS</v>
    <v>XNAS</v>
    <v>8000 S Federal Way, Po Box 6, BOISE, ID, 83716-9632 US</v>
    <v>915.75</v>
    <v>Semiconductors &amp; Semiconductor Equipment</v>
    <v>Stock</v>
    <v>46321.854071435155</v>
    <v>0</v>
    <v>882.77</v>
    <v>1022466965100</v>
    <v>MICRON TECHNOLOGY, INC.</v>
    <v>MICRON TECHNOLOGY, INC.</v>
    <v>889.875</v>
    <v>12.172700000000001</v>
    <v>877.55</v>
    <v>903.7</v>
    <v>904.75</v>
    <v>1131423000</v>
    <v>MU</v>
    <v>MICRON TECHNOLOGY, INC. (XNAS:MU)</v>
    <v>22585355</v>
    <v>26399323</v>
    <v>1984</v>
  </rv>
  <rv s="2">
    <v>1</v>
  </rv>
  <rv s="0">
    <v>https://www.bing.com/financeapi/forcetrigger?t=a33knm&amp;q=10+Y+TSY+YLD+NDX&amp;form=skydnc</v>
    <v>Learn more on Bing</v>
  </rv>
  <rv s="3">
    <v>5</v>
    <v>10 Y TSY YLD NDX</v>
    <v>6</v>
    <v>7</v>
    <v>Finance</v>
    <v>8</v>
    <v>en-US</v>
    <v>a33knm</v>
    <v>268435456</v>
    <v>1</v>
    <v>Powered by Refinitiv</v>
    <v>53.64</v>
    <v>39.47</v>
    <v>0.35</v>
    <v>7.0660000000000002E-3</v>
    <v>US</v>
    <v>50.03</v>
    <v>Index</v>
    <v>3</v>
    <v>49.55</v>
    <v>10 Y TSY YLD NDX</v>
    <v>49.92</v>
    <v>49.53</v>
    <v>49.88</v>
    <v>TNX</v>
    <v>10 Y TSY YLD NDX</v>
  </rv>
  <rv s="2">
    <v>4</v>
  </rv>
</rvData>
</file>

<file path=xl/richData/rdrichvaluestructure.xml><?xml version="1.0" encoding="utf-8"?>
<rvStructures xmlns="http://schemas.microsoft.com/office/spreadsheetml/2017/richdata" count="4">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52 week high"/>
    <k n="52 week low"/>
    <k n="Change"/>
    <k n="Change (%)"/>
    <k n="Country/region" t="s"/>
    <k n="High"/>
    <k n="Instrument type" t="s"/>
    <k n="LearnMoreOnLink" t="r"/>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2">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spbArrays>
  <spbData count="9">
    <spb s="0">
      <v>0</v>
      <v>Name</v>
      <v>LearnMoreOnLink</v>
    </spb>
    <spb s="1">
      <v>0</v>
      <v>0</v>
      <v>0</v>
    </spb>
    <spb s="2">
      <v>1</v>
      <v>1</v>
      <v>1</v>
      <v>1</v>
    </spb>
    <spb s="3">
      <v>1</v>
      <v>2</v>
      <v>2</v>
      <v>1</v>
      <v>3</v>
      <v>1</v>
      <v>1</v>
      <v>1</v>
      <v>4</v>
      <v>4</v>
      <v>5</v>
      <v>6</v>
      <v>1</v>
      <v>1</v>
      <v>1</v>
      <v>4</v>
      <v>7</v>
      <v>8</v>
      <v>9</v>
      <v>4</v>
      <v>1</v>
      <v>1</v>
      <v>5</v>
    </spb>
    <spb s="4">
      <v>at close</v>
      <v>from previous close</v>
      <v>from previous close</v>
      <v>Source: Nasdaq Last Sale</v>
      <v>GMT</v>
      <v>Real-Time Nasdaq Last Sale</v>
      <v>from close</v>
      <v>from close</v>
    </spb>
    <spb s="0">
      <v>1</v>
      <v>Name</v>
      <v>LearnMoreOnLink</v>
    </spb>
    <spb s="5">
      <v>1</v>
      <v>1</v>
      <v>1</v>
    </spb>
    <spb s="6">
      <v>1</v>
      <v>1</v>
      <v>3</v>
      <v>1</v>
      <v>1</v>
      <v>1</v>
      <v>5</v>
      <v>1</v>
      <v>1</v>
      <v>1</v>
      <v>9</v>
    </spb>
    <spb s="7">
      <v>from previous close</v>
      <v>from previous close</v>
    </spb>
  </spbData>
</supportingPropertyBags>
</file>

<file path=xl/richData/rdsupportingpropertybagstructure.xml><?xml version="1.0" encoding="utf-8"?>
<spbStructures xmlns="http://schemas.microsoft.com/office/spreadsheetml/2017/richdata2" count="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UniqueName" t="spb"/>
    <k n="`%ProviderInfo" t="spb"/>
    <k n="LearnMoreOnLink" t="spb"/>
  </s>
  <s>
    <k n="Low" t="i"/>
    <k n="High" t="i"/>
    <k n="Name" t="i"/>
    <k n="Open" t="i"/>
    <k n="Price" t="i"/>
    <k n="Change" t="i"/>
    <k n="Change (%)" t="i"/>
    <k n="52 week low" t="i"/>
    <k n="52 week high" t="i"/>
    <k n="Previous close" t="i"/>
    <k n="`%EntityServiceId" t="i"/>
  </s>
  <s>
    <k n="Change" t="s"/>
    <k n="Chang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84" dT="2026-02-17T21:45:28.65" personId="{A0F62302-F8D3-B346-B5DF-839B413AE710}" id="{22B2B3EF-EBF6-0D4F-BF74-BA371A77FD6F}">
    <text>Actual number</text>
  </threadedComment>
  <threadedComment ref="B116" dT="2026-04-25T21:52:20.00" personId="{A0F62302-F8D3-B346-B5DF-839B413AE710}" id="{8A10573A-B1E5-5443-A272-E27CCC9C056F}">
    <text>Take the closing price of the last day of the period. In case the price has seen heavy fluctuations make an average of the last days. Info found at Yahoo Finance in the Historical Data section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B35" dT="2026-04-25T20:40:52.15" personId="{A0F62302-F8D3-B346-B5DF-839B413AE710}" id="{87FCD2F5-1815-1140-9144-DCAA38F9CA74}">
    <text>We use here the inverted signg as are used in the CashFlow statement which means we will Add the change in NWC to the NOPAT instead of subtracting it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6044FD4-8F6D-C44C-A931-2F82C76276B7}">
  <we:reference id="wa200001365" version="2.5.0.0" store="en-US" storeType="OMEX"/>
  <we:alternateReferences>
    <we:reference id="wa200001365" version="2.5.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_xldudf_ALPHAVANTAGE_EQUITYQUOTE</we:customFunctionIds>
        <we:customFunctionIds>_xldudf_ALPHAVANTAGE_EQUITYTIMESERIES</we:customFunctionIds>
        <we:customFunctionIds>_xldudf_ALPHAVANTAGE_INTRADAYEQUITYSERIESUPDATING</we:customFunctionIds>
        <we:customFunctionIds>_xldudf_ALPHAVANTAGE_EXCHANGERATE</we:customFunctionIds>
        <we:customFunctionIds>_xldudf_ALPHAVANTAGE_EXCHANGERATEUPDATING</we:customFunctionIds>
        <we:customFunctionIds>_xldudf_ALPHAVANTAGE_EXCHANGERATESERIES</we:customFunctionIds>
        <we:customFunctionIds>_xldudf_ALPHAVANTAGE_EXCHANGERATESERIESUPDATING</we:customFunctionIds>
        <we:customFunctionIds>_xldudf_ALPHAVANTAGE_TECHNICALINDICATOR</we:customFunctionIds>
        <we:customFunctionIds>_xldudf_ALPHAVANTAGE_SYMBOLSEARCH</we:customFunctionIds>
        <we:customFunctionIds>_xldudf_ALPHAVANTAGE_COMMODITYTIMESERIES</we:customFunctionIds>
        <we:customFunctionIds>_xldudf_ALPHAVANTAGE_AVAILABLECRYPTOCURRENCIES</we:customFunctionIds>
        <we:customFunctionIds>_xldudf_ALPHAVANTAGE_AVAILABLEPHYSICALCURRENCIES</we:customFunctionIds>
        <we:customFunctionIds>_xldudf_ALPHAVANTAGE_COMPANYOVERVIEW</we:customFunctionIds>
        <we:customFunctionIds>_xldudf_ALPHAVANTAGE_COMPANYEARNINGS</we:customFunctionIds>
        <we:customFunctionIds>_xldudf_ALPHAVANTAGE_COMPANYFILINGS</we:customFunctionIds>
        <we:customFunctionIds>_xldudf_ALPHAVANTAGE_LISTINGSTATUS</we:customFunctionIds>
        <we:customFunctionIds>_xldudf_ALPHAVANTAGE_EARNINGSCALENDAR</we:customFunctionIds>
        <we:customFunctionIds>_xldudf_ALPHAVANTAGE_ECONOMICINDICATOR</we:customFunctionIds>
        <we:customFunctionIds>_xldudf_ALPHAVANTAGE_TREASURYYIELD</we:customFunctionIds>
      </we:customFunctionIdList>
    </a:ext>
  </we:extLst>
</we:webextension>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B172E-7ADE-4B4A-B533-F037BCFCDCB0}">
  <dimension ref="B1:K85"/>
  <sheetViews>
    <sheetView tabSelected="1" topLeftCell="A3" zoomScale="160" zoomScaleNormal="160" workbookViewId="0">
      <selection activeCell="B3" sqref="B3"/>
    </sheetView>
  </sheetViews>
  <sheetFormatPr baseColWidth="10" defaultRowHeight="16" x14ac:dyDescent="0.2"/>
  <cols>
    <col min="1" max="1" width="2" style="1" customWidth="1"/>
    <col min="2" max="2" width="20.6640625" style="1" customWidth="1"/>
    <col min="3" max="3" width="25.83203125" style="1" customWidth="1"/>
    <col min="4" max="4" width="2" style="1" customWidth="1"/>
    <col min="5" max="5" width="19.1640625" style="1" customWidth="1"/>
    <col min="6" max="6" width="14.5" style="1" customWidth="1"/>
    <col min="7" max="7" width="1.6640625" style="1" customWidth="1"/>
    <col min="8" max="8" width="15.83203125" style="1" customWidth="1"/>
    <col min="9" max="9" width="8.6640625" style="1" customWidth="1"/>
    <col min="10" max="10" width="2" style="1" customWidth="1"/>
    <col min="11" max="11" width="16.5" style="1" customWidth="1"/>
    <col min="12" max="16384" width="10.83203125" style="1"/>
  </cols>
  <sheetData>
    <row r="1" spans="2:11" ht="11" customHeight="1" x14ac:dyDescent="0.2"/>
    <row r="2" spans="2:11" x14ac:dyDescent="0.2">
      <c r="B2" s="246" t="s">
        <v>17</v>
      </c>
      <c r="C2" s="247"/>
      <c r="E2" s="246" t="s">
        <v>287</v>
      </c>
      <c r="F2" s="247"/>
      <c r="H2" s="246" t="s">
        <v>325</v>
      </c>
      <c r="I2" s="247"/>
      <c r="K2" s="136" t="s">
        <v>441</v>
      </c>
    </row>
    <row r="3" spans="2:11" x14ac:dyDescent="0.2">
      <c r="B3" s="185" t="s">
        <v>11</v>
      </c>
      <c r="C3" s="217" t="e" vm="1">
        <v>#VALUE!</v>
      </c>
      <c r="D3" s="2"/>
      <c r="E3" s="185" t="s">
        <v>239</v>
      </c>
      <c r="F3" s="187">
        <f ca="1">Statement!AC153</f>
        <v>1035640.2000000001</v>
      </c>
      <c r="H3" s="185" t="str">
        <f>'AVG target price'!B5</f>
        <v>DCF price</v>
      </c>
      <c r="I3" s="211">
        <f ca="1">'AVG target price'!C5</f>
        <v>928.67183632982017</v>
      </c>
      <c r="K3" s="241" t="s">
        <v>442</v>
      </c>
    </row>
    <row r="4" spans="2:11" x14ac:dyDescent="0.2">
      <c r="B4" s="185" t="s">
        <v>0</v>
      </c>
      <c r="C4" s="189" t="str" cm="1">
        <f t="array" aca="1" ref="C4" ca="1">_FV(C3,"Ticker symbol",TRUE)</f>
        <v>MU</v>
      </c>
      <c r="E4" s="186" t="s">
        <v>188</v>
      </c>
      <c r="F4" s="188">
        <f ca="1">Statement!AC154</f>
        <v>967366.20000000007</v>
      </c>
      <c r="H4" s="185" t="str">
        <f>'AVG target price'!B6</f>
        <v>EV/EBIT price</v>
      </c>
      <c r="I4" s="211">
        <f ca="1">'AVG target price'!C6</f>
        <v>1281.1934048502171</v>
      </c>
      <c r="K4" s="241" t="s">
        <v>443</v>
      </c>
    </row>
    <row r="5" spans="2:11" x14ac:dyDescent="0.2">
      <c r="B5" s="185" t="s">
        <v>1</v>
      </c>
      <c r="C5" s="208" cm="1">
        <f t="array" aca="1" ref="C5" ca="1">_FV(C3,"Price",TRUE)</f>
        <v>903.7</v>
      </c>
      <c r="E5" s="185" t="s">
        <v>243</v>
      </c>
      <c r="F5" s="190">
        <f>Statement!AC26</f>
        <v>74.210000000000008</v>
      </c>
      <c r="H5" s="185" t="str">
        <f>'AVG target price'!B7</f>
        <v>PS price</v>
      </c>
      <c r="I5" s="211">
        <f ca="1">'AVG target price'!C7</f>
        <v>567.44500341495586</v>
      </c>
      <c r="K5" s="241" t="s">
        <v>444</v>
      </c>
    </row>
    <row r="6" spans="2:11" x14ac:dyDescent="0.2">
      <c r="B6" s="185" t="s">
        <v>2</v>
      </c>
      <c r="C6" s="208" cm="1">
        <f t="array" aca="1" ref="C6" ca="1">_FV(C3,"Price (Extended hours)",TRUE)</f>
        <v>904.75</v>
      </c>
      <c r="E6" s="185" t="s">
        <v>237</v>
      </c>
      <c r="F6" s="190">
        <f ca="1">Statement!AC150</f>
        <v>12.177604096482954</v>
      </c>
      <c r="H6" s="185" t="str">
        <f>'AVG target price'!B8</f>
        <v>EV/FCFF price</v>
      </c>
      <c r="I6" s="211">
        <f ca="1">'AVG target price'!C8</f>
        <v>1729.7038260158818</v>
      </c>
      <c r="K6" s="242" t="s">
        <v>445</v>
      </c>
    </row>
    <row r="7" spans="2:11" x14ac:dyDescent="0.2">
      <c r="B7" s="185" t="s">
        <v>3</v>
      </c>
      <c r="C7" s="6" cm="1">
        <f t="array" aca="1" ref="C7" ca="1">_FV(C3,"Change")</f>
        <v>26.15</v>
      </c>
      <c r="E7" s="186" t="s">
        <v>201</v>
      </c>
      <c r="F7" s="191">
        <f ca="1">Statement!AC151</f>
        <v>7.7554216596089747</v>
      </c>
      <c r="H7" s="185" t="str">
        <f>'AVG target price'!B9</f>
        <v>EV/Sales price</v>
      </c>
      <c r="I7" s="211">
        <f ca="1">'AVG target price'!C9</f>
        <v>912.37103067584906</v>
      </c>
    </row>
    <row r="8" spans="2:11" x14ac:dyDescent="0.2">
      <c r="B8" s="185" t="s">
        <v>4</v>
      </c>
      <c r="C8" s="6" cm="1">
        <f t="array" aca="1" ref="C8" ca="1">_FV(C3,"Change (extended hours)",TRUE)</f>
        <v>1.05</v>
      </c>
      <c r="E8" s="185" t="s">
        <v>265</v>
      </c>
      <c r="F8" s="192">
        <f ca="1">Statement!AC161</f>
        <v>5.5646739089502316E-2</v>
      </c>
      <c r="H8" s="184" t="str">
        <f>'AVG target price'!B10</f>
        <v>AVG price</v>
      </c>
      <c r="I8" s="212">
        <f ca="1">'AVG target price'!C10</f>
        <v>1083.8770202573448</v>
      </c>
    </row>
    <row r="9" spans="2:11" x14ac:dyDescent="0.2">
      <c r="B9" s="185" t="s">
        <v>5</v>
      </c>
      <c r="C9" s="73" cm="1">
        <f t="array" aca="1" ref="C9" ca="1">_FV(C3,"Change (%)",TRUE)</f>
        <v>2.9799000000000003E-2</v>
      </c>
      <c r="E9" s="185" t="s">
        <v>288</v>
      </c>
      <c r="F9" s="192">
        <f ca="1">Statement!AC162</f>
        <v>8.2117959499834026E-2</v>
      </c>
      <c r="H9" s="184" t="str">
        <f>'AVG target price'!B12</f>
        <v>Upside/Downside</v>
      </c>
      <c r="I9" s="213">
        <f ca="1">'AVG target price'!C12</f>
        <v>0.19937702805947194</v>
      </c>
    </row>
    <row r="10" spans="2:11" x14ac:dyDescent="0.2">
      <c r="B10" s="185" t="s">
        <v>6</v>
      </c>
      <c r="C10" s="73" cm="1">
        <f t="array" aca="1" ref="C10" ca="1">_FV(C3,"Change % (extended hours)",TRUE)</f>
        <v>1.1620000000000001E-3</v>
      </c>
      <c r="E10" s="185" t="s">
        <v>293</v>
      </c>
      <c r="F10" s="192">
        <f ca="1">Statement!AC164</f>
        <v>6.2763110199855123E-4</v>
      </c>
    </row>
    <row r="11" spans="2:11" x14ac:dyDescent="0.2">
      <c r="B11" s="185" t="s">
        <v>7</v>
      </c>
      <c r="C11" s="209" cm="1">
        <f t="array" aca="1" ref="C11" ca="1">_FV(C3,"52 week high",TRUE)</f>
        <v>1255</v>
      </c>
      <c r="E11" s="186" t="s">
        <v>289</v>
      </c>
      <c r="F11" s="193">
        <f ca="1">Statement!AC163</f>
        <v>6.2520748035852609E-4</v>
      </c>
      <c r="H11" s="184" t="s">
        <v>367</v>
      </c>
      <c r="I11" s="212">
        <f ca="1">DDM!C26</f>
        <v>5.1961126260384285</v>
      </c>
    </row>
    <row r="12" spans="2:11" x14ac:dyDescent="0.2">
      <c r="B12" s="185" t="s">
        <v>8</v>
      </c>
      <c r="C12" s="209" cm="1">
        <f t="array" aca="1" ref="C12" ca="1">_FV(C3,"52 week low",TRUE)</f>
        <v>192.59</v>
      </c>
      <c r="E12" s="185" t="s">
        <v>102</v>
      </c>
      <c r="F12" s="192">
        <f>Statement!AC123</f>
        <v>0.43376317079147264</v>
      </c>
    </row>
    <row r="13" spans="2:11" x14ac:dyDescent="0.2">
      <c r="B13" s="185" t="s">
        <v>9</v>
      </c>
      <c r="C13" s="209" cm="1">
        <f t="array" aca="1" ref="C13" ca="1">_FV(C3,"Beta")</f>
        <v>2.3616000000000001</v>
      </c>
      <c r="E13" s="185" t="s">
        <v>104</v>
      </c>
      <c r="F13" s="192">
        <f>Statement!AC125</f>
        <v>0.61403546806573295</v>
      </c>
      <c r="H13" s="245" t="s">
        <v>431</v>
      </c>
      <c r="I13" s="243">
        <f>'Reverse DCF'!C17</f>
        <v>0.24</v>
      </c>
    </row>
    <row r="14" spans="2:11" x14ac:dyDescent="0.2">
      <c r="B14" s="186" t="s">
        <v>10</v>
      </c>
      <c r="C14" s="210" cm="1">
        <f t="array" aca="1" ref="C14" ca="1">_FV(C3,"Volume average",TRUE)</f>
        <v>26399323</v>
      </c>
      <c r="E14" s="186" t="s">
        <v>105</v>
      </c>
      <c r="F14" s="193">
        <f>Statement!AC140</f>
        <v>1.2071781950589597</v>
      </c>
      <c r="H14" s="186" t="s">
        <v>447</v>
      </c>
      <c r="I14" s="244">
        <f ca="1">'Reverse DCF'!C16</f>
        <v>881.76467397672604</v>
      </c>
    </row>
    <row r="15" spans="2:11" x14ac:dyDescent="0.2">
      <c r="E15" s="185" t="s">
        <v>290</v>
      </c>
      <c r="F15" s="192">
        <f ca="1">Statement!AC176</f>
        <v>6.5924439781306285E-2</v>
      </c>
    </row>
    <row r="16" spans="2:11" x14ac:dyDescent="0.2">
      <c r="E16" s="186" t="s">
        <v>295</v>
      </c>
      <c r="F16" s="191">
        <f>Statement!AC175</f>
        <v>60.472984942426926</v>
      </c>
      <c r="H16" s="246" t="s">
        <v>439</v>
      </c>
      <c r="I16" s="247"/>
    </row>
    <row r="17" spans="2:9" x14ac:dyDescent="0.2">
      <c r="B17" s="248" t="s">
        <v>90</v>
      </c>
      <c r="C17" s="248"/>
      <c r="E17" s="184" t="s">
        <v>296</v>
      </c>
      <c r="F17" s="194">
        <f>Statement!AC171</f>
        <v>2.617801047120419E-3</v>
      </c>
      <c r="H17" s="185" t="s">
        <v>165</v>
      </c>
      <c r="I17" s="239">
        <f ca="1">DCF!C15</f>
        <v>0.15559906934883602</v>
      </c>
    </row>
    <row r="18" spans="2:9" x14ac:dyDescent="0.2">
      <c r="B18" s="184" t="s">
        <v>12</v>
      </c>
      <c r="C18" s="69" t="s">
        <v>368</v>
      </c>
      <c r="E18" s="185" t="s">
        <v>297</v>
      </c>
      <c r="F18" s="190">
        <f>Statement!AC144</f>
        <v>-74.647977446327559</v>
      </c>
      <c r="H18" s="186" t="s">
        <v>440</v>
      </c>
      <c r="I18" s="240">
        <f ca="1">Multiples!C54</f>
        <v>0.15615200000000001</v>
      </c>
    </row>
    <row r="19" spans="2:9" x14ac:dyDescent="0.2">
      <c r="B19" s="184" t="s">
        <v>13</v>
      </c>
      <c r="C19" s="70">
        <v>1000000</v>
      </c>
      <c r="E19" s="185" t="s">
        <v>258</v>
      </c>
      <c r="F19" s="190">
        <f>Statement!AC146</f>
        <v>-0.49338767723192994</v>
      </c>
      <c r="I19" s="50"/>
    </row>
    <row r="20" spans="2:9" x14ac:dyDescent="0.2">
      <c r="B20" s="184" t="s">
        <v>91</v>
      </c>
      <c r="C20" s="69" t="s">
        <v>92</v>
      </c>
      <c r="E20" s="186" t="s">
        <v>298</v>
      </c>
      <c r="F20" s="191">
        <f>Statement!AC147</f>
        <v>3.9898842878975329</v>
      </c>
    </row>
    <row r="21" spans="2:9" x14ac:dyDescent="0.2">
      <c r="B21" s="184" t="s">
        <v>93</v>
      </c>
      <c r="C21" s="69" t="s">
        <v>94</v>
      </c>
    </row>
    <row r="22" spans="2:9" x14ac:dyDescent="0.2">
      <c r="B22" s="184" t="s">
        <v>95</v>
      </c>
      <c r="C22" s="69" t="s">
        <v>92</v>
      </c>
      <c r="I22" s="50"/>
    </row>
    <row r="25" spans="2:9" x14ac:dyDescent="0.2">
      <c r="B25" s="248" t="s">
        <v>107</v>
      </c>
      <c r="C25" s="248"/>
      <c r="E25" s="246" t="s">
        <v>340</v>
      </c>
      <c r="F25" s="247"/>
    </row>
    <row r="26" spans="2:9" x14ac:dyDescent="0.2">
      <c r="B26" s="184" t="s">
        <v>108</v>
      </c>
      <c r="C26" s="170">
        <v>0.21</v>
      </c>
      <c r="E26" s="185" t="e" vm="2">
        <v>#VALUE!</v>
      </c>
      <c r="F26" s="219" cm="1">
        <f t="array" aca="1" ref="F26" ca="1">_FV(E26,"Price")</f>
        <v>49.88</v>
      </c>
    </row>
    <row r="27" spans="2:9" x14ac:dyDescent="0.2">
      <c r="B27" s="184" t="s">
        <v>172</v>
      </c>
      <c r="C27" s="221">
        <v>5.7000000000000002E-2</v>
      </c>
      <c r="E27" s="186" t="s">
        <v>341</v>
      </c>
      <c r="F27" s="220">
        <f ca="1">F26/1000</f>
        <v>4.9880000000000001E-2</v>
      </c>
    </row>
    <row r="28" spans="2:9" x14ac:dyDescent="0.2">
      <c r="B28" s="184" t="s">
        <v>345</v>
      </c>
      <c r="C28" s="221">
        <v>0</v>
      </c>
    </row>
    <row r="29" spans="2:9" x14ac:dyDescent="0.2">
      <c r="B29" s="184" t="s">
        <v>357</v>
      </c>
      <c r="C29" s="221">
        <v>0</v>
      </c>
    </row>
    <row r="33" spans="2:8" x14ac:dyDescent="0.2">
      <c r="B33" s="136" t="s">
        <v>335</v>
      </c>
      <c r="C33" s="136"/>
      <c r="D33" s="136"/>
      <c r="E33" s="136"/>
      <c r="F33" s="136"/>
      <c r="G33" s="136"/>
      <c r="H33" s="136"/>
    </row>
    <row r="35" spans="2:8" x14ac:dyDescent="0.2">
      <c r="B35" s="16" t="s">
        <v>336</v>
      </c>
      <c r="C35" s="1" t="s">
        <v>395</v>
      </c>
    </row>
    <row r="36" spans="2:8" x14ac:dyDescent="0.2">
      <c r="B36" s="16" t="s">
        <v>337</v>
      </c>
      <c r="C36" s="1" t="s">
        <v>396</v>
      </c>
    </row>
    <row r="37" spans="2:8" x14ac:dyDescent="0.2">
      <c r="B37" s="16" t="s">
        <v>411</v>
      </c>
      <c r="C37" s="1" t="s">
        <v>412</v>
      </c>
    </row>
    <row r="38" spans="2:8" x14ac:dyDescent="0.2">
      <c r="B38" s="16"/>
      <c r="C38" s="1" t="s">
        <v>413</v>
      </c>
    </row>
    <row r="39" spans="2:8" x14ac:dyDescent="0.2">
      <c r="B39" s="16"/>
      <c r="C39" s="1" t="s">
        <v>414</v>
      </c>
    </row>
    <row r="40" spans="2:8" x14ac:dyDescent="0.2">
      <c r="B40" s="16"/>
      <c r="C40" s="1" t="s">
        <v>415</v>
      </c>
    </row>
    <row r="43" spans="2:8" ht="6" customHeight="1" x14ac:dyDescent="0.2">
      <c r="B43" s="136"/>
      <c r="C43" s="136"/>
      <c r="D43" s="136"/>
      <c r="E43" s="136"/>
      <c r="F43" s="136"/>
      <c r="G43" s="136"/>
      <c r="H43" s="136"/>
    </row>
    <row r="46" spans="2:8" x14ac:dyDescent="0.2">
      <c r="B46" s="136" t="s">
        <v>338</v>
      </c>
      <c r="C46" s="136"/>
      <c r="D46" s="136"/>
      <c r="E46" s="136"/>
      <c r="F46" s="136"/>
      <c r="G46" s="136"/>
      <c r="H46" s="136"/>
    </row>
    <row r="48" spans="2:8" x14ac:dyDescent="0.2">
      <c r="B48" s="41" t="s">
        <v>339</v>
      </c>
      <c r="C48" s="41" t="s">
        <v>435</v>
      </c>
      <c r="D48" s="41"/>
      <c r="E48" s="41" t="s">
        <v>434</v>
      </c>
    </row>
    <row r="49" spans="2:5" x14ac:dyDescent="0.2">
      <c r="B49" s="1" t="s">
        <v>398</v>
      </c>
      <c r="C49" s="1" t="s">
        <v>436</v>
      </c>
    </row>
    <row r="50" spans="2:5" x14ac:dyDescent="0.2">
      <c r="B50" s="1" t="s">
        <v>398</v>
      </c>
      <c r="C50" s="1" t="s">
        <v>437</v>
      </c>
    </row>
    <row r="51" spans="2:5" x14ac:dyDescent="0.2">
      <c r="B51" s="1" t="s">
        <v>398</v>
      </c>
      <c r="C51" s="1" t="s">
        <v>405</v>
      </c>
    </row>
    <row r="52" spans="2:5" x14ac:dyDescent="0.2">
      <c r="B52" s="1" t="s">
        <v>398</v>
      </c>
      <c r="C52" s="1" t="s">
        <v>438</v>
      </c>
    </row>
    <row r="53" spans="2:5" x14ac:dyDescent="0.2">
      <c r="B53" s="1" t="s">
        <v>398</v>
      </c>
      <c r="C53" s="1" t="s">
        <v>407</v>
      </c>
    </row>
    <row r="54" spans="2:5" x14ac:dyDescent="0.2">
      <c r="B54" s="1" t="s">
        <v>398</v>
      </c>
      <c r="C54" s="1" t="s">
        <v>408</v>
      </c>
    </row>
    <row r="57" spans="2:5" x14ac:dyDescent="0.2">
      <c r="B57" s="41" t="s">
        <v>339</v>
      </c>
      <c r="C57" s="41" t="s">
        <v>397</v>
      </c>
      <c r="D57" s="41"/>
      <c r="E57" s="41" t="s">
        <v>85</v>
      </c>
    </row>
    <row r="58" spans="2:5" x14ac:dyDescent="0.2">
      <c r="B58" s="1" t="s">
        <v>398</v>
      </c>
      <c r="C58" s="1" t="s">
        <v>399</v>
      </c>
    </row>
    <row r="59" spans="2:5" x14ac:dyDescent="0.2">
      <c r="B59" s="1" t="s">
        <v>398</v>
      </c>
      <c r="C59" s="1" t="s">
        <v>400</v>
      </c>
    </row>
    <row r="60" spans="2:5" x14ac:dyDescent="0.2">
      <c r="C60" s="1" t="s">
        <v>401</v>
      </c>
    </row>
    <row r="61" spans="2:5" x14ac:dyDescent="0.2">
      <c r="C61" s="1" t="s">
        <v>402</v>
      </c>
    </row>
    <row r="62" spans="2:5" x14ac:dyDescent="0.2">
      <c r="C62" s="1" t="s">
        <v>403</v>
      </c>
    </row>
    <row r="63" spans="2:5" x14ac:dyDescent="0.2">
      <c r="C63" s="1" t="s">
        <v>404</v>
      </c>
    </row>
    <row r="64" spans="2:5" x14ac:dyDescent="0.2">
      <c r="B64" s="1" t="s">
        <v>398</v>
      </c>
      <c r="C64" s="1" t="s">
        <v>405</v>
      </c>
    </row>
    <row r="65" spans="2:8" x14ac:dyDescent="0.2">
      <c r="B65" s="1" t="s">
        <v>398</v>
      </c>
      <c r="C65" s="1" t="s">
        <v>406</v>
      </c>
    </row>
    <row r="66" spans="2:8" x14ac:dyDescent="0.2">
      <c r="B66" s="1" t="s">
        <v>398</v>
      </c>
      <c r="C66" s="1" t="s">
        <v>407</v>
      </c>
    </row>
    <row r="67" spans="2:8" x14ac:dyDescent="0.2">
      <c r="B67" s="1" t="s">
        <v>398</v>
      </c>
      <c r="C67" s="1" t="s">
        <v>408</v>
      </c>
    </row>
    <row r="68" spans="2:8" x14ac:dyDescent="0.2">
      <c r="B68" s="1" t="s">
        <v>398</v>
      </c>
      <c r="C68" s="1" t="s">
        <v>409</v>
      </c>
    </row>
    <row r="69" spans="2:8" x14ac:dyDescent="0.2">
      <c r="B69" s="1" t="s">
        <v>398</v>
      </c>
      <c r="C69" s="1" t="s">
        <v>410</v>
      </c>
    </row>
    <row r="71" spans="2:8" x14ac:dyDescent="0.2">
      <c r="B71" s="41" t="s">
        <v>339</v>
      </c>
      <c r="C71" s="41" t="s">
        <v>420</v>
      </c>
      <c r="D71" s="41"/>
      <c r="E71" s="41" t="s">
        <v>89</v>
      </c>
    </row>
    <row r="72" spans="2:8" x14ac:dyDescent="0.2">
      <c r="B72" s="1" t="s">
        <v>398</v>
      </c>
      <c r="C72" s="1" t="s">
        <v>421</v>
      </c>
    </row>
    <row r="75" spans="2:8" ht="5" customHeight="1" x14ac:dyDescent="0.2">
      <c r="B75" s="136"/>
      <c r="C75" s="136"/>
      <c r="D75" s="136"/>
      <c r="E75" s="136"/>
      <c r="F75" s="136"/>
      <c r="G75" s="136"/>
      <c r="H75" s="136"/>
    </row>
    <row r="78" spans="2:8" x14ac:dyDescent="0.2">
      <c r="B78" s="136" t="s">
        <v>109</v>
      </c>
      <c r="C78" s="136"/>
      <c r="D78" s="136"/>
      <c r="E78" s="136"/>
      <c r="F78" s="136"/>
      <c r="G78" s="136"/>
      <c r="H78" s="136"/>
    </row>
    <row r="80" spans="2:8" x14ac:dyDescent="0.2">
      <c r="B80" s="41" t="s">
        <v>339</v>
      </c>
      <c r="C80" s="41" t="s">
        <v>326</v>
      </c>
      <c r="D80" s="41"/>
      <c r="E80" s="41" t="s">
        <v>327</v>
      </c>
    </row>
    <row r="85" spans="2:8" ht="5" customHeight="1" x14ac:dyDescent="0.2">
      <c r="B85" s="136"/>
      <c r="C85" s="136"/>
      <c r="D85" s="136"/>
      <c r="E85" s="136"/>
      <c r="F85" s="136"/>
      <c r="G85" s="136"/>
      <c r="H85" s="136"/>
    </row>
  </sheetData>
  <mergeCells count="7">
    <mergeCell ref="B2:C2"/>
    <mergeCell ref="B17:C17"/>
    <mergeCell ref="B25:C25"/>
    <mergeCell ref="E2:F2"/>
    <mergeCell ref="H2:I2"/>
    <mergeCell ref="E25:F25"/>
    <mergeCell ref="H16:I16"/>
  </mergeCells>
  <conditionalFormatting sqref="C7:C10">
    <cfRule type="cellIs" dxfId="2" priority="4" operator="lessThan">
      <formula>0</formula>
    </cfRule>
    <cfRule type="cellIs" dxfId="1" priority="5" operator="equal">
      <formula>0</formula>
    </cfRule>
    <cfRule type="cellIs" dxfId="0" priority="6" operator="greaterThan">
      <formula>0</formula>
    </cfRule>
  </conditionalFormatting>
  <hyperlinks>
    <hyperlink ref="K3" location="'Financials -&gt;'!B13" display="'Financials -&gt;'!B13" xr:uid="{FFB0360C-24EF-5241-8066-E09C4813D663}"/>
    <hyperlink ref="K4" location="'Analysis -&gt;'!B13" display="'Analysis -&gt;'!B13" xr:uid="{AE5E1E03-D186-2C41-A6CC-06129118B7F8}"/>
    <hyperlink ref="K5" location="'Forecast -&gt;'!B13" display="'Forecast -&gt;'!B13" xr:uid="{21AA7E56-DA1B-FC46-AFAD-5FD96DEC8511}"/>
    <hyperlink ref="K6" location="'Valuation -&gt;'!B13" display="'Valuation -&gt;'!B13" xr:uid="{E7BF3B29-E6B2-DE41-8BB5-EB1F2EF0A76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35612-A5F6-ED42-8E7B-33A97D1D2D90}">
  <sheetPr>
    <tabColor theme="6" tint="0.59999389629810485"/>
  </sheetPr>
  <dimension ref="B5:H13"/>
  <sheetViews>
    <sheetView workbookViewId="0">
      <selection activeCell="H6" sqref="H6"/>
    </sheetView>
  </sheetViews>
  <sheetFormatPr baseColWidth="10" defaultRowHeight="16" x14ac:dyDescent="0.2"/>
  <cols>
    <col min="1" max="7" width="10.83203125" style="1"/>
    <col min="8" max="8" width="19.6640625" style="1" customWidth="1"/>
    <col min="9" max="16384" width="10.83203125" style="1"/>
  </cols>
  <sheetData>
    <row r="5" spans="2:8" x14ac:dyDescent="0.2">
      <c r="H5" s="136" t="s">
        <v>441</v>
      </c>
    </row>
    <row r="6" spans="2:8" x14ac:dyDescent="0.2">
      <c r="H6" s="241" t="s">
        <v>446</v>
      </c>
    </row>
    <row r="7" spans="2:8" x14ac:dyDescent="0.2">
      <c r="H7" s="241" t="s">
        <v>442</v>
      </c>
    </row>
    <row r="8" spans="2:8" x14ac:dyDescent="0.2">
      <c r="H8" s="241" t="s">
        <v>443</v>
      </c>
    </row>
    <row r="9" spans="2:8" x14ac:dyDescent="0.2">
      <c r="H9" s="241" t="s">
        <v>444</v>
      </c>
    </row>
    <row r="10" spans="2:8" x14ac:dyDescent="0.2">
      <c r="H10" s="242" t="s">
        <v>445</v>
      </c>
    </row>
    <row r="13" spans="2:8" s="4" customFormat="1" ht="49" x14ac:dyDescent="0.2">
      <c r="B13" s="3" t="s">
        <v>14</v>
      </c>
    </row>
  </sheetData>
  <hyperlinks>
    <hyperlink ref="H6" location="Overview!B3" display="Overview'!B3" xr:uid="{EBB45001-6307-E34A-9590-9E471CF7DF8E}"/>
    <hyperlink ref="H8" location="'Analysis -&gt;'!B13" display="'Analysis -&gt;'!B13" xr:uid="{7FEFED7B-6F49-6345-A225-CD95CFFF29F3}"/>
    <hyperlink ref="H9" location="'Forecast -&gt;'!B13" display="'Forecast -&gt;'!B13" xr:uid="{97C85210-ECF5-F54E-A672-0A0AF9713E1E}"/>
    <hyperlink ref="H10" location="'Valuation -&gt;'!B13" display="'Valuation -&gt;'!B13" xr:uid="{514F83DF-19BB-4C44-B9EA-53F46030EC1E}"/>
    <hyperlink ref="H7" location="'Financials -&gt;'!B13" display="'Financials -&gt;'!B13" xr:uid="{3A1BB07F-F506-1E46-9D87-5DA805869BD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B83C-60BF-4548-84AB-1D4A73B251A4}">
  <dimension ref="A1:AE225"/>
  <sheetViews>
    <sheetView zoomScale="170" zoomScaleNormal="150" workbookViewId="0">
      <pane xSplit="2" ySplit="3" topLeftCell="K9" activePane="bottomRight" state="frozen"/>
      <selection pane="topRight" activeCell="C1" sqref="C1"/>
      <selection pane="bottomLeft" activeCell="A4" sqref="A4"/>
      <selection pane="bottomRight" activeCell="M18" sqref="M18"/>
    </sheetView>
  </sheetViews>
  <sheetFormatPr baseColWidth="10" defaultRowHeight="16" x14ac:dyDescent="0.2"/>
  <cols>
    <col min="1" max="1" width="3.6640625" style="1" customWidth="1"/>
    <col min="2" max="2" width="33.83203125" style="20" customWidth="1"/>
    <col min="3" max="8" width="12" style="1" customWidth="1"/>
    <col min="9" max="9" width="10.83203125" style="1" customWidth="1"/>
    <col min="10" max="10" width="12" style="1" customWidth="1"/>
    <col min="11" max="11" width="10.83203125" style="1" customWidth="1"/>
    <col min="12" max="12" width="10.6640625" style="1" customWidth="1"/>
    <col min="13" max="13" width="10.83203125" style="1" customWidth="1"/>
    <col min="14" max="15" width="12" style="1" bestFit="1" customWidth="1"/>
    <col min="16" max="17" width="11.33203125" style="1" bestFit="1" customWidth="1"/>
    <col min="18" max="18" width="2.83203125" style="1" customWidth="1"/>
    <col min="19" max="19" width="3.5" style="1" customWidth="1"/>
    <col min="20" max="27" width="10.83203125" style="1"/>
    <col min="28" max="28" width="9" style="1" customWidth="1"/>
    <col min="29" max="16384" width="10.83203125" style="1"/>
  </cols>
  <sheetData>
    <row r="1" spans="1:31" x14ac:dyDescent="0.2">
      <c r="B1" s="1"/>
    </row>
    <row r="2" spans="1:31" s="10" customFormat="1" x14ac:dyDescent="0.2">
      <c r="A2" s="7"/>
      <c r="B2" s="8" t="s">
        <v>15</v>
      </c>
      <c r="C2" s="9"/>
      <c r="D2" s="9"/>
      <c r="E2" s="9"/>
      <c r="F2" s="9"/>
      <c r="G2" s="9"/>
      <c r="H2" s="9"/>
      <c r="I2" s="9"/>
      <c r="L2" s="10" t="s">
        <v>373</v>
      </c>
      <c r="M2" s="10" t="s">
        <v>372</v>
      </c>
      <c r="N2" s="10" t="s">
        <v>371</v>
      </c>
      <c r="O2" s="10" t="s">
        <v>370</v>
      </c>
      <c r="P2" s="10" t="s">
        <v>369</v>
      </c>
      <c r="Q2" s="10" t="s">
        <v>432</v>
      </c>
      <c r="R2" s="7"/>
      <c r="S2" s="7"/>
      <c r="T2" s="10" t="s">
        <v>380</v>
      </c>
      <c r="U2" s="10" t="s">
        <v>377</v>
      </c>
      <c r="V2" s="10" t="s">
        <v>375</v>
      </c>
      <c r="W2" s="10" t="s">
        <v>369</v>
      </c>
      <c r="X2" s="10" t="s">
        <v>378</v>
      </c>
      <c r="Y2" s="10" t="s">
        <v>376</v>
      </c>
      <c r="Z2" s="10" t="s">
        <v>374</v>
      </c>
      <c r="AA2" s="10" t="s">
        <v>433</v>
      </c>
      <c r="AB2" s="7"/>
      <c r="AD2" s="7"/>
      <c r="AE2" s="7"/>
    </row>
    <row r="3" spans="1:31" s="13" customFormat="1" x14ac:dyDescent="0.2">
      <c r="A3" s="11"/>
      <c r="B3" s="12" t="s">
        <v>16</v>
      </c>
      <c r="L3" s="13">
        <v>2021</v>
      </c>
      <c r="M3" s="13">
        <v>2022</v>
      </c>
      <c r="N3" s="13">
        <v>2023</v>
      </c>
      <c r="O3" s="13">
        <v>2024</v>
      </c>
      <c r="P3" s="13">
        <v>2025</v>
      </c>
      <c r="Q3" s="13">
        <v>2026</v>
      </c>
      <c r="R3" s="11"/>
      <c r="S3" s="11"/>
      <c r="T3" s="10" t="s">
        <v>379</v>
      </c>
      <c r="U3" s="10" t="s">
        <v>88</v>
      </c>
      <c r="V3" s="10" t="s">
        <v>86</v>
      </c>
      <c r="W3" s="10" t="s">
        <v>84</v>
      </c>
      <c r="X3" s="10" t="s">
        <v>89</v>
      </c>
      <c r="Y3" s="10" t="s">
        <v>87</v>
      </c>
      <c r="Z3" s="10" t="s">
        <v>85</v>
      </c>
      <c r="AA3" s="10" t="s">
        <v>434</v>
      </c>
      <c r="AB3" s="11"/>
      <c r="AC3" s="59" t="s">
        <v>83</v>
      </c>
      <c r="AD3" s="11"/>
      <c r="AE3" s="11"/>
    </row>
    <row r="4" spans="1:31" s="15" customFormat="1" ht="17" thickBot="1" x14ac:dyDescent="0.25">
      <c r="A4" s="11"/>
      <c r="B4" s="14" t="s">
        <v>18</v>
      </c>
      <c r="R4" s="11"/>
      <c r="S4" s="11"/>
      <c r="AB4" s="11"/>
      <c r="AD4" s="11"/>
      <c r="AE4" s="11"/>
    </row>
    <row r="5" spans="1:31" s="19" customFormat="1" x14ac:dyDescent="0.2">
      <c r="A5" s="16"/>
      <c r="B5" s="17" t="s">
        <v>19</v>
      </c>
      <c r="C5" s="18"/>
      <c r="D5" s="18"/>
      <c r="E5" s="18"/>
      <c r="F5" s="18"/>
      <c r="G5" s="18"/>
      <c r="H5" s="18"/>
      <c r="I5" s="18"/>
      <c r="J5" s="18"/>
      <c r="K5" s="18"/>
      <c r="L5" s="18">
        <v>27705</v>
      </c>
      <c r="M5" s="18">
        <v>30758</v>
      </c>
      <c r="N5" s="18">
        <v>15540</v>
      </c>
      <c r="O5" s="18">
        <v>25111</v>
      </c>
      <c r="P5" s="18">
        <v>37378</v>
      </c>
      <c r="Q5" s="18">
        <v>133188</v>
      </c>
      <c r="R5" s="16"/>
      <c r="S5" s="16"/>
      <c r="T5" s="18">
        <v>8709</v>
      </c>
      <c r="U5" s="18">
        <v>8053</v>
      </c>
      <c r="V5" s="18">
        <v>9301</v>
      </c>
      <c r="W5" s="18">
        <v>11315</v>
      </c>
      <c r="X5" s="18">
        <v>13643</v>
      </c>
      <c r="Y5" s="18">
        <v>23860</v>
      </c>
      <c r="Z5" s="18">
        <v>41456</v>
      </c>
      <c r="AA5" s="18">
        <v>54229</v>
      </c>
      <c r="AB5" s="16"/>
      <c r="AC5" s="18">
        <f>SUM(X5:AA5)</f>
        <v>133188</v>
      </c>
      <c r="AD5" s="16"/>
      <c r="AE5" s="16"/>
    </row>
    <row r="6" spans="1:31" x14ac:dyDescent="0.2">
      <c r="B6" s="20" t="s">
        <v>20</v>
      </c>
      <c r="C6" s="21"/>
      <c r="D6" s="21"/>
      <c r="E6" s="21"/>
      <c r="F6" s="21"/>
      <c r="G6" s="21"/>
      <c r="H6" s="21"/>
      <c r="I6" s="21"/>
      <c r="J6" s="21"/>
      <c r="K6" s="21"/>
      <c r="L6" s="21">
        <v>17282</v>
      </c>
      <c r="M6" s="21">
        <v>16860</v>
      </c>
      <c r="N6" s="21">
        <v>16956</v>
      </c>
      <c r="O6" s="21">
        <v>19498</v>
      </c>
      <c r="P6" s="21">
        <v>22505</v>
      </c>
      <c r="Q6" s="21">
        <v>25684</v>
      </c>
      <c r="T6" s="21">
        <v>5361</v>
      </c>
      <c r="U6" s="21">
        <v>5090</v>
      </c>
      <c r="V6" s="21">
        <v>5793</v>
      </c>
      <c r="W6" s="21">
        <v>6261</v>
      </c>
      <c r="X6" s="21">
        <v>5997</v>
      </c>
      <c r="Y6" s="21">
        <v>6105</v>
      </c>
      <c r="Z6" s="21">
        <v>6400</v>
      </c>
      <c r="AA6" s="21">
        <v>7182</v>
      </c>
      <c r="AC6" s="21">
        <f t="shared" ref="AC6:AC18" si="0">SUM(X6:AA6)</f>
        <v>25684</v>
      </c>
    </row>
    <row r="7" spans="1:31" s="19" customFormat="1" x14ac:dyDescent="0.2">
      <c r="A7" s="16"/>
      <c r="B7" s="17" t="s">
        <v>21</v>
      </c>
      <c r="C7" s="22">
        <f t="shared" ref="C7:Q7" si="1">C5-C6</f>
        <v>0</v>
      </c>
      <c r="D7" s="22">
        <f t="shared" si="1"/>
        <v>0</v>
      </c>
      <c r="E7" s="22">
        <f t="shared" si="1"/>
        <v>0</v>
      </c>
      <c r="F7" s="22">
        <f t="shared" si="1"/>
        <v>0</v>
      </c>
      <c r="G7" s="22">
        <f t="shared" si="1"/>
        <v>0</v>
      </c>
      <c r="H7" s="22">
        <f t="shared" si="1"/>
        <v>0</v>
      </c>
      <c r="I7" s="22">
        <f t="shared" si="1"/>
        <v>0</v>
      </c>
      <c r="J7" s="22">
        <f t="shared" si="1"/>
        <v>0</v>
      </c>
      <c r="K7" s="22">
        <f t="shared" si="1"/>
        <v>0</v>
      </c>
      <c r="L7" s="22">
        <f t="shared" ref="L7:P7" si="2">L5-L6</f>
        <v>10423</v>
      </c>
      <c r="M7" s="22">
        <f t="shared" si="2"/>
        <v>13898</v>
      </c>
      <c r="N7" s="232">
        <f t="shared" si="2"/>
        <v>-1416</v>
      </c>
      <c r="O7" s="22">
        <f t="shared" si="2"/>
        <v>5613</v>
      </c>
      <c r="P7" s="22">
        <f t="shared" si="2"/>
        <v>14873</v>
      </c>
      <c r="Q7" s="22">
        <f t="shared" si="1"/>
        <v>107504</v>
      </c>
      <c r="R7" s="16"/>
      <c r="S7" s="16"/>
      <c r="T7" s="22">
        <f t="shared" ref="T7:Y7" si="3">T5-T6</f>
        <v>3348</v>
      </c>
      <c r="U7" s="22">
        <f t="shared" si="3"/>
        <v>2963</v>
      </c>
      <c r="V7" s="22">
        <f t="shared" si="3"/>
        <v>3508</v>
      </c>
      <c r="W7" s="22">
        <f t="shared" si="3"/>
        <v>5054</v>
      </c>
      <c r="X7" s="22">
        <f t="shared" si="3"/>
        <v>7646</v>
      </c>
      <c r="Y7" s="22">
        <f t="shared" si="3"/>
        <v>17755</v>
      </c>
      <c r="Z7" s="22">
        <f t="shared" ref="Z7:AA7" si="4">Z5-Z6</f>
        <v>35056</v>
      </c>
      <c r="AA7" s="22">
        <f t="shared" si="4"/>
        <v>47047</v>
      </c>
      <c r="AB7" s="16"/>
      <c r="AC7" s="22">
        <f t="shared" si="0"/>
        <v>107504</v>
      </c>
      <c r="AD7" s="16"/>
      <c r="AE7" s="16"/>
    </row>
    <row r="8" spans="1:31" x14ac:dyDescent="0.2">
      <c r="B8" s="20" t="s">
        <v>22</v>
      </c>
      <c r="C8" s="21"/>
      <c r="D8" s="21"/>
      <c r="E8" s="21"/>
      <c r="F8" s="21"/>
      <c r="G8" s="21"/>
      <c r="H8" s="21"/>
      <c r="I8" s="21"/>
      <c r="J8" s="21"/>
      <c r="K8" s="21"/>
      <c r="L8" s="21">
        <v>2663</v>
      </c>
      <c r="M8" s="21">
        <v>3116</v>
      </c>
      <c r="N8" s="21">
        <v>3114</v>
      </c>
      <c r="O8" s="21">
        <v>3430</v>
      </c>
      <c r="P8" s="21">
        <v>3798</v>
      </c>
      <c r="Q8" s="21">
        <v>5650</v>
      </c>
      <c r="T8" s="21">
        <v>888</v>
      </c>
      <c r="U8" s="21">
        <v>898</v>
      </c>
      <c r="V8" s="21">
        <v>965</v>
      </c>
      <c r="W8" s="21">
        <v>1047</v>
      </c>
      <c r="X8" s="21">
        <v>1171</v>
      </c>
      <c r="Y8" s="21">
        <v>1250</v>
      </c>
      <c r="Z8" s="21">
        <v>1316</v>
      </c>
      <c r="AA8" s="21">
        <v>1913</v>
      </c>
      <c r="AC8" s="21">
        <f t="shared" si="0"/>
        <v>5650</v>
      </c>
    </row>
    <row r="9" spans="1:31" x14ac:dyDescent="0.2">
      <c r="B9" s="20" t="s">
        <v>23</v>
      </c>
      <c r="C9" s="21"/>
      <c r="D9" s="21"/>
      <c r="E9" s="21"/>
      <c r="F9" s="21"/>
      <c r="G9" s="21"/>
      <c r="H9" s="21"/>
      <c r="I9" s="21"/>
      <c r="J9" s="21"/>
      <c r="K9" s="21"/>
      <c r="L9" s="21">
        <v>894</v>
      </c>
      <c r="M9" s="21">
        <v>1066</v>
      </c>
      <c r="N9" s="21">
        <v>920</v>
      </c>
      <c r="O9" s="21">
        <v>1129</v>
      </c>
      <c r="P9" s="21">
        <v>1205</v>
      </c>
      <c r="Q9" s="21">
        <v>1947</v>
      </c>
      <c r="T9" s="21">
        <v>288</v>
      </c>
      <c r="U9" s="21">
        <v>285</v>
      </c>
      <c r="V9" s="21">
        <v>318</v>
      </c>
      <c r="W9" s="21">
        <v>314</v>
      </c>
      <c r="X9" s="21">
        <v>337</v>
      </c>
      <c r="Y9" s="21">
        <v>344</v>
      </c>
      <c r="Z9" s="21">
        <v>407</v>
      </c>
      <c r="AA9" s="21">
        <v>859</v>
      </c>
      <c r="AC9" s="21">
        <f t="shared" si="0"/>
        <v>1947</v>
      </c>
    </row>
    <row r="10" spans="1:31" x14ac:dyDescent="0.2">
      <c r="B10" s="23" t="s">
        <v>27</v>
      </c>
      <c r="C10" s="21"/>
      <c r="D10" s="21"/>
      <c r="E10" s="21"/>
      <c r="F10" s="21"/>
      <c r="G10" s="21"/>
      <c r="H10" s="21"/>
      <c r="I10" s="21"/>
      <c r="J10" s="21"/>
      <c r="K10" s="21"/>
      <c r="L10" s="21">
        <f>488+95</f>
        <v>583</v>
      </c>
      <c r="M10" s="21">
        <f>48-34</f>
        <v>14</v>
      </c>
      <c r="N10" s="21">
        <f>171+124</f>
        <v>295</v>
      </c>
      <c r="O10" s="62">
        <v>-250</v>
      </c>
      <c r="P10" s="21">
        <v>100</v>
      </c>
      <c r="Q10" s="21">
        <v>567</v>
      </c>
      <c r="T10" s="62">
        <v>-2</v>
      </c>
      <c r="U10" s="21">
        <v>7</v>
      </c>
      <c r="V10" s="21">
        <v>56</v>
      </c>
      <c r="W10" s="21">
        <v>39</v>
      </c>
      <c r="X10" s="21">
        <v>2</v>
      </c>
      <c r="Y10" s="21">
        <v>26</v>
      </c>
      <c r="Z10" s="21">
        <v>15</v>
      </c>
      <c r="AA10" s="21">
        <v>524</v>
      </c>
      <c r="AC10" s="21">
        <f t="shared" si="0"/>
        <v>567</v>
      </c>
    </row>
    <row r="11" spans="1:31" x14ac:dyDescent="0.2">
      <c r="B11" s="23" t="s">
        <v>24</v>
      </c>
      <c r="C11" s="24">
        <f t="shared" ref="C11:Q11" si="5">SUM(C8:C10)</f>
        <v>0</v>
      </c>
      <c r="D11" s="24">
        <f t="shared" si="5"/>
        <v>0</v>
      </c>
      <c r="E11" s="24">
        <f t="shared" si="5"/>
        <v>0</v>
      </c>
      <c r="F11" s="24">
        <f t="shared" si="5"/>
        <v>0</v>
      </c>
      <c r="G11" s="24">
        <f t="shared" si="5"/>
        <v>0</v>
      </c>
      <c r="H11" s="24">
        <f t="shared" si="5"/>
        <v>0</v>
      </c>
      <c r="I11" s="24">
        <f t="shared" si="5"/>
        <v>0</v>
      </c>
      <c r="J11" s="24">
        <f t="shared" si="5"/>
        <v>0</v>
      </c>
      <c r="K11" s="24">
        <f t="shared" si="5"/>
        <v>0</v>
      </c>
      <c r="L11" s="24">
        <f t="shared" ref="L11:P11" si="6">SUM(L8:L10)</f>
        <v>4140</v>
      </c>
      <c r="M11" s="24">
        <f t="shared" si="6"/>
        <v>4196</v>
      </c>
      <c r="N11" s="24">
        <f t="shared" si="6"/>
        <v>4329</v>
      </c>
      <c r="O11" s="24">
        <f t="shared" si="6"/>
        <v>4309</v>
      </c>
      <c r="P11" s="24">
        <f t="shared" si="6"/>
        <v>5103</v>
      </c>
      <c r="Q11" s="24">
        <f t="shared" si="5"/>
        <v>8164</v>
      </c>
      <c r="T11" s="24">
        <f t="shared" ref="T11" si="7">SUM(T8:T10)</f>
        <v>1174</v>
      </c>
      <c r="U11" s="24">
        <f t="shared" ref="U11" si="8">SUM(U8:U10)</f>
        <v>1190</v>
      </c>
      <c r="V11" s="24">
        <f t="shared" ref="V11" si="9">SUM(V8:V10)</f>
        <v>1339</v>
      </c>
      <c r="W11" s="24">
        <f t="shared" ref="W11" si="10">SUM(W8:W10)</f>
        <v>1400</v>
      </c>
      <c r="X11" s="24">
        <f t="shared" ref="X11:Z11" si="11">SUM(X8:X10)</f>
        <v>1510</v>
      </c>
      <c r="Y11" s="24">
        <f t="shared" si="11"/>
        <v>1620</v>
      </c>
      <c r="Z11" s="24">
        <f t="shared" si="11"/>
        <v>1738</v>
      </c>
      <c r="AA11" s="24">
        <f t="shared" ref="AA11" si="12">SUM(AA8:AA10)</f>
        <v>3296</v>
      </c>
      <c r="AC11" s="24">
        <f t="shared" si="0"/>
        <v>8164</v>
      </c>
    </row>
    <row r="12" spans="1:31" s="19" customFormat="1" x14ac:dyDescent="0.2">
      <c r="A12" s="16"/>
      <c r="B12" s="17" t="s">
        <v>25</v>
      </c>
      <c r="C12" s="18"/>
      <c r="D12" s="18"/>
      <c r="E12" s="18"/>
      <c r="F12" s="18"/>
      <c r="G12" s="18"/>
      <c r="H12" s="18"/>
      <c r="I12" s="18"/>
      <c r="J12" s="18"/>
      <c r="K12" s="18"/>
      <c r="L12" s="61">
        <v>6283</v>
      </c>
      <c r="M12" s="61">
        <v>9702</v>
      </c>
      <c r="N12" s="61">
        <v>-5745</v>
      </c>
      <c r="O12" s="61">
        <v>1304</v>
      </c>
      <c r="P12" s="18">
        <v>9770</v>
      </c>
      <c r="Q12" s="18">
        <v>99340</v>
      </c>
      <c r="R12" s="16"/>
      <c r="S12" s="16"/>
      <c r="T12" s="61">
        <v>2174</v>
      </c>
      <c r="U12" s="18">
        <v>1773</v>
      </c>
      <c r="V12" s="61">
        <v>2169</v>
      </c>
      <c r="W12" s="61">
        <v>3654</v>
      </c>
      <c r="X12" s="18">
        <v>6136</v>
      </c>
      <c r="Y12" s="18">
        <v>16135</v>
      </c>
      <c r="Z12" s="18">
        <v>33318</v>
      </c>
      <c r="AA12" s="18">
        <v>43751</v>
      </c>
      <c r="AB12" s="1"/>
      <c r="AC12" s="18">
        <f t="shared" si="0"/>
        <v>99340</v>
      </c>
      <c r="AD12" s="1"/>
      <c r="AE12" s="1"/>
    </row>
    <row r="13" spans="1:31" x14ac:dyDescent="0.2">
      <c r="B13" s="23" t="s">
        <v>26</v>
      </c>
      <c r="C13" s="21"/>
      <c r="D13" s="21"/>
      <c r="E13" s="21"/>
      <c r="F13" s="21"/>
      <c r="G13" s="21"/>
      <c r="H13" s="21"/>
      <c r="I13" s="21"/>
      <c r="J13" s="21"/>
      <c r="K13" s="21"/>
      <c r="L13" s="62">
        <f>37-183</f>
        <v>-146</v>
      </c>
      <c r="M13" s="62">
        <f>96-189</f>
        <v>-93</v>
      </c>
      <c r="N13" s="62">
        <f>468-388</f>
        <v>80</v>
      </c>
      <c r="O13" s="62">
        <f>529-562</f>
        <v>-33</v>
      </c>
      <c r="P13" s="62">
        <f>496-477</f>
        <v>19</v>
      </c>
      <c r="Q13" s="62">
        <f>1084-106</f>
        <v>978</v>
      </c>
      <c r="T13" s="62">
        <f>107-118</f>
        <v>-11</v>
      </c>
      <c r="U13" s="62">
        <f>108-112</f>
        <v>-4</v>
      </c>
      <c r="V13" s="62">
        <f>135-123</f>
        <v>12</v>
      </c>
      <c r="W13" s="62">
        <f>146-124</f>
        <v>22</v>
      </c>
      <c r="X13" s="62">
        <f>139-74</f>
        <v>65</v>
      </c>
      <c r="Y13" s="62">
        <f>155-32</f>
        <v>123</v>
      </c>
      <c r="Z13" s="62">
        <v>215</v>
      </c>
      <c r="AA13" s="62">
        <v>575</v>
      </c>
      <c r="AC13" s="62">
        <f t="shared" si="0"/>
        <v>978</v>
      </c>
    </row>
    <row r="14" spans="1:31" x14ac:dyDescent="0.2">
      <c r="B14" s="23" t="s">
        <v>27</v>
      </c>
      <c r="C14" s="21"/>
      <c r="D14" s="21"/>
      <c r="E14" s="21"/>
      <c r="F14" s="21"/>
      <c r="G14" s="21"/>
      <c r="H14" s="21"/>
      <c r="I14" s="21"/>
      <c r="J14" s="21"/>
      <c r="K14" s="21"/>
      <c r="L14" s="62">
        <v>81</v>
      </c>
      <c r="M14" s="62">
        <v>-38</v>
      </c>
      <c r="N14" s="62">
        <v>7</v>
      </c>
      <c r="O14" s="62">
        <v>-31</v>
      </c>
      <c r="P14" s="62">
        <v>-135</v>
      </c>
      <c r="Q14" s="62">
        <v>-647</v>
      </c>
      <c r="T14" s="62">
        <v>-11</v>
      </c>
      <c r="U14" s="62">
        <v>-11</v>
      </c>
      <c r="V14" s="62">
        <v>-68</v>
      </c>
      <c r="W14" s="62">
        <v>-45</v>
      </c>
      <c r="X14" s="62">
        <v>-140</v>
      </c>
      <c r="Y14" s="62">
        <v>-98</v>
      </c>
      <c r="Z14" s="62">
        <v>-321</v>
      </c>
      <c r="AA14" s="62">
        <v>-88</v>
      </c>
      <c r="AC14" s="62">
        <f t="shared" si="0"/>
        <v>-647</v>
      </c>
    </row>
    <row r="15" spans="1:31" s="19" customFormat="1" x14ac:dyDescent="0.2">
      <c r="A15" s="16"/>
      <c r="B15" s="17" t="s">
        <v>28</v>
      </c>
      <c r="C15" s="18"/>
      <c r="D15" s="18"/>
      <c r="E15" s="18"/>
      <c r="F15" s="18"/>
      <c r="G15" s="18"/>
      <c r="H15" s="18"/>
      <c r="I15" s="18"/>
      <c r="J15" s="18"/>
      <c r="K15" s="18"/>
      <c r="L15" s="61">
        <v>6218</v>
      </c>
      <c r="M15" s="61">
        <v>9571</v>
      </c>
      <c r="N15" s="61">
        <v>-5658</v>
      </c>
      <c r="O15" s="61">
        <v>1240</v>
      </c>
      <c r="P15" s="18">
        <v>9654</v>
      </c>
      <c r="Q15" s="18">
        <v>99671</v>
      </c>
      <c r="R15" s="1"/>
      <c r="S15" s="1"/>
      <c r="T15" s="61">
        <v>2152</v>
      </c>
      <c r="U15" s="18">
        <v>1758</v>
      </c>
      <c r="V15" s="61">
        <v>2113</v>
      </c>
      <c r="W15" s="18">
        <v>3631</v>
      </c>
      <c r="X15" s="18">
        <v>6061</v>
      </c>
      <c r="Y15" s="18">
        <v>16160</v>
      </c>
      <c r="Z15" s="18">
        <v>33212</v>
      </c>
      <c r="AA15" s="18">
        <v>44238</v>
      </c>
      <c r="AB15" s="1"/>
      <c r="AC15" s="18">
        <f t="shared" si="0"/>
        <v>99671</v>
      </c>
      <c r="AD15" s="1"/>
      <c r="AE15" s="1"/>
    </row>
    <row r="16" spans="1:31" x14ac:dyDescent="0.2">
      <c r="B16" s="23" t="s">
        <v>29</v>
      </c>
      <c r="C16" s="21"/>
      <c r="D16" s="21"/>
      <c r="E16" s="21"/>
      <c r="F16" s="21"/>
      <c r="G16" s="21"/>
      <c r="H16" s="21"/>
      <c r="I16" s="21"/>
      <c r="J16" s="21"/>
      <c r="K16" s="21"/>
      <c r="L16" s="62">
        <v>-394</v>
      </c>
      <c r="M16" s="62">
        <v>-888</v>
      </c>
      <c r="N16" s="62">
        <v>-177</v>
      </c>
      <c r="O16" s="62">
        <v>-451</v>
      </c>
      <c r="P16" s="62">
        <v>-1124</v>
      </c>
      <c r="Q16" s="62">
        <v>-14761</v>
      </c>
      <c r="T16" s="62">
        <v>-283</v>
      </c>
      <c r="U16" s="62">
        <v>-177</v>
      </c>
      <c r="V16" s="62">
        <v>-235</v>
      </c>
      <c r="W16" s="62">
        <v>-429</v>
      </c>
      <c r="X16" s="62">
        <v>-829</v>
      </c>
      <c r="Y16" s="62">
        <v>-2371</v>
      </c>
      <c r="Z16" s="62">
        <v>-4978</v>
      </c>
      <c r="AA16" s="62">
        <v>-6583</v>
      </c>
      <c r="AC16" s="62">
        <f t="shared" si="0"/>
        <v>-14761</v>
      </c>
    </row>
    <row r="17" spans="1:31" x14ac:dyDescent="0.2">
      <c r="B17" s="23" t="s">
        <v>328</v>
      </c>
      <c r="C17" s="21"/>
      <c r="D17" s="21"/>
      <c r="E17" s="21"/>
      <c r="F17" s="21"/>
      <c r="G17" s="21"/>
      <c r="H17" s="21"/>
      <c r="I17" s="21"/>
      <c r="J17" s="21"/>
      <c r="K17" s="21"/>
      <c r="L17" s="62">
        <v>0</v>
      </c>
      <c r="M17" s="62">
        <v>0</v>
      </c>
      <c r="N17" s="62">
        <v>0</v>
      </c>
      <c r="O17" s="62">
        <v>0</v>
      </c>
      <c r="P17" s="62">
        <v>0</v>
      </c>
      <c r="Q17" s="62">
        <v>0</v>
      </c>
      <c r="T17" s="62">
        <v>0</v>
      </c>
      <c r="U17" s="62">
        <v>0</v>
      </c>
      <c r="V17" s="62">
        <v>0</v>
      </c>
      <c r="W17" s="62">
        <v>0</v>
      </c>
      <c r="X17" s="62">
        <v>0</v>
      </c>
      <c r="Y17" s="62">
        <v>0</v>
      </c>
      <c r="Z17" s="62">
        <v>0</v>
      </c>
      <c r="AA17" s="62">
        <v>0</v>
      </c>
      <c r="AC17" s="62">
        <f t="shared" si="0"/>
        <v>0</v>
      </c>
    </row>
    <row r="18" spans="1:31" s="19" customFormat="1" x14ac:dyDescent="0.2">
      <c r="A18" s="16"/>
      <c r="B18" s="17" t="s">
        <v>30</v>
      </c>
      <c r="C18" s="18"/>
      <c r="D18" s="18"/>
      <c r="E18" s="18"/>
      <c r="F18" s="18"/>
      <c r="G18" s="18"/>
      <c r="H18" s="18"/>
      <c r="I18" s="18"/>
      <c r="J18" s="18"/>
      <c r="K18" s="18"/>
      <c r="L18" s="61">
        <v>5861</v>
      </c>
      <c r="M18" s="61">
        <v>8687</v>
      </c>
      <c r="N18" s="61">
        <v>-5833</v>
      </c>
      <c r="O18" s="61">
        <v>778</v>
      </c>
      <c r="P18" s="61">
        <v>8539</v>
      </c>
      <c r="Q18" s="61">
        <v>84969</v>
      </c>
      <c r="R18" s="60"/>
      <c r="S18" s="60"/>
      <c r="T18" s="61">
        <v>1870</v>
      </c>
      <c r="U18" s="61">
        <v>1583</v>
      </c>
      <c r="V18" s="61">
        <v>1885</v>
      </c>
      <c r="W18" s="61">
        <v>3201</v>
      </c>
      <c r="X18" s="61">
        <v>5240</v>
      </c>
      <c r="Y18" s="61">
        <v>13785</v>
      </c>
      <c r="Z18" s="61">
        <v>28243</v>
      </c>
      <c r="AA18" s="61">
        <v>37701</v>
      </c>
      <c r="AB18" s="1"/>
      <c r="AC18" s="61">
        <f t="shared" si="0"/>
        <v>84969</v>
      </c>
      <c r="AD18" s="1"/>
      <c r="AE18" s="1"/>
    </row>
    <row r="19" spans="1:31" x14ac:dyDescent="0.2">
      <c r="B19" s="23" t="s">
        <v>31</v>
      </c>
      <c r="C19" s="21"/>
      <c r="D19" s="21"/>
      <c r="E19" s="21"/>
      <c r="F19" s="21"/>
      <c r="G19" s="21"/>
      <c r="H19" s="21"/>
      <c r="I19" s="21"/>
      <c r="J19" s="21"/>
      <c r="K19" s="21"/>
      <c r="L19" s="21">
        <v>1120</v>
      </c>
      <c r="M19" s="21">
        <v>1112</v>
      </c>
      <c r="N19" s="62">
        <v>1093</v>
      </c>
      <c r="O19" s="62">
        <v>1105</v>
      </c>
      <c r="P19" s="62">
        <v>1116</v>
      </c>
      <c r="Q19" s="62">
        <v>1127</v>
      </c>
      <c r="R19" s="60"/>
      <c r="S19" s="60"/>
      <c r="T19" s="62">
        <v>1111</v>
      </c>
      <c r="U19" s="62">
        <v>1115</v>
      </c>
      <c r="V19" s="62">
        <v>1118</v>
      </c>
      <c r="W19" s="62">
        <v>1120</v>
      </c>
      <c r="X19" s="62">
        <v>1125</v>
      </c>
      <c r="Y19" s="62">
        <v>1126</v>
      </c>
      <c r="Z19" s="62">
        <v>1128</v>
      </c>
      <c r="AA19" s="62">
        <v>1130</v>
      </c>
      <c r="AC19" s="62">
        <f>AVERAGE(X19:AA19)</f>
        <v>1127.25</v>
      </c>
    </row>
    <row r="20" spans="1:31" x14ac:dyDescent="0.2">
      <c r="B20" s="23" t="s">
        <v>32</v>
      </c>
      <c r="C20" s="25">
        <f t="shared" ref="C20:Q20" si="13">C19*C$85</f>
        <v>0</v>
      </c>
      <c r="D20" s="25">
        <f t="shared" si="13"/>
        <v>0</v>
      </c>
      <c r="E20" s="25">
        <f t="shared" si="13"/>
        <v>0</v>
      </c>
      <c r="F20" s="25">
        <f t="shared" si="13"/>
        <v>0</v>
      </c>
      <c r="G20" s="25">
        <f t="shared" si="13"/>
        <v>0</v>
      </c>
      <c r="H20" s="25">
        <f t="shared" si="13"/>
        <v>0</v>
      </c>
      <c r="I20" s="25">
        <f t="shared" si="13"/>
        <v>0</v>
      </c>
      <c r="J20" s="25">
        <f t="shared" si="13"/>
        <v>0</v>
      </c>
      <c r="K20" s="25">
        <f t="shared" si="13"/>
        <v>0</v>
      </c>
      <c r="L20" s="25">
        <f t="shared" ref="L20:P20" si="14">L19*L$85</f>
        <v>1120</v>
      </c>
      <c r="M20" s="25">
        <f t="shared" si="14"/>
        <v>1112</v>
      </c>
      <c r="N20" s="25">
        <f t="shared" si="14"/>
        <v>1093</v>
      </c>
      <c r="O20" s="25">
        <f t="shared" si="14"/>
        <v>1105</v>
      </c>
      <c r="P20" s="25">
        <f t="shared" si="14"/>
        <v>1116</v>
      </c>
      <c r="Q20" s="25">
        <f t="shared" si="13"/>
        <v>1127</v>
      </c>
      <c r="T20" s="25">
        <f t="shared" ref="T20:Z20" si="15">T19*T$85</f>
        <v>1111</v>
      </c>
      <c r="U20" s="25">
        <f t="shared" si="15"/>
        <v>1115</v>
      </c>
      <c r="V20" s="25">
        <f t="shared" si="15"/>
        <v>1118</v>
      </c>
      <c r="W20" s="25">
        <f t="shared" si="15"/>
        <v>1120</v>
      </c>
      <c r="X20" s="25">
        <f t="shared" si="15"/>
        <v>1125</v>
      </c>
      <c r="Y20" s="25">
        <f t="shared" si="15"/>
        <v>1126</v>
      </c>
      <c r="Z20" s="25">
        <f t="shared" si="15"/>
        <v>1128</v>
      </c>
      <c r="AA20" s="25">
        <f t="shared" ref="AA20" si="16">AA19*AA$85</f>
        <v>1130</v>
      </c>
      <c r="AC20" s="25">
        <f>AC19*AC$85</f>
        <v>1127.25</v>
      </c>
    </row>
    <row r="21" spans="1:31" x14ac:dyDescent="0.2">
      <c r="B21" s="23" t="s">
        <v>33</v>
      </c>
      <c r="C21" s="21"/>
      <c r="D21" s="21"/>
      <c r="E21" s="21"/>
      <c r="F21" s="21"/>
      <c r="G21" s="21"/>
      <c r="H21" s="21"/>
      <c r="I21" s="21"/>
      <c r="J21" s="21"/>
      <c r="K21" s="21"/>
      <c r="L21" s="21">
        <v>1141</v>
      </c>
      <c r="M21" s="21">
        <v>1122</v>
      </c>
      <c r="N21" s="62">
        <v>1093</v>
      </c>
      <c r="O21" s="62">
        <v>1118</v>
      </c>
      <c r="P21" s="62">
        <v>1125</v>
      </c>
      <c r="Q21" s="62">
        <v>1143</v>
      </c>
      <c r="T21" s="62">
        <v>1122</v>
      </c>
      <c r="U21" s="62">
        <v>1123</v>
      </c>
      <c r="V21" s="62">
        <v>1125</v>
      </c>
      <c r="W21" s="62">
        <v>1131</v>
      </c>
      <c r="X21" s="62">
        <v>1138</v>
      </c>
      <c r="Y21" s="62">
        <v>1142</v>
      </c>
      <c r="Z21" s="62">
        <v>1145</v>
      </c>
      <c r="AA21" s="62">
        <v>1147</v>
      </c>
      <c r="AC21" s="62">
        <f>AVERAGE(X21:AA21)</f>
        <v>1143</v>
      </c>
    </row>
    <row r="22" spans="1:31" x14ac:dyDescent="0.2">
      <c r="B22" s="23" t="s">
        <v>34</v>
      </c>
      <c r="C22" s="25">
        <f t="shared" ref="C22:Q22" si="17">C21*C$85</f>
        <v>0</v>
      </c>
      <c r="D22" s="25">
        <f t="shared" si="17"/>
        <v>0</v>
      </c>
      <c r="E22" s="25">
        <f t="shared" si="17"/>
        <v>0</v>
      </c>
      <c r="F22" s="25">
        <f t="shared" si="17"/>
        <v>0</v>
      </c>
      <c r="G22" s="25">
        <f t="shared" si="17"/>
        <v>0</v>
      </c>
      <c r="H22" s="25">
        <f t="shared" si="17"/>
        <v>0</v>
      </c>
      <c r="I22" s="25">
        <f t="shared" si="17"/>
        <v>0</v>
      </c>
      <c r="J22" s="25">
        <f t="shared" si="17"/>
        <v>0</v>
      </c>
      <c r="K22" s="25">
        <f t="shared" si="17"/>
        <v>0</v>
      </c>
      <c r="L22" s="25">
        <f t="shared" ref="L22:P22" si="18">L21*L$85</f>
        <v>1141</v>
      </c>
      <c r="M22" s="25">
        <f t="shared" si="18"/>
        <v>1122</v>
      </c>
      <c r="N22" s="25">
        <f t="shared" si="18"/>
        <v>1093</v>
      </c>
      <c r="O22" s="25">
        <f t="shared" si="18"/>
        <v>1118</v>
      </c>
      <c r="P22" s="25">
        <f t="shared" si="18"/>
        <v>1125</v>
      </c>
      <c r="Q22" s="25">
        <f t="shared" si="17"/>
        <v>1143</v>
      </c>
      <c r="T22" s="25">
        <f t="shared" ref="T22:Z22" si="19">T21*T$85</f>
        <v>1122</v>
      </c>
      <c r="U22" s="25">
        <f t="shared" si="19"/>
        <v>1123</v>
      </c>
      <c r="V22" s="25">
        <f t="shared" si="19"/>
        <v>1125</v>
      </c>
      <c r="W22" s="25">
        <f t="shared" si="19"/>
        <v>1131</v>
      </c>
      <c r="X22" s="25">
        <f t="shared" si="19"/>
        <v>1138</v>
      </c>
      <c r="Y22" s="25">
        <f t="shared" si="19"/>
        <v>1142</v>
      </c>
      <c r="Z22" s="25">
        <f t="shared" si="19"/>
        <v>1145</v>
      </c>
      <c r="AA22" s="25">
        <f t="shared" ref="AA22" si="20">AA21*AA$85</f>
        <v>1147</v>
      </c>
      <c r="AC22" s="25">
        <f>AC21*AC$85</f>
        <v>1143</v>
      </c>
    </row>
    <row r="23" spans="1:31" x14ac:dyDescent="0.2">
      <c r="B23" s="23" t="s">
        <v>35</v>
      </c>
      <c r="C23" s="26"/>
      <c r="D23" s="26"/>
      <c r="E23" s="26"/>
      <c r="F23" s="26"/>
      <c r="G23" s="26"/>
      <c r="H23" s="26"/>
      <c r="I23" s="26"/>
      <c r="J23" s="26"/>
      <c r="K23" s="26"/>
      <c r="L23" s="63">
        <v>5.23</v>
      </c>
      <c r="M23" s="63">
        <v>7.81</v>
      </c>
      <c r="N23" s="63">
        <v>-5.34</v>
      </c>
      <c r="O23" s="63">
        <v>0.7</v>
      </c>
      <c r="P23" s="26">
        <v>7.65</v>
      </c>
      <c r="Q23" s="26">
        <v>75.38</v>
      </c>
      <c r="T23" s="63">
        <v>1.68</v>
      </c>
      <c r="U23" s="26">
        <v>1.42</v>
      </c>
      <c r="V23" s="63">
        <v>1.69</v>
      </c>
      <c r="W23" s="26">
        <v>2.86</v>
      </c>
      <c r="X23" s="26">
        <v>4.66</v>
      </c>
      <c r="Y23" s="26">
        <v>12.25</v>
      </c>
      <c r="Z23" s="26">
        <v>25.03</v>
      </c>
      <c r="AA23" s="26">
        <v>33.36</v>
      </c>
      <c r="AC23" s="26">
        <f>SUM(X23:AA23)</f>
        <v>75.3</v>
      </c>
    </row>
    <row r="24" spans="1:31" x14ac:dyDescent="0.2">
      <c r="B24" s="23" t="s">
        <v>36</v>
      </c>
      <c r="C24" s="27"/>
      <c r="D24" s="27"/>
      <c r="E24" s="27"/>
      <c r="F24" s="27"/>
      <c r="G24" s="27"/>
      <c r="H24" s="27"/>
      <c r="I24" s="27"/>
      <c r="J24" s="27"/>
      <c r="K24" s="27"/>
      <c r="L24" s="65">
        <f t="shared" ref="L24:Q24" si="21">L23/L$85</f>
        <v>5.23</v>
      </c>
      <c r="M24" s="65">
        <f t="shared" si="21"/>
        <v>7.81</v>
      </c>
      <c r="N24" s="65">
        <f t="shared" si="21"/>
        <v>-5.34</v>
      </c>
      <c r="O24" s="65">
        <f t="shared" si="21"/>
        <v>0.7</v>
      </c>
      <c r="P24" s="65">
        <f t="shared" si="21"/>
        <v>7.65</v>
      </c>
      <c r="Q24" s="65">
        <f t="shared" si="21"/>
        <v>75.38</v>
      </c>
      <c r="T24" s="65">
        <f t="shared" ref="T24:Z24" si="22">T23/T$85</f>
        <v>1.68</v>
      </c>
      <c r="U24" s="65">
        <f t="shared" si="22"/>
        <v>1.42</v>
      </c>
      <c r="V24" s="65">
        <f t="shared" si="22"/>
        <v>1.69</v>
      </c>
      <c r="W24" s="65">
        <f t="shared" si="22"/>
        <v>2.86</v>
      </c>
      <c r="X24" s="65">
        <f t="shared" si="22"/>
        <v>4.66</v>
      </c>
      <c r="Y24" s="65">
        <f t="shared" si="22"/>
        <v>12.25</v>
      </c>
      <c r="Z24" s="65">
        <f t="shared" si="22"/>
        <v>25.03</v>
      </c>
      <c r="AA24" s="65">
        <f t="shared" ref="AA24" si="23">AA23/AA$85</f>
        <v>33.36</v>
      </c>
      <c r="AC24" s="65">
        <f>AC23/AC$85</f>
        <v>75.3</v>
      </c>
    </row>
    <row r="25" spans="1:31" x14ac:dyDescent="0.2">
      <c r="B25" s="23" t="s">
        <v>37</v>
      </c>
      <c r="C25" s="26"/>
      <c r="D25" s="26"/>
      <c r="E25" s="26"/>
      <c r="F25" s="26"/>
      <c r="G25" s="26"/>
      <c r="H25" s="26"/>
      <c r="I25" s="26"/>
      <c r="J25" s="26"/>
      <c r="K25" s="26"/>
      <c r="L25" s="63">
        <v>5.14</v>
      </c>
      <c r="M25" s="63">
        <v>7.75</v>
      </c>
      <c r="N25" s="63">
        <v>-5.34</v>
      </c>
      <c r="O25" s="63">
        <v>0.7</v>
      </c>
      <c r="P25" s="26">
        <v>7.59</v>
      </c>
      <c r="Q25" s="26">
        <v>74.33</v>
      </c>
      <c r="T25" s="63">
        <v>1.67</v>
      </c>
      <c r="U25" s="26">
        <v>1.41</v>
      </c>
      <c r="V25" s="63">
        <v>1.68</v>
      </c>
      <c r="W25" s="26">
        <v>2.83</v>
      </c>
      <c r="X25" s="26">
        <v>4.5999999999999996</v>
      </c>
      <c r="Y25" s="26">
        <v>12.07</v>
      </c>
      <c r="Z25" s="26">
        <v>24.67</v>
      </c>
      <c r="AA25" s="26">
        <v>32.869999999999997</v>
      </c>
      <c r="AC25" s="26">
        <f>SUM(X25:AA25)</f>
        <v>74.210000000000008</v>
      </c>
    </row>
    <row r="26" spans="1:31" s="30" customFormat="1" ht="17" thickBot="1" x14ac:dyDescent="0.25">
      <c r="A26" s="1"/>
      <c r="B26" s="28" t="s">
        <v>38</v>
      </c>
      <c r="C26" s="29"/>
      <c r="D26" s="29"/>
      <c r="E26" s="29"/>
      <c r="F26" s="29"/>
      <c r="G26" s="29"/>
      <c r="H26" s="29"/>
      <c r="I26" s="29"/>
      <c r="J26" s="29"/>
      <c r="K26" s="29"/>
      <c r="L26" s="66">
        <f t="shared" ref="L26:Q26" si="24">L25/L$85</f>
        <v>5.14</v>
      </c>
      <c r="M26" s="66">
        <f t="shared" si="24"/>
        <v>7.75</v>
      </c>
      <c r="N26" s="66">
        <f t="shared" si="24"/>
        <v>-5.34</v>
      </c>
      <c r="O26" s="66">
        <f t="shared" si="24"/>
        <v>0.7</v>
      </c>
      <c r="P26" s="66">
        <f t="shared" si="24"/>
        <v>7.59</v>
      </c>
      <c r="Q26" s="66">
        <f t="shared" si="24"/>
        <v>74.33</v>
      </c>
      <c r="R26" s="1"/>
      <c r="S26" s="1"/>
      <c r="T26" s="66">
        <f t="shared" ref="T26:Z26" si="25">T25/T$85</f>
        <v>1.67</v>
      </c>
      <c r="U26" s="66">
        <f t="shared" si="25"/>
        <v>1.41</v>
      </c>
      <c r="V26" s="66">
        <f t="shared" si="25"/>
        <v>1.68</v>
      </c>
      <c r="W26" s="66">
        <f t="shared" si="25"/>
        <v>2.83</v>
      </c>
      <c r="X26" s="66">
        <f t="shared" si="25"/>
        <v>4.5999999999999996</v>
      </c>
      <c r="Y26" s="66">
        <f t="shared" si="25"/>
        <v>12.07</v>
      </c>
      <c r="Z26" s="66">
        <f t="shared" si="25"/>
        <v>24.67</v>
      </c>
      <c r="AA26" s="66">
        <f t="shared" ref="AA26" si="26">AA25/AA$85</f>
        <v>32.869999999999997</v>
      </c>
      <c r="AB26" s="1"/>
      <c r="AC26" s="66">
        <f>AC25/AC$85</f>
        <v>74.210000000000008</v>
      </c>
      <c r="AD26" s="1"/>
      <c r="AE26" s="1"/>
    </row>
    <row r="27" spans="1:31" s="30" customFormat="1" ht="17" thickBot="1" x14ac:dyDescent="0.25">
      <c r="A27" s="1"/>
      <c r="B27" s="31"/>
      <c r="J27" s="31"/>
      <c r="K27" s="31"/>
      <c r="L27" s="31"/>
      <c r="M27" s="31"/>
      <c r="N27" s="31"/>
      <c r="O27" s="31"/>
      <c r="R27" s="1"/>
      <c r="S27" s="1"/>
      <c r="AB27" s="1"/>
      <c r="AD27" s="1"/>
      <c r="AE27" s="1"/>
    </row>
    <row r="28" spans="1:31" s="15" customFormat="1" ht="17" thickBot="1" x14ac:dyDescent="0.25">
      <c r="A28" s="11"/>
      <c r="B28" s="14" t="s">
        <v>39</v>
      </c>
      <c r="R28" s="1"/>
      <c r="S28" s="1"/>
      <c r="AB28" s="1"/>
      <c r="AD28" s="1"/>
      <c r="AE28" s="1"/>
    </row>
    <row r="29" spans="1:31" x14ac:dyDescent="0.2">
      <c r="B29" s="20" t="s">
        <v>40</v>
      </c>
      <c r="C29" s="21"/>
      <c r="D29" s="21"/>
      <c r="E29" s="21"/>
      <c r="F29" s="21"/>
      <c r="G29" s="21"/>
      <c r="H29" s="21"/>
      <c r="I29" s="21"/>
      <c r="J29" s="21"/>
      <c r="K29" s="21"/>
      <c r="L29" s="21">
        <f>7763+870</f>
        <v>8633</v>
      </c>
      <c r="M29" s="21">
        <f>8262+1069</f>
        <v>9331</v>
      </c>
      <c r="N29" s="21">
        <f>8577+1017</f>
        <v>9594</v>
      </c>
      <c r="O29" s="21">
        <f>7041+1065</f>
        <v>8106</v>
      </c>
      <c r="P29" s="21">
        <f>9642+665</f>
        <v>10307</v>
      </c>
      <c r="Q29" s="21">
        <f>38364+5070</f>
        <v>43434</v>
      </c>
      <c r="T29" s="21">
        <f>6693+895</f>
        <v>7588</v>
      </c>
      <c r="U29" s="21">
        <f>7552+663</f>
        <v>8215</v>
      </c>
      <c r="V29" s="21">
        <f>10163+648</f>
        <v>10811</v>
      </c>
      <c r="W29" s="21">
        <f>9642+665</f>
        <v>10307</v>
      </c>
      <c r="X29" s="21">
        <f>9731+587</f>
        <v>10318</v>
      </c>
      <c r="Y29" s="21">
        <f>13908+681</f>
        <v>14589</v>
      </c>
      <c r="Z29" s="21">
        <f>24995+1027</f>
        <v>26022</v>
      </c>
      <c r="AA29" s="21">
        <f>38364+5070</f>
        <v>43434</v>
      </c>
      <c r="AC29" s="21">
        <f>AA29</f>
        <v>43434</v>
      </c>
    </row>
    <row r="30" spans="1:31" x14ac:dyDescent="0.2">
      <c r="B30" s="20" t="s">
        <v>41</v>
      </c>
      <c r="C30" s="21"/>
      <c r="D30" s="21"/>
      <c r="E30" s="21"/>
      <c r="F30" s="21"/>
      <c r="G30" s="21"/>
      <c r="H30" s="21"/>
      <c r="I30" s="21"/>
      <c r="J30" s="21"/>
      <c r="K30" s="21"/>
      <c r="L30" s="21">
        <v>5311</v>
      </c>
      <c r="M30" s="21">
        <v>5130</v>
      </c>
      <c r="N30" s="21">
        <v>2443</v>
      </c>
      <c r="O30" s="21">
        <v>6615</v>
      </c>
      <c r="P30" s="21">
        <v>9265</v>
      </c>
      <c r="Q30" s="21">
        <v>36197</v>
      </c>
      <c r="T30" s="21">
        <v>7423</v>
      </c>
      <c r="U30" s="21">
        <v>6504</v>
      </c>
      <c r="V30" s="21">
        <v>7436</v>
      </c>
      <c r="W30" s="21">
        <v>9265</v>
      </c>
      <c r="X30" s="21">
        <v>10184</v>
      </c>
      <c r="Y30" s="21">
        <v>17314</v>
      </c>
      <c r="Z30" s="21">
        <v>31025</v>
      </c>
      <c r="AA30" s="21">
        <v>36197</v>
      </c>
      <c r="AC30" s="21">
        <f t="shared" ref="AC30:AC50" si="27">AA30</f>
        <v>36197</v>
      </c>
    </row>
    <row r="31" spans="1:31" x14ac:dyDescent="0.2">
      <c r="B31" s="20" t="s">
        <v>135</v>
      </c>
      <c r="C31" s="21"/>
      <c r="D31" s="21"/>
      <c r="E31" s="21"/>
      <c r="F31" s="21"/>
      <c r="G31" s="21"/>
      <c r="H31" s="21"/>
      <c r="I31" s="21"/>
      <c r="J31" s="21"/>
      <c r="K31" s="21"/>
      <c r="L31" s="21">
        <v>4487</v>
      </c>
      <c r="M31" s="21">
        <v>6663</v>
      </c>
      <c r="N31" s="21">
        <v>8387</v>
      </c>
      <c r="O31" s="21">
        <v>8875</v>
      </c>
      <c r="P31" s="21">
        <v>8355</v>
      </c>
      <c r="Q31" s="21">
        <v>10372</v>
      </c>
      <c r="T31" s="21">
        <v>8705</v>
      </c>
      <c r="U31" s="21">
        <v>9007</v>
      </c>
      <c r="V31" s="21">
        <v>8727</v>
      </c>
      <c r="W31" s="21">
        <v>8355</v>
      </c>
      <c r="X31" s="21">
        <v>8205</v>
      </c>
      <c r="Y31" s="21">
        <v>8267</v>
      </c>
      <c r="Z31" s="21">
        <v>8567</v>
      </c>
      <c r="AA31" s="21">
        <v>10372</v>
      </c>
      <c r="AC31" s="21">
        <f>AA31</f>
        <v>10372</v>
      </c>
    </row>
    <row r="32" spans="1:31" s="34" customFormat="1" x14ac:dyDescent="0.2">
      <c r="A32" s="16"/>
      <c r="B32" s="32" t="s">
        <v>42</v>
      </c>
      <c r="C32" s="33"/>
      <c r="D32" s="33"/>
      <c r="E32" s="33"/>
      <c r="F32" s="33"/>
      <c r="G32" s="33"/>
      <c r="H32" s="33"/>
      <c r="I32" s="33"/>
      <c r="J32" s="33"/>
      <c r="K32" s="33"/>
      <c r="L32" s="33">
        <v>19907</v>
      </c>
      <c r="M32" s="33">
        <v>21781</v>
      </c>
      <c r="N32" s="33">
        <v>21244</v>
      </c>
      <c r="O32" s="33">
        <v>24372</v>
      </c>
      <c r="P32" s="33">
        <v>28841</v>
      </c>
      <c r="Q32" s="33">
        <v>91070</v>
      </c>
      <c r="R32" s="1"/>
      <c r="S32" s="1"/>
      <c r="T32" s="33">
        <v>24493</v>
      </c>
      <c r="U32" s="33">
        <v>24689</v>
      </c>
      <c r="V32" s="33">
        <v>27919</v>
      </c>
      <c r="W32" s="33">
        <v>28841</v>
      </c>
      <c r="X32" s="33">
        <v>29665</v>
      </c>
      <c r="Y32" s="33">
        <v>41413</v>
      </c>
      <c r="Z32" s="33">
        <v>66737</v>
      </c>
      <c r="AA32" s="33">
        <v>91070</v>
      </c>
      <c r="AB32" s="1"/>
      <c r="AC32" s="33">
        <f t="shared" si="27"/>
        <v>91070</v>
      </c>
      <c r="AD32" s="1"/>
      <c r="AE32" s="1"/>
    </row>
    <row r="33" spans="1:31" x14ac:dyDescent="0.2">
      <c r="B33" s="20" t="s">
        <v>43</v>
      </c>
      <c r="C33" s="21"/>
      <c r="D33" s="21"/>
      <c r="E33" s="21"/>
      <c r="F33" s="21"/>
      <c r="G33" s="21"/>
      <c r="H33" s="21"/>
      <c r="I33" s="21"/>
      <c r="J33" s="21"/>
      <c r="K33" s="21"/>
      <c r="L33" s="21">
        <v>33213</v>
      </c>
      <c r="M33" s="21">
        <v>38549</v>
      </c>
      <c r="N33" s="21">
        <v>37928</v>
      </c>
      <c r="O33" s="21">
        <v>39749</v>
      </c>
      <c r="P33" s="21">
        <v>46590</v>
      </c>
      <c r="Q33" s="21">
        <v>63310</v>
      </c>
      <c r="T33" s="21">
        <v>41476</v>
      </c>
      <c r="U33" s="21">
        <v>42528</v>
      </c>
      <c r="V33" s="21">
        <v>44773</v>
      </c>
      <c r="W33" s="21">
        <v>46590</v>
      </c>
      <c r="X33" s="21">
        <v>48477</v>
      </c>
      <c r="Y33" s="21">
        <v>51408</v>
      </c>
      <c r="Z33" s="21">
        <v>56426</v>
      </c>
      <c r="AA33" s="21">
        <v>63310</v>
      </c>
      <c r="AC33" s="21">
        <f t="shared" si="27"/>
        <v>63310</v>
      </c>
    </row>
    <row r="34" spans="1:31" x14ac:dyDescent="0.2">
      <c r="B34" s="20" t="s">
        <v>352</v>
      </c>
      <c r="C34" s="21"/>
      <c r="D34" s="21"/>
      <c r="E34" s="21"/>
      <c r="F34" s="21"/>
      <c r="G34" s="21"/>
      <c r="H34" s="21"/>
      <c r="I34" s="21"/>
      <c r="J34" s="21"/>
      <c r="K34" s="21"/>
      <c r="L34" s="21">
        <v>1765</v>
      </c>
      <c r="M34" s="21">
        <v>1647</v>
      </c>
      <c r="N34" s="21">
        <v>844</v>
      </c>
      <c r="O34" s="21">
        <v>1046</v>
      </c>
      <c r="P34" s="21">
        <v>1629</v>
      </c>
      <c r="Q34" s="21">
        <v>30019</v>
      </c>
      <c r="T34" s="21">
        <v>1156</v>
      </c>
      <c r="U34" s="21">
        <v>1375</v>
      </c>
      <c r="V34" s="21">
        <v>1402</v>
      </c>
      <c r="W34" s="21">
        <v>1629</v>
      </c>
      <c r="X34" s="21">
        <v>1697</v>
      </c>
      <c r="Y34" s="21">
        <v>2038</v>
      </c>
      <c r="Z34" s="21">
        <v>4106</v>
      </c>
      <c r="AA34" s="21">
        <v>30019</v>
      </c>
      <c r="AC34" s="21">
        <f t="shared" si="27"/>
        <v>30019</v>
      </c>
    </row>
    <row r="35" spans="1:31" x14ac:dyDescent="0.2">
      <c r="B35" s="20" t="s">
        <v>44</v>
      </c>
      <c r="C35" s="21"/>
      <c r="D35" s="21"/>
      <c r="E35" s="21"/>
      <c r="F35" s="21"/>
      <c r="G35" s="21"/>
      <c r="H35" s="21"/>
      <c r="I35" s="21"/>
      <c r="J35" s="21"/>
      <c r="K35" s="21"/>
      <c r="L35" s="21">
        <v>1228</v>
      </c>
      <c r="M35" s="21">
        <v>1228</v>
      </c>
      <c r="N35" s="21">
        <v>1150</v>
      </c>
      <c r="O35" s="21">
        <v>1150</v>
      </c>
      <c r="P35" s="21">
        <v>1150</v>
      </c>
      <c r="Q35" s="21">
        <v>1150</v>
      </c>
      <c r="T35" s="21">
        <v>1150</v>
      </c>
      <c r="U35" s="21">
        <v>1150</v>
      </c>
      <c r="V35" s="21">
        <v>1150</v>
      </c>
      <c r="W35" s="21">
        <v>1150</v>
      </c>
      <c r="X35" s="21">
        <v>1150</v>
      </c>
      <c r="Y35" s="21">
        <v>1150</v>
      </c>
      <c r="Z35" s="21">
        <v>1150</v>
      </c>
      <c r="AA35" s="21">
        <v>1150</v>
      </c>
      <c r="AC35" s="21">
        <f t="shared" si="27"/>
        <v>1150</v>
      </c>
    </row>
    <row r="36" spans="1:31" s="34" customFormat="1" x14ac:dyDescent="0.2">
      <c r="A36" s="16"/>
      <c r="B36" s="32" t="s">
        <v>45</v>
      </c>
      <c r="C36" s="35"/>
      <c r="D36" s="35"/>
      <c r="E36" s="35"/>
      <c r="F36" s="35"/>
      <c r="G36" s="35"/>
      <c r="H36" s="35"/>
      <c r="I36" s="35"/>
      <c r="J36" s="35"/>
      <c r="K36" s="35"/>
      <c r="L36" s="35">
        <f t="shared" ref="L36:N36" si="28">L37-L32</f>
        <v>38942</v>
      </c>
      <c r="M36" s="35">
        <f t="shared" si="28"/>
        <v>44502</v>
      </c>
      <c r="N36" s="35">
        <f t="shared" si="28"/>
        <v>43010</v>
      </c>
      <c r="O36" s="35">
        <f>O37-O32</f>
        <v>45044</v>
      </c>
      <c r="P36" s="35">
        <f>P37-P32</f>
        <v>53957</v>
      </c>
      <c r="Q36" s="35">
        <f>Q37-Q32</f>
        <v>104818</v>
      </c>
      <c r="R36" s="1"/>
      <c r="S36" s="1"/>
      <c r="T36" s="35">
        <f t="shared" ref="T36:Y36" si="29">T37-T32</f>
        <v>46968</v>
      </c>
      <c r="U36" s="35">
        <f t="shared" si="29"/>
        <v>48364</v>
      </c>
      <c r="V36" s="35">
        <f t="shared" si="29"/>
        <v>50478</v>
      </c>
      <c r="W36" s="35">
        <f t="shared" si="29"/>
        <v>53957</v>
      </c>
      <c r="X36" s="35">
        <f t="shared" si="29"/>
        <v>56306</v>
      </c>
      <c r="Y36" s="35">
        <f t="shared" si="29"/>
        <v>60096</v>
      </c>
      <c r="Z36" s="35">
        <f t="shared" ref="Z36:AA36" si="30">Z37-Z32</f>
        <v>67375</v>
      </c>
      <c r="AA36" s="35">
        <f t="shared" si="30"/>
        <v>104818</v>
      </c>
      <c r="AB36" s="1"/>
      <c r="AC36" s="35">
        <f t="shared" si="27"/>
        <v>104818</v>
      </c>
      <c r="AD36" s="1"/>
      <c r="AE36" s="1"/>
    </row>
    <row r="37" spans="1:31" s="19" customFormat="1" x14ac:dyDescent="0.2">
      <c r="A37" s="16"/>
      <c r="B37" s="17" t="s">
        <v>46</v>
      </c>
      <c r="C37" s="18"/>
      <c r="D37" s="18"/>
      <c r="E37" s="18"/>
      <c r="F37" s="18"/>
      <c r="G37" s="18"/>
      <c r="H37" s="18"/>
      <c r="I37" s="18"/>
      <c r="J37" s="18"/>
      <c r="K37" s="18"/>
      <c r="L37" s="18">
        <v>58849</v>
      </c>
      <c r="M37" s="18">
        <v>66283</v>
      </c>
      <c r="N37" s="18">
        <v>64254</v>
      </c>
      <c r="O37" s="18">
        <v>69416</v>
      </c>
      <c r="P37" s="18">
        <v>82798</v>
      </c>
      <c r="Q37" s="18">
        <v>195888</v>
      </c>
      <c r="R37" s="1"/>
      <c r="S37" s="1"/>
      <c r="T37" s="18">
        <v>71461</v>
      </c>
      <c r="U37" s="18">
        <v>73053</v>
      </c>
      <c r="V37" s="18">
        <v>78397</v>
      </c>
      <c r="W37" s="18">
        <v>82798</v>
      </c>
      <c r="X37" s="18">
        <v>85971</v>
      </c>
      <c r="Y37" s="18">
        <v>101509</v>
      </c>
      <c r="Z37" s="18">
        <v>134112</v>
      </c>
      <c r="AA37" s="18">
        <v>195888</v>
      </c>
      <c r="AB37" s="1"/>
      <c r="AC37" s="18">
        <f t="shared" si="27"/>
        <v>195888</v>
      </c>
      <c r="AD37" s="1"/>
      <c r="AE37" s="1"/>
    </row>
    <row r="38" spans="1:31" x14ac:dyDescent="0.2">
      <c r="B38" s="20" t="s">
        <v>47</v>
      </c>
      <c r="C38" s="21"/>
      <c r="D38" s="21"/>
      <c r="E38" s="21"/>
      <c r="F38" s="21"/>
      <c r="G38" s="21"/>
      <c r="H38" s="21"/>
      <c r="I38" s="21"/>
      <c r="J38" s="21"/>
      <c r="K38" s="21"/>
      <c r="L38" s="21">
        <v>5325</v>
      </c>
      <c r="M38" s="21">
        <v>6090</v>
      </c>
      <c r="N38" s="21">
        <v>3958</v>
      </c>
      <c r="O38" s="21">
        <v>7299</v>
      </c>
      <c r="P38" s="21">
        <v>9649</v>
      </c>
      <c r="Q38" s="21">
        <v>22605</v>
      </c>
      <c r="T38" s="21">
        <v>7126</v>
      </c>
      <c r="U38" s="21">
        <v>6176</v>
      </c>
      <c r="V38" s="21">
        <v>8761</v>
      </c>
      <c r="W38" s="21">
        <v>9649</v>
      </c>
      <c r="X38" s="21">
        <v>9769</v>
      </c>
      <c r="Y38" s="21">
        <v>10997</v>
      </c>
      <c r="Z38" s="21">
        <v>15521</v>
      </c>
      <c r="AA38" s="21">
        <v>22605</v>
      </c>
      <c r="AC38" s="21">
        <f t="shared" si="27"/>
        <v>22605</v>
      </c>
    </row>
    <row r="39" spans="1:31" x14ac:dyDescent="0.2">
      <c r="B39" s="20" t="s">
        <v>169</v>
      </c>
      <c r="C39" s="21"/>
      <c r="D39" s="21"/>
      <c r="E39" s="21"/>
      <c r="F39" s="21"/>
      <c r="G39" s="21"/>
      <c r="H39" s="21"/>
      <c r="I39" s="21"/>
      <c r="J39" s="21"/>
      <c r="K39" s="21"/>
      <c r="L39" s="21">
        <v>155</v>
      </c>
      <c r="M39" s="21">
        <v>103</v>
      </c>
      <c r="N39" s="21">
        <v>278</v>
      </c>
      <c r="O39" s="21">
        <v>431</v>
      </c>
      <c r="P39" s="21">
        <v>560</v>
      </c>
      <c r="Q39" s="21">
        <v>491</v>
      </c>
      <c r="T39" s="21">
        <v>533</v>
      </c>
      <c r="U39" s="21">
        <v>504</v>
      </c>
      <c r="V39" s="21">
        <v>538</v>
      </c>
      <c r="W39" s="21">
        <v>560</v>
      </c>
      <c r="X39" s="21">
        <v>569</v>
      </c>
      <c r="Y39" s="21">
        <v>585</v>
      </c>
      <c r="Z39" s="21">
        <v>582</v>
      </c>
      <c r="AA39" s="21">
        <v>491</v>
      </c>
      <c r="AC39" s="21">
        <f t="shared" si="27"/>
        <v>491</v>
      </c>
    </row>
    <row r="40" spans="1:31" s="34" customFormat="1" x14ac:dyDescent="0.2">
      <c r="A40" s="16"/>
      <c r="B40" s="32" t="s">
        <v>48</v>
      </c>
      <c r="C40" s="33"/>
      <c r="D40" s="33"/>
      <c r="E40" s="33"/>
      <c r="F40" s="33"/>
      <c r="G40" s="33"/>
      <c r="H40" s="33"/>
      <c r="I40" s="33"/>
      <c r="J40" s="33"/>
      <c r="K40" s="33"/>
      <c r="L40" s="33">
        <v>6424</v>
      </c>
      <c r="M40" s="33">
        <v>7539</v>
      </c>
      <c r="N40" s="33">
        <v>4765</v>
      </c>
      <c r="O40" s="33">
        <v>9248</v>
      </c>
      <c r="P40" s="33">
        <v>11454</v>
      </c>
      <c r="Q40" s="33">
        <v>27482</v>
      </c>
      <c r="R40" s="60"/>
      <c r="S40" s="60"/>
      <c r="T40" s="33">
        <v>9015</v>
      </c>
      <c r="U40" s="33">
        <v>7877</v>
      </c>
      <c r="V40" s="33">
        <v>10135</v>
      </c>
      <c r="W40" s="33">
        <v>11454</v>
      </c>
      <c r="X40" s="33">
        <v>12060</v>
      </c>
      <c r="Y40" s="33">
        <v>14296</v>
      </c>
      <c r="Z40" s="33">
        <v>19488</v>
      </c>
      <c r="AA40" s="33">
        <v>27482</v>
      </c>
      <c r="AB40" s="1"/>
      <c r="AC40" s="33">
        <f t="shared" si="27"/>
        <v>27482</v>
      </c>
      <c r="AD40" s="1"/>
      <c r="AE40" s="1"/>
    </row>
    <row r="41" spans="1:31" x14ac:dyDescent="0.2">
      <c r="B41" s="20" t="s">
        <v>169</v>
      </c>
      <c r="C41" s="21"/>
      <c r="D41" s="21"/>
      <c r="E41" s="21"/>
      <c r="F41" s="21"/>
      <c r="G41" s="21"/>
      <c r="H41" s="21"/>
      <c r="I41" s="21"/>
      <c r="J41" s="21"/>
      <c r="K41" s="21"/>
      <c r="L41" s="21">
        <v>6621</v>
      </c>
      <c r="M41" s="21">
        <v>6803</v>
      </c>
      <c r="N41" s="21">
        <v>13052</v>
      </c>
      <c r="O41" s="21">
        <v>12966</v>
      </c>
      <c r="P41" s="21">
        <v>14017</v>
      </c>
      <c r="Q41" s="21">
        <v>4688</v>
      </c>
      <c r="T41" s="21">
        <v>13252</v>
      </c>
      <c r="U41" s="21">
        <v>13851</v>
      </c>
      <c r="V41" s="21">
        <v>15003</v>
      </c>
      <c r="W41" s="21">
        <v>14017</v>
      </c>
      <c r="X41" s="21">
        <v>11187</v>
      </c>
      <c r="Y41" s="21">
        <v>9557</v>
      </c>
      <c r="Z41" s="21">
        <v>5140</v>
      </c>
      <c r="AA41" s="21">
        <v>4688</v>
      </c>
      <c r="AC41" s="21">
        <f t="shared" si="27"/>
        <v>4688</v>
      </c>
    </row>
    <row r="42" spans="1:31" s="34" customFormat="1" x14ac:dyDescent="0.2">
      <c r="A42" s="16"/>
      <c r="B42" s="32" t="s">
        <v>49</v>
      </c>
      <c r="C42" s="35"/>
      <c r="D42" s="35"/>
      <c r="E42" s="35"/>
      <c r="F42" s="35"/>
      <c r="G42" s="35"/>
      <c r="H42" s="35"/>
      <c r="I42" s="35"/>
      <c r="J42" s="35"/>
      <c r="K42" s="35"/>
      <c r="L42" s="35">
        <f t="shared" ref="L42:N42" si="31">L43-L40</f>
        <v>8492</v>
      </c>
      <c r="M42" s="35">
        <f t="shared" si="31"/>
        <v>8837</v>
      </c>
      <c r="N42" s="35">
        <f t="shared" si="31"/>
        <v>15369</v>
      </c>
      <c r="O42" s="35">
        <f>O43-O40</f>
        <v>15037</v>
      </c>
      <c r="P42" s="35">
        <f>P43-P40</f>
        <v>17179</v>
      </c>
      <c r="Q42" s="35">
        <f>Q43-Q40</f>
        <v>30028</v>
      </c>
      <c r="R42" s="1"/>
      <c r="S42" s="1"/>
      <c r="T42" s="35">
        <f t="shared" ref="T42:Y42" si="32">T43-T40</f>
        <v>15649</v>
      </c>
      <c r="U42" s="35">
        <f t="shared" si="32"/>
        <v>16543</v>
      </c>
      <c r="V42" s="35">
        <f t="shared" si="32"/>
        <v>17514</v>
      </c>
      <c r="W42" s="35">
        <f t="shared" si="32"/>
        <v>17179</v>
      </c>
      <c r="X42" s="35">
        <f t="shared" si="32"/>
        <v>15105</v>
      </c>
      <c r="Y42" s="35">
        <f t="shared" si="32"/>
        <v>14754</v>
      </c>
      <c r="Z42" s="35">
        <f t="shared" ref="Z42:AA42" si="33">Z43-Z40</f>
        <v>13900</v>
      </c>
      <c r="AA42" s="35">
        <f t="shared" si="33"/>
        <v>30028</v>
      </c>
      <c r="AB42" s="1"/>
      <c r="AC42" s="35">
        <f t="shared" si="27"/>
        <v>30028</v>
      </c>
      <c r="AD42" s="1"/>
      <c r="AE42" s="1"/>
    </row>
    <row r="43" spans="1:31" s="19" customFormat="1" x14ac:dyDescent="0.2">
      <c r="A43" s="16"/>
      <c r="B43" s="17" t="s">
        <v>50</v>
      </c>
      <c r="C43" s="18"/>
      <c r="D43" s="18"/>
      <c r="E43" s="18"/>
      <c r="F43" s="18"/>
      <c r="G43" s="18"/>
      <c r="H43" s="18"/>
      <c r="I43" s="18"/>
      <c r="J43" s="18"/>
      <c r="K43" s="18"/>
      <c r="L43" s="18">
        <v>14916</v>
      </c>
      <c r="M43" s="18">
        <v>16376</v>
      </c>
      <c r="N43" s="18">
        <v>20134</v>
      </c>
      <c r="O43" s="18">
        <v>24285</v>
      </c>
      <c r="P43" s="18">
        <v>28633</v>
      </c>
      <c r="Q43" s="18">
        <v>57510</v>
      </c>
      <c r="R43" s="1"/>
      <c r="S43" s="1"/>
      <c r="T43" s="18">
        <v>24664</v>
      </c>
      <c r="U43" s="18">
        <v>24420</v>
      </c>
      <c r="V43" s="18">
        <v>27649</v>
      </c>
      <c r="W43" s="18">
        <v>28633</v>
      </c>
      <c r="X43" s="18">
        <v>27165</v>
      </c>
      <c r="Y43" s="18">
        <v>29050</v>
      </c>
      <c r="Z43" s="18">
        <v>33388</v>
      </c>
      <c r="AA43" s="18">
        <v>57510</v>
      </c>
      <c r="AB43" s="1"/>
      <c r="AC43" s="18">
        <f t="shared" si="27"/>
        <v>57510</v>
      </c>
      <c r="AD43" s="1"/>
      <c r="AE43" s="1"/>
    </row>
    <row r="44" spans="1:31" x14ac:dyDescent="0.2">
      <c r="B44" s="20" t="s">
        <v>52</v>
      </c>
      <c r="C44" s="21"/>
      <c r="D44" s="21"/>
      <c r="E44" s="21"/>
      <c r="F44" s="21"/>
      <c r="G44" s="21"/>
      <c r="H44" s="21"/>
      <c r="I44" s="21"/>
      <c r="J44" s="21"/>
      <c r="K44" s="21"/>
      <c r="L44" s="62">
        <v>-4695</v>
      </c>
      <c r="M44" s="62">
        <v>-7127</v>
      </c>
      <c r="N44" s="62">
        <v>-7552</v>
      </c>
      <c r="O44" s="62">
        <v>-7852</v>
      </c>
      <c r="P44" s="62">
        <v>-7852</v>
      </c>
      <c r="Q44" s="62">
        <v>-8502</v>
      </c>
      <c r="T44" s="62">
        <v>-7852</v>
      </c>
      <c r="U44" s="62">
        <v>-7852</v>
      </c>
      <c r="V44" s="62">
        <v>-7852</v>
      </c>
      <c r="W44" s="62">
        <v>-7852</v>
      </c>
      <c r="X44" s="62">
        <v>-8152</v>
      </c>
      <c r="Y44" s="62">
        <v>-8502</v>
      </c>
      <c r="Z44" s="62">
        <v>-8502</v>
      </c>
      <c r="AA44" s="62">
        <v>-8502</v>
      </c>
      <c r="AC44" s="62">
        <f t="shared" si="27"/>
        <v>-8502</v>
      </c>
    </row>
    <row r="45" spans="1:31" x14ac:dyDescent="0.2">
      <c r="B45" s="20" t="s">
        <v>332</v>
      </c>
      <c r="C45" s="21"/>
      <c r="D45" s="21"/>
      <c r="E45" s="21"/>
      <c r="F45" s="21"/>
      <c r="G45" s="21"/>
      <c r="H45" s="21"/>
      <c r="I45" s="21"/>
      <c r="J45" s="21"/>
      <c r="K45" s="21"/>
      <c r="L45" s="62">
        <v>0</v>
      </c>
      <c r="M45" s="62">
        <v>0</v>
      </c>
      <c r="N45" s="62">
        <v>0</v>
      </c>
      <c r="O45" s="62">
        <v>0</v>
      </c>
      <c r="P45" s="62">
        <v>0</v>
      </c>
      <c r="Q45" s="62">
        <v>0</v>
      </c>
      <c r="T45" s="62">
        <v>0</v>
      </c>
      <c r="U45" s="62">
        <v>0</v>
      </c>
      <c r="V45" s="62">
        <v>0</v>
      </c>
      <c r="W45" s="62">
        <v>0</v>
      </c>
      <c r="X45" s="62">
        <v>0</v>
      </c>
      <c r="Y45" s="62">
        <v>0</v>
      </c>
      <c r="Z45" s="62">
        <v>0</v>
      </c>
      <c r="AA45" s="62">
        <v>0</v>
      </c>
      <c r="AC45" s="62">
        <f t="shared" si="27"/>
        <v>0</v>
      </c>
    </row>
    <row r="46" spans="1:31" x14ac:dyDescent="0.2">
      <c r="B46" s="20" t="s">
        <v>51</v>
      </c>
      <c r="C46" s="21"/>
      <c r="D46" s="21"/>
      <c r="E46" s="21"/>
      <c r="F46" s="21"/>
      <c r="G46" s="21"/>
      <c r="H46" s="21"/>
      <c r="I46" s="21"/>
      <c r="J46" s="21"/>
      <c r="K46" s="21"/>
      <c r="L46" s="21">
        <v>9453</v>
      </c>
      <c r="M46" s="21">
        <v>10197</v>
      </c>
      <c r="N46" s="21">
        <v>11036</v>
      </c>
      <c r="O46" s="62">
        <v>12115</v>
      </c>
      <c r="P46" s="62">
        <v>13339</v>
      </c>
      <c r="Q46" s="62">
        <v>14974</v>
      </c>
      <c r="T46" s="62">
        <v>12317</v>
      </c>
      <c r="U46" s="62">
        <v>12711</v>
      </c>
      <c r="V46" s="62">
        <v>12960</v>
      </c>
      <c r="W46" s="62">
        <v>13339</v>
      </c>
      <c r="X46" s="62">
        <v>13610</v>
      </c>
      <c r="Y46" s="62">
        <v>14092</v>
      </c>
      <c r="Z46" s="62">
        <v>14442</v>
      </c>
      <c r="AA46" s="62">
        <v>14974</v>
      </c>
      <c r="AC46" s="62">
        <f t="shared" si="27"/>
        <v>14974</v>
      </c>
    </row>
    <row r="47" spans="1:31" x14ac:dyDescent="0.2">
      <c r="B47" s="20" t="s">
        <v>333</v>
      </c>
      <c r="C47" s="21"/>
      <c r="D47" s="21"/>
      <c r="E47" s="21"/>
      <c r="F47" s="21"/>
      <c r="G47" s="21"/>
      <c r="H47" s="21"/>
      <c r="I47" s="21"/>
      <c r="J47" s="21"/>
      <c r="K47" s="21"/>
      <c r="L47" s="62">
        <v>39051</v>
      </c>
      <c r="M47" s="62">
        <v>47274</v>
      </c>
      <c r="N47" s="62">
        <v>40824</v>
      </c>
      <c r="O47" s="62">
        <v>40877</v>
      </c>
      <c r="P47" s="62">
        <v>48583</v>
      </c>
      <c r="Q47" s="62">
        <v>131851</v>
      </c>
      <c r="T47" s="62">
        <v>42427</v>
      </c>
      <c r="U47" s="62">
        <v>43839</v>
      </c>
      <c r="V47" s="62">
        <v>45559</v>
      </c>
      <c r="W47" s="62">
        <v>48583</v>
      </c>
      <c r="X47" s="62">
        <v>53344</v>
      </c>
      <c r="Y47" s="62">
        <v>66824</v>
      </c>
      <c r="Z47" s="62">
        <v>94682</v>
      </c>
      <c r="AA47" s="62">
        <v>131851</v>
      </c>
      <c r="AC47" s="62">
        <f t="shared" si="27"/>
        <v>131851</v>
      </c>
    </row>
    <row r="48" spans="1:31" x14ac:dyDescent="0.2">
      <c r="B48" s="20" t="s">
        <v>328</v>
      </c>
      <c r="C48" s="21"/>
      <c r="D48" s="21"/>
      <c r="E48" s="21"/>
      <c r="F48" s="21"/>
      <c r="G48" s="21"/>
      <c r="H48" s="21"/>
      <c r="I48" s="21"/>
      <c r="J48" s="21"/>
      <c r="K48" s="21"/>
      <c r="L48" s="62">
        <v>0</v>
      </c>
      <c r="M48" s="62">
        <v>0</v>
      </c>
      <c r="N48" s="62">
        <v>0</v>
      </c>
      <c r="O48" s="62">
        <v>0</v>
      </c>
      <c r="P48" s="62">
        <v>0</v>
      </c>
      <c r="Q48" s="62">
        <v>0</v>
      </c>
      <c r="T48" s="62">
        <v>0</v>
      </c>
      <c r="U48" s="62">
        <v>0</v>
      </c>
      <c r="V48" s="62">
        <v>0</v>
      </c>
      <c r="W48" s="62">
        <v>0</v>
      </c>
      <c r="X48" s="62">
        <v>0</v>
      </c>
      <c r="Y48" s="62">
        <v>0</v>
      </c>
      <c r="Z48" s="62">
        <v>0</v>
      </c>
      <c r="AA48" s="62">
        <v>0</v>
      </c>
      <c r="AC48" s="62">
        <f t="shared" si="27"/>
        <v>0</v>
      </c>
    </row>
    <row r="49" spans="1:31" s="34" customFormat="1" x14ac:dyDescent="0.2">
      <c r="A49" s="16"/>
      <c r="B49" s="32" t="s">
        <v>53</v>
      </c>
      <c r="C49" s="33"/>
      <c r="D49" s="33"/>
      <c r="E49" s="33"/>
      <c r="F49" s="33"/>
      <c r="G49" s="33"/>
      <c r="H49" s="33"/>
      <c r="I49" s="33"/>
      <c r="J49" s="33"/>
      <c r="K49" s="33"/>
      <c r="L49" s="33">
        <v>43933</v>
      </c>
      <c r="M49" s="33">
        <v>49907</v>
      </c>
      <c r="N49" s="33">
        <v>44120</v>
      </c>
      <c r="O49" s="33">
        <v>45131</v>
      </c>
      <c r="P49" s="33">
        <v>54165</v>
      </c>
      <c r="Q49" s="33">
        <v>138378</v>
      </c>
      <c r="R49" s="1"/>
      <c r="S49" s="1"/>
      <c r="T49" s="33">
        <v>46797</v>
      </c>
      <c r="U49" s="33">
        <v>48633</v>
      </c>
      <c r="V49" s="33">
        <v>50748</v>
      </c>
      <c r="W49" s="33">
        <v>54165</v>
      </c>
      <c r="X49" s="33">
        <v>58806</v>
      </c>
      <c r="Y49" s="33">
        <v>72459</v>
      </c>
      <c r="Z49" s="33">
        <v>100724</v>
      </c>
      <c r="AA49" s="33">
        <v>138378</v>
      </c>
      <c r="AB49" s="1"/>
      <c r="AC49" s="33">
        <f t="shared" si="27"/>
        <v>138378</v>
      </c>
      <c r="AD49" s="1"/>
      <c r="AE49" s="1"/>
    </row>
    <row r="50" spans="1:31" s="38" customFormat="1" ht="17" thickBot="1" x14ac:dyDescent="0.25">
      <c r="A50" s="16"/>
      <c r="B50" s="36" t="s">
        <v>54</v>
      </c>
      <c r="C50" s="37"/>
      <c r="D50" s="37"/>
      <c r="E50" s="37"/>
      <c r="F50" s="37"/>
      <c r="G50" s="37"/>
      <c r="H50" s="37"/>
      <c r="I50" s="37"/>
      <c r="J50" s="37"/>
      <c r="K50" s="37"/>
      <c r="L50" s="37">
        <v>58849</v>
      </c>
      <c r="M50" s="37">
        <v>66283</v>
      </c>
      <c r="N50" s="37">
        <v>64254</v>
      </c>
      <c r="O50" s="37">
        <v>69416</v>
      </c>
      <c r="P50" s="37">
        <v>82798</v>
      </c>
      <c r="Q50" s="37">
        <v>195888</v>
      </c>
      <c r="R50" s="1"/>
      <c r="S50" s="1"/>
      <c r="T50" s="37">
        <v>71461</v>
      </c>
      <c r="U50" s="37">
        <v>73053</v>
      </c>
      <c r="V50" s="37">
        <v>78397</v>
      </c>
      <c r="W50" s="37">
        <v>82798</v>
      </c>
      <c r="X50" s="37">
        <v>85971</v>
      </c>
      <c r="Y50" s="37">
        <v>101509</v>
      </c>
      <c r="Z50" s="37">
        <v>134112</v>
      </c>
      <c r="AA50" s="37">
        <v>195888</v>
      </c>
      <c r="AB50" s="1"/>
      <c r="AC50" s="37">
        <f t="shared" si="27"/>
        <v>195888</v>
      </c>
      <c r="AD50" s="1"/>
      <c r="AE50" s="1"/>
    </row>
    <row r="51" spans="1:31" x14ac:dyDescent="0.2">
      <c r="B51" s="1"/>
    </row>
    <row r="52" spans="1:31" s="15" customFormat="1" ht="17" thickBot="1" x14ac:dyDescent="0.25">
      <c r="A52" s="11"/>
      <c r="B52" s="14" t="s">
        <v>55</v>
      </c>
      <c r="R52" s="1"/>
      <c r="S52" s="1"/>
      <c r="AB52" s="1"/>
      <c r="AD52" s="1"/>
      <c r="AE52" s="1"/>
    </row>
    <row r="53" spans="1:31" x14ac:dyDescent="0.2">
      <c r="B53" s="20" t="s">
        <v>56</v>
      </c>
      <c r="C53" s="62"/>
      <c r="D53" s="62"/>
      <c r="E53" s="62"/>
      <c r="F53" s="62"/>
      <c r="G53" s="62"/>
      <c r="H53" s="62"/>
      <c r="I53" s="62"/>
      <c r="J53" s="62"/>
      <c r="K53" s="62"/>
      <c r="L53" s="62">
        <v>6214</v>
      </c>
      <c r="M53" s="62">
        <v>7116</v>
      </c>
      <c r="N53" s="62">
        <v>7756</v>
      </c>
      <c r="O53" s="62">
        <v>7780</v>
      </c>
      <c r="P53" s="62">
        <v>8352</v>
      </c>
      <c r="Q53" s="62">
        <v>9503</v>
      </c>
      <c r="T53" s="62">
        <v>2030</v>
      </c>
      <c r="U53" s="62">
        <v>2079</v>
      </c>
      <c r="V53" s="62">
        <v>2094</v>
      </c>
      <c r="W53" s="62">
        <v>2149</v>
      </c>
      <c r="X53" s="62">
        <v>2212</v>
      </c>
      <c r="Y53" s="62">
        <v>2286</v>
      </c>
      <c r="Z53" s="62">
        <v>2364</v>
      </c>
      <c r="AA53" s="62">
        <v>2641</v>
      </c>
      <c r="AC53" s="62">
        <f>SUM(X53:AA53)</f>
        <v>9503</v>
      </c>
    </row>
    <row r="54" spans="1:31" x14ac:dyDescent="0.2">
      <c r="B54" s="23" t="s">
        <v>57</v>
      </c>
      <c r="C54" s="62"/>
      <c r="D54" s="62"/>
      <c r="E54" s="62"/>
      <c r="F54" s="62"/>
      <c r="G54" s="62"/>
      <c r="H54" s="62"/>
      <c r="I54" s="62"/>
      <c r="J54" s="62"/>
      <c r="K54" s="62"/>
      <c r="L54" s="62">
        <v>378</v>
      </c>
      <c r="M54" s="62">
        <v>514</v>
      </c>
      <c r="N54" s="62">
        <v>596</v>
      </c>
      <c r="O54" s="62">
        <v>833</v>
      </c>
      <c r="P54" s="62">
        <v>972</v>
      </c>
      <c r="Q54" s="62">
        <v>1333</v>
      </c>
      <c r="T54" s="62">
        <v>220</v>
      </c>
      <c r="U54" s="62">
        <v>249</v>
      </c>
      <c r="V54" s="62">
        <v>253</v>
      </c>
      <c r="W54" s="62">
        <v>250</v>
      </c>
      <c r="X54" s="62">
        <v>290</v>
      </c>
      <c r="Y54" s="62">
        <v>309</v>
      </c>
      <c r="Z54" s="62">
        <v>355</v>
      </c>
      <c r="AA54" s="62">
        <v>379</v>
      </c>
      <c r="AC54" s="62">
        <f t="shared" ref="AC54:AC58" si="34">SUM(X54:AA54)</f>
        <v>1333</v>
      </c>
    </row>
    <row r="55" spans="1:31" x14ac:dyDescent="0.2">
      <c r="B55" s="23" t="s">
        <v>96</v>
      </c>
      <c r="C55" s="62"/>
      <c r="D55" s="62"/>
      <c r="E55" s="62"/>
      <c r="F55" s="62"/>
      <c r="G55" s="62"/>
      <c r="H55" s="62"/>
      <c r="I55" s="62"/>
      <c r="J55" s="62"/>
      <c r="K55" s="62"/>
      <c r="L55" s="62">
        <v>-1446</v>
      </c>
      <c r="M55" s="62">
        <v>190</v>
      </c>
      <c r="N55" s="62">
        <v>2763</v>
      </c>
      <c r="O55" s="62">
        <v>-3581</v>
      </c>
      <c r="P55" s="62">
        <v>-1776</v>
      </c>
      <c r="Q55" s="62">
        <v>-25206</v>
      </c>
      <c r="T55" s="62">
        <v>-817</v>
      </c>
      <c r="U55" s="62">
        <v>1155</v>
      </c>
      <c r="V55" s="62">
        <v>-461</v>
      </c>
      <c r="W55" s="62">
        <v>-1653</v>
      </c>
      <c r="X55" s="62">
        <v>-871</v>
      </c>
      <c r="Y55" s="62">
        <v>-7427</v>
      </c>
      <c r="Z55" s="62">
        <v>-11655</v>
      </c>
      <c r="AA55" s="62">
        <v>-5253</v>
      </c>
      <c r="AC55" s="62">
        <f t="shared" si="34"/>
        <v>-25206</v>
      </c>
    </row>
    <row r="56" spans="1:31" x14ac:dyDescent="0.2">
      <c r="B56" s="23" t="s">
        <v>145</v>
      </c>
      <c r="C56" s="62"/>
      <c r="D56" s="62"/>
      <c r="E56" s="62"/>
      <c r="F56" s="62"/>
      <c r="G56" s="62"/>
      <c r="H56" s="62"/>
      <c r="I56" s="62"/>
      <c r="J56" s="62"/>
      <c r="K56" s="62"/>
      <c r="L56" s="62">
        <v>866</v>
      </c>
      <c r="M56" s="62">
        <v>-2179</v>
      </c>
      <c r="N56" s="62">
        <v>-3555</v>
      </c>
      <c r="O56" s="62">
        <v>-488</v>
      </c>
      <c r="P56" s="62">
        <v>520</v>
      </c>
      <c r="Q56" s="62">
        <v>-2017</v>
      </c>
      <c r="T56" s="62">
        <v>170</v>
      </c>
      <c r="U56" s="62">
        <v>-302</v>
      </c>
      <c r="V56" s="62">
        <v>280</v>
      </c>
      <c r="W56" s="62">
        <v>372</v>
      </c>
      <c r="X56" s="62">
        <v>150</v>
      </c>
      <c r="Y56" s="62">
        <v>-62</v>
      </c>
      <c r="Z56" s="62">
        <v>-300</v>
      </c>
      <c r="AA56" s="62">
        <v>-1805</v>
      </c>
      <c r="AC56" s="62">
        <f>SUM(X56:AA56)</f>
        <v>-2017</v>
      </c>
    </row>
    <row r="57" spans="1:31" x14ac:dyDescent="0.2">
      <c r="B57" s="23" t="s">
        <v>97</v>
      </c>
      <c r="C57" s="62"/>
      <c r="D57" s="62"/>
      <c r="E57" s="62"/>
      <c r="F57" s="62"/>
      <c r="G57" s="62"/>
      <c r="H57" s="62"/>
      <c r="I57" s="62"/>
      <c r="J57" s="62"/>
      <c r="K57" s="62"/>
      <c r="L57" s="62">
        <v>210</v>
      </c>
      <c r="M57" s="62">
        <v>744</v>
      </c>
      <c r="N57" s="62">
        <v>-1302</v>
      </c>
      <c r="O57" s="62">
        <v>1915</v>
      </c>
      <c r="P57" s="62">
        <v>862</v>
      </c>
      <c r="Q57" s="62">
        <v>8707</v>
      </c>
      <c r="T57" s="62">
        <v>-241</v>
      </c>
      <c r="U57" s="62">
        <v>-473</v>
      </c>
      <c r="V57" s="62">
        <v>752</v>
      </c>
      <c r="W57" s="62">
        <v>824</v>
      </c>
      <c r="X57" s="62">
        <v>156</v>
      </c>
      <c r="Y57" s="62">
        <v>772</v>
      </c>
      <c r="Z57" s="62">
        <v>2401</v>
      </c>
      <c r="AA57" s="62">
        <v>5378</v>
      </c>
      <c r="AC57" s="62">
        <f t="shared" si="34"/>
        <v>8707</v>
      </c>
    </row>
    <row r="58" spans="1:31" x14ac:dyDescent="0.2">
      <c r="B58" s="23" t="s">
        <v>98</v>
      </c>
      <c r="C58" s="62"/>
      <c r="D58" s="62"/>
      <c r="E58" s="62"/>
      <c r="F58" s="62"/>
      <c r="G58" s="62"/>
      <c r="H58" s="62"/>
      <c r="I58" s="62"/>
      <c r="J58" s="62"/>
      <c r="K58" s="62"/>
      <c r="L58" s="62">
        <v>0</v>
      </c>
      <c r="M58" s="62">
        <v>0</v>
      </c>
      <c r="N58" s="62">
        <f>19-817</f>
        <v>-798</v>
      </c>
      <c r="O58" s="62">
        <f>989+281</f>
        <v>1270</v>
      </c>
      <c r="P58" s="62">
        <f>-272+328</f>
        <v>56</v>
      </c>
      <c r="Q58" s="62">
        <f>3141+9633</f>
        <v>12774</v>
      </c>
      <c r="T58" s="62">
        <f>132-161</f>
        <v>-29</v>
      </c>
      <c r="U58" s="62">
        <v>-97</v>
      </c>
      <c r="V58" s="62">
        <v>-296</v>
      </c>
      <c r="W58" s="62">
        <v>478</v>
      </c>
      <c r="X58" s="62">
        <f>449+547</f>
        <v>996</v>
      </c>
      <c r="Y58" s="62">
        <v>2579</v>
      </c>
      <c r="Z58" s="62">
        <v>3767</v>
      </c>
      <c r="AA58" s="62">
        <v>5432</v>
      </c>
      <c r="AC58" s="62">
        <f t="shared" si="34"/>
        <v>12774</v>
      </c>
    </row>
    <row r="59" spans="1:31" s="19" customFormat="1" x14ac:dyDescent="0.2">
      <c r="A59" s="16"/>
      <c r="B59" s="17" t="s">
        <v>58</v>
      </c>
      <c r="C59" s="61"/>
      <c r="D59" s="61"/>
      <c r="E59" s="61"/>
      <c r="F59" s="61"/>
      <c r="G59" s="61"/>
      <c r="H59" s="61"/>
      <c r="I59" s="61"/>
      <c r="J59" s="61"/>
      <c r="K59" s="61"/>
      <c r="L59" s="61">
        <v>12468</v>
      </c>
      <c r="M59" s="61">
        <v>15181</v>
      </c>
      <c r="N59" s="61">
        <v>1559</v>
      </c>
      <c r="O59" s="61">
        <v>8507</v>
      </c>
      <c r="P59" s="61">
        <v>17525</v>
      </c>
      <c r="Q59" s="61">
        <v>89675</v>
      </c>
      <c r="R59" s="1"/>
      <c r="S59" s="1"/>
      <c r="T59" s="61">
        <v>3244</v>
      </c>
      <c r="U59" s="61">
        <v>3942</v>
      </c>
      <c r="V59" s="61">
        <v>4609</v>
      </c>
      <c r="W59" s="61">
        <v>5730</v>
      </c>
      <c r="X59" s="61">
        <v>8411</v>
      </c>
      <c r="Y59" s="61">
        <v>11903</v>
      </c>
      <c r="Z59" s="61">
        <v>25388</v>
      </c>
      <c r="AA59" s="61">
        <v>43973</v>
      </c>
      <c r="AB59" s="1"/>
      <c r="AC59" s="61">
        <f>SUM(X59:AA59)</f>
        <v>89675</v>
      </c>
      <c r="AD59" s="1"/>
      <c r="AE59" s="1"/>
    </row>
    <row r="60" spans="1:31" x14ac:dyDescent="0.2">
      <c r="B60" s="20" t="s">
        <v>59</v>
      </c>
      <c r="C60" s="62"/>
      <c r="D60" s="62"/>
      <c r="E60" s="62"/>
      <c r="F60" s="62"/>
      <c r="G60" s="62"/>
      <c r="H60" s="62"/>
      <c r="I60" s="62"/>
      <c r="J60" s="62"/>
      <c r="K60" s="62"/>
      <c r="L60" s="62">
        <v>-10030</v>
      </c>
      <c r="M60" s="62">
        <v>-12067</v>
      </c>
      <c r="N60" s="62">
        <v>-7676</v>
      </c>
      <c r="O60" s="62">
        <v>-8386</v>
      </c>
      <c r="P60" s="62">
        <v>-15857</v>
      </c>
      <c r="Q60" s="62">
        <v>-30712</v>
      </c>
      <c r="T60" s="62">
        <v>-3206</v>
      </c>
      <c r="U60" s="62">
        <v>-4055</v>
      </c>
      <c r="V60" s="62">
        <v>-2938</v>
      </c>
      <c r="W60" s="62">
        <v>-5658</v>
      </c>
      <c r="X60" s="62">
        <v>-5389</v>
      </c>
      <c r="Y60" s="62">
        <v>-6387</v>
      </c>
      <c r="Z60" s="62">
        <v>-7826</v>
      </c>
      <c r="AA60" s="62">
        <v>-11110</v>
      </c>
      <c r="AC60" s="62">
        <f>SUM(X60:AA60)</f>
        <v>-30712</v>
      </c>
    </row>
    <row r="61" spans="1:31" x14ac:dyDescent="0.2">
      <c r="B61" s="20" t="s">
        <v>99</v>
      </c>
      <c r="C61" s="62"/>
      <c r="D61" s="62"/>
      <c r="E61" s="62"/>
      <c r="F61" s="62"/>
      <c r="G61" s="62"/>
      <c r="H61" s="62"/>
      <c r="I61" s="62"/>
      <c r="J61" s="62"/>
      <c r="K61" s="62"/>
      <c r="L61" s="62">
        <v>0</v>
      </c>
      <c r="M61" s="62">
        <v>0</v>
      </c>
      <c r="N61" s="62">
        <v>0</v>
      </c>
      <c r="O61" s="62">
        <v>0</v>
      </c>
      <c r="P61" s="62">
        <v>0</v>
      </c>
      <c r="Q61" s="62">
        <v>0</v>
      </c>
      <c r="T61" s="62">
        <v>0</v>
      </c>
      <c r="U61" s="62">
        <v>0</v>
      </c>
      <c r="V61" s="62">
        <v>0</v>
      </c>
      <c r="W61" s="62">
        <v>0</v>
      </c>
      <c r="X61" s="62">
        <v>0</v>
      </c>
      <c r="Y61" s="62">
        <v>0</v>
      </c>
      <c r="Z61" s="62">
        <v>0</v>
      </c>
      <c r="AA61" s="62">
        <v>0</v>
      </c>
      <c r="AC61" s="62">
        <f t="shared" ref="AC61:AC66" si="35">SUM(X61:AA61)</f>
        <v>0</v>
      </c>
    </row>
    <row r="62" spans="1:31" s="19" customFormat="1" x14ac:dyDescent="0.2">
      <c r="A62" s="16"/>
      <c r="B62" s="17" t="s">
        <v>60</v>
      </c>
      <c r="C62" s="61"/>
      <c r="D62" s="61"/>
      <c r="E62" s="61"/>
      <c r="F62" s="61"/>
      <c r="G62" s="61"/>
      <c r="H62" s="61"/>
      <c r="I62" s="61"/>
      <c r="J62" s="61"/>
      <c r="K62" s="61"/>
      <c r="L62" s="61">
        <v>-10589</v>
      </c>
      <c r="M62" s="61">
        <v>-11585</v>
      </c>
      <c r="N62" s="61">
        <v>-6191</v>
      </c>
      <c r="O62" s="61">
        <v>-8309</v>
      </c>
      <c r="P62" s="61">
        <v>-14087</v>
      </c>
      <c r="Q62" s="61">
        <v>-61641</v>
      </c>
      <c r="R62" s="1"/>
      <c r="S62" s="1"/>
      <c r="T62" s="61">
        <v>-3148</v>
      </c>
      <c r="U62" s="61">
        <v>-3152</v>
      </c>
      <c r="V62" s="61">
        <v>-2589</v>
      </c>
      <c r="W62" s="61">
        <v>-5198</v>
      </c>
      <c r="X62" s="61">
        <v>-4594</v>
      </c>
      <c r="Y62" s="61">
        <v>-5525</v>
      </c>
      <c r="Z62" s="61">
        <v>-9569</v>
      </c>
      <c r="AA62" s="61">
        <v>-41953</v>
      </c>
      <c r="AB62" s="1"/>
      <c r="AC62" s="61">
        <f t="shared" si="35"/>
        <v>-61641</v>
      </c>
      <c r="AD62" s="1"/>
      <c r="AE62" s="1"/>
    </row>
    <row r="63" spans="1:31" x14ac:dyDescent="0.2">
      <c r="B63" s="20" t="s">
        <v>61</v>
      </c>
      <c r="C63" s="62"/>
      <c r="D63" s="62"/>
      <c r="E63" s="62"/>
      <c r="F63" s="62"/>
      <c r="G63" s="62"/>
      <c r="H63" s="62"/>
      <c r="I63" s="62"/>
      <c r="J63" s="62"/>
      <c r="K63" s="62"/>
      <c r="L63" s="62">
        <f>-1200-94</f>
        <v>-1294</v>
      </c>
      <c r="M63" s="62">
        <f>-2432-125</f>
        <v>-2557</v>
      </c>
      <c r="N63" s="62">
        <v>-425</v>
      </c>
      <c r="O63" s="62">
        <v>-300</v>
      </c>
      <c r="P63" s="62">
        <v>0</v>
      </c>
      <c r="Q63" s="62">
        <v>-650</v>
      </c>
      <c r="T63" s="62">
        <v>-207</v>
      </c>
      <c r="U63" s="62">
        <v>-45</v>
      </c>
      <c r="V63" s="62">
        <v>-38</v>
      </c>
      <c r="W63" s="62">
        <v>290</v>
      </c>
      <c r="X63" s="62">
        <v>-367</v>
      </c>
      <c r="Y63" s="62">
        <v>-283</v>
      </c>
      <c r="Z63" s="62">
        <v>0</v>
      </c>
      <c r="AA63" s="62">
        <v>0</v>
      </c>
      <c r="AC63" s="62">
        <f t="shared" si="35"/>
        <v>-650</v>
      </c>
    </row>
    <row r="64" spans="1:31" x14ac:dyDescent="0.2">
      <c r="B64" s="20" t="s">
        <v>284</v>
      </c>
      <c r="C64" s="62"/>
      <c r="D64" s="62"/>
      <c r="E64" s="62"/>
      <c r="F64" s="62"/>
      <c r="G64" s="62"/>
      <c r="H64" s="62"/>
      <c r="I64" s="62"/>
      <c r="J64" s="62"/>
      <c r="K64" s="62"/>
      <c r="L64" s="62">
        <v>0</v>
      </c>
      <c r="M64" s="62">
        <v>-461</v>
      </c>
      <c r="N64" s="62">
        <v>-504</v>
      </c>
      <c r="O64" s="62">
        <v>-513</v>
      </c>
      <c r="P64" s="62">
        <v>-522</v>
      </c>
      <c r="Q64" s="62">
        <v>-610</v>
      </c>
      <c r="T64" s="62">
        <v>-131</v>
      </c>
      <c r="U64" s="62">
        <v>-130</v>
      </c>
      <c r="V64" s="62">
        <v>-131</v>
      </c>
      <c r="W64" s="62">
        <v>-130</v>
      </c>
      <c r="X64" s="62">
        <v>-134</v>
      </c>
      <c r="Y64" s="62">
        <v>-132</v>
      </c>
      <c r="Z64" s="62">
        <v>-171</v>
      </c>
      <c r="AA64" s="62">
        <v>-173</v>
      </c>
      <c r="AC64" s="62">
        <f>SUM(X64:AA64)</f>
        <v>-610</v>
      </c>
    </row>
    <row r="65" spans="1:31" x14ac:dyDescent="0.2">
      <c r="B65" s="20" t="s">
        <v>331</v>
      </c>
      <c r="C65" s="62"/>
      <c r="D65" s="62"/>
      <c r="E65" s="62"/>
      <c r="F65" s="62"/>
      <c r="G65" s="62"/>
      <c r="H65" s="62"/>
      <c r="I65" s="62"/>
      <c r="J65" s="62"/>
      <c r="K65" s="62"/>
      <c r="L65" s="62">
        <v>0</v>
      </c>
      <c r="M65" s="62">
        <v>0</v>
      </c>
      <c r="N65" s="62">
        <v>0</v>
      </c>
      <c r="O65" s="62">
        <v>0</v>
      </c>
      <c r="P65" s="62">
        <v>0</v>
      </c>
      <c r="Q65" s="62">
        <v>0</v>
      </c>
      <c r="T65" s="62">
        <v>0</v>
      </c>
      <c r="U65" s="62">
        <v>0</v>
      </c>
      <c r="V65" s="62">
        <v>0</v>
      </c>
      <c r="W65" s="62">
        <v>0</v>
      </c>
      <c r="X65" s="62">
        <v>0</v>
      </c>
      <c r="Y65" s="62">
        <v>0</v>
      </c>
      <c r="Z65" s="62">
        <v>0</v>
      </c>
      <c r="AA65" s="62">
        <v>0</v>
      </c>
      <c r="AC65" s="62">
        <f>SUM(X65:AA65)</f>
        <v>0</v>
      </c>
    </row>
    <row r="66" spans="1:31" s="19" customFormat="1" ht="17" thickBot="1" x14ac:dyDescent="0.25">
      <c r="A66" s="16"/>
      <c r="B66" s="36" t="s">
        <v>62</v>
      </c>
      <c r="C66" s="71"/>
      <c r="D66" s="71"/>
      <c r="E66" s="71"/>
      <c r="F66" s="71"/>
      <c r="G66" s="71"/>
      <c r="H66" s="71"/>
      <c r="I66" s="71"/>
      <c r="J66" s="71"/>
      <c r="K66" s="71"/>
      <c r="L66" s="71">
        <v>-1781</v>
      </c>
      <c r="M66" s="71">
        <v>-2980</v>
      </c>
      <c r="N66" s="71">
        <v>4983</v>
      </c>
      <c r="O66" s="71">
        <v>-1842</v>
      </c>
      <c r="P66" s="71">
        <v>-850</v>
      </c>
      <c r="Q66" s="71">
        <v>630</v>
      </c>
      <c r="R66" s="1"/>
      <c r="S66" s="1"/>
      <c r="T66" s="71">
        <v>-422</v>
      </c>
      <c r="U66" s="71">
        <v>96</v>
      </c>
      <c r="V66" s="71">
        <v>540</v>
      </c>
      <c r="W66" s="71">
        <v>-1064</v>
      </c>
      <c r="X66" s="71">
        <v>-3745</v>
      </c>
      <c r="Y66" s="71">
        <v>-2167</v>
      </c>
      <c r="Z66" s="71">
        <v>-4734</v>
      </c>
      <c r="AA66" s="71">
        <v>11276</v>
      </c>
      <c r="AB66" s="1"/>
      <c r="AC66" s="71">
        <f t="shared" si="35"/>
        <v>630</v>
      </c>
      <c r="AD66" s="1"/>
      <c r="AE66" s="1"/>
    </row>
    <row r="67" spans="1:31" x14ac:dyDescent="0.2">
      <c r="B67" s="1"/>
    </row>
    <row r="68" spans="1:31" s="15" customFormat="1" ht="17" thickBot="1" x14ac:dyDescent="0.25">
      <c r="A68" s="11"/>
      <c r="B68" s="14" t="s">
        <v>63</v>
      </c>
      <c r="R68" s="1"/>
      <c r="S68" s="1"/>
      <c r="AB68" s="1"/>
      <c r="AD68" s="1"/>
      <c r="AE68" s="1"/>
    </row>
    <row r="69" spans="1:31" x14ac:dyDescent="0.2">
      <c r="B69" s="20" t="s">
        <v>64</v>
      </c>
      <c r="C69" s="64">
        <f t="shared" ref="C69:Q69" si="36">C5-C6-C11+C13+C14+C16-C17</f>
        <v>0</v>
      </c>
      <c r="D69" s="64">
        <f t="shared" si="36"/>
        <v>0</v>
      </c>
      <c r="E69" s="64">
        <f t="shared" si="36"/>
        <v>0</v>
      </c>
      <c r="F69" s="64">
        <f t="shared" si="36"/>
        <v>0</v>
      </c>
      <c r="G69" s="64">
        <f t="shared" si="36"/>
        <v>0</v>
      </c>
      <c r="H69" s="64">
        <f t="shared" si="36"/>
        <v>0</v>
      </c>
      <c r="I69" s="64">
        <f t="shared" si="36"/>
        <v>0</v>
      </c>
      <c r="J69" s="64">
        <f t="shared" si="36"/>
        <v>0</v>
      </c>
      <c r="K69" s="64">
        <f t="shared" si="36"/>
        <v>0</v>
      </c>
      <c r="L69" s="64">
        <f t="shared" ref="L69:P69" si="37">L5-L6-L11+L13+L14+L16-L17</f>
        <v>5824</v>
      </c>
      <c r="M69" s="64">
        <f t="shared" si="37"/>
        <v>8683</v>
      </c>
      <c r="N69" s="64">
        <f t="shared" si="37"/>
        <v>-5835</v>
      </c>
      <c r="O69" s="64">
        <f t="shared" si="37"/>
        <v>789</v>
      </c>
      <c r="P69" s="64">
        <f t="shared" si="37"/>
        <v>8530</v>
      </c>
      <c r="Q69" s="64">
        <f t="shared" si="36"/>
        <v>84910</v>
      </c>
      <c r="T69" s="64">
        <f t="shared" ref="T69:Z69" si="38">T5-T6-T11+T13+T14+T16-T17</f>
        <v>1869</v>
      </c>
      <c r="U69" s="64">
        <f t="shared" si="38"/>
        <v>1581</v>
      </c>
      <c r="V69" s="64">
        <f t="shared" si="38"/>
        <v>1878</v>
      </c>
      <c r="W69" s="64">
        <f t="shared" si="38"/>
        <v>3202</v>
      </c>
      <c r="X69" s="64">
        <f t="shared" si="38"/>
        <v>5232</v>
      </c>
      <c r="Y69" s="64">
        <f t="shared" si="38"/>
        <v>13789</v>
      </c>
      <c r="Z69" s="64">
        <f t="shared" si="38"/>
        <v>28234</v>
      </c>
      <c r="AA69" s="64">
        <f t="shared" ref="AA69" si="39">AA5-AA6-AA11+AA13+AA14+AA16-AA17</f>
        <v>37655</v>
      </c>
      <c r="AC69" s="64">
        <f>AC5-AC6-AC11+AC13+AC14+AC16-AC17</f>
        <v>84910</v>
      </c>
    </row>
    <row r="70" spans="1:31" s="41" customFormat="1" x14ac:dyDescent="0.2">
      <c r="A70" s="16"/>
      <c r="B70" s="17" t="s">
        <v>65</v>
      </c>
      <c r="C70" s="40">
        <f t="shared" ref="C70:Q70" si="40">C18-C69</f>
        <v>0</v>
      </c>
      <c r="D70" s="40">
        <f t="shared" si="40"/>
        <v>0</v>
      </c>
      <c r="E70" s="40">
        <f t="shared" si="40"/>
        <v>0</v>
      </c>
      <c r="F70" s="40">
        <f t="shared" si="40"/>
        <v>0</v>
      </c>
      <c r="G70" s="40">
        <f t="shared" si="40"/>
        <v>0</v>
      </c>
      <c r="H70" s="40">
        <f t="shared" si="40"/>
        <v>0</v>
      </c>
      <c r="I70" s="40">
        <f t="shared" si="40"/>
        <v>0</v>
      </c>
      <c r="J70" s="40">
        <f t="shared" si="40"/>
        <v>0</v>
      </c>
      <c r="K70" s="40">
        <f t="shared" si="40"/>
        <v>0</v>
      </c>
      <c r="L70" s="40">
        <f t="shared" ref="L70:P70" si="41">L18-L69</f>
        <v>37</v>
      </c>
      <c r="M70" s="40">
        <f t="shared" si="41"/>
        <v>4</v>
      </c>
      <c r="N70" s="40">
        <f t="shared" si="41"/>
        <v>2</v>
      </c>
      <c r="O70" s="40">
        <f t="shared" si="41"/>
        <v>-11</v>
      </c>
      <c r="P70" s="40">
        <f t="shared" si="41"/>
        <v>9</v>
      </c>
      <c r="Q70" s="40">
        <f t="shared" si="40"/>
        <v>59</v>
      </c>
      <c r="R70" s="1"/>
      <c r="S70" s="1"/>
      <c r="T70" s="40">
        <f t="shared" ref="T70:Y70" si="42">T18-T69</f>
        <v>1</v>
      </c>
      <c r="U70" s="40">
        <f t="shared" si="42"/>
        <v>2</v>
      </c>
      <c r="V70" s="40">
        <f t="shared" si="42"/>
        <v>7</v>
      </c>
      <c r="W70" s="40">
        <f t="shared" si="42"/>
        <v>-1</v>
      </c>
      <c r="X70" s="40">
        <f t="shared" si="42"/>
        <v>8</v>
      </c>
      <c r="Y70" s="40">
        <f t="shared" si="42"/>
        <v>-4</v>
      </c>
      <c r="Z70" s="40">
        <f t="shared" ref="Z70:AA70" si="43">Z18-Z69</f>
        <v>9</v>
      </c>
      <c r="AA70" s="40">
        <f t="shared" si="43"/>
        <v>46</v>
      </c>
      <c r="AB70" s="16"/>
      <c r="AC70" s="40">
        <f>AC18-AC69</f>
        <v>59</v>
      </c>
      <c r="AD70" s="1"/>
      <c r="AE70" s="1"/>
    </row>
    <row r="71" spans="1:31" s="41" customFormat="1" x14ac:dyDescent="0.2">
      <c r="A71" s="16"/>
      <c r="B71" s="17" t="s">
        <v>66</v>
      </c>
      <c r="C71" s="42">
        <f t="shared" ref="C71:Q71" si="44">C37-(C43+C112)</f>
        <v>0</v>
      </c>
      <c r="D71" s="42">
        <f t="shared" si="44"/>
        <v>0</v>
      </c>
      <c r="E71" s="42">
        <f t="shared" si="44"/>
        <v>0</v>
      </c>
      <c r="F71" s="42">
        <f t="shared" si="44"/>
        <v>0</v>
      </c>
      <c r="G71" s="42">
        <f t="shared" si="44"/>
        <v>0</v>
      </c>
      <c r="H71" s="42">
        <f t="shared" si="44"/>
        <v>0</v>
      </c>
      <c r="I71" s="42">
        <f t="shared" si="44"/>
        <v>0</v>
      </c>
      <c r="J71" s="42">
        <f t="shared" si="44"/>
        <v>0</v>
      </c>
      <c r="K71" s="42">
        <f t="shared" si="44"/>
        <v>0</v>
      </c>
      <c r="L71" s="42">
        <f t="shared" ref="L71:P71" si="45">L37-(L43+L112)</f>
        <v>0</v>
      </c>
      <c r="M71" s="42">
        <f t="shared" si="45"/>
        <v>0</v>
      </c>
      <c r="N71" s="42">
        <f t="shared" si="45"/>
        <v>0</v>
      </c>
      <c r="O71" s="42">
        <f t="shared" si="45"/>
        <v>0</v>
      </c>
      <c r="P71" s="42">
        <f t="shared" si="45"/>
        <v>0</v>
      </c>
      <c r="Q71" s="42">
        <f t="shared" si="44"/>
        <v>0</v>
      </c>
      <c r="R71" s="1"/>
      <c r="S71" s="1"/>
      <c r="T71" s="42">
        <f t="shared" ref="T71:Z71" si="46">T37-(T43+T112)</f>
        <v>0</v>
      </c>
      <c r="U71" s="42">
        <f t="shared" si="46"/>
        <v>0</v>
      </c>
      <c r="V71" s="42">
        <f t="shared" si="46"/>
        <v>0</v>
      </c>
      <c r="W71" s="42">
        <f t="shared" si="46"/>
        <v>0</v>
      </c>
      <c r="X71" s="42">
        <f t="shared" si="46"/>
        <v>0</v>
      </c>
      <c r="Y71" s="42">
        <f t="shared" si="46"/>
        <v>0</v>
      </c>
      <c r="Z71" s="42">
        <f t="shared" si="46"/>
        <v>0</v>
      </c>
      <c r="AA71" s="42">
        <f t="shared" ref="AA71" si="47">AA37-(AA43+AA112)</f>
        <v>0</v>
      </c>
      <c r="AB71" s="16"/>
      <c r="AC71" s="42">
        <f>AC37-(AC43+AC112)</f>
        <v>0</v>
      </c>
      <c r="AD71" s="1"/>
      <c r="AE71" s="1"/>
    </row>
    <row r="72" spans="1:31" x14ac:dyDescent="0.2">
      <c r="B72" s="39"/>
      <c r="J72" s="39"/>
      <c r="K72" s="39"/>
      <c r="L72" s="39"/>
      <c r="M72" s="39"/>
      <c r="N72" s="39"/>
      <c r="O72" s="39"/>
    </row>
    <row r="73" spans="1:31" s="15" customFormat="1" ht="17" thickBot="1" x14ac:dyDescent="0.25">
      <c r="A73" s="11"/>
      <c r="B73" s="14" t="s">
        <v>67</v>
      </c>
      <c r="R73" s="1"/>
      <c r="S73" s="1"/>
      <c r="AB73" s="1"/>
      <c r="AD73" s="1"/>
      <c r="AE73" s="1"/>
    </row>
    <row r="74" spans="1:31" x14ac:dyDescent="0.2">
      <c r="B74" s="20" t="s">
        <v>68</v>
      </c>
      <c r="C74" s="43"/>
      <c r="D74" s="43"/>
      <c r="E74" s="43"/>
      <c r="F74" s="43"/>
      <c r="G74" s="43"/>
      <c r="H74" s="43"/>
      <c r="I74" s="43"/>
      <c r="J74" s="21"/>
      <c r="K74" s="21"/>
      <c r="L74" s="21">
        <v>1119</v>
      </c>
      <c r="M74" s="21">
        <v>1087</v>
      </c>
      <c r="N74" s="21">
        <v>1098</v>
      </c>
      <c r="O74" s="21">
        <v>1109</v>
      </c>
      <c r="P74" s="21">
        <v>1122</v>
      </c>
      <c r="Q74" s="238">
        <v>1129</v>
      </c>
      <c r="T74" s="21">
        <v>1114</v>
      </c>
      <c r="U74" s="21">
        <v>1118</v>
      </c>
      <c r="V74" s="21">
        <v>1119</v>
      </c>
      <c r="W74" s="21">
        <v>1122</v>
      </c>
      <c r="X74" s="21">
        <v>1126</v>
      </c>
      <c r="Y74" s="21">
        <v>1128</v>
      </c>
      <c r="Z74" s="21">
        <v>1129</v>
      </c>
      <c r="AA74" s="238">
        <v>1129</v>
      </c>
      <c r="AC74" s="24">
        <f>AA74</f>
        <v>1129</v>
      </c>
    </row>
    <row r="75" spans="1:31" x14ac:dyDescent="0.2">
      <c r="B75" s="20" t="s">
        <v>69</v>
      </c>
      <c r="C75" s="25"/>
      <c r="D75" s="25"/>
      <c r="E75" s="25"/>
      <c r="F75" s="25"/>
      <c r="G75" s="25"/>
      <c r="H75" s="25"/>
      <c r="I75" s="25"/>
      <c r="J75" s="25"/>
      <c r="K75" s="25"/>
      <c r="L75" s="25">
        <f t="shared" ref="L75:P75" si="48">L74*L85</f>
        <v>1119</v>
      </c>
      <c r="M75" s="25">
        <f t="shared" si="48"/>
        <v>1087</v>
      </c>
      <c r="N75" s="25">
        <f t="shared" si="48"/>
        <v>1098</v>
      </c>
      <c r="O75" s="25">
        <f t="shared" si="48"/>
        <v>1109</v>
      </c>
      <c r="P75" s="25">
        <f t="shared" si="48"/>
        <v>1122</v>
      </c>
      <c r="Q75" s="25">
        <f t="shared" ref="Q75" si="49">Q74*Q85</f>
        <v>1129</v>
      </c>
      <c r="T75" s="25">
        <f t="shared" ref="T75" si="50">T74*T85</f>
        <v>1114</v>
      </c>
      <c r="U75" s="25">
        <f t="shared" ref="U75" si="51">U74*U85</f>
        <v>1118</v>
      </c>
      <c r="V75" s="25">
        <f t="shared" ref="V75" si="52">V74*V85</f>
        <v>1119</v>
      </c>
      <c r="W75" s="25">
        <f t="shared" ref="W75" si="53">W74*W85</f>
        <v>1122</v>
      </c>
      <c r="X75" s="25">
        <f t="shared" ref="X75:Z75" si="54">X74*X85</f>
        <v>1126</v>
      </c>
      <c r="Y75" s="25">
        <f t="shared" si="54"/>
        <v>1128</v>
      </c>
      <c r="Z75" s="25">
        <f t="shared" si="54"/>
        <v>1129</v>
      </c>
      <c r="AA75" s="25">
        <f t="shared" ref="AA75" si="55">AA74*AA85</f>
        <v>1129</v>
      </c>
      <c r="AC75" s="24">
        <f>AA75</f>
        <v>1129</v>
      </c>
    </row>
    <row r="76" spans="1:31" x14ac:dyDescent="0.2">
      <c r="B76" s="20" t="s">
        <v>234</v>
      </c>
      <c r="C76" s="25"/>
      <c r="D76" s="25"/>
      <c r="E76" s="25"/>
      <c r="F76" s="25"/>
      <c r="G76" s="25"/>
      <c r="H76" s="25"/>
      <c r="I76" s="25"/>
      <c r="J76" s="25"/>
      <c r="K76" s="25"/>
      <c r="L76" s="21">
        <v>21</v>
      </c>
      <c r="M76" s="21">
        <v>10</v>
      </c>
      <c r="N76" s="21">
        <v>0</v>
      </c>
      <c r="O76" s="21">
        <v>13</v>
      </c>
      <c r="P76" s="21">
        <v>9</v>
      </c>
      <c r="Q76" s="238">
        <v>17</v>
      </c>
      <c r="T76" s="21">
        <v>11</v>
      </c>
      <c r="U76" s="21">
        <v>8</v>
      </c>
      <c r="V76" s="21">
        <v>7</v>
      </c>
      <c r="W76" s="21">
        <v>9</v>
      </c>
      <c r="X76" s="21">
        <v>13</v>
      </c>
      <c r="Y76" s="21">
        <v>16</v>
      </c>
      <c r="Z76" s="21">
        <v>17</v>
      </c>
      <c r="AA76" s="238">
        <v>17</v>
      </c>
      <c r="AC76" s="21">
        <f>AA76</f>
        <v>17</v>
      </c>
    </row>
    <row r="77" spans="1:31" x14ac:dyDescent="0.2">
      <c r="B77" s="20" t="s">
        <v>235</v>
      </c>
      <c r="C77" s="25"/>
      <c r="D77" s="25"/>
      <c r="E77" s="25"/>
      <c r="F77" s="25"/>
      <c r="G77" s="25"/>
      <c r="H77" s="25"/>
      <c r="I77" s="25"/>
      <c r="J77" s="25"/>
      <c r="K77" s="25"/>
      <c r="L77" s="25">
        <f t="shared" ref="L77:O77" si="56">L76*L85</f>
        <v>21</v>
      </c>
      <c r="M77" s="25">
        <f t="shared" si="56"/>
        <v>10</v>
      </c>
      <c r="N77" s="25">
        <f t="shared" si="56"/>
        <v>0</v>
      </c>
      <c r="O77" s="25">
        <f t="shared" si="56"/>
        <v>13</v>
      </c>
      <c r="P77" s="25">
        <f>P76*P85</f>
        <v>9</v>
      </c>
      <c r="Q77" s="25">
        <f>Q76*Q85</f>
        <v>17</v>
      </c>
      <c r="T77" s="25">
        <f t="shared" ref="T77:Y77" si="57">T76*T85</f>
        <v>11</v>
      </c>
      <c r="U77" s="25">
        <f t="shared" si="57"/>
        <v>8</v>
      </c>
      <c r="V77" s="25">
        <f t="shared" si="57"/>
        <v>7</v>
      </c>
      <c r="W77" s="25">
        <f t="shared" si="57"/>
        <v>9</v>
      </c>
      <c r="X77" s="25">
        <f t="shared" si="57"/>
        <v>13</v>
      </c>
      <c r="Y77" s="25">
        <f t="shared" si="57"/>
        <v>16</v>
      </c>
      <c r="Z77" s="25">
        <f t="shared" ref="Z77:AA77" si="58">Z76*Z85</f>
        <v>17</v>
      </c>
      <c r="AA77" s="25">
        <f t="shared" si="58"/>
        <v>17</v>
      </c>
      <c r="AC77" s="24">
        <f>AA77</f>
        <v>17</v>
      </c>
    </row>
    <row r="78" spans="1:31" x14ac:dyDescent="0.2">
      <c r="B78" s="20" t="s">
        <v>236</v>
      </c>
      <c r="C78" s="25"/>
      <c r="D78" s="25"/>
      <c r="E78" s="25"/>
      <c r="F78" s="25"/>
      <c r="G78" s="25"/>
      <c r="H78" s="25"/>
      <c r="I78" s="25"/>
      <c r="J78" s="25"/>
      <c r="K78" s="25"/>
      <c r="L78" s="25">
        <f t="shared" ref="L78:O78" si="59">L75+L77</f>
        <v>1140</v>
      </c>
      <c r="M78" s="25">
        <f t="shared" si="59"/>
        <v>1097</v>
      </c>
      <c r="N78" s="25">
        <f t="shared" si="59"/>
        <v>1098</v>
      </c>
      <c r="O78" s="25">
        <f t="shared" si="59"/>
        <v>1122</v>
      </c>
      <c r="P78" s="25">
        <f>P75+P77</f>
        <v>1131</v>
      </c>
      <c r="Q78" s="25">
        <f>Q75+Q77</f>
        <v>1146</v>
      </c>
      <c r="T78" s="25">
        <f t="shared" ref="T78:Y78" si="60">T75+T77</f>
        <v>1125</v>
      </c>
      <c r="U78" s="25">
        <f t="shared" si="60"/>
        <v>1126</v>
      </c>
      <c r="V78" s="25">
        <f t="shared" si="60"/>
        <v>1126</v>
      </c>
      <c r="W78" s="25">
        <f t="shared" si="60"/>
        <v>1131</v>
      </c>
      <c r="X78" s="25">
        <f t="shared" si="60"/>
        <v>1139</v>
      </c>
      <c r="Y78" s="25">
        <f t="shared" si="60"/>
        <v>1144</v>
      </c>
      <c r="Z78" s="25">
        <f t="shared" ref="Z78:AA78" si="61">Z75+Z77</f>
        <v>1146</v>
      </c>
      <c r="AA78" s="25">
        <f t="shared" si="61"/>
        <v>1146</v>
      </c>
      <c r="AC78" s="24">
        <f>AA78</f>
        <v>1146</v>
      </c>
    </row>
    <row r="79" spans="1:31" x14ac:dyDescent="0.2">
      <c r="B79" s="20" t="s">
        <v>275</v>
      </c>
      <c r="C79" s="25"/>
      <c r="D79" s="25"/>
      <c r="E79" s="25"/>
      <c r="F79" s="25"/>
      <c r="G79" s="25"/>
      <c r="H79" s="25"/>
      <c r="I79" s="25"/>
      <c r="J79" s="25"/>
      <c r="K79" s="25"/>
      <c r="L79" s="21">
        <v>4</v>
      </c>
      <c r="M79" s="21">
        <v>4</v>
      </c>
      <c r="N79" s="21">
        <v>4</v>
      </c>
      <c r="O79" s="21">
        <v>3</v>
      </c>
      <c r="P79" s="21">
        <v>3</v>
      </c>
      <c r="Q79" s="238">
        <v>3</v>
      </c>
      <c r="T79" s="68"/>
      <c r="U79" s="68"/>
      <c r="V79" s="68"/>
      <c r="W79" s="68"/>
      <c r="X79" s="68"/>
      <c r="Y79" s="68"/>
      <c r="Z79" s="68"/>
      <c r="AA79" s="68"/>
      <c r="AC79" s="24">
        <f>Q79</f>
        <v>3</v>
      </c>
    </row>
    <row r="80" spans="1:31" x14ac:dyDescent="0.2">
      <c r="B80" s="20" t="s">
        <v>276</v>
      </c>
      <c r="C80" s="25"/>
      <c r="D80" s="25"/>
      <c r="E80" s="25"/>
      <c r="F80" s="25"/>
      <c r="G80" s="25"/>
      <c r="H80" s="25"/>
      <c r="I80" s="25"/>
      <c r="J80" s="25"/>
      <c r="K80" s="25"/>
      <c r="L80" s="25">
        <f t="shared" ref="L80:O80" si="62">L79*L85</f>
        <v>4</v>
      </c>
      <c r="M80" s="25">
        <f t="shared" si="62"/>
        <v>4</v>
      </c>
      <c r="N80" s="25">
        <f t="shared" si="62"/>
        <v>4</v>
      </c>
      <c r="O80" s="25">
        <f t="shared" si="62"/>
        <v>3</v>
      </c>
      <c r="P80" s="25">
        <f>P79*P85</f>
        <v>3</v>
      </c>
      <c r="Q80" s="25">
        <f>Q79*Q85</f>
        <v>3</v>
      </c>
      <c r="T80" s="68"/>
      <c r="U80" s="68"/>
      <c r="V80" s="68"/>
      <c r="W80" s="68"/>
      <c r="X80" s="68"/>
      <c r="Y80" s="68"/>
      <c r="Z80" s="68"/>
      <c r="AA80" s="68"/>
      <c r="AC80" s="24">
        <f>Q80</f>
        <v>3</v>
      </c>
    </row>
    <row r="81" spans="1:31" x14ac:dyDescent="0.2">
      <c r="B81" s="23" t="s">
        <v>70</v>
      </c>
      <c r="C81" s="44"/>
      <c r="D81" s="44"/>
      <c r="E81" s="44"/>
      <c r="F81" s="44"/>
      <c r="G81" s="44"/>
      <c r="H81" s="44"/>
      <c r="I81" s="44"/>
      <c r="J81" s="44"/>
      <c r="K81" s="44"/>
      <c r="L81" s="44">
        <v>0.1</v>
      </c>
      <c r="M81" s="44">
        <v>0.315</v>
      </c>
      <c r="N81" s="44">
        <v>0.46</v>
      </c>
      <c r="O81" s="44">
        <v>0.46</v>
      </c>
      <c r="P81" s="44">
        <v>0.46</v>
      </c>
      <c r="Q81" s="44">
        <v>0.56999999999999995</v>
      </c>
      <c r="T81" s="44">
        <v>0.115</v>
      </c>
      <c r="U81" s="44">
        <v>0.115</v>
      </c>
      <c r="V81" s="44">
        <v>0.115</v>
      </c>
      <c r="W81" s="44">
        <v>0.115</v>
      </c>
      <c r="X81" s="44">
        <v>0.115</v>
      </c>
      <c r="Y81" s="44">
        <v>0.15</v>
      </c>
      <c r="Z81" s="44">
        <v>0.15</v>
      </c>
      <c r="AA81" s="44">
        <v>0.15</v>
      </c>
      <c r="AC81" s="72">
        <f>SUM(X81:AA81)</f>
        <v>0.56500000000000006</v>
      </c>
    </row>
    <row r="82" spans="1:31" x14ac:dyDescent="0.2">
      <c r="B82" s="23" t="s">
        <v>71</v>
      </c>
      <c r="C82" s="39"/>
      <c r="D82" s="45"/>
      <c r="E82" s="45"/>
      <c r="F82" s="45"/>
      <c r="G82" s="45"/>
      <c r="H82" s="45"/>
      <c r="I82" s="45"/>
      <c r="J82" s="45"/>
      <c r="K82" s="45"/>
      <c r="L82" s="45">
        <f t="shared" ref="L82:P82" si="63">L81/L85</f>
        <v>0.1</v>
      </c>
      <c r="M82" s="45">
        <f t="shared" si="63"/>
        <v>0.315</v>
      </c>
      <c r="N82" s="45">
        <f t="shared" si="63"/>
        <v>0.46</v>
      </c>
      <c r="O82" s="45">
        <f t="shared" si="63"/>
        <v>0.46</v>
      </c>
      <c r="P82" s="45">
        <f t="shared" si="63"/>
        <v>0.46</v>
      </c>
      <c r="Q82" s="45">
        <f t="shared" ref="Q82" si="64">Q81/Q85</f>
        <v>0.56999999999999995</v>
      </c>
      <c r="T82" s="45">
        <f t="shared" ref="T82" si="65">T81/T85</f>
        <v>0.115</v>
      </c>
      <c r="U82" s="45">
        <f t="shared" ref="U82" si="66">U81/U85</f>
        <v>0.115</v>
      </c>
      <c r="V82" s="45">
        <f t="shared" ref="V82" si="67">V81/V85</f>
        <v>0.115</v>
      </c>
      <c r="W82" s="45">
        <f t="shared" ref="W82" si="68">W81/W85</f>
        <v>0.115</v>
      </c>
      <c r="X82" s="45">
        <f t="shared" ref="X82:Z82" si="69">X81/X85</f>
        <v>0.115</v>
      </c>
      <c r="Y82" s="45">
        <f t="shared" si="69"/>
        <v>0.15</v>
      </c>
      <c r="Z82" s="45">
        <f t="shared" si="69"/>
        <v>0.15</v>
      </c>
      <c r="AA82" s="45">
        <f t="shared" ref="AA82" si="70">AA81/AA85</f>
        <v>0.15</v>
      </c>
      <c r="AC82" s="72">
        <f>SUM(X82:AA82)</f>
        <v>0.56500000000000006</v>
      </c>
    </row>
    <row r="83" spans="1:31" x14ac:dyDescent="0.2">
      <c r="B83" s="20" t="s">
        <v>72</v>
      </c>
      <c r="C83" s="46">
        <f t="shared" ref="C83:Q83" si="71">IF(AND(C15&gt;0,C16&lt;0),-(C16)/C15,0)</f>
        <v>0</v>
      </c>
      <c r="D83" s="46">
        <f t="shared" si="71"/>
        <v>0</v>
      </c>
      <c r="E83" s="46">
        <f t="shared" si="71"/>
        <v>0</v>
      </c>
      <c r="F83" s="46">
        <f t="shared" si="71"/>
        <v>0</v>
      </c>
      <c r="G83" s="46">
        <f t="shared" si="71"/>
        <v>0</v>
      </c>
      <c r="H83" s="46">
        <f t="shared" si="71"/>
        <v>0</v>
      </c>
      <c r="I83" s="46">
        <f t="shared" si="71"/>
        <v>0</v>
      </c>
      <c r="J83" s="46">
        <f t="shared" si="71"/>
        <v>0</v>
      </c>
      <c r="K83" s="46">
        <f t="shared" si="71"/>
        <v>0</v>
      </c>
      <c r="L83" s="46">
        <f t="shared" ref="L83:P83" si="72">IF(AND(L15&gt;0,L16&lt;0),-(L16)/L15,0)</f>
        <v>6.3364425860405277E-2</v>
      </c>
      <c r="M83" s="46">
        <f t="shared" si="72"/>
        <v>9.2780273743600455E-2</v>
      </c>
      <c r="N83" s="46">
        <f t="shared" si="72"/>
        <v>0</v>
      </c>
      <c r="O83" s="46">
        <f t="shared" si="72"/>
        <v>0.36370967741935484</v>
      </c>
      <c r="P83" s="46">
        <f t="shared" si="72"/>
        <v>0.1164284234514191</v>
      </c>
      <c r="Q83" s="46">
        <f t="shared" si="71"/>
        <v>0.1480972399193346</v>
      </c>
      <c r="T83" s="46">
        <f t="shared" ref="T83:Z83" si="73">IF(AND(T15&gt;0,T16&lt;0),-(T16)/T15,0)</f>
        <v>0.13150557620817843</v>
      </c>
      <c r="U83" s="46">
        <f t="shared" si="73"/>
        <v>0.10068259385665529</v>
      </c>
      <c r="V83" s="46">
        <f t="shared" si="73"/>
        <v>0.11121628017037388</v>
      </c>
      <c r="W83" s="46">
        <f t="shared" si="73"/>
        <v>0.11814927017350592</v>
      </c>
      <c r="X83" s="46">
        <f t="shared" si="73"/>
        <v>0.13677610955287905</v>
      </c>
      <c r="Y83" s="46">
        <f t="shared" si="73"/>
        <v>0.14672029702970296</v>
      </c>
      <c r="Z83" s="46">
        <f t="shared" si="73"/>
        <v>0.14988558352402745</v>
      </c>
      <c r="AA83" s="46">
        <f t="shared" ref="AA83" si="74">IF(AND(AA15&gt;0,AA16&lt;0),-(AA16)/AA15,0)</f>
        <v>0.14880871648808716</v>
      </c>
      <c r="AC83" s="46">
        <f>IF(AND(AC15&gt;0,AC16&lt;0),-(AC16)/AC15,0)</f>
        <v>0.1480972399193346</v>
      </c>
    </row>
    <row r="84" spans="1:31" x14ac:dyDescent="0.2">
      <c r="B84" s="20" t="s">
        <v>73</v>
      </c>
      <c r="C84" s="21"/>
      <c r="D84" s="21"/>
      <c r="E84" s="21"/>
      <c r="F84" s="21"/>
      <c r="G84" s="21"/>
      <c r="H84" s="21"/>
      <c r="I84" s="21"/>
      <c r="J84" s="21"/>
      <c r="K84" s="21"/>
      <c r="L84" s="21">
        <v>47500</v>
      </c>
      <c r="M84" s="21">
        <v>51000</v>
      </c>
      <c r="N84" s="21">
        <v>54000</v>
      </c>
      <c r="O84" s="21">
        <v>57000</v>
      </c>
      <c r="P84" s="21">
        <v>60000</v>
      </c>
      <c r="Q84" s="238">
        <v>60000</v>
      </c>
      <c r="T84" s="68"/>
      <c r="U84" s="68"/>
      <c r="V84" s="68"/>
      <c r="W84" s="68"/>
      <c r="X84" s="68"/>
      <c r="Y84" s="68"/>
      <c r="Z84" s="68"/>
      <c r="AA84" s="68"/>
      <c r="AC84" s="21">
        <f>Q84</f>
        <v>60000</v>
      </c>
    </row>
    <row r="85" spans="1:31" x14ac:dyDescent="0.2">
      <c r="B85" s="20" t="s">
        <v>74</v>
      </c>
      <c r="C85" s="21"/>
      <c r="D85" s="21"/>
      <c r="E85" s="21"/>
      <c r="F85" s="21"/>
      <c r="G85" s="21"/>
      <c r="H85" s="21"/>
      <c r="I85" s="21"/>
      <c r="J85" s="21"/>
      <c r="K85" s="21"/>
      <c r="L85" s="21">
        <v>1</v>
      </c>
      <c r="M85" s="21">
        <v>1</v>
      </c>
      <c r="N85" s="21">
        <v>1</v>
      </c>
      <c r="O85" s="21">
        <v>1</v>
      </c>
      <c r="P85" s="21">
        <v>1</v>
      </c>
      <c r="Q85" s="21">
        <v>1</v>
      </c>
      <c r="T85" s="21">
        <v>1</v>
      </c>
      <c r="U85" s="21">
        <v>1</v>
      </c>
      <c r="V85" s="21">
        <v>1</v>
      </c>
      <c r="W85" s="21">
        <v>1</v>
      </c>
      <c r="X85" s="21">
        <v>1</v>
      </c>
      <c r="Y85" s="21">
        <v>1</v>
      </c>
      <c r="Z85" s="21">
        <v>1</v>
      </c>
      <c r="AA85" s="21">
        <v>1</v>
      </c>
      <c r="AC85" s="21">
        <v>1</v>
      </c>
    </row>
    <row r="87" spans="1:31" x14ac:dyDescent="0.2">
      <c r="B87" s="1"/>
    </row>
    <row r="88" spans="1:31" s="15" customFormat="1" ht="17" thickBot="1" x14ac:dyDescent="0.25">
      <c r="A88" s="11"/>
      <c r="B88" s="14" t="s">
        <v>75</v>
      </c>
      <c r="R88" s="1"/>
      <c r="S88" s="1"/>
      <c r="AB88" s="1"/>
      <c r="AD88" s="1"/>
      <c r="AE88" s="1"/>
    </row>
    <row r="89" spans="1:31" s="41" customFormat="1" x14ac:dyDescent="0.2">
      <c r="A89" s="16"/>
      <c r="B89" s="17" t="s">
        <v>19</v>
      </c>
      <c r="C89" s="47"/>
      <c r="D89" s="48"/>
      <c r="E89" s="48"/>
      <c r="F89" s="48"/>
      <c r="G89" s="48"/>
      <c r="H89" s="48"/>
      <c r="I89" s="48"/>
      <c r="J89" s="48"/>
      <c r="K89" s="48"/>
      <c r="L89" s="48">
        <f t="shared" ref="L89:L96" si="75">IF(K5=0,
IF(L5=0,0,IF(L5&gt;0,1,-1)),
(L5-K5)/ABS(K5)
)</f>
        <v>1</v>
      </c>
      <c r="M89" s="48">
        <f t="shared" ref="M89:M96" si="76">IF(L5=0,
IF(M5=0,0,IF(M5&gt;0,1,-1)),
(M5-L5)/ABS(L5)
)</f>
        <v>0.11019671539433315</v>
      </c>
      <c r="N89" s="48">
        <f t="shared" ref="N89:N96" si="77">IF(M5=0,
IF(N5=0,0,IF(N5&gt;0,1,-1)),
(N5-M5)/ABS(M5)
)</f>
        <v>-0.49476558944014565</v>
      </c>
      <c r="O89" s="48">
        <f t="shared" ref="O89:O96" si="78">IF(N5=0,
IF(O5=0,0,IF(O5&gt;0,1,-1)),
(O5-N5)/ABS(N5)
)</f>
        <v>0.61589446589446595</v>
      </c>
      <c r="P89" s="48">
        <f t="shared" ref="P89:P96" si="79">IF(O5=0,
IF(P5=0,0,IF(P5&gt;0,1,-1)),
(P5-O5)/ABS(O5)
)</f>
        <v>0.48851101111066864</v>
      </c>
      <c r="Q89" s="48">
        <f t="shared" ref="Q89:Q96" si="80">IF(P5=0,
IF(Q5=0,0,IF(Q5&gt;0,1,-1)),
(Q5-P5)/ABS(P5)
)</f>
        <v>2.563272513243084</v>
      </c>
      <c r="R89" s="1"/>
      <c r="S89" s="1"/>
      <c r="T89" s="48">
        <f t="shared" ref="T89:T96" si="81">IF(S5=0,
IF(T5=0,0,IF(T5&gt;0,1,-1)),
(T5-S5)/ABS(S5)
)</f>
        <v>1</v>
      </c>
      <c r="U89" s="48">
        <f t="shared" ref="U89:U96" si="82">IF(T5=0,
IF(U5=0,0,IF(U5&gt;0,1,-1)),
(U5-T5)/ABS(T5)
)</f>
        <v>-7.5324377081180394E-2</v>
      </c>
      <c r="V89" s="48">
        <f t="shared" ref="V89:V96" si="83">IF(U5=0,
IF(V5=0,0,IF(V5&gt;0,1,-1)),
(V5-U5)/ABS(U5)
)</f>
        <v>0.1549733018750776</v>
      </c>
      <c r="W89" s="48">
        <f t="shared" ref="W89:W96" si="84">IF(V5=0,
IF(W5=0,0,IF(W5&gt;0,1,-1)),
(W5-V5)/ABS(V5)
)</f>
        <v>0.21653585635953124</v>
      </c>
      <c r="X89" s="48">
        <f t="shared" ref="X89:X96" si="85">IF(W5=0,
IF(X5=0,0,IF(X5&gt;0,1,-1)),
(X5-W5)/ABS(W5)
)</f>
        <v>0.2057445868316394</v>
      </c>
      <c r="Y89" s="48">
        <f t="shared" ref="Y89:Y96" si="86">IF(X5=0,
IF(Y5=0,0,IF(Y5&gt;0,1,-1)),
(Y5-X5)/ABS(X5)
)</f>
        <v>0.74888221065748006</v>
      </c>
      <c r="Z89" s="48">
        <f t="shared" ref="Z89:Z96" si="87">IF(Y5=0,
IF(Z5=0,0,IF(Z5&gt;0,1,-1)),
(Z5-Y5)/ABS(Y5)
)</f>
        <v>0.73746856663872595</v>
      </c>
      <c r="AA89" s="48">
        <f t="shared" ref="AA89:AA96" si="88">IF(Z5=0,
IF(AA5=0,0,IF(AA5&gt;0,1,-1)),
(AA5-Z5)/ABS(Z5)
)</f>
        <v>0.30810980316480124</v>
      </c>
      <c r="AB89" s="1"/>
      <c r="AC89" s="67"/>
      <c r="AD89" s="1"/>
      <c r="AE89" s="1"/>
    </row>
    <row r="90" spans="1:31" x14ac:dyDescent="0.2">
      <c r="B90" s="20" t="s">
        <v>20</v>
      </c>
      <c r="C90" s="49"/>
      <c r="D90" s="50"/>
      <c r="E90" s="50"/>
      <c r="F90" s="50"/>
      <c r="G90" s="50"/>
      <c r="H90" s="50"/>
      <c r="I90" s="50"/>
      <c r="J90" s="50"/>
      <c r="K90" s="50"/>
      <c r="L90" s="50">
        <f t="shared" si="75"/>
        <v>1</v>
      </c>
      <c r="M90" s="50">
        <f t="shared" si="76"/>
        <v>-2.4418470084480962E-2</v>
      </c>
      <c r="N90" s="50">
        <f t="shared" si="77"/>
        <v>5.6939501779359435E-3</v>
      </c>
      <c r="O90" s="50">
        <f t="shared" si="78"/>
        <v>0.14991743335692381</v>
      </c>
      <c r="P90" s="50">
        <f t="shared" si="79"/>
        <v>0.15422094573802442</v>
      </c>
      <c r="Q90" s="50">
        <f t="shared" si="80"/>
        <v>0.14125749833370363</v>
      </c>
      <c r="T90" s="50">
        <f t="shared" si="81"/>
        <v>1</v>
      </c>
      <c r="U90" s="50">
        <f t="shared" si="82"/>
        <v>-5.0550270471926881E-2</v>
      </c>
      <c r="V90" s="50">
        <f t="shared" si="83"/>
        <v>0.13811394891944989</v>
      </c>
      <c r="W90" s="50">
        <f t="shared" si="84"/>
        <v>8.0787156913516317E-2</v>
      </c>
      <c r="X90" s="50">
        <f t="shared" si="85"/>
        <v>-4.2165788212745567E-2</v>
      </c>
      <c r="Y90" s="50">
        <f t="shared" si="86"/>
        <v>1.8009004502251125E-2</v>
      </c>
      <c r="Z90" s="50">
        <f t="shared" si="87"/>
        <v>4.8321048321048318E-2</v>
      </c>
      <c r="AA90" s="50">
        <f t="shared" si="88"/>
        <v>0.1221875</v>
      </c>
      <c r="AC90" s="68"/>
    </row>
    <row r="91" spans="1:31" s="41" customFormat="1" x14ac:dyDescent="0.2">
      <c r="A91" s="16"/>
      <c r="B91" s="17" t="s">
        <v>21</v>
      </c>
      <c r="C91" s="47"/>
      <c r="D91" s="48"/>
      <c r="E91" s="48"/>
      <c r="F91" s="48"/>
      <c r="G91" s="48"/>
      <c r="H91" s="48"/>
      <c r="I91" s="48"/>
      <c r="J91" s="48"/>
      <c r="K91" s="48"/>
      <c r="L91" s="48">
        <f t="shared" si="75"/>
        <v>1</v>
      </c>
      <c r="M91" s="48">
        <f t="shared" si="76"/>
        <v>0.33339729444497745</v>
      </c>
      <c r="N91" s="48">
        <f t="shared" si="77"/>
        <v>-1.1018851633328537</v>
      </c>
      <c r="O91" s="48">
        <f t="shared" si="78"/>
        <v>4.9639830508474576</v>
      </c>
      <c r="P91" s="48">
        <f t="shared" si="79"/>
        <v>1.6497416711206128</v>
      </c>
      <c r="Q91" s="48">
        <f t="shared" si="80"/>
        <v>6.228131513480804</v>
      </c>
      <c r="R91" s="1"/>
      <c r="S91" s="1"/>
      <c r="T91" s="48">
        <f t="shared" si="81"/>
        <v>1</v>
      </c>
      <c r="U91" s="48">
        <f t="shared" si="82"/>
        <v>-0.11499402628434886</v>
      </c>
      <c r="V91" s="48">
        <f t="shared" si="83"/>
        <v>0.18393520080998987</v>
      </c>
      <c r="W91" s="48">
        <f t="shared" si="84"/>
        <v>0.44070695553021666</v>
      </c>
      <c r="X91" s="48">
        <f t="shared" si="85"/>
        <v>0.51286110011871788</v>
      </c>
      <c r="Y91" s="48">
        <f t="shared" si="86"/>
        <v>1.3221292178917081</v>
      </c>
      <c r="Z91" s="48">
        <f t="shared" si="87"/>
        <v>0.97442973810194311</v>
      </c>
      <c r="AA91" s="48">
        <f t="shared" si="88"/>
        <v>0.3420527156549521</v>
      </c>
      <c r="AB91" s="1"/>
      <c r="AC91" s="67"/>
      <c r="AD91" s="1"/>
      <c r="AE91" s="1"/>
    </row>
    <row r="92" spans="1:31" x14ac:dyDescent="0.2">
      <c r="B92" s="20" t="s">
        <v>22</v>
      </c>
      <c r="C92" s="49"/>
      <c r="D92" s="50"/>
      <c r="E92" s="50"/>
      <c r="F92" s="50"/>
      <c r="G92" s="50"/>
      <c r="H92" s="50"/>
      <c r="I92" s="50"/>
      <c r="J92" s="50"/>
      <c r="K92" s="50"/>
      <c r="L92" s="50">
        <f t="shared" si="75"/>
        <v>1</v>
      </c>
      <c r="M92" s="50">
        <f t="shared" si="76"/>
        <v>0.17010889973713855</v>
      </c>
      <c r="N92" s="50">
        <f t="shared" si="77"/>
        <v>-6.4184852374839533E-4</v>
      </c>
      <c r="O92" s="50">
        <f t="shared" si="78"/>
        <v>0.1014771997430957</v>
      </c>
      <c r="P92" s="50">
        <f t="shared" si="79"/>
        <v>0.10728862973760933</v>
      </c>
      <c r="Q92" s="50">
        <f t="shared" si="80"/>
        <v>0.48762506582411796</v>
      </c>
      <c r="T92" s="50">
        <f t="shared" si="81"/>
        <v>1</v>
      </c>
      <c r="U92" s="50">
        <f t="shared" si="82"/>
        <v>1.1261261261261261E-2</v>
      </c>
      <c r="V92" s="50">
        <f t="shared" si="83"/>
        <v>7.4610244988864149E-2</v>
      </c>
      <c r="W92" s="50">
        <f t="shared" si="84"/>
        <v>8.4974093264248707E-2</v>
      </c>
      <c r="X92" s="50">
        <f t="shared" si="85"/>
        <v>0.11843361986628462</v>
      </c>
      <c r="Y92" s="50">
        <f t="shared" si="86"/>
        <v>6.7463706233988049E-2</v>
      </c>
      <c r="Z92" s="50">
        <f t="shared" si="87"/>
        <v>5.28E-2</v>
      </c>
      <c r="AA92" s="50">
        <f t="shared" si="88"/>
        <v>0.45364741641337386</v>
      </c>
      <c r="AC92" s="68"/>
    </row>
    <row r="93" spans="1:31" x14ac:dyDescent="0.2">
      <c r="B93" s="20" t="s">
        <v>23</v>
      </c>
      <c r="C93" s="49"/>
      <c r="D93" s="50"/>
      <c r="E93" s="50"/>
      <c r="F93" s="50"/>
      <c r="G93" s="50"/>
      <c r="H93" s="50"/>
      <c r="I93" s="50"/>
      <c r="J93" s="50"/>
      <c r="K93" s="50"/>
      <c r="L93" s="50">
        <f t="shared" si="75"/>
        <v>1</v>
      </c>
      <c r="M93" s="50">
        <f t="shared" si="76"/>
        <v>0.19239373601789708</v>
      </c>
      <c r="N93" s="50">
        <f t="shared" si="77"/>
        <v>-0.13696060037523453</v>
      </c>
      <c r="O93" s="50">
        <f t="shared" si="78"/>
        <v>0.22717391304347825</v>
      </c>
      <c r="P93" s="50">
        <f t="shared" si="79"/>
        <v>6.7316209034543842E-2</v>
      </c>
      <c r="Q93" s="50">
        <f t="shared" si="80"/>
        <v>0.61576763485477182</v>
      </c>
      <c r="T93" s="50">
        <f t="shared" si="81"/>
        <v>1</v>
      </c>
      <c r="U93" s="50">
        <f t="shared" si="82"/>
        <v>-1.0416666666666666E-2</v>
      </c>
      <c r="V93" s="50">
        <f t="shared" si="83"/>
        <v>0.11578947368421053</v>
      </c>
      <c r="W93" s="50">
        <f t="shared" si="84"/>
        <v>-1.2578616352201259E-2</v>
      </c>
      <c r="X93" s="50">
        <f t="shared" si="85"/>
        <v>7.32484076433121E-2</v>
      </c>
      <c r="Y93" s="50">
        <f t="shared" si="86"/>
        <v>2.0771513353115726E-2</v>
      </c>
      <c r="Z93" s="50">
        <f t="shared" si="87"/>
        <v>0.18313953488372092</v>
      </c>
      <c r="AA93" s="50">
        <f t="shared" si="88"/>
        <v>1.1105651105651106</v>
      </c>
      <c r="AC93" s="68"/>
    </row>
    <row r="94" spans="1:31" x14ac:dyDescent="0.2">
      <c r="B94" s="23" t="s">
        <v>27</v>
      </c>
      <c r="C94" s="49"/>
      <c r="D94" s="50"/>
      <c r="E94" s="50"/>
      <c r="F94" s="50"/>
      <c r="G94" s="50"/>
      <c r="H94" s="50"/>
      <c r="I94" s="50"/>
      <c r="J94" s="50"/>
      <c r="K94" s="50"/>
      <c r="L94" s="50">
        <f t="shared" si="75"/>
        <v>1</v>
      </c>
      <c r="M94" s="50">
        <f t="shared" si="76"/>
        <v>-0.97598627787307035</v>
      </c>
      <c r="N94" s="50">
        <f t="shared" si="77"/>
        <v>20.071428571428573</v>
      </c>
      <c r="O94" s="50">
        <f t="shared" si="78"/>
        <v>-1.847457627118644</v>
      </c>
      <c r="P94" s="50">
        <f t="shared" si="79"/>
        <v>1.4</v>
      </c>
      <c r="Q94" s="50">
        <f t="shared" si="80"/>
        <v>4.67</v>
      </c>
      <c r="T94" s="50">
        <f t="shared" si="81"/>
        <v>-1</v>
      </c>
      <c r="U94" s="50">
        <f t="shared" si="82"/>
        <v>4.5</v>
      </c>
      <c r="V94" s="50">
        <f t="shared" si="83"/>
        <v>7</v>
      </c>
      <c r="W94" s="50">
        <f t="shared" si="84"/>
        <v>-0.30357142857142855</v>
      </c>
      <c r="X94" s="50">
        <f t="shared" si="85"/>
        <v>-0.94871794871794868</v>
      </c>
      <c r="Y94" s="50">
        <f t="shared" si="86"/>
        <v>12</v>
      </c>
      <c r="Z94" s="50">
        <f t="shared" si="87"/>
        <v>-0.42307692307692307</v>
      </c>
      <c r="AA94" s="50">
        <f t="shared" si="88"/>
        <v>33.93333333333333</v>
      </c>
      <c r="AC94" s="68"/>
    </row>
    <row r="95" spans="1:31" x14ac:dyDescent="0.2">
      <c r="B95" s="23" t="s">
        <v>24</v>
      </c>
      <c r="C95" s="49"/>
      <c r="D95" s="50"/>
      <c r="E95" s="50"/>
      <c r="F95" s="50"/>
      <c r="G95" s="50"/>
      <c r="H95" s="50"/>
      <c r="I95" s="50"/>
      <c r="J95" s="50"/>
      <c r="K95" s="50"/>
      <c r="L95" s="50">
        <f t="shared" si="75"/>
        <v>1</v>
      </c>
      <c r="M95" s="50">
        <f t="shared" si="76"/>
        <v>1.3526570048309179E-2</v>
      </c>
      <c r="N95" s="50">
        <f t="shared" si="77"/>
        <v>3.169685414680648E-2</v>
      </c>
      <c r="O95" s="50">
        <f t="shared" si="78"/>
        <v>-4.6200046200046202E-3</v>
      </c>
      <c r="P95" s="50">
        <f t="shared" si="79"/>
        <v>0.18426549083313995</v>
      </c>
      <c r="Q95" s="50">
        <f t="shared" si="80"/>
        <v>0.59984322947285906</v>
      </c>
      <c r="T95" s="50">
        <f t="shared" si="81"/>
        <v>1</v>
      </c>
      <c r="U95" s="50">
        <f t="shared" si="82"/>
        <v>1.3628620102214651E-2</v>
      </c>
      <c r="V95" s="50">
        <f t="shared" si="83"/>
        <v>0.12521008403361344</v>
      </c>
      <c r="W95" s="50">
        <f t="shared" si="84"/>
        <v>4.5556385362210607E-2</v>
      </c>
      <c r="X95" s="50">
        <f t="shared" si="85"/>
        <v>7.857142857142857E-2</v>
      </c>
      <c r="Y95" s="50">
        <f t="shared" si="86"/>
        <v>7.2847682119205295E-2</v>
      </c>
      <c r="Z95" s="50">
        <f t="shared" si="87"/>
        <v>7.2839506172839505E-2</v>
      </c>
      <c r="AA95" s="50">
        <f t="shared" si="88"/>
        <v>0.89643268124280784</v>
      </c>
      <c r="AC95" s="68"/>
    </row>
    <row r="96" spans="1:31" s="41" customFormat="1" x14ac:dyDescent="0.2">
      <c r="A96" s="16"/>
      <c r="B96" s="17" t="s">
        <v>25</v>
      </c>
      <c r="C96" s="47"/>
      <c r="D96" s="48"/>
      <c r="E96" s="48"/>
      <c r="F96" s="48"/>
      <c r="G96" s="48"/>
      <c r="H96" s="48"/>
      <c r="I96" s="48"/>
      <c r="J96" s="48"/>
      <c r="K96" s="48"/>
      <c r="L96" s="48">
        <f t="shared" si="75"/>
        <v>1</v>
      </c>
      <c r="M96" s="48">
        <f t="shared" si="76"/>
        <v>0.54416679929969758</v>
      </c>
      <c r="N96" s="48">
        <f t="shared" si="77"/>
        <v>-1.5921459492888064</v>
      </c>
      <c r="O96" s="48">
        <f t="shared" si="78"/>
        <v>1.2269799825935597</v>
      </c>
      <c r="P96" s="48">
        <f t="shared" si="79"/>
        <v>6.492331288343558</v>
      </c>
      <c r="Q96" s="48">
        <f t="shared" si="80"/>
        <v>9.1678607983623337</v>
      </c>
      <c r="R96" s="1"/>
      <c r="S96" s="1"/>
      <c r="T96" s="48">
        <f t="shared" si="81"/>
        <v>1</v>
      </c>
      <c r="U96" s="48">
        <f t="shared" si="82"/>
        <v>-0.18445262189512421</v>
      </c>
      <c r="V96" s="48">
        <f t="shared" si="83"/>
        <v>0.2233502538071066</v>
      </c>
      <c r="W96" s="48">
        <f t="shared" si="84"/>
        <v>0.68464730290456433</v>
      </c>
      <c r="X96" s="48">
        <f t="shared" si="85"/>
        <v>0.67925561029009307</v>
      </c>
      <c r="Y96" s="48">
        <f t="shared" si="86"/>
        <v>1.6295632333767927</v>
      </c>
      <c r="Z96" s="48">
        <f t="shared" si="87"/>
        <v>1.0649519677719244</v>
      </c>
      <c r="AA96" s="48">
        <f t="shared" si="88"/>
        <v>0.3131340416591632</v>
      </c>
      <c r="AB96" s="1"/>
      <c r="AC96" s="67"/>
      <c r="AD96" s="1"/>
      <c r="AE96" s="1"/>
    </row>
    <row r="97" spans="1:31" s="53" customFormat="1" x14ac:dyDescent="0.2">
      <c r="A97" s="16"/>
      <c r="B97" s="51" t="s">
        <v>28</v>
      </c>
      <c r="C97" s="47"/>
      <c r="D97" s="52"/>
      <c r="E97" s="52"/>
      <c r="F97" s="52"/>
      <c r="G97" s="52"/>
      <c r="H97" s="52"/>
      <c r="I97" s="52"/>
      <c r="J97" s="52"/>
      <c r="K97" s="52"/>
      <c r="L97" s="52">
        <f t="shared" ref="L97:Q97" si="89">IF(K15=0,
IF(L15=0,0,IF(L15&gt;0,1,-1)),
(L15-K15)/ABS(K15)
)</f>
        <v>1</v>
      </c>
      <c r="M97" s="52">
        <f t="shared" si="89"/>
        <v>0.5392409134770022</v>
      </c>
      <c r="N97" s="52">
        <f t="shared" si="89"/>
        <v>-1.5911607982446976</v>
      </c>
      <c r="O97" s="52">
        <f t="shared" si="89"/>
        <v>1.2191587133262638</v>
      </c>
      <c r="P97" s="52">
        <f t="shared" si="89"/>
        <v>6.7854838709677416</v>
      </c>
      <c r="Q97" s="52">
        <f t="shared" si="89"/>
        <v>9.3243215247565772</v>
      </c>
      <c r="R97" s="1"/>
      <c r="S97" s="1"/>
      <c r="T97" s="52">
        <f t="shared" ref="T97" si="90">IF(S15=0,
IF(T15=0,0,IF(T15&gt;0,1,-1)),
(T15-S15)/ABS(S15)
)</f>
        <v>1</v>
      </c>
      <c r="U97" s="52">
        <f t="shared" ref="U97" si="91">IF(T15=0,
IF(U15=0,0,IF(U15&gt;0,1,-1)),
(U15-T15)/ABS(T15)
)</f>
        <v>-0.18308550185873607</v>
      </c>
      <c r="V97" s="52">
        <f t="shared" ref="V97" si="92">IF(U15=0,
IF(V15=0,0,IF(V15&gt;0,1,-1)),
(V15-U15)/ABS(U15)
)</f>
        <v>0.20193401592718999</v>
      </c>
      <c r="W97" s="52">
        <f t="shared" ref="W97" si="93">IF(V15=0,
IF(W15=0,0,IF(W15&gt;0,1,-1)),
(W15-V15)/ABS(V15)
)</f>
        <v>0.71840984382394701</v>
      </c>
      <c r="X97" s="52">
        <f t="shared" ref="X97" si="94">IF(W15=0,
IF(X15=0,0,IF(X15&gt;0,1,-1)),
(X15-W15)/ABS(W15)
)</f>
        <v>0.66923712475901953</v>
      </c>
      <c r="Y97" s="52">
        <f t="shared" ref="Y97" si="95">IF(X15=0,
IF(Y15=0,0,IF(Y15&gt;0,1,-1)),
(Y15-X15)/ABS(X15)
)</f>
        <v>1.6662266952648077</v>
      </c>
      <c r="Z97" s="52">
        <f t="shared" ref="Z97" si="96">IF(Y15=0,
IF(Z15=0,0,IF(Z15&gt;0,1,-1)),
(Z15-Y15)/ABS(Y15)
)</f>
        <v>1.0551980198019801</v>
      </c>
      <c r="AA97" s="52">
        <f t="shared" ref="AA97" si="97">IF(Z15=0,
IF(AA15=0,0,IF(AA15&gt;0,1,-1)),
(AA15-Z15)/ABS(Z15)
)</f>
        <v>0.33198843791400701</v>
      </c>
      <c r="AB97" s="1"/>
      <c r="AC97" s="67"/>
      <c r="AD97" s="1"/>
      <c r="AE97" s="1"/>
    </row>
    <row r="98" spans="1:31" s="53" customFormat="1" x14ac:dyDescent="0.2">
      <c r="A98" s="16"/>
      <c r="B98" s="51" t="s">
        <v>30</v>
      </c>
      <c r="C98" s="47"/>
      <c r="D98" s="52"/>
      <c r="E98" s="52"/>
      <c r="F98" s="52"/>
      <c r="G98" s="52"/>
      <c r="H98" s="52"/>
      <c r="I98" s="52"/>
      <c r="J98" s="52"/>
      <c r="K98" s="52"/>
      <c r="L98" s="52">
        <f t="shared" ref="L98:Q98" si="98">IF(K18=0,
IF(L18=0,0,IF(L18&gt;0,1,-1)),
(L18-K18)/ABS(K18)
)</f>
        <v>1</v>
      </c>
      <c r="M98" s="52">
        <f t="shared" si="98"/>
        <v>0.48217027810953761</v>
      </c>
      <c r="N98" s="52">
        <f t="shared" si="98"/>
        <v>-1.6714631057902614</v>
      </c>
      <c r="O98" s="52">
        <f t="shared" si="98"/>
        <v>1.1333790502314418</v>
      </c>
      <c r="P98" s="52">
        <f t="shared" si="98"/>
        <v>9.9755784061696655</v>
      </c>
      <c r="Q98" s="52">
        <f t="shared" si="98"/>
        <v>8.9506968029043215</v>
      </c>
      <c r="R98" s="1"/>
      <c r="S98" s="1"/>
      <c r="T98" s="52">
        <f t="shared" ref="T98" si="99">IF(S18=0,
IF(T18=0,0,IF(T18&gt;0,1,-1)),
(T18-S18)/ABS(S18)
)</f>
        <v>1</v>
      </c>
      <c r="U98" s="52">
        <f t="shared" ref="U98" si="100">IF(T18=0,
IF(U18=0,0,IF(U18&gt;0,1,-1)),
(U18-T18)/ABS(T18)
)</f>
        <v>-0.153475935828877</v>
      </c>
      <c r="V98" s="52">
        <f t="shared" ref="V98" si="101">IF(U18=0,
IF(V18=0,0,IF(V18&gt;0,1,-1)),
(V18-U18)/ABS(U18)
)</f>
        <v>0.19077700568540745</v>
      </c>
      <c r="W98" s="52">
        <f t="shared" ref="W98" si="102">IF(V18=0,
IF(W18=0,0,IF(W18&gt;0,1,-1)),
(W18-V18)/ABS(V18)
)</f>
        <v>0.69814323607427053</v>
      </c>
      <c r="X98" s="52">
        <f t="shared" ref="X98" si="103">IF(W18=0,
IF(X18=0,0,IF(X18&gt;0,1,-1)),
(X18-W18)/ABS(W18)
)</f>
        <v>0.63698844111215247</v>
      </c>
      <c r="Y98" s="52">
        <f t="shared" ref="Y98" si="104">IF(X18=0,
IF(Y18=0,0,IF(Y18&gt;0,1,-1)),
(Y18-X18)/ABS(X18)
)</f>
        <v>1.6307251908396947</v>
      </c>
      <c r="Z98" s="52">
        <f t="shared" ref="Z98" si="105">IF(Y18=0,
IF(Z18=0,0,IF(Z18&gt;0,1,-1)),
(Z18-Y18)/ABS(Y18)
)</f>
        <v>1.0488211824446863</v>
      </c>
      <c r="AA98" s="52">
        <f t="shared" ref="AA98" si="106">IF(Z18=0,
IF(AA18=0,0,IF(AA18&gt;0,1,-1)),
(AA18-Z18)/ABS(Z18)
)</f>
        <v>0.33487943915306445</v>
      </c>
      <c r="AB98" s="1"/>
      <c r="AC98" s="67"/>
      <c r="AD98" s="1"/>
      <c r="AE98" s="1"/>
    </row>
    <row r="99" spans="1:31" x14ac:dyDescent="0.2">
      <c r="B99" s="1"/>
    </row>
    <row r="100" spans="1:31" s="15" customFormat="1" ht="17" thickBot="1" x14ac:dyDescent="0.25">
      <c r="A100" s="11"/>
      <c r="B100" s="14" t="s">
        <v>76</v>
      </c>
      <c r="R100" s="1"/>
      <c r="S100" s="1"/>
      <c r="AB100" s="1"/>
      <c r="AD100" s="1"/>
      <c r="AE100" s="1"/>
    </row>
    <row r="101" spans="1:31" x14ac:dyDescent="0.2">
      <c r="B101" s="20" t="s">
        <v>77</v>
      </c>
      <c r="C101" s="50"/>
      <c r="D101" s="50"/>
      <c r="E101" s="50"/>
      <c r="F101" s="50"/>
      <c r="G101" s="50"/>
      <c r="H101" s="50"/>
      <c r="I101" s="50"/>
      <c r="J101" s="50"/>
      <c r="K101" s="50"/>
      <c r="L101" s="50">
        <f t="shared" ref="L101:Q101" si="107">L7/L5</f>
        <v>0.37621367984118392</v>
      </c>
      <c r="M101" s="50">
        <f t="shared" si="107"/>
        <v>0.45184992522270628</v>
      </c>
      <c r="N101" s="50">
        <f t="shared" si="107"/>
        <v>-9.1119691119691121E-2</v>
      </c>
      <c r="O101" s="50">
        <f t="shared" si="107"/>
        <v>0.22352753773246783</v>
      </c>
      <c r="P101" s="50">
        <f t="shared" si="107"/>
        <v>0.39790786023864305</v>
      </c>
      <c r="Q101" s="50">
        <f t="shared" si="107"/>
        <v>0.8071598041865633</v>
      </c>
      <c r="T101" s="50">
        <f t="shared" ref="T101:Z101" si="108">T7/T5</f>
        <v>0.38442990010334138</v>
      </c>
      <c r="U101" s="50">
        <f t="shared" si="108"/>
        <v>0.36793741462808893</v>
      </c>
      <c r="V101" s="50">
        <f t="shared" si="108"/>
        <v>0.37716374583378132</v>
      </c>
      <c r="W101" s="50">
        <f t="shared" si="108"/>
        <v>0.44666372072470173</v>
      </c>
      <c r="X101" s="50">
        <f t="shared" si="108"/>
        <v>0.56043392215788312</v>
      </c>
      <c r="Y101" s="50">
        <f t="shared" si="108"/>
        <v>0.74413243922883487</v>
      </c>
      <c r="Z101" s="50">
        <f t="shared" si="108"/>
        <v>0.84561945194905441</v>
      </c>
      <c r="AA101" s="50">
        <f t="shared" ref="AA101" si="109">AA7/AA5</f>
        <v>0.86756163676261777</v>
      </c>
      <c r="AC101" s="50">
        <f>AC7/AC5</f>
        <v>0.8071598041865633</v>
      </c>
    </row>
    <row r="102" spans="1:31" x14ac:dyDescent="0.2">
      <c r="B102" s="20" t="s">
        <v>78</v>
      </c>
      <c r="C102" s="50"/>
      <c r="D102" s="50"/>
      <c r="E102" s="50"/>
      <c r="F102" s="50"/>
      <c r="G102" s="50"/>
      <c r="H102" s="50"/>
      <c r="I102" s="50"/>
      <c r="J102" s="50"/>
      <c r="K102" s="50"/>
      <c r="L102" s="50">
        <f t="shared" ref="L102:Q102" si="110">L12/L5</f>
        <v>0.22678216928352282</v>
      </c>
      <c r="M102" s="50">
        <f t="shared" si="110"/>
        <v>0.31543013199817932</v>
      </c>
      <c r="N102" s="50">
        <f t="shared" si="110"/>
        <v>-0.36969111969111967</v>
      </c>
      <c r="O102" s="50">
        <f t="shared" si="110"/>
        <v>5.192943331607662E-2</v>
      </c>
      <c r="P102" s="50">
        <f t="shared" si="110"/>
        <v>0.26138370164267749</v>
      </c>
      <c r="Q102" s="50">
        <f t="shared" si="110"/>
        <v>0.7458629906598192</v>
      </c>
      <c r="T102" s="50">
        <f t="shared" ref="T102:Z102" si="111">T12/T5</f>
        <v>0.24962682282696061</v>
      </c>
      <c r="U102" s="50">
        <f t="shared" si="111"/>
        <v>0.22016639761579535</v>
      </c>
      <c r="V102" s="50">
        <f t="shared" si="111"/>
        <v>0.23320073110418235</v>
      </c>
      <c r="W102" s="50">
        <f t="shared" si="111"/>
        <v>0.32293415819708354</v>
      </c>
      <c r="X102" s="50">
        <f t="shared" si="111"/>
        <v>0.44975445283295462</v>
      </c>
      <c r="Y102" s="50">
        <f t="shared" si="111"/>
        <v>0.67623637887678123</v>
      </c>
      <c r="Z102" s="50">
        <f t="shared" si="111"/>
        <v>0.80369548436896954</v>
      </c>
      <c r="AA102" s="50">
        <f t="shared" ref="AA102" si="112">AA12/AA5</f>
        <v>0.80678234892769551</v>
      </c>
      <c r="AC102" s="50">
        <f>AC12/AC5</f>
        <v>0.7458629906598192</v>
      </c>
    </row>
    <row r="103" spans="1:31" s="56" customFormat="1" x14ac:dyDescent="0.2">
      <c r="A103" s="1"/>
      <c r="B103" s="54" t="s">
        <v>79</v>
      </c>
      <c r="C103" s="55"/>
      <c r="D103" s="55"/>
      <c r="E103" s="55"/>
      <c r="F103" s="55"/>
      <c r="G103" s="55"/>
      <c r="H103" s="55"/>
      <c r="I103" s="55"/>
      <c r="J103" s="55"/>
      <c r="K103" s="55"/>
      <c r="L103" s="55">
        <f t="shared" ref="L103:Q103" si="113">L111/L5</f>
        <v>0.2115502616856163</v>
      </c>
      <c r="M103" s="55">
        <f t="shared" si="113"/>
        <v>0.28243058716431496</v>
      </c>
      <c r="N103" s="55">
        <f t="shared" si="113"/>
        <v>-0.37535392535392537</v>
      </c>
      <c r="O103" s="55">
        <f t="shared" si="113"/>
        <v>3.0982437975389271E-2</v>
      </c>
      <c r="P103" s="55">
        <f t="shared" si="113"/>
        <v>0.22844989030980792</v>
      </c>
      <c r="Q103" s="55">
        <f t="shared" si="113"/>
        <v>0.63796287953869713</v>
      </c>
      <c r="R103" s="1"/>
      <c r="S103" s="1"/>
      <c r="T103" s="55">
        <f t="shared" ref="T103:Z103" si="114">T111/T5</f>
        <v>0.21472040417958435</v>
      </c>
      <c r="U103" s="55">
        <f t="shared" si="114"/>
        <v>0.19657270582391656</v>
      </c>
      <c r="V103" s="55">
        <f t="shared" si="114"/>
        <v>0.20266637995914419</v>
      </c>
      <c r="W103" s="55">
        <f t="shared" si="114"/>
        <v>0.28289880689350422</v>
      </c>
      <c r="X103" s="55">
        <f t="shared" si="114"/>
        <v>0.38407974785604337</v>
      </c>
      <c r="Y103" s="55">
        <f t="shared" si="114"/>
        <v>0.57774518021793797</v>
      </c>
      <c r="Z103" s="55">
        <f t="shared" si="114"/>
        <v>0.68127653415669631</v>
      </c>
      <c r="AA103" s="55">
        <f t="shared" ref="AA103" si="115">AA111/AA5</f>
        <v>0.69521842556565672</v>
      </c>
      <c r="AB103" s="1"/>
      <c r="AC103" s="55">
        <f>AC111/AC5</f>
        <v>0.63796287953869713</v>
      </c>
      <c r="AD103" s="1"/>
      <c r="AE103" s="1"/>
    </row>
    <row r="104" spans="1:31" x14ac:dyDescent="0.2">
      <c r="B104" s="1"/>
    </row>
    <row r="105" spans="1:31" s="15" customFormat="1" ht="17" thickBot="1" x14ac:dyDescent="0.25">
      <c r="A105" s="11"/>
      <c r="B105" s="14" t="s">
        <v>109</v>
      </c>
      <c r="R105" s="1"/>
      <c r="S105" s="1"/>
      <c r="AB105" s="1"/>
      <c r="AD105" s="1"/>
      <c r="AE105" s="1"/>
    </row>
    <row r="106" spans="1:31" x14ac:dyDescent="0.2">
      <c r="B106" s="20" t="s">
        <v>72</v>
      </c>
      <c r="C106" s="81">
        <f t="shared" ref="C106:Q106" si="116">IF(AND(C83&gt;=0,C12&gt;=0),C83,0)</f>
        <v>0</v>
      </c>
      <c r="D106" s="81">
        <f t="shared" si="116"/>
        <v>0</v>
      </c>
      <c r="E106" s="81">
        <f t="shared" si="116"/>
        <v>0</v>
      </c>
      <c r="F106" s="81">
        <f t="shared" si="116"/>
        <v>0</v>
      </c>
      <c r="G106" s="81">
        <f t="shared" si="116"/>
        <v>0</v>
      </c>
      <c r="H106" s="81">
        <f t="shared" si="116"/>
        <v>0</v>
      </c>
      <c r="I106" s="81">
        <f t="shared" si="116"/>
        <v>0</v>
      </c>
      <c r="J106" s="81">
        <f t="shared" si="116"/>
        <v>0</v>
      </c>
      <c r="K106" s="81">
        <f t="shared" si="116"/>
        <v>0</v>
      </c>
      <c r="L106" s="81">
        <f t="shared" ref="L106:P106" si="117">IF(AND(L83&gt;=0,L12&gt;=0),L83,0)</f>
        <v>6.3364425860405277E-2</v>
      </c>
      <c r="M106" s="81">
        <f t="shared" si="117"/>
        <v>9.2780273743600455E-2</v>
      </c>
      <c r="N106" s="81">
        <f t="shared" si="117"/>
        <v>0</v>
      </c>
      <c r="O106" s="81">
        <f t="shared" si="117"/>
        <v>0.36370967741935484</v>
      </c>
      <c r="P106" s="81">
        <f t="shared" si="117"/>
        <v>0.1164284234514191</v>
      </c>
      <c r="Q106" s="81">
        <f t="shared" si="116"/>
        <v>0.1480972399193346</v>
      </c>
      <c r="T106" s="81">
        <f t="shared" ref="T106:Z106" si="118">IF(AND(T83&gt;=0,T12&gt;=0),T83,0)</f>
        <v>0.13150557620817843</v>
      </c>
      <c r="U106" s="81">
        <f t="shared" si="118"/>
        <v>0.10068259385665529</v>
      </c>
      <c r="V106" s="81">
        <f t="shared" si="118"/>
        <v>0.11121628017037388</v>
      </c>
      <c r="W106" s="81">
        <f t="shared" si="118"/>
        <v>0.11814927017350592</v>
      </c>
      <c r="X106" s="81">
        <f t="shared" si="118"/>
        <v>0.13677610955287905</v>
      </c>
      <c r="Y106" s="81">
        <f t="shared" si="118"/>
        <v>0.14672029702970296</v>
      </c>
      <c r="Z106" s="81">
        <f t="shared" si="118"/>
        <v>0.14988558352402745</v>
      </c>
      <c r="AA106" s="81">
        <f t="shared" ref="AA106" si="119">IF(AND(AA83&gt;=0,AA12&gt;=0),AA83,0)</f>
        <v>0.14880871648808716</v>
      </c>
      <c r="AC106" s="81">
        <f>IF(AND(AC83&gt;=0,AC12&gt;=0),AC83,0)</f>
        <v>0.1480972399193346</v>
      </c>
    </row>
    <row r="107" spans="1:31" x14ac:dyDescent="0.2">
      <c r="B107" s="20" t="s">
        <v>178</v>
      </c>
      <c r="C107" s="25"/>
      <c r="D107" s="25"/>
      <c r="E107" s="25"/>
      <c r="F107" s="25"/>
      <c r="G107" s="25"/>
      <c r="H107" s="25"/>
      <c r="I107" s="25"/>
      <c r="J107" s="25"/>
      <c r="K107" s="25"/>
      <c r="L107" s="25">
        <f>L29+L34</f>
        <v>10398</v>
      </c>
      <c r="M107" s="25">
        <f t="shared" ref="M107:P107" si="120">M29+M34</f>
        <v>10978</v>
      </c>
      <c r="N107" s="25">
        <f t="shared" si="120"/>
        <v>10438</v>
      </c>
      <c r="O107" s="25">
        <f t="shared" si="120"/>
        <v>9152</v>
      </c>
      <c r="P107" s="25">
        <f t="shared" si="120"/>
        <v>11936</v>
      </c>
      <c r="Q107" s="25">
        <f t="shared" ref="Q107" si="121">Q29+Q34</f>
        <v>73453</v>
      </c>
      <c r="T107" s="25">
        <f t="shared" ref="T107:Z107" si="122">T29+T34</f>
        <v>8744</v>
      </c>
      <c r="U107" s="25">
        <f t="shared" si="122"/>
        <v>9590</v>
      </c>
      <c r="V107" s="25">
        <f t="shared" si="122"/>
        <v>12213</v>
      </c>
      <c r="W107" s="25">
        <f t="shared" si="122"/>
        <v>11936</v>
      </c>
      <c r="X107" s="25">
        <f t="shared" si="122"/>
        <v>12015</v>
      </c>
      <c r="Y107" s="25">
        <f t="shared" si="122"/>
        <v>16627</v>
      </c>
      <c r="Z107" s="25">
        <f t="shared" si="122"/>
        <v>30128</v>
      </c>
      <c r="AA107" s="25">
        <f t="shared" ref="AA107" si="123">AA29+AA34</f>
        <v>73453</v>
      </c>
      <c r="AC107" s="25">
        <f>AA107</f>
        <v>73453</v>
      </c>
    </row>
    <row r="108" spans="1:31" x14ac:dyDescent="0.2">
      <c r="B108" s="20" t="s">
        <v>169</v>
      </c>
      <c r="C108" s="25">
        <v>0</v>
      </c>
      <c r="D108" s="25">
        <v>0</v>
      </c>
      <c r="E108" s="25">
        <v>0</v>
      </c>
      <c r="F108" s="25">
        <v>0</v>
      </c>
      <c r="G108" s="25">
        <v>0</v>
      </c>
      <c r="H108" s="25">
        <v>0</v>
      </c>
      <c r="I108" s="25">
        <v>0</v>
      </c>
      <c r="J108" s="25">
        <v>0</v>
      </c>
      <c r="K108" s="25">
        <v>0</v>
      </c>
      <c r="L108" s="25">
        <f t="shared" ref="L108:Q108" si="124">L39+L41</f>
        <v>6776</v>
      </c>
      <c r="M108" s="25">
        <f t="shared" si="124"/>
        <v>6906</v>
      </c>
      <c r="N108" s="25">
        <f t="shared" si="124"/>
        <v>13330</v>
      </c>
      <c r="O108" s="25">
        <f t="shared" si="124"/>
        <v>13397</v>
      </c>
      <c r="P108" s="25">
        <f t="shared" si="124"/>
        <v>14577</v>
      </c>
      <c r="Q108" s="25">
        <f t="shared" si="124"/>
        <v>5179</v>
      </c>
      <c r="T108" s="25">
        <f t="shared" ref="T108:Z108" si="125">T39+T41</f>
        <v>13785</v>
      </c>
      <c r="U108" s="25">
        <f t="shared" si="125"/>
        <v>14355</v>
      </c>
      <c r="V108" s="25">
        <f t="shared" si="125"/>
        <v>15541</v>
      </c>
      <c r="W108" s="25">
        <f t="shared" si="125"/>
        <v>14577</v>
      </c>
      <c r="X108" s="25">
        <f t="shared" si="125"/>
        <v>11756</v>
      </c>
      <c r="Y108" s="25">
        <f t="shared" si="125"/>
        <v>10142</v>
      </c>
      <c r="Z108" s="25">
        <f t="shared" si="125"/>
        <v>5722</v>
      </c>
      <c r="AA108" s="25">
        <f t="shared" ref="AA108" si="126">AA39+AA41</f>
        <v>5179</v>
      </c>
      <c r="AC108" s="25">
        <f>AA108</f>
        <v>5179</v>
      </c>
    </row>
    <row r="109" spans="1:31" x14ac:dyDescent="0.2">
      <c r="B109" s="20" t="s">
        <v>162</v>
      </c>
      <c r="C109" s="25"/>
      <c r="D109" s="25"/>
      <c r="E109" s="25"/>
      <c r="F109" s="25"/>
      <c r="G109" s="25"/>
      <c r="H109" s="25"/>
      <c r="I109" s="25"/>
      <c r="J109" s="25"/>
      <c r="K109" s="25"/>
      <c r="L109" s="130">
        <f t="shared" ref="L109:Q109" si="127">L12*(1-L106)</f>
        <v>5884.8813123190739</v>
      </c>
      <c r="M109" s="130">
        <f t="shared" si="127"/>
        <v>8801.8457841395884</v>
      </c>
      <c r="N109" s="130">
        <f t="shared" si="127"/>
        <v>-5745</v>
      </c>
      <c r="O109" s="130">
        <f t="shared" si="127"/>
        <v>829.7225806451612</v>
      </c>
      <c r="P109" s="25">
        <f t="shared" si="127"/>
        <v>8632.4943028796351</v>
      </c>
      <c r="Q109" s="25">
        <f t="shared" si="127"/>
        <v>84628.020186413312</v>
      </c>
      <c r="T109" s="67"/>
      <c r="U109" s="67"/>
      <c r="V109" s="67"/>
      <c r="W109" s="67"/>
      <c r="X109" s="67"/>
      <c r="Y109" s="67"/>
      <c r="Z109" s="67"/>
      <c r="AA109" s="67"/>
      <c r="AC109" s="25">
        <f>AC12*(1-AC106)</f>
        <v>84628.020186413312</v>
      </c>
    </row>
    <row r="110" spans="1:31" x14ac:dyDescent="0.2">
      <c r="B110" s="20" t="s">
        <v>299</v>
      </c>
      <c r="C110" s="25"/>
      <c r="D110" s="25"/>
      <c r="E110" s="25"/>
      <c r="F110" s="25"/>
      <c r="G110" s="25"/>
      <c r="H110" s="25"/>
      <c r="I110" s="25"/>
      <c r="J110" s="25"/>
      <c r="K110" s="25"/>
      <c r="L110" s="130">
        <f t="shared" ref="L110:Q110" si="128">L60+L61</f>
        <v>-10030</v>
      </c>
      <c r="M110" s="130">
        <f t="shared" si="128"/>
        <v>-12067</v>
      </c>
      <c r="N110" s="130">
        <f t="shared" si="128"/>
        <v>-7676</v>
      </c>
      <c r="O110" s="130">
        <f t="shared" si="128"/>
        <v>-8386</v>
      </c>
      <c r="P110" s="130">
        <f t="shared" si="128"/>
        <v>-15857</v>
      </c>
      <c r="Q110" s="130">
        <f t="shared" si="128"/>
        <v>-30712</v>
      </c>
      <c r="T110" s="130">
        <f t="shared" ref="T110:Z110" si="129">T60+T61</f>
        <v>-3206</v>
      </c>
      <c r="U110" s="130">
        <f t="shared" si="129"/>
        <v>-4055</v>
      </c>
      <c r="V110" s="130">
        <f t="shared" si="129"/>
        <v>-2938</v>
      </c>
      <c r="W110" s="130">
        <f t="shared" si="129"/>
        <v>-5658</v>
      </c>
      <c r="X110" s="130">
        <f t="shared" si="129"/>
        <v>-5389</v>
      </c>
      <c r="Y110" s="130">
        <f t="shared" si="129"/>
        <v>-6387</v>
      </c>
      <c r="Z110" s="130">
        <f t="shared" si="129"/>
        <v>-7826</v>
      </c>
      <c r="AA110" s="130">
        <f t="shared" ref="AA110" si="130">AA60+AA61</f>
        <v>-11110</v>
      </c>
      <c r="AC110" s="130">
        <f>AC60+AC61</f>
        <v>-30712</v>
      </c>
    </row>
    <row r="111" spans="1:31" x14ac:dyDescent="0.2">
      <c r="B111" s="20" t="s">
        <v>329</v>
      </c>
      <c r="C111" s="25"/>
      <c r="D111" s="25"/>
      <c r="E111" s="25"/>
      <c r="F111" s="25"/>
      <c r="G111" s="25"/>
      <c r="H111" s="25"/>
      <c r="I111" s="25"/>
      <c r="J111" s="25"/>
      <c r="K111" s="25"/>
      <c r="L111" s="130">
        <f t="shared" ref="L111:Q111" si="131">L17+L18</f>
        <v>5861</v>
      </c>
      <c r="M111" s="130">
        <f t="shared" si="131"/>
        <v>8687</v>
      </c>
      <c r="N111" s="130">
        <f t="shared" si="131"/>
        <v>-5833</v>
      </c>
      <c r="O111" s="130">
        <f t="shared" si="131"/>
        <v>778</v>
      </c>
      <c r="P111" s="130">
        <f t="shared" si="131"/>
        <v>8539</v>
      </c>
      <c r="Q111" s="130">
        <f t="shared" si="131"/>
        <v>84969</v>
      </c>
      <c r="T111" s="130">
        <f t="shared" ref="T111:Z111" si="132">T17+T18</f>
        <v>1870</v>
      </c>
      <c r="U111" s="130">
        <f t="shared" si="132"/>
        <v>1583</v>
      </c>
      <c r="V111" s="130">
        <f t="shared" si="132"/>
        <v>1885</v>
      </c>
      <c r="W111" s="130">
        <f t="shared" si="132"/>
        <v>3201</v>
      </c>
      <c r="X111" s="130">
        <f t="shared" si="132"/>
        <v>5240</v>
      </c>
      <c r="Y111" s="130">
        <f t="shared" si="132"/>
        <v>13785</v>
      </c>
      <c r="Z111" s="130">
        <f t="shared" si="132"/>
        <v>28243</v>
      </c>
      <c r="AA111" s="130">
        <f t="shared" ref="AA111" si="133">AA17+AA18</f>
        <v>37701</v>
      </c>
      <c r="AC111" s="130">
        <f>AC17+AC18</f>
        <v>84969</v>
      </c>
    </row>
    <row r="112" spans="1:31" x14ac:dyDescent="0.2">
      <c r="B112" s="20" t="s">
        <v>330</v>
      </c>
      <c r="C112" s="25"/>
      <c r="D112" s="25"/>
      <c r="E112" s="25"/>
      <c r="F112" s="25"/>
      <c r="G112" s="25"/>
      <c r="H112" s="25"/>
      <c r="I112" s="25"/>
      <c r="J112" s="25"/>
      <c r="K112" s="25"/>
      <c r="L112" s="130">
        <f t="shared" ref="L112:Q112" si="134">L49+L48</f>
        <v>43933</v>
      </c>
      <c r="M112" s="130">
        <f t="shared" si="134"/>
        <v>49907</v>
      </c>
      <c r="N112" s="130">
        <f t="shared" si="134"/>
        <v>44120</v>
      </c>
      <c r="O112" s="130">
        <f t="shared" si="134"/>
        <v>45131</v>
      </c>
      <c r="P112" s="130">
        <f t="shared" si="134"/>
        <v>54165</v>
      </c>
      <c r="Q112" s="130">
        <f t="shared" si="134"/>
        <v>138378</v>
      </c>
      <c r="T112" s="130">
        <f t="shared" ref="T112:Z112" si="135">T49+T48</f>
        <v>46797</v>
      </c>
      <c r="U112" s="130">
        <f t="shared" si="135"/>
        <v>48633</v>
      </c>
      <c r="V112" s="130">
        <f t="shared" si="135"/>
        <v>50748</v>
      </c>
      <c r="W112" s="130">
        <f t="shared" si="135"/>
        <v>54165</v>
      </c>
      <c r="X112" s="130">
        <f t="shared" si="135"/>
        <v>58806</v>
      </c>
      <c r="Y112" s="130">
        <f t="shared" si="135"/>
        <v>72459</v>
      </c>
      <c r="Z112" s="130">
        <f t="shared" si="135"/>
        <v>100724</v>
      </c>
      <c r="AA112" s="130">
        <f t="shared" ref="AA112" si="136">AA49+AA48</f>
        <v>138378</v>
      </c>
      <c r="AC112" s="130">
        <f>AC49+AC48</f>
        <v>138378</v>
      </c>
    </row>
    <row r="113" spans="1:31" x14ac:dyDescent="0.2">
      <c r="C113" s="57"/>
      <c r="D113" s="57"/>
      <c r="E113" s="57"/>
      <c r="F113" s="57"/>
      <c r="G113" s="57"/>
      <c r="H113" s="57"/>
      <c r="I113" s="57"/>
      <c r="J113" s="57"/>
      <c r="K113" s="57"/>
    </row>
    <row r="114" spans="1:31" x14ac:dyDescent="0.2">
      <c r="B114" s="1"/>
    </row>
    <row r="115" spans="1:31" s="15" customFormat="1" ht="17" thickBot="1" x14ac:dyDescent="0.25">
      <c r="A115" s="11"/>
      <c r="B115" s="14" t="s">
        <v>81</v>
      </c>
      <c r="R115" s="1"/>
      <c r="S115" s="1"/>
      <c r="AB115" s="1"/>
      <c r="AD115" s="1"/>
      <c r="AE115" s="1"/>
    </row>
    <row r="116" spans="1:31" x14ac:dyDescent="0.2">
      <c r="B116" s="20" t="s">
        <v>82</v>
      </c>
      <c r="C116" s="26"/>
      <c r="D116" s="26"/>
      <c r="E116" s="26"/>
      <c r="F116" s="26"/>
      <c r="G116" s="26"/>
      <c r="H116" s="26"/>
      <c r="I116" s="26"/>
      <c r="J116" s="26"/>
      <c r="K116" s="26"/>
      <c r="L116" s="63">
        <v>83.32</v>
      </c>
      <c r="M116" s="63">
        <v>57.31</v>
      </c>
      <c r="N116" s="63">
        <v>68.09</v>
      </c>
      <c r="O116" s="63">
        <v>95.57</v>
      </c>
      <c r="P116" s="63">
        <v>122</v>
      </c>
      <c r="Q116" s="63">
        <v>958.16</v>
      </c>
      <c r="T116" s="63">
        <v>97.7</v>
      </c>
      <c r="U116" s="63">
        <v>91.82</v>
      </c>
      <c r="V116" s="63">
        <v>96.55</v>
      </c>
      <c r="W116" s="63">
        <v>122</v>
      </c>
      <c r="X116" s="63">
        <v>230.26</v>
      </c>
      <c r="Y116" s="63">
        <v>415.56</v>
      </c>
      <c r="Z116" s="63">
        <v>923.52</v>
      </c>
      <c r="AA116" s="63">
        <v>958.16</v>
      </c>
      <c r="AC116" s="63">
        <f ca="1">Overview!C5</f>
        <v>903.7</v>
      </c>
    </row>
    <row r="117" spans="1:31" x14ac:dyDescent="0.2">
      <c r="B117" s="20" t="s">
        <v>342</v>
      </c>
      <c r="C117" s="26"/>
      <c r="D117" s="26"/>
      <c r="E117" s="26"/>
      <c r="F117" s="26"/>
      <c r="G117" s="26"/>
      <c r="H117" s="26"/>
      <c r="I117" s="26"/>
      <c r="J117" s="26"/>
      <c r="K117" s="26"/>
      <c r="L117" s="65">
        <f t="shared" ref="L117:Q117" si="137">L116/L85</f>
        <v>83.32</v>
      </c>
      <c r="M117" s="65">
        <f t="shared" si="137"/>
        <v>57.31</v>
      </c>
      <c r="N117" s="65">
        <f t="shared" si="137"/>
        <v>68.09</v>
      </c>
      <c r="O117" s="65">
        <f t="shared" si="137"/>
        <v>95.57</v>
      </c>
      <c r="P117" s="65">
        <f t="shared" si="137"/>
        <v>122</v>
      </c>
      <c r="Q117" s="65">
        <f t="shared" si="137"/>
        <v>958.16</v>
      </c>
      <c r="T117" s="65">
        <f t="shared" ref="T117:Z117" si="138">T116/T85</f>
        <v>97.7</v>
      </c>
      <c r="U117" s="65">
        <f t="shared" si="138"/>
        <v>91.82</v>
      </c>
      <c r="V117" s="65">
        <f t="shared" si="138"/>
        <v>96.55</v>
      </c>
      <c r="W117" s="65">
        <f t="shared" si="138"/>
        <v>122</v>
      </c>
      <c r="X117" s="65">
        <f t="shared" si="138"/>
        <v>230.26</v>
      </c>
      <c r="Y117" s="65">
        <f t="shared" si="138"/>
        <v>415.56</v>
      </c>
      <c r="Z117" s="65">
        <f t="shared" si="138"/>
        <v>923.52</v>
      </c>
      <c r="AA117" s="65">
        <f t="shared" ref="AA117" si="139">AA116/AA85</f>
        <v>958.16</v>
      </c>
      <c r="AC117" s="65">
        <f ca="1">AC116/AC85</f>
        <v>903.7</v>
      </c>
    </row>
    <row r="119" spans="1:31" x14ac:dyDescent="0.2">
      <c r="B119" s="1"/>
    </row>
    <row r="120" spans="1:31" ht="17" thickBot="1" x14ac:dyDescent="0.25">
      <c r="B120" s="14" t="s">
        <v>106</v>
      </c>
      <c r="C120" s="15"/>
      <c r="D120" s="15"/>
      <c r="E120" s="15"/>
      <c r="F120" s="15"/>
      <c r="G120" s="15"/>
      <c r="H120" s="15"/>
      <c r="I120" s="15"/>
      <c r="J120" s="15"/>
      <c r="K120" s="15"/>
      <c r="L120" s="15"/>
      <c r="M120" s="15"/>
      <c r="N120" s="15"/>
      <c r="O120" s="15"/>
      <c r="P120" s="15"/>
      <c r="Q120" s="15"/>
      <c r="T120" s="15"/>
      <c r="U120" s="15"/>
      <c r="V120" s="15"/>
      <c r="W120" s="15"/>
      <c r="X120" s="15"/>
      <c r="Y120" s="15"/>
      <c r="Z120" s="15"/>
      <c r="AA120" s="15"/>
      <c r="AC120" s="15"/>
    </row>
    <row r="121" spans="1:31" x14ac:dyDescent="0.2">
      <c r="B121" s="20" t="s">
        <v>100</v>
      </c>
      <c r="L121" s="74">
        <f t="shared" ref="L121:Q121" si="140">L111/L5</f>
        <v>0.2115502616856163</v>
      </c>
      <c r="M121" s="74">
        <f t="shared" si="140"/>
        <v>0.28243058716431496</v>
      </c>
      <c r="N121" s="74">
        <f t="shared" si="140"/>
        <v>-0.37535392535392537</v>
      </c>
      <c r="O121" s="74">
        <f t="shared" si="140"/>
        <v>3.0982437975389271E-2</v>
      </c>
      <c r="P121" s="74">
        <f t="shared" si="140"/>
        <v>0.22844989030980792</v>
      </c>
      <c r="Q121" s="74">
        <f t="shared" si="140"/>
        <v>0.63796287953869713</v>
      </c>
      <c r="T121" s="77"/>
      <c r="U121" s="77"/>
      <c r="V121" s="77"/>
      <c r="W121" s="77"/>
      <c r="X121" s="77"/>
      <c r="Y121" s="77"/>
      <c r="Z121" s="77"/>
      <c r="AA121" s="77"/>
      <c r="AC121" s="74">
        <f>AC111/AC5</f>
        <v>0.63796287953869713</v>
      </c>
    </row>
    <row r="122" spans="1:31" x14ac:dyDescent="0.2">
      <c r="B122" s="20" t="s">
        <v>101</v>
      </c>
      <c r="L122" s="75">
        <f t="shared" ref="L122:Q122" si="141">L5/L37</f>
        <v>0.47078115176128738</v>
      </c>
      <c r="M122" s="75">
        <f t="shared" si="141"/>
        <v>0.4640405533847291</v>
      </c>
      <c r="N122" s="75">
        <f t="shared" si="141"/>
        <v>0.24185264730600431</v>
      </c>
      <c r="O122" s="75">
        <f t="shared" si="141"/>
        <v>0.36174657139564365</v>
      </c>
      <c r="P122" s="75">
        <f t="shared" si="141"/>
        <v>0.45143602502475905</v>
      </c>
      <c r="Q122" s="75">
        <f t="shared" si="141"/>
        <v>0.67991913746630728</v>
      </c>
      <c r="T122" s="78"/>
      <c r="U122" s="78"/>
      <c r="V122" s="78"/>
      <c r="W122" s="78"/>
      <c r="X122" s="78"/>
      <c r="Y122" s="78"/>
      <c r="Z122" s="78"/>
      <c r="AA122" s="78"/>
      <c r="AC122" s="75">
        <f>AC5/AC37</f>
        <v>0.67991913746630728</v>
      </c>
    </row>
    <row r="123" spans="1:31" x14ac:dyDescent="0.2">
      <c r="B123" s="32" t="s">
        <v>102</v>
      </c>
      <c r="L123" s="76">
        <f t="shared" ref="L123:O123" si="142">L121*L122</f>
        <v>9.9593875851756192E-2</v>
      </c>
      <c r="M123" s="76">
        <f t="shared" si="142"/>
        <v>0.1310592459605027</v>
      </c>
      <c r="N123" s="76">
        <f t="shared" si="142"/>
        <v>-9.0780340523547179E-2</v>
      </c>
      <c r="O123" s="76">
        <f t="shared" si="142"/>
        <v>1.1207790711075256E-2</v>
      </c>
      <c r="P123" s="76">
        <f>P121*P122</f>
        <v>0.1031305103988019</v>
      </c>
      <c r="Q123" s="76">
        <f>Q121*Q122</f>
        <v>0.43376317079147264</v>
      </c>
      <c r="T123" s="79"/>
      <c r="U123" s="79"/>
      <c r="V123" s="79"/>
      <c r="W123" s="79"/>
      <c r="X123" s="79"/>
      <c r="Y123" s="79"/>
      <c r="Z123" s="79"/>
      <c r="AA123" s="79"/>
      <c r="AC123" s="76">
        <f>AC121*AC122</f>
        <v>0.43376317079147264</v>
      </c>
    </row>
    <row r="124" spans="1:31" x14ac:dyDescent="0.2">
      <c r="B124" s="20" t="s">
        <v>103</v>
      </c>
      <c r="L124" s="75">
        <f t="shared" ref="L124:Q124" si="143">L37/L49</f>
        <v>1.3395169917829421</v>
      </c>
      <c r="M124" s="75">
        <f t="shared" si="143"/>
        <v>1.3281303223996634</v>
      </c>
      <c r="N124" s="75">
        <f t="shared" si="143"/>
        <v>1.4563463281958295</v>
      </c>
      <c r="O124" s="75">
        <f t="shared" si="143"/>
        <v>1.5381001972036958</v>
      </c>
      <c r="P124" s="75">
        <f t="shared" si="143"/>
        <v>1.5286254961691128</v>
      </c>
      <c r="Q124" s="75">
        <f t="shared" si="143"/>
        <v>1.4156007457832893</v>
      </c>
      <c r="T124" s="80"/>
      <c r="U124" s="80"/>
      <c r="V124" s="80"/>
      <c r="W124" s="80"/>
      <c r="X124" s="80"/>
      <c r="Y124" s="80"/>
      <c r="Z124" s="80"/>
      <c r="AA124" s="80"/>
      <c r="AC124" s="75">
        <f>AC37/AC49</f>
        <v>1.4156007457832893</v>
      </c>
    </row>
    <row r="125" spans="1:31" x14ac:dyDescent="0.2">
      <c r="B125" s="32" t="s">
        <v>104</v>
      </c>
      <c r="L125" s="76">
        <f t="shared" ref="L125:O125" si="144">L123*L124</f>
        <v>0.13340768898094826</v>
      </c>
      <c r="M125" s="76">
        <f t="shared" si="144"/>
        <v>0.17406375859097922</v>
      </c>
      <c r="N125" s="76">
        <f t="shared" si="144"/>
        <v>-0.13220761559383501</v>
      </c>
      <c r="O125" s="76">
        <f t="shared" si="144"/>
        <v>1.7238705102922601E-2</v>
      </c>
      <c r="P125" s="76">
        <f>P123*P124</f>
        <v>0.15764792762854241</v>
      </c>
      <c r="Q125" s="76">
        <f>Q123*Q124</f>
        <v>0.61403546806573295</v>
      </c>
      <c r="T125" s="79"/>
      <c r="U125" s="79"/>
      <c r="V125" s="79"/>
      <c r="W125" s="79"/>
      <c r="X125" s="79"/>
      <c r="Y125" s="79"/>
      <c r="Z125" s="79"/>
      <c r="AA125" s="79"/>
      <c r="AC125" s="76">
        <f>AC123*AC124</f>
        <v>0.61403546806573295</v>
      </c>
    </row>
    <row r="127" spans="1:31" x14ac:dyDescent="0.2">
      <c r="B127" s="1"/>
    </row>
    <row r="128" spans="1:31" ht="17" thickBot="1" x14ac:dyDescent="0.25">
      <c r="B128" s="14" t="s">
        <v>228</v>
      </c>
      <c r="C128" s="171"/>
      <c r="D128" s="171"/>
      <c r="E128" s="171"/>
      <c r="F128" s="171"/>
      <c r="G128" s="171"/>
      <c r="H128" s="171"/>
      <c r="I128" s="171"/>
      <c r="J128" s="171"/>
      <c r="K128" s="171"/>
      <c r="L128" s="171"/>
      <c r="M128" s="171"/>
      <c r="N128" s="171"/>
      <c r="O128" s="171"/>
      <c r="P128" s="171"/>
      <c r="Q128" s="171"/>
      <c r="T128" s="171"/>
      <c r="U128" s="171"/>
      <c r="V128" s="171"/>
      <c r="W128" s="171"/>
      <c r="X128" s="171"/>
      <c r="Y128" s="171"/>
      <c r="Z128" s="171"/>
      <c r="AA128" s="171"/>
      <c r="AC128" s="171"/>
    </row>
    <row r="129" spans="2:29" x14ac:dyDescent="0.2">
      <c r="B129" s="20" t="s">
        <v>229</v>
      </c>
      <c r="C129" s="49"/>
      <c r="D129" s="49"/>
      <c r="E129" s="49"/>
      <c r="F129" s="49"/>
      <c r="G129" s="49"/>
      <c r="H129" s="49"/>
      <c r="I129" s="49"/>
      <c r="J129" s="49"/>
      <c r="K129" s="49"/>
      <c r="L129" s="49"/>
      <c r="M129" s="49"/>
      <c r="N129" s="49"/>
      <c r="O129" s="49"/>
      <c r="P129" s="49"/>
      <c r="Q129" s="49"/>
      <c r="T129" s="21">
        <v>7700</v>
      </c>
      <c r="U129" s="21">
        <v>8600</v>
      </c>
      <c r="V129" s="21">
        <v>10400</v>
      </c>
      <c r="W129" s="21">
        <v>12200</v>
      </c>
      <c r="X129" s="21">
        <v>18300</v>
      </c>
      <c r="Y129" s="21">
        <v>32750</v>
      </c>
      <c r="Z129" s="21">
        <v>40000</v>
      </c>
      <c r="AA129" s="21">
        <v>60000</v>
      </c>
      <c r="AC129" s="49"/>
    </row>
    <row r="130" spans="2:29" x14ac:dyDescent="0.2">
      <c r="B130" s="20" t="s">
        <v>230</v>
      </c>
      <c r="C130" s="49"/>
      <c r="D130" s="49"/>
      <c r="E130" s="49"/>
      <c r="F130" s="49"/>
      <c r="G130" s="49"/>
      <c r="H130" s="49"/>
      <c r="I130" s="49"/>
      <c r="J130" s="49"/>
      <c r="K130" s="49"/>
      <c r="L130" s="49"/>
      <c r="M130" s="49"/>
      <c r="N130" s="49"/>
      <c r="O130" s="49"/>
      <c r="P130" s="49"/>
      <c r="Q130" s="49"/>
      <c r="T130" s="21">
        <v>8100</v>
      </c>
      <c r="U130" s="21">
        <v>9000</v>
      </c>
      <c r="V130" s="21">
        <v>11000</v>
      </c>
      <c r="W130" s="21">
        <v>12800</v>
      </c>
      <c r="X130" s="21">
        <v>19100</v>
      </c>
      <c r="Y130" s="21">
        <v>34250</v>
      </c>
      <c r="Z130" s="21">
        <v>60000</v>
      </c>
      <c r="AA130" s="21">
        <v>63000</v>
      </c>
      <c r="AC130" s="49"/>
    </row>
    <row r="131" spans="2:29" x14ac:dyDescent="0.2">
      <c r="B131" s="20" t="s">
        <v>231</v>
      </c>
      <c r="C131" s="49"/>
      <c r="D131" s="49"/>
      <c r="E131" s="49"/>
      <c r="F131" s="49"/>
      <c r="G131" s="49"/>
      <c r="H131" s="49"/>
      <c r="I131" s="49"/>
      <c r="J131" s="49"/>
      <c r="K131" s="49"/>
      <c r="L131" s="49"/>
      <c r="M131" s="49"/>
      <c r="N131" s="49"/>
      <c r="O131" s="49"/>
      <c r="P131" s="49"/>
      <c r="Q131" s="49"/>
      <c r="T131" s="25">
        <f t="shared" ref="T131" si="145">U5</f>
        <v>8053</v>
      </c>
      <c r="U131" s="25">
        <f t="shared" ref="U131" si="146">V5</f>
        <v>9301</v>
      </c>
      <c r="V131" s="25">
        <f t="shared" ref="V131" si="147">W5</f>
        <v>11315</v>
      </c>
      <c r="W131" s="25">
        <f t="shared" ref="W131" si="148">X5</f>
        <v>13643</v>
      </c>
      <c r="X131" s="25">
        <f t="shared" ref="X131" si="149">Y5</f>
        <v>23860</v>
      </c>
      <c r="Y131" s="25">
        <f t="shared" ref="Y131" si="150">Z5</f>
        <v>41456</v>
      </c>
      <c r="Z131" s="25">
        <f t="shared" ref="Z131" si="151">AA5</f>
        <v>54229</v>
      </c>
      <c r="AA131" s="25">
        <f t="shared" ref="AA131" si="152">AB5</f>
        <v>0</v>
      </c>
      <c r="AC131" s="49"/>
    </row>
    <row r="132" spans="2:29" x14ac:dyDescent="0.2">
      <c r="B132" s="20" t="s">
        <v>186</v>
      </c>
      <c r="C132" s="49"/>
      <c r="D132" s="49"/>
      <c r="E132" s="49"/>
      <c r="F132" s="49"/>
      <c r="G132" s="49"/>
      <c r="H132" s="49"/>
      <c r="I132" s="49"/>
      <c r="J132" s="49"/>
      <c r="K132" s="49"/>
      <c r="L132" s="49"/>
      <c r="M132" s="49"/>
      <c r="N132" s="49"/>
      <c r="O132" s="49"/>
      <c r="P132" s="49"/>
      <c r="Q132" s="49"/>
      <c r="T132" s="225" t="str">
        <f t="shared" ref="T132:Y132" si="153">IF(T131&gt;T130, "BEAT", IF(T131&lt;T129, "MISSED", "MET"))</f>
        <v>MET</v>
      </c>
      <c r="U132" s="225" t="str">
        <f t="shared" si="153"/>
        <v>BEAT</v>
      </c>
      <c r="V132" s="225" t="str">
        <f t="shared" si="153"/>
        <v>BEAT</v>
      </c>
      <c r="W132" s="225" t="str">
        <f t="shared" si="153"/>
        <v>BEAT</v>
      </c>
      <c r="X132" s="225" t="str">
        <f t="shared" si="153"/>
        <v>BEAT</v>
      </c>
      <c r="Y132" s="225" t="str">
        <f t="shared" si="153"/>
        <v>BEAT</v>
      </c>
      <c r="Z132" s="225" t="str">
        <f>IF(Z131&gt;Z130, "BEAT", IF(Z131&lt;Z129, "MISSED", "MET"))</f>
        <v>MET</v>
      </c>
      <c r="AA132" s="225" t="str">
        <f>IF(AA131&gt;AA130, "BEAT", IF(AA131&lt;AA129, "MISSED", "MET"))</f>
        <v>MISSED</v>
      </c>
      <c r="AC132" s="49"/>
    </row>
    <row r="133" spans="2:29" x14ac:dyDescent="0.2">
      <c r="B133" s="20" t="s">
        <v>381</v>
      </c>
      <c r="C133" s="49"/>
      <c r="D133" s="49"/>
      <c r="E133" s="49"/>
      <c r="F133" s="49"/>
      <c r="G133" s="49"/>
      <c r="H133" s="49"/>
      <c r="I133" s="49"/>
      <c r="J133" s="49"/>
      <c r="K133" s="49"/>
      <c r="L133" s="49"/>
      <c r="M133" s="49"/>
      <c r="N133" s="49"/>
      <c r="O133" s="49"/>
      <c r="P133" s="49"/>
      <c r="Q133" s="49"/>
      <c r="T133" s="63">
        <v>1.33</v>
      </c>
      <c r="U133" s="63">
        <v>1.47</v>
      </c>
      <c r="V133" s="63">
        <v>2.35</v>
      </c>
      <c r="W133" s="63">
        <v>3.6</v>
      </c>
      <c r="X133" s="63">
        <v>8.2200000000000006</v>
      </c>
      <c r="Y133" s="63">
        <v>18.75</v>
      </c>
      <c r="Z133" s="63">
        <v>30</v>
      </c>
      <c r="AA133" s="63">
        <v>36.840000000000003</v>
      </c>
      <c r="AC133" s="49"/>
    </row>
    <row r="134" spans="2:29" x14ac:dyDescent="0.2">
      <c r="B134" s="20" t="s">
        <v>382</v>
      </c>
      <c r="C134" s="49"/>
      <c r="D134" s="49"/>
      <c r="E134" s="49"/>
      <c r="F134" s="49"/>
      <c r="G134" s="49"/>
      <c r="H134" s="49"/>
      <c r="I134" s="49"/>
      <c r="J134" s="49"/>
      <c r="K134" s="49"/>
      <c r="L134" s="49"/>
      <c r="M134" s="49"/>
      <c r="N134" s="49"/>
      <c r="O134" s="49"/>
      <c r="P134" s="49"/>
      <c r="Q134" s="49"/>
      <c r="T134" s="63">
        <v>1.53</v>
      </c>
      <c r="U134" s="63">
        <v>1.67</v>
      </c>
      <c r="V134" s="63">
        <v>2.65</v>
      </c>
      <c r="W134" s="63">
        <v>4</v>
      </c>
      <c r="X134" s="63">
        <v>8.6199999999999992</v>
      </c>
      <c r="Y134" s="63">
        <v>19.55</v>
      </c>
      <c r="Z134" s="63">
        <v>32</v>
      </c>
      <c r="AA134" s="63">
        <v>38.840000000000003</v>
      </c>
      <c r="AC134" s="49"/>
    </row>
    <row r="135" spans="2:29" x14ac:dyDescent="0.2">
      <c r="B135" s="20" t="s">
        <v>383</v>
      </c>
      <c r="C135" s="49"/>
      <c r="D135" s="49"/>
      <c r="E135" s="49"/>
      <c r="F135" s="49"/>
      <c r="G135" s="49"/>
      <c r="H135" s="49"/>
      <c r="I135" s="49"/>
      <c r="J135" s="49"/>
      <c r="K135" s="49"/>
      <c r="L135" s="49"/>
      <c r="M135" s="49"/>
      <c r="N135" s="49"/>
      <c r="O135" s="49"/>
      <c r="P135" s="49"/>
      <c r="Q135" s="49"/>
      <c r="T135" s="65">
        <f>U26</f>
        <v>1.41</v>
      </c>
      <c r="U135" s="65">
        <f t="shared" ref="U135" si="154">V26</f>
        <v>1.68</v>
      </c>
      <c r="V135" s="65">
        <f t="shared" ref="V135" si="155">W26</f>
        <v>2.83</v>
      </c>
      <c r="W135" s="65">
        <f t="shared" ref="W135" si="156">X26</f>
        <v>4.5999999999999996</v>
      </c>
      <c r="X135" s="65">
        <f t="shared" ref="X135" si="157">Y26</f>
        <v>12.07</v>
      </c>
      <c r="Y135" s="65">
        <f t="shared" ref="Y135" si="158">Z26</f>
        <v>24.67</v>
      </c>
      <c r="Z135" s="65">
        <f t="shared" ref="Z135" si="159">AA26</f>
        <v>32.869999999999997</v>
      </c>
      <c r="AA135" s="65">
        <f t="shared" ref="AA135" si="160">AB26</f>
        <v>0</v>
      </c>
      <c r="AC135" s="49"/>
    </row>
    <row r="136" spans="2:29" x14ac:dyDescent="0.2">
      <c r="B136" s="20" t="s">
        <v>186</v>
      </c>
      <c r="C136" s="49"/>
      <c r="D136" s="49"/>
      <c r="E136" s="49"/>
      <c r="F136" s="49"/>
      <c r="G136" s="49"/>
      <c r="H136" s="49"/>
      <c r="I136" s="49"/>
      <c r="J136" s="49"/>
      <c r="K136" s="49"/>
      <c r="L136" s="49"/>
      <c r="M136" s="49"/>
      <c r="N136" s="49"/>
      <c r="O136" s="49"/>
      <c r="P136" s="49"/>
      <c r="Q136" s="49"/>
      <c r="T136" s="225" t="str">
        <f t="shared" ref="T136:Y136" si="161">IF(T135&gt;T134, "BEAT", IF(T135&lt;T133, "MISSED", "MET"))</f>
        <v>MET</v>
      </c>
      <c r="U136" s="225" t="str">
        <f t="shared" si="161"/>
        <v>BEAT</v>
      </c>
      <c r="V136" s="225" t="str">
        <f t="shared" si="161"/>
        <v>BEAT</v>
      </c>
      <c r="W136" s="225" t="str">
        <f t="shared" si="161"/>
        <v>BEAT</v>
      </c>
      <c r="X136" s="225" t="str">
        <f t="shared" si="161"/>
        <v>BEAT</v>
      </c>
      <c r="Y136" s="225" t="str">
        <f t="shared" si="161"/>
        <v>BEAT</v>
      </c>
      <c r="Z136" s="225" t="str">
        <f>IF(Z135&gt;Z134, "BEAT", IF(Z135&lt;Z133, "MISSED", "MET"))</f>
        <v>BEAT</v>
      </c>
      <c r="AA136" s="225" t="str">
        <f>IF(AA135&gt;AA134, "BEAT", IF(AA135&lt;AA133, "MISSED", "MET"))</f>
        <v>MISSED</v>
      </c>
      <c r="AC136" s="49"/>
    </row>
    <row r="138" spans="2:29" x14ac:dyDescent="0.2">
      <c r="B138" s="1"/>
    </row>
    <row r="139" spans="2:29" ht="17" thickBot="1" x14ac:dyDescent="0.25">
      <c r="B139" s="14" t="s">
        <v>248</v>
      </c>
      <c r="C139" s="171"/>
      <c r="D139" s="171"/>
      <c r="E139" s="171"/>
      <c r="F139" s="171"/>
      <c r="G139" s="171"/>
      <c r="H139" s="171"/>
      <c r="I139" s="171"/>
      <c r="J139" s="171"/>
      <c r="K139" s="171"/>
      <c r="L139" s="171"/>
      <c r="M139" s="171"/>
      <c r="N139" s="171"/>
      <c r="O139" s="171"/>
      <c r="P139" s="171"/>
      <c r="Q139" s="171"/>
      <c r="T139" s="171"/>
      <c r="U139" s="171"/>
      <c r="V139" s="171"/>
      <c r="W139" s="171"/>
      <c r="X139" s="171"/>
      <c r="Y139" s="171"/>
      <c r="Z139" s="171"/>
      <c r="AA139" s="171"/>
      <c r="AC139" s="171"/>
    </row>
    <row r="140" spans="2:29" x14ac:dyDescent="0.2">
      <c r="B140" s="20" t="s">
        <v>105</v>
      </c>
      <c r="C140" s="81"/>
      <c r="D140" s="81"/>
      <c r="E140" s="81"/>
      <c r="F140" s="81"/>
      <c r="G140" s="81"/>
      <c r="H140" s="81"/>
      <c r="I140" s="81"/>
      <c r="J140" s="81"/>
      <c r="K140" s="81"/>
      <c r="L140" s="81">
        <f t="shared" ref="L140:Q140" si="162">L109/(L108+L112-L107)</f>
        <v>0.14598698400731994</v>
      </c>
      <c r="M140" s="81">
        <f t="shared" si="162"/>
        <v>0.19203328862527738</v>
      </c>
      <c r="N140" s="81">
        <f t="shared" si="162"/>
        <v>-0.12220284182761848</v>
      </c>
      <c r="O140" s="81">
        <f t="shared" si="162"/>
        <v>1.6804167624861494E-2</v>
      </c>
      <c r="P140" s="81">
        <f t="shared" si="162"/>
        <v>0.15196448091538983</v>
      </c>
      <c r="Q140" s="81">
        <f t="shared" si="162"/>
        <v>1.2071781950589597</v>
      </c>
      <c r="T140" s="49"/>
      <c r="U140" s="49"/>
      <c r="V140" s="49"/>
      <c r="W140" s="49"/>
      <c r="X140" s="49"/>
      <c r="Y140" s="49"/>
      <c r="Z140" s="49"/>
      <c r="AA140" s="49"/>
      <c r="AC140" s="81">
        <f>AC109/(AC108+AC112-AC107)</f>
        <v>1.2071781950589597</v>
      </c>
    </row>
    <row r="141" spans="2:29" x14ac:dyDescent="0.2">
      <c r="B141" s="20" t="s">
        <v>139</v>
      </c>
      <c r="L141" s="122">
        <f t="shared" ref="L141:P141" si="163">L30/L5*365</f>
        <v>69.969861035914093</v>
      </c>
      <c r="M141" s="122">
        <f t="shared" si="163"/>
        <v>60.876845048442682</v>
      </c>
      <c r="N141" s="122">
        <f t="shared" si="163"/>
        <v>57.380630630630634</v>
      </c>
      <c r="O141" s="122">
        <f t="shared" si="163"/>
        <v>96.152084743737802</v>
      </c>
      <c r="P141" s="122">
        <f t="shared" si="163"/>
        <v>90.473674353898005</v>
      </c>
      <c r="Q141" s="122">
        <f t="shared" ref="Q141:Q142" si="164">Q30/Q5*365</f>
        <v>99.197412679820999</v>
      </c>
      <c r="T141" s="122">
        <f t="shared" ref="T141:Z141" si="165">T30/T5*90</f>
        <v>76.710299689975884</v>
      </c>
      <c r="U141" s="122">
        <f t="shared" si="165"/>
        <v>72.688439091021976</v>
      </c>
      <c r="V141" s="122">
        <f t="shared" si="165"/>
        <v>71.953553381356841</v>
      </c>
      <c r="W141" s="122">
        <f t="shared" si="165"/>
        <v>73.694211224038895</v>
      </c>
      <c r="X141" s="122">
        <f t="shared" si="165"/>
        <v>67.181704903613578</v>
      </c>
      <c r="Y141" s="122">
        <f t="shared" si="165"/>
        <v>65.30846605196983</v>
      </c>
      <c r="Z141" s="122">
        <f t="shared" si="165"/>
        <v>67.354544577383251</v>
      </c>
      <c r="AA141" s="122">
        <f t="shared" ref="AA141" si="166">AA30/AA5*90</f>
        <v>60.07357686846521</v>
      </c>
      <c r="AC141" s="122">
        <f>AC30/AC5*365</f>
        <v>99.197412679820999</v>
      </c>
    </row>
    <row r="142" spans="2:29" x14ac:dyDescent="0.2">
      <c r="B142" s="20" t="s">
        <v>140</v>
      </c>
      <c r="L142" s="122">
        <f t="shared" ref="L142:P142" si="167">L31/L6*365</f>
        <v>94.766520078694597</v>
      </c>
      <c r="M142" s="122">
        <f t="shared" si="167"/>
        <v>144.24644128113877</v>
      </c>
      <c r="N142" s="122">
        <f t="shared" si="167"/>
        <v>180.5411063930172</v>
      </c>
      <c r="O142" s="122">
        <f t="shared" si="167"/>
        <v>166.13883475228226</v>
      </c>
      <c r="P142" s="122">
        <f t="shared" si="167"/>
        <v>135.5065540990891</v>
      </c>
      <c r="Q142" s="122">
        <f t="shared" si="164"/>
        <v>147.39838031459274</v>
      </c>
      <c r="T142" s="122">
        <f t="shared" ref="T142:Z142" si="168">T31/T6*365</f>
        <v>592.67394142883791</v>
      </c>
      <c r="U142" s="122">
        <f t="shared" si="168"/>
        <v>645.88506876227905</v>
      </c>
      <c r="V142" s="122">
        <f t="shared" si="168"/>
        <v>549.86276540652511</v>
      </c>
      <c r="W142" s="122">
        <f t="shared" si="168"/>
        <v>487.07474844274077</v>
      </c>
      <c r="X142" s="122">
        <f t="shared" si="168"/>
        <v>499.38719359679845</v>
      </c>
      <c r="Y142" s="122">
        <f t="shared" si="168"/>
        <v>494.25962325962325</v>
      </c>
      <c r="Z142" s="122">
        <f t="shared" si="168"/>
        <v>488.58671874999999</v>
      </c>
      <c r="AA142" s="122">
        <f t="shared" ref="AA142" si="169">AA31/AA6*365</f>
        <v>527.12057922584245</v>
      </c>
      <c r="AC142" s="122">
        <f>AC31/AC6*365</f>
        <v>147.39838031459274</v>
      </c>
    </row>
    <row r="143" spans="2:29" x14ac:dyDescent="0.2">
      <c r="B143" s="20" t="s">
        <v>141</v>
      </c>
      <c r="L143" s="122">
        <f t="shared" ref="L143:Q143" si="170">L38/L6*365</f>
        <v>112.46528179608841</v>
      </c>
      <c r="M143" s="122">
        <f t="shared" si="170"/>
        <v>131.84163701067615</v>
      </c>
      <c r="N143" s="122">
        <f t="shared" si="170"/>
        <v>85.201108752064172</v>
      </c>
      <c r="O143" s="122">
        <f t="shared" si="170"/>
        <v>136.63632167401784</v>
      </c>
      <c r="P143" s="122">
        <f t="shared" si="170"/>
        <v>156.4934459009109</v>
      </c>
      <c r="Q143" s="122">
        <f t="shared" si="170"/>
        <v>321.24377044074129</v>
      </c>
      <c r="T143" s="122">
        <f t="shared" ref="T143:Z143" si="171">T38/T6*90</f>
        <v>119.63066592053723</v>
      </c>
      <c r="U143" s="122">
        <f t="shared" si="171"/>
        <v>109.20235756385068</v>
      </c>
      <c r="V143" s="122">
        <f t="shared" si="171"/>
        <v>136.11082340756084</v>
      </c>
      <c r="W143" s="122">
        <f t="shared" si="171"/>
        <v>138.70148538572113</v>
      </c>
      <c r="X143" s="122">
        <f t="shared" si="171"/>
        <v>146.60830415207604</v>
      </c>
      <c r="Y143" s="122">
        <f t="shared" si="171"/>
        <v>162.11793611793613</v>
      </c>
      <c r="Z143" s="122">
        <f t="shared" si="171"/>
        <v>218.26406250000002</v>
      </c>
      <c r="AA143" s="122">
        <f t="shared" ref="AA143" si="172">AA38/AA6*90</f>
        <v>283.27067669172936</v>
      </c>
      <c r="AC143" s="122">
        <f>AC38/AC6*365</f>
        <v>321.24377044074129</v>
      </c>
    </row>
    <row r="144" spans="2:29" x14ac:dyDescent="0.2">
      <c r="B144" s="20" t="s">
        <v>142</v>
      </c>
      <c r="L144" s="122">
        <f>L141+L142-L143</f>
        <v>52.271099318520285</v>
      </c>
      <c r="M144" s="122">
        <f t="shared" ref="M144:P144" si="173">M141+M142-M143</f>
        <v>73.281649318905295</v>
      </c>
      <c r="N144" s="122">
        <f t="shared" si="173"/>
        <v>152.72062827158368</v>
      </c>
      <c r="O144" s="122">
        <f t="shared" si="173"/>
        <v>125.65459782200224</v>
      </c>
      <c r="P144" s="122">
        <f t="shared" si="173"/>
        <v>69.486782552076193</v>
      </c>
      <c r="Q144" s="122">
        <f t="shared" ref="Q144" si="174">Q141+Q142-Q143</f>
        <v>-74.647977446327559</v>
      </c>
      <c r="T144" s="122">
        <f t="shared" ref="T144" si="175">T141+T142-T143</f>
        <v>549.75357519827651</v>
      </c>
      <c r="U144" s="122">
        <f t="shared" ref="U144" si="176">U141+U142-U143</f>
        <v>609.37115028945038</v>
      </c>
      <c r="V144" s="122">
        <f t="shared" ref="V144" si="177">V141+V142-V143</f>
        <v>485.70549538032117</v>
      </c>
      <c r="W144" s="122">
        <f t="shared" ref="W144" si="178">W141+W142-W143</f>
        <v>422.06747428105854</v>
      </c>
      <c r="X144" s="122">
        <f t="shared" ref="X144:Z144" si="179">X141+X142-X143</f>
        <v>419.96059434833603</v>
      </c>
      <c r="Y144" s="122">
        <f t="shared" si="179"/>
        <v>397.450153193657</v>
      </c>
      <c r="Z144" s="122">
        <f t="shared" si="179"/>
        <v>337.67720082738322</v>
      </c>
      <c r="AA144" s="122">
        <f t="shared" ref="AA144" si="180">AA141+AA142-AA143</f>
        <v>303.92347940257832</v>
      </c>
      <c r="AC144" s="122">
        <f t="shared" ref="AC144" si="181">AC141+AC142-AC143</f>
        <v>-74.647977446327559</v>
      </c>
    </row>
    <row r="145" spans="2:29" x14ac:dyDescent="0.2">
      <c r="B145" s="20" t="s">
        <v>251</v>
      </c>
      <c r="L145" s="122">
        <f t="shared" ref="L145:Q145" si="182">L108/L49</f>
        <v>0.15423485762410943</v>
      </c>
      <c r="M145" s="122">
        <f t="shared" si="182"/>
        <v>0.13837738193039054</v>
      </c>
      <c r="N145" s="122">
        <f t="shared" si="182"/>
        <v>0.30213055303717135</v>
      </c>
      <c r="O145" s="122">
        <f t="shared" si="182"/>
        <v>0.29684695663734462</v>
      </c>
      <c r="P145" s="122">
        <f t="shared" si="182"/>
        <v>0.26912212683467185</v>
      </c>
      <c r="Q145" s="122">
        <f t="shared" si="182"/>
        <v>3.7426469525502611E-2</v>
      </c>
      <c r="T145" s="122">
        <f t="shared" ref="T145:Z145" si="183">T108/T49</f>
        <v>0.29457016475415093</v>
      </c>
      <c r="U145" s="122">
        <f t="shared" si="183"/>
        <v>0.29516994633273702</v>
      </c>
      <c r="V145" s="122">
        <f t="shared" si="183"/>
        <v>0.30623866950421691</v>
      </c>
      <c r="W145" s="122">
        <f t="shared" si="183"/>
        <v>0.26912212683467185</v>
      </c>
      <c r="X145" s="122">
        <f t="shared" si="183"/>
        <v>0.19991157364894738</v>
      </c>
      <c r="Y145" s="122">
        <f t="shared" si="183"/>
        <v>0.13996880994769456</v>
      </c>
      <c r="Z145" s="122">
        <f t="shared" si="183"/>
        <v>5.6808704975973949E-2</v>
      </c>
      <c r="AA145" s="122">
        <f t="shared" ref="AA145" si="184">AA108/AA49</f>
        <v>3.7426469525502611E-2</v>
      </c>
      <c r="AC145" s="122">
        <f>AC108/AC49</f>
        <v>3.7426469525502611E-2</v>
      </c>
    </row>
    <row r="146" spans="2:29" x14ac:dyDescent="0.2">
      <c r="B146" s="20" t="s">
        <v>255</v>
      </c>
      <c r="L146" s="179">
        <f t="shared" ref="L146:Q146" si="185">(L108-L107)/L49</f>
        <v>-8.2443721120797578E-2</v>
      </c>
      <c r="M146" s="179">
        <f t="shared" si="185"/>
        <v>-8.1591760674855227E-2</v>
      </c>
      <c r="N146" s="179">
        <f t="shared" si="185"/>
        <v>6.554850407978241E-2</v>
      </c>
      <c r="O146" s="179">
        <f t="shared" si="185"/>
        <v>9.4059515632270496E-2</v>
      </c>
      <c r="P146" s="179">
        <f t="shared" si="185"/>
        <v>4.8758423336102648E-2</v>
      </c>
      <c r="Q146" s="179">
        <f t="shared" si="185"/>
        <v>-0.49338767723192994</v>
      </c>
      <c r="T146" s="179">
        <f t="shared" ref="T146:Z146" si="186">(T108-T107)/T49</f>
        <v>0.10772058037908414</v>
      </c>
      <c r="U146" s="179">
        <f t="shared" si="186"/>
        <v>9.7978738716509362E-2</v>
      </c>
      <c r="V146" s="179">
        <f t="shared" si="186"/>
        <v>6.5578939071490497E-2</v>
      </c>
      <c r="W146" s="179">
        <f t="shared" si="186"/>
        <v>4.8758423336102648E-2</v>
      </c>
      <c r="X146" s="179">
        <f t="shared" si="186"/>
        <v>-4.4043124851205658E-3</v>
      </c>
      <c r="Y146" s="179">
        <f t="shared" si="186"/>
        <v>-8.9498889026897968E-2</v>
      </c>
      <c r="Z146" s="179">
        <f t="shared" si="186"/>
        <v>-0.24230570668361065</v>
      </c>
      <c r="AA146" s="179">
        <f t="shared" ref="AA146" si="187">(AA108-AA107)/AA49</f>
        <v>-0.49338767723192994</v>
      </c>
      <c r="AC146" s="179">
        <f>(AC108-AC107)/AC49</f>
        <v>-0.49338767723192994</v>
      </c>
    </row>
    <row r="147" spans="2:29" x14ac:dyDescent="0.2">
      <c r="B147" s="20" t="s">
        <v>252</v>
      </c>
      <c r="L147" s="122">
        <f t="shared" ref="L147:Q147" si="188">(L107+L30)/L40</f>
        <v>2.4453611457036115</v>
      </c>
      <c r="M147" s="122">
        <f t="shared" si="188"/>
        <v>2.1366228942830614</v>
      </c>
      <c r="N147" s="122">
        <f t="shared" si="188"/>
        <v>2.7032528856243441</v>
      </c>
      <c r="O147" s="122">
        <f t="shared" si="188"/>
        <v>1.704909169550173</v>
      </c>
      <c r="P147" s="122">
        <f t="shared" si="188"/>
        <v>1.8509690937663699</v>
      </c>
      <c r="Q147" s="122">
        <f t="shared" si="188"/>
        <v>3.9898842878975329</v>
      </c>
      <c r="T147" s="122">
        <f t="shared" ref="T147:Z147" si="189">(T107+T30)/T40</f>
        <v>1.7933444259567388</v>
      </c>
      <c r="U147" s="122">
        <f t="shared" si="189"/>
        <v>2.0431636409800684</v>
      </c>
      <c r="V147" s="122">
        <f t="shared" si="189"/>
        <v>1.9387271830291071</v>
      </c>
      <c r="W147" s="122">
        <f t="shared" si="189"/>
        <v>1.8509690937663699</v>
      </c>
      <c r="X147" s="122">
        <f t="shared" si="189"/>
        <v>1.8407131011608624</v>
      </c>
      <c r="Y147" s="122">
        <f t="shared" si="189"/>
        <v>2.3741606043648571</v>
      </c>
      <c r="Z147" s="122">
        <f t="shared" si="189"/>
        <v>3.1379823481116587</v>
      </c>
      <c r="AA147" s="122">
        <f t="shared" ref="AA147" si="190">(AA107+AA30)/AA40</f>
        <v>3.9898842878975329</v>
      </c>
      <c r="AC147" s="122">
        <f>(AC107+AC30)/AC40</f>
        <v>3.9898842878975329</v>
      </c>
    </row>
    <row r="148" spans="2:29" x14ac:dyDescent="0.2">
      <c r="B148" s="20" t="s">
        <v>253</v>
      </c>
      <c r="L148" s="122">
        <f t="shared" ref="L148:Q148" si="191">L32/L40</f>
        <v>3.0988480697384806</v>
      </c>
      <c r="M148" s="122">
        <f t="shared" si="191"/>
        <v>2.88910996153336</v>
      </c>
      <c r="N148" s="122">
        <f t="shared" si="191"/>
        <v>4.4583420776495277</v>
      </c>
      <c r="O148" s="122">
        <f t="shared" si="191"/>
        <v>2.6353806228373702</v>
      </c>
      <c r="P148" s="122">
        <f t="shared" si="191"/>
        <v>2.5179849834119086</v>
      </c>
      <c r="Q148" s="122">
        <f t="shared" si="191"/>
        <v>3.313805399898115</v>
      </c>
      <c r="T148" s="122">
        <f t="shared" ref="T148:Z148" si="192">T32/T40</f>
        <v>2.7169162506932891</v>
      </c>
      <c r="U148" s="122">
        <f t="shared" si="192"/>
        <v>3.1343150945791547</v>
      </c>
      <c r="V148" s="122">
        <f t="shared" si="192"/>
        <v>2.7547113961519485</v>
      </c>
      <c r="W148" s="122">
        <f t="shared" si="192"/>
        <v>2.5179849834119086</v>
      </c>
      <c r="X148" s="122">
        <f t="shared" si="192"/>
        <v>2.4597844112769485</v>
      </c>
      <c r="Y148" s="122">
        <f t="shared" si="192"/>
        <v>2.8968242865137102</v>
      </c>
      <c r="Z148" s="122">
        <f t="shared" si="192"/>
        <v>3.4245176518883413</v>
      </c>
      <c r="AA148" s="122">
        <f t="shared" ref="AA148" si="193">AA32/AA40</f>
        <v>3.313805399898115</v>
      </c>
      <c r="AC148" s="122">
        <f>AC32/AC40</f>
        <v>3.313805399898115</v>
      </c>
    </row>
    <row r="149" spans="2:29" x14ac:dyDescent="0.2">
      <c r="B149" s="20" t="s">
        <v>259</v>
      </c>
      <c r="L149" s="181">
        <f t="shared" ref="L149:Q149" si="194">IF(L13&gt;=0,"N/A",IF(L12&lt;=0,"N/A",L12/-L13))</f>
        <v>43.034246575342465</v>
      </c>
      <c r="M149" s="181">
        <f t="shared" si="194"/>
        <v>104.3225806451613</v>
      </c>
      <c r="N149" s="181" t="str">
        <f t="shared" si="194"/>
        <v>N/A</v>
      </c>
      <c r="O149" s="181">
        <f t="shared" si="194"/>
        <v>39.515151515151516</v>
      </c>
      <c r="P149" s="181" t="str">
        <f t="shared" si="194"/>
        <v>N/A</v>
      </c>
      <c r="Q149" s="181" t="str">
        <f t="shared" si="194"/>
        <v>N/A</v>
      </c>
      <c r="T149" s="181">
        <f t="shared" ref="T149:Z149" si="195">IF(T13&gt;=0,"N/A",IF(T12&lt;=0,"N/A",T12/-T13))</f>
        <v>197.63636363636363</v>
      </c>
      <c r="U149" s="181">
        <f t="shared" si="195"/>
        <v>443.25</v>
      </c>
      <c r="V149" s="181" t="str">
        <f t="shared" si="195"/>
        <v>N/A</v>
      </c>
      <c r="W149" s="181" t="str">
        <f t="shared" si="195"/>
        <v>N/A</v>
      </c>
      <c r="X149" s="181" t="str">
        <f t="shared" si="195"/>
        <v>N/A</v>
      </c>
      <c r="Y149" s="181" t="str">
        <f t="shared" si="195"/>
        <v>N/A</v>
      </c>
      <c r="Z149" s="181" t="str">
        <f t="shared" si="195"/>
        <v>N/A</v>
      </c>
      <c r="AA149" s="181" t="str">
        <f t="shared" ref="AA149" si="196">IF(AA13&gt;=0,"N/A",IF(AA12&lt;=0,"N/A",AA12/-AA13))</f>
        <v>N/A</v>
      </c>
      <c r="AC149" s="181" t="str">
        <f>IF(AC13&gt;=0,"N/A",IF(AC12&lt;=0,"N/A",AC12/-AC13))</f>
        <v>N/A</v>
      </c>
    </row>
    <row r="150" spans="2:29" x14ac:dyDescent="0.2">
      <c r="B150" s="20" t="s">
        <v>237</v>
      </c>
      <c r="L150" s="72">
        <f>L117/Statement!L26</f>
        <v>16.210116731517509</v>
      </c>
      <c r="M150" s="72">
        <f>M117/Statement!M26</f>
        <v>7.39483870967742</v>
      </c>
      <c r="N150" s="72">
        <f>N117/Statement!N26</f>
        <v>-12.750936329588017</v>
      </c>
      <c r="O150" s="72">
        <f>O117/Statement!O26</f>
        <v>136.52857142857144</v>
      </c>
      <c r="P150" s="72">
        <f>P117/Statement!P26</f>
        <v>16.073781291172597</v>
      </c>
      <c r="Q150" s="72">
        <f>Q117/Statement!Q26</f>
        <v>12.890622897887798</v>
      </c>
      <c r="T150" s="49"/>
      <c r="U150" s="49"/>
      <c r="V150" s="49"/>
      <c r="W150" s="49"/>
      <c r="X150" s="49"/>
      <c r="Y150" s="49"/>
      <c r="Z150" s="49"/>
      <c r="AA150" s="49"/>
      <c r="AC150" s="72">
        <f ca="1">AC117/Statement!AC26</f>
        <v>12.177604096482954</v>
      </c>
    </row>
    <row r="151" spans="2:29" x14ac:dyDescent="0.2">
      <c r="B151" s="20" t="s">
        <v>201</v>
      </c>
      <c r="L151" s="72">
        <f>L117/(Statement!L5/Statement!L22)</f>
        <v>3.4314426998736689</v>
      </c>
      <c r="M151" s="72">
        <f>M117/(Statement!M5/Statement!M22)</f>
        <v>2.0905722088562326</v>
      </c>
      <c r="N151" s="72">
        <f>N117/(Statement!N5/Statement!N22)</f>
        <v>4.7890842985842994</v>
      </c>
      <c r="O151" s="72">
        <f>O117/(Statement!O5/Statement!O22)</f>
        <v>4.2549982079566719</v>
      </c>
      <c r="P151" s="72">
        <f>P117/(Statement!P5/Statement!P22)</f>
        <v>3.6719460645299371</v>
      </c>
      <c r="Q151" s="72">
        <f>Q117/(Statement!Q5/Statement!Q22)</f>
        <v>8.2227894404901338</v>
      </c>
      <c r="T151" s="49"/>
      <c r="U151" s="49"/>
      <c r="V151" s="49"/>
      <c r="W151" s="49"/>
      <c r="X151" s="49"/>
      <c r="Y151" s="49"/>
      <c r="Z151" s="49"/>
      <c r="AA151" s="49"/>
      <c r="AC151" s="72">
        <f ca="1">AC117/(Statement!AC5/Statement!AC22)</f>
        <v>7.7554216596089747</v>
      </c>
    </row>
    <row r="152" spans="2:29" x14ac:dyDescent="0.2">
      <c r="B152" s="20" t="s">
        <v>238</v>
      </c>
      <c r="L152" s="72">
        <f>L117/(Statement!L49/Statement!L75)</f>
        <v>2.1222106389274575</v>
      </c>
      <c r="M152" s="72">
        <f>M117/(Statement!M49/Statement!M75)</f>
        <v>1.248241128499008</v>
      </c>
      <c r="N152" s="72">
        <f>N117/(Statement!N49/Statement!N75)</f>
        <v>1.6945335448776064</v>
      </c>
      <c r="O152" s="72">
        <f>O117/(Statement!O49/Statement!O75)</f>
        <v>2.3484330061376881</v>
      </c>
      <c r="P152" s="72">
        <f>P117/(Statement!P49/Statement!P75)</f>
        <v>2.5271669897535309</v>
      </c>
      <c r="Q152" s="72">
        <f>Q117/(Statement!Q49/Statement!Q75)</f>
        <v>7.8174467039558309</v>
      </c>
      <c r="T152" s="72">
        <f>T117/(Statement!T49/Statement!T75)</f>
        <v>2.3257431031903755</v>
      </c>
      <c r="U152" s="72">
        <f>U117/(Statement!U49/Statement!U75)</f>
        <v>2.1108045977011494</v>
      </c>
      <c r="V152" s="72">
        <f>V117/(Statement!V49/Statement!V75)</f>
        <v>2.1289400567510048</v>
      </c>
      <c r="W152" s="72">
        <f>W117/(Statement!W49/Statement!W75)</f>
        <v>2.5271669897535309</v>
      </c>
      <c r="X152" s="72">
        <f>X117/(Statement!X49/Statement!X75)</f>
        <v>4.408950787334625</v>
      </c>
      <c r="Y152" s="72">
        <f>Y117/(Statement!Y49/Statement!Y75)</f>
        <v>6.4691988572848098</v>
      </c>
      <c r="Z152" s="72">
        <f>Z117/(Statement!Z49/Statement!Z75)</f>
        <v>10.351595250387197</v>
      </c>
      <c r="AA152" s="72">
        <f>AA117/(Statement!AA49/Statement!AA75)</f>
        <v>7.8174467039558309</v>
      </c>
      <c r="AC152" s="72">
        <f ca="1">AC117/(Statement!AC49/Statement!AC75)</f>
        <v>7.3731178366503345</v>
      </c>
    </row>
    <row r="153" spans="2:29" x14ac:dyDescent="0.2">
      <c r="B153" s="20" t="s">
        <v>239</v>
      </c>
      <c r="L153" s="145">
        <f>Statement!L117*Statement!L78</f>
        <v>94984.799999999988</v>
      </c>
      <c r="M153" s="145">
        <f>Statement!M117*Statement!M78</f>
        <v>62869.07</v>
      </c>
      <c r="N153" s="145">
        <f>Statement!N117*Statement!N78</f>
        <v>74762.820000000007</v>
      </c>
      <c r="O153" s="145">
        <f>Statement!O117*Statement!O78</f>
        <v>107229.54</v>
      </c>
      <c r="P153" s="145">
        <f>Statement!P117*Statement!P78</f>
        <v>137982</v>
      </c>
      <c r="Q153" s="145">
        <f>Statement!Q117*Statement!Q78</f>
        <v>1098051.3599999999</v>
      </c>
      <c r="T153" s="145">
        <f>Statement!T117*Statement!T78</f>
        <v>109912.5</v>
      </c>
      <c r="U153" s="145">
        <f>Statement!U117*Statement!U78</f>
        <v>103389.31999999999</v>
      </c>
      <c r="V153" s="145">
        <f>Statement!V117*Statement!V78</f>
        <v>108715.3</v>
      </c>
      <c r="W153" s="145">
        <f>Statement!W117*Statement!W78</f>
        <v>137982</v>
      </c>
      <c r="X153" s="145">
        <f>Statement!X117*Statement!X78</f>
        <v>262266.14</v>
      </c>
      <c r="Y153" s="145">
        <f>Statement!Y117*Statement!Y78</f>
        <v>475400.64</v>
      </c>
      <c r="Z153" s="145">
        <f>Statement!Z117*Statement!Z78</f>
        <v>1058353.92</v>
      </c>
      <c r="AA153" s="145">
        <f>Statement!AA117*Statement!AA78</f>
        <v>1098051.3599999999</v>
      </c>
      <c r="AC153" s="145">
        <f ca="1">Statement!AC117*Statement!AC78</f>
        <v>1035640.2000000001</v>
      </c>
    </row>
    <row r="154" spans="2:29" x14ac:dyDescent="0.2">
      <c r="B154" s="20" t="s">
        <v>188</v>
      </c>
      <c r="L154" s="145">
        <f t="shared" ref="L154:Q154" si="197">L153+L108-L107+L48+L45</f>
        <v>91362.799999999988</v>
      </c>
      <c r="M154" s="145">
        <f t="shared" si="197"/>
        <v>58797.070000000007</v>
      </c>
      <c r="N154" s="145">
        <f t="shared" si="197"/>
        <v>77654.820000000007</v>
      </c>
      <c r="O154" s="145">
        <f t="shared" si="197"/>
        <v>111474.54</v>
      </c>
      <c r="P154" s="145">
        <f t="shared" si="197"/>
        <v>140623</v>
      </c>
      <c r="Q154" s="145">
        <f t="shared" si="197"/>
        <v>1029777.3599999999</v>
      </c>
      <c r="T154" s="145">
        <f t="shared" ref="T154:Z154" si="198">T153+T108-T107+T48+T45</f>
        <v>114953.5</v>
      </c>
      <c r="U154" s="145">
        <f t="shared" si="198"/>
        <v>108154.31999999999</v>
      </c>
      <c r="V154" s="145">
        <f t="shared" si="198"/>
        <v>112043.3</v>
      </c>
      <c r="W154" s="145">
        <f t="shared" si="198"/>
        <v>140623</v>
      </c>
      <c r="X154" s="145">
        <f t="shared" si="198"/>
        <v>262007.14</v>
      </c>
      <c r="Y154" s="145">
        <f t="shared" si="198"/>
        <v>468915.64</v>
      </c>
      <c r="Z154" s="145">
        <f t="shared" si="198"/>
        <v>1033947.9199999999</v>
      </c>
      <c r="AA154" s="145">
        <f t="shared" ref="AA154" si="199">AA153+AA108-AA107+AA48+AA45</f>
        <v>1029777.3599999999</v>
      </c>
      <c r="AC154" s="145">
        <f ca="1">AC153+AC108-AC107+AC48+AC45</f>
        <v>967366.20000000007</v>
      </c>
    </row>
    <row r="155" spans="2:29" x14ac:dyDescent="0.2">
      <c r="B155" s="20" t="s">
        <v>260</v>
      </c>
      <c r="L155" s="183">
        <f t="shared" ref="L155:Q155" si="200">L154/L5</f>
        <v>3.2977007760332064</v>
      </c>
      <c r="M155" s="183">
        <f t="shared" si="200"/>
        <v>1.9116025099161196</v>
      </c>
      <c r="N155" s="183">
        <f t="shared" si="200"/>
        <v>4.9970926640926647</v>
      </c>
      <c r="O155" s="183">
        <f t="shared" si="200"/>
        <v>4.4392712357134325</v>
      </c>
      <c r="P155" s="183">
        <f t="shared" si="200"/>
        <v>3.7621863128043236</v>
      </c>
      <c r="Q155" s="183">
        <f t="shared" si="200"/>
        <v>7.73175781601946</v>
      </c>
      <c r="T155" s="49"/>
      <c r="U155" s="49"/>
      <c r="V155" s="49"/>
      <c r="W155" s="49"/>
      <c r="X155" s="49"/>
      <c r="Y155" s="49"/>
      <c r="Z155" s="49"/>
      <c r="AA155" s="49"/>
      <c r="AC155" s="183">
        <f ca="1">AC154/AC5</f>
        <v>7.2631633480493747</v>
      </c>
    </row>
    <row r="156" spans="2:29" x14ac:dyDescent="0.2">
      <c r="B156" s="20" t="s">
        <v>204</v>
      </c>
      <c r="L156" s="183">
        <f t="shared" ref="L156:Q156" si="201">L154/L12</f>
        <v>14.541270093904185</v>
      </c>
      <c r="M156" s="183">
        <f t="shared" si="201"/>
        <v>6.0603040610183472</v>
      </c>
      <c r="N156" s="183">
        <f t="shared" si="201"/>
        <v>-13.51693994778068</v>
      </c>
      <c r="O156" s="183">
        <f t="shared" si="201"/>
        <v>85.48661042944785</v>
      </c>
      <c r="P156" s="183">
        <f t="shared" si="201"/>
        <v>14.393346980552712</v>
      </c>
      <c r="Q156" s="183">
        <f t="shared" si="201"/>
        <v>10.366190457016307</v>
      </c>
      <c r="T156" s="49"/>
      <c r="U156" s="49"/>
      <c r="V156" s="49"/>
      <c r="W156" s="49"/>
      <c r="X156" s="49"/>
      <c r="Y156" s="49"/>
      <c r="Z156" s="49"/>
      <c r="AA156" s="49"/>
      <c r="AC156" s="183">
        <f ca="1">AC154/AC12</f>
        <v>9.7379323535333207</v>
      </c>
    </row>
    <row r="157" spans="2:29" x14ac:dyDescent="0.2">
      <c r="B157" s="20" t="s">
        <v>261</v>
      </c>
      <c r="L157" s="64">
        <f t="shared" ref="L157:Q157" si="202">L59-L54+L110+L65</f>
        <v>2060</v>
      </c>
      <c r="M157" s="64">
        <f t="shared" si="202"/>
        <v>2600</v>
      </c>
      <c r="N157" s="64">
        <f t="shared" si="202"/>
        <v>-6713</v>
      </c>
      <c r="O157" s="64">
        <f t="shared" si="202"/>
        <v>-712</v>
      </c>
      <c r="P157" s="64">
        <f t="shared" si="202"/>
        <v>696</v>
      </c>
      <c r="Q157" s="64">
        <f t="shared" si="202"/>
        <v>57630</v>
      </c>
      <c r="T157" s="64">
        <f t="shared" ref="T157:Z157" si="203">T59-T54+T110+T65</f>
        <v>-182</v>
      </c>
      <c r="U157" s="64">
        <f t="shared" si="203"/>
        <v>-362</v>
      </c>
      <c r="V157" s="64">
        <f t="shared" si="203"/>
        <v>1418</v>
      </c>
      <c r="W157" s="64">
        <f t="shared" si="203"/>
        <v>-178</v>
      </c>
      <c r="X157" s="64">
        <f t="shared" si="203"/>
        <v>2732</v>
      </c>
      <c r="Y157" s="64">
        <f t="shared" si="203"/>
        <v>5207</v>
      </c>
      <c r="Z157" s="64">
        <f t="shared" si="203"/>
        <v>17207</v>
      </c>
      <c r="AA157" s="64">
        <f t="shared" ref="AA157" si="204">AA59-AA54+AA110+AA65</f>
        <v>32484</v>
      </c>
      <c r="AC157" s="64">
        <f>AC59-AC54+AC110+AC65</f>
        <v>57630</v>
      </c>
    </row>
    <row r="158" spans="2:29" x14ac:dyDescent="0.2">
      <c r="B158" s="20" t="s">
        <v>262</v>
      </c>
      <c r="L158" s="64">
        <f t="shared" ref="L158:Q158" si="205">L109+L53+L110+L55+L57+L58+L56</f>
        <v>1698.8813123190739</v>
      </c>
      <c r="M158" s="64">
        <f t="shared" si="205"/>
        <v>2605.8457841395884</v>
      </c>
      <c r="N158" s="64">
        <f t="shared" si="205"/>
        <v>-8557</v>
      </c>
      <c r="O158" s="64">
        <f t="shared" si="205"/>
        <v>-660.27741935483937</v>
      </c>
      <c r="P158" s="64">
        <f t="shared" si="205"/>
        <v>789.49430287963332</v>
      </c>
      <c r="Q158" s="64">
        <f t="shared" si="205"/>
        <v>57677.020186413312</v>
      </c>
      <c r="T158" s="49"/>
      <c r="U158" s="49"/>
      <c r="V158" s="49"/>
      <c r="W158" s="49"/>
      <c r="X158" s="49"/>
      <c r="Y158" s="49"/>
      <c r="Z158" s="49"/>
      <c r="AA158" s="49"/>
      <c r="AC158" s="64">
        <f>AC109+AC53+AC110+AC55+AC57+AC58+AC56</f>
        <v>57677.020186413312</v>
      </c>
    </row>
    <row r="159" spans="2:29" x14ac:dyDescent="0.2">
      <c r="B159" s="20" t="s">
        <v>263</v>
      </c>
      <c r="L159" s="72">
        <f>L153/L157</f>
        <v>46.109126213592226</v>
      </c>
      <c r="M159" s="72">
        <f t="shared" ref="M159:P159" si="206">M153/M157</f>
        <v>24.180411538461538</v>
      </c>
      <c r="N159" s="72">
        <f t="shared" si="206"/>
        <v>-11.137020706092658</v>
      </c>
      <c r="O159" s="72">
        <f t="shared" si="206"/>
        <v>-150.60328651685393</v>
      </c>
      <c r="P159" s="72">
        <f t="shared" si="206"/>
        <v>198.25</v>
      </c>
      <c r="Q159" s="72">
        <f t="shared" ref="Q159" si="207">Q153/Q157</f>
        <v>19.053467985424255</v>
      </c>
      <c r="T159" s="49"/>
      <c r="U159" s="49"/>
      <c r="V159" s="49"/>
      <c r="W159" s="49"/>
      <c r="X159" s="49"/>
      <c r="Y159" s="49"/>
      <c r="Z159" s="49"/>
      <c r="AA159" s="49"/>
      <c r="AC159" s="72">
        <f t="shared" ref="AC159:AC160" ca="1" si="208">AC153/AC157</f>
        <v>17.97050494534097</v>
      </c>
    </row>
    <row r="160" spans="2:29" x14ac:dyDescent="0.2">
      <c r="B160" s="20" t="s">
        <v>264</v>
      </c>
      <c r="L160" s="72">
        <f>L154/L158</f>
        <v>53.778212366868843</v>
      </c>
      <c r="M160" s="72">
        <f t="shared" ref="M160:P160" si="209">M154/M158</f>
        <v>22.563526344447098</v>
      </c>
      <c r="N160" s="72">
        <f t="shared" si="209"/>
        <v>-9.0750052588524017</v>
      </c>
      <c r="O160" s="72">
        <f t="shared" si="209"/>
        <v>-168.8298535317509</v>
      </c>
      <c r="P160" s="72">
        <f t="shared" si="209"/>
        <v>178.11781476710598</v>
      </c>
      <c r="Q160" s="72">
        <f t="shared" ref="Q160" si="210">Q154/Q158</f>
        <v>17.854205308660855</v>
      </c>
      <c r="T160" s="49"/>
      <c r="U160" s="49"/>
      <c r="V160" s="49"/>
      <c r="W160" s="49"/>
      <c r="X160" s="49"/>
      <c r="Y160" s="49"/>
      <c r="Z160" s="49"/>
      <c r="AA160" s="49"/>
      <c r="AC160" s="72">
        <f t="shared" ca="1" si="208"/>
        <v>16.772125135339042</v>
      </c>
    </row>
    <row r="161" spans="2:29" x14ac:dyDescent="0.2">
      <c r="B161" s="20" t="s">
        <v>265</v>
      </c>
      <c r="L161" s="74">
        <f>L157/L153</f>
        <v>2.1687680555204626E-2</v>
      </c>
      <c r="M161" s="74">
        <f t="shared" ref="M161:P161" si="211">M157/M153</f>
        <v>4.1355789102654132E-2</v>
      </c>
      <c r="N161" s="74">
        <f t="shared" si="211"/>
        <v>-8.9790620525014964E-2</v>
      </c>
      <c r="O161" s="74">
        <f t="shared" si="211"/>
        <v>-6.6399613390116198E-3</v>
      </c>
      <c r="P161" s="74">
        <f t="shared" si="211"/>
        <v>5.0441361916771753E-3</v>
      </c>
      <c r="Q161" s="74">
        <f t="shared" ref="Q161" si="212">Q157/Q153</f>
        <v>5.2483883813959312E-2</v>
      </c>
      <c r="T161" s="49"/>
      <c r="U161" s="49"/>
      <c r="V161" s="49"/>
      <c r="W161" s="49"/>
      <c r="X161" s="49"/>
      <c r="Y161" s="49"/>
      <c r="Z161" s="49"/>
      <c r="AA161" s="49"/>
      <c r="AC161" s="74">
        <f t="shared" ref="AC161" ca="1" si="213">AC157/AC153</f>
        <v>5.5646739089502316E-2</v>
      </c>
    </row>
    <row r="162" spans="2:29" x14ac:dyDescent="0.2">
      <c r="B162" s="20" t="s">
        <v>266</v>
      </c>
      <c r="L162" s="74">
        <f t="shared" ref="L162:Q162" si="214">L26/L117</f>
        <v>6.1689870379260686E-2</v>
      </c>
      <c r="M162" s="74">
        <f t="shared" si="214"/>
        <v>0.13522945384749607</v>
      </c>
      <c r="N162" s="74">
        <f t="shared" si="214"/>
        <v>-7.8425613159054192E-2</v>
      </c>
      <c r="O162" s="74">
        <f t="shared" si="214"/>
        <v>7.3244742073872559E-3</v>
      </c>
      <c r="P162" s="74">
        <f t="shared" si="214"/>
        <v>6.221311475409836E-2</v>
      </c>
      <c r="Q162" s="74">
        <f t="shared" si="214"/>
        <v>7.7575770226267007E-2</v>
      </c>
      <c r="T162" s="49"/>
      <c r="U162" s="49"/>
      <c r="V162" s="49"/>
      <c r="W162" s="49"/>
      <c r="X162" s="49"/>
      <c r="Y162" s="49"/>
      <c r="Z162" s="49"/>
      <c r="AA162" s="49"/>
      <c r="AC162" s="74">
        <f ca="1">AC26/AC117</f>
        <v>8.2117959499834026E-2</v>
      </c>
    </row>
    <row r="163" spans="2:29" x14ac:dyDescent="0.2">
      <c r="B163" s="20" t="s">
        <v>267</v>
      </c>
      <c r="L163" s="156">
        <f t="shared" ref="L163:Q163" si="215">L82/L117</f>
        <v>1.2001920307249162E-3</v>
      </c>
      <c r="M163" s="156">
        <f t="shared" si="215"/>
        <v>5.4964229628337111E-3</v>
      </c>
      <c r="N163" s="156">
        <f t="shared" si="215"/>
        <v>6.7557644294316344E-3</v>
      </c>
      <c r="O163" s="156">
        <f t="shared" si="215"/>
        <v>4.8132259077116255E-3</v>
      </c>
      <c r="P163" s="156">
        <f t="shared" si="215"/>
        <v>3.7704918032786887E-3</v>
      </c>
      <c r="Q163" s="156">
        <f t="shared" si="215"/>
        <v>5.9489020622860477E-4</v>
      </c>
      <c r="T163" s="49"/>
      <c r="U163" s="49"/>
      <c r="V163" s="49"/>
      <c r="W163" s="49"/>
      <c r="X163" s="49"/>
      <c r="Y163" s="49"/>
      <c r="Z163" s="49"/>
      <c r="AA163" s="49"/>
      <c r="AC163" s="156">
        <f ca="1">AC82/AC117</f>
        <v>6.2520748035852609E-4</v>
      </c>
    </row>
    <row r="164" spans="2:29" x14ac:dyDescent="0.2">
      <c r="B164" s="20" t="s">
        <v>292</v>
      </c>
      <c r="L164" s="156">
        <f t="shared" ref="L164:Q164" si="216">-L63/L153</f>
        <v>1.362323234875475E-2</v>
      </c>
      <c r="M164" s="156">
        <f t="shared" si="216"/>
        <v>4.0671827975187161E-2</v>
      </c>
      <c r="N164" s="156">
        <f t="shared" si="216"/>
        <v>5.6846437841697245E-3</v>
      </c>
      <c r="O164" s="156">
        <f t="shared" si="216"/>
        <v>2.7977365192464691E-3</v>
      </c>
      <c r="P164" s="156">
        <f t="shared" si="216"/>
        <v>0</v>
      </c>
      <c r="Q164" s="156">
        <f t="shared" si="216"/>
        <v>5.9195773866169621E-4</v>
      </c>
      <c r="T164" s="49"/>
      <c r="U164" s="49"/>
      <c r="V164" s="49"/>
      <c r="W164" s="49"/>
      <c r="X164" s="49"/>
      <c r="Y164" s="49"/>
      <c r="Z164" s="49"/>
      <c r="AA164" s="49"/>
      <c r="AC164" s="156">
        <f ca="1">-AC63/AC153</f>
        <v>6.2763110199855123E-4</v>
      </c>
    </row>
    <row r="165" spans="2:29" x14ac:dyDescent="0.2">
      <c r="B165" s="20" t="s">
        <v>294</v>
      </c>
      <c r="L165" s="156">
        <f t="shared" ref="L165:Q165" si="217">-(L63+L64)/L153</f>
        <v>1.362323234875475E-2</v>
      </c>
      <c r="M165" s="156">
        <f t="shared" si="217"/>
        <v>4.8004527504542378E-2</v>
      </c>
      <c r="N165" s="156">
        <f t="shared" si="217"/>
        <v>1.2425962530573351E-2</v>
      </c>
      <c r="O165" s="156">
        <f t="shared" si="217"/>
        <v>7.5818659671579311E-3</v>
      </c>
      <c r="P165" s="156">
        <f t="shared" si="217"/>
        <v>3.7831021437578815E-3</v>
      </c>
      <c r="Q165" s="156">
        <f t="shared" si="217"/>
        <v>1.147487308790365E-3</v>
      </c>
      <c r="T165" s="49"/>
      <c r="U165" s="49"/>
      <c r="V165" s="49"/>
      <c r="W165" s="49"/>
      <c r="X165" s="49"/>
      <c r="Y165" s="49"/>
      <c r="Z165" s="49"/>
      <c r="AA165" s="49"/>
      <c r="AC165" s="156">
        <f ca="1">-(AC63+AC64)/AC153</f>
        <v>1.2166387515664223E-3</v>
      </c>
    </row>
    <row r="166" spans="2:29" x14ac:dyDescent="0.2">
      <c r="B166" s="20" t="s">
        <v>343</v>
      </c>
      <c r="L166" s="156">
        <f t="shared" ref="L166:Q166" si="218">L158/L5</f>
        <v>6.1320386656526761E-2</v>
      </c>
      <c r="M166" s="156">
        <f t="shared" si="218"/>
        <v>8.4720911117094358E-2</v>
      </c>
      <c r="N166" s="156">
        <f t="shared" si="218"/>
        <v>-0.55064350064350065</v>
      </c>
      <c r="O166" s="156">
        <f t="shared" si="218"/>
        <v>-2.6294349860811573E-2</v>
      </c>
      <c r="P166" s="156">
        <f t="shared" si="218"/>
        <v>2.1121897984901099E-2</v>
      </c>
      <c r="Q166" s="156">
        <f t="shared" si="218"/>
        <v>0.43304967554444329</v>
      </c>
      <c r="T166" s="49"/>
      <c r="U166" s="49"/>
      <c r="V166" s="49"/>
      <c r="W166" s="49"/>
      <c r="X166" s="49"/>
      <c r="Y166" s="49"/>
      <c r="Z166" s="49"/>
      <c r="AA166" s="49"/>
      <c r="AC166" s="156">
        <f>AC158/AC5</f>
        <v>0.43304967554444329</v>
      </c>
    </row>
    <row r="167" spans="2:29" x14ac:dyDescent="0.2">
      <c r="B167" s="20" t="s">
        <v>344</v>
      </c>
      <c r="L167" s="156">
        <f t="shared" ref="L167:Q167" si="219">L157/L5</f>
        <v>7.4354809601155022E-2</v>
      </c>
      <c r="M167" s="156">
        <f t="shared" si="219"/>
        <v>8.453085376162299E-2</v>
      </c>
      <c r="N167" s="156">
        <f t="shared" si="219"/>
        <v>-0.43198198198198196</v>
      </c>
      <c r="O167" s="156">
        <f t="shared" si="219"/>
        <v>-2.8354107761538769E-2</v>
      </c>
      <c r="P167" s="156">
        <f t="shared" si="219"/>
        <v>1.86205789501846E-2</v>
      </c>
      <c r="Q167" s="156">
        <f t="shared" si="219"/>
        <v>0.43269663933687719</v>
      </c>
      <c r="T167" s="49"/>
      <c r="U167" s="49"/>
      <c r="V167" s="49"/>
      <c r="W167" s="49"/>
      <c r="X167" s="49"/>
      <c r="Y167" s="49"/>
      <c r="Z167" s="49"/>
      <c r="AA167" s="49"/>
      <c r="AC167" s="156">
        <f>AC157/AC5</f>
        <v>0.43269663933687719</v>
      </c>
    </row>
    <row r="168" spans="2:29" x14ac:dyDescent="0.2">
      <c r="B168" s="20" t="s">
        <v>270</v>
      </c>
      <c r="L168" s="156">
        <f t="shared" ref="L168:Q168" si="220">-L64/L157</f>
        <v>0</v>
      </c>
      <c r="M168" s="156">
        <f t="shared" si="220"/>
        <v>0.17730769230769231</v>
      </c>
      <c r="N168" s="156">
        <f t="shared" si="220"/>
        <v>-7.5078206465067784E-2</v>
      </c>
      <c r="O168" s="156">
        <f t="shared" si="220"/>
        <v>-0.7205056179775281</v>
      </c>
      <c r="P168" s="156">
        <f t="shared" si="220"/>
        <v>0.75</v>
      </c>
      <c r="Q168" s="156">
        <f t="shared" si="220"/>
        <v>1.0584764879403089E-2</v>
      </c>
      <c r="T168" s="49"/>
      <c r="U168" s="49"/>
      <c r="V168" s="49"/>
      <c r="W168" s="49"/>
      <c r="X168" s="49"/>
      <c r="Y168" s="49"/>
      <c r="Z168" s="49"/>
      <c r="AA168" s="49"/>
      <c r="AC168" s="156">
        <f>-AC64/AC157</f>
        <v>1.0584764879403089E-2</v>
      </c>
    </row>
    <row r="169" spans="2:29" x14ac:dyDescent="0.2">
      <c r="B169" s="20" t="s">
        <v>272</v>
      </c>
      <c r="L169" s="156">
        <f t="shared" ref="L169:Q169" si="221">-L63/L157</f>
        <v>0.62815533980582527</v>
      </c>
      <c r="M169" s="156">
        <f t="shared" si="221"/>
        <v>0.9834615384615385</v>
      </c>
      <c r="N169" s="156">
        <f t="shared" si="221"/>
        <v>-6.3309995531059135E-2</v>
      </c>
      <c r="O169" s="156">
        <f t="shared" si="221"/>
        <v>-0.42134831460674155</v>
      </c>
      <c r="P169" s="156">
        <f t="shared" si="221"/>
        <v>0</v>
      </c>
      <c r="Q169" s="156">
        <f t="shared" si="221"/>
        <v>1.1278847822314766E-2</v>
      </c>
      <c r="T169" s="49"/>
      <c r="U169" s="49"/>
      <c r="V169" s="49"/>
      <c r="W169" s="49"/>
      <c r="X169" s="49"/>
      <c r="Y169" s="49"/>
      <c r="Z169" s="49"/>
      <c r="AA169" s="49"/>
      <c r="AC169" s="156">
        <f>-AC63/AC157</f>
        <v>1.1278847822314766E-2</v>
      </c>
    </row>
    <row r="170" spans="2:29" x14ac:dyDescent="0.2">
      <c r="B170" s="20" t="s">
        <v>283</v>
      </c>
      <c r="L170" s="156">
        <f t="shared" ref="L170:Q170" si="222">(-L64-L63)/L157</f>
        <v>0.62815533980582527</v>
      </c>
      <c r="M170" s="156">
        <f t="shared" si="222"/>
        <v>1.1607692307692308</v>
      </c>
      <c r="N170" s="156">
        <f t="shared" si="222"/>
        <v>-0.13838820199612692</v>
      </c>
      <c r="O170" s="156">
        <f t="shared" si="222"/>
        <v>-1.1418539325842696</v>
      </c>
      <c r="P170" s="156">
        <f t="shared" si="222"/>
        <v>0.75</v>
      </c>
      <c r="Q170" s="156">
        <f t="shared" si="222"/>
        <v>2.1863612701717855E-2</v>
      </c>
      <c r="T170" s="49"/>
      <c r="U170" s="49"/>
      <c r="V170" s="49"/>
      <c r="W170" s="49"/>
      <c r="X170" s="49"/>
      <c r="Y170" s="49"/>
      <c r="Z170" s="49"/>
      <c r="AA170" s="49"/>
      <c r="AC170" s="156">
        <f>(-AC64-AC63)/AC157</f>
        <v>2.1863612701717855E-2</v>
      </c>
    </row>
    <row r="171" spans="2:29" x14ac:dyDescent="0.2">
      <c r="B171" s="20" t="s">
        <v>277</v>
      </c>
      <c r="L171" s="156">
        <f t="shared" ref="L171:Q171" si="223">L80/L78</f>
        <v>3.5087719298245615E-3</v>
      </c>
      <c r="M171" s="156">
        <f t="shared" si="223"/>
        <v>3.6463081130355514E-3</v>
      </c>
      <c r="N171" s="156">
        <f t="shared" si="223"/>
        <v>3.6429872495446266E-3</v>
      </c>
      <c r="O171" s="156">
        <f t="shared" si="223"/>
        <v>2.6737967914438501E-3</v>
      </c>
      <c r="P171" s="156">
        <f t="shared" si="223"/>
        <v>2.6525198938992041E-3</v>
      </c>
      <c r="Q171" s="156">
        <f t="shared" si="223"/>
        <v>2.617801047120419E-3</v>
      </c>
      <c r="T171" s="49"/>
      <c r="U171" s="49"/>
      <c r="V171" s="49"/>
      <c r="W171" s="49"/>
      <c r="X171" s="49"/>
      <c r="Y171" s="49"/>
      <c r="Z171" s="49"/>
      <c r="AA171" s="49"/>
      <c r="AC171" s="156">
        <f>AC80/AC78</f>
        <v>2.617801047120419E-3</v>
      </c>
    </row>
    <row r="172" spans="2:29" x14ac:dyDescent="0.2">
      <c r="B172" s="20" t="s">
        <v>278</v>
      </c>
      <c r="L172" s="72">
        <f t="shared" ref="L172:Q172" si="224">L107/L75</f>
        <v>9.2922252010723856</v>
      </c>
      <c r="M172" s="72">
        <f t="shared" si="224"/>
        <v>10.09935602575897</v>
      </c>
      <c r="N172" s="72">
        <f t="shared" si="224"/>
        <v>9.5063752276867035</v>
      </c>
      <c r="O172" s="72">
        <f t="shared" si="224"/>
        <v>8.252479711451759</v>
      </c>
      <c r="P172" s="72">
        <f t="shared" si="224"/>
        <v>10.638146167557933</v>
      </c>
      <c r="Q172" s="72">
        <f t="shared" si="224"/>
        <v>65.060230292294065</v>
      </c>
      <c r="T172" s="72">
        <f t="shared" ref="T172:Z172" si="225">T107/T75</f>
        <v>7.8491921005386001</v>
      </c>
      <c r="U172" s="72">
        <f t="shared" si="225"/>
        <v>8.5778175313059037</v>
      </c>
      <c r="V172" s="72">
        <f t="shared" si="225"/>
        <v>10.914209115281501</v>
      </c>
      <c r="W172" s="72">
        <f t="shared" si="225"/>
        <v>10.638146167557933</v>
      </c>
      <c r="X172" s="72">
        <f t="shared" si="225"/>
        <v>10.670515097690942</v>
      </c>
      <c r="Y172" s="72">
        <f t="shared" si="225"/>
        <v>14.740248226950355</v>
      </c>
      <c r="Z172" s="72">
        <f t="shared" si="225"/>
        <v>26.685562444641274</v>
      </c>
      <c r="AA172" s="72">
        <f t="shared" ref="AA172" si="226">AA107/AA75</f>
        <v>65.060230292294065</v>
      </c>
      <c r="AC172" s="72">
        <f>AC107/AC75</f>
        <v>65.060230292294065</v>
      </c>
    </row>
    <row r="173" spans="2:29" x14ac:dyDescent="0.2">
      <c r="B173" s="20" t="s">
        <v>280</v>
      </c>
      <c r="L173" s="156">
        <f t="shared" ref="L173:Q173" si="227">L54/L59</f>
        <v>3.0317613089509143E-2</v>
      </c>
      <c r="M173" s="156">
        <f t="shared" si="227"/>
        <v>3.3858112113826493E-2</v>
      </c>
      <c r="N173" s="156">
        <f t="shared" si="227"/>
        <v>0.38229634381013472</v>
      </c>
      <c r="O173" s="156">
        <f t="shared" si="227"/>
        <v>9.7919360526625129E-2</v>
      </c>
      <c r="P173" s="156">
        <f t="shared" si="227"/>
        <v>5.5463623395149785E-2</v>
      </c>
      <c r="Q173" s="156">
        <f t="shared" si="227"/>
        <v>1.4864789517702816E-2</v>
      </c>
      <c r="T173" s="156">
        <f t="shared" ref="T173:Z173" si="228">T54/T59</f>
        <v>6.7817509247842175E-2</v>
      </c>
      <c r="U173" s="156">
        <f t="shared" si="228"/>
        <v>6.3165905631659053E-2</v>
      </c>
      <c r="V173" s="156">
        <f t="shared" si="228"/>
        <v>5.4892601431980909E-2</v>
      </c>
      <c r="W173" s="156">
        <f t="shared" si="228"/>
        <v>4.3630017452006981E-2</v>
      </c>
      <c r="X173" s="156">
        <f t="shared" si="228"/>
        <v>3.4478658899060752E-2</v>
      </c>
      <c r="Y173" s="156">
        <f t="shared" si="228"/>
        <v>2.5959842056624379E-2</v>
      </c>
      <c r="Z173" s="156">
        <f t="shared" si="228"/>
        <v>1.3982984086970221E-2</v>
      </c>
      <c r="AA173" s="156">
        <f t="shared" ref="AA173" si="229">AA54/AA59</f>
        <v>8.618925249584972E-3</v>
      </c>
      <c r="AC173" s="156">
        <f>AC54/AC59</f>
        <v>1.4864789517702816E-2</v>
      </c>
    </row>
    <row r="174" spans="2:29" x14ac:dyDescent="0.2">
      <c r="B174" s="20" t="s">
        <v>281</v>
      </c>
      <c r="L174" s="156">
        <f t="shared" ref="L174:Q174" si="230">L54/L5</f>
        <v>1.3643746616134272E-2</v>
      </c>
      <c r="M174" s="156">
        <f t="shared" si="230"/>
        <v>1.6711099551336237E-2</v>
      </c>
      <c r="N174" s="156">
        <f t="shared" si="230"/>
        <v>3.835263835263835E-2</v>
      </c>
      <c r="O174" s="156">
        <f t="shared" si="230"/>
        <v>3.3172713153598023E-2</v>
      </c>
      <c r="P174" s="156">
        <f t="shared" si="230"/>
        <v>2.600460163732677E-2</v>
      </c>
      <c r="Q174" s="156">
        <f t="shared" si="230"/>
        <v>1.000840916599093E-2</v>
      </c>
      <c r="T174" s="156">
        <f t="shared" ref="T174:Z174" si="231">T54/T5</f>
        <v>2.5261224021127571E-2</v>
      </c>
      <c r="U174" s="156">
        <f t="shared" si="231"/>
        <v>3.0920153979883274E-2</v>
      </c>
      <c r="V174" s="156">
        <f t="shared" si="231"/>
        <v>2.7201376196107945E-2</v>
      </c>
      <c r="W174" s="156">
        <f t="shared" si="231"/>
        <v>2.209456473707468E-2</v>
      </c>
      <c r="X174" s="156">
        <f t="shared" si="231"/>
        <v>2.1256321923330646E-2</v>
      </c>
      <c r="Y174" s="156">
        <f t="shared" si="231"/>
        <v>1.2950544844928752E-2</v>
      </c>
      <c r="Z174" s="156">
        <f t="shared" si="231"/>
        <v>8.5632960247008869E-3</v>
      </c>
      <c r="AA174" s="156">
        <f t="shared" ref="AA174" si="232">AA54/AA5</f>
        <v>6.988880488299618E-3</v>
      </c>
      <c r="AC174" s="156">
        <f>AC54/AC5</f>
        <v>1.000840916599093E-2</v>
      </c>
    </row>
    <row r="175" spans="2:29" x14ac:dyDescent="0.2">
      <c r="B175" s="20" t="s">
        <v>286</v>
      </c>
      <c r="L175" s="72">
        <f t="shared" ref="L175:Q175" si="233">(L107-L108)/L75</f>
        <v>3.2368185880250224</v>
      </c>
      <c r="M175" s="72">
        <f t="shared" si="233"/>
        <v>3.7460901563937443</v>
      </c>
      <c r="N175" s="72">
        <f t="shared" si="233"/>
        <v>-2.6338797814207648</v>
      </c>
      <c r="O175" s="72">
        <f t="shared" si="233"/>
        <v>-3.8277727682596936</v>
      </c>
      <c r="P175" s="72">
        <f t="shared" si="233"/>
        <v>-2.3538324420677363</v>
      </c>
      <c r="Q175" s="72">
        <f t="shared" si="233"/>
        <v>60.472984942426926</v>
      </c>
      <c r="T175" s="72">
        <f t="shared" ref="T175:Z175" si="234">(T107-T108)/T75</f>
        <v>-4.5251346499102336</v>
      </c>
      <c r="U175" s="72">
        <f t="shared" si="234"/>
        <v>-4.2620751341681578</v>
      </c>
      <c r="V175" s="72">
        <f t="shared" si="234"/>
        <v>-2.9740840035746201</v>
      </c>
      <c r="W175" s="72">
        <f t="shared" si="234"/>
        <v>-2.3538324420677363</v>
      </c>
      <c r="X175" s="72">
        <f t="shared" si="234"/>
        <v>0.23001776198934282</v>
      </c>
      <c r="Y175" s="72">
        <f t="shared" si="234"/>
        <v>5.749113475177305</v>
      </c>
      <c r="Z175" s="72">
        <f t="shared" si="234"/>
        <v>21.617360496014172</v>
      </c>
      <c r="AA175" s="72">
        <f t="shared" ref="AA175" si="235">(AA107-AA108)/AA75</f>
        <v>60.472984942426926</v>
      </c>
      <c r="AC175" s="72">
        <f>(AC107-AC108)/AC75</f>
        <v>60.472984942426926</v>
      </c>
    </row>
    <row r="176" spans="2:29" x14ac:dyDescent="0.2">
      <c r="B176" s="20" t="s">
        <v>291</v>
      </c>
      <c r="L176" s="156">
        <f t="shared" ref="L176:Q176" si="236">(L107-L108)/L153</f>
        <v>3.8132416976189881E-2</v>
      </c>
      <c r="M176" s="156">
        <f t="shared" si="236"/>
        <v>6.4769528163849094E-2</v>
      </c>
      <c r="N176" s="156">
        <f t="shared" si="236"/>
        <v>-3.8682328997220808E-2</v>
      </c>
      <c r="O176" s="156">
        <f t="shared" si="236"/>
        <v>-3.9587971747337539E-2</v>
      </c>
      <c r="P176" s="156">
        <f t="shared" si="236"/>
        <v>-1.9140177704338249E-2</v>
      </c>
      <c r="Q176" s="156">
        <f t="shared" si="236"/>
        <v>6.2177419460597919E-2</v>
      </c>
      <c r="T176" s="49"/>
      <c r="U176" s="49"/>
      <c r="V176" s="49"/>
      <c r="W176" s="49"/>
      <c r="X176" s="49"/>
      <c r="Y176" s="49"/>
      <c r="Z176" s="49"/>
      <c r="AA176" s="49"/>
      <c r="AC176" s="156">
        <f ca="1">(AC107-AC108)/AC153</f>
        <v>6.5924439781306285E-2</v>
      </c>
    </row>
    <row r="177" spans="1:31" x14ac:dyDescent="0.2">
      <c r="B177" s="20" t="s">
        <v>300</v>
      </c>
      <c r="L177" s="156">
        <f t="shared" ref="L177:Q177" si="237">-L110/L5</f>
        <v>0.36202851470853636</v>
      </c>
      <c r="M177" s="156">
        <f t="shared" si="237"/>
        <v>0.39232069705442485</v>
      </c>
      <c r="N177" s="156">
        <f t="shared" si="237"/>
        <v>0.49395109395109393</v>
      </c>
      <c r="O177" s="156">
        <f t="shared" si="237"/>
        <v>0.33395722989924737</v>
      </c>
      <c r="P177" s="156">
        <f t="shared" si="237"/>
        <v>0.42423350634062817</v>
      </c>
      <c r="Q177" s="156">
        <f t="shared" si="237"/>
        <v>0.23059134456557648</v>
      </c>
      <c r="T177" s="156">
        <f t="shared" ref="T177:Z177" si="238">-T110/T5</f>
        <v>0.36812492823515902</v>
      </c>
      <c r="U177" s="156">
        <f t="shared" si="238"/>
        <v>0.50353905376878183</v>
      </c>
      <c r="V177" s="156">
        <f t="shared" si="238"/>
        <v>0.31588001290183854</v>
      </c>
      <c r="W177" s="156">
        <f t="shared" si="238"/>
        <v>0.50004418912947413</v>
      </c>
      <c r="X177" s="156">
        <f t="shared" si="238"/>
        <v>0.39500109946492706</v>
      </c>
      <c r="Y177" s="156">
        <f t="shared" si="238"/>
        <v>0.26768650461022631</v>
      </c>
      <c r="Z177" s="156">
        <f t="shared" si="238"/>
        <v>0.18877846391354688</v>
      </c>
      <c r="AA177" s="156">
        <f t="shared" ref="AA177" si="239">-AA110/AA5</f>
        <v>0.20487193199210754</v>
      </c>
      <c r="AC177" s="156">
        <f>-AC110/AC5</f>
        <v>0.23059134456557648</v>
      </c>
    </row>
    <row r="178" spans="1:31" x14ac:dyDescent="0.2">
      <c r="B178" s="20" t="s">
        <v>301</v>
      </c>
      <c r="L178" s="156">
        <f t="shared" ref="L178:Q178" si="240">-(L110/L59)</f>
        <v>0.80445941610522942</v>
      </c>
      <c r="M178" s="156">
        <f t="shared" si="240"/>
        <v>0.79487517291351029</v>
      </c>
      <c r="N178" s="156">
        <f t="shared" si="240"/>
        <v>4.9236690186016681</v>
      </c>
      <c r="O178" s="156">
        <f t="shared" si="240"/>
        <v>0.98577641941930172</v>
      </c>
      <c r="P178" s="156">
        <f t="shared" si="240"/>
        <v>0.90482168330955781</v>
      </c>
      <c r="Q178" s="156">
        <f t="shared" si="240"/>
        <v>0.34248118204627825</v>
      </c>
      <c r="T178" s="156">
        <f t="shared" ref="T178:Z178" si="241">-(T110/T59)</f>
        <v>0.98828606658446361</v>
      </c>
      <c r="U178" s="156">
        <f t="shared" si="241"/>
        <v>1.0286656519533233</v>
      </c>
      <c r="V178" s="156">
        <f t="shared" si="241"/>
        <v>0.6374484703840313</v>
      </c>
      <c r="W178" s="156">
        <f t="shared" si="241"/>
        <v>0.98743455497382204</v>
      </c>
      <c r="X178" s="156">
        <f t="shared" si="241"/>
        <v>0.64070859588633933</v>
      </c>
      <c r="Y178" s="156">
        <f t="shared" si="241"/>
        <v>0.53658741493741069</v>
      </c>
      <c r="Z178" s="156">
        <f t="shared" si="241"/>
        <v>0.30825586891444778</v>
      </c>
      <c r="AA178" s="156">
        <f t="shared" ref="AA178" si="242">-(AA110/AA59)</f>
        <v>0.25265503831896846</v>
      </c>
      <c r="AC178" s="156">
        <f>-(AC110/AC59)</f>
        <v>0.34248118204627825</v>
      </c>
    </row>
    <row r="179" spans="1:31" x14ac:dyDescent="0.2">
      <c r="B179" s="20" t="s">
        <v>302</v>
      </c>
      <c r="L179" s="156">
        <f t="shared" ref="L179:Q179" si="243">-L110/L53</f>
        <v>1.6140971998712585</v>
      </c>
      <c r="M179" s="156">
        <f t="shared" si="243"/>
        <v>1.6957560427206295</v>
      </c>
      <c r="N179" s="156">
        <f t="shared" si="243"/>
        <v>0.98968540484785972</v>
      </c>
      <c r="O179" s="156">
        <f t="shared" si="243"/>
        <v>1.0778920308483291</v>
      </c>
      <c r="P179" s="156">
        <f t="shared" si="243"/>
        <v>1.8985871647509578</v>
      </c>
      <c r="Q179" s="156">
        <f t="shared" si="243"/>
        <v>3.2318215300431441</v>
      </c>
      <c r="T179" s="156">
        <f t="shared" ref="T179:Z179" si="244">-T110/T53</f>
        <v>1.5793103448275863</v>
      </c>
      <c r="U179" s="156">
        <f t="shared" si="244"/>
        <v>1.9504569504569504</v>
      </c>
      <c r="V179" s="156">
        <f t="shared" si="244"/>
        <v>1.4030563514804202</v>
      </c>
      <c r="W179" s="156">
        <f t="shared" si="244"/>
        <v>2.6328524895300141</v>
      </c>
      <c r="X179" s="156">
        <f t="shared" si="244"/>
        <v>2.4362567811934901</v>
      </c>
      <c r="Y179" s="156">
        <f t="shared" si="244"/>
        <v>2.7939632545931761</v>
      </c>
      <c r="Z179" s="156">
        <f t="shared" si="244"/>
        <v>3.3104906937394247</v>
      </c>
      <c r="AA179" s="156">
        <f t="shared" ref="AA179" si="245">-AA110/AA53</f>
        <v>4.2067398712608863</v>
      </c>
      <c r="AC179" s="156">
        <f>-AC110/AC53</f>
        <v>3.2318215300431441</v>
      </c>
    </row>
    <row r="180" spans="1:31" x14ac:dyDescent="0.2">
      <c r="B180" s="20" t="s">
        <v>356</v>
      </c>
      <c r="L180" s="224">
        <f>L5/L37</f>
        <v>0.47078115176128738</v>
      </c>
      <c r="M180" s="224">
        <f t="shared" ref="M180:P180" si="246">M5/M37</f>
        <v>0.4640405533847291</v>
      </c>
      <c r="N180" s="224">
        <f t="shared" si="246"/>
        <v>0.24185264730600431</v>
      </c>
      <c r="O180" s="224">
        <f t="shared" si="246"/>
        <v>0.36174657139564365</v>
      </c>
      <c r="P180" s="224">
        <f t="shared" si="246"/>
        <v>0.45143602502475905</v>
      </c>
      <c r="Q180" s="224">
        <f t="shared" ref="Q180" si="247">Q5/Q37</f>
        <v>0.67991913746630728</v>
      </c>
      <c r="T180" s="49"/>
      <c r="U180" s="49"/>
      <c r="V180" s="49"/>
      <c r="W180" s="49"/>
      <c r="X180" s="49"/>
      <c r="Y180" s="49"/>
      <c r="Z180" s="49"/>
      <c r="AA180" s="49"/>
      <c r="AC180" s="224">
        <f t="shared" ref="AC180" si="248">AC5/AC37</f>
        <v>0.67991913746630728</v>
      </c>
    </row>
    <row r="181" spans="1:31" x14ac:dyDescent="0.2">
      <c r="B181" s="20" t="s">
        <v>353</v>
      </c>
      <c r="L181" s="226">
        <f>IF(AND(L12&gt;0,L108&gt;0),L108/L12,"N/A")</f>
        <v>1.0784657010982015</v>
      </c>
      <c r="M181" s="226">
        <f t="shared" ref="M181:P181" si="249">IF(AND(M12&gt;0,M108&gt;0),M108/M12,"N/A")</f>
        <v>0.71181199752628321</v>
      </c>
      <c r="N181" s="226" t="str">
        <f t="shared" si="249"/>
        <v>N/A</v>
      </c>
      <c r="O181" s="226">
        <f t="shared" si="249"/>
        <v>10.27377300613497</v>
      </c>
      <c r="P181" s="226">
        <f t="shared" si="249"/>
        <v>1.4920163766632548</v>
      </c>
      <c r="Q181" s="226">
        <f t="shared" ref="Q181" si="250">IF(AND(Q12&gt;0,Q108&gt;0),Q108/Q12,"N/A")</f>
        <v>5.2134084960740887E-2</v>
      </c>
      <c r="T181" s="49"/>
      <c r="U181" s="49"/>
      <c r="V181" s="49"/>
      <c r="W181" s="49"/>
      <c r="X181" s="49"/>
      <c r="Y181" s="49"/>
      <c r="Z181" s="49"/>
      <c r="AA181" s="49"/>
      <c r="AC181" s="226">
        <f t="shared" ref="AC181" si="251">IF(AND(AC12&gt;0,AC108&gt;0),AC108/AC12,"N/A")</f>
        <v>5.2134084960740887E-2</v>
      </c>
    </row>
    <row r="182" spans="1:31" x14ac:dyDescent="0.2">
      <c r="B182" s="20" t="s">
        <v>354</v>
      </c>
      <c r="L182" s="226">
        <f>IF(AND(L12&gt;0,L108&gt;0),(L108-L107)/L12,"N/A")</f>
        <v>-0.57647620563425117</v>
      </c>
      <c r="M182" s="226">
        <f t="shared" ref="M182:P182" si="252">IF(AND(M12&gt;0,M108&gt;0),(M108-M107)/M12,"N/A")</f>
        <v>-0.41970727685013398</v>
      </c>
      <c r="N182" s="226" t="str">
        <f t="shared" si="252"/>
        <v>N/A</v>
      </c>
      <c r="O182" s="226">
        <f t="shared" si="252"/>
        <v>3.2553680981595092</v>
      </c>
      <c r="P182" s="226">
        <f t="shared" si="252"/>
        <v>0.27031729785056297</v>
      </c>
      <c r="Q182" s="226">
        <f t="shared" ref="Q182" si="253">IF(AND(Q12&gt;0,Q108&gt;0),(Q108-Q107)/Q12,"N/A")</f>
        <v>-0.6872760217435071</v>
      </c>
      <c r="T182" s="49"/>
      <c r="U182" s="49"/>
      <c r="V182" s="49"/>
      <c r="W182" s="49"/>
      <c r="X182" s="49"/>
      <c r="Y182" s="49"/>
      <c r="Z182" s="49"/>
      <c r="AA182" s="49"/>
      <c r="AC182" s="226">
        <f t="shared" ref="AC182" si="254">IF(AND(AC12&gt;0,AC108&gt;0),(AC108-AC107)/AC12,"N/A")</f>
        <v>-0.6872760217435071</v>
      </c>
    </row>
    <row r="183" spans="1:31" x14ac:dyDescent="0.2">
      <c r="B183" s="20" t="s">
        <v>355</v>
      </c>
      <c r="L183" s="226">
        <f>L5/(L108+L112-L107)</f>
        <v>0.68728138721440801</v>
      </c>
      <c r="M183" s="226">
        <f t="shared" ref="M183:P183" si="255">M5/(M108+M112-M107)</f>
        <v>0.67105923420966507</v>
      </c>
      <c r="N183" s="226">
        <f t="shared" si="255"/>
        <v>0.33055390113162597</v>
      </c>
      <c r="O183" s="226">
        <f t="shared" si="255"/>
        <v>0.50856691510045371</v>
      </c>
      <c r="P183" s="226">
        <f t="shared" si="255"/>
        <v>0.65799387388656128</v>
      </c>
      <c r="Q183" s="226">
        <f t="shared" ref="Q183" si="256">Q5/(Q108+Q112-Q107)</f>
        <v>1.8998630605956863</v>
      </c>
      <c r="T183" s="49"/>
      <c r="U183" s="49"/>
      <c r="V183" s="49"/>
      <c r="W183" s="49"/>
      <c r="X183" s="49"/>
      <c r="Y183" s="49"/>
      <c r="Z183" s="49"/>
      <c r="AA183" s="49"/>
      <c r="AC183" s="226">
        <f t="shared" ref="AC183" si="257">AC5/(AC108+AC112-AC107)</f>
        <v>1.8998630605956863</v>
      </c>
    </row>
    <row r="185" spans="1:31" x14ac:dyDescent="0.2">
      <c r="B185" s="1"/>
    </row>
    <row r="186" spans="1:31" s="15" customFormat="1" ht="17" thickBot="1" x14ac:dyDescent="0.25">
      <c r="A186" s="11"/>
      <c r="B186" s="14" t="s">
        <v>80</v>
      </c>
      <c r="R186" s="1"/>
      <c r="S186" s="1"/>
      <c r="AB186" s="1"/>
      <c r="AD186" s="1"/>
      <c r="AE186" s="1"/>
    </row>
    <row r="187" spans="1:31" x14ac:dyDescent="0.2">
      <c r="B187" s="20" t="s">
        <v>384</v>
      </c>
      <c r="C187" s="62"/>
      <c r="D187" s="62"/>
      <c r="E187" s="62"/>
      <c r="F187" s="62"/>
      <c r="G187" s="62"/>
      <c r="H187" s="62"/>
      <c r="I187" s="62"/>
      <c r="J187" s="62"/>
      <c r="K187" s="62"/>
      <c r="L187" s="62">
        <v>20039</v>
      </c>
      <c r="M187" s="62">
        <v>22386</v>
      </c>
      <c r="N187" s="62">
        <v>10978</v>
      </c>
      <c r="O187" s="62">
        <v>17603</v>
      </c>
      <c r="P187" s="62">
        <v>28578</v>
      </c>
      <c r="Q187" s="62">
        <v>100679</v>
      </c>
      <c r="T187" s="62">
        <v>6400</v>
      </c>
      <c r="U187" s="62">
        <v>6123</v>
      </c>
      <c r="V187" s="62">
        <v>7071</v>
      </c>
      <c r="W187" s="62">
        <f>28578-6400</f>
        <v>22178</v>
      </c>
      <c r="X187" s="62">
        <v>10812</v>
      </c>
      <c r="Y187" s="62">
        <v>18768</v>
      </c>
      <c r="Z187" s="62">
        <v>31328</v>
      </c>
      <c r="AA187" s="62">
        <v>39771</v>
      </c>
      <c r="AC187" s="62">
        <f>SUM(X187:AA187)</f>
        <v>100679</v>
      </c>
    </row>
    <row r="188" spans="1:31" x14ac:dyDescent="0.2">
      <c r="B188" s="20" t="s">
        <v>385</v>
      </c>
      <c r="C188" s="62"/>
      <c r="D188" s="62"/>
      <c r="E188" s="62"/>
      <c r="F188" s="62"/>
      <c r="G188" s="62"/>
      <c r="H188" s="62"/>
      <c r="I188" s="62"/>
      <c r="J188" s="62"/>
      <c r="K188" s="62"/>
      <c r="L188" s="62">
        <v>7007</v>
      </c>
      <c r="M188" s="62">
        <v>7811</v>
      </c>
      <c r="N188" s="62">
        <v>4206</v>
      </c>
      <c r="O188" s="62">
        <v>7227</v>
      </c>
      <c r="P188" s="62">
        <v>8503</v>
      </c>
      <c r="Q188" s="62">
        <v>31785</v>
      </c>
      <c r="T188" s="62">
        <v>2241</v>
      </c>
      <c r="U188" s="62">
        <v>1855</v>
      </c>
      <c r="V188" s="62">
        <v>2155</v>
      </c>
      <c r="W188" s="62">
        <f>8503-2241</f>
        <v>6262</v>
      </c>
      <c r="X188" s="62">
        <v>2743</v>
      </c>
      <c r="Y188" s="62">
        <v>4997</v>
      </c>
      <c r="Z188" s="62">
        <v>9943</v>
      </c>
      <c r="AA188" s="62">
        <v>14102</v>
      </c>
      <c r="AC188" s="62">
        <f t="shared" ref="AC188:AC199" si="258">SUM(X188:AA188)</f>
        <v>31785</v>
      </c>
    </row>
    <row r="189" spans="1:31" x14ac:dyDescent="0.2">
      <c r="B189" s="20" t="s">
        <v>386</v>
      </c>
      <c r="C189" s="62"/>
      <c r="D189" s="62"/>
      <c r="E189" s="62"/>
      <c r="F189" s="62"/>
      <c r="G189" s="62"/>
      <c r="H189" s="62"/>
      <c r="I189" s="62"/>
      <c r="J189" s="62"/>
      <c r="K189" s="62"/>
      <c r="L189" s="62">
        <v>659</v>
      </c>
      <c r="M189" s="62">
        <v>561</v>
      </c>
      <c r="N189" s="62">
        <v>356</v>
      </c>
      <c r="O189" s="62">
        <v>281</v>
      </c>
      <c r="P189" s="62">
        <v>297</v>
      </c>
      <c r="Q189" s="62">
        <v>724</v>
      </c>
      <c r="T189" s="62">
        <v>68</v>
      </c>
      <c r="U189" s="62">
        <v>75</v>
      </c>
      <c r="V189" s="62">
        <v>75</v>
      </c>
      <c r="W189" s="62">
        <f>297-68</f>
        <v>229</v>
      </c>
      <c r="X189" s="62">
        <v>88</v>
      </c>
      <c r="Y189" s="62">
        <v>95</v>
      </c>
      <c r="Z189" s="62">
        <v>185</v>
      </c>
      <c r="AA189" s="62">
        <v>356</v>
      </c>
      <c r="AC189" s="62">
        <f t="shared" si="258"/>
        <v>724</v>
      </c>
    </row>
    <row r="190" spans="1:31" x14ac:dyDescent="0.2">
      <c r="C190" s="21"/>
      <c r="D190" s="21"/>
      <c r="E190" s="21"/>
      <c r="F190" s="21"/>
      <c r="G190" s="21"/>
      <c r="H190" s="21"/>
      <c r="I190" s="21"/>
      <c r="J190" s="21"/>
      <c r="K190" s="21"/>
      <c r="L190" s="21"/>
      <c r="Z190" s="62"/>
      <c r="AA190" s="62"/>
      <c r="AC190" s="62"/>
    </row>
    <row r="191" spans="1:31" x14ac:dyDescent="0.2">
      <c r="B191" s="20" t="s">
        <v>387</v>
      </c>
      <c r="C191" s="62"/>
      <c r="D191" s="62"/>
      <c r="E191" s="62"/>
      <c r="F191" s="62"/>
      <c r="G191" s="62"/>
      <c r="H191" s="62"/>
      <c r="I191" s="62"/>
      <c r="J191" s="62"/>
      <c r="K191" s="62"/>
      <c r="L191" s="62">
        <v>0</v>
      </c>
      <c r="M191" s="62">
        <v>0</v>
      </c>
      <c r="N191" s="62">
        <v>1872</v>
      </c>
      <c r="O191" s="62">
        <v>3792</v>
      </c>
      <c r="P191" s="62">
        <v>13524</v>
      </c>
      <c r="Q191" s="62">
        <v>43085</v>
      </c>
      <c r="T191" s="62">
        <v>2658</v>
      </c>
      <c r="U191" s="62">
        <v>2947</v>
      </c>
      <c r="V191" s="62">
        <v>3386</v>
      </c>
      <c r="W191" s="62">
        <v>4543</v>
      </c>
      <c r="X191" s="62">
        <v>5284</v>
      </c>
      <c r="Y191" s="62">
        <v>7749</v>
      </c>
      <c r="Z191" s="62">
        <v>13769</v>
      </c>
      <c r="AA191" s="62">
        <v>16283</v>
      </c>
      <c r="AC191" s="62">
        <f t="shared" si="258"/>
        <v>43085</v>
      </c>
    </row>
    <row r="192" spans="1:31" x14ac:dyDescent="0.2">
      <c r="B192" s="20" t="s">
        <v>388</v>
      </c>
      <c r="C192" s="62"/>
      <c r="D192" s="62"/>
      <c r="E192" s="62"/>
      <c r="F192" s="62"/>
      <c r="G192" s="62"/>
      <c r="H192" s="62"/>
      <c r="I192" s="62"/>
      <c r="J192" s="62"/>
      <c r="K192" s="62"/>
      <c r="L192" s="62">
        <v>0</v>
      </c>
      <c r="M192" s="62">
        <v>0</v>
      </c>
      <c r="N192" s="62">
        <v>2124</v>
      </c>
      <c r="O192" s="62">
        <v>4984</v>
      </c>
      <c r="P192" s="62">
        <v>7229</v>
      </c>
      <c r="Q192" s="62">
        <v>37592</v>
      </c>
      <c r="T192" s="62">
        <v>2292</v>
      </c>
      <c r="U192" s="62">
        <v>1830</v>
      </c>
      <c r="V192" s="62">
        <v>1530</v>
      </c>
      <c r="W192" s="62">
        <v>1577</v>
      </c>
      <c r="X192" s="62">
        <v>2379</v>
      </c>
      <c r="Y192" s="62">
        <v>5687</v>
      </c>
      <c r="Z192" s="62">
        <v>11524</v>
      </c>
      <c r="AA192" s="62">
        <v>18002</v>
      </c>
      <c r="AC192" s="62">
        <f t="shared" si="258"/>
        <v>37592</v>
      </c>
    </row>
    <row r="193" spans="2:29" x14ac:dyDescent="0.2">
      <c r="B193" s="20" t="s">
        <v>389</v>
      </c>
      <c r="C193" s="62"/>
      <c r="D193" s="62"/>
      <c r="E193" s="62"/>
      <c r="F193" s="62"/>
      <c r="G193" s="62"/>
      <c r="H193" s="62"/>
      <c r="I193" s="62"/>
      <c r="J193" s="62"/>
      <c r="K193" s="62"/>
      <c r="L193" s="62">
        <v>0</v>
      </c>
      <c r="M193" s="62">
        <v>0</v>
      </c>
      <c r="N193" s="62">
        <v>7394</v>
      </c>
      <c r="O193" s="62">
        <v>11667</v>
      </c>
      <c r="P193" s="62">
        <v>11859</v>
      </c>
      <c r="Q193" s="62">
        <v>36601</v>
      </c>
      <c r="T193" s="62">
        <v>2608</v>
      </c>
      <c r="U193" s="62">
        <v>2236</v>
      </c>
      <c r="V193" s="62">
        <v>3255</v>
      </c>
      <c r="W193" s="62">
        <v>3760</v>
      </c>
      <c r="X193" s="62">
        <v>4255</v>
      </c>
      <c r="Y193" s="62">
        <v>7711</v>
      </c>
      <c r="Z193" s="62">
        <v>11521</v>
      </c>
      <c r="AA193" s="62">
        <v>13114</v>
      </c>
      <c r="AC193" s="62">
        <f t="shared" si="258"/>
        <v>36601</v>
      </c>
    </row>
    <row r="194" spans="2:29" x14ac:dyDescent="0.2">
      <c r="B194" s="20" t="s">
        <v>390</v>
      </c>
      <c r="C194" s="62"/>
      <c r="D194" s="62"/>
      <c r="E194" s="62"/>
      <c r="F194" s="62"/>
      <c r="G194" s="62"/>
      <c r="H194" s="62"/>
      <c r="I194" s="62"/>
      <c r="J194" s="62"/>
      <c r="K194" s="62"/>
      <c r="L194" s="62">
        <v>0</v>
      </c>
      <c r="M194" s="62">
        <v>0</v>
      </c>
      <c r="N194" s="62">
        <v>4139</v>
      </c>
      <c r="O194" s="62">
        <v>4631</v>
      </c>
      <c r="P194" s="62">
        <v>4753</v>
      </c>
      <c r="Q194" s="62">
        <v>15886</v>
      </c>
      <c r="T194" s="62">
        <v>1158</v>
      </c>
      <c r="U194" s="62">
        <v>1034</v>
      </c>
      <c r="V194" s="62">
        <v>1127</v>
      </c>
      <c r="W194" s="62">
        <v>1434</v>
      </c>
      <c r="X194" s="62">
        <v>1720</v>
      </c>
      <c r="Y194" s="62">
        <v>2708</v>
      </c>
      <c r="Z194" s="62">
        <v>4634</v>
      </c>
      <c r="AA194" s="62">
        <v>6824</v>
      </c>
      <c r="AC194" s="62">
        <f t="shared" si="258"/>
        <v>15886</v>
      </c>
    </row>
    <row r="195" spans="2:29" x14ac:dyDescent="0.2">
      <c r="C195" s="62"/>
      <c r="D195" s="62"/>
      <c r="E195" s="62"/>
      <c r="F195" s="62"/>
      <c r="G195" s="62"/>
      <c r="H195" s="62"/>
      <c r="I195" s="62"/>
      <c r="J195" s="62"/>
      <c r="K195" s="62"/>
      <c r="L195" s="62"/>
      <c r="M195" s="62"/>
      <c r="N195" s="62"/>
      <c r="O195" s="62"/>
      <c r="P195" s="62"/>
      <c r="Q195" s="62"/>
      <c r="T195" s="62"/>
      <c r="U195" s="62"/>
      <c r="V195" s="62"/>
      <c r="W195" s="62"/>
      <c r="X195" s="62"/>
      <c r="Y195" s="62"/>
      <c r="Z195" s="62"/>
      <c r="AA195" s="62"/>
      <c r="AC195" s="62"/>
    </row>
    <row r="196" spans="2:29" x14ac:dyDescent="0.2">
      <c r="B196" s="20" t="s">
        <v>391</v>
      </c>
      <c r="C196" s="62"/>
      <c r="D196" s="62"/>
      <c r="E196" s="62"/>
      <c r="F196" s="62"/>
      <c r="G196" s="62"/>
      <c r="H196" s="62"/>
      <c r="I196" s="62"/>
      <c r="J196" s="62"/>
      <c r="K196" s="62"/>
      <c r="L196" s="62">
        <v>0</v>
      </c>
      <c r="M196" s="62">
        <v>0</v>
      </c>
      <c r="N196" s="62">
        <v>1801</v>
      </c>
      <c r="O196" s="62">
        <v>2677</v>
      </c>
      <c r="P196" s="62">
        <v>5867</v>
      </c>
      <c r="Q196" s="62">
        <v>8865.11</v>
      </c>
      <c r="T196" s="62">
        <v>1293</v>
      </c>
      <c r="U196" s="62">
        <v>1317</v>
      </c>
      <c r="V196" s="62">
        <v>1415</v>
      </c>
      <c r="W196" s="62">
        <v>1842</v>
      </c>
      <c r="X196" s="62">
        <v>1817</v>
      </c>
      <c r="Y196" s="62">
        <v>2002</v>
      </c>
      <c r="Z196" s="62">
        <v>2278</v>
      </c>
      <c r="AA196" s="62">
        <v>2768.11</v>
      </c>
      <c r="AC196" s="62">
        <f t="shared" si="258"/>
        <v>8865.11</v>
      </c>
    </row>
    <row r="197" spans="2:29" x14ac:dyDescent="0.2">
      <c r="B197" s="20" t="s">
        <v>392</v>
      </c>
      <c r="C197" s="62"/>
      <c r="D197" s="62"/>
      <c r="E197" s="62"/>
      <c r="F197" s="62"/>
      <c r="G197" s="62"/>
      <c r="H197" s="62"/>
      <c r="I197" s="62"/>
      <c r="J197" s="62"/>
      <c r="K197" s="62"/>
      <c r="L197" s="62">
        <v>0</v>
      </c>
      <c r="M197" s="62">
        <v>0</v>
      </c>
      <c r="N197" s="62">
        <v>1967</v>
      </c>
      <c r="O197" s="62">
        <v>3638</v>
      </c>
      <c r="P197" s="62">
        <v>3995</v>
      </c>
      <c r="Q197" s="62">
        <v>5955.2</v>
      </c>
      <c r="T197" s="62">
        <v>1149</v>
      </c>
      <c r="U197" s="62">
        <v>967</v>
      </c>
      <c r="V197" s="62">
        <v>956</v>
      </c>
      <c r="W197" s="62">
        <v>923</v>
      </c>
      <c r="X197" s="62">
        <v>1157</v>
      </c>
      <c r="Y197" s="62">
        <v>1461</v>
      </c>
      <c r="Z197" s="62">
        <v>1537</v>
      </c>
      <c r="AA197" s="62">
        <v>1800.2</v>
      </c>
      <c r="AC197" s="62">
        <f t="shared" si="258"/>
        <v>5955.2</v>
      </c>
    </row>
    <row r="198" spans="2:29" x14ac:dyDescent="0.2">
      <c r="B198" s="20" t="s">
        <v>393</v>
      </c>
      <c r="C198" s="62"/>
      <c r="D198" s="62"/>
      <c r="E198" s="62"/>
      <c r="F198" s="62"/>
      <c r="G198" s="62"/>
      <c r="H198" s="62"/>
      <c r="I198" s="62"/>
      <c r="J198" s="62"/>
      <c r="K198" s="62"/>
      <c r="L198" s="62">
        <v>0</v>
      </c>
      <c r="M198" s="62">
        <v>0</v>
      </c>
      <c r="N198" s="62">
        <v>9072</v>
      </c>
      <c r="O198" s="62">
        <v>10222</v>
      </c>
      <c r="P198" s="62">
        <v>8650</v>
      </c>
      <c r="Q198" s="62">
        <v>6401.4</v>
      </c>
      <c r="T198" s="62">
        <v>1899</v>
      </c>
      <c r="U198" s="62">
        <v>1894</v>
      </c>
      <c r="V198" s="62">
        <v>2467</v>
      </c>
      <c r="W198" s="62">
        <v>2390</v>
      </c>
      <c r="X198" s="62">
        <v>1970</v>
      </c>
      <c r="Y198" s="62">
        <v>1657</v>
      </c>
      <c r="Z198" s="62">
        <v>1463</v>
      </c>
      <c r="AA198" s="62">
        <v>1311.4</v>
      </c>
      <c r="AC198" s="62">
        <f t="shared" si="258"/>
        <v>6401.4</v>
      </c>
    </row>
    <row r="199" spans="2:29" x14ac:dyDescent="0.2">
      <c r="B199" s="20" t="s">
        <v>394</v>
      </c>
      <c r="C199" s="62"/>
      <c r="D199" s="62"/>
      <c r="E199" s="62"/>
      <c r="F199" s="62"/>
      <c r="G199" s="62"/>
      <c r="H199" s="62"/>
      <c r="I199" s="62"/>
      <c r="J199" s="62"/>
      <c r="K199" s="62"/>
      <c r="L199" s="62">
        <v>0</v>
      </c>
      <c r="M199" s="62">
        <v>0</v>
      </c>
      <c r="N199" s="62">
        <v>2905</v>
      </c>
      <c r="O199" s="62">
        <v>3598</v>
      </c>
      <c r="P199" s="62">
        <v>3566</v>
      </c>
      <c r="Q199" s="62">
        <v>3867.84</v>
      </c>
      <c r="T199" s="62">
        <v>922</v>
      </c>
      <c r="U199" s="62">
        <v>820</v>
      </c>
      <c r="V199" s="62">
        <v>837</v>
      </c>
      <c r="W199" s="62">
        <v>987</v>
      </c>
      <c r="X199" s="62">
        <v>942</v>
      </c>
      <c r="Y199" s="62">
        <v>859</v>
      </c>
      <c r="Z199" s="62">
        <v>975</v>
      </c>
      <c r="AA199" s="62">
        <v>1091.8399999999999</v>
      </c>
      <c r="AC199" s="62">
        <f t="shared" si="258"/>
        <v>3867.84</v>
      </c>
    </row>
    <row r="200" spans="2:29" x14ac:dyDescent="0.2">
      <c r="C200" s="21"/>
      <c r="D200" s="21"/>
      <c r="E200" s="21"/>
      <c r="F200" s="21"/>
      <c r="G200" s="21"/>
      <c r="H200" s="21"/>
      <c r="I200" s="21"/>
      <c r="J200" s="21"/>
      <c r="K200" s="21"/>
      <c r="L200" s="21"/>
    </row>
    <row r="201" spans="2:29" x14ac:dyDescent="0.2">
      <c r="B201" s="1"/>
    </row>
    <row r="202" spans="2:29" ht="17" thickBot="1" x14ac:dyDescent="0.25">
      <c r="B202" s="14" t="s">
        <v>311</v>
      </c>
      <c r="C202" s="171"/>
      <c r="D202" s="171"/>
      <c r="E202" s="171"/>
      <c r="F202" s="171"/>
      <c r="G202" s="171"/>
      <c r="H202" s="171"/>
      <c r="I202" s="171"/>
      <c r="J202" s="171"/>
      <c r="K202" s="171"/>
      <c r="L202" s="171"/>
      <c r="M202" s="171"/>
      <c r="N202" s="171"/>
      <c r="O202" s="171"/>
      <c r="P202" s="171"/>
      <c r="Q202" s="171"/>
      <c r="T202" s="171"/>
      <c r="U202" s="171"/>
      <c r="V202" s="171"/>
      <c r="W202" s="171"/>
      <c r="X202" s="171"/>
      <c r="Y202" s="171"/>
      <c r="Z202" s="171"/>
      <c r="AA202" s="171"/>
      <c r="AC202" s="171"/>
    </row>
    <row r="203" spans="2:29" x14ac:dyDescent="0.2">
      <c r="B203" s="20" t="str">
        <f>B187</f>
        <v>DRAM</v>
      </c>
      <c r="C203" s="81"/>
      <c r="D203" s="81"/>
      <c r="E203" s="81"/>
      <c r="F203" s="81"/>
      <c r="G203" s="81"/>
      <c r="H203" s="81"/>
      <c r="I203" s="81"/>
      <c r="J203" s="81"/>
      <c r="K203" s="81"/>
      <c r="L203" s="81">
        <f t="shared" ref="L203:L205" si="259">IF(K187=0,
IF(L187=0,0,IF(L187&gt;0,1,-1)),
(L187-K187)/ABS(K187)
)</f>
        <v>1</v>
      </c>
      <c r="M203" s="81">
        <f t="shared" ref="M203:M205" si="260">IF(L187=0,
IF(M187=0,0,IF(M187&gt;0,1,-1)),
(M187-L187)/ABS(L187)
)</f>
        <v>0.11712161285493287</v>
      </c>
      <c r="N203" s="81">
        <f t="shared" ref="N203:N205" si="261">IF(M187=0,
IF(N187=0,0,IF(N187&gt;0,1,-1)),
(N187-M187)/ABS(M187)
)</f>
        <v>-0.5096042169212901</v>
      </c>
      <c r="O203" s="81">
        <f t="shared" ref="O203:O205" si="262">IF(N187=0,
IF(O187=0,0,IF(O187&gt;0,1,-1)),
(O187-N187)/ABS(N187)
)</f>
        <v>0.60347968664601936</v>
      </c>
      <c r="P203" s="81">
        <f t="shared" ref="P203:P205" si="263">IF(O187=0,
IF(P187=0,0,IF(P187&gt;0,1,-1)),
(P187-O187)/ABS(O187)
)</f>
        <v>0.62347327160143162</v>
      </c>
      <c r="Q203" s="81">
        <f t="shared" ref="Q203:Q205" si="264">IF(P187=0,
IF(Q187=0,0,IF(Q187&gt;0,1,-1)),
(Q187-P187)/ABS(P187)
)</f>
        <v>2.5229547204143046</v>
      </c>
      <c r="T203" s="81">
        <f t="shared" ref="T203:T205" si="265">IF(S187=0,
IF(T187=0,0,IF(T187&gt;0,1,-1)),
(T187-S187)/ABS(S187)
)</f>
        <v>1</v>
      </c>
      <c r="U203" s="81">
        <f t="shared" ref="U203:U205" si="266">IF(T187=0,
IF(U187=0,0,IF(U187&gt;0,1,-1)),
(U187-T187)/ABS(T187)
)</f>
        <v>-4.328125E-2</v>
      </c>
      <c r="V203" s="81">
        <f t="shared" ref="V203:V205" si="267">IF(U187=0,
IF(V187=0,0,IF(V187&gt;0,1,-1)),
(V187-U187)/ABS(U187)
)</f>
        <v>0.15482606565409113</v>
      </c>
      <c r="W203" s="81">
        <f t="shared" ref="W203:W205" si="268">IF(V187=0,
IF(W187=0,0,IF(W187&gt;0,1,-1)),
(W187-V187)/ABS(V187)
)</f>
        <v>2.1364729175505586</v>
      </c>
      <c r="X203" s="81">
        <f t="shared" ref="X203:X205" si="269">IF(W187=0,
IF(X187=0,0,IF(X187&gt;0,1,-1)),
(X187-W187)/ABS(W187)
)</f>
        <v>-0.51248985481107401</v>
      </c>
      <c r="Y203" s="81">
        <f t="shared" ref="Y203:Y205" si="270">IF(X187=0,
IF(Y187=0,0,IF(Y187&gt;0,1,-1)),
(Y187-X187)/ABS(X187)
)</f>
        <v>0.73584905660377353</v>
      </c>
      <c r="Z203" s="81">
        <f t="shared" ref="Z203:Z205" si="271">IF(Y187=0,
IF(Z187=0,0,IF(Z187&gt;0,1,-1)),
(Z187-Y187)/ABS(Y187)
)</f>
        <v>0.66922421142369992</v>
      </c>
      <c r="AA203" s="81">
        <f t="shared" ref="AA203:AA205" si="272">IF(Z187=0,
IF(AA187=0,0,IF(AA187&gt;0,1,-1)),
(AA187-Z187)/ABS(Z187)
)</f>
        <v>0.26950331971399388</v>
      </c>
      <c r="AC203" s="49"/>
    </row>
    <row r="204" spans="2:29" x14ac:dyDescent="0.2">
      <c r="B204" s="20" t="str">
        <f t="shared" ref="B204:B210" si="273">B188</f>
        <v>NAND</v>
      </c>
      <c r="L204" s="81">
        <f t="shared" si="259"/>
        <v>1</v>
      </c>
      <c r="M204" s="81">
        <f t="shared" si="260"/>
        <v>0.11474240045668617</v>
      </c>
      <c r="N204" s="81">
        <f t="shared" si="261"/>
        <v>-0.46152861349379082</v>
      </c>
      <c r="O204" s="81">
        <f t="shared" si="262"/>
        <v>0.71825962910128383</v>
      </c>
      <c r="P204" s="81">
        <f t="shared" si="263"/>
        <v>0.17656012176560121</v>
      </c>
      <c r="Q204" s="81">
        <f t="shared" si="264"/>
        <v>2.738092437963072</v>
      </c>
      <c r="T204" s="81">
        <f t="shared" si="265"/>
        <v>1</v>
      </c>
      <c r="U204" s="81">
        <f t="shared" si="266"/>
        <v>-0.17224453369031684</v>
      </c>
      <c r="V204" s="81">
        <f t="shared" si="267"/>
        <v>0.16172506738544473</v>
      </c>
      <c r="W204" s="81">
        <f t="shared" si="268"/>
        <v>1.9058004640371229</v>
      </c>
      <c r="X204" s="81">
        <f t="shared" si="269"/>
        <v>-0.56196103481315873</v>
      </c>
      <c r="Y204" s="81">
        <f t="shared" si="270"/>
        <v>0.82172803499817715</v>
      </c>
      <c r="Z204" s="81">
        <f t="shared" si="271"/>
        <v>0.98979387632579552</v>
      </c>
      <c r="AA204" s="81">
        <f t="shared" si="272"/>
        <v>0.41828422005430954</v>
      </c>
      <c r="AC204" s="49"/>
    </row>
    <row r="205" spans="2:29" x14ac:dyDescent="0.2">
      <c r="B205" s="20" t="str">
        <f t="shared" si="273"/>
        <v>Other</v>
      </c>
      <c r="L205" s="81">
        <f t="shared" si="259"/>
        <v>1</v>
      </c>
      <c r="M205" s="81">
        <f t="shared" si="260"/>
        <v>-0.14871016691957512</v>
      </c>
      <c r="N205" s="81">
        <f t="shared" si="261"/>
        <v>-0.36541889483065954</v>
      </c>
      <c r="O205" s="81">
        <f t="shared" si="262"/>
        <v>-0.21067415730337077</v>
      </c>
      <c r="P205" s="81">
        <f t="shared" si="263"/>
        <v>5.6939501779359428E-2</v>
      </c>
      <c r="Q205" s="81">
        <f t="shared" si="264"/>
        <v>1.4377104377104377</v>
      </c>
      <c r="T205" s="81">
        <f t="shared" si="265"/>
        <v>1</v>
      </c>
      <c r="U205" s="81">
        <f t="shared" si="266"/>
        <v>0.10294117647058823</v>
      </c>
      <c r="V205" s="81">
        <f t="shared" si="267"/>
        <v>0</v>
      </c>
      <c r="W205" s="81">
        <f t="shared" si="268"/>
        <v>2.0533333333333332</v>
      </c>
      <c r="X205" s="81">
        <f t="shared" si="269"/>
        <v>-0.61572052401746724</v>
      </c>
      <c r="Y205" s="81">
        <f t="shared" si="270"/>
        <v>7.9545454545454544E-2</v>
      </c>
      <c r="Z205" s="81">
        <f t="shared" si="271"/>
        <v>0.94736842105263153</v>
      </c>
      <c r="AA205" s="81">
        <f t="shared" si="272"/>
        <v>0.92432432432432432</v>
      </c>
      <c r="AC205" s="49"/>
    </row>
    <row r="206" spans="2:29" x14ac:dyDescent="0.2">
      <c r="L206" s="81"/>
      <c r="M206" s="81"/>
      <c r="N206" s="81"/>
      <c r="O206" s="81"/>
      <c r="P206" s="81"/>
      <c r="Q206" s="81"/>
      <c r="T206" s="81"/>
      <c r="U206" s="81"/>
      <c r="V206" s="81"/>
      <c r="W206" s="81"/>
      <c r="X206" s="81"/>
      <c r="Y206" s="81"/>
      <c r="Z206" s="81"/>
      <c r="AA206" s="81"/>
      <c r="AC206" s="49"/>
    </row>
    <row r="207" spans="2:29" x14ac:dyDescent="0.2">
      <c r="B207" s="20" t="str">
        <f t="shared" si="273"/>
        <v>Cloud Memory</v>
      </c>
      <c r="L207" s="81">
        <f t="shared" ref="L207:L210" si="274">IF(K191=0,
IF(L191=0,0,IF(L191&gt;0,1,-1)),
(L191-K191)/ABS(K191)
)</f>
        <v>0</v>
      </c>
      <c r="M207" s="81">
        <f t="shared" ref="M207:M210" si="275">IF(L191=0,
IF(M191=0,0,IF(M191&gt;0,1,-1)),
(M191-L191)/ABS(L191)
)</f>
        <v>0</v>
      </c>
      <c r="N207" s="81">
        <f t="shared" ref="N207:N210" si="276">IF(M191=0,
IF(N191=0,0,IF(N191&gt;0,1,-1)),
(N191-M191)/ABS(M191)
)</f>
        <v>1</v>
      </c>
      <c r="O207" s="81">
        <f t="shared" ref="O207:O210" si="277">IF(N191=0,
IF(O191=0,0,IF(O191&gt;0,1,-1)),
(O191-N191)/ABS(N191)
)</f>
        <v>1.0256410256410255</v>
      </c>
      <c r="P207" s="81">
        <f t="shared" ref="P207:P210" si="278">IF(O191=0,
IF(P191=0,0,IF(P191&gt;0,1,-1)),
(P191-O191)/ABS(O191)
)</f>
        <v>2.5664556962025316</v>
      </c>
      <c r="Q207" s="81">
        <f t="shared" ref="Q207:Q210" si="279">IF(P191=0,
IF(Q191=0,0,IF(Q191&gt;0,1,-1)),
(Q191-P191)/ABS(P191)
)</f>
        <v>2.1858178053830226</v>
      </c>
      <c r="T207" s="81">
        <f t="shared" ref="T207:T210" si="280">IF(S191=0,
IF(T191=0,0,IF(T191&gt;0,1,-1)),
(T191-S191)/ABS(S191)
)</f>
        <v>1</v>
      </c>
      <c r="U207" s="81">
        <f t="shared" ref="U207:U210" si="281">IF(T191=0,
IF(U191=0,0,IF(U191&gt;0,1,-1)),
(U191-T191)/ABS(T191)
)</f>
        <v>0.10872836719337849</v>
      </c>
      <c r="V207" s="81">
        <f t="shared" ref="V207:V210" si="282">IF(U191=0,
IF(V191=0,0,IF(V191&gt;0,1,-1)),
(V191-U191)/ABS(U191)
)</f>
        <v>0.14896504920257889</v>
      </c>
      <c r="W207" s="81">
        <f t="shared" ref="W207:W210" si="283">IF(V191=0,
IF(W191=0,0,IF(W191&gt;0,1,-1)),
(W191-V191)/ABS(V191)
)</f>
        <v>0.34170112226816302</v>
      </c>
      <c r="X207" s="81">
        <f t="shared" ref="X207:X210" si="284">IF(W191=0,
IF(X191=0,0,IF(X191&gt;0,1,-1)),
(X191-W191)/ABS(W191)
)</f>
        <v>0.16310807836231564</v>
      </c>
      <c r="Y207" s="81">
        <f t="shared" ref="Y207:Y210" si="285">IF(X191=0,
IF(Y191=0,0,IF(Y191&gt;0,1,-1)),
(Y191-X191)/ABS(X191)
)</f>
        <v>0.46650264950794851</v>
      </c>
      <c r="Z207" s="81">
        <f t="shared" ref="Z207:Z210" si="286">IF(Y191=0,
IF(Z191=0,0,IF(Z191&gt;0,1,-1)),
(Z191-Y191)/ABS(Y191)
)</f>
        <v>0.77687443541102075</v>
      </c>
      <c r="AA207" s="81">
        <f t="shared" ref="AA207:AA210" si="287">IF(Z191=0,
IF(AA191=0,0,IF(AA191&gt;0,1,-1)),
(AA191-Z191)/ABS(Z191)
)</f>
        <v>0.18258406565473165</v>
      </c>
      <c r="AC207" s="49"/>
    </row>
    <row r="208" spans="2:29" x14ac:dyDescent="0.2">
      <c r="B208" s="20" t="str">
        <f t="shared" si="273"/>
        <v>Core Data Center</v>
      </c>
      <c r="L208" s="81">
        <f t="shared" si="274"/>
        <v>0</v>
      </c>
      <c r="M208" s="81">
        <f t="shared" si="275"/>
        <v>0</v>
      </c>
      <c r="N208" s="81">
        <f t="shared" si="276"/>
        <v>1</v>
      </c>
      <c r="O208" s="81">
        <f t="shared" si="277"/>
        <v>1.3465160075329567</v>
      </c>
      <c r="P208" s="81">
        <f t="shared" si="278"/>
        <v>0.4504414125200642</v>
      </c>
      <c r="Q208" s="81">
        <f t="shared" si="279"/>
        <v>4.2001659980633557</v>
      </c>
      <c r="T208" s="81">
        <f t="shared" si="280"/>
        <v>1</v>
      </c>
      <c r="U208" s="81">
        <f t="shared" si="281"/>
        <v>-0.20157068062827224</v>
      </c>
      <c r="V208" s="81">
        <f t="shared" si="282"/>
        <v>-0.16393442622950818</v>
      </c>
      <c r="W208" s="81">
        <f t="shared" si="283"/>
        <v>3.0718954248366011E-2</v>
      </c>
      <c r="X208" s="81">
        <f t="shared" si="284"/>
        <v>0.50856055802155997</v>
      </c>
      <c r="Y208" s="81">
        <f t="shared" si="285"/>
        <v>1.3905002101723414</v>
      </c>
      <c r="Z208" s="81">
        <f t="shared" si="286"/>
        <v>1.0263759451380341</v>
      </c>
      <c r="AA208" s="81">
        <f t="shared" si="287"/>
        <v>0.56213120444290177</v>
      </c>
      <c r="AC208" s="49"/>
    </row>
    <row r="209" spans="1:31" x14ac:dyDescent="0.2">
      <c r="B209" s="20" t="str">
        <f t="shared" si="273"/>
        <v>Mobile and Client</v>
      </c>
      <c r="L209" s="81">
        <f t="shared" si="274"/>
        <v>0</v>
      </c>
      <c r="M209" s="81">
        <f t="shared" si="275"/>
        <v>0</v>
      </c>
      <c r="N209" s="81">
        <f t="shared" si="276"/>
        <v>1</v>
      </c>
      <c r="O209" s="81">
        <f t="shared" si="277"/>
        <v>0.57790100081146878</v>
      </c>
      <c r="P209" s="81">
        <f t="shared" si="278"/>
        <v>1.6456672666495243E-2</v>
      </c>
      <c r="Q209" s="81">
        <f t="shared" si="279"/>
        <v>2.0863479214098994</v>
      </c>
      <c r="T209" s="81">
        <f t="shared" si="280"/>
        <v>1</v>
      </c>
      <c r="U209" s="81">
        <f t="shared" si="281"/>
        <v>-0.14263803680981596</v>
      </c>
      <c r="V209" s="81">
        <f t="shared" si="282"/>
        <v>0.45572450805008946</v>
      </c>
      <c r="W209" s="81">
        <f t="shared" si="283"/>
        <v>0.15514592933947774</v>
      </c>
      <c r="X209" s="81">
        <f t="shared" si="284"/>
        <v>0.13164893617021275</v>
      </c>
      <c r="Y209" s="81">
        <f t="shared" si="285"/>
        <v>0.81222091656874262</v>
      </c>
      <c r="Z209" s="81">
        <f t="shared" si="286"/>
        <v>0.49409933860718452</v>
      </c>
      <c r="AA209" s="81">
        <f t="shared" si="287"/>
        <v>0.13826924746115787</v>
      </c>
      <c r="AC209" s="49"/>
    </row>
    <row r="210" spans="1:31" x14ac:dyDescent="0.2">
      <c r="B210" s="20" t="str">
        <f t="shared" si="273"/>
        <v>Automotive and Embedded</v>
      </c>
      <c r="L210" s="81">
        <f t="shared" si="274"/>
        <v>0</v>
      </c>
      <c r="M210" s="81">
        <f t="shared" si="275"/>
        <v>0</v>
      </c>
      <c r="N210" s="81">
        <f t="shared" si="276"/>
        <v>1</v>
      </c>
      <c r="O210" s="81">
        <f t="shared" si="277"/>
        <v>0.11886929209954095</v>
      </c>
      <c r="P210" s="81">
        <f t="shared" si="278"/>
        <v>2.6344202116173613E-2</v>
      </c>
      <c r="Q210" s="81">
        <f t="shared" si="279"/>
        <v>2.3423101199242584</v>
      </c>
      <c r="T210" s="81">
        <f t="shared" si="280"/>
        <v>1</v>
      </c>
      <c r="U210" s="81">
        <f t="shared" si="281"/>
        <v>-0.10708117443868739</v>
      </c>
      <c r="V210" s="81">
        <f t="shared" si="282"/>
        <v>8.994197292069632E-2</v>
      </c>
      <c r="W210" s="81">
        <f t="shared" si="283"/>
        <v>0.27240461401952087</v>
      </c>
      <c r="X210" s="81">
        <f t="shared" si="284"/>
        <v>0.19944211994421199</v>
      </c>
      <c r="Y210" s="81">
        <f t="shared" si="285"/>
        <v>0.57441860465116279</v>
      </c>
      <c r="Z210" s="81">
        <f t="shared" si="286"/>
        <v>0.71122599704579026</v>
      </c>
      <c r="AA210" s="81">
        <f t="shared" si="287"/>
        <v>0.47259387138541215</v>
      </c>
      <c r="AC210" s="49"/>
    </row>
    <row r="212" spans="1:31" x14ac:dyDescent="0.2">
      <c r="B212" s="1"/>
    </row>
    <row r="213" spans="1:31" ht="17" thickBot="1" x14ac:dyDescent="0.25">
      <c r="B213" s="14" t="s">
        <v>312</v>
      </c>
      <c r="C213" s="171"/>
      <c r="D213" s="171"/>
      <c r="E213" s="171"/>
      <c r="F213" s="171"/>
      <c r="G213" s="171"/>
      <c r="H213" s="171"/>
      <c r="I213" s="171"/>
      <c r="J213" s="171"/>
      <c r="K213" s="171"/>
      <c r="L213" s="171"/>
      <c r="M213" s="171"/>
      <c r="N213" s="171"/>
      <c r="O213" s="171"/>
      <c r="P213" s="171"/>
      <c r="Q213" s="171"/>
      <c r="T213" s="171"/>
      <c r="U213" s="171"/>
      <c r="V213" s="171"/>
      <c r="W213" s="171"/>
      <c r="X213" s="171"/>
      <c r="Y213" s="171"/>
      <c r="Z213" s="171"/>
      <c r="AA213" s="171"/>
      <c r="AC213" s="171"/>
    </row>
    <row r="214" spans="1:31" x14ac:dyDescent="0.2">
      <c r="B214" s="20" t="s">
        <v>284</v>
      </c>
      <c r="C214" s="81"/>
      <c r="D214" s="81"/>
      <c r="E214" s="81"/>
      <c r="F214" s="81"/>
      <c r="G214" s="81"/>
      <c r="H214" s="81"/>
      <c r="I214" s="81"/>
      <c r="J214" s="81"/>
      <c r="K214" s="81"/>
      <c r="L214" s="81">
        <f t="shared" ref="L214:Q214" si="288">IF(K64=0,
IF(L64=0,0,IF(L64&gt;0,1,-1)),
(L64-K64)/K64
)</f>
        <v>0</v>
      </c>
      <c r="M214" s="81">
        <f t="shared" si="288"/>
        <v>-1</v>
      </c>
      <c r="N214" s="81">
        <f t="shared" si="288"/>
        <v>9.3275488069414311E-2</v>
      </c>
      <c r="O214" s="81">
        <f t="shared" si="288"/>
        <v>1.7857142857142856E-2</v>
      </c>
      <c r="P214" s="81">
        <f t="shared" si="288"/>
        <v>1.7543859649122806E-2</v>
      </c>
      <c r="Q214" s="81">
        <f t="shared" si="288"/>
        <v>0.16858237547892721</v>
      </c>
      <c r="T214" s="49"/>
      <c r="U214" s="49"/>
      <c r="V214" s="49"/>
      <c r="W214" s="49"/>
      <c r="X214" s="49"/>
      <c r="Y214" s="49"/>
      <c r="Z214" s="49"/>
      <c r="AA214" s="49"/>
      <c r="AC214" s="49"/>
    </row>
    <row r="216" spans="1:31" x14ac:dyDescent="0.2">
      <c r="B216" s="1"/>
    </row>
    <row r="217" spans="1:31" ht="17" thickBot="1" x14ac:dyDescent="0.25">
      <c r="B217" s="14" t="s">
        <v>348</v>
      </c>
      <c r="C217" s="171"/>
      <c r="D217" s="171"/>
      <c r="E217" s="171"/>
      <c r="F217" s="171"/>
      <c r="G217" s="171"/>
      <c r="H217" s="171"/>
      <c r="I217" s="171"/>
      <c r="J217" s="171"/>
      <c r="K217" s="171"/>
      <c r="L217" s="171"/>
      <c r="M217" s="171"/>
      <c r="N217" s="171"/>
      <c r="O217" s="171"/>
      <c r="P217" s="171"/>
      <c r="Q217" s="171"/>
      <c r="T217" s="171"/>
      <c r="U217" s="171"/>
      <c r="V217" s="171"/>
      <c r="W217" s="171"/>
      <c r="X217" s="171"/>
      <c r="Y217" s="171"/>
      <c r="Z217" s="171"/>
      <c r="AA217" s="171"/>
      <c r="AC217" s="171"/>
    </row>
    <row r="218" spans="1:31" x14ac:dyDescent="0.2">
      <c r="B218" s="20" t="s">
        <v>349</v>
      </c>
      <c r="L218" s="145">
        <v>100</v>
      </c>
      <c r="M218" s="145">
        <f>100*(1+((M117-$M117)/ABS($M117)))</f>
        <v>100</v>
      </c>
      <c r="N218" s="145">
        <f t="shared" ref="N218:P218" si="289">100*(1+((N117-$M117)/ABS($M117)))</f>
        <v>118.80998080614202</v>
      </c>
      <c r="O218" s="145">
        <f t="shared" si="289"/>
        <v>166.75972779619613</v>
      </c>
      <c r="P218" s="145">
        <f t="shared" si="289"/>
        <v>212.87733379863897</v>
      </c>
      <c r="Q218" s="145">
        <f t="shared" ref="Q218" si="290">100*(1+((Q117-$M117)/ABS($M117)))</f>
        <v>1671.8897225615074</v>
      </c>
      <c r="T218" s="49"/>
      <c r="U218" s="49"/>
      <c r="V218" s="49"/>
      <c r="W218" s="49"/>
      <c r="X218" s="49"/>
      <c r="Y218" s="49"/>
      <c r="Z218" s="49"/>
      <c r="AA218" s="49"/>
      <c r="AC218" s="49"/>
    </row>
    <row r="219" spans="1:31" x14ac:dyDescent="0.2">
      <c r="B219" s="20" t="s">
        <v>350</v>
      </c>
      <c r="L219" s="145">
        <v>100</v>
      </c>
      <c r="M219" s="145">
        <f>100*(1+((M5-$M5)/ABS($M5)))</f>
        <v>100</v>
      </c>
      <c r="N219" s="145">
        <f t="shared" ref="N219:P219" si="291">100*(1+((N5-$M5)/ABS($M5)))</f>
        <v>50.52344105598543</v>
      </c>
      <c r="O219" s="145">
        <f t="shared" si="291"/>
        <v>81.640548800312104</v>
      </c>
      <c r="P219" s="145">
        <f t="shared" si="291"/>
        <v>121.52285584238247</v>
      </c>
      <c r="Q219" s="145">
        <f t="shared" ref="Q219" si="292">100*(1+((Q5-$M5)/ABS($M5)))</f>
        <v>433.01905195396319</v>
      </c>
      <c r="T219" s="49"/>
      <c r="U219" s="49"/>
      <c r="V219" s="49"/>
      <c r="W219" s="49"/>
      <c r="X219" s="49"/>
      <c r="Y219" s="49"/>
      <c r="Z219" s="49"/>
      <c r="AA219" s="49"/>
      <c r="AC219" s="49"/>
    </row>
    <row r="220" spans="1:31" x14ac:dyDescent="0.2">
      <c r="B220" s="20" t="s">
        <v>351</v>
      </c>
      <c r="L220" s="145">
        <v>100</v>
      </c>
      <c r="M220" s="145">
        <f>100*(1+((M26-$M26)/ABS($M26)))</f>
        <v>100</v>
      </c>
      <c r="N220" s="145">
        <f t="shared" ref="N220:P220" si="293">100*(1+((N26-$M26)/ABS($M26)))</f>
        <v>-68.903225806451601</v>
      </c>
      <c r="O220" s="145">
        <f t="shared" si="293"/>
        <v>9.0322580645161299</v>
      </c>
      <c r="P220" s="145">
        <f t="shared" si="293"/>
        <v>97.935483870967744</v>
      </c>
      <c r="Q220" s="145">
        <f t="shared" ref="Q220" si="294">100*(1+((Q26-$M26)/ABS($M26)))</f>
        <v>959.0967741935483</v>
      </c>
      <c r="T220" s="49"/>
      <c r="U220" s="49"/>
      <c r="V220" s="49"/>
      <c r="W220" s="49"/>
      <c r="X220" s="49"/>
      <c r="Y220" s="49"/>
      <c r="Z220" s="49"/>
      <c r="AA220" s="49"/>
      <c r="AC220" s="49"/>
    </row>
    <row r="222" spans="1:31" x14ac:dyDescent="0.2">
      <c r="B222" s="1"/>
    </row>
    <row r="223" spans="1:31" s="15" customFormat="1" ht="17" thickBot="1" x14ac:dyDescent="0.25">
      <c r="A223" s="11"/>
      <c r="B223" s="14" t="s">
        <v>110</v>
      </c>
      <c r="R223" s="1"/>
      <c r="S223" s="1"/>
      <c r="AB223" s="1"/>
      <c r="AD223" s="1"/>
      <c r="AE223" s="1"/>
    </row>
    <row r="224" spans="1:31" x14ac:dyDescent="0.2">
      <c r="C224" s="62"/>
      <c r="D224" s="62"/>
      <c r="E224" s="62"/>
      <c r="F224" s="62"/>
      <c r="G224" s="62"/>
      <c r="H224" s="62"/>
      <c r="I224" s="62"/>
      <c r="J224" s="62"/>
      <c r="K224" s="62"/>
      <c r="L224" s="62"/>
      <c r="M224" s="62"/>
      <c r="N224" s="62"/>
      <c r="O224" s="62"/>
      <c r="P224" s="62"/>
      <c r="Q224" s="62"/>
      <c r="T224" s="62"/>
      <c r="U224" s="62"/>
      <c r="V224" s="62"/>
      <c r="W224" s="62"/>
      <c r="X224" s="62"/>
      <c r="Y224" s="62"/>
      <c r="Z224" s="62"/>
      <c r="AA224" s="62"/>
      <c r="AC224" s="62"/>
    </row>
    <row r="225" spans="2:2" x14ac:dyDescent="0.2">
      <c r="B225" s="1"/>
    </row>
  </sheetData>
  <pageMargins left="0.7" right="0.7" top="0.75" bottom="0.75" header="0.3" footer="0.3"/>
  <ignoredErrors>
    <ignoredError sqref="AC23 AC81 AC66 AC53:AC57 AC59:AC62 AC5:AC19 AC64:AC65" formulaRange="1"/>
    <ignoredError sqref="AC20:AC21 AC24:AC25" formula="1" formulaRange="1"/>
    <ignoredError sqref="Q124" formula="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210FB-34E3-D04A-8896-321D81878D88}">
  <sheetPr>
    <tabColor theme="6" tint="0.59999389629810485"/>
  </sheetPr>
  <dimension ref="B5:H13"/>
  <sheetViews>
    <sheetView workbookViewId="0">
      <selection activeCell="H5" sqref="H5:H10"/>
    </sheetView>
  </sheetViews>
  <sheetFormatPr baseColWidth="10" defaultRowHeight="16" x14ac:dyDescent="0.2"/>
  <cols>
    <col min="1" max="7" width="10.83203125" style="1"/>
    <col min="8" max="8" width="16.6640625" style="1" customWidth="1"/>
    <col min="9" max="16384" width="10.83203125" style="1"/>
  </cols>
  <sheetData>
    <row r="5" spans="2:8" x14ac:dyDescent="0.2">
      <c r="H5" s="136" t="s">
        <v>441</v>
      </c>
    </row>
    <row r="6" spans="2:8" x14ac:dyDescent="0.2">
      <c r="H6" s="241" t="s">
        <v>446</v>
      </c>
    </row>
    <row r="7" spans="2:8" x14ac:dyDescent="0.2">
      <c r="H7" s="241" t="s">
        <v>442</v>
      </c>
    </row>
    <row r="8" spans="2:8" x14ac:dyDescent="0.2">
      <c r="H8" s="241" t="s">
        <v>443</v>
      </c>
    </row>
    <row r="9" spans="2:8" x14ac:dyDescent="0.2">
      <c r="H9" s="241" t="s">
        <v>444</v>
      </c>
    </row>
    <row r="10" spans="2:8" x14ac:dyDescent="0.2">
      <c r="H10" s="242" t="s">
        <v>445</v>
      </c>
    </row>
    <row r="13" spans="2:8" s="4" customFormat="1" ht="49" x14ac:dyDescent="0.2">
      <c r="B13" s="3" t="s">
        <v>232</v>
      </c>
    </row>
  </sheetData>
  <hyperlinks>
    <hyperlink ref="H6" location="Overview!B3" display="Overview'!B3" xr:uid="{2D2E2E7A-1782-2E45-B2AF-6B92CD26F498}"/>
    <hyperlink ref="H8" location="'Analysis -&gt;'!B13" display="'Analysis -&gt;'!B13" xr:uid="{75461525-E62C-A846-8E25-6C7CD29F3D0E}"/>
    <hyperlink ref="H9" location="'Forecast -&gt;'!B13" display="'Forecast -&gt;'!B13" xr:uid="{16661906-4EE6-6C4F-BF37-F970A41507A5}"/>
    <hyperlink ref="H10" location="'Valuation -&gt;'!B13" display="'Valuation -&gt;'!B13" xr:uid="{83CB84D2-B751-C248-AB8A-2C5C6BF156DB}"/>
    <hyperlink ref="H7" location="'Financials -&gt;'!B13" display="'Financials -&gt;'!B13" xr:uid="{65D9E256-408A-9B48-8BD4-251AFFF46CC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0C07F-23F5-F443-9A67-3073516055F8}">
  <dimension ref="B1:G54"/>
  <sheetViews>
    <sheetView topLeftCell="A45" zoomScale="173" workbookViewId="0">
      <selection activeCell="F54" sqref="F54"/>
    </sheetView>
  </sheetViews>
  <sheetFormatPr baseColWidth="10" defaultRowHeight="16" x14ac:dyDescent="0.2"/>
  <cols>
    <col min="1" max="1" width="3.1640625" style="1" customWidth="1"/>
    <col min="2" max="2" width="32.5" style="1" customWidth="1"/>
    <col min="3" max="3" width="10.83203125" style="1"/>
    <col min="4" max="4" width="5" style="1" customWidth="1"/>
    <col min="5" max="5" width="22.83203125" style="1" customWidth="1"/>
    <col min="6" max="16384" width="10.83203125" style="1"/>
  </cols>
  <sheetData>
    <row r="1" spans="2:7" x14ac:dyDescent="0.2">
      <c r="B1" s="82" t="s">
        <v>274</v>
      </c>
    </row>
    <row r="4" spans="2:7" x14ac:dyDescent="0.2">
      <c r="B4" s="249" t="s">
        <v>233</v>
      </c>
      <c r="C4" s="249"/>
      <c r="E4" s="249" t="s">
        <v>240</v>
      </c>
      <c r="F4" s="249"/>
      <c r="G4" s="249"/>
    </row>
    <row r="5" spans="2:7" x14ac:dyDescent="0.2">
      <c r="B5" s="20" t="s">
        <v>1</v>
      </c>
      <c r="C5" s="172">
        <f ca="1">Overview!C5</f>
        <v>903.7</v>
      </c>
      <c r="E5" s="12"/>
      <c r="F5" s="136" t="s">
        <v>241</v>
      </c>
      <c r="G5" s="136" t="s">
        <v>242</v>
      </c>
    </row>
    <row r="6" spans="2:7" x14ac:dyDescent="0.2">
      <c r="B6" s="20" t="s">
        <v>239</v>
      </c>
      <c r="C6" s="173">
        <f ca="1">Statement!AC153</f>
        <v>1035640.2000000001</v>
      </c>
      <c r="E6" s="20" t="s">
        <v>19</v>
      </c>
      <c r="F6" s="178">
        <f>IF(Statement!M5&lt;=0,"N/A",_xlfn.RRI(4,Statement!M5,Statement!Q5))</f>
        <v>0.44253630217364326</v>
      </c>
      <c r="G6" s="178" t="str">
        <f>IF(Statement!H5&lt;=0,"N/A",_xlfn.RRI(9,Statement!H5,Statement!Q5))</f>
        <v>N/A</v>
      </c>
    </row>
    <row r="7" spans="2:7" x14ac:dyDescent="0.2">
      <c r="B7" s="20" t="s">
        <v>188</v>
      </c>
      <c r="C7" s="173">
        <f ca="1">Statement!AC154</f>
        <v>967366.20000000007</v>
      </c>
      <c r="E7" s="20" t="s">
        <v>30</v>
      </c>
      <c r="F7" s="178">
        <f>IF(OR(Statement!M18&lt;=0, Statement!Q18&lt;=0), "N/A", _xlfn.RRI(4, Statement!M18, Statement!Q18))</f>
        <v>0.76846989603360005</v>
      </c>
      <c r="G7" s="178" t="str">
        <f>IF(OR(Statement!H18&lt;=0, Statement!Q18&lt;=0), "N/A", _xlfn.RRI(9, Statement!H18, Statement!Q18))</f>
        <v>N/A</v>
      </c>
    </row>
    <row r="8" spans="2:7" x14ac:dyDescent="0.2">
      <c r="B8" s="20" t="s">
        <v>237</v>
      </c>
      <c r="C8" s="174">
        <f ca="1">Statement!AC150</f>
        <v>12.177604096482954</v>
      </c>
      <c r="E8" s="20" t="s">
        <v>243</v>
      </c>
      <c r="F8" s="178">
        <f>IF(OR(Statement!M26&lt;=0, Statement!Q26&lt;=0), "N/A", _xlfn.RRI(4, Statement!M26, Statement!Q26))</f>
        <v>0.75980929636807915</v>
      </c>
      <c r="G8" s="178" t="str">
        <f>IF(OR(Statement!H26&lt;=0, Statement!Q26&lt;=0), "N/A", _xlfn.RRI(9, Statement!H26, Statement!Q26))</f>
        <v>N/A</v>
      </c>
    </row>
    <row r="9" spans="2:7" x14ac:dyDescent="0.2">
      <c r="B9" s="20" t="s">
        <v>201</v>
      </c>
      <c r="C9" s="174">
        <f ca="1">Statement!AC151</f>
        <v>7.7554216596089747</v>
      </c>
      <c r="E9" s="20" t="s">
        <v>244</v>
      </c>
      <c r="F9" s="178">
        <f>IF(Statement!M82&lt;=0,"N/A",_xlfn.RRI(4,Statement!M82,Statement!Q82))</f>
        <v>0.15982128721156807</v>
      </c>
      <c r="G9" s="178" t="str">
        <f>IF(Statement!H82&lt;=0,"N/A",_xlfn.RRI(9,Statement!H82,Statement!Q82))</f>
        <v>N/A</v>
      </c>
    </row>
    <row r="10" spans="2:7" x14ac:dyDescent="0.2">
      <c r="B10" s="20" t="s">
        <v>238</v>
      </c>
      <c r="C10" s="174">
        <f ca="1">Statement!AC152</f>
        <v>7.3731178366503345</v>
      </c>
      <c r="E10" s="20" t="s">
        <v>1</v>
      </c>
      <c r="F10" s="178">
        <f>IF(Statement!M117&lt;=0,"N/A",_xlfn.RRI(4,Statement!M117,Statement!Q117))</f>
        <v>1.0220966375727261</v>
      </c>
      <c r="G10" s="178" t="str">
        <f>IF(Statement!H117&lt;=0,"N/A",_xlfn.RRI(9,Statement!H117,Statement!Q117))</f>
        <v>N/A</v>
      </c>
    </row>
    <row r="11" spans="2:7" x14ac:dyDescent="0.2">
      <c r="B11" s="20" t="s">
        <v>260</v>
      </c>
      <c r="C11" s="174">
        <f ca="1">Statement!AC155</f>
        <v>7.2631633480493747</v>
      </c>
    </row>
    <row r="12" spans="2:7" x14ac:dyDescent="0.2">
      <c r="B12" s="20" t="s">
        <v>204</v>
      </c>
      <c r="C12" s="174">
        <f ca="1">Statement!AC156</f>
        <v>9.7379323535333207</v>
      </c>
    </row>
    <row r="15" spans="2:7" x14ac:dyDescent="0.2">
      <c r="B15" s="249" t="s">
        <v>76</v>
      </c>
      <c r="C15" s="249"/>
      <c r="E15" s="249" t="s">
        <v>246</v>
      </c>
      <c r="F15" s="249"/>
    </row>
    <row r="16" spans="2:7" x14ac:dyDescent="0.2">
      <c r="B16" s="20" t="s">
        <v>77</v>
      </c>
      <c r="C16" s="175">
        <f>Statement!AC101</f>
        <v>0.8071598041865633</v>
      </c>
      <c r="E16" s="20" t="s">
        <v>30</v>
      </c>
      <c r="F16" s="173">
        <f>Statement!AC18</f>
        <v>84969</v>
      </c>
    </row>
    <row r="17" spans="2:6" x14ac:dyDescent="0.2">
      <c r="B17" s="20" t="s">
        <v>78</v>
      </c>
      <c r="C17" s="175">
        <f>Statement!AC102</f>
        <v>0.7458629906598192</v>
      </c>
      <c r="E17" s="20" t="s">
        <v>247</v>
      </c>
      <c r="F17" s="173">
        <f>Statement!AC59</f>
        <v>89675</v>
      </c>
    </row>
    <row r="18" spans="2:6" x14ac:dyDescent="0.2">
      <c r="B18" s="20" t="s">
        <v>79</v>
      </c>
      <c r="C18" s="175">
        <f>Statement!AC103</f>
        <v>0.63796287953869713</v>
      </c>
      <c r="E18" s="20" t="s">
        <v>254</v>
      </c>
      <c r="F18" s="177">
        <f>IF(OR(F16&lt;=0, F17&lt;=0),"N/A",F16-F17)</f>
        <v>-4706</v>
      </c>
    </row>
    <row r="21" spans="2:6" x14ac:dyDescent="0.2">
      <c r="B21" s="249" t="s">
        <v>245</v>
      </c>
      <c r="C21" s="249"/>
      <c r="E21" s="249" t="s">
        <v>249</v>
      </c>
      <c r="F21" s="249"/>
    </row>
    <row r="22" spans="2:6" x14ac:dyDescent="0.2">
      <c r="B22" s="20" t="s">
        <v>100</v>
      </c>
      <c r="C22" s="175">
        <f>Statement!AC121</f>
        <v>0.63796287953869713</v>
      </c>
      <c r="E22" s="20" t="s">
        <v>102</v>
      </c>
      <c r="F22" s="175">
        <f>C24</f>
        <v>0.43376317079147264</v>
      </c>
    </row>
    <row r="23" spans="2:6" x14ac:dyDescent="0.2">
      <c r="B23" s="20" t="s">
        <v>101</v>
      </c>
      <c r="C23" s="174">
        <f>Statement!AC122</f>
        <v>0.67991913746630728</v>
      </c>
      <c r="E23" s="20" t="s">
        <v>104</v>
      </c>
      <c r="F23" s="175">
        <f>C26</f>
        <v>0.61403546806573295</v>
      </c>
    </row>
    <row r="24" spans="2:6" x14ac:dyDescent="0.2">
      <c r="B24" s="32" t="s">
        <v>102</v>
      </c>
      <c r="C24" s="176">
        <f>Statement!AC123</f>
        <v>0.43376317079147264</v>
      </c>
      <c r="E24" s="20" t="s">
        <v>105</v>
      </c>
      <c r="F24" s="175">
        <f>Statement!AC140</f>
        <v>1.2071781950589597</v>
      </c>
    </row>
    <row r="25" spans="2:6" x14ac:dyDescent="0.2">
      <c r="B25" s="20" t="s">
        <v>103</v>
      </c>
      <c r="C25" s="174">
        <f>Statement!AC124</f>
        <v>1.4156007457832893</v>
      </c>
    </row>
    <row r="26" spans="2:6" x14ac:dyDescent="0.2">
      <c r="B26" s="32" t="s">
        <v>104</v>
      </c>
      <c r="C26" s="176">
        <f>Statement!AC125</f>
        <v>0.61403546806573295</v>
      </c>
    </row>
    <row r="29" spans="2:6" x14ac:dyDescent="0.2">
      <c r="B29" s="249" t="s">
        <v>250</v>
      </c>
      <c r="C29" s="249"/>
      <c r="E29" s="249" t="s">
        <v>256</v>
      </c>
      <c r="F29" s="249"/>
    </row>
    <row r="30" spans="2:6" x14ac:dyDescent="0.2">
      <c r="B30" s="20" t="s">
        <v>139</v>
      </c>
      <c r="C30" s="174">
        <f>Statement!AC141</f>
        <v>99.197412679820999</v>
      </c>
      <c r="E30" s="20" t="s">
        <v>257</v>
      </c>
      <c r="F30" s="180">
        <f>Statement!AC145</f>
        <v>3.7426469525502611E-2</v>
      </c>
    </row>
    <row r="31" spans="2:6" x14ac:dyDescent="0.2">
      <c r="B31" s="20" t="s">
        <v>140</v>
      </c>
      <c r="C31" s="174">
        <f>Statement!AC142</f>
        <v>147.39838031459274</v>
      </c>
      <c r="E31" s="20" t="s">
        <v>258</v>
      </c>
      <c r="F31" s="180">
        <f>Statement!AC146</f>
        <v>-0.49338767723192994</v>
      </c>
    </row>
    <row r="32" spans="2:6" x14ac:dyDescent="0.2">
      <c r="B32" s="20" t="s">
        <v>141</v>
      </c>
      <c r="C32" s="174">
        <f>Statement!AC143</f>
        <v>321.24377044074129</v>
      </c>
      <c r="E32" s="20" t="s">
        <v>253</v>
      </c>
      <c r="F32" s="180">
        <f>Statement!AC148</f>
        <v>3.313805399898115</v>
      </c>
    </row>
    <row r="33" spans="2:6" x14ac:dyDescent="0.2">
      <c r="B33" s="20" t="s">
        <v>142</v>
      </c>
      <c r="C33" s="174">
        <f>Statement!AC144</f>
        <v>-74.647977446327559</v>
      </c>
      <c r="E33" s="20" t="s">
        <v>252</v>
      </c>
      <c r="F33" s="180">
        <f>Statement!AC147</f>
        <v>3.9898842878975329</v>
      </c>
    </row>
    <row r="34" spans="2:6" x14ac:dyDescent="0.2">
      <c r="E34" s="20" t="s">
        <v>259</v>
      </c>
      <c r="F34" s="182" t="str">
        <f>Statement!AC149</f>
        <v>N/A</v>
      </c>
    </row>
    <row r="37" spans="2:6" x14ac:dyDescent="0.2">
      <c r="B37" s="249" t="s">
        <v>268</v>
      </c>
      <c r="C37" s="249"/>
      <c r="E37" s="249" t="s">
        <v>271</v>
      </c>
      <c r="F37" s="249"/>
    </row>
    <row r="38" spans="2:6" x14ac:dyDescent="0.2">
      <c r="B38" s="20" t="s">
        <v>266</v>
      </c>
      <c r="C38" s="175">
        <f ca="1">Statement!AC162</f>
        <v>8.2117959499834026E-2</v>
      </c>
      <c r="E38" s="20" t="s">
        <v>270</v>
      </c>
      <c r="F38" s="175">
        <f>Statement!AC168</f>
        <v>1.0584764879403089E-2</v>
      </c>
    </row>
    <row r="39" spans="2:6" x14ac:dyDescent="0.2">
      <c r="B39" s="54" t="s">
        <v>269</v>
      </c>
      <c r="C39" s="215">
        <f ca="1">Statement!AC161</f>
        <v>5.5646739089502316E-2</v>
      </c>
      <c r="E39" s="20" t="s">
        <v>272</v>
      </c>
      <c r="F39" s="175">
        <f>Statement!AC169</f>
        <v>1.1278847822314766E-2</v>
      </c>
    </row>
    <row r="40" spans="2:6" x14ac:dyDescent="0.2">
      <c r="B40" s="20" t="s">
        <v>267</v>
      </c>
      <c r="C40" s="175">
        <f ca="1">Statement!AC163</f>
        <v>6.2520748035852609E-4</v>
      </c>
      <c r="E40" s="20" t="s">
        <v>273</v>
      </c>
      <c r="F40" s="175">
        <f>Statement!AC170</f>
        <v>2.1863612701717855E-2</v>
      </c>
    </row>
    <row r="41" spans="2:6" x14ac:dyDescent="0.2">
      <c r="B41" s="20" t="s">
        <v>292</v>
      </c>
      <c r="C41" s="175">
        <f ca="1">Statement!AC164</f>
        <v>6.2763110199855123E-4</v>
      </c>
    </row>
    <row r="42" spans="2:6" x14ac:dyDescent="0.2">
      <c r="B42" s="20" t="s">
        <v>294</v>
      </c>
      <c r="C42" s="175">
        <f ca="1">Statement!AC165</f>
        <v>1.2166387515664223E-3</v>
      </c>
    </row>
    <row r="45" spans="2:6" x14ac:dyDescent="0.2">
      <c r="B45" s="249" t="s">
        <v>279</v>
      </c>
      <c r="C45" s="249"/>
      <c r="E45" s="249" t="s">
        <v>285</v>
      </c>
      <c r="F45" s="249"/>
    </row>
    <row r="46" spans="2:6" x14ac:dyDescent="0.2">
      <c r="B46" s="20" t="s">
        <v>277</v>
      </c>
      <c r="C46" s="175">
        <f>Statement!AC171</f>
        <v>2.617801047120419E-3</v>
      </c>
      <c r="E46" s="20" t="s">
        <v>278</v>
      </c>
      <c r="F46" s="174">
        <f>Statement!AC172</f>
        <v>65.060230292294065</v>
      </c>
    </row>
    <row r="47" spans="2:6" x14ac:dyDescent="0.2">
      <c r="E47" s="20" t="s">
        <v>286</v>
      </c>
      <c r="F47" s="174">
        <f>Statement!AC175</f>
        <v>60.472984942426926</v>
      </c>
    </row>
    <row r="48" spans="2:6" x14ac:dyDescent="0.2">
      <c r="E48" s="20" t="s">
        <v>291</v>
      </c>
      <c r="F48" s="175">
        <f ca="1">Statement!AC176</f>
        <v>6.5924439781306285E-2</v>
      </c>
    </row>
    <row r="51" spans="2:6" x14ac:dyDescent="0.2">
      <c r="B51" s="249" t="s">
        <v>282</v>
      </c>
      <c r="C51" s="249"/>
      <c r="E51" s="249" t="s">
        <v>303</v>
      </c>
      <c r="F51" s="249"/>
    </row>
    <row r="52" spans="2:6" x14ac:dyDescent="0.2">
      <c r="B52" s="20" t="s">
        <v>280</v>
      </c>
      <c r="C52" s="175">
        <f>Statement!AC173</f>
        <v>1.4864789517702816E-2</v>
      </c>
      <c r="E52" s="20" t="s">
        <v>304</v>
      </c>
      <c r="F52" s="175">
        <f>Statement!AC177</f>
        <v>0.23059134456557648</v>
      </c>
    </row>
    <row r="53" spans="2:6" x14ac:dyDescent="0.2">
      <c r="B53" s="20" t="s">
        <v>281</v>
      </c>
      <c r="C53" s="175">
        <f>Statement!AC174</f>
        <v>1.000840916599093E-2</v>
      </c>
      <c r="E53" s="20" t="s">
        <v>301</v>
      </c>
      <c r="F53" s="175">
        <f>Statement!AC178</f>
        <v>0.34248118204627825</v>
      </c>
    </row>
    <row r="54" spans="2:6" x14ac:dyDescent="0.2">
      <c r="E54" s="20" t="s">
        <v>302</v>
      </c>
      <c r="F54" s="175">
        <f>Statement!AC179</f>
        <v>3.2318215300431441</v>
      </c>
    </row>
  </sheetData>
  <mergeCells count="14">
    <mergeCell ref="B51:C51"/>
    <mergeCell ref="B4:C4"/>
    <mergeCell ref="E4:G4"/>
    <mergeCell ref="B15:C15"/>
    <mergeCell ref="B21:C21"/>
    <mergeCell ref="E15:F15"/>
    <mergeCell ref="E21:F21"/>
    <mergeCell ref="B37:C37"/>
    <mergeCell ref="E37:F37"/>
    <mergeCell ref="B45:C45"/>
    <mergeCell ref="E45:F45"/>
    <mergeCell ref="B29:C29"/>
    <mergeCell ref="E29:F29"/>
    <mergeCell ref="E51:F51"/>
  </mergeCells>
  <pageMargins left="0.7" right="0.7" top="0.75" bottom="0.75" header="0.3" footer="0.3"/>
  <ignoredErrors>
    <ignoredError sqref="F3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EC990-97E1-EA42-B427-9F214546EBED}">
  <dimension ref="B1:I99"/>
  <sheetViews>
    <sheetView zoomScale="159" zoomScaleNormal="230" workbookViewId="0">
      <pane xSplit="2" ySplit="3" topLeftCell="C93" activePane="bottomRight" state="frozen"/>
      <selection pane="topRight" activeCell="C1" sqref="C1"/>
      <selection pane="bottomLeft" activeCell="A4" sqref="A4"/>
      <selection pane="bottomRight" activeCell="D93" sqref="D93"/>
    </sheetView>
  </sheetViews>
  <sheetFormatPr baseColWidth="10" defaultRowHeight="16" x14ac:dyDescent="0.2"/>
  <cols>
    <col min="1" max="1" width="3.33203125" style="1" customWidth="1"/>
    <col min="2" max="2" width="31.1640625" style="1" customWidth="1"/>
    <col min="3" max="7" width="10.83203125" style="1"/>
    <col min="8" max="8" width="2.5" style="1" customWidth="1"/>
    <col min="9" max="16384" width="10.83203125" style="1"/>
  </cols>
  <sheetData>
    <row r="1" spans="2:9" ht="11" customHeight="1" x14ac:dyDescent="0.2"/>
    <row r="2" spans="2:9" x14ac:dyDescent="0.2">
      <c r="B2" s="10"/>
      <c r="C2" s="10" t="str">
        <f>Statement!M2</f>
        <v>01.09.2022</v>
      </c>
      <c r="D2" s="10" t="str">
        <f>Statement!N2</f>
        <v>31.08.2023</v>
      </c>
      <c r="E2" s="10" t="str">
        <f>Statement!O2</f>
        <v>29.08.2024</v>
      </c>
      <c r="F2" s="10" t="str">
        <f>Statement!P2</f>
        <v>28.08.2025</v>
      </c>
      <c r="G2" s="10" t="str">
        <f>Statement!Q2</f>
        <v>03.09.2025</v>
      </c>
      <c r="I2" s="10"/>
    </row>
    <row r="3" spans="2:9" x14ac:dyDescent="0.2">
      <c r="B3" s="10"/>
      <c r="C3" s="10">
        <f>Statement!M3</f>
        <v>2022</v>
      </c>
      <c r="D3" s="10">
        <f>Statement!N3</f>
        <v>2023</v>
      </c>
      <c r="E3" s="10">
        <f>Statement!O3</f>
        <v>2024</v>
      </c>
      <c r="F3" s="10">
        <f>Statement!P3</f>
        <v>2025</v>
      </c>
      <c r="G3" s="10">
        <f>Statement!Q3</f>
        <v>2026</v>
      </c>
      <c r="I3" s="10" t="str">
        <f>Statement!AC3</f>
        <v>TTM/YTD</v>
      </c>
    </row>
    <row r="5" spans="2:9" ht="17" thickBot="1" x14ac:dyDescent="0.25">
      <c r="B5" s="14" t="s">
        <v>233</v>
      </c>
      <c r="C5" s="14"/>
      <c r="D5" s="14"/>
      <c r="E5" s="14"/>
      <c r="F5" s="14"/>
      <c r="G5" s="14"/>
      <c r="I5" s="14"/>
    </row>
    <row r="6" spans="2:9" x14ac:dyDescent="0.2">
      <c r="B6" s="20" t="s">
        <v>1</v>
      </c>
      <c r="C6" s="172">
        <f>Statement!M116</f>
        <v>57.31</v>
      </c>
      <c r="D6" s="172">
        <f>Statement!N116</f>
        <v>68.09</v>
      </c>
      <c r="E6" s="172">
        <f>Statement!O116</f>
        <v>95.57</v>
      </c>
      <c r="F6" s="172">
        <f>Statement!P116</f>
        <v>122</v>
      </c>
      <c r="G6" s="172">
        <f>Statement!Q116</f>
        <v>958.16</v>
      </c>
      <c r="I6" s="172">
        <f ca="1">Statement!AC116</f>
        <v>903.7</v>
      </c>
    </row>
    <row r="7" spans="2:9" x14ac:dyDescent="0.2">
      <c r="B7" s="20" t="s">
        <v>239</v>
      </c>
      <c r="C7" s="173">
        <f>Statement!M153</f>
        <v>62869.07</v>
      </c>
      <c r="D7" s="173">
        <f>Statement!N153</f>
        <v>74762.820000000007</v>
      </c>
      <c r="E7" s="173">
        <f>Statement!O153</f>
        <v>107229.54</v>
      </c>
      <c r="F7" s="173">
        <f>Statement!P153</f>
        <v>137982</v>
      </c>
      <c r="G7" s="173">
        <f>Statement!Q153</f>
        <v>1098051.3599999999</v>
      </c>
      <c r="I7" s="173">
        <f ca="1">Statement!AC153</f>
        <v>1035640.2000000001</v>
      </c>
    </row>
    <row r="8" spans="2:9" x14ac:dyDescent="0.2">
      <c r="B8" s="20" t="s">
        <v>188</v>
      </c>
      <c r="C8" s="173">
        <f>Statement!M154</f>
        <v>58797.070000000007</v>
      </c>
      <c r="D8" s="173">
        <f>Statement!N154</f>
        <v>77654.820000000007</v>
      </c>
      <c r="E8" s="173">
        <f>Statement!O154</f>
        <v>111474.54</v>
      </c>
      <c r="F8" s="173">
        <f>Statement!P154</f>
        <v>140623</v>
      </c>
      <c r="G8" s="173">
        <f>Statement!Q154</f>
        <v>1029777.3599999999</v>
      </c>
      <c r="I8" s="173">
        <f ca="1">Statement!AC154</f>
        <v>967366.20000000007</v>
      </c>
    </row>
    <row r="9" spans="2:9" x14ac:dyDescent="0.2">
      <c r="B9" s="20" t="s">
        <v>237</v>
      </c>
      <c r="C9" s="174">
        <f>Statement!M150</f>
        <v>7.39483870967742</v>
      </c>
      <c r="D9" s="174">
        <f>Statement!N150</f>
        <v>-12.750936329588017</v>
      </c>
      <c r="E9" s="174">
        <f>Statement!O150</f>
        <v>136.52857142857144</v>
      </c>
      <c r="F9" s="174">
        <f>Statement!P150</f>
        <v>16.073781291172597</v>
      </c>
      <c r="G9" s="174">
        <f>Statement!Q150</f>
        <v>12.890622897887798</v>
      </c>
      <c r="I9" s="174">
        <f ca="1">Statement!AC150</f>
        <v>12.177604096482954</v>
      </c>
    </row>
    <row r="10" spans="2:9" x14ac:dyDescent="0.2">
      <c r="B10" s="20" t="s">
        <v>201</v>
      </c>
      <c r="C10" s="174">
        <f>Statement!M151</f>
        <v>2.0905722088562326</v>
      </c>
      <c r="D10" s="174">
        <f>Statement!N151</f>
        <v>4.7890842985842994</v>
      </c>
      <c r="E10" s="174">
        <f>Statement!O151</f>
        <v>4.2549982079566719</v>
      </c>
      <c r="F10" s="174">
        <f>Statement!P151</f>
        <v>3.6719460645299371</v>
      </c>
      <c r="G10" s="174">
        <f>Statement!Q151</f>
        <v>8.2227894404901338</v>
      </c>
      <c r="I10" s="174">
        <f ca="1">Statement!AC151</f>
        <v>7.7554216596089747</v>
      </c>
    </row>
    <row r="11" spans="2:9" x14ac:dyDescent="0.2">
      <c r="B11" s="20" t="s">
        <v>238</v>
      </c>
      <c r="C11" s="174">
        <f>Statement!M152</f>
        <v>1.248241128499008</v>
      </c>
      <c r="D11" s="174">
        <f>Statement!N152</f>
        <v>1.6945335448776064</v>
      </c>
      <c r="E11" s="174">
        <f>Statement!O152</f>
        <v>2.3484330061376881</v>
      </c>
      <c r="F11" s="174">
        <f>Statement!P152</f>
        <v>2.5271669897535309</v>
      </c>
      <c r="G11" s="174">
        <f>Statement!Q152</f>
        <v>7.8174467039558309</v>
      </c>
      <c r="I11" s="174">
        <f ca="1">Statement!AC152</f>
        <v>7.3731178366503345</v>
      </c>
    </row>
    <row r="12" spans="2:9" x14ac:dyDescent="0.2">
      <c r="B12" s="20" t="s">
        <v>260</v>
      </c>
      <c r="C12" s="174">
        <f>Statement!M155</f>
        <v>1.9116025099161196</v>
      </c>
      <c r="D12" s="174">
        <f>Statement!N155</f>
        <v>4.9970926640926647</v>
      </c>
      <c r="E12" s="174">
        <f>Statement!O155</f>
        <v>4.4392712357134325</v>
      </c>
      <c r="F12" s="174">
        <f>Statement!P155</f>
        <v>3.7621863128043236</v>
      </c>
      <c r="G12" s="174">
        <f>Statement!Q155</f>
        <v>7.73175781601946</v>
      </c>
      <c r="I12" s="174">
        <f ca="1">Statement!AC155</f>
        <v>7.2631633480493747</v>
      </c>
    </row>
    <row r="13" spans="2:9" x14ac:dyDescent="0.2">
      <c r="B13" s="20" t="s">
        <v>204</v>
      </c>
      <c r="C13" s="174">
        <f>Statement!M156</f>
        <v>6.0603040610183472</v>
      </c>
      <c r="D13" s="174">
        <f>Statement!N156</f>
        <v>-13.51693994778068</v>
      </c>
      <c r="E13" s="174">
        <f>Statement!O156</f>
        <v>85.48661042944785</v>
      </c>
      <c r="F13" s="174">
        <f>Statement!P156</f>
        <v>14.393346980552712</v>
      </c>
      <c r="G13" s="174">
        <f>Statement!Q156</f>
        <v>10.366190457016307</v>
      </c>
      <c r="I13" s="174">
        <f ca="1">Statement!AC156</f>
        <v>9.7379323535333207</v>
      </c>
    </row>
    <row r="15" spans="2:9" ht="17" thickBot="1" x14ac:dyDescent="0.25">
      <c r="B15" s="14" t="s">
        <v>76</v>
      </c>
      <c r="C15" s="14"/>
      <c r="D15" s="14"/>
      <c r="E15" s="14"/>
      <c r="F15" s="14"/>
      <c r="G15" s="14"/>
      <c r="I15" s="14"/>
    </row>
    <row r="16" spans="2:9" x14ac:dyDescent="0.2">
      <c r="B16" s="20" t="s">
        <v>77</v>
      </c>
      <c r="C16" s="175">
        <f>Statement!M101</f>
        <v>0.45184992522270628</v>
      </c>
      <c r="D16" s="175">
        <f>Statement!N101</f>
        <v>-9.1119691119691121E-2</v>
      </c>
      <c r="E16" s="175">
        <f>Statement!O101</f>
        <v>0.22352753773246783</v>
      </c>
      <c r="F16" s="175">
        <f>Statement!P101</f>
        <v>0.39790786023864305</v>
      </c>
      <c r="G16" s="175">
        <f>Statement!Q101</f>
        <v>0.8071598041865633</v>
      </c>
      <c r="I16" s="175">
        <f>Statement!AC101</f>
        <v>0.8071598041865633</v>
      </c>
    </row>
    <row r="17" spans="2:9" x14ac:dyDescent="0.2">
      <c r="B17" s="20" t="s">
        <v>78</v>
      </c>
      <c r="C17" s="175">
        <f>Statement!M102</f>
        <v>0.31543013199817932</v>
      </c>
      <c r="D17" s="175">
        <f>Statement!N102</f>
        <v>-0.36969111969111967</v>
      </c>
      <c r="E17" s="175">
        <f>Statement!O102</f>
        <v>5.192943331607662E-2</v>
      </c>
      <c r="F17" s="175">
        <f>Statement!P102</f>
        <v>0.26138370164267749</v>
      </c>
      <c r="G17" s="175">
        <f>Statement!Q102</f>
        <v>0.7458629906598192</v>
      </c>
      <c r="I17" s="175">
        <f>Statement!AC102</f>
        <v>0.7458629906598192</v>
      </c>
    </row>
    <row r="18" spans="2:9" x14ac:dyDescent="0.2">
      <c r="B18" s="20" t="s">
        <v>79</v>
      </c>
      <c r="C18" s="175">
        <f>Statement!M103</f>
        <v>0.28243058716431496</v>
      </c>
      <c r="D18" s="175">
        <f>Statement!N103</f>
        <v>-0.37535392535392537</v>
      </c>
      <c r="E18" s="175">
        <f>Statement!O103</f>
        <v>3.0982437975389271E-2</v>
      </c>
      <c r="F18" s="175">
        <f>Statement!P103</f>
        <v>0.22844989030980792</v>
      </c>
      <c r="G18" s="175">
        <f>Statement!Q103</f>
        <v>0.63796287953869713</v>
      </c>
      <c r="I18" s="175">
        <f>Statement!AC103</f>
        <v>0.63796287953869713</v>
      </c>
    </row>
    <row r="20" spans="2:9" ht="17" thickBot="1" x14ac:dyDescent="0.25">
      <c r="B20" s="14" t="s">
        <v>246</v>
      </c>
      <c r="C20" s="14"/>
      <c r="D20" s="14"/>
      <c r="E20" s="14"/>
      <c r="F20" s="14"/>
      <c r="G20" s="14"/>
      <c r="I20" s="14"/>
    </row>
    <row r="21" spans="2:9" x14ac:dyDescent="0.2">
      <c r="B21" s="20" t="s">
        <v>30</v>
      </c>
      <c r="C21" s="177">
        <f>Statement!M18</f>
        <v>8687</v>
      </c>
      <c r="D21" s="177">
        <f>Statement!N18</f>
        <v>-5833</v>
      </c>
      <c r="E21" s="177">
        <f>Statement!O18</f>
        <v>778</v>
      </c>
      <c r="F21" s="177">
        <f>Statement!P18</f>
        <v>8539</v>
      </c>
      <c r="G21" s="177">
        <f>Statement!Q18</f>
        <v>84969</v>
      </c>
      <c r="I21" s="177">
        <f>Statement!AC18</f>
        <v>84969</v>
      </c>
    </row>
    <row r="22" spans="2:9" x14ac:dyDescent="0.2">
      <c r="B22" s="20" t="s">
        <v>247</v>
      </c>
      <c r="C22" s="177">
        <f>Statement!M59</f>
        <v>15181</v>
      </c>
      <c r="D22" s="177">
        <f>Statement!N59</f>
        <v>1559</v>
      </c>
      <c r="E22" s="177">
        <f>Statement!O59</f>
        <v>8507</v>
      </c>
      <c r="F22" s="177">
        <f>Statement!P59</f>
        <v>17525</v>
      </c>
      <c r="G22" s="177">
        <f>Statement!Q59</f>
        <v>89675</v>
      </c>
      <c r="I22" s="177">
        <f>Statement!AC59</f>
        <v>89675</v>
      </c>
    </row>
    <row r="23" spans="2:9" x14ac:dyDescent="0.2">
      <c r="B23" s="20" t="s">
        <v>254</v>
      </c>
      <c r="C23" s="195">
        <f>IF(OR(C21&lt;=0, C22&lt;=0),"N/A",C21-C22)</f>
        <v>-6494</v>
      </c>
      <c r="D23" s="195" t="str">
        <f t="shared" ref="D23:I23" si="0">IF(OR(D21&lt;=0, D22&lt;=0),"N/A",D21-D22)</f>
        <v>N/A</v>
      </c>
      <c r="E23" s="195">
        <f t="shared" si="0"/>
        <v>-7729</v>
      </c>
      <c r="F23" s="195">
        <f t="shared" si="0"/>
        <v>-8986</v>
      </c>
      <c r="G23" s="195">
        <f t="shared" si="0"/>
        <v>-4706</v>
      </c>
      <c r="I23" s="195">
        <f t="shared" si="0"/>
        <v>-4706</v>
      </c>
    </row>
    <row r="25" spans="2:9" ht="17" thickBot="1" x14ac:dyDescent="0.25">
      <c r="B25" s="14" t="s">
        <v>245</v>
      </c>
      <c r="C25" s="14"/>
      <c r="D25" s="14"/>
      <c r="E25" s="14"/>
      <c r="F25" s="14"/>
      <c r="G25" s="14"/>
      <c r="I25" s="14"/>
    </row>
    <row r="26" spans="2:9" x14ac:dyDescent="0.2">
      <c r="B26" s="20" t="s">
        <v>100</v>
      </c>
      <c r="C26" s="175">
        <f>Statement!M121</f>
        <v>0.28243058716431496</v>
      </c>
      <c r="D26" s="175">
        <f>Statement!N121</f>
        <v>-0.37535392535392537</v>
      </c>
      <c r="E26" s="175">
        <f>Statement!O121</f>
        <v>3.0982437975389271E-2</v>
      </c>
      <c r="F26" s="175">
        <f>Statement!P121</f>
        <v>0.22844989030980792</v>
      </c>
      <c r="G26" s="175">
        <f>Statement!Q121</f>
        <v>0.63796287953869713</v>
      </c>
      <c r="I26" s="175">
        <f>Statement!AC121</f>
        <v>0.63796287953869713</v>
      </c>
    </row>
    <row r="27" spans="2:9" x14ac:dyDescent="0.2">
      <c r="B27" s="20" t="s">
        <v>101</v>
      </c>
      <c r="C27" s="214">
        <f>Statement!M122</f>
        <v>0.4640405533847291</v>
      </c>
      <c r="D27" s="214">
        <f>Statement!N122</f>
        <v>0.24185264730600431</v>
      </c>
      <c r="E27" s="214">
        <f>Statement!O122</f>
        <v>0.36174657139564365</v>
      </c>
      <c r="F27" s="214">
        <f>Statement!P122</f>
        <v>0.45143602502475905</v>
      </c>
      <c r="G27" s="214">
        <f>Statement!Q122</f>
        <v>0.67991913746630728</v>
      </c>
      <c r="I27" s="214">
        <f>Statement!AC122</f>
        <v>0.67991913746630728</v>
      </c>
    </row>
    <row r="28" spans="2:9" x14ac:dyDescent="0.2">
      <c r="B28" s="32" t="s">
        <v>102</v>
      </c>
      <c r="C28" s="176">
        <f>Statement!M123</f>
        <v>0.1310592459605027</v>
      </c>
      <c r="D28" s="176">
        <f>Statement!N123</f>
        <v>-9.0780340523547179E-2</v>
      </c>
      <c r="E28" s="176">
        <f>Statement!O123</f>
        <v>1.1207790711075256E-2</v>
      </c>
      <c r="F28" s="176">
        <f>Statement!P123</f>
        <v>0.1031305103988019</v>
      </c>
      <c r="G28" s="176">
        <f>Statement!Q123</f>
        <v>0.43376317079147264</v>
      </c>
      <c r="I28" s="176">
        <f>Statement!AC123</f>
        <v>0.43376317079147264</v>
      </c>
    </row>
    <row r="29" spans="2:9" x14ac:dyDescent="0.2">
      <c r="B29" s="20" t="s">
        <v>103</v>
      </c>
      <c r="C29" s="214">
        <f>Statement!M124</f>
        <v>1.3281303223996634</v>
      </c>
      <c r="D29" s="214">
        <f>Statement!N124</f>
        <v>1.4563463281958295</v>
      </c>
      <c r="E29" s="214">
        <f>Statement!O124</f>
        <v>1.5381001972036958</v>
      </c>
      <c r="F29" s="214">
        <f>Statement!P124</f>
        <v>1.5286254961691128</v>
      </c>
      <c r="G29" s="214">
        <f>Statement!Q124</f>
        <v>1.4156007457832893</v>
      </c>
      <c r="I29" s="214">
        <f>Statement!AC124</f>
        <v>1.4156007457832893</v>
      </c>
    </row>
    <row r="30" spans="2:9" x14ac:dyDescent="0.2">
      <c r="B30" s="32" t="s">
        <v>104</v>
      </c>
      <c r="C30" s="176">
        <f>Statement!M125</f>
        <v>0.17406375859097922</v>
      </c>
      <c r="D30" s="176">
        <f>Statement!N125</f>
        <v>-0.13220761559383501</v>
      </c>
      <c r="E30" s="176">
        <f>Statement!O125</f>
        <v>1.7238705102922601E-2</v>
      </c>
      <c r="F30" s="176">
        <f>Statement!P125</f>
        <v>0.15764792762854241</v>
      </c>
      <c r="G30" s="176">
        <f>Statement!Q125</f>
        <v>0.61403546806573295</v>
      </c>
      <c r="I30" s="176">
        <f>Statement!AC125</f>
        <v>0.61403546806573295</v>
      </c>
    </row>
    <row r="32" spans="2:9" ht="17" thickBot="1" x14ac:dyDescent="0.25">
      <c r="B32" s="14" t="s">
        <v>305</v>
      </c>
      <c r="C32" s="14"/>
      <c r="D32" s="14"/>
      <c r="E32" s="14"/>
      <c r="F32" s="14"/>
      <c r="G32" s="14"/>
      <c r="I32" s="14"/>
    </row>
    <row r="33" spans="2:9" x14ac:dyDescent="0.2">
      <c r="B33" s="20" t="s">
        <v>102</v>
      </c>
      <c r="C33" s="175">
        <f>C28</f>
        <v>0.1310592459605027</v>
      </c>
      <c r="D33" s="175">
        <f t="shared" ref="D33:G33" si="1">D28</f>
        <v>-9.0780340523547179E-2</v>
      </c>
      <c r="E33" s="175">
        <f t="shared" si="1"/>
        <v>1.1207790711075256E-2</v>
      </c>
      <c r="F33" s="175">
        <f t="shared" si="1"/>
        <v>0.1031305103988019</v>
      </c>
      <c r="G33" s="175">
        <f t="shared" si="1"/>
        <v>0.43376317079147264</v>
      </c>
      <c r="I33" s="175">
        <f>I28</f>
        <v>0.43376317079147264</v>
      </c>
    </row>
    <row r="34" spans="2:9" x14ac:dyDescent="0.2">
      <c r="B34" s="20" t="s">
        <v>104</v>
      </c>
      <c r="C34" s="175">
        <f>C30</f>
        <v>0.17406375859097922</v>
      </c>
      <c r="D34" s="175">
        <f t="shared" ref="D34:G34" si="2">D30</f>
        <v>-0.13220761559383501</v>
      </c>
      <c r="E34" s="175">
        <f t="shared" si="2"/>
        <v>1.7238705102922601E-2</v>
      </c>
      <c r="F34" s="175">
        <f t="shared" si="2"/>
        <v>0.15764792762854241</v>
      </c>
      <c r="G34" s="175">
        <f t="shared" si="2"/>
        <v>0.61403546806573295</v>
      </c>
      <c r="I34" s="175">
        <f>I30</f>
        <v>0.61403546806573295</v>
      </c>
    </row>
    <row r="35" spans="2:9" x14ac:dyDescent="0.2">
      <c r="B35" s="20" t="s">
        <v>105</v>
      </c>
      <c r="C35" s="175">
        <f>Statement!M140</f>
        <v>0.19203328862527738</v>
      </c>
      <c r="D35" s="175">
        <f>Statement!N140</f>
        <v>-0.12220284182761848</v>
      </c>
      <c r="E35" s="175">
        <f>Statement!O140</f>
        <v>1.6804167624861494E-2</v>
      </c>
      <c r="F35" s="175">
        <f>Statement!P140</f>
        <v>0.15196448091538983</v>
      </c>
      <c r="G35" s="175">
        <f>Statement!Q140</f>
        <v>1.2071781950589597</v>
      </c>
      <c r="I35" s="175">
        <f>Statement!AC140</f>
        <v>1.2071781950589597</v>
      </c>
    </row>
    <row r="37" spans="2:9" ht="17" thickBot="1" x14ac:dyDescent="0.25">
      <c r="B37" s="14" t="s">
        <v>250</v>
      </c>
      <c r="C37" s="14"/>
      <c r="D37" s="14"/>
      <c r="E37" s="14"/>
      <c r="F37" s="14"/>
      <c r="G37" s="14"/>
      <c r="I37" s="14"/>
    </row>
    <row r="38" spans="2:9" x14ac:dyDescent="0.2">
      <c r="B38" s="20" t="s">
        <v>139</v>
      </c>
      <c r="C38" s="174">
        <f>Statement!M141</f>
        <v>60.876845048442682</v>
      </c>
      <c r="D38" s="174">
        <f>Statement!N141</f>
        <v>57.380630630630634</v>
      </c>
      <c r="E38" s="174">
        <f>Statement!O141</f>
        <v>96.152084743737802</v>
      </c>
      <c r="F38" s="174">
        <f>Statement!P141</f>
        <v>90.473674353898005</v>
      </c>
      <c r="G38" s="174">
        <f>Statement!Q141</f>
        <v>99.197412679820999</v>
      </c>
      <c r="I38" s="174">
        <f>Statement!AC141</f>
        <v>99.197412679820999</v>
      </c>
    </row>
    <row r="39" spans="2:9" x14ac:dyDescent="0.2">
      <c r="B39" s="20" t="s">
        <v>140</v>
      </c>
      <c r="C39" s="174">
        <f>Statement!M142</f>
        <v>144.24644128113877</v>
      </c>
      <c r="D39" s="174">
        <f>Statement!N142</f>
        <v>180.5411063930172</v>
      </c>
      <c r="E39" s="174">
        <f>Statement!O142</f>
        <v>166.13883475228226</v>
      </c>
      <c r="F39" s="174">
        <f>Statement!P142</f>
        <v>135.5065540990891</v>
      </c>
      <c r="G39" s="174">
        <f>Statement!Q142</f>
        <v>147.39838031459274</v>
      </c>
      <c r="I39" s="174">
        <f>Statement!AC142</f>
        <v>147.39838031459274</v>
      </c>
    </row>
    <row r="40" spans="2:9" x14ac:dyDescent="0.2">
      <c r="B40" s="20" t="s">
        <v>141</v>
      </c>
      <c r="C40" s="174">
        <f>Statement!M143</f>
        <v>131.84163701067615</v>
      </c>
      <c r="D40" s="174">
        <f>Statement!N143</f>
        <v>85.201108752064172</v>
      </c>
      <c r="E40" s="174">
        <f>Statement!O143</f>
        <v>136.63632167401784</v>
      </c>
      <c r="F40" s="174">
        <f>Statement!P143</f>
        <v>156.4934459009109</v>
      </c>
      <c r="G40" s="174">
        <f>Statement!Q143</f>
        <v>321.24377044074129</v>
      </c>
      <c r="I40" s="174">
        <f>Statement!AC143</f>
        <v>321.24377044074129</v>
      </c>
    </row>
    <row r="41" spans="2:9" x14ac:dyDescent="0.2">
      <c r="B41" s="20" t="s">
        <v>142</v>
      </c>
      <c r="C41" s="174">
        <f>Statement!M144</f>
        <v>73.281649318905295</v>
      </c>
      <c r="D41" s="174">
        <f>Statement!N144</f>
        <v>152.72062827158368</v>
      </c>
      <c r="E41" s="174">
        <f>Statement!O144</f>
        <v>125.65459782200224</v>
      </c>
      <c r="F41" s="174">
        <f>Statement!P144</f>
        <v>69.486782552076193</v>
      </c>
      <c r="G41" s="174">
        <f>Statement!Q144</f>
        <v>-74.647977446327559</v>
      </c>
      <c r="I41" s="174">
        <f>Statement!AC144</f>
        <v>-74.647977446327559</v>
      </c>
    </row>
    <row r="43" spans="2:9" ht="17" thickBot="1" x14ac:dyDescent="0.25">
      <c r="B43" s="14" t="s">
        <v>256</v>
      </c>
      <c r="C43" s="14"/>
      <c r="D43" s="14"/>
      <c r="E43" s="14"/>
      <c r="F43" s="14"/>
      <c r="G43" s="14"/>
      <c r="I43" s="14"/>
    </row>
    <row r="44" spans="2:9" x14ac:dyDescent="0.2">
      <c r="B44" s="20" t="s">
        <v>257</v>
      </c>
      <c r="C44" s="180">
        <f>Statement!M145</f>
        <v>0.13837738193039054</v>
      </c>
      <c r="D44" s="180">
        <f>Statement!N145</f>
        <v>0.30213055303717135</v>
      </c>
      <c r="E44" s="180">
        <f>Statement!O145</f>
        <v>0.29684695663734462</v>
      </c>
      <c r="F44" s="180">
        <f>Statement!P145</f>
        <v>0.26912212683467185</v>
      </c>
      <c r="G44" s="180">
        <f>Statement!Q145</f>
        <v>3.7426469525502611E-2</v>
      </c>
      <c r="I44" s="180">
        <f>Statement!AC145</f>
        <v>3.7426469525502611E-2</v>
      </c>
    </row>
    <row r="45" spans="2:9" x14ac:dyDescent="0.2">
      <c r="B45" s="20" t="s">
        <v>258</v>
      </c>
      <c r="C45" s="180">
        <f>Statement!M146</f>
        <v>-8.1591760674855227E-2</v>
      </c>
      <c r="D45" s="180">
        <f>Statement!N146</f>
        <v>6.554850407978241E-2</v>
      </c>
      <c r="E45" s="180">
        <f>Statement!O146</f>
        <v>9.4059515632270496E-2</v>
      </c>
      <c r="F45" s="180">
        <f>Statement!P146</f>
        <v>4.8758423336102648E-2</v>
      </c>
      <c r="G45" s="180">
        <f>Statement!Q146</f>
        <v>-0.49338767723192994</v>
      </c>
      <c r="I45" s="180">
        <f>Statement!AC146</f>
        <v>-0.49338767723192994</v>
      </c>
    </row>
    <row r="46" spans="2:9" x14ac:dyDescent="0.2">
      <c r="B46" s="20" t="s">
        <v>252</v>
      </c>
      <c r="C46" s="180">
        <f>Statement!M147</f>
        <v>2.1366228942830614</v>
      </c>
      <c r="D46" s="180">
        <f>Statement!N147</f>
        <v>2.7032528856243441</v>
      </c>
      <c r="E46" s="180">
        <f>Statement!O147</f>
        <v>1.704909169550173</v>
      </c>
      <c r="F46" s="180">
        <f>Statement!P147</f>
        <v>1.8509690937663699</v>
      </c>
      <c r="G46" s="180">
        <f>Statement!Q147</f>
        <v>3.9898842878975329</v>
      </c>
      <c r="I46" s="180">
        <f>Statement!AC147</f>
        <v>3.9898842878975329</v>
      </c>
    </row>
    <row r="47" spans="2:9" x14ac:dyDescent="0.2">
      <c r="B47" s="20" t="s">
        <v>253</v>
      </c>
      <c r="C47" s="180">
        <f>Statement!M148</f>
        <v>2.88910996153336</v>
      </c>
      <c r="D47" s="180">
        <f>Statement!N148</f>
        <v>4.4583420776495277</v>
      </c>
      <c r="E47" s="180">
        <f>Statement!O148</f>
        <v>2.6353806228373702</v>
      </c>
      <c r="F47" s="180">
        <f>Statement!P148</f>
        <v>2.5179849834119086</v>
      </c>
      <c r="G47" s="180">
        <f>Statement!Q148</f>
        <v>3.313805399898115</v>
      </c>
      <c r="I47" s="180">
        <f>Statement!AC148</f>
        <v>3.313805399898115</v>
      </c>
    </row>
    <row r="48" spans="2:9" x14ac:dyDescent="0.2">
      <c r="B48" s="20" t="s">
        <v>259</v>
      </c>
      <c r="C48" s="182">
        <f>Statement!M149</f>
        <v>104.3225806451613</v>
      </c>
      <c r="D48" s="182" t="str">
        <f>Statement!N149</f>
        <v>N/A</v>
      </c>
      <c r="E48" s="182">
        <f>Statement!O149</f>
        <v>39.515151515151516</v>
      </c>
      <c r="F48" s="182" t="str">
        <f>Statement!P149</f>
        <v>N/A</v>
      </c>
      <c r="G48" s="182" t="str">
        <f>Statement!Q149</f>
        <v>N/A</v>
      </c>
      <c r="I48" s="182" t="str">
        <f>Statement!AC149</f>
        <v>N/A</v>
      </c>
    </row>
    <row r="50" spans="2:9" ht="17" thickBot="1" x14ac:dyDescent="0.25">
      <c r="B50" s="14" t="s">
        <v>268</v>
      </c>
      <c r="C50" s="14"/>
      <c r="D50" s="14"/>
      <c r="E50" s="14"/>
      <c r="F50" s="14"/>
      <c r="G50" s="14"/>
      <c r="I50" s="14"/>
    </row>
    <row r="51" spans="2:9" x14ac:dyDescent="0.2">
      <c r="B51" s="20" t="s">
        <v>266</v>
      </c>
      <c r="C51" s="175">
        <f>Statement!M162</f>
        <v>0.13522945384749607</v>
      </c>
      <c r="D51" s="175">
        <f>Statement!N162</f>
        <v>-7.8425613159054192E-2</v>
      </c>
      <c r="E51" s="175">
        <f>Statement!O162</f>
        <v>7.3244742073872559E-3</v>
      </c>
      <c r="F51" s="175">
        <f>Statement!P162</f>
        <v>6.221311475409836E-2</v>
      </c>
      <c r="G51" s="175">
        <f>Statement!Q162</f>
        <v>7.7575770226267007E-2</v>
      </c>
      <c r="I51" s="175">
        <f ca="1">Statement!AC162</f>
        <v>8.2117959499834026E-2</v>
      </c>
    </row>
    <row r="52" spans="2:9" x14ac:dyDescent="0.2">
      <c r="B52" s="20" t="s">
        <v>269</v>
      </c>
      <c r="C52" s="175">
        <f>Statement!M161</f>
        <v>4.1355789102654132E-2</v>
      </c>
      <c r="D52" s="175">
        <f>Statement!N161</f>
        <v>-8.9790620525014964E-2</v>
      </c>
      <c r="E52" s="175">
        <f>Statement!O161</f>
        <v>-6.6399613390116198E-3</v>
      </c>
      <c r="F52" s="175">
        <f>Statement!P161</f>
        <v>5.0441361916771753E-3</v>
      </c>
      <c r="G52" s="175">
        <f>Statement!Q161</f>
        <v>5.2483883813959312E-2</v>
      </c>
      <c r="I52" s="175">
        <f ca="1">Statement!AC161</f>
        <v>5.5646739089502316E-2</v>
      </c>
    </row>
    <row r="53" spans="2:9" x14ac:dyDescent="0.2">
      <c r="B53" s="20" t="s">
        <v>267</v>
      </c>
      <c r="C53" s="175">
        <f>Statement!M163</f>
        <v>5.4964229628337111E-3</v>
      </c>
      <c r="D53" s="175">
        <f>Statement!N163</f>
        <v>6.7557644294316344E-3</v>
      </c>
      <c r="E53" s="175">
        <f>Statement!O163</f>
        <v>4.8132259077116255E-3</v>
      </c>
      <c r="F53" s="175">
        <f>Statement!P163</f>
        <v>3.7704918032786887E-3</v>
      </c>
      <c r="G53" s="175">
        <f>Statement!Q163</f>
        <v>5.9489020622860477E-4</v>
      </c>
      <c r="I53" s="175">
        <f ca="1">Statement!AC163</f>
        <v>6.2520748035852609E-4</v>
      </c>
    </row>
    <row r="54" spans="2:9" x14ac:dyDescent="0.2">
      <c r="B54" s="20" t="s">
        <v>292</v>
      </c>
      <c r="C54" s="175">
        <f>Statement!M164</f>
        <v>4.0671827975187161E-2</v>
      </c>
      <c r="D54" s="175">
        <f>Statement!N164</f>
        <v>5.6846437841697245E-3</v>
      </c>
      <c r="E54" s="175">
        <f>Statement!O164</f>
        <v>2.7977365192464691E-3</v>
      </c>
      <c r="F54" s="175">
        <f>Statement!P164</f>
        <v>0</v>
      </c>
      <c r="G54" s="175">
        <f>Statement!Q164</f>
        <v>5.9195773866169621E-4</v>
      </c>
      <c r="I54" s="175">
        <f ca="1">Statement!AC164</f>
        <v>6.2763110199855123E-4</v>
      </c>
    </row>
    <row r="55" spans="2:9" x14ac:dyDescent="0.2">
      <c r="B55" s="20" t="s">
        <v>294</v>
      </c>
      <c r="C55" s="175">
        <f>Statement!M165</f>
        <v>4.8004527504542378E-2</v>
      </c>
      <c r="D55" s="175">
        <f>Statement!N165</f>
        <v>1.2425962530573351E-2</v>
      </c>
      <c r="E55" s="175">
        <f>Statement!O165</f>
        <v>7.5818659671579311E-3</v>
      </c>
      <c r="F55" s="175">
        <f>Statement!P165</f>
        <v>3.7831021437578815E-3</v>
      </c>
      <c r="G55" s="175">
        <f>Statement!Q165</f>
        <v>1.147487308790365E-3</v>
      </c>
      <c r="I55" s="175">
        <f ca="1">Statement!AC165</f>
        <v>1.2166387515664223E-3</v>
      </c>
    </row>
    <row r="57" spans="2:9" ht="17" thickBot="1" x14ac:dyDescent="0.25">
      <c r="B57" s="14" t="s">
        <v>271</v>
      </c>
      <c r="C57" s="14"/>
      <c r="D57" s="14"/>
      <c r="E57" s="14"/>
      <c r="F57" s="14"/>
      <c r="G57" s="14"/>
      <c r="I57" s="14"/>
    </row>
    <row r="58" spans="2:9" x14ac:dyDescent="0.2">
      <c r="B58" s="20" t="s">
        <v>270</v>
      </c>
      <c r="C58" s="175">
        <f>Statement!M168</f>
        <v>0.17730769230769231</v>
      </c>
      <c r="D58" s="175">
        <f>Statement!N168</f>
        <v>-7.5078206465067784E-2</v>
      </c>
      <c r="E58" s="175">
        <f>Statement!O168</f>
        <v>-0.7205056179775281</v>
      </c>
      <c r="F58" s="175">
        <f>Statement!P168</f>
        <v>0.75</v>
      </c>
      <c r="G58" s="175">
        <f>Statement!Q168</f>
        <v>1.0584764879403089E-2</v>
      </c>
      <c r="I58" s="175">
        <f>Statement!AC168</f>
        <v>1.0584764879403089E-2</v>
      </c>
    </row>
    <row r="59" spans="2:9" x14ac:dyDescent="0.2">
      <c r="B59" s="20" t="s">
        <v>272</v>
      </c>
      <c r="C59" s="175">
        <f>Statement!M169</f>
        <v>0.9834615384615385</v>
      </c>
      <c r="D59" s="175">
        <f>Statement!N169</f>
        <v>-6.3309995531059135E-2</v>
      </c>
      <c r="E59" s="175">
        <f>Statement!O169</f>
        <v>-0.42134831460674155</v>
      </c>
      <c r="F59" s="175">
        <f>Statement!P169</f>
        <v>0</v>
      </c>
      <c r="G59" s="175">
        <f>Statement!Q169</f>
        <v>1.1278847822314766E-2</v>
      </c>
      <c r="I59" s="175">
        <f>Statement!AC169</f>
        <v>1.1278847822314766E-2</v>
      </c>
    </row>
    <row r="60" spans="2:9" x14ac:dyDescent="0.2">
      <c r="B60" s="20" t="s">
        <v>273</v>
      </c>
      <c r="C60" s="175">
        <f>Statement!M170</f>
        <v>1.1607692307692308</v>
      </c>
      <c r="D60" s="175">
        <f>Statement!N170</f>
        <v>-0.13838820199612692</v>
      </c>
      <c r="E60" s="175">
        <f>Statement!O170</f>
        <v>-1.1418539325842696</v>
      </c>
      <c r="F60" s="175">
        <f>Statement!P170</f>
        <v>0.75</v>
      </c>
      <c r="G60" s="175">
        <f>Statement!Q170</f>
        <v>2.1863612701717855E-2</v>
      </c>
      <c r="I60" s="175">
        <f>Statement!AC170</f>
        <v>2.1863612701717855E-2</v>
      </c>
    </row>
    <row r="62" spans="2:9" ht="17" thickBot="1" x14ac:dyDescent="0.25">
      <c r="B62" s="14" t="s">
        <v>279</v>
      </c>
      <c r="C62" s="14"/>
      <c r="D62" s="14"/>
      <c r="E62" s="14"/>
      <c r="F62" s="14"/>
      <c r="G62" s="14"/>
      <c r="I62" s="14"/>
    </row>
    <row r="63" spans="2:9" x14ac:dyDescent="0.2">
      <c r="B63" s="20" t="s">
        <v>277</v>
      </c>
      <c r="C63" s="175">
        <f>Statement!M171</f>
        <v>3.6463081130355514E-3</v>
      </c>
      <c r="D63" s="175">
        <f>Statement!N171</f>
        <v>3.6429872495446266E-3</v>
      </c>
      <c r="E63" s="175">
        <f>Statement!O171</f>
        <v>2.6737967914438501E-3</v>
      </c>
      <c r="F63" s="175">
        <f>Statement!P171</f>
        <v>2.6525198938992041E-3</v>
      </c>
      <c r="G63" s="175">
        <f>Statement!Q171</f>
        <v>2.617801047120419E-3</v>
      </c>
      <c r="I63" s="175">
        <f>Statement!AC171</f>
        <v>2.617801047120419E-3</v>
      </c>
    </row>
    <row r="65" spans="2:9" ht="17" thickBot="1" x14ac:dyDescent="0.25">
      <c r="B65" s="14" t="s">
        <v>285</v>
      </c>
      <c r="C65" s="14"/>
      <c r="D65" s="14"/>
      <c r="E65" s="14"/>
      <c r="F65" s="14"/>
      <c r="G65" s="14"/>
      <c r="I65" s="14"/>
    </row>
    <row r="66" spans="2:9" x14ac:dyDescent="0.2">
      <c r="B66" s="20" t="s">
        <v>278</v>
      </c>
      <c r="C66" s="174">
        <f>Statement!M172</f>
        <v>10.09935602575897</v>
      </c>
      <c r="D66" s="174">
        <f>Statement!N172</f>
        <v>9.5063752276867035</v>
      </c>
      <c r="E66" s="174">
        <f>Statement!O172</f>
        <v>8.252479711451759</v>
      </c>
      <c r="F66" s="174">
        <f>Statement!P172</f>
        <v>10.638146167557933</v>
      </c>
      <c r="G66" s="174">
        <f>Statement!Q172</f>
        <v>65.060230292294065</v>
      </c>
      <c r="I66" s="174">
        <f>Statement!AC172</f>
        <v>65.060230292294065</v>
      </c>
    </row>
    <row r="67" spans="2:9" x14ac:dyDescent="0.2">
      <c r="B67" s="20" t="s">
        <v>286</v>
      </c>
      <c r="C67" s="174">
        <f>Statement!M175</f>
        <v>3.7460901563937443</v>
      </c>
      <c r="D67" s="174">
        <f>Statement!N175</f>
        <v>-2.6338797814207648</v>
      </c>
      <c r="E67" s="174">
        <f>Statement!O175</f>
        <v>-3.8277727682596936</v>
      </c>
      <c r="F67" s="174">
        <f>Statement!P175</f>
        <v>-2.3538324420677363</v>
      </c>
      <c r="G67" s="174">
        <f>Statement!Q175</f>
        <v>60.472984942426926</v>
      </c>
      <c r="I67" s="174">
        <f>Statement!AC175</f>
        <v>60.472984942426926</v>
      </c>
    </row>
    <row r="68" spans="2:9" x14ac:dyDescent="0.2">
      <c r="B68" s="20" t="s">
        <v>291</v>
      </c>
      <c r="C68" s="196">
        <f>Statement!M176</f>
        <v>6.4769528163849094E-2</v>
      </c>
      <c r="D68" s="196">
        <f>Statement!N176</f>
        <v>-3.8682328997220808E-2</v>
      </c>
      <c r="E68" s="196">
        <f>Statement!O176</f>
        <v>-3.9587971747337539E-2</v>
      </c>
      <c r="F68" s="196">
        <f>Statement!P176</f>
        <v>-1.9140177704338249E-2</v>
      </c>
      <c r="G68" s="196">
        <f>Statement!Q176</f>
        <v>6.2177419460597919E-2</v>
      </c>
      <c r="I68" s="196">
        <f ca="1">Statement!AC176</f>
        <v>6.5924439781306285E-2</v>
      </c>
    </row>
    <row r="70" spans="2:9" ht="17" thickBot="1" x14ac:dyDescent="0.25">
      <c r="B70" s="14" t="s">
        <v>306</v>
      </c>
      <c r="C70" s="14"/>
      <c r="D70" s="14"/>
      <c r="E70" s="14"/>
      <c r="F70" s="14"/>
      <c r="G70" s="14"/>
      <c r="I70" s="14"/>
    </row>
    <row r="71" spans="2:9" x14ac:dyDescent="0.2">
      <c r="B71" s="20" t="s">
        <v>280</v>
      </c>
      <c r="C71" s="175">
        <f>Statement!M173</f>
        <v>3.3858112113826493E-2</v>
      </c>
      <c r="D71" s="175">
        <f>Statement!N173</f>
        <v>0.38229634381013472</v>
      </c>
      <c r="E71" s="175">
        <f>Statement!O173</f>
        <v>9.7919360526625129E-2</v>
      </c>
      <c r="F71" s="175">
        <f>Statement!P173</f>
        <v>5.5463623395149785E-2</v>
      </c>
      <c r="G71" s="175">
        <f>Statement!Q173</f>
        <v>1.4864789517702816E-2</v>
      </c>
      <c r="I71" s="175">
        <f>Statement!AC173</f>
        <v>1.4864789517702816E-2</v>
      </c>
    </row>
    <row r="72" spans="2:9" x14ac:dyDescent="0.2">
      <c r="B72" s="20" t="s">
        <v>281</v>
      </c>
      <c r="C72" s="175">
        <f>Statement!M174</f>
        <v>1.6711099551336237E-2</v>
      </c>
      <c r="D72" s="175">
        <f>Statement!N174</f>
        <v>3.835263835263835E-2</v>
      </c>
      <c r="E72" s="175">
        <f>Statement!O174</f>
        <v>3.3172713153598023E-2</v>
      </c>
      <c r="F72" s="175">
        <f>Statement!P174</f>
        <v>2.600460163732677E-2</v>
      </c>
      <c r="G72" s="175">
        <f>Statement!Q174</f>
        <v>1.000840916599093E-2</v>
      </c>
      <c r="I72" s="175">
        <f>Statement!AC174</f>
        <v>1.000840916599093E-2</v>
      </c>
    </row>
    <row r="74" spans="2:9" ht="17" thickBot="1" x14ac:dyDescent="0.25">
      <c r="B74" s="14" t="s">
        <v>307</v>
      </c>
      <c r="C74" s="14"/>
      <c r="D74" s="14"/>
      <c r="E74" s="14"/>
      <c r="F74" s="14"/>
      <c r="G74" s="14"/>
      <c r="I74" s="14"/>
    </row>
    <row r="75" spans="2:9" x14ac:dyDescent="0.2">
      <c r="B75" s="20" t="s">
        <v>304</v>
      </c>
      <c r="C75" s="175">
        <f>Statement!M177</f>
        <v>0.39232069705442485</v>
      </c>
      <c r="D75" s="175">
        <f>Statement!N177</f>
        <v>0.49395109395109393</v>
      </c>
      <c r="E75" s="175">
        <f>Statement!O177</f>
        <v>0.33395722989924737</v>
      </c>
      <c r="F75" s="175">
        <f>Statement!P177</f>
        <v>0.42423350634062817</v>
      </c>
      <c r="G75" s="175">
        <f>Statement!Q177</f>
        <v>0.23059134456557648</v>
      </c>
      <c r="I75" s="175">
        <f>Statement!AC177</f>
        <v>0.23059134456557648</v>
      </c>
    </row>
    <row r="76" spans="2:9" x14ac:dyDescent="0.2">
      <c r="B76" s="20" t="s">
        <v>301</v>
      </c>
      <c r="C76" s="175">
        <f>Statement!M178</f>
        <v>0.79487517291351029</v>
      </c>
      <c r="D76" s="175">
        <f>Statement!N178</f>
        <v>4.9236690186016681</v>
      </c>
      <c r="E76" s="175">
        <f>Statement!O178</f>
        <v>0.98577641941930172</v>
      </c>
      <c r="F76" s="175">
        <f>Statement!P178</f>
        <v>0.90482168330955781</v>
      </c>
      <c r="G76" s="175">
        <f>Statement!Q178</f>
        <v>0.34248118204627825</v>
      </c>
      <c r="I76" s="175">
        <f>Statement!AC178</f>
        <v>0.34248118204627825</v>
      </c>
    </row>
    <row r="77" spans="2:9" x14ac:dyDescent="0.2">
      <c r="B77" s="20" t="s">
        <v>302</v>
      </c>
      <c r="C77" s="175">
        <f>Statement!M179</f>
        <v>1.6957560427206295</v>
      </c>
      <c r="D77" s="175">
        <f>Statement!N179</f>
        <v>0.98968540484785972</v>
      </c>
      <c r="E77" s="175">
        <f>Statement!O179</f>
        <v>1.0778920308483291</v>
      </c>
      <c r="F77" s="175">
        <f>Statement!P179</f>
        <v>1.8985871647509578</v>
      </c>
      <c r="G77" s="175">
        <f>Statement!Q179</f>
        <v>3.2318215300431441</v>
      </c>
      <c r="I77" s="175">
        <f>Statement!AC179</f>
        <v>3.2318215300431441</v>
      </c>
    </row>
    <row r="79" spans="2:9" ht="17" thickBot="1" x14ac:dyDescent="0.25">
      <c r="B79" s="14" t="s">
        <v>122</v>
      </c>
      <c r="C79" s="14"/>
      <c r="D79" s="14"/>
      <c r="E79" s="14"/>
      <c r="F79" s="14"/>
      <c r="G79" s="14"/>
      <c r="I79" s="14"/>
    </row>
    <row r="80" spans="2:9" x14ac:dyDescent="0.2">
      <c r="B80" s="20" t="s">
        <v>19</v>
      </c>
      <c r="C80" s="175">
        <f>Statement!M89</f>
        <v>0.11019671539433315</v>
      </c>
      <c r="D80" s="175">
        <f>Statement!N89</f>
        <v>-0.49476558944014565</v>
      </c>
      <c r="E80" s="175">
        <f>Statement!O89</f>
        <v>0.61589446589446595</v>
      </c>
      <c r="F80" s="175">
        <f>Statement!P89</f>
        <v>0.48851101111066864</v>
      </c>
      <c r="G80" s="175">
        <f>Statement!Q89</f>
        <v>2.563272513243084</v>
      </c>
      <c r="I80" s="197"/>
    </row>
    <row r="81" spans="2:9" x14ac:dyDescent="0.2">
      <c r="B81" s="20" t="s">
        <v>20</v>
      </c>
      <c r="C81" s="175">
        <f>Statement!M90</f>
        <v>-2.4418470084480962E-2</v>
      </c>
      <c r="D81" s="175">
        <f>Statement!N90</f>
        <v>5.6939501779359435E-3</v>
      </c>
      <c r="E81" s="175">
        <f>Statement!O90</f>
        <v>0.14991743335692381</v>
      </c>
      <c r="F81" s="175">
        <f>Statement!P90</f>
        <v>0.15422094573802442</v>
      </c>
      <c r="G81" s="175">
        <f>Statement!Q90</f>
        <v>0.14125749833370363</v>
      </c>
      <c r="I81" s="197"/>
    </row>
    <row r="82" spans="2:9" x14ac:dyDescent="0.2">
      <c r="B82" s="20" t="s">
        <v>21</v>
      </c>
      <c r="C82" s="175">
        <f>Statement!M91</f>
        <v>0.33339729444497745</v>
      </c>
      <c r="D82" s="175">
        <f>Statement!N91</f>
        <v>-1.1018851633328537</v>
      </c>
      <c r="E82" s="175">
        <f>Statement!O91</f>
        <v>4.9639830508474576</v>
      </c>
      <c r="F82" s="175">
        <f>Statement!P91</f>
        <v>1.6497416711206128</v>
      </c>
      <c r="G82" s="175">
        <f>Statement!Q91</f>
        <v>6.228131513480804</v>
      </c>
      <c r="I82" s="197"/>
    </row>
    <row r="83" spans="2:9" x14ac:dyDescent="0.2">
      <c r="B83" s="20" t="s">
        <v>24</v>
      </c>
      <c r="C83" s="175">
        <f>Statement!M95</f>
        <v>1.3526570048309179E-2</v>
      </c>
      <c r="D83" s="175">
        <f>Statement!N95</f>
        <v>3.169685414680648E-2</v>
      </c>
      <c r="E83" s="175">
        <f>Statement!O95</f>
        <v>-4.6200046200046202E-3</v>
      </c>
      <c r="F83" s="175">
        <f>Statement!P95</f>
        <v>0.18426549083313995</v>
      </c>
      <c r="G83" s="175">
        <f>Statement!Q95</f>
        <v>0.59984322947285906</v>
      </c>
      <c r="I83" s="197"/>
    </row>
    <row r="84" spans="2:9" x14ac:dyDescent="0.2">
      <c r="B84" s="20" t="s">
        <v>308</v>
      </c>
      <c r="C84" s="175">
        <f>Statement!M96</f>
        <v>0.54416679929969758</v>
      </c>
      <c r="D84" s="175">
        <f>Statement!N96</f>
        <v>-1.5921459492888064</v>
      </c>
      <c r="E84" s="175">
        <f>Statement!O96</f>
        <v>1.2269799825935597</v>
      </c>
      <c r="F84" s="175">
        <f>Statement!P96</f>
        <v>6.492331288343558</v>
      </c>
      <c r="G84" s="175">
        <f>Statement!Q96</f>
        <v>9.1678607983623337</v>
      </c>
      <c r="I84" s="197"/>
    </row>
    <row r="85" spans="2:9" x14ac:dyDescent="0.2">
      <c r="B85" s="20" t="s">
        <v>309</v>
      </c>
      <c r="C85" s="175">
        <f>Statement!M98</f>
        <v>0.48217027810953761</v>
      </c>
      <c r="D85" s="175">
        <f>Statement!N98</f>
        <v>-1.6714631057902614</v>
      </c>
      <c r="E85" s="175">
        <f>Statement!O98</f>
        <v>1.1333790502314418</v>
      </c>
      <c r="F85" s="175">
        <f>Statement!P98</f>
        <v>9.9755784061696655</v>
      </c>
      <c r="G85" s="175">
        <f>Statement!Q98</f>
        <v>8.9506968029043215</v>
      </c>
      <c r="I85" s="197"/>
    </row>
    <row r="88" spans="2:9" ht="17" thickBot="1" x14ac:dyDescent="0.25">
      <c r="B88" s="14" t="s">
        <v>310</v>
      </c>
      <c r="C88" s="14"/>
      <c r="D88" s="14"/>
      <c r="E88" s="14"/>
      <c r="F88" s="14"/>
      <c r="G88" s="14"/>
      <c r="I88" s="14"/>
    </row>
    <row r="89" spans="2:9" x14ac:dyDescent="0.2">
      <c r="B89" s="20" t="str">
        <f>Statement!B203</f>
        <v>DRAM</v>
      </c>
      <c r="C89" s="175">
        <f>Statement!M203</f>
        <v>0.11712161285493287</v>
      </c>
      <c r="D89" s="175">
        <f>Statement!N203</f>
        <v>-0.5096042169212901</v>
      </c>
      <c r="E89" s="175">
        <f>Statement!O203</f>
        <v>0.60347968664601936</v>
      </c>
      <c r="F89" s="175">
        <f>Statement!P203</f>
        <v>0.62347327160143162</v>
      </c>
      <c r="G89" s="175">
        <f>Statement!Q203</f>
        <v>2.5229547204143046</v>
      </c>
      <c r="I89" s="197"/>
    </row>
    <row r="90" spans="2:9" x14ac:dyDescent="0.2">
      <c r="B90" s="20" t="str">
        <f>Statement!B204</f>
        <v>NAND</v>
      </c>
      <c r="C90" s="175">
        <f>Statement!M204</f>
        <v>0.11474240045668617</v>
      </c>
      <c r="D90" s="175">
        <f>Statement!N204</f>
        <v>-0.46152861349379082</v>
      </c>
      <c r="E90" s="175">
        <f>Statement!O204</f>
        <v>0.71825962910128383</v>
      </c>
      <c r="F90" s="175">
        <f>Statement!P204</f>
        <v>0.17656012176560121</v>
      </c>
      <c r="G90" s="175">
        <f>Statement!Q204</f>
        <v>2.738092437963072</v>
      </c>
      <c r="I90" s="197"/>
    </row>
    <row r="91" spans="2:9" x14ac:dyDescent="0.2">
      <c r="B91" s="20" t="str">
        <f>Statement!B205</f>
        <v>Other</v>
      </c>
      <c r="C91" s="175">
        <f>Statement!M205</f>
        <v>-0.14871016691957512</v>
      </c>
      <c r="D91" s="175">
        <f>Statement!N205</f>
        <v>-0.36541889483065954</v>
      </c>
      <c r="E91" s="175">
        <f>Statement!O205</f>
        <v>-0.21067415730337077</v>
      </c>
      <c r="F91" s="175">
        <f>Statement!P205</f>
        <v>5.6939501779359428E-2</v>
      </c>
      <c r="G91" s="175">
        <f>Statement!Q205</f>
        <v>1.4377104377104377</v>
      </c>
      <c r="I91" s="197"/>
    </row>
    <row r="92" spans="2:9" x14ac:dyDescent="0.2">
      <c r="B92" s="20"/>
      <c r="C92" s="175"/>
      <c r="D92" s="175"/>
      <c r="E92" s="175"/>
      <c r="F92" s="175"/>
      <c r="G92" s="175"/>
      <c r="I92" s="197"/>
    </row>
    <row r="93" spans="2:9" x14ac:dyDescent="0.2">
      <c r="B93" s="20" t="str">
        <f>Statement!B207</f>
        <v>Cloud Memory</v>
      </c>
      <c r="C93" s="175">
        <f>Statement!M207</f>
        <v>0</v>
      </c>
      <c r="D93" s="175">
        <f>Statement!N207</f>
        <v>1</v>
      </c>
      <c r="E93" s="175">
        <f>Statement!O207</f>
        <v>1.0256410256410255</v>
      </c>
      <c r="F93" s="175">
        <f>Statement!P207</f>
        <v>2.5664556962025316</v>
      </c>
      <c r="G93" s="175">
        <f>Statement!Q207</f>
        <v>2.1858178053830226</v>
      </c>
      <c r="I93" s="197"/>
    </row>
    <row r="94" spans="2:9" x14ac:dyDescent="0.2">
      <c r="B94" s="20" t="str">
        <f>Statement!B208</f>
        <v>Core Data Center</v>
      </c>
      <c r="C94" s="175">
        <f>Statement!M208</f>
        <v>0</v>
      </c>
      <c r="D94" s="175">
        <f>Statement!N208</f>
        <v>1</v>
      </c>
      <c r="E94" s="175">
        <f>Statement!O208</f>
        <v>1.3465160075329567</v>
      </c>
      <c r="F94" s="175">
        <f>Statement!P208</f>
        <v>0.4504414125200642</v>
      </c>
      <c r="G94" s="175">
        <f>Statement!Q208</f>
        <v>4.2001659980633557</v>
      </c>
      <c r="I94" s="197"/>
    </row>
    <row r="95" spans="2:9" x14ac:dyDescent="0.2">
      <c r="B95" s="20" t="str">
        <f>Statement!B209</f>
        <v>Mobile and Client</v>
      </c>
      <c r="C95" s="175">
        <f>Statement!M209</f>
        <v>0</v>
      </c>
      <c r="D95" s="175">
        <f>Statement!N209</f>
        <v>1</v>
      </c>
      <c r="E95" s="175">
        <f>Statement!O209</f>
        <v>0.57790100081146878</v>
      </c>
      <c r="F95" s="175">
        <f>Statement!P209</f>
        <v>1.6456672666495243E-2</v>
      </c>
      <c r="G95" s="175">
        <f>Statement!Q209</f>
        <v>2.0863479214098994</v>
      </c>
      <c r="I95" s="197"/>
    </row>
    <row r="96" spans="2:9" x14ac:dyDescent="0.2">
      <c r="B96" s="20" t="str">
        <f>Statement!B210</f>
        <v>Automotive and Embedded</v>
      </c>
      <c r="C96" s="175">
        <f>Statement!M210</f>
        <v>0</v>
      </c>
      <c r="D96" s="175">
        <f>Statement!N210</f>
        <v>1</v>
      </c>
      <c r="E96" s="175">
        <f>Statement!O210</f>
        <v>0.11886929209954095</v>
      </c>
      <c r="F96" s="175">
        <f>Statement!P210</f>
        <v>2.6344202116173613E-2</v>
      </c>
      <c r="G96" s="175">
        <f>Statement!Q210</f>
        <v>2.3423101199242584</v>
      </c>
      <c r="I96" s="197"/>
    </row>
    <row r="98" spans="2:9" ht="17" thickBot="1" x14ac:dyDescent="0.25">
      <c r="B98" s="14" t="s">
        <v>312</v>
      </c>
      <c r="C98" s="14"/>
      <c r="D98" s="14"/>
      <c r="E98" s="14"/>
      <c r="F98" s="14"/>
      <c r="G98" s="14"/>
      <c r="I98" s="14"/>
    </row>
    <row r="99" spans="2:9" x14ac:dyDescent="0.2">
      <c r="B99" s="20" t="s">
        <v>284</v>
      </c>
      <c r="C99" s="175">
        <f>Statement!M214</f>
        <v>-1</v>
      </c>
      <c r="D99" s="175">
        <f>Statement!N214</f>
        <v>9.3275488069414311E-2</v>
      </c>
      <c r="E99" s="175">
        <f>Statement!O214</f>
        <v>1.7857142857142856E-2</v>
      </c>
      <c r="F99" s="175">
        <f>Statement!P214</f>
        <v>1.7543859649122806E-2</v>
      </c>
      <c r="G99" s="175">
        <f>Statement!Q214</f>
        <v>0.16858237547892721</v>
      </c>
      <c r="I99" s="19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3F86-70CC-F54A-91FC-45975067BFCE}">
  <dimension ref="B1:G38"/>
  <sheetViews>
    <sheetView topLeftCell="A30" zoomScale="180" workbookViewId="0">
      <selection activeCell="G37" sqref="G37"/>
    </sheetView>
  </sheetViews>
  <sheetFormatPr baseColWidth="10" defaultRowHeight="16" x14ac:dyDescent="0.2"/>
  <cols>
    <col min="1" max="1" width="3.6640625" style="1" customWidth="1"/>
    <col min="2" max="2" width="25.83203125" style="1" customWidth="1"/>
    <col min="3" max="3" width="11.33203125" style="1" customWidth="1"/>
    <col min="4" max="4" width="11.83203125" style="1" customWidth="1"/>
    <col min="5" max="5" width="2.83203125" style="1" customWidth="1"/>
    <col min="6" max="6" width="11.6640625" style="1" customWidth="1"/>
    <col min="7" max="7" width="11.83203125" style="1" customWidth="1"/>
    <col min="8" max="16384" width="10.83203125" style="1"/>
  </cols>
  <sheetData>
    <row r="1" spans="2:7" ht="12" customHeight="1" x14ac:dyDescent="0.2"/>
    <row r="3" spans="2:7" x14ac:dyDescent="0.2">
      <c r="B3" s="8"/>
      <c r="C3" s="250" t="s">
        <v>313</v>
      </c>
      <c r="D3" s="251"/>
      <c r="F3" s="252" t="s">
        <v>314</v>
      </c>
      <c r="G3" s="251"/>
    </row>
    <row r="4" spans="2:7" x14ac:dyDescent="0.2">
      <c r="B4" s="8"/>
      <c r="C4" s="10" t="str">
        <f>Statement!Z2</f>
        <v>28.05.2026</v>
      </c>
      <c r="D4" s="203" t="str">
        <f>Statement!AA2</f>
        <v>03.09.2026</v>
      </c>
      <c r="F4" s="204" t="str">
        <f>Statement!W2</f>
        <v>28.08.2025</v>
      </c>
      <c r="G4" s="203" t="str">
        <f>Statement!AA2</f>
        <v>03.09.2026</v>
      </c>
    </row>
    <row r="5" spans="2:7" x14ac:dyDescent="0.2">
      <c r="B5" s="8" t="s">
        <v>319</v>
      </c>
      <c r="C5" s="10" t="str">
        <f>Statement!Z3</f>
        <v>Q3 2026</v>
      </c>
      <c r="D5" s="203" t="str">
        <f>Statement!AA3</f>
        <v>Q4 2026</v>
      </c>
      <c r="F5" s="204" t="str">
        <f>Statement!W3</f>
        <v>Q4 2025</v>
      </c>
      <c r="G5" s="203" t="str">
        <f>Statement!AA3</f>
        <v>Q4 2026</v>
      </c>
    </row>
    <row r="6" spans="2:7" x14ac:dyDescent="0.2">
      <c r="B6" s="205" t="s">
        <v>19</v>
      </c>
      <c r="C6" s="199">
        <f>Statement!Z5</f>
        <v>41456</v>
      </c>
      <c r="D6" s="198">
        <f>Statement!AA5</f>
        <v>54229</v>
      </c>
      <c r="F6" s="199">
        <f>Statement!W5</f>
        <v>11315</v>
      </c>
      <c r="G6" s="198">
        <f>Statement!AA5</f>
        <v>54229</v>
      </c>
    </row>
    <row r="7" spans="2:7" x14ac:dyDescent="0.2">
      <c r="B7" s="206" t="s">
        <v>315</v>
      </c>
      <c r="C7" s="253">
        <f>Statement!AA89</f>
        <v>0.30810980316480124</v>
      </c>
      <c r="D7" s="254"/>
      <c r="F7" s="253">
        <f>IF(F6=0,
IF(G6=0,0,IF(G6&gt;0,1,-1)),
(G6-F6)/ABS(F6)
)</f>
        <v>3.7926646045072911</v>
      </c>
      <c r="G7" s="254"/>
    </row>
    <row r="8" spans="2:7" x14ac:dyDescent="0.2">
      <c r="B8" s="207" t="s">
        <v>20</v>
      </c>
      <c r="C8" s="200">
        <f>Statement!Z6</f>
        <v>6400</v>
      </c>
      <c r="D8" s="198">
        <f>Statement!AA6</f>
        <v>7182</v>
      </c>
      <c r="F8" s="200">
        <f>Statement!W6</f>
        <v>6261</v>
      </c>
      <c r="G8" s="198">
        <f>Statement!AA6</f>
        <v>7182</v>
      </c>
    </row>
    <row r="9" spans="2:7" x14ac:dyDescent="0.2">
      <c r="B9" s="206" t="s">
        <v>315</v>
      </c>
      <c r="C9" s="253">
        <f>Statement!AA90</f>
        <v>0.1221875</v>
      </c>
      <c r="D9" s="254"/>
      <c r="F9" s="253">
        <f>IF(F8=0,
IF(G8=0,0,IF(G8&gt;0,1,-1)),
(G8-F8)/ABS(F8)
)</f>
        <v>0.14710110206037375</v>
      </c>
      <c r="G9" s="254"/>
    </row>
    <row r="10" spans="2:7" x14ac:dyDescent="0.2">
      <c r="B10" s="207" t="s">
        <v>21</v>
      </c>
      <c r="C10" s="200">
        <f>Statement!Z7</f>
        <v>35056</v>
      </c>
      <c r="D10" s="198">
        <f>Statement!AA7</f>
        <v>47047</v>
      </c>
      <c r="F10" s="200">
        <f>Statement!W7</f>
        <v>5054</v>
      </c>
      <c r="G10" s="198">
        <f>Statement!AA7</f>
        <v>47047</v>
      </c>
    </row>
    <row r="11" spans="2:7" x14ac:dyDescent="0.2">
      <c r="B11" s="206" t="s">
        <v>315</v>
      </c>
      <c r="C11" s="253">
        <f>Statement!AA91</f>
        <v>0.3420527156549521</v>
      </c>
      <c r="D11" s="254"/>
      <c r="F11" s="253">
        <f>IF(F10=0,
IF(G10=0,0,IF(G10&gt;0,1,-1)),
(G10-F10)/ABS(F10)
)</f>
        <v>8.3088642659279781</v>
      </c>
      <c r="G11" s="254"/>
    </row>
    <row r="12" spans="2:7" x14ac:dyDescent="0.2">
      <c r="B12" s="207" t="s">
        <v>24</v>
      </c>
      <c r="C12" s="200">
        <f>Statement!Z11</f>
        <v>1738</v>
      </c>
      <c r="D12" s="198">
        <f>Statement!AA11</f>
        <v>3296</v>
      </c>
      <c r="F12" s="200">
        <f>Statement!W11</f>
        <v>1400</v>
      </c>
      <c r="G12" s="198">
        <f>Statement!AA11</f>
        <v>3296</v>
      </c>
    </row>
    <row r="13" spans="2:7" x14ac:dyDescent="0.2">
      <c r="B13" s="206" t="s">
        <v>315</v>
      </c>
      <c r="C13" s="253">
        <f>Statement!AA95</f>
        <v>0.89643268124280784</v>
      </c>
      <c r="D13" s="254"/>
      <c r="F13" s="253">
        <f>IF(F12=0,
IF(G12=0,0,IF(G12&gt;0,1,-1)),
(G12-F12)/ABS(F12)
)</f>
        <v>1.3542857142857143</v>
      </c>
      <c r="G13" s="254"/>
    </row>
    <row r="14" spans="2:7" x14ac:dyDescent="0.2">
      <c r="B14" s="207" t="s">
        <v>316</v>
      </c>
      <c r="C14" s="200">
        <f>Statement!Z12</f>
        <v>33318</v>
      </c>
      <c r="D14" s="198">
        <f>Statement!AA12</f>
        <v>43751</v>
      </c>
      <c r="F14" s="200">
        <f>Statement!W12</f>
        <v>3654</v>
      </c>
      <c r="G14" s="198">
        <f>Statement!AA12</f>
        <v>43751</v>
      </c>
    </row>
    <row r="15" spans="2:7" x14ac:dyDescent="0.2">
      <c r="B15" s="206" t="s">
        <v>315</v>
      </c>
      <c r="C15" s="253">
        <f>Statement!AA96</f>
        <v>0.3131340416591632</v>
      </c>
      <c r="D15" s="254"/>
      <c r="F15" s="253">
        <f>IF(F14=0,
IF(G14=0,0,IF(G14&gt;0,1,-1)),
(G14-F14)/ABS(F14)
)</f>
        <v>10.973453749315818</v>
      </c>
      <c r="G15" s="254"/>
    </row>
    <row r="16" spans="2:7" x14ac:dyDescent="0.2">
      <c r="B16" s="207" t="s">
        <v>30</v>
      </c>
      <c r="C16" s="200">
        <f>Statement!Z18</f>
        <v>28243</v>
      </c>
      <c r="D16" s="198">
        <f>Statement!AA18</f>
        <v>37701</v>
      </c>
      <c r="F16" s="200">
        <f>Statement!W18</f>
        <v>3201</v>
      </c>
      <c r="G16" s="198">
        <f>Statement!AA18</f>
        <v>37701</v>
      </c>
    </row>
    <row r="17" spans="2:7" x14ac:dyDescent="0.2">
      <c r="B17" s="206" t="s">
        <v>315</v>
      </c>
      <c r="C17" s="253">
        <f>Statement!AA98</f>
        <v>0.33487943915306445</v>
      </c>
      <c r="D17" s="254"/>
      <c r="F17" s="253">
        <f>IF(F16=0,
IF(G16=0,0,IF(G16&gt;0,1,-1)),
(G16-F16)/ABS(F16)
)</f>
        <v>10.777881911902531</v>
      </c>
      <c r="G17" s="254"/>
    </row>
    <row r="18" spans="2:7" x14ac:dyDescent="0.2">
      <c r="B18" s="207" t="s">
        <v>317</v>
      </c>
      <c r="C18" s="200">
        <f>Statement!Z22</f>
        <v>1145</v>
      </c>
      <c r="D18" s="198">
        <f>Statement!AA22</f>
        <v>1147</v>
      </c>
      <c r="F18" s="200">
        <f>Statement!W22</f>
        <v>1131</v>
      </c>
      <c r="G18" s="198">
        <f>Statement!AA22</f>
        <v>1147</v>
      </c>
    </row>
    <row r="19" spans="2:7" x14ac:dyDescent="0.2">
      <c r="B19" s="206" t="s">
        <v>315</v>
      </c>
      <c r="C19" s="253">
        <f>IF(C18=0,
IF(D18=0,0,IF(D18&gt;0,1,-1)),
(D18-C18)/ABS(C18)
)</f>
        <v>1.7467248908296944E-3</v>
      </c>
      <c r="D19" s="254"/>
      <c r="F19" s="253">
        <f>IF(F18=0,
IF(G18=0,0,IF(G18&gt;0,1,-1)),
(G18-F18)/ABS(F18)
)</f>
        <v>1.4146772767462422E-2</v>
      </c>
      <c r="G19" s="254"/>
    </row>
    <row r="20" spans="2:7" x14ac:dyDescent="0.2">
      <c r="B20" s="207" t="s">
        <v>37</v>
      </c>
      <c r="C20" s="201">
        <f>Statement!Z26</f>
        <v>24.67</v>
      </c>
      <c r="D20" s="202">
        <f>Statement!AA26</f>
        <v>32.869999999999997</v>
      </c>
      <c r="F20" s="201">
        <f>Statement!W26</f>
        <v>2.83</v>
      </c>
      <c r="G20" s="202">
        <f>Statement!AA26</f>
        <v>32.869999999999997</v>
      </c>
    </row>
    <row r="21" spans="2:7" x14ac:dyDescent="0.2">
      <c r="B21" s="206" t="s">
        <v>315</v>
      </c>
      <c r="C21" s="253">
        <f>IF(C20=0,
IF(D20=0,0,IF(D20&gt;0,1,-1)),
(D20-C20)/ABS(C20)
)</f>
        <v>0.33238751520064835</v>
      </c>
      <c r="D21" s="254"/>
      <c r="F21" s="253">
        <f>IF(F20=0,
IF(G20=0,0,IF(G20&gt;0,1,-1)),
(G20-F20)/ABS(F20)
)</f>
        <v>10.614840989399292</v>
      </c>
      <c r="G21" s="254"/>
    </row>
    <row r="23" spans="2:7" x14ac:dyDescent="0.2">
      <c r="B23" s="8" t="s">
        <v>318</v>
      </c>
      <c r="C23" s="10" t="str">
        <f>C5</f>
        <v>Q3 2026</v>
      </c>
      <c r="D23" s="203" t="str">
        <f>D5</f>
        <v>Q4 2026</v>
      </c>
      <c r="F23" s="204" t="str">
        <f>F5</f>
        <v>Q4 2025</v>
      </c>
      <c r="G23" s="203" t="str">
        <f>G5</f>
        <v>Q4 2026</v>
      </c>
    </row>
    <row r="24" spans="2:7" x14ac:dyDescent="0.2">
      <c r="B24" s="20" t="str">
        <f>Statement!B187</f>
        <v>DRAM</v>
      </c>
      <c r="C24" s="200">
        <f>Statement!Z187</f>
        <v>31328</v>
      </c>
      <c r="D24" s="198">
        <f>Statement!AA187</f>
        <v>39771</v>
      </c>
      <c r="F24" s="200">
        <f>Statement!W187</f>
        <v>22178</v>
      </c>
      <c r="G24" s="198">
        <f>Statement!AA187</f>
        <v>39771</v>
      </c>
    </row>
    <row r="25" spans="2:7" x14ac:dyDescent="0.2">
      <c r="B25" s="206" t="s">
        <v>315</v>
      </c>
      <c r="C25" s="253">
        <f>IF(C24=0,
IF(D24=0,0,IF(D24&gt;0,1,-1)),
(D24-C24)/ABS(C24)
)</f>
        <v>0.26950331971399388</v>
      </c>
      <c r="D25" s="254"/>
      <c r="F25" s="253">
        <f>IF(F24=0,
IF(G24=0,0,IF(G24&gt;0,1,-1)),
(G24-F24)/ABS(F24)
)</f>
        <v>0.79326359455316076</v>
      </c>
      <c r="G25" s="254"/>
    </row>
    <row r="26" spans="2:7" x14ac:dyDescent="0.2">
      <c r="B26" s="20" t="str">
        <f>Statement!B188</f>
        <v>NAND</v>
      </c>
      <c r="C26" s="200">
        <f>Statement!Z188</f>
        <v>9943</v>
      </c>
      <c r="D26" s="198">
        <f>Statement!AA188</f>
        <v>14102</v>
      </c>
      <c r="F26" s="200">
        <f>Statement!W188</f>
        <v>6262</v>
      </c>
      <c r="G26" s="198">
        <f>Statement!AA188</f>
        <v>14102</v>
      </c>
    </row>
    <row r="27" spans="2:7" x14ac:dyDescent="0.2">
      <c r="B27" s="206" t="s">
        <v>315</v>
      </c>
      <c r="C27" s="253">
        <f>IF(C26=0,
IF(D26=0,0,IF(D26&gt;0,1,-1)),
(D26-C26)/ABS(C26)
)</f>
        <v>0.41828422005430954</v>
      </c>
      <c r="D27" s="254"/>
      <c r="F27" s="253">
        <f>IF(F26=0,
IF(G26=0,0,IF(G26&gt;0,1,-1)),
(G26-F26)/ABS(F26)
)</f>
        <v>1.2519961673586713</v>
      </c>
      <c r="G27" s="254"/>
    </row>
    <row r="28" spans="2:7" x14ac:dyDescent="0.2">
      <c r="B28" s="20" t="str">
        <f>Statement!B189</f>
        <v>Other</v>
      </c>
      <c r="C28" s="200">
        <f>Statement!Z189</f>
        <v>185</v>
      </c>
      <c r="D28" s="198">
        <f>Statement!AA189</f>
        <v>356</v>
      </c>
      <c r="F28" s="200">
        <f>Statement!W189</f>
        <v>229</v>
      </c>
      <c r="G28" s="198">
        <f>Statement!AA189</f>
        <v>356</v>
      </c>
    </row>
    <row r="29" spans="2:7" x14ac:dyDescent="0.2">
      <c r="B29" s="206" t="s">
        <v>315</v>
      </c>
      <c r="C29" s="253">
        <f>IF(C28=0,
IF(D28=0,0,IF(D28&gt;0,1,-1)),
(D28-C28)/ABS(C28)
)</f>
        <v>0.92432432432432432</v>
      </c>
      <c r="D29" s="254"/>
      <c r="F29" s="253">
        <f>IF(F28=0,
IF(G28=0,0,IF(G28&gt;0,1,-1)),
(G28-F28)/ABS(F28)
)</f>
        <v>0.55458515283842791</v>
      </c>
      <c r="G29" s="254"/>
    </row>
    <row r="31" spans="2:7" x14ac:dyDescent="0.2">
      <c r="B31" s="184" t="str">
        <f>Statement!B191</f>
        <v>Cloud Memory</v>
      </c>
      <c r="C31" s="200">
        <f>Statement!Z191</f>
        <v>13769</v>
      </c>
      <c r="D31" s="200">
        <f>Statement!AA191</f>
        <v>16283</v>
      </c>
      <c r="F31" s="200">
        <f>Statement!W191</f>
        <v>4543</v>
      </c>
      <c r="G31" s="198">
        <f>Statement!AA191</f>
        <v>16283</v>
      </c>
    </row>
    <row r="32" spans="2:7" x14ac:dyDescent="0.2">
      <c r="B32" s="233" t="s">
        <v>315</v>
      </c>
      <c r="C32" s="253">
        <f>IF(C31=0,
IF(D31=0,0,IF(D31&gt;0,1,-1)),
(D31-C31)/ABS(C31)
)</f>
        <v>0.18258406565473165</v>
      </c>
      <c r="D32" s="254"/>
      <c r="F32" s="253">
        <f>IF(F31=0,
IF(G31=0,0,IF(G31&gt;0,1,-1)),
(G31-F31)/ABS(F31)
)</f>
        <v>2.5841954655513977</v>
      </c>
      <c r="G32" s="254"/>
    </row>
    <row r="33" spans="2:7" x14ac:dyDescent="0.2">
      <c r="B33" s="184" t="str">
        <f>Statement!B192</f>
        <v>Core Data Center</v>
      </c>
      <c r="C33" s="200">
        <f>Statement!Z192</f>
        <v>11524</v>
      </c>
      <c r="D33" s="200">
        <f>Statement!AA192</f>
        <v>18002</v>
      </c>
      <c r="F33" s="200">
        <f>Statement!W192</f>
        <v>1577</v>
      </c>
      <c r="G33" s="198">
        <f>Statement!AA192</f>
        <v>18002</v>
      </c>
    </row>
    <row r="34" spans="2:7" x14ac:dyDescent="0.2">
      <c r="B34" s="233" t="s">
        <v>315</v>
      </c>
      <c r="C34" s="253">
        <f>IF(C33=0,
IF(D33=0,0,IF(D33&gt;0,1,-1)),
(D33-C33)/ABS(C33)
)</f>
        <v>0.56213120444290177</v>
      </c>
      <c r="D34" s="254"/>
      <c r="F34" s="253">
        <f>IF(F33=0,
IF(G33=0,0,IF(G33&gt;0,1,-1)),
(G33-F33)/ABS(F33)
)</f>
        <v>10.415345592897907</v>
      </c>
      <c r="G34" s="254"/>
    </row>
    <row r="35" spans="2:7" x14ac:dyDescent="0.2">
      <c r="B35" s="184" t="str">
        <f>Statement!B193</f>
        <v>Mobile and Client</v>
      </c>
      <c r="C35" s="200">
        <f>Statement!Z193</f>
        <v>11521</v>
      </c>
      <c r="D35" s="200">
        <f>Statement!AA193</f>
        <v>13114</v>
      </c>
      <c r="F35" s="200">
        <f>Statement!W193</f>
        <v>3760</v>
      </c>
      <c r="G35" s="198">
        <f>Statement!AA193</f>
        <v>13114</v>
      </c>
    </row>
    <row r="36" spans="2:7" x14ac:dyDescent="0.2">
      <c r="B36" s="233" t="s">
        <v>315</v>
      </c>
      <c r="C36" s="253">
        <f>IF(C35=0,
IF(D35=0,0,IF(D35&gt;0,1,-1)),
(D35-C35)/ABS(C35)
)</f>
        <v>0.13826924746115787</v>
      </c>
      <c r="D36" s="254"/>
      <c r="F36" s="253">
        <f>IF(F35=0,
IF(G35=0,0,IF(G35&gt;0,1,-1)),
(G35-F35)/ABS(F35)
)</f>
        <v>2.4877659574468085</v>
      </c>
      <c r="G36" s="254"/>
    </row>
    <row r="37" spans="2:7" x14ac:dyDescent="0.2">
      <c r="B37" s="184" t="str">
        <f>Statement!B194</f>
        <v>Automotive and Embedded</v>
      </c>
      <c r="C37" s="200">
        <f>Statement!Z194</f>
        <v>4634</v>
      </c>
      <c r="D37" s="200">
        <f>Statement!AA194</f>
        <v>6824</v>
      </c>
      <c r="F37" s="200">
        <f>Statement!W194</f>
        <v>1434</v>
      </c>
      <c r="G37" s="198">
        <f>Statement!AA194</f>
        <v>6824</v>
      </c>
    </row>
    <row r="38" spans="2:7" x14ac:dyDescent="0.2">
      <c r="B38" s="233" t="s">
        <v>315</v>
      </c>
      <c r="C38" s="253">
        <f>IF(C37=0,
IF(D37=0,0,IF(D37&gt;0,1,-1)),
(D37-C37)/ABS(C37)
)</f>
        <v>0.47259387138541215</v>
      </c>
      <c r="D38" s="254"/>
      <c r="F38" s="253">
        <f>IF(F37=0,
IF(G37=0,0,IF(G37&gt;0,1,-1)),
(G37-F37)/ABS(F37)
)</f>
        <v>3.7587168758716878</v>
      </c>
      <c r="G38" s="254"/>
    </row>
  </sheetData>
  <mergeCells count="32">
    <mergeCell ref="C38:D38"/>
    <mergeCell ref="F38:G38"/>
    <mergeCell ref="C32:D32"/>
    <mergeCell ref="F32:G32"/>
    <mergeCell ref="C34:D34"/>
    <mergeCell ref="F34:G34"/>
    <mergeCell ref="C36:D36"/>
    <mergeCell ref="F36:G36"/>
    <mergeCell ref="C25:D25"/>
    <mergeCell ref="F25:G25"/>
    <mergeCell ref="C27:D27"/>
    <mergeCell ref="F27:G27"/>
    <mergeCell ref="C29:D29"/>
    <mergeCell ref="F29:G29"/>
    <mergeCell ref="C17:D17"/>
    <mergeCell ref="F17:G17"/>
    <mergeCell ref="F19:G19"/>
    <mergeCell ref="C19:D19"/>
    <mergeCell ref="C21:D21"/>
    <mergeCell ref="F21:G21"/>
    <mergeCell ref="C11:D11"/>
    <mergeCell ref="F11:G11"/>
    <mergeCell ref="C13:D13"/>
    <mergeCell ref="F13:G13"/>
    <mergeCell ref="C15:D15"/>
    <mergeCell ref="F15:G15"/>
    <mergeCell ref="C3:D3"/>
    <mergeCell ref="F3:G3"/>
    <mergeCell ref="C7:D7"/>
    <mergeCell ref="F7:G7"/>
    <mergeCell ref="C9:D9"/>
    <mergeCell ref="F9:G9"/>
  </mergeCells>
  <pageMargins left="0.7" right="0.7" top="0.75" bottom="0.75" header="0.3" footer="0.3"/>
  <ignoredErrors>
    <ignoredError sqref="F8 F10 F12 F14 F16 F18 C20 F20 C26 F26 C28 F2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D4CD5-3D15-DF4B-A135-ED758F2E1A8D}">
  <dimension ref="B62:L84"/>
  <sheetViews>
    <sheetView zoomScale="159" workbookViewId="0">
      <selection activeCell="G49" sqref="G49"/>
    </sheetView>
  </sheetViews>
  <sheetFormatPr baseColWidth="10" defaultRowHeight="16" x14ac:dyDescent="0.2"/>
  <cols>
    <col min="1" max="1" width="2.6640625" style="1" customWidth="1"/>
    <col min="2" max="2" width="21" style="1" customWidth="1"/>
    <col min="3" max="16384" width="10.83203125" style="1"/>
  </cols>
  <sheetData>
    <row r="62" spans="2:12" x14ac:dyDescent="0.2">
      <c r="B62" s="10"/>
      <c r="C62" s="10">
        <f>Statement!H2</f>
        <v>0</v>
      </c>
      <c r="D62" s="10">
        <f>Statement!I2</f>
        <v>0</v>
      </c>
      <c r="E62" s="10">
        <f>Statement!J2</f>
        <v>0</v>
      </c>
      <c r="F62" s="10">
        <f>Statement!K2</f>
        <v>0</v>
      </c>
      <c r="G62" s="10" t="str">
        <f>Statement!L2</f>
        <v>02.09.2021</v>
      </c>
      <c r="H62" s="10" t="str">
        <f>Statement!M2</f>
        <v>01.09.2022</v>
      </c>
      <c r="I62" s="10" t="str">
        <f>Statement!N2</f>
        <v>31.08.2023</v>
      </c>
      <c r="J62" s="10" t="str">
        <f>Statement!O2</f>
        <v>29.08.2024</v>
      </c>
      <c r="K62" s="10" t="str">
        <f>Statement!P2</f>
        <v>28.08.2025</v>
      </c>
      <c r="L62" s="10" t="str">
        <f>Statement!Q2</f>
        <v>03.09.2025</v>
      </c>
    </row>
    <row r="63" spans="2:12" x14ac:dyDescent="0.2">
      <c r="B63" s="10"/>
      <c r="C63" s="10">
        <f>Statement!H3</f>
        <v>0</v>
      </c>
      <c r="D63" s="10">
        <f>Statement!I3</f>
        <v>0</v>
      </c>
      <c r="E63" s="10">
        <f>Statement!J3</f>
        <v>0</v>
      </c>
      <c r="F63" s="10">
        <f>Statement!K3</f>
        <v>0</v>
      </c>
      <c r="G63" s="10">
        <f>Statement!L3</f>
        <v>2021</v>
      </c>
      <c r="H63" s="10">
        <f>Statement!M3</f>
        <v>2022</v>
      </c>
      <c r="I63" s="10">
        <f>Statement!N3</f>
        <v>2023</v>
      </c>
      <c r="J63" s="10">
        <f>Statement!O3</f>
        <v>2024</v>
      </c>
      <c r="K63" s="10">
        <f>Statement!P3</f>
        <v>2025</v>
      </c>
      <c r="L63" s="10">
        <f>Statement!Q3</f>
        <v>2026</v>
      </c>
    </row>
    <row r="64" spans="2:12" x14ac:dyDescent="0.2">
      <c r="B64" s="20" t="s">
        <v>19</v>
      </c>
      <c r="C64" s="64">
        <f>Statement!H5</f>
        <v>0</v>
      </c>
      <c r="D64" s="64">
        <f>Statement!I5</f>
        <v>0</v>
      </c>
      <c r="E64" s="64">
        <f>Statement!J5</f>
        <v>0</v>
      </c>
      <c r="F64" s="64">
        <f>Statement!K5</f>
        <v>0</v>
      </c>
      <c r="G64" s="64">
        <f>Statement!L5</f>
        <v>27705</v>
      </c>
      <c r="H64" s="24">
        <f>Statement!M5</f>
        <v>30758</v>
      </c>
      <c r="I64" s="24">
        <f>Statement!N5</f>
        <v>15540</v>
      </c>
      <c r="J64" s="24">
        <f>Statement!O5</f>
        <v>25111</v>
      </c>
      <c r="K64" s="24">
        <f>Statement!P5</f>
        <v>37378</v>
      </c>
      <c r="L64" s="24">
        <f>Statement!Q5</f>
        <v>133188</v>
      </c>
    </row>
    <row r="65" spans="2:12" x14ac:dyDescent="0.2">
      <c r="B65" s="20" t="s">
        <v>25</v>
      </c>
      <c r="C65" s="64">
        <f>Statement!H12</f>
        <v>0</v>
      </c>
      <c r="D65" s="64">
        <f>Statement!I12</f>
        <v>0</v>
      </c>
      <c r="E65" s="64">
        <f>Statement!J12</f>
        <v>0</v>
      </c>
      <c r="F65" s="64">
        <f>Statement!K12</f>
        <v>0</v>
      </c>
      <c r="G65" s="64">
        <f>Statement!L12</f>
        <v>6283</v>
      </c>
      <c r="H65" s="64">
        <f>Statement!M12</f>
        <v>9702</v>
      </c>
      <c r="I65" s="64">
        <f>Statement!N12</f>
        <v>-5745</v>
      </c>
      <c r="J65" s="64">
        <f>Statement!O12</f>
        <v>1304</v>
      </c>
      <c r="K65" s="64">
        <f>Statement!P12</f>
        <v>9770</v>
      </c>
      <c r="L65" s="64">
        <f>Statement!Q12</f>
        <v>99340</v>
      </c>
    </row>
    <row r="66" spans="2:12" x14ac:dyDescent="0.2">
      <c r="B66" s="20" t="s">
        <v>30</v>
      </c>
      <c r="C66" s="64">
        <f>Statement!H18</f>
        <v>0</v>
      </c>
      <c r="D66" s="64">
        <f>Statement!I18</f>
        <v>0</v>
      </c>
      <c r="E66" s="64">
        <f>Statement!J18</f>
        <v>0</v>
      </c>
      <c r="F66" s="64">
        <f>Statement!K18</f>
        <v>0</v>
      </c>
      <c r="G66" s="64">
        <f>Statement!L18</f>
        <v>5861</v>
      </c>
      <c r="H66" s="64">
        <f>Statement!M18</f>
        <v>8687</v>
      </c>
      <c r="I66" s="64">
        <f>Statement!N18</f>
        <v>-5833</v>
      </c>
      <c r="J66" s="64">
        <f>Statement!O18</f>
        <v>778</v>
      </c>
      <c r="K66" s="64">
        <f>Statement!P18</f>
        <v>8539</v>
      </c>
      <c r="L66" s="64">
        <f>Statement!Q18</f>
        <v>84969</v>
      </c>
    </row>
    <row r="67" spans="2:12" x14ac:dyDescent="0.2">
      <c r="B67" s="20" t="s">
        <v>261</v>
      </c>
      <c r="C67" s="64">
        <f>Statement!H157</f>
        <v>0</v>
      </c>
      <c r="D67" s="64">
        <f>Statement!I157</f>
        <v>0</v>
      </c>
      <c r="E67" s="64">
        <f>Statement!J157</f>
        <v>0</v>
      </c>
      <c r="F67" s="64">
        <f>Statement!K157</f>
        <v>0</v>
      </c>
      <c r="G67" s="64">
        <f>Statement!L157</f>
        <v>2060</v>
      </c>
      <c r="H67" s="64">
        <f>Statement!M157</f>
        <v>2600</v>
      </c>
      <c r="I67" s="64">
        <f>Statement!N157</f>
        <v>-6713</v>
      </c>
      <c r="J67" s="64">
        <f>Statement!O157</f>
        <v>-712</v>
      </c>
      <c r="K67" s="64">
        <f>Statement!P157</f>
        <v>696</v>
      </c>
      <c r="L67" s="64">
        <f>Statement!Q157</f>
        <v>57630</v>
      </c>
    </row>
    <row r="68" spans="2:12" x14ac:dyDescent="0.2">
      <c r="B68" s="20" t="s">
        <v>262</v>
      </c>
      <c r="C68" s="64">
        <f>Statement!H158</f>
        <v>0</v>
      </c>
      <c r="D68" s="64">
        <f>Statement!I158</f>
        <v>0</v>
      </c>
      <c r="E68" s="64">
        <f>Statement!J158</f>
        <v>0</v>
      </c>
      <c r="F68" s="64">
        <f>Statement!K158</f>
        <v>0</v>
      </c>
      <c r="G68" s="64">
        <f>Statement!L158</f>
        <v>1698.8813123190739</v>
      </c>
      <c r="H68" s="64">
        <f>Statement!M158</f>
        <v>2605.8457841395884</v>
      </c>
      <c r="I68" s="64">
        <f>Statement!N158</f>
        <v>-8557</v>
      </c>
      <c r="J68" s="64">
        <f>Statement!O158</f>
        <v>-660.27741935483937</v>
      </c>
      <c r="K68" s="64">
        <f>Statement!P158</f>
        <v>789.49430287963332</v>
      </c>
      <c r="L68" s="64">
        <f>Statement!Q158</f>
        <v>57677.020186413312</v>
      </c>
    </row>
    <row r="69" spans="2:12" x14ac:dyDescent="0.2">
      <c r="B69" s="20" t="s">
        <v>77</v>
      </c>
      <c r="C69" s="58">
        <f>Statement!H101</f>
        <v>0</v>
      </c>
      <c r="D69" s="58">
        <f>Statement!I101</f>
        <v>0</v>
      </c>
      <c r="E69" s="58">
        <f>Statement!J101</f>
        <v>0</v>
      </c>
      <c r="F69" s="58">
        <f>Statement!K101</f>
        <v>0</v>
      </c>
      <c r="G69" s="58">
        <f>Statement!L101</f>
        <v>0.37621367984118392</v>
      </c>
      <c r="H69" s="58">
        <f>Statement!M101</f>
        <v>0.45184992522270628</v>
      </c>
      <c r="I69" s="58">
        <f>Statement!N101</f>
        <v>-9.1119691119691121E-2</v>
      </c>
      <c r="J69" s="58">
        <f>Statement!O101</f>
        <v>0.22352753773246783</v>
      </c>
      <c r="K69" s="58">
        <f>Statement!P101</f>
        <v>0.39790786023864305</v>
      </c>
      <c r="L69" s="58">
        <f>Statement!Q101</f>
        <v>0.8071598041865633</v>
      </c>
    </row>
    <row r="70" spans="2:12" x14ac:dyDescent="0.2">
      <c r="B70" s="20" t="s">
        <v>78</v>
      </c>
      <c r="C70" s="58">
        <f>Statement!H102</f>
        <v>0</v>
      </c>
      <c r="D70" s="58">
        <f>Statement!I102</f>
        <v>0</v>
      </c>
      <c r="E70" s="58">
        <f>Statement!J102</f>
        <v>0</v>
      </c>
      <c r="F70" s="58">
        <f>Statement!K102</f>
        <v>0</v>
      </c>
      <c r="G70" s="58">
        <f>Statement!L102</f>
        <v>0.22678216928352282</v>
      </c>
      <c r="H70" s="58">
        <f>Statement!M102</f>
        <v>0.31543013199817932</v>
      </c>
      <c r="I70" s="58">
        <f>Statement!N102</f>
        <v>-0.36969111969111967</v>
      </c>
      <c r="J70" s="58">
        <f>Statement!O102</f>
        <v>5.192943331607662E-2</v>
      </c>
      <c r="K70" s="58">
        <f>Statement!P102</f>
        <v>0.26138370164267749</v>
      </c>
      <c r="L70" s="58">
        <f>Statement!Q102</f>
        <v>0.7458629906598192</v>
      </c>
    </row>
    <row r="71" spans="2:12" x14ac:dyDescent="0.2">
      <c r="B71" s="20" t="s">
        <v>79</v>
      </c>
      <c r="C71" s="58">
        <f>Statement!H103</f>
        <v>0</v>
      </c>
      <c r="D71" s="58">
        <f>Statement!I103</f>
        <v>0</v>
      </c>
      <c r="E71" s="58">
        <f>Statement!J103</f>
        <v>0</v>
      </c>
      <c r="F71" s="58">
        <f>Statement!K103</f>
        <v>0</v>
      </c>
      <c r="G71" s="58">
        <f>Statement!L103</f>
        <v>0.2115502616856163</v>
      </c>
      <c r="H71" s="58">
        <f>Statement!M103</f>
        <v>0.28243058716431496</v>
      </c>
      <c r="I71" s="58">
        <f>Statement!N103</f>
        <v>-0.37535392535392537</v>
      </c>
      <c r="J71" s="58">
        <f>Statement!O103</f>
        <v>3.0982437975389271E-2</v>
      </c>
      <c r="K71" s="58">
        <f>Statement!P103</f>
        <v>0.22844989030980792</v>
      </c>
      <c r="L71" s="58">
        <f>Statement!Q103</f>
        <v>0.63796287953869713</v>
      </c>
    </row>
    <row r="72" spans="2:12" x14ac:dyDescent="0.2">
      <c r="B72" s="20" t="str">
        <f>"Revenue "&amp;Statement!B187</f>
        <v>Revenue DRAM</v>
      </c>
      <c r="C72" s="64">
        <f>Statement!H187</f>
        <v>0</v>
      </c>
      <c r="D72" s="64">
        <f>Statement!I187</f>
        <v>0</v>
      </c>
      <c r="E72" s="64">
        <f>Statement!J187</f>
        <v>0</v>
      </c>
      <c r="F72" s="64">
        <f>Statement!K187</f>
        <v>0</v>
      </c>
      <c r="G72" s="64">
        <f>Statement!L187</f>
        <v>20039</v>
      </c>
      <c r="H72" s="64">
        <f>Statement!M187</f>
        <v>22386</v>
      </c>
      <c r="I72" s="64">
        <f>Statement!N187</f>
        <v>10978</v>
      </c>
      <c r="J72" s="64">
        <f>Statement!O187</f>
        <v>17603</v>
      </c>
      <c r="K72" s="64">
        <f>Statement!P187</f>
        <v>28578</v>
      </c>
      <c r="L72" s="64">
        <f>Statement!Q187</f>
        <v>100679</v>
      </c>
    </row>
    <row r="73" spans="2:12" x14ac:dyDescent="0.2">
      <c r="B73" s="20" t="str">
        <f>"Revenue "&amp;Statement!B188</f>
        <v>Revenue NAND</v>
      </c>
      <c r="C73" s="64">
        <f>Statement!H188</f>
        <v>0</v>
      </c>
      <c r="D73" s="64">
        <f>Statement!I188</f>
        <v>0</v>
      </c>
      <c r="E73" s="64">
        <f>Statement!J188</f>
        <v>0</v>
      </c>
      <c r="F73" s="64">
        <f>Statement!K188</f>
        <v>0</v>
      </c>
      <c r="G73" s="64">
        <f>Statement!L188</f>
        <v>7007</v>
      </c>
      <c r="H73" s="64">
        <f>Statement!M188</f>
        <v>7811</v>
      </c>
      <c r="I73" s="64">
        <f>Statement!N188</f>
        <v>4206</v>
      </c>
      <c r="J73" s="64">
        <f>Statement!O188</f>
        <v>7227</v>
      </c>
      <c r="K73" s="64">
        <f>Statement!P188</f>
        <v>8503</v>
      </c>
      <c r="L73" s="64">
        <f>Statement!Q188</f>
        <v>31785</v>
      </c>
    </row>
    <row r="74" spans="2:12" x14ac:dyDescent="0.2">
      <c r="B74" s="20" t="str">
        <f>"Revenue "&amp;Statement!B189</f>
        <v>Revenue Other</v>
      </c>
      <c r="C74" s="64">
        <f>Statement!H189</f>
        <v>0</v>
      </c>
      <c r="D74" s="64">
        <f>Statement!I189</f>
        <v>0</v>
      </c>
      <c r="E74" s="64">
        <f>Statement!J189</f>
        <v>0</v>
      </c>
      <c r="F74" s="64">
        <f>Statement!K189</f>
        <v>0</v>
      </c>
      <c r="G74" s="64">
        <f>Statement!L189</f>
        <v>659</v>
      </c>
      <c r="H74" s="64">
        <f>Statement!M189</f>
        <v>561</v>
      </c>
      <c r="I74" s="64">
        <f>Statement!N189</f>
        <v>356</v>
      </c>
      <c r="J74" s="64">
        <f>Statement!O189</f>
        <v>281</v>
      </c>
      <c r="K74" s="64">
        <f>Statement!P189</f>
        <v>297</v>
      </c>
      <c r="L74" s="64">
        <f>Statement!Q189</f>
        <v>724</v>
      </c>
    </row>
    <row r="75" spans="2:12" x14ac:dyDescent="0.2">
      <c r="B75" s="20" t="str">
        <f>"Revenue "&amp;Statement!B191</f>
        <v>Revenue Cloud Memory</v>
      </c>
      <c r="C75" s="64">
        <f>Statement!H191</f>
        <v>0</v>
      </c>
      <c r="D75" s="64">
        <f>Statement!I191</f>
        <v>0</v>
      </c>
      <c r="E75" s="64">
        <f>Statement!J191</f>
        <v>0</v>
      </c>
      <c r="F75" s="64">
        <f>Statement!K191</f>
        <v>0</v>
      </c>
      <c r="G75" s="64">
        <f>Statement!L191</f>
        <v>0</v>
      </c>
      <c r="H75" s="64">
        <f>Statement!M191</f>
        <v>0</v>
      </c>
      <c r="I75" s="64">
        <f>Statement!N191</f>
        <v>1872</v>
      </c>
      <c r="J75" s="64">
        <f>Statement!O191</f>
        <v>3792</v>
      </c>
      <c r="K75" s="64">
        <f>Statement!P191</f>
        <v>13524</v>
      </c>
      <c r="L75" s="64">
        <f>Statement!Q191</f>
        <v>43085</v>
      </c>
    </row>
    <row r="76" spans="2:12" x14ac:dyDescent="0.2">
      <c r="B76" s="20" t="str">
        <f>"Revenue "&amp;Statement!B192</f>
        <v>Revenue Core Data Center</v>
      </c>
      <c r="C76" s="64">
        <f>Statement!H192</f>
        <v>0</v>
      </c>
      <c r="D76" s="64">
        <f>Statement!I192</f>
        <v>0</v>
      </c>
      <c r="E76" s="64">
        <f>Statement!J192</f>
        <v>0</v>
      </c>
      <c r="F76" s="64">
        <f>Statement!K192</f>
        <v>0</v>
      </c>
      <c r="G76" s="64">
        <f>Statement!L192</f>
        <v>0</v>
      </c>
      <c r="H76" s="64">
        <f>Statement!M192</f>
        <v>0</v>
      </c>
      <c r="I76" s="64">
        <f>Statement!N192</f>
        <v>2124</v>
      </c>
      <c r="J76" s="64">
        <f>Statement!O192</f>
        <v>4984</v>
      </c>
      <c r="K76" s="64">
        <f>Statement!P192</f>
        <v>7229</v>
      </c>
      <c r="L76" s="64">
        <f>Statement!Q192</f>
        <v>37592</v>
      </c>
    </row>
    <row r="77" spans="2:12" x14ac:dyDescent="0.2">
      <c r="B77" s="20" t="str">
        <f>"Revenue "&amp;Statement!B193</f>
        <v>Revenue Mobile and Client</v>
      </c>
      <c r="C77" s="64">
        <f>Statement!H193</f>
        <v>0</v>
      </c>
      <c r="D77" s="64">
        <f>Statement!I193</f>
        <v>0</v>
      </c>
      <c r="E77" s="64">
        <f>Statement!J193</f>
        <v>0</v>
      </c>
      <c r="F77" s="64">
        <f>Statement!K193</f>
        <v>0</v>
      </c>
      <c r="G77" s="64">
        <f>Statement!L193</f>
        <v>0</v>
      </c>
      <c r="H77" s="64">
        <f>Statement!M193</f>
        <v>0</v>
      </c>
      <c r="I77" s="64">
        <f>Statement!N193</f>
        <v>7394</v>
      </c>
      <c r="J77" s="64">
        <f>Statement!O193</f>
        <v>11667</v>
      </c>
      <c r="K77" s="64">
        <f>Statement!P193</f>
        <v>11859</v>
      </c>
      <c r="L77" s="64">
        <f>Statement!Q193</f>
        <v>36601</v>
      </c>
    </row>
    <row r="78" spans="2:12" x14ac:dyDescent="0.2">
      <c r="B78" s="20" t="str">
        <f>"Revenue "&amp;Statement!B194</f>
        <v>Revenue Automotive and Embedded</v>
      </c>
      <c r="C78" s="64">
        <f>Statement!H194</f>
        <v>0</v>
      </c>
      <c r="D78" s="64">
        <f>Statement!I194</f>
        <v>0</v>
      </c>
      <c r="E78" s="64">
        <f>Statement!J194</f>
        <v>0</v>
      </c>
      <c r="F78" s="64">
        <f>Statement!K194</f>
        <v>0</v>
      </c>
      <c r="G78" s="64">
        <f>Statement!L194</f>
        <v>0</v>
      </c>
      <c r="H78" s="64">
        <f>Statement!M194</f>
        <v>0</v>
      </c>
      <c r="I78" s="64">
        <f>Statement!N194</f>
        <v>4139</v>
      </c>
      <c r="J78" s="64">
        <f>Statement!O194</f>
        <v>4631</v>
      </c>
      <c r="K78" s="64">
        <f>Statement!P194</f>
        <v>4753</v>
      </c>
      <c r="L78" s="64">
        <f>Statement!Q194</f>
        <v>15886</v>
      </c>
    </row>
    <row r="79" spans="2:12" x14ac:dyDescent="0.2">
      <c r="B79" s="20" t="s">
        <v>102</v>
      </c>
      <c r="C79" s="218">
        <f>Statement!H123</f>
        <v>0</v>
      </c>
      <c r="D79" s="218">
        <f>Statement!I123</f>
        <v>0</v>
      </c>
      <c r="E79" s="218">
        <f>Statement!J123</f>
        <v>0</v>
      </c>
      <c r="F79" s="218">
        <f>Statement!K123</f>
        <v>0</v>
      </c>
      <c r="G79" s="218">
        <f>Statement!L123</f>
        <v>9.9593875851756192E-2</v>
      </c>
      <c r="H79" s="218">
        <f>Statement!M123</f>
        <v>0.1310592459605027</v>
      </c>
      <c r="I79" s="218">
        <f>Statement!N123</f>
        <v>-9.0780340523547179E-2</v>
      </c>
      <c r="J79" s="218">
        <f>Statement!O123</f>
        <v>1.1207790711075256E-2</v>
      </c>
      <c r="K79" s="218">
        <f>Statement!P123</f>
        <v>0.1031305103988019</v>
      </c>
      <c r="L79" s="218">
        <f>Statement!Q123</f>
        <v>0.43376317079147264</v>
      </c>
    </row>
    <row r="80" spans="2:12" x14ac:dyDescent="0.2">
      <c r="B80" s="20" t="s">
        <v>104</v>
      </c>
      <c r="C80" s="218">
        <f>Statement!H125</f>
        <v>0</v>
      </c>
      <c r="D80" s="218">
        <f>Statement!I125</f>
        <v>0</v>
      </c>
      <c r="E80" s="218">
        <f>Statement!J125</f>
        <v>0</v>
      </c>
      <c r="F80" s="218">
        <f>Statement!K125</f>
        <v>0</v>
      </c>
      <c r="G80" s="218">
        <f>Statement!L125</f>
        <v>0.13340768898094826</v>
      </c>
      <c r="H80" s="218">
        <f>Statement!M125</f>
        <v>0.17406375859097922</v>
      </c>
      <c r="I80" s="218">
        <f>Statement!N125</f>
        <v>-0.13220761559383501</v>
      </c>
      <c r="J80" s="218">
        <f>Statement!O125</f>
        <v>1.7238705102922601E-2</v>
      </c>
      <c r="K80" s="218">
        <f>Statement!P125</f>
        <v>0.15764792762854241</v>
      </c>
      <c r="L80" s="218">
        <f>Statement!Q125</f>
        <v>0.61403546806573295</v>
      </c>
    </row>
    <row r="81" spans="2:12" x14ac:dyDescent="0.2">
      <c r="B81" s="20" t="s">
        <v>105</v>
      </c>
      <c r="C81" s="218">
        <f>Statement!H140</f>
        <v>0</v>
      </c>
      <c r="D81" s="218">
        <f>Statement!I140</f>
        <v>0</v>
      </c>
      <c r="E81" s="218">
        <f>Statement!J140</f>
        <v>0</v>
      </c>
      <c r="F81" s="218">
        <f>Statement!K140</f>
        <v>0</v>
      </c>
      <c r="G81" s="218">
        <f>Statement!L140</f>
        <v>0.14598698400731994</v>
      </c>
      <c r="H81" s="218">
        <f>Statement!M140</f>
        <v>0.19203328862527738</v>
      </c>
      <c r="I81" s="218">
        <f>Statement!N140</f>
        <v>-0.12220284182761848</v>
      </c>
      <c r="J81" s="218">
        <f>Statement!O140</f>
        <v>1.6804167624861494E-2</v>
      </c>
      <c r="K81" s="218">
        <f>Statement!P140</f>
        <v>0.15196448091538983</v>
      </c>
      <c r="L81" s="218">
        <f>Statement!Q140</f>
        <v>1.2071781950589597</v>
      </c>
    </row>
    <row r="82" spans="2:12" x14ac:dyDescent="0.2">
      <c r="B82" s="20" t="s">
        <v>349</v>
      </c>
      <c r="C82" s="227">
        <f>Statement!H218</f>
        <v>0</v>
      </c>
      <c r="D82" s="227">
        <f>Statement!I218</f>
        <v>0</v>
      </c>
      <c r="E82" s="227">
        <f>Statement!J218</f>
        <v>0</v>
      </c>
      <c r="F82" s="227">
        <f>Statement!K218</f>
        <v>0</v>
      </c>
      <c r="G82" s="227">
        <f>Statement!L218</f>
        <v>100</v>
      </c>
      <c r="H82" s="227">
        <f>Statement!M218</f>
        <v>100</v>
      </c>
      <c r="I82" s="227">
        <f>Statement!N218</f>
        <v>118.80998080614202</v>
      </c>
      <c r="J82" s="227">
        <f>Statement!O218</f>
        <v>166.75972779619613</v>
      </c>
      <c r="K82" s="227">
        <f>Statement!P218</f>
        <v>212.87733379863897</v>
      </c>
      <c r="L82" s="227">
        <f>Statement!Q218</f>
        <v>1671.8897225615074</v>
      </c>
    </row>
    <row r="83" spans="2:12" x14ac:dyDescent="0.2">
      <c r="B83" s="20" t="s">
        <v>350</v>
      </c>
      <c r="C83" s="227">
        <f>Statement!H219</f>
        <v>0</v>
      </c>
      <c r="D83" s="227">
        <f>Statement!I219</f>
        <v>0</v>
      </c>
      <c r="E83" s="227">
        <f>Statement!J219</f>
        <v>0</v>
      </c>
      <c r="F83" s="227">
        <f>Statement!K219</f>
        <v>0</v>
      </c>
      <c r="G83" s="227">
        <f>Statement!L219</f>
        <v>100</v>
      </c>
      <c r="H83" s="227">
        <f>Statement!M219</f>
        <v>100</v>
      </c>
      <c r="I83" s="227">
        <f>Statement!N219</f>
        <v>50.52344105598543</v>
      </c>
      <c r="J83" s="227">
        <f>Statement!O219</f>
        <v>81.640548800312104</v>
      </c>
      <c r="K83" s="227">
        <f>Statement!P219</f>
        <v>121.52285584238247</v>
      </c>
      <c r="L83" s="227">
        <f>Statement!Q219</f>
        <v>433.01905195396319</v>
      </c>
    </row>
    <row r="84" spans="2:12" x14ac:dyDescent="0.2">
      <c r="B84" s="20" t="s">
        <v>351</v>
      </c>
      <c r="C84" s="227">
        <f>Statement!H220</f>
        <v>0</v>
      </c>
      <c r="D84" s="227">
        <f>Statement!I220</f>
        <v>0</v>
      </c>
      <c r="E84" s="227">
        <f>Statement!J220</f>
        <v>0</v>
      </c>
      <c r="F84" s="227">
        <f>Statement!K220</f>
        <v>0</v>
      </c>
      <c r="G84" s="227">
        <f>Statement!L220</f>
        <v>100</v>
      </c>
      <c r="H84" s="227">
        <f>Statement!M220</f>
        <v>100</v>
      </c>
      <c r="I84" s="227">
        <f>Statement!N220</f>
        <v>-68.903225806451601</v>
      </c>
      <c r="J84" s="227">
        <f>Statement!O220</f>
        <v>9.0322580645161299</v>
      </c>
      <c r="K84" s="227">
        <f>Statement!P220</f>
        <v>97.935483870967744</v>
      </c>
      <c r="L84" s="227">
        <f>Statement!Q220</f>
        <v>959.0967741935483</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C9119-3B3B-094C-BA34-9489CF595CBC}">
  <dimension ref="B55:J70"/>
  <sheetViews>
    <sheetView topLeftCell="A29" zoomScale="161" workbookViewId="0">
      <selection activeCell="G38" sqref="G38"/>
    </sheetView>
  </sheetViews>
  <sheetFormatPr baseColWidth="10" defaultRowHeight="16" x14ac:dyDescent="0.2"/>
  <cols>
    <col min="1" max="1" width="2.6640625" style="1" customWidth="1"/>
    <col min="2" max="2" width="20" style="1" customWidth="1"/>
    <col min="3" max="16384" width="10.83203125" style="1"/>
  </cols>
  <sheetData>
    <row r="55" spans="2:10" x14ac:dyDescent="0.2">
      <c r="B55" s="10"/>
      <c r="C55" s="10" t="str">
        <f>Statement!T2</f>
        <v>28.11.2024</v>
      </c>
      <c r="D55" s="10" t="str">
        <f>Statement!U2</f>
        <v>27.02.2025</v>
      </c>
      <c r="E55" s="10" t="str">
        <f>Statement!V2</f>
        <v>29.05.2025</v>
      </c>
      <c r="F55" s="10" t="str">
        <f>Statement!W2</f>
        <v>28.08.2025</v>
      </c>
      <c r="G55" s="10" t="str">
        <f>Statement!X2</f>
        <v>27.11.2025</v>
      </c>
      <c r="H55" s="10" t="str">
        <f>Statement!Y2</f>
        <v>26.02.2026</v>
      </c>
      <c r="I55" s="10" t="str">
        <f>Statement!Z2</f>
        <v>28.05.2026</v>
      </c>
      <c r="J55" s="10" t="str">
        <f>Statement!AA2</f>
        <v>03.09.2026</v>
      </c>
    </row>
    <row r="56" spans="2:10" x14ac:dyDescent="0.2">
      <c r="B56" s="10"/>
      <c r="C56" s="10" t="str">
        <f>Statement!T3</f>
        <v>Q1 2025</v>
      </c>
      <c r="D56" s="10" t="str">
        <f>Statement!U3</f>
        <v>Q2 2025</v>
      </c>
      <c r="E56" s="10" t="str">
        <f>Statement!V3</f>
        <v>Q3 2025</v>
      </c>
      <c r="F56" s="10" t="str">
        <f>Statement!W3</f>
        <v>Q4 2025</v>
      </c>
      <c r="G56" s="10" t="str">
        <f>Statement!X3</f>
        <v>Q1 2026</v>
      </c>
      <c r="H56" s="10" t="str">
        <f>Statement!Y3</f>
        <v>Q2 2026</v>
      </c>
      <c r="I56" s="10" t="str">
        <f>Statement!Z3</f>
        <v>Q3 2026</v>
      </c>
      <c r="J56" s="10" t="str">
        <f>Statement!AA3</f>
        <v>Q4 2026</v>
      </c>
    </row>
    <row r="57" spans="2:10" x14ac:dyDescent="0.2">
      <c r="B57" s="20" t="s">
        <v>19</v>
      </c>
      <c r="C57" s="64">
        <f>Statement!T5</f>
        <v>8709</v>
      </c>
      <c r="D57" s="64">
        <f>Statement!U5</f>
        <v>8053</v>
      </c>
      <c r="E57" s="64">
        <f>Statement!V5</f>
        <v>9301</v>
      </c>
      <c r="F57" s="64">
        <f>Statement!W5</f>
        <v>11315</v>
      </c>
      <c r="G57" s="64">
        <f>Statement!X5</f>
        <v>13643</v>
      </c>
      <c r="H57" s="64">
        <f>Statement!Y5</f>
        <v>23860</v>
      </c>
      <c r="I57" s="64">
        <f>Statement!Z5</f>
        <v>41456</v>
      </c>
      <c r="J57" s="64">
        <f>Statement!AA5</f>
        <v>54229</v>
      </c>
    </row>
    <row r="58" spans="2:10" x14ac:dyDescent="0.2">
      <c r="B58" s="20" t="s">
        <v>25</v>
      </c>
      <c r="C58" s="64">
        <f>Statement!T12</f>
        <v>2174</v>
      </c>
      <c r="D58" s="64">
        <f>Statement!U12</f>
        <v>1773</v>
      </c>
      <c r="E58" s="64">
        <f>Statement!V12</f>
        <v>2169</v>
      </c>
      <c r="F58" s="64">
        <f>Statement!W12</f>
        <v>3654</v>
      </c>
      <c r="G58" s="64">
        <f>Statement!X12</f>
        <v>6136</v>
      </c>
      <c r="H58" s="64">
        <f>Statement!Y12</f>
        <v>16135</v>
      </c>
      <c r="I58" s="64">
        <f>Statement!Z12</f>
        <v>33318</v>
      </c>
      <c r="J58" s="64">
        <f>Statement!AA12</f>
        <v>43751</v>
      </c>
    </row>
    <row r="59" spans="2:10" x14ac:dyDescent="0.2">
      <c r="B59" s="20" t="s">
        <v>30</v>
      </c>
      <c r="C59" s="64">
        <f>Statement!T18</f>
        <v>1870</v>
      </c>
      <c r="D59" s="64">
        <f>Statement!U18</f>
        <v>1583</v>
      </c>
      <c r="E59" s="64">
        <f>Statement!V18</f>
        <v>1885</v>
      </c>
      <c r="F59" s="64">
        <f>Statement!W18</f>
        <v>3201</v>
      </c>
      <c r="G59" s="64">
        <f>Statement!X18</f>
        <v>5240</v>
      </c>
      <c r="H59" s="64">
        <f>Statement!Y18</f>
        <v>13785</v>
      </c>
      <c r="I59" s="64">
        <f>Statement!Z18</f>
        <v>28243</v>
      </c>
      <c r="J59" s="64">
        <f>Statement!AA18</f>
        <v>37701</v>
      </c>
    </row>
    <row r="60" spans="2:10" x14ac:dyDescent="0.2">
      <c r="B60" s="20" t="s">
        <v>77</v>
      </c>
      <c r="C60" s="58">
        <f>Statement!T101</f>
        <v>0.38442990010334138</v>
      </c>
      <c r="D60" s="58">
        <f>Statement!U101</f>
        <v>0.36793741462808893</v>
      </c>
      <c r="E60" s="58">
        <f>Statement!V101</f>
        <v>0.37716374583378132</v>
      </c>
      <c r="F60" s="58">
        <f>Statement!W101</f>
        <v>0.44666372072470173</v>
      </c>
      <c r="G60" s="58">
        <f>Statement!X101</f>
        <v>0.56043392215788312</v>
      </c>
      <c r="H60" s="58">
        <f>Statement!Y101</f>
        <v>0.74413243922883487</v>
      </c>
      <c r="I60" s="58">
        <f>Statement!Z101</f>
        <v>0.84561945194905441</v>
      </c>
      <c r="J60" s="58">
        <f>Statement!AA101</f>
        <v>0.86756163676261777</v>
      </c>
    </row>
    <row r="61" spans="2:10" x14ac:dyDescent="0.2">
      <c r="B61" s="20" t="s">
        <v>78</v>
      </c>
      <c r="C61" s="58">
        <f>Statement!T102</f>
        <v>0.24962682282696061</v>
      </c>
      <c r="D61" s="58">
        <f>Statement!U102</f>
        <v>0.22016639761579535</v>
      </c>
      <c r="E61" s="58">
        <f>Statement!V102</f>
        <v>0.23320073110418235</v>
      </c>
      <c r="F61" s="58">
        <f>Statement!W102</f>
        <v>0.32293415819708354</v>
      </c>
      <c r="G61" s="58">
        <f>Statement!X102</f>
        <v>0.44975445283295462</v>
      </c>
      <c r="H61" s="58">
        <f>Statement!Y102</f>
        <v>0.67623637887678123</v>
      </c>
      <c r="I61" s="58">
        <f>Statement!Z102</f>
        <v>0.80369548436896954</v>
      </c>
      <c r="J61" s="58">
        <f>Statement!AA102</f>
        <v>0.80678234892769551</v>
      </c>
    </row>
    <row r="62" spans="2:10" x14ac:dyDescent="0.2">
      <c r="B62" s="20" t="s">
        <v>79</v>
      </c>
      <c r="C62" s="58">
        <f>Statement!T103</f>
        <v>0.21472040417958435</v>
      </c>
      <c r="D62" s="58">
        <f>Statement!U103</f>
        <v>0.19657270582391656</v>
      </c>
      <c r="E62" s="58">
        <f>Statement!V103</f>
        <v>0.20266637995914419</v>
      </c>
      <c r="F62" s="58">
        <f>Statement!W103</f>
        <v>0.28289880689350422</v>
      </c>
      <c r="G62" s="58">
        <f>Statement!X103</f>
        <v>0.38407974785604337</v>
      </c>
      <c r="H62" s="58">
        <f>Statement!Y103</f>
        <v>0.57774518021793797</v>
      </c>
      <c r="I62" s="58">
        <f>Statement!Z103</f>
        <v>0.68127653415669631</v>
      </c>
      <c r="J62" s="58">
        <f>Statement!AA103</f>
        <v>0.69521842556565672</v>
      </c>
    </row>
    <row r="63" spans="2:10" x14ac:dyDescent="0.2">
      <c r="B63" s="20" t="str">
        <f>"Revenue "&amp;Statement!B187</f>
        <v>Revenue DRAM</v>
      </c>
      <c r="C63" s="64">
        <f>Statement!T187</f>
        <v>6400</v>
      </c>
      <c r="D63" s="64">
        <f>Statement!U187</f>
        <v>6123</v>
      </c>
      <c r="E63" s="64">
        <f>Statement!V187</f>
        <v>7071</v>
      </c>
      <c r="F63" s="64">
        <f>Statement!W187</f>
        <v>22178</v>
      </c>
      <c r="G63" s="64">
        <f>Statement!X187</f>
        <v>10812</v>
      </c>
      <c r="H63" s="64">
        <f>Statement!Y187</f>
        <v>18768</v>
      </c>
      <c r="I63" s="64">
        <f>Statement!Z187</f>
        <v>31328</v>
      </c>
      <c r="J63" s="64">
        <f>Statement!AA187</f>
        <v>39771</v>
      </c>
    </row>
    <row r="64" spans="2:10" x14ac:dyDescent="0.2">
      <c r="B64" s="20" t="str">
        <f>"Revenue "&amp;Statement!B188</f>
        <v>Revenue NAND</v>
      </c>
      <c r="C64" s="64">
        <f>Statement!T188</f>
        <v>2241</v>
      </c>
      <c r="D64" s="64">
        <f>Statement!U188</f>
        <v>1855</v>
      </c>
      <c r="E64" s="64">
        <f>Statement!V188</f>
        <v>2155</v>
      </c>
      <c r="F64" s="64">
        <f>Statement!W188</f>
        <v>6262</v>
      </c>
      <c r="G64" s="64">
        <f>Statement!X188</f>
        <v>2743</v>
      </c>
      <c r="H64" s="64">
        <f>Statement!Y188</f>
        <v>4997</v>
      </c>
      <c r="I64" s="64">
        <f>Statement!Z188</f>
        <v>9943</v>
      </c>
      <c r="J64" s="64">
        <f>Statement!AA188</f>
        <v>14102</v>
      </c>
    </row>
    <row r="65" spans="2:10" x14ac:dyDescent="0.2">
      <c r="B65" s="20" t="str">
        <f>"Revenue "&amp;Statement!B189</f>
        <v>Revenue Other</v>
      </c>
      <c r="C65" s="64">
        <f>Statement!T189</f>
        <v>68</v>
      </c>
      <c r="D65" s="64">
        <f>Statement!U189</f>
        <v>75</v>
      </c>
      <c r="E65" s="64">
        <f>Statement!V189</f>
        <v>75</v>
      </c>
      <c r="F65" s="64">
        <f>Statement!W189</f>
        <v>229</v>
      </c>
      <c r="G65" s="64">
        <f>Statement!X189</f>
        <v>88</v>
      </c>
      <c r="H65" s="64">
        <f>Statement!Y189</f>
        <v>95</v>
      </c>
      <c r="I65" s="64">
        <f>Statement!Z189</f>
        <v>185</v>
      </c>
      <c r="J65" s="64">
        <f>Statement!AA189</f>
        <v>356</v>
      </c>
    </row>
    <row r="66" spans="2:10" x14ac:dyDescent="0.2">
      <c r="B66" s="20" t="str">
        <f>"Revenue "&amp;Statement!B191</f>
        <v>Revenue Cloud Memory</v>
      </c>
      <c r="C66" s="64">
        <f>Statement!T191</f>
        <v>2658</v>
      </c>
      <c r="D66" s="64">
        <f>Statement!U191</f>
        <v>2947</v>
      </c>
      <c r="E66" s="64">
        <f>Statement!V191</f>
        <v>3386</v>
      </c>
      <c r="F66" s="64">
        <f>Statement!W191</f>
        <v>4543</v>
      </c>
      <c r="G66" s="64">
        <f>Statement!X191</f>
        <v>5284</v>
      </c>
      <c r="H66" s="64">
        <f>Statement!Y191</f>
        <v>7749</v>
      </c>
      <c r="I66" s="64">
        <f>Statement!Z191</f>
        <v>13769</v>
      </c>
      <c r="J66" s="64">
        <f>Statement!AA191</f>
        <v>16283</v>
      </c>
    </row>
    <row r="67" spans="2:10" x14ac:dyDescent="0.2">
      <c r="B67" s="20" t="str">
        <f>"Revenue "&amp;Statement!B192</f>
        <v>Revenue Core Data Center</v>
      </c>
      <c r="C67" s="64">
        <f>Statement!T192</f>
        <v>2292</v>
      </c>
      <c r="D67" s="64">
        <f>Statement!U192</f>
        <v>1830</v>
      </c>
      <c r="E67" s="64">
        <f>Statement!V192</f>
        <v>1530</v>
      </c>
      <c r="F67" s="64">
        <f>Statement!W192</f>
        <v>1577</v>
      </c>
      <c r="G67" s="64">
        <f>Statement!X192</f>
        <v>2379</v>
      </c>
      <c r="H67" s="64">
        <f>Statement!Y192</f>
        <v>5687</v>
      </c>
      <c r="I67" s="64">
        <f>Statement!Z192</f>
        <v>11524</v>
      </c>
      <c r="J67" s="64">
        <f>Statement!AA192</f>
        <v>18002</v>
      </c>
    </row>
    <row r="68" spans="2:10" x14ac:dyDescent="0.2">
      <c r="B68" s="20" t="str">
        <f>"Revenue "&amp;Statement!B193</f>
        <v>Revenue Mobile and Client</v>
      </c>
      <c r="C68" s="64">
        <f>Statement!T193</f>
        <v>2608</v>
      </c>
      <c r="D68" s="64">
        <f>Statement!U193</f>
        <v>2236</v>
      </c>
      <c r="E68" s="64">
        <f>Statement!V193</f>
        <v>3255</v>
      </c>
      <c r="F68" s="64">
        <f>Statement!W193</f>
        <v>3760</v>
      </c>
      <c r="G68" s="64">
        <f>Statement!X193</f>
        <v>4255</v>
      </c>
      <c r="H68" s="64">
        <f>Statement!Y193</f>
        <v>7711</v>
      </c>
      <c r="I68" s="64">
        <f>Statement!Z193</f>
        <v>11521</v>
      </c>
      <c r="J68" s="64">
        <f>Statement!AA193</f>
        <v>13114</v>
      </c>
    </row>
    <row r="69" spans="2:10" x14ac:dyDescent="0.2">
      <c r="B69" s="20" t="str">
        <f>"Revenue "&amp;Statement!B194</f>
        <v>Revenue Automotive and Embedded</v>
      </c>
      <c r="C69" s="64">
        <f>Statement!T194</f>
        <v>1158</v>
      </c>
      <c r="D69" s="64">
        <f>Statement!U194</f>
        <v>1034</v>
      </c>
      <c r="E69" s="64">
        <f>Statement!V194</f>
        <v>1127</v>
      </c>
      <c r="F69" s="64">
        <f>Statement!W194</f>
        <v>1434</v>
      </c>
      <c r="G69" s="64">
        <f>Statement!X194</f>
        <v>1720</v>
      </c>
      <c r="H69" s="64">
        <f>Statement!Y194</f>
        <v>2708</v>
      </c>
      <c r="I69" s="64">
        <f>Statement!Z194</f>
        <v>4634</v>
      </c>
      <c r="J69" s="64">
        <f>Statement!AA194</f>
        <v>6824</v>
      </c>
    </row>
    <row r="70" spans="2:10" x14ac:dyDescent="0.2">
      <c r="B70" s="20" t="s">
        <v>261</v>
      </c>
      <c r="C70" s="64">
        <f>Statement!T157</f>
        <v>-182</v>
      </c>
      <c r="D70" s="64">
        <f>Statement!U157</f>
        <v>-362</v>
      </c>
      <c r="E70" s="64">
        <f>Statement!V157</f>
        <v>1418</v>
      </c>
      <c r="F70" s="64">
        <f>Statement!W157</f>
        <v>-178</v>
      </c>
      <c r="G70" s="64">
        <f>Statement!X157</f>
        <v>2732</v>
      </c>
      <c r="H70" s="64">
        <f>Statement!Y157</f>
        <v>5207</v>
      </c>
      <c r="I70" s="64">
        <f>Statement!Z157</f>
        <v>17207</v>
      </c>
      <c r="J70" s="64">
        <f>Statement!AA157</f>
        <v>32484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4B610-4F16-C34E-B8D9-992F7812B5AD}">
  <sheetPr>
    <tabColor theme="6" tint="0.59999389629810485"/>
  </sheetPr>
  <dimension ref="B5:H13"/>
  <sheetViews>
    <sheetView workbookViewId="0">
      <selection activeCell="B13" sqref="B13"/>
    </sheetView>
  </sheetViews>
  <sheetFormatPr baseColWidth="10" defaultRowHeight="16" x14ac:dyDescent="0.2"/>
  <cols>
    <col min="1" max="7" width="10.83203125" style="1"/>
    <col min="8" max="8" width="17.5" style="1" customWidth="1"/>
    <col min="9" max="16384" width="10.83203125" style="1"/>
  </cols>
  <sheetData>
    <row r="5" spans="2:8" x14ac:dyDescent="0.2">
      <c r="H5" s="136" t="s">
        <v>441</v>
      </c>
    </row>
    <row r="6" spans="2:8" x14ac:dyDescent="0.2">
      <c r="H6" s="241" t="s">
        <v>446</v>
      </c>
    </row>
    <row r="7" spans="2:8" x14ac:dyDescent="0.2">
      <c r="H7" s="241" t="s">
        <v>442</v>
      </c>
    </row>
    <row r="8" spans="2:8" x14ac:dyDescent="0.2">
      <c r="H8" s="241" t="s">
        <v>443</v>
      </c>
    </row>
    <row r="9" spans="2:8" x14ac:dyDescent="0.2">
      <c r="H9" s="241" t="s">
        <v>444</v>
      </c>
    </row>
    <row r="10" spans="2:8" x14ac:dyDescent="0.2">
      <c r="H10" s="242" t="s">
        <v>445</v>
      </c>
    </row>
    <row r="13" spans="2:8" s="4" customFormat="1" ht="49" x14ac:dyDescent="0.2">
      <c r="B13" s="3" t="s">
        <v>111</v>
      </c>
    </row>
  </sheetData>
  <hyperlinks>
    <hyperlink ref="H6" location="Overview!B3" display="Overview'!B3" xr:uid="{7873638F-C7CC-CC44-83D9-20F3C6CE307B}"/>
    <hyperlink ref="H8" location="'Analysis -&gt;'!B13" display="'Analysis -&gt;'!B13" xr:uid="{E45A0110-B3F9-104A-B761-6A88FFB7BD32}"/>
    <hyperlink ref="H9" location="'Forecast -&gt;'!B13" display="'Forecast -&gt;'!B13" xr:uid="{6CB7E4FF-E3B0-8646-8263-E1791C14848A}"/>
    <hyperlink ref="H10" location="'Valuation -&gt;'!B13" display="'Valuation -&gt;'!B13" xr:uid="{0BC2D033-0850-7447-A695-2D6A3F1C3B97}"/>
    <hyperlink ref="H7" location="'Financials -&gt;'!B13" display="'Financials -&gt;'!B13" xr:uid="{FA605B8D-7A34-7A4D-B373-0B8C7BA5655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282D1-ADA2-D843-8696-3FC058E17FA6}">
  <dimension ref="A1:AE20"/>
  <sheetViews>
    <sheetView topLeftCell="A4" zoomScale="184" zoomScaleNormal="75" workbookViewId="0">
      <selection activeCell="AA15" sqref="AA15"/>
    </sheetView>
  </sheetViews>
  <sheetFormatPr baseColWidth="10" defaultRowHeight="16" x14ac:dyDescent="0.2"/>
  <cols>
    <col min="1" max="1" width="2" style="83" customWidth="1"/>
    <col min="2" max="2" width="29"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7.6640625" style="1" customWidth="1"/>
    <col min="19" max="29" width="10.83203125" style="1"/>
    <col min="30" max="30" width="2" style="1" customWidth="1"/>
    <col min="31" max="31" width="12.33203125" style="1" customWidth="1"/>
    <col min="32" max="16384" width="10.83203125" style="1"/>
  </cols>
  <sheetData>
    <row r="1" spans="1:31" s="83" customFormat="1" ht="18" customHeight="1" x14ac:dyDescent="0.2">
      <c r="A1" s="4"/>
      <c r="B1" s="82" t="s">
        <v>112</v>
      </c>
      <c r="O1" s="84"/>
    </row>
    <row r="2" spans="1:31" x14ac:dyDescent="0.2">
      <c r="A2" s="4"/>
      <c r="C2" s="249" t="s">
        <v>113</v>
      </c>
      <c r="D2" s="249"/>
      <c r="E2" s="249"/>
      <c r="F2" s="249"/>
      <c r="G2" s="258"/>
      <c r="H2" s="259" t="s">
        <v>114</v>
      </c>
      <c r="I2" s="249"/>
      <c r="J2" s="249"/>
      <c r="K2" s="249"/>
      <c r="L2" s="249"/>
      <c r="O2" s="5"/>
      <c r="S2" s="249" t="s">
        <v>113</v>
      </c>
      <c r="T2" s="249"/>
      <c r="U2" s="249"/>
      <c r="V2" s="249"/>
      <c r="W2" s="249"/>
      <c r="X2" s="249"/>
      <c r="Y2" s="249"/>
      <c r="Z2" s="249"/>
      <c r="AA2" s="249" t="s">
        <v>114</v>
      </c>
      <c r="AB2" s="249"/>
      <c r="AC2" s="249"/>
      <c r="AE2" s="85" t="s">
        <v>115</v>
      </c>
    </row>
    <row r="3" spans="1:31" ht="10" customHeight="1" x14ac:dyDescent="0.2">
      <c r="O3" s="5"/>
    </row>
    <row r="4" spans="1:31" ht="16" customHeight="1" x14ac:dyDescent="0.2">
      <c r="A4" s="86"/>
      <c r="B4" s="60"/>
      <c r="C4" s="255" t="s">
        <v>116</v>
      </c>
      <c r="D4" s="255"/>
      <c r="E4" s="255"/>
      <c r="F4" s="255"/>
      <c r="G4" s="255"/>
      <c r="H4" s="255"/>
      <c r="I4" s="255"/>
      <c r="J4" s="255"/>
      <c r="K4" s="255"/>
      <c r="L4" s="255"/>
      <c r="O4" s="5"/>
      <c r="S4" s="256" t="s">
        <v>116</v>
      </c>
      <c r="T4" s="257"/>
      <c r="U4" s="257"/>
      <c r="V4" s="257"/>
      <c r="W4" s="257"/>
      <c r="X4" s="257"/>
      <c r="Y4" s="257"/>
      <c r="Z4" s="257"/>
      <c r="AA4" s="257"/>
      <c r="AB4" s="257"/>
      <c r="AC4" s="257"/>
      <c r="AE4" s="87"/>
    </row>
    <row r="5" spans="1:31" x14ac:dyDescent="0.2">
      <c r="B5" s="16" t="s">
        <v>117</v>
      </c>
      <c r="C5" s="12">
        <f>Statement!M3</f>
        <v>2022</v>
      </c>
      <c r="D5" s="12">
        <f>Statement!N3</f>
        <v>2023</v>
      </c>
      <c r="E5" s="12">
        <f>Statement!O3</f>
        <v>2024</v>
      </c>
      <c r="F5" s="12">
        <f>Statement!P3</f>
        <v>2025</v>
      </c>
      <c r="G5" s="12">
        <f>Statement!Q3</f>
        <v>2026</v>
      </c>
      <c r="H5" s="12">
        <f>G5+1</f>
        <v>2027</v>
      </c>
      <c r="I5" s="12">
        <f t="shared" ref="I5:L5" si="0">H5+1</f>
        <v>2028</v>
      </c>
      <c r="J5" s="12">
        <f t="shared" si="0"/>
        <v>2029</v>
      </c>
      <c r="K5" s="12">
        <f t="shared" si="0"/>
        <v>2030</v>
      </c>
      <c r="L5" s="12">
        <f t="shared" si="0"/>
        <v>2031</v>
      </c>
      <c r="O5" s="5"/>
      <c r="R5" s="16" t="str">
        <f>B5</f>
        <v>Revenues (thousand)</v>
      </c>
      <c r="S5" s="12" t="str">
        <f>Statement!T3</f>
        <v>Q1 2025</v>
      </c>
      <c r="T5" s="12" t="str">
        <f>Statement!U3</f>
        <v>Q2 2025</v>
      </c>
      <c r="U5" s="12" t="str">
        <f>Statement!V3</f>
        <v>Q3 2025</v>
      </c>
      <c r="V5" s="12" t="str">
        <f>Statement!W3</f>
        <v>Q4 2025</v>
      </c>
      <c r="W5" s="12" t="str">
        <f>Statement!X3</f>
        <v>Q1 2026</v>
      </c>
      <c r="X5" s="12" t="str">
        <f>Statement!Y3</f>
        <v>Q2 2026</v>
      </c>
      <c r="Y5" s="12" t="str">
        <f>Statement!Z3</f>
        <v>Q3 2026</v>
      </c>
      <c r="Z5" s="12" t="str">
        <f>Statement!AA3</f>
        <v>Q4 2026</v>
      </c>
      <c r="AA5" s="12" t="s">
        <v>118</v>
      </c>
      <c r="AB5" s="12" t="s">
        <v>119</v>
      </c>
      <c r="AC5" s="12" t="s">
        <v>120</v>
      </c>
      <c r="AE5" s="8" t="s">
        <v>118</v>
      </c>
    </row>
    <row r="6" spans="1:31" x14ac:dyDescent="0.2">
      <c r="B6" s="1" t="str">
        <f>Statement!B191</f>
        <v>Cloud Memory</v>
      </c>
      <c r="C6" s="88">
        <f>Statement!M191</f>
        <v>0</v>
      </c>
      <c r="D6" s="88">
        <f>Statement!N191</f>
        <v>1872</v>
      </c>
      <c r="E6" s="88">
        <f>Statement!O191</f>
        <v>3792</v>
      </c>
      <c r="F6" s="88">
        <f>Statement!P191</f>
        <v>13524</v>
      </c>
      <c r="G6" s="89">
        <f>Statement!Q191</f>
        <v>43085</v>
      </c>
      <c r="H6" s="64">
        <f t="shared" ref="H6:L9" si="1">G6*(1+H14)</f>
        <v>62473.25</v>
      </c>
      <c r="I6" s="64">
        <f t="shared" si="1"/>
        <v>87462.549999999988</v>
      </c>
      <c r="J6" s="64">
        <f t="shared" si="1"/>
        <v>96208.804999999993</v>
      </c>
      <c r="K6" s="64">
        <f t="shared" si="1"/>
        <v>86587.924499999994</v>
      </c>
      <c r="L6" s="64">
        <f t="shared" si="1"/>
        <v>51952.754699999998</v>
      </c>
      <c r="N6" s="90" t="s">
        <v>416</v>
      </c>
      <c r="O6" s="5"/>
      <c r="Q6" s="90" t="str">
        <f>N6</f>
        <v>Cloud growth rate</v>
      </c>
      <c r="R6" s="1" t="str">
        <f>B6</f>
        <v>Cloud Memory</v>
      </c>
      <c r="S6" s="88">
        <f>Statement!T191</f>
        <v>2658</v>
      </c>
      <c r="T6" s="88">
        <f>Statement!U191</f>
        <v>2947</v>
      </c>
      <c r="U6" s="88">
        <f>Statement!V191</f>
        <v>3386</v>
      </c>
      <c r="V6" s="88">
        <f>Statement!W191</f>
        <v>4543</v>
      </c>
      <c r="W6" s="88">
        <f>Statement!X191</f>
        <v>5284</v>
      </c>
      <c r="X6" s="88">
        <f>Statement!Y191</f>
        <v>7749</v>
      </c>
      <c r="Y6" s="88">
        <f>Statement!Z191</f>
        <v>13769</v>
      </c>
      <c r="Z6" s="89">
        <f>Statement!AA191</f>
        <v>16283</v>
      </c>
      <c r="AA6" s="64">
        <f>Z6*(1+AA14)</f>
        <v>18725.449999999997</v>
      </c>
      <c r="AB6" s="64"/>
      <c r="AC6" s="64"/>
      <c r="AE6" s="64">
        <f>SUM(X6:AA6)</f>
        <v>56526.45</v>
      </c>
    </row>
    <row r="7" spans="1:31" x14ac:dyDescent="0.2">
      <c r="B7" s="1" t="str">
        <f>Statement!B192</f>
        <v>Core Data Center</v>
      </c>
      <c r="C7" s="88">
        <f>Statement!M192</f>
        <v>0</v>
      </c>
      <c r="D7" s="88">
        <f>Statement!N192</f>
        <v>2124</v>
      </c>
      <c r="E7" s="88">
        <f>Statement!O192</f>
        <v>4984</v>
      </c>
      <c r="F7" s="88">
        <f>Statement!P192</f>
        <v>7229</v>
      </c>
      <c r="G7" s="89">
        <f>Statement!Q192</f>
        <v>37592</v>
      </c>
      <c r="H7" s="64">
        <f t="shared" si="1"/>
        <v>63906.400000000001</v>
      </c>
      <c r="I7" s="64">
        <f t="shared" si="1"/>
        <v>83078.320000000007</v>
      </c>
      <c r="J7" s="64">
        <f t="shared" si="1"/>
        <v>95540.067999999999</v>
      </c>
      <c r="K7" s="64">
        <f t="shared" si="1"/>
        <v>81209.057799999995</v>
      </c>
      <c r="L7" s="64">
        <f t="shared" si="1"/>
        <v>40604.528899999998</v>
      </c>
      <c r="N7" s="90" t="s">
        <v>417</v>
      </c>
      <c r="O7" s="5"/>
      <c r="Q7" s="90" t="str">
        <f t="shared" ref="Q7:Q9" si="2">N7</f>
        <v>Datacenter growth rate</v>
      </c>
      <c r="R7" s="1" t="str">
        <f t="shared" ref="R7:R9" si="3">B7</f>
        <v>Core Data Center</v>
      </c>
      <c r="S7" s="88">
        <f>Statement!T192</f>
        <v>2292</v>
      </c>
      <c r="T7" s="88">
        <f>Statement!U192</f>
        <v>1830</v>
      </c>
      <c r="U7" s="88">
        <f>Statement!V192</f>
        <v>1530</v>
      </c>
      <c r="V7" s="88">
        <f>Statement!W192</f>
        <v>1577</v>
      </c>
      <c r="W7" s="88">
        <f>Statement!X192</f>
        <v>2379</v>
      </c>
      <c r="X7" s="88">
        <f>Statement!Y192</f>
        <v>5687</v>
      </c>
      <c r="Y7" s="88">
        <f>Statement!Z192</f>
        <v>11524</v>
      </c>
      <c r="Z7" s="89">
        <f>Statement!AA192</f>
        <v>18002</v>
      </c>
      <c r="AA7" s="64">
        <f>Z7*(1+AA15)</f>
        <v>19802.2</v>
      </c>
      <c r="AB7" s="64"/>
      <c r="AC7" s="64"/>
      <c r="AE7" s="64">
        <f t="shared" ref="AE7:AE9" si="4">SUM(X7:AA7)</f>
        <v>55015.199999999997</v>
      </c>
    </row>
    <row r="8" spans="1:31" x14ac:dyDescent="0.2">
      <c r="B8" s="1" t="str">
        <f>Statement!B193</f>
        <v>Mobile and Client</v>
      </c>
      <c r="C8" s="88">
        <f>Statement!M193</f>
        <v>0</v>
      </c>
      <c r="D8" s="88">
        <f>Statement!N193</f>
        <v>7394</v>
      </c>
      <c r="E8" s="88">
        <f>Statement!O193</f>
        <v>11667</v>
      </c>
      <c r="F8" s="88">
        <f>Statement!P193</f>
        <v>11859</v>
      </c>
      <c r="G8" s="89">
        <f>Statement!Q193</f>
        <v>36601</v>
      </c>
      <c r="H8" s="64">
        <f t="shared" si="1"/>
        <v>73202</v>
      </c>
      <c r="I8" s="64">
        <f t="shared" si="1"/>
        <v>102482.79999999999</v>
      </c>
      <c r="J8" s="64">
        <f t="shared" si="1"/>
        <v>133227.63999999998</v>
      </c>
      <c r="K8" s="64">
        <f t="shared" si="1"/>
        <v>106582.11199999999</v>
      </c>
      <c r="L8" s="64">
        <f t="shared" si="1"/>
        <v>95923.900800000003</v>
      </c>
      <c r="N8" s="90" t="s">
        <v>418</v>
      </c>
      <c r="O8" s="5"/>
      <c r="Q8" s="90" t="str">
        <f t="shared" si="2"/>
        <v>Mobile growth rate</v>
      </c>
      <c r="R8" s="1" t="str">
        <f t="shared" si="3"/>
        <v>Mobile and Client</v>
      </c>
      <c r="S8" s="88">
        <f>Statement!T193</f>
        <v>2608</v>
      </c>
      <c r="T8" s="88">
        <f>Statement!U193</f>
        <v>2236</v>
      </c>
      <c r="U8" s="88">
        <f>Statement!V193</f>
        <v>3255</v>
      </c>
      <c r="V8" s="88">
        <f>Statement!W193</f>
        <v>3760</v>
      </c>
      <c r="W8" s="88">
        <f>Statement!X193</f>
        <v>4255</v>
      </c>
      <c r="X8" s="88">
        <f>Statement!Y193</f>
        <v>7711</v>
      </c>
      <c r="Y8" s="88">
        <f>Statement!Z193</f>
        <v>11521</v>
      </c>
      <c r="Z8" s="89">
        <f>Statement!AA193</f>
        <v>13114</v>
      </c>
      <c r="AA8" s="64">
        <f>Z8*(1+AA16)</f>
        <v>15736.8</v>
      </c>
      <c r="AB8" s="64"/>
      <c r="AC8" s="64"/>
      <c r="AE8" s="64">
        <f t="shared" si="4"/>
        <v>48082.8</v>
      </c>
    </row>
    <row r="9" spans="1:31" x14ac:dyDescent="0.2">
      <c r="B9" s="1" t="str">
        <f>Statement!B194</f>
        <v>Automotive and Embedded</v>
      </c>
      <c r="C9" s="88">
        <f>Statement!M194</f>
        <v>0</v>
      </c>
      <c r="D9" s="88">
        <f>Statement!N194</f>
        <v>4139</v>
      </c>
      <c r="E9" s="88">
        <f>Statement!O194</f>
        <v>4631</v>
      </c>
      <c r="F9" s="88">
        <f>Statement!P194</f>
        <v>4753</v>
      </c>
      <c r="G9" s="89">
        <f>Statement!Q194</f>
        <v>15886</v>
      </c>
      <c r="H9" s="64">
        <f t="shared" si="1"/>
        <v>31772</v>
      </c>
      <c r="I9" s="64">
        <f t="shared" si="1"/>
        <v>44480.799999999996</v>
      </c>
      <c r="J9" s="64">
        <f t="shared" si="1"/>
        <v>48928.88</v>
      </c>
      <c r="K9" s="64">
        <f t="shared" si="1"/>
        <v>44035.991999999998</v>
      </c>
      <c r="L9" s="64">
        <f t="shared" si="1"/>
        <v>30825.194399999997</v>
      </c>
      <c r="N9" s="90" t="s">
        <v>419</v>
      </c>
      <c r="O9" s="5"/>
      <c r="Q9" s="90" t="str">
        <f t="shared" si="2"/>
        <v>Automotive growth rate</v>
      </c>
      <c r="R9" s="1" t="str">
        <f t="shared" si="3"/>
        <v>Automotive and Embedded</v>
      </c>
      <c r="S9" s="88">
        <f>Statement!T194</f>
        <v>1158</v>
      </c>
      <c r="T9" s="88">
        <f>Statement!U194</f>
        <v>1034</v>
      </c>
      <c r="U9" s="88">
        <f>Statement!V194</f>
        <v>1127</v>
      </c>
      <c r="V9" s="88">
        <f>Statement!W194</f>
        <v>1434</v>
      </c>
      <c r="W9" s="88">
        <f>Statement!X194</f>
        <v>1720</v>
      </c>
      <c r="X9" s="88">
        <f>Statement!Y194</f>
        <v>2708</v>
      </c>
      <c r="Y9" s="88">
        <f>Statement!Z194</f>
        <v>4634</v>
      </c>
      <c r="Z9" s="89">
        <f>Statement!AA194</f>
        <v>6824</v>
      </c>
      <c r="AA9" s="64">
        <f>Z9*(1+AA17)</f>
        <v>7506.4000000000005</v>
      </c>
      <c r="AB9" s="64"/>
      <c r="AC9" s="64"/>
      <c r="AE9" s="64">
        <f t="shared" si="4"/>
        <v>21672.400000000001</v>
      </c>
    </row>
    <row r="10" spans="1:31" x14ac:dyDescent="0.2">
      <c r="B10" s="16" t="s">
        <v>121</v>
      </c>
      <c r="C10" s="92">
        <f>Statement!M5</f>
        <v>30758</v>
      </c>
      <c r="D10" s="92">
        <f>Statement!N5</f>
        <v>15540</v>
      </c>
      <c r="E10" s="92">
        <f>Statement!O5</f>
        <v>25111</v>
      </c>
      <c r="F10" s="92">
        <f>Statement!P5</f>
        <v>37378</v>
      </c>
      <c r="G10" s="93">
        <f>Statement!Q5</f>
        <v>133188</v>
      </c>
      <c r="H10" s="94">
        <f>SUM(H6:H9)</f>
        <v>231353.65</v>
      </c>
      <c r="I10" s="94">
        <f>SUM(I6:I9)</f>
        <v>317504.46999999997</v>
      </c>
      <c r="J10" s="94">
        <f>SUM(J6:J9)</f>
        <v>373905.39299999998</v>
      </c>
      <c r="K10" s="94">
        <f>SUM(K6:K9)</f>
        <v>318415.08629999997</v>
      </c>
      <c r="L10" s="94">
        <f>SUM(L6:L9)</f>
        <v>219306.37880000001</v>
      </c>
      <c r="O10" s="5"/>
      <c r="R10" s="16" t="s">
        <v>121</v>
      </c>
      <c r="S10" s="92">
        <f>Statement!T5</f>
        <v>8709</v>
      </c>
      <c r="T10" s="92">
        <f>Statement!U5</f>
        <v>8053</v>
      </c>
      <c r="U10" s="92">
        <f>Statement!V5</f>
        <v>9301</v>
      </c>
      <c r="V10" s="92">
        <f>Statement!W5</f>
        <v>11315</v>
      </c>
      <c r="W10" s="92">
        <f>Statement!X5</f>
        <v>13643</v>
      </c>
      <c r="X10" s="92">
        <f>Statement!Y5</f>
        <v>23860</v>
      </c>
      <c r="Y10" s="92">
        <f>Statement!Z5</f>
        <v>41456</v>
      </c>
      <c r="Z10" s="93">
        <f>Statement!AA5</f>
        <v>54229</v>
      </c>
      <c r="AA10" s="94">
        <f>SUM(AA6:AA9)</f>
        <v>61770.85</v>
      </c>
      <c r="AB10" s="94"/>
      <c r="AC10" s="94"/>
      <c r="AE10" s="94">
        <f>SUM(X10:AA10)</f>
        <v>181315.85</v>
      </c>
    </row>
    <row r="11" spans="1:31" x14ac:dyDescent="0.2">
      <c r="O11" s="5"/>
      <c r="Q11" s="91"/>
    </row>
    <row r="12" spans="1:31" x14ac:dyDescent="0.2">
      <c r="C12" s="255" t="s">
        <v>122</v>
      </c>
      <c r="D12" s="255"/>
      <c r="E12" s="255"/>
      <c r="F12" s="255"/>
      <c r="G12" s="255"/>
      <c r="H12" s="255"/>
      <c r="I12" s="255"/>
      <c r="J12" s="255"/>
      <c r="K12" s="255"/>
      <c r="L12" s="255"/>
      <c r="O12" s="5"/>
      <c r="Q12" s="91"/>
      <c r="S12" s="256" t="s">
        <v>122</v>
      </c>
      <c r="T12" s="257"/>
      <c r="U12" s="257"/>
      <c r="V12" s="257"/>
      <c r="W12" s="257"/>
      <c r="X12" s="257"/>
      <c r="Y12" s="257"/>
      <c r="Z12" s="257"/>
      <c r="AA12" s="257"/>
      <c r="AB12" s="257"/>
      <c r="AC12" s="257"/>
    </row>
    <row r="13" spans="1:31" x14ac:dyDescent="0.2">
      <c r="B13" s="16" t="s">
        <v>123</v>
      </c>
      <c r="C13" s="12">
        <f t="shared" ref="C13:L13" si="5">C5</f>
        <v>2022</v>
      </c>
      <c r="D13" s="12">
        <f t="shared" si="5"/>
        <v>2023</v>
      </c>
      <c r="E13" s="12">
        <f t="shared" si="5"/>
        <v>2024</v>
      </c>
      <c r="F13" s="12">
        <f t="shared" si="5"/>
        <v>2025</v>
      </c>
      <c r="G13" s="12">
        <f t="shared" si="5"/>
        <v>2026</v>
      </c>
      <c r="H13" s="12">
        <f t="shared" si="5"/>
        <v>2027</v>
      </c>
      <c r="I13" s="12">
        <f t="shared" si="5"/>
        <v>2028</v>
      </c>
      <c r="J13" s="12">
        <f t="shared" si="5"/>
        <v>2029</v>
      </c>
      <c r="K13" s="12">
        <f t="shared" si="5"/>
        <v>2030</v>
      </c>
      <c r="L13" s="12">
        <f t="shared" si="5"/>
        <v>2031</v>
      </c>
      <c r="O13" s="5"/>
      <c r="Q13" s="91"/>
      <c r="R13" s="16" t="s">
        <v>123</v>
      </c>
      <c r="S13" s="12" t="str">
        <f t="shared" ref="S13:AC13" si="6">S5</f>
        <v>Q1 2025</v>
      </c>
      <c r="T13" s="12" t="str">
        <f t="shared" si="6"/>
        <v>Q2 2025</v>
      </c>
      <c r="U13" s="12" t="str">
        <f t="shared" si="6"/>
        <v>Q3 2025</v>
      </c>
      <c r="V13" s="12" t="str">
        <f t="shared" si="6"/>
        <v>Q4 2025</v>
      </c>
      <c r="W13" s="12" t="str">
        <f t="shared" si="6"/>
        <v>Q1 2026</v>
      </c>
      <c r="X13" s="12" t="str">
        <f t="shared" si="6"/>
        <v>Q2 2026</v>
      </c>
      <c r="Y13" s="12" t="str">
        <f t="shared" si="6"/>
        <v>Q3 2026</v>
      </c>
      <c r="Z13" s="12" t="str">
        <f t="shared" si="6"/>
        <v>Q4 2026</v>
      </c>
      <c r="AA13" s="12" t="str">
        <f t="shared" si="6"/>
        <v>FQ1</v>
      </c>
      <c r="AB13" s="12" t="str">
        <f t="shared" si="6"/>
        <v>FQ2</v>
      </c>
      <c r="AC13" s="12" t="str">
        <f t="shared" si="6"/>
        <v>FQ3</v>
      </c>
    </row>
    <row r="14" spans="1:31" x14ac:dyDescent="0.2">
      <c r="B14" s="1" t="str">
        <f>B6</f>
        <v>Cloud Memory</v>
      </c>
      <c r="C14" s="47"/>
      <c r="D14" s="95" t="e">
        <f t="shared" ref="D14:G14" si="7">D6/C6-1</f>
        <v>#DIV/0!</v>
      </c>
      <c r="E14" s="95">
        <f t="shared" si="7"/>
        <v>1.0256410256410255</v>
      </c>
      <c r="F14" s="95">
        <f t="shared" si="7"/>
        <v>2.5664556962025316</v>
      </c>
      <c r="G14" s="96">
        <f t="shared" si="7"/>
        <v>2.1858178053830226</v>
      </c>
      <c r="H14" s="106">
        <v>0.45</v>
      </c>
      <c r="I14" s="106">
        <v>0.4</v>
      </c>
      <c r="J14" s="106">
        <v>0.1</v>
      </c>
      <c r="K14" s="106">
        <v>-0.1</v>
      </c>
      <c r="L14" s="106">
        <v>-0.4</v>
      </c>
      <c r="O14" s="5"/>
      <c r="Q14" s="91"/>
      <c r="R14" s="1" t="str">
        <f>R6</f>
        <v>Cloud Memory</v>
      </c>
      <c r="S14" s="47"/>
      <c r="T14" s="95">
        <f t="shared" ref="T14:Z16" si="8">T6/S6-1</f>
        <v>0.10872836719337853</v>
      </c>
      <c r="U14" s="95">
        <f t="shared" si="8"/>
        <v>0.14896504920257891</v>
      </c>
      <c r="V14" s="95">
        <f t="shared" si="8"/>
        <v>0.34170112226816296</v>
      </c>
      <c r="W14" s="95">
        <f t="shared" si="8"/>
        <v>0.16310807836231556</v>
      </c>
      <c r="X14" s="95">
        <f t="shared" si="8"/>
        <v>0.46650264950794851</v>
      </c>
      <c r="Y14" s="95">
        <f t="shared" si="8"/>
        <v>0.77687443541102086</v>
      </c>
      <c r="Z14" s="96">
        <f t="shared" si="8"/>
        <v>0.18258406565473173</v>
      </c>
      <c r="AA14" s="106">
        <v>0.15</v>
      </c>
      <c r="AB14" s="106"/>
      <c r="AC14" s="106"/>
    </row>
    <row r="15" spans="1:31" x14ac:dyDescent="0.2">
      <c r="B15" s="1" t="str">
        <f>B7</f>
        <v>Core Data Center</v>
      </c>
      <c r="C15" s="47"/>
      <c r="D15" s="95" t="e">
        <f t="shared" ref="D15:G15" si="9">D7/C7-1</f>
        <v>#DIV/0!</v>
      </c>
      <c r="E15" s="95">
        <f t="shared" si="9"/>
        <v>1.3465160075329567</v>
      </c>
      <c r="F15" s="95">
        <f t="shared" si="9"/>
        <v>0.4504414125200642</v>
      </c>
      <c r="G15" s="96">
        <f t="shared" si="9"/>
        <v>4.2001659980633557</v>
      </c>
      <c r="H15" s="106">
        <v>0.7</v>
      </c>
      <c r="I15" s="106">
        <v>0.3</v>
      </c>
      <c r="J15" s="106">
        <v>0.15</v>
      </c>
      <c r="K15" s="106">
        <v>-0.15</v>
      </c>
      <c r="L15" s="106">
        <v>-0.5</v>
      </c>
      <c r="O15" s="5"/>
      <c r="Q15" s="91"/>
      <c r="R15" s="1" t="str">
        <f>R7</f>
        <v>Core Data Center</v>
      </c>
      <c r="S15" s="47"/>
      <c r="T15" s="95">
        <f t="shared" si="8"/>
        <v>-0.20157068062827221</v>
      </c>
      <c r="U15" s="95">
        <f t="shared" si="8"/>
        <v>-0.16393442622950816</v>
      </c>
      <c r="V15" s="95">
        <f t="shared" si="8"/>
        <v>3.0718954248365904E-2</v>
      </c>
      <c r="W15" s="95">
        <f t="shared" si="8"/>
        <v>0.50856055802155997</v>
      </c>
      <c r="X15" s="95">
        <f t="shared" si="8"/>
        <v>1.3905002101723412</v>
      </c>
      <c r="Y15" s="95">
        <f t="shared" si="8"/>
        <v>1.0263759451380343</v>
      </c>
      <c r="Z15" s="96">
        <f t="shared" si="8"/>
        <v>0.56213120444290188</v>
      </c>
      <c r="AA15" s="106">
        <v>0.1</v>
      </c>
      <c r="AB15" s="106"/>
      <c r="AC15" s="106"/>
    </row>
    <row r="16" spans="1:31" x14ac:dyDescent="0.2">
      <c r="B16" s="1" t="str">
        <f>B8</f>
        <v>Mobile and Client</v>
      </c>
      <c r="C16" s="47"/>
      <c r="D16" s="95" t="e">
        <f t="shared" ref="D16:G17" si="10">D8/C8-1</f>
        <v>#DIV/0!</v>
      </c>
      <c r="E16" s="95">
        <f t="shared" si="10"/>
        <v>0.57790100081146867</v>
      </c>
      <c r="F16" s="95">
        <f t="shared" si="10"/>
        <v>1.6456672666495198E-2</v>
      </c>
      <c r="G16" s="96">
        <f t="shared" si="10"/>
        <v>2.0863479214098994</v>
      </c>
      <c r="H16" s="106">
        <v>1</v>
      </c>
      <c r="I16" s="106">
        <v>0.4</v>
      </c>
      <c r="J16" s="106">
        <v>0.3</v>
      </c>
      <c r="K16" s="106">
        <v>-0.2</v>
      </c>
      <c r="L16" s="106">
        <v>-0.1</v>
      </c>
      <c r="O16" s="5"/>
      <c r="Q16" s="91"/>
      <c r="R16" s="1" t="str">
        <f>R8</f>
        <v>Mobile and Client</v>
      </c>
      <c r="S16" s="47"/>
      <c r="T16" s="95">
        <f t="shared" si="8"/>
        <v>-0.1426380368098159</v>
      </c>
      <c r="U16" s="95">
        <f t="shared" si="8"/>
        <v>0.45572450805008935</v>
      </c>
      <c r="V16" s="95">
        <f t="shared" si="8"/>
        <v>0.15514592933947768</v>
      </c>
      <c r="W16" s="95">
        <f t="shared" si="8"/>
        <v>0.13164893617021267</v>
      </c>
      <c r="X16" s="95">
        <f t="shared" si="8"/>
        <v>0.81222091656874262</v>
      </c>
      <c r="Y16" s="95">
        <f t="shared" si="8"/>
        <v>0.49409933860718458</v>
      </c>
      <c r="Z16" s="96">
        <f t="shared" si="8"/>
        <v>0.13826924746115798</v>
      </c>
      <c r="AA16" s="106">
        <v>0.2</v>
      </c>
      <c r="AB16" s="106"/>
      <c r="AC16" s="106"/>
    </row>
    <row r="17" spans="2:29" x14ac:dyDescent="0.2">
      <c r="B17" s="1" t="str">
        <f>B9</f>
        <v>Automotive and Embedded</v>
      </c>
      <c r="C17" s="47"/>
      <c r="D17" s="95" t="e">
        <f t="shared" si="10"/>
        <v>#DIV/0!</v>
      </c>
      <c r="E17" s="95">
        <f t="shared" ref="E17" si="11">E9/D9-1</f>
        <v>0.11886929209954089</v>
      </c>
      <c r="F17" s="95">
        <f t="shared" ref="F17" si="12">F9/E9-1</f>
        <v>2.6344202116173721E-2</v>
      </c>
      <c r="G17" s="96">
        <f t="shared" ref="G17" si="13">G9/F9-1</f>
        <v>2.3423101199242584</v>
      </c>
      <c r="H17" s="106">
        <v>1</v>
      </c>
      <c r="I17" s="106">
        <v>0.4</v>
      </c>
      <c r="J17" s="106">
        <v>0.1</v>
      </c>
      <c r="K17" s="106">
        <v>-0.1</v>
      </c>
      <c r="L17" s="106">
        <v>-0.3</v>
      </c>
      <c r="O17" s="5"/>
      <c r="Q17" s="91"/>
      <c r="R17" s="1" t="str">
        <f>R9</f>
        <v>Automotive and Embedded</v>
      </c>
      <c r="S17" s="47"/>
      <c r="T17" s="95">
        <f>T9/S9-1</f>
        <v>-0.10708117443868737</v>
      </c>
      <c r="U17" s="95">
        <f t="shared" ref="U17:Z17" si="14">U9/T9-1</f>
        <v>8.9941972920696278E-2</v>
      </c>
      <c r="V17" s="95">
        <f t="shared" si="14"/>
        <v>0.27240461401952087</v>
      </c>
      <c r="W17" s="95">
        <f t="shared" si="14"/>
        <v>0.19944211994421202</v>
      </c>
      <c r="X17" s="95">
        <f t="shared" si="14"/>
        <v>0.57441860465116279</v>
      </c>
      <c r="Y17" s="95">
        <f t="shared" si="14"/>
        <v>0.71122599704579015</v>
      </c>
      <c r="Z17" s="96">
        <f t="shared" si="14"/>
        <v>0.47259387138541209</v>
      </c>
      <c r="AA17" s="106">
        <v>0.1</v>
      </c>
      <c r="AB17" s="106"/>
      <c r="AC17" s="106"/>
    </row>
    <row r="18" spans="2:29" x14ac:dyDescent="0.2">
      <c r="B18" s="16" t="str">
        <f>B10</f>
        <v>Total</v>
      </c>
      <c r="C18" s="47"/>
      <c r="D18" s="103">
        <f t="shared" ref="D18:L18" si="15">D10/C10-1</f>
        <v>-0.4947655894401457</v>
      </c>
      <c r="E18" s="103">
        <f t="shared" si="15"/>
        <v>0.61589446589446584</v>
      </c>
      <c r="F18" s="103">
        <f t="shared" si="15"/>
        <v>0.48851101111066852</v>
      </c>
      <c r="G18" s="104">
        <f t="shared" si="15"/>
        <v>2.563272513243084</v>
      </c>
      <c r="H18" s="103">
        <f t="shared" si="15"/>
        <v>0.73704575487281132</v>
      </c>
      <c r="I18" s="103">
        <f t="shared" si="15"/>
        <v>0.37237718099541528</v>
      </c>
      <c r="J18" s="103">
        <f t="shared" si="15"/>
        <v>0.17763820144012454</v>
      </c>
      <c r="K18" s="103">
        <f t="shared" si="15"/>
        <v>-0.1484073451168435</v>
      </c>
      <c r="L18" s="103">
        <f t="shared" si="15"/>
        <v>-0.3112563184478736</v>
      </c>
      <c r="O18" s="5"/>
      <c r="Q18" s="91"/>
      <c r="R18" s="16" t="str">
        <f>R10</f>
        <v>Total</v>
      </c>
      <c r="S18" s="47"/>
      <c r="T18" s="103">
        <f t="shared" ref="T18:AA18" si="16">T10/S10-1</f>
        <v>-7.5324377081180338E-2</v>
      </c>
      <c r="U18" s="103">
        <f t="shared" si="16"/>
        <v>0.15497330187507763</v>
      </c>
      <c r="V18" s="103">
        <f t="shared" si="16"/>
        <v>0.21653585635953121</v>
      </c>
      <c r="W18" s="103">
        <f t="shared" si="16"/>
        <v>0.20574458683163943</v>
      </c>
      <c r="X18" s="103">
        <f t="shared" si="16"/>
        <v>0.74888221065747995</v>
      </c>
      <c r="Y18" s="103">
        <f t="shared" si="16"/>
        <v>0.73746856663872595</v>
      </c>
      <c r="Z18" s="104">
        <f t="shared" si="16"/>
        <v>0.3081098031648013</v>
      </c>
      <c r="AA18" s="103">
        <f t="shared" si="16"/>
        <v>0.13907411163768457</v>
      </c>
      <c r="AB18" s="103"/>
      <c r="AC18" s="103"/>
    </row>
    <row r="19" spans="2:29" x14ac:dyDescent="0.2">
      <c r="O19" s="5"/>
      <c r="Q19" s="91"/>
    </row>
    <row r="20" spans="2:29" x14ac:dyDescent="0.2">
      <c r="O20" s="5"/>
    </row>
  </sheetData>
  <mergeCells count="8">
    <mergeCell ref="C12:L12"/>
    <mergeCell ref="S12:AC12"/>
    <mergeCell ref="C2:G2"/>
    <mergeCell ref="H2:L2"/>
    <mergeCell ref="S2:Z2"/>
    <mergeCell ref="AA2:AC2"/>
    <mergeCell ref="C4:L4"/>
    <mergeCell ref="S4:AC4"/>
  </mergeCells>
  <pageMargins left="0.7" right="0.7" top="0.75" bottom="0.75" header="0.3" footer="0.3"/>
  <ignoredErrors>
    <ignoredError sqref="AE8" evalError="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DC400-6556-6848-BEEB-E2541EF30223}">
  <dimension ref="A1:AD31"/>
  <sheetViews>
    <sheetView topLeftCell="C18" zoomScale="178" zoomScaleNormal="100" workbookViewId="0">
      <selection activeCell="H29" sqref="H29"/>
    </sheetView>
  </sheetViews>
  <sheetFormatPr baseColWidth="10" defaultRowHeight="16" x14ac:dyDescent="0.2"/>
  <cols>
    <col min="1" max="1" width="2" style="83"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30" s="83" customFormat="1" ht="18" customHeight="1" x14ac:dyDescent="0.2">
      <c r="A1" s="4"/>
      <c r="B1" s="82" t="s">
        <v>124</v>
      </c>
    </row>
    <row r="2" spans="1:30" x14ac:dyDescent="0.2">
      <c r="A2" s="4"/>
      <c r="C2" s="249" t="s">
        <v>113</v>
      </c>
      <c r="D2" s="249"/>
      <c r="E2" s="249"/>
      <c r="F2" s="249"/>
      <c r="G2" s="258"/>
      <c r="H2" s="259" t="s">
        <v>114</v>
      </c>
      <c r="I2" s="249"/>
      <c r="J2" s="249"/>
      <c r="K2" s="249"/>
      <c r="L2" s="249"/>
      <c r="P2" s="249" t="s">
        <v>113</v>
      </c>
      <c r="Q2" s="249"/>
      <c r="R2" s="249"/>
      <c r="S2" s="249"/>
      <c r="T2" s="249"/>
      <c r="U2" s="249"/>
      <c r="V2" s="249"/>
      <c r="W2" s="249"/>
      <c r="X2" s="249" t="s">
        <v>114</v>
      </c>
      <c r="Y2" s="249"/>
      <c r="Z2" s="249"/>
      <c r="AB2" s="85" t="s">
        <v>115</v>
      </c>
    </row>
    <row r="3" spans="1:30" ht="10" customHeight="1" x14ac:dyDescent="0.2"/>
    <row r="4" spans="1:30" ht="16" customHeight="1" x14ac:dyDescent="0.2">
      <c r="A4" s="86"/>
      <c r="B4" s="60"/>
      <c r="C4" s="255" t="s">
        <v>116</v>
      </c>
      <c r="D4" s="255"/>
      <c r="E4" s="255"/>
      <c r="F4" s="255"/>
      <c r="G4" s="255"/>
      <c r="H4" s="255"/>
      <c r="I4" s="255"/>
      <c r="J4" s="255"/>
      <c r="K4" s="255"/>
      <c r="L4" s="255"/>
      <c r="P4" s="257" t="s">
        <v>116</v>
      </c>
      <c r="Q4" s="257"/>
      <c r="R4" s="257"/>
      <c r="S4" s="257"/>
      <c r="T4" s="257"/>
      <c r="U4" s="257"/>
      <c r="V4" s="257"/>
      <c r="W4" s="257"/>
      <c r="X4" s="257"/>
      <c r="Y4" s="257"/>
      <c r="Z4" s="257"/>
      <c r="AB4" s="87"/>
    </row>
    <row r="5" spans="1:30" x14ac:dyDescent="0.2">
      <c r="B5" s="16" t="str">
        <f>Revenue!B5</f>
        <v>Revenues (thousand)</v>
      </c>
      <c r="C5" s="12">
        <f>Revenue!C5</f>
        <v>2022</v>
      </c>
      <c r="D5" s="12">
        <f>Revenue!D5</f>
        <v>2023</v>
      </c>
      <c r="E5" s="12">
        <f>Revenue!E5</f>
        <v>2024</v>
      </c>
      <c r="F5" s="12">
        <f>Revenue!F5</f>
        <v>2025</v>
      </c>
      <c r="G5" s="12">
        <f>Revenue!G5</f>
        <v>2026</v>
      </c>
      <c r="H5" s="12">
        <f>G5+1</f>
        <v>2027</v>
      </c>
      <c r="I5" s="12">
        <f t="shared" ref="I5:L5" si="0">H5+1</f>
        <v>2028</v>
      </c>
      <c r="J5" s="12">
        <f t="shared" si="0"/>
        <v>2029</v>
      </c>
      <c r="K5" s="12">
        <f t="shared" si="0"/>
        <v>2030</v>
      </c>
      <c r="L5" s="12">
        <f t="shared" si="0"/>
        <v>2031</v>
      </c>
      <c r="O5" s="16" t="s">
        <v>117</v>
      </c>
      <c r="P5" s="12" t="str">
        <f>Revenue!S5</f>
        <v>Q1 2025</v>
      </c>
      <c r="Q5" s="12" t="str">
        <f>Revenue!T5</f>
        <v>Q2 2025</v>
      </c>
      <c r="R5" s="12" t="str">
        <f>Revenue!U5</f>
        <v>Q3 2025</v>
      </c>
      <c r="S5" s="12" t="str">
        <f>Revenue!V5</f>
        <v>Q4 2025</v>
      </c>
      <c r="T5" s="12" t="str">
        <f>Revenue!W5</f>
        <v>Q1 2026</v>
      </c>
      <c r="U5" s="12" t="str">
        <f>Revenue!X5</f>
        <v>Q2 2026</v>
      </c>
      <c r="V5" s="12" t="str">
        <f>Revenue!Y5</f>
        <v>Q3 2026</v>
      </c>
      <c r="W5" s="12" t="str">
        <f>Revenue!Z5</f>
        <v>Q4 2026</v>
      </c>
      <c r="X5" s="12" t="s">
        <v>118</v>
      </c>
      <c r="Y5" s="12" t="s">
        <v>119</v>
      </c>
      <c r="Z5" s="12" t="s">
        <v>120</v>
      </c>
      <c r="AB5" s="87" t="str">
        <f>Revenue!AE5</f>
        <v>FQ1</v>
      </c>
    </row>
    <row r="6" spans="1:30" x14ac:dyDescent="0.2">
      <c r="B6" s="16" t="s">
        <v>19</v>
      </c>
      <c r="C6" s="92">
        <f>Revenue!C10</f>
        <v>30758</v>
      </c>
      <c r="D6" s="92">
        <f>Revenue!D10</f>
        <v>15540</v>
      </c>
      <c r="E6" s="92">
        <f>Revenue!E10</f>
        <v>25111</v>
      </c>
      <c r="F6" s="92">
        <f>Revenue!F10</f>
        <v>37378</v>
      </c>
      <c r="G6" s="93">
        <f>Revenue!G10</f>
        <v>133188</v>
      </c>
      <c r="H6" s="92">
        <f>Revenue!H10</f>
        <v>231353.65</v>
      </c>
      <c r="I6" s="92">
        <f>Revenue!I10</f>
        <v>317504.46999999997</v>
      </c>
      <c r="J6" s="92">
        <f>Revenue!J10</f>
        <v>373905.39299999998</v>
      </c>
      <c r="K6" s="92">
        <f>Revenue!K10</f>
        <v>318415.08629999997</v>
      </c>
      <c r="L6" s="92">
        <f>Revenue!L10</f>
        <v>219306.37880000001</v>
      </c>
      <c r="N6" s="91"/>
      <c r="O6" s="16" t="s">
        <v>19</v>
      </c>
      <c r="P6" s="92">
        <f>Revenue!S10</f>
        <v>8709</v>
      </c>
      <c r="Q6" s="92">
        <f>Revenue!T10</f>
        <v>8053</v>
      </c>
      <c r="R6" s="92">
        <f>Revenue!U10</f>
        <v>9301</v>
      </c>
      <c r="S6" s="92">
        <f>Revenue!V10</f>
        <v>11315</v>
      </c>
      <c r="T6" s="92">
        <f>Revenue!W10</f>
        <v>13643</v>
      </c>
      <c r="U6" s="92">
        <f>Revenue!X10</f>
        <v>23860</v>
      </c>
      <c r="V6" s="92">
        <f>Revenue!Y10</f>
        <v>41456</v>
      </c>
      <c r="W6" s="93">
        <f>Revenue!Z10</f>
        <v>54229</v>
      </c>
      <c r="X6" s="92">
        <f>Revenue!AA10</f>
        <v>61770.85</v>
      </c>
      <c r="Y6" s="94"/>
      <c r="Z6" s="94"/>
      <c r="AB6" s="92">
        <f>Revenue!AE10</f>
        <v>181315.85</v>
      </c>
    </row>
    <row r="7" spans="1:30" x14ac:dyDescent="0.2">
      <c r="N7" s="91"/>
    </row>
    <row r="8" spans="1:30" x14ac:dyDescent="0.2">
      <c r="N8" s="91"/>
    </row>
    <row r="9" spans="1:30" x14ac:dyDescent="0.2">
      <c r="C9" s="255" t="s">
        <v>125</v>
      </c>
      <c r="D9" s="255"/>
      <c r="E9" s="255"/>
      <c r="F9" s="255"/>
      <c r="G9" s="255"/>
      <c r="H9" s="255"/>
      <c r="I9" s="255"/>
      <c r="J9" s="255"/>
      <c r="K9" s="255"/>
      <c r="L9" s="255"/>
      <c r="N9" s="91"/>
      <c r="P9" s="257" t="s">
        <v>126</v>
      </c>
      <c r="Q9" s="257"/>
      <c r="R9" s="257"/>
      <c r="S9" s="257"/>
      <c r="T9" s="257"/>
      <c r="U9" s="257"/>
      <c r="V9" s="257"/>
      <c r="W9" s="257"/>
      <c r="X9" s="257"/>
      <c r="Y9" s="257"/>
      <c r="Z9" s="257"/>
      <c r="AB9" s="87">
        <f>AB4</f>
        <v>0</v>
      </c>
    </row>
    <row r="10" spans="1:30" x14ac:dyDescent="0.2">
      <c r="B10" s="16" t="s">
        <v>130</v>
      </c>
      <c r="C10" s="12">
        <f t="shared" ref="C10:L10" si="1">C5</f>
        <v>2022</v>
      </c>
      <c r="D10" s="12">
        <f t="shared" si="1"/>
        <v>2023</v>
      </c>
      <c r="E10" s="12">
        <f t="shared" si="1"/>
        <v>2024</v>
      </c>
      <c r="F10" s="12">
        <f t="shared" si="1"/>
        <v>2025</v>
      </c>
      <c r="G10" s="12">
        <f t="shared" si="1"/>
        <v>2026</v>
      </c>
      <c r="H10" s="12">
        <f t="shared" si="1"/>
        <v>2027</v>
      </c>
      <c r="I10" s="12">
        <f t="shared" si="1"/>
        <v>2028</v>
      </c>
      <c r="J10" s="12">
        <f t="shared" si="1"/>
        <v>2029</v>
      </c>
      <c r="K10" s="12">
        <f t="shared" si="1"/>
        <v>2030</v>
      </c>
      <c r="L10" s="12">
        <f t="shared" si="1"/>
        <v>2031</v>
      </c>
      <c r="N10" s="91"/>
      <c r="O10" s="16" t="s">
        <v>127</v>
      </c>
      <c r="P10" s="12" t="str">
        <f t="shared" ref="P10:Z10" si="2">P5</f>
        <v>Q1 2025</v>
      </c>
      <c r="Q10" s="12" t="str">
        <f t="shared" si="2"/>
        <v>Q2 2025</v>
      </c>
      <c r="R10" s="12" t="str">
        <f t="shared" si="2"/>
        <v>Q3 2025</v>
      </c>
      <c r="S10" s="12" t="str">
        <f t="shared" si="2"/>
        <v>Q4 2025</v>
      </c>
      <c r="T10" s="12" t="str">
        <f t="shared" si="2"/>
        <v>Q1 2026</v>
      </c>
      <c r="U10" s="12" t="str">
        <f t="shared" si="2"/>
        <v>Q2 2026</v>
      </c>
      <c r="V10" s="12" t="str">
        <f t="shared" si="2"/>
        <v>Q3 2026</v>
      </c>
      <c r="W10" s="12" t="str">
        <f t="shared" si="2"/>
        <v>Q4 2026</v>
      </c>
      <c r="X10" s="12" t="str">
        <f t="shared" si="2"/>
        <v>FQ1</v>
      </c>
      <c r="Y10" s="12" t="str">
        <f t="shared" si="2"/>
        <v>FQ2</v>
      </c>
      <c r="Z10" s="12" t="str">
        <f t="shared" si="2"/>
        <v>FQ3</v>
      </c>
      <c r="AB10" s="8" t="str">
        <f>AB5</f>
        <v>FQ1</v>
      </c>
    </row>
    <row r="11" spans="1:30" x14ac:dyDescent="0.2">
      <c r="B11" s="39" t="str">
        <f>Statement!B191</f>
        <v>Cloud Memory</v>
      </c>
      <c r="C11" s="111">
        <f>Statement!M196</f>
        <v>0</v>
      </c>
      <c r="D11" s="111">
        <f>Statement!N196</f>
        <v>1801</v>
      </c>
      <c r="E11" s="111">
        <f>Statement!O196</f>
        <v>2677</v>
      </c>
      <c r="F11" s="111">
        <f>Statement!P196</f>
        <v>5867</v>
      </c>
      <c r="G11" s="112">
        <f>Statement!Q196</f>
        <v>8865.11</v>
      </c>
      <c r="H11" s="25">
        <f>H6*H24</f>
        <v>11567.682500000001</v>
      </c>
      <c r="I11" s="25">
        <f t="shared" ref="I11:L11" si="3">I6*I24</f>
        <v>12700.1788</v>
      </c>
      <c r="J11" s="25">
        <f t="shared" si="3"/>
        <v>14956.21572</v>
      </c>
      <c r="K11" s="25">
        <f t="shared" si="3"/>
        <v>14328.678883499999</v>
      </c>
      <c r="L11" s="25">
        <f t="shared" si="3"/>
        <v>9868.7870459999995</v>
      </c>
      <c r="N11" s="91"/>
      <c r="O11" s="39" t="str">
        <f>B11</f>
        <v>Cloud Memory</v>
      </c>
      <c r="P11" s="111">
        <f>Statement!T196</f>
        <v>1293</v>
      </c>
      <c r="Q11" s="111">
        <f>Statement!U196</f>
        <v>1317</v>
      </c>
      <c r="R11" s="111">
        <f>Statement!V196</f>
        <v>1415</v>
      </c>
      <c r="S11" s="111">
        <f>Statement!W196</f>
        <v>1842</v>
      </c>
      <c r="T11" s="111">
        <f>Statement!X196</f>
        <v>1817</v>
      </c>
      <c r="U11" s="111">
        <f>Statement!Y196</f>
        <v>2002</v>
      </c>
      <c r="V11" s="111">
        <f>Statement!Z196</f>
        <v>2278</v>
      </c>
      <c r="W11" s="112">
        <f>Statement!AA196</f>
        <v>2768.11</v>
      </c>
      <c r="X11" s="25">
        <f>X24*X$6</f>
        <v>3088.5425</v>
      </c>
      <c r="Y11" s="25"/>
      <c r="Z11" s="25"/>
      <c r="AB11" s="24">
        <f>SUM(U11:X11)</f>
        <v>10136.6525</v>
      </c>
      <c r="AD11" s="234"/>
    </row>
    <row r="12" spans="1:30" x14ac:dyDescent="0.2">
      <c r="B12" s="39" t="str">
        <f>Statement!B192</f>
        <v>Core Data Center</v>
      </c>
      <c r="C12" s="111">
        <f>Statement!M197</f>
        <v>0</v>
      </c>
      <c r="D12" s="111">
        <f>Statement!N197</f>
        <v>1967</v>
      </c>
      <c r="E12" s="111">
        <f>Statement!O197</f>
        <v>3638</v>
      </c>
      <c r="F12" s="111">
        <f>Statement!P197</f>
        <v>3995</v>
      </c>
      <c r="G12" s="112">
        <f>Statement!Q197</f>
        <v>5955.2</v>
      </c>
      <c r="H12" s="25">
        <f>H6*H25</f>
        <v>9254.1460000000006</v>
      </c>
      <c r="I12" s="25">
        <f t="shared" ref="I12:L12" si="4">I6*I25</f>
        <v>9525.1340999999993</v>
      </c>
      <c r="J12" s="25">
        <f t="shared" si="4"/>
        <v>11217.161789999998</v>
      </c>
      <c r="K12" s="25">
        <f t="shared" si="4"/>
        <v>11144.5280205</v>
      </c>
      <c r="L12" s="25">
        <f t="shared" si="4"/>
        <v>7675.7232580000009</v>
      </c>
      <c r="N12" s="91"/>
      <c r="O12" s="39" t="str">
        <f t="shared" ref="O12:O19" si="5">B12</f>
        <v>Core Data Center</v>
      </c>
      <c r="P12" s="111">
        <f>Statement!T197</f>
        <v>1149</v>
      </c>
      <c r="Q12" s="111">
        <f>Statement!U197</f>
        <v>967</v>
      </c>
      <c r="R12" s="111">
        <f>Statement!V197</f>
        <v>956</v>
      </c>
      <c r="S12" s="111">
        <f>Statement!W197</f>
        <v>923</v>
      </c>
      <c r="T12" s="111">
        <f>Statement!X197</f>
        <v>1157</v>
      </c>
      <c r="U12" s="111">
        <f>Statement!Y197</f>
        <v>1461</v>
      </c>
      <c r="V12" s="111">
        <f>Statement!Z197</f>
        <v>1537</v>
      </c>
      <c r="W12" s="112">
        <f>Statement!AA197</f>
        <v>1800.2</v>
      </c>
      <c r="X12" s="25">
        <f>X25*X$6</f>
        <v>2161.97975</v>
      </c>
      <c r="Y12" s="25"/>
      <c r="Z12" s="25"/>
      <c r="AB12" s="24">
        <f>SUM(U12:X12)</f>
        <v>6960.1797499999993</v>
      </c>
      <c r="AD12" s="50"/>
    </row>
    <row r="13" spans="1:30" x14ac:dyDescent="0.2">
      <c r="B13" s="39" t="str">
        <f>Statement!B193</f>
        <v>Mobile and Client</v>
      </c>
      <c r="C13" s="111">
        <f>Statement!M198</f>
        <v>0</v>
      </c>
      <c r="D13" s="111">
        <f>Statement!N198</f>
        <v>9072</v>
      </c>
      <c r="E13" s="111">
        <f>Statement!O198</f>
        <v>10222</v>
      </c>
      <c r="F13" s="111">
        <f>Statement!P198</f>
        <v>8650</v>
      </c>
      <c r="G13" s="112">
        <f>Statement!Q198</f>
        <v>6401.4</v>
      </c>
      <c r="H13" s="25">
        <f>H6*H26</f>
        <v>10410.91425</v>
      </c>
      <c r="I13" s="25">
        <f t="shared" ref="I13:L13" si="6">I6*I26</f>
        <v>11112.65645</v>
      </c>
      <c r="J13" s="25">
        <f t="shared" si="6"/>
        <v>13086.688755000001</v>
      </c>
      <c r="K13" s="25">
        <f t="shared" si="6"/>
        <v>12736.603451999999</v>
      </c>
      <c r="L13" s="25">
        <f t="shared" si="6"/>
        <v>8772.2551519999997</v>
      </c>
      <c r="N13" s="91"/>
      <c r="O13" s="39" t="str">
        <f t="shared" si="5"/>
        <v>Mobile and Client</v>
      </c>
      <c r="P13" s="111">
        <f>Statement!T198</f>
        <v>1899</v>
      </c>
      <c r="Q13" s="111">
        <f>Statement!U198</f>
        <v>1894</v>
      </c>
      <c r="R13" s="111">
        <f>Statement!V198</f>
        <v>2467</v>
      </c>
      <c r="S13" s="111">
        <f>Statement!W198</f>
        <v>2390</v>
      </c>
      <c r="T13" s="111">
        <f>Statement!X198</f>
        <v>1970</v>
      </c>
      <c r="U13" s="111">
        <f>Statement!Y198</f>
        <v>1657</v>
      </c>
      <c r="V13" s="111">
        <f>Statement!Z198</f>
        <v>1463</v>
      </c>
      <c r="W13" s="112">
        <f>Statement!AA198</f>
        <v>1311.4</v>
      </c>
      <c r="X13" s="25">
        <f>X26*X$6</f>
        <v>1853.1254999999999</v>
      </c>
      <c r="Y13" s="25"/>
      <c r="Z13" s="25"/>
      <c r="AB13" s="24">
        <f>SUM(U13:X13)</f>
        <v>6284.5254999999997</v>
      </c>
    </row>
    <row r="14" spans="1:30" x14ac:dyDescent="0.2">
      <c r="B14" s="39" t="str">
        <f>Statement!B194</f>
        <v>Automotive and Embedded</v>
      </c>
      <c r="C14" s="111">
        <f>Statement!M199</f>
        <v>0</v>
      </c>
      <c r="D14" s="111">
        <f>Statement!N199</f>
        <v>2905</v>
      </c>
      <c r="E14" s="111">
        <f>Statement!O199</f>
        <v>3598</v>
      </c>
      <c r="F14" s="111">
        <f>Statement!P199</f>
        <v>3566</v>
      </c>
      <c r="G14" s="112">
        <f>Statement!Q199</f>
        <v>3867.84</v>
      </c>
      <c r="H14" s="25">
        <f>H6*H27</f>
        <v>5783.8412500000004</v>
      </c>
      <c r="I14" s="25">
        <f t="shared" ref="I14:L14" si="7">I6*I27</f>
        <v>6350.0893999999998</v>
      </c>
      <c r="J14" s="25">
        <f t="shared" si="7"/>
        <v>7478.1078600000001</v>
      </c>
      <c r="K14" s="25">
        <f t="shared" si="7"/>
        <v>9552.4525889999986</v>
      </c>
      <c r="L14" s="25">
        <f t="shared" si="7"/>
        <v>6579.1913640000002</v>
      </c>
      <c r="N14" s="91"/>
      <c r="O14" s="39" t="str">
        <f t="shared" si="5"/>
        <v>Automotive and Embedded</v>
      </c>
      <c r="P14" s="111">
        <f>Statement!T199</f>
        <v>922</v>
      </c>
      <c r="Q14" s="111">
        <f>Statement!U199</f>
        <v>820</v>
      </c>
      <c r="R14" s="111">
        <f>Statement!V199</f>
        <v>837</v>
      </c>
      <c r="S14" s="111">
        <f>Statement!W199</f>
        <v>987</v>
      </c>
      <c r="T14" s="111">
        <f>Statement!X199</f>
        <v>942</v>
      </c>
      <c r="U14" s="111">
        <f>Statement!Y199</f>
        <v>859</v>
      </c>
      <c r="V14" s="111">
        <f>Statement!Z199</f>
        <v>975</v>
      </c>
      <c r="W14" s="112">
        <f>Statement!AA199</f>
        <v>1091.8399999999999</v>
      </c>
      <c r="X14" s="25">
        <f>X27*X$6</f>
        <v>1420.72955</v>
      </c>
      <c r="Y14" s="25"/>
      <c r="Z14" s="25"/>
      <c r="AB14" s="24">
        <f>SUM(U14:X14)</f>
        <v>4346.5695500000002</v>
      </c>
    </row>
    <row r="15" spans="1:30" x14ac:dyDescent="0.2">
      <c r="B15" s="16" t="s">
        <v>20</v>
      </c>
      <c r="C15" s="108">
        <f>Statement!M6</f>
        <v>16860</v>
      </c>
      <c r="D15" s="108">
        <f>Statement!N6</f>
        <v>16956</v>
      </c>
      <c r="E15" s="108">
        <f>Statement!O6</f>
        <v>19498</v>
      </c>
      <c r="F15" s="108">
        <f>Statement!P6</f>
        <v>22505</v>
      </c>
      <c r="G15" s="109">
        <f>Statement!Q6</f>
        <v>25684</v>
      </c>
      <c r="H15" s="110">
        <f>SUM(H11:H14)</f>
        <v>37016.584000000003</v>
      </c>
      <c r="I15" s="110">
        <f>SUM(I11:I14)</f>
        <v>39688.058749999997</v>
      </c>
      <c r="J15" s="110">
        <f t="shared" ref="J15:L15" si="8">SUM(J11:J14)</f>
        <v>46738.174125000005</v>
      </c>
      <c r="K15" s="110">
        <f t="shared" si="8"/>
        <v>47762.262945000002</v>
      </c>
      <c r="L15" s="110">
        <f t="shared" si="8"/>
        <v>32895.956819999999</v>
      </c>
      <c r="N15" s="91"/>
      <c r="O15" s="16" t="str">
        <f t="shared" si="5"/>
        <v>COGS</v>
      </c>
      <c r="P15" s="108">
        <f>Statement!T6</f>
        <v>5361</v>
      </c>
      <c r="Q15" s="108">
        <f>Statement!U6</f>
        <v>5090</v>
      </c>
      <c r="R15" s="108">
        <f>Statement!V6</f>
        <v>5793</v>
      </c>
      <c r="S15" s="108">
        <f>Statement!W6</f>
        <v>6261</v>
      </c>
      <c r="T15" s="108">
        <f>Statement!X6</f>
        <v>5997</v>
      </c>
      <c r="U15" s="108">
        <f>Statement!Y6</f>
        <v>6105</v>
      </c>
      <c r="V15" s="108">
        <f>Statement!Z6</f>
        <v>6400</v>
      </c>
      <c r="W15" s="109">
        <f>Statement!AA6</f>
        <v>7182</v>
      </c>
      <c r="X15" s="110">
        <f>SUM(X11:X14)</f>
        <v>8524.3773000000001</v>
      </c>
      <c r="Y15" s="110"/>
      <c r="Z15" s="110"/>
      <c r="AB15" s="110">
        <f>SUM(AB11:AB14)</f>
        <v>27727.927299999999</v>
      </c>
    </row>
    <row r="16" spans="1:30" x14ac:dyDescent="0.2">
      <c r="B16" s="1" t="str">
        <f>Statement!B8</f>
        <v>R&amp;D</v>
      </c>
      <c r="C16" s="98">
        <f>Statement!M8</f>
        <v>3116</v>
      </c>
      <c r="D16" s="98">
        <f>Statement!N8</f>
        <v>3114</v>
      </c>
      <c r="E16" s="98">
        <f>Statement!O8</f>
        <v>3430</v>
      </c>
      <c r="F16" s="98">
        <f>Statement!P8</f>
        <v>3798</v>
      </c>
      <c r="G16" s="99">
        <f>Statement!Q8</f>
        <v>5650</v>
      </c>
      <c r="H16" s="24">
        <f>H6*H29</f>
        <v>9716.8533000000007</v>
      </c>
      <c r="I16" s="24">
        <f t="shared" ref="I16:L16" si="9">I6*I29</f>
        <v>12700.1788</v>
      </c>
      <c r="J16" s="24">
        <f t="shared" si="9"/>
        <v>14956.21572</v>
      </c>
      <c r="K16" s="24">
        <f t="shared" si="9"/>
        <v>11144.5280205</v>
      </c>
      <c r="L16" s="24">
        <f t="shared" si="9"/>
        <v>6579.1913640000002</v>
      </c>
      <c r="N16" s="91"/>
      <c r="O16" s="39" t="str">
        <f t="shared" si="5"/>
        <v>R&amp;D</v>
      </c>
      <c r="P16" s="98">
        <f>Statement!T8</f>
        <v>888</v>
      </c>
      <c r="Q16" s="98">
        <f>Statement!U8</f>
        <v>898</v>
      </c>
      <c r="R16" s="98">
        <f>Statement!V8</f>
        <v>965</v>
      </c>
      <c r="S16" s="98">
        <f>Statement!W8</f>
        <v>1047</v>
      </c>
      <c r="T16" s="98">
        <f>Statement!X8</f>
        <v>1171</v>
      </c>
      <c r="U16" s="98">
        <f>Statement!Y8</f>
        <v>1250</v>
      </c>
      <c r="V16" s="98">
        <f>Statement!Z8</f>
        <v>1316</v>
      </c>
      <c r="W16" s="99">
        <f>Statement!AA8</f>
        <v>1913</v>
      </c>
      <c r="X16" s="25">
        <f>X29*X$6</f>
        <v>1482.5003999999999</v>
      </c>
      <c r="Y16" s="24"/>
      <c r="Z16" s="24"/>
      <c r="AB16" s="24">
        <f t="shared" ref="AB16:AB19" si="10">SUM(U16:X16)</f>
        <v>5961.5003999999999</v>
      </c>
    </row>
    <row r="17" spans="2:28" x14ac:dyDescent="0.2">
      <c r="B17" s="1" t="str">
        <f>Statement!B9</f>
        <v>Sales and marketing</v>
      </c>
      <c r="C17" s="98">
        <f>Statement!M9</f>
        <v>1066</v>
      </c>
      <c r="D17" s="98">
        <f>Statement!N9</f>
        <v>920</v>
      </c>
      <c r="E17" s="98">
        <f>Statement!O9</f>
        <v>1129</v>
      </c>
      <c r="F17" s="98">
        <f>Statement!P9</f>
        <v>1205</v>
      </c>
      <c r="G17" s="99">
        <f>Statement!Q9</f>
        <v>1947</v>
      </c>
      <c r="H17" s="24">
        <f>H6*H30</f>
        <v>3470.3047499999998</v>
      </c>
      <c r="I17" s="24">
        <f t="shared" ref="I17:L17" si="11">I6*I30</f>
        <v>6350.0893999999998</v>
      </c>
      <c r="J17" s="24">
        <f t="shared" si="11"/>
        <v>7478.1078600000001</v>
      </c>
      <c r="K17" s="24">
        <f t="shared" si="11"/>
        <v>4776.2262944999993</v>
      </c>
      <c r="L17" s="24">
        <f t="shared" si="11"/>
        <v>6579.1913640000002</v>
      </c>
      <c r="M17" s="90"/>
      <c r="N17" s="90"/>
      <c r="O17" s="39" t="str">
        <f t="shared" si="5"/>
        <v>Sales and marketing</v>
      </c>
      <c r="P17" s="98">
        <f>Statement!T9</f>
        <v>288</v>
      </c>
      <c r="Q17" s="98">
        <f>Statement!U9</f>
        <v>285</v>
      </c>
      <c r="R17" s="98">
        <f>Statement!V9</f>
        <v>318</v>
      </c>
      <c r="S17" s="98">
        <f>Statement!W9</f>
        <v>314</v>
      </c>
      <c r="T17" s="98">
        <f>Statement!X9</f>
        <v>337</v>
      </c>
      <c r="U17" s="98">
        <f>Statement!Y9</f>
        <v>344</v>
      </c>
      <c r="V17" s="98">
        <f>Statement!Z9</f>
        <v>407</v>
      </c>
      <c r="W17" s="99">
        <f>Statement!AA9</f>
        <v>859</v>
      </c>
      <c r="X17" s="25">
        <f>X30*X$6</f>
        <v>803.02104999999995</v>
      </c>
      <c r="Y17" s="24"/>
      <c r="Z17" s="24"/>
      <c r="AB17" s="24">
        <f t="shared" si="10"/>
        <v>2413.0210499999998</v>
      </c>
    </row>
    <row r="18" spans="2:28" x14ac:dyDescent="0.2">
      <c r="B18" s="1" t="str">
        <f>Statement!B10</f>
        <v>Other income/expense</v>
      </c>
      <c r="C18" s="98">
        <f>Statement!M10</f>
        <v>14</v>
      </c>
      <c r="D18" s="98">
        <f>Statement!N10</f>
        <v>295</v>
      </c>
      <c r="E18" s="98">
        <f>Statement!O10</f>
        <v>-250</v>
      </c>
      <c r="F18" s="98">
        <f>Statement!P10</f>
        <v>100</v>
      </c>
      <c r="G18" s="99">
        <f>Statement!Q10</f>
        <v>567</v>
      </c>
      <c r="H18" s="235">
        <v>150</v>
      </c>
      <c r="I18" s="235">
        <v>150</v>
      </c>
      <c r="J18" s="235">
        <v>150</v>
      </c>
      <c r="K18" s="235">
        <v>150</v>
      </c>
      <c r="L18" s="235">
        <v>150</v>
      </c>
      <c r="M18" s="90"/>
      <c r="N18" s="90"/>
      <c r="O18" s="39" t="str">
        <f t="shared" si="5"/>
        <v>Other income/expense</v>
      </c>
      <c r="P18" s="98">
        <f>Statement!T10</f>
        <v>-2</v>
      </c>
      <c r="Q18" s="98">
        <f>Statement!U10</f>
        <v>7</v>
      </c>
      <c r="R18" s="98">
        <f>Statement!V10</f>
        <v>56</v>
      </c>
      <c r="S18" s="98">
        <f>Statement!W10</f>
        <v>39</v>
      </c>
      <c r="T18" s="98">
        <f>Statement!X10</f>
        <v>2</v>
      </c>
      <c r="U18" s="98">
        <f>Statement!Y10</f>
        <v>26</v>
      </c>
      <c r="V18" s="98">
        <f>Statement!Z10</f>
        <v>15</v>
      </c>
      <c r="W18" s="99">
        <f>Statement!AA10</f>
        <v>524</v>
      </c>
      <c r="X18" s="235">
        <v>150</v>
      </c>
      <c r="Y18" s="24"/>
      <c r="Z18" s="24"/>
      <c r="AB18" s="24">
        <f t="shared" si="10"/>
        <v>715</v>
      </c>
    </row>
    <row r="19" spans="2:28" x14ac:dyDescent="0.2">
      <c r="B19" s="16" t="s">
        <v>24</v>
      </c>
      <c r="C19" s="108">
        <f>Statement!M11</f>
        <v>4196</v>
      </c>
      <c r="D19" s="108">
        <f>Statement!N11</f>
        <v>4329</v>
      </c>
      <c r="E19" s="108">
        <f>Statement!O11</f>
        <v>4309</v>
      </c>
      <c r="F19" s="108">
        <f>Statement!P11</f>
        <v>5103</v>
      </c>
      <c r="G19" s="109">
        <f>Statement!Q11</f>
        <v>8164</v>
      </c>
      <c r="H19" s="110">
        <f>SUM(H16:H18)</f>
        <v>13337.15805</v>
      </c>
      <c r="I19" s="110">
        <f>SUM(I16:I18)</f>
        <v>19200.268199999999</v>
      </c>
      <c r="J19" s="110">
        <f>SUM(J16:J18)</f>
        <v>22584.32358</v>
      </c>
      <c r="K19" s="110">
        <f>SUM(K16:K18)</f>
        <v>16070.754314999998</v>
      </c>
      <c r="L19" s="110">
        <f>SUM(L16:L18)</f>
        <v>13308.382728</v>
      </c>
      <c r="M19" s="90"/>
      <c r="N19" s="90"/>
      <c r="O19" s="16" t="str">
        <f t="shared" si="5"/>
        <v>OpEx</v>
      </c>
      <c r="P19" s="108">
        <f>Statement!T11</f>
        <v>1174</v>
      </c>
      <c r="Q19" s="108">
        <f>Statement!U11</f>
        <v>1190</v>
      </c>
      <c r="R19" s="108">
        <f>Statement!V11</f>
        <v>1339</v>
      </c>
      <c r="S19" s="108">
        <f>Statement!W11</f>
        <v>1400</v>
      </c>
      <c r="T19" s="108">
        <f>Statement!X11</f>
        <v>1510</v>
      </c>
      <c r="U19" s="108">
        <f>Statement!Y11</f>
        <v>1620</v>
      </c>
      <c r="V19" s="108">
        <f>Statement!Z11</f>
        <v>1738</v>
      </c>
      <c r="W19" s="109">
        <f>Statement!AA11</f>
        <v>3296</v>
      </c>
      <c r="X19" s="110">
        <f>SUM(X16:X18)</f>
        <v>2435.5214499999997</v>
      </c>
      <c r="Y19" s="110"/>
      <c r="Z19" s="110"/>
      <c r="AB19" s="110">
        <f t="shared" si="10"/>
        <v>9089.5214500000002</v>
      </c>
    </row>
    <row r="22" spans="2:28" x14ac:dyDescent="0.2">
      <c r="C22" s="255" t="s">
        <v>128</v>
      </c>
      <c r="D22" s="255"/>
      <c r="E22" s="255"/>
      <c r="F22" s="255"/>
      <c r="G22" s="255"/>
      <c r="H22" s="255"/>
      <c r="I22" s="255"/>
      <c r="J22" s="255"/>
      <c r="K22" s="255"/>
      <c r="L22" s="255"/>
      <c r="P22" s="257" t="s">
        <v>128</v>
      </c>
      <c r="Q22" s="257"/>
      <c r="R22" s="257"/>
      <c r="S22" s="257"/>
      <c r="T22" s="257"/>
      <c r="U22" s="257"/>
      <c r="V22" s="257"/>
      <c r="W22" s="257"/>
      <c r="X22" s="257"/>
      <c r="Y22" s="257"/>
      <c r="Z22" s="257"/>
    </row>
    <row r="23" spans="2:28" x14ac:dyDescent="0.2">
      <c r="B23" s="16" t="s">
        <v>129</v>
      </c>
      <c r="C23" s="12">
        <f t="shared" ref="C23:L23" si="12">C5</f>
        <v>2022</v>
      </c>
      <c r="D23" s="12">
        <f t="shared" si="12"/>
        <v>2023</v>
      </c>
      <c r="E23" s="12">
        <f t="shared" si="12"/>
        <v>2024</v>
      </c>
      <c r="F23" s="12">
        <f t="shared" si="12"/>
        <v>2025</v>
      </c>
      <c r="G23" s="12">
        <f t="shared" si="12"/>
        <v>2026</v>
      </c>
      <c r="H23" s="12">
        <f t="shared" si="12"/>
        <v>2027</v>
      </c>
      <c r="I23" s="12">
        <f t="shared" si="12"/>
        <v>2028</v>
      </c>
      <c r="J23" s="12">
        <f t="shared" si="12"/>
        <v>2029</v>
      </c>
      <c r="K23" s="12">
        <f t="shared" si="12"/>
        <v>2030</v>
      </c>
      <c r="L23" s="12">
        <f t="shared" si="12"/>
        <v>2031</v>
      </c>
      <c r="O23" s="16" t="s">
        <v>129</v>
      </c>
      <c r="P23" s="12" t="str">
        <f t="shared" ref="P23:Z23" si="13">P5</f>
        <v>Q1 2025</v>
      </c>
      <c r="Q23" s="12" t="str">
        <f t="shared" si="13"/>
        <v>Q2 2025</v>
      </c>
      <c r="R23" s="12" t="str">
        <f t="shared" si="13"/>
        <v>Q3 2025</v>
      </c>
      <c r="S23" s="12" t="str">
        <f t="shared" si="13"/>
        <v>Q4 2025</v>
      </c>
      <c r="T23" s="12" t="str">
        <f t="shared" si="13"/>
        <v>Q1 2026</v>
      </c>
      <c r="U23" s="12" t="str">
        <f t="shared" si="13"/>
        <v>Q2 2026</v>
      </c>
      <c r="V23" s="12" t="str">
        <f t="shared" si="13"/>
        <v>Q3 2026</v>
      </c>
      <c r="W23" s="12" t="str">
        <f t="shared" si="13"/>
        <v>Q4 2026</v>
      </c>
      <c r="X23" s="12" t="str">
        <f t="shared" si="13"/>
        <v>FQ1</v>
      </c>
      <c r="Y23" s="12" t="str">
        <f t="shared" si="13"/>
        <v>FQ2</v>
      </c>
      <c r="Z23" s="12" t="str">
        <f t="shared" si="13"/>
        <v>FQ3</v>
      </c>
    </row>
    <row r="24" spans="2:28" x14ac:dyDescent="0.2">
      <c r="B24" s="1" t="str">
        <f>B11</f>
        <v>Cloud Memory</v>
      </c>
      <c r="C24" s="95">
        <f>C11/C$6</f>
        <v>0</v>
      </c>
      <c r="D24" s="95">
        <f>D11/D$6</f>
        <v>0.11589446589446589</v>
      </c>
      <c r="E24" s="95">
        <f>E11/E$6</f>
        <v>0.10660666640117876</v>
      </c>
      <c r="F24" s="95">
        <f>F11/F$6</f>
        <v>0.15696398951254747</v>
      </c>
      <c r="G24" s="96">
        <f>G11/G$6</f>
        <v>6.65608763552272E-2</v>
      </c>
      <c r="H24" s="97">
        <v>0.05</v>
      </c>
      <c r="I24" s="97">
        <v>0.04</v>
      </c>
      <c r="J24" s="97">
        <v>0.04</v>
      </c>
      <c r="K24" s="97">
        <v>4.4999999999999998E-2</v>
      </c>
      <c r="L24" s="97">
        <v>4.4999999999999998E-2</v>
      </c>
      <c r="O24" s="1" t="str">
        <f>O11</f>
        <v>Cloud Memory</v>
      </c>
      <c r="P24" s="95">
        <f t="shared" ref="P24:W24" si="14">P11/P$6</f>
        <v>0.14846710299689975</v>
      </c>
      <c r="Q24" s="95">
        <f t="shared" si="14"/>
        <v>0.16354153731528623</v>
      </c>
      <c r="R24" s="95">
        <f t="shared" si="14"/>
        <v>0.15213417912052468</v>
      </c>
      <c r="S24" s="95">
        <f t="shared" si="14"/>
        <v>0.16279275298276624</v>
      </c>
      <c r="T24" s="95">
        <f t="shared" si="14"/>
        <v>0.13318185149893719</v>
      </c>
      <c r="U24" s="95">
        <f t="shared" si="14"/>
        <v>8.3906119027661361E-2</v>
      </c>
      <c r="V24" s="95">
        <f t="shared" si="14"/>
        <v>5.4949826321883444E-2</v>
      </c>
      <c r="W24" s="96">
        <f t="shared" si="14"/>
        <v>5.1044828412841838E-2</v>
      </c>
      <c r="X24" s="97">
        <v>0.05</v>
      </c>
      <c r="Y24" s="97"/>
      <c r="Z24" s="97"/>
    </row>
    <row r="25" spans="2:28" x14ac:dyDescent="0.2">
      <c r="B25" s="1" t="str">
        <f>B12</f>
        <v>Core Data Center</v>
      </c>
      <c r="C25" s="95">
        <f>C12/C$6</f>
        <v>0</v>
      </c>
      <c r="D25" s="95">
        <f t="shared" ref="D25:G25" si="15">D12/D$6</f>
        <v>0.12657657657657659</v>
      </c>
      <c r="E25" s="95">
        <f t="shared" si="15"/>
        <v>0.14487674724224445</v>
      </c>
      <c r="F25" s="95">
        <f t="shared" si="15"/>
        <v>0.10688105302584408</v>
      </c>
      <c r="G25" s="96">
        <f t="shared" si="15"/>
        <v>4.4712736883202688E-2</v>
      </c>
      <c r="H25" s="97">
        <v>0.04</v>
      </c>
      <c r="I25" s="97">
        <v>0.03</v>
      </c>
      <c r="J25" s="97">
        <v>0.03</v>
      </c>
      <c r="K25" s="97">
        <v>3.5000000000000003E-2</v>
      </c>
      <c r="L25" s="97">
        <v>3.5000000000000003E-2</v>
      </c>
      <c r="O25" s="1" t="str">
        <f>O12</f>
        <v>Core Data Center</v>
      </c>
      <c r="P25" s="95">
        <f>P12/P$6</f>
        <v>0.13193248363761625</v>
      </c>
      <c r="Q25" s="95">
        <f t="shared" ref="Q25:W25" si="16">Q12/Q$6</f>
        <v>0.12007947348814106</v>
      </c>
      <c r="R25" s="95">
        <f t="shared" si="16"/>
        <v>0.10278464681217074</v>
      </c>
      <c r="S25" s="95">
        <f t="shared" si="16"/>
        <v>8.1573133009279722E-2</v>
      </c>
      <c r="T25" s="95">
        <f t="shared" si="16"/>
        <v>8.4805394707908821E-2</v>
      </c>
      <c r="U25" s="95">
        <f t="shared" si="16"/>
        <v>6.1232187761944674E-2</v>
      </c>
      <c r="V25" s="95">
        <f t="shared" si="16"/>
        <v>3.70754534928599E-2</v>
      </c>
      <c r="W25" s="96">
        <f t="shared" si="16"/>
        <v>3.3196260303527632E-2</v>
      </c>
      <c r="X25" s="97">
        <v>3.5000000000000003E-2</v>
      </c>
      <c r="Y25" s="97"/>
      <c r="Z25" s="97"/>
    </row>
    <row r="26" spans="2:28" x14ac:dyDescent="0.2">
      <c r="B26" s="1" t="str">
        <f>B13</f>
        <v>Mobile and Client</v>
      </c>
      <c r="C26" s="95">
        <f>C13/C$6</f>
        <v>0</v>
      </c>
      <c r="D26" s="95">
        <f t="shared" ref="D26:G26" si="17">D13/D$6</f>
        <v>0.58378378378378382</v>
      </c>
      <c r="E26" s="95">
        <f t="shared" si="17"/>
        <v>0.40707259766636134</v>
      </c>
      <c r="F26" s="95">
        <f t="shared" si="17"/>
        <v>0.23141955160789771</v>
      </c>
      <c r="G26" s="96">
        <f t="shared" si="17"/>
        <v>4.8062888548517882E-2</v>
      </c>
      <c r="H26" s="97">
        <v>4.4999999999999998E-2</v>
      </c>
      <c r="I26" s="97">
        <v>3.5000000000000003E-2</v>
      </c>
      <c r="J26" s="97">
        <v>3.5000000000000003E-2</v>
      </c>
      <c r="K26" s="97">
        <v>0.04</v>
      </c>
      <c r="L26" s="97">
        <v>0.04</v>
      </c>
      <c r="O26" s="1" t="str">
        <f>O13</f>
        <v>Mobile and Client</v>
      </c>
      <c r="P26" s="95">
        <f>P13/P$6</f>
        <v>0.21805029280055116</v>
      </c>
      <c r="Q26" s="95">
        <f t="shared" ref="Q26:W26" si="18">Q13/Q$6</f>
        <v>0.23519185396746553</v>
      </c>
      <c r="R26" s="95">
        <f t="shared" si="18"/>
        <v>0.26524029674228577</v>
      </c>
      <c r="S26" s="95">
        <f t="shared" si="18"/>
        <v>0.21122403888643393</v>
      </c>
      <c r="T26" s="95">
        <f t="shared" si="18"/>
        <v>0.14439639375503921</v>
      </c>
      <c r="U26" s="95">
        <f t="shared" si="18"/>
        <v>6.9446772841575855E-2</v>
      </c>
      <c r="V26" s="95">
        <f t="shared" si="18"/>
        <v>3.5290428406020841E-2</v>
      </c>
      <c r="W26" s="96">
        <f t="shared" si="18"/>
        <v>2.4182632908591347E-2</v>
      </c>
      <c r="X26" s="97">
        <v>0.03</v>
      </c>
      <c r="Y26" s="97"/>
      <c r="Z26" s="97"/>
    </row>
    <row r="27" spans="2:28" x14ac:dyDescent="0.2">
      <c r="B27" s="1" t="str">
        <f>B14</f>
        <v>Automotive and Embedded</v>
      </c>
      <c r="C27" s="95">
        <f>C14/C$6</f>
        <v>0</v>
      </c>
      <c r="D27" s="95">
        <f t="shared" ref="D27:G27" si="19">D14/D$6</f>
        <v>0.18693693693693694</v>
      </c>
      <c r="E27" s="95">
        <f t="shared" si="19"/>
        <v>0.14328381983991079</v>
      </c>
      <c r="F27" s="95">
        <f t="shared" si="19"/>
        <v>9.5403713414307881E-2</v>
      </c>
      <c r="G27" s="96">
        <f t="shared" si="19"/>
        <v>2.9040454094963513E-2</v>
      </c>
      <c r="H27" s="97">
        <v>2.5000000000000001E-2</v>
      </c>
      <c r="I27" s="97">
        <v>0.02</v>
      </c>
      <c r="J27" s="97">
        <v>0.02</v>
      </c>
      <c r="K27" s="97">
        <v>0.03</v>
      </c>
      <c r="L27" s="97">
        <v>0.03</v>
      </c>
      <c r="O27" s="1" t="str">
        <f>O14</f>
        <v>Automotive and Embedded</v>
      </c>
      <c r="P27" s="95">
        <f>P14/P$6</f>
        <v>0.10586749339763463</v>
      </c>
      <c r="Q27" s="95">
        <f t="shared" ref="Q27:W27" si="20">Q14/Q$6</f>
        <v>0.1018254066807401</v>
      </c>
      <c r="R27" s="95">
        <f t="shared" si="20"/>
        <v>8.9990323621116003E-2</v>
      </c>
      <c r="S27" s="95">
        <f t="shared" si="20"/>
        <v>8.7229341581970835E-2</v>
      </c>
      <c r="T27" s="95">
        <f t="shared" si="20"/>
        <v>6.9046397419922301E-2</v>
      </c>
      <c r="U27" s="95">
        <f t="shared" si="20"/>
        <v>3.6001676445934619E-2</v>
      </c>
      <c r="V27" s="95">
        <f t="shared" si="20"/>
        <v>2.3518911617136241E-2</v>
      </c>
      <c r="W27" s="96">
        <f t="shared" si="20"/>
        <v>2.0133876708034446E-2</v>
      </c>
      <c r="X27" s="97">
        <v>2.3E-2</v>
      </c>
      <c r="Y27" s="97"/>
      <c r="Z27" s="97"/>
    </row>
    <row r="28" spans="2:28" x14ac:dyDescent="0.2">
      <c r="B28" s="16" t="str">
        <f t="shared" ref="B28" si="21">B15</f>
        <v>COGS</v>
      </c>
      <c r="C28" s="103">
        <f>C15/C$6</f>
        <v>0.54815007477729372</v>
      </c>
      <c r="D28" s="103">
        <f t="shared" ref="D28:L28" si="22">D15/D$6</f>
        <v>1.0911196911196912</v>
      </c>
      <c r="E28" s="103">
        <f t="shared" si="22"/>
        <v>0.77647246226753219</v>
      </c>
      <c r="F28" s="103">
        <f t="shared" si="22"/>
        <v>0.60209213976135689</v>
      </c>
      <c r="G28" s="104">
        <f t="shared" si="22"/>
        <v>0.19284019581343664</v>
      </c>
      <c r="H28" s="103">
        <f t="shared" si="22"/>
        <v>0.16</v>
      </c>
      <c r="I28" s="103">
        <f t="shared" si="22"/>
        <v>0.125</v>
      </c>
      <c r="J28" s="103">
        <f t="shared" si="22"/>
        <v>0.12500000000000003</v>
      </c>
      <c r="K28" s="103">
        <f t="shared" si="22"/>
        <v>0.15000000000000002</v>
      </c>
      <c r="L28" s="103">
        <f t="shared" si="22"/>
        <v>0.15</v>
      </c>
      <c r="O28" s="16" t="str">
        <f t="shared" ref="O28:O30" si="23">O15</f>
        <v>COGS</v>
      </c>
      <c r="P28" s="103">
        <f>P15/P$6</f>
        <v>0.61557009989665867</v>
      </c>
      <c r="Q28" s="103">
        <f t="shared" ref="Q28:V28" si="24">Q15/Q$6</f>
        <v>0.63206258537191107</v>
      </c>
      <c r="R28" s="103">
        <f t="shared" si="24"/>
        <v>0.62283625416621868</v>
      </c>
      <c r="S28" s="103">
        <f t="shared" si="24"/>
        <v>0.55333627927529827</v>
      </c>
      <c r="T28" s="103">
        <f t="shared" si="24"/>
        <v>0.43956607784211682</v>
      </c>
      <c r="U28" s="103">
        <f t="shared" si="24"/>
        <v>0.25586756077116513</v>
      </c>
      <c r="V28" s="103">
        <f t="shared" si="24"/>
        <v>0.15438054805094559</v>
      </c>
      <c r="W28" s="104">
        <f t="shared" ref="W28:X30" si="25">W15/W$6</f>
        <v>0.1324383632373822</v>
      </c>
      <c r="X28" s="103">
        <f t="shared" si="25"/>
        <v>0.13800000000000001</v>
      </c>
      <c r="Y28" s="16"/>
      <c r="Z28" s="16"/>
    </row>
    <row r="29" spans="2:28" x14ac:dyDescent="0.2">
      <c r="B29" s="1" t="str">
        <f>B16</f>
        <v>R&amp;D</v>
      </c>
      <c r="C29" s="95">
        <f t="shared" ref="C29:G29" si="26">C16/C$6</f>
        <v>0.10130697704662202</v>
      </c>
      <c r="D29" s="95">
        <f t="shared" si="26"/>
        <v>0.20038610038610039</v>
      </c>
      <c r="E29" s="95">
        <f t="shared" si="26"/>
        <v>0.13659352475010952</v>
      </c>
      <c r="F29" s="95">
        <f t="shared" si="26"/>
        <v>0.10161057306436941</v>
      </c>
      <c r="G29" s="96">
        <f t="shared" si="26"/>
        <v>4.2421239150674236E-2</v>
      </c>
      <c r="H29" s="97">
        <v>4.2000000000000003E-2</v>
      </c>
      <c r="I29" s="97">
        <v>0.04</v>
      </c>
      <c r="J29" s="97">
        <v>0.04</v>
      </c>
      <c r="K29" s="97">
        <v>3.5000000000000003E-2</v>
      </c>
      <c r="L29" s="97">
        <v>0.03</v>
      </c>
      <c r="O29" s="1" t="str">
        <f t="shared" si="23"/>
        <v>R&amp;D</v>
      </c>
      <c r="P29" s="95">
        <f>P16/P$6</f>
        <v>0.10196348604891492</v>
      </c>
      <c r="Q29" s="95">
        <f t="shared" ref="Q29:V29" si="27">Q16/Q$6</f>
        <v>0.11151123804793245</v>
      </c>
      <c r="R29" s="95">
        <f t="shared" si="27"/>
        <v>0.10375228470056982</v>
      </c>
      <c r="S29" s="95">
        <f t="shared" si="27"/>
        <v>9.253203711886876E-2</v>
      </c>
      <c r="T29" s="95">
        <f t="shared" si="27"/>
        <v>8.5831561973173057E-2</v>
      </c>
      <c r="U29" s="95">
        <f t="shared" si="27"/>
        <v>5.2388935456831515E-2</v>
      </c>
      <c r="V29" s="95">
        <f t="shared" si="27"/>
        <v>3.1744500192975686E-2</v>
      </c>
      <c r="W29" s="96">
        <f t="shared" si="25"/>
        <v>3.5276328163897544E-2</v>
      </c>
      <c r="X29" s="97">
        <v>2.4E-2</v>
      </c>
      <c r="Y29" s="97"/>
      <c r="Z29" s="97"/>
    </row>
    <row r="30" spans="2:28" x14ac:dyDescent="0.2">
      <c r="B30" s="1" t="str">
        <f t="shared" ref="B30" si="28">B17</f>
        <v>Sales and marketing</v>
      </c>
      <c r="C30" s="95">
        <f t="shared" ref="C30:G30" si="29">C17/C$6</f>
        <v>3.4657650042265425E-2</v>
      </c>
      <c r="D30" s="95">
        <f t="shared" si="29"/>
        <v>5.9202059202059204E-2</v>
      </c>
      <c r="E30" s="95">
        <f t="shared" si="29"/>
        <v>4.496037593086695E-2</v>
      </c>
      <c r="F30" s="95">
        <f t="shared" si="29"/>
        <v>3.2238214992776501E-2</v>
      </c>
      <c r="G30" s="96">
        <f t="shared" si="29"/>
        <v>1.4618434093161546E-2</v>
      </c>
      <c r="H30" s="97">
        <v>1.4999999999999999E-2</v>
      </c>
      <c r="I30" s="97">
        <v>0.02</v>
      </c>
      <c r="J30" s="97">
        <v>0.02</v>
      </c>
      <c r="K30" s="97">
        <v>1.4999999999999999E-2</v>
      </c>
      <c r="L30" s="97">
        <v>0.03</v>
      </c>
      <c r="O30" s="1" t="str">
        <f t="shared" si="23"/>
        <v>Sales and marketing</v>
      </c>
      <c r="P30" s="95">
        <f t="shared" ref="P30:V30" si="30">P17/P$6</f>
        <v>3.3069238718566998E-2</v>
      </c>
      <c r="Q30" s="95">
        <f t="shared" si="30"/>
        <v>3.5390537687818205E-2</v>
      </c>
      <c r="R30" s="95">
        <f t="shared" si="30"/>
        <v>3.4189872056768086E-2</v>
      </c>
      <c r="S30" s="95">
        <f t="shared" si="30"/>
        <v>2.7750773309765799E-2</v>
      </c>
      <c r="T30" s="95">
        <f t="shared" si="30"/>
        <v>2.4701312028146301E-2</v>
      </c>
      <c r="U30" s="95">
        <f t="shared" si="30"/>
        <v>1.4417435037720033E-2</v>
      </c>
      <c r="V30" s="95">
        <f t="shared" si="30"/>
        <v>9.8176379776148213E-3</v>
      </c>
      <c r="W30" s="96">
        <f t="shared" si="25"/>
        <v>1.5840233085618396E-2</v>
      </c>
      <c r="X30" s="97">
        <v>1.2999999999999999E-2</v>
      </c>
      <c r="Y30" s="97"/>
      <c r="Z30" s="97"/>
    </row>
    <row r="31" spans="2:28" x14ac:dyDescent="0.2">
      <c r="B31" s="16" t="str">
        <f>B19</f>
        <v>OpEx</v>
      </c>
      <c r="C31" s="103">
        <f>C19/C$6</f>
        <v>0.13641979322452696</v>
      </c>
      <c r="D31" s="103">
        <f t="shared" ref="D31:L31" si="31">D19/D$6</f>
        <v>0.27857142857142858</v>
      </c>
      <c r="E31" s="103">
        <f t="shared" si="31"/>
        <v>0.17159810441639123</v>
      </c>
      <c r="F31" s="103">
        <f t="shared" si="31"/>
        <v>0.13652415859596553</v>
      </c>
      <c r="G31" s="104">
        <f t="shared" si="31"/>
        <v>6.1296813526744154E-2</v>
      </c>
      <c r="H31" s="103">
        <f t="shared" si="31"/>
        <v>5.7648358044059392E-2</v>
      </c>
      <c r="I31" s="103">
        <f t="shared" si="31"/>
        <v>6.0472434293602231E-2</v>
      </c>
      <c r="J31" s="103">
        <f t="shared" si="31"/>
        <v>6.0401170998889551E-2</v>
      </c>
      <c r="K31" s="103">
        <f t="shared" si="31"/>
        <v>5.0471083206964244E-2</v>
      </c>
      <c r="L31" s="103">
        <f t="shared" si="31"/>
        <v>6.0683974633208432E-2</v>
      </c>
      <c r="O31" s="16" t="str">
        <f>O19</f>
        <v>OpEx</v>
      </c>
      <c r="P31" s="103">
        <f t="shared" ref="P31:X31" si="32">P19/P$6</f>
        <v>0.13480307727638074</v>
      </c>
      <c r="Q31" s="103">
        <f t="shared" si="32"/>
        <v>0.14777101701229356</v>
      </c>
      <c r="R31" s="103">
        <f t="shared" si="32"/>
        <v>0.14396301472959896</v>
      </c>
      <c r="S31" s="103">
        <f t="shared" si="32"/>
        <v>0.1237295625276182</v>
      </c>
      <c r="T31" s="103">
        <f t="shared" si="32"/>
        <v>0.11067946932492853</v>
      </c>
      <c r="U31" s="103">
        <f t="shared" si="32"/>
        <v>6.7896060352053644E-2</v>
      </c>
      <c r="V31" s="103">
        <f t="shared" si="32"/>
        <v>4.192396758008491E-2</v>
      </c>
      <c r="W31" s="104">
        <f t="shared" si="32"/>
        <v>6.0779287834922271E-2</v>
      </c>
      <c r="X31" s="103">
        <f t="shared" si="32"/>
        <v>3.9428329867566982E-2</v>
      </c>
      <c r="Y31" s="16"/>
      <c r="Z31" s="16"/>
    </row>
  </sheetData>
  <mergeCells count="10">
    <mergeCell ref="C9:L9"/>
    <mergeCell ref="P9:Z9"/>
    <mergeCell ref="C22:L22"/>
    <mergeCell ref="P22:Z22"/>
    <mergeCell ref="C2:G2"/>
    <mergeCell ref="H2:L2"/>
    <mergeCell ref="P2:W2"/>
    <mergeCell ref="X2:Z2"/>
    <mergeCell ref="C4:L4"/>
    <mergeCell ref="P4:Z4"/>
  </mergeCells>
  <pageMargins left="0.7" right="0.7" top="0.75" bottom="0.75" header="0.3" footer="0.3"/>
  <ignoredErrors>
    <ignoredError sqref="X15 AB15" formula="1"/>
  </ignoredError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A4AF9-34CA-DC41-86C9-B346AEC194A1}">
  <dimension ref="A1:AB46"/>
  <sheetViews>
    <sheetView topLeftCell="C37" zoomScale="189" zoomScaleNormal="100" workbookViewId="0">
      <selection activeCell="I21" sqref="I21"/>
    </sheetView>
  </sheetViews>
  <sheetFormatPr baseColWidth="10" defaultRowHeight="16" x14ac:dyDescent="0.2"/>
  <cols>
    <col min="1" max="1" width="2" style="83"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131</v>
      </c>
    </row>
    <row r="2" spans="1:28" s="83" customFormat="1" ht="18" customHeight="1" x14ac:dyDescent="0.2">
      <c r="A2" s="4"/>
      <c r="B2" s="82"/>
    </row>
    <row r="3" spans="1:28" x14ac:dyDescent="0.2">
      <c r="A3" s="4"/>
      <c r="C3" s="249" t="s">
        <v>113</v>
      </c>
      <c r="D3" s="249"/>
      <c r="E3" s="249"/>
      <c r="F3" s="249"/>
      <c r="G3" s="258"/>
      <c r="H3" s="259" t="s">
        <v>114</v>
      </c>
      <c r="I3" s="249"/>
      <c r="J3" s="249"/>
      <c r="K3" s="249"/>
      <c r="L3" s="249"/>
      <c r="P3" s="260"/>
      <c r="Q3" s="260"/>
      <c r="R3" s="260"/>
      <c r="S3" s="260"/>
      <c r="T3" s="260"/>
      <c r="U3" s="260"/>
      <c r="V3" s="260"/>
      <c r="W3" s="260"/>
      <c r="X3" s="260"/>
      <c r="Y3" s="260"/>
      <c r="Z3" s="260"/>
      <c r="AB3" s="113"/>
    </row>
    <row r="4" spans="1:28" ht="10" customHeight="1" x14ac:dyDescent="0.2"/>
    <row r="5" spans="1:28" ht="16" customHeight="1" x14ac:dyDescent="0.2">
      <c r="A5" s="86"/>
      <c r="B5" s="60"/>
      <c r="C5" s="255" t="s">
        <v>116</v>
      </c>
      <c r="D5" s="255"/>
      <c r="E5" s="255"/>
      <c r="F5" s="255"/>
      <c r="G5" s="255"/>
      <c r="H5" s="255"/>
      <c r="I5" s="255"/>
      <c r="J5" s="255"/>
      <c r="K5" s="255"/>
      <c r="L5" s="255"/>
      <c r="P5" s="260"/>
      <c r="Q5" s="260"/>
      <c r="R5" s="260"/>
      <c r="S5" s="260"/>
      <c r="T5" s="260"/>
      <c r="U5" s="260"/>
      <c r="V5" s="260"/>
      <c r="W5" s="260"/>
      <c r="X5" s="260"/>
      <c r="Y5" s="260"/>
      <c r="Z5" s="260"/>
      <c r="AB5" s="114"/>
    </row>
    <row r="6" spans="1:28" x14ac:dyDescent="0.2">
      <c r="B6" s="16" t="s">
        <v>117</v>
      </c>
      <c r="C6" s="12">
        <f>Revenue!C5</f>
        <v>2022</v>
      </c>
      <c r="D6" s="12">
        <f>Revenue!D5</f>
        <v>2023</v>
      </c>
      <c r="E6" s="12">
        <f>Revenue!E5</f>
        <v>2024</v>
      </c>
      <c r="F6" s="12">
        <f>Revenue!F5</f>
        <v>2025</v>
      </c>
      <c r="G6" s="12">
        <f>Revenue!G5</f>
        <v>2026</v>
      </c>
      <c r="H6" s="12">
        <f>G6+1</f>
        <v>2027</v>
      </c>
      <c r="I6" s="12">
        <f t="shared" ref="I6:L6" si="0">H6+1</f>
        <v>2028</v>
      </c>
      <c r="J6" s="12">
        <f t="shared" si="0"/>
        <v>2029</v>
      </c>
      <c r="K6" s="12">
        <f t="shared" si="0"/>
        <v>2030</v>
      </c>
      <c r="L6" s="12">
        <f t="shared" si="0"/>
        <v>2031</v>
      </c>
      <c r="O6" s="16"/>
      <c r="P6" s="115"/>
      <c r="Q6" s="115"/>
      <c r="R6" s="115"/>
      <c r="S6" s="115"/>
      <c r="T6" s="115"/>
      <c r="U6" s="115"/>
      <c r="V6" s="115"/>
      <c r="W6" s="115"/>
      <c r="X6" s="115"/>
      <c r="Y6" s="115"/>
      <c r="Z6" s="115"/>
      <c r="AB6" s="114"/>
    </row>
    <row r="7" spans="1:28" x14ac:dyDescent="0.2">
      <c r="B7" s="16" t="s">
        <v>19</v>
      </c>
      <c r="C7" s="92">
        <f>Revenue!C10</f>
        <v>30758</v>
      </c>
      <c r="D7" s="92">
        <f>Revenue!D10</f>
        <v>15540</v>
      </c>
      <c r="E7" s="92">
        <f>Revenue!E10</f>
        <v>25111</v>
      </c>
      <c r="F7" s="92">
        <f>Revenue!F10</f>
        <v>37378</v>
      </c>
      <c r="G7" s="93">
        <f>Revenue!G10</f>
        <v>133188</v>
      </c>
      <c r="H7" s="92">
        <f>Revenue!H10</f>
        <v>231353.65</v>
      </c>
      <c r="I7" s="92">
        <f>Revenue!I10</f>
        <v>317504.46999999997</v>
      </c>
      <c r="J7" s="92">
        <f>Revenue!J10</f>
        <v>373905.39299999998</v>
      </c>
      <c r="K7" s="92">
        <f>Revenue!K10</f>
        <v>318415.08629999997</v>
      </c>
      <c r="L7" s="92">
        <f>Revenue!L10</f>
        <v>219306.37880000001</v>
      </c>
      <c r="N7" s="91"/>
      <c r="O7" s="16"/>
      <c r="P7" s="92"/>
      <c r="Q7" s="92"/>
      <c r="R7" s="92"/>
      <c r="S7" s="92"/>
      <c r="T7" s="92"/>
      <c r="U7" s="92"/>
      <c r="V7" s="92"/>
      <c r="W7" s="92"/>
      <c r="X7" s="94"/>
      <c r="Y7" s="94"/>
      <c r="Z7" s="94"/>
      <c r="AB7" s="94"/>
    </row>
    <row r="8" spans="1:28" x14ac:dyDescent="0.2">
      <c r="B8" s="39" t="s">
        <v>20</v>
      </c>
      <c r="C8" s="116">
        <f>'COGS &amp; OpEx'!C15</f>
        <v>16860</v>
      </c>
      <c r="D8" s="116">
        <f>'COGS &amp; OpEx'!D15</f>
        <v>16956</v>
      </c>
      <c r="E8" s="116">
        <f>'COGS &amp; OpEx'!E15</f>
        <v>19498</v>
      </c>
      <c r="F8" s="116">
        <f>'COGS &amp; OpEx'!F15</f>
        <v>22505</v>
      </c>
      <c r="G8" s="117">
        <f>'COGS &amp; OpEx'!G15</f>
        <v>25684</v>
      </c>
      <c r="H8" s="116">
        <f>'COGS &amp; OpEx'!H15</f>
        <v>37016.584000000003</v>
      </c>
      <c r="I8" s="116">
        <f>'COGS &amp; OpEx'!I15</f>
        <v>39688.058749999997</v>
      </c>
      <c r="J8" s="116">
        <f>'COGS &amp; OpEx'!J15</f>
        <v>46738.174125000005</v>
      </c>
      <c r="K8" s="116">
        <f>'COGS &amp; OpEx'!K15</f>
        <v>47762.262945000002</v>
      </c>
      <c r="L8" s="116">
        <f>'COGS &amp; OpEx'!L15</f>
        <v>32895.956819999999</v>
      </c>
      <c r="N8" s="91"/>
      <c r="O8" s="16"/>
      <c r="P8" s="92"/>
      <c r="Q8" s="92"/>
      <c r="R8" s="92"/>
      <c r="S8" s="92"/>
      <c r="T8" s="92"/>
      <c r="U8" s="92"/>
      <c r="V8" s="92"/>
      <c r="W8" s="92"/>
      <c r="X8" s="94"/>
      <c r="Y8" s="94"/>
      <c r="Z8" s="94"/>
      <c r="AB8" s="94"/>
    </row>
    <row r="9" spans="1:28" x14ac:dyDescent="0.2">
      <c r="N9" s="91"/>
    </row>
    <row r="10" spans="1:28" x14ac:dyDescent="0.2">
      <c r="N10" s="91"/>
    </row>
    <row r="11" spans="1:28" x14ac:dyDescent="0.2">
      <c r="C11" s="255" t="s">
        <v>132</v>
      </c>
      <c r="D11" s="255"/>
      <c r="E11" s="255"/>
      <c r="F11" s="255"/>
      <c r="G11" s="255"/>
      <c r="H11" s="255"/>
      <c r="I11" s="255"/>
      <c r="J11" s="255"/>
      <c r="K11" s="255"/>
      <c r="L11" s="255"/>
      <c r="N11" s="91"/>
      <c r="P11" s="260"/>
      <c r="Q11" s="260"/>
      <c r="R11" s="260"/>
      <c r="S11" s="260"/>
      <c r="T11" s="260"/>
      <c r="U11" s="260"/>
      <c r="V11" s="260"/>
      <c r="W11" s="260"/>
      <c r="X11" s="260"/>
      <c r="Y11" s="260"/>
      <c r="Z11" s="260"/>
      <c r="AB11" s="114"/>
    </row>
    <row r="12" spans="1:28" x14ac:dyDescent="0.2">
      <c r="B12" s="16" t="s">
        <v>133</v>
      </c>
      <c r="C12" s="12">
        <f t="shared" ref="C12:L12" si="1">C6</f>
        <v>2022</v>
      </c>
      <c r="D12" s="12">
        <f t="shared" si="1"/>
        <v>2023</v>
      </c>
      <c r="E12" s="12">
        <f t="shared" si="1"/>
        <v>2024</v>
      </c>
      <c r="F12" s="12">
        <f t="shared" si="1"/>
        <v>2025</v>
      </c>
      <c r="G12" s="12">
        <f t="shared" si="1"/>
        <v>2026</v>
      </c>
      <c r="H12" s="12">
        <f t="shared" si="1"/>
        <v>2027</v>
      </c>
      <c r="I12" s="12">
        <f t="shared" si="1"/>
        <v>2028</v>
      </c>
      <c r="J12" s="12">
        <f t="shared" si="1"/>
        <v>2029</v>
      </c>
      <c r="K12" s="12">
        <f t="shared" si="1"/>
        <v>2030</v>
      </c>
      <c r="L12" s="12">
        <f t="shared" si="1"/>
        <v>2031</v>
      </c>
      <c r="N12" s="91"/>
      <c r="O12" s="16"/>
      <c r="P12" s="115"/>
      <c r="Q12" s="115"/>
      <c r="R12" s="115"/>
      <c r="S12" s="115"/>
      <c r="T12" s="115"/>
      <c r="U12" s="115"/>
      <c r="V12" s="115"/>
      <c r="W12" s="115"/>
      <c r="X12" s="115"/>
      <c r="Y12" s="115"/>
      <c r="Z12" s="115"/>
      <c r="AB12" s="114"/>
    </row>
    <row r="13" spans="1:28" x14ac:dyDescent="0.2">
      <c r="B13" s="39" t="s">
        <v>134</v>
      </c>
      <c r="C13" s="118">
        <f>Statement!M30</f>
        <v>5130</v>
      </c>
      <c r="D13" s="118">
        <f>Statement!N30</f>
        <v>2443</v>
      </c>
      <c r="E13" s="118">
        <f>Statement!O30</f>
        <v>6615</v>
      </c>
      <c r="F13" s="118">
        <f>Statement!P30</f>
        <v>9265</v>
      </c>
      <c r="G13" s="119">
        <f>Statement!Q30</f>
        <v>36197</v>
      </c>
      <c r="H13" s="25">
        <f>H20*H7/365</f>
        <v>53876.877397260272</v>
      </c>
      <c r="I13" s="25">
        <f>I20*I7/365</f>
        <v>73939.397123287665</v>
      </c>
      <c r="J13" s="25">
        <f>J20*J7/365</f>
        <v>87073.858643835614</v>
      </c>
      <c r="K13" s="25">
        <f>K20*K7/365</f>
        <v>74151.458453424653</v>
      </c>
      <c r="L13" s="25">
        <f>L20*L7/365</f>
        <v>51071.348487671232</v>
      </c>
      <c r="N13" s="91"/>
      <c r="O13" s="16"/>
      <c r="P13" s="120"/>
      <c r="Q13" s="120"/>
      <c r="R13" s="120"/>
      <c r="S13" s="120"/>
      <c r="T13" s="120"/>
      <c r="U13" s="120"/>
      <c r="V13" s="120"/>
      <c r="W13" s="120"/>
      <c r="X13" s="110"/>
      <c r="Y13" s="110"/>
      <c r="Z13" s="110"/>
      <c r="AB13" s="24"/>
    </row>
    <row r="14" spans="1:28" x14ac:dyDescent="0.2">
      <c r="B14" s="39" t="s">
        <v>135</v>
      </c>
      <c r="C14" s="118">
        <f>Statement!M31</f>
        <v>6663</v>
      </c>
      <c r="D14" s="118">
        <f>Statement!N31</f>
        <v>8387</v>
      </c>
      <c r="E14" s="118">
        <f>Statement!O31</f>
        <v>8875</v>
      </c>
      <c r="F14" s="118">
        <f>Statement!P31</f>
        <v>8355</v>
      </c>
      <c r="G14" s="119">
        <f>Statement!Q31</f>
        <v>10372</v>
      </c>
      <c r="H14" s="130">
        <f>H21*H8/365</f>
        <v>13183.988821917808</v>
      </c>
      <c r="I14" s="130">
        <f t="shared" ref="I14:L14" si="2">I21*I8/365</f>
        <v>14135.472979452054</v>
      </c>
      <c r="J14" s="130">
        <f t="shared" si="2"/>
        <v>16646.472976027399</v>
      </c>
      <c r="K14" s="130">
        <f t="shared" si="2"/>
        <v>17011.216939315069</v>
      </c>
      <c r="L14" s="130">
        <f t="shared" si="2"/>
        <v>11716.368182465752</v>
      </c>
      <c r="N14" s="91"/>
      <c r="O14" s="16"/>
      <c r="P14" s="120"/>
      <c r="Q14" s="120"/>
      <c r="R14" s="120"/>
      <c r="S14" s="120"/>
      <c r="T14" s="120"/>
      <c r="U14" s="120"/>
      <c r="V14" s="120"/>
      <c r="W14" s="120"/>
      <c r="X14" s="110"/>
      <c r="Y14" s="110"/>
      <c r="Z14" s="110"/>
      <c r="AB14" s="24"/>
    </row>
    <row r="15" spans="1:28" x14ac:dyDescent="0.2">
      <c r="B15" s="1" t="s">
        <v>136</v>
      </c>
      <c r="C15" s="118">
        <f>Statement!M38</f>
        <v>6090</v>
      </c>
      <c r="D15" s="118">
        <f>Statement!N38</f>
        <v>3958</v>
      </c>
      <c r="E15" s="118">
        <f>Statement!O38</f>
        <v>7299</v>
      </c>
      <c r="F15" s="118">
        <f>Statement!P38</f>
        <v>9649</v>
      </c>
      <c r="G15" s="119">
        <f>Statement!Q38</f>
        <v>22605</v>
      </c>
      <c r="H15" s="24">
        <f>H22*H8/365</f>
        <v>15212.294794520549</v>
      </c>
      <c r="I15" s="24">
        <f>I22*I8/365</f>
        <v>16310.161130136983</v>
      </c>
      <c r="J15" s="24">
        <f>J22*J8/365</f>
        <v>19207.468818493151</v>
      </c>
      <c r="K15" s="24">
        <f>K22*K8/365</f>
        <v>19628.327237671234</v>
      </c>
      <c r="L15" s="24">
        <f>L22*L8/365</f>
        <v>13518.886364383561</v>
      </c>
      <c r="N15" s="91"/>
      <c r="P15" s="121"/>
      <c r="Q15" s="121"/>
      <c r="R15" s="121"/>
      <c r="S15" s="121"/>
      <c r="T15" s="121"/>
      <c r="U15" s="121"/>
      <c r="V15" s="121"/>
      <c r="W15" s="121"/>
      <c r="X15" s="25"/>
      <c r="Y15" s="24"/>
      <c r="Z15" s="24"/>
      <c r="AB15" s="24"/>
    </row>
    <row r="16" spans="1:28" x14ac:dyDescent="0.2">
      <c r="D16" s="24"/>
    </row>
    <row r="18" spans="2:12" x14ac:dyDescent="0.2">
      <c r="C18" s="255" t="s">
        <v>137</v>
      </c>
      <c r="D18" s="255"/>
      <c r="E18" s="255"/>
      <c r="F18" s="255"/>
      <c r="G18" s="255"/>
      <c r="H18" s="255"/>
      <c r="I18" s="255"/>
      <c r="J18" s="255"/>
      <c r="K18" s="255"/>
      <c r="L18" s="255"/>
    </row>
    <row r="19" spans="2:12" x14ac:dyDescent="0.2">
      <c r="B19" s="16" t="s">
        <v>138</v>
      </c>
      <c r="C19" s="12">
        <f t="shared" ref="C19:L19" si="3">C6</f>
        <v>2022</v>
      </c>
      <c r="D19" s="12">
        <f t="shared" si="3"/>
        <v>2023</v>
      </c>
      <c r="E19" s="12">
        <f t="shared" si="3"/>
        <v>2024</v>
      </c>
      <c r="F19" s="12">
        <f t="shared" si="3"/>
        <v>2025</v>
      </c>
      <c r="G19" s="12">
        <f t="shared" si="3"/>
        <v>2026</v>
      </c>
      <c r="H19" s="12">
        <f t="shared" si="3"/>
        <v>2027</v>
      </c>
      <c r="I19" s="12">
        <f t="shared" si="3"/>
        <v>2028</v>
      </c>
      <c r="J19" s="12">
        <f t="shared" si="3"/>
        <v>2029</v>
      </c>
      <c r="K19" s="12">
        <f t="shared" si="3"/>
        <v>2030</v>
      </c>
      <c r="L19" s="12">
        <f t="shared" si="3"/>
        <v>2031</v>
      </c>
    </row>
    <row r="20" spans="2:12" x14ac:dyDescent="0.2">
      <c r="B20" s="1" t="s">
        <v>139</v>
      </c>
      <c r="C20" s="122">
        <f>C13/C7*365</f>
        <v>60.876845048442682</v>
      </c>
      <c r="D20" s="122">
        <f>D13/D7*365</f>
        <v>57.380630630630634</v>
      </c>
      <c r="E20" s="122">
        <f>E13/E7*365</f>
        <v>96.152084743737802</v>
      </c>
      <c r="F20" s="122">
        <f>F13/F7*365</f>
        <v>90.473674353898005</v>
      </c>
      <c r="G20" s="123">
        <f>G13/G7*365</f>
        <v>99.197412679820999</v>
      </c>
      <c r="H20" s="102">
        <v>85</v>
      </c>
      <c r="I20" s="102">
        <v>85</v>
      </c>
      <c r="J20" s="102">
        <v>85</v>
      </c>
      <c r="K20" s="102">
        <v>85</v>
      </c>
      <c r="L20" s="102">
        <v>85</v>
      </c>
    </row>
    <row r="21" spans="2:12" x14ac:dyDescent="0.2">
      <c r="B21" s="1" t="s">
        <v>140</v>
      </c>
      <c r="C21" s="122">
        <f>C14/C8*365</f>
        <v>144.24644128113877</v>
      </c>
      <c r="D21" s="122">
        <f t="shared" ref="D21:G21" si="4">D14/D8*365</f>
        <v>180.5411063930172</v>
      </c>
      <c r="E21" s="122">
        <f t="shared" si="4"/>
        <v>166.13883475228226</v>
      </c>
      <c r="F21" s="122">
        <f t="shared" si="4"/>
        <v>135.5065540990891</v>
      </c>
      <c r="G21" s="123">
        <f t="shared" si="4"/>
        <v>147.39838031459274</v>
      </c>
      <c r="H21" s="102">
        <v>130</v>
      </c>
      <c r="I21" s="102">
        <v>130</v>
      </c>
      <c r="J21" s="102">
        <v>130</v>
      </c>
      <c r="K21" s="102">
        <v>130</v>
      </c>
      <c r="L21" s="102">
        <v>130</v>
      </c>
    </row>
    <row r="22" spans="2:12" x14ac:dyDescent="0.2">
      <c r="B22" s="1" t="s">
        <v>141</v>
      </c>
      <c r="C22" s="122">
        <f>C15/C8*365</f>
        <v>131.84163701067615</v>
      </c>
      <c r="D22" s="122">
        <f>D15/D8*365</f>
        <v>85.201108752064172</v>
      </c>
      <c r="E22" s="122">
        <f>E15/E8*365</f>
        <v>136.63632167401784</v>
      </c>
      <c r="F22" s="122">
        <f>F15/F8*365</f>
        <v>156.4934459009109</v>
      </c>
      <c r="G22" s="123">
        <f>G15/G8*365</f>
        <v>321.24377044074129</v>
      </c>
      <c r="H22" s="102">
        <v>150</v>
      </c>
      <c r="I22" s="102">
        <v>150</v>
      </c>
      <c r="J22" s="102">
        <v>150</v>
      </c>
      <c r="K22" s="102">
        <v>150</v>
      </c>
      <c r="L22" s="102">
        <v>150</v>
      </c>
    </row>
    <row r="23" spans="2:12" x14ac:dyDescent="0.2">
      <c r="B23" s="1" t="s">
        <v>142</v>
      </c>
      <c r="C23" s="122">
        <f>C20+C21-C22</f>
        <v>73.281649318905295</v>
      </c>
      <c r="D23" s="122">
        <f t="shared" ref="D23:L23" si="5">D20+D21-D22</f>
        <v>152.72062827158368</v>
      </c>
      <c r="E23" s="122">
        <f t="shared" si="5"/>
        <v>125.65459782200224</v>
      </c>
      <c r="F23" s="122">
        <f t="shared" si="5"/>
        <v>69.486782552076193</v>
      </c>
      <c r="G23" s="123">
        <f t="shared" si="5"/>
        <v>-74.647977446327559</v>
      </c>
      <c r="H23" s="122">
        <f t="shared" si="5"/>
        <v>65</v>
      </c>
      <c r="I23" s="122">
        <f t="shared" si="5"/>
        <v>65</v>
      </c>
      <c r="J23" s="122">
        <f t="shared" si="5"/>
        <v>65</v>
      </c>
      <c r="K23" s="122">
        <f t="shared" si="5"/>
        <v>65</v>
      </c>
      <c r="L23" s="122">
        <f t="shared" si="5"/>
        <v>65</v>
      </c>
    </row>
    <row r="25" spans="2:12" x14ac:dyDescent="0.2">
      <c r="B25" s="260"/>
      <c r="C25" s="260"/>
    </row>
    <row r="26" spans="2:12" x14ac:dyDescent="0.2">
      <c r="B26" s="113"/>
      <c r="C26" s="255" t="s">
        <v>143</v>
      </c>
      <c r="D26" s="255"/>
      <c r="E26" s="255"/>
      <c r="F26" s="255"/>
      <c r="G26" s="255"/>
      <c r="H26" s="255"/>
      <c r="I26" s="255"/>
      <c r="J26" s="255"/>
      <c r="K26" s="255"/>
      <c r="L26" s="255"/>
    </row>
    <row r="27" spans="2:12" x14ac:dyDescent="0.2">
      <c r="B27" s="16" t="s">
        <v>133</v>
      </c>
      <c r="C27" s="12">
        <f t="shared" ref="C27:L27" si="6">C6</f>
        <v>2022</v>
      </c>
      <c r="D27" s="12">
        <f t="shared" si="6"/>
        <v>2023</v>
      </c>
      <c r="E27" s="12">
        <f t="shared" si="6"/>
        <v>2024</v>
      </c>
      <c r="F27" s="12">
        <f t="shared" si="6"/>
        <v>2025</v>
      </c>
      <c r="G27" s="12">
        <f t="shared" si="6"/>
        <v>2026</v>
      </c>
      <c r="H27" s="12">
        <f t="shared" si="6"/>
        <v>2027</v>
      </c>
      <c r="I27" s="12">
        <f t="shared" si="6"/>
        <v>2028</v>
      </c>
      <c r="J27" s="12">
        <f t="shared" si="6"/>
        <v>2029</v>
      </c>
      <c r="K27" s="12">
        <f t="shared" si="6"/>
        <v>2030</v>
      </c>
      <c r="L27" s="12">
        <f t="shared" si="6"/>
        <v>2031</v>
      </c>
    </row>
    <row r="28" spans="2:12" x14ac:dyDescent="0.2">
      <c r="B28" s="1" t="s">
        <v>144</v>
      </c>
      <c r="C28" s="118">
        <f>Statement!M55</f>
        <v>190</v>
      </c>
      <c r="D28" s="118">
        <f>Statement!N55</f>
        <v>2763</v>
      </c>
      <c r="E28" s="118">
        <f>Statement!O55</f>
        <v>-3581</v>
      </c>
      <c r="F28" s="118">
        <f>Statement!P55</f>
        <v>-1776</v>
      </c>
      <c r="G28" s="119">
        <f>Statement!Q55</f>
        <v>-25206</v>
      </c>
      <c r="H28" s="130">
        <f>-(H13-G13)</f>
        <v>-17679.877397260272</v>
      </c>
      <c r="I28" s="130">
        <f t="shared" ref="I28:L29" si="7">-(I13-H13)</f>
        <v>-20062.519726027393</v>
      </c>
      <c r="J28" s="130">
        <f t="shared" si="7"/>
        <v>-13134.461520547949</v>
      </c>
      <c r="K28" s="130">
        <f t="shared" si="7"/>
        <v>12922.400190410961</v>
      </c>
      <c r="L28" s="130">
        <f t="shared" si="7"/>
        <v>23080.109965753421</v>
      </c>
    </row>
    <row r="29" spans="2:12" x14ac:dyDescent="0.2">
      <c r="B29" s="1" t="s">
        <v>145</v>
      </c>
      <c r="C29" s="118">
        <f>Statement!M56</f>
        <v>-2179</v>
      </c>
      <c r="D29" s="118">
        <f>Statement!N56</f>
        <v>-3555</v>
      </c>
      <c r="E29" s="118">
        <f>Statement!O56</f>
        <v>-488</v>
      </c>
      <c r="F29" s="118">
        <f>Statement!P56</f>
        <v>520</v>
      </c>
      <c r="G29" s="119">
        <f>Statement!Q56</f>
        <v>-2017</v>
      </c>
      <c r="H29" s="130">
        <f>-(H14-G14)</f>
        <v>-2811.9888219178083</v>
      </c>
      <c r="I29" s="130">
        <f t="shared" si="7"/>
        <v>-951.48415753424524</v>
      </c>
      <c r="J29" s="130">
        <f t="shared" si="7"/>
        <v>-2510.999996575345</v>
      </c>
      <c r="K29" s="130">
        <f t="shared" si="7"/>
        <v>-364.74396328767034</v>
      </c>
      <c r="L29" s="130">
        <f t="shared" si="7"/>
        <v>5294.8487568493165</v>
      </c>
    </row>
    <row r="30" spans="2:12" x14ac:dyDescent="0.2">
      <c r="B30" s="1" t="s">
        <v>146</v>
      </c>
      <c r="C30" s="118">
        <f>Statement!M57</f>
        <v>744</v>
      </c>
      <c r="D30" s="118">
        <f>Statement!N57</f>
        <v>-1302</v>
      </c>
      <c r="E30" s="118">
        <f>Statement!O57</f>
        <v>1915</v>
      </c>
      <c r="F30" s="118">
        <f>Statement!P57</f>
        <v>862</v>
      </c>
      <c r="G30" s="119">
        <f>Statement!Q57</f>
        <v>8707</v>
      </c>
      <c r="H30" s="64">
        <f>H15-G15</f>
        <v>-7392.7052054794513</v>
      </c>
      <c r="I30" s="64">
        <f t="shared" ref="I30:L30" si="8">I15-H15</f>
        <v>1097.8663356164343</v>
      </c>
      <c r="J30" s="64">
        <f t="shared" si="8"/>
        <v>2897.307688356168</v>
      </c>
      <c r="K30" s="64">
        <f t="shared" si="8"/>
        <v>420.85841917808284</v>
      </c>
      <c r="L30" s="64">
        <f t="shared" si="8"/>
        <v>-6109.4408732876727</v>
      </c>
    </row>
    <row r="31" spans="2:12" x14ac:dyDescent="0.2">
      <c r="B31" s="113"/>
      <c r="C31" s="113"/>
    </row>
    <row r="32" spans="2:12" x14ac:dyDescent="0.2">
      <c r="B32" s="113"/>
      <c r="C32" s="113"/>
    </row>
    <row r="33" spans="2:12" x14ac:dyDescent="0.2">
      <c r="B33" s="113"/>
      <c r="C33" s="255" t="s">
        <v>147</v>
      </c>
      <c r="D33" s="255"/>
      <c r="E33" s="255"/>
      <c r="F33" s="255"/>
      <c r="G33" s="255"/>
      <c r="H33" s="255"/>
      <c r="I33" s="255"/>
      <c r="J33" s="255"/>
      <c r="K33" s="255"/>
      <c r="L33" s="255"/>
    </row>
    <row r="34" spans="2:12" x14ac:dyDescent="0.2">
      <c r="B34" s="16" t="s">
        <v>133</v>
      </c>
      <c r="C34" s="12">
        <f t="shared" ref="C34:L34" si="9">C6</f>
        <v>2022</v>
      </c>
      <c r="D34" s="12">
        <f t="shared" si="9"/>
        <v>2023</v>
      </c>
      <c r="E34" s="12">
        <f t="shared" si="9"/>
        <v>2024</v>
      </c>
      <c r="F34" s="12">
        <f t="shared" si="9"/>
        <v>2025</v>
      </c>
      <c r="G34" s="12">
        <f t="shared" si="9"/>
        <v>2026</v>
      </c>
      <c r="H34" s="12">
        <f t="shared" si="9"/>
        <v>2027</v>
      </c>
      <c r="I34" s="12">
        <f t="shared" si="9"/>
        <v>2028</v>
      </c>
      <c r="J34" s="12">
        <f t="shared" si="9"/>
        <v>2029</v>
      </c>
      <c r="K34" s="12">
        <f t="shared" si="9"/>
        <v>2030</v>
      </c>
      <c r="L34" s="12">
        <f t="shared" si="9"/>
        <v>2031</v>
      </c>
    </row>
    <row r="35" spans="2:12" x14ac:dyDescent="0.2">
      <c r="B35" s="1" t="s">
        <v>148</v>
      </c>
      <c r="C35" s="118">
        <f>Statement!M55+Statement!M56+Statement!M57+Statement!M58</f>
        <v>-1245</v>
      </c>
      <c r="D35" s="118">
        <f>Statement!N55+Statement!N56+Statement!N57+Statement!N58</f>
        <v>-2892</v>
      </c>
      <c r="E35" s="118">
        <f>Statement!O55+Statement!O56+Statement!O57+Statement!O58</f>
        <v>-884</v>
      </c>
      <c r="F35" s="118">
        <f>Statement!P55+Statement!P56+Statement!P57+Statement!P58</f>
        <v>-338</v>
      </c>
      <c r="G35" s="119">
        <f>Statement!Q55+Statement!Q56+Statement!Q57+Statement!Q58</f>
        <v>-5742</v>
      </c>
      <c r="H35" s="130">
        <f>H36+H28+H29+H30</f>
        <v>-16316.888924657531</v>
      </c>
      <c r="I35" s="130">
        <f t="shared" ref="I35:L35" si="10">I36+I28+I29+I30</f>
        <v>-13566.048147945203</v>
      </c>
      <c r="J35" s="130">
        <f t="shared" si="10"/>
        <v>-1530.9920387671282</v>
      </c>
      <c r="K35" s="130">
        <f t="shared" si="10"/>
        <v>19346.816372301371</v>
      </c>
      <c r="L35" s="130">
        <f t="shared" si="10"/>
        <v>24458.581637315063</v>
      </c>
    </row>
    <row r="36" spans="2:12" x14ac:dyDescent="0.2">
      <c r="B36" s="1" t="s">
        <v>149</v>
      </c>
      <c r="C36" s="124">
        <f>C35-C28-C29-C30</f>
        <v>0</v>
      </c>
      <c r="D36" s="124">
        <f t="shared" ref="D36:G36" si="11">D35-D28-D29-D30</f>
        <v>-798</v>
      </c>
      <c r="E36" s="124">
        <f t="shared" si="11"/>
        <v>1270</v>
      </c>
      <c r="F36" s="124">
        <f t="shared" si="11"/>
        <v>56</v>
      </c>
      <c r="G36" s="125">
        <f t="shared" si="11"/>
        <v>12774</v>
      </c>
      <c r="H36" s="64">
        <f>H7*H37</f>
        <v>11567.682500000001</v>
      </c>
      <c r="I36" s="64">
        <f>I7*I37</f>
        <v>6350.0893999999998</v>
      </c>
      <c r="J36" s="64">
        <f>J7*J37</f>
        <v>11217.161789999998</v>
      </c>
      <c r="K36" s="64">
        <f>K7*K37</f>
        <v>6368.3017259999997</v>
      </c>
      <c r="L36" s="64">
        <f>L7*L37</f>
        <v>2193.0637879999999</v>
      </c>
    </row>
    <row r="37" spans="2:12" x14ac:dyDescent="0.2">
      <c r="B37" s="126" t="s">
        <v>129</v>
      </c>
      <c r="C37" s="127">
        <f>C36/C7</f>
        <v>0</v>
      </c>
      <c r="D37" s="127">
        <f>D36/D7</f>
        <v>-5.1351351351351354E-2</v>
      </c>
      <c r="E37" s="127">
        <f>E36/E7</f>
        <v>5.057544502409303E-2</v>
      </c>
      <c r="F37" s="127">
        <f>F36/F7</f>
        <v>1.4982075017389909E-3</v>
      </c>
      <c r="G37" s="128">
        <f>G36/G7</f>
        <v>9.5909541400126141E-2</v>
      </c>
      <c r="H37" s="97">
        <v>0.05</v>
      </c>
      <c r="I37" s="97">
        <v>0.02</v>
      </c>
      <c r="J37" s="97">
        <v>0.03</v>
      </c>
      <c r="K37" s="97">
        <v>0.02</v>
      </c>
      <c r="L37" s="97">
        <v>0.01</v>
      </c>
    </row>
    <row r="38" spans="2:12" x14ac:dyDescent="0.2">
      <c r="C38" s="64"/>
    </row>
    <row r="39" spans="2:12" x14ac:dyDescent="0.2">
      <c r="C39" s="129"/>
    </row>
    <row r="40" spans="2:12" x14ac:dyDescent="0.2">
      <c r="C40" s="255" t="s">
        <v>150</v>
      </c>
      <c r="D40" s="255"/>
      <c r="E40" s="255"/>
      <c r="F40" s="255"/>
      <c r="G40" s="255"/>
      <c r="H40" s="255"/>
      <c r="I40" s="255"/>
      <c r="J40" s="255"/>
      <c r="K40" s="255"/>
      <c r="L40" s="255"/>
    </row>
    <row r="41" spans="2:12" x14ac:dyDescent="0.2">
      <c r="B41" s="16" t="s">
        <v>133</v>
      </c>
      <c r="C41" s="12">
        <f t="shared" ref="C41:L41" si="12">C6</f>
        <v>2022</v>
      </c>
      <c r="D41" s="12">
        <f t="shared" si="12"/>
        <v>2023</v>
      </c>
      <c r="E41" s="12">
        <f t="shared" si="12"/>
        <v>2024</v>
      </c>
      <c r="F41" s="12">
        <f t="shared" si="12"/>
        <v>2025</v>
      </c>
      <c r="G41" s="12">
        <f t="shared" si="12"/>
        <v>2026</v>
      </c>
      <c r="H41" s="12">
        <f t="shared" si="12"/>
        <v>2027</v>
      </c>
      <c r="I41" s="12">
        <f t="shared" si="12"/>
        <v>2028</v>
      </c>
      <c r="J41" s="12">
        <f t="shared" si="12"/>
        <v>2029</v>
      </c>
      <c r="K41" s="12">
        <f t="shared" si="12"/>
        <v>2030</v>
      </c>
      <c r="L41" s="12">
        <f t="shared" si="12"/>
        <v>2031</v>
      </c>
    </row>
    <row r="42" spans="2:12" x14ac:dyDescent="0.2">
      <c r="B42" s="1" t="s">
        <v>56</v>
      </c>
      <c r="C42" s="118">
        <f>Statement!M53</f>
        <v>7116</v>
      </c>
      <c r="D42" s="118">
        <f>Statement!N53</f>
        <v>7756</v>
      </c>
      <c r="E42" s="118">
        <f>Statement!O53</f>
        <v>7780</v>
      </c>
      <c r="F42" s="118">
        <f>Statement!P53</f>
        <v>8352</v>
      </c>
      <c r="G42" s="119">
        <f>Statement!Q53</f>
        <v>9503</v>
      </c>
      <c r="H42" s="25">
        <f>H7*H43</f>
        <v>23135.365000000002</v>
      </c>
      <c r="I42" s="25">
        <f>I7*I43</f>
        <v>28575.402299999998</v>
      </c>
      <c r="J42" s="25">
        <f>J7*J43</f>
        <v>29912.43144</v>
      </c>
      <c r="K42" s="25">
        <f>K7*K43</f>
        <v>31841.508629999997</v>
      </c>
      <c r="L42" s="25">
        <f>L7*L43</f>
        <v>32895.956819999999</v>
      </c>
    </row>
    <row r="43" spans="2:12" x14ac:dyDescent="0.2">
      <c r="B43" s="126" t="s">
        <v>151</v>
      </c>
      <c r="C43" s="127">
        <f>C42/C7</f>
        <v>0.23135444437219585</v>
      </c>
      <c r="D43" s="127">
        <f>D42/D7</f>
        <v>0.49909909909909911</v>
      </c>
      <c r="E43" s="127">
        <f>E42/E7</f>
        <v>0.30982437975389271</v>
      </c>
      <c r="F43" s="127">
        <f>F42/F7</f>
        <v>0.22344694740221521</v>
      </c>
      <c r="G43" s="128">
        <f>G42/G7</f>
        <v>7.1350271796257927E-2</v>
      </c>
      <c r="H43" s="97">
        <v>0.1</v>
      </c>
      <c r="I43" s="97">
        <v>0.09</v>
      </c>
      <c r="J43" s="97">
        <v>0.08</v>
      </c>
      <c r="K43" s="97">
        <v>0.1</v>
      </c>
      <c r="L43" s="97">
        <v>0.15</v>
      </c>
    </row>
    <row r="44" spans="2:12" x14ac:dyDescent="0.2">
      <c r="B44" s="126" t="s">
        <v>152</v>
      </c>
      <c r="C44" s="127">
        <f>C42/C45</f>
        <v>0.58970746664456786</v>
      </c>
      <c r="D44" s="127">
        <f t="shared" ref="D44:L44" si="13">D42/D45</f>
        <v>1.0104220948410632</v>
      </c>
      <c r="E44" s="127">
        <f t="shared" si="13"/>
        <v>0.9277367040305271</v>
      </c>
      <c r="F44" s="127">
        <f t="shared" si="13"/>
        <v>0.52670744781484513</v>
      </c>
      <c r="G44" s="128">
        <f t="shared" si="13"/>
        <v>0.30942302682990364</v>
      </c>
      <c r="H44" s="127">
        <f t="shared" si="13"/>
        <v>0.4</v>
      </c>
      <c r="I44" s="127">
        <f t="shared" si="13"/>
        <v>0.30000000000000004</v>
      </c>
      <c r="J44" s="127">
        <f t="shared" si="13"/>
        <v>0.32</v>
      </c>
      <c r="K44" s="127">
        <f t="shared" si="13"/>
        <v>0.5</v>
      </c>
      <c r="L44" s="127">
        <f t="shared" si="13"/>
        <v>0.88235294117647045</v>
      </c>
    </row>
    <row r="45" spans="2:12" x14ac:dyDescent="0.2">
      <c r="B45" s="1" t="s">
        <v>59</v>
      </c>
      <c r="C45" s="118">
        <f>-Statement!M110</f>
        <v>12067</v>
      </c>
      <c r="D45" s="118">
        <f>-Statement!N110</f>
        <v>7676</v>
      </c>
      <c r="E45" s="118">
        <f>-Statement!O110</f>
        <v>8386</v>
      </c>
      <c r="F45" s="118">
        <f>-Statement!P110</f>
        <v>15857</v>
      </c>
      <c r="G45" s="119">
        <f>-Statement!Q110</f>
        <v>30712</v>
      </c>
      <c r="H45" s="25">
        <f>H7*H46</f>
        <v>57838.412499999999</v>
      </c>
      <c r="I45" s="25">
        <f>I7*I46</f>
        <v>95251.340999999986</v>
      </c>
      <c r="J45" s="25">
        <f>J7*J46</f>
        <v>93476.348249999995</v>
      </c>
      <c r="K45" s="25">
        <f>K7*K46</f>
        <v>63683.017259999993</v>
      </c>
      <c r="L45" s="25">
        <f>L7*L46</f>
        <v>37282.084396000006</v>
      </c>
    </row>
    <row r="46" spans="2:12" x14ac:dyDescent="0.2">
      <c r="B46" s="126" t="s">
        <v>151</v>
      </c>
      <c r="C46" s="127">
        <f>C45/C7</f>
        <v>0.39232069705442485</v>
      </c>
      <c r="D46" s="127">
        <f>D45/D7</f>
        <v>0.49395109395109393</v>
      </c>
      <c r="E46" s="127">
        <f>E45/E7</f>
        <v>0.33395722989924737</v>
      </c>
      <c r="F46" s="127">
        <f>F45/F7</f>
        <v>0.42423350634062817</v>
      </c>
      <c r="G46" s="128">
        <f>G45/G7</f>
        <v>0.23059134456557648</v>
      </c>
      <c r="H46" s="97">
        <v>0.25</v>
      </c>
      <c r="I46" s="97">
        <v>0.3</v>
      </c>
      <c r="J46" s="97">
        <v>0.25</v>
      </c>
      <c r="K46" s="97">
        <v>0.2</v>
      </c>
      <c r="L46" s="97">
        <v>0.17</v>
      </c>
    </row>
  </sheetData>
  <mergeCells count="13">
    <mergeCell ref="C40:L40"/>
    <mergeCell ref="C11:L11"/>
    <mergeCell ref="P11:Z11"/>
    <mergeCell ref="C18:L18"/>
    <mergeCell ref="B25:C25"/>
    <mergeCell ref="C26:L26"/>
    <mergeCell ref="C33:L33"/>
    <mergeCell ref="C3:G3"/>
    <mergeCell ref="H3:L3"/>
    <mergeCell ref="P3:W3"/>
    <mergeCell ref="X3:Z3"/>
    <mergeCell ref="C5:L5"/>
    <mergeCell ref="P5:Z5"/>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D0CC1-03C8-8940-8079-159588699646}">
  <dimension ref="A1:AE34"/>
  <sheetViews>
    <sheetView topLeftCell="A23" zoomScale="183" workbookViewId="0">
      <selection activeCell="K28" sqref="K28"/>
    </sheetView>
  </sheetViews>
  <sheetFormatPr baseColWidth="10" defaultRowHeight="16" x14ac:dyDescent="0.2"/>
  <cols>
    <col min="1" max="1" width="2" style="83"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4.6640625" style="1" customWidth="1"/>
    <col min="19" max="29" width="10.83203125" style="1"/>
    <col min="30" max="30" width="2" style="1" customWidth="1"/>
    <col min="31" max="31" width="12.33203125" style="1" customWidth="1"/>
    <col min="32" max="16384" width="10.83203125" style="1"/>
  </cols>
  <sheetData>
    <row r="1" spans="1:31" s="83" customFormat="1" ht="18" customHeight="1" x14ac:dyDescent="0.2">
      <c r="A1" s="4"/>
      <c r="B1" s="82" t="s">
        <v>153</v>
      </c>
    </row>
    <row r="2" spans="1:31" x14ac:dyDescent="0.2">
      <c r="A2" s="4"/>
      <c r="C2" s="249" t="s">
        <v>113</v>
      </c>
      <c r="D2" s="249"/>
      <c r="E2" s="249"/>
      <c r="F2" s="249"/>
      <c r="G2" s="258"/>
      <c r="H2" s="259" t="s">
        <v>114</v>
      </c>
      <c r="I2" s="249"/>
      <c r="J2" s="249"/>
      <c r="K2" s="249"/>
      <c r="L2" s="249"/>
      <c r="S2" s="260"/>
      <c r="T2" s="260"/>
      <c r="U2" s="260"/>
      <c r="V2" s="260"/>
      <c r="W2" s="260"/>
      <c r="X2" s="260"/>
      <c r="Y2" s="260"/>
      <c r="Z2" s="260"/>
      <c r="AA2" s="260"/>
      <c r="AB2" s="260"/>
      <c r="AC2" s="260"/>
      <c r="AE2" s="113"/>
    </row>
    <row r="3" spans="1:31" ht="10" customHeight="1" x14ac:dyDescent="0.2"/>
    <row r="4" spans="1:31" ht="16" customHeight="1" x14ac:dyDescent="0.2">
      <c r="A4" s="86"/>
      <c r="B4" s="60"/>
      <c r="C4" s="255" t="s">
        <v>18</v>
      </c>
      <c r="D4" s="255"/>
      <c r="E4" s="255"/>
      <c r="F4" s="255"/>
      <c r="G4" s="255"/>
      <c r="H4" s="255"/>
      <c r="I4" s="255"/>
      <c r="J4" s="255"/>
      <c r="K4" s="255"/>
      <c r="L4" s="255"/>
      <c r="S4" s="260"/>
      <c r="T4" s="260"/>
      <c r="U4" s="260"/>
      <c r="V4" s="260"/>
      <c r="W4" s="260"/>
      <c r="X4" s="260"/>
      <c r="Y4" s="260"/>
      <c r="Z4" s="260"/>
      <c r="AA4" s="260"/>
      <c r="AB4" s="260"/>
      <c r="AC4" s="260"/>
      <c r="AE4" s="114"/>
    </row>
    <row r="5" spans="1:31" x14ac:dyDescent="0.2">
      <c r="B5" s="16" t="s">
        <v>133</v>
      </c>
      <c r="C5" s="12">
        <f>Revenue!C5</f>
        <v>2022</v>
      </c>
      <c r="D5" s="12">
        <f>Revenue!D5</f>
        <v>2023</v>
      </c>
      <c r="E5" s="12">
        <f>Revenue!E5</f>
        <v>2024</v>
      </c>
      <c r="F5" s="12">
        <f>Revenue!F5</f>
        <v>2025</v>
      </c>
      <c r="G5" s="12">
        <f>Revenue!G5</f>
        <v>2026</v>
      </c>
      <c r="H5" s="12">
        <f>G5+1</f>
        <v>2027</v>
      </c>
      <c r="I5" s="12">
        <f t="shared" ref="I5:L5" si="0">H5+1</f>
        <v>2028</v>
      </c>
      <c r="J5" s="12">
        <f t="shared" si="0"/>
        <v>2029</v>
      </c>
      <c r="K5" s="12">
        <f t="shared" si="0"/>
        <v>2030</v>
      </c>
      <c r="L5" s="12">
        <f t="shared" si="0"/>
        <v>2031</v>
      </c>
      <c r="R5" s="16"/>
      <c r="S5" s="115"/>
      <c r="T5" s="115"/>
      <c r="U5" s="115"/>
      <c r="V5" s="115"/>
      <c r="W5" s="115"/>
      <c r="X5" s="115"/>
      <c r="Y5" s="115"/>
      <c r="Z5" s="115"/>
      <c r="AA5" s="115"/>
      <c r="AB5" s="115"/>
      <c r="AC5" s="115"/>
      <c r="AE5" s="114"/>
    </row>
    <row r="6" spans="1:31" x14ac:dyDescent="0.2">
      <c r="B6" s="16" t="s">
        <v>19</v>
      </c>
      <c r="C6" s="92">
        <f>Revenue!C10</f>
        <v>30758</v>
      </c>
      <c r="D6" s="92">
        <f>Revenue!D10</f>
        <v>15540</v>
      </c>
      <c r="E6" s="92">
        <f>Revenue!E10</f>
        <v>25111</v>
      </c>
      <c r="F6" s="92">
        <f>Revenue!F10</f>
        <v>37378</v>
      </c>
      <c r="G6" s="93">
        <f>Revenue!G10</f>
        <v>133188</v>
      </c>
      <c r="H6" s="92">
        <f>Revenue!H10</f>
        <v>231353.65</v>
      </c>
      <c r="I6" s="92">
        <f>Revenue!I10</f>
        <v>317504.46999999997</v>
      </c>
      <c r="J6" s="92">
        <f>Revenue!J10</f>
        <v>373905.39299999998</v>
      </c>
      <c r="K6" s="92">
        <f>Revenue!K10</f>
        <v>318415.08629999997</v>
      </c>
      <c r="L6" s="92">
        <f>Revenue!L10</f>
        <v>219306.37880000001</v>
      </c>
      <c r="N6" s="90" t="s">
        <v>154</v>
      </c>
      <c r="Q6" s="90"/>
      <c r="S6" s="88"/>
      <c r="T6" s="88"/>
      <c r="U6" s="88"/>
      <c r="V6" s="88"/>
      <c r="W6" s="88"/>
      <c r="X6" s="88"/>
      <c r="Y6" s="88"/>
      <c r="Z6" s="88"/>
      <c r="AA6" s="64"/>
      <c r="AB6" s="64"/>
      <c r="AC6" s="64"/>
      <c r="AE6" s="64"/>
    </row>
    <row r="7" spans="1:31" x14ac:dyDescent="0.2">
      <c r="B7" s="1" t="s">
        <v>20</v>
      </c>
      <c r="C7" s="88">
        <f>'COGS &amp; OpEx'!C15</f>
        <v>16860</v>
      </c>
      <c r="D7" s="88">
        <f>'COGS &amp; OpEx'!D15</f>
        <v>16956</v>
      </c>
      <c r="E7" s="88">
        <f>'COGS &amp; OpEx'!E15</f>
        <v>19498</v>
      </c>
      <c r="F7" s="88">
        <f>'COGS &amp; OpEx'!F15</f>
        <v>22505</v>
      </c>
      <c r="G7" s="89">
        <f>'COGS &amp; OpEx'!G15</f>
        <v>25684</v>
      </c>
      <c r="H7" s="116">
        <f>'COGS &amp; OpEx'!H15</f>
        <v>37016.584000000003</v>
      </c>
      <c r="I7" s="116">
        <f>'COGS &amp; OpEx'!I15</f>
        <v>39688.058749999997</v>
      </c>
      <c r="J7" s="116">
        <f>'COGS &amp; OpEx'!J15</f>
        <v>46738.174125000005</v>
      </c>
      <c r="K7" s="116">
        <f>'COGS &amp; OpEx'!K15</f>
        <v>47762.262945000002</v>
      </c>
      <c r="L7" s="116">
        <f>'COGS &amp; OpEx'!L15</f>
        <v>32895.956819999999</v>
      </c>
      <c r="N7" s="90" t="s">
        <v>155</v>
      </c>
      <c r="Q7" s="90"/>
      <c r="S7" s="88"/>
      <c r="T7" s="88"/>
      <c r="U7" s="88"/>
      <c r="V7" s="88"/>
      <c r="W7" s="88"/>
      <c r="X7" s="88"/>
      <c r="Y7" s="88"/>
      <c r="Z7" s="88"/>
      <c r="AA7" s="64"/>
      <c r="AB7" s="64"/>
      <c r="AC7" s="64"/>
      <c r="AE7" s="64"/>
    </row>
    <row r="8" spans="1:31" x14ac:dyDescent="0.2">
      <c r="B8" s="16" t="s">
        <v>156</v>
      </c>
      <c r="C8" s="94">
        <f>C6-C7</f>
        <v>13898</v>
      </c>
      <c r="D8" s="94">
        <f t="shared" ref="D8:L8" si="1">D6-D7</f>
        <v>-1416</v>
      </c>
      <c r="E8" s="94">
        <f t="shared" si="1"/>
        <v>5613</v>
      </c>
      <c r="F8" s="94">
        <f t="shared" si="1"/>
        <v>14873</v>
      </c>
      <c r="G8" s="131">
        <f t="shared" si="1"/>
        <v>107504</v>
      </c>
      <c r="H8" s="94">
        <f t="shared" si="1"/>
        <v>194337.06599999999</v>
      </c>
      <c r="I8" s="94">
        <f t="shared" si="1"/>
        <v>277816.41125</v>
      </c>
      <c r="J8" s="94">
        <f t="shared" si="1"/>
        <v>327167.21887499996</v>
      </c>
      <c r="K8" s="94">
        <f t="shared" si="1"/>
        <v>270652.82335499994</v>
      </c>
      <c r="L8" s="94">
        <f t="shared" si="1"/>
        <v>186410.42198000001</v>
      </c>
      <c r="N8" s="90"/>
      <c r="Q8" s="90"/>
      <c r="S8" s="88"/>
      <c r="T8" s="88"/>
      <c r="U8" s="88"/>
      <c r="V8" s="88"/>
      <c r="W8" s="88"/>
      <c r="X8" s="88"/>
      <c r="Y8" s="88"/>
      <c r="Z8" s="88"/>
      <c r="AA8" s="64"/>
      <c r="AB8" s="64"/>
      <c r="AC8" s="64"/>
      <c r="AE8" s="64"/>
    </row>
    <row r="9" spans="1:31" x14ac:dyDescent="0.2">
      <c r="B9" s="1" t="s">
        <v>24</v>
      </c>
      <c r="C9" s="88">
        <f>'COGS &amp; OpEx'!C19</f>
        <v>4196</v>
      </c>
      <c r="D9" s="88">
        <f>'COGS &amp; OpEx'!D19</f>
        <v>4329</v>
      </c>
      <c r="E9" s="88">
        <f>'COGS &amp; OpEx'!E19</f>
        <v>4309</v>
      </c>
      <c r="F9" s="88">
        <f>'COGS &amp; OpEx'!F19</f>
        <v>5103</v>
      </c>
      <c r="G9" s="89">
        <f>'COGS &amp; OpEx'!G19</f>
        <v>8164</v>
      </c>
      <c r="H9" s="116">
        <f>'COGS &amp; OpEx'!H19</f>
        <v>13337.15805</v>
      </c>
      <c r="I9" s="116">
        <f>'COGS &amp; OpEx'!I19</f>
        <v>19200.268199999999</v>
      </c>
      <c r="J9" s="116">
        <f>'COGS &amp; OpEx'!J19</f>
        <v>22584.32358</v>
      </c>
      <c r="K9" s="116">
        <f>'COGS &amp; OpEx'!K19</f>
        <v>16070.754314999998</v>
      </c>
      <c r="L9" s="116">
        <f>'COGS &amp; OpEx'!L19</f>
        <v>13308.382728</v>
      </c>
      <c r="N9" s="132" t="s">
        <v>155</v>
      </c>
      <c r="Q9" s="90"/>
      <c r="S9" s="88"/>
      <c r="T9" s="88"/>
      <c r="U9" s="88"/>
      <c r="V9" s="88"/>
      <c r="W9" s="88"/>
      <c r="X9" s="88"/>
      <c r="Y9" s="88"/>
      <c r="Z9" s="88"/>
      <c r="AA9" s="64"/>
      <c r="AB9" s="64"/>
      <c r="AC9" s="64"/>
      <c r="AE9" s="64"/>
    </row>
    <row r="10" spans="1:31" x14ac:dyDescent="0.2">
      <c r="B10" s="16" t="s">
        <v>157</v>
      </c>
      <c r="C10" s="94">
        <f t="shared" ref="C10:L10" si="2">C8-C9</f>
        <v>9702</v>
      </c>
      <c r="D10" s="94">
        <f t="shared" si="2"/>
        <v>-5745</v>
      </c>
      <c r="E10" s="94">
        <f t="shared" si="2"/>
        <v>1304</v>
      </c>
      <c r="F10" s="94">
        <f t="shared" si="2"/>
        <v>9770</v>
      </c>
      <c r="G10" s="131">
        <f t="shared" si="2"/>
        <v>99340</v>
      </c>
      <c r="H10" s="94">
        <f t="shared" si="2"/>
        <v>180999.90794999999</v>
      </c>
      <c r="I10" s="94">
        <f t="shared" si="2"/>
        <v>258616.14305000001</v>
      </c>
      <c r="J10" s="94">
        <f t="shared" si="2"/>
        <v>304582.89529499994</v>
      </c>
      <c r="K10" s="94">
        <f t="shared" si="2"/>
        <v>254582.06903999994</v>
      </c>
      <c r="L10" s="94">
        <f t="shared" si="2"/>
        <v>173102.03925200002</v>
      </c>
      <c r="N10" s="90"/>
      <c r="Q10" s="90"/>
      <c r="S10" s="88"/>
      <c r="T10" s="88"/>
      <c r="U10" s="88"/>
      <c r="V10" s="88"/>
      <c r="W10" s="88"/>
      <c r="X10" s="88"/>
      <c r="Y10" s="88"/>
      <c r="Z10" s="88"/>
      <c r="AA10" s="64"/>
      <c r="AB10" s="64"/>
      <c r="AC10" s="64"/>
      <c r="AE10" s="64"/>
    </row>
    <row r="13" spans="1:31" x14ac:dyDescent="0.2">
      <c r="C13" s="255" t="s">
        <v>158</v>
      </c>
      <c r="D13" s="255"/>
      <c r="E13" s="255"/>
      <c r="F13" s="255"/>
      <c r="G13" s="255"/>
      <c r="H13" s="255"/>
      <c r="I13" s="255"/>
      <c r="J13" s="255"/>
      <c r="K13" s="255"/>
      <c r="L13" s="255"/>
    </row>
    <row r="14" spans="1:31" x14ac:dyDescent="0.2">
      <c r="C14" s="12">
        <f t="shared" ref="C14:L14" si="3">C5</f>
        <v>2022</v>
      </c>
      <c r="D14" s="12">
        <f t="shared" si="3"/>
        <v>2023</v>
      </c>
      <c r="E14" s="12">
        <f t="shared" si="3"/>
        <v>2024</v>
      </c>
      <c r="F14" s="12">
        <f t="shared" si="3"/>
        <v>2025</v>
      </c>
      <c r="G14" s="12">
        <f t="shared" si="3"/>
        <v>2026</v>
      </c>
      <c r="H14" s="12">
        <f t="shared" si="3"/>
        <v>2027</v>
      </c>
      <c r="I14" s="12">
        <f t="shared" si="3"/>
        <v>2028</v>
      </c>
      <c r="J14" s="12">
        <f t="shared" si="3"/>
        <v>2029</v>
      </c>
      <c r="K14" s="12">
        <f t="shared" si="3"/>
        <v>2030</v>
      </c>
      <c r="L14" s="12">
        <f t="shared" si="3"/>
        <v>2031</v>
      </c>
    </row>
    <row r="15" spans="1:31" x14ac:dyDescent="0.2">
      <c r="B15" s="1" t="s">
        <v>72</v>
      </c>
      <c r="C15" s="133">
        <f>Statement!M83</f>
        <v>9.2780273743600455E-2</v>
      </c>
      <c r="D15" s="133">
        <f>Statement!N83</f>
        <v>0</v>
      </c>
      <c r="E15" s="133">
        <f>Statement!O83</f>
        <v>0.36370967741935484</v>
      </c>
      <c r="F15" s="133">
        <f>Statement!P83</f>
        <v>0.1164284234514191</v>
      </c>
      <c r="G15" s="134">
        <f>Statement!Q83</f>
        <v>0.1480972399193346</v>
      </c>
      <c r="H15" s="133">
        <f>Overview!$C$26</f>
        <v>0.21</v>
      </c>
      <c r="I15" s="133">
        <f>Overview!$C$26</f>
        <v>0.21</v>
      </c>
      <c r="J15" s="133">
        <f>Overview!$C$26</f>
        <v>0.21</v>
      </c>
      <c r="K15" s="133">
        <f>Overview!$C$26</f>
        <v>0.21</v>
      </c>
      <c r="L15" s="133">
        <f>Overview!$C$26</f>
        <v>0.21</v>
      </c>
      <c r="N15" s="1" t="s">
        <v>163</v>
      </c>
    </row>
    <row r="18" spans="2:14" x14ac:dyDescent="0.2">
      <c r="C18" s="255" t="s">
        <v>159</v>
      </c>
      <c r="D18" s="255"/>
      <c r="E18" s="255"/>
      <c r="F18" s="255"/>
      <c r="G18" s="255"/>
      <c r="H18" s="255"/>
      <c r="I18" s="255"/>
      <c r="J18" s="255"/>
      <c r="K18" s="255"/>
      <c r="L18" s="255"/>
    </row>
    <row r="19" spans="2:14" x14ac:dyDescent="0.2">
      <c r="B19" s="16" t="s">
        <v>133</v>
      </c>
      <c r="C19" s="12">
        <f t="shared" ref="C19:L19" si="4">C5</f>
        <v>2022</v>
      </c>
      <c r="D19" s="12">
        <f t="shared" si="4"/>
        <v>2023</v>
      </c>
      <c r="E19" s="12">
        <f t="shared" si="4"/>
        <v>2024</v>
      </c>
      <c r="F19" s="12">
        <f t="shared" si="4"/>
        <v>2025</v>
      </c>
      <c r="G19" s="12">
        <f t="shared" si="4"/>
        <v>2026</v>
      </c>
      <c r="H19" s="12">
        <f t="shared" si="4"/>
        <v>2027</v>
      </c>
      <c r="I19" s="12">
        <f t="shared" si="4"/>
        <v>2028</v>
      </c>
      <c r="J19" s="12">
        <f t="shared" si="4"/>
        <v>2029</v>
      </c>
      <c r="K19" s="12">
        <f t="shared" si="4"/>
        <v>2030</v>
      </c>
      <c r="L19" s="12">
        <f t="shared" si="4"/>
        <v>2031</v>
      </c>
    </row>
    <row r="20" spans="2:14" x14ac:dyDescent="0.2">
      <c r="B20" s="1" t="s">
        <v>56</v>
      </c>
      <c r="C20" s="88">
        <f>'WC &amp; Investments'!C42</f>
        <v>7116</v>
      </c>
      <c r="D20" s="88">
        <f>'WC &amp; Investments'!D42</f>
        <v>7756</v>
      </c>
      <c r="E20" s="88">
        <f>'WC &amp; Investments'!E42</f>
        <v>7780</v>
      </c>
      <c r="F20" s="88">
        <f>'WC &amp; Investments'!F42</f>
        <v>8352</v>
      </c>
      <c r="G20" s="89">
        <f>'WC &amp; Investments'!G42</f>
        <v>9503</v>
      </c>
      <c r="H20" s="88">
        <f>'WC &amp; Investments'!H42</f>
        <v>23135.365000000002</v>
      </c>
      <c r="I20" s="88">
        <f>'WC &amp; Investments'!I42</f>
        <v>28575.402299999998</v>
      </c>
      <c r="J20" s="88">
        <f>'WC &amp; Investments'!J42</f>
        <v>29912.43144</v>
      </c>
      <c r="K20" s="88">
        <f>'WC &amp; Investments'!K42</f>
        <v>31841.508629999997</v>
      </c>
      <c r="L20" s="88">
        <f>'WC &amp; Investments'!L42</f>
        <v>32895.956819999999</v>
      </c>
      <c r="N20" s="1" t="s">
        <v>160</v>
      </c>
    </row>
    <row r="21" spans="2:14" x14ac:dyDescent="0.2">
      <c r="B21" s="1" t="s">
        <v>59</v>
      </c>
      <c r="C21" s="88">
        <f>'WC &amp; Investments'!C45</f>
        <v>12067</v>
      </c>
      <c r="D21" s="88">
        <f>'WC &amp; Investments'!D45</f>
        <v>7676</v>
      </c>
      <c r="E21" s="88">
        <f>'WC &amp; Investments'!E45</f>
        <v>8386</v>
      </c>
      <c r="F21" s="88">
        <f>'WC &amp; Investments'!F45</f>
        <v>15857</v>
      </c>
      <c r="G21" s="89">
        <f>'WC &amp; Investments'!G45</f>
        <v>30712</v>
      </c>
      <c r="H21" s="88">
        <f>'WC &amp; Investments'!H45</f>
        <v>57838.412499999999</v>
      </c>
      <c r="I21" s="88">
        <f>'WC &amp; Investments'!I45</f>
        <v>95251.340999999986</v>
      </c>
      <c r="J21" s="88">
        <f>'WC &amp; Investments'!J45</f>
        <v>93476.348249999995</v>
      </c>
      <c r="K21" s="88">
        <f>'WC &amp; Investments'!K45</f>
        <v>63683.017259999993</v>
      </c>
      <c r="L21" s="88">
        <f>'WC &amp; Investments'!L45</f>
        <v>37282.084396000006</v>
      </c>
      <c r="N21" s="1" t="s">
        <v>160</v>
      </c>
    </row>
    <row r="22" spans="2:14" x14ac:dyDescent="0.2">
      <c r="B22" s="1" t="s">
        <v>161</v>
      </c>
      <c r="C22" s="88">
        <f>'WC &amp; Investments'!C35</f>
        <v>-1245</v>
      </c>
      <c r="D22" s="88">
        <f>'WC &amp; Investments'!D35</f>
        <v>-2892</v>
      </c>
      <c r="E22" s="88">
        <f>'WC &amp; Investments'!E35</f>
        <v>-884</v>
      </c>
      <c r="F22" s="88">
        <f>'WC &amp; Investments'!F35</f>
        <v>-338</v>
      </c>
      <c r="G22" s="89">
        <f>'WC &amp; Investments'!G35</f>
        <v>-5742</v>
      </c>
      <c r="H22" s="88">
        <f>'WC &amp; Investments'!H35</f>
        <v>-16316.888924657531</v>
      </c>
      <c r="I22" s="88">
        <f>'WC &amp; Investments'!I35</f>
        <v>-13566.048147945203</v>
      </c>
      <c r="J22" s="88">
        <f>'WC &amp; Investments'!J35</f>
        <v>-1530.9920387671282</v>
      </c>
      <c r="K22" s="88">
        <f>'WC &amp; Investments'!K35</f>
        <v>19346.816372301371</v>
      </c>
      <c r="L22" s="88">
        <f>'WC &amp; Investments'!L35</f>
        <v>24458.581637315063</v>
      </c>
      <c r="N22" s="1" t="s">
        <v>160</v>
      </c>
    </row>
    <row r="25" spans="2:14" x14ac:dyDescent="0.2">
      <c r="C25" s="255" t="s">
        <v>262</v>
      </c>
      <c r="D25" s="255"/>
      <c r="E25" s="255"/>
      <c r="F25" s="255"/>
      <c r="G25" s="255"/>
      <c r="H25" s="255"/>
      <c r="I25" s="255"/>
      <c r="J25" s="255"/>
      <c r="K25" s="255"/>
      <c r="L25" s="255"/>
    </row>
    <row r="26" spans="2:14" x14ac:dyDescent="0.2">
      <c r="B26" s="16" t="s">
        <v>133</v>
      </c>
      <c r="C26" s="12">
        <f t="shared" ref="C26:L26" si="5">C5</f>
        <v>2022</v>
      </c>
      <c r="D26" s="12">
        <f t="shared" si="5"/>
        <v>2023</v>
      </c>
      <c r="E26" s="12">
        <f t="shared" si="5"/>
        <v>2024</v>
      </c>
      <c r="F26" s="12">
        <f t="shared" si="5"/>
        <v>2025</v>
      </c>
      <c r="G26" s="12">
        <f t="shared" si="5"/>
        <v>2026</v>
      </c>
      <c r="H26" s="12">
        <f t="shared" si="5"/>
        <v>2027</v>
      </c>
      <c r="I26" s="12">
        <f t="shared" si="5"/>
        <v>2028</v>
      </c>
      <c r="J26" s="12">
        <f t="shared" si="5"/>
        <v>2029</v>
      </c>
      <c r="K26" s="12">
        <f t="shared" si="5"/>
        <v>2030</v>
      </c>
      <c r="L26" s="12">
        <f t="shared" si="5"/>
        <v>2031</v>
      </c>
    </row>
    <row r="27" spans="2:14" x14ac:dyDescent="0.2">
      <c r="B27" s="1" t="s">
        <v>162</v>
      </c>
      <c r="C27" s="130">
        <f>C10*(1-C15)</f>
        <v>8801.8457841395884</v>
      </c>
      <c r="D27" s="130">
        <f t="shared" ref="D27:L27" si="6">D10*(1-D15)</f>
        <v>-5745</v>
      </c>
      <c r="E27" s="130">
        <f t="shared" si="6"/>
        <v>829.7225806451612</v>
      </c>
      <c r="F27" s="130">
        <f t="shared" si="6"/>
        <v>8632.4943028796351</v>
      </c>
      <c r="G27" s="135">
        <f t="shared" si="6"/>
        <v>84628.020186413312</v>
      </c>
      <c r="H27" s="130">
        <f t="shared" si="6"/>
        <v>142989.92728050001</v>
      </c>
      <c r="I27" s="130">
        <f t="shared" si="6"/>
        <v>204306.75300950001</v>
      </c>
      <c r="J27" s="130">
        <f t="shared" si="6"/>
        <v>240620.48728304997</v>
      </c>
      <c r="K27" s="130">
        <f t="shared" si="6"/>
        <v>201119.83454159996</v>
      </c>
      <c r="L27" s="130">
        <f t="shared" si="6"/>
        <v>136750.61100908002</v>
      </c>
    </row>
    <row r="28" spans="2:14" x14ac:dyDescent="0.2">
      <c r="B28" s="16" t="s">
        <v>262</v>
      </c>
      <c r="C28" s="94">
        <f>C27+C20-C21+C22</f>
        <v>2605.8457841395884</v>
      </c>
      <c r="D28" s="94">
        <f t="shared" ref="D28:L28" si="7">D27+D20-D21+D22</f>
        <v>-8557</v>
      </c>
      <c r="E28" s="94">
        <f t="shared" si="7"/>
        <v>-660.27741935483937</v>
      </c>
      <c r="F28" s="94">
        <f t="shared" si="7"/>
        <v>789.49430287963332</v>
      </c>
      <c r="G28" s="131">
        <f t="shared" si="7"/>
        <v>57677.020186413312</v>
      </c>
      <c r="H28" s="94">
        <f t="shared" si="7"/>
        <v>91969.990855842465</v>
      </c>
      <c r="I28" s="94">
        <f t="shared" si="7"/>
        <v>124064.76616155481</v>
      </c>
      <c r="J28" s="94">
        <f t="shared" si="7"/>
        <v>175525.57843428288</v>
      </c>
      <c r="K28" s="94">
        <f t="shared" si="7"/>
        <v>188625.14228390134</v>
      </c>
      <c r="L28" s="94">
        <f t="shared" si="7"/>
        <v>156823.0650703951</v>
      </c>
    </row>
    <row r="31" spans="2:14" x14ac:dyDescent="0.2">
      <c r="C31" s="255" t="s">
        <v>76</v>
      </c>
      <c r="D31" s="255"/>
      <c r="E31" s="255"/>
      <c r="F31" s="255"/>
      <c r="G31" s="255"/>
      <c r="H31" s="255"/>
      <c r="I31" s="255"/>
      <c r="J31" s="255"/>
      <c r="K31" s="255"/>
      <c r="L31" s="255"/>
    </row>
    <row r="32" spans="2:14" x14ac:dyDescent="0.2">
      <c r="B32" s="16" t="s">
        <v>334</v>
      </c>
      <c r="C32" s="12">
        <f>C5</f>
        <v>2022</v>
      </c>
      <c r="D32" s="12">
        <f t="shared" ref="D32:L32" si="8">D5</f>
        <v>2023</v>
      </c>
      <c r="E32" s="12">
        <f t="shared" si="8"/>
        <v>2024</v>
      </c>
      <c r="F32" s="12">
        <f t="shared" si="8"/>
        <v>2025</v>
      </c>
      <c r="G32" s="12">
        <f t="shared" si="8"/>
        <v>2026</v>
      </c>
      <c r="H32" s="12">
        <f t="shared" si="8"/>
        <v>2027</v>
      </c>
      <c r="I32" s="12">
        <f t="shared" si="8"/>
        <v>2028</v>
      </c>
      <c r="J32" s="12">
        <f t="shared" si="8"/>
        <v>2029</v>
      </c>
      <c r="K32" s="12">
        <f t="shared" si="8"/>
        <v>2030</v>
      </c>
      <c r="L32" s="12">
        <f t="shared" si="8"/>
        <v>2031</v>
      </c>
    </row>
    <row r="33" spans="2:12" x14ac:dyDescent="0.2">
      <c r="B33" s="1" t="s">
        <v>77</v>
      </c>
      <c r="C33" s="133">
        <f>Statement!M101</f>
        <v>0.45184992522270628</v>
      </c>
      <c r="D33" s="133">
        <f>Statement!N101</f>
        <v>-9.1119691119691121E-2</v>
      </c>
      <c r="E33" s="133">
        <f>Statement!O101</f>
        <v>0.22352753773246783</v>
      </c>
      <c r="F33" s="133">
        <f>Statement!P101</f>
        <v>0.39790786023864305</v>
      </c>
      <c r="G33" s="134">
        <f>Statement!Q101</f>
        <v>0.8071598041865633</v>
      </c>
      <c r="H33" s="216">
        <f>H8/H6</f>
        <v>0.84</v>
      </c>
      <c r="I33" s="216">
        <f t="shared" ref="I33:L33" si="9">I8/I6</f>
        <v>0.87500000000000011</v>
      </c>
      <c r="J33" s="216">
        <f t="shared" si="9"/>
        <v>0.87499999999999989</v>
      </c>
      <c r="K33" s="216">
        <f t="shared" si="9"/>
        <v>0.84999999999999987</v>
      </c>
      <c r="L33" s="216">
        <f t="shared" si="9"/>
        <v>0.85000000000000009</v>
      </c>
    </row>
    <row r="34" spans="2:12" x14ac:dyDescent="0.2">
      <c r="B34" s="1" t="s">
        <v>78</v>
      </c>
      <c r="C34" s="133">
        <f>Statement!M102</f>
        <v>0.31543013199817932</v>
      </c>
      <c r="D34" s="133">
        <f>Statement!N102</f>
        <v>-0.36969111969111967</v>
      </c>
      <c r="E34" s="133">
        <f>Statement!O102</f>
        <v>5.192943331607662E-2</v>
      </c>
      <c r="F34" s="133">
        <f>Statement!P102</f>
        <v>0.26138370164267749</v>
      </c>
      <c r="G34" s="134">
        <f>Statement!Q102</f>
        <v>0.7458629906598192</v>
      </c>
      <c r="H34" s="216">
        <f>H10/H6</f>
        <v>0.78235164195594065</v>
      </c>
      <c r="I34" s="216">
        <f t="shared" ref="I34:L34" si="10">I10/I6</f>
        <v>0.81452756570639784</v>
      </c>
      <c r="J34" s="216">
        <f t="shared" si="10"/>
        <v>0.81459882900111036</v>
      </c>
      <c r="K34" s="216">
        <f t="shared" si="10"/>
        <v>0.79952891679303562</v>
      </c>
      <c r="L34" s="216">
        <f t="shared" si="10"/>
        <v>0.78931602536679157</v>
      </c>
    </row>
  </sheetData>
  <mergeCells count="10">
    <mergeCell ref="C31:L31"/>
    <mergeCell ref="C25:L25"/>
    <mergeCell ref="C2:G2"/>
    <mergeCell ref="H2:L2"/>
    <mergeCell ref="S2:Z2"/>
    <mergeCell ref="AA2:AC2"/>
    <mergeCell ref="C4:L4"/>
    <mergeCell ref="S4:AC4"/>
    <mergeCell ref="C13:L13"/>
    <mergeCell ref="C18:L18"/>
  </mergeCells>
  <pageMargins left="0.7" right="0.7" top="0.75" bottom="0.75" header="0.3" footer="0.3"/>
  <ignoredErrors>
    <ignoredError sqref="C9:L9"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FB80D-D3C0-DD46-8304-4441946EF9E3}">
  <sheetPr>
    <tabColor theme="6" tint="0.59999389629810485"/>
  </sheetPr>
  <dimension ref="B5:H13"/>
  <sheetViews>
    <sheetView workbookViewId="0">
      <selection activeCell="H6" sqref="H6"/>
    </sheetView>
  </sheetViews>
  <sheetFormatPr baseColWidth="10" defaultRowHeight="16" x14ac:dyDescent="0.2"/>
  <cols>
    <col min="1" max="7" width="10.83203125" style="1"/>
    <col min="8" max="8" width="16.33203125" style="1" customWidth="1"/>
    <col min="9" max="16384" width="10.83203125" style="1"/>
  </cols>
  <sheetData>
    <row r="5" spans="2:8" x14ac:dyDescent="0.2">
      <c r="H5" s="136" t="s">
        <v>441</v>
      </c>
    </row>
    <row r="6" spans="2:8" x14ac:dyDescent="0.2">
      <c r="H6" s="241" t="s">
        <v>446</v>
      </c>
    </row>
    <row r="7" spans="2:8" x14ac:dyDescent="0.2">
      <c r="H7" s="241" t="s">
        <v>442</v>
      </c>
    </row>
    <row r="8" spans="2:8" x14ac:dyDescent="0.2">
      <c r="H8" s="241" t="s">
        <v>443</v>
      </c>
    </row>
    <row r="9" spans="2:8" x14ac:dyDescent="0.2">
      <c r="H9" s="241" t="s">
        <v>444</v>
      </c>
    </row>
    <row r="10" spans="2:8" x14ac:dyDescent="0.2">
      <c r="H10" s="242" t="s">
        <v>445</v>
      </c>
    </row>
    <row r="13" spans="2:8" s="4" customFormat="1" ht="49" x14ac:dyDescent="0.2">
      <c r="B13" s="3" t="s">
        <v>164</v>
      </c>
    </row>
  </sheetData>
  <hyperlinks>
    <hyperlink ref="H6" location="Overview!B3" display="Overview'!B3" xr:uid="{FB08413C-2DC9-214F-A7A3-5EEBC25D4AEA}"/>
    <hyperlink ref="H8" location="'Analysis -&gt;'!B13" display="'Analysis -&gt;'!B13" xr:uid="{8781F548-F632-C24D-A095-8FAAFBFC1F9E}"/>
    <hyperlink ref="H9" location="'Forecast -&gt;'!B13" display="'Forecast -&gt;'!B13" xr:uid="{783E7A6F-FF22-AC4A-8256-5B348A6FE7F4}"/>
    <hyperlink ref="H10" location="'Valuation -&gt;'!B13" display="'Valuation -&gt;'!B13" xr:uid="{EDB7FD73-84D0-3E45-A3D1-4B7A600FF95D}"/>
    <hyperlink ref="H7" location="'Financials -&gt;'!B13" display="'Financials -&gt;'!B13" xr:uid="{6F3044C1-A65B-DE4E-A0D9-1565B33C281C}"/>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6FE7C-2B1B-7C49-B055-001352253955}">
  <dimension ref="A1:C20"/>
  <sheetViews>
    <sheetView topLeftCell="A14" zoomScale="171" zoomScaleNormal="65" workbookViewId="0">
      <selection activeCell="C13" sqref="C13"/>
    </sheetView>
  </sheetViews>
  <sheetFormatPr baseColWidth="10" defaultRowHeight="16" x14ac:dyDescent="0.2"/>
  <cols>
    <col min="1" max="1" width="2" style="83" customWidth="1"/>
    <col min="2" max="2" width="34.6640625" style="1" customWidth="1"/>
    <col min="3" max="3" width="11.6640625" style="1" bestFit="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3" s="83" customFormat="1" ht="18" customHeight="1" x14ac:dyDescent="0.2">
      <c r="A1" s="4"/>
      <c r="B1" s="82" t="s">
        <v>165</v>
      </c>
    </row>
    <row r="2" spans="1:3" s="83" customFormat="1" ht="18" customHeight="1" x14ac:dyDescent="0.2">
      <c r="A2" s="4"/>
      <c r="B2" s="82"/>
    </row>
    <row r="3" spans="1:3" ht="17" customHeight="1" x14ac:dyDescent="0.2"/>
    <row r="4" spans="1:3" ht="17" customHeight="1" x14ac:dyDescent="0.2">
      <c r="B4" s="249" t="s">
        <v>166</v>
      </c>
      <c r="C4" s="249"/>
    </row>
    <row r="5" spans="1:3" ht="17" customHeight="1" x14ac:dyDescent="0.2">
      <c r="B5" s="1" t="s">
        <v>167</v>
      </c>
      <c r="C5" s="140">
        <f>Statement!AC78</f>
        <v>1146</v>
      </c>
    </row>
    <row r="6" spans="1:3" ht="17" customHeight="1" x14ac:dyDescent="0.2">
      <c r="B6" s="1" t="s">
        <v>1</v>
      </c>
      <c r="C6" s="137">
        <f ca="1">Overview!C5</f>
        <v>903.7</v>
      </c>
    </row>
    <row r="7" spans="1:3" ht="17" customHeight="1" x14ac:dyDescent="0.2">
      <c r="B7" s="1" t="s">
        <v>168</v>
      </c>
      <c r="C7" s="138">
        <f ca="1">C5*C6</f>
        <v>1035640.2000000001</v>
      </c>
    </row>
    <row r="8" spans="1:3" ht="17" customHeight="1" x14ac:dyDescent="0.2">
      <c r="B8" s="1" t="s">
        <v>169</v>
      </c>
      <c r="C8" s="116">
        <f>Statement!AC108</f>
        <v>5179</v>
      </c>
    </row>
    <row r="9" spans="1:3" ht="17" customHeight="1" x14ac:dyDescent="0.2">
      <c r="B9" s="1" t="s">
        <v>170</v>
      </c>
      <c r="C9" s="139">
        <f ca="1">Overview!F27</f>
        <v>4.9880000000000001E-2</v>
      </c>
    </row>
    <row r="10" spans="1:3" ht="17" customHeight="1" x14ac:dyDescent="0.2">
      <c r="B10" s="1" t="s">
        <v>9</v>
      </c>
      <c r="C10" s="137">
        <f ca="1">Overview!C13</f>
        <v>2.3616000000000001</v>
      </c>
    </row>
    <row r="11" spans="1:3" ht="17" customHeight="1" x14ac:dyDescent="0.2">
      <c r="B11" s="1" t="s">
        <v>171</v>
      </c>
      <c r="C11" s="139">
        <f>[1]Sheet1!$C$12</f>
        <v>4.4999999999999998E-2</v>
      </c>
    </row>
    <row r="12" spans="1:3" ht="17" customHeight="1" x14ac:dyDescent="0.2">
      <c r="B12" s="1" t="s">
        <v>72</v>
      </c>
      <c r="C12" s="139">
        <f>Overview!C26</f>
        <v>0.21</v>
      </c>
    </row>
    <row r="13" spans="1:3" ht="17" customHeight="1" x14ac:dyDescent="0.2">
      <c r="B13" s="1" t="s">
        <v>172</v>
      </c>
      <c r="C13" s="139">
        <f>Overview!C27</f>
        <v>5.7000000000000002E-2</v>
      </c>
    </row>
    <row r="14" spans="1:3" ht="17" customHeight="1" x14ac:dyDescent="0.2"/>
    <row r="15" spans="1:3" ht="17" customHeight="1" x14ac:dyDescent="0.2">
      <c r="B15" s="249" t="s">
        <v>173</v>
      </c>
      <c r="C15" s="249"/>
    </row>
    <row r="16" spans="1:3" ht="17" customHeight="1" x14ac:dyDescent="0.2">
      <c r="B16" s="1" t="s">
        <v>174</v>
      </c>
      <c r="C16" s="46">
        <f ca="1">C8/(C8+C7)</f>
        <v>4.9758882234301593E-3</v>
      </c>
    </row>
    <row r="17" spans="2:3" ht="17" customHeight="1" x14ac:dyDescent="0.2">
      <c r="B17" s="1" t="s">
        <v>175</v>
      </c>
      <c r="C17" s="46">
        <f ca="1">C7/(C8+C7)</f>
        <v>0.9950241117765698</v>
      </c>
    </row>
    <row r="18" spans="2:3" ht="17" customHeight="1" x14ac:dyDescent="0.2">
      <c r="B18" s="1" t="s">
        <v>176</v>
      </c>
      <c r="C18" s="46">
        <f>C13*(1-C12)</f>
        <v>4.5030000000000001E-2</v>
      </c>
    </row>
    <row r="19" spans="2:3" ht="17" customHeight="1" x14ac:dyDescent="0.2">
      <c r="B19" s="1" t="s">
        <v>177</v>
      </c>
      <c r="C19" s="46">
        <f ca="1">C9+C10*C11</f>
        <v>0.15615200000000001</v>
      </c>
    </row>
    <row r="20" spans="2:3" ht="17" customHeight="1" x14ac:dyDescent="0.2">
      <c r="B20" s="1" t="s">
        <v>165</v>
      </c>
      <c r="C20" s="46">
        <f ca="1">(C17*C19)+(C16*C18)</f>
        <v>0.15559906934883602</v>
      </c>
    </row>
  </sheetData>
  <mergeCells count="2">
    <mergeCell ref="B4:C4"/>
    <mergeCell ref="B15:C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76C87-6799-634E-8DEB-EF0E693AF74F}">
  <dimension ref="A1:AB26"/>
  <sheetViews>
    <sheetView topLeftCell="A15" zoomScale="188" zoomScaleNormal="100" workbookViewId="0">
      <selection activeCell="C14" sqref="C14"/>
    </sheetView>
  </sheetViews>
  <sheetFormatPr baseColWidth="10" defaultRowHeight="16" x14ac:dyDescent="0.2"/>
  <cols>
    <col min="1" max="1" width="2" style="83"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179</v>
      </c>
    </row>
    <row r="2" spans="1:28" s="83" customFormat="1" ht="18" customHeight="1" x14ac:dyDescent="0.2">
      <c r="A2" s="4"/>
      <c r="B2" s="82"/>
    </row>
    <row r="3" spans="1:28" x14ac:dyDescent="0.2">
      <c r="A3" s="4"/>
      <c r="C3" s="249" t="s">
        <v>113</v>
      </c>
      <c r="D3" s="249"/>
      <c r="E3" s="249"/>
      <c r="F3" s="249"/>
      <c r="G3" s="258"/>
      <c r="H3" s="259" t="s">
        <v>114</v>
      </c>
      <c r="I3" s="249"/>
      <c r="J3" s="249"/>
      <c r="K3" s="249"/>
      <c r="L3" s="249"/>
      <c r="P3" s="260"/>
      <c r="Q3" s="260"/>
      <c r="R3" s="260"/>
      <c r="S3" s="260"/>
      <c r="T3" s="260"/>
      <c r="U3" s="260"/>
      <c r="V3" s="260"/>
      <c r="W3" s="260"/>
      <c r="X3" s="260"/>
      <c r="Y3" s="260"/>
      <c r="Z3" s="260"/>
      <c r="AB3" s="113"/>
    </row>
    <row r="4" spans="1:28" ht="10" customHeight="1" x14ac:dyDescent="0.2"/>
    <row r="5" spans="1:28" ht="16" customHeight="1" x14ac:dyDescent="0.2">
      <c r="A5" s="86"/>
      <c r="B5" s="60"/>
      <c r="C5" s="255" t="s">
        <v>180</v>
      </c>
      <c r="D5" s="255"/>
      <c r="E5" s="255"/>
      <c r="F5" s="255"/>
      <c r="G5" s="255"/>
      <c r="H5" s="255"/>
      <c r="I5" s="255"/>
      <c r="J5" s="255"/>
      <c r="K5" s="255"/>
      <c r="L5" s="255"/>
      <c r="P5" s="260"/>
      <c r="Q5" s="260"/>
      <c r="R5" s="260"/>
      <c r="S5" s="260"/>
      <c r="T5" s="260"/>
      <c r="U5" s="260"/>
      <c r="V5" s="260"/>
      <c r="W5" s="260"/>
      <c r="X5" s="260"/>
      <c r="Y5" s="260"/>
      <c r="Z5" s="260"/>
      <c r="AB5" s="114"/>
    </row>
    <row r="6" spans="1:28" x14ac:dyDescent="0.2">
      <c r="B6" s="16" t="s">
        <v>133</v>
      </c>
      <c r="C6" s="12">
        <f>Revenue!C5</f>
        <v>2022</v>
      </c>
      <c r="D6" s="12">
        <f>Revenue!D5</f>
        <v>2023</v>
      </c>
      <c r="E6" s="12">
        <f>Revenue!E5</f>
        <v>2024</v>
      </c>
      <c r="F6" s="12">
        <f>Revenue!F5</f>
        <v>2025</v>
      </c>
      <c r="G6" s="12">
        <f>Revenue!G5</f>
        <v>2026</v>
      </c>
      <c r="H6" s="12">
        <f>Revenue!H5</f>
        <v>2027</v>
      </c>
      <c r="I6" s="12">
        <f>Revenue!I5</f>
        <v>2028</v>
      </c>
      <c r="J6" s="12">
        <f>Revenue!J5</f>
        <v>2029</v>
      </c>
      <c r="K6" s="12">
        <f>Revenue!K5</f>
        <v>2030</v>
      </c>
      <c r="L6" s="12">
        <f>Revenue!L5</f>
        <v>2031</v>
      </c>
      <c r="O6" s="16"/>
      <c r="P6" s="115"/>
      <c r="Q6" s="115"/>
      <c r="R6" s="115"/>
      <c r="S6" s="115"/>
      <c r="T6" s="115"/>
      <c r="U6" s="115"/>
      <c r="V6" s="115"/>
      <c r="W6" s="115"/>
      <c r="X6" s="115"/>
      <c r="Y6" s="115"/>
      <c r="Z6" s="115"/>
      <c r="AB6" s="114"/>
    </row>
    <row r="7" spans="1:28" x14ac:dyDescent="0.2">
      <c r="B7" s="39" t="s">
        <v>262</v>
      </c>
      <c r="C7" s="116">
        <f>'FCF &amp; Other'!C28</f>
        <v>2605.8457841395884</v>
      </c>
      <c r="D7" s="116">
        <f>'FCF &amp; Other'!D28</f>
        <v>-8557</v>
      </c>
      <c r="E7" s="116">
        <f>'FCF &amp; Other'!E28</f>
        <v>-660.27741935483937</v>
      </c>
      <c r="F7" s="116">
        <f>'FCF &amp; Other'!F28</f>
        <v>789.49430287963332</v>
      </c>
      <c r="G7" s="117">
        <f>'FCF &amp; Other'!G28</f>
        <v>57677.020186413312</v>
      </c>
      <c r="H7" s="116">
        <f>'FCF &amp; Other'!H28</f>
        <v>91969.990855842465</v>
      </c>
      <c r="I7" s="116">
        <f>'FCF &amp; Other'!I28</f>
        <v>124064.76616155481</v>
      </c>
      <c r="J7" s="116">
        <f>'FCF &amp; Other'!J28</f>
        <v>175525.57843428288</v>
      </c>
      <c r="K7" s="116">
        <f>'FCF &amp; Other'!K28</f>
        <v>188625.14228390134</v>
      </c>
      <c r="L7" s="116">
        <f>'FCF &amp; Other'!L28</f>
        <v>156823.0650703951</v>
      </c>
      <c r="N7" s="91"/>
      <c r="O7" s="16"/>
      <c r="P7" s="92"/>
      <c r="Q7" s="92"/>
      <c r="R7" s="92"/>
      <c r="S7" s="92"/>
      <c r="T7" s="92"/>
      <c r="U7" s="92"/>
      <c r="V7" s="92"/>
      <c r="W7" s="92"/>
      <c r="X7" s="94"/>
      <c r="Y7" s="94"/>
      <c r="Z7" s="94"/>
      <c r="AB7" s="94"/>
    </row>
    <row r="8" spans="1:28" x14ac:dyDescent="0.2">
      <c r="B8" s="39" t="s">
        <v>181</v>
      </c>
      <c r="C8" s="130">
        <v>0</v>
      </c>
      <c r="D8" s="130">
        <v>0</v>
      </c>
      <c r="E8" s="130">
        <v>0</v>
      </c>
      <c r="F8" s="130">
        <v>0</v>
      </c>
      <c r="G8" s="135">
        <v>0</v>
      </c>
      <c r="H8" s="130">
        <v>0</v>
      </c>
      <c r="I8" s="130">
        <v>0</v>
      </c>
      <c r="J8" s="130">
        <v>0</v>
      </c>
      <c r="K8" s="130">
        <v>0</v>
      </c>
      <c r="L8" s="130">
        <f ca="1">L7*(1+C14)/(C15-C14)</f>
        <v>1087859.2591935773</v>
      </c>
      <c r="N8" s="91"/>
      <c r="O8" s="16"/>
      <c r="P8" s="92"/>
      <c r="Q8" s="92"/>
      <c r="R8" s="92"/>
      <c r="S8" s="92"/>
      <c r="T8" s="92"/>
      <c r="U8" s="92"/>
      <c r="V8" s="92"/>
      <c r="W8" s="92"/>
      <c r="X8" s="94"/>
      <c r="Y8" s="94"/>
      <c r="Z8" s="94"/>
      <c r="AB8" s="94"/>
    </row>
    <row r="9" spans="1:28" x14ac:dyDescent="0.2">
      <c r="B9" s="1" t="s">
        <v>182</v>
      </c>
      <c r="C9" s="141"/>
      <c r="D9" s="141"/>
      <c r="E9" s="141"/>
      <c r="F9" s="141"/>
      <c r="G9" s="142"/>
      <c r="H9" s="143">
        <v>1</v>
      </c>
      <c r="I9" s="143">
        <v>2</v>
      </c>
      <c r="J9" s="143">
        <v>3</v>
      </c>
      <c r="K9" s="143">
        <v>4</v>
      </c>
      <c r="L9" s="143">
        <v>5</v>
      </c>
      <c r="N9" s="91"/>
    </row>
    <row r="10" spans="1:28" x14ac:dyDescent="0.2">
      <c r="B10" s="1" t="s">
        <v>320</v>
      </c>
      <c r="C10" s="141"/>
      <c r="D10" s="141"/>
      <c r="E10" s="141"/>
      <c r="F10" s="141"/>
      <c r="G10" s="142"/>
      <c r="H10" s="130">
        <f ca="1">H7/(1+$C$15)^H9</f>
        <v>79586.418244232642</v>
      </c>
      <c r="I10" s="130">
        <f t="shared" ref="I10:L10" ca="1" si="0">I7/(1+$C$15)^I9</f>
        <v>92903.931856989439</v>
      </c>
      <c r="J10" s="130">
        <f t="shared" ca="1" si="0"/>
        <v>113741.47677146767</v>
      </c>
      <c r="K10" s="130">
        <f t="shared" ca="1" si="0"/>
        <v>105772.03175456983</v>
      </c>
      <c r="L10" s="130">
        <f t="shared" ca="1" si="0"/>
        <v>76098.136299347054</v>
      </c>
      <c r="N10" s="91"/>
    </row>
    <row r="11" spans="1:28" x14ac:dyDescent="0.2">
      <c r="B11" s="1" t="s">
        <v>183</v>
      </c>
      <c r="C11" s="141"/>
      <c r="D11" s="141"/>
      <c r="E11" s="141"/>
      <c r="F11" s="141"/>
      <c r="G11" s="142"/>
      <c r="H11" s="141"/>
      <c r="I11" s="141"/>
      <c r="J11" s="141"/>
      <c r="K11" s="141"/>
      <c r="L11" s="130">
        <f ca="1">L8/(1+C15)^L9</f>
        <v>527881.9295073672</v>
      </c>
    </row>
    <row r="13" spans="1:28" x14ac:dyDescent="0.2">
      <c r="B13" s="249" t="s">
        <v>184</v>
      </c>
      <c r="C13" s="249"/>
    </row>
    <row r="14" spans="1:28" x14ac:dyDescent="0.2">
      <c r="B14" s="1" t="s">
        <v>185</v>
      </c>
      <c r="C14" s="144">
        <v>0.01</v>
      </c>
    </row>
    <row r="15" spans="1:28" x14ac:dyDescent="0.2">
      <c r="B15" s="1" t="s">
        <v>165</v>
      </c>
      <c r="C15" s="139">
        <f ca="1">IF(Overview!C28&gt;0,Overview!C28,WACC!C20)</f>
        <v>0.15559906934883602</v>
      </c>
    </row>
    <row r="18" spans="2:3" x14ac:dyDescent="0.2">
      <c r="B18" s="249" t="s">
        <v>186</v>
      </c>
      <c r="C18" s="249"/>
    </row>
    <row r="19" spans="2:3" x14ac:dyDescent="0.2">
      <c r="B19" s="1" t="s">
        <v>187</v>
      </c>
      <c r="C19" s="64">
        <f ca="1">SUM(H10:L10)</f>
        <v>468101.99492660665</v>
      </c>
    </row>
    <row r="20" spans="2:3" x14ac:dyDescent="0.2">
      <c r="B20" s="1" t="s">
        <v>183</v>
      </c>
      <c r="C20" s="64">
        <f ca="1">L11</f>
        <v>527881.9295073672</v>
      </c>
    </row>
    <row r="21" spans="2:3" x14ac:dyDescent="0.2">
      <c r="B21" s="16" t="s">
        <v>188</v>
      </c>
      <c r="C21" s="94">
        <f ca="1">C19+C20</f>
        <v>995983.92443397385</v>
      </c>
    </row>
    <row r="22" spans="2:3" x14ac:dyDescent="0.2">
      <c r="B22" s="1" t="s">
        <v>189</v>
      </c>
      <c r="C22" s="88">
        <f>Statement!AC107</f>
        <v>73453</v>
      </c>
    </row>
    <row r="23" spans="2:3" x14ac:dyDescent="0.2">
      <c r="B23" s="1" t="s">
        <v>190</v>
      </c>
      <c r="C23" s="88">
        <f>Statement!AC108</f>
        <v>5179</v>
      </c>
    </row>
    <row r="24" spans="2:3" x14ac:dyDescent="0.2">
      <c r="B24" s="16" t="s">
        <v>191</v>
      </c>
      <c r="C24" s="94">
        <f ca="1">C21+C22-C23</f>
        <v>1064257.9244339739</v>
      </c>
    </row>
    <row r="25" spans="2:3" x14ac:dyDescent="0.2">
      <c r="B25" s="1" t="s">
        <v>68</v>
      </c>
      <c r="C25" s="88">
        <f>Statement!AC78</f>
        <v>1146</v>
      </c>
    </row>
    <row r="26" spans="2:3" x14ac:dyDescent="0.2">
      <c r="B26" s="236" t="s">
        <v>192</v>
      </c>
      <c r="C26" s="237">
        <f ca="1">C24/C25</f>
        <v>928.67183632982017</v>
      </c>
    </row>
  </sheetData>
  <mergeCells count="8">
    <mergeCell ref="X3:Z3"/>
    <mergeCell ref="C5:L5"/>
    <mergeCell ref="P5:Z5"/>
    <mergeCell ref="B13:C13"/>
    <mergeCell ref="B18:C18"/>
    <mergeCell ref="C3:G3"/>
    <mergeCell ref="H3:L3"/>
    <mergeCell ref="P3:W3"/>
  </mergeCells>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33819-10E3-B843-9B8A-30FFCAB234A7}">
  <dimension ref="A1:N84"/>
  <sheetViews>
    <sheetView topLeftCell="A74" zoomScale="192" zoomScaleNormal="100" workbookViewId="0">
      <selection activeCell="C76" sqref="C76"/>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193</v>
      </c>
    </row>
    <row r="2" spans="1:14" x14ac:dyDescent="0.2">
      <c r="A2" s="4"/>
      <c r="C2" s="249" t="s">
        <v>113</v>
      </c>
      <c r="D2" s="249"/>
      <c r="E2" s="249"/>
      <c r="F2" s="249"/>
      <c r="G2" s="258"/>
      <c r="H2" s="259" t="s">
        <v>114</v>
      </c>
      <c r="I2" s="249"/>
      <c r="J2" s="249"/>
      <c r="K2" s="249"/>
      <c r="L2" s="249"/>
    </row>
    <row r="3" spans="1:14" ht="10" customHeight="1" x14ac:dyDescent="0.2"/>
    <row r="4" spans="1:14" ht="16" customHeight="1" x14ac:dyDescent="0.2">
      <c r="A4" s="86"/>
      <c r="B4" s="60"/>
      <c r="C4" s="255" t="s">
        <v>194</v>
      </c>
      <c r="D4" s="255"/>
      <c r="E4" s="255"/>
      <c r="F4" s="255"/>
      <c r="G4" s="255"/>
      <c r="H4" s="255"/>
      <c r="I4" s="255"/>
      <c r="J4" s="255"/>
      <c r="K4" s="255"/>
      <c r="L4" s="255"/>
    </row>
    <row r="5" spans="1:14" x14ac:dyDescent="0.2">
      <c r="B5" s="16" t="s">
        <v>117</v>
      </c>
      <c r="C5" s="12">
        <f>Revenue!C5</f>
        <v>2022</v>
      </c>
      <c r="D5" s="12">
        <f>Revenue!D5</f>
        <v>2023</v>
      </c>
      <c r="E5" s="12">
        <f>Revenue!E5</f>
        <v>2024</v>
      </c>
      <c r="F5" s="12">
        <f>Revenue!F5</f>
        <v>2025</v>
      </c>
      <c r="G5" s="12">
        <f>Revenue!G5</f>
        <v>2026</v>
      </c>
      <c r="H5" s="12">
        <f>Revenue!H5</f>
        <v>2027</v>
      </c>
      <c r="I5" s="12">
        <f>Revenue!I5</f>
        <v>2028</v>
      </c>
      <c r="J5" s="12">
        <f>Revenue!J5</f>
        <v>2029</v>
      </c>
      <c r="K5" s="12">
        <f>Revenue!K5</f>
        <v>2030</v>
      </c>
      <c r="L5" s="12">
        <f>Revenue!L5</f>
        <v>2031</v>
      </c>
    </row>
    <row r="6" spans="1:14" x14ac:dyDescent="0.2">
      <c r="B6" s="16" t="s">
        <v>19</v>
      </c>
      <c r="C6" s="92">
        <f>Revenue!C10</f>
        <v>30758</v>
      </c>
      <c r="D6" s="92">
        <f>Revenue!D10</f>
        <v>15540</v>
      </c>
      <c r="E6" s="92">
        <f>Revenue!E10</f>
        <v>25111</v>
      </c>
      <c r="F6" s="92">
        <f>Revenue!F10</f>
        <v>37378</v>
      </c>
      <c r="G6" s="93">
        <f>Revenue!G10</f>
        <v>133188</v>
      </c>
      <c r="H6" s="92">
        <f>Revenue!H10</f>
        <v>231353.65</v>
      </c>
      <c r="I6" s="92">
        <f>Revenue!I10</f>
        <v>317504.46999999997</v>
      </c>
      <c r="J6" s="92">
        <f>Revenue!J10</f>
        <v>373905.39299999998</v>
      </c>
      <c r="K6" s="92">
        <f>Revenue!K10</f>
        <v>318415.08629999997</v>
      </c>
      <c r="L6" s="92">
        <f>Revenue!L10</f>
        <v>219306.37880000001</v>
      </c>
      <c r="N6" s="91"/>
    </row>
    <row r="7" spans="1:14" x14ac:dyDescent="0.2">
      <c r="B7" s="16" t="s">
        <v>157</v>
      </c>
      <c r="C7" s="92">
        <f>'FCF &amp; Other'!C10</f>
        <v>9702</v>
      </c>
      <c r="D7" s="92">
        <f>'FCF &amp; Other'!D10</f>
        <v>-5745</v>
      </c>
      <c r="E7" s="92">
        <f>'FCF &amp; Other'!E10</f>
        <v>1304</v>
      </c>
      <c r="F7" s="92">
        <f>'FCF &amp; Other'!F10</f>
        <v>9770</v>
      </c>
      <c r="G7" s="93">
        <f>'FCF &amp; Other'!G10</f>
        <v>99340</v>
      </c>
      <c r="H7" s="92">
        <f>'FCF &amp; Other'!H10</f>
        <v>180999.90794999999</v>
      </c>
      <c r="I7" s="92">
        <f>'FCF &amp; Other'!I10</f>
        <v>258616.14305000001</v>
      </c>
      <c r="J7" s="92">
        <f>'FCF &amp; Other'!J10</f>
        <v>304582.89529499994</v>
      </c>
      <c r="K7" s="92">
        <f>'FCF &amp; Other'!K10</f>
        <v>254582.06903999994</v>
      </c>
      <c r="L7" s="92">
        <f>'FCF &amp; Other'!L10</f>
        <v>173102.03925200002</v>
      </c>
      <c r="N7" s="91"/>
    </row>
    <row r="8" spans="1:14" x14ac:dyDescent="0.2">
      <c r="B8" s="16" t="s">
        <v>262</v>
      </c>
      <c r="C8" s="92">
        <f>'FCF &amp; Other'!C28</f>
        <v>2605.8457841395884</v>
      </c>
      <c r="D8" s="92">
        <f>'FCF &amp; Other'!D28</f>
        <v>-8557</v>
      </c>
      <c r="E8" s="92">
        <f>'FCF &amp; Other'!E28</f>
        <v>-660.27741935483937</v>
      </c>
      <c r="F8" s="92">
        <f>'FCF &amp; Other'!F28</f>
        <v>789.49430287963332</v>
      </c>
      <c r="G8" s="93">
        <f>'FCF &amp; Other'!G28</f>
        <v>57677.020186413312</v>
      </c>
      <c r="H8" s="92">
        <f>'FCF &amp; Other'!H28</f>
        <v>91969.990855842465</v>
      </c>
      <c r="I8" s="92">
        <f>'FCF &amp; Other'!I28</f>
        <v>124064.76616155481</v>
      </c>
      <c r="J8" s="92">
        <f>'FCF &amp; Other'!J28</f>
        <v>175525.57843428288</v>
      </c>
      <c r="K8" s="92">
        <f>'FCF &amp; Other'!K28</f>
        <v>188625.14228390134</v>
      </c>
      <c r="L8" s="92">
        <f>'FCF &amp; Other'!L28</f>
        <v>156823.0650703951</v>
      </c>
      <c r="N8" s="91"/>
    </row>
    <row r="9" spans="1:14" x14ac:dyDescent="0.2">
      <c r="B9" s="16" t="s">
        <v>320</v>
      </c>
      <c r="C9" s="141"/>
      <c r="D9" s="141"/>
      <c r="E9" s="141"/>
      <c r="F9" s="141"/>
      <c r="G9" s="142"/>
      <c r="H9" s="92">
        <f ca="1">DCF!H10</f>
        <v>79586.418244232642</v>
      </c>
      <c r="I9" s="92">
        <f ca="1">DCF!I10</f>
        <v>92903.931856989439</v>
      </c>
      <c r="J9" s="92">
        <f ca="1">DCF!J10</f>
        <v>113741.47677146767</v>
      </c>
      <c r="K9" s="92">
        <f ca="1">DCF!K10</f>
        <v>105772.03175456983</v>
      </c>
      <c r="L9" s="92">
        <f ca="1">DCF!L10</f>
        <v>76098.136299347054</v>
      </c>
      <c r="N9" s="91"/>
    </row>
    <row r="10" spans="1:14" x14ac:dyDescent="0.2">
      <c r="N10" s="91"/>
    </row>
    <row r="11" spans="1:14" x14ac:dyDescent="0.2">
      <c r="C11" s="255" t="s">
        <v>122</v>
      </c>
      <c r="D11" s="255"/>
      <c r="E11" s="255"/>
      <c r="F11" s="255"/>
      <c r="G11" s="255"/>
      <c r="H11" s="255"/>
      <c r="I11" s="255"/>
      <c r="J11" s="255"/>
      <c r="K11" s="255"/>
      <c r="L11" s="255"/>
      <c r="N11" s="91"/>
    </row>
    <row r="12" spans="1:14" x14ac:dyDescent="0.2">
      <c r="B12" s="16" t="s">
        <v>195</v>
      </c>
      <c r="C12" s="12">
        <f>C5</f>
        <v>2022</v>
      </c>
      <c r="D12" s="12">
        <f t="shared" ref="D12:L12" si="0">D5</f>
        <v>2023</v>
      </c>
      <c r="E12" s="12">
        <f t="shared" si="0"/>
        <v>2024</v>
      </c>
      <c r="F12" s="12">
        <f t="shared" si="0"/>
        <v>2025</v>
      </c>
      <c r="G12" s="12">
        <f t="shared" si="0"/>
        <v>2026</v>
      </c>
      <c r="H12" s="12">
        <f t="shared" si="0"/>
        <v>2027</v>
      </c>
      <c r="I12" s="12">
        <f t="shared" si="0"/>
        <v>2028</v>
      </c>
      <c r="J12" s="12">
        <f t="shared" si="0"/>
        <v>2029</v>
      </c>
      <c r="K12" s="12">
        <f t="shared" si="0"/>
        <v>2030</v>
      </c>
      <c r="L12" s="12">
        <f t="shared" si="0"/>
        <v>2031</v>
      </c>
      <c r="N12" s="91"/>
    </row>
    <row r="13" spans="1:14" x14ac:dyDescent="0.2">
      <c r="B13" s="1" t="s">
        <v>19</v>
      </c>
      <c r="C13" s="141"/>
      <c r="D13" s="95">
        <f>(D6-C6)/C6</f>
        <v>-0.49476558944014565</v>
      </c>
      <c r="E13" s="95">
        <f t="shared" ref="E13:L13" si="1">(E6-D6)/D6</f>
        <v>0.61589446589446595</v>
      </c>
      <c r="F13" s="95">
        <f t="shared" si="1"/>
        <v>0.48851101111066864</v>
      </c>
      <c r="G13" s="96">
        <f t="shared" si="1"/>
        <v>2.563272513243084</v>
      </c>
      <c r="H13" s="95">
        <f t="shared" si="1"/>
        <v>0.73704575487281132</v>
      </c>
      <c r="I13" s="95">
        <f t="shared" si="1"/>
        <v>0.37237718099541539</v>
      </c>
      <c r="J13" s="95">
        <f t="shared" si="1"/>
        <v>0.17763820144012465</v>
      </c>
      <c r="K13" s="95">
        <f t="shared" si="1"/>
        <v>-0.14840734511684356</v>
      </c>
      <c r="L13" s="95">
        <f t="shared" si="1"/>
        <v>-0.31125631844787366</v>
      </c>
      <c r="N13" s="91"/>
    </row>
    <row r="14" spans="1:14" x14ac:dyDescent="0.2">
      <c r="B14" s="1" t="s">
        <v>157</v>
      </c>
      <c r="C14" s="141"/>
      <c r="D14" s="95">
        <f>IF(C7=0,
IF(D7=0,0,IF(D7&gt;0,1,-1)),
(D7-C7)/ABS(C7)
)</f>
        <v>-1.5921459492888064</v>
      </c>
      <c r="E14" s="95">
        <f t="shared" ref="E14:L14" si="2">IF(D7=0,
IF(E7=0,0,IF(E7&gt;0,1,-1)),
(E7-D7)/ABS(D7)
)</f>
        <v>1.2269799825935597</v>
      </c>
      <c r="F14" s="95">
        <f t="shared" si="2"/>
        <v>6.492331288343558</v>
      </c>
      <c r="G14" s="96">
        <f t="shared" si="2"/>
        <v>9.1678607983623337</v>
      </c>
      <c r="H14" s="95">
        <f t="shared" si="2"/>
        <v>0.82202444080934156</v>
      </c>
      <c r="I14" s="95">
        <f t="shared" si="2"/>
        <v>0.42881919653484568</v>
      </c>
      <c r="J14" s="95">
        <f t="shared" si="2"/>
        <v>0.17774123340828288</v>
      </c>
      <c r="K14" s="95">
        <f t="shared" si="2"/>
        <v>-0.16416163555925331</v>
      </c>
      <c r="L14" s="95">
        <f t="shared" si="2"/>
        <v>-0.32005407959504711</v>
      </c>
      <c r="N14" s="91"/>
    </row>
    <row r="15" spans="1:14" x14ac:dyDescent="0.2">
      <c r="B15" s="1" t="s">
        <v>262</v>
      </c>
      <c r="C15" s="141"/>
      <c r="D15" s="95">
        <f>IF(C8=0,
IF(D8=0,0,IF(D8&gt;0,1,-1)),
(D8-C8)/ABS(C8)
)</f>
        <v>-4.2837706866929555</v>
      </c>
      <c r="E15" s="95">
        <f t="shared" ref="E15:L15" si="3">IF(D8=0,
IF(E8=0,0,IF(E8&gt;0,1,-1)),
(E8-D8)/ABS(D8)
)</f>
        <v>0.92283774461203227</v>
      </c>
      <c r="F15" s="95">
        <f t="shared" si="3"/>
        <v>2.1957008974364935</v>
      </c>
      <c r="G15" s="96">
        <f t="shared" si="3"/>
        <v>72.055650909753027</v>
      </c>
      <c r="H15" s="95">
        <f t="shared" si="3"/>
        <v>0.59456904255097731</v>
      </c>
      <c r="I15" s="95">
        <f t="shared" si="3"/>
        <v>0.34897008260030182</v>
      </c>
      <c r="J15" s="95">
        <f t="shared" si="3"/>
        <v>0.41478990260390902</v>
      </c>
      <c r="K15" s="95">
        <f t="shared" si="3"/>
        <v>7.4630512353064005E-2</v>
      </c>
      <c r="L15" s="95">
        <f t="shared" si="3"/>
        <v>-0.16859935440441265</v>
      </c>
      <c r="N15" s="91"/>
    </row>
    <row r="16" spans="1:14" x14ac:dyDescent="0.2">
      <c r="N16" s="91"/>
    </row>
    <row r="17" spans="2:14" x14ac:dyDescent="0.2">
      <c r="C17" s="255" t="s">
        <v>196</v>
      </c>
      <c r="D17" s="255"/>
      <c r="E17" s="255"/>
      <c r="F17" s="255"/>
      <c r="G17" s="255"/>
      <c r="H17" s="255"/>
      <c r="I17" s="255"/>
      <c r="J17" s="255"/>
      <c r="K17" s="255"/>
      <c r="L17" s="255"/>
      <c r="N17" s="91"/>
    </row>
    <row r="18" spans="2:14" x14ac:dyDescent="0.2">
      <c r="C18" s="12">
        <f t="shared" ref="C18:L18" si="4">C5</f>
        <v>2022</v>
      </c>
      <c r="D18" s="12">
        <f t="shared" si="4"/>
        <v>2023</v>
      </c>
      <c r="E18" s="12">
        <f t="shared" si="4"/>
        <v>2024</v>
      </c>
      <c r="F18" s="12">
        <f t="shared" si="4"/>
        <v>2025</v>
      </c>
      <c r="G18" s="12">
        <f t="shared" si="4"/>
        <v>2026</v>
      </c>
      <c r="H18" s="12">
        <f t="shared" si="4"/>
        <v>2027</v>
      </c>
      <c r="I18" s="12">
        <f t="shared" si="4"/>
        <v>2028</v>
      </c>
      <c r="J18" s="12">
        <f t="shared" si="4"/>
        <v>2029</v>
      </c>
      <c r="K18" s="12">
        <f t="shared" si="4"/>
        <v>2030</v>
      </c>
      <c r="L18" s="12">
        <f t="shared" si="4"/>
        <v>2031</v>
      </c>
      <c r="N18" s="91"/>
    </row>
    <row r="19" spans="2:14" x14ac:dyDescent="0.2">
      <c r="B19" s="1" t="s">
        <v>197</v>
      </c>
      <c r="C19" s="100">
        <f>Statement!M22</f>
        <v>1122</v>
      </c>
      <c r="D19" s="100">
        <f>Statement!N22</f>
        <v>1093</v>
      </c>
      <c r="E19" s="100">
        <f>Statement!O22</f>
        <v>1118</v>
      </c>
      <c r="F19" s="100">
        <f>Statement!P22</f>
        <v>1125</v>
      </c>
      <c r="G19" s="101">
        <f>Statement!Q22</f>
        <v>1143</v>
      </c>
      <c r="H19" s="145">
        <f>G19*(1+H20)</f>
        <v>1133.856</v>
      </c>
      <c r="I19" s="145">
        <f t="shared" ref="I19:L19" si="5">H19*(1+I20)</f>
        <v>1128.1867199999999</v>
      </c>
      <c r="J19" s="145">
        <f t="shared" si="5"/>
        <v>1122.5457864</v>
      </c>
      <c r="K19" s="145">
        <f t="shared" si="5"/>
        <v>1122.5457864</v>
      </c>
      <c r="L19" s="145">
        <f t="shared" si="5"/>
        <v>1122.5457864</v>
      </c>
      <c r="N19" s="91"/>
    </row>
    <row r="20" spans="2:14" x14ac:dyDescent="0.2">
      <c r="B20" s="1" t="s">
        <v>198</v>
      </c>
      <c r="C20" s="141"/>
      <c r="D20" s="146">
        <f>D19/C19-1</f>
        <v>-2.5846702317290582E-2</v>
      </c>
      <c r="E20" s="146">
        <f t="shared" ref="E20:G20" si="6">E19/D19-1</f>
        <v>2.2872827081427349E-2</v>
      </c>
      <c r="F20" s="146">
        <f t="shared" si="6"/>
        <v>6.2611806797854275E-3</v>
      </c>
      <c r="G20" s="147">
        <f t="shared" si="6"/>
        <v>1.6000000000000014E-2</v>
      </c>
      <c r="H20" s="148">
        <v>-8.0000000000000002E-3</v>
      </c>
      <c r="I20" s="97">
        <v>-5.0000000000000001E-3</v>
      </c>
      <c r="J20" s="97">
        <v>-5.0000000000000001E-3</v>
      </c>
      <c r="K20" s="97">
        <v>0</v>
      </c>
      <c r="L20" s="97">
        <v>0</v>
      </c>
      <c r="N20" s="91"/>
    </row>
    <row r="21" spans="2:14" x14ac:dyDescent="0.2">
      <c r="N21" s="91"/>
    </row>
    <row r="22" spans="2:14" x14ac:dyDescent="0.2">
      <c r="C22" s="255" t="s">
        <v>199</v>
      </c>
      <c r="D22" s="255"/>
      <c r="E22" s="255"/>
      <c r="F22" s="255"/>
      <c r="G22" s="255"/>
      <c r="H22" s="255"/>
      <c r="I22" s="255"/>
      <c r="J22" s="255"/>
      <c r="K22" s="255"/>
      <c r="L22" s="255"/>
      <c r="N22" s="91"/>
    </row>
    <row r="23" spans="2:14" x14ac:dyDescent="0.2">
      <c r="C23" s="12">
        <f>C5</f>
        <v>2022</v>
      </c>
      <c r="D23" s="12">
        <f t="shared" ref="D23:L23" si="7">D5</f>
        <v>2023</v>
      </c>
      <c r="E23" s="12">
        <f t="shared" si="7"/>
        <v>2024</v>
      </c>
      <c r="F23" s="12">
        <f t="shared" si="7"/>
        <v>2025</v>
      </c>
      <c r="G23" s="12">
        <f t="shared" si="7"/>
        <v>2026</v>
      </c>
      <c r="H23" s="12">
        <f t="shared" si="7"/>
        <v>2027</v>
      </c>
      <c r="I23" s="12">
        <f t="shared" si="7"/>
        <v>2028</v>
      </c>
      <c r="J23" s="12">
        <f t="shared" si="7"/>
        <v>2029</v>
      </c>
      <c r="K23" s="12">
        <f t="shared" si="7"/>
        <v>2030</v>
      </c>
      <c r="L23" s="12">
        <f t="shared" si="7"/>
        <v>2031</v>
      </c>
      <c r="N23" s="91"/>
    </row>
    <row r="24" spans="2:14" x14ac:dyDescent="0.2">
      <c r="B24" s="1" t="s">
        <v>1</v>
      </c>
      <c r="C24" s="149">
        <f>Statement!M116</f>
        <v>57.31</v>
      </c>
      <c r="D24" s="149">
        <f>Statement!N116</f>
        <v>68.09</v>
      </c>
      <c r="E24" s="149">
        <f>Statement!O116</f>
        <v>95.57</v>
      </c>
      <c r="F24" s="149">
        <f>Statement!P116</f>
        <v>122</v>
      </c>
      <c r="G24" s="150">
        <f>Statement!Q116</f>
        <v>958.16</v>
      </c>
      <c r="H24" s="141"/>
      <c r="I24" s="141"/>
      <c r="J24" s="141"/>
      <c r="K24" s="141"/>
      <c r="L24" s="141"/>
      <c r="N24" s="91"/>
    </row>
    <row r="25" spans="2:14" x14ac:dyDescent="0.2">
      <c r="N25" s="91"/>
    </row>
    <row r="26" spans="2:14" x14ac:dyDescent="0.2">
      <c r="N26" s="91"/>
    </row>
    <row r="27" spans="2:14" x14ac:dyDescent="0.2">
      <c r="C27" s="255" t="s">
        <v>200</v>
      </c>
      <c r="D27" s="255"/>
      <c r="E27" s="255"/>
      <c r="F27" s="255"/>
      <c r="G27" s="255"/>
      <c r="H27" s="255"/>
      <c r="I27" s="255"/>
      <c r="J27" s="255"/>
      <c r="K27" s="255"/>
      <c r="L27" s="255"/>
      <c r="N27" s="91"/>
    </row>
    <row r="28" spans="2:14" x14ac:dyDescent="0.2">
      <c r="C28" s="12">
        <f>C5</f>
        <v>2022</v>
      </c>
      <c r="D28" s="12">
        <f t="shared" ref="D28:L28" si="8">D5</f>
        <v>2023</v>
      </c>
      <c r="E28" s="12">
        <f t="shared" si="8"/>
        <v>2024</v>
      </c>
      <c r="F28" s="12">
        <f t="shared" si="8"/>
        <v>2025</v>
      </c>
      <c r="G28" s="12">
        <f t="shared" si="8"/>
        <v>2026</v>
      </c>
      <c r="H28" s="12">
        <f t="shared" si="8"/>
        <v>2027</v>
      </c>
      <c r="I28" s="12">
        <f t="shared" si="8"/>
        <v>2028</v>
      </c>
      <c r="J28" s="12">
        <f t="shared" si="8"/>
        <v>2029</v>
      </c>
      <c r="K28" s="12">
        <f t="shared" si="8"/>
        <v>2030</v>
      </c>
      <c r="L28" s="12">
        <f t="shared" si="8"/>
        <v>2031</v>
      </c>
      <c r="N28" s="91"/>
    </row>
    <row r="29" spans="2:14" x14ac:dyDescent="0.2">
      <c r="B29" s="16" t="s">
        <v>201</v>
      </c>
      <c r="C29" s="151">
        <f>C24/(C6/C19)</f>
        <v>2.0905722088562326</v>
      </c>
      <c r="D29" s="151">
        <f t="shared" ref="D29:G29" si="9">D24/(D6/D19)</f>
        <v>4.7890842985842994</v>
      </c>
      <c r="E29" s="151">
        <f t="shared" si="9"/>
        <v>4.2549982079566719</v>
      </c>
      <c r="F29" s="151">
        <f t="shared" si="9"/>
        <v>3.6719460645299371</v>
      </c>
      <c r="G29" s="152">
        <f t="shared" si="9"/>
        <v>8.2227894404901338</v>
      </c>
      <c r="H29" s="141"/>
      <c r="I29" s="141"/>
      <c r="J29" s="141"/>
      <c r="K29" s="141"/>
      <c r="L29" s="141"/>
      <c r="N29" s="91"/>
    </row>
    <row r="30" spans="2:14" x14ac:dyDescent="0.2">
      <c r="B30" s="1" t="s">
        <v>202</v>
      </c>
      <c r="C30" s="145">
        <f>C24*C19</f>
        <v>64301.82</v>
      </c>
      <c r="D30" s="145">
        <f t="shared" ref="D30:G30" si="10">D24*D19</f>
        <v>74422.37000000001</v>
      </c>
      <c r="E30" s="145">
        <f t="shared" si="10"/>
        <v>106847.26</v>
      </c>
      <c r="F30" s="145">
        <f t="shared" si="10"/>
        <v>137250</v>
      </c>
      <c r="G30" s="153">
        <f t="shared" si="10"/>
        <v>1095176.8799999999</v>
      </c>
      <c r="H30" s="141"/>
      <c r="I30" s="141"/>
      <c r="J30" s="141"/>
      <c r="K30" s="141"/>
      <c r="L30" s="141"/>
      <c r="N30" s="91"/>
    </row>
    <row r="31" spans="2:14" x14ac:dyDescent="0.2">
      <c r="B31" s="1" t="s">
        <v>169</v>
      </c>
      <c r="C31" s="88">
        <f>Statement!M108</f>
        <v>6906</v>
      </c>
      <c r="D31" s="154">
        <f>Statement!N108</f>
        <v>13330</v>
      </c>
      <c r="E31" s="154">
        <f>Statement!O108</f>
        <v>13397</v>
      </c>
      <c r="F31" s="154">
        <f>Statement!P108</f>
        <v>14577</v>
      </c>
      <c r="G31" s="155">
        <f>Statement!Q108</f>
        <v>5179</v>
      </c>
      <c r="H31" s="141"/>
      <c r="I31" s="141"/>
      <c r="J31" s="141"/>
      <c r="K31" s="141"/>
      <c r="L31" s="141"/>
      <c r="N31" s="91"/>
    </row>
    <row r="32" spans="2:14" x14ac:dyDescent="0.2">
      <c r="B32" s="1" t="s">
        <v>178</v>
      </c>
      <c r="C32" s="154">
        <f>Statement!M107</f>
        <v>10978</v>
      </c>
      <c r="D32" s="154">
        <f>Statement!N107</f>
        <v>10438</v>
      </c>
      <c r="E32" s="154">
        <f>Statement!O107</f>
        <v>9152</v>
      </c>
      <c r="F32" s="154">
        <f>Statement!P107</f>
        <v>11936</v>
      </c>
      <c r="G32" s="155">
        <f>Statement!Q107</f>
        <v>73453</v>
      </c>
      <c r="H32" s="141"/>
      <c r="I32" s="141"/>
      <c r="J32" s="141"/>
      <c r="K32" s="141"/>
      <c r="L32" s="141"/>
      <c r="N32" s="91"/>
    </row>
    <row r="33" spans="2:14" x14ac:dyDescent="0.2">
      <c r="B33" s="1" t="s">
        <v>203</v>
      </c>
      <c r="C33" s="145">
        <f>C30+C31-C32</f>
        <v>60229.820000000007</v>
      </c>
      <c r="D33" s="145">
        <f t="shared" ref="D33:G33" si="11">D30+D31-D32</f>
        <v>77314.37000000001</v>
      </c>
      <c r="E33" s="145">
        <f t="shared" si="11"/>
        <v>111092.26</v>
      </c>
      <c r="F33" s="145">
        <f t="shared" si="11"/>
        <v>139891</v>
      </c>
      <c r="G33" s="153">
        <f t="shared" si="11"/>
        <v>1026902.8799999999</v>
      </c>
      <c r="H33" s="141"/>
      <c r="I33" s="141"/>
      <c r="J33" s="141"/>
      <c r="K33" s="141"/>
      <c r="L33" s="141"/>
      <c r="N33" s="91"/>
    </row>
    <row r="34" spans="2:14" x14ac:dyDescent="0.2">
      <c r="B34" s="16" t="s">
        <v>204</v>
      </c>
      <c r="C34" s="151">
        <f>C33/C7</f>
        <v>6.2079797979797986</v>
      </c>
      <c r="D34" s="151">
        <f t="shared" ref="D34:G34" si="12">D33/D7</f>
        <v>-13.457679721496955</v>
      </c>
      <c r="E34" s="151">
        <f t="shared" si="12"/>
        <v>85.193450920245397</v>
      </c>
      <c r="F34" s="151">
        <f t="shared" si="12"/>
        <v>14.31842374616172</v>
      </c>
      <c r="G34" s="152">
        <f t="shared" si="12"/>
        <v>10.337254680893899</v>
      </c>
      <c r="H34" s="141"/>
      <c r="I34" s="141"/>
      <c r="J34" s="141"/>
      <c r="K34" s="141"/>
      <c r="L34" s="141"/>
      <c r="N34" s="91"/>
    </row>
    <row r="35" spans="2:14" x14ac:dyDescent="0.2">
      <c r="B35" s="16" t="s">
        <v>321</v>
      </c>
      <c r="C35" s="151">
        <f>C33/C8</f>
        <v>23.113347829939599</v>
      </c>
      <c r="D35" s="151">
        <f t="shared" ref="D35:G35" si="13">D33/D8</f>
        <v>-9.0352191188500655</v>
      </c>
      <c r="E35" s="151">
        <f t="shared" si="13"/>
        <v>-168.2508847698424</v>
      </c>
      <c r="F35" s="151">
        <f t="shared" si="13"/>
        <v>177.19063898213824</v>
      </c>
      <c r="G35" s="152">
        <f t="shared" si="13"/>
        <v>17.804367782541966</v>
      </c>
      <c r="H35" s="141"/>
      <c r="I35" s="141"/>
      <c r="J35" s="141"/>
      <c r="K35" s="141"/>
      <c r="L35" s="141"/>
      <c r="N35" s="91"/>
    </row>
    <row r="36" spans="2:14" x14ac:dyDescent="0.2">
      <c r="B36" s="16" t="s">
        <v>426</v>
      </c>
      <c r="C36" s="151">
        <f>C33/C6</f>
        <v>1.9581838871187986</v>
      </c>
      <c r="D36" s="151">
        <f t="shared" ref="D36:G36" si="14">D33/D6</f>
        <v>4.9751846846846854</v>
      </c>
      <c r="E36" s="151">
        <f t="shared" si="14"/>
        <v>4.4240476285293298</v>
      </c>
      <c r="F36" s="151">
        <f t="shared" si="14"/>
        <v>3.7426026004601636</v>
      </c>
      <c r="G36" s="152">
        <f t="shared" si="14"/>
        <v>7.7101756915037383</v>
      </c>
      <c r="H36" s="141"/>
      <c r="I36" s="141"/>
      <c r="J36" s="141"/>
      <c r="K36" s="141"/>
      <c r="L36" s="141"/>
      <c r="N36" s="91"/>
    </row>
    <row r="37" spans="2:14" x14ac:dyDescent="0.2">
      <c r="N37" s="91"/>
    </row>
    <row r="38" spans="2:14" x14ac:dyDescent="0.2">
      <c r="N38" s="91"/>
    </row>
    <row r="39" spans="2:14" x14ac:dyDescent="0.2">
      <c r="B39" s="249" t="s">
        <v>205</v>
      </c>
      <c r="C39" s="249"/>
      <c r="N39" s="91"/>
    </row>
    <row r="40" spans="2:14" x14ac:dyDescent="0.2">
      <c r="B40" s="1" t="s">
        <v>206</v>
      </c>
      <c r="C40" s="64">
        <f>L7</f>
        <v>173102.03925200002</v>
      </c>
    </row>
    <row r="41" spans="2:14" x14ac:dyDescent="0.2">
      <c r="B41" s="1" t="s">
        <v>165</v>
      </c>
      <c r="C41" s="139">
        <f ca="1">IF(Overview!C28&gt;0,Overview!C28,WACC!C20)</f>
        <v>0.15559906934883602</v>
      </c>
    </row>
    <row r="42" spans="2:14" x14ac:dyDescent="0.2">
      <c r="B42" s="39" t="s">
        <v>207</v>
      </c>
      <c r="C42" s="105">
        <v>12</v>
      </c>
    </row>
    <row r="43" spans="2:14" x14ac:dyDescent="0.2">
      <c r="B43" s="1" t="s">
        <v>422</v>
      </c>
      <c r="C43" s="24">
        <f>(C40*C42)</f>
        <v>2077224.4710240001</v>
      </c>
    </row>
    <row r="44" spans="2:14" x14ac:dyDescent="0.2">
      <c r="B44" s="1" t="s">
        <v>423</v>
      </c>
      <c r="C44" s="24">
        <f ca="1">C43/(1+C41)^5</f>
        <v>1007969.7833310892</v>
      </c>
    </row>
    <row r="45" spans="2:14" x14ac:dyDescent="0.2">
      <c r="B45" s="16" t="s">
        <v>424</v>
      </c>
      <c r="C45" s="110">
        <f ca="1">SUM(H9:K9)+C44</f>
        <v>1399973.6419583489</v>
      </c>
    </row>
    <row r="46" spans="2:14" x14ac:dyDescent="0.2">
      <c r="B46" s="1" t="s">
        <v>189</v>
      </c>
      <c r="C46" s="88">
        <f>Statement!AC107</f>
        <v>73453</v>
      </c>
    </row>
    <row r="47" spans="2:14" x14ac:dyDescent="0.2">
      <c r="B47" s="1" t="s">
        <v>190</v>
      </c>
      <c r="C47" s="88">
        <f>Statement!AC108</f>
        <v>5179</v>
      </c>
    </row>
    <row r="48" spans="2:14" x14ac:dyDescent="0.2">
      <c r="B48" s="16" t="s">
        <v>191</v>
      </c>
      <c r="C48" s="110">
        <f ca="1">C45+C46-C47</f>
        <v>1468247.6419583489</v>
      </c>
    </row>
    <row r="49" spans="2:3" x14ac:dyDescent="0.2">
      <c r="B49" s="1" t="s">
        <v>68</v>
      </c>
      <c r="C49" s="88">
        <f>Statement!AC78</f>
        <v>1146</v>
      </c>
    </row>
    <row r="50" spans="2:3" x14ac:dyDescent="0.2">
      <c r="B50" s="236" t="s">
        <v>209</v>
      </c>
      <c r="C50" s="237">
        <f ca="1">C48/C49</f>
        <v>1281.1934048502171</v>
      </c>
    </row>
    <row r="52" spans="2:3" x14ac:dyDescent="0.2">
      <c r="B52" s="249" t="s">
        <v>210</v>
      </c>
      <c r="C52" s="249"/>
    </row>
    <row r="53" spans="2:3" x14ac:dyDescent="0.2">
      <c r="B53" s="1" t="s">
        <v>211</v>
      </c>
      <c r="C53" s="64">
        <f>L6</f>
        <v>219306.37880000001</v>
      </c>
    </row>
    <row r="54" spans="2:3" x14ac:dyDescent="0.2">
      <c r="B54" s="1" t="s">
        <v>346</v>
      </c>
      <c r="C54" s="139">
        <f ca="1">IF(Overview!C29&gt;0,Overview!C29,WACC!C19)</f>
        <v>0.15615200000000001</v>
      </c>
    </row>
    <row r="55" spans="2:3" x14ac:dyDescent="0.2">
      <c r="B55" s="39" t="s">
        <v>212</v>
      </c>
      <c r="C55" s="105">
        <v>6</v>
      </c>
    </row>
    <row r="56" spans="2:3" x14ac:dyDescent="0.2">
      <c r="B56" s="1" t="s">
        <v>208</v>
      </c>
      <c r="C56" s="24">
        <f>L19</f>
        <v>1122.5457864</v>
      </c>
    </row>
    <row r="57" spans="2:3" x14ac:dyDescent="0.2">
      <c r="B57" s="1" t="s">
        <v>192</v>
      </c>
      <c r="C57" s="24">
        <f>(C53*C55)/C56</f>
        <v>1172.191182526183</v>
      </c>
    </row>
    <row r="58" spans="2:3" x14ac:dyDescent="0.2">
      <c r="B58" s="236" t="s">
        <v>209</v>
      </c>
      <c r="C58" s="237">
        <f ca="1">C57/(1+C54)^5</f>
        <v>567.44500341495586</v>
      </c>
    </row>
    <row r="60" spans="2:3" x14ac:dyDescent="0.2">
      <c r="B60" s="249" t="s">
        <v>322</v>
      </c>
      <c r="C60" s="249"/>
    </row>
    <row r="61" spans="2:3" x14ac:dyDescent="0.2">
      <c r="B61" s="1" t="s">
        <v>425</v>
      </c>
      <c r="C61" s="64">
        <f>L8</f>
        <v>156823.0650703951</v>
      </c>
    </row>
    <row r="62" spans="2:3" x14ac:dyDescent="0.2">
      <c r="B62" s="1" t="s">
        <v>165</v>
      </c>
      <c r="C62" s="139">
        <f ca="1">IF(Overview!C28&gt;0,Overview!C28,WACC!C20)</f>
        <v>0.15559906934883602</v>
      </c>
    </row>
    <row r="63" spans="2:3" x14ac:dyDescent="0.2">
      <c r="B63" s="39" t="s">
        <v>347</v>
      </c>
      <c r="C63" s="105">
        <v>20</v>
      </c>
    </row>
    <row r="64" spans="2:3" x14ac:dyDescent="0.2">
      <c r="B64" s="1" t="s">
        <v>422</v>
      </c>
      <c r="C64" s="24">
        <f>(C61*C63)</f>
        <v>3136461.301407902</v>
      </c>
    </row>
    <row r="65" spans="2:3" x14ac:dyDescent="0.2">
      <c r="B65" s="1" t="s">
        <v>423</v>
      </c>
      <c r="C65" s="24">
        <f ca="1">C64/(1+C62)^5</f>
        <v>1521962.725986941</v>
      </c>
    </row>
    <row r="66" spans="2:3" x14ac:dyDescent="0.2">
      <c r="B66" s="16" t="s">
        <v>424</v>
      </c>
      <c r="C66" s="110">
        <f ca="1">SUM(H9:K9)+C65</f>
        <v>1913966.5846142005</v>
      </c>
    </row>
    <row r="67" spans="2:3" x14ac:dyDescent="0.2">
      <c r="B67" s="1" t="s">
        <v>189</v>
      </c>
      <c r="C67" s="88">
        <f>Statement!AC107</f>
        <v>73453</v>
      </c>
    </row>
    <row r="68" spans="2:3" x14ac:dyDescent="0.2">
      <c r="B68" s="1" t="s">
        <v>190</v>
      </c>
      <c r="C68" s="88">
        <f>Statement!AC108</f>
        <v>5179</v>
      </c>
    </row>
    <row r="69" spans="2:3" x14ac:dyDescent="0.2">
      <c r="B69" s="16" t="s">
        <v>191</v>
      </c>
      <c r="C69" s="110">
        <f ca="1">C66+C67-C68</f>
        <v>1982240.5846142005</v>
      </c>
    </row>
    <row r="70" spans="2:3" x14ac:dyDescent="0.2">
      <c r="B70" s="1" t="s">
        <v>68</v>
      </c>
      <c r="C70" s="88">
        <f>Statement!AC78</f>
        <v>1146</v>
      </c>
    </row>
    <row r="71" spans="2:3" x14ac:dyDescent="0.2">
      <c r="B71" s="236" t="s">
        <v>209</v>
      </c>
      <c r="C71" s="237">
        <f ca="1">C69/C70</f>
        <v>1729.7038260158818</v>
      </c>
    </row>
    <row r="73" spans="2:3" x14ac:dyDescent="0.2">
      <c r="B73" s="249" t="s">
        <v>427</v>
      </c>
      <c r="C73" s="249"/>
    </row>
    <row r="74" spans="2:3" x14ac:dyDescent="0.2">
      <c r="B74" s="1" t="s">
        <v>428</v>
      </c>
      <c r="C74" s="64">
        <f>L6</f>
        <v>219306.37880000001</v>
      </c>
    </row>
    <row r="75" spans="2:3" x14ac:dyDescent="0.2">
      <c r="B75" s="1" t="s">
        <v>165</v>
      </c>
      <c r="C75" s="139">
        <f ca="1">IF(Overview!C28&gt;0,Overview!C28,WACC!C20)</f>
        <v>0.15559906934883602</v>
      </c>
    </row>
    <row r="76" spans="2:3" x14ac:dyDescent="0.2">
      <c r="B76" s="39" t="s">
        <v>429</v>
      </c>
      <c r="C76" s="105">
        <v>5.5</v>
      </c>
    </row>
    <row r="77" spans="2:3" x14ac:dyDescent="0.2">
      <c r="B77" s="1" t="s">
        <v>422</v>
      </c>
      <c r="C77" s="24">
        <f>(C74*C76)</f>
        <v>1206185.0834000001</v>
      </c>
    </row>
    <row r="78" spans="2:3" x14ac:dyDescent="0.2">
      <c r="B78" s="1" t="s">
        <v>423</v>
      </c>
      <c r="C78" s="24">
        <f ca="1">C77/(1+C75)^5</f>
        <v>585299.34252726345</v>
      </c>
    </row>
    <row r="79" spans="2:3" x14ac:dyDescent="0.2">
      <c r="B79" s="16" t="s">
        <v>424</v>
      </c>
      <c r="C79" s="110">
        <f ca="1">SUM(H9:K9)+C78</f>
        <v>977303.20115452306</v>
      </c>
    </row>
    <row r="80" spans="2:3" x14ac:dyDescent="0.2">
      <c r="B80" s="1" t="s">
        <v>189</v>
      </c>
      <c r="C80" s="88">
        <f>Statement!AC107</f>
        <v>73453</v>
      </c>
    </row>
    <row r="81" spans="2:3" x14ac:dyDescent="0.2">
      <c r="B81" s="1" t="s">
        <v>190</v>
      </c>
      <c r="C81" s="88">
        <f>Statement!AC108</f>
        <v>5179</v>
      </c>
    </row>
    <row r="82" spans="2:3" x14ac:dyDescent="0.2">
      <c r="B82" s="16" t="s">
        <v>191</v>
      </c>
      <c r="C82" s="110">
        <f ca="1">C79+C80-C81</f>
        <v>1045577.2011545231</v>
      </c>
    </row>
    <row r="83" spans="2:3" x14ac:dyDescent="0.2">
      <c r="B83" s="1" t="s">
        <v>68</v>
      </c>
      <c r="C83" s="88">
        <f>Statement!AC78</f>
        <v>1146</v>
      </c>
    </row>
    <row r="84" spans="2:3" x14ac:dyDescent="0.2">
      <c r="B84" s="236" t="s">
        <v>209</v>
      </c>
      <c r="C84" s="237">
        <f ca="1">C82/C83</f>
        <v>912.37103067584906</v>
      </c>
    </row>
  </sheetData>
  <mergeCells count="11">
    <mergeCell ref="C22:L22"/>
    <mergeCell ref="C2:G2"/>
    <mergeCell ref="H2:L2"/>
    <mergeCell ref="C4:L4"/>
    <mergeCell ref="C11:L11"/>
    <mergeCell ref="C17:L17"/>
    <mergeCell ref="B73:C73"/>
    <mergeCell ref="C27:L27"/>
    <mergeCell ref="B39:C39"/>
    <mergeCell ref="B52:C52"/>
    <mergeCell ref="B60:C60"/>
  </mergeCells>
  <pageMargins left="0.7" right="0.7" top="0.75" bottom="0.75" header="0.3" footer="0.3"/>
  <ignoredErrors>
    <ignoredError sqref="D14:L14"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06138-34BE-DB43-85EE-BFBB58F201B2}">
  <dimension ref="A1:N12"/>
  <sheetViews>
    <sheetView zoomScale="168" zoomScaleNormal="100" workbookViewId="0">
      <selection activeCell="C10" sqref="C10"/>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213</v>
      </c>
    </row>
    <row r="2" spans="1:14" x14ac:dyDescent="0.2">
      <c r="N2" s="91"/>
    </row>
    <row r="3" spans="1:14" x14ac:dyDescent="0.2">
      <c r="N3" s="91"/>
    </row>
    <row r="4" spans="1:14" x14ac:dyDescent="0.2">
      <c r="B4" s="249" t="s">
        <v>214</v>
      </c>
      <c r="C4" s="249"/>
      <c r="N4" s="91"/>
    </row>
    <row r="5" spans="1:14" x14ac:dyDescent="0.2">
      <c r="B5" s="1" t="s">
        <v>215</v>
      </c>
      <c r="C5" s="137">
        <f ca="1">DCF!C26</f>
        <v>928.67183632982017</v>
      </c>
    </row>
    <row r="6" spans="1:14" x14ac:dyDescent="0.2">
      <c r="B6" s="1" t="s">
        <v>216</v>
      </c>
      <c r="C6" s="137">
        <f ca="1">Multiples!C50</f>
        <v>1281.1934048502171</v>
      </c>
    </row>
    <row r="7" spans="1:14" x14ac:dyDescent="0.2">
      <c r="B7" s="1" t="s">
        <v>217</v>
      </c>
      <c r="C7" s="137">
        <f ca="1">Multiples!C58</f>
        <v>567.44500341495586</v>
      </c>
    </row>
    <row r="8" spans="1:14" x14ac:dyDescent="0.2">
      <c r="B8" s="1" t="s">
        <v>323</v>
      </c>
      <c r="C8" s="137">
        <f ca="1">Multiples!C71</f>
        <v>1729.7038260158818</v>
      </c>
    </row>
    <row r="9" spans="1:14" x14ac:dyDescent="0.2">
      <c r="B9" s="1" t="s">
        <v>430</v>
      </c>
      <c r="C9" s="137">
        <f ca="1">Multiples!C84</f>
        <v>912.37103067584906</v>
      </c>
    </row>
    <row r="10" spans="1:14" x14ac:dyDescent="0.2">
      <c r="B10" s="236" t="s">
        <v>218</v>
      </c>
      <c r="C10" s="237">
        <f ca="1">AVERAGE(C5:C9)</f>
        <v>1083.8770202573448</v>
      </c>
    </row>
    <row r="11" spans="1:14" x14ac:dyDescent="0.2">
      <c r="B11" s="1" t="s">
        <v>219</v>
      </c>
      <c r="C11" s="137">
        <f ca="1">Overview!C5</f>
        <v>903.7</v>
      </c>
    </row>
    <row r="12" spans="1:14" x14ac:dyDescent="0.2">
      <c r="B12" s="1" t="s">
        <v>220</v>
      </c>
      <c r="C12" s="156">
        <f ca="1">(C10-C11)/C11</f>
        <v>0.19937702805947194</v>
      </c>
    </row>
  </sheetData>
  <mergeCells count="1">
    <mergeCell ref="B4:C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29FA4-3F46-6F4E-9026-BAD13DCD8999}">
  <dimension ref="A1:N26"/>
  <sheetViews>
    <sheetView topLeftCell="A19" zoomScale="192" zoomScaleNormal="100" workbookViewId="0">
      <selection activeCell="C22" sqref="C22"/>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358</v>
      </c>
    </row>
    <row r="2" spans="1:14" x14ac:dyDescent="0.2">
      <c r="A2" s="4"/>
      <c r="C2" s="249" t="s">
        <v>113</v>
      </c>
      <c r="D2" s="249"/>
      <c r="E2" s="249"/>
      <c r="F2" s="249"/>
      <c r="G2" s="258"/>
      <c r="H2" s="259" t="s">
        <v>114</v>
      </c>
      <c r="I2" s="249"/>
      <c r="J2" s="249"/>
      <c r="K2" s="249"/>
      <c r="L2" s="249"/>
    </row>
    <row r="3" spans="1:14" ht="10" customHeight="1" x14ac:dyDescent="0.2"/>
    <row r="4" spans="1:14" ht="16" customHeight="1" x14ac:dyDescent="0.2">
      <c r="A4" s="86"/>
      <c r="B4" s="60"/>
      <c r="C4" s="255" t="s">
        <v>194</v>
      </c>
      <c r="D4" s="255"/>
      <c r="E4" s="255"/>
      <c r="F4" s="255"/>
      <c r="G4" s="255"/>
      <c r="H4" s="255"/>
      <c r="I4" s="255"/>
      <c r="J4" s="255"/>
      <c r="K4" s="255"/>
      <c r="L4" s="255"/>
    </row>
    <row r="5" spans="1:14" x14ac:dyDescent="0.2">
      <c r="B5" s="16" t="s">
        <v>117</v>
      </c>
      <c r="C5" s="12">
        <f>[2]Revenue!C5</f>
        <v>2021</v>
      </c>
      <c r="D5" s="12">
        <f>[2]Revenue!D5</f>
        <v>2022</v>
      </c>
      <c r="E5" s="12">
        <f>[2]Revenue!E5</f>
        <v>2023</v>
      </c>
      <c r="F5" s="12">
        <f>[2]Revenue!F5</f>
        <v>2024</v>
      </c>
      <c r="G5" s="12">
        <f>[2]Revenue!G5</f>
        <v>2025</v>
      </c>
      <c r="H5" s="12">
        <f>[2]Revenue!H5</f>
        <v>2026</v>
      </c>
      <c r="I5" s="12">
        <f>[2]Revenue!I5</f>
        <v>2027</v>
      </c>
      <c r="J5" s="12">
        <f>[2]Revenue!J5</f>
        <v>2028</v>
      </c>
      <c r="K5" s="12">
        <f>[2]Revenue!K5</f>
        <v>2029</v>
      </c>
      <c r="L5" s="12">
        <f>[2]Revenue!L5</f>
        <v>2030</v>
      </c>
    </row>
    <row r="6" spans="1:14" x14ac:dyDescent="0.2">
      <c r="B6" s="16" t="s">
        <v>243</v>
      </c>
      <c r="C6" s="228">
        <f>Statement!M26</f>
        <v>7.75</v>
      </c>
      <c r="D6" s="228">
        <f>Statement!N26</f>
        <v>-5.34</v>
      </c>
      <c r="E6" s="228">
        <f>Statement!O26</f>
        <v>0.7</v>
      </c>
      <c r="F6" s="228">
        <f>Statement!P26</f>
        <v>7.59</v>
      </c>
      <c r="G6" s="229">
        <f>Statement!Q26</f>
        <v>74.33</v>
      </c>
      <c r="H6" s="141"/>
      <c r="I6" s="141"/>
      <c r="J6" s="141"/>
      <c r="K6" s="141"/>
      <c r="L6" s="141"/>
      <c r="N6" s="91"/>
    </row>
    <row r="7" spans="1:14" x14ac:dyDescent="0.2">
      <c r="B7" s="16" t="s">
        <v>359</v>
      </c>
      <c r="C7" s="228">
        <f>Statement!M82</f>
        <v>0.315</v>
      </c>
      <c r="D7" s="228">
        <f>Statement!N82</f>
        <v>0.46</v>
      </c>
      <c r="E7" s="228">
        <f>Statement!O82</f>
        <v>0.46</v>
      </c>
      <c r="F7" s="228">
        <f>Statement!P82</f>
        <v>0.46</v>
      </c>
      <c r="G7" s="229">
        <f>Statement!Q82</f>
        <v>0.56999999999999995</v>
      </c>
      <c r="H7" s="141"/>
      <c r="I7" s="141"/>
      <c r="J7" s="141"/>
      <c r="K7" s="141"/>
      <c r="L7" s="141"/>
      <c r="N7" s="91"/>
    </row>
    <row r="8" spans="1:14" x14ac:dyDescent="0.2">
      <c r="N8" s="91"/>
    </row>
    <row r="9" spans="1:14" x14ac:dyDescent="0.2">
      <c r="C9" s="255" t="s">
        <v>122</v>
      </c>
      <c r="D9" s="255"/>
      <c r="E9" s="255"/>
      <c r="F9" s="255"/>
      <c r="G9" s="255"/>
      <c r="H9" s="255"/>
      <c r="I9" s="255"/>
      <c r="J9" s="255"/>
      <c r="K9" s="255"/>
      <c r="L9" s="255"/>
      <c r="N9" s="91"/>
    </row>
    <row r="10" spans="1:14" x14ac:dyDescent="0.2">
      <c r="B10" s="16" t="s">
        <v>195</v>
      </c>
      <c r="C10" s="12">
        <f t="shared" ref="C10:L10" si="0">C5</f>
        <v>2021</v>
      </c>
      <c r="D10" s="12">
        <f t="shared" si="0"/>
        <v>2022</v>
      </c>
      <c r="E10" s="12">
        <f t="shared" si="0"/>
        <v>2023</v>
      </c>
      <c r="F10" s="12">
        <f t="shared" si="0"/>
        <v>2024</v>
      </c>
      <c r="G10" s="12">
        <f t="shared" si="0"/>
        <v>2025</v>
      </c>
      <c r="H10" s="12">
        <f t="shared" si="0"/>
        <v>2026</v>
      </c>
      <c r="I10" s="12">
        <f t="shared" si="0"/>
        <v>2027</v>
      </c>
      <c r="J10" s="12">
        <f t="shared" si="0"/>
        <v>2028</v>
      </c>
      <c r="K10" s="12">
        <f t="shared" si="0"/>
        <v>2029</v>
      </c>
      <c r="L10" s="12">
        <f t="shared" si="0"/>
        <v>2030</v>
      </c>
      <c r="N10" s="91"/>
    </row>
    <row r="11" spans="1:14" x14ac:dyDescent="0.2">
      <c r="B11" s="1" t="s">
        <v>243</v>
      </c>
      <c r="C11" s="141"/>
      <c r="D11" s="95">
        <f>(D6-C6)/C6</f>
        <v>-1.6890322580645161</v>
      </c>
      <c r="E11" s="95">
        <f>(E6-D6)/D6</f>
        <v>-1.1310861423220975</v>
      </c>
      <c r="F11" s="95">
        <f>(F6-E6)/E6</f>
        <v>9.8428571428571434</v>
      </c>
      <c r="G11" s="96">
        <f>(G6-F6)/F6</f>
        <v>8.7931488801054005</v>
      </c>
      <c r="H11" s="141"/>
      <c r="I11" s="141"/>
      <c r="J11" s="141"/>
      <c r="K11" s="141"/>
      <c r="L11" s="141"/>
      <c r="N11" s="91"/>
    </row>
    <row r="12" spans="1:14" x14ac:dyDescent="0.2">
      <c r="B12" s="1" t="s">
        <v>244</v>
      </c>
      <c r="C12" s="141"/>
      <c r="D12" s="95">
        <f>IF(C7=0,
IF(D7=0,0,IF(D7&gt;0,1,-1)),
(D7-C7)/ABS(C7)
)</f>
        <v>0.46031746031746035</v>
      </c>
      <c r="E12" s="95">
        <f>IF(D7=0,
IF(E7=0,0,IF(E7&gt;0,1,-1)),
(E7-D7)/ABS(D7)
)</f>
        <v>0</v>
      </c>
      <c r="F12" s="95">
        <f>IF(E7=0,
IF(F7=0,0,IF(F7&gt;0,1,-1)),
(F7-E7)/ABS(E7)
)</f>
        <v>0</v>
      </c>
      <c r="G12" s="96">
        <f>IF(F7=0,
IF(G7=0,0,IF(G7&gt;0,1,-1)),
(G7-F7)/ABS(F7)
)</f>
        <v>0.23913043478260854</v>
      </c>
      <c r="H12" s="141"/>
      <c r="I12" s="141"/>
      <c r="J12" s="141"/>
      <c r="K12" s="141"/>
      <c r="L12" s="141"/>
      <c r="N12" s="91"/>
    </row>
    <row r="13" spans="1:14" x14ac:dyDescent="0.2">
      <c r="N13" s="91"/>
    </row>
    <row r="14" spans="1:14" x14ac:dyDescent="0.2">
      <c r="C14" s="255" t="s">
        <v>360</v>
      </c>
      <c r="D14" s="255"/>
      <c r="E14" s="255"/>
      <c r="F14" s="255"/>
      <c r="G14" s="255"/>
      <c r="H14" s="255"/>
      <c r="I14" s="255"/>
      <c r="J14" s="255"/>
      <c r="K14" s="255"/>
      <c r="L14" s="255"/>
      <c r="N14" s="91"/>
    </row>
    <row r="15" spans="1:14" x14ac:dyDescent="0.2">
      <c r="B15" s="16" t="s">
        <v>334</v>
      </c>
      <c r="C15" s="12">
        <f>C5</f>
        <v>2021</v>
      </c>
      <c r="D15" s="12">
        <f t="shared" ref="D15:L15" si="1">D5</f>
        <v>2022</v>
      </c>
      <c r="E15" s="12">
        <f t="shared" si="1"/>
        <v>2023</v>
      </c>
      <c r="F15" s="12">
        <f t="shared" si="1"/>
        <v>2024</v>
      </c>
      <c r="G15" s="12">
        <f t="shared" si="1"/>
        <v>2025</v>
      </c>
      <c r="H15" s="12">
        <f t="shared" si="1"/>
        <v>2026</v>
      </c>
      <c r="I15" s="12">
        <f t="shared" si="1"/>
        <v>2027</v>
      </c>
      <c r="J15" s="12">
        <f t="shared" si="1"/>
        <v>2028</v>
      </c>
      <c r="K15" s="12">
        <f t="shared" si="1"/>
        <v>2029</v>
      </c>
      <c r="L15" s="12">
        <f t="shared" si="1"/>
        <v>2030</v>
      </c>
      <c r="N15" s="91"/>
    </row>
    <row r="16" spans="1:14" x14ac:dyDescent="0.2">
      <c r="B16" s="1" t="s">
        <v>361</v>
      </c>
      <c r="C16" s="95">
        <f>C7/C6</f>
        <v>4.0645161290322578E-2</v>
      </c>
      <c r="D16" s="95">
        <f t="shared" ref="D16:G16" si="2">D7/D6</f>
        <v>-8.6142322097378279E-2</v>
      </c>
      <c r="E16" s="95">
        <f t="shared" si="2"/>
        <v>0.65714285714285725</v>
      </c>
      <c r="F16" s="95">
        <f t="shared" si="2"/>
        <v>6.0606060606060608E-2</v>
      </c>
      <c r="G16" s="96">
        <f t="shared" si="2"/>
        <v>7.6685053141396474E-3</v>
      </c>
      <c r="H16" s="141"/>
      <c r="I16" s="141"/>
      <c r="J16" s="141"/>
      <c r="K16" s="141"/>
      <c r="L16" s="141"/>
      <c r="N16" s="91"/>
    </row>
    <row r="17" spans="2:14" x14ac:dyDescent="0.2">
      <c r="N17" s="91"/>
    </row>
    <row r="18" spans="2:14" x14ac:dyDescent="0.2">
      <c r="N18" s="91"/>
    </row>
    <row r="19" spans="2:14" x14ac:dyDescent="0.2">
      <c r="N19" s="91"/>
    </row>
    <row r="20" spans="2:14" x14ac:dyDescent="0.2">
      <c r="B20" s="249" t="s">
        <v>362</v>
      </c>
      <c r="C20" s="249"/>
      <c r="N20" s="91"/>
    </row>
    <row r="21" spans="2:14" x14ac:dyDescent="0.2">
      <c r="B21" s="1" t="s">
        <v>363</v>
      </c>
      <c r="C21" s="107">
        <f>G7</f>
        <v>0.56999999999999995</v>
      </c>
    </row>
    <row r="22" spans="2:14" x14ac:dyDescent="0.2">
      <c r="B22" s="1" t="s">
        <v>364</v>
      </c>
      <c r="C22" s="230">
        <v>0.15</v>
      </c>
    </row>
    <row r="23" spans="2:14" x14ac:dyDescent="0.2">
      <c r="B23" s="39" t="s">
        <v>365</v>
      </c>
      <c r="C23" s="231">
        <f>C21*(1+C22)</f>
        <v>0.65549999999999986</v>
      </c>
    </row>
    <row r="24" spans="2:14" x14ac:dyDescent="0.2">
      <c r="B24" s="1" t="s">
        <v>346</v>
      </c>
      <c r="C24" s="139">
        <f ca="1">IF(Overview!C29&gt;0,Overview!C29,WACC!C19)</f>
        <v>0.15615200000000001</v>
      </c>
    </row>
    <row r="25" spans="2:14" x14ac:dyDescent="0.2">
      <c r="B25" s="39" t="s">
        <v>366</v>
      </c>
      <c r="C25" s="230">
        <v>0.03</v>
      </c>
    </row>
    <row r="26" spans="2:14" x14ac:dyDescent="0.2">
      <c r="B26" s="236" t="s">
        <v>209</v>
      </c>
      <c r="C26" s="237">
        <f ca="1">C23/(C24-C25)</f>
        <v>5.1961126260384285</v>
      </c>
    </row>
  </sheetData>
  <mergeCells count="6">
    <mergeCell ref="B20:C20"/>
    <mergeCell ref="C2:G2"/>
    <mergeCell ref="H2:L2"/>
    <mergeCell ref="C4:L4"/>
    <mergeCell ref="C9:L9"/>
    <mergeCell ref="C14:L1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6CE1A-CCEC-514B-9208-A0DCC7740441}">
  <dimension ref="A1:AB36"/>
  <sheetViews>
    <sheetView topLeftCell="A9" zoomScale="209" zoomScaleNormal="100" workbookViewId="0">
      <selection activeCell="C17" sqref="C17"/>
    </sheetView>
  </sheetViews>
  <sheetFormatPr baseColWidth="10" defaultRowHeight="16" x14ac:dyDescent="0.2"/>
  <cols>
    <col min="1" max="1" width="2" style="83" customWidth="1"/>
    <col min="2" max="2" width="32" style="1" customWidth="1"/>
    <col min="3" max="3" width="12.6640625" style="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221</v>
      </c>
    </row>
    <row r="2" spans="1:28" s="83" customFormat="1" ht="18" customHeight="1" x14ac:dyDescent="0.2">
      <c r="A2" s="4"/>
      <c r="B2" s="82"/>
    </row>
    <row r="3" spans="1:28" x14ac:dyDescent="0.2">
      <c r="A3" s="4"/>
      <c r="C3" s="249" t="s">
        <v>113</v>
      </c>
      <c r="D3" s="249"/>
      <c r="E3" s="249"/>
      <c r="F3" s="249"/>
      <c r="G3" s="258"/>
      <c r="H3" s="259" t="s">
        <v>114</v>
      </c>
      <c r="I3" s="249"/>
      <c r="J3" s="249"/>
      <c r="K3" s="249"/>
      <c r="L3" s="249"/>
      <c r="P3" s="260"/>
      <c r="Q3" s="260"/>
      <c r="R3" s="260"/>
      <c r="S3" s="260"/>
      <c r="T3" s="260"/>
      <c r="U3" s="260"/>
      <c r="V3" s="260"/>
      <c r="W3" s="260"/>
      <c r="X3" s="260"/>
      <c r="Y3" s="260"/>
      <c r="Z3" s="260"/>
      <c r="AB3" s="113"/>
    </row>
    <row r="4" spans="1:28" ht="10" customHeight="1" x14ac:dyDescent="0.2"/>
    <row r="5" spans="1:28" ht="16" customHeight="1" x14ac:dyDescent="0.2">
      <c r="A5" s="86"/>
      <c r="B5" s="60"/>
      <c r="C5" s="255" t="s">
        <v>180</v>
      </c>
      <c r="D5" s="255"/>
      <c r="E5" s="255"/>
      <c r="F5" s="255"/>
      <c r="G5" s="255"/>
      <c r="H5" s="255"/>
      <c r="I5" s="255"/>
      <c r="J5" s="255"/>
      <c r="K5" s="255"/>
      <c r="L5" s="255"/>
      <c r="P5" s="260"/>
      <c r="Q5" s="260"/>
      <c r="R5" s="260"/>
      <c r="S5" s="260"/>
      <c r="T5" s="260"/>
      <c r="U5" s="260"/>
      <c r="V5" s="260"/>
      <c r="W5" s="260"/>
      <c r="X5" s="260"/>
      <c r="Y5" s="260"/>
      <c r="Z5" s="260"/>
      <c r="AB5" s="114"/>
    </row>
    <row r="6" spans="1:28" x14ac:dyDescent="0.2">
      <c r="B6" s="16" t="s">
        <v>133</v>
      </c>
      <c r="C6" s="12">
        <f>Revenue!C5</f>
        <v>2022</v>
      </c>
      <c r="D6" s="12">
        <f>Revenue!D5</f>
        <v>2023</v>
      </c>
      <c r="E6" s="12">
        <f>Revenue!E5</f>
        <v>2024</v>
      </c>
      <c r="F6" s="12">
        <f>Revenue!F5</f>
        <v>2025</v>
      </c>
      <c r="G6" s="12">
        <f>Revenue!G5</f>
        <v>2026</v>
      </c>
      <c r="H6" s="12">
        <f>Revenue!H5</f>
        <v>2027</v>
      </c>
      <c r="I6" s="12">
        <f>Revenue!I5</f>
        <v>2028</v>
      </c>
      <c r="J6" s="12">
        <f>Revenue!J5</f>
        <v>2029</v>
      </c>
      <c r="K6" s="12">
        <f>Revenue!K5</f>
        <v>2030</v>
      </c>
      <c r="L6" s="12">
        <f>Revenue!L5</f>
        <v>2031</v>
      </c>
      <c r="O6" s="16"/>
      <c r="P6" s="115"/>
      <c r="Q6" s="115"/>
      <c r="R6" s="115"/>
      <c r="S6" s="115"/>
      <c r="T6" s="115"/>
      <c r="U6" s="115"/>
      <c r="V6" s="115"/>
      <c r="W6" s="115"/>
      <c r="X6" s="115"/>
      <c r="Y6" s="115"/>
      <c r="Z6" s="115"/>
      <c r="AB6" s="114"/>
    </row>
    <row r="7" spans="1:28" x14ac:dyDescent="0.2">
      <c r="B7" s="39" t="s">
        <v>262</v>
      </c>
      <c r="C7" s="116">
        <f>'FCF &amp; Other'!C28</f>
        <v>2605.8457841395884</v>
      </c>
      <c r="D7" s="116">
        <f>'FCF &amp; Other'!D28</f>
        <v>-8557</v>
      </c>
      <c r="E7" s="116">
        <f>'FCF &amp; Other'!E28</f>
        <v>-660.27741935483937</v>
      </c>
      <c r="F7" s="116">
        <f>'FCF &amp; Other'!F28</f>
        <v>789.49430287963332</v>
      </c>
      <c r="G7" s="117">
        <f>'FCF &amp; Other'!G28</f>
        <v>57677.020186413312</v>
      </c>
      <c r="H7" s="130">
        <f>G7*(1+$C$17)</f>
        <v>71519.505031152512</v>
      </c>
      <c r="I7" s="130">
        <f t="shared" ref="I7:L7" si="0">H7*(1+$C$17)</f>
        <v>88684.186238629118</v>
      </c>
      <c r="J7" s="130">
        <f t="shared" si="0"/>
        <v>109968.39093590011</v>
      </c>
      <c r="K7" s="130">
        <f t="shared" si="0"/>
        <v>136360.80476051613</v>
      </c>
      <c r="L7" s="130">
        <f t="shared" si="0"/>
        <v>169087.39790303999</v>
      </c>
      <c r="N7" s="91"/>
      <c r="O7" s="16"/>
      <c r="P7" s="92"/>
      <c r="Q7" s="92"/>
      <c r="R7" s="92"/>
      <c r="S7" s="92"/>
      <c r="T7" s="92"/>
      <c r="U7" s="92"/>
      <c r="V7" s="92"/>
      <c r="W7" s="92"/>
      <c r="X7" s="94"/>
      <c r="Y7" s="94"/>
      <c r="Z7" s="94"/>
      <c r="AB7" s="94"/>
    </row>
    <row r="8" spans="1:28" x14ac:dyDescent="0.2">
      <c r="B8" s="39" t="s">
        <v>181</v>
      </c>
      <c r="C8" s="141"/>
      <c r="D8" s="141"/>
      <c r="E8" s="141"/>
      <c r="F8" s="141"/>
      <c r="G8" s="142"/>
      <c r="H8" s="141"/>
      <c r="I8" s="141"/>
      <c r="J8" s="141"/>
      <c r="K8" s="141"/>
      <c r="L8" s="130">
        <f ca="1">L7*(1+C20)/(C21-C20)</f>
        <v>1172935.1887058313</v>
      </c>
      <c r="N8" s="91"/>
      <c r="O8" s="16"/>
      <c r="P8" s="92"/>
      <c r="Q8" s="92"/>
      <c r="R8" s="92"/>
      <c r="S8" s="92"/>
      <c r="T8" s="92"/>
      <c r="U8" s="92"/>
      <c r="V8" s="92"/>
      <c r="W8" s="92"/>
      <c r="X8" s="94"/>
      <c r="Y8" s="94"/>
      <c r="Z8" s="94"/>
      <c r="AB8" s="94"/>
    </row>
    <row r="9" spans="1:28" x14ac:dyDescent="0.2">
      <c r="B9" s="1" t="s">
        <v>182</v>
      </c>
      <c r="C9" s="141"/>
      <c r="D9" s="141"/>
      <c r="E9" s="141"/>
      <c r="F9" s="141"/>
      <c r="G9" s="142"/>
      <c r="H9" s="143">
        <v>1</v>
      </c>
      <c r="I9" s="143">
        <v>2</v>
      </c>
      <c r="J9" s="143">
        <v>3</v>
      </c>
      <c r="K9" s="143">
        <v>4</v>
      </c>
      <c r="L9" s="143">
        <v>5</v>
      </c>
      <c r="N9" s="91"/>
    </row>
    <row r="10" spans="1:28" x14ac:dyDescent="0.2">
      <c r="B10" s="1" t="s">
        <v>320</v>
      </c>
      <c r="C10" s="141"/>
      <c r="D10" s="141"/>
      <c r="E10" s="141"/>
      <c r="F10" s="141"/>
      <c r="G10" s="142"/>
      <c r="H10" s="130">
        <f ca="1">H7/(1+$C$21)^H9</f>
        <v>61889.548830679443</v>
      </c>
      <c r="I10" s="130">
        <f t="shared" ref="I10:L10" ca="1" si="1">I7/(1+$C$21)^I9</f>
        <v>66409.745893345302</v>
      </c>
      <c r="J10" s="130">
        <f t="shared" ca="1" si="1"/>
        <v>71260.082403969209</v>
      </c>
      <c r="K10" s="130">
        <f t="shared" ca="1" si="1"/>
        <v>76464.670597833596</v>
      </c>
      <c r="L10" s="130">
        <f t="shared" ca="1" si="1"/>
        <v>82049.383783894242</v>
      </c>
      <c r="N10" s="91"/>
    </row>
    <row r="11" spans="1:28" x14ac:dyDescent="0.2">
      <c r="B11" s="1" t="s">
        <v>183</v>
      </c>
      <c r="C11" s="141"/>
      <c r="D11" s="141"/>
      <c r="E11" s="141"/>
      <c r="F11" s="141"/>
      <c r="G11" s="142"/>
      <c r="H11" s="141"/>
      <c r="I11" s="141"/>
      <c r="J11" s="141"/>
      <c r="K11" s="141"/>
      <c r="L11" s="130">
        <f ca="1">L8/(1+C21)^L9</f>
        <v>569164.88541000197</v>
      </c>
    </row>
    <row r="13" spans="1:28" ht="17" thickBot="1" x14ac:dyDescent="0.25"/>
    <row r="14" spans="1:28" x14ac:dyDescent="0.2">
      <c r="B14" s="261" t="s">
        <v>222</v>
      </c>
      <c r="C14" s="262"/>
    </row>
    <row r="15" spans="1:28" x14ac:dyDescent="0.2">
      <c r="B15" s="157" t="s">
        <v>223</v>
      </c>
      <c r="C15" s="158">
        <f ca="1">Overview!C5</f>
        <v>903.7</v>
      </c>
    </row>
    <row r="16" spans="1:28" x14ac:dyDescent="0.2">
      <c r="B16" s="157" t="s">
        <v>224</v>
      </c>
      <c r="C16" s="158">
        <f ca="1">C36</f>
        <v>881.76467397672604</v>
      </c>
    </row>
    <row r="17" spans="2:9" ht="17" thickBot="1" x14ac:dyDescent="0.25">
      <c r="B17" s="159" t="s">
        <v>324</v>
      </c>
      <c r="C17" s="160">
        <v>0.24</v>
      </c>
      <c r="E17" s="263" t="s">
        <v>225</v>
      </c>
      <c r="F17" s="263"/>
      <c r="G17" s="263"/>
      <c r="H17" s="263"/>
      <c r="I17" s="263"/>
    </row>
    <row r="18" spans="2:9" ht="17" thickBot="1" x14ac:dyDescent="0.25"/>
    <row r="19" spans="2:9" x14ac:dyDescent="0.2">
      <c r="B19" s="261" t="s">
        <v>184</v>
      </c>
      <c r="C19" s="262"/>
    </row>
    <row r="20" spans="2:9" x14ac:dyDescent="0.2">
      <c r="B20" s="161" t="s">
        <v>185</v>
      </c>
      <c r="C20" s="162">
        <v>0.01</v>
      </c>
    </row>
    <row r="21" spans="2:9" x14ac:dyDescent="0.2">
      <c r="B21" s="161" t="s">
        <v>165</v>
      </c>
      <c r="C21" s="222">
        <f ca="1">IF(Overview!C28&gt;0,Overview!C28,WACC!C20)</f>
        <v>0.15559906934883602</v>
      </c>
    </row>
    <row r="22" spans="2:9" x14ac:dyDescent="0.2">
      <c r="B22" s="161" t="s">
        <v>68</v>
      </c>
      <c r="C22" s="223">
        <f>Statement!AC75</f>
        <v>1129</v>
      </c>
    </row>
    <row r="23" spans="2:9" x14ac:dyDescent="0.2">
      <c r="B23" s="161" t="s">
        <v>226</v>
      </c>
      <c r="C23" s="163">
        <f ca="1">C15*C22</f>
        <v>1020277.3</v>
      </c>
    </row>
    <row r="24" spans="2:9" x14ac:dyDescent="0.2">
      <c r="B24" s="161" t="s">
        <v>178</v>
      </c>
      <c r="C24" s="223">
        <f>Statement!AC107</f>
        <v>73453</v>
      </c>
    </row>
    <row r="25" spans="2:9" x14ac:dyDescent="0.2">
      <c r="B25" s="161" t="s">
        <v>169</v>
      </c>
      <c r="C25" s="223">
        <f>Statement!AC108</f>
        <v>5179</v>
      </c>
    </row>
    <row r="26" spans="2:9" ht="17" thickBot="1" x14ac:dyDescent="0.25">
      <c r="B26" s="159" t="s">
        <v>227</v>
      </c>
      <c r="C26" s="164">
        <f ca="1">C23+C25-C24</f>
        <v>952003.3</v>
      </c>
    </row>
    <row r="27" spans="2:9" ht="17" thickBot="1" x14ac:dyDescent="0.25"/>
    <row r="28" spans="2:9" x14ac:dyDescent="0.2">
      <c r="B28" s="261" t="s">
        <v>186</v>
      </c>
      <c r="C28" s="262"/>
    </row>
    <row r="29" spans="2:9" x14ac:dyDescent="0.2">
      <c r="B29" s="161" t="s">
        <v>187</v>
      </c>
      <c r="C29" s="163">
        <f ca="1">SUM(H10:L10)</f>
        <v>358073.43150972179</v>
      </c>
    </row>
    <row r="30" spans="2:9" x14ac:dyDescent="0.2">
      <c r="B30" s="161" t="s">
        <v>183</v>
      </c>
      <c r="C30" s="163">
        <f ca="1">L11</f>
        <v>569164.88541000197</v>
      </c>
    </row>
    <row r="31" spans="2:9" x14ac:dyDescent="0.2">
      <c r="B31" s="165" t="s">
        <v>188</v>
      </c>
      <c r="C31" s="166">
        <f ca="1">C29+C30</f>
        <v>927238.31691972376</v>
      </c>
    </row>
    <row r="32" spans="2:9" x14ac:dyDescent="0.2">
      <c r="B32" s="161" t="s">
        <v>189</v>
      </c>
      <c r="C32" s="167">
        <f>C24</f>
        <v>73453</v>
      </c>
    </row>
    <row r="33" spans="2:3" x14ac:dyDescent="0.2">
      <c r="B33" s="161" t="s">
        <v>190</v>
      </c>
      <c r="C33" s="167">
        <f>C25</f>
        <v>5179</v>
      </c>
    </row>
    <row r="34" spans="2:3" x14ac:dyDescent="0.2">
      <c r="B34" s="165" t="s">
        <v>191</v>
      </c>
      <c r="C34" s="166">
        <f ca="1">C31+C32-C33</f>
        <v>995512.31691972376</v>
      </c>
    </row>
    <row r="35" spans="2:3" x14ac:dyDescent="0.2">
      <c r="B35" s="161" t="s">
        <v>68</v>
      </c>
      <c r="C35" s="163">
        <f>C22</f>
        <v>1129</v>
      </c>
    </row>
    <row r="36" spans="2:3" ht="17" thickBot="1" x14ac:dyDescent="0.25">
      <c r="B36" s="168" t="s">
        <v>192</v>
      </c>
      <c r="C36" s="169">
        <f ca="1">C34/C35</f>
        <v>881.76467397672604</v>
      </c>
    </row>
  </sheetData>
  <mergeCells count="10">
    <mergeCell ref="E17:I17"/>
    <mergeCell ref="B19:C19"/>
    <mergeCell ref="B28:C28"/>
    <mergeCell ref="C3:G3"/>
    <mergeCell ref="H3:L3"/>
    <mergeCell ref="P3:W3"/>
    <mergeCell ref="X3:Z3"/>
    <mergeCell ref="C5:L5"/>
    <mergeCell ref="P5:Z5"/>
    <mergeCell ref="B14:C14"/>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Overview</vt:lpstr>
      <vt:lpstr>Financials -&gt;</vt:lpstr>
      <vt:lpstr>Statement</vt:lpstr>
      <vt:lpstr>Analysis -&gt;</vt:lpstr>
      <vt:lpstr>Basic</vt:lpstr>
      <vt:lpstr>Yearly Analysis</vt:lpstr>
      <vt:lpstr>Quarter analysis</vt:lpstr>
      <vt:lpstr>Graphs Year</vt:lpstr>
      <vt:lpstr>Graphs Quarter</vt:lpstr>
      <vt:lpstr>Forecast -&gt;</vt:lpstr>
      <vt:lpstr>Revenue</vt:lpstr>
      <vt:lpstr>COGS &amp; OpEx</vt:lpstr>
      <vt:lpstr>WC &amp; Investments</vt:lpstr>
      <vt:lpstr>FCF &amp; Other</vt:lpstr>
      <vt:lpstr>Valuation -&gt;</vt:lpstr>
      <vt:lpstr>WACC</vt:lpstr>
      <vt:lpstr>DCF</vt:lpstr>
      <vt:lpstr>Multiples</vt:lpstr>
      <vt:lpstr>AVG target price</vt:lpstr>
      <vt:lpstr>DDM</vt:lpstr>
      <vt:lpstr>Reverse 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 dumitras</dc:creator>
  <cp:lastModifiedBy>adi dumitras</cp:lastModifiedBy>
  <dcterms:created xsi:type="dcterms:W3CDTF">2025-11-16T22:36:04Z</dcterms:created>
  <dcterms:modified xsi:type="dcterms:W3CDTF">2026-10-26T20:30:07Z</dcterms:modified>
</cp:coreProperties>
</file>