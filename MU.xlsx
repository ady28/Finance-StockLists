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2F2C4FC-ADB9-2D46-9EAF-FC5354935DCE}" xr6:coauthVersionLast="47" xr6:coauthVersionMax="47" xr10:uidLastSave="{00000000-0000-0000-0000-000000000000}"/>
  <bookViews>
    <workbookView xWindow="0" yWindow="0" windowWidth="25600" windowHeight="14400" firstSheet="4" activeTab="13"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A153" i="3"/>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W14" i="6"/>
  <c r="V14" i="6"/>
  <c r="U14" i="6"/>
  <c r="T14" i="6"/>
  <c r="S14" i="6"/>
  <c r="R14" i="6"/>
  <c r="Q14" i="6"/>
  <c r="W13" i="6"/>
  <c r="V13" i="6"/>
  <c r="U13" i="6"/>
  <c r="T13" i="6"/>
  <c r="S13" i="6"/>
  <c r="R13" i="6"/>
  <c r="Q13" i="6"/>
  <c r="W12" i="6"/>
  <c r="V12" i="6"/>
  <c r="U12" i="6"/>
  <c r="T12" i="6"/>
  <c r="S12" i="6"/>
  <c r="R12" i="6"/>
  <c r="Q12" i="6"/>
  <c r="W11" i="6"/>
  <c r="V11" i="6"/>
  <c r="U11" i="6"/>
  <c r="T11" i="6"/>
  <c r="S11" i="6"/>
  <c r="R11" i="6"/>
  <c r="Q11" i="6"/>
  <c r="P14" i="6"/>
  <c r="P13" i="6"/>
  <c r="P12" i="6"/>
  <c r="P11" i="6"/>
  <c r="G14" i="6"/>
  <c r="F14" i="6"/>
  <c r="E14" i="6"/>
  <c r="D14" i="6"/>
  <c r="G13" i="6"/>
  <c r="F13" i="6"/>
  <c r="E13" i="6"/>
  <c r="D13" i="6"/>
  <c r="G12" i="6"/>
  <c r="F12" i="6"/>
  <c r="E12" i="6"/>
  <c r="D12" i="6"/>
  <c r="G11" i="6"/>
  <c r="F11" i="6"/>
  <c r="E11" i="6"/>
  <c r="D11" i="6"/>
  <c r="C14" i="6"/>
  <c r="C13" i="6"/>
  <c r="C12" i="6"/>
  <c r="C11" i="6"/>
  <c r="B14" i="6"/>
  <c r="I9" i="5"/>
  <c r="J9" i="5" s="1"/>
  <c r="K9" i="5" s="1"/>
  <c r="L9" i="5" s="1"/>
  <c r="I8" i="5"/>
  <c r="J8" i="5" s="1"/>
  <c r="K8" i="5" s="1"/>
  <c r="L8" i="5" s="1"/>
  <c r="I7" i="5"/>
  <c r="J7" i="5" s="1"/>
  <c r="K7" i="5" s="1"/>
  <c r="L7" i="5" s="1"/>
  <c r="I6" i="5"/>
  <c r="H9" i="5"/>
  <c r="H8" i="5"/>
  <c r="H7" i="5"/>
  <c r="H6" i="5"/>
  <c r="AE9" i="5"/>
  <c r="AA9" i="5"/>
  <c r="AA8" i="5"/>
  <c r="AA7" i="5"/>
  <c r="AA6" i="5"/>
  <c r="Q9" i="5"/>
  <c r="Q8" i="5"/>
  <c r="Q7" i="5"/>
  <c r="Q6"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S6" i="5"/>
  <c r="G9" i="5"/>
  <c r="F9" i="5"/>
  <c r="E9" i="5"/>
  <c r="D9" i="5"/>
  <c r="C9" i="5"/>
  <c r="G8" i="5"/>
  <c r="F8" i="5"/>
  <c r="E8" i="5"/>
  <c r="D8" i="5"/>
  <c r="C8" i="5"/>
  <c r="G7" i="5"/>
  <c r="F7" i="5"/>
  <c r="E7" i="5"/>
  <c r="D7" i="5"/>
  <c r="C7" i="5"/>
  <c r="G6"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G96" i="17"/>
  <c r="F96" i="17"/>
  <c r="E96" i="17"/>
  <c r="D96" i="17"/>
  <c r="G95" i="17"/>
  <c r="F95" i="17"/>
  <c r="E95" i="17"/>
  <c r="D95" i="17"/>
  <c r="G94" i="17"/>
  <c r="F94" i="17"/>
  <c r="E94" i="17"/>
  <c r="D94" i="17"/>
  <c r="G93" i="17"/>
  <c r="F93" i="17"/>
  <c r="E93" i="17"/>
  <c r="D93" i="17"/>
  <c r="C96" i="17"/>
  <c r="C95" i="17"/>
  <c r="C94" i="17"/>
  <c r="C93" i="17"/>
  <c r="B96" i="17"/>
  <c r="B95" i="17"/>
  <c r="B94" i="17"/>
  <c r="B93" i="17"/>
  <c r="B65" i="20"/>
  <c r="B64" i="20"/>
  <c r="B63" i="20"/>
  <c r="B74" i="19"/>
  <c r="B73" i="19"/>
  <c r="B72" i="19"/>
  <c r="B28" i="18"/>
  <c r="B26" i="18"/>
  <c r="B24" i="18"/>
  <c r="B91" i="17"/>
  <c r="B90" i="17"/>
  <c r="B89" i="17"/>
  <c r="AA210" i="3"/>
  <c r="Z210" i="3"/>
  <c r="Y210" i="3"/>
  <c r="X210" i="3"/>
  <c r="W210" i="3"/>
  <c r="V210" i="3"/>
  <c r="U210" i="3"/>
  <c r="T210" i="3"/>
  <c r="AA209" i="3"/>
  <c r="Z209" i="3"/>
  <c r="Y209" i="3"/>
  <c r="X209" i="3"/>
  <c r="W209" i="3"/>
  <c r="V209" i="3"/>
  <c r="U209" i="3"/>
  <c r="T209" i="3"/>
  <c r="AA208" i="3"/>
  <c r="Z208" i="3"/>
  <c r="Y208" i="3"/>
  <c r="X208" i="3"/>
  <c r="W208" i="3"/>
  <c r="V208" i="3"/>
  <c r="U208" i="3"/>
  <c r="T208" i="3"/>
  <c r="AA207" i="3"/>
  <c r="Z207" i="3"/>
  <c r="Y207" i="3"/>
  <c r="X207" i="3"/>
  <c r="W207" i="3"/>
  <c r="V207" i="3"/>
  <c r="U207" i="3"/>
  <c r="T207" i="3"/>
  <c r="T189" i="3"/>
  <c r="U205" i="3" s="1"/>
  <c r="T188" i="3"/>
  <c r="T187" i="3"/>
  <c r="U203" i="3" s="1"/>
  <c r="X189" i="3"/>
  <c r="G65" i="20" s="1"/>
  <c r="X188" i="3"/>
  <c r="Y204" i="3" s="1"/>
  <c r="X187" i="3"/>
  <c r="X203" i="3" s="1"/>
  <c r="G64" i="20"/>
  <c r="C65" i="20"/>
  <c r="C63" i="20"/>
  <c r="AC199" i="3"/>
  <c r="AC198" i="3"/>
  <c r="AC197" i="3"/>
  <c r="AC196" i="3"/>
  <c r="AC194" i="3"/>
  <c r="Q210" i="3"/>
  <c r="P210" i="3"/>
  <c r="O210" i="3"/>
  <c r="N210" i="3"/>
  <c r="Q209" i="3"/>
  <c r="P209" i="3"/>
  <c r="O209" i="3"/>
  <c r="N209" i="3"/>
  <c r="Q208" i="3"/>
  <c r="P208" i="3"/>
  <c r="O208" i="3"/>
  <c r="N208" i="3"/>
  <c r="Q207" i="3"/>
  <c r="P207" i="3"/>
  <c r="O207" i="3"/>
  <c r="N207" i="3"/>
  <c r="M210" i="3"/>
  <c r="M209" i="3"/>
  <c r="M208" i="3"/>
  <c r="M207" i="3"/>
  <c r="B210" i="3"/>
  <c r="B209" i="3"/>
  <c r="B208" i="3"/>
  <c r="B207" i="3"/>
  <c r="B205" i="3"/>
  <c r="B204" i="3"/>
  <c r="B203" i="3"/>
  <c r="AA135" i="3"/>
  <c r="X110" i="3"/>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8" i="6" s="1"/>
  <c r="N10" i="3"/>
  <c r="D18" i="6" s="1"/>
  <c r="O13" i="3"/>
  <c r="P13" i="3"/>
  <c r="P149" i="3" s="1"/>
  <c r="Q13" i="3"/>
  <c r="Q149" i="3" s="1"/>
  <c r="O10" i="3"/>
  <c r="E18" i="6" s="1"/>
  <c r="L5" i="21"/>
  <c r="K5" i="21"/>
  <c r="J5" i="21"/>
  <c r="I5" i="21"/>
  <c r="H5" i="21"/>
  <c r="G5" i="21"/>
  <c r="F5" i="21"/>
  <c r="E5" i="21"/>
  <c r="D5" i="21"/>
  <c r="C5" i="21"/>
  <c r="T26" i="3"/>
  <c r="H84" i="19"/>
  <c r="G84" i="19"/>
  <c r="F84" i="19"/>
  <c r="E84" i="19"/>
  <c r="D84" i="19"/>
  <c r="C84" i="19"/>
  <c r="H83" i="19"/>
  <c r="G83" i="19"/>
  <c r="F83" i="19"/>
  <c r="E83" i="19"/>
  <c r="D83" i="19"/>
  <c r="C83" i="19"/>
  <c r="H82" i="19"/>
  <c r="G82" i="19"/>
  <c r="F82" i="19"/>
  <c r="E82" i="19"/>
  <c r="D82" i="19"/>
  <c r="C82" i="19"/>
  <c r="Q180" i="3"/>
  <c r="P180" i="3"/>
  <c r="O180" i="3"/>
  <c r="N180" i="3"/>
  <c r="M180" i="3"/>
  <c r="AC34" i="3"/>
  <c r="Q219" i="3"/>
  <c r="L83" i="19" s="1"/>
  <c r="P219" i="3"/>
  <c r="K83" i="19" s="1"/>
  <c r="O219" i="3"/>
  <c r="J83" i="19" s="1"/>
  <c r="N219" i="3"/>
  <c r="I83" i="19" s="1"/>
  <c r="G10" i="16"/>
  <c r="Q117" i="3"/>
  <c r="P117" i="3"/>
  <c r="O117" i="3"/>
  <c r="N117" i="3"/>
  <c r="M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1" i="19"/>
  <c r="F81" i="19"/>
  <c r="E81" i="19"/>
  <c r="D81" i="19"/>
  <c r="C81" i="19"/>
  <c r="G80" i="19"/>
  <c r="F80" i="19"/>
  <c r="E80" i="19"/>
  <c r="D80" i="19"/>
  <c r="C80" i="19"/>
  <c r="G79" i="19"/>
  <c r="F79" i="19"/>
  <c r="E79" i="19"/>
  <c r="D79" i="19"/>
  <c r="C79" i="19"/>
  <c r="L74" i="19"/>
  <c r="K74" i="19"/>
  <c r="J74" i="19"/>
  <c r="I74" i="19"/>
  <c r="H74" i="19"/>
  <c r="G74" i="19"/>
  <c r="F74" i="19"/>
  <c r="E74" i="19"/>
  <c r="D74"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L71" i="3"/>
  <c r="K71" i="3"/>
  <c r="J71" i="3"/>
  <c r="I71" i="3"/>
  <c r="H71" i="3"/>
  <c r="G71" i="3"/>
  <c r="F71" i="3"/>
  <c r="E71" i="3"/>
  <c r="D71" i="3"/>
  <c r="C71" i="3"/>
  <c r="Q214" i="3"/>
  <c r="P214" i="3"/>
  <c r="O214" i="3"/>
  <c r="N214" i="3"/>
  <c r="M214"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0" i="12" s="1"/>
  <c r="N108" i="3"/>
  <c r="D30" i="12" s="1"/>
  <c r="M108" i="3"/>
  <c r="AC39" i="3"/>
  <c r="AA77" i="3"/>
  <c r="Z205" i="3"/>
  <c r="Y205" i="3"/>
  <c r="X205" i="3"/>
  <c r="W205" i="3"/>
  <c r="V205" i="3"/>
  <c r="T205" i="3"/>
  <c r="Z204" i="3"/>
  <c r="X204" i="3"/>
  <c r="W204" i="3"/>
  <c r="V204" i="3"/>
  <c r="T204" i="3"/>
  <c r="Z203" i="3"/>
  <c r="W203" i="3"/>
  <c r="V203" i="3"/>
  <c r="T203"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135" i="3" s="1"/>
  <c r="Y26" i="3"/>
  <c r="X135" i="3" s="1"/>
  <c r="X26" i="3"/>
  <c r="W135" i="3" s="1"/>
  <c r="W26" i="3"/>
  <c r="V135" i="3" s="1"/>
  <c r="V26" i="3"/>
  <c r="U135" i="3" s="1"/>
  <c r="U26" i="3"/>
  <c r="T135" i="3" s="1"/>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P205" i="3"/>
  <c r="O205" i="3"/>
  <c r="N205" i="3"/>
  <c r="M205" i="3"/>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O14" i="6" l="1"/>
  <c r="O27" i="6" s="1"/>
  <c r="B27" i="6"/>
  <c r="I10" i="5"/>
  <c r="J6" i="5"/>
  <c r="J10" i="5"/>
  <c r="K6" i="5"/>
  <c r="Z17" i="5"/>
  <c r="Y17" i="5"/>
  <c r="X17" i="5"/>
  <c r="W17" i="5"/>
  <c r="V17" i="5"/>
  <c r="U17" i="5"/>
  <c r="T17" i="5"/>
  <c r="G17" i="5"/>
  <c r="F17" i="5"/>
  <c r="E17" i="5"/>
  <c r="D17" i="5"/>
  <c r="R9" i="5"/>
  <c r="R17" i="5" s="1"/>
  <c r="B17" i="5"/>
  <c r="F38" i="18"/>
  <c r="C38" i="18"/>
  <c r="F36" i="18"/>
  <c r="C36" i="18"/>
  <c r="F34" i="18"/>
  <c r="F32" i="18"/>
  <c r="C32" i="18"/>
  <c r="G63" i="20"/>
  <c r="Y203" i="3"/>
  <c r="C64" i="20"/>
  <c r="U204" i="3"/>
  <c r="G5" i="12"/>
  <c r="G6" i="11"/>
  <c r="X174" i="3"/>
  <c r="X173" i="3"/>
  <c r="W174" i="3"/>
  <c r="W173" i="3"/>
  <c r="AA110" i="3"/>
  <c r="AA157" i="3" s="1"/>
  <c r="J70" i="20" s="1"/>
  <c r="AC60" i="3"/>
  <c r="AC110" i="3" s="1"/>
  <c r="AA174" i="3"/>
  <c r="AA173" i="3"/>
  <c r="AC54" i="3"/>
  <c r="V174" i="3"/>
  <c r="V173" i="3"/>
  <c r="C64" i="12"/>
  <c r="C44"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O182" i="3"/>
  <c r="Q181" i="3"/>
  <c r="P181" i="3"/>
  <c r="O181" i="3"/>
  <c r="N181" i="3"/>
  <c r="M181" i="3"/>
  <c r="AA107" i="3"/>
  <c r="Z107" i="3"/>
  <c r="Y107" i="3"/>
  <c r="X107" i="3"/>
  <c r="W107" i="3"/>
  <c r="V107" i="3"/>
  <c r="U107" i="3"/>
  <c r="T107" i="3"/>
  <c r="Q107" i="3"/>
  <c r="P107" i="3"/>
  <c r="O107" i="3"/>
  <c r="O183" i="3" s="1"/>
  <c r="N107" i="3"/>
  <c r="M107" i="3"/>
  <c r="Q220" i="3"/>
  <c r="L84" i="19" s="1"/>
  <c r="P220" i="3"/>
  <c r="K84" i="19" s="1"/>
  <c r="O220" i="3"/>
  <c r="J84" i="19" s="1"/>
  <c r="N220" i="3"/>
  <c r="I84" i="19" s="1"/>
  <c r="Q218" i="3"/>
  <c r="L82" i="19" s="1"/>
  <c r="P218" i="3"/>
  <c r="K82" i="19" s="1"/>
  <c r="O218" i="3"/>
  <c r="J82" i="19" s="1"/>
  <c r="N218" i="3"/>
  <c r="I82"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Z157" i="3"/>
  <c r="I70" i="20" s="1"/>
  <c r="Y157" i="3"/>
  <c r="H70" i="20" s="1"/>
  <c r="X157" i="3"/>
  <c r="G70" i="20" s="1"/>
  <c r="W157" i="3"/>
  <c r="F70" i="20" s="1"/>
  <c r="V157" i="3"/>
  <c r="E70" i="20" s="1"/>
  <c r="U157" i="3"/>
  <c r="D70" i="20" s="1"/>
  <c r="T157" i="3"/>
  <c r="C70" i="20" s="1"/>
  <c r="J61" i="20"/>
  <c r="I61" i="20"/>
  <c r="H61" i="20"/>
  <c r="G61" i="20"/>
  <c r="F61" i="20"/>
  <c r="E61" i="20"/>
  <c r="D61" i="20"/>
  <c r="C61" i="20"/>
  <c r="F27" i="1" s="1"/>
  <c r="C9" i="10" s="1"/>
  <c r="L70" i="19"/>
  <c r="K70" i="19"/>
  <c r="J70" i="19"/>
  <c r="I70" i="19"/>
  <c r="H70"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71" i="19" s="1"/>
  <c r="P103" i="3"/>
  <c r="K71" i="19" s="1"/>
  <c r="O103" i="3"/>
  <c r="J71" i="19" s="1"/>
  <c r="N103" i="3"/>
  <c r="I71" i="19" s="1"/>
  <c r="M103" i="3"/>
  <c r="H71"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1" i="6"/>
  <c r="O28"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W27" i="6" s="1"/>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H5"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D30" i="6" l="1"/>
  <c r="D27" i="6"/>
  <c r="L6" i="5"/>
  <c r="L10" i="5" s="1"/>
  <c r="K10" i="5"/>
  <c r="Q183" i="3"/>
  <c r="Q182" i="3"/>
  <c r="P183" i="3"/>
  <c r="P182" i="3"/>
  <c r="N183" i="3"/>
  <c r="N182" i="3"/>
  <c r="M183" i="3"/>
  <c r="M182" i="3"/>
  <c r="AA179" i="3"/>
  <c r="AA177" i="3"/>
  <c r="AA178" i="3"/>
  <c r="AC174" i="3"/>
  <c r="AC173" i="3"/>
  <c r="F18" i="16"/>
  <c r="H6" i="14"/>
  <c r="H40" i="14" s="1"/>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7" i="19"/>
  <c r="Q170" i="3"/>
  <c r="P168" i="3"/>
  <c r="K67" i="19"/>
  <c r="P170" i="3"/>
  <c r="O168" i="3"/>
  <c r="J67" i="19"/>
  <c r="O170" i="3"/>
  <c r="N168" i="3"/>
  <c r="I67" i="19"/>
  <c r="N170" i="3"/>
  <c r="M168" i="3"/>
  <c r="H67" i="19"/>
  <c r="M170" i="3"/>
  <c r="H5" i="8"/>
  <c r="H32" i="8" s="1"/>
  <c r="G32" i="8"/>
  <c r="G16" i="17"/>
  <c r="G33" i="8"/>
  <c r="L69" i="19"/>
  <c r="F16" i="17"/>
  <c r="F33" i="8"/>
  <c r="K69" i="19"/>
  <c r="E16" i="17"/>
  <c r="E33" i="8"/>
  <c r="J69" i="19"/>
  <c r="D16" i="17"/>
  <c r="D33" i="8"/>
  <c r="I69" i="19"/>
  <c r="C16" i="17"/>
  <c r="C33" i="8"/>
  <c r="H69"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9" i="19" s="1"/>
  <c r="O123" i="3"/>
  <c r="J79" i="19" s="1"/>
  <c r="N123" i="3"/>
  <c r="I79" i="19" s="1"/>
  <c r="M123" i="3"/>
  <c r="H79" i="19" s="1"/>
  <c r="Q123" i="3"/>
  <c r="L79" i="19" s="1"/>
  <c r="Q70" i="3"/>
  <c r="O140" i="3"/>
  <c r="J81" i="19" s="1"/>
  <c r="N140" i="3"/>
  <c r="I81" i="19" s="1"/>
  <c r="M140" i="3"/>
  <c r="H81" i="19" s="1"/>
  <c r="K68" i="19"/>
  <c r="P140" i="3"/>
  <c r="K81" i="19" s="1"/>
  <c r="AC80" i="3"/>
  <c r="AC103" i="3"/>
  <c r="AC121" i="3"/>
  <c r="I26" i="17" s="1"/>
  <c r="T70" i="3"/>
  <c r="C31" i="16"/>
  <c r="F21" i="18"/>
  <c r="C19" i="18"/>
  <c r="C21" i="18"/>
  <c r="F19" i="18"/>
  <c r="F11" i="18"/>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3" i="6"/>
  <c r="G10" i="6"/>
  <c r="T30" i="6"/>
  <c r="T29" i="6"/>
  <c r="G29" i="6"/>
  <c r="AC107" i="3"/>
  <c r="AC182" i="3" s="1"/>
  <c r="AA147" i="3"/>
  <c r="G31" i="12"/>
  <c r="Q147" i="3"/>
  <c r="G46" i="17" s="1"/>
  <c r="F31" i="12"/>
  <c r="P147" i="3"/>
  <c r="F46" i="17" s="1"/>
  <c r="E31" i="12"/>
  <c r="O147" i="3"/>
  <c r="E46" i="17" s="1"/>
  <c r="D31" i="12"/>
  <c r="N147" i="3"/>
  <c r="D46" i="17" s="1"/>
  <c r="C31" i="12"/>
  <c r="M147" i="3"/>
  <c r="C46" i="17" s="1"/>
  <c r="AC109" i="3"/>
  <c r="Q109" i="3"/>
  <c r="Q158" i="3" s="1"/>
  <c r="E46" i="7"/>
  <c r="Q26" i="6"/>
  <c r="F26" i="6"/>
  <c r="D24" i="6"/>
  <c r="D23" i="6"/>
  <c r="V24" i="6"/>
  <c r="S24" i="6"/>
  <c r="Q24" i="6"/>
  <c r="W10" i="6"/>
  <c r="U10" i="6"/>
  <c r="R10" i="6"/>
  <c r="AA78" i="3"/>
  <c r="AC78" i="3" s="1"/>
  <c r="F19" i="12"/>
  <c r="D19" i="12"/>
  <c r="G12" i="12"/>
  <c r="C29" i="12"/>
  <c r="E28" i="12"/>
  <c r="D28" i="12"/>
  <c r="G19" i="12"/>
  <c r="F12" i="12"/>
  <c r="E12" i="12"/>
  <c r="D12" i="12"/>
  <c r="G29" i="12"/>
  <c r="G8" i="8"/>
  <c r="D8" i="8"/>
  <c r="C46" i="7"/>
  <c r="G43" i="7"/>
  <c r="C43" i="7"/>
  <c r="F27" i="7"/>
  <c r="D12" i="7"/>
  <c r="D28" i="6"/>
  <c r="F25" i="6"/>
  <c r="D36" i="7"/>
  <c r="D37" i="7" s="1"/>
  <c r="E27" i="7"/>
  <c r="V28" i="6"/>
  <c r="S28" i="6"/>
  <c r="Q28" i="6"/>
  <c r="V25" i="6"/>
  <c r="S25" i="6"/>
  <c r="Q25" i="6"/>
  <c r="R16" i="5"/>
  <c r="R14" i="5"/>
  <c r="Q29" i="6"/>
  <c r="F30" i="6"/>
  <c r="F29" i="12"/>
  <c r="E29" i="12"/>
  <c r="G28" i="12"/>
  <c r="C28"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P70" i="3"/>
  <c r="M70" i="3"/>
  <c r="L70" i="3"/>
  <c r="O70" i="3"/>
  <c r="N70" i="3"/>
  <c r="K70" i="3"/>
  <c r="J70" i="3"/>
  <c r="I70" i="3"/>
  <c r="H70" i="3"/>
  <c r="G70" i="3"/>
  <c r="F70" i="3"/>
  <c r="E70" i="3"/>
  <c r="D70" i="3"/>
  <c r="C70" i="3"/>
  <c r="I71" i="17" l="1"/>
  <c r="C52" i="16"/>
  <c r="C53" i="16"/>
  <c r="I72" i="17"/>
  <c r="AC167" i="3"/>
  <c r="AC170" i="3"/>
  <c r="AC168" i="3"/>
  <c r="C63" i="12"/>
  <c r="C43" i="12"/>
  <c r="AC183" i="3"/>
  <c r="C24" i="21"/>
  <c r="C26" i="21" s="1"/>
  <c r="I10" i="1" s="1"/>
  <c r="C51" i="12"/>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8" i="19"/>
  <c r="N166" i="3"/>
  <c r="I68" i="19"/>
  <c r="M166" i="3"/>
  <c r="H68" i="19"/>
  <c r="G28" i="17"/>
  <c r="G33" i="17" s="1"/>
  <c r="E35" i="17"/>
  <c r="D35" i="17"/>
  <c r="C35" i="17"/>
  <c r="F35" i="17"/>
  <c r="P166" i="3"/>
  <c r="AC171" i="3"/>
  <c r="I63" i="17" s="1"/>
  <c r="AC123" i="3"/>
  <c r="I28" i="17" s="1"/>
  <c r="I33" i="17" s="1"/>
  <c r="C22" i="16"/>
  <c r="AC158" i="3"/>
  <c r="AC140" i="3"/>
  <c r="L68" i="19"/>
  <c r="Q140" i="3"/>
  <c r="L81" i="19" s="1"/>
  <c r="C18" i="16"/>
  <c r="I18" i="17"/>
  <c r="F52" i="16"/>
  <c r="I75" i="17"/>
  <c r="F53" i="16"/>
  <c r="I76" i="17"/>
  <c r="F54" i="16"/>
  <c r="I77" i="17"/>
  <c r="AC169" i="3"/>
  <c r="I6" i="17"/>
  <c r="C23" i="14"/>
  <c r="C53" i="12"/>
  <c r="C33" i="16"/>
  <c r="F18" i="1"/>
  <c r="AC172" i="3"/>
  <c r="AC175" i="3"/>
  <c r="I67" i="17" s="1"/>
  <c r="C32" i="12"/>
  <c r="D32" i="12"/>
  <c r="F32" i="12"/>
  <c r="E32" i="12"/>
  <c r="G32" i="12"/>
  <c r="I5" i="6"/>
  <c r="H10" i="6"/>
  <c r="H23"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J6" i="14" l="1"/>
  <c r="J40" i="14" s="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G41" i="14" l="1"/>
  <c r="H7" i="14"/>
  <c r="K6" i="14"/>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9" i="14"/>
  <c r="K5" i="6"/>
  <c r="J23" i="6"/>
  <c r="J10" i="6"/>
  <c r="G33" i="12"/>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H41" i="14" l="1"/>
  <c r="I7" i="14"/>
  <c r="I10" i="14" s="1"/>
  <c r="G45" i="14"/>
  <c r="G43" i="14"/>
  <c r="L6" i="14"/>
  <c r="L40" i="14" s="1"/>
  <c r="L5" i="12"/>
  <c r="L6" i="11"/>
  <c r="F14" i="12"/>
  <c r="K26" i="8"/>
  <c r="L5" i="8"/>
  <c r="L32" i="8" s="1"/>
  <c r="K19" i="8"/>
  <c r="K14" i="8"/>
  <c r="E14" i="12"/>
  <c r="G14" i="12"/>
  <c r="C34" i="12"/>
  <c r="D14" i="12"/>
  <c r="C11" i="16"/>
  <c r="I12" i="17"/>
  <c r="C12" i="16"/>
  <c r="I13" i="17"/>
  <c r="D34" i="12"/>
  <c r="D43" i="14"/>
  <c r="G34" i="12"/>
  <c r="D45" i="14"/>
  <c r="L5" i="6"/>
  <c r="K23" i="6"/>
  <c r="K10" i="6"/>
  <c r="L12" i="7"/>
  <c r="L27" i="7"/>
  <c r="L19" i="7"/>
  <c r="L41" i="7"/>
  <c r="L34" i="7"/>
  <c r="H10" i="14"/>
  <c r="C45" i="14"/>
  <c r="C43" i="14"/>
  <c r="F34" i="12"/>
  <c r="F46" i="14"/>
  <c r="F45" i="14"/>
  <c r="F43" i="14"/>
  <c r="G46" i="14"/>
  <c r="E34" i="12"/>
  <c r="E43" i="14"/>
  <c r="E46" i="14"/>
  <c r="E45" i="14"/>
  <c r="J17" i="12"/>
  <c r="J22" i="12"/>
  <c r="J27" i="12"/>
  <c r="J11" i="12"/>
  <c r="D46" i="14"/>
  <c r="L13" i="5"/>
  <c r="H44" i="14" l="1"/>
  <c r="H48" i="14" s="1"/>
  <c r="H46" i="14"/>
  <c r="H42" i="14"/>
  <c r="J7" i="14"/>
  <c r="I41" i="14"/>
  <c r="L14" i="8"/>
  <c r="L19" i="8"/>
  <c r="L26" i="8"/>
  <c r="L10" i="6"/>
  <c r="L23" i="6"/>
  <c r="K27" i="12"/>
  <c r="K11" i="12"/>
  <c r="K17" i="12"/>
  <c r="K22" i="12"/>
  <c r="H47" i="14" l="1"/>
  <c r="H49" i="14"/>
  <c r="J10" i="14"/>
  <c r="K7" i="14"/>
  <c r="J41" i="14"/>
  <c r="I44" i="14"/>
  <c r="I48" i="14" s="1"/>
  <c r="I42" i="14"/>
  <c r="I46" i="14"/>
  <c r="L11" i="12"/>
  <c r="L17" i="12"/>
  <c r="L22" i="12"/>
  <c r="L27" i="12"/>
  <c r="K10" i="14" l="1"/>
  <c r="K41" i="14"/>
  <c r="L7" i="14"/>
  <c r="J42" i="14"/>
  <c r="J46" i="14"/>
  <c r="J44" i="14"/>
  <c r="J48" i="14" s="1"/>
  <c r="I47" i="14"/>
  <c r="I49" i="14"/>
  <c r="AC66" i="3"/>
  <c r="K46" i="14" l="1"/>
  <c r="K42" i="14"/>
  <c r="K44" i="14"/>
  <c r="K48" i="14" s="1"/>
  <c r="L41" i="14"/>
  <c r="L10" i="14"/>
  <c r="C29" i="14" s="1"/>
  <c r="L8" i="14"/>
  <c r="L11" i="14" s="1"/>
  <c r="C30" i="14" s="1"/>
  <c r="J49" i="14"/>
  <c r="J47" i="14"/>
  <c r="AE6" i="5"/>
  <c r="AE7" i="5"/>
  <c r="AE8" i="5"/>
  <c r="AA10" i="5"/>
  <c r="K49" i="14" l="1"/>
  <c r="K47" i="14"/>
  <c r="L44" i="14"/>
  <c r="L48" i="14" s="1"/>
  <c r="L46" i="14"/>
  <c r="L42" i="14"/>
  <c r="C31" i="14"/>
  <c r="C34" i="14" s="1"/>
  <c r="C36" i="14" s="1"/>
  <c r="C16" i="14" s="1"/>
  <c r="X6" i="6"/>
  <c r="X14" i="6" s="1"/>
  <c r="AB14" i="6" s="1"/>
  <c r="AE10" i="5"/>
  <c r="AB6" i="6" s="1"/>
  <c r="AA18" i="5"/>
  <c r="L47" i="14" l="1"/>
  <c r="L49" i="14"/>
  <c r="X17" i="6"/>
  <c r="AB17" i="6" s="1"/>
  <c r="X16" i="6"/>
  <c r="AB18" i="6"/>
  <c r="X13" i="6"/>
  <c r="AB13" i="6" s="1"/>
  <c r="X12" i="6"/>
  <c r="AB12" i="6" s="1"/>
  <c r="X11" i="6"/>
  <c r="X15" i="6" l="1"/>
  <c r="AB16" i="6"/>
  <c r="X19" i="6"/>
  <c r="X28" i="6"/>
  <c r="AB11" i="6"/>
  <c r="AB15" i="6" s="1"/>
  <c r="X31" i="6" l="1"/>
  <c r="AB19" i="6"/>
  <c r="H10" i="5"/>
  <c r="H6" i="6" l="1"/>
  <c r="H14" i="6" s="1"/>
  <c r="H7" i="7"/>
  <c r="H6" i="8"/>
  <c r="H18" i="5"/>
  <c r="H6" i="12"/>
  <c r="H12" i="12" s="1"/>
  <c r="H16" i="6" l="1"/>
  <c r="H11" i="6"/>
  <c r="H15" i="6" s="1"/>
  <c r="H28" i="6" s="1"/>
  <c r="H13" i="6"/>
  <c r="H17" i="6"/>
  <c r="H12" i="6"/>
  <c r="H42" i="7"/>
  <c r="H36" i="7"/>
  <c r="H13" i="7"/>
  <c r="H28" i="7" s="1"/>
  <c r="H45" i="7"/>
  <c r="H21" i="8" s="1"/>
  <c r="H44" i="7" l="1"/>
  <c r="H20" i="8"/>
  <c r="H19" i="6"/>
  <c r="H31" i="6" l="1"/>
  <c r="H9" i="8"/>
  <c r="H8" i="7"/>
  <c r="H7" i="8"/>
  <c r="H8" i="8" s="1"/>
  <c r="H14" i="7" l="1"/>
  <c r="H29" i="7" s="1"/>
  <c r="H15" i="7"/>
  <c r="H30" i="7" s="1"/>
  <c r="H10" i="8"/>
  <c r="H33" i="8"/>
  <c r="H27" i="8" l="1"/>
  <c r="H34" i="8"/>
  <c r="H7" i="12"/>
  <c r="H35" i="7"/>
  <c r="H22" i="8" s="1"/>
  <c r="H28" i="8" l="1"/>
  <c r="H13" i="12"/>
  <c r="H7" i="11" l="1"/>
  <c r="H10" i="11" s="1"/>
  <c r="H8" i="12"/>
  <c r="H14" i="12" s="1"/>
  <c r="I6" i="6" l="1"/>
  <c r="I14" i="6" s="1"/>
  <c r="I6" i="8"/>
  <c r="I6" i="12"/>
  <c r="I12" i="12" s="1"/>
  <c r="I18" i="5"/>
  <c r="I7" i="7"/>
  <c r="I11" i="6" l="1"/>
  <c r="I15" i="6" s="1"/>
  <c r="I12" i="6"/>
  <c r="I13" i="6"/>
  <c r="I16" i="6"/>
  <c r="I17" i="6"/>
  <c r="I13" i="7"/>
  <c r="I28" i="7" s="1"/>
  <c r="I36" i="7"/>
  <c r="I42" i="7"/>
  <c r="I45" i="7"/>
  <c r="I21" i="8" s="1"/>
  <c r="I20" i="8" l="1"/>
  <c r="I44" i="7"/>
  <c r="I19" i="6"/>
  <c r="I7" i="8" l="1"/>
  <c r="I8" i="8" s="1"/>
  <c r="I33" i="8" s="1"/>
  <c r="I28" i="6"/>
  <c r="I8" i="7"/>
  <c r="I31" i="6"/>
  <c r="I9" i="8"/>
  <c r="I14" i="7" l="1"/>
  <c r="I29" i="7" s="1"/>
  <c r="I15" i="7"/>
  <c r="I30" i="7" s="1"/>
  <c r="I10" i="8"/>
  <c r="I35" i="7" l="1"/>
  <c r="I22" i="8" s="1"/>
  <c r="I27" i="8"/>
  <c r="I34" i="8"/>
  <c r="I7" i="12"/>
  <c r="I13" i="12" s="1"/>
  <c r="I28" i="8" l="1"/>
  <c r="I8" i="12" l="1"/>
  <c r="I14" i="12" s="1"/>
  <c r="I7" i="11"/>
  <c r="I10" i="11" s="1"/>
  <c r="J6" i="6" l="1"/>
  <c r="J6" i="8"/>
  <c r="J6" i="12"/>
  <c r="J12"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3" i="12" s="1"/>
  <c r="J34" i="8"/>
  <c r="J28" i="8" l="1"/>
  <c r="K6" i="6"/>
  <c r="K14" i="6" s="1"/>
  <c r="K6" i="8"/>
  <c r="K6" i="12"/>
  <c r="K12" i="12" s="1"/>
  <c r="K18" i="5"/>
  <c r="K7" i="7"/>
  <c r="J8" i="12" l="1"/>
  <c r="J14" i="12" s="1"/>
  <c r="J7" i="11"/>
  <c r="J10" i="11" s="1"/>
  <c r="K12" i="6"/>
  <c r="K11" i="6"/>
  <c r="K15" i="6" s="1"/>
  <c r="K13" i="7"/>
  <c r="K28" i="7" s="1"/>
  <c r="K36" i="7"/>
  <c r="K42" i="7"/>
  <c r="K45" i="7"/>
  <c r="K21" i="8" s="1"/>
  <c r="K13" i="6"/>
  <c r="K16" i="6"/>
  <c r="K17" i="6"/>
  <c r="K19" i="6" l="1"/>
  <c r="K20" i="8"/>
  <c r="K44" i="7"/>
  <c r="K31" i="6" l="1"/>
  <c r="K9" i="8"/>
  <c r="K8" i="7"/>
  <c r="K7" i="8"/>
  <c r="K8" i="8" s="1"/>
  <c r="K28" i="6"/>
  <c r="K14" i="7" l="1"/>
  <c r="K29" i="7" s="1"/>
  <c r="K15" i="7"/>
  <c r="K30" i="7" s="1"/>
  <c r="K33" i="8"/>
  <c r="K10" i="8"/>
  <c r="K35" i="7" l="1"/>
  <c r="K22" i="8" s="1"/>
  <c r="K27" i="8"/>
  <c r="K7" i="12"/>
  <c r="K13" i="12" s="1"/>
  <c r="K34" i="8"/>
  <c r="K28" i="8" l="1"/>
  <c r="L6" i="6"/>
  <c r="L14" i="6" s="1"/>
  <c r="L6" i="8"/>
  <c r="L6" i="12"/>
  <c r="L18" i="5"/>
  <c r="L7" i="7"/>
  <c r="K8" i="12" l="1"/>
  <c r="K14" i="12" s="1"/>
  <c r="K7" i="11"/>
  <c r="K10" i="11" s="1"/>
  <c r="L13" i="7"/>
  <c r="L28" i="7" s="1"/>
  <c r="L36" i="7"/>
  <c r="L12" i="12"/>
  <c r="C50" i="12"/>
  <c r="C54" i="12" s="1"/>
  <c r="C55" i="12" s="1"/>
  <c r="C7" i="13" s="1"/>
  <c r="I5" i="1" s="1"/>
  <c r="L12" i="6"/>
  <c r="L13" i="6"/>
  <c r="L16" i="6"/>
  <c r="L17" i="6"/>
  <c r="L11" i="6"/>
  <c r="L15" i="6" s="1"/>
  <c r="L42" i="7"/>
  <c r="L45" i="7"/>
  <c r="L21" i="8" s="1"/>
  <c r="L20" i="8" l="1"/>
  <c r="L44" i="7"/>
  <c r="L19" i="6"/>
  <c r="L31" i="6" l="1"/>
  <c r="L9" i="8"/>
  <c r="L28" i="6"/>
  <c r="L7" i="8"/>
  <c r="L8" i="8" s="1"/>
  <c r="L33" i="8" s="1"/>
  <c r="L8" i="7"/>
  <c r="L10" i="8" l="1"/>
  <c r="L15" i="7"/>
  <c r="L30" i="7" s="1"/>
  <c r="L14" i="7"/>
  <c r="L29" i="7" s="1"/>
  <c r="L7" i="12" l="1"/>
  <c r="L27" i="8"/>
  <c r="L34" i="8"/>
  <c r="L35" i="7"/>
  <c r="L22" i="8" s="1"/>
  <c r="C38" i="12" l="1"/>
  <c r="C41" i="12" s="1"/>
  <c r="C42" i="12" s="1"/>
  <c r="C45" i="12" s="1"/>
  <c r="C47" i="12" s="1"/>
  <c r="C6" i="13" s="1"/>
  <c r="I4" i="1" s="1"/>
  <c r="L13" i="12"/>
  <c r="L28" i="8"/>
  <c r="L8" i="12" l="1"/>
  <c r="L7" i="11"/>
  <c r="C58" i="12" l="1"/>
  <c r="C61" i="12" s="1"/>
  <c r="C62" i="12" s="1"/>
  <c r="C65" i="12" s="1"/>
  <c r="C67" i="12" s="1"/>
  <c r="C8" i="13" s="1"/>
  <c r="I6" i="1" s="1"/>
  <c r="L14" i="12"/>
  <c r="L10" i="11"/>
  <c r="C19" i="11" s="1"/>
  <c r="L8" i="11"/>
  <c r="L11" i="11" s="1"/>
  <c r="C20" i="1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<sst xmlns="http://schemas.openxmlformats.org/spreadsheetml/2006/main" count="775" uniqueCount="432">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</sst>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Year'!$H$64:$L$64</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Year'!$H$65:$L$65</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Year'!$H$66:$L$66</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20039</c:v>
                </c:pt>
                <c:pt idx="1">
                  <c:v>22386</c:v>
                </c:pt>
                <c:pt idx="2">
                  <c:v>10978</c:v>
                </c:pt>
                <c:pt idx="3">
                  <c:v>17603</c:v>
                </c:pt>
                <c:pt idx="4">
                  <c:v>28578</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7007</c:v>
                </c:pt>
                <c:pt idx="1">
                  <c:v>7811</c:v>
                </c:pt>
                <c:pt idx="2">
                  <c:v>4206</c:v>
                </c:pt>
                <c:pt idx="3">
                  <c:v>7227</c:v>
                </c:pt>
                <c:pt idx="4">
                  <c:v>8503</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659</c:v>
                </c:pt>
                <c:pt idx="1">
                  <c:v>561</c:v>
                </c:pt>
                <c:pt idx="2">
                  <c:v>356</c:v>
                </c:pt>
                <c:pt idx="3">
                  <c:v>281</c:v>
                </c:pt>
                <c:pt idx="4">
                  <c:v>297</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0</c:v>
                </c:pt>
                <c:pt idx="2">
                  <c:v>1872</c:v>
                </c:pt>
                <c:pt idx="3">
                  <c:v>3792</c:v>
                </c:pt>
                <c:pt idx="4">
                  <c:v>13524</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0</c:v>
                </c:pt>
                <c:pt idx="2">
                  <c:v>2124</c:v>
                </c:pt>
                <c:pt idx="3">
                  <c:v>4984</c:v>
                </c:pt>
                <c:pt idx="4">
                  <c:v>7229</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0</c:v>
                </c:pt>
                <c:pt idx="2">
                  <c:v>7394</c:v>
                </c:pt>
                <c:pt idx="3">
                  <c:v>11667</c:v>
                </c:pt>
                <c:pt idx="4">
                  <c:v>11859</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0</c:v>
                </c:pt>
                <c:pt idx="2">
                  <c:v>4139</c:v>
                </c:pt>
                <c:pt idx="3">
                  <c:v>4631</c:v>
                </c:pt>
                <c:pt idx="4">
                  <c:v>4753</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14176</c:v>
                </c:pt>
                <c:pt idx="1">
                  <c:v>6400</c:v>
                </c:pt>
                <c:pt idx="2">
                  <c:v>6123</c:v>
                </c:pt>
                <c:pt idx="3">
                  <c:v>7071</c:v>
                </c:pt>
                <c:pt idx="4">
                  <c:v>22178</c:v>
                </c:pt>
                <c:pt idx="5">
                  <c:v>10812</c:v>
                </c:pt>
                <c:pt idx="6">
                  <c:v>18768</c:v>
                </c:pt>
                <c:pt idx="7">
                  <c:v>31328</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5997</c:v>
                </c:pt>
                <c:pt idx="1">
                  <c:v>2241</c:v>
                </c:pt>
                <c:pt idx="2">
                  <c:v>1855</c:v>
                </c:pt>
                <c:pt idx="3">
                  <c:v>2155</c:v>
                </c:pt>
                <c:pt idx="4">
                  <c:v>6262</c:v>
                </c:pt>
                <c:pt idx="5">
                  <c:v>2743</c:v>
                </c:pt>
                <c:pt idx="6">
                  <c:v>4997</c:v>
                </c:pt>
                <c:pt idx="7">
                  <c:v>9943</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212</c:v>
                </c:pt>
                <c:pt idx="1">
                  <c:v>68</c:v>
                </c:pt>
                <c:pt idx="2">
                  <c:v>75</c:v>
                </c:pt>
                <c:pt idx="3">
                  <c:v>75</c:v>
                </c:pt>
                <c:pt idx="4">
                  <c:v>229</c:v>
                </c:pt>
                <c:pt idx="5">
                  <c:v>88</c:v>
                </c:pt>
                <c:pt idx="6">
                  <c:v>95</c:v>
                </c:pt>
                <c:pt idx="7">
                  <c:v>185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1449</c:v>
                </c:pt>
                <c:pt idx="1">
                  <c:v>2658</c:v>
                </c:pt>
                <c:pt idx="2">
                  <c:v>2947</c:v>
                </c:pt>
                <c:pt idx="3">
                  <c:v>3386</c:v>
                </c:pt>
                <c:pt idx="4">
                  <c:v>4543</c:v>
                </c:pt>
                <c:pt idx="5">
                  <c:v>5284</c:v>
                </c:pt>
                <c:pt idx="6">
                  <c:v>7749</c:v>
                </c:pt>
                <c:pt idx="7">
                  <c:v>13769</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2048</c:v>
                </c:pt>
                <c:pt idx="1">
                  <c:v>2292</c:v>
                </c:pt>
                <c:pt idx="2">
                  <c:v>1830</c:v>
                </c:pt>
                <c:pt idx="3">
                  <c:v>1530</c:v>
                </c:pt>
                <c:pt idx="4">
                  <c:v>1577</c:v>
                </c:pt>
                <c:pt idx="5">
                  <c:v>2379</c:v>
                </c:pt>
                <c:pt idx="6">
                  <c:v>5687</c:v>
                </c:pt>
                <c:pt idx="7">
                  <c:v>11524</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3019</c:v>
                </c:pt>
                <c:pt idx="1">
                  <c:v>2608</c:v>
                </c:pt>
                <c:pt idx="2">
                  <c:v>2236</c:v>
                </c:pt>
                <c:pt idx="3">
                  <c:v>3255</c:v>
                </c:pt>
                <c:pt idx="4">
                  <c:v>3760</c:v>
                </c:pt>
                <c:pt idx="5">
                  <c:v>4255</c:v>
                </c:pt>
                <c:pt idx="6">
                  <c:v>7711</c:v>
                </c:pt>
                <c:pt idx="7">
                  <c:v>11521</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1230</c:v>
                </c:pt>
                <c:pt idx="1">
                  <c:v>1158</c:v>
                </c:pt>
                <c:pt idx="2">
                  <c:v>1034</c:v>
                </c:pt>
                <c:pt idx="3">
                  <c:v>1127</c:v>
                </c:pt>
                <c:pt idx="4">
                  <c:v>1434</c:v>
                </c:pt>
                <c:pt idx="5">
                  <c:v>1720</c:v>
                </c:pt>
                <c:pt idx="6">
                  <c:v>2708</c:v>
                </c:pt>
                <c:pt idx="7">
                  <c:v>4634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https://www.bing.com/financeapi/forcetrigger?t=a1y4oc&amp;q=XNAS%3aMU&amp;form=skydnc</v>
    <v>Learn more on Bing</v>
  </rv>
  <rv s="1">
    <v>0</v>
    <v>MICRON TECHNOLOGY, INC. (XNAS:MU)</v>
    <v>2</v>
    <v>3</v>
    <v>Finance</v>
    <v>4</v>
    <v>en-US</v>
    <v>a1y4oc</v>
    <v>268435456</v>
    <v>1</v>
    <v>Powered by Refinitiv</v>
    <v>1255</v>
    <v>154.65</v>
    <v>2.2370000000000001</v>
    <v>44</v>
    <v>4.2146999999999997E-2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1089.07</v>
    <v>Semiconductors &amp; Semiconductor Equipment</v>
    <v>Stock</v>
    <v>46287.767626238281</v>
    <v>0</v>
    <v>1030.0150000000001</v>
    <v>1228734408280</v>
    <v>MICRON TECHNOLOGY, INC.</v>
    <v>MICRON TECHNOLOGY, INC.</v>
    <v>1033</v>
    <v>24.63</v>
    <v>1043.96</v>
    <v>1087.96</v>
    <v>1129393000</v>
    <v>MU</v>
    <v>MICRON TECHNOLOGY, INC. (XNAS:MU)</v>
    <v>20306923</v>
    <v>25909773</v>
    <v>1984</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50.16</v>
    <v>39.47</v>
    <v>-0.35</v>
    <v>-7.0030000000000005E-3</v>
    <v>US</v>
    <v>49.76</v>
    <v>Index</v>
    <v>6</v>
    <v>49.51</v>
    <v>10 Y TSY YLD NDX</v>
    <v>49.53</v>
    <v>49.98</v>
    <v>49.63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zoomScale="160" zoomScaleNormal="160" workbookViewId="0">
      <selection activeCell="C63" sqref="C6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1" t="s">
        <v>17</v>
      </c>
      <c r="C2" s="242"/>
      <c r="E2" s="241" t="s">
        <v>292</v>
      </c>
      <c r="F2" s="242"/>
      <c r="H2" s="241" t="s">
        <v>333</v>
      </c>
      <c r="I2" s="242"/>
    </row>
    <row r="3" spans="2:9" x14ac:dyDescent="0.2">
      <c r="B3" s="189" t="s">
        <v>11</v>
      </c>
      <c r="C3" s="221" t="e" vm="1">
        <v>#VALUE!</v>
      </c>
      <c r="D3" s="2"/>
      <c r="E3" s="189" t="s">
        <v>244</v>
      </c>
      <c r="F3" s="191">
        <f ca="1">Statement!AC153</f>
        <v>1246802.1600000001</v>
      </c>
      <c r="H3" s="189" t="str">
        <f>'AVG target price'!B5</f>
        <v>DCF price</v>
      </c>
      <c r="I3" s="215">
        <f ca="1">'AVG target price'!C5</f>
        <v>540.7449403569484</v>
      </c>
    </row>
    <row r="4" spans="2:9" x14ac:dyDescent="0.2">
      <c r="B4" s="189" t="s">
        <v>0</v>
      </c>
      <c r="C4" s="193" t="str" cm="1">
        <f t="array" aca="1" ref="C4" ca="1">_FV(C3,"Ticker symbol",TRUE)</f>
        <v>MU</v>
      </c>
      <c r="E4" s="190" t="s">
        <v>188</v>
      </c>
      <c r="F4" s="192">
        <f ca="1">Statement!AC154</f>
        <v>1222396.1600000001</v>
      </c>
      <c r="H4" s="189" t="str">
        <f>'AVG target price'!B6</f>
        <v>EV/EBIT price</v>
      </c>
      <c r="I4" s="215">
        <f ca="1">'AVG target price'!C6</f>
        <v>530.25359083120281</v>
      </c>
    </row>
    <row r="5" spans="2:9" x14ac:dyDescent="0.2">
      <c r="B5" s="189" t="s">
        <v>1</v>
      </c>
      <c r="C5" s="212" cm="1">
        <f t="array" aca="1" ref="C5" ca="1">_FV(C3,"Price",TRUE)</f>
        <v>1087.96</v>
      </c>
      <c r="E5" s="189" t="s">
        <v>248</v>
      </c>
      <c r="F5" s="194">
        <f>Statement!AC26</f>
        <v>44.17</v>
      </c>
      <c r="H5" s="189" t="str">
        <f>'AVG target price'!B7</f>
        <v>PS price</v>
      </c>
      <c r="I5" s="215">
        <f ca="1">'AVG target price'!C7</f>
        <v>172.85187754425812</v>
      </c>
    </row>
    <row r="6" spans="2:9" x14ac:dyDescent="0.2">
      <c r="B6" s="189" t="s">
        <v>2</v>
      </c>
      <c r="C6" s="212" t="e" cm="1" vm="2">
        <f t="array" ref="C6">_FV(C3,"Price (Extended hours)",TRUE)</f>
        <v>#VALUE!</v>
      </c>
      <c r="E6" s="189" t="s">
        <v>242</v>
      </c>
      <c r="F6" s="194">
        <f ca="1">Statement!AC150</f>
        <v>24.63119764546072</v>
      </c>
      <c r="H6" s="189" t="str">
        <f>'AVG target price'!B8</f>
        <v>EV/FCFF price</v>
      </c>
      <c r="I6" s="215">
        <f ca="1">'AVG target price'!C8</f>
        <v>801.81700984249812</v>
      </c>
    </row>
    <row r="7" spans="2:9" x14ac:dyDescent="0.2">
      <c r="B7" s="189" t="s">
        <v>3</v>
      </c>
      <c r="C7" s="6" cm="1">
        <f t="array" aca="1" ref="C7" ca="1">_FV(C3,"Change")</f>
        <v>44</v>
      </c>
      <c r="E7" s="190" t="s">
        <v>201</v>
      </c>
      <c r="F7" s="195">
        <f ca="1">Statement!AC151</f>
        <v>13.726947293794449</v>
      </c>
      <c r="H7" s="188" t="str">
        <f>'AVG target price'!B9</f>
        <v>AVG price</v>
      </c>
      <c r="I7" s="216">
        <f ca="1">'AVG target price'!C9</f>
        <v>511.41685464372688</v>
      </c>
    </row>
    <row r="8" spans="2:9" x14ac:dyDescent="0.2">
      <c r="B8" s="189" t="s">
        <v>4</v>
      </c>
      <c r="C8" s="6" t="e" cm="1" vm="3">
        <f t="array" ref="C8">_FV(C3,"Change (extended hours)",TRUE)</f>
        <v>#VALUE!</v>
      </c>
      <c r="E8" s="189" t="s">
        <v>270</v>
      </c>
      <c r="F8" s="196">
        <f ca="1">Statement!AC161</f>
        <v>2.002563101109802E-2</v>
      </c>
      <c r="H8" s="188" t="str">
        <f>'AVG target price'!B11</f>
        <v>Upside/Downside</v>
      </c>
      <c r="I8" s="217">
        <f ca="1">'AVG target price'!C11</f>
        <v>-0.52993046192532178</v>
      </c>
    </row>
    <row r="9" spans="2:9" x14ac:dyDescent="0.2">
      <c r="B9" s="189" t="s">
        <v>5</v>
      </c>
      <c r="C9" s="73" cm="1">
        <f t="array" aca="1" ref="C9" ca="1">_FV(C3,"Change (%)",TRUE)</f>
        <v>4.2146999999999997E-2</v>
      </c>
      <c r="E9" s="189" t="s">
        <v>293</v>
      </c>
      <c r="F9" s="196">
        <f ca="1">Statement!AC162</f>
        <v>4.0598919077907275E-2</v>
      </c>
    </row>
    <row r="10" spans="2:9" x14ac:dyDescent="0.2">
      <c r="B10" s="189" t="s">
        <v>6</v>
      </c>
      <c r="C10" s="73" t="e" cm="1" vm="4">
        <f t="array" ref="C10">_FV(C3,"Change % (extended hours)",TRUE)</f>
        <v>#VALUE!</v>
      </c>
      <c r="E10" s="189" t="s">
        <v>298</v>
      </c>
      <c r="F10" s="196">
        <f ca="1">Statement!AC164</f>
        <v>8.999021945871507E-4</v>
      </c>
      <c r="H10" s="188" t="s">
        <v>376</v>
      </c>
      <c r="I10" s="216">
        <f ca="1">DDM!C26</f>
        <v>4.0912094055464268</v>
      </c>
    </row>
    <row r="11" spans="2:9" x14ac:dyDescent="0.2">
      <c r="B11" s="189" t="s">
        <v>7</v>
      </c>
      <c r="C11" s="213" cm="1">
        <f t="array" aca="1" ref="C11" ca="1">_FV(C3,"52 week high",TRUE)</f>
        <v>1255</v>
      </c>
      <c r="E11" s="190" t="s">
        <v>294</v>
      </c>
      <c r="F11" s="197">
        <f ca="1">Statement!AC163</f>
        <v>4.8715026287731166E-4</v>
      </c>
    </row>
    <row r="12" spans="2:9" x14ac:dyDescent="0.2">
      <c r="B12" s="189" t="s">
        <v>8</v>
      </c>
      <c r="C12" s="213" cm="1">
        <f t="array" aca="1" ref="C12" ca="1">_FV(C3,"52 week low",TRUE)</f>
        <v>154.65</v>
      </c>
      <c r="E12" s="189" t="s">
        <v>102</v>
      </c>
      <c r="F12" s="196">
        <f>Statement!AC123</f>
        <v>0.37631979241231212</v>
      </c>
    </row>
    <row r="13" spans="2:9" x14ac:dyDescent="0.2">
      <c r="B13" s="189" t="s">
        <v>9</v>
      </c>
      <c r="C13" s="213" cm="1">
        <f t="array" aca="1" ref="C13" ca="1">_FV(C3,"Beta")</f>
        <v>2.2370000000000001</v>
      </c>
      <c r="E13" s="189" t="s">
        <v>104</v>
      </c>
      <c r="F13" s="196">
        <f>Statement!AC125</f>
        <v>0.50106230888368219</v>
      </c>
    </row>
    <row r="14" spans="2:9" x14ac:dyDescent="0.2">
      <c r="B14" s="190" t="s">
        <v>10</v>
      </c>
      <c r="C14" s="214" cm="1">
        <f t="array" aca="1" ref="C14" ca="1">_FV(C3,"Volume average",TRUE)</f>
        <v>25909773</v>
      </c>
      <c r="E14" s="190" t="s">
        <v>105</v>
      </c>
      <c r="F14" s="197">
        <f>Statement!AC140</f>
        <v>0.66314520207950856</v>
      </c>
    </row>
    <row r="15" spans="2:9" x14ac:dyDescent="0.2">
      <c r="E15" s="189" t="s">
        <v>295</v>
      </c>
      <c r="F15" s="196">
        <f ca="1">Statement!AC176</f>
        <v>1.9574877861937613E-2</v>
      </c>
    </row>
    <row r="16" spans="2:9" x14ac:dyDescent="0.2">
      <c r="E16" s="190" t="s">
        <v>300</v>
      </c>
      <c r="F16" s="195">
        <f>Statement!AC175</f>
        <v>21.617360496014172</v>
      </c>
    </row>
    <row r="17" spans="2:9" x14ac:dyDescent="0.2">
      <c r="B17" s="243" t="s">
        <v>90</v>
      </c>
      <c r="C17" s="243"/>
      <c r="E17" s="188" t="s">
        <v>301</v>
      </c>
      <c r="F17" s="198">
        <f>Statement!AC171</f>
        <v>2.617801047120419E-3</v>
      </c>
    </row>
    <row r="18" spans="2:9" x14ac:dyDescent="0.2">
      <c r="B18" s="188" t="s">
        <v>12</v>
      </c>
      <c r="C18" s="69" t="s">
        <v>377</v>
      </c>
      <c r="E18" s="189" t="s">
        <v>302</v>
      </c>
      <c r="F18" s="194">
        <f>Statement!AC144</f>
        <v>22.941609834516981</v>
      </c>
      <c r="I18" s="50"/>
    </row>
    <row r="19" spans="2:9" x14ac:dyDescent="0.2">
      <c r="B19" s="188" t="s">
        <v>13</v>
      </c>
      <c r="C19" s="70">
        <v>1000000</v>
      </c>
      <c r="E19" s="189" t="s">
        <v>263</v>
      </c>
      <c r="F19" s="194">
        <f>Statement!AC146</f>
        <v>-0.24230570668361065</v>
      </c>
    </row>
    <row r="20" spans="2:9" x14ac:dyDescent="0.2">
      <c r="B20" s="188" t="s">
        <v>91</v>
      </c>
      <c r="C20" s="69" t="s">
        <v>92</v>
      </c>
      <c r="E20" s="190" t="s">
        <v>303</v>
      </c>
      <c r="F20" s="195">
        <f>Statement!AC147</f>
        <v>3.1379823481116587</v>
      </c>
    </row>
    <row r="21" spans="2:9" x14ac:dyDescent="0.2">
      <c r="B21" s="188" t="s">
        <v>93</v>
      </c>
      <c r="C21" s="69" t="s">
        <v>94</v>
      </c>
      <c r="I21" s="50"/>
    </row>
    <row r="22" spans="2:9" x14ac:dyDescent="0.2">
      <c r="B22" s="188" t="s">
        <v>95</v>
      </c>
      <c r="C22" s="69" t="s">
        <v>92</v>
      </c>
    </row>
    <row r="25" spans="2:9" x14ac:dyDescent="0.2">
      <c r="B25" s="243" t="s">
        <v>107</v>
      </c>
      <c r="C25" s="243"/>
      <c r="E25" s="241" t="s">
        <v>348</v>
      </c>
      <c r="F25" s="242"/>
    </row>
    <row r="26" spans="2:9" x14ac:dyDescent="0.2">
      <c r="B26" s="188" t="s">
        <v>108</v>
      </c>
      <c r="C26" s="174">
        <v>0.21</v>
      </c>
      <c r="E26" s="189" t="e" vm="5">
        <v>#VALUE!</v>
      </c>
      <c r="F26" s="223" cm="1">
        <f t="array" aca="1" ref="F26" ca="1">_FV(E26,"Price")</f>
        <v>49.63</v>
      </c>
    </row>
    <row r="27" spans="2:9" x14ac:dyDescent="0.2">
      <c r="B27" s="188" t="s">
        <v>172</v>
      </c>
      <c r="C27" s="225">
        <v>5.0999999999999997E-2</v>
      </c>
      <c r="E27" s="190" t="s">
        <v>349</v>
      </c>
      <c r="F27" s="224">
        <f ca="1">F26/1000</f>
        <v>4.9630000000000001E-2</v>
      </c>
    </row>
    <row r="28" spans="2:9" x14ac:dyDescent="0.2">
      <c r="B28" s="188" t="s">
        <v>353</v>
      </c>
      <c r="C28" s="225">
        <v>0</v>
      </c>
    </row>
    <row r="29" spans="2:9" x14ac:dyDescent="0.2">
      <c r="B29" s="188" t="s">
        <v>366</v>
      </c>
      <c r="C29" s="225">
        <v>0</v>
      </c>
    </row>
    <row r="33" spans="2:8" x14ac:dyDescent="0.2">
      <c r="B33" s="240" t="s">
        <v>343</v>
      </c>
      <c r="C33" s="240"/>
      <c r="D33" s="240"/>
      <c r="E33" s="240"/>
      <c r="F33" s="240"/>
      <c r="G33" s="240"/>
      <c r="H33" s="240"/>
    </row>
    <row r="35" spans="2:8" x14ac:dyDescent="0.2">
      <c r="B35" s="16" t="s">
        <v>344</v>
      </c>
      <c r="C35" s="1" t="s">
        <v>405</v>
      </c>
    </row>
    <row r="36" spans="2:8" x14ac:dyDescent="0.2">
      <c r="B36" s="16" t="s">
        <v>345</v>
      </c>
      <c r="C36" s="1" t="s">
        <v>406</v>
      </c>
    </row>
    <row r="37" spans="2:8" x14ac:dyDescent="0.2">
      <c r="B37" s="16" t="s">
        <v>421</v>
      </c>
      <c r="C37" s="1" t="s">
        <v>422</v>
      </c>
    </row>
    <row r="38" spans="2:8" x14ac:dyDescent="0.2">
      <c r="B38" s="16"/>
      <c r="C38" s="1" t="s">
        <v>423</v>
      </c>
    </row>
    <row r="39" spans="2:8" x14ac:dyDescent="0.2">
      <c r="B39" s="16"/>
      <c r="C39" s="1" t="s">
        <v>424</v>
      </c>
    </row>
    <row r="40" spans="2:8" x14ac:dyDescent="0.2">
      <c r="B40" s="16"/>
      <c r="C40" s="1" t="s">
        <v>425</v>
      </c>
    </row>
    <row r="43" spans="2:8" ht="6" customHeight="1" x14ac:dyDescent="0.2">
      <c r="B43" s="240"/>
      <c r="C43" s="240"/>
      <c r="D43" s="240"/>
      <c r="E43" s="240"/>
      <c r="F43" s="240"/>
      <c r="G43" s="240"/>
      <c r="H43" s="240"/>
    </row>
    <row r="46" spans="2:8" x14ac:dyDescent="0.2">
      <c r="B46" s="240" t="s">
        <v>346</v>
      </c>
      <c r="C46" s="240"/>
      <c r="D46" s="240"/>
      <c r="E46" s="240"/>
      <c r="F46" s="240"/>
      <c r="G46" s="240"/>
      <c r="H46" s="240"/>
    </row>
    <row r="48" spans="2:8" x14ac:dyDescent="0.2">
      <c r="B48" s="41" t="s">
        <v>347</v>
      </c>
      <c r="C48" s="41" t="s">
        <v>407</v>
      </c>
      <c r="D48" s="41"/>
      <c r="E48" s="41" t="s">
        <v>85</v>
      </c>
    </row>
    <row r="49" spans="2:5" x14ac:dyDescent="0.2">
      <c r="B49" s="1" t="s">
        <v>408</v>
      </c>
      <c r="C49" s="1" t="s">
        <v>409</v>
      </c>
    </row>
    <row r="50" spans="2:5" x14ac:dyDescent="0.2">
      <c r="B50" s="1" t="s">
        <v>408</v>
      </c>
      <c r="C50" s="1" t="s">
        <v>410</v>
      </c>
    </row>
    <row r="51" spans="2:5" x14ac:dyDescent="0.2">
      <c r="C51" s="1" t="s">
        <v>411</v>
      </c>
    </row>
    <row r="52" spans="2:5" x14ac:dyDescent="0.2">
      <c r="C52" s="1" t="s">
        <v>412</v>
      </c>
    </row>
    <row r="53" spans="2:5" x14ac:dyDescent="0.2">
      <c r="C53" s="1" t="s">
        <v>413</v>
      </c>
    </row>
    <row r="54" spans="2:5" x14ac:dyDescent="0.2">
      <c r="C54" s="1" t="s">
        <v>414</v>
      </c>
    </row>
    <row r="55" spans="2:5" x14ac:dyDescent="0.2">
      <c r="B55" s="1" t="s">
        <v>408</v>
      </c>
      <c r="C55" s="1" t="s">
        <v>415</v>
      </c>
    </row>
    <row r="56" spans="2:5" x14ac:dyDescent="0.2">
      <c r="B56" s="1" t="s">
        <v>408</v>
      </c>
      <c r="C56" s="1" t="s">
        <v>416</v>
      </c>
    </row>
    <row r="57" spans="2:5" x14ac:dyDescent="0.2">
      <c r="B57" s="1" t="s">
        <v>408</v>
      </c>
      <c r="C57" s="1" t="s">
        <v>417</v>
      </c>
    </row>
    <row r="58" spans="2:5" x14ac:dyDescent="0.2">
      <c r="B58" s="1" t="s">
        <v>408</v>
      </c>
      <c r="C58" s="1" t="s">
        <v>418</v>
      </c>
    </row>
    <row r="59" spans="2:5" x14ac:dyDescent="0.2">
      <c r="B59" s="1" t="s">
        <v>408</v>
      </c>
      <c r="C59" s="1" t="s">
        <v>419</v>
      </c>
    </row>
    <row r="60" spans="2:5" x14ac:dyDescent="0.2">
      <c r="B60" s="1" t="s">
        <v>408</v>
      </c>
      <c r="C60" s="1" t="s">
        <v>420</v>
      </c>
    </row>
    <row r="62" spans="2:5" x14ac:dyDescent="0.2">
      <c r="B62" s="41" t="s">
        <v>347</v>
      </c>
      <c r="C62" s="41" t="s">
        <v>430</v>
      </c>
      <c r="D62" s="41"/>
      <c r="E62" s="41" t="s">
        <v>89</v>
      </c>
    </row>
    <row r="63" spans="2:5" x14ac:dyDescent="0.2">
      <c r="B63" s="1" t="s">
        <v>408</v>
      </c>
      <c r="C63" s="1" t="s">
        <v>431</v>
      </c>
    </row>
    <row r="66" spans="2:8" ht="5" customHeight="1" x14ac:dyDescent="0.2">
      <c r="B66" s="240"/>
      <c r="C66" s="240"/>
      <c r="D66" s="240"/>
      <c r="E66" s="240"/>
      <c r="F66" s="240"/>
      <c r="G66" s="240"/>
      <c r="H66" s="240"/>
    </row>
    <row r="69" spans="2:8" x14ac:dyDescent="0.2">
      <c r="B69" s="240" t="s">
        <v>109</v>
      </c>
      <c r="C69" s="240"/>
      <c r="D69" s="240"/>
      <c r="E69" s="240"/>
      <c r="F69" s="240"/>
      <c r="G69" s="240"/>
      <c r="H69" s="240"/>
    </row>
    <row r="71" spans="2:8" x14ac:dyDescent="0.2">
      <c r="B71" s="41" t="s">
        <v>347</v>
      </c>
      <c r="C71" s="41" t="s">
        <v>334</v>
      </c>
      <c r="D71" s="41"/>
      <c r="E71" s="41" t="s">
        <v>335</v>
      </c>
    </row>
    <row r="76" spans="2:8" ht="5" customHeight="1" x14ac:dyDescent="0.2">
      <c r="B76" s="240"/>
      <c r="C76" s="240"/>
      <c r="D76" s="240"/>
      <c r="E76" s="240"/>
      <c r="F76" s="240"/>
      <c r="G76" s="240"/>
      <c r="H76" s="240"/>
    </row>
  </sheetData>
  <mergeCells count="12">
    <mergeCell ref="B2:C2"/>
    <mergeCell ref="B17:C17"/>
    <mergeCell ref="B25:C25"/>
    <mergeCell ref="E2:F2"/>
    <mergeCell ref="H2:I2"/>
    <mergeCell ref="E25:F25"/>
    <mergeCell ref="B69:H69"/>
    <mergeCell ref="B76:H76"/>
    <mergeCell ref="B33:H33"/>
    <mergeCell ref="B43:H43"/>
    <mergeCell ref="B46:H46"/>
    <mergeCell ref="B66:H6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L4"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382</v>
      </c>
      <c r="N2" s="10" t="s">
        <v>381</v>
      </c>
      <c r="O2" s="10" t="s">
        <v>380</v>
      </c>
      <c r="P2" s="10" t="s">
        <v>379</v>
      </c>
      <c r="Q2" s="10" t="s">
        <v>378</v>
      </c>
      <c r="R2" s="7"/>
      <c r="S2" s="7"/>
      <c r="T2" s="10" t="s">
        <v>379</v>
      </c>
      <c r="U2" s="10" t="s">
        <v>389</v>
      </c>
      <c r="V2" s="10" t="s">
        <v>386</v>
      </c>
      <c r="W2" s="10" t="s">
        <v>384</v>
      </c>
      <c r="X2" s="10" t="s">
        <v>378</v>
      </c>
      <c r="Y2" s="10" t="s">
        <v>387</v>
      </c>
      <c r="Z2" s="10" t="s">
        <v>385</v>
      </c>
      <c r="AA2" s="10" t="s">
        <v>383</v>
      </c>
      <c r="AB2" s="7"/>
      <c r="AD2" s="7"/>
      <c r="AE2" s="7"/>
    </row>
    <row r="3" spans="1:31" s="13" customFormat="1" x14ac:dyDescent="0.2">
      <c r="A3" s="11"/>
      <c r="B3" s="12" t="s">
        <v>16</v>
      </c>
      <c r="M3" s="13">
        <v>2021</v>
      </c>
      <c r="N3" s="13">
        <v>2022</v>
      </c>
      <c r="O3" s="13">
        <v>2023</v>
      </c>
      <c r="P3" s="13">
        <v>2024</v>
      </c>
      <c r="Q3" s="13">
        <v>2025</v>
      </c>
      <c r="R3" s="11"/>
      <c r="S3" s="11"/>
      <c r="T3" s="10" t="s">
        <v>390</v>
      </c>
      <c r="U3" s="10" t="s">
        <v>388</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36">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336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135</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361</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169</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169</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340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341</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336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145</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289</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339</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239</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240</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241</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280</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281</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178</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169</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162</v>
      </c>
      <c r="C109" s="25"/>
      <c r="D109" s="25"/>
      <c r="E109" s="25"/>
      <c r="F109" s="25"/>
      <c r="G109" s="25"/>
      <c r="H109" s="25"/>
      <c r="I109" s="25"/>
      <c r="J109" s="25"/>
      <c r="K109" s="25"/>
      <c r="L109" s="25"/>
      <c r="M109" s="130">
        <f>M12*(1-M106)</f>
        <v>5884.8813123190739</v>
      </c>
      <c r="N109" s="130">
        <f>N12*(1-N106)</f>
        <v>8801.8457841395884</v>
      </c>
      <c r="O109" s="130">
        <f>O12*(1-O106)</f>
        <v>-5745</v>
      </c>
      <c r="P109" s="130">
        <f>P12*(1-P106)</f>
        <v>829.7225806451612</v>
      </c>
      <c r="Q109" s="25">
        <f>Q12*(1-Q106)</f>
        <v>8632.4943028796351</v>
      </c>
      <c r="T109" s="67"/>
      <c r="U109" s="67"/>
      <c r="V109" s="67"/>
      <c r="W109" s="67"/>
      <c r="X109" s="67"/>
      <c r="Y109" s="67"/>
      <c r="Z109" s="67"/>
      <c r="AA109" s="67"/>
      <c r="AC109" s="25">
        <f>AC12*(1-AC106)</f>
        <v>50609.915532303938</v>
      </c>
    </row>
    <row r="110" spans="1:31" x14ac:dyDescent="0.2">
      <c r="B110" s="20" t="s">
        <v>304</v>
      </c>
      <c r="C110" s="25"/>
      <c r="D110" s="25"/>
      <c r="E110" s="25"/>
      <c r="F110" s="25"/>
      <c r="G110" s="25"/>
      <c r="H110" s="25"/>
      <c r="I110" s="25"/>
      <c r="J110" s="25"/>
      <c r="K110" s="25"/>
      <c r="L110" s="25"/>
      <c r="M110" s="130">
        <f>M60+M61</f>
        <v>-10030</v>
      </c>
      <c r="N110" s="130">
        <f>N60+N61</f>
        <v>-12067</v>
      </c>
      <c r="O110" s="130">
        <f>O60+O61</f>
        <v>-7676</v>
      </c>
      <c r="P110" s="130">
        <f>P60+P61</f>
        <v>-8386</v>
      </c>
      <c r="Q110" s="130">
        <f>Q60+Q61</f>
        <v>-15857</v>
      </c>
      <c r="T110" s="130">
        <f t="shared" ref="T110:AA110" si="71">T60+T61</f>
        <v>0</v>
      </c>
      <c r="U110" s="130">
        <f t="shared" si="71"/>
        <v>-3206</v>
      </c>
      <c r="V110" s="130">
        <f t="shared" si="71"/>
        <v>-4055</v>
      </c>
      <c r="W110" s="130">
        <f t="shared" si="71"/>
        <v>-2938</v>
      </c>
      <c r="X110" s="130">
        <f t="shared" si="71"/>
        <v>-5658</v>
      </c>
      <c r="Y110" s="130">
        <f t="shared" si="71"/>
        <v>-5389</v>
      </c>
      <c r="Z110" s="130">
        <f t="shared" si="71"/>
        <v>-6387</v>
      </c>
      <c r="AA110" s="130">
        <f t="shared" si="71"/>
        <v>-7826</v>
      </c>
      <c r="AC110" s="130">
        <f>AC60+AC61</f>
        <v>-25260</v>
      </c>
    </row>
    <row r="111" spans="1:31" x14ac:dyDescent="0.2">
      <c r="B111" s="20" t="s">
        <v>337</v>
      </c>
      <c r="C111" s="25"/>
      <c r="D111" s="25"/>
      <c r="E111" s="25"/>
      <c r="F111" s="25"/>
      <c r="G111" s="25"/>
      <c r="H111" s="25"/>
      <c r="I111" s="25"/>
      <c r="J111" s="25"/>
      <c r="K111" s="25"/>
      <c r="L111" s="25"/>
      <c r="M111" s="130">
        <f>M17+M18</f>
        <v>5861</v>
      </c>
      <c r="N111" s="130">
        <f>N17+N18</f>
        <v>8687</v>
      </c>
      <c r="O111" s="130">
        <f>O17+O18</f>
        <v>-5833</v>
      </c>
      <c r="P111" s="130">
        <f>P17+P18</f>
        <v>778</v>
      </c>
      <c r="Q111" s="130">
        <f>Q17+Q18</f>
        <v>8539</v>
      </c>
      <c r="T111" s="130">
        <f t="shared" ref="T111:AA111" si="72">T17+T18</f>
        <v>887</v>
      </c>
      <c r="U111" s="130">
        <f t="shared" si="72"/>
        <v>1870</v>
      </c>
      <c r="V111" s="130">
        <f t="shared" si="72"/>
        <v>1583</v>
      </c>
      <c r="W111" s="130">
        <f t="shared" si="72"/>
        <v>1885</v>
      </c>
      <c r="X111" s="130">
        <f t="shared" si="72"/>
        <v>3201</v>
      </c>
      <c r="Y111" s="130">
        <f t="shared" si="72"/>
        <v>5240</v>
      </c>
      <c r="Z111" s="130">
        <f t="shared" si="72"/>
        <v>13785</v>
      </c>
      <c r="AA111" s="130">
        <f t="shared" si="72"/>
        <v>28243</v>
      </c>
      <c r="AC111" s="130">
        <f>AC17+AC18</f>
        <v>50469</v>
      </c>
    </row>
    <row r="112" spans="1:31" x14ac:dyDescent="0.2">
      <c r="B112" s="20" t="s">
        <v>338</v>
      </c>
      <c r="C112" s="25"/>
      <c r="D112" s="25"/>
      <c r="E112" s="25"/>
      <c r="F112" s="25"/>
      <c r="G112" s="25"/>
      <c r="H112" s="25"/>
      <c r="I112" s="25"/>
      <c r="J112" s="25"/>
      <c r="K112" s="25"/>
      <c r="L112" s="25"/>
      <c r="M112" s="130">
        <f>M49+M48</f>
        <v>43933</v>
      </c>
      <c r="N112" s="130">
        <f>N49+N48</f>
        <v>49907</v>
      </c>
      <c r="O112" s="130">
        <f>O49+O48</f>
        <v>44120</v>
      </c>
      <c r="P112" s="130">
        <f>P49+P48</f>
        <v>45131</v>
      </c>
      <c r="Q112" s="130">
        <f>Q49+Q48</f>
        <v>54165</v>
      </c>
      <c r="T112" s="130">
        <f t="shared" ref="T112:AA112" si="73">T49+T48</f>
        <v>45131</v>
      </c>
      <c r="U112" s="130">
        <f t="shared" si="73"/>
        <v>46797</v>
      </c>
      <c r="V112" s="130">
        <f t="shared" si="73"/>
        <v>48633</v>
      </c>
      <c r="W112" s="130">
        <f t="shared" si="73"/>
        <v>50748</v>
      </c>
      <c r="X112" s="130">
        <f t="shared" si="73"/>
        <v>54165</v>
      </c>
      <c r="Y112" s="130">
        <f t="shared" si="73"/>
        <v>58806</v>
      </c>
      <c r="Z112" s="130">
        <f t="shared" si="73"/>
        <v>72459</v>
      </c>
      <c r="AA112" s="130">
        <f t="shared" si="73"/>
        <v>100724</v>
      </c>
      <c r="AC112" s="130">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3">
        <v>95.57</v>
      </c>
      <c r="U116" s="63">
        <v>97.7</v>
      </c>
      <c r="V116" s="63">
        <v>91.82</v>
      </c>
      <c r="W116" s="63">
        <v>96.55</v>
      </c>
      <c r="X116" s="63">
        <v>122</v>
      </c>
      <c r="Y116" s="63">
        <v>230.26</v>
      </c>
      <c r="Z116" s="63">
        <v>415.56</v>
      </c>
      <c r="AA116" s="63">
        <v>923.52</v>
      </c>
      <c r="AC116" s="63">
        <f ca="1">Overview!C5</f>
        <v>1087.96</v>
      </c>
    </row>
    <row r="117" spans="1:31" x14ac:dyDescent="0.2">
      <c r="B117" s="20" t="s">
        <v>350</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5">
        <f t="shared" ref="T117:AA117" si="74">T116/T85</f>
        <v>95.57</v>
      </c>
      <c r="U117" s="65">
        <f t="shared" si="74"/>
        <v>97.7</v>
      </c>
      <c r="V117" s="65">
        <f t="shared" si="74"/>
        <v>91.82</v>
      </c>
      <c r="W117" s="65">
        <f t="shared" si="74"/>
        <v>96.55</v>
      </c>
      <c r="X117" s="65">
        <f t="shared" si="74"/>
        <v>122</v>
      </c>
      <c r="Y117" s="65">
        <f t="shared" si="74"/>
        <v>230.26</v>
      </c>
      <c r="Z117" s="65">
        <f t="shared" si="74"/>
        <v>415.56</v>
      </c>
      <c r="AA117" s="65">
        <f t="shared" si="74"/>
        <v>923.52</v>
      </c>
      <c r="AC117" s="65">
        <f ca="1">AC116/AC85</f>
        <v>1087.96</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101</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102</v>
      </c>
      <c r="M123" s="76">
        <f t="shared" ref="M123:P123" si="75">M121*M122</f>
        <v>9.9593875851756192E-2</v>
      </c>
      <c r="N123" s="76">
        <f t="shared" si="75"/>
        <v>0.1310592459605027</v>
      </c>
      <c r="O123" s="76">
        <f t="shared" si="75"/>
        <v>-9.0780340523547179E-2</v>
      </c>
      <c r="P123" s="76">
        <f t="shared" si="75"/>
        <v>1.1207790711075256E-2</v>
      </c>
      <c r="Q123" s="76">
        <f>Q121*Q122</f>
        <v>0.1031305103988019</v>
      </c>
      <c r="T123" s="79"/>
      <c r="U123" s="79"/>
      <c r="V123" s="79"/>
      <c r="W123" s="79"/>
      <c r="X123" s="79"/>
      <c r="Y123" s="79"/>
      <c r="Z123" s="79"/>
      <c r="AA123" s="79"/>
      <c r="AC123" s="76">
        <f>AC121*AC122</f>
        <v>0.37631979241231212</v>
      </c>
    </row>
    <row r="124" spans="1:31" x14ac:dyDescent="0.2">
      <c r="B124" s="20" t="s">
        <v>103</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104</v>
      </c>
      <c r="M125" s="76">
        <f t="shared" ref="M125:P125" si="76">M123*M124</f>
        <v>0.13340768898094826</v>
      </c>
      <c r="N125" s="76">
        <f t="shared" si="76"/>
        <v>0.17406375859097922</v>
      </c>
      <c r="O125" s="76">
        <f t="shared" si="76"/>
        <v>-0.13220761559383501</v>
      </c>
      <c r="P125" s="76">
        <f t="shared" si="76"/>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233</v>
      </c>
      <c r="C128" s="175"/>
      <c r="D128" s="175"/>
      <c r="E128" s="175"/>
      <c r="F128" s="175"/>
      <c r="G128" s="175"/>
      <c r="H128" s="175"/>
      <c r="I128" s="175"/>
      <c r="J128" s="175"/>
      <c r="K128" s="175"/>
      <c r="L128" s="175"/>
      <c r="M128" s="175"/>
      <c r="N128" s="175"/>
      <c r="O128" s="175"/>
      <c r="P128" s="175"/>
      <c r="Q128" s="175"/>
      <c r="T128" s="175"/>
      <c r="U128" s="175"/>
      <c r="V128" s="175"/>
      <c r="W128" s="175"/>
      <c r="X128" s="175"/>
      <c r="Y128" s="175"/>
      <c r="Z128" s="175"/>
      <c r="AA128" s="175"/>
      <c r="AC128" s="175"/>
    </row>
    <row r="129" spans="2:29" x14ac:dyDescent="0.2">
      <c r="B129" s="20" t="s">
        <v>234</v>
      </c>
      <c r="C129" s="49"/>
      <c r="D129" s="49"/>
      <c r="E129" s="49"/>
      <c r="F129" s="49"/>
      <c r="G129" s="49"/>
      <c r="H129" s="49"/>
      <c r="I129" s="49"/>
      <c r="J129" s="49"/>
      <c r="K129" s="49"/>
      <c r="L129" s="49"/>
      <c r="M129" s="49"/>
      <c r="N129" s="49"/>
      <c r="O129" s="49"/>
      <c r="P129" s="49"/>
      <c r="Q129" s="49"/>
      <c r="T129" s="21">
        <v>8500</v>
      </c>
      <c r="U129" s="21">
        <v>7700</v>
      </c>
      <c r="V129" s="21">
        <v>8600</v>
      </c>
      <c r="W129" s="21">
        <v>10400</v>
      </c>
      <c r="X129" s="21">
        <v>12200</v>
      </c>
      <c r="Y129" s="21">
        <v>18300</v>
      </c>
      <c r="Z129" s="21">
        <v>32750</v>
      </c>
      <c r="AA129" s="21">
        <v>40000</v>
      </c>
      <c r="AC129" s="49"/>
    </row>
    <row r="130" spans="2:29" x14ac:dyDescent="0.2">
      <c r="B130" s="20" t="s">
        <v>235</v>
      </c>
      <c r="C130" s="49"/>
      <c r="D130" s="49"/>
      <c r="E130" s="49"/>
      <c r="F130" s="49"/>
      <c r="G130" s="49"/>
      <c r="H130" s="49"/>
      <c r="I130" s="49"/>
      <c r="J130" s="49"/>
      <c r="K130" s="49"/>
      <c r="L130" s="49"/>
      <c r="M130" s="49"/>
      <c r="N130" s="49"/>
      <c r="O130" s="49"/>
      <c r="P130" s="49"/>
      <c r="Q130" s="49"/>
      <c r="T130" s="21">
        <v>8900</v>
      </c>
      <c r="U130" s="21">
        <v>8100</v>
      </c>
      <c r="V130" s="21">
        <v>9000</v>
      </c>
      <c r="W130" s="21">
        <v>11000</v>
      </c>
      <c r="X130" s="21">
        <v>12800</v>
      </c>
      <c r="Y130" s="21">
        <v>19100</v>
      </c>
      <c r="Z130" s="21">
        <v>34250</v>
      </c>
      <c r="AA130" s="21">
        <v>60000</v>
      </c>
      <c r="AC130" s="49"/>
    </row>
    <row r="131" spans="2:29" x14ac:dyDescent="0.2">
      <c r="B131" s="20" t="s">
        <v>236</v>
      </c>
      <c r="C131" s="49"/>
      <c r="D131" s="49"/>
      <c r="E131" s="49"/>
      <c r="F131" s="49"/>
      <c r="G131" s="49"/>
      <c r="H131" s="49"/>
      <c r="I131" s="49"/>
      <c r="J131" s="49"/>
      <c r="K131" s="49"/>
      <c r="L131" s="49"/>
      <c r="M131" s="49"/>
      <c r="N131" s="49"/>
      <c r="O131" s="49"/>
      <c r="P131" s="49"/>
      <c r="Q131" s="49"/>
      <c r="T131" s="25">
        <f t="shared" ref="T131:AA131" si="77">U5</f>
        <v>8709</v>
      </c>
      <c r="U131" s="25">
        <f t="shared" si="77"/>
        <v>8053</v>
      </c>
      <c r="V131" s="25">
        <f t="shared" si="77"/>
        <v>9301</v>
      </c>
      <c r="W131" s="25">
        <f t="shared" si="77"/>
        <v>11315</v>
      </c>
      <c r="X131" s="25">
        <f t="shared" si="77"/>
        <v>13643</v>
      </c>
      <c r="Y131" s="25">
        <f t="shared" si="77"/>
        <v>23860</v>
      </c>
      <c r="Z131" s="25">
        <f t="shared" si="77"/>
        <v>41456</v>
      </c>
      <c r="AA131" s="25">
        <f t="shared" si="77"/>
        <v>0</v>
      </c>
      <c r="AC131" s="49"/>
    </row>
    <row r="132" spans="2:29" x14ac:dyDescent="0.2">
      <c r="B132" s="20" t="s">
        <v>186</v>
      </c>
      <c r="C132" s="49"/>
      <c r="D132" s="49"/>
      <c r="E132" s="49"/>
      <c r="F132" s="49"/>
      <c r="G132" s="49"/>
      <c r="H132" s="49"/>
      <c r="I132" s="49"/>
      <c r="J132" s="49"/>
      <c r="K132" s="49"/>
      <c r="L132" s="49"/>
      <c r="M132" s="49"/>
      <c r="N132" s="49"/>
      <c r="O132" s="49"/>
      <c r="P132" s="49"/>
      <c r="Q132" s="49"/>
      <c r="T132" s="229" t="str">
        <f t="shared" ref="T132:Z132" si="78">IF(T131&gt;T130, "BEAT", IF(T131&lt;T129, "MISSED", "MET"))</f>
        <v>MET</v>
      </c>
      <c r="U132" s="229" t="str">
        <f t="shared" si="78"/>
        <v>MET</v>
      </c>
      <c r="V132" s="229" t="str">
        <f t="shared" si="78"/>
        <v>BEAT</v>
      </c>
      <c r="W132" s="229" t="str">
        <f t="shared" si="78"/>
        <v>BEAT</v>
      </c>
      <c r="X132" s="229" t="str">
        <f t="shared" si="78"/>
        <v>BEAT</v>
      </c>
      <c r="Y132" s="229" t="str">
        <f t="shared" si="78"/>
        <v>BEAT</v>
      </c>
      <c r="Z132" s="229" t="str">
        <f t="shared" si="78"/>
        <v>BEAT</v>
      </c>
      <c r="AA132" s="229" t="str">
        <f>IF(AA131&gt;AA130, "BEAT", IF(AA131&lt;AA129, "MISSED", "MET"))</f>
        <v>MISSED</v>
      </c>
      <c r="AC132" s="49"/>
    </row>
    <row r="133" spans="2:29" x14ac:dyDescent="0.2">
      <c r="B133" s="20" t="s">
        <v>391</v>
      </c>
      <c r="C133" s="49"/>
      <c r="D133" s="49"/>
      <c r="E133" s="49"/>
      <c r="F133" s="49"/>
      <c r="G133" s="49"/>
      <c r="H133" s="49"/>
      <c r="I133" s="49"/>
      <c r="J133" s="49"/>
      <c r="K133" s="49"/>
      <c r="L133" s="49"/>
      <c r="M133" s="49"/>
      <c r="N133" s="49"/>
      <c r="O133" s="49"/>
      <c r="P133" s="49"/>
      <c r="Q133" s="49"/>
      <c r="T133" s="63">
        <v>1.66</v>
      </c>
      <c r="U133" s="63">
        <v>1.33</v>
      </c>
      <c r="V133" s="63">
        <v>1.47</v>
      </c>
      <c r="W133" s="63">
        <v>2.35</v>
      </c>
      <c r="X133" s="63">
        <v>3.6</v>
      </c>
      <c r="Y133" s="63">
        <v>8.2200000000000006</v>
      </c>
      <c r="Z133" s="63">
        <v>18.75</v>
      </c>
      <c r="AA133" s="63">
        <v>30</v>
      </c>
      <c r="AC133" s="49"/>
    </row>
    <row r="134" spans="2:29" x14ac:dyDescent="0.2">
      <c r="B134" s="20" t="s">
        <v>392</v>
      </c>
      <c r="C134" s="49"/>
      <c r="D134" s="49"/>
      <c r="E134" s="49"/>
      <c r="F134" s="49"/>
      <c r="G134" s="49"/>
      <c r="H134" s="49"/>
      <c r="I134" s="49"/>
      <c r="J134" s="49"/>
      <c r="K134" s="49"/>
      <c r="L134" s="49"/>
      <c r="M134" s="49"/>
      <c r="N134" s="49"/>
      <c r="O134" s="49"/>
      <c r="P134" s="49"/>
      <c r="Q134" s="49"/>
      <c r="T134" s="63">
        <v>1.82</v>
      </c>
      <c r="U134" s="63">
        <v>1.53</v>
      </c>
      <c r="V134" s="63">
        <v>1.67</v>
      </c>
      <c r="W134" s="63">
        <v>2.65</v>
      </c>
      <c r="X134" s="63">
        <v>4</v>
      </c>
      <c r="Y134" s="63">
        <v>8.6199999999999992</v>
      </c>
      <c r="Z134" s="63">
        <v>19.55</v>
      </c>
      <c r="AA134" s="63">
        <v>32</v>
      </c>
      <c r="AC134" s="49"/>
    </row>
    <row r="135" spans="2:29" x14ac:dyDescent="0.2">
      <c r="B135" s="20" t="s">
        <v>393</v>
      </c>
      <c r="C135" s="49"/>
      <c r="D135" s="49"/>
      <c r="E135" s="49"/>
      <c r="F135" s="49"/>
      <c r="G135" s="49"/>
      <c r="H135" s="49"/>
      <c r="I135" s="49"/>
      <c r="J135" s="49"/>
      <c r="K135" s="49"/>
      <c r="L135" s="49"/>
      <c r="M135" s="49"/>
      <c r="N135" s="49"/>
      <c r="O135" s="49"/>
      <c r="P135" s="49"/>
      <c r="Q135" s="49"/>
      <c r="T135" s="65">
        <f>U26</f>
        <v>1.67</v>
      </c>
      <c r="U135" s="65">
        <f>V26</f>
        <v>1.41</v>
      </c>
      <c r="V135" s="65">
        <f t="shared" ref="V135:AA135" si="79">W26</f>
        <v>1.68</v>
      </c>
      <c r="W135" s="65">
        <f t="shared" si="79"/>
        <v>2.83</v>
      </c>
      <c r="X135" s="65">
        <f t="shared" si="79"/>
        <v>4.5999999999999996</v>
      </c>
      <c r="Y135" s="65">
        <f t="shared" si="79"/>
        <v>12.07</v>
      </c>
      <c r="Z135" s="65">
        <f t="shared" si="79"/>
        <v>24.67</v>
      </c>
      <c r="AA135" s="65">
        <f t="shared" si="79"/>
        <v>0</v>
      </c>
      <c r="AC135" s="49"/>
    </row>
    <row r="136" spans="2:29" x14ac:dyDescent="0.2">
      <c r="B136" s="20" t="s">
        <v>186</v>
      </c>
      <c r="C136" s="49"/>
      <c r="D136" s="49"/>
      <c r="E136" s="49"/>
      <c r="F136" s="49"/>
      <c r="G136" s="49"/>
      <c r="H136" s="49"/>
      <c r="I136" s="49"/>
      <c r="J136" s="49"/>
      <c r="K136" s="49"/>
      <c r="L136" s="49"/>
      <c r="M136" s="49"/>
      <c r="N136" s="49"/>
      <c r="O136" s="49"/>
      <c r="P136" s="49"/>
      <c r="Q136" s="49"/>
      <c r="T136" s="229" t="str">
        <f t="shared" ref="T136:Z136" si="80">IF(T135&gt;T134, "BEAT", IF(T135&lt;T133, "MISSED", "MET"))</f>
        <v>MET</v>
      </c>
      <c r="U136" s="229" t="str">
        <f t="shared" si="80"/>
        <v>MET</v>
      </c>
      <c r="V136" s="229" t="str">
        <f t="shared" si="80"/>
        <v>BEAT</v>
      </c>
      <c r="W136" s="229" t="str">
        <f t="shared" si="80"/>
        <v>BEAT</v>
      </c>
      <c r="X136" s="229" t="str">
        <f t="shared" si="80"/>
        <v>BEAT</v>
      </c>
      <c r="Y136" s="229" t="str">
        <f t="shared" si="80"/>
        <v>BEAT</v>
      </c>
      <c r="Z136" s="229" t="str">
        <f t="shared" si="80"/>
        <v>BEAT</v>
      </c>
      <c r="AA136" s="229" t="str">
        <f>IF(AA135&gt;AA134, "BEAT", IF(AA135&lt;AA133, "MISSED", "MET"))</f>
        <v>MISSED</v>
      </c>
      <c r="AC136" s="49"/>
    </row>
    <row r="138" spans="2:29" x14ac:dyDescent="0.2">
      <c r="B138" s="1"/>
    </row>
    <row r="139" spans="2:29" ht="17" thickBot="1" x14ac:dyDescent="0.25">
      <c r="B139" s="14" t="s">
        <v>253</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105</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139</v>
      </c>
      <c r="M141" s="122">
        <f t="shared" ref="M141:Q142" si="81">M30/M5*365</f>
        <v>69.969861035914093</v>
      </c>
      <c r="N141" s="122">
        <f t="shared" si="81"/>
        <v>60.876845048442682</v>
      </c>
      <c r="O141" s="122">
        <f t="shared" si="81"/>
        <v>57.380630630630634</v>
      </c>
      <c r="P141" s="122">
        <f t="shared" si="81"/>
        <v>96.152084743737802</v>
      </c>
      <c r="Q141" s="122">
        <f t="shared" si="81"/>
        <v>90.473674353898005</v>
      </c>
      <c r="T141" s="122">
        <f t="shared" ref="T141:AA141" si="82">T30/T5*90</f>
        <v>76.819354838709671</v>
      </c>
      <c r="U141" s="122">
        <f t="shared" si="82"/>
        <v>76.710299689975884</v>
      </c>
      <c r="V141" s="122">
        <f t="shared" si="82"/>
        <v>72.688439091021976</v>
      </c>
      <c r="W141" s="122">
        <f t="shared" si="82"/>
        <v>71.953553381356841</v>
      </c>
      <c r="X141" s="122">
        <f t="shared" si="82"/>
        <v>73.694211224038895</v>
      </c>
      <c r="Y141" s="122">
        <f t="shared" si="82"/>
        <v>67.181704903613578</v>
      </c>
      <c r="Z141" s="122">
        <f t="shared" si="82"/>
        <v>65.30846605196983</v>
      </c>
      <c r="AA141" s="122">
        <f t="shared" si="82"/>
        <v>67.354544577383251</v>
      </c>
      <c r="AC141" s="122">
        <f>AC30/AC5*365</f>
        <v>125.44171079159004</v>
      </c>
    </row>
    <row r="142" spans="2:29" x14ac:dyDescent="0.2">
      <c r="B142" s="20" t="s">
        <v>140</v>
      </c>
      <c r="M142" s="122">
        <f t="shared" si="81"/>
        <v>94.766520078694597</v>
      </c>
      <c r="N142" s="122">
        <f t="shared" si="81"/>
        <v>144.24644128113877</v>
      </c>
      <c r="O142" s="122">
        <f t="shared" si="81"/>
        <v>180.5411063930172</v>
      </c>
      <c r="P142" s="122">
        <f t="shared" si="81"/>
        <v>166.13883475228226</v>
      </c>
      <c r="Q142" s="122">
        <f t="shared" si="81"/>
        <v>135.5065540990891</v>
      </c>
      <c r="T142" s="122">
        <f t="shared" ref="T142:AA142" si="83">T31/T6*365</f>
        <v>646.19489327747863</v>
      </c>
      <c r="U142" s="122">
        <f t="shared" si="83"/>
        <v>592.67394142883791</v>
      </c>
      <c r="V142" s="122">
        <f t="shared" si="83"/>
        <v>645.88506876227905</v>
      </c>
      <c r="W142" s="122">
        <f t="shared" si="83"/>
        <v>549.86276540652511</v>
      </c>
      <c r="X142" s="122">
        <f t="shared" si="83"/>
        <v>487.07474844274077</v>
      </c>
      <c r="Y142" s="122">
        <f t="shared" si="83"/>
        <v>499.38719359679845</v>
      </c>
      <c r="Z142" s="122">
        <f t="shared" si="83"/>
        <v>494.25962325962325</v>
      </c>
      <c r="AA142" s="122">
        <f t="shared" si="83"/>
        <v>488.58671874999999</v>
      </c>
      <c r="AC142" s="122">
        <f>AC31/AC6*365</f>
        <v>126.27528974679967</v>
      </c>
    </row>
    <row r="143" spans="2:29" x14ac:dyDescent="0.2">
      <c r="B143" s="20" t="s">
        <v>141</v>
      </c>
      <c r="M143" s="122">
        <f>M38/M6*365</f>
        <v>112.46528179608841</v>
      </c>
      <c r="N143" s="122">
        <f>N38/N6*365</f>
        <v>131.84163701067615</v>
      </c>
      <c r="O143" s="122">
        <f>O38/O6*365</f>
        <v>85.201108752064172</v>
      </c>
      <c r="P143" s="122">
        <f>P38/P6*365</f>
        <v>136.63632167401784</v>
      </c>
      <c r="Q143" s="122">
        <f>Q38/Q6*365</f>
        <v>156.4934459009109</v>
      </c>
      <c r="T143" s="122">
        <f t="shared" ref="T143:AA143" si="84">T38/T6*90</f>
        <v>131.04129263913825</v>
      </c>
      <c r="U143" s="122">
        <f t="shared" si="84"/>
        <v>119.63066592053723</v>
      </c>
      <c r="V143" s="122">
        <f t="shared" si="84"/>
        <v>109.20235756385068</v>
      </c>
      <c r="W143" s="122">
        <f t="shared" si="84"/>
        <v>136.11082340756084</v>
      </c>
      <c r="X143" s="122">
        <f t="shared" si="84"/>
        <v>138.70148538572113</v>
      </c>
      <c r="Y143" s="122">
        <f t="shared" si="84"/>
        <v>146.60830415207604</v>
      </c>
      <c r="Z143" s="122">
        <f t="shared" si="84"/>
        <v>162.11793611793613</v>
      </c>
      <c r="AA143" s="122">
        <f t="shared" si="84"/>
        <v>218.26406250000002</v>
      </c>
      <c r="AC143" s="122">
        <f>AC38/AC6*365</f>
        <v>228.77539070387272</v>
      </c>
    </row>
    <row r="144" spans="2:29" x14ac:dyDescent="0.2">
      <c r="B144" s="20" t="s">
        <v>142</v>
      </c>
      <c r="M144" s="122">
        <f>M141+M142-M143</f>
        <v>52.271099318520285</v>
      </c>
      <c r="N144" s="122">
        <f t="shared" ref="N144:Q144" si="85">N141+N142-N143</f>
        <v>73.281649318905295</v>
      </c>
      <c r="O144" s="122">
        <f t="shared" si="85"/>
        <v>152.72062827158368</v>
      </c>
      <c r="P144" s="122">
        <f t="shared" si="85"/>
        <v>125.65459782200224</v>
      </c>
      <c r="Q144" s="122">
        <f t="shared" si="85"/>
        <v>69.486782552076193</v>
      </c>
      <c r="T144" s="122">
        <f t="shared" ref="T144" si="86">T141+T142-T143</f>
        <v>591.97295547705016</v>
      </c>
      <c r="U144" s="122">
        <f t="shared" ref="U144" si="87">U141+U142-U143</f>
        <v>549.75357519827651</v>
      </c>
      <c r="V144" s="122">
        <f t="shared" ref="V144" si="88">V141+V142-V143</f>
        <v>609.37115028945038</v>
      </c>
      <c r="W144" s="122">
        <f t="shared" ref="W144" si="89">W141+W142-W143</f>
        <v>485.70549538032117</v>
      </c>
      <c r="X144" s="122">
        <f t="shared" ref="X144" si="90">X141+X142-X143</f>
        <v>422.06747428105854</v>
      </c>
      <c r="Y144" s="122">
        <f t="shared" ref="Y144" si="91">Y141+Y142-Y143</f>
        <v>419.96059434833603</v>
      </c>
      <c r="Z144" s="122">
        <f t="shared" ref="Z144:AA144" si="92">Z141+Z142-Z143</f>
        <v>397.450153193657</v>
      </c>
      <c r="AA144" s="122">
        <f t="shared" si="92"/>
        <v>337.67720082738322</v>
      </c>
      <c r="AC144" s="122">
        <f t="shared" ref="AC144" si="93">AC141+AC142-AC143</f>
        <v>22.941609834516981</v>
      </c>
    </row>
    <row r="145" spans="2:29" x14ac:dyDescent="0.2">
      <c r="B145" s="20" t="s">
        <v>256</v>
      </c>
      <c r="M145" s="122">
        <f>M108/M49</f>
        <v>0.15423485762410943</v>
      </c>
      <c r="N145" s="122">
        <f>N108/N49</f>
        <v>0.13837738193039054</v>
      </c>
      <c r="O145" s="122">
        <f>O108/O49</f>
        <v>0.30213055303717135</v>
      </c>
      <c r="P145" s="122">
        <f>P108/P49</f>
        <v>0.29684695663734462</v>
      </c>
      <c r="Q145" s="122">
        <f>Q108/Q49</f>
        <v>0.26912212683467185</v>
      </c>
      <c r="T145" s="122">
        <f t="shared" ref="T145:AA145" si="94">T108/T49</f>
        <v>0.29684695663734462</v>
      </c>
      <c r="U145" s="122">
        <f t="shared" si="94"/>
        <v>0.29457016475415093</v>
      </c>
      <c r="V145" s="122">
        <f t="shared" si="94"/>
        <v>0.29516994633273702</v>
      </c>
      <c r="W145" s="122">
        <f t="shared" si="94"/>
        <v>0.30623866950421691</v>
      </c>
      <c r="X145" s="122">
        <f t="shared" si="94"/>
        <v>0.26912212683467185</v>
      </c>
      <c r="Y145" s="122">
        <f t="shared" si="94"/>
        <v>0.19991157364894738</v>
      </c>
      <c r="Z145" s="122">
        <f t="shared" si="94"/>
        <v>0.13996880994769456</v>
      </c>
      <c r="AA145" s="122">
        <f t="shared" si="94"/>
        <v>5.6808704975973949E-2</v>
      </c>
      <c r="AC145" s="122">
        <f>AC108/AC49</f>
        <v>5.6808704975973949E-2</v>
      </c>
    </row>
    <row r="146" spans="2:29" x14ac:dyDescent="0.2">
      <c r="B146" s="20" t="s">
        <v>260</v>
      </c>
      <c r="M146" s="183">
        <f>(M108-M107)/M49</f>
        <v>-8.2443721120797578E-2</v>
      </c>
      <c r="N146" s="183">
        <f>(N108-N107)/N49</f>
        <v>-8.1591760674855227E-2</v>
      </c>
      <c r="O146" s="183">
        <f>(O108-O107)/O49</f>
        <v>6.554850407978241E-2</v>
      </c>
      <c r="P146" s="183">
        <f>(P108-P107)/P49</f>
        <v>9.4059515632270496E-2</v>
      </c>
      <c r="Q146" s="183">
        <f>(Q108-Q107)/Q49</f>
        <v>4.8758423336102648E-2</v>
      </c>
      <c r="T146" s="183">
        <f t="shared" ref="T146:AA146" si="95">(T108-T107)/T49</f>
        <v>9.4059515632270496E-2</v>
      </c>
      <c r="U146" s="183">
        <f t="shared" si="95"/>
        <v>0.10772058037908414</v>
      </c>
      <c r="V146" s="183">
        <f t="shared" si="95"/>
        <v>9.7978738716509362E-2</v>
      </c>
      <c r="W146" s="183">
        <f t="shared" si="95"/>
        <v>6.5578939071490497E-2</v>
      </c>
      <c r="X146" s="183">
        <f t="shared" si="95"/>
        <v>4.8758423336102648E-2</v>
      </c>
      <c r="Y146" s="183">
        <f t="shared" si="95"/>
        <v>-4.4043124851205658E-3</v>
      </c>
      <c r="Z146" s="183">
        <f t="shared" si="95"/>
        <v>-8.9498889026897968E-2</v>
      </c>
      <c r="AA146" s="183">
        <f t="shared" si="95"/>
        <v>-0.24230570668361065</v>
      </c>
      <c r="AC146" s="183">
        <f>(AC108-AC107)/AC49</f>
        <v>-0.24230570668361065</v>
      </c>
    </row>
    <row r="147" spans="2:29" x14ac:dyDescent="0.2">
      <c r="B147" s="20" t="s">
        <v>257</v>
      </c>
      <c r="M147" s="122">
        <f>(M107+M30)/M40</f>
        <v>2.4453611457036115</v>
      </c>
      <c r="N147" s="122">
        <f>(N107+N30)/N40</f>
        <v>2.1366228942830614</v>
      </c>
      <c r="O147" s="122">
        <f>(O107+O30)/O40</f>
        <v>2.7032528856243441</v>
      </c>
      <c r="P147" s="122">
        <f>(P107+P30)/P40</f>
        <v>1.704909169550173</v>
      </c>
      <c r="Q147" s="122">
        <f>(Q107+Q30)/Q40</f>
        <v>1.8509690937663699</v>
      </c>
      <c r="T147" s="122">
        <f t="shared" ref="T147:AA147" si="96">(T107+T30)/T40</f>
        <v>1.704909169550173</v>
      </c>
      <c r="U147" s="122">
        <f t="shared" si="96"/>
        <v>1.7933444259567388</v>
      </c>
      <c r="V147" s="122">
        <f t="shared" si="96"/>
        <v>2.0431636409800684</v>
      </c>
      <c r="W147" s="122">
        <f t="shared" si="96"/>
        <v>1.9387271830291071</v>
      </c>
      <c r="X147" s="122">
        <f t="shared" si="96"/>
        <v>1.8509690937663699</v>
      </c>
      <c r="Y147" s="122">
        <f t="shared" si="96"/>
        <v>1.8407131011608624</v>
      </c>
      <c r="Z147" s="122">
        <f t="shared" si="96"/>
        <v>2.3741606043648571</v>
      </c>
      <c r="AA147" s="122">
        <f t="shared" si="96"/>
        <v>3.1379823481116587</v>
      </c>
      <c r="AC147" s="122">
        <f>(AC107+AC30)/AC40</f>
        <v>3.1379823481116587</v>
      </c>
    </row>
    <row r="148" spans="2:29" x14ac:dyDescent="0.2">
      <c r="B148" s="20" t="s">
        <v>258</v>
      </c>
      <c r="M148" s="122">
        <f>M32/M40</f>
        <v>3.0988480697384806</v>
      </c>
      <c r="N148" s="122">
        <f>N32/N40</f>
        <v>2.88910996153336</v>
      </c>
      <c r="O148" s="122">
        <f>O32/O40</f>
        <v>4.4583420776495277</v>
      </c>
      <c r="P148" s="122">
        <f>P32/P40</f>
        <v>2.6353806228373702</v>
      </c>
      <c r="Q148" s="122">
        <f>Q32/Q40</f>
        <v>2.5179849834119086</v>
      </c>
      <c r="T148" s="122">
        <f t="shared" ref="T148:AA148" si="97">T32/T40</f>
        <v>2.6353806228373702</v>
      </c>
      <c r="U148" s="122">
        <f t="shared" si="97"/>
        <v>2.7169162506932891</v>
      </c>
      <c r="V148" s="122">
        <f t="shared" si="97"/>
        <v>3.1343150945791547</v>
      </c>
      <c r="W148" s="122">
        <f t="shared" si="97"/>
        <v>2.7547113961519485</v>
      </c>
      <c r="X148" s="122">
        <f t="shared" si="97"/>
        <v>2.5179849834119086</v>
      </c>
      <c r="Y148" s="122">
        <f t="shared" si="97"/>
        <v>2.4597844112769485</v>
      </c>
      <c r="Z148" s="122">
        <f t="shared" si="97"/>
        <v>2.8968242865137102</v>
      </c>
      <c r="AA148" s="122">
        <f t="shared" si="97"/>
        <v>3.4245176518883413</v>
      </c>
      <c r="AC148" s="122">
        <f>AC32/AC40</f>
        <v>3.4245176518883413</v>
      </c>
    </row>
    <row r="149" spans="2:29" x14ac:dyDescent="0.2">
      <c r="B149" s="20" t="s">
        <v>264</v>
      </c>
      <c r="M149" s="185">
        <f>IF(M13&gt;=0,"N/A",IF(M12&lt;=0,"N/A",M12/-M13))</f>
        <v>43.034246575342465</v>
      </c>
      <c r="N149" s="185">
        <f>IF(N13&gt;=0,"N/A",IF(N12&lt;=0,"N/A",N12/-N13))</f>
        <v>104.3225806451613</v>
      </c>
      <c r="O149" s="185" t="str">
        <f>IF(O13&gt;=0,"N/A",IF(O12&lt;=0,"N/A",O12/-O13))</f>
        <v>N/A</v>
      </c>
      <c r="P149" s="185">
        <f>IF(P13&gt;=0,"N/A",IF(P12&lt;=0,"N/A",P12/-P13))</f>
        <v>39.515151515151516</v>
      </c>
      <c r="Q149" s="185" t="str">
        <f>IF(Q13&gt;=0,"N/A",IF(Q12&lt;=0,"N/A",Q12/-Q13))</f>
        <v>N/A</v>
      </c>
      <c r="T149" s="185">
        <f t="shared" ref="T149:AA149" si="98">IF(T13&gt;=0,"N/A",IF(T12&lt;=0,"N/A",T12/-T13))</f>
        <v>304.39999999999998</v>
      </c>
      <c r="U149" s="185">
        <f t="shared" si="98"/>
        <v>197.63636363636363</v>
      </c>
      <c r="V149" s="185">
        <f t="shared" si="98"/>
        <v>443.25</v>
      </c>
      <c r="W149" s="185" t="str">
        <f t="shared" si="98"/>
        <v>N/A</v>
      </c>
      <c r="X149" s="185" t="str">
        <f t="shared" si="98"/>
        <v>N/A</v>
      </c>
      <c r="Y149" s="185" t="str">
        <f t="shared" si="98"/>
        <v>N/A</v>
      </c>
      <c r="Z149" s="185" t="str">
        <f t="shared" si="98"/>
        <v>N/A</v>
      </c>
      <c r="AA149" s="185" t="str">
        <f t="shared" si="98"/>
        <v>N/A</v>
      </c>
      <c r="AC149" s="185" t="str">
        <f>IF(AC13&gt;=0,"N/A",IF(AC12&lt;=0,"N/A",AC12/-AC13))</f>
        <v>N/A</v>
      </c>
    </row>
    <row r="150" spans="2:29" x14ac:dyDescent="0.2">
      <c r="B150" s="20" t="s">
        <v>242</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24.63119764546072</v>
      </c>
    </row>
    <row r="151" spans="2:29" x14ac:dyDescent="0.2">
      <c r="B151" s="20" t="s">
        <v>201</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13.726947293794449</v>
      </c>
    </row>
    <row r="152" spans="2:29" x14ac:dyDescent="0.2">
      <c r="B152" s="20" t="s">
        <v>243</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72">
        <f>T117/(Statement!T49/Statement!T75)</f>
        <v>2.3484330061376881</v>
      </c>
      <c r="U152" s="72">
        <f>U117/(Statement!U49/Statement!U75)</f>
        <v>2.3257431031903755</v>
      </c>
      <c r="V152" s="72">
        <f>V117/(Statement!V49/Statement!V75)</f>
        <v>2.1108045977011494</v>
      </c>
      <c r="W152" s="72">
        <f>W117/(Statement!W49/Statement!W75)</f>
        <v>2.1289400567510048</v>
      </c>
      <c r="X152" s="72">
        <f>X117/(Statement!X49/Statement!X75)</f>
        <v>2.5271669897535309</v>
      </c>
      <c r="Y152" s="72">
        <f>Y117/(Statement!Y49/Statement!Y75)</f>
        <v>4.408950787334625</v>
      </c>
      <c r="Z152" s="72">
        <f>Z117/(Statement!Z49/Statement!Z75)</f>
        <v>6.4691988572848098</v>
      </c>
      <c r="AA152" s="72">
        <f>AA117/(Statement!AA49/Statement!AA75)</f>
        <v>10.351595250387197</v>
      </c>
      <c r="AC152" s="72">
        <f ca="1">AC117/(Statement!AC49/Statement!AC75)</f>
        <v>12.19477820579008</v>
      </c>
    </row>
    <row r="153" spans="2:29" x14ac:dyDescent="0.2">
      <c r="B153" s="20" t="s">
        <v>244</v>
      </c>
      <c r="M153" s="147">
        <f>Statement!M117*Statement!M78</f>
        <v>94984.799999999988</v>
      </c>
      <c r="N153" s="147">
        <f>Statement!N117*Statement!N78</f>
        <v>62869.07</v>
      </c>
      <c r="O153" s="147">
        <f>Statement!O117*Statement!O78</f>
        <v>74762.820000000007</v>
      </c>
      <c r="P153" s="147">
        <f>Statement!P117*Statement!P78</f>
        <v>107229.54</v>
      </c>
      <c r="Q153" s="147">
        <f>Statement!Q117*Statement!Q78</f>
        <v>137982</v>
      </c>
      <c r="T153" s="147">
        <f>Statement!T117*Statement!T78</f>
        <v>107229.54</v>
      </c>
      <c r="U153" s="147">
        <f>Statement!U117*Statement!U78</f>
        <v>109912.5</v>
      </c>
      <c r="V153" s="147">
        <f>Statement!V117*Statement!V78</f>
        <v>103389.31999999999</v>
      </c>
      <c r="W153" s="147">
        <f>Statement!W117*Statement!W78</f>
        <v>108715.3</v>
      </c>
      <c r="X153" s="147">
        <f>Statement!X117*Statement!X78</f>
        <v>137982</v>
      </c>
      <c r="Y153" s="147">
        <f>Statement!Y117*Statement!Y78</f>
        <v>262266.14</v>
      </c>
      <c r="Z153" s="147">
        <f>Statement!Z117*Statement!Z78</f>
        <v>475400.64</v>
      </c>
      <c r="AA153" s="147">
        <f>Statement!AA117*Statement!AA78</f>
        <v>1058353.92</v>
      </c>
      <c r="AC153" s="147">
        <f ca="1">Statement!AC117*Statement!AC78</f>
        <v>1246802.1600000001</v>
      </c>
    </row>
    <row r="154" spans="2:29" x14ac:dyDescent="0.2">
      <c r="B154" s="20" t="s">
        <v>188</v>
      </c>
      <c r="M154" s="147">
        <f>M153+M108-M107+M48+M45</f>
        <v>91362.799999999988</v>
      </c>
      <c r="N154" s="147">
        <f>N153+N108-N107+N48+N45</f>
        <v>58797.070000000007</v>
      </c>
      <c r="O154" s="147">
        <f>O153+O108-O107+O48+O45</f>
        <v>77654.820000000007</v>
      </c>
      <c r="P154" s="147">
        <f>P153+P108-P107+P48+P45</f>
        <v>111474.54</v>
      </c>
      <c r="Q154" s="147">
        <f>Q153+Q108-Q107+Q48+Q45</f>
        <v>140623</v>
      </c>
      <c r="T154" s="147">
        <f t="shared" ref="T154:AA154" si="99">T153+T108-T107+T48+T45</f>
        <v>111474.54</v>
      </c>
      <c r="U154" s="147">
        <f t="shared" si="99"/>
        <v>114953.5</v>
      </c>
      <c r="V154" s="147">
        <f t="shared" si="99"/>
        <v>108154.31999999999</v>
      </c>
      <c r="W154" s="147">
        <f t="shared" si="99"/>
        <v>112043.3</v>
      </c>
      <c r="X154" s="147">
        <f t="shared" si="99"/>
        <v>140623</v>
      </c>
      <c r="Y154" s="147">
        <f t="shared" si="99"/>
        <v>262007.14</v>
      </c>
      <c r="Z154" s="147">
        <f t="shared" si="99"/>
        <v>468915.64</v>
      </c>
      <c r="AA154" s="147">
        <f t="shared" si="99"/>
        <v>1033947.9199999999</v>
      </c>
      <c r="AC154" s="147">
        <f ca="1">AC153+AC108-AC107+AC48+AC45</f>
        <v>1222396.1600000001</v>
      </c>
    </row>
    <row r="155" spans="2:29" x14ac:dyDescent="0.2">
      <c r="B155" s="20" t="s">
        <v>265</v>
      </c>
      <c r="M155" s="187">
        <f>M154/M5</f>
        <v>3.2977007760332064</v>
      </c>
      <c r="N155" s="187">
        <f>N154/N5</f>
        <v>1.9116025099161196</v>
      </c>
      <c r="O155" s="187">
        <f>O154/O5</f>
        <v>4.9970926640926647</v>
      </c>
      <c r="P155" s="187">
        <f>P154/P5</f>
        <v>4.4392712357134325</v>
      </c>
      <c r="Q155" s="187">
        <f>Q154/Q5</f>
        <v>3.7621863128043236</v>
      </c>
      <c r="T155" s="49"/>
      <c r="U155" s="49"/>
      <c r="V155" s="49"/>
      <c r="W155" s="49"/>
      <c r="X155" s="49"/>
      <c r="Y155" s="49"/>
      <c r="Z155" s="49"/>
      <c r="AA155" s="49"/>
      <c r="AC155" s="187">
        <f ca="1">AC154/AC5</f>
        <v>13.5409548707269</v>
      </c>
    </row>
    <row r="156" spans="2:29" x14ac:dyDescent="0.2">
      <c r="B156" s="20" t="s">
        <v>204</v>
      </c>
      <c r="M156" s="187">
        <f>M154/M12</f>
        <v>14.541270093904185</v>
      </c>
      <c r="N156" s="187">
        <f>N154/N12</f>
        <v>6.0603040610183472</v>
      </c>
      <c r="O156" s="187">
        <f>O154/O12</f>
        <v>-13.51693994778068</v>
      </c>
      <c r="P156" s="187">
        <f>P154/P12</f>
        <v>85.48661042944785</v>
      </c>
      <c r="Q156" s="187">
        <f>Q154/Q12</f>
        <v>14.393346980552712</v>
      </c>
      <c r="T156" s="49"/>
      <c r="U156" s="49"/>
      <c r="V156" s="49"/>
      <c r="W156" s="49"/>
      <c r="X156" s="49"/>
      <c r="Y156" s="49"/>
      <c r="Z156" s="49"/>
      <c r="AA156" s="49"/>
      <c r="AC156" s="187">
        <f ca="1">AC154/AC12</f>
        <v>20.633596543051503</v>
      </c>
    </row>
    <row r="157" spans="2:29" x14ac:dyDescent="0.2">
      <c r="B157" s="20" t="s">
        <v>266</v>
      </c>
      <c r="M157" s="64">
        <f>M59-M54+M110+M65</f>
        <v>2060</v>
      </c>
      <c r="N157" s="64">
        <f>N59-N54+N110+N65</f>
        <v>2600</v>
      </c>
      <c r="O157" s="64">
        <f>O59-O54+O110+O65</f>
        <v>-6713</v>
      </c>
      <c r="P157" s="64">
        <f>P59-P54+P110+P65</f>
        <v>-712</v>
      </c>
      <c r="Q157" s="64">
        <f>Q59-Q54+Q110+Q65</f>
        <v>696</v>
      </c>
      <c r="T157" s="64">
        <f t="shared" ref="T157:AA157" si="100">T59-T54+T110+T65</f>
        <v>0</v>
      </c>
      <c r="U157" s="64">
        <f t="shared" si="100"/>
        <v>-182</v>
      </c>
      <c r="V157" s="64">
        <f t="shared" si="100"/>
        <v>-362</v>
      </c>
      <c r="W157" s="64">
        <f t="shared" si="100"/>
        <v>1418</v>
      </c>
      <c r="X157" s="64">
        <f t="shared" si="100"/>
        <v>-178</v>
      </c>
      <c r="Y157" s="64">
        <f t="shared" si="100"/>
        <v>2732</v>
      </c>
      <c r="Z157" s="64">
        <f t="shared" si="100"/>
        <v>5207</v>
      </c>
      <c r="AA157" s="64">
        <f t="shared" si="100"/>
        <v>17207</v>
      </c>
      <c r="AC157" s="64">
        <f>AC59-AC54+AC110+AC65</f>
        <v>24968</v>
      </c>
    </row>
    <row r="158" spans="2:29" x14ac:dyDescent="0.2">
      <c r="B158" s="20" t="s">
        <v>267</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268</v>
      </c>
      <c r="M159" s="72">
        <f>M153/M157</f>
        <v>46.109126213592226</v>
      </c>
      <c r="N159" s="72">
        <f t="shared" ref="N159:Q159" si="101">N153/N157</f>
        <v>24.180411538461538</v>
      </c>
      <c r="O159" s="72">
        <f t="shared" si="101"/>
        <v>-11.137020706092658</v>
      </c>
      <c r="P159" s="72">
        <f t="shared" si="101"/>
        <v>-150.60328651685393</v>
      </c>
      <c r="Q159" s="72">
        <f t="shared" si="101"/>
        <v>198.25</v>
      </c>
      <c r="T159" s="49"/>
      <c r="U159" s="49"/>
      <c r="V159" s="49"/>
      <c r="W159" s="49"/>
      <c r="X159" s="49"/>
      <c r="Y159" s="49"/>
      <c r="Z159" s="49"/>
      <c r="AA159" s="49"/>
      <c r="AC159" s="72">
        <f t="shared" ref="AC159:AC160" ca="1" si="102">AC153/AC157</f>
        <v>49.936004485741755</v>
      </c>
    </row>
    <row r="160" spans="2:29" x14ac:dyDescent="0.2">
      <c r="B160" s="20" t="s">
        <v>269</v>
      </c>
      <c r="M160" s="72">
        <f>M154/M158</f>
        <v>53.778212366868843</v>
      </c>
      <c r="N160" s="72">
        <f t="shared" ref="N160:Q160" si="103">N154/N158</f>
        <v>22.563526344447098</v>
      </c>
      <c r="O160" s="72">
        <f t="shared" si="103"/>
        <v>-9.0750052588524017</v>
      </c>
      <c r="P160" s="72">
        <f t="shared" si="103"/>
        <v>-168.8298535317509</v>
      </c>
      <c r="Q160" s="72">
        <f t="shared" si="103"/>
        <v>178.11781476710598</v>
      </c>
      <c r="T160" s="49"/>
      <c r="U160" s="49"/>
      <c r="V160" s="49"/>
      <c r="W160" s="49"/>
      <c r="X160" s="49"/>
      <c r="Y160" s="49"/>
      <c r="Z160" s="49"/>
      <c r="AA160" s="49"/>
      <c r="AC160" s="72">
        <f t="shared" ca="1" si="102"/>
        <v>49.433853751364204</v>
      </c>
    </row>
    <row r="161" spans="2:29" x14ac:dyDescent="0.2">
      <c r="B161" s="20" t="s">
        <v>270</v>
      </c>
      <c r="M161" s="74">
        <f>M157/M153</f>
        <v>2.1687680555204626E-2</v>
      </c>
      <c r="N161" s="74">
        <f t="shared" ref="N161:Q161" si="104">N157/N153</f>
        <v>4.1355789102654132E-2</v>
      </c>
      <c r="O161" s="74">
        <f t="shared" si="104"/>
        <v>-8.9790620525014964E-2</v>
      </c>
      <c r="P161" s="74">
        <f t="shared" si="104"/>
        <v>-6.6399613390116198E-3</v>
      </c>
      <c r="Q161" s="74">
        <f t="shared" si="104"/>
        <v>5.0441361916771753E-3</v>
      </c>
      <c r="T161" s="49"/>
      <c r="U161" s="49"/>
      <c r="V161" s="49"/>
      <c r="W161" s="49"/>
      <c r="X161" s="49"/>
      <c r="Y161" s="49"/>
      <c r="Z161" s="49"/>
      <c r="AA161" s="49"/>
      <c r="AC161" s="74">
        <f t="shared" ref="AC161" ca="1" si="105">AC157/AC153</f>
        <v>2.002563101109802E-2</v>
      </c>
    </row>
    <row r="162" spans="2:29" x14ac:dyDescent="0.2">
      <c r="B162" s="20" t="s">
        <v>271</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4.0598919077907275E-2</v>
      </c>
    </row>
    <row r="163" spans="2:29" x14ac:dyDescent="0.2">
      <c r="B163" s="20" t="s">
        <v>272</v>
      </c>
      <c r="M163" s="158">
        <f>M82/M117</f>
        <v>1.2001920307249162E-3</v>
      </c>
      <c r="N163" s="158">
        <f>N82/N117</f>
        <v>5.4964229628337111E-3</v>
      </c>
      <c r="O163" s="158">
        <f>O82/O117</f>
        <v>6.7557644294316344E-3</v>
      </c>
      <c r="P163" s="158">
        <f>P82/P117</f>
        <v>4.8132259077116255E-3</v>
      </c>
      <c r="Q163" s="158">
        <f>Q82/Q117</f>
        <v>3.7704918032786887E-3</v>
      </c>
      <c r="T163" s="49"/>
      <c r="U163" s="49"/>
      <c r="V163" s="49"/>
      <c r="W163" s="49"/>
      <c r="X163" s="49"/>
      <c r="Y163" s="49"/>
      <c r="Z163" s="49"/>
      <c r="AA163" s="49"/>
      <c r="AC163" s="158">
        <f ca="1">AC82/AC117</f>
        <v>4.8715026287731166E-4</v>
      </c>
    </row>
    <row r="164" spans="2:29" x14ac:dyDescent="0.2">
      <c r="B164" s="20" t="s">
        <v>297</v>
      </c>
      <c r="M164" s="158">
        <f>-M63/M153</f>
        <v>1.362323234875475E-2</v>
      </c>
      <c r="N164" s="158">
        <f>-N63/N153</f>
        <v>4.0671827975187161E-2</v>
      </c>
      <c r="O164" s="158">
        <f>-O63/O153</f>
        <v>5.6846437841697245E-3</v>
      </c>
      <c r="P164" s="158">
        <f>-P63/P153</f>
        <v>2.7977365192464691E-3</v>
      </c>
      <c r="Q164" s="158">
        <f>-Q63/Q153</f>
        <v>0</v>
      </c>
      <c r="T164" s="49"/>
      <c r="U164" s="49"/>
      <c r="V164" s="49"/>
      <c r="W164" s="49"/>
      <c r="X164" s="49"/>
      <c r="Y164" s="49"/>
      <c r="Z164" s="49"/>
      <c r="AA164" s="49"/>
      <c r="AC164" s="158">
        <f ca="1">-AC63/AC153</f>
        <v>8.999021945871507E-4</v>
      </c>
    </row>
    <row r="165" spans="2:29" x14ac:dyDescent="0.2">
      <c r="B165" s="20" t="s">
        <v>299</v>
      </c>
      <c r="M165" s="158">
        <f>-(M63+M64)/M153</f>
        <v>1.362323234875475E-2</v>
      </c>
      <c r="N165" s="158">
        <f>-(N63+N64)/N153</f>
        <v>4.8004527504542378E-2</v>
      </c>
      <c r="O165" s="158">
        <f>-(O63+O64)/O153</f>
        <v>1.2425962530573351E-2</v>
      </c>
      <c r="P165" s="158">
        <f>-(P63+P64)/P153</f>
        <v>7.5818659671579311E-3</v>
      </c>
      <c r="Q165" s="158">
        <f>-(Q63+Q64)/Q153</f>
        <v>3.7831021437578815E-3</v>
      </c>
      <c r="T165" s="49"/>
      <c r="U165" s="49"/>
      <c r="V165" s="49"/>
      <c r="W165" s="49"/>
      <c r="X165" s="49"/>
      <c r="Y165" s="49"/>
      <c r="Z165" s="49"/>
      <c r="AA165" s="49"/>
      <c r="AC165" s="158">
        <f ca="1">-(AC63+AC64)/AC153</f>
        <v>1.354665603081727E-3</v>
      </c>
    </row>
    <row r="166" spans="2:29" x14ac:dyDescent="0.2">
      <c r="B166" s="20" t="s">
        <v>351</v>
      </c>
      <c r="M166" s="158">
        <f>M158/M5</f>
        <v>6.1320386656526761E-2</v>
      </c>
      <c r="N166" s="158">
        <f>N158/N5</f>
        <v>8.4720911117094358E-2</v>
      </c>
      <c r="O166" s="158">
        <f>O158/O5</f>
        <v>-0.55064350064350065</v>
      </c>
      <c r="P166" s="158">
        <f>P158/P5</f>
        <v>-2.6294349860811573E-2</v>
      </c>
      <c r="Q166" s="158">
        <f>Q158/Q5</f>
        <v>2.1121897984901099E-2</v>
      </c>
      <c r="T166" s="49"/>
      <c r="U166" s="49"/>
      <c r="V166" s="49"/>
      <c r="W166" s="49"/>
      <c r="X166" s="49"/>
      <c r="Y166" s="49"/>
      <c r="Z166" s="49"/>
      <c r="AA166" s="49"/>
      <c r="AC166" s="158">
        <f>AC158/AC5</f>
        <v>0.27392068073092957</v>
      </c>
    </row>
    <row r="167" spans="2:29" x14ac:dyDescent="0.2">
      <c r="B167" s="20" t="s">
        <v>352</v>
      </c>
      <c r="M167" s="158">
        <f>M157/M5</f>
        <v>7.4354809601155022E-2</v>
      </c>
      <c r="N167" s="158">
        <f>N157/N5</f>
        <v>8.453085376162299E-2</v>
      </c>
      <c r="O167" s="158">
        <f>O157/O5</f>
        <v>-0.43198198198198196</v>
      </c>
      <c r="P167" s="158">
        <f>P157/P5</f>
        <v>-2.8354107761538769E-2</v>
      </c>
      <c r="Q167" s="158">
        <f>Q157/Q5</f>
        <v>1.86205789501846E-2</v>
      </c>
      <c r="T167" s="49"/>
      <c r="U167" s="49"/>
      <c r="V167" s="49"/>
      <c r="W167" s="49"/>
      <c r="X167" s="49"/>
      <c r="Y167" s="49"/>
      <c r="Z167" s="49"/>
      <c r="AA167" s="49"/>
      <c r="AC167" s="158">
        <f>AC157/AC5</f>
        <v>0.27658018920176353</v>
      </c>
    </row>
    <row r="168" spans="2:29" x14ac:dyDescent="0.2">
      <c r="B168" s="20" t="s">
        <v>275</v>
      </c>
      <c r="M168" s="158">
        <f>-M64/M157</f>
        <v>0</v>
      </c>
      <c r="N168" s="158">
        <f>-N64/N157</f>
        <v>0.17730769230769231</v>
      </c>
      <c r="O168" s="158">
        <f>-O64/O157</f>
        <v>-7.5078206465067784E-2</v>
      </c>
      <c r="P168" s="158">
        <f>-P64/P157</f>
        <v>-0.7205056179775281</v>
      </c>
      <c r="Q168" s="158">
        <f>-Q64/Q157</f>
        <v>0.75</v>
      </c>
      <c r="T168" s="49"/>
      <c r="U168" s="49"/>
      <c r="V168" s="49"/>
      <c r="W168" s="49"/>
      <c r="X168" s="49"/>
      <c r="Y168" s="49"/>
      <c r="Z168" s="49"/>
      <c r="AA168" s="49"/>
      <c r="AC168" s="158">
        <f>-AC64/AC157</f>
        <v>2.2709067606536366E-2</v>
      </c>
    </row>
    <row r="169" spans="2:29" x14ac:dyDescent="0.2">
      <c r="B169" s="20" t="s">
        <v>277</v>
      </c>
      <c r="M169" s="158">
        <f>-M63/M157</f>
        <v>0.62815533980582527</v>
      </c>
      <c r="N169" s="158">
        <f>-N63/N157</f>
        <v>0.9834615384615385</v>
      </c>
      <c r="O169" s="158">
        <f>-O63/O157</f>
        <v>-6.3309995531059135E-2</v>
      </c>
      <c r="P169" s="158">
        <f>-P63/P157</f>
        <v>-0.42134831460674155</v>
      </c>
      <c r="Q169" s="158">
        <f>-Q63/Q157</f>
        <v>0</v>
      </c>
      <c r="T169" s="49"/>
      <c r="U169" s="49"/>
      <c r="V169" s="49"/>
      <c r="W169" s="49"/>
      <c r="X169" s="49"/>
      <c r="Y169" s="49"/>
      <c r="Z169" s="49"/>
      <c r="AA169" s="49"/>
      <c r="AC169" s="158">
        <f>-AC63/AC157</f>
        <v>4.493752002563281E-2</v>
      </c>
    </row>
    <row r="170" spans="2:29" x14ac:dyDescent="0.2">
      <c r="B170" s="20" t="s">
        <v>288</v>
      </c>
      <c r="M170" s="158">
        <f>(-M64-M63)/M157</f>
        <v>0.62815533980582527</v>
      </c>
      <c r="N170" s="158">
        <f>(-N64-N63)/N157</f>
        <v>1.1607692307692308</v>
      </c>
      <c r="O170" s="158">
        <f>(-O64-O63)/O157</f>
        <v>-0.13838820199612692</v>
      </c>
      <c r="P170" s="158">
        <f>(-P64-P63)/P157</f>
        <v>-1.1418539325842696</v>
      </c>
      <c r="Q170" s="158">
        <f>(-Q64-Q63)/Q157</f>
        <v>0.75</v>
      </c>
      <c r="T170" s="49"/>
      <c r="U170" s="49"/>
      <c r="V170" s="49"/>
      <c r="W170" s="49"/>
      <c r="X170" s="49"/>
      <c r="Y170" s="49"/>
      <c r="Z170" s="49"/>
      <c r="AA170" s="49"/>
      <c r="AC170" s="158">
        <f>(-AC64-AC63)/AC157</f>
        <v>6.7646587632169172E-2</v>
      </c>
    </row>
    <row r="171" spans="2:29" x14ac:dyDescent="0.2">
      <c r="B171" s="20" t="s">
        <v>282</v>
      </c>
      <c r="M171" s="158">
        <f>M80/M78</f>
        <v>3.5087719298245615E-3</v>
      </c>
      <c r="N171" s="158">
        <f>N80/N78</f>
        <v>3.6463081130355514E-3</v>
      </c>
      <c r="O171" s="158">
        <f>O80/O78</f>
        <v>3.6429872495446266E-3</v>
      </c>
      <c r="P171" s="158">
        <f>P80/P78</f>
        <v>2.6737967914438501E-3</v>
      </c>
      <c r="Q171" s="158">
        <f>Q80/Q78</f>
        <v>2.6525198938992041E-3</v>
      </c>
      <c r="T171" s="49"/>
      <c r="U171" s="49"/>
      <c r="V171" s="49"/>
      <c r="W171" s="49"/>
      <c r="X171" s="49"/>
      <c r="Y171" s="49"/>
      <c r="Z171" s="49"/>
      <c r="AA171" s="49"/>
      <c r="AC171" s="158">
        <f>AC80/AC78</f>
        <v>2.617801047120419E-3</v>
      </c>
    </row>
    <row r="172" spans="2:29" x14ac:dyDescent="0.2">
      <c r="B172" s="20" t="s">
        <v>283</v>
      </c>
      <c r="M172" s="72">
        <f>M107/M75</f>
        <v>9.2922252010723856</v>
      </c>
      <c r="N172" s="72">
        <f>N107/N75</f>
        <v>10.09935602575897</v>
      </c>
      <c r="O172" s="72">
        <f>O107/O75</f>
        <v>9.5063752276867035</v>
      </c>
      <c r="P172" s="72">
        <f>P107/P75</f>
        <v>8.252479711451759</v>
      </c>
      <c r="Q172" s="72">
        <f>Q107/Q75</f>
        <v>10.638146167557933</v>
      </c>
      <c r="T172" s="72">
        <f t="shared" ref="T172:AA172" si="106">T107/T75</f>
        <v>8.252479711451759</v>
      </c>
      <c r="U172" s="72">
        <f t="shared" si="106"/>
        <v>7.8491921005386001</v>
      </c>
      <c r="V172" s="72">
        <f t="shared" si="106"/>
        <v>8.5778175313059037</v>
      </c>
      <c r="W172" s="72">
        <f t="shared" si="106"/>
        <v>10.914209115281501</v>
      </c>
      <c r="X172" s="72">
        <f t="shared" si="106"/>
        <v>10.638146167557933</v>
      </c>
      <c r="Y172" s="72">
        <f t="shared" si="106"/>
        <v>10.670515097690942</v>
      </c>
      <c r="Z172" s="72">
        <f t="shared" si="106"/>
        <v>14.740248226950355</v>
      </c>
      <c r="AA172" s="72">
        <f t="shared" si="106"/>
        <v>26.685562444641274</v>
      </c>
      <c r="AC172" s="72">
        <f>AC107/AC75</f>
        <v>26.685562444641274</v>
      </c>
    </row>
    <row r="173" spans="2:29" x14ac:dyDescent="0.2">
      <c r="B173" s="20" t="s">
        <v>285</v>
      </c>
      <c r="M173" s="158">
        <f>M54/M59</f>
        <v>3.0317613089509143E-2</v>
      </c>
      <c r="N173" s="158">
        <f>N54/N59</f>
        <v>3.3858112113826493E-2</v>
      </c>
      <c r="O173" s="158">
        <f>O54/O59</f>
        <v>0.38229634381013472</v>
      </c>
      <c r="P173" s="158">
        <f>P54/P59</f>
        <v>9.7919360526625129E-2</v>
      </c>
      <c r="Q173" s="158">
        <f>Q54/Q59</f>
        <v>5.5463623395149785E-2</v>
      </c>
      <c r="T173" s="158" t="e">
        <f t="shared" ref="T173:AA173" si="107">T54/T59</f>
        <v>#DIV/0!</v>
      </c>
      <c r="U173" s="158">
        <f t="shared" si="107"/>
        <v>6.7817509247842175E-2</v>
      </c>
      <c r="V173" s="158">
        <f t="shared" si="107"/>
        <v>6.3165905631659053E-2</v>
      </c>
      <c r="W173" s="158">
        <f t="shared" si="107"/>
        <v>5.4892601431980909E-2</v>
      </c>
      <c r="X173" s="158">
        <f t="shared" si="107"/>
        <v>4.3630017452006981E-2</v>
      </c>
      <c r="Y173" s="158">
        <f t="shared" si="107"/>
        <v>3.4478658899060752E-2</v>
      </c>
      <c r="Z173" s="158">
        <f t="shared" si="107"/>
        <v>2.5959842056624379E-2</v>
      </c>
      <c r="AA173" s="158">
        <f t="shared" si="107"/>
        <v>1.3982984086970221E-2</v>
      </c>
      <c r="AC173" s="158">
        <f>AC54/AC59</f>
        <v>2.3409550474412816E-2</v>
      </c>
    </row>
    <row r="174" spans="2:29" x14ac:dyDescent="0.2">
      <c r="B174" s="20" t="s">
        <v>286</v>
      </c>
      <c r="M174" s="158">
        <f>M54/M5</f>
        <v>1.3643746616134272E-2</v>
      </c>
      <c r="N174" s="158">
        <f>N54/N5</f>
        <v>1.6711099551336237E-2</v>
      </c>
      <c r="O174" s="158">
        <f>O54/O5</f>
        <v>3.835263835263835E-2</v>
      </c>
      <c r="P174" s="158">
        <f>P54/P5</f>
        <v>3.3172713153598023E-2</v>
      </c>
      <c r="Q174" s="158">
        <f>Q54/Q5</f>
        <v>2.600460163732677E-2</v>
      </c>
      <c r="T174" s="158">
        <f t="shared" ref="T174:AA174" si="108">T54/T5</f>
        <v>0</v>
      </c>
      <c r="U174" s="158">
        <f t="shared" si="108"/>
        <v>2.5261224021127571E-2</v>
      </c>
      <c r="V174" s="158">
        <f t="shared" si="108"/>
        <v>3.0920153979883274E-2</v>
      </c>
      <c r="W174" s="158">
        <f t="shared" si="108"/>
        <v>2.7201376196107945E-2</v>
      </c>
      <c r="X174" s="158">
        <f t="shared" si="108"/>
        <v>2.209456473707468E-2</v>
      </c>
      <c r="Y174" s="158">
        <f t="shared" si="108"/>
        <v>2.1256321923330646E-2</v>
      </c>
      <c r="Z174" s="158">
        <f t="shared" si="108"/>
        <v>1.2950544844928752E-2</v>
      </c>
      <c r="AA174" s="158">
        <f t="shared" si="108"/>
        <v>8.5632960247008869E-3</v>
      </c>
      <c r="AC174" s="158">
        <f>AC54/AC5</f>
        <v>1.3337173494029289E-2</v>
      </c>
    </row>
    <row r="175" spans="2:29" x14ac:dyDescent="0.2">
      <c r="B175" s="20" t="s">
        <v>291</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9">(T107-T108)/T75</f>
        <v>-3.8277727682596936</v>
      </c>
      <c r="U175" s="72">
        <f t="shared" si="109"/>
        <v>-4.5251346499102336</v>
      </c>
      <c r="V175" s="72">
        <f t="shared" si="109"/>
        <v>-4.2620751341681578</v>
      </c>
      <c r="W175" s="72">
        <f t="shared" si="109"/>
        <v>-2.9740840035746201</v>
      </c>
      <c r="X175" s="72">
        <f t="shared" si="109"/>
        <v>-2.3538324420677363</v>
      </c>
      <c r="Y175" s="72">
        <f t="shared" si="109"/>
        <v>0.23001776198934282</v>
      </c>
      <c r="Z175" s="72">
        <f t="shared" si="109"/>
        <v>5.749113475177305</v>
      </c>
      <c r="AA175" s="72">
        <f t="shared" si="109"/>
        <v>21.617360496014172</v>
      </c>
      <c r="AC175" s="72">
        <f>(AC107-AC108)/AC75</f>
        <v>21.617360496014172</v>
      </c>
    </row>
    <row r="176" spans="2:29" x14ac:dyDescent="0.2">
      <c r="B176" s="20" t="s">
        <v>296</v>
      </c>
      <c r="M176" s="158">
        <f>(M107-M108)/M153</f>
        <v>3.8132416976189881E-2</v>
      </c>
      <c r="N176" s="158">
        <f>(N107-N108)/N153</f>
        <v>6.4769528163849094E-2</v>
      </c>
      <c r="O176" s="158">
        <f>(O107-O108)/O153</f>
        <v>-3.8682328997220808E-2</v>
      </c>
      <c r="P176" s="158">
        <f>(P107-P108)/P153</f>
        <v>-3.9587971747337539E-2</v>
      </c>
      <c r="Q176" s="158">
        <f>(Q107-Q108)/Q153</f>
        <v>-1.9140177704338249E-2</v>
      </c>
      <c r="T176" s="49"/>
      <c r="U176" s="49"/>
      <c r="V176" s="49"/>
      <c r="W176" s="49"/>
      <c r="X176" s="49"/>
      <c r="Y176" s="49"/>
      <c r="Z176" s="49"/>
      <c r="AA176" s="49"/>
      <c r="AC176" s="158">
        <f ca="1">(AC107-AC108)/AC153</f>
        <v>1.9574877861937613E-2</v>
      </c>
    </row>
    <row r="177" spans="1:31" x14ac:dyDescent="0.2">
      <c r="B177" s="20" t="s">
        <v>305</v>
      </c>
      <c r="M177" s="158">
        <f>-M110/M5</f>
        <v>0.36202851470853636</v>
      </c>
      <c r="N177" s="158">
        <f>-N110/N5</f>
        <v>0.39232069705442485</v>
      </c>
      <c r="O177" s="158">
        <f>-O110/O5</f>
        <v>0.49395109395109393</v>
      </c>
      <c r="P177" s="158">
        <f>-P110/P5</f>
        <v>0.33395722989924737</v>
      </c>
      <c r="Q177" s="158">
        <f>-Q110/Q5</f>
        <v>0.42423350634062817</v>
      </c>
      <c r="T177" s="158">
        <f t="shared" ref="T177:AA177" si="110">-T110/T5</f>
        <v>0</v>
      </c>
      <c r="U177" s="158">
        <f t="shared" si="110"/>
        <v>0.36812492823515902</v>
      </c>
      <c r="V177" s="158">
        <f t="shared" si="110"/>
        <v>0.50353905376878183</v>
      </c>
      <c r="W177" s="158">
        <f t="shared" si="110"/>
        <v>0.31588001290183854</v>
      </c>
      <c r="X177" s="158">
        <f t="shared" si="110"/>
        <v>0.50004418912947413</v>
      </c>
      <c r="Y177" s="158">
        <f t="shared" si="110"/>
        <v>0.39500109946492706</v>
      </c>
      <c r="Z177" s="158">
        <f t="shared" si="110"/>
        <v>0.26768650461022631</v>
      </c>
      <c r="AA177" s="158">
        <f t="shared" si="110"/>
        <v>0.18877846391354688</v>
      </c>
      <c r="AC177" s="158">
        <f>-AC110/AC5</f>
        <v>0.27981478609566429</v>
      </c>
    </row>
    <row r="178" spans="1:31" x14ac:dyDescent="0.2">
      <c r="B178" s="20" t="s">
        <v>306</v>
      </c>
      <c r="M178" s="158">
        <f>-(M110/M59)</f>
        <v>0.80445941610522942</v>
      </c>
      <c r="N178" s="158">
        <f>-(N110/N59)</f>
        <v>0.79487517291351029</v>
      </c>
      <c r="O178" s="158">
        <f>-(O110/O59)</f>
        <v>4.9236690186016681</v>
      </c>
      <c r="P178" s="158">
        <f>-(P110/P59)</f>
        <v>0.98577641941930172</v>
      </c>
      <c r="Q178" s="158">
        <f>-(Q110/Q59)</f>
        <v>0.90482168330955781</v>
      </c>
      <c r="T178" s="158" t="e">
        <f t="shared" ref="T178:AA178" si="111">-(T110/T59)</f>
        <v>#DIV/0!</v>
      </c>
      <c r="U178" s="158">
        <f t="shared" si="111"/>
        <v>0.98828606658446361</v>
      </c>
      <c r="V178" s="158">
        <f t="shared" si="111"/>
        <v>1.0286656519533233</v>
      </c>
      <c r="W178" s="158">
        <f t="shared" si="111"/>
        <v>0.6374484703840313</v>
      </c>
      <c r="X178" s="158">
        <f t="shared" si="111"/>
        <v>0.98743455497382204</v>
      </c>
      <c r="Y178" s="158">
        <f t="shared" si="111"/>
        <v>0.64070859588633933</v>
      </c>
      <c r="Z178" s="158">
        <f t="shared" si="111"/>
        <v>0.53658741493741069</v>
      </c>
      <c r="AA178" s="158">
        <f t="shared" si="111"/>
        <v>0.30825586891444778</v>
      </c>
      <c r="AC178" s="158">
        <f>-(AC110/AC59)</f>
        <v>0.49113392440503967</v>
      </c>
    </row>
    <row r="179" spans="1:31" x14ac:dyDescent="0.2">
      <c r="B179" s="20" t="s">
        <v>307</v>
      </c>
      <c r="M179" s="158">
        <f>-M110/M53</f>
        <v>1.6140971998712585</v>
      </c>
      <c r="N179" s="158">
        <f>-N110/N53</f>
        <v>1.6957560427206295</v>
      </c>
      <c r="O179" s="158">
        <f>-O110/O53</f>
        <v>0.98968540484785972</v>
      </c>
      <c r="P179" s="158">
        <f>-P110/P53</f>
        <v>1.0778920308483291</v>
      </c>
      <c r="Q179" s="158">
        <f>-Q110/Q53</f>
        <v>1.8985871647509578</v>
      </c>
      <c r="T179" s="158" t="e">
        <f t="shared" ref="T179:AA179" si="112">-T110/T53</f>
        <v>#DIV/0!</v>
      </c>
      <c r="U179" s="158">
        <f t="shared" si="112"/>
        <v>1.5793103448275863</v>
      </c>
      <c r="V179" s="158">
        <f t="shared" si="112"/>
        <v>1.9504569504569504</v>
      </c>
      <c r="W179" s="158">
        <f t="shared" si="112"/>
        <v>1.4030563514804202</v>
      </c>
      <c r="X179" s="158">
        <f t="shared" si="112"/>
        <v>2.6328524895300141</v>
      </c>
      <c r="Y179" s="158">
        <f t="shared" si="112"/>
        <v>2.4362567811934901</v>
      </c>
      <c r="Z179" s="158">
        <f t="shared" si="112"/>
        <v>2.7939632545931761</v>
      </c>
      <c r="AA179" s="158">
        <f t="shared" si="112"/>
        <v>3.3104906937394247</v>
      </c>
      <c r="AC179" s="158">
        <f>-AC110/AC53</f>
        <v>2.8032404838530685</v>
      </c>
    </row>
    <row r="180" spans="1:31" x14ac:dyDescent="0.2">
      <c r="B180" s="20" t="s">
        <v>365</v>
      </c>
      <c r="M180" s="228">
        <f>M5/M37</f>
        <v>0.47078115176128738</v>
      </c>
      <c r="N180" s="228">
        <f t="shared" ref="N180:Q180" si="113">N5/N37</f>
        <v>0.4640405533847291</v>
      </c>
      <c r="O180" s="228">
        <f t="shared" si="113"/>
        <v>0.24185264730600431</v>
      </c>
      <c r="P180" s="228">
        <f t="shared" si="113"/>
        <v>0.36174657139564365</v>
      </c>
      <c r="Q180" s="228">
        <f t="shared" si="113"/>
        <v>0.45143602502475905</v>
      </c>
      <c r="T180" s="49"/>
      <c r="U180" s="49"/>
      <c r="V180" s="49"/>
      <c r="W180" s="49"/>
      <c r="X180" s="49"/>
      <c r="Y180" s="49"/>
      <c r="Z180" s="49"/>
      <c r="AA180" s="49"/>
      <c r="AC180" s="228">
        <f t="shared" ref="AC180" si="114">AC5/AC37</f>
        <v>0.67312395609639708</v>
      </c>
    </row>
    <row r="181" spans="1:31" x14ac:dyDescent="0.2">
      <c r="B181" s="20" t="s">
        <v>362</v>
      </c>
      <c r="M181" s="230">
        <f>IF(AND(M12&gt;0,M108&gt;0),M108/M12,"N/A")</f>
        <v>1.0784657010982015</v>
      </c>
      <c r="N181" s="230">
        <f t="shared" ref="N181:Q181" si="115">IF(AND(N12&gt;0,N108&gt;0),N108/N12,"N/A")</f>
        <v>0.71181199752628321</v>
      </c>
      <c r="O181" s="230" t="str">
        <f t="shared" si="115"/>
        <v>N/A</v>
      </c>
      <c r="P181" s="230">
        <f t="shared" si="115"/>
        <v>10.27377300613497</v>
      </c>
      <c r="Q181" s="230">
        <f t="shared" si="115"/>
        <v>1.4920163766632548</v>
      </c>
      <c r="T181" s="49"/>
      <c r="U181" s="49"/>
      <c r="V181" s="49"/>
      <c r="W181" s="49"/>
      <c r="X181" s="49"/>
      <c r="Y181" s="49"/>
      <c r="Z181" s="49"/>
      <c r="AA181" s="49"/>
      <c r="AC181" s="230">
        <f t="shared" ref="AC181" si="116">IF(AND(AC12&gt;0,AC108&gt;0),AC108/AC12,"N/A")</f>
        <v>9.6585250578127377E-2</v>
      </c>
    </row>
    <row r="182" spans="1:31" x14ac:dyDescent="0.2">
      <c r="B182" s="20" t="s">
        <v>363</v>
      </c>
      <c r="M182" s="230">
        <f>IF(AND(M12&gt;0,M108&gt;0),(M108-M107)/M12,"N/A")</f>
        <v>-0.57647620563425117</v>
      </c>
      <c r="N182" s="230">
        <f t="shared" ref="N182:Q182" si="117">IF(AND(N12&gt;0,N108&gt;0),(N108-N107)/N12,"N/A")</f>
        <v>-0.41970727685013398</v>
      </c>
      <c r="O182" s="230" t="str">
        <f t="shared" si="117"/>
        <v>N/A</v>
      </c>
      <c r="P182" s="230">
        <f t="shared" si="117"/>
        <v>3.2553680981595092</v>
      </c>
      <c r="Q182" s="230">
        <f t="shared" si="117"/>
        <v>0.27031729785056297</v>
      </c>
      <c r="T182" s="49"/>
      <c r="U182" s="49"/>
      <c r="V182" s="49"/>
      <c r="W182" s="49"/>
      <c r="X182" s="49"/>
      <c r="Y182" s="49"/>
      <c r="Z182" s="49"/>
      <c r="AA182" s="49"/>
      <c r="AC182" s="230">
        <f t="shared" ref="AC182" si="118">IF(AND(AC12&gt;0,AC108&gt;0),(AC108-AC107)/AC12,"N/A")</f>
        <v>-0.41196428270006585</v>
      </c>
    </row>
    <row r="183" spans="1:31" x14ac:dyDescent="0.2">
      <c r="B183" s="20" t="s">
        <v>364</v>
      </c>
      <c r="M183" s="230">
        <f>M5/(M108+M112-M107)</f>
        <v>0.68728138721440801</v>
      </c>
      <c r="N183" s="230">
        <f t="shared" ref="N183:Q183" si="119">N5/(N108+N112-N107)</f>
        <v>0.67105923420966507</v>
      </c>
      <c r="O183" s="230">
        <f t="shared" si="119"/>
        <v>0.33055390113162597</v>
      </c>
      <c r="P183" s="230">
        <f t="shared" si="119"/>
        <v>0.50856691510045371</v>
      </c>
      <c r="Q183" s="230">
        <f t="shared" si="119"/>
        <v>0.65799387388656128</v>
      </c>
      <c r="T183" s="49"/>
      <c r="U183" s="49"/>
      <c r="V183" s="49"/>
      <c r="W183" s="49"/>
      <c r="X183" s="49"/>
      <c r="Y183" s="49"/>
      <c r="Z183" s="49"/>
      <c r="AA183" s="49"/>
      <c r="AC183" s="230">
        <f t="shared" ref="AC183" si="120">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394</v>
      </c>
      <c r="C187" s="62"/>
      <c r="D187" s="62"/>
      <c r="E187" s="62"/>
      <c r="F187" s="62"/>
      <c r="G187" s="62"/>
      <c r="H187" s="62"/>
      <c r="I187" s="62"/>
      <c r="J187" s="62"/>
      <c r="K187" s="62"/>
      <c r="L187" s="62"/>
      <c r="M187" s="62">
        <v>20039</v>
      </c>
      <c r="N187" s="62">
        <v>22386</v>
      </c>
      <c r="O187" s="62">
        <v>10978</v>
      </c>
      <c r="P187" s="62">
        <v>17603</v>
      </c>
      <c r="Q187" s="62">
        <v>28578</v>
      </c>
      <c r="T187" s="62">
        <f>17603-3427</f>
        <v>14176</v>
      </c>
      <c r="U187" s="62">
        <v>6400</v>
      </c>
      <c r="V187" s="62">
        <v>6123</v>
      </c>
      <c r="W187" s="62">
        <v>7071</v>
      </c>
      <c r="X187" s="62">
        <f>28578-6400</f>
        <v>22178</v>
      </c>
      <c r="Y187" s="62">
        <v>10812</v>
      </c>
      <c r="Z187" s="62">
        <v>18768</v>
      </c>
      <c r="AA187" s="62">
        <v>31328</v>
      </c>
      <c r="AC187" s="62">
        <f>SUM(X187:AA187)</f>
        <v>83086</v>
      </c>
    </row>
    <row r="188" spans="1:31" x14ac:dyDescent="0.2">
      <c r="B188" s="20" t="s">
        <v>395</v>
      </c>
      <c r="C188" s="62"/>
      <c r="D188" s="62"/>
      <c r="E188" s="62"/>
      <c r="F188" s="62"/>
      <c r="G188" s="62"/>
      <c r="H188" s="62"/>
      <c r="I188" s="62"/>
      <c r="J188" s="62"/>
      <c r="K188" s="62"/>
      <c r="L188" s="62"/>
      <c r="M188" s="62">
        <v>7007</v>
      </c>
      <c r="N188" s="62">
        <v>7811</v>
      </c>
      <c r="O188" s="62">
        <v>4206</v>
      </c>
      <c r="P188" s="62">
        <v>7227</v>
      </c>
      <c r="Q188" s="62">
        <v>8503</v>
      </c>
      <c r="T188" s="62">
        <f>7227-1230</f>
        <v>5997</v>
      </c>
      <c r="U188" s="62">
        <v>2241</v>
      </c>
      <c r="V188" s="62">
        <v>1855</v>
      </c>
      <c r="W188" s="62">
        <v>2155</v>
      </c>
      <c r="X188" s="62">
        <f>8503-2241</f>
        <v>6262</v>
      </c>
      <c r="Y188" s="62">
        <v>2743</v>
      </c>
      <c r="Z188" s="62">
        <v>4997</v>
      </c>
      <c r="AA188" s="62">
        <v>9943</v>
      </c>
      <c r="AC188" s="62">
        <f t="shared" ref="AC188:AC199" si="121">SUM(X188:AA188)</f>
        <v>23945</v>
      </c>
    </row>
    <row r="189" spans="1:31" x14ac:dyDescent="0.2">
      <c r="B189" s="20" t="s">
        <v>396</v>
      </c>
      <c r="C189" s="62"/>
      <c r="D189" s="62"/>
      <c r="E189" s="62"/>
      <c r="F189" s="62"/>
      <c r="G189" s="62"/>
      <c r="H189" s="62"/>
      <c r="I189" s="62"/>
      <c r="J189" s="62"/>
      <c r="K189" s="62"/>
      <c r="L189" s="62"/>
      <c r="M189" s="62">
        <v>659</v>
      </c>
      <c r="N189" s="62">
        <v>561</v>
      </c>
      <c r="O189" s="62">
        <v>356</v>
      </c>
      <c r="P189" s="62">
        <v>281</v>
      </c>
      <c r="Q189" s="62">
        <v>297</v>
      </c>
      <c r="T189" s="62">
        <f>281-69</f>
        <v>212</v>
      </c>
      <c r="U189" s="62">
        <v>68</v>
      </c>
      <c r="V189" s="62">
        <v>75</v>
      </c>
      <c r="W189" s="62">
        <v>75</v>
      </c>
      <c r="X189" s="62">
        <f>297-68</f>
        <v>229</v>
      </c>
      <c r="Y189" s="62">
        <v>88</v>
      </c>
      <c r="Z189" s="62">
        <v>95</v>
      </c>
      <c r="AA189" s="62">
        <v>185</v>
      </c>
      <c r="AC189" s="62">
        <f t="shared" si="121"/>
        <v>597</v>
      </c>
    </row>
    <row r="190" spans="1:31" x14ac:dyDescent="0.2">
      <c r="C190" s="21"/>
      <c r="D190" s="21"/>
      <c r="E190" s="21"/>
      <c r="F190" s="21"/>
      <c r="G190" s="21"/>
      <c r="H190" s="21"/>
      <c r="I190" s="21"/>
      <c r="J190" s="21"/>
      <c r="K190" s="21"/>
      <c r="L190" s="21"/>
      <c r="M190" s="21"/>
      <c r="AA190" s="62"/>
      <c r="AC190" s="62"/>
    </row>
    <row r="191" spans="1:31" x14ac:dyDescent="0.2">
      <c r="B191" s="20" t="s">
        <v>397</v>
      </c>
      <c r="C191" s="62"/>
      <c r="D191" s="62"/>
      <c r="E191" s="62"/>
      <c r="F191" s="62"/>
      <c r="G191" s="62"/>
      <c r="H191" s="62"/>
      <c r="I191" s="62"/>
      <c r="J191" s="62"/>
      <c r="K191" s="62"/>
      <c r="L191" s="62"/>
      <c r="M191" s="62">
        <v>0</v>
      </c>
      <c r="N191" s="62">
        <v>0</v>
      </c>
      <c r="O191" s="62">
        <v>1872</v>
      </c>
      <c r="P191" s="62">
        <v>3792</v>
      </c>
      <c r="Q191" s="62">
        <v>13524</v>
      </c>
      <c r="T191" s="62">
        <v>1449</v>
      </c>
      <c r="U191" s="62">
        <v>2658</v>
      </c>
      <c r="V191" s="62">
        <v>2947</v>
      </c>
      <c r="W191" s="62">
        <v>3386</v>
      </c>
      <c r="X191" s="62">
        <v>4543</v>
      </c>
      <c r="Y191" s="62">
        <v>5284</v>
      </c>
      <c r="Z191" s="62">
        <v>7749</v>
      </c>
      <c r="AA191" s="62">
        <v>13769</v>
      </c>
      <c r="AC191" s="62">
        <f t="shared" si="121"/>
        <v>31345</v>
      </c>
    </row>
    <row r="192" spans="1:31" x14ac:dyDescent="0.2">
      <c r="B192" s="20" t="s">
        <v>398</v>
      </c>
      <c r="C192" s="62"/>
      <c r="D192" s="62"/>
      <c r="E192" s="62"/>
      <c r="F192" s="62"/>
      <c r="G192" s="62"/>
      <c r="H192" s="62"/>
      <c r="I192" s="62"/>
      <c r="J192" s="62"/>
      <c r="K192" s="62"/>
      <c r="L192" s="62"/>
      <c r="M192" s="62">
        <v>0</v>
      </c>
      <c r="N192" s="62">
        <v>0</v>
      </c>
      <c r="O192" s="62">
        <v>2124</v>
      </c>
      <c r="P192" s="62">
        <v>4984</v>
      </c>
      <c r="Q192" s="62">
        <v>7229</v>
      </c>
      <c r="T192" s="62">
        <v>2048</v>
      </c>
      <c r="U192" s="62">
        <v>2292</v>
      </c>
      <c r="V192" s="62">
        <v>1830</v>
      </c>
      <c r="W192" s="62">
        <v>1530</v>
      </c>
      <c r="X192" s="62">
        <v>1577</v>
      </c>
      <c r="Y192" s="62">
        <v>2379</v>
      </c>
      <c r="Z192" s="62">
        <v>5687</v>
      </c>
      <c r="AA192" s="62">
        <v>11524</v>
      </c>
      <c r="AC192" s="62">
        <f t="shared" si="121"/>
        <v>21167</v>
      </c>
    </row>
    <row r="193" spans="2:29" x14ac:dyDescent="0.2">
      <c r="B193" s="20" t="s">
        <v>399</v>
      </c>
      <c r="C193" s="62"/>
      <c r="D193" s="62"/>
      <c r="E193" s="62"/>
      <c r="F193" s="62"/>
      <c r="G193" s="62"/>
      <c r="H193" s="62"/>
      <c r="I193" s="62"/>
      <c r="J193" s="62"/>
      <c r="K193" s="62"/>
      <c r="L193" s="62"/>
      <c r="M193" s="62">
        <v>0</v>
      </c>
      <c r="N193" s="62">
        <v>0</v>
      </c>
      <c r="O193" s="62">
        <v>7394</v>
      </c>
      <c r="P193" s="62">
        <v>11667</v>
      </c>
      <c r="Q193" s="62">
        <v>11859</v>
      </c>
      <c r="T193" s="62">
        <v>3019</v>
      </c>
      <c r="U193" s="62">
        <v>2608</v>
      </c>
      <c r="V193" s="62">
        <v>2236</v>
      </c>
      <c r="W193" s="62">
        <v>3255</v>
      </c>
      <c r="X193" s="62">
        <v>3760</v>
      </c>
      <c r="Y193" s="62">
        <v>4255</v>
      </c>
      <c r="Z193" s="62">
        <v>7711</v>
      </c>
      <c r="AA193" s="62">
        <v>11521</v>
      </c>
      <c r="AC193" s="62">
        <f t="shared" si="121"/>
        <v>27247</v>
      </c>
    </row>
    <row r="194" spans="2:29" x14ac:dyDescent="0.2">
      <c r="B194" s="20" t="s">
        <v>400</v>
      </c>
      <c r="C194" s="62"/>
      <c r="D194" s="62"/>
      <c r="E194" s="62"/>
      <c r="F194" s="62"/>
      <c r="G194" s="62"/>
      <c r="H194" s="62"/>
      <c r="I194" s="62"/>
      <c r="J194" s="62"/>
      <c r="K194" s="62"/>
      <c r="L194" s="62"/>
      <c r="M194" s="62">
        <v>0</v>
      </c>
      <c r="N194" s="62">
        <v>0</v>
      </c>
      <c r="O194" s="62">
        <v>4139</v>
      </c>
      <c r="P194" s="62">
        <v>4631</v>
      </c>
      <c r="Q194" s="62">
        <v>4753</v>
      </c>
      <c r="T194" s="62">
        <v>1230</v>
      </c>
      <c r="U194" s="62">
        <v>1158</v>
      </c>
      <c r="V194" s="62">
        <v>1034</v>
      </c>
      <c r="W194" s="62">
        <v>1127</v>
      </c>
      <c r="X194" s="62">
        <v>1434</v>
      </c>
      <c r="Y194" s="62">
        <v>1720</v>
      </c>
      <c r="Z194" s="62">
        <v>2708</v>
      </c>
      <c r="AA194" s="62">
        <v>4634</v>
      </c>
      <c r="AC194" s="62">
        <f t="shared" si="121"/>
        <v>10496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401</v>
      </c>
      <c r="C196" s="62"/>
      <c r="D196" s="62"/>
      <c r="E196" s="62"/>
      <c r="F196" s="62"/>
      <c r="G196" s="62"/>
      <c r="H196" s="62"/>
      <c r="I196" s="62"/>
      <c r="J196" s="62"/>
      <c r="K196" s="62"/>
      <c r="L196" s="62"/>
      <c r="M196" s="62">
        <v>0</v>
      </c>
      <c r="N196" s="62">
        <v>0</v>
      </c>
      <c r="O196" s="62">
        <v>1801</v>
      </c>
      <c r="P196" s="62">
        <v>2677</v>
      </c>
      <c r="Q196" s="62">
        <v>5867</v>
      </c>
      <c r="T196" s="62">
        <v>0</v>
      </c>
      <c r="U196" s="62">
        <v>1293</v>
      </c>
      <c r="V196" s="62">
        <v>1317</v>
      </c>
      <c r="W196" s="62">
        <v>1415</v>
      </c>
      <c r="X196" s="62">
        <v>1842</v>
      </c>
      <c r="Y196" s="62">
        <v>1817</v>
      </c>
      <c r="Z196" s="62">
        <v>2002</v>
      </c>
      <c r="AA196" s="62">
        <v>2278</v>
      </c>
      <c r="AC196" s="62">
        <f t="shared" si="121"/>
        <v>7939</v>
      </c>
    </row>
    <row r="197" spans="2:29" x14ac:dyDescent="0.2">
      <c r="B197" s="20" t="s">
        <v>402</v>
      </c>
      <c r="C197" s="62"/>
      <c r="D197" s="62"/>
      <c r="E197" s="62"/>
      <c r="F197" s="62"/>
      <c r="G197" s="62"/>
      <c r="H197" s="62"/>
      <c r="I197" s="62"/>
      <c r="J197" s="62"/>
      <c r="K197" s="62"/>
      <c r="L197" s="62"/>
      <c r="M197" s="62">
        <v>0</v>
      </c>
      <c r="N197" s="62">
        <v>0</v>
      </c>
      <c r="O197" s="62">
        <v>1967</v>
      </c>
      <c r="P197" s="62">
        <v>3638</v>
      </c>
      <c r="Q197" s="62">
        <v>3995</v>
      </c>
      <c r="T197" s="62">
        <v>0</v>
      </c>
      <c r="U197" s="62">
        <v>1149</v>
      </c>
      <c r="V197" s="62">
        <v>967</v>
      </c>
      <c r="W197" s="62">
        <v>956</v>
      </c>
      <c r="X197" s="62">
        <v>923</v>
      </c>
      <c r="Y197" s="62">
        <v>1157</v>
      </c>
      <c r="Z197" s="62">
        <v>1461</v>
      </c>
      <c r="AA197" s="62">
        <v>1537</v>
      </c>
      <c r="AC197" s="62">
        <f t="shared" si="121"/>
        <v>5078</v>
      </c>
    </row>
    <row r="198" spans="2:29" x14ac:dyDescent="0.2">
      <c r="B198" s="20" t="s">
        <v>403</v>
      </c>
      <c r="C198" s="62"/>
      <c r="D198" s="62"/>
      <c r="E198" s="62"/>
      <c r="F198" s="62"/>
      <c r="G198" s="62"/>
      <c r="H198" s="62"/>
      <c r="I198" s="62"/>
      <c r="J198" s="62"/>
      <c r="K198" s="62"/>
      <c r="L198" s="62"/>
      <c r="M198" s="62">
        <v>0</v>
      </c>
      <c r="N198" s="62">
        <v>0</v>
      </c>
      <c r="O198" s="62">
        <v>9072</v>
      </c>
      <c r="P198" s="62">
        <v>10222</v>
      </c>
      <c r="Q198" s="62">
        <v>8650</v>
      </c>
      <c r="T198" s="62">
        <v>0</v>
      </c>
      <c r="U198" s="62">
        <v>1899</v>
      </c>
      <c r="V198" s="62">
        <v>1894</v>
      </c>
      <c r="W198" s="62">
        <v>2467</v>
      </c>
      <c r="X198" s="62">
        <v>2390</v>
      </c>
      <c r="Y198" s="62">
        <v>1970</v>
      </c>
      <c r="Z198" s="62">
        <v>1657</v>
      </c>
      <c r="AA198" s="62">
        <v>1463</v>
      </c>
      <c r="AC198" s="62">
        <f t="shared" si="121"/>
        <v>7480</v>
      </c>
    </row>
    <row r="199" spans="2:29" x14ac:dyDescent="0.2">
      <c r="B199" s="20" t="s">
        <v>404</v>
      </c>
      <c r="C199" s="62"/>
      <c r="D199" s="62"/>
      <c r="E199" s="62"/>
      <c r="F199" s="62"/>
      <c r="G199" s="62"/>
      <c r="H199" s="62"/>
      <c r="I199" s="62"/>
      <c r="J199" s="62"/>
      <c r="K199" s="62"/>
      <c r="L199" s="62"/>
      <c r="M199" s="62">
        <v>0</v>
      </c>
      <c r="N199" s="62">
        <v>0</v>
      </c>
      <c r="O199" s="62">
        <v>2905</v>
      </c>
      <c r="P199" s="62">
        <v>3598</v>
      </c>
      <c r="Q199" s="62">
        <v>3566</v>
      </c>
      <c r="T199" s="62">
        <v>0</v>
      </c>
      <c r="U199" s="62">
        <v>922</v>
      </c>
      <c r="V199" s="62">
        <v>820</v>
      </c>
      <c r="W199" s="62">
        <v>837</v>
      </c>
      <c r="X199" s="62">
        <v>987</v>
      </c>
      <c r="Y199" s="62">
        <v>942</v>
      </c>
      <c r="Z199" s="62">
        <v>859</v>
      </c>
      <c r="AA199" s="62">
        <v>975</v>
      </c>
      <c r="AC199" s="62">
        <f t="shared" si="121"/>
        <v>3763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316</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2:29" x14ac:dyDescent="0.2">
      <c r="B203" s="20" t="str">
        <f>B187</f>
        <v>DRAM</v>
      </c>
      <c r="C203" s="81"/>
      <c r="D203" s="81"/>
      <c r="E203" s="81"/>
      <c r="F203" s="81"/>
      <c r="G203" s="81"/>
      <c r="H203" s="81"/>
      <c r="I203" s="81"/>
      <c r="J203" s="81"/>
      <c r="K203" s="81"/>
      <c r="L203" s="81"/>
      <c r="M203" s="81">
        <f t="shared" ref="M203:Q210" si="122">IF(L187=0,
IF(M187=0,0,IF(M187&gt;0,1,-1)),
(M187-L187)/ABS(L187)
)</f>
        <v>1</v>
      </c>
      <c r="N203" s="81">
        <f t="shared" si="122"/>
        <v>0.11712161285493287</v>
      </c>
      <c r="O203" s="81">
        <f t="shared" si="122"/>
        <v>-0.5096042169212901</v>
      </c>
      <c r="P203" s="81">
        <f t="shared" si="122"/>
        <v>0.60347968664601936</v>
      </c>
      <c r="Q203" s="81">
        <f t="shared" si="122"/>
        <v>0.62347327160143162</v>
      </c>
      <c r="T203" s="81">
        <f t="shared" ref="T203:AA205" si="123">IF(S187=0,
IF(T187=0,0,IF(T187&gt;0,1,-1)),
(T187-S187)/ABS(S187)
)</f>
        <v>1</v>
      </c>
      <c r="U203" s="81">
        <f t="shared" si="123"/>
        <v>-0.54853273137697522</v>
      </c>
      <c r="V203" s="81">
        <f t="shared" si="123"/>
        <v>-4.328125E-2</v>
      </c>
      <c r="W203" s="81">
        <f t="shared" si="123"/>
        <v>0.15482606565409113</v>
      </c>
      <c r="X203" s="81">
        <f t="shared" si="123"/>
        <v>2.1364729175505586</v>
      </c>
      <c r="Y203" s="81">
        <f t="shared" si="123"/>
        <v>-0.51248985481107401</v>
      </c>
      <c r="Z203" s="81">
        <f t="shared" si="123"/>
        <v>0.73584905660377353</v>
      </c>
      <c r="AA203" s="81">
        <f t="shared" si="123"/>
        <v>0.66922421142369992</v>
      </c>
      <c r="AC203" s="49"/>
    </row>
    <row r="204" spans="2:29" x14ac:dyDescent="0.2">
      <c r="B204" s="20" t="str">
        <f t="shared" ref="B204:B210" si="124">B188</f>
        <v>NAND</v>
      </c>
      <c r="M204" s="81">
        <f t="shared" si="122"/>
        <v>1</v>
      </c>
      <c r="N204" s="81">
        <f t="shared" si="122"/>
        <v>0.11474240045668617</v>
      </c>
      <c r="O204" s="81">
        <f t="shared" si="122"/>
        <v>-0.46152861349379082</v>
      </c>
      <c r="P204" s="81">
        <f t="shared" si="122"/>
        <v>0.71825962910128383</v>
      </c>
      <c r="Q204" s="81">
        <f t="shared" si="122"/>
        <v>0.17656012176560121</v>
      </c>
      <c r="T204" s="81">
        <f t="shared" si="123"/>
        <v>1</v>
      </c>
      <c r="U204" s="81">
        <f t="shared" si="123"/>
        <v>-0.62631315657828912</v>
      </c>
      <c r="V204" s="81">
        <f t="shared" si="123"/>
        <v>-0.17224453369031684</v>
      </c>
      <c r="W204" s="81">
        <f t="shared" si="123"/>
        <v>0.16172506738544473</v>
      </c>
      <c r="X204" s="81">
        <f t="shared" si="123"/>
        <v>1.9058004640371229</v>
      </c>
      <c r="Y204" s="81">
        <f t="shared" si="123"/>
        <v>-0.56196103481315873</v>
      </c>
      <c r="Z204" s="81">
        <f t="shared" si="123"/>
        <v>0.82172803499817715</v>
      </c>
      <c r="AA204" s="81">
        <f t="shared" si="123"/>
        <v>0.98979387632579552</v>
      </c>
      <c r="AC204" s="49"/>
    </row>
    <row r="205" spans="2:29" x14ac:dyDescent="0.2">
      <c r="B205" s="20" t="str">
        <f t="shared" si="124"/>
        <v>Other</v>
      </c>
      <c r="M205" s="81">
        <f t="shared" si="122"/>
        <v>1</v>
      </c>
      <c r="N205" s="81">
        <f t="shared" si="122"/>
        <v>-0.14871016691957512</v>
      </c>
      <c r="O205" s="81">
        <f t="shared" si="122"/>
        <v>-0.36541889483065954</v>
      </c>
      <c r="P205" s="81">
        <f t="shared" si="122"/>
        <v>-0.21067415730337077</v>
      </c>
      <c r="Q205" s="81">
        <f t="shared" si="122"/>
        <v>5.6939501779359428E-2</v>
      </c>
      <c r="T205" s="81">
        <f t="shared" si="123"/>
        <v>1</v>
      </c>
      <c r="U205" s="81">
        <f t="shared" si="123"/>
        <v>-0.67924528301886788</v>
      </c>
      <c r="V205" s="81">
        <f t="shared" si="123"/>
        <v>0.10294117647058823</v>
      </c>
      <c r="W205" s="81">
        <f t="shared" si="123"/>
        <v>0</v>
      </c>
      <c r="X205" s="81">
        <f t="shared" si="123"/>
        <v>2.0533333333333332</v>
      </c>
      <c r="Y205" s="81">
        <f t="shared" si="123"/>
        <v>-0.61572052401746724</v>
      </c>
      <c r="Z205" s="81">
        <f t="shared" si="123"/>
        <v>7.9545454545454544E-2</v>
      </c>
      <c r="AA205" s="81">
        <f t="shared" si="123"/>
        <v>0.94736842105263153</v>
      </c>
      <c r="AC205" s="49"/>
    </row>
    <row r="206" spans="2:29" x14ac:dyDescent="0.2">
      <c r="M206" s="81"/>
      <c r="N206" s="81"/>
      <c r="O206" s="81"/>
      <c r="P206" s="81"/>
      <c r="Q206" s="81"/>
      <c r="T206" s="81"/>
      <c r="U206" s="81"/>
      <c r="V206" s="81"/>
      <c r="W206" s="81"/>
      <c r="X206" s="81"/>
      <c r="Y206" s="81"/>
      <c r="Z206" s="81"/>
      <c r="AA206" s="81"/>
      <c r="AC206" s="49"/>
    </row>
    <row r="207" spans="2:29" x14ac:dyDescent="0.2">
      <c r="B207" s="20" t="str">
        <f t="shared" si="124"/>
        <v>Cloud Memory</v>
      </c>
      <c r="M207" s="81">
        <f t="shared" si="122"/>
        <v>0</v>
      </c>
      <c r="N207" s="81">
        <f t="shared" ref="N207:N210" si="125">IF(M191=0,
IF(N191=0,0,IF(N191&gt;0,1,-1)),
(N191-M191)/ABS(M191)
)</f>
        <v>0</v>
      </c>
      <c r="O207" s="81">
        <f t="shared" ref="O207:O210" si="126">IF(N191=0,
IF(O191=0,0,IF(O191&gt;0,1,-1)),
(O191-N191)/ABS(N191)
)</f>
        <v>1</v>
      </c>
      <c r="P207" s="81">
        <f t="shared" ref="P207:P210" si="127">IF(O191=0,
IF(P191=0,0,IF(P191&gt;0,1,-1)),
(P191-O191)/ABS(O191)
)</f>
        <v>1.0256410256410255</v>
      </c>
      <c r="Q207" s="81">
        <f t="shared" ref="Q207:Q210" si="128">IF(P191=0,
IF(Q191=0,0,IF(Q191&gt;0,1,-1)),
(Q191-P191)/ABS(P191)
)</f>
        <v>2.5664556962025316</v>
      </c>
      <c r="T207" s="81">
        <f t="shared" ref="T207:T210" si="129">IF(S191=0,
IF(T191=0,0,IF(T191&gt;0,1,-1)),
(T191-S191)/ABS(S191)
)</f>
        <v>1</v>
      </c>
      <c r="U207" s="81">
        <f t="shared" ref="U207:U210" si="130">IF(T191=0,
IF(U191=0,0,IF(U191&gt;0,1,-1)),
(U191-T191)/ABS(T191)
)</f>
        <v>0.83436853002070388</v>
      </c>
      <c r="V207" s="81">
        <f t="shared" ref="V207:V210" si="131">IF(U191=0,
IF(V191=0,0,IF(V191&gt;0,1,-1)),
(V191-U191)/ABS(U191)
)</f>
        <v>0.10872836719337849</v>
      </c>
      <c r="W207" s="81">
        <f t="shared" ref="W207:W210" si="132">IF(V191=0,
IF(W191=0,0,IF(W191&gt;0,1,-1)),
(W191-V191)/ABS(V191)
)</f>
        <v>0.14896504920257889</v>
      </c>
      <c r="X207" s="81">
        <f t="shared" ref="X207:X210" si="133">IF(W191=0,
IF(X191=0,0,IF(X191&gt;0,1,-1)),
(X191-W191)/ABS(W191)
)</f>
        <v>0.34170112226816302</v>
      </c>
      <c r="Y207" s="81">
        <f t="shared" ref="Y207:Y210" si="134">IF(X191=0,
IF(Y191=0,0,IF(Y191&gt;0,1,-1)),
(Y191-X191)/ABS(X191)
)</f>
        <v>0.16310807836231564</v>
      </c>
      <c r="Z207" s="81">
        <f t="shared" ref="Z207:Z210" si="135">IF(Y191=0,
IF(Z191=0,0,IF(Z191&gt;0,1,-1)),
(Z191-Y191)/ABS(Y191)
)</f>
        <v>0.46650264950794851</v>
      </c>
      <c r="AA207" s="81">
        <f t="shared" ref="AA207:AA210" si="136">IF(Z191=0,
IF(AA191=0,0,IF(AA191&gt;0,1,-1)),
(AA191-Z191)/ABS(Z191)
)</f>
        <v>0.77687443541102075</v>
      </c>
      <c r="AC207" s="49"/>
    </row>
    <row r="208" spans="2:29" x14ac:dyDescent="0.2">
      <c r="B208" s="20" t="str">
        <f t="shared" si="124"/>
        <v>Core Data Center</v>
      </c>
      <c r="M208" s="81">
        <f t="shared" si="122"/>
        <v>0</v>
      </c>
      <c r="N208" s="81">
        <f t="shared" si="125"/>
        <v>0</v>
      </c>
      <c r="O208" s="81">
        <f t="shared" si="126"/>
        <v>1</v>
      </c>
      <c r="P208" s="81">
        <f t="shared" si="127"/>
        <v>1.3465160075329567</v>
      </c>
      <c r="Q208" s="81">
        <f t="shared" si="128"/>
        <v>0.4504414125200642</v>
      </c>
      <c r="T208" s="81">
        <f t="shared" si="129"/>
        <v>1</v>
      </c>
      <c r="U208" s="81">
        <f t="shared" si="130"/>
        <v>0.119140625</v>
      </c>
      <c r="V208" s="81">
        <f t="shared" si="131"/>
        <v>-0.20157068062827224</v>
      </c>
      <c r="W208" s="81">
        <f t="shared" si="132"/>
        <v>-0.16393442622950818</v>
      </c>
      <c r="X208" s="81">
        <f t="shared" si="133"/>
        <v>3.0718954248366011E-2</v>
      </c>
      <c r="Y208" s="81">
        <f t="shared" si="134"/>
        <v>0.50856055802155997</v>
      </c>
      <c r="Z208" s="81">
        <f t="shared" si="135"/>
        <v>1.3905002101723414</v>
      </c>
      <c r="AA208" s="81">
        <f t="shared" si="136"/>
        <v>1.0263759451380341</v>
      </c>
      <c r="AC208" s="49"/>
    </row>
    <row r="209" spans="1:31" x14ac:dyDescent="0.2">
      <c r="B209" s="20" t="str">
        <f t="shared" si="124"/>
        <v>Mobile and Client</v>
      </c>
      <c r="M209" s="81">
        <f t="shared" si="122"/>
        <v>0</v>
      </c>
      <c r="N209" s="81">
        <f t="shared" si="125"/>
        <v>0</v>
      </c>
      <c r="O209" s="81">
        <f t="shared" si="126"/>
        <v>1</v>
      </c>
      <c r="P209" s="81">
        <f t="shared" si="127"/>
        <v>0.57790100081146878</v>
      </c>
      <c r="Q209" s="81">
        <f t="shared" si="128"/>
        <v>1.6456672666495243E-2</v>
      </c>
      <c r="T209" s="81">
        <f t="shared" si="129"/>
        <v>1</v>
      </c>
      <c r="U209" s="81">
        <f t="shared" si="130"/>
        <v>-0.13613779397151374</v>
      </c>
      <c r="V209" s="81">
        <f t="shared" si="131"/>
        <v>-0.14263803680981596</v>
      </c>
      <c r="W209" s="81">
        <f t="shared" si="132"/>
        <v>0.45572450805008946</v>
      </c>
      <c r="X209" s="81">
        <f t="shared" si="133"/>
        <v>0.15514592933947774</v>
      </c>
      <c r="Y209" s="81">
        <f t="shared" si="134"/>
        <v>0.13164893617021275</v>
      </c>
      <c r="Z209" s="81">
        <f t="shared" si="135"/>
        <v>0.81222091656874262</v>
      </c>
      <c r="AA209" s="81">
        <f t="shared" si="136"/>
        <v>0.49409933860718452</v>
      </c>
      <c r="AC209" s="49"/>
    </row>
    <row r="210" spans="1:31" x14ac:dyDescent="0.2">
      <c r="B210" s="20" t="str">
        <f t="shared" si="124"/>
        <v>Automotive and Embedded</v>
      </c>
      <c r="M210" s="81">
        <f t="shared" si="122"/>
        <v>0</v>
      </c>
      <c r="N210" s="81">
        <f t="shared" si="125"/>
        <v>0</v>
      </c>
      <c r="O210" s="81">
        <f t="shared" si="126"/>
        <v>1</v>
      </c>
      <c r="P210" s="81">
        <f t="shared" si="127"/>
        <v>0.11886929209954095</v>
      </c>
      <c r="Q210" s="81">
        <f t="shared" si="128"/>
        <v>2.6344202116173613E-2</v>
      </c>
      <c r="T210" s="81">
        <f t="shared" si="129"/>
        <v>1</v>
      </c>
      <c r="U210" s="81">
        <f t="shared" si="130"/>
        <v>-5.8536585365853662E-2</v>
      </c>
      <c r="V210" s="81">
        <f t="shared" si="131"/>
        <v>-0.10708117443868739</v>
      </c>
      <c r="W210" s="81">
        <f t="shared" si="132"/>
        <v>8.994197292069632E-2</v>
      </c>
      <c r="X210" s="81">
        <f t="shared" si="133"/>
        <v>0.27240461401952087</v>
      </c>
      <c r="Y210" s="81">
        <f t="shared" si="134"/>
        <v>0.19944211994421199</v>
      </c>
      <c r="Z210" s="81">
        <f t="shared" si="135"/>
        <v>0.57441860465116279</v>
      </c>
      <c r="AA210" s="81">
        <f t="shared" si="136"/>
        <v>0.71122599704579026</v>
      </c>
      <c r="AC210" s="49"/>
    </row>
    <row r="212" spans="1:31" x14ac:dyDescent="0.2">
      <c r="B212" s="1"/>
    </row>
    <row r="213" spans="1:31" ht="17" thickBot="1" x14ac:dyDescent="0.25">
      <c r="B213" s="14" t="s">
        <v>317</v>
      </c>
      <c r="C213" s="175"/>
      <c r="D213" s="175"/>
      <c r="E213" s="175"/>
      <c r="F213" s="175"/>
      <c r="G213" s="175"/>
      <c r="H213" s="175"/>
      <c r="I213" s="175"/>
      <c r="J213" s="175"/>
      <c r="K213" s="175"/>
      <c r="L213" s="175"/>
      <c r="M213" s="175"/>
      <c r="N213" s="175"/>
      <c r="O213" s="175"/>
      <c r="P213" s="175"/>
      <c r="Q213" s="175"/>
      <c r="T213" s="175"/>
      <c r="U213" s="175"/>
      <c r="V213" s="175"/>
      <c r="W213" s="175"/>
      <c r="X213" s="175"/>
      <c r="Y213" s="175"/>
      <c r="Z213" s="175"/>
      <c r="AA213" s="175"/>
      <c r="AC213" s="175"/>
    </row>
    <row r="214" spans="1:31" x14ac:dyDescent="0.2">
      <c r="B214" s="20" t="s">
        <v>289</v>
      </c>
      <c r="C214" s="81"/>
      <c r="D214" s="81"/>
      <c r="E214" s="81"/>
      <c r="F214" s="81"/>
      <c r="G214" s="81"/>
      <c r="H214" s="81"/>
      <c r="I214" s="81"/>
      <c r="J214" s="81"/>
      <c r="K214" s="81"/>
      <c r="L214" s="81"/>
      <c r="M214" s="81">
        <f>IF(L64=0,
IF(M64=0,0,IF(M64&gt;0,1,-1)),
(M64-L64)/L64
)</f>
        <v>0</v>
      </c>
      <c r="N214" s="81">
        <f>IF(M64=0,
IF(N64=0,0,IF(N64&gt;0,1,-1)),
(N64-M64)/M64
)</f>
        <v>-1</v>
      </c>
      <c r="O214" s="81">
        <f>IF(N64=0,
IF(O64=0,0,IF(O64&gt;0,1,-1)),
(O64-N64)/N64
)</f>
        <v>9.3275488069414311E-2</v>
      </c>
      <c r="P214" s="81">
        <f>IF(O64=0,
IF(P64=0,0,IF(P64&gt;0,1,-1)),
(P64-O64)/O64
)</f>
        <v>1.7857142857142856E-2</v>
      </c>
      <c r="Q214" s="81">
        <f>IF(P64=0,
IF(Q64=0,0,IF(Q64&gt;0,1,-1)),
(Q64-P64)/P64
)</f>
        <v>1.7543859649122806E-2</v>
      </c>
      <c r="T214" s="49"/>
      <c r="U214" s="49"/>
      <c r="V214" s="49"/>
      <c r="W214" s="49"/>
      <c r="X214" s="49"/>
      <c r="Y214" s="49"/>
      <c r="Z214" s="49"/>
      <c r="AA214" s="49"/>
      <c r="AC214" s="49"/>
    </row>
    <row r="216" spans="1:31" x14ac:dyDescent="0.2">
      <c r="B216" s="1"/>
    </row>
    <row r="217" spans="1:31" ht="17" thickBot="1" x14ac:dyDescent="0.25">
      <c r="B217" s="14" t="s">
        <v>357</v>
      </c>
      <c r="C217" s="175"/>
      <c r="D217" s="175"/>
      <c r="E217" s="175"/>
      <c r="F217" s="175"/>
      <c r="G217" s="175"/>
      <c r="H217" s="175"/>
      <c r="I217" s="175"/>
      <c r="J217" s="175"/>
      <c r="K217" s="175"/>
      <c r="L217" s="175"/>
      <c r="M217" s="175"/>
      <c r="N217" s="175"/>
      <c r="O217" s="175"/>
      <c r="P217" s="175"/>
      <c r="Q217" s="175"/>
      <c r="T217" s="175"/>
      <c r="U217" s="175"/>
      <c r="V217" s="175"/>
      <c r="W217" s="175"/>
      <c r="X217" s="175"/>
      <c r="Y217" s="175"/>
      <c r="Z217" s="175"/>
      <c r="AA217" s="175"/>
      <c r="AC217" s="175"/>
    </row>
    <row r="218" spans="1:31" x14ac:dyDescent="0.2">
      <c r="B218" s="20" t="s">
        <v>358</v>
      </c>
      <c r="M218" s="147">
        <v>100</v>
      </c>
      <c r="N218" s="147">
        <f>100*(1+((N117-$M117)/ABS($M117)))</f>
        <v>68.783005280844947</v>
      </c>
      <c r="O218" s="147">
        <f t="shared" ref="O218:Q218" si="137">100*(1+((O117-$M117)/ABS($M117)))</f>
        <v>81.721075372059531</v>
      </c>
      <c r="P218" s="147">
        <f t="shared" si="137"/>
        <v>114.70235237638022</v>
      </c>
      <c r="Q218" s="147">
        <f t="shared" si="137"/>
        <v>146.42342774843974</v>
      </c>
      <c r="T218" s="49"/>
      <c r="U218" s="49"/>
      <c r="V218" s="49"/>
      <c r="W218" s="49"/>
      <c r="X218" s="49"/>
      <c r="Y218" s="49"/>
      <c r="Z218" s="49"/>
      <c r="AA218" s="49"/>
      <c r="AC218" s="49"/>
    </row>
    <row r="219" spans="1:31" x14ac:dyDescent="0.2">
      <c r="B219" s="20" t="s">
        <v>359</v>
      </c>
      <c r="M219" s="147">
        <v>100</v>
      </c>
      <c r="N219" s="147">
        <f>100*(1+((N5-$M5)/ABS($M5)))</f>
        <v>111.0196715394333</v>
      </c>
      <c r="O219" s="147">
        <f t="shared" ref="O219:Q219" si="138">100*(1+((O5-$M5)/ABS($M5)))</f>
        <v>56.090958310774234</v>
      </c>
      <c r="P219" s="147">
        <f t="shared" si="138"/>
        <v>90.637069121097284</v>
      </c>
      <c r="Q219" s="147">
        <f t="shared" si="138"/>
        <v>134.91427540155206</v>
      </c>
      <c r="T219" s="49"/>
      <c r="U219" s="49"/>
      <c r="V219" s="49"/>
      <c r="W219" s="49"/>
      <c r="X219" s="49"/>
      <c r="Y219" s="49"/>
      <c r="Z219" s="49"/>
      <c r="AA219" s="49"/>
      <c r="AC219" s="49"/>
    </row>
    <row r="220" spans="1:31" x14ac:dyDescent="0.2">
      <c r="B220" s="20" t="s">
        <v>360</v>
      </c>
      <c r="M220" s="147">
        <v>100</v>
      </c>
      <c r="N220" s="147">
        <f>100*(1+((N26-$M26)/ABS($M26)))</f>
        <v>150.77821011673151</v>
      </c>
      <c r="O220" s="147">
        <f t="shared" ref="O220:Q220" si="139">100*(1+((O26-$M26)/ABS($M26)))</f>
        <v>-103.89105058365762</v>
      </c>
      <c r="P220" s="147">
        <f t="shared" si="139"/>
        <v>13.618677042801563</v>
      </c>
      <c r="Q220" s="147">
        <f t="shared" si="139"/>
        <v>147.66536964980546</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279</v>
      </c>
    </row>
    <row r="4" spans="2:7" x14ac:dyDescent="0.2">
      <c r="B4" s="240" t="s">
        <v>238</v>
      </c>
      <c r="C4" s="240"/>
      <c r="E4" s="240" t="s">
        <v>245</v>
      </c>
      <c r="F4" s="240"/>
      <c r="G4" s="240"/>
    </row>
    <row r="5" spans="2:7" x14ac:dyDescent="0.2">
      <c r="B5" s="20" t="s">
        <v>1</v>
      </c>
      <c r="C5" s="176">
        <f ca="1">Overview!C5</f>
        <v>1087.96</v>
      </c>
      <c r="E5" s="12"/>
      <c r="F5" s="136" t="s">
        <v>246</v>
      </c>
      <c r="G5" s="136" t="s">
        <v>247</v>
      </c>
    </row>
    <row r="6" spans="2:7" x14ac:dyDescent="0.2">
      <c r="B6" s="20" t="s">
        <v>244</v>
      </c>
      <c r="C6" s="177">
        <f ca="1">Statement!AC153</f>
        <v>1246802.1600000001</v>
      </c>
      <c r="E6" s="20" t="s">
        <v>19</v>
      </c>
      <c r="F6" s="182">
        <f>IF(Statement!M5&lt;=0,"N/A",_xlfn.RRI(4,Statement!M5,Statement!Q5))</f>
        <v>7.7741177345151069E-2</v>
      </c>
      <c r="G6" s="182" t="str">
        <f>IF(Statement!H5&lt;=0,"N/A",_xlfn.RRI(9,Statement!H5,Statement!Q5))</f>
        <v>N/A</v>
      </c>
    </row>
    <row r="7" spans="2:7" x14ac:dyDescent="0.2">
      <c r="B7" s="20" t="s">
        <v>188</v>
      </c>
      <c r="C7" s="177">
        <f ca="1">Statement!AC154</f>
        <v>1222396.1600000001</v>
      </c>
      <c r="E7" s="20" t="s">
        <v>30</v>
      </c>
      <c r="F7" s="182">
        <f>IF(OR(Statement!M18&lt;=0, Statement!Q18&lt;=0), "N/A", _xlfn.RRI(4, Statement!M18, Statement!Q18))</f>
        <v>9.8648641516440261E-2</v>
      </c>
      <c r="G7" s="182" t="str">
        <f>IF(OR(Statement!H18&lt;=0, Statement!Q18&lt;=0), "N/A", _xlfn.RRI(9, Statement!H18, Statement!Q18))</f>
        <v>N/A</v>
      </c>
    </row>
    <row r="8" spans="2:7" x14ac:dyDescent="0.2">
      <c r="B8" s="20" t="s">
        <v>242</v>
      </c>
      <c r="C8" s="178">
        <f ca="1">Statement!AC150</f>
        <v>24.63119764546072</v>
      </c>
      <c r="E8" s="20" t="s">
        <v>248</v>
      </c>
      <c r="F8" s="182">
        <f>IF(OR(Statement!M26&lt;=0, Statement!Q26&lt;=0), "N/A", _xlfn.RRI(4, Statement!M26, Statement!Q26))</f>
        <v>0.10235040051057442</v>
      </c>
      <c r="G8" s="182" t="str">
        <f>IF(OR(Statement!H26&lt;=0, Statement!Q26&lt;=0), "N/A", _xlfn.RRI(9, Statement!H26, Statement!Q26))</f>
        <v>N/A</v>
      </c>
    </row>
    <row r="9" spans="2:7" x14ac:dyDescent="0.2">
      <c r="B9" s="20" t="s">
        <v>201</v>
      </c>
      <c r="C9" s="178">
        <f ca="1">Statement!AC151</f>
        <v>13.726947293794449</v>
      </c>
      <c r="E9" s="20" t="s">
        <v>249</v>
      </c>
      <c r="F9" s="182">
        <f>IF(Statement!M82&lt;=0,"N/A",_xlfn.RRI(4,Statement!M82,Statement!Q82))</f>
        <v>0.46450027618731493</v>
      </c>
      <c r="G9" s="182" t="str">
        <f>IF(Statement!H82&lt;=0,"N/A",_xlfn.RRI(9,Statement!H82,Statement!Q82))</f>
        <v>N/A</v>
      </c>
    </row>
    <row r="10" spans="2:7" x14ac:dyDescent="0.2">
      <c r="B10" s="20" t="s">
        <v>243</v>
      </c>
      <c r="C10" s="178">
        <f ca="1">Statement!AC152</f>
        <v>12.19477820579008</v>
      </c>
      <c r="E10" s="20" t="s">
        <v>1</v>
      </c>
      <c r="F10" s="182">
        <f>IF(Statement!M117&lt;=0,"N/A",_xlfn.RRI(4,Statement!M117,Statement!Q117))</f>
        <v>0.10002522029799144</v>
      </c>
      <c r="G10" s="182" t="str">
        <f>IF(Statement!H117&lt;=0,"N/A",_xlfn.RRI(9,Statement!H117,Statement!Q117))</f>
        <v>N/A</v>
      </c>
    </row>
    <row r="11" spans="2:7" x14ac:dyDescent="0.2">
      <c r="B11" s="20" t="s">
        <v>265</v>
      </c>
      <c r="C11" s="178">
        <f ca="1">Statement!AC155</f>
        <v>13.5409548707269</v>
      </c>
    </row>
    <row r="12" spans="2:7" x14ac:dyDescent="0.2">
      <c r="B12" s="20" t="s">
        <v>204</v>
      </c>
      <c r="C12" s="178">
        <f ca="1">Statement!AC156</f>
        <v>20.633596543051503</v>
      </c>
    </row>
    <row r="15" spans="2:7" x14ac:dyDescent="0.2">
      <c r="B15" s="240" t="s">
        <v>76</v>
      </c>
      <c r="C15" s="240"/>
      <c r="E15" s="240" t="s">
        <v>251</v>
      </c>
      <c r="F15" s="240"/>
    </row>
    <row r="16" spans="2:7" x14ac:dyDescent="0.2">
      <c r="B16" s="20" t="s">
        <v>77</v>
      </c>
      <c r="C16" s="179">
        <f>Statement!AC101</f>
        <v>0.72569067505594076</v>
      </c>
      <c r="E16" s="20" t="s">
        <v>30</v>
      </c>
      <c r="F16" s="177">
        <f>Statement!AC18</f>
        <v>50469</v>
      </c>
    </row>
    <row r="17" spans="2:6" x14ac:dyDescent="0.2">
      <c r="B17" s="20" t="s">
        <v>78</v>
      </c>
      <c r="C17" s="179">
        <f>Statement!AC102</f>
        <v>0.65625761570330332</v>
      </c>
      <c r="E17" s="20" t="s">
        <v>252</v>
      </c>
      <c r="F17" s="177">
        <f>Statement!AC59</f>
        <v>51432</v>
      </c>
    </row>
    <row r="18" spans="2:6" x14ac:dyDescent="0.2">
      <c r="B18" s="20" t="s">
        <v>79</v>
      </c>
      <c r="C18" s="179">
        <f>Statement!AC103</f>
        <v>0.55906462547355829</v>
      </c>
      <c r="E18" s="20" t="s">
        <v>259</v>
      </c>
      <c r="F18" s="181">
        <f>IF(OR(F16&lt;=0, F17&lt;=0),"N/A",F16-F17)</f>
        <v>-963</v>
      </c>
    </row>
    <row r="21" spans="2:6" x14ac:dyDescent="0.2">
      <c r="B21" s="240" t="s">
        <v>250</v>
      </c>
      <c r="C21" s="240"/>
      <c r="E21" s="240" t="s">
        <v>254</v>
      </c>
      <c r="F21" s="240"/>
    </row>
    <row r="22" spans="2:6" x14ac:dyDescent="0.2">
      <c r="B22" s="20" t="s">
        <v>100</v>
      </c>
      <c r="C22" s="179">
        <f>Statement!AC121</f>
        <v>0.55906462547355829</v>
      </c>
      <c r="E22" s="20" t="s">
        <v>102</v>
      </c>
      <c r="F22" s="179">
        <f>C24</f>
        <v>0.37631979241231212</v>
      </c>
    </row>
    <row r="23" spans="2:6" x14ac:dyDescent="0.2">
      <c r="B23" s="20" t="s">
        <v>101</v>
      </c>
      <c r="C23" s="178">
        <f>Statement!AC122</f>
        <v>0.67312395609639708</v>
      </c>
      <c r="E23" s="20" t="s">
        <v>104</v>
      </c>
      <c r="F23" s="179">
        <f>C26</f>
        <v>0.50106230888368219</v>
      </c>
    </row>
    <row r="24" spans="2:6" x14ac:dyDescent="0.2">
      <c r="B24" s="32" t="s">
        <v>102</v>
      </c>
      <c r="C24" s="180">
        <f>Statement!AC123</f>
        <v>0.37631979241231212</v>
      </c>
      <c r="E24" s="20" t="s">
        <v>105</v>
      </c>
      <c r="F24" s="179">
        <f>Statement!AC140</f>
        <v>0.66314520207950856</v>
      </c>
    </row>
    <row r="25" spans="2:6" x14ac:dyDescent="0.2">
      <c r="B25" s="20" t="s">
        <v>103</v>
      </c>
      <c r="C25" s="178">
        <f>Statement!AC124</f>
        <v>1.331480084190461</v>
      </c>
    </row>
    <row r="26" spans="2:6" x14ac:dyDescent="0.2">
      <c r="B26" s="32" t="s">
        <v>104</v>
      </c>
      <c r="C26" s="180">
        <f>Statement!AC125</f>
        <v>0.50106230888368219</v>
      </c>
    </row>
    <row r="29" spans="2:6" x14ac:dyDescent="0.2">
      <c r="B29" s="240" t="s">
        <v>255</v>
      </c>
      <c r="C29" s="240"/>
      <c r="E29" s="240" t="s">
        <v>261</v>
      </c>
      <c r="F29" s="240"/>
    </row>
    <row r="30" spans="2:6" x14ac:dyDescent="0.2">
      <c r="B30" s="20" t="s">
        <v>139</v>
      </c>
      <c r="C30" s="178">
        <f>Statement!AC141</f>
        <v>125.44171079159004</v>
      </c>
      <c r="E30" s="20" t="s">
        <v>262</v>
      </c>
      <c r="F30" s="184">
        <f>Statement!AC145</f>
        <v>5.6808704975973949E-2</v>
      </c>
    </row>
    <row r="31" spans="2:6" x14ac:dyDescent="0.2">
      <c r="B31" s="20" t="s">
        <v>140</v>
      </c>
      <c r="C31" s="178">
        <f>Statement!AC142</f>
        <v>126.27528974679967</v>
      </c>
      <c r="E31" s="20" t="s">
        <v>263</v>
      </c>
      <c r="F31" s="184">
        <f>Statement!AC146</f>
        <v>-0.24230570668361065</v>
      </c>
    </row>
    <row r="32" spans="2:6" x14ac:dyDescent="0.2">
      <c r="B32" s="20" t="s">
        <v>141</v>
      </c>
      <c r="C32" s="178">
        <f>Statement!AC143</f>
        <v>228.77539070387272</v>
      </c>
      <c r="E32" s="20" t="s">
        <v>258</v>
      </c>
      <c r="F32" s="184">
        <f>Statement!AC148</f>
        <v>3.4245176518883413</v>
      </c>
    </row>
    <row r="33" spans="2:6" x14ac:dyDescent="0.2">
      <c r="B33" s="20" t="s">
        <v>142</v>
      </c>
      <c r="C33" s="178">
        <f>Statement!AC144</f>
        <v>22.941609834516981</v>
      </c>
      <c r="E33" s="20" t="s">
        <v>257</v>
      </c>
      <c r="F33" s="184">
        <f>Statement!AC147</f>
        <v>3.1379823481116587</v>
      </c>
    </row>
    <row r="34" spans="2:6" x14ac:dyDescent="0.2">
      <c r="E34" s="20" t="s">
        <v>264</v>
      </c>
      <c r="F34" s="186" t="str">
        <f>Statement!AC149</f>
        <v>N/A</v>
      </c>
    </row>
    <row r="37" spans="2:6" x14ac:dyDescent="0.2">
      <c r="B37" s="240" t="s">
        <v>273</v>
      </c>
      <c r="C37" s="240"/>
      <c r="E37" s="240" t="s">
        <v>276</v>
      </c>
      <c r="F37" s="240"/>
    </row>
    <row r="38" spans="2:6" x14ac:dyDescent="0.2">
      <c r="B38" s="20" t="s">
        <v>271</v>
      </c>
      <c r="C38" s="179">
        <f ca="1">Statement!AC162</f>
        <v>4.0598919077907275E-2</v>
      </c>
      <c r="E38" s="20" t="s">
        <v>275</v>
      </c>
      <c r="F38" s="179">
        <f>Statement!AC168</f>
        <v>2.2709067606536366E-2</v>
      </c>
    </row>
    <row r="39" spans="2:6" x14ac:dyDescent="0.2">
      <c r="B39" s="54" t="s">
        <v>274</v>
      </c>
      <c r="C39" s="219">
        <f ca="1">Statement!AC161</f>
        <v>2.002563101109802E-2</v>
      </c>
      <c r="E39" s="20" t="s">
        <v>277</v>
      </c>
      <c r="F39" s="179">
        <f>Statement!AC169</f>
        <v>4.493752002563281E-2</v>
      </c>
    </row>
    <row r="40" spans="2:6" x14ac:dyDescent="0.2">
      <c r="B40" s="20" t="s">
        <v>272</v>
      </c>
      <c r="C40" s="179">
        <f ca="1">Statement!AC163</f>
        <v>4.8715026287731166E-4</v>
      </c>
      <c r="E40" s="20" t="s">
        <v>278</v>
      </c>
      <c r="F40" s="179">
        <f>Statement!AC170</f>
        <v>6.7646587632169172E-2</v>
      </c>
    </row>
    <row r="41" spans="2:6" x14ac:dyDescent="0.2">
      <c r="B41" s="20" t="s">
        <v>297</v>
      </c>
      <c r="C41" s="179">
        <f ca="1">Statement!AC164</f>
        <v>8.999021945871507E-4</v>
      </c>
    </row>
    <row r="42" spans="2:6" x14ac:dyDescent="0.2">
      <c r="B42" s="20" t="s">
        <v>299</v>
      </c>
      <c r="C42" s="179">
        <f ca="1">Statement!AC165</f>
        <v>1.354665603081727E-3</v>
      </c>
    </row>
    <row r="45" spans="2:6" x14ac:dyDescent="0.2">
      <c r="B45" s="240" t="s">
        <v>284</v>
      </c>
      <c r="C45" s="240"/>
      <c r="E45" s="240" t="s">
        <v>290</v>
      </c>
      <c r="F45" s="240"/>
    </row>
    <row r="46" spans="2:6" x14ac:dyDescent="0.2">
      <c r="B46" s="20" t="s">
        <v>282</v>
      </c>
      <c r="C46" s="179">
        <f>Statement!AC171</f>
        <v>2.617801047120419E-3</v>
      </c>
      <c r="E46" s="20" t="s">
        <v>283</v>
      </c>
      <c r="F46" s="178">
        <f>Statement!AC172</f>
        <v>26.685562444641274</v>
      </c>
    </row>
    <row r="47" spans="2:6" x14ac:dyDescent="0.2">
      <c r="E47" s="20" t="s">
        <v>291</v>
      </c>
      <c r="F47" s="178">
        <f>Statement!AC175</f>
        <v>21.617360496014172</v>
      </c>
    </row>
    <row r="48" spans="2:6" x14ac:dyDescent="0.2">
      <c r="E48" s="20" t="s">
        <v>296</v>
      </c>
      <c r="F48" s="179">
        <f ca="1">Statement!AC176</f>
        <v>1.9574877861937613E-2</v>
      </c>
    </row>
    <row r="51" spans="2:6" x14ac:dyDescent="0.2">
      <c r="B51" s="240" t="s">
        <v>287</v>
      </c>
      <c r="C51" s="240"/>
      <c r="E51" s="240" t="s">
        <v>308</v>
      </c>
      <c r="F51" s="240"/>
    </row>
    <row r="52" spans="2:6" x14ac:dyDescent="0.2">
      <c r="B52" s="20" t="s">
        <v>285</v>
      </c>
      <c r="C52" s="179">
        <f>Statement!AC173</f>
        <v>2.3409550474412816E-2</v>
      </c>
      <c r="E52" s="20" t="s">
        <v>309</v>
      </c>
      <c r="F52" s="179">
        <f>Statement!AC177</f>
        <v>0.27981478609566429</v>
      </c>
    </row>
    <row r="53" spans="2:6" x14ac:dyDescent="0.2">
      <c r="B53" s="20" t="s">
        <v>286</v>
      </c>
      <c r="C53" s="179">
        <f>Statement!AC174</f>
        <v>1.3337173494029289E-2</v>
      </c>
      <c r="E53" s="20" t="s">
        <v>306</v>
      </c>
      <c r="F53" s="179">
        <f>Statement!AC178</f>
        <v>0.49113392440503967</v>
      </c>
    </row>
    <row r="54" spans="2:6" x14ac:dyDescent="0.2">
      <c r="E54" s="20" t="s">
        <v>307</v>
      </c>
      <c r="F54" s="179">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238</v>
      </c>
      <c r="C5" s="14"/>
      <c r="D5" s="14"/>
      <c r="E5" s="14"/>
      <c r="F5" s="14"/>
      <c r="G5" s="14"/>
      <c r="I5" s="14"/>
    </row>
    <row r="6" spans="2:9" x14ac:dyDescent="0.2">
      <c r="B6" s="20" t="s">
        <v>1</v>
      </c>
      <c r="C6" s="176">
        <f>Statement!M116</f>
        <v>83.32</v>
      </c>
      <c r="D6" s="176">
        <f>Statement!N116</f>
        <v>57.31</v>
      </c>
      <c r="E6" s="176">
        <f>Statement!O116</f>
        <v>68.09</v>
      </c>
      <c r="F6" s="176">
        <f>Statement!P116</f>
        <v>95.57</v>
      </c>
      <c r="G6" s="176">
        <f>Statement!Q116</f>
        <v>122</v>
      </c>
      <c r="I6" s="176">
        <f ca="1">Statement!AC116</f>
        <v>1087.96</v>
      </c>
    </row>
    <row r="7" spans="2:9" x14ac:dyDescent="0.2">
      <c r="B7" s="20" t="s">
        <v>244</v>
      </c>
      <c r="C7" s="177">
        <f>Statement!M153</f>
        <v>94984.799999999988</v>
      </c>
      <c r="D7" s="177">
        <f>Statement!N153</f>
        <v>62869.07</v>
      </c>
      <c r="E7" s="177">
        <f>Statement!O153</f>
        <v>74762.820000000007</v>
      </c>
      <c r="F7" s="177">
        <f>Statement!P153</f>
        <v>107229.54</v>
      </c>
      <c r="G7" s="177">
        <f>Statement!Q153</f>
        <v>137982</v>
      </c>
      <c r="I7" s="177">
        <f ca="1">Statement!AC153</f>
        <v>1246802.1600000001</v>
      </c>
    </row>
    <row r="8" spans="2:9" x14ac:dyDescent="0.2">
      <c r="B8" s="20" t="s">
        <v>188</v>
      </c>
      <c r="C8" s="177">
        <f>Statement!M154</f>
        <v>91362.799999999988</v>
      </c>
      <c r="D8" s="177">
        <f>Statement!N154</f>
        <v>58797.070000000007</v>
      </c>
      <c r="E8" s="177">
        <f>Statement!O154</f>
        <v>77654.820000000007</v>
      </c>
      <c r="F8" s="177">
        <f>Statement!P154</f>
        <v>111474.54</v>
      </c>
      <c r="G8" s="177">
        <f>Statement!Q154</f>
        <v>140623</v>
      </c>
      <c r="I8" s="177">
        <f ca="1">Statement!AC154</f>
        <v>1222396.1600000001</v>
      </c>
    </row>
    <row r="9" spans="2:9" x14ac:dyDescent="0.2">
      <c r="B9" s="20" t="s">
        <v>242</v>
      </c>
      <c r="C9" s="178">
        <f>Statement!M150</f>
        <v>16.210116731517509</v>
      </c>
      <c r="D9" s="178">
        <f>Statement!N150</f>
        <v>7.39483870967742</v>
      </c>
      <c r="E9" s="178">
        <f>Statement!O150</f>
        <v>-12.750936329588017</v>
      </c>
      <c r="F9" s="178">
        <f>Statement!P150</f>
        <v>136.52857142857144</v>
      </c>
      <c r="G9" s="178">
        <f>Statement!Q150</f>
        <v>16.073781291172597</v>
      </c>
      <c r="I9" s="178">
        <f ca="1">Statement!AC150</f>
        <v>24.63119764546072</v>
      </c>
    </row>
    <row r="10" spans="2:9" x14ac:dyDescent="0.2">
      <c r="B10" s="20" t="s">
        <v>201</v>
      </c>
      <c r="C10" s="178">
        <f>Statement!M151</f>
        <v>3.4314426998736689</v>
      </c>
      <c r="D10" s="178">
        <f>Statement!N151</f>
        <v>2.0905722088562326</v>
      </c>
      <c r="E10" s="178">
        <f>Statement!O151</f>
        <v>4.7890842985842994</v>
      </c>
      <c r="F10" s="178">
        <f>Statement!P151</f>
        <v>4.2549982079566719</v>
      </c>
      <c r="G10" s="178">
        <f>Statement!Q151</f>
        <v>3.6719460645299371</v>
      </c>
      <c r="I10" s="178">
        <f ca="1">Statement!AC151</f>
        <v>13.726947293794449</v>
      </c>
    </row>
    <row r="11" spans="2:9" x14ac:dyDescent="0.2">
      <c r="B11" s="20" t="s">
        <v>243</v>
      </c>
      <c r="C11" s="178">
        <f>Statement!M152</f>
        <v>2.1222106389274575</v>
      </c>
      <c r="D11" s="178">
        <f>Statement!N152</f>
        <v>1.248241128499008</v>
      </c>
      <c r="E11" s="178">
        <f>Statement!O152</f>
        <v>1.6945335448776064</v>
      </c>
      <c r="F11" s="178">
        <f>Statement!P152</f>
        <v>2.3484330061376881</v>
      </c>
      <c r="G11" s="178">
        <f>Statement!Q152</f>
        <v>2.5271669897535309</v>
      </c>
      <c r="I11" s="178">
        <f ca="1">Statement!AC152</f>
        <v>12.19477820579008</v>
      </c>
    </row>
    <row r="12" spans="2:9" x14ac:dyDescent="0.2">
      <c r="B12" s="20" t="s">
        <v>265</v>
      </c>
      <c r="C12" s="178">
        <f>Statement!M155</f>
        <v>3.2977007760332064</v>
      </c>
      <c r="D12" s="178">
        <f>Statement!N155</f>
        <v>1.9116025099161196</v>
      </c>
      <c r="E12" s="178">
        <f>Statement!O155</f>
        <v>4.9970926640926647</v>
      </c>
      <c r="F12" s="178">
        <f>Statement!P155</f>
        <v>4.4392712357134325</v>
      </c>
      <c r="G12" s="178">
        <f>Statement!Q155</f>
        <v>3.7621863128043236</v>
      </c>
      <c r="I12" s="178">
        <f ca="1">Statement!AC155</f>
        <v>13.5409548707269</v>
      </c>
    </row>
    <row r="13" spans="2:9" x14ac:dyDescent="0.2">
      <c r="B13" s="20" t="s">
        <v>204</v>
      </c>
      <c r="C13" s="178">
        <f>Statement!M156</f>
        <v>14.541270093904185</v>
      </c>
      <c r="D13" s="178">
        <f>Statement!N156</f>
        <v>6.0603040610183472</v>
      </c>
      <c r="E13" s="178">
        <f>Statement!O156</f>
        <v>-13.51693994778068</v>
      </c>
      <c r="F13" s="178">
        <f>Statement!P156</f>
        <v>85.48661042944785</v>
      </c>
      <c r="G13" s="178">
        <f>Statement!Q156</f>
        <v>14.393346980552712</v>
      </c>
      <c r="I13" s="178">
        <f ca="1">Statement!AC156</f>
        <v>20.633596543051503</v>
      </c>
    </row>
    <row r="15" spans="2:9" ht="17" thickBot="1" x14ac:dyDescent="0.25">
      <c r="B15" s="14" t="s">
        <v>76</v>
      </c>
      <c r="C15" s="14"/>
      <c r="D15" s="14"/>
      <c r="E15" s="14"/>
      <c r="F15" s="14"/>
      <c r="G15" s="14"/>
      <c r="I15" s="14"/>
    </row>
    <row r="16" spans="2:9" x14ac:dyDescent="0.2">
      <c r="B16" s="20" t="s">
        <v>77</v>
      </c>
      <c r="C16" s="179">
        <f>Statement!M101</f>
        <v>0.37621367984118392</v>
      </c>
      <c r="D16" s="179">
        <f>Statement!N101</f>
        <v>0.45184992522270628</v>
      </c>
      <c r="E16" s="179">
        <f>Statement!O101</f>
        <v>-9.1119691119691121E-2</v>
      </c>
      <c r="F16" s="179">
        <f>Statement!P101</f>
        <v>0.22352753773246783</v>
      </c>
      <c r="G16" s="179">
        <f>Statement!Q101</f>
        <v>0.39790786023864305</v>
      </c>
      <c r="I16" s="179">
        <f>Statement!AC101</f>
        <v>0.72569067505594076</v>
      </c>
    </row>
    <row r="17" spans="2:9" x14ac:dyDescent="0.2">
      <c r="B17" s="20" t="s">
        <v>78</v>
      </c>
      <c r="C17" s="179">
        <f>Statement!M102</f>
        <v>0.22678216928352282</v>
      </c>
      <c r="D17" s="179">
        <f>Statement!N102</f>
        <v>0.31543013199817932</v>
      </c>
      <c r="E17" s="179">
        <f>Statement!O102</f>
        <v>-0.36969111969111967</v>
      </c>
      <c r="F17" s="179">
        <f>Statement!P102</f>
        <v>5.192943331607662E-2</v>
      </c>
      <c r="G17" s="179">
        <f>Statement!Q102</f>
        <v>0.26138370164267749</v>
      </c>
      <c r="I17" s="179">
        <f>Statement!AC102</f>
        <v>0.65625761570330332</v>
      </c>
    </row>
    <row r="18" spans="2:9" x14ac:dyDescent="0.2">
      <c r="B18" s="20" t="s">
        <v>79</v>
      </c>
      <c r="C18" s="179">
        <f>Statement!M103</f>
        <v>0.2115502616856163</v>
      </c>
      <c r="D18" s="179">
        <f>Statement!N103</f>
        <v>0.28243058716431496</v>
      </c>
      <c r="E18" s="179">
        <f>Statement!O103</f>
        <v>-0.37535392535392537</v>
      </c>
      <c r="F18" s="179">
        <f>Statement!P103</f>
        <v>3.0982437975389271E-2</v>
      </c>
      <c r="G18" s="179">
        <f>Statement!Q103</f>
        <v>0.22844989030980792</v>
      </c>
      <c r="I18" s="179">
        <f>Statement!AC103</f>
        <v>0.55906462547355829</v>
      </c>
    </row>
    <row r="20" spans="2:9" ht="17" thickBot="1" x14ac:dyDescent="0.25">
      <c r="B20" s="14" t="s">
        <v>251</v>
      </c>
      <c r="C20" s="14"/>
      <c r="D20" s="14"/>
      <c r="E20" s="14"/>
      <c r="F20" s="14"/>
      <c r="G20" s="14"/>
      <c r="I20" s="14"/>
    </row>
    <row r="21" spans="2:9" x14ac:dyDescent="0.2">
      <c r="B21" s="20" t="s">
        <v>30</v>
      </c>
      <c r="C21" s="181">
        <f>Statement!M18</f>
        <v>5861</v>
      </c>
      <c r="D21" s="181">
        <f>Statement!N18</f>
        <v>8687</v>
      </c>
      <c r="E21" s="181">
        <f>Statement!O18</f>
        <v>-5833</v>
      </c>
      <c r="F21" s="181">
        <f>Statement!P18</f>
        <v>778</v>
      </c>
      <c r="G21" s="181">
        <f>Statement!Q18</f>
        <v>8539</v>
      </c>
      <c r="I21" s="181">
        <f>Statement!AC18</f>
        <v>50469</v>
      </c>
    </row>
    <row r="22" spans="2:9" x14ac:dyDescent="0.2">
      <c r="B22" s="20" t="s">
        <v>252</v>
      </c>
      <c r="C22" s="181">
        <f>Statement!M59</f>
        <v>12468</v>
      </c>
      <c r="D22" s="181">
        <f>Statement!N59</f>
        <v>15181</v>
      </c>
      <c r="E22" s="181">
        <f>Statement!O59</f>
        <v>1559</v>
      </c>
      <c r="F22" s="181">
        <f>Statement!P59</f>
        <v>8507</v>
      </c>
      <c r="G22" s="181">
        <f>Statement!Q59</f>
        <v>17525</v>
      </c>
      <c r="I22" s="181">
        <f>Statement!AC59</f>
        <v>51432</v>
      </c>
    </row>
    <row r="23" spans="2:9" x14ac:dyDescent="0.2">
      <c r="B23" s="20" t="s">
        <v>259</v>
      </c>
      <c r="C23" s="199">
        <f>IF(OR(C21&lt;=0, C22&lt;=0),"N/A",C21-C22)</f>
        <v>-6607</v>
      </c>
      <c r="D23" s="199">
        <f t="shared" ref="D23:I23" si="0">IF(OR(D21&lt;=0, D22&lt;=0),"N/A",D21-D22)</f>
        <v>-6494</v>
      </c>
      <c r="E23" s="199" t="str">
        <f t="shared" si="0"/>
        <v>N/A</v>
      </c>
      <c r="F23" s="199">
        <f t="shared" si="0"/>
        <v>-7729</v>
      </c>
      <c r="G23" s="199">
        <f t="shared" si="0"/>
        <v>-8986</v>
      </c>
      <c r="I23" s="199">
        <f t="shared" si="0"/>
        <v>-963</v>
      </c>
    </row>
    <row r="25" spans="2:9" ht="17" thickBot="1" x14ac:dyDescent="0.25">
      <c r="B25" s="14" t="s">
        <v>250</v>
      </c>
      <c r="C25" s="14"/>
      <c r="D25" s="14"/>
      <c r="E25" s="14"/>
      <c r="F25" s="14"/>
      <c r="G25" s="14"/>
      <c r="I25" s="14"/>
    </row>
    <row r="26" spans="2:9" x14ac:dyDescent="0.2">
      <c r="B26" s="20" t="s">
        <v>100</v>
      </c>
      <c r="C26" s="179">
        <f>Statement!M121</f>
        <v>0.2115502616856163</v>
      </c>
      <c r="D26" s="179">
        <f>Statement!N121</f>
        <v>0.28243058716431496</v>
      </c>
      <c r="E26" s="179">
        <f>Statement!O121</f>
        <v>-0.37535392535392537</v>
      </c>
      <c r="F26" s="179">
        <f>Statement!P121</f>
        <v>3.0982437975389271E-2</v>
      </c>
      <c r="G26" s="179">
        <f>Statement!Q121</f>
        <v>0.22844989030980792</v>
      </c>
      <c r="I26" s="179">
        <f>Statement!AC121</f>
        <v>0.55906462547355829</v>
      </c>
    </row>
    <row r="27" spans="2:9" x14ac:dyDescent="0.2">
      <c r="B27" s="20" t="s">
        <v>101</v>
      </c>
      <c r="C27" s="218">
        <f>Statement!M122</f>
        <v>0.47078115176128738</v>
      </c>
      <c r="D27" s="218">
        <f>Statement!N122</f>
        <v>0.4640405533847291</v>
      </c>
      <c r="E27" s="218">
        <f>Statement!O122</f>
        <v>0.24185264730600431</v>
      </c>
      <c r="F27" s="218">
        <f>Statement!P122</f>
        <v>0.36174657139564365</v>
      </c>
      <c r="G27" s="218">
        <f>Statement!Q122</f>
        <v>0.45143602502475905</v>
      </c>
      <c r="I27" s="218">
        <f>Statement!AC122</f>
        <v>0.67312395609639708</v>
      </c>
    </row>
    <row r="28" spans="2:9" x14ac:dyDescent="0.2">
      <c r="B28" s="32" t="s">
        <v>102</v>
      </c>
      <c r="C28" s="180">
        <f>Statement!M123</f>
        <v>9.9593875851756192E-2</v>
      </c>
      <c r="D28" s="180">
        <f>Statement!N123</f>
        <v>0.1310592459605027</v>
      </c>
      <c r="E28" s="180">
        <f>Statement!O123</f>
        <v>-9.0780340523547179E-2</v>
      </c>
      <c r="F28" s="180">
        <f>Statement!P123</f>
        <v>1.1207790711075256E-2</v>
      </c>
      <c r="G28" s="180">
        <f>Statement!Q123</f>
        <v>0.1031305103988019</v>
      </c>
      <c r="I28" s="180">
        <f>Statement!AC123</f>
        <v>0.37631979241231212</v>
      </c>
    </row>
    <row r="29" spans="2:9" x14ac:dyDescent="0.2">
      <c r="B29" s="20" t="s">
        <v>103</v>
      </c>
      <c r="C29" s="218">
        <f>Statement!M124</f>
        <v>1.3395169917829421</v>
      </c>
      <c r="D29" s="218">
        <f>Statement!N124</f>
        <v>1.3281303223996634</v>
      </c>
      <c r="E29" s="218">
        <f>Statement!O124</f>
        <v>1.4563463281958295</v>
      </c>
      <c r="F29" s="218">
        <f>Statement!P124</f>
        <v>1.5381001972036958</v>
      </c>
      <c r="G29" s="218">
        <f>Statement!Q124</f>
        <v>1.5286254961691128</v>
      </c>
      <c r="I29" s="218">
        <f>Statement!AC124</f>
        <v>1.331480084190461</v>
      </c>
    </row>
    <row r="30" spans="2:9" x14ac:dyDescent="0.2">
      <c r="B30" s="32" t="s">
        <v>104</v>
      </c>
      <c r="C30" s="180">
        <f>Statement!M125</f>
        <v>0.13340768898094826</v>
      </c>
      <c r="D30" s="180">
        <f>Statement!N125</f>
        <v>0.17406375859097922</v>
      </c>
      <c r="E30" s="180">
        <f>Statement!O125</f>
        <v>-0.13220761559383501</v>
      </c>
      <c r="F30" s="180">
        <f>Statement!P125</f>
        <v>1.7238705102922601E-2</v>
      </c>
      <c r="G30" s="180">
        <f>Statement!Q125</f>
        <v>0.15764792762854241</v>
      </c>
      <c r="I30" s="180">
        <f>Statement!AC125</f>
        <v>0.50106230888368219</v>
      </c>
    </row>
    <row r="32" spans="2:9" ht="17" thickBot="1" x14ac:dyDescent="0.25">
      <c r="B32" s="14" t="s">
        <v>310</v>
      </c>
      <c r="C32" s="14"/>
      <c r="D32" s="14"/>
      <c r="E32" s="14"/>
      <c r="F32" s="14"/>
      <c r="G32" s="14"/>
      <c r="I32" s="14"/>
    </row>
    <row r="33" spans="2:9" x14ac:dyDescent="0.2">
      <c r="B33" s="20" t="s">
        <v>102</v>
      </c>
      <c r="C33" s="179">
        <f>C28</f>
        <v>9.9593875851756192E-2</v>
      </c>
      <c r="D33" s="179">
        <f t="shared" ref="D33:G33" si="1">D28</f>
        <v>0.1310592459605027</v>
      </c>
      <c r="E33" s="179">
        <f t="shared" si="1"/>
        <v>-9.0780340523547179E-2</v>
      </c>
      <c r="F33" s="179">
        <f t="shared" si="1"/>
        <v>1.1207790711075256E-2</v>
      </c>
      <c r="G33" s="179">
        <f t="shared" si="1"/>
        <v>0.1031305103988019</v>
      </c>
      <c r="I33" s="179">
        <f>I28</f>
        <v>0.37631979241231212</v>
      </c>
    </row>
    <row r="34" spans="2:9" x14ac:dyDescent="0.2">
      <c r="B34" s="20" t="s">
        <v>104</v>
      </c>
      <c r="C34" s="179">
        <f>C30</f>
        <v>0.13340768898094826</v>
      </c>
      <c r="D34" s="179">
        <f t="shared" ref="D34:G34" si="2">D30</f>
        <v>0.17406375859097922</v>
      </c>
      <c r="E34" s="179">
        <f t="shared" si="2"/>
        <v>-0.13220761559383501</v>
      </c>
      <c r="F34" s="179">
        <f t="shared" si="2"/>
        <v>1.7238705102922601E-2</v>
      </c>
      <c r="G34" s="179">
        <f t="shared" si="2"/>
        <v>0.15764792762854241</v>
      </c>
      <c r="I34" s="179">
        <f>I30</f>
        <v>0.50106230888368219</v>
      </c>
    </row>
    <row r="35" spans="2:9" x14ac:dyDescent="0.2">
      <c r="B35" s="20" t="s">
        <v>105</v>
      </c>
      <c r="C35" s="179">
        <f>Statement!M140</f>
        <v>0.14598698400731994</v>
      </c>
      <c r="D35" s="179">
        <f>Statement!N140</f>
        <v>0.19203328862527738</v>
      </c>
      <c r="E35" s="179">
        <f>Statement!O140</f>
        <v>-0.12220284182761848</v>
      </c>
      <c r="F35" s="179">
        <f>Statement!P140</f>
        <v>1.6804167624861494E-2</v>
      </c>
      <c r="G35" s="179">
        <f>Statement!Q140</f>
        <v>0.15196448091538983</v>
      </c>
      <c r="I35" s="179">
        <f>Statement!AC140</f>
        <v>0.66314520207950856</v>
      </c>
    </row>
    <row r="37" spans="2:9" ht="17" thickBot="1" x14ac:dyDescent="0.25">
      <c r="B37" s="14" t="s">
        <v>255</v>
      </c>
      <c r="C37" s="14"/>
      <c r="D37" s="14"/>
      <c r="E37" s="14"/>
      <c r="F37" s="14"/>
      <c r="G37" s="14"/>
      <c r="I37" s="14"/>
    </row>
    <row r="38" spans="2:9" x14ac:dyDescent="0.2">
      <c r="B38" s="20" t="s">
        <v>139</v>
      </c>
      <c r="C38" s="178">
        <f>Statement!M141</f>
        <v>69.969861035914093</v>
      </c>
      <c r="D38" s="178">
        <f>Statement!N141</f>
        <v>60.876845048442682</v>
      </c>
      <c r="E38" s="178">
        <f>Statement!O141</f>
        <v>57.380630630630634</v>
      </c>
      <c r="F38" s="178">
        <f>Statement!P141</f>
        <v>96.152084743737802</v>
      </c>
      <c r="G38" s="178">
        <f>Statement!Q141</f>
        <v>90.473674353898005</v>
      </c>
      <c r="I38" s="178">
        <f>Statement!AC141</f>
        <v>125.44171079159004</v>
      </c>
    </row>
    <row r="39" spans="2:9" x14ac:dyDescent="0.2">
      <c r="B39" s="20" t="s">
        <v>140</v>
      </c>
      <c r="C39" s="178">
        <f>Statement!M142</f>
        <v>94.766520078694597</v>
      </c>
      <c r="D39" s="178">
        <f>Statement!N142</f>
        <v>144.24644128113877</v>
      </c>
      <c r="E39" s="178">
        <f>Statement!O142</f>
        <v>180.5411063930172</v>
      </c>
      <c r="F39" s="178">
        <f>Statement!P142</f>
        <v>166.13883475228226</v>
      </c>
      <c r="G39" s="178">
        <f>Statement!Q142</f>
        <v>135.5065540990891</v>
      </c>
      <c r="I39" s="178">
        <f>Statement!AC142</f>
        <v>126.27528974679967</v>
      </c>
    </row>
    <row r="40" spans="2:9" x14ac:dyDescent="0.2">
      <c r="B40" s="20" t="s">
        <v>141</v>
      </c>
      <c r="C40" s="178">
        <f>Statement!M143</f>
        <v>112.46528179608841</v>
      </c>
      <c r="D40" s="178">
        <f>Statement!N143</f>
        <v>131.84163701067615</v>
      </c>
      <c r="E40" s="178">
        <f>Statement!O143</f>
        <v>85.201108752064172</v>
      </c>
      <c r="F40" s="178">
        <f>Statement!P143</f>
        <v>136.63632167401784</v>
      </c>
      <c r="G40" s="178">
        <f>Statement!Q143</f>
        <v>156.4934459009109</v>
      </c>
      <c r="I40" s="178">
        <f>Statement!AC143</f>
        <v>228.77539070387272</v>
      </c>
    </row>
    <row r="41" spans="2:9" x14ac:dyDescent="0.2">
      <c r="B41" s="20" t="s">
        <v>142</v>
      </c>
      <c r="C41" s="178">
        <f>Statement!M144</f>
        <v>52.271099318520285</v>
      </c>
      <c r="D41" s="178">
        <f>Statement!N144</f>
        <v>73.281649318905295</v>
      </c>
      <c r="E41" s="178">
        <f>Statement!O144</f>
        <v>152.72062827158368</v>
      </c>
      <c r="F41" s="178">
        <f>Statement!P144</f>
        <v>125.65459782200224</v>
      </c>
      <c r="G41" s="178">
        <f>Statement!Q144</f>
        <v>69.486782552076193</v>
      </c>
      <c r="I41" s="178">
        <f>Statement!AC144</f>
        <v>22.941609834516981</v>
      </c>
    </row>
    <row r="43" spans="2:9" ht="17" thickBot="1" x14ac:dyDescent="0.25">
      <c r="B43" s="14" t="s">
        <v>261</v>
      </c>
      <c r="C43" s="14"/>
      <c r="D43" s="14"/>
      <c r="E43" s="14"/>
      <c r="F43" s="14"/>
      <c r="G43" s="14"/>
      <c r="I43" s="14"/>
    </row>
    <row r="44" spans="2:9" x14ac:dyDescent="0.2">
      <c r="B44" s="20" t="s">
        <v>262</v>
      </c>
      <c r="C44" s="184">
        <f>Statement!M145</f>
        <v>0.15423485762410943</v>
      </c>
      <c r="D44" s="184">
        <f>Statement!N145</f>
        <v>0.13837738193039054</v>
      </c>
      <c r="E44" s="184">
        <f>Statement!O145</f>
        <v>0.30213055303717135</v>
      </c>
      <c r="F44" s="184">
        <f>Statement!P145</f>
        <v>0.29684695663734462</v>
      </c>
      <c r="G44" s="184">
        <f>Statement!Q145</f>
        <v>0.26912212683467185</v>
      </c>
      <c r="I44" s="184">
        <f>Statement!AC145</f>
        <v>5.6808704975973949E-2</v>
      </c>
    </row>
    <row r="45" spans="2:9" x14ac:dyDescent="0.2">
      <c r="B45" s="20" t="s">
        <v>263</v>
      </c>
      <c r="C45" s="184">
        <f>Statement!M146</f>
        <v>-8.2443721120797578E-2</v>
      </c>
      <c r="D45" s="184">
        <f>Statement!N146</f>
        <v>-8.1591760674855227E-2</v>
      </c>
      <c r="E45" s="184">
        <f>Statement!O146</f>
        <v>6.554850407978241E-2</v>
      </c>
      <c r="F45" s="184">
        <f>Statement!P146</f>
        <v>9.4059515632270496E-2</v>
      </c>
      <c r="G45" s="184">
        <f>Statement!Q146</f>
        <v>4.8758423336102648E-2</v>
      </c>
      <c r="I45" s="184">
        <f>Statement!AC146</f>
        <v>-0.24230570668361065</v>
      </c>
    </row>
    <row r="46" spans="2:9" x14ac:dyDescent="0.2">
      <c r="B46" s="20" t="s">
        <v>257</v>
      </c>
      <c r="C46" s="184">
        <f>Statement!M147</f>
        <v>2.4453611457036115</v>
      </c>
      <c r="D46" s="184">
        <f>Statement!N147</f>
        <v>2.1366228942830614</v>
      </c>
      <c r="E46" s="184">
        <f>Statement!O147</f>
        <v>2.7032528856243441</v>
      </c>
      <c r="F46" s="184">
        <f>Statement!P147</f>
        <v>1.704909169550173</v>
      </c>
      <c r="G46" s="184">
        <f>Statement!Q147</f>
        <v>1.8509690937663699</v>
      </c>
      <c r="I46" s="184">
        <f>Statement!AC147</f>
        <v>3.1379823481116587</v>
      </c>
    </row>
    <row r="47" spans="2:9" x14ac:dyDescent="0.2">
      <c r="B47" s="20" t="s">
        <v>258</v>
      </c>
      <c r="C47" s="184">
        <f>Statement!M148</f>
        <v>3.0988480697384806</v>
      </c>
      <c r="D47" s="184">
        <f>Statement!N148</f>
        <v>2.88910996153336</v>
      </c>
      <c r="E47" s="184">
        <f>Statement!O148</f>
        <v>4.4583420776495277</v>
      </c>
      <c r="F47" s="184">
        <f>Statement!P148</f>
        <v>2.6353806228373702</v>
      </c>
      <c r="G47" s="184">
        <f>Statement!Q148</f>
        <v>2.5179849834119086</v>
      </c>
      <c r="I47" s="184">
        <f>Statement!AC148</f>
        <v>3.4245176518883413</v>
      </c>
    </row>
    <row r="48" spans="2:9" x14ac:dyDescent="0.2">
      <c r="B48" s="20" t="s">
        <v>264</v>
      </c>
      <c r="C48" s="186">
        <f>Statement!M149</f>
        <v>43.034246575342465</v>
      </c>
      <c r="D48" s="186">
        <f>Statement!N149</f>
        <v>104.3225806451613</v>
      </c>
      <c r="E48" s="186" t="str">
        <f>Statement!O149</f>
        <v>N/A</v>
      </c>
      <c r="F48" s="186">
        <f>Statement!P149</f>
        <v>39.515151515151516</v>
      </c>
      <c r="G48" s="186" t="str">
        <f>Statement!Q149</f>
        <v>N/A</v>
      </c>
      <c r="I48" s="186" t="str">
        <f>Statement!AC149</f>
        <v>N/A</v>
      </c>
    </row>
    <row r="50" spans="2:9" ht="17" thickBot="1" x14ac:dyDescent="0.25">
      <c r="B50" s="14" t="s">
        <v>273</v>
      </c>
      <c r="C50" s="14"/>
      <c r="D50" s="14"/>
      <c r="E50" s="14"/>
      <c r="F50" s="14"/>
      <c r="G50" s="14"/>
      <c r="I50" s="14"/>
    </row>
    <row r="51" spans="2:9" x14ac:dyDescent="0.2">
      <c r="B51" s="20" t="s">
        <v>271</v>
      </c>
      <c r="C51" s="179">
        <f>Statement!M162</f>
        <v>6.1689870379260686E-2</v>
      </c>
      <c r="D51" s="179">
        <f>Statement!N162</f>
        <v>0.13522945384749607</v>
      </c>
      <c r="E51" s="179">
        <f>Statement!O162</f>
        <v>-7.8425613159054192E-2</v>
      </c>
      <c r="F51" s="179">
        <f>Statement!P162</f>
        <v>7.3244742073872559E-3</v>
      </c>
      <c r="G51" s="179">
        <f>Statement!Q162</f>
        <v>6.221311475409836E-2</v>
      </c>
      <c r="I51" s="179">
        <f ca="1">Statement!AC162</f>
        <v>4.0598919077907275E-2</v>
      </c>
    </row>
    <row r="52" spans="2:9" x14ac:dyDescent="0.2">
      <c r="B52" s="20" t="s">
        <v>274</v>
      </c>
      <c r="C52" s="179">
        <f>Statement!M161</f>
        <v>2.1687680555204626E-2</v>
      </c>
      <c r="D52" s="179">
        <f>Statement!N161</f>
        <v>4.1355789102654132E-2</v>
      </c>
      <c r="E52" s="179">
        <f>Statement!O161</f>
        <v>-8.9790620525014964E-2</v>
      </c>
      <c r="F52" s="179">
        <f>Statement!P161</f>
        <v>-6.6399613390116198E-3</v>
      </c>
      <c r="G52" s="179">
        <f>Statement!Q161</f>
        <v>5.0441361916771753E-3</v>
      </c>
      <c r="I52" s="179">
        <f ca="1">Statement!AC161</f>
        <v>2.002563101109802E-2</v>
      </c>
    </row>
    <row r="53" spans="2:9" x14ac:dyDescent="0.2">
      <c r="B53" s="20" t="s">
        <v>272</v>
      </c>
      <c r="C53" s="179">
        <f>Statement!M163</f>
        <v>1.2001920307249162E-3</v>
      </c>
      <c r="D53" s="179">
        <f>Statement!N163</f>
        <v>5.4964229628337111E-3</v>
      </c>
      <c r="E53" s="179">
        <f>Statement!O163</f>
        <v>6.7557644294316344E-3</v>
      </c>
      <c r="F53" s="179">
        <f>Statement!P163</f>
        <v>4.8132259077116255E-3</v>
      </c>
      <c r="G53" s="179">
        <f>Statement!Q163</f>
        <v>3.7704918032786887E-3</v>
      </c>
      <c r="I53" s="179">
        <f ca="1">Statement!AC163</f>
        <v>4.8715026287731166E-4</v>
      </c>
    </row>
    <row r="54" spans="2:9" x14ac:dyDescent="0.2">
      <c r="B54" s="20" t="s">
        <v>297</v>
      </c>
      <c r="C54" s="179">
        <f>Statement!M164</f>
        <v>1.362323234875475E-2</v>
      </c>
      <c r="D54" s="179">
        <f>Statement!N164</f>
        <v>4.0671827975187161E-2</v>
      </c>
      <c r="E54" s="179">
        <f>Statement!O164</f>
        <v>5.6846437841697245E-3</v>
      </c>
      <c r="F54" s="179">
        <f>Statement!P164</f>
        <v>2.7977365192464691E-3</v>
      </c>
      <c r="G54" s="179">
        <f>Statement!Q164</f>
        <v>0</v>
      </c>
      <c r="I54" s="179">
        <f ca="1">Statement!AC164</f>
        <v>8.999021945871507E-4</v>
      </c>
    </row>
    <row r="55" spans="2:9" x14ac:dyDescent="0.2">
      <c r="B55" s="20" t="s">
        <v>299</v>
      </c>
      <c r="C55" s="179">
        <f>Statement!M165</f>
        <v>1.362323234875475E-2</v>
      </c>
      <c r="D55" s="179">
        <f>Statement!N165</f>
        <v>4.8004527504542378E-2</v>
      </c>
      <c r="E55" s="179">
        <f>Statement!O165</f>
        <v>1.2425962530573351E-2</v>
      </c>
      <c r="F55" s="179">
        <f>Statement!P165</f>
        <v>7.5818659671579311E-3</v>
      </c>
      <c r="G55" s="179">
        <f>Statement!Q165</f>
        <v>3.7831021437578815E-3</v>
      </c>
      <c r="I55" s="179">
        <f ca="1">Statement!AC165</f>
        <v>1.354665603081727E-3</v>
      </c>
    </row>
    <row r="57" spans="2:9" ht="17" thickBot="1" x14ac:dyDescent="0.25">
      <c r="B57" s="14" t="s">
        <v>276</v>
      </c>
      <c r="C57" s="14"/>
      <c r="D57" s="14"/>
      <c r="E57" s="14"/>
      <c r="F57" s="14"/>
      <c r="G57" s="14"/>
      <c r="I57" s="14"/>
    </row>
    <row r="58" spans="2:9" x14ac:dyDescent="0.2">
      <c r="B58" s="20" t="s">
        <v>275</v>
      </c>
      <c r="C58" s="179">
        <f>Statement!M168</f>
        <v>0</v>
      </c>
      <c r="D58" s="179">
        <f>Statement!N168</f>
        <v>0.17730769230769231</v>
      </c>
      <c r="E58" s="179">
        <f>Statement!O168</f>
        <v>-7.5078206465067784E-2</v>
      </c>
      <c r="F58" s="179">
        <f>Statement!P168</f>
        <v>-0.7205056179775281</v>
      </c>
      <c r="G58" s="179">
        <f>Statement!Q168</f>
        <v>0.75</v>
      </c>
      <c r="I58" s="179">
        <f>Statement!AC168</f>
        <v>2.2709067606536366E-2</v>
      </c>
    </row>
    <row r="59" spans="2:9" x14ac:dyDescent="0.2">
      <c r="B59" s="20" t="s">
        <v>277</v>
      </c>
      <c r="C59" s="179">
        <f>Statement!M169</f>
        <v>0.62815533980582527</v>
      </c>
      <c r="D59" s="179">
        <f>Statement!N169</f>
        <v>0.9834615384615385</v>
      </c>
      <c r="E59" s="179">
        <f>Statement!O169</f>
        <v>-6.3309995531059135E-2</v>
      </c>
      <c r="F59" s="179">
        <f>Statement!P169</f>
        <v>-0.42134831460674155</v>
      </c>
      <c r="G59" s="179">
        <f>Statement!Q169</f>
        <v>0</v>
      </c>
      <c r="I59" s="179">
        <f>Statement!AC169</f>
        <v>4.493752002563281E-2</v>
      </c>
    </row>
    <row r="60" spans="2:9" x14ac:dyDescent="0.2">
      <c r="B60" s="20" t="s">
        <v>278</v>
      </c>
      <c r="C60" s="179">
        <f>Statement!M170</f>
        <v>0.62815533980582527</v>
      </c>
      <c r="D60" s="179">
        <f>Statement!N170</f>
        <v>1.1607692307692308</v>
      </c>
      <c r="E60" s="179">
        <f>Statement!O170</f>
        <v>-0.13838820199612692</v>
      </c>
      <c r="F60" s="179">
        <f>Statement!P170</f>
        <v>-1.1418539325842696</v>
      </c>
      <c r="G60" s="179">
        <f>Statement!Q170</f>
        <v>0.75</v>
      </c>
      <c r="I60" s="179">
        <f>Statement!AC170</f>
        <v>6.7646587632169172E-2</v>
      </c>
    </row>
    <row r="62" spans="2:9" ht="17" thickBot="1" x14ac:dyDescent="0.25">
      <c r="B62" s="14" t="s">
        <v>284</v>
      </c>
      <c r="C62" s="14"/>
      <c r="D62" s="14"/>
      <c r="E62" s="14"/>
      <c r="F62" s="14"/>
      <c r="G62" s="14"/>
      <c r="I62" s="14"/>
    </row>
    <row r="63" spans="2:9" x14ac:dyDescent="0.2">
      <c r="B63" s="20" t="s">
        <v>282</v>
      </c>
      <c r="C63" s="179">
        <f>Statement!M171</f>
        <v>3.5087719298245615E-3</v>
      </c>
      <c r="D63" s="179">
        <f>Statement!N171</f>
        <v>3.6463081130355514E-3</v>
      </c>
      <c r="E63" s="179">
        <f>Statement!O171</f>
        <v>3.6429872495446266E-3</v>
      </c>
      <c r="F63" s="179">
        <f>Statement!P171</f>
        <v>2.6737967914438501E-3</v>
      </c>
      <c r="G63" s="179">
        <f>Statement!Q171</f>
        <v>2.6525198938992041E-3</v>
      </c>
      <c r="I63" s="179">
        <f>Statement!AC171</f>
        <v>2.617801047120419E-3</v>
      </c>
    </row>
    <row r="65" spans="2:9" ht="17" thickBot="1" x14ac:dyDescent="0.25">
      <c r="B65" s="14" t="s">
        <v>290</v>
      </c>
      <c r="C65" s="14"/>
      <c r="D65" s="14"/>
      <c r="E65" s="14"/>
      <c r="F65" s="14"/>
      <c r="G65" s="14"/>
      <c r="I65" s="14"/>
    </row>
    <row r="66" spans="2:9" x14ac:dyDescent="0.2">
      <c r="B66" s="20" t="s">
        <v>283</v>
      </c>
      <c r="C66" s="178">
        <f>Statement!M172</f>
        <v>9.2922252010723856</v>
      </c>
      <c r="D66" s="178">
        <f>Statement!N172</f>
        <v>10.09935602575897</v>
      </c>
      <c r="E66" s="178">
        <f>Statement!O172</f>
        <v>9.5063752276867035</v>
      </c>
      <c r="F66" s="178">
        <f>Statement!P172</f>
        <v>8.252479711451759</v>
      </c>
      <c r="G66" s="178">
        <f>Statement!Q172</f>
        <v>10.638146167557933</v>
      </c>
      <c r="I66" s="178">
        <f>Statement!AC172</f>
        <v>26.685562444641274</v>
      </c>
    </row>
    <row r="67" spans="2:9" x14ac:dyDescent="0.2">
      <c r="B67" s="20" t="s">
        <v>291</v>
      </c>
      <c r="C67" s="178">
        <f>Statement!M175</f>
        <v>3.2368185880250224</v>
      </c>
      <c r="D67" s="178">
        <f>Statement!N175</f>
        <v>3.7460901563937443</v>
      </c>
      <c r="E67" s="178">
        <f>Statement!O175</f>
        <v>-2.6338797814207648</v>
      </c>
      <c r="F67" s="178">
        <f>Statement!P175</f>
        <v>-3.8277727682596936</v>
      </c>
      <c r="G67" s="178">
        <f>Statement!Q175</f>
        <v>-2.3538324420677363</v>
      </c>
      <c r="I67" s="178">
        <f>Statement!AC175</f>
        <v>21.617360496014172</v>
      </c>
    </row>
    <row r="68" spans="2:9" x14ac:dyDescent="0.2">
      <c r="B68" s="20" t="s">
        <v>296</v>
      </c>
      <c r="C68" s="200">
        <f>Statement!M176</f>
        <v>3.8132416976189881E-2</v>
      </c>
      <c r="D68" s="200">
        <f>Statement!N176</f>
        <v>6.4769528163849094E-2</v>
      </c>
      <c r="E68" s="200">
        <f>Statement!O176</f>
        <v>-3.8682328997220808E-2</v>
      </c>
      <c r="F68" s="200">
        <f>Statement!P176</f>
        <v>-3.9587971747337539E-2</v>
      </c>
      <c r="G68" s="200">
        <f>Statement!Q176</f>
        <v>-1.9140177704338249E-2</v>
      </c>
      <c r="I68" s="200">
        <f ca="1">Statement!AC176</f>
        <v>1.9574877861937613E-2</v>
      </c>
    </row>
    <row r="70" spans="2:9" ht="17" thickBot="1" x14ac:dyDescent="0.25">
      <c r="B70" s="14" t="s">
        <v>311</v>
      </c>
      <c r="C70" s="14"/>
      <c r="D70" s="14"/>
      <c r="E70" s="14"/>
      <c r="F70" s="14"/>
      <c r="G70" s="14"/>
      <c r="I70" s="14"/>
    </row>
    <row r="71" spans="2:9" x14ac:dyDescent="0.2">
      <c r="B71" s="20" t="s">
        <v>285</v>
      </c>
      <c r="C71" s="179">
        <f>Statement!M173</f>
        <v>3.0317613089509143E-2</v>
      </c>
      <c r="D71" s="179">
        <f>Statement!N173</f>
        <v>3.3858112113826493E-2</v>
      </c>
      <c r="E71" s="179">
        <f>Statement!O173</f>
        <v>0.38229634381013472</v>
      </c>
      <c r="F71" s="179">
        <f>Statement!P173</f>
        <v>9.7919360526625129E-2</v>
      </c>
      <c r="G71" s="179">
        <f>Statement!Q173</f>
        <v>5.5463623395149785E-2</v>
      </c>
      <c r="I71" s="179">
        <f>Statement!AC173</f>
        <v>2.3409550474412816E-2</v>
      </c>
    </row>
    <row r="72" spans="2:9" x14ac:dyDescent="0.2">
      <c r="B72" s="20" t="s">
        <v>286</v>
      </c>
      <c r="C72" s="179">
        <f>Statement!M174</f>
        <v>1.3643746616134272E-2</v>
      </c>
      <c r="D72" s="179">
        <f>Statement!N174</f>
        <v>1.6711099551336237E-2</v>
      </c>
      <c r="E72" s="179">
        <f>Statement!O174</f>
        <v>3.835263835263835E-2</v>
      </c>
      <c r="F72" s="179">
        <f>Statement!P174</f>
        <v>3.3172713153598023E-2</v>
      </c>
      <c r="G72" s="179">
        <f>Statement!Q174</f>
        <v>2.600460163732677E-2</v>
      </c>
      <c r="I72" s="179">
        <f>Statement!AC174</f>
        <v>1.3337173494029289E-2</v>
      </c>
    </row>
    <row r="74" spans="2:9" ht="17" thickBot="1" x14ac:dyDescent="0.25">
      <c r="B74" s="14" t="s">
        <v>312</v>
      </c>
      <c r="C74" s="14"/>
      <c r="D74" s="14"/>
      <c r="E74" s="14"/>
      <c r="F74" s="14"/>
      <c r="G74" s="14"/>
      <c r="I74" s="14"/>
    </row>
    <row r="75" spans="2:9" x14ac:dyDescent="0.2">
      <c r="B75" s="20" t="s">
        <v>309</v>
      </c>
      <c r="C75" s="179">
        <f>Statement!M177</f>
        <v>0.36202851470853636</v>
      </c>
      <c r="D75" s="179">
        <f>Statement!N177</f>
        <v>0.39232069705442485</v>
      </c>
      <c r="E75" s="179">
        <f>Statement!O177</f>
        <v>0.49395109395109393</v>
      </c>
      <c r="F75" s="179">
        <f>Statement!P177</f>
        <v>0.33395722989924737</v>
      </c>
      <c r="G75" s="179">
        <f>Statement!Q177</f>
        <v>0.42423350634062817</v>
      </c>
      <c r="I75" s="179">
        <f>Statement!AC177</f>
        <v>0.27981478609566429</v>
      </c>
    </row>
    <row r="76" spans="2:9" x14ac:dyDescent="0.2">
      <c r="B76" s="20" t="s">
        <v>306</v>
      </c>
      <c r="C76" s="179">
        <f>Statement!M178</f>
        <v>0.80445941610522942</v>
      </c>
      <c r="D76" s="179">
        <f>Statement!N178</f>
        <v>0.79487517291351029</v>
      </c>
      <c r="E76" s="179">
        <f>Statement!O178</f>
        <v>4.9236690186016681</v>
      </c>
      <c r="F76" s="179">
        <f>Statement!P178</f>
        <v>0.98577641941930172</v>
      </c>
      <c r="G76" s="179">
        <f>Statement!Q178</f>
        <v>0.90482168330955781</v>
      </c>
      <c r="I76" s="179">
        <f>Statement!AC178</f>
        <v>0.49113392440503967</v>
      </c>
    </row>
    <row r="77" spans="2:9" x14ac:dyDescent="0.2">
      <c r="B77" s="20" t="s">
        <v>307</v>
      </c>
      <c r="C77" s="179">
        <f>Statement!M179</f>
        <v>1.6140971998712585</v>
      </c>
      <c r="D77" s="179">
        <f>Statement!N179</f>
        <v>1.6957560427206295</v>
      </c>
      <c r="E77" s="179">
        <f>Statement!O179</f>
        <v>0.98968540484785972</v>
      </c>
      <c r="F77" s="179">
        <f>Statement!P179</f>
        <v>1.0778920308483291</v>
      </c>
      <c r="G77" s="179">
        <f>Statement!Q179</f>
        <v>1.8985871647509578</v>
      </c>
      <c r="I77" s="179">
        <f>Statement!AC179</f>
        <v>2.8032404838530685</v>
      </c>
    </row>
    <row r="79" spans="2:9" ht="17" thickBot="1" x14ac:dyDescent="0.25">
      <c r="B79" s="14" t="s">
        <v>122</v>
      </c>
      <c r="C79" s="14"/>
      <c r="D79" s="14"/>
      <c r="E79" s="14"/>
      <c r="F79" s="14"/>
      <c r="G79" s="14"/>
      <c r="I79" s="14"/>
    </row>
    <row r="80" spans="2:9" x14ac:dyDescent="0.2">
      <c r="B80" s="20" t="s">
        <v>19</v>
      </c>
      <c r="C80" s="179">
        <f>Statement!M89</f>
        <v>1</v>
      </c>
      <c r="D80" s="179">
        <f>Statement!N89</f>
        <v>0.11019671539433315</v>
      </c>
      <c r="E80" s="179">
        <f>Statement!O89</f>
        <v>-0.49476558944014565</v>
      </c>
      <c r="F80" s="179">
        <f>Statement!P89</f>
        <v>0.61589446589446595</v>
      </c>
      <c r="G80" s="179">
        <f>Statement!Q89</f>
        <v>0.48851101111066864</v>
      </c>
      <c r="I80" s="201"/>
    </row>
    <row r="81" spans="2:9" x14ac:dyDescent="0.2">
      <c r="B81" s="20" t="s">
        <v>20</v>
      </c>
      <c r="C81" s="179">
        <f>Statement!M90</f>
        <v>1</v>
      </c>
      <c r="D81" s="179">
        <f>Statement!N90</f>
        <v>-2.4418470084480962E-2</v>
      </c>
      <c r="E81" s="179">
        <f>Statement!O90</f>
        <v>5.6939501779359435E-3</v>
      </c>
      <c r="F81" s="179">
        <f>Statement!P90</f>
        <v>0.14991743335692381</v>
      </c>
      <c r="G81" s="179">
        <f>Statement!Q90</f>
        <v>0.15422094573802442</v>
      </c>
      <c r="I81" s="201"/>
    </row>
    <row r="82" spans="2:9" x14ac:dyDescent="0.2">
      <c r="B82" s="20" t="s">
        <v>21</v>
      </c>
      <c r="C82" s="179">
        <f>Statement!M91</f>
        <v>1</v>
      </c>
      <c r="D82" s="179">
        <f>Statement!N91</f>
        <v>0.33339729444497745</v>
      </c>
      <c r="E82" s="179">
        <f>Statement!O91</f>
        <v>-1.1018851633328537</v>
      </c>
      <c r="F82" s="179">
        <f>Statement!P91</f>
        <v>4.9639830508474576</v>
      </c>
      <c r="G82" s="179">
        <f>Statement!Q91</f>
        <v>1.6497416711206128</v>
      </c>
      <c r="I82" s="201"/>
    </row>
    <row r="83" spans="2:9" x14ac:dyDescent="0.2">
      <c r="B83" s="20" t="s">
        <v>24</v>
      </c>
      <c r="C83" s="179">
        <f>Statement!M95</f>
        <v>1</v>
      </c>
      <c r="D83" s="179">
        <f>Statement!N95</f>
        <v>1.3526570048309179E-2</v>
      </c>
      <c r="E83" s="179">
        <f>Statement!O95</f>
        <v>3.169685414680648E-2</v>
      </c>
      <c r="F83" s="179">
        <f>Statement!P95</f>
        <v>-4.6200046200046202E-3</v>
      </c>
      <c r="G83" s="179">
        <f>Statement!Q95</f>
        <v>0.18426549083313995</v>
      </c>
      <c r="I83" s="201"/>
    </row>
    <row r="84" spans="2:9" x14ac:dyDescent="0.2">
      <c r="B84" s="20" t="s">
        <v>313</v>
      </c>
      <c r="C84" s="179">
        <f>Statement!M96</f>
        <v>1</v>
      </c>
      <c r="D84" s="179">
        <f>Statement!N96</f>
        <v>0.54416679929969758</v>
      </c>
      <c r="E84" s="179">
        <f>Statement!O96</f>
        <v>-1.5921459492888064</v>
      </c>
      <c r="F84" s="179">
        <f>Statement!P96</f>
        <v>1.2269799825935597</v>
      </c>
      <c r="G84" s="179">
        <f>Statement!Q96</f>
        <v>6.492331288343558</v>
      </c>
      <c r="I84" s="201"/>
    </row>
    <row r="85" spans="2:9" x14ac:dyDescent="0.2">
      <c r="B85" s="20" t="s">
        <v>314</v>
      </c>
      <c r="C85" s="179">
        <f>Statement!M98</f>
        <v>1</v>
      </c>
      <c r="D85" s="179">
        <f>Statement!N98</f>
        <v>0.48217027810953761</v>
      </c>
      <c r="E85" s="179">
        <f>Statement!O98</f>
        <v>-1.6714631057902614</v>
      </c>
      <c r="F85" s="179">
        <f>Statement!P98</f>
        <v>1.1333790502314418</v>
      </c>
      <c r="G85" s="179">
        <f>Statement!Q98</f>
        <v>9.9755784061696655</v>
      </c>
      <c r="I85" s="201"/>
    </row>
    <row r="88" spans="2:9" ht="17" thickBot="1" x14ac:dyDescent="0.25">
      <c r="B88" s="14" t="s">
        <v>315</v>
      </c>
      <c r="C88" s="14"/>
      <c r="D88" s="14"/>
      <c r="E88" s="14"/>
      <c r="F88" s="14"/>
      <c r="G88" s="14"/>
      <c r="I88" s="14"/>
    </row>
    <row r="89" spans="2:9" x14ac:dyDescent="0.2">
      <c r="B89" s="20" t="str">
        <f>Statement!B203</f>
        <v>DRAM</v>
      </c>
      <c r="C89" s="179">
        <f>Statement!M203</f>
        <v>1</v>
      </c>
      <c r="D89" s="179">
        <f>Statement!N203</f>
        <v>0.11712161285493287</v>
      </c>
      <c r="E89" s="179">
        <f>Statement!O203</f>
        <v>-0.5096042169212901</v>
      </c>
      <c r="F89" s="179">
        <f>Statement!P203</f>
        <v>0.60347968664601936</v>
      </c>
      <c r="G89" s="179">
        <f>Statement!Q203</f>
        <v>0.62347327160143162</v>
      </c>
      <c r="I89" s="201"/>
    </row>
    <row r="90" spans="2:9" x14ac:dyDescent="0.2">
      <c r="B90" s="20" t="str">
        <f>Statement!B204</f>
        <v>NAND</v>
      </c>
      <c r="C90" s="179">
        <f>Statement!M204</f>
        <v>1</v>
      </c>
      <c r="D90" s="179">
        <f>Statement!N204</f>
        <v>0.11474240045668617</v>
      </c>
      <c r="E90" s="179">
        <f>Statement!O204</f>
        <v>-0.46152861349379082</v>
      </c>
      <c r="F90" s="179">
        <f>Statement!P204</f>
        <v>0.71825962910128383</v>
      </c>
      <c r="G90" s="179">
        <f>Statement!Q204</f>
        <v>0.17656012176560121</v>
      </c>
      <c r="I90" s="201"/>
    </row>
    <row r="91" spans="2:9" x14ac:dyDescent="0.2">
      <c r="B91" s="20" t="str">
        <f>Statement!B205</f>
        <v>Other</v>
      </c>
      <c r="C91" s="179">
        <f>Statement!M205</f>
        <v>1</v>
      </c>
      <c r="D91" s="179">
        <f>Statement!N205</f>
        <v>-0.14871016691957512</v>
      </c>
      <c r="E91" s="179">
        <f>Statement!O205</f>
        <v>-0.36541889483065954</v>
      </c>
      <c r="F91" s="179">
        <f>Statement!P205</f>
        <v>-0.21067415730337077</v>
      </c>
      <c r="G91" s="179">
        <f>Statement!Q205</f>
        <v>5.6939501779359428E-2</v>
      </c>
      <c r="I91" s="201"/>
    </row>
    <row r="92" spans="2:9" x14ac:dyDescent="0.2">
      <c r="B92" s="20"/>
      <c r="C92" s="179"/>
      <c r="D92" s="179"/>
      <c r="E92" s="179"/>
      <c r="F92" s="179"/>
      <c r="G92" s="179"/>
      <c r="I92" s="201"/>
    </row>
    <row r="93" spans="2:9" x14ac:dyDescent="0.2">
      <c r="B93" s="20" t="str">
        <f>Statement!B207</f>
        <v>Cloud Memory</v>
      </c>
      <c r="C93" s="179">
        <f>Statement!M207</f>
        <v>0</v>
      </c>
      <c r="D93" s="179">
        <f>Statement!N207</f>
        <v>0</v>
      </c>
      <c r="E93" s="179">
        <f>Statement!O207</f>
        <v>1</v>
      </c>
      <c r="F93" s="179">
        <f>Statement!P207</f>
        <v>1.0256410256410255</v>
      </c>
      <c r="G93" s="179">
        <f>Statement!Q207</f>
        <v>2.5664556962025316</v>
      </c>
      <c r="I93" s="201"/>
    </row>
    <row r="94" spans="2:9" x14ac:dyDescent="0.2">
      <c r="B94" s="20" t="str">
        <f>Statement!B208</f>
        <v>Core Data Center</v>
      </c>
      <c r="C94" s="179">
        <f>Statement!M208</f>
        <v>0</v>
      </c>
      <c r="D94" s="179">
        <f>Statement!N208</f>
        <v>0</v>
      </c>
      <c r="E94" s="179">
        <f>Statement!O208</f>
        <v>1</v>
      </c>
      <c r="F94" s="179">
        <f>Statement!P208</f>
        <v>1.3465160075329567</v>
      </c>
      <c r="G94" s="179">
        <f>Statement!Q208</f>
        <v>0.4504414125200642</v>
      </c>
      <c r="I94" s="201"/>
    </row>
    <row r="95" spans="2:9" x14ac:dyDescent="0.2">
      <c r="B95" s="20" t="str">
        <f>Statement!B209</f>
        <v>Mobile and Client</v>
      </c>
      <c r="C95" s="179">
        <f>Statement!M209</f>
        <v>0</v>
      </c>
      <c r="D95" s="179">
        <f>Statement!N209</f>
        <v>0</v>
      </c>
      <c r="E95" s="179">
        <f>Statement!O209</f>
        <v>1</v>
      </c>
      <c r="F95" s="179">
        <f>Statement!P209</f>
        <v>0.57790100081146878</v>
      </c>
      <c r="G95" s="179">
        <f>Statement!Q209</f>
        <v>1.6456672666495243E-2</v>
      </c>
      <c r="I95" s="201"/>
    </row>
    <row r="96" spans="2:9" x14ac:dyDescent="0.2">
      <c r="B96" s="20" t="str">
        <f>Statement!B210</f>
        <v>Automotive and Embedded</v>
      </c>
      <c r="C96" s="179">
        <f>Statement!M210</f>
        <v>0</v>
      </c>
      <c r="D96" s="179">
        <f>Statement!N210</f>
        <v>0</v>
      </c>
      <c r="E96" s="179">
        <f>Statement!O210</f>
        <v>1</v>
      </c>
      <c r="F96" s="179">
        <f>Statement!P210</f>
        <v>0.11886929209954095</v>
      </c>
      <c r="G96" s="179">
        <f>Statement!Q210</f>
        <v>2.6344202116173613E-2</v>
      </c>
      <c r="I96" s="201"/>
    </row>
    <row r="98" spans="2:9" ht="17" thickBot="1" x14ac:dyDescent="0.25">
      <c r="B98" s="14" t="s">
        <v>317</v>
      </c>
      <c r="C98" s="14"/>
      <c r="D98" s="14"/>
      <c r="E98" s="14"/>
      <c r="F98" s="14"/>
      <c r="G98" s="14"/>
      <c r="I98" s="14"/>
    </row>
    <row r="99" spans="2:9" x14ac:dyDescent="0.2">
      <c r="B99" s="20" t="s">
        <v>289</v>
      </c>
      <c r="C99" s="179">
        <f>Statement!M214</f>
        <v>0</v>
      </c>
      <c r="D99" s="179">
        <f>Statement!N214</f>
        <v>-1</v>
      </c>
      <c r="E99" s="179">
        <f>Statement!O214</f>
        <v>9.3275488069414311E-2</v>
      </c>
      <c r="F99" s="179">
        <f>Statement!P214</f>
        <v>1.7857142857142856E-2</v>
      </c>
      <c r="G99" s="179">
        <f>Statement!Q214</f>
        <v>1.7543859649122806E-2</v>
      </c>
      <c r="I99"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4" t="s">
        <v>318</v>
      </c>
      <c r="D3" s="245"/>
      <c r="F3" s="246" t="s">
        <v>319</v>
      </c>
      <c r="G3" s="245"/>
    </row>
    <row r="4" spans="2:7" x14ac:dyDescent="0.2">
      <c r="B4" s="8"/>
      <c r="C4" s="10" t="str">
        <f>Statement!Z2</f>
        <v>26.02.2026</v>
      </c>
      <c r="D4" s="207" t="str">
        <f>Statement!AA2</f>
        <v>28.05.2026</v>
      </c>
      <c r="F4" s="208" t="str">
        <f>Statement!W2</f>
        <v>29.05.2025</v>
      </c>
      <c r="G4" s="207" t="str">
        <f>Statement!AA2</f>
        <v>28.05.2026</v>
      </c>
    </row>
    <row r="5" spans="2:7" x14ac:dyDescent="0.2">
      <c r="B5" s="8" t="s">
        <v>324</v>
      </c>
      <c r="C5" s="10" t="str">
        <f>Statement!Z3</f>
        <v>Q2 2026</v>
      </c>
      <c r="D5" s="207" t="str">
        <f>Statement!AA3</f>
        <v>Q3 2026</v>
      </c>
      <c r="F5" s="208" t="str">
        <f>Statement!W3</f>
        <v>Q3 2025</v>
      </c>
      <c r="G5" s="207" t="str">
        <f>Statement!AA3</f>
        <v>Q3 2026</v>
      </c>
    </row>
    <row r="6" spans="2:7" x14ac:dyDescent="0.2">
      <c r="B6" s="209" t="s">
        <v>19</v>
      </c>
      <c r="C6" s="203">
        <f>Statement!Z5</f>
        <v>23860</v>
      </c>
      <c r="D6" s="202">
        <f>Statement!AA5</f>
        <v>41456</v>
      </c>
      <c r="F6" s="203">
        <f>Statement!W5</f>
        <v>9301</v>
      </c>
      <c r="G6" s="202">
        <f>Statement!AA5</f>
        <v>41456</v>
      </c>
    </row>
    <row r="7" spans="2:7" x14ac:dyDescent="0.2">
      <c r="B7" s="210" t="s">
        <v>320</v>
      </c>
      <c r="C7" s="247">
        <f>Statement!AA89</f>
        <v>0.73746856663872595</v>
      </c>
      <c r="D7" s="248"/>
      <c r="F7" s="247">
        <f>IF(F6=0,
IF(G6=0,0,IF(G6&gt;0,1,-1)),
(G6-F6)/ABS(F6)
)</f>
        <v>3.4571551446081066</v>
      </c>
      <c r="G7" s="248"/>
    </row>
    <row r="8" spans="2:7" x14ac:dyDescent="0.2">
      <c r="B8" s="211" t="s">
        <v>20</v>
      </c>
      <c r="C8" s="204">
        <f>Statement!Z6</f>
        <v>6105</v>
      </c>
      <c r="D8" s="202">
        <f>Statement!AA6</f>
        <v>6400</v>
      </c>
      <c r="F8" s="204">
        <f>Statement!W6</f>
        <v>5793</v>
      </c>
      <c r="G8" s="202">
        <f>Statement!AA6</f>
        <v>6400</v>
      </c>
    </row>
    <row r="9" spans="2:7" x14ac:dyDescent="0.2">
      <c r="B9" s="210" t="s">
        <v>320</v>
      </c>
      <c r="C9" s="247">
        <f>Statement!AA90</f>
        <v>4.8321048321048318E-2</v>
      </c>
      <c r="D9" s="248"/>
      <c r="F9" s="247">
        <f>IF(F8=0,
IF(G8=0,0,IF(G8&gt;0,1,-1)),
(G8-F8)/ABS(F8)
)</f>
        <v>0.10478163300535129</v>
      </c>
      <c r="G9" s="248"/>
    </row>
    <row r="10" spans="2:7" x14ac:dyDescent="0.2">
      <c r="B10" s="211" t="s">
        <v>21</v>
      </c>
      <c r="C10" s="204">
        <f>Statement!Z7</f>
        <v>17755</v>
      </c>
      <c r="D10" s="202">
        <f>Statement!AA7</f>
        <v>35056</v>
      </c>
      <c r="F10" s="204">
        <f>Statement!W7</f>
        <v>3508</v>
      </c>
      <c r="G10" s="202">
        <f>Statement!AA7</f>
        <v>35056</v>
      </c>
    </row>
    <row r="11" spans="2:7" x14ac:dyDescent="0.2">
      <c r="B11" s="210" t="s">
        <v>320</v>
      </c>
      <c r="C11" s="247">
        <f>Statement!AA91</f>
        <v>0.97442973810194311</v>
      </c>
      <c r="D11" s="248"/>
      <c r="F11" s="247">
        <f>IF(F10=0,
IF(G10=0,0,IF(G10&gt;0,1,-1)),
(G10-F10)/ABS(F10)
)</f>
        <v>8.9931584948688705</v>
      </c>
      <c r="G11" s="248"/>
    </row>
    <row r="12" spans="2:7" x14ac:dyDescent="0.2">
      <c r="B12" s="211" t="s">
        <v>24</v>
      </c>
      <c r="C12" s="204">
        <f>Statement!Z11</f>
        <v>1620</v>
      </c>
      <c r="D12" s="202">
        <f>Statement!AA11</f>
        <v>1738</v>
      </c>
      <c r="F12" s="204">
        <f>Statement!W11</f>
        <v>1339</v>
      </c>
      <c r="G12" s="202">
        <f>Statement!AA11</f>
        <v>1738</v>
      </c>
    </row>
    <row r="13" spans="2:7" x14ac:dyDescent="0.2">
      <c r="B13" s="210" t="s">
        <v>320</v>
      </c>
      <c r="C13" s="247">
        <f>Statement!AA95</f>
        <v>7.2839506172839505E-2</v>
      </c>
      <c r="D13" s="248"/>
      <c r="F13" s="247">
        <f>IF(F12=0,
IF(G12=0,0,IF(G12&gt;0,1,-1)),
(G12-F12)/ABS(F12)
)</f>
        <v>0.29798356982823004</v>
      </c>
      <c r="G13" s="248"/>
    </row>
    <row r="14" spans="2:7" x14ac:dyDescent="0.2">
      <c r="B14" s="211" t="s">
        <v>321</v>
      </c>
      <c r="C14" s="204">
        <f>Statement!Z12</f>
        <v>16135</v>
      </c>
      <c r="D14" s="202">
        <f>Statement!AA12</f>
        <v>33318</v>
      </c>
      <c r="F14" s="204">
        <f>Statement!W12</f>
        <v>2169</v>
      </c>
      <c r="G14" s="202">
        <f>Statement!AA12</f>
        <v>33318</v>
      </c>
    </row>
    <row r="15" spans="2:7" x14ac:dyDescent="0.2">
      <c r="B15" s="210" t="s">
        <v>320</v>
      </c>
      <c r="C15" s="247">
        <f>Statement!AA96</f>
        <v>1.0649519677719244</v>
      </c>
      <c r="D15" s="248"/>
      <c r="F15" s="247">
        <f>IF(F14=0,
IF(G14=0,0,IF(G14&gt;0,1,-1)),
(G14-F14)/ABS(F14)
)</f>
        <v>14.360995850622407</v>
      </c>
      <c r="G15" s="248"/>
    </row>
    <row r="16" spans="2:7" x14ac:dyDescent="0.2">
      <c r="B16" s="211" t="s">
        <v>30</v>
      </c>
      <c r="C16" s="204">
        <f>Statement!Z18</f>
        <v>13785</v>
      </c>
      <c r="D16" s="202">
        <f>Statement!AA18</f>
        <v>28243</v>
      </c>
      <c r="F16" s="204">
        <f>Statement!W18</f>
        <v>1885</v>
      </c>
      <c r="G16" s="202">
        <f>Statement!AA18</f>
        <v>28243</v>
      </c>
    </row>
    <row r="17" spans="2:7" x14ac:dyDescent="0.2">
      <c r="B17" s="210" t="s">
        <v>320</v>
      </c>
      <c r="C17" s="247">
        <f>Statement!AA98</f>
        <v>1.0488211824446863</v>
      </c>
      <c r="D17" s="248"/>
      <c r="F17" s="247">
        <f>IF(F16=0,
IF(G16=0,0,IF(G16&gt;0,1,-1)),
(G16-F16)/ABS(F16)
)</f>
        <v>13.983023872679045</v>
      </c>
      <c r="G17" s="248"/>
    </row>
    <row r="18" spans="2:7" x14ac:dyDescent="0.2">
      <c r="B18" s="211" t="s">
        <v>322</v>
      </c>
      <c r="C18" s="204">
        <f>Statement!Z22</f>
        <v>1142</v>
      </c>
      <c r="D18" s="202">
        <f>Statement!AA22</f>
        <v>1145</v>
      </c>
      <c r="F18" s="204">
        <f>Statement!W22</f>
        <v>1125</v>
      </c>
      <c r="G18" s="202">
        <f>Statement!AA22</f>
        <v>1145</v>
      </c>
    </row>
    <row r="19" spans="2:7" x14ac:dyDescent="0.2">
      <c r="B19" s="210" t="s">
        <v>320</v>
      </c>
      <c r="C19" s="247">
        <f>IF(C18=0,
IF(D18=0,0,IF(D18&gt;0,1,-1)),
(D18-C18)/ABS(C18)
)</f>
        <v>2.6269702276707531E-3</v>
      </c>
      <c r="D19" s="248"/>
      <c r="F19" s="247">
        <f>IF(F18=0,
IF(G18=0,0,IF(G18&gt;0,1,-1)),
(G18-F18)/ABS(F18)
)</f>
        <v>1.7777777777777778E-2</v>
      </c>
      <c r="G19" s="248"/>
    </row>
    <row r="20" spans="2:7" x14ac:dyDescent="0.2">
      <c r="B20" s="211" t="s">
        <v>37</v>
      </c>
      <c r="C20" s="205">
        <f>Statement!Z26</f>
        <v>12.07</v>
      </c>
      <c r="D20" s="206">
        <f>Statement!AA26</f>
        <v>24.67</v>
      </c>
      <c r="F20" s="205">
        <f>Statement!W26</f>
        <v>1.68</v>
      </c>
      <c r="G20" s="206">
        <f>Statement!AA26</f>
        <v>24.67</v>
      </c>
    </row>
    <row r="21" spans="2:7" x14ac:dyDescent="0.2">
      <c r="B21" s="210" t="s">
        <v>320</v>
      </c>
      <c r="C21" s="247">
        <f>IF(C20=0,
IF(D20=0,0,IF(D20&gt;0,1,-1)),
(D20-C20)/ABS(C20)
)</f>
        <v>1.0439105219552611</v>
      </c>
      <c r="D21" s="248"/>
      <c r="F21" s="247">
        <f>IF(F20=0,
IF(G20=0,0,IF(G20&gt;0,1,-1)),
(G20-F20)/ABS(F20)
)</f>
        <v>13.684523809523812</v>
      </c>
      <c r="G21" s="248"/>
    </row>
    <row r="23" spans="2:7" x14ac:dyDescent="0.2">
      <c r="B23" s="8" t="s">
        <v>323</v>
      </c>
      <c r="C23" s="10" t="str">
        <f>C5</f>
        <v>Q2 2026</v>
      </c>
      <c r="D23" s="207" t="str">
        <f>D5</f>
        <v>Q3 2026</v>
      </c>
      <c r="F23" s="208" t="str">
        <f>F5</f>
        <v>Q3 2025</v>
      </c>
      <c r="G23" s="207" t="str">
        <f>G5</f>
        <v>Q3 2026</v>
      </c>
    </row>
    <row r="24" spans="2:7" x14ac:dyDescent="0.2">
      <c r="B24" s="20" t="str">
        <f>Statement!B187</f>
        <v>DRAM</v>
      </c>
      <c r="C24" s="204">
        <f>Statement!Z187</f>
        <v>18768</v>
      </c>
      <c r="D24" s="202">
        <f>Statement!AA187</f>
        <v>31328</v>
      </c>
      <c r="F24" s="204">
        <f>Statement!W187</f>
        <v>7071</v>
      </c>
      <c r="G24" s="202">
        <f>Statement!AA187</f>
        <v>31328</v>
      </c>
    </row>
    <row r="25" spans="2:7" x14ac:dyDescent="0.2">
      <c r="B25" s="210" t="s">
        <v>320</v>
      </c>
      <c r="C25" s="247">
        <f>IF(C24=0,
IF(D24=0,0,IF(D24&gt;0,1,-1)),
(D24-C24)/ABS(C24)
)</f>
        <v>0.66922421142369992</v>
      </c>
      <c r="D25" s="248"/>
      <c r="F25" s="247">
        <f>IF(F24=0,
IF(G24=0,0,IF(G24&gt;0,1,-1)),
(G24-F24)/ABS(F24)
)</f>
        <v>3.4304907368123319</v>
      </c>
      <c r="G25" s="248"/>
    </row>
    <row r="26" spans="2:7" x14ac:dyDescent="0.2">
      <c r="B26" s="20" t="str">
        <f>Statement!B188</f>
        <v>NAND</v>
      </c>
      <c r="C26" s="204">
        <f>Statement!Z188</f>
        <v>4997</v>
      </c>
      <c r="D26" s="202">
        <f>Statement!AA188</f>
        <v>9943</v>
      </c>
      <c r="F26" s="204">
        <f>Statement!W188</f>
        <v>2155</v>
      </c>
      <c r="G26" s="202">
        <f>Statement!AA188</f>
        <v>9943</v>
      </c>
    </row>
    <row r="27" spans="2:7" x14ac:dyDescent="0.2">
      <c r="B27" s="210" t="s">
        <v>320</v>
      </c>
      <c r="C27" s="247">
        <f>IF(C26=0,
IF(D26=0,0,IF(D26&gt;0,1,-1)),
(D26-C26)/ABS(C26)
)</f>
        <v>0.98979387632579552</v>
      </c>
      <c r="D27" s="248"/>
      <c r="F27" s="247">
        <f>IF(F26=0,
IF(G26=0,0,IF(G26&gt;0,1,-1)),
(G26-F26)/ABS(F26)
)</f>
        <v>3.613921113689095</v>
      </c>
      <c r="G27" s="248"/>
    </row>
    <row r="28" spans="2:7" x14ac:dyDescent="0.2">
      <c r="B28" s="20" t="str">
        <f>Statement!B189</f>
        <v>Other</v>
      </c>
      <c r="C28" s="204">
        <f>Statement!Z189</f>
        <v>95</v>
      </c>
      <c r="D28" s="202">
        <f>Statement!AA189</f>
        <v>185</v>
      </c>
      <c r="F28" s="204">
        <f>Statement!W189</f>
        <v>75</v>
      </c>
      <c r="G28" s="202">
        <f>Statement!AA189</f>
        <v>185</v>
      </c>
    </row>
    <row r="29" spans="2:7" x14ac:dyDescent="0.2">
      <c r="B29" s="210" t="s">
        <v>320</v>
      </c>
      <c r="C29" s="247">
        <f>IF(C28=0,
IF(D28=0,0,IF(D28&gt;0,1,-1)),
(D28-C28)/ABS(C28)
)</f>
        <v>0.94736842105263153</v>
      </c>
      <c r="D29" s="248"/>
      <c r="F29" s="247">
        <f>IF(F28=0,
IF(G28=0,0,IF(G28&gt;0,1,-1)),
(G28-F28)/ABS(F28)
)</f>
        <v>1.4666666666666666</v>
      </c>
      <c r="G29" s="248"/>
    </row>
    <row r="31" spans="2:7" x14ac:dyDescent="0.2">
      <c r="B31" s="188" t="str">
        <f>Statement!B191</f>
        <v>Cloud Memory</v>
      </c>
      <c r="C31" s="204">
        <f>Statement!Z191</f>
        <v>7749</v>
      </c>
      <c r="D31" s="204">
        <f>Statement!AA191</f>
        <v>13769</v>
      </c>
      <c r="F31" s="204">
        <f>Statement!W191</f>
        <v>3386</v>
      </c>
      <c r="G31" s="202">
        <f>Statement!AA191</f>
        <v>13769</v>
      </c>
    </row>
    <row r="32" spans="2:7" x14ac:dyDescent="0.2">
      <c r="B32" s="237" t="s">
        <v>320</v>
      </c>
      <c r="C32" s="247">
        <f>IF(C31=0,
IF(D31=0,0,IF(D31&gt;0,1,-1)),
(D31-C31)/ABS(C31)
)</f>
        <v>0.77687443541102075</v>
      </c>
      <c r="D32" s="248"/>
      <c r="F32" s="247">
        <f>IF(F31=0,
IF(G31=0,0,IF(G31&gt;0,1,-1)),
(G31-F31)/ABS(F31)
)</f>
        <v>3.066450088600118</v>
      </c>
      <c r="G32" s="248"/>
    </row>
    <row r="33" spans="2:7" x14ac:dyDescent="0.2">
      <c r="B33" s="188" t="str">
        <f>Statement!B192</f>
        <v>Core Data Center</v>
      </c>
      <c r="C33" s="204">
        <f>Statement!Z192</f>
        <v>5687</v>
      </c>
      <c r="D33" s="204">
        <f>Statement!AA192</f>
        <v>11524</v>
      </c>
      <c r="F33" s="204">
        <f>Statement!W192</f>
        <v>1530</v>
      </c>
      <c r="G33" s="202">
        <f>Statement!AA192</f>
        <v>11524</v>
      </c>
    </row>
    <row r="34" spans="2:7" x14ac:dyDescent="0.2">
      <c r="B34" s="237" t="s">
        <v>320</v>
      </c>
      <c r="C34" s="247">
        <f>IF(C33=0,
IF(D33=0,0,IF(D33&gt;0,1,-1)),
(D33-C33)/ABS(C33)
)</f>
        <v>1.0263759451380341</v>
      </c>
      <c r="D34" s="248"/>
      <c r="F34" s="247">
        <f>IF(F33=0,
IF(G33=0,0,IF(G33&gt;0,1,-1)),
(G33-F33)/ABS(F33)
)</f>
        <v>6.5320261437908496</v>
      </c>
      <c r="G34" s="248"/>
    </row>
    <row r="35" spans="2:7" x14ac:dyDescent="0.2">
      <c r="B35" s="188" t="str">
        <f>Statement!B193</f>
        <v>Mobile and Client</v>
      </c>
      <c r="C35" s="204">
        <f>Statement!Z193</f>
        <v>7711</v>
      </c>
      <c r="D35" s="204">
        <f>Statement!AA193</f>
        <v>11521</v>
      </c>
      <c r="F35" s="204">
        <f>Statement!W193</f>
        <v>3255</v>
      </c>
      <c r="G35" s="202">
        <f>Statement!AA193</f>
        <v>11521</v>
      </c>
    </row>
    <row r="36" spans="2:7" x14ac:dyDescent="0.2">
      <c r="B36" s="237" t="s">
        <v>320</v>
      </c>
      <c r="C36" s="247">
        <f>IF(C35=0,
IF(D35=0,0,IF(D35&gt;0,1,-1)),
(D35-C35)/ABS(C35)
)</f>
        <v>0.49409933860718452</v>
      </c>
      <c r="D36" s="248"/>
      <c r="F36" s="247">
        <f>IF(F35=0,
IF(G35=0,0,IF(G35&gt;0,1,-1)),
(G35-F35)/ABS(F35)
)</f>
        <v>2.5394777265745008</v>
      </c>
      <c r="G36" s="248"/>
    </row>
    <row r="37" spans="2:7" x14ac:dyDescent="0.2">
      <c r="B37" s="188" t="str">
        <f>Statement!B194</f>
        <v>Automotive and Embedded</v>
      </c>
      <c r="C37" s="204">
        <f>Statement!Z194</f>
        <v>2708</v>
      </c>
      <c r="D37" s="204">
        <f>Statement!AA194</f>
        <v>4634</v>
      </c>
      <c r="F37" s="204">
        <f>Statement!W194</f>
        <v>1127</v>
      </c>
      <c r="G37" s="202">
        <f>Statement!AA194</f>
        <v>4634</v>
      </c>
    </row>
    <row r="38" spans="2:7" x14ac:dyDescent="0.2">
      <c r="B38" s="237" t="s">
        <v>320</v>
      </c>
      <c r="C38" s="247">
        <f>IF(C37=0,
IF(D37=0,0,IF(D37&gt;0,1,-1)),
(D37-C37)/ABS(C37)
)</f>
        <v>0.71122599704579026</v>
      </c>
      <c r="D38" s="248"/>
      <c r="F38" s="247">
        <f>IF(F37=0,
IF(G37=0,0,IF(G37&gt;0,1,-1)),
(G37-F37)/ABS(F37)
)</f>
        <v>3.1118012422360248</v>
      </c>
      <c r="G38" s="248"/>
    </row>
  </sheetData>
  <mergeCells count="32">
    <mergeCell ref="C38:D38"/>
    <mergeCell ref="F38:G38"/>
    <mergeCell ref="C32:D32"/>
    <mergeCell ref="F32:G32"/>
    <mergeCell ref="C34:D34"/>
    <mergeCell ref="F34:G34"/>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topLeftCell="A51"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02.09.2021</v>
      </c>
      <c r="I62" s="10" t="str">
        <f>Statement!N2</f>
        <v>01.09.2022</v>
      </c>
      <c r="J62" s="10" t="str">
        <f>Statement!O2</f>
        <v>31.08.2023</v>
      </c>
      <c r="K62" s="10" t="str">
        <f>Statement!P2</f>
        <v>29.08.2024</v>
      </c>
      <c r="L62" s="10" t="str">
        <f>Statement!Q2</f>
        <v>28.08.2025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27705</v>
      </c>
      <c r="I64" s="24">
        <f>Statement!N5</f>
        <v>30758</v>
      </c>
      <c r="J64" s="24">
        <f>Statement!O5</f>
        <v>15540</v>
      </c>
      <c r="K64" s="24">
        <f>Statement!P5</f>
        <v>25111</v>
      </c>
      <c r="L64" s="24">
        <f>Statement!Q5</f>
        <v>37378</v>
      </c>
    </row>
    <row r="65" spans="2:12" x14ac:dyDescent="0.2">
      <c r="B65" s="20" t="s">
        <v>25</v>
      </c>
      <c r="C65" s="64">
        <f>Statement!H12</f>
        <v>0</v>
      </c>
      <c r="D65" s="64">
        <f>Statement!I12</f>
        <v>0</v>
      </c>
      <c r="E65" s="64">
        <f>Statement!J12</f>
        <v>0</v>
      </c>
      <c r="F65" s="64">
        <f>Statement!K12</f>
        <v>0</v>
      </c>
      <c r="G65" s="64">
        <f>Statement!L12</f>
        <v>0</v>
      </c>
      <c r="H65" s="64">
        <f>Statement!M12</f>
        <v>6283</v>
      </c>
      <c r="I65" s="64">
        <f>Statement!N12</f>
        <v>9702</v>
      </c>
      <c r="J65" s="64">
        <f>Statement!O12</f>
        <v>-5745</v>
      </c>
      <c r="K65" s="64">
        <f>Statement!P12</f>
        <v>1304</v>
      </c>
      <c r="L65" s="64">
        <f>Statement!Q12</f>
        <v>9770</v>
      </c>
    </row>
    <row r="66" spans="2:12" x14ac:dyDescent="0.2">
      <c r="B66" s="20" t="s">
        <v>30</v>
      </c>
      <c r="C66" s="64">
        <f>Statement!H18</f>
        <v>0</v>
      </c>
      <c r="D66" s="64">
        <f>Statement!I18</f>
        <v>0</v>
      </c>
      <c r="E66" s="64">
        <f>Statement!J18</f>
        <v>0</v>
      </c>
      <c r="F66" s="64">
        <f>Statement!K18</f>
        <v>0</v>
      </c>
      <c r="G66" s="64">
        <f>Statement!L18</f>
        <v>0</v>
      </c>
      <c r="H66" s="64">
        <f>Statement!M18</f>
        <v>5861</v>
      </c>
      <c r="I66" s="64">
        <f>Statement!N18</f>
        <v>8687</v>
      </c>
      <c r="J66" s="64">
        <f>Statement!O18</f>
        <v>-5833</v>
      </c>
      <c r="K66" s="64">
        <f>Statement!P18</f>
        <v>778</v>
      </c>
      <c r="L66" s="64">
        <f>Statement!Q18</f>
        <v>8539</v>
      </c>
    </row>
    <row r="67" spans="2:12" x14ac:dyDescent="0.2">
      <c r="B67" s="20" t="s">
        <v>266</v>
      </c>
      <c r="C67" s="64">
        <f>Statement!H157</f>
        <v>0</v>
      </c>
      <c r="D67" s="64">
        <f>Statement!I157</f>
        <v>0</v>
      </c>
      <c r="E67" s="64">
        <f>Statement!J157</f>
        <v>0</v>
      </c>
      <c r="F67" s="64">
        <f>Statement!K157</f>
        <v>0</v>
      </c>
      <c r="G67" s="64">
        <f>Statement!L157</f>
        <v>0</v>
      </c>
      <c r="H67" s="64">
        <f>Statement!M157</f>
        <v>2060</v>
      </c>
      <c r="I67" s="64">
        <f>Statement!N157</f>
        <v>2600</v>
      </c>
      <c r="J67" s="64">
        <f>Statement!O157</f>
        <v>-6713</v>
      </c>
      <c r="K67" s="64">
        <f>Statement!P157</f>
        <v>-712</v>
      </c>
      <c r="L67" s="64">
        <f>Statement!Q157</f>
        <v>696</v>
      </c>
    </row>
    <row r="68" spans="2:12" x14ac:dyDescent="0.2">
      <c r="B68" s="20" t="s">
        <v>267</v>
      </c>
      <c r="C68" s="64">
        <f>Statement!H158</f>
        <v>0</v>
      </c>
      <c r="D68" s="64">
        <f>Statement!I158</f>
        <v>0</v>
      </c>
      <c r="E68" s="64">
        <f>Statement!J158</f>
        <v>0</v>
      </c>
      <c r="F68" s="64">
        <f>Statement!K158</f>
        <v>0</v>
      </c>
      <c r="G68" s="64">
        <f>Statement!L158</f>
        <v>0</v>
      </c>
      <c r="H68" s="64">
        <f>Statement!M158</f>
        <v>1698.8813123190739</v>
      </c>
      <c r="I68" s="64">
        <f>Statement!N158</f>
        <v>2605.8457841395884</v>
      </c>
      <c r="J68" s="64">
        <f>Statement!O158</f>
        <v>-8557</v>
      </c>
      <c r="K68" s="64">
        <f>Statement!P158</f>
        <v>-660.27741935483937</v>
      </c>
      <c r="L68" s="64">
        <f>Statement!Q158</f>
        <v>789.49430287963332</v>
      </c>
    </row>
    <row r="69" spans="2:12" x14ac:dyDescent="0.2">
      <c r="B69" s="20" t="s">
        <v>77</v>
      </c>
      <c r="C69" s="58">
        <f>Statement!H101</f>
        <v>0</v>
      </c>
      <c r="D69" s="58">
        <f>Statement!I101</f>
        <v>0</v>
      </c>
      <c r="E69" s="58">
        <f>Statement!J101</f>
        <v>0</v>
      </c>
      <c r="F69" s="58">
        <f>Statement!K101</f>
        <v>0</v>
      </c>
      <c r="G69" s="58">
        <f>Statement!L101</f>
        <v>0</v>
      </c>
      <c r="H69" s="58">
        <f>Statement!M101</f>
        <v>0.37621367984118392</v>
      </c>
      <c r="I69" s="58">
        <f>Statement!N101</f>
        <v>0.45184992522270628</v>
      </c>
      <c r="J69" s="58">
        <f>Statement!O101</f>
        <v>-9.1119691119691121E-2</v>
      </c>
      <c r="K69" s="58">
        <f>Statement!P101</f>
        <v>0.22352753773246783</v>
      </c>
      <c r="L69" s="58">
        <f>Statement!Q101</f>
        <v>0.39790786023864305</v>
      </c>
    </row>
    <row r="70" spans="2:12" x14ac:dyDescent="0.2">
      <c r="B70" s="20" t="s">
        <v>78</v>
      </c>
      <c r="C70" s="58">
        <f>Statement!H102</f>
        <v>0</v>
      </c>
      <c r="D70" s="58">
        <f>Statement!I102</f>
        <v>0</v>
      </c>
      <c r="E70" s="58">
        <f>Statement!J102</f>
        <v>0</v>
      </c>
      <c r="F70" s="58">
        <f>Statement!K102</f>
        <v>0</v>
      </c>
      <c r="G70" s="58">
        <f>Statement!L102</f>
        <v>0</v>
      </c>
      <c r="H70" s="58">
        <f>Statement!M102</f>
        <v>0.22678216928352282</v>
      </c>
      <c r="I70" s="58">
        <f>Statement!N102</f>
        <v>0.31543013199817932</v>
      </c>
      <c r="J70" s="58">
        <f>Statement!O102</f>
        <v>-0.36969111969111967</v>
      </c>
      <c r="K70" s="58">
        <f>Statement!P102</f>
        <v>5.192943331607662E-2</v>
      </c>
      <c r="L70" s="58">
        <f>Statement!Q102</f>
        <v>0.26138370164267749</v>
      </c>
    </row>
    <row r="71" spans="2:12" x14ac:dyDescent="0.2">
      <c r="B71" s="20" t="s">
        <v>79</v>
      </c>
      <c r="C71" s="58">
        <f>Statement!H103</f>
        <v>0</v>
      </c>
      <c r="D71" s="58">
        <f>Statement!I103</f>
        <v>0</v>
      </c>
      <c r="E71" s="58">
        <f>Statement!J103</f>
        <v>0</v>
      </c>
      <c r="F71" s="58">
        <f>Statement!K103</f>
        <v>0</v>
      </c>
      <c r="G71" s="58">
        <f>Statement!L103</f>
        <v>0</v>
      </c>
      <c r="H71" s="58">
        <f>Statement!M103</f>
        <v>0.2115502616856163</v>
      </c>
      <c r="I71" s="58">
        <f>Statement!N103</f>
        <v>0.28243058716431496</v>
      </c>
      <c r="J71" s="58">
        <f>Statement!O103</f>
        <v>-0.37535392535392537</v>
      </c>
      <c r="K71" s="58">
        <f>Statement!P103</f>
        <v>3.0982437975389271E-2</v>
      </c>
      <c r="L71" s="58">
        <f>Statement!Q103</f>
        <v>0.22844989030980792</v>
      </c>
    </row>
    <row r="72" spans="2:12" x14ac:dyDescent="0.2">
      <c r="B72" s="20" t="str">
        <f>"Revenue "&amp;Statement!B187</f>
        <v>Revenue DRAM</v>
      </c>
      <c r="C72" s="64">
        <f>Statement!H187</f>
        <v>0</v>
      </c>
      <c r="D72" s="64">
        <f>Statement!I187</f>
        <v>0</v>
      </c>
      <c r="E72" s="64">
        <f>Statement!J187</f>
        <v>0</v>
      </c>
      <c r="F72" s="64">
        <f>Statement!K187</f>
        <v>0</v>
      </c>
      <c r="G72" s="64">
        <f>Statement!L187</f>
        <v>0</v>
      </c>
      <c r="H72" s="64">
        <f>Statement!M187</f>
        <v>20039</v>
      </c>
      <c r="I72" s="64">
        <f>Statement!N187</f>
        <v>22386</v>
      </c>
      <c r="J72" s="64">
        <f>Statement!O187</f>
        <v>10978</v>
      </c>
      <c r="K72" s="64">
        <f>Statement!P187</f>
        <v>17603</v>
      </c>
      <c r="L72" s="64">
        <f>Statement!Q187</f>
        <v>28578</v>
      </c>
    </row>
    <row r="73" spans="2:12" x14ac:dyDescent="0.2">
      <c r="B73" s="20" t="str">
        <f>"Revenue "&amp;Statement!B188</f>
        <v>Revenue NAND</v>
      </c>
      <c r="C73" s="64">
        <f>Statement!H188</f>
        <v>0</v>
      </c>
      <c r="D73" s="64">
        <f>Statement!I188</f>
        <v>0</v>
      </c>
      <c r="E73" s="64">
        <f>Statement!J188</f>
        <v>0</v>
      </c>
      <c r="F73" s="64">
        <f>Statement!K188</f>
        <v>0</v>
      </c>
      <c r="G73" s="64">
        <f>Statement!L188</f>
        <v>0</v>
      </c>
      <c r="H73" s="64">
        <f>Statement!M188</f>
        <v>7007</v>
      </c>
      <c r="I73" s="64">
        <f>Statement!N188</f>
        <v>7811</v>
      </c>
      <c r="J73" s="64">
        <f>Statement!O188</f>
        <v>4206</v>
      </c>
      <c r="K73" s="64">
        <f>Statement!P188</f>
        <v>7227</v>
      </c>
      <c r="L73" s="64">
        <f>Statement!Q188</f>
        <v>8503</v>
      </c>
    </row>
    <row r="74" spans="2:12" x14ac:dyDescent="0.2">
      <c r="B74" s="20" t="str">
        <f>"Revenue "&amp;Statement!B189</f>
        <v>Revenue Other</v>
      </c>
      <c r="C74" s="64">
        <f>Statement!H189</f>
        <v>0</v>
      </c>
      <c r="D74" s="64">
        <f>Statement!I189</f>
        <v>0</v>
      </c>
      <c r="E74" s="64">
        <f>Statement!J189</f>
        <v>0</v>
      </c>
      <c r="F74" s="64">
        <f>Statement!K189</f>
        <v>0</v>
      </c>
      <c r="G74" s="64">
        <f>Statement!L189</f>
        <v>0</v>
      </c>
      <c r="H74" s="64">
        <f>Statement!M189</f>
        <v>659</v>
      </c>
      <c r="I74" s="64">
        <f>Statement!N189</f>
        <v>561</v>
      </c>
      <c r="J74" s="64">
        <f>Statement!O189</f>
        <v>356</v>
      </c>
      <c r="K74" s="64">
        <f>Statement!P189</f>
        <v>281</v>
      </c>
      <c r="L74" s="64">
        <f>Statement!Q189</f>
        <v>297</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0</v>
      </c>
      <c r="J75" s="64">
        <f>Statement!O191</f>
        <v>1872</v>
      </c>
      <c r="K75" s="64">
        <f>Statement!P191</f>
        <v>3792</v>
      </c>
      <c r="L75" s="64">
        <f>Statement!Q191</f>
        <v>13524</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0</v>
      </c>
      <c r="J76" s="64">
        <f>Statement!O192</f>
        <v>2124</v>
      </c>
      <c r="K76" s="64">
        <f>Statement!P192</f>
        <v>4984</v>
      </c>
      <c r="L76" s="64">
        <f>Statement!Q192</f>
        <v>7229</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0</v>
      </c>
      <c r="J77" s="64">
        <f>Statement!O193</f>
        <v>7394</v>
      </c>
      <c r="K77" s="64">
        <f>Statement!P193</f>
        <v>11667</v>
      </c>
      <c r="L77" s="64">
        <f>Statement!Q193</f>
        <v>11859</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0</v>
      </c>
      <c r="J78" s="64">
        <f>Statement!O194</f>
        <v>4139</v>
      </c>
      <c r="K78" s="64">
        <f>Statement!P194</f>
        <v>4631</v>
      </c>
      <c r="L78" s="64">
        <f>Statement!Q194</f>
        <v>4753</v>
      </c>
    </row>
    <row r="79" spans="2:12" x14ac:dyDescent="0.2">
      <c r="B79" s="20" t="s">
        <v>102</v>
      </c>
      <c r="C79" s="222">
        <f>Statement!H123</f>
        <v>0</v>
      </c>
      <c r="D79" s="222">
        <f>Statement!I123</f>
        <v>0</v>
      </c>
      <c r="E79" s="222">
        <f>Statement!J123</f>
        <v>0</v>
      </c>
      <c r="F79" s="222">
        <f>Statement!K123</f>
        <v>0</v>
      </c>
      <c r="G79" s="222">
        <f>Statement!L123</f>
        <v>0</v>
      </c>
      <c r="H79" s="222">
        <f>Statement!M123</f>
        <v>9.9593875851756192E-2</v>
      </c>
      <c r="I79" s="222">
        <f>Statement!N123</f>
        <v>0.1310592459605027</v>
      </c>
      <c r="J79" s="222">
        <f>Statement!O123</f>
        <v>-9.0780340523547179E-2</v>
      </c>
      <c r="K79" s="222">
        <f>Statement!P123</f>
        <v>1.1207790711075256E-2</v>
      </c>
      <c r="L79" s="222">
        <f>Statement!Q123</f>
        <v>0.1031305103988019</v>
      </c>
    </row>
    <row r="80" spans="2:12" x14ac:dyDescent="0.2">
      <c r="B80" s="20" t="s">
        <v>104</v>
      </c>
      <c r="C80" s="222">
        <f>Statement!H125</f>
        <v>0</v>
      </c>
      <c r="D80" s="222">
        <f>Statement!I125</f>
        <v>0</v>
      </c>
      <c r="E80" s="222">
        <f>Statement!J125</f>
        <v>0</v>
      </c>
      <c r="F80" s="222">
        <f>Statement!K125</f>
        <v>0</v>
      </c>
      <c r="G80" s="222">
        <f>Statement!L125</f>
        <v>0</v>
      </c>
      <c r="H80" s="222">
        <f>Statement!M125</f>
        <v>0.13340768898094826</v>
      </c>
      <c r="I80" s="222">
        <f>Statement!N125</f>
        <v>0.17406375859097922</v>
      </c>
      <c r="J80" s="222">
        <f>Statement!O125</f>
        <v>-0.13220761559383501</v>
      </c>
      <c r="K80" s="222">
        <f>Statement!P125</f>
        <v>1.7238705102922601E-2</v>
      </c>
      <c r="L80" s="222">
        <f>Statement!Q125</f>
        <v>0.15764792762854241</v>
      </c>
    </row>
    <row r="81" spans="2:12" x14ac:dyDescent="0.2">
      <c r="B81" s="20" t="s">
        <v>105</v>
      </c>
      <c r="C81" s="222">
        <f>Statement!H140</f>
        <v>0</v>
      </c>
      <c r="D81" s="222">
        <f>Statement!I140</f>
        <v>0</v>
      </c>
      <c r="E81" s="222">
        <f>Statement!J140</f>
        <v>0</v>
      </c>
      <c r="F81" s="222">
        <f>Statement!K140</f>
        <v>0</v>
      </c>
      <c r="G81" s="222">
        <f>Statement!L140</f>
        <v>0</v>
      </c>
      <c r="H81" s="222">
        <f>Statement!M140</f>
        <v>0.14598698400731994</v>
      </c>
      <c r="I81" s="222">
        <f>Statement!N140</f>
        <v>0.19203328862527738</v>
      </c>
      <c r="J81" s="222">
        <f>Statement!O140</f>
        <v>-0.12220284182761848</v>
      </c>
      <c r="K81" s="222">
        <f>Statement!P140</f>
        <v>1.6804167624861494E-2</v>
      </c>
      <c r="L81" s="222">
        <f>Statement!Q140</f>
        <v>0.15196448091538983</v>
      </c>
    </row>
    <row r="82" spans="2:12" x14ac:dyDescent="0.2">
      <c r="B82" s="20" t="s">
        <v>358</v>
      </c>
      <c r="C82" s="231">
        <f>Statement!H218</f>
        <v>0</v>
      </c>
      <c r="D82" s="231">
        <f>Statement!I218</f>
        <v>0</v>
      </c>
      <c r="E82" s="231">
        <f>Statement!J218</f>
        <v>0</v>
      </c>
      <c r="F82" s="231">
        <f>Statement!K218</f>
        <v>0</v>
      </c>
      <c r="G82" s="231">
        <f>Statement!L218</f>
        <v>0</v>
      </c>
      <c r="H82" s="231">
        <f>Statement!M218</f>
        <v>100</v>
      </c>
      <c r="I82" s="231">
        <f>Statement!N218</f>
        <v>68.783005280844947</v>
      </c>
      <c r="J82" s="231">
        <f>Statement!O218</f>
        <v>81.721075372059531</v>
      </c>
      <c r="K82" s="231">
        <f>Statement!P218</f>
        <v>114.70235237638022</v>
      </c>
      <c r="L82" s="231">
        <f>Statement!Q218</f>
        <v>146.42342774843974</v>
      </c>
    </row>
    <row r="83" spans="2:12" x14ac:dyDescent="0.2">
      <c r="B83" s="20" t="s">
        <v>359</v>
      </c>
      <c r="C83" s="231">
        <f>Statement!H219</f>
        <v>0</v>
      </c>
      <c r="D83" s="231">
        <f>Statement!I219</f>
        <v>0</v>
      </c>
      <c r="E83" s="231">
        <f>Statement!J219</f>
        <v>0</v>
      </c>
      <c r="F83" s="231">
        <f>Statement!K219</f>
        <v>0</v>
      </c>
      <c r="G83" s="231">
        <f>Statement!L219</f>
        <v>0</v>
      </c>
      <c r="H83" s="231">
        <f>Statement!M219</f>
        <v>100</v>
      </c>
      <c r="I83" s="231">
        <f>Statement!N219</f>
        <v>111.0196715394333</v>
      </c>
      <c r="J83" s="231">
        <f>Statement!O219</f>
        <v>56.090958310774234</v>
      </c>
      <c r="K83" s="231">
        <f>Statement!P219</f>
        <v>90.637069121097284</v>
      </c>
      <c r="L83" s="231">
        <f>Statement!Q219</f>
        <v>134.91427540155206</v>
      </c>
    </row>
    <row r="84" spans="2:12" x14ac:dyDescent="0.2">
      <c r="B84" s="20" t="s">
        <v>360</v>
      </c>
      <c r="C84" s="231">
        <f>Statement!H220</f>
        <v>0</v>
      </c>
      <c r="D84" s="231">
        <f>Statement!I220</f>
        <v>0</v>
      </c>
      <c r="E84" s="231">
        <f>Statement!J220</f>
        <v>0</v>
      </c>
      <c r="F84" s="231">
        <f>Statement!K220</f>
        <v>0</v>
      </c>
      <c r="G84" s="231">
        <f>Statement!L220</f>
        <v>0</v>
      </c>
      <c r="H84" s="231">
        <f>Statement!M220</f>
        <v>100</v>
      </c>
      <c r="I84" s="231">
        <f>Statement!N220</f>
        <v>150.77821011673151</v>
      </c>
      <c r="J84" s="231">
        <f>Statement!O220</f>
        <v>-103.89105058365762</v>
      </c>
      <c r="K84" s="231">
        <f>Statement!P220</f>
        <v>13.618677042801563</v>
      </c>
      <c r="L84" s="231">
        <f>Statement!Q220</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61"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tr">
        <f>"Revenue "&amp;Statement!B187</f>
        <v>Revenue DRAM</v>
      </c>
      <c r="C63" s="64">
        <f>Statement!T187</f>
        <v>14176</v>
      </c>
      <c r="D63" s="64">
        <f>Statement!U187</f>
        <v>6400</v>
      </c>
      <c r="E63" s="64">
        <f>Statement!V187</f>
        <v>6123</v>
      </c>
      <c r="F63" s="64">
        <f>Statement!W187</f>
        <v>7071</v>
      </c>
      <c r="G63" s="64">
        <f>Statement!X187</f>
        <v>22178</v>
      </c>
      <c r="H63" s="64">
        <f>Statement!Y187</f>
        <v>10812</v>
      </c>
      <c r="I63" s="64">
        <f>Statement!Z187</f>
        <v>18768</v>
      </c>
      <c r="J63" s="64">
        <f>Statement!AA187</f>
        <v>31328</v>
      </c>
    </row>
    <row r="64" spans="2:10" x14ac:dyDescent="0.2">
      <c r="B64" s="20" t="str">
        <f>"Revenue "&amp;Statement!B188</f>
        <v>Revenue NAND</v>
      </c>
      <c r="C64" s="64">
        <f>Statement!T188</f>
        <v>5997</v>
      </c>
      <c r="D64" s="64">
        <f>Statement!U188</f>
        <v>2241</v>
      </c>
      <c r="E64" s="64">
        <f>Statement!V188</f>
        <v>1855</v>
      </c>
      <c r="F64" s="64">
        <f>Statement!W188</f>
        <v>2155</v>
      </c>
      <c r="G64" s="64">
        <f>Statement!X188</f>
        <v>6262</v>
      </c>
      <c r="H64" s="64">
        <f>Statement!Y188</f>
        <v>2743</v>
      </c>
      <c r="I64" s="64">
        <f>Statement!Z188</f>
        <v>4997</v>
      </c>
      <c r="J64" s="64">
        <f>Statement!AA188</f>
        <v>9943</v>
      </c>
    </row>
    <row r="65" spans="2:10" x14ac:dyDescent="0.2">
      <c r="B65" s="20" t="str">
        <f>"Revenue "&amp;Statement!B189</f>
        <v>Revenue Other</v>
      </c>
      <c r="C65" s="64">
        <f>Statement!T189</f>
        <v>212</v>
      </c>
      <c r="D65" s="64">
        <f>Statement!U189</f>
        <v>68</v>
      </c>
      <c r="E65" s="64">
        <f>Statement!V189</f>
        <v>75</v>
      </c>
      <c r="F65" s="64">
        <f>Statement!W189</f>
        <v>75</v>
      </c>
      <c r="G65" s="64">
        <f>Statement!X189</f>
        <v>229</v>
      </c>
      <c r="H65" s="64">
        <f>Statement!Y189</f>
        <v>88</v>
      </c>
      <c r="I65" s="64">
        <f>Statement!Z189</f>
        <v>95</v>
      </c>
      <c r="J65" s="64">
        <f>Statement!AA189</f>
        <v>185</v>
      </c>
    </row>
    <row r="66" spans="2:10" x14ac:dyDescent="0.2">
      <c r="B66" s="20" t="str">
        <f>"Revenue "&amp;Statement!B191</f>
        <v>Revenue Cloud Memory</v>
      </c>
      <c r="C66" s="64">
        <f>Statement!T191</f>
        <v>1449</v>
      </c>
      <c r="D66" s="64">
        <f>Statement!U191</f>
        <v>2658</v>
      </c>
      <c r="E66" s="64">
        <f>Statement!V191</f>
        <v>2947</v>
      </c>
      <c r="F66" s="64">
        <f>Statement!W191</f>
        <v>3386</v>
      </c>
      <c r="G66" s="64">
        <f>Statement!X191</f>
        <v>4543</v>
      </c>
      <c r="H66" s="64">
        <f>Statement!Y191</f>
        <v>5284</v>
      </c>
      <c r="I66" s="64">
        <f>Statement!Z191</f>
        <v>7749</v>
      </c>
      <c r="J66" s="64">
        <f>Statement!AA191</f>
        <v>13769</v>
      </c>
    </row>
    <row r="67" spans="2:10" x14ac:dyDescent="0.2">
      <c r="B67" s="20" t="str">
        <f>"Revenue "&amp;Statement!B192</f>
        <v>Revenue Core Data Center</v>
      </c>
      <c r="C67" s="64">
        <f>Statement!T192</f>
        <v>2048</v>
      </c>
      <c r="D67" s="64">
        <f>Statement!U192</f>
        <v>2292</v>
      </c>
      <c r="E67" s="64">
        <f>Statement!V192</f>
        <v>1830</v>
      </c>
      <c r="F67" s="64">
        <f>Statement!W192</f>
        <v>1530</v>
      </c>
      <c r="G67" s="64">
        <f>Statement!X192</f>
        <v>1577</v>
      </c>
      <c r="H67" s="64">
        <f>Statement!Y192</f>
        <v>2379</v>
      </c>
      <c r="I67" s="64">
        <f>Statement!Z192</f>
        <v>5687</v>
      </c>
      <c r="J67" s="64">
        <f>Statement!AA192</f>
        <v>11524</v>
      </c>
    </row>
    <row r="68" spans="2:10" x14ac:dyDescent="0.2">
      <c r="B68" s="20" t="str">
        <f>"Revenue "&amp;Statement!B193</f>
        <v>Revenue Mobile and Client</v>
      </c>
      <c r="C68" s="64">
        <f>Statement!T193</f>
        <v>3019</v>
      </c>
      <c r="D68" s="64">
        <f>Statement!U193</f>
        <v>2608</v>
      </c>
      <c r="E68" s="64">
        <f>Statement!V193</f>
        <v>2236</v>
      </c>
      <c r="F68" s="64">
        <f>Statement!W193</f>
        <v>3255</v>
      </c>
      <c r="G68" s="64">
        <f>Statement!X193</f>
        <v>3760</v>
      </c>
      <c r="H68" s="64">
        <f>Statement!Y193</f>
        <v>4255</v>
      </c>
      <c r="I68" s="64">
        <f>Statement!Z193</f>
        <v>7711</v>
      </c>
      <c r="J68" s="64">
        <f>Statement!AA193</f>
        <v>11521</v>
      </c>
    </row>
    <row r="69" spans="2:10" x14ac:dyDescent="0.2">
      <c r="B69" s="20" t="str">
        <f>"Revenue "&amp;Statement!B194</f>
        <v>Revenue Automotive and Embedded</v>
      </c>
      <c r="C69" s="64">
        <f>Statement!T194</f>
        <v>1230</v>
      </c>
      <c r="D69" s="64">
        <f>Statement!U194</f>
        <v>1158</v>
      </c>
      <c r="E69" s="64">
        <f>Statement!V194</f>
        <v>1034</v>
      </c>
      <c r="F69" s="64">
        <f>Statement!W194</f>
        <v>1127</v>
      </c>
      <c r="G69" s="64">
        <f>Statement!X194</f>
        <v>1434</v>
      </c>
      <c r="H69" s="64">
        <f>Statement!Y194</f>
        <v>1720</v>
      </c>
      <c r="I69" s="64">
        <f>Statement!Z194</f>
        <v>2708</v>
      </c>
      <c r="J69" s="64">
        <f>Statement!AA194</f>
        <v>4634</v>
      </c>
    </row>
    <row r="70" spans="2:10" x14ac:dyDescent="0.2">
      <c r="B70" s="20" t="s">
        <v>266</v>
      </c>
      <c r="C70" s="64">
        <f>Statement!T157</f>
        <v>0</v>
      </c>
      <c r="D70" s="64">
        <f>Statement!U157</f>
        <v>-182</v>
      </c>
      <c r="E70" s="64">
        <f>Statement!V157</f>
        <v>-362</v>
      </c>
      <c r="F70" s="64">
        <f>Statement!W157</f>
        <v>1418</v>
      </c>
      <c r="G70" s="64">
        <f>Statement!X157</f>
        <v>-178</v>
      </c>
      <c r="H70" s="64">
        <f>Statement!Y157</f>
        <v>2732</v>
      </c>
      <c r="I70" s="64">
        <f>Statement!Z157</f>
        <v>5207</v>
      </c>
      <c r="J70"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V6" zoomScale="184" zoomScaleNormal="75" workbookViewId="0">
      <selection activeCell="I17" sqref="I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0" t="s">
        <v>113</v>
      </c>
      <c r="D2" s="240"/>
      <c r="E2" s="240"/>
      <c r="F2" s="240"/>
      <c r="G2" s="252"/>
      <c r="H2" s="253" t="s">
        <v>114</v>
      </c>
      <c r="I2" s="240"/>
      <c r="J2" s="240"/>
      <c r="K2" s="240"/>
      <c r="L2" s="240"/>
      <c r="O2" s="5"/>
      <c r="S2" s="240" t="s">
        <v>113</v>
      </c>
      <c r="T2" s="240"/>
      <c r="U2" s="240"/>
      <c r="V2" s="240"/>
      <c r="W2" s="240"/>
      <c r="X2" s="240"/>
      <c r="Y2" s="240"/>
      <c r="Z2" s="240"/>
      <c r="AA2" s="240" t="s">
        <v>114</v>
      </c>
      <c r="AB2" s="240"/>
      <c r="AC2" s="240"/>
      <c r="AE2" s="85" t="s">
        <v>115</v>
      </c>
    </row>
    <row r="3" spans="1:31" ht="10" customHeight="1" x14ac:dyDescent="0.2">
      <c r="O3" s="5"/>
    </row>
    <row r="4" spans="1:31" ht="16" customHeight="1" x14ac:dyDescent="0.2">
      <c r="A4" s="86"/>
      <c r="B4" s="60"/>
      <c r="C4" s="249" t="s">
        <v>116</v>
      </c>
      <c r="D4" s="249"/>
      <c r="E4" s="249"/>
      <c r="F4" s="249"/>
      <c r="G4" s="249"/>
      <c r="H4" s="249"/>
      <c r="I4" s="249"/>
      <c r="J4" s="249"/>
      <c r="K4" s="249"/>
      <c r="L4" s="249"/>
      <c r="O4" s="5"/>
      <c r="S4" s="250" t="s">
        <v>116</v>
      </c>
      <c r="T4" s="251"/>
      <c r="U4" s="251"/>
      <c r="V4" s="251"/>
      <c r="W4" s="251"/>
      <c r="X4" s="251"/>
      <c r="Y4" s="251"/>
      <c r="Z4" s="251"/>
      <c r="AA4" s="251"/>
      <c r="AB4" s="251"/>
      <c r="AC4" s="251"/>
      <c r="AE4" s="87"/>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118</v>
      </c>
      <c r="AB5" s="12" t="s">
        <v>119</v>
      </c>
      <c r="AC5" s="12" t="s">
        <v>120</v>
      </c>
      <c r="AE5" s="8" t="s">
        <v>118</v>
      </c>
    </row>
    <row r="6" spans="1:31" x14ac:dyDescent="0.2">
      <c r="B6" s="1" t="str">
        <f>Statement!B191</f>
        <v>Cloud Memory</v>
      </c>
      <c r="C6" s="88">
        <f>Statement!M191</f>
        <v>0</v>
      </c>
      <c r="D6" s="88">
        <f>Statement!N191</f>
        <v>0</v>
      </c>
      <c r="E6" s="88">
        <f>Statement!O191</f>
        <v>1872</v>
      </c>
      <c r="F6" s="88">
        <f>Statement!P191</f>
        <v>3792</v>
      </c>
      <c r="G6" s="89">
        <f>Statement!Q191</f>
        <v>13524</v>
      </c>
      <c r="H6" s="64">
        <f t="shared" ref="H6:L9" si="1">G6*(1+H14)</f>
        <v>47334</v>
      </c>
      <c r="I6" s="64">
        <f t="shared" si="1"/>
        <v>71001</v>
      </c>
      <c r="J6" s="64">
        <f t="shared" si="1"/>
        <v>78101.100000000006</v>
      </c>
      <c r="K6" s="64">
        <f t="shared" si="1"/>
        <v>70290.990000000005</v>
      </c>
      <c r="L6" s="64">
        <f t="shared" si="1"/>
        <v>42174.594000000005</v>
      </c>
      <c r="N6" s="90" t="s">
        <v>426</v>
      </c>
      <c r="O6" s="5"/>
      <c r="Q6" s="90" t="str">
        <f>N6</f>
        <v>Cloud growth rate</v>
      </c>
      <c r="R6" s="1" t="str">
        <f>B6</f>
        <v>Cloud Memory</v>
      </c>
      <c r="S6" s="88">
        <f>Statement!T191</f>
        <v>1449</v>
      </c>
      <c r="T6" s="88">
        <f>Statement!U191</f>
        <v>2658</v>
      </c>
      <c r="U6" s="88">
        <f>Statement!V191</f>
        <v>2947</v>
      </c>
      <c r="V6" s="88">
        <f>Statement!W191</f>
        <v>3386</v>
      </c>
      <c r="W6" s="88">
        <f>Statement!X191</f>
        <v>4543</v>
      </c>
      <c r="X6" s="88">
        <f>Statement!Y191</f>
        <v>5284</v>
      </c>
      <c r="Y6" s="88">
        <f>Statement!Z191</f>
        <v>7749</v>
      </c>
      <c r="Z6" s="89">
        <f>Statement!AA191</f>
        <v>13769</v>
      </c>
      <c r="AA6" s="64">
        <f>Z6*(1+AA14)</f>
        <v>20653.5</v>
      </c>
      <c r="AB6" s="64"/>
      <c r="AC6" s="64"/>
      <c r="AE6" s="64">
        <f>SUM(X6:AA6)</f>
        <v>47455.5</v>
      </c>
    </row>
    <row r="7" spans="1:31" x14ac:dyDescent="0.2">
      <c r="B7" s="1" t="str">
        <f>Statement!B192</f>
        <v>Core Data Center</v>
      </c>
      <c r="C7" s="88">
        <f>Statement!M192</f>
        <v>0</v>
      </c>
      <c r="D7" s="88">
        <f>Statement!N192</f>
        <v>0</v>
      </c>
      <c r="E7" s="88">
        <f>Statement!O192</f>
        <v>2124</v>
      </c>
      <c r="F7" s="88">
        <f>Statement!P192</f>
        <v>4984</v>
      </c>
      <c r="G7" s="89">
        <f>Statement!Q192</f>
        <v>7229</v>
      </c>
      <c r="H7" s="64">
        <f t="shared" si="1"/>
        <v>37229.350000000006</v>
      </c>
      <c r="I7" s="64">
        <f t="shared" si="1"/>
        <v>44675.220000000008</v>
      </c>
      <c r="J7" s="64">
        <f t="shared" si="1"/>
        <v>51376.503000000004</v>
      </c>
      <c r="K7" s="64">
        <f t="shared" si="1"/>
        <v>43670.027549999999</v>
      </c>
      <c r="L7" s="64">
        <f t="shared" si="1"/>
        <v>21835.013774999999</v>
      </c>
      <c r="N7" s="90" t="s">
        <v>427</v>
      </c>
      <c r="O7" s="5"/>
      <c r="Q7" s="90" t="str">
        <f t="shared" ref="Q7:Q9" si="2">N7</f>
        <v>Datacenter growth rate</v>
      </c>
      <c r="R7" s="1" t="str">
        <f t="shared" ref="R7:R9" si="3">B7</f>
        <v>Core Data Center</v>
      </c>
      <c r="S7" s="88">
        <f>Statement!T192</f>
        <v>2048</v>
      </c>
      <c r="T7" s="88">
        <f>Statement!U192</f>
        <v>2292</v>
      </c>
      <c r="U7" s="88">
        <f>Statement!V192</f>
        <v>1830</v>
      </c>
      <c r="V7" s="88">
        <f>Statement!W192</f>
        <v>1530</v>
      </c>
      <c r="W7" s="88">
        <f>Statement!X192</f>
        <v>1577</v>
      </c>
      <c r="X7" s="88">
        <f>Statement!Y192</f>
        <v>2379</v>
      </c>
      <c r="Y7" s="88">
        <f>Statement!Z192</f>
        <v>5687</v>
      </c>
      <c r="Z7" s="89">
        <f>Statement!AA192</f>
        <v>11524</v>
      </c>
      <c r="AA7" s="64">
        <f>Z7*(1+AA15)</f>
        <v>17862.2</v>
      </c>
      <c r="AB7" s="64"/>
      <c r="AC7" s="64"/>
      <c r="AE7" s="64">
        <f t="shared" ref="AE7:AE9" si="4">SUM(X7:AA7)</f>
        <v>37452.199999999997</v>
      </c>
    </row>
    <row r="8" spans="1:31" x14ac:dyDescent="0.2">
      <c r="B8" s="1" t="str">
        <f>Statement!B193</f>
        <v>Mobile and Client</v>
      </c>
      <c r="C8" s="88">
        <f>Statement!M193</f>
        <v>0</v>
      </c>
      <c r="D8" s="88">
        <f>Statement!N193</f>
        <v>0</v>
      </c>
      <c r="E8" s="88">
        <f>Statement!O193</f>
        <v>7394</v>
      </c>
      <c r="F8" s="88">
        <f>Statement!P193</f>
        <v>11667</v>
      </c>
      <c r="G8" s="89">
        <f>Statement!Q193</f>
        <v>11859</v>
      </c>
      <c r="H8" s="64">
        <f t="shared" si="1"/>
        <v>39727.65</v>
      </c>
      <c r="I8" s="64">
        <f t="shared" si="1"/>
        <v>47673.18</v>
      </c>
      <c r="J8" s="64">
        <f t="shared" si="1"/>
        <v>61975.134000000005</v>
      </c>
      <c r="K8" s="64">
        <f t="shared" si="1"/>
        <v>49580.107200000006</v>
      </c>
      <c r="L8" s="64">
        <f t="shared" si="1"/>
        <v>44622.096480000007</v>
      </c>
      <c r="N8" s="90" t="s">
        <v>428</v>
      </c>
      <c r="O8" s="5"/>
      <c r="Q8" s="90" t="str">
        <f t="shared" si="2"/>
        <v>Mobile growth rate</v>
      </c>
      <c r="R8" s="1" t="str">
        <f t="shared" si="3"/>
        <v>Mobile and Client</v>
      </c>
      <c r="S8" s="88">
        <f>Statement!T193</f>
        <v>3019</v>
      </c>
      <c r="T8" s="88">
        <f>Statement!U193</f>
        <v>2608</v>
      </c>
      <c r="U8" s="88">
        <f>Statement!V193</f>
        <v>2236</v>
      </c>
      <c r="V8" s="88">
        <f>Statement!W193</f>
        <v>3255</v>
      </c>
      <c r="W8" s="88">
        <f>Statement!X193</f>
        <v>3760</v>
      </c>
      <c r="X8" s="88">
        <f>Statement!Y193</f>
        <v>4255</v>
      </c>
      <c r="Y8" s="88">
        <f>Statement!Z193</f>
        <v>7711</v>
      </c>
      <c r="Z8" s="89">
        <f>Statement!AA193</f>
        <v>11521</v>
      </c>
      <c r="AA8" s="64">
        <f>Z8*(1+AA16)</f>
        <v>15553.35</v>
      </c>
      <c r="AB8" s="64"/>
      <c r="AC8" s="64"/>
      <c r="AE8" s="64">
        <f t="shared" si="4"/>
        <v>39040.35</v>
      </c>
    </row>
    <row r="9" spans="1:31" x14ac:dyDescent="0.2">
      <c r="B9" s="1" t="str">
        <f>Statement!B194</f>
        <v>Automotive and Embedded</v>
      </c>
      <c r="C9" s="88">
        <f>Statement!M194</f>
        <v>0</v>
      </c>
      <c r="D9" s="88">
        <f>Statement!N194</f>
        <v>0</v>
      </c>
      <c r="E9" s="88">
        <f>Statement!O194</f>
        <v>4139</v>
      </c>
      <c r="F9" s="88">
        <f>Statement!P194</f>
        <v>4631</v>
      </c>
      <c r="G9" s="89">
        <f>Statement!Q194</f>
        <v>4753</v>
      </c>
      <c r="H9" s="64">
        <f t="shared" si="1"/>
        <v>16160.199999999999</v>
      </c>
      <c r="I9" s="64">
        <f t="shared" si="1"/>
        <v>21008.26</v>
      </c>
      <c r="J9" s="64">
        <f t="shared" si="1"/>
        <v>23109.085999999999</v>
      </c>
      <c r="K9" s="64">
        <f t="shared" si="1"/>
        <v>20798.1774</v>
      </c>
      <c r="L9" s="64">
        <f t="shared" si="1"/>
        <v>14558.724179999999</v>
      </c>
      <c r="N9" s="90" t="s">
        <v>429</v>
      </c>
      <c r="O9" s="5"/>
      <c r="Q9" s="90" t="str">
        <f t="shared" si="2"/>
        <v>Automotive growth rate</v>
      </c>
      <c r="R9" s="1" t="str">
        <f t="shared" si="3"/>
        <v>Automotive and Embedded</v>
      </c>
      <c r="S9" s="88">
        <f>Statement!T194</f>
        <v>1230</v>
      </c>
      <c r="T9" s="88">
        <f>Statement!U194</f>
        <v>1158</v>
      </c>
      <c r="U9" s="88">
        <f>Statement!V194</f>
        <v>1034</v>
      </c>
      <c r="V9" s="88">
        <f>Statement!W194</f>
        <v>1127</v>
      </c>
      <c r="W9" s="88">
        <f>Statement!X194</f>
        <v>1434</v>
      </c>
      <c r="X9" s="88">
        <f>Statement!Y194</f>
        <v>1720</v>
      </c>
      <c r="Y9" s="88">
        <f>Statement!Z194</f>
        <v>2708</v>
      </c>
      <c r="Z9" s="89">
        <f>Statement!AA194</f>
        <v>4634</v>
      </c>
      <c r="AA9" s="64">
        <f>Z9*(1+AA17)</f>
        <v>7182.7</v>
      </c>
      <c r="AB9" s="64"/>
      <c r="AC9" s="64"/>
      <c r="AE9" s="64">
        <f t="shared" si="4"/>
        <v>16244.7</v>
      </c>
    </row>
    <row r="10" spans="1:31" x14ac:dyDescent="0.2">
      <c r="B10" s="16" t="s">
        <v>121</v>
      </c>
      <c r="C10" s="92">
        <f>Statement!M5</f>
        <v>27705</v>
      </c>
      <c r="D10" s="92">
        <f>Statement!N5</f>
        <v>30758</v>
      </c>
      <c r="E10" s="92">
        <f>Statement!O5</f>
        <v>15540</v>
      </c>
      <c r="F10" s="92">
        <f>Statement!P5</f>
        <v>25111</v>
      </c>
      <c r="G10" s="93">
        <f>Statement!Q5</f>
        <v>37378</v>
      </c>
      <c r="H10" s="94">
        <f>SUM(H6:H9)</f>
        <v>140451.20000000001</v>
      </c>
      <c r="I10" s="94">
        <f>SUM(I6:I9)</f>
        <v>184357.66</v>
      </c>
      <c r="J10" s="94">
        <f>SUM(J6:J9)</f>
        <v>214561.82300000003</v>
      </c>
      <c r="K10" s="94">
        <f>SUM(K6:K9)</f>
        <v>184339.30215</v>
      </c>
      <c r="L10" s="94">
        <f>SUM(L6:L9)</f>
        <v>123190.42843500002</v>
      </c>
      <c r="O10" s="5"/>
      <c r="R10" s="16" t="s">
        <v>121</v>
      </c>
      <c r="S10" s="92">
        <f>Statement!T5</f>
        <v>7750</v>
      </c>
      <c r="T10" s="92">
        <f>Statement!U5</f>
        <v>8709</v>
      </c>
      <c r="U10" s="92">
        <f>Statement!V5</f>
        <v>8053</v>
      </c>
      <c r="V10" s="92">
        <f>Statement!W5</f>
        <v>9301</v>
      </c>
      <c r="W10" s="92">
        <f>Statement!X5</f>
        <v>11315</v>
      </c>
      <c r="X10" s="92">
        <f>Statement!Y5</f>
        <v>13643</v>
      </c>
      <c r="Y10" s="92">
        <f>Statement!Z5</f>
        <v>23860</v>
      </c>
      <c r="Z10" s="93">
        <f>Statement!AA5</f>
        <v>41456</v>
      </c>
      <c r="AA10" s="94">
        <f>SUM(AA6:AA9)</f>
        <v>61251.749999999993</v>
      </c>
      <c r="AB10" s="94"/>
      <c r="AC10" s="94"/>
      <c r="AE10" s="94">
        <f>SUM(X10:AA10)</f>
        <v>140210.75</v>
      </c>
    </row>
    <row r="11" spans="1:31" x14ac:dyDescent="0.2">
      <c r="O11" s="5"/>
      <c r="Q11" s="91"/>
    </row>
    <row r="12" spans="1:31" x14ac:dyDescent="0.2">
      <c r="C12" s="249" t="s">
        <v>122</v>
      </c>
      <c r="D12" s="249"/>
      <c r="E12" s="249"/>
      <c r="F12" s="249"/>
      <c r="G12" s="249"/>
      <c r="H12" s="249"/>
      <c r="I12" s="249"/>
      <c r="J12" s="249"/>
      <c r="K12" s="249"/>
      <c r="L12" s="249"/>
      <c r="O12" s="5"/>
      <c r="Q12" s="91"/>
      <c r="S12" s="250" t="s">
        <v>122</v>
      </c>
      <c r="T12" s="251"/>
      <c r="U12" s="251"/>
      <c r="V12" s="251"/>
      <c r="W12" s="251"/>
      <c r="X12" s="251"/>
      <c r="Y12" s="251"/>
      <c r="Z12" s="251"/>
      <c r="AA12" s="251"/>
      <c r="AB12" s="251"/>
      <c r="AC12" s="251"/>
    </row>
    <row r="13" spans="1:31" x14ac:dyDescent="0.2">
      <c r="B13" s="16" t="s">
        <v>123</v>
      </c>
      <c r="C13" s="12">
        <f t="shared" ref="C13:L13" si="5">C5</f>
        <v>2021</v>
      </c>
      <c r="D13" s="12">
        <f t="shared" si="5"/>
        <v>2022</v>
      </c>
      <c r="E13" s="12">
        <f t="shared" si="5"/>
        <v>2023</v>
      </c>
      <c r="F13" s="12">
        <f t="shared" si="5"/>
        <v>2024</v>
      </c>
      <c r="G13" s="12">
        <f t="shared" si="5"/>
        <v>2025</v>
      </c>
      <c r="H13" s="12">
        <f t="shared" si="5"/>
        <v>2026</v>
      </c>
      <c r="I13" s="12">
        <f t="shared" si="5"/>
        <v>2027</v>
      </c>
      <c r="J13" s="12">
        <f t="shared" si="5"/>
        <v>2028</v>
      </c>
      <c r="K13" s="12">
        <f t="shared" si="5"/>
        <v>2029</v>
      </c>
      <c r="L13" s="12">
        <f t="shared" si="5"/>
        <v>2030</v>
      </c>
      <c r="O13" s="5"/>
      <c r="Q13" s="91"/>
      <c r="R13" s="16" t="s">
        <v>123</v>
      </c>
      <c r="S13" s="12" t="str">
        <f t="shared" ref="S13:AC13" si="6">S5</f>
        <v>Q4 2024</v>
      </c>
      <c r="T13" s="12" t="str">
        <f t="shared" si="6"/>
        <v>Q1 2025</v>
      </c>
      <c r="U13" s="12" t="str">
        <f t="shared" si="6"/>
        <v>Q2 2025</v>
      </c>
      <c r="V13" s="12" t="str">
        <f t="shared" si="6"/>
        <v>Q3 2025</v>
      </c>
      <c r="W13" s="12" t="str">
        <f t="shared" si="6"/>
        <v>Q4 2025</v>
      </c>
      <c r="X13" s="12" t="str">
        <f t="shared" si="6"/>
        <v>Q1 2026</v>
      </c>
      <c r="Y13" s="12" t="str">
        <f t="shared" si="6"/>
        <v>Q2 2026</v>
      </c>
      <c r="Z13" s="12" t="str">
        <f t="shared" si="6"/>
        <v>Q3 2026</v>
      </c>
      <c r="AA13" s="12" t="str">
        <f t="shared" si="6"/>
        <v>FQ1</v>
      </c>
      <c r="AB13" s="12" t="str">
        <f t="shared" si="6"/>
        <v>FQ2</v>
      </c>
      <c r="AC13" s="12" t="str">
        <f t="shared" si="6"/>
        <v>FQ3</v>
      </c>
    </row>
    <row r="14" spans="1:31" x14ac:dyDescent="0.2">
      <c r="B14" s="1" t="str">
        <f>B6</f>
        <v>Cloud Memory</v>
      </c>
      <c r="C14" s="47"/>
      <c r="D14" s="95" t="e">
        <f t="shared" ref="D14:G14" si="7">D6/C6-1</f>
        <v>#DIV/0!</v>
      </c>
      <c r="E14" s="95" t="e">
        <f t="shared" si="7"/>
        <v>#DIV/0!</v>
      </c>
      <c r="F14" s="95">
        <f t="shared" si="7"/>
        <v>1.0256410256410255</v>
      </c>
      <c r="G14" s="96">
        <f t="shared" si="7"/>
        <v>2.5664556962025316</v>
      </c>
      <c r="H14" s="106">
        <v>2.5</v>
      </c>
      <c r="I14" s="106">
        <v>0.5</v>
      </c>
      <c r="J14" s="106">
        <v>0.1</v>
      </c>
      <c r="K14" s="106">
        <v>-0.1</v>
      </c>
      <c r="L14" s="106">
        <v>-0.4</v>
      </c>
      <c r="O14" s="5"/>
      <c r="Q14" s="91"/>
      <c r="R14" s="1" t="str">
        <f>R6</f>
        <v>Cloud Memory</v>
      </c>
      <c r="S14" s="47"/>
      <c r="T14" s="95">
        <f t="shared" ref="T14:Z16" si="8">T6/S6-1</f>
        <v>0.83436853002070399</v>
      </c>
      <c r="U14" s="95">
        <f t="shared" si="8"/>
        <v>0.10872836719337853</v>
      </c>
      <c r="V14" s="95">
        <f t="shared" si="8"/>
        <v>0.14896504920257891</v>
      </c>
      <c r="W14" s="95">
        <f t="shared" si="8"/>
        <v>0.34170112226816296</v>
      </c>
      <c r="X14" s="95">
        <f t="shared" si="8"/>
        <v>0.16310807836231556</v>
      </c>
      <c r="Y14" s="95">
        <f t="shared" si="8"/>
        <v>0.46650264950794851</v>
      </c>
      <c r="Z14" s="96">
        <f t="shared" si="8"/>
        <v>0.77687443541102086</v>
      </c>
      <c r="AA14" s="106">
        <v>0.5</v>
      </c>
      <c r="AB14" s="106"/>
      <c r="AC14" s="106"/>
    </row>
    <row r="15" spans="1:31" x14ac:dyDescent="0.2">
      <c r="B15" s="1" t="str">
        <f>B7</f>
        <v>Core Data Center</v>
      </c>
      <c r="C15" s="47"/>
      <c r="D15" s="95" t="e">
        <f t="shared" ref="D15:G15" si="9">D7/C7-1</f>
        <v>#DIV/0!</v>
      </c>
      <c r="E15" s="95" t="e">
        <f t="shared" si="9"/>
        <v>#DIV/0!</v>
      </c>
      <c r="F15" s="95">
        <f t="shared" si="9"/>
        <v>1.3465160075329567</v>
      </c>
      <c r="G15" s="96">
        <f t="shared" si="9"/>
        <v>0.4504414125200642</v>
      </c>
      <c r="H15" s="106">
        <v>4.1500000000000004</v>
      </c>
      <c r="I15" s="106">
        <v>0.2</v>
      </c>
      <c r="J15" s="106">
        <v>0.15</v>
      </c>
      <c r="K15" s="106">
        <v>-0.15</v>
      </c>
      <c r="L15" s="106">
        <v>-0.5</v>
      </c>
      <c r="O15" s="5"/>
      <c r="Q15" s="91"/>
      <c r="R15" s="1" t="str">
        <f>R7</f>
        <v>Core Data Center</v>
      </c>
      <c r="S15" s="47"/>
      <c r="T15" s="95">
        <f t="shared" si="8"/>
        <v>0.119140625</v>
      </c>
      <c r="U15" s="95">
        <f t="shared" si="8"/>
        <v>-0.20157068062827221</v>
      </c>
      <c r="V15" s="95">
        <f t="shared" si="8"/>
        <v>-0.16393442622950816</v>
      </c>
      <c r="W15" s="95">
        <f t="shared" si="8"/>
        <v>3.0718954248365904E-2</v>
      </c>
      <c r="X15" s="95">
        <f t="shared" si="8"/>
        <v>0.50856055802155997</v>
      </c>
      <c r="Y15" s="95">
        <f t="shared" si="8"/>
        <v>1.3905002101723412</v>
      </c>
      <c r="Z15" s="96">
        <f t="shared" si="8"/>
        <v>1.0263759451380343</v>
      </c>
      <c r="AA15" s="106">
        <v>0.55000000000000004</v>
      </c>
      <c r="AB15" s="106"/>
      <c r="AC15" s="106"/>
    </row>
    <row r="16" spans="1:31" x14ac:dyDescent="0.2">
      <c r="B16" s="1" t="str">
        <f>B8</f>
        <v>Mobile and Client</v>
      </c>
      <c r="C16" s="47"/>
      <c r="D16" s="95" t="e">
        <f t="shared" ref="D16:G17" si="10">D8/C8-1</f>
        <v>#DIV/0!</v>
      </c>
      <c r="E16" s="95" t="e">
        <f t="shared" si="10"/>
        <v>#DIV/0!</v>
      </c>
      <c r="F16" s="95">
        <f t="shared" si="10"/>
        <v>0.57790100081146867</v>
      </c>
      <c r="G16" s="96">
        <f t="shared" si="10"/>
        <v>1.6456672666495198E-2</v>
      </c>
      <c r="H16" s="106">
        <v>2.35</v>
      </c>
      <c r="I16" s="106">
        <v>0.2</v>
      </c>
      <c r="J16" s="106">
        <v>0.3</v>
      </c>
      <c r="K16" s="106">
        <v>-0.2</v>
      </c>
      <c r="L16" s="106">
        <v>-0.1</v>
      </c>
      <c r="O16" s="5"/>
      <c r="Q16" s="91"/>
      <c r="R16" s="1" t="str">
        <f>R8</f>
        <v>Mobile and Client</v>
      </c>
      <c r="S16" s="47"/>
      <c r="T16" s="95">
        <f t="shared" si="8"/>
        <v>-0.13613779397151371</v>
      </c>
      <c r="U16" s="95">
        <f t="shared" si="8"/>
        <v>-0.1426380368098159</v>
      </c>
      <c r="V16" s="95">
        <f t="shared" si="8"/>
        <v>0.45572450805008935</v>
      </c>
      <c r="W16" s="95">
        <f t="shared" si="8"/>
        <v>0.15514592933947768</v>
      </c>
      <c r="X16" s="95">
        <f t="shared" si="8"/>
        <v>0.13164893617021267</v>
      </c>
      <c r="Y16" s="95">
        <f t="shared" si="8"/>
        <v>0.81222091656874262</v>
      </c>
      <c r="Z16" s="96">
        <f t="shared" si="8"/>
        <v>0.49409933860718458</v>
      </c>
      <c r="AA16" s="106">
        <v>0.35</v>
      </c>
      <c r="AB16" s="106"/>
      <c r="AC16" s="106"/>
    </row>
    <row r="17" spans="2:29" x14ac:dyDescent="0.2">
      <c r="B17" s="1" t="str">
        <f>B9</f>
        <v>Automotive and Embedded</v>
      </c>
      <c r="C17" s="47"/>
      <c r="D17" s="95" t="e">
        <f t="shared" si="10"/>
        <v>#DIV/0!</v>
      </c>
      <c r="E17" s="95" t="e">
        <f t="shared" ref="E17" si="11">E9/D9-1</f>
        <v>#DIV/0!</v>
      </c>
      <c r="F17" s="95">
        <f t="shared" ref="F17" si="12">F9/E9-1</f>
        <v>0.11886929209954089</v>
      </c>
      <c r="G17" s="96">
        <f t="shared" ref="G17" si="13">G9/F9-1</f>
        <v>2.6344202116173721E-2</v>
      </c>
      <c r="H17" s="106">
        <v>2.4</v>
      </c>
      <c r="I17" s="106">
        <v>0.3</v>
      </c>
      <c r="J17" s="106">
        <v>0.1</v>
      </c>
      <c r="K17" s="106">
        <v>-0.1</v>
      </c>
      <c r="L17" s="106">
        <v>-0.3</v>
      </c>
      <c r="O17" s="5"/>
      <c r="Q17" s="91"/>
      <c r="R17" s="1" t="str">
        <f>R9</f>
        <v>Automotive and Embedded</v>
      </c>
      <c r="S17" s="47"/>
      <c r="T17" s="95">
        <f>T9/S9-1</f>
        <v>-5.8536585365853711E-2</v>
      </c>
      <c r="U17" s="95">
        <f t="shared" ref="U17:Z17" si="14">U9/T9-1</f>
        <v>-0.10708117443868737</v>
      </c>
      <c r="V17" s="95">
        <f t="shared" si="14"/>
        <v>8.9941972920696278E-2</v>
      </c>
      <c r="W17" s="95">
        <f t="shared" si="14"/>
        <v>0.27240461401952087</v>
      </c>
      <c r="X17" s="95">
        <f t="shared" si="14"/>
        <v>0.19944211994421202</v>
      </c>
      <c r="Y17" s="95">
        <f t="shared" si="14"/>
        <v>0.57441860465116279</v>
      </c>
      <c r="Z17" s="96">
        <f t="shared" si="14"/>
        <v>0.71122599704579015</v>
      </c>
      <c r="AA17" s="106">
        <v>0.55000000000000004</v>
      </c>
      <c r="AB17" s="106"/>
      <c r="AC17" s="106"/>
    </row>
    <row r="18" spans="2:29" x14ac:dyDescent="0.2">
      <c r="B18" s="16" t="str">
        <f>B10</f>
        <v>Total</v>
      </c>
      <c r="C18" s="47"/>
      <c r="D18" s="103">
        <f t="shared" ref="D18:L18" si="15">D10/C10-1</f>
        <v>0.11019671539433307</v>
      </c>
      <c r="E18" s="103">
        <f t="shared" si="15"/>
        <v>-0.4947655894401457</v>
      </c>
      <c r="F18" s="103">
        <f t="shared" si="15"/>
        <v>0.61589446589446584</v>
      </c>
      <c r="G18" s="104">
        <f t="shared" si="15"/>
        <v>0.48851101111066852</v>
      </c>
      <c r="H18" s="103">
        <f t="shared" si="15"/>
        <v>2.7575900262186317</v>
      </c>
      <c r="I18" s="103">
        <f t="shared" si="15"/>
        <v>0.31261007381923389</v>
      </c>
      <c r="J18" s="103">
        <f t="shared" si="15"/>
        <v>0.16383459737989736</v>
      </c>
      <c r="K18" s="103">
        <f t="shared" si="15"/>
        <v>-0.1408569354390693</v>
      </c>
      <c r="L18" s="103">
        <f t="shared" si="15"/>
        <v>-0.33171913423672461</v>
      </c>
      <c r="O18" s="5"/>
      <c r="Q18" s="91"/>
      <c r="R18" s="16" t="str">
        <f>R10</f>
        <v>Total</v>
      </c>
      <c r="S18" s="47"/>
      <c r="T18" s="103">
        <f t="shared" ref="T18:AA18" si="16">T10/S10-1</f>
        <v>0.12374193548387091</v>
      </c>
      <c r="U18" s="103">
        <f t="shared" si="16"/>
        <v>-7.5324377081180338E-2</v>
      </c>
      <c r="V18" s="103">
        <f t="shared" si="16"/>
        <v>0.15497330187507763</v>
      </c>
      <c r="W18" s="103">
        <f t="shared" si="16"/>
        <v>0.21653585635953121</v>
      </c>
      <c r="X18" s="103">
        <f t="shared" si="16"/>
        <v>0.20574458683163943</v>
      </c>
      <c r="Y18" s="103">
        <f t="shared" si="16"/>
        <v>0.74888221065747995</v>
      </c>
      <c r="Z18" s="104">
        <f t="shared" si="16"/>
        <v>0.73746856663872595</v>
      </c>
      <c r="AA18" s="103">
        <f t="shared" si="16"/>
        <v>0.47751230219992258</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5" zoomScale="178" zoomScaleNormal="100" workbookViewId="0">
      <selection activeCell="L29" sqref="L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0" t="s">
        <v>113</v>
      </c>
      <c r="D2" s="240"/>
      <c r="E2" s="240"/>
      <c r="F2" s="240"/>
      <c r="G2" s="252"/>
      <c r="H2" s="253" t="s">
        <v>114</v>
      </c>
      <c r="I2" s="240"/>
      <c r="J2" s="240"/>
      <c r="K2" s="240"/>
      <c r="L2" s="240"/>
      <c r="P2" s="240" t="s">
        <v>113</v>
      </c>
      <c r="Q2" s="240"/>
      <c r="R2" s="240"/>
      <c r="S2" s="240"/>
      <c r="T2" s="240"/>
      <c r="U2" s="240"/>
      <c r="V2" s="240"/>
      <c r="W2" s="240"/>
      <c r="X2" s="240" t="s">
        <v>114</v>
      </c>
      <c r="Y2" s="240"/>
      <c r="Z2" s="240"/>
      <c r="AB2" s="85" t="s">
        <v>115</v>
      </c>
    </row>
    <row r="3" spans="1:30" ht="10" customHeight="1" x14ac:dyDescent="0.2"/>
    <row r="4" spans="1:30" ht="16" customHeight="1" x14ac:dyDescent="0.2">
      <c r="A4" s="86"/>
      <c r="B4" s="60"/>
      <c r="C4" s="249" t="s">
        <v>116</v>
      </c>
      <c r="D4" s="249"/>
      <c r="E4" s="249"/>
      <c r="F4" s="249"/>
      <c r="G4" s="249"/>
      <c r="H4" s="249"/>
      <c r="I4" s="249"/>
      <c r="J4" s="249"/>
      <c r="K4" s="249"/>
      <c r="L4" s="249"/>
      <c r="P4" s="251" t="s">
        <v>116</v>
      </c>
      <c r="Q4" s="251"/>
      <c r="R4" s="251"/>
      <c r="S4" s="251"/>
      <c r="T4" s="251"/>
      <c r="U4" s="251"/>
      <c r="V4" s="251"/>
      <c r="W4" s="251"/>
      <c r="X4" s="251"/>
      <c r="Y4" s="251"/>
      <c r="Z4" s="251"/>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118</v>
      </c>
      <c r="Y5" s="12" t="s">
        <v>119</v>
      </c>
      <c r="Z5" s="12" t="s">
        <v>120</v>
      </c>
      <c r="AB5" s="87" t="str">
        <f>Revenue!AE5</f>
        <v>FQ1</v>
      </c>
    </row>
    <row r="6" spans="1:30"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c r="O6" s="16" t="s">
        <v>19</v>
      </c>
      <c r="P6" s="92">
        <f>Revenue!S10</f>
        <v>7750</v>
      </c>
      <c r="Q6" s="92">
        <f>Revenue!T10</f>
        <v>8709</v>
      </c>
      <c r="R6" s="92">
        <f>Revenue!U10</f>
        <v>8053</v>
      </c>
      <c r="S6" s="92">
        <f>Revenue!V10</f>
        <v>9301</v>
      </c>
      <c r="T6" s="92">
        <f>Revenue!W10</f>
        <v>11315</v>
      </c>
      <c r="U6" s="92">
        <f>Revenue!X10</f>
        <v>13643</v>
      </c>
      <c r="V6" s="92">
        <f>Revenue!Y10</f>
        <v>23860</v>
      </c>
      <c r="W6" s="93">
        <f>Revenue!Z10</f>
        <v>41456</v>
      </c>
      <c r="X6" s="92">
        <f>Revenue!AA10</f>
        <v>61251.749999999993</v>
      </c>
      <c r="Y6" s="94"/>
      <c r="Z6" s="94"/>
      <c r="AB6" s="92">
        <f>Revenue!AE10</f>
        <v>140210.75</v>
      </c>
    </row>
    <row r="7" spans="1:30" x14ac:dyDescent="0.2">
      <c r="N7" s="91"/>
    </row>
    <row r="8" spans="1:30" x14ac:dyDescent="0.2">
      <c r="N8" s="91"/>
    </row>
    <row r="9" spans="1:30" x14ac:dyDescent="0.2">
      <c r="C9" s="249" t="s">
        <v>125</v>
      </c>
      <c r="D9" s="249"/>
      <c r="E9" s="249"/>
      <c r="F9" s="249"/>
      <c r="G9" s="249"/>
      <c r="H9" s="249"/>
      <c r="I9" s="249"/>
      <c r="J9" s="249"/>
      <c r="K9" s="249"/>
      <c r="L9" s="249"/>
      <c r="N9" s="91"/>
      <c r="P9" s="251" t="s">
        <v>126</v>
      </c>
      <c r="Q9" s="251"/>
      <c r="R9" s="251"/>
      <c r="S9" s="251"/>
      <c r="T9" s="251"/>
      <c r="U9" s="251"/>
      <c r="V9" s="251"/>
      <c r="W9" s="251"/>
      <c r="X9" s="251"/>
      <c r="Y9" s="251"/>
      <c r="Z9" s="251"/>
      <c r="AB9" s="87">
        <f>AB4</f>
        <v>0</v>
      </c>
    </row>
    <row r="10" spans="1:30" x14ac:dyDescent="0.2">
      <c r="B10" s="16" t="s">
        <v>130</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127</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0</v>
      </c>
      <c r="E11" s="111">
        <f>Statement!O196</f>
        <v>1801</v>
      </c>
      <c r="F11" s="111">
        <f>Statement!P196</f>
        <v>2677</v>
      </c>
      <c r="G11" s="112">
        <f>Statement!Q196</f>
        <v>5867</v>
      </c>
      <c r="H11" s="25">
        <f>H6*H24</f>
        <v>6741.6576000000005</v>
      </c>
      <c r="I11" s="25">
        <f t="shared" ref="I11:L11" si="3">I6*I24</f>
        <v>7374.3064000000004</v>
      </c>
      <c r="J11" s="25">
        <f t="shared" si="3"/>
        <v>8582.472920000002</v>
      </c>
      <c r="K11" s="25">
        <f t="shared" si="3"/>
        <v>8295.2685967500001</v>
      </c>
      <c r="L11" s="25">
        <f t="shared" si="3"/>
        <v>5543.569279575001</v>
      </c>
      <c r="N11" s="91"/>
      <c r="O11" s="39" t="str">
        <f>B11</f>
        <v>Cloud Memory</v>
      </c>
      <c r="P11" s="111">
        <f>Statement!T196</f>
        <v>0</v>
      </c>
      <c r="Q11" s="111">
        <f>Statement!U196</f>
        <v>1293</v>
      </c>
      <c r="R11" s="111">
        <f>Statement!V196</f>
        <v>1317</v>
      </c>
      <c r="S11" s="111">
        <f>Statement!W196</f>
        <v>1415</v>
      </c>
      <c r="T11" s="111">
        <f>Statement!X196</f>
        <v>1842</v>
      </c>
      <c r="U11" s="111">
        <f>Statement!Y196</f>
        <v>1817</v>
      </c>
      <c r="V11" s="111">
        <f>Statement!Z196</f>
        <v>2002</v>
      </c>
      <c r="W11" s="112">
        <f>Statement!AA196</f>
        <v>2278</v>
      </c>
      <c r="X11" s="25">
        <f>X24*X$6</f>
        <v>612.51749999999993</v>
      </c>
      <c r="Y11" s="25"/>
      <c r="Z11" s="25"/>
      <c r="AB11" s="24">
        <f>SUM(U11:X11)</f>
        <v>6709.5174999999999</v>
      </c>
      <c r="AD11" s="238"/>
    </row>
    <row r="12" spans="1:30" x14ac:dyDescent="0.2">
      <c r="B12" s="39" t="str">
        <f>Statement!B192</f>
        <v>Core Data Center</v>
      </c>
      <c r="C12" s="111">
        <f>Statement!M197</f>
        <v>0</v>
      </c>
      <c r="D12" s="111">
        <f>Statement!N197</f>
        <v>0</v>
      </c>
      <c r="E12" s="111">
        <f>Statement!O197</f>
        <v>1967</v>
      </c>
      <c r="F12" s="111">
        <f>Statement!P197</f>
        <v>3638</v>
      </c>
      <c r="G12" s="112">
        <f>Statement!Q197</f>
        <v>3995</v>
      </c>
      <c r="H12" s="25">
        <f>H6*H25</f>
        <v>4915.7920000000013</v>
      </c>
      <c r="I12" s="25">
        <f t="shared" ref="I12:L12" si="4">I6*I25</f>
        <v>5530.7298000000001</v>
      </c>
      <c r="J12" s="25">
        <f t="shared" si="4"/>
        <v>6436.854690000001</v>
      </c>
      <c r="K12" s="25">
        <f t="shared" si="4"/>
        <v>6451.875575250001</v>
      </c>
      <c r="L12" s="25">
        <f t="shared" si="4"/>
        <v>4311.6649952250009</v>
      </c>
      <c r="N12" s="91"/>
      <c r="O12" s="39" t="str">
        <f t="shared" ref="O12:O19" si="5">B12</f>
        <v>Core Data Center</v>
      </c>
      <c r="P12" s="111">
        <f>Statement!T197</f>
        <v>0</v>
      </c>
      <c r="Q12" s="111">
        <f>Statement!U197</f>
        <v>1149</v>
      </c>
      <c r="R12" s="111">
        <f>Statement!V197</f>
        <v>967</v>
      </c>
      <c r="S12" s="111">
        <f>Statement!W197</f>
        <v>956</v>
      </c>
      <c r="T12" s="111">
        <f>Statement!X197</f>
        <v>923</v>
      </c>
      <c r="U12" s="111">
        <f>Statement!Y197</f>
        <v>1157</v>
      </c>
      <c r="V12" s="111">
        <f>Statement!Z197</f>
        <v>1461</v>
      </c>
      <c r="W12" s="112">
        <f>Statement!AA197</f>
        <v>1537</v>
      </c>
      <c r="X12" s="25">
        <f>X25*X$6</f>
        <v>612.51749999999993</v>
      </c>
      <c r="Y12" s="25"/>
      <c r="Z12" s="25"/>
      <c r="AB12" s="24">
        <f>SUM(U12:X12)</f>
        <v>4767.5174999999999</v>
      </c>
      <c r="AD12" s="50"/>
    </row>
    <row r="13" spans="1:30" x14ac:dyDescent="0.2">
      <c r="B13" s="39" t="str">
        <f>Statement!B193</f>
        <v>Mobile and Client</v>
      </c>
      <c r="C13" s="111">
        <f>Statement!M198</f>
        <v>0</v>
      </c>
      <c r="D13" s="111">
        <f>Statement!N198</f>
        <v>0</v>
      </c>
      <c r="E13" s="111">
        <f>Statement!O198</f>
        <v>9072</v>
      </c>
      <c r="F13" s="111">
        <f>Statement!P198</f>
        <v>10222</v>
      </c>
      <c r="G13" s="112">
        <f>Statement!Q198</f>
        <v>8650</v>
      </c>
      <c r="H13" s="25">
        <f>H6*H26</f>
        <v>5618.0480000000007</v>
      </c>
      <c r="I13" s="25">
        <f t="shared" ref="I13:L13" si="6">I6*I26</f>
        <v>6452.5181000000011</v>
      </c>
      <c r="J13" s="25">
        <f t="shared" si="6"/>
        <v>7509.663805000002</v>
      </c>
      <c r="K13" s="25">
        <f t="shared" si="6"/>
        <v>7373.5720860000001</v>
      </c>
      <c r="L13" s="25">
        <f t="shared" si="6"/>
        <v>4927.6171374000014</v>
      </c>
      <c r="N13" s="91"/>
      <c r="O13" s="39" t="str">
        <f t="shared" si="5"/>
        <v>Mobile and Client</v>
      </c>
      <c r="P13" s="111">
        <f>Statement!T198</f>
        <v>0</v>
      </c>
      <c r="Q13" s="111">
        <f>Statement!U198</f>
        <v>1899</v>
      </c>
      <c r="R13" s="111">
        <f>Statement!V198</f>
        <v>1894</v>
      </c>
      <c r="S13" s="111">
        <f>Statement!W198</f>
        <v>2467</v>
      </c>
      <c r="T13" s="111">
        <f>Statement!X198</f>
        <v>2390</v>
      </c>
      <c r="U13" s="111">
        <f>Statement!Y198</f>
        <v>1970</v>
      </c>
      <c r="V13" s="111">
        <f>Statement!Z198</f>
        <v>1657</v>
      </c>
      <c r="W13" s="112">
        <f>Statement!AA198</f>
        <v>1463</v>
      </c>
      <c r="X13" s="25">
        <f>X26*X$6</f>
        <v>612.51749999999993</v>
      </c>
      <c r="Y13" s="25"/>
      <c r="Z13" s="25"/>
      <c r="AB13" s="24">
        <f>SUM(U13:X13)</f>
        <v>5702.5174999999999</v>
      </c>
    </row>
    <row r="14" spans="1:30" x14ac:dyDescent="0.2">
      <c r="B14" s="39" t="str">
        <f>Statement!B194</f>
        <v>Automotive and Embedded</v>
      </c>
      <c r="C14" s="111">
        <f>Statement!M199</f>
        <v>0</v>
      </c>
      <c r="D14" s="111">
        <f>Statement!N199</f>
        <v>0</v>
      </c>
      <c r="E14" s="111">
        <f>Statement!O199</f>
        <v>2905</v>
      </c>
      <c r="F14" s="111">
        <f>Statement!P199</f>
        <v>3598</v>
      </c>
      <c r="G14" s="112">
        <f>Statement!Q199</f>
        <v>3566</v>
      </c>
      <c r="H14" s="25">
        <f>H6*H27</f>
        <v>3511.2800000000007</v>
      </c>
      <c r="I14" s="25">
        <f t="shared" ref="I14:L14" si="7">I6*I27</f>
        <v>3687.1532000000002</v>
      </c>
      <c r="J14" s="25">
        <f t="shared" si="7"/>
        <v>4291.236460000001</v>
      </c>
      <c r="K14" s="25">
        <f t="shared" si="7"/>
        <v>5530.1790645000001</v>
      </c>
      <c r="L14" s="25">
        <f t="shared" si="7"/>
        <v>3695.7128530500004</v>
      </c>
      <c r="N14" s="91"/>
      <c r="O14" s="39" t="str">
        <f t="shared" si="5"/>
        <v>Automotive and Embedded</v>
      </c>
      <c r="P14" s="111">
        <f>Statement!T199</f>
        <v>0</v>
      </c>
      <c r="Q14" s="111">
        <f>Statement!U199</f>
        <v>922</v>
      </c>
      <c r="R14" s="111">
        <f>Statement!V199</f>
        <v>820</v>
      </c>
      <c r="S14" s="111">
        <f>Statement!W199</f>
        <v>837</v>
      </c>
      <c r="T14" s="111">
        <f>Statement!X199</f>
        <v>987</v>
      </c>
      <c r="U14" s="111">
        <f>Statement!Y199</f>
        <v>942</v>
      </c>
      <c r="V14" s="111">
        <f>Statement!Z199</f>
        <v>859</v>
      </c>
      <c r="W14" s="112">
        <f>Statement!AA199</f>
        <v>975</v>
      </c>
      <c r="X14" s="25">
        <f>X27*X$6</f>
        <v>612.51749999999993</v>
      </c>
      <c r="Y14" s="25"/>
      <c r="Z14" s="25"/>
      <c r="AB14" s="24">
        <f>SUM(U14:X14)</f>
        <v>3388.5174999999999</v>
      </c>
    </row>
    <row r="15" spans="1:30" x14ac:dyDescent="0.2">
      <c r="B15" s="16" t="s">
        <v>20</v>
      </c>
      <c r="C15" s="108">
        <f>Statement!M6</f>
        <v>17282</v>
      </c>
      <c r="D15" s="108">
        <f>Statement!N6</f>
        <v>16860</v>
      </c>
      <c r="E15" s="108">
        <f>Statement!O6</f>
        <v>16956</v>
      </c>
      <c r="F15" s="108">
        <f>Statement!P6</f>
        <v>19498</v>
      </c>
      <c r="G15" s="109">
        <f>Statement!Q6</f>
        <v>22505</v>
      </c>
      <c r="H15" s="110">
        <f>SUM(H11:H14)</f>
        <v>20786.777600000001</v>
      </c>
      <c r="I15" s="110">
        <f>SUM(I11:I14)</f>
        <v>23044.707500000004</v>
      </c>
      <c r="J15" s="110">
        <f t="shared" ref="J15:L15" si="8">SUM(J11:J14)</f>
        <v>26820.227875000004</v>
      </c>
      <c r="K15" s="110">
        <f t="shared" si="8"/>
        <v>27650.8953225</v>
      </c>
      <c r="L15" s="110">
        <f t="shared" si="8"/>
        <v>18478.564265250003</v>
      </c>
      <c r="N15" s="91"/>
      <c r="O15" s="16" t="str">
        <f t="shared" si="5"/>
        <v>COGS</v>
      </c>
      <c r="P15" s="108">
        <f>Statement!T6</f>
        <v>5013</v>
      </c>
      <c r="Q15" s="108">
        <f>Statement!U6</f>
        <v>5361</v>
      </c>
      <c r="R15" s="108">
        <f>Statement!V6</f>
        <v>5090</v>
      </c>
      <c r="S15" s="108">
        <f>Statement!W6</f>
        <v>5793</v>
      </c>
      <c r="T15" s="108">
        <f>Statement!X6</f>
        <v>6261</v>
      </c>
      <c r="U15" s="108">
        <f>Statement!Y6</f>
        <v>5997</v>
      </c>
      <c r="V15" s="108">
        <f>Statement!Z6</f>
        <v>6105</v>
      </c>
      <c r="W15" s="109">
        <f>Statement!AA6</f>
        <v>6400</v>
      </c>
      <c r="X15" s="110">
        <f>SUM(X11:X14)</f>
        <v>2450.0699999999997</v>
      </c>
      <c r="Y15" s="110"/>
      <c r="Z15" s="110"/>
      <c r="AB15" s="110">
        <f>SUM(AB11:AB14)</f>
        <v>20568.07</v>
      </c>
    </row>
    <row r="16" spans="1:30" x14ac:dyDescent="0.2">
      <c r="B16" s="1" t="str">
        <f>Statement!B8</f>
        <v>R&amp;D</v>
      </c>
      <c r="C16" s="98">
        <f>Statement!M8</f>
        <v>2663</v>
      </c>
      <c r="D16" s="98">
        <f>Statement!N8</f>
        <v>3116</v>
      </c>
      <c r="E16" s="98">
        <f>Statement!O8</f>
        <v>3114</v>
      </c>
      <c r="F16" s="98">
        <f>Statement!P8</f>
        <v>3430</v>
      </c>
      <c r="G16" s="99">
        <f>Statement!Q8</f>
        <v>3798</v>
      </c>
      <c r="H16" s="24">
        <f>H6*H29</f>
        <v>6320.3040000000001</v>
      </c>
      <c r="I16" s="24">
        <f t="shared" ref="I16:L16" si="9">I6*I29</f>
        <v>7374.3064000000004</v>
      </c>
      <c r="J16" s="24">
        <f t="shared" si="9"/>
        <v>8582.472920000002</v>
      </c>
      <c r="K16" s="24">
        <f t="shared" si="9"/>
        <v>6451.875575250001</v>
      </c>
      <c r="L16" s="24">
        <f t="shared" si="9"/>
        <v>3695.7128530500004</v>
      </c>
      <c r="N16" s="91"/>
      <c r="O16" s="39" t="str">
        <f t="shared" si="5"/>
        <v>R&amp;D</v>
      </c>
      <c r="P16" s="98">
        <f>Statement!T8</f>
        <v>903</v>
      </c>
      <c r="Q16" s="98">
        <f>Statement!U8</f>
        <v>888</v>
      </c>
      <c r="R16" s="98">
        <f>Statement!V8</f>
        <v>898</v>
      </c>
      <c r="S16" s="98">
        <f>Statement!W8</f>
        <v>965</v>
      </c>
      <c r="T16" s="98">
        <f>Statement!X8</f>
        <v>1047</v>
      </c>
      <c r="U16" s="98">
        <f>Statement!Y8</f>
        <v>1171</v>
      </c>
      <c r="V16" s="98">
        <f>Statement!Z8</f>
        <v>1250</v>
      </c>
      <c r="W16" s="99">
        <f>Statement!AA8</f>
        <v>1316</v>
      </c>
      <c r="X16" s="25">
        <f>X29*X$6</f>
        <v>1286.28675</v>
      </c>
      <c r="Y16" s="24"/>
      <c r="Z16" s="24"/>
      <c r="AB16" s="24">
        <f t="shared" ref="AB16:AB19" si="10">SUM(U16:X16)</f>
        <v>5023.2867500000002</v>
      </c>
    </row>
    <row r="17" spans="2:28" x14ac:dyDescent="0.2">
      <c r="B17" s="1" t="str">
        <f>Statement!B9</f>
        <v>Sales and marketing</v>
      </c>
      <c r="C17" s="98">
        <f>Statement!M9</f>
        <v>894</v>
      </c>
      <c r="D17" s="98">
        <f>Statement!N9</f>
        <v>1066</v>
      </c>
      <c r="E17" s="98">
        <f>Statement!O9</f>
        <v>920</v>
      </c>
      <c r="F17" s="98">
        <f>Statement!P9</f>
        <v>1129</v>
      </c>
      <c r="G17" s="99">
        <f>Statement!Q9</f>
        <v>1205</v>
      </c>
      <c r="H17" s="24">
        <f>H6*H30</f>
        <v>2106.768</v>
      </c>
      <c r="I17" s="24">
        <f t="shared" ref="I17:L17" si="11">I6*I30</f>
        <v>3687.1532000000002</v>
      </c>
      <c r="J17" s="24">
        <f t="shared" si="11"/>
        <v>4291.236460000001</v>
      </c>
      <c r="K17" s="24">
        <f t="shared" si="11"/>
        <v>2765.08953225</v>
      </c>
      <c r="L17" s="24">
        <f t="shared" si="11"/>
        <v>3695.7128530500004</v>
      </c>
      <c r="M17" s="90"/>
      <c r="N17" s="90"/>
      <c r="O17" s="39" t="str">
        <f t="shared" si="5"/>
        <v>Sales and marketing</v>
      </c>
      <c r="P17" s="98">
        <f>Statement!T9</f>
        <v>295</v>
      </c>
      <c r="Q17" s="98">
        <f>Statement!U9</f>
        <v>288</v>
      </c>
      <c r="R17" s="98">
        <f>Statement!V9</f>
        <v>285</v>
      </c>
      <c r="S17" s="98">
        <f>Statement!W9</f>
        <v>318</v>
      </c>
      <c r="T17" s="98">
        <f>Statement!X9</f>
        <v>314</v>
      </c>
      <c r="U17" s="98">
        <f>Statement!Y9</f>
        <v>337</v>
      </c>
      <c r="V17" s="98">
        <f>Statement!Z9</f>
        <v>344</v>
      </c>
      <c r="W17" s="99">
        <f>Statement!AA9</f>
        <v>407</v>
      </c>
      <c r="X17" s="25">
        <f>X30*X$6</f>
        <v>306.25874999999996</v>
      </c>
      <c r="Y17" s="24"/>
      <c r="Z17" s="24"/>
      <c r="AB17" s="24">
        <f t="shared" si="10"/>
        <v>1394.25875</v>
      </c>
    </row>
    <row r="18" spans="2:28" x14ac:dyDescent="0.2">
      <c r="B18" s="1" t="str">
        <f>Statement!B10</f>
        <v>Other income/expense</v>
      </c>
      <c r="C18" s="98">
        <f>Statement!M10</f>
        <v>583</v>
      </c>
      <c r="D18" s="98">
        <f>Statement!N10</f>
        <v>14</v>
      </c>
      <c r="E18" s="98">
        <f>Statement!O10</f>
        <v>295</v>
      </c>
      <c r="F18" s="98">
        <f>Statement!P10</f>
        <v>-250</v>
      </c>
      <c r="G18" s="99">
        <f>Statement!Q10</f>
        <v>100</v>
      </c>
      <c r="H18" s="239">
        <v>150</v>
      </c>
      <c r="I18" s="239">
        <v>150</v>
      </c>
      <c r="J18" s="239">
        <v>150</v>
      </c>
      <c r="K18" s="239">
        <v>150</v>
      </c>
      <c r="L18" s="239">
        <v>150</v>
      </c>
      <c r="M18" s="90"/>
      <c r="N18" s="90"/>
      <c r="O18" s="39" t="str">
        <f t="shared" si="5"/>
        <v>Other income/expense</v>
      </c>
      <c r="P18" s="98">
        <f>Statement!T10</f>
        <v>17</v>
      </c>
      <c r="Q18" s="98">
        <f>Statement!U10</f>
        <v>-2</v>
      </c>
      <c r="R18" s="98">
        <f>Statement!V10</f>
        <v>7</v>
      </c>
      <c r="S18" s="98">
        <f>Statement!W10</f>
        <v>56</v>
      </c>
      <c r="T18" s="98">
        <f>Statement!X10</f>
        <v>39</v>
      </c>
      <c r="U18" s="98">
        <f>Statement!Y10</f>
        <v>2</v>
      </c>
      <c r="V18" s="98">
        <f>Statement!Z10</f>
        <v>26</v>
      </c>
      <c r="W18" s="99">
        <f>Statement!AA10</f>
        <v>15</v>
      </c>
      <c r="X18" s="239">
        <v>110</v>
      </c>
      <c r="Y18" s="24"/>
      <c r="Z18" s="24"/>
      <c r="AB18" s="24">
        <f t="shared" si="10"/>
        <v>153</v>
      </c>
    </row>
    <row r="19" spans="2:28" x14ac:dyDescent="0.2">
      <c r="B19" s="16" t="s">
        <v>24</v>
      </c>
      <c r="C19" s="108">
        <f>Statement!M11</f>
        <v>4140</v>
      </c>
      <c r="D19" s="108">
        <f>Statement!N11</f>
        <v>4196</v>
      </c>
      <c r="E19" s="108">
        <f>Statement!O11</f>
        <v>4329</v>
      </c>
      <c r="F19" s="108">
        <f>Statement!P11</f>
        <v>4309</v>
      </c>
      <c r="G19" s="109">
        <f>Statement!Q11</f>
        <v>5103</v>
      </c>
      <c r="H19" s="110">
        <f>SUM(H16:H18)</f>
        <v>8577.0720000000001</v>
      </c>
      <c r="I19" s="110">
        <f>SUM(I16:I18)</f>
        <v>11211.4596</v>
      </c>
      <c r="J19" s="110">
        <f>SUM(J16:J18)</f>
        <v>13023.709380000004</v>
      </c>
      <c r="K19" s="110">
        <f>SUM(K16:K18)</f>
        <v>9366.9651075000002</v>
      </c>
      <c r="L19" s="110">
        <f>SUM(L16:L18)</f>
        <v>7541.4257061000008</v>
      </c>
      <c r="M19" s="90"/>
      <c r="N19" s="90"/>
      <c r="O19" s="16" t="str">
        <f t="shared" si="5"/>
        <v>OpEx</v>
      </c>
      <c r="P19" s="108">
        <f>Statement!T11</f>
        <v>1215</v>
      </c>
      <c r="Q19" s="108">
        <f>Statement!U11</f>
        <v>1174</v>
      </c>
      <c r="R19" s="108">
        <f>Statement!V11</f>
        <v>1190</v>
      </c>
      <c r="S19" s="108">
        <f>Statement!W11</f>
        <v>1339</v>
      </c>
      <c r="T19" s="108">
        <f>Statement!X11</f>
        <v>1400</v>
      </c>
      <c r="U19" s="108">
        <f>Statement!Y11</f>
        <v>1510</v>
      </c>
      <c r="V19" s="108">
        <f>Statement!Z11</f>
        <v>1620</v>
      </c>
      <c r="W19" s="109">
        <f>Statement!AA11</f>
        <v>1738</v>
      </c>
      <c r="X19" s="110">
        <f>SUM(X16:X18)</f>
        <v>1702.5454999999999</v>
      </c>
      <c r="Y19" s="110"/>
      <c r="Z19" s="110"/>
      <c r="AB19" s="110">
        <f t="shared" si="10"/>
        <v>6570.5455000000002</v>
      </c>
    </row>
    <row r="22" spans="2:28" x14ac:dyDescent="0.2">
      <c r="C22" s="249" t="s">
        <v>128</v>
      </c>
      <c r="D22" s="249"/>
      <c r="E22" s="249"/>
      <c r="F22" s="249"/>
      <c r="G22" s="249"/>
      <c r="H22" s="249"/>
      <c r="I22" s="249"/>
      <c r="J22" s="249"/>
      <c r="K22" s="249"/>
      <c r="L22" s="249"/>
      <c r="P22" s="251" t="s">
        <v>128</v>
      </c>
      <c r="Q22" s="251"/>
      <c r="R22" s="251"/>
      <c r="S22" s="251"/>
      <c r="T22" s="251"/>
      <c r="U22" s="251"/>
      <c r="V22" s="251"/>
      <c r="W22" s="251"/>
      <c r="X22" s="251"/>
      <c r="Y22" s="251"/>
      <c r="Z22" s="251"/>
    </row>
    <row r="23" spans="2:28" x14ac:dyDescent="0.2">
      <c r="B23" s="16" t="s">
        <v>129</v>
      </c>
      <c r="C23" s="12">
        <f t="shared" ref="C23:L23" si="12">C5</f>
        <v>2021</v>
      </c>
      <c r="D23" s="12">
        <f t="shared" si="12"/>
        <v>2022</v>
      </c>
      <c r="E23" s="12">
        <f t="shared" si="12"/>
        <v>2023</v>
      </c>
      <c r="F23" s="12">
        <f t="shared" si="12"/>
        <v>2024</v>
      </c>
      <c r="G23" s="12">
        <f t="shared" si="12"/>
        <v>2025</v>
      </c>
      <c r="H23" s="12">
        <f t="shared" si="12"/>
        <v>2026</v>
      </c>
      <c r="I23" s="12">
        <f t="shared" si="12"/>
        <v>2027</v>
      </c>
      <c r="J23" s="12">
        <f t="shared" si="12"/>
        <v>2028</v>
      </c>
      <c r="K23" s="12">
        <f t="shared" si="12"/>
        <v>2029</v>
      </c>
      <c r="L23" s="12">
        <f t="shared" si="12"/>
        <v>2030</v>
      </c>
      <c r="O23" s="16" t="s">
        <v>129</v>
      </c>
      <c r="P23" s="12" t="str">
        <f t="shared" ref="P23:Z23" si="13">P5</f>
        <v>Q4 2024</v>
      </c>
      <c r="Q23" s="12" t="str">
        <f t="shared" si="13"/>
        <v>Q1 2025</v>
      </c>
      <c r="R23" s="12" t="str">
        <f t="shared" si="13"/>
        <v>Q2 2025</v>
      </c>
      <c r="S23" s="12" t="str">
        <f t="shared" si="13"/>
        <v>Q3 2025</v>
      </c>
      <c r="T23" s="12" t="str">
        <f t="shared" si="13"/>
        <v>Q4 2025</v>
      </c>
      <c r="U23" s="12" t="str">
        <f t="shared" si="13"/>
        <v>Q1 2026</v>
      </c>
      <c r="V23" s="12" t="str">
        <f t="shared" si="13"/>
        <v>Q2 2026</v>
      </c>
      <c r="W23" s="12" t="str">
        <f t="shared" si="13"/>
        <v>Q3 2026</v>
      </c>
      <c r="X23" s="12" t="str">
        <f t="shared" si="13"/>
        <v>FQ1</v>
      </c>
      <c r="Y23" s="12" t="str">
        <f t="shared" si="13"/>
        <v>FQ2</v>
      </c>
      <c r="Z23" s="12" t="str">
        <f t="shared" si="13"/>
        <v>FQ3</v>
      </c>
    </row>
    <row r="24" spans="2:28" x14ac:dyDescent="0.2">
      <c r="B24" s="1" t="str">
        <f>B11</f>
        <v>Cloud Memory</v>
      </c>
      <c r="C24" s="95">
        <f>C11/C$6</f>
        <v>0</v>
      </c>
      <c r="D24" s="95">
        <f>D11/D$6</f>
        <v>0</v>
      </c>
      <c r="E24" s="95">
        <f>E11/E$6</f>
        <v>0.11589446589446589</v>
      </c>
      <c r="F24" s="95">
        <f>F11/F$6</f>
        <v>0.10660666640117876</v>
      </c>
      <c r="G24" s="96">
        <f>G11/G$6</f>
        <v>0.15696398951254747</v>
      </c>
      <c r="H24" s="97">
        <v>4.8000000000000001E-2</v>
      </c>
      <c r="I24" s="97">
        <v>0.04</v>
      </c>
      <c r="J24" s="97">
        <v>0.04</v>
      </c>
      <c r="K24" s="97">
        <v>4.4999999999999998E-2</v>
      </c>
      <c r="L24" s="97">
        <v>4.4999999999999998E-2</v>
      </c>
      <c r="O24" s="1" t="str">
        <f>O11</f>
        <v>Cloud Memory</v>
      </c>
      <c r="P24" s="95">
        <f t="shared" ref="P24:W24" si="14">P11/P$6</f>
        <v>0</v>
      </c>
      <c r="Q24" s="95">
        <f t="shared" si="14"/>
        <v>0.14846710299689975</v>
      </c>
      <c r="R24" s="95">
        <f t="shared" si="14"/>
        <v>0.16354153731528623</v>
      </c>
      <c r="S24" s="95">
        <f t="shared" si="14"/>
        <v>0.15213417912052468</v>
      </c>
      <c r="T24" s="95">
        <f t="shared" si="14"/>
        <v>0.16279275298276624</v>
      </c>
      <c r="U24" s="95">
        <f t="shared" si="14"/>
        <v>0.13318185149893719</v>
      </c>
      <c r="V24" s="95">
        <f t="shared" si="14"/>
        <v>8.3906119027661361E-2</v>
      </c>
      <c r="W24" s="96">
        <f t="shared" si="14"/>
        <v>5.4949826321883444E-2</v>
      </c>
      <c r="X24" s="97">
        <v>0.01</v>
      </c>
      <c r="Y24" s="97"/>
      <c r="Z24" s="97"/>
    </row>
    <row r="25" spans="2:28" x14ac:dyDescent="0.2">
      <c r="B25" s="1" t="str">
        <f>B12</f>
        <v>Core Data Center</v>
      </c>
      <c r="C25" s="95">
        <f>C12/C$6</f>
        <v>0</v>
      </c>
      <c r="D25" s="95">
        <f t="shared" ref="D25:G25" si="15">D12/D$6</f>
        <v>0</v>
      </c>
      <c r="E25" s="95">
        <f t="shared" si="15"/>
        <v>0.12657657657657659</v>
      </c>
      <c r="F25" s="95">
        <f t="shared" si="15"/>
        <v>0.14487674724224445</v>
      </c>
      <c r="G25" s="96">
        <f t="shared" si="15"/>
        <v>0.10688105302584408</v>
      </c>
      <c r="H25" s="97">
        <v>3.5000000000000003E-2</v>
      </c>
      <c r="I25" s="97">
        <v>0.03</v>
      </c>
      <c r="J25" s="97">
        <v>0.03</v>
      </c>
      <c r="K25" s="97">
        <v>3.5000000000000003E-2</v>
      </c>
      <c r="L25" s="97">
        <v>3.5000000000000003E-2</v>
      </c>
      <c r="O25" s="1" t="str">
        <f>O12</f>
        <v>Core Data Center</v>
      </c>
      <c r="P25" s="95">
        <f>P12/P$6</f>
        <v>0</v>
      </c>
      <c r="Q25" s="95">
        <f t="shared" ref="Q25:W25" si="16">Q12/Q$6</f>
        <v>0.13193248363761625</v>
      </c>
      <c r="R25" s="95">
        <f t="shared" si="16"/>
        <v>0.12007947348814106</v>
      </c>
      <c r="S25" s="95">
        <f t="shared" si="16"/>
        <v>0.10278464681217074</v>
      </c>
      <c r="T25" s="95">
        <f t="shared" si="16"/>
        <v>8.1573133009279722E-2</v>
      </c>
      <c r="U25" s="95">
        <f t="shared" si="16"/>
        <v>8.4805394707908821E-2</v>
      </c>
      <c r="V25" s="95">
        <f t="shared" si="16"/>
        <v>6.1232187761944674E-2</v>
      </c>
      <c r="W25" s="96">
        <f t="shared" si="16"/>
        <v>3.70754534928599E-2</v>
      </c>
      <c r="X25" s="97">
        <v>0.01</v>
      </c>
      <c r="Y25" s="97"/>
      <c r="Z25" s="97"/>
    </row>
    <row r="26" spans="2:28" x14ac:dyDescent="0.2">
      <c r="B26" s="1" t="str">
        <f>B13</f>
        <v>Mobile and Client</v>
      </c>
      <c r="C26" s="95">
        <f>C13/C$6</f>
        <v>0</v>
      </c>
      <c r="D26" s="95">
        <f t="shared" ref="D26:G26" si="17">D13/D$6</f>
        <v>0</v>
      </c>
      <c r="E26" s="95">
        <f t="shared" si="17"/>
        <v>0.58378378378378382</v>
      </c>
      <c r="F26" s="95">
        <f t="shared" si="17"/>
        <v>0.40707259766636134</v>
      </c>
      <c r="G26" s="96">
        <f t="shared" si="17"/>
        <v>0.23141955160789771</v>
      </c>
      <c r="H26" s="97">
        <v>0.04</v>
      </c>
      <c r="I26" s="97">
        <v>3.5000000000000003E-2</v>
      </c>
      <c r="J26" s="97">
        <v>3.5000000000000003E-2</v>
      </c>
      <c r="K26" s="97">
        <v>0.04</v>
      </c>
      <c r="L26" s="97">
        <v>0.04</v>
      </c>
      <c r="O26" s="1" t="str">
        <f>O13</f>
        <v>Mobile and Client</v>
      </c>
      <c r="P26" s="95">
        <f>P13/P$6</f>
        <v>0</v>
      </c>
      <c r="Q26" s="95">
        <f t="shared" ref="Q26:W26" si="18">Q13/Q$6</f>
        <v>0.21805029280055116</v>
      </c>
      <c r="R26" s="95">
        <f t="shared" si="18"/>
        <v>0.23519185396746553</v>
      </c>
      <c r="S26" s="95">
        <f t="shared" si="18"/>
        <v>0.26524029674228577</v>
      </c>
      <c r="T26" s="95">
        <f t="shared" si="18"/>
        <v>0.21122403888643393</v>
      </c>
      <c r="U26" s="95">
        <f t="shared" si="18"/>
        <v>0.14439639375503921</v>
      </c>
      <c r="V26" s="95">
        <f t="shared" si="18"/>
        <v>6.9446772841575855E-2</v>
      </c>
      <c r="W26" s="96">
        <f t="shared" si="18"/>
        <v>3.5290428406020841E-2</v>
      </c>
      <c r="X26" s="97">
        <v>0.01</v>
      </c>
      <c r="Y26" s="97"/>
      <c r="Z26" s="97"/>
    </row>
    <row r="27" spans="2:28" x14ac:dyDescent="0.2">
      <c r="B27" s="1" t="str">
        <f>B14</f>
        <v>Automotive and Embedded</v>
      </c>
      <c r="C27" s="95">
        <f>C14/C$6</f>
        <v>0</v>
      </c>
      <c r="D27" s="95">
        <f t="shared" ref="D27:G27" si="19">D14/D$6</f>
        <v>0</v>
      </c>
      <c r="E27" s="95">
        <f t="shared" si="19"/>
        <v>0.18693693693693694</v>
      </c>
      <c r="F27" s="95">
        <f t="shared" si="19"/>
        <v>0.14328381983991079</v>
      </c>
      <c r="G27" s="96">
        <f t="shared" si="19"/>
        <v>9.5403713414307881E-2</v>
      </c>
      <c r="H27" s="97">
        <v>2.5000000000000001E-2</v>
      </c>
      <c r="I27" s="97">
        <v>0.02</v>
      </c>
      <c r="J27" s="97">
        <v>0.02</v>
      </c>
      <c r="K27" s="97">
        <v>0.03</v>
      </c>
      <c r="L27" s="97">
        <v>0.03</v>
      </c>
      <c r="O27" s="1" t="str">
        <f>O14</f>
        <v>Automotive and Embedded</v>
      </c>
      <c r="P27" s="95">
        <f>P14/P$6</f>
        <v>0</v>
      </c>
      <c r="Q27" s="95">
        <f t="shared" ref="Q27:W27" si="20">Q14/Q$6</f>
        <v>0.10586749339763463</v>
      </c>
      <c r="R27" s="95">
        <f t="shared" si="20"/>
        <v>0.1018254066807401</v>
      </c>
      <c r="S27" s="95">
        <f t="shared" si="20"/>
        <v>8.9990323621116003E-2</v>
      </c>
      <c r="T27" s="95">
        <f t="shared" si="20"/>
        <v>8.7229341581970835E-2</v>
      </c>
      <c r="U27" s="95">
        <f t="shared" si="20"/>
        <v>6.9046397419922301E-2</v>
      </c>
      <c r="V27" s="95">
        <f t="shared" si="20"/>
        <v>3.6001676445934619E-2</v>
      </c>
      <c r="W27" s="96">
        <f t="shared" si="20"/>
        <v>2.3518911617136241E-2</v>
      </c>
      <c r="X27" s="97">
        <v>0.01</v>
      </c>
      <c r="Y27" s="97"/>
      <c r="Z27" s="97"/>
    </row>
    <row r="28" spans="2:28" x14ac:dyDescent="0.2">
      <c r="B28" s="16" t="str">
        <f t="shared" ref="B28" si="21">B15</f>
        <v>COGS</v>
      </c>
      <c r="C28" s="103">
        <f>C15/C$6</f>
        <v>0.62378632015881608</v>
      </c>
      <c r="D28" s="103">
        <f t="shared" ref="D28:L28" si="22">D15/D$6</f>
        <v>0.54815007477729372</v>
      </c>
      <c r="E28" s="103">
        <f t="shared" si="22"/>
        <v>1.0911196911196912</v>
      </c>
      <c r="F28" s="103">
        <f t="shared" si="22"/>
        <v>0.77647246226753219</v>
      </c>
      <c r="G28" s="104">
        <f t="shared" si="22"/>
        <v>0.60209213976135689</v>
      </c>
      <c r="H28" s="103">
        <f t="shared" si="22"/>
        <v>0.14799999999999999</v>
      </c>
      <c r="I28" s="103">
        <f t="shared" si="22"/>
        <v>0.12500000000000003</v>
      </c>
      <c r="J28" s="103">
        <f t="shared" si="22"/>
        <v>0.125</v>
      </c>
      <c r="K28" s="103">
        <f t="shared" si="22"/>
        <v>0.15</v>
      </c>
      <c r="L28" s="103">
        <f t="shared" si="22"/>
        <v>0.15</v>
      </c>
      <c r="O28" s="16" t="str">
        <f t="shared" ref="O28:O30" si="23">O15</f>
        <v>COGS</v>
      </c>
      <c r="P28" s="103">
        <f>P15/P$6</f>
        <v>0.64683870967741941</v>
      </c>
      <c r="Q28" s="103">
        <f t="shared" ref="Q28:V28" si="24">Q15/Q$6</f>
        <v>0.61557009989665867</v>
      </c>
      <c r="R28" s="103">
        <f t="shared" si="24"/>
        <v>0.63206258537191107</v>
      </c>
      <c r="S28" s="103">
        <f t="shared" si="24"/>
        <v>0.62283625416621868</v>
      </c>
      <c r="T28" s="103">
        <f t="shared" si="24"/>
        <v>0.55333627927529827</v>
      </c>
      <c r="U28" s="103">
        <f t="shared" si="24"/>
        <v>0.43956607784211682</v>
      </c>
      <c r="V28" s="103">
        <f t="shared" si="24"/>
        <v>0.25586756077116513</v>
      </c>
      <c r="W28" s="104">
        <f t="shared" ref="W28:X30" si="25">W15/W$6</f>
        <v>0.15438054805094559</v>
      </c>
      <c r="X28" s="103">
        <f t="shared" si="25"/>
        <v>0.04</v>
      </c>
      <c r="Y28" s="16"/>
      <c r="Z28" s="16"/>
    </row>
    <row r="29" spans="2:28" x14ac:dyDescent="0.2">
      <c r="B29" s="1" t="str">
        <f>B16</f>
        <v>R&amp;D</v>
      </c>
      <c r="C29" s="95">
        <f t="shared" ref="C29:G29" si="26">C16/C$6</f>
        <v>9.6119833964988272E-2</v>
      </c>
      <c r="D29" s="95">
        <f t="shared" si="26"/>
        <v>0.10130697704662202</v>
      </c>
      <c r="E29" s="95">
        <f t="shared" si="26"/>
        <v>0.20038610038610039</v>
      </c>
      <c r="F29" s="95">
        <f t="shared" si="26"/>
        <v>0.13659352475010952</v>
      </c>
      <c r="G29" s="96">
        <f t="shared" si="26"/>
        <v>0.10161057306436941</v>
      </c>
      <c r="H29" s="97">
        <v>4.4999999999999998E-2</v>
      </c>
      <c r="I29" s="97">
        <v>0.04</v>
      </c>
      <c r="J29" s="97">
        <v>0.04</v>
      </c>
      <c r="K29" s="97">
        <v>3.5000000000000003E-2</v>
      </c>
      <c r="L29" s="97">
        <v>0.03</v>
      </c>
      <c r="O29" s="1" t="str">
        <f t="shared" si="23"/>
        <v>R&amp;D</v>
      </c>
      <c r="P29" s="95">
        <f>P16/P$6</f>
        <v>0.11651612903225807</v>
      </c>
      <c r="Q29" s="95">
        <f t="shared" ref="Q29:V29" si="27">Q16/Q$6</f>
        <v>0.10196348604891492</v>
      </c>
      <c r="R29" s="95">
        <f t="shared" si="27"/>
        <v>0.11151123804793245</v>
      </c>
      <c r="S29" s="95">
        <f t="shared" si="27"/>
        <v>0.10375228470056982</v>
      </c>
      <c r="T29" s="95">
        <f t="shared" si="27"/>
        <v>9.253203711886876E-2</v>
      </c>
      <c r="U29" s="95">
        <f t="shared" si="27"/>
        <v>8.5831561973173057E-2</v>
      </c>
      <c r="V29" s="95">
        <f t="shared" si="27"/>
        <v>5.2388935456831515E-2</v>
      </c>
      <c r="W29" s="96">
        <f t="shared" si="25"/>
        <v>3.1744500192975686E-2</v>
      </c>
      <c r="X29" s="97">
        <v>2.1000000000000001E-2</v>
      </c>
      <c r="Y29" s="97"/>
      <c r="Z29" s="97"/>
    </row>
    <row r="30" spans="2:28" x14ac:dyDescent="0.2">
      <c r="B30" s="1" t="str">
        <f t="shared" ref="B30" si="28">B17</f>
        <v>Sales and marketing</v>
      </c>
      <c r="C30" s="95">
        <f t="shared" ref="C30:G30" si="29">C17/C$6</f>
        <v>3.2268543584190582E-2</v>
      </c>
      <c r="D30" s="95">
        <f t="shared" si="29"/>
        <v>3.4657650042265425E-2</v>
      </c>
      <c r="E30" s="95">
        <f t="shared" si="29"/>
        <v>5.9202059202059204E-2</v>
      </c>
      <c r="F30" s="95">
        <f t="shared" si="29"/>
        <v>4.496037593086695E-2</v>
      </c>
      <c r="G30" s="96">
        <f t="shared" si="29"/>
        <v>3.2238214992776501E-2</v>
      </c>
      <c r="H30" s="97">
        <v>1.4999999999999999E-2</v>
      </c>
      <c r="I30" s="97">
        <v>0.02</v>
      </c>
      <c r="J30" s="97">
        <v>0.02</v>
      </c>
      <c r="K30" s="97">
        <v>1.4999999999999999E-2</v>
      </c>
      <c r="L30" s="97">
        <v>0.03</v>
      </c>
      <c r="O30" s="1" t="str">
        <f t="shared" si="23"/>
        <v>Sales and marketing</v>
      </c>
      <c r="P30" s="95">
        <f t="shared" ref="P30:V30" si="30">P17/P$6</f>
        <v>3.8064516129032257E-2</v>
      </c>
      <c r="Q30" s="95">
        <f t="shared" si="30"/>
        <v>3.3069238718566998E-2</v>
      </c>
      <c r="R30" s="95">
        <f t="shared" si="30"/>
        <v>3.5390537687818205E-2</v>
      </c>
      <c r="S30" s="95">
        <f t="shared" si="30"/>
        <v>3.4189872056768086E-2</v>
      </c>
      <c r="T30" s="95">
        <f t="shared" si="30"/>
        <v>2.7750773309765799E-2</v>
      </c>
      <c r="U30" s="95">
        <f t="shared" si="30"/>
        <v>2.4701312028146301E-2</v>
      </c>
      <c r="V30" s="95">
        <f t="shared" si="30"/>
        <v>1.4417435037720033E-2</v>
      </c>
      <c r="W30" s="96">
        <f t="shared" si="25"/>
        <v>9.8176379776148213E-3</v>
      </c>
      <c r="X30" s="97">
        <v>5.0000000000000001E-3</v>
      </c>
      <c r="Y30" s="97"/>
      <c r="Z30" s="97"/>
    </row>
    <row r="31" spans="2:28" x14ac:dyDescent="0.2">
      <c r="B31" s="16" t="str">
        <f>B19</f>
        <v>OpEx</v>
      </c>
      <c r="C31" s="103">
        <f>C19/C$6</f>
        <v>0.14943151055766107</v>
      </c>
      <c r="D31" s="103">
        <f t="shared" ref="D31:L31" si="31">D19/D$6</f>
        <v>0.13641979322452696</v>
      </c>
      <c r="E31" s="103">
        <f t="shared" si="31"/>
        <v>0.27857142857142858</v>
      </c>
      <c r="F31" s="103">
        <f t="shared" si="31"/>
        <v>0.17159810441639123</v>
      </c>
      <c r="G31" s="104">
        <f t="shared" si="31"/>
        <v>0.13652415859596553</v>
      </c>
      <c r="H31" s="103">
        <f t="shared" si="31"/>
        <v>6.1067986603176048E-2</v>
      </c>
      <c r="I31" s="103">
        <f t="shared" si="31"/>
        <v>6.0813635842416308E-2</v>
      </c>
      <c r="J31" s="103">
        <f t="shared" si="31"/>
        <v>6.0699099205546933E-2</v>
      </c>
      <c r="K31" s="103">
        <f t="shared" si="31"/>
        <v>5.0813716870198103E-2</v>
      </c>
      <c r="L31" s="103">
        <f t="shared" si="31"/>
        <v>6.1217627066530944E-2</v>
      </c>
      <c r="O31" s="16" t="str">
        <f>O19</f>
        <v>OpEx</v>
      </c>
      <c r="P31" s="103">
        <f t="shared" ref="P31:X31" si="32">P19/P$6</f>
        <v>0.15677419354838709</v>
      </c>
      <c r="Q31" s="103">
        <f t="shared" si="32"/>
        <v>0.13480307727638074</v>
      </c>
      <c r="R31" s="103">
        <f t="shared" si="32"/>
        <v>0.14777101701229356</v>
      </c>
      <c r="S31" s="103">
        <f t="shared" si="32"/>
        <v>0.14396301472959896</v>
      </c>
      <c r="T31" s="103">
        <f t="shared" si="32"/>
        <v>0.1237295625276182</v>
      </c>
      <c r="U31" s="103">
        <f t="shared" si="32"/>
        <v>0.11067946932492853</v>
      </c>
      <c r="V31" s="103">
        <f t="shared" si="32"/>
        <v>6.7896060352053644E-2</v>
      </c>
      <c r="W31" s="104">
        <f t="shared" si="32"/>
        <v>4.192396758008491E-2</v>
      </c>
      <c r="X31" s="103">
        <f t="shared" si="32"/>
        <v>2.7795867056859602E-2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5" zoomScale="189"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0" t="s">
        <v>113</v>
      </c>
      <c r="D3" s="240"/>
      <c r="E3" s="240"/>
      <c r="F3" s="240"/>
      <c r="G3" s="252"/>
      <c r="H3" s="253" t="s">
        <v>114</v>
      </c>
      <c r="I3" s="240"/>
      <c r="J3" s="240"/>
      <c r="K3" s="240"/>
      <c r="L3" s="240"/>
      <c r="P3" s="254"/>
      <c r="Q3" s="254"/>
      <c r="R3" s="254"/>
      <c r="S3" s="254"/>
      <c r="T3" s="254"/>
      <c r="U3" s="254"/>
      <c r="V3" s="254"/>
      <c r="W3" s="254"/>
      <c r="X3" s="254"/>
      <c r="Y3" s="254"/>
      <c r="Z3" s="254"/>
      <c r="AB3" s="113"/>
    </row>
    <row r="4" spans="1:28" ht="10" customHeight="1" x14ac:dyDescent="0.2"/>
    <row r="5" spans="1:28" ht="16" customHeight="1" x14ac:dyDescent="0.2">
      <c r="A5" s="86"/>
      <c r="B5" s="60"/>
      <c r="C5" s="249" t="s">
        <v>116</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5"/>
      <c r="Q6" s="115"/>
      <c r="R6" s="115"/>
      <c r="S6" s="115"/>
      <c r="T6" s="115"/>
      <c r="U6" s="115"/>
      <c r="V6" s="115"/>
      <c r="W6" s="115"/>
      <c r="X6" s="115"/>
      <c r="Y6" s="115"/>
      <c r="Z6" s="115"/>
      <c r="AB6" s="114"/>
    </row>
    <row r="7" spans="1:28" x14ac:dyDescent="0.2">
      <c r="B7" s="16" t="s">
        <v>19</v>
      </c>
      <c r="C7" s="92">
        <f>Revenue!C10</f>
        <v>27705</v>
      </c>
      <c r="D7" s="92">
        <f>Revenue!D10</f>
        <v>30758</v>
      </c>
      <c r="E7" s="92">
        <f>Revenue!E10</f>
        <v>15540</v>
      </c>
      <c r="F7" s="92">
        <f>Revenue!F10</f>
        <v>25111</v>
      </c>
      <c r="G7" s="93">
        <f>Revenue!G10</f>
        <v>37378</v>
      </c>
      <c r="H7" s="92">
        <f>Revenue!H10</f>
        <v>140451.20000000001</v>
      </c>
      <c r="I7" s="92">
        <f>Revenue!I10</f>
        <v>184357.66</v>
      </c>
      <c r="J7" s="92">
        <f>Revenue!J10</f>
        <v>214561.82300000003</v>
      </c>
      <c r="K7" s="92">
        <f>Revenue!K10</f>
        <v>184339.30215</v>
      </c>
      <c r="L7" s="92">
        <f>Revenue!L10</f>
        <v>123190.42843500002</v>
      </c>
      <c r="N7" s="91"/>
      <c r="O7" s="16"/>
      <c r="P7" s="92"/>
      <c r="Q7" s="92"/>
      <c r="R7" s="92"/>
      <c r="S7" s="92"/>
      <c r="T7" s="92"/>
      <c r="U7" s="92"/>
      <c r="V7" s="92"/>
      <c r="W7" s="92"/>
      <c r="X7" s="94"/>
      <c r="Y7" s="94"/>
      <c r="Z7" s="94"/>
      <c r="AB7" s="94"/>
    </row>
    <row r="8" spans="1:28" x14ac:dyDescent="0.2">
      <c r="B8" s="39" t="s">
        <v>20</v>
      </c>
      <c r="C8" s="116">
        <f>'COGS &amp; OpEx'!C15</f>
        <v>17282</v>
      </c>
      <c r="D8" s="116">
        <f>'COGS &amp; OpEx'!D15</f>
        <v>16860</v>
      </c>
      <c r="E8" s="116">
        <f>'COGS &amp; OpEx'!E15</f>
        <v>16956</v>
      </c>
      <c r="F8" s="116">
        <f>'COGS &amp; OpEx'!F15</f>
        <v>19498</v>
      </c>
      <c r="G8" s="117">
        <f>'COGS &amp; OpEx'!G15</f>
        <v>22505</v>
      </c>
      <c r="H8" s="116">
        <f>'COGS &amp; OpEx'!H15</f>
        <v>20786.777600000001</v>
      </c>
      <c r="I8" s="116">
        <f>'COGS &amp; OpEx'!I15</f>
        <v>23044.707500000004</v>
      </c>
      <c r="J8" s="116">
        <f>'COGS &amp; OpEx'!J15</f>
        <v>26820.227875000004</v>
      </c>
      <c r="K8" s="116">
        <f>'COGS &amp; OpEx'!K15</f>
        <v>27650.8953225</v>
      </c>
      <c r="L8" s="116">
        <f>'COGS &amp; OpEx'!L15</f>
        <v>18478.564265250003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9" t="s">
        <v>132</v>
      </c>
      <c r="D11" s="249"/>
      <c r="E11" s="249"/>
      <c r="F11" s="249"/>
      <c r="G11" s="249"/>
      <c r="H11" s="249"/>
      <c r="I11" s="249"/>
      <c r="J11" s="249"/>
      <c r="K11" s="249"/>
      <c r="L11" s="249"/>
      <c r="N11" s="91"/>
      <c r="P11" s="254"/>
      <c r="Q11" s="254"/>
      <c r="R11" s="254"/>
      <c r="S11" s="254"/>
      <c r="T11" s="254"/>
      <c r="U11" s="254"/>
      <c r="V11" s="254"/>
      <c r="W11" s="254"/>
      <c r="X11" s="254"/>
      <c r="Y11" s="254"/>
      <c r="Z11" s="254"/>
      <c r="AB11" s="114"/>
    </row>
    <row r="12" spans="1:28" x14ac:dyDescent="0.2">
      <c r="B12" s="16" t="s">
        <v>133</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5"/>
      <c r="Q12" s="115"/>
      <c r="R12" s="115"/>
      <c r="S12" s="115"/>
      <c r="T12" s="115"/>
      <c r="U12" s="115"/>
      <c r="V12" s="115"/>
      <c r="W12" s="115"/>
      <c r="X12" s="115"/>
      <c r="Y12" s="115"/>
      <c r="Z12" s="115"/>
      <c r="AB12" s="114"/>
    </row>
    <row r="13" spans="1:28" x14ac:dyDescent="0.2">
      <c r="B13" s="39" t="s">
        <v>134</v>
      </c>
      <c r="C13" s="118">
        <f>Statement!M30</f>
        <v>5311</v>
      </c>
      <c r="D13" s="118">
        <f>Statement!N30</f>
        <v>5130</v>
      </c>
      <c r="E13" s="118">
        <f>Statement!O30</f>
        <v>2443</v>
      </c>
      <c r="F13" s="118">
        <f>Statement!P30</f>
        <v>6615</v>
      </c>
      <c r="G13" s="119">
        <f>Statement!Q30</f>
        <v>9265</v>
      </c>
      <c r="H13" s="25">
        <f>H20*H7/365</f>
        <v>32707.813698630143</v>
      </c>
      <c r="I13" s="25">
        <f>I20*I7/365</f>
        <v>42932.605753424657</v>
      </c>
      <c r="J13" s="25">
        <f>J20*J7/365</f>
        <v>49966.451931506854</v>
      </c>
      <c r="K13" s="25">
        <f>K20*K7/365</f>
        <v>42928.330637671235</v>
      </c>
      <c r="L13" s="25">
        <f>L20*L7/365</f>
        <v>28688.181964315077</v>
      </c>
      <c r="N13" s="91"/>
      <c r="O13" s="16"/>
      <c r="P13" s="120"/>
      <c r="Q13" s="120"/>
      <c r="R13" s="120"/>
      <c r="S13" s="120"/>
      <c r="T13" s="120"/>
      <c r="U13" s="120"/>
      <c r="V13" s="120"/>
      <c r="W13" s="120"/>
      <c r="X13" s="110"/>
      <c r="Y13" s="110"/>
      <c r="Z13" s="110"/>
      <c r="AB13" s="24"/>
    </row>
    <row r="14" spans="1:28" x14ac:dyDescent="0.2">
      <c r="B14" s="39" t="s">
        <v>135</v>
      </c>
      <c r="C14" s="118">
        <f>Statement!M31</f>
        <v>4487</v>
      </c>
      <c r="D14" s="118">
        <f>Statement!N31</f>
        <v>6663</v>
      </c>
      <c r="E14" s="118">
        <f>Statement!O31</f>
        <v>8387</v>
      </c>
      <c r="F14" s="118">
        <f>Statement!P31</f>
        <v>8875</v>
      </c>
      <c r="G14" s="119">
        <f>Statement!Q31</f>
        <v>8355</v>
      </c>
      <c r="H14" s="130">
        <f>H21*H8/365</f>
        <v>7403.5098301369862</v>
      </c>
      <c r="I14" s="130">
        <f t="shared" ref="I14:L14" si="2">I21*I8/365</f>
        <v>8207.7040410958925</v>
      </c>
      <c r="J14" s="130">
        <f t="shared" si="2"/>
        <v>9552.4099280821938</v>
      </c>
      <c r="K14" s="130">
        <f t="shared" si="2"/>
        <v>9848.2640874657536</v>
      </c>
      <c r="L14" s="130">
        <f t="shared" si="2"/>
        <v>6581.4064506369868</v>
      </c>
      <c r="N14" s="91"/>
      <c r="O14" s="16"/>
      <c r="P14" s="120"/>
      <c r="Q14" s="120"/>
      <c r="R14" s="120"/>
      <c r="S14" s="120"/>
      <c r="T14" s="120"/>
      <c r="U14" s="120"/>
      <c r="V14" s="120"/>
      <c r="W14" s="120"/>
      <c r="X14" s="110"/>
      <c r="Y14" s="110"/>
      <c r="Z14" s="110"/>
      <c r="AB14" s="24"/>
    </row>
    <row r="15" spans="1:28" x14ac:dyDescent="0.2">
      <c r="B15" s="1" t="s">
        <v>136</v>
      </c>
      <c r="C15" s="118">
        <f>Statement!M38</f>
        <v>5325</v>
      </c>
      <c r="D15" s="118">
        <f>Statement!N38</f>
        <v>6090</v>
      </c>
      <c r="E15" s="118">
        <f>Statement!O38</f>
        <v>3958</v>
      </c>
      <c r="F15" s="118">
        <f>Statement!P38</f>
        <v>7299</v>
      </c>
      <c r="G15" s="119">
        <f>Statement!Q38</f>
        <v>9649</v>
      </c>
      <c r="H15" s="24">
        <f>H22*H8/365</f>
        <v>8542.5113424657538</v>
      </c>
      <c r="I15" s="24">
        <f>I22*I8/365</f>
        <v>9470.4277397260284</v>
      </c>
      <c r="J15" s="24">
        <f>J22*J8/365</f>
        <v>11022.011455479455</v>
      </c>
      <c r="K15" s="24">
        <f>K22*K8/365</f>
        <v>11363.381639383562</v>
      </c>
      <c r="L15" s="24">
        <f>L22*L8/365</f>
        <v>7593.9305199657538</v>
      </c>
      <c r="N15" s="91"/>
      <c r="P15" s="121"/>
      <c r="Q15" s="121"/>
      <c r="R15" s="121"/>
      <c r="S15" s="121"/>
      <c r="T15" s="121"/>
      <c r="U15" s="121"/>
      <c r="V15" s="121"/>
      <c r="W15" s="121"/>
      <c r="X15" s="25"/>
      <c r="Y15" s="24"/>
      <c r="Z15" s="24"/>
      <c r="AB15" s="24"/>
    </row>
    <row r="16" spans="1:28" x14ac:dyDescent="0.2">
      <c r="D16" s="24"/>
    </row>
    <row r="18" spans="2:12" x14ac:dyDescent="0.2">
      <c r="C18" s="249" t="s">
        <v>137</v>
      </c>
      <c r="D18" s="249"/>
      <c r="E18" s="249"/>
      <c r="F18" s="249"/>
      <c r="G18" s="249"/>
      <c r="H18" s="249"/>
      <c r="I18" s="249"/>
      <c r="J18" s="249"/>
      <c r="K18" s="249"/>
      <c r="L18" s="249"/>
    </row>
    <row r="19" spans="2:12" x14ac:dyDescent="0.2">
      <c r="B19" s="16" t="s">
        <v>138</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139</v>
      </c>
      <c r="C20" s="122">
        <f>C13/C7*365</f>
        <v>69.969861035914093</v>
      </c>
      <c r="D20" s="122">
        <f>D13/D7*365</f>
        <v>60.876845048442682</v>
      </c>
      <c r="E20" s="122">
        <f>E13/E7*365</f>
        <v>57.380630630630634</v>
      </c>
      <c r="F20" s="122">
        <f>F13/F7*365</f>
        <v>96.152084743737802</v>
      </c>
      <c r="G20" s="123">
        <f>G13/G7*365</f>
        <v>90.473674353898005</v>
      </c>
      <c r="H20" s="102">
        <v>85</v>
      </c>
      <c r="I20" s="102">
        <v>85</v>
      </c>
      <c r="J20" s="102">
        <v>85</v>
      </c>
      <c r="K20" s="102">
        <v>85</v>
      </c>
      <c r="L20" s="102">
        <v>85</v>
      </c>
    </row>
    <row r="21" spans="2:12" x14ac:dyDescent="0.2">
      <c r="B21" s="1" t="s">
        <v>140</v>
      </c>
      <c r="C21" s="122">
        <f>C14/C8*365</f>
        <v>94.766520078694597</v>
      </c>
      <c r="D21" s="122">
        <f t="shared" ref="D21:G21" si="4">D14/D8*365</f>
        <v>144.24644128113877</v>
      </c>
      <c r="E21" s="122">
        <f t="shared" si="4"/>
        <v>180.5411063930172</v>
      </c>
      <c r="F21" s="122">
        <f t="shared" si="4"/>
        <v>166.13883475228226</v>
      </c>
      <c r="G21" s="123">
        <f t="shared" si="4"/>
        <v>135.5065540990891</v>
      </c>
      <c r="H21" s="102">
        <v>130</v>
      </c>
      <c r="I21" s="102">
        <v>130</v>
      </c>
      <c r="J21" s="102">
        <v>130</v>
      </c>
      <c r="K21" s="102">
        <v>130</v>
      </c>
      <c r="L21" s="102">
        <v>130</v>
      </c>
    </row>
    <row r="22" spans="2:12" x14ac:dyDescent="0.2">
      <c r="B22" s="1" t="s">
        <v>141</v>
      </c>
      <c r="C22" s="122">
        <f>C15/C8*365</f>
        <v>112.46528179608841</v>
      </c>
      <c r="D22" s="122">
        <f>D15/D8*365</f>
        <v>131.84163701067615</v>
      </c>
      <c r="E22" s="122">
        <f>E15/E8*365</f>
        <v>85.201108752064172</v>
      </c>
      <c r="F22" s="122">
        <f>F15/F8*365</f>
        <v>136.63632167401784</v>
      </c>
      <c r="G22" s="123">
        <f>G15/G8*365</f>
        <v>156.4934459009109</v>
      </c>
      <c r="H22" s="102">
        <v>150</v>
      </c>
      <c r="I22" s="102">
        <v>150</v>
      </c>
      <c r="J22" s="102">
        <v>150</v>
      </c>
      <c r="K22" s="102">
        <v>150</v>
      </c>
      <c r="L22" s="102">
        <v>150</v>
      </c>
    </row>
    <row r="23" spans="2:12" x14ac:dyDescent="0.2">
      <c r="B23" s="1" t="s">
        <v>142</v>
      </c>
      <c r="C23" s="122">
        <f>C20+C21-C22</f>
        <v>52.271099318520285</v>
      </c>
      <c r="D23" s="122">
        <f t="shared" ref="D23:L23" si="5">D20+D21-D22</f>
        <v>73.281649318905295</v>
      </c>
      <c r="E23" s="122">
        <f t="shared" si="5"/>
        <v>152.72062827158368</v>
      </c>
      <c r="F23" s="122">
        <f t="shared" si="5"/>
        <v>125.65459782200224</v>
      </c>
      <c r="G23" s="123">
        <f t="shared" si="5"/>
        <v>69.486782552076193</v>
      </c>
      <c r="H23" s="122">
        <f t="shared" si="5"/>
        <v>65</v>
      </c>
      <c r="I23" s="122">
        <f t="shared" si="5"/>
        <v>65</v>
      </c>
      <c r="J23" s="122">
        <f t="shared" si="5"/>
        <v>65</v>
      </c>
      <c r="K23" s="122">
        <f t="shared" si="5"/>
        <v>65</v>
      </c>
      <c r="L23" s="122">
        <f t="shared" si="5"/>
        <v>65</v>
      </c>
    </row>
    <row r="25" spans="2:12" x14ac:dyDescent="0.2">
      <c r="B25" s="254"/>
      <c r="C25" s="254"/>
    </row>
    <row r="26" spans="2:12" x14ac:dyDescent="0.2">
      <c r="B26" s="113"/>
      <c r="C26" s="249" t="s">
        <v>143</v>
      </c>
      <c r="D26" s="249"/>
      <c r="E26" s="249"/>
      <c r="F26" s="249"/>
      <c r="G26" s="249"/>
      <c r="H26" s="249"/>
      <c r="I26" s="249"/>
      <c r="J26" s="249"/>
      <c r="K26" s="249"/>
      <c r="L26" s="249"/>
    </row>
    <row r="27" spans="2:12" x14ac:dyDescent="0.2">
      <c r="B27" s="16" t="s">
        <v>133</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144</v>
      </c>
      <c r="C28" s="118">
        <f>Statement!M55</f>
        <v>-1446</v>
      </c>
      <c r="D28" s="118">
        <f>Statement!N55</f>
        <v>190</v>
      </c>
      <c r="E28" s="118">
        <f>Statement!O55</f>
        <v>2763</v>
      </c>
      <c r="F28" s="118">
        <f>Statement!P55</f>
        <v>-3581</v>
      </c>
      <c r="G28" s="119">
        <f>Statement!Q55</f>
        <v>-1776</v>
      </c>
      <c r="H28" s="130">
        <f>-(H13-G13)</f>
        <v>-23442.813698630143</v>
      </c>
      <c r="I28" s="130">
        <f t="shared" ref="I28:L29" si="7">-(I13-H13)</f>
        <v>-10224.792054794514</v>
      </c>
      <c r="J28" s="130">
        <f t="shared" si="7"/>
        <v>-7033.8461780821963</v>
      </c>
      <c r="K28" s="130">
        <f t="shared" si="7"/>
        <v>7038.1212938356184</v>
      </c>
      <c r="L28" s="130">
        <f t="shared" si="7"/>
        <v>14240.148673356158</v>
      </c>
    </row>
    <row r="29" spans="2:12" x14ac:dyDescent="0.2">
      <c r="B29" s="1" t="s">
        <v>145</v>
      </c>
      <c r="C29" s="118">
        <f>Statement!M56</f>
        <v>866</v>
      </c>
      <c r="D29" s="118">
        <f>Statement!N56</f>
        <v>-2179</v>
      </c>
      <c r="E29" s="118">
        <f>Statement!O56</f>
        <v>-3555</v>
      </c>
      <c r="F29" s="118">
        <f>Statement!P56</f>
        <v>-488</v>
      </c>
      <c r="G29" s="119">
        <f>Statement!Q56</f>
        <v>520</v>
      </c>
      <c r="H29" s="130">
        <f>-(H14-G14)</f>
        <v>951.49016986301376</v>
      </c>
      <c r="I29" s="130">
        <f t="shared" si="7"/>
        <v>-804.1942109589063</v>
      </c>
      <c r="J29" s="130">
        <f t="shared" si="7"/>
        <v>-1344.7058869863013</v>
      </c>
      <c r="K29" s="130">
        <f t="shared" si="7"/>
        <v>-295.85415938355982</v>
      </c>
      <c r="L29" s="130">
        <f t="shared" si="7"/>
        <v>3266.8576368287668</v>
      </c>
    </row>
    <row r="30" spans="2:12" x14ac:dyDescent="0.2">
      <c r="B30" s="1" t="s">
        <v>146</v>
      </c>
      <c r="C30" s="118">
        <f>Statement!M57</f>
        <v>210</v>
      </c>
      <c r="D30" s="118">
        <f>Statement!N57</f>
        <v>744</v>
      </c>
      <c r="E30" s="118">
        <f>Statement!O57</f>
        <v>-1302</v>
      </c>
      <c r="F30" s="118">
        <f>Statement!P57</f>
        <v>1915</v>
      </c>
      <c r="G30" s="119">
        <f>Statement!Q57</f>
        <v>862</v>
      </c>
      <c r="H30" s="64">
        <f>H15-G15</f>
        <v>-1106.4886575342462</v>
      </c>
      <c r="I30" s="64">
        <f t="shared" ref="I30:L30" si="8">I15-H15</f>
        <v>927.91639726027461</v>
      </c>
      <c r="J30" s="64">
        <f t="shared" si="8"/>
        <v>1551.5837157534261</v>
      </c>
      <c r="K30" s="64">
        <f t="shared" si="8"/>
        <v>341.37018390410776</v>
      </c>
      <c r="L30" s="64">
        <f t="shared" si="8"/>
        <v>-3769.4511194178085</v>
      </c>
    </row>
    <row r="31" spans="2:12" x14ac:dyDescent="0.2">
      <c r="B31" s="113"/>
      <c r="C31" s="113"/>
    </row>
    <row r="32" spans="2:12" x14ac:dyDescent="0.2">
      <c r="B32" s="113"/>
      <c r="C32" s="113"/>
    </row>
    <row r="33" spans="2:12" x14ac:dyDescent="0.2">
      <c r="B33" s="113"/>
      <c r="C33" s="249" t="s">
        <v>147</v>
      </c>
      <c r="D33" s="249"/>
      <c r="E33" s="249"/>
      <c r="F33" s="249"/>
      <c r="G33" s="249"/>
      <c r="H33" s="249"/>
      <c r="I33" s="249"/>
      <c r="J33" s="249"/>
      <c r="K33" s="249"/>
      <c r="L33" s="249"/>
    </row>
    <row r="34" spans="2:12" x14ac:dyDescent="0.2">
      <c r="B34" s="16" t="s">
        <v>133</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148</v>
      </c>
      <c r="C35" s="118">
        <f>Statement!M55+Statement!M56+Statement!M57+Statement!M58</f>
        <v>-370</v>
      </c>
      <c r="D35" s="118">
        <f>Statement!N55+Statement!N56+Statement!N57+Statement!N58</f>
        <v>-1245</v>
      </c>
      <c r="E35" s="118">
        <f>Statement!O55+Statement!O56+Statement!O57+Statement!O58</f>
        <v>-2892</v>
      </c>
      <c r="F35" s="118">
        <f>Statement!P55+Statement!P56+Statement!P57+Statement!P58</f>
        <v>-884</v>
      </c>
      <c r="G35" s="119">
        <f>Statement!Q55+Statement!Q56+Statement!Q57+Statement!Q58</f>
        <v>-338</v>
      </c>
      <c r="H35" s="130">
        <f>H36+H28+H29+H30</f>
        <v>-23316.909786301378</v>
      </c>
      <c r="I35" s="130">
        <f t="shared" ref="I35:L35" si="10">I36+I28+I29+I30</f>
        <v>-9179.2815684931466</v>
      </c>
      <c r="J35" s="130">
        <f t="shared" si="10"/>
        <v>-390.11365931507044</v>
      </c>
      <c r="K35" s="130">
        <f t="shared" si="10"/>
        <v>10770.423361356166</v>
      </c>
      <c r="L35" s="130">
        <f t="shared" si="10"/>
        <v>14969.459475117117</v>
      </c>
    </row>
    <row r="36" spans="2:12" x14ac:dyDescent="0.2">
      <c r="B36" s="1" t="s">
        <v>149</v>
      </c>
      <c r="C36" s="124">
        <f>C35-C28-C29-C30</f>
        <v>0</v>
      </c>
      <c r="D36" s="124">
        <f t="shared" ref="D36:G36" si="11">D35-D28-D29-D30</f>
        <v>0</v>
      </c>
      <c r="E36" s="124">
        <f t="shared" si="11"/>
        <v>-798</v>
      </c>
      <c r="F36" s="124">
        <f t="shared" si="11"/>
        <v>1270</v>
      </c>
      <c r="G36" s="125">
        <f t="shared" si="11"/>
        <v>56</v>
      </c>
      <c r="H36" s="64">
        <f>H7*H37</f>
        <v>280.90240000000006</v>
      </c>
      <c r="I36" s="64">
        <f>I7*I37</f>
        <v>921.78830000000005</v>
      </c>
      <c r="J36" s="64">
        <f>J7*J37</f>
        <v>6436.854690000001</v>
      </c>
      <c r="K36" s="64">
        <f>K7*K37</f>
        <v>3686.7860430000001</v>
      </c>
      <c r="L36" s="64">
        <f>L7*L37</f>
        <v>1231.9042843500004</v>
      </c>
    </row>
    <row r="37" spans="2:12" x14ac:dyDescent="0.2">
      <c r="B37" s="126" t="s">
        <v>129</v>
      </c>
      <c r="C37" s="127">
        <f>C36/C7</f>
        <v>0</v>
      </c>
      <c r="D37" s="127">
        <f>D36/D7</f>
        <v>0</v>
      </c>
      <c r="E37" s="127">
        <f>E36/E7</f>
        <v>-5.1351351351351354E-2</v>
      </c>
      <c r="F37" s="127">
        <f>F36/F7</f>
        <v>5.057544502409303E-2</v>
      </c>
      <c r="G37" s="128">
        <f>G36/G7</f>
        <v>1.4982075017389909E-3</v>
      </c>
      <c r="H37" s="97">
        <v>2E-3</v>
      </c>
      <c r="I37" s="97">
        <v>5.0000000000000001E-3</v>
      </c>
      <c r="J37" s="97">
        <v>0.03</v>
      </c>
      <c r="K37" s="97">
        <v>0.02</v>
      </c>
      <c r="L37" s="97">
        <v>0.01</v>
      </c>
    </row>
    <row r="38" spans="2:12" x14ac:dyDescent="0.2">
      <c r="C38" s="64"/>
    </row>
    <row r="39" spans="2:12" x14ac:dyDescent="0.2">
      <c r="C39" s="129"/>
    </row>
    <row r="40" spans="2:12" x14ac:dyDescent="0.2">
      <c r="C40" s="249" t="s">
        <v>150</v>
      </c>
      <c r="D40" s="249"/>
      <c r="E40" s="249"/>
      <c r="F40" s="249"/>
      <c r="G40" s="249"/>
      <c r="H40" s="249"/>
      <c r="I40" s="249"/>
      <c r="J40" s="249"/>
      <c r="K40" s="249"/>
      <c r="L40" s="249"/>
    </row>
    <row r="41" spans="2:12" x14ac:dyDescent="0.2">
      <c r="B41" s="16" t="s">
        <v>133</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8">
        <f>Statement!M53</f>
        <v>6214</v>
      </c>
      <c r="D42" s="118">
        <f>Statement!N53</f>
        <v>7116</v>
      </c>
      <c r="E42" s="118">
        <f>Statement!O53</f>
        <v>7756</v>
      </c>
      <c r="F42" s="118">
        <f>Statement!P53</f>
        <v>7780</v>
      </c>
      <c r="G42" s="119">
        <f>Statement!Q53</f>
        <v>8352</v>
      </c>
      <c r="H42" s="25">
        <f>H7*H43</f>
        <v>14045.120000000003</v>
      </c>
      <c r="I42" s="25">
        <f>I7*I43</f>
        <v>16592.189399999999</v>
      </c>
      <c r="J42" s="25">
        <f>J7*J43</f>
        <v>17164.945840000004</v>
      </c>
      <c r="K42" s="25">
        <f>K7*K43</f>
        <v>18433.930215</v>
      </c>
      <c r="L42" s="25">
        <f>L7*L43</f>
        <v>18478.564265250003</v>
      </c>
    </row>
    <row r="43" spans="2:12" x14ac:dyDescent="0.2">
      <c r="B43" s="126" t="s">
        <v>151</v>
      </c>
      <c r="C43" s="127">
        <f>C42/C7</f>
        <v>0.22429164410756181</v>
      </c>
      <c r="D43" s="127">
        <f>D42/D7</f>
        <v>0.23135444437219585</v>
      </c>
      <c r="E43" s="127">
        <f>E42/E7</f>
        <v>0.49909909909909911</v>
      </c>
      <c r="F43" s="127">
        <f>F42/F7</f>
        <v>0.30982437975389271</v>
      </c>
      <c r="G43" s="128">
        <f>G42/G7</f>
        <v>0.22344694740221521</v>
      </c>
      <c r="H43" s="97">
        <v>0.1</v>
      </c>
      <c r="I43" s="97">
        <v>0.09</v>
      </c>
      <c r="J43" s="97">
        <v>0.08</v>
      </c>
      <c r="K43" s="97">
        <v>0.1</v>
      </c>
      <c r="L43" s="97">
        <v>0.15</v>
      </c>
    </row>
    <row r="44" spans="2:12" x14ac:dyDescent="0.2">
      <c r="B44" s="126" t="s">
        <v>152</v>
      </c>
      <c r="C44" s="127">
        <f>C42/C45</f>
        <v>0.61954137587238289</v>
      </c>
      <c r="D44" s="127">
        <f t="shared" ref="D44:L44" si="13">D42/D45</f>
        <v>0.58970746664456786</v>
      </c>
      <c r="E44" s="127">
        <f t="shared" si="13"/>
        <v>1.0104220948410632</v>
      </c>
      <c r="F44" s="127">
        <f t="shared" si="13"/>
        <v>0.9277367040305271</v>
      </c>
      <c r="G44" s="128">
        <f t="shared" si="13"/>
        <v>0.52670744781484513</v>
      </c>
      <c r="H44" s="127">
        <f t="shared" si="13"/>
        <v>0.4</v>
      </c>
      <c r="I44" s="127">
        <f t="shared" si="13"/>
        <v>0.3</v>
      </c>
      <c r="J44" s="127">
        <f t="shared" si="13"/>
        <v>0.32</v>
      </c>
      <c r="K44" s="127">
        <f t="shared" si="13"/>
        <v>0.5</v>
      </c>
      <c r="L44" s="127">
        <f t="shared" si="13"/>
        <v>0.88235294117647056</v>
      </c>
    </row>
    <row r="45" spans="2:12" x14ac:dyDescent="0.2">
      <c r="B45" s="1" t="s">
        <v>59</v>
      </c>
      <c r="C45" s="118">
        <f>-Statement!M110</f>
        <v>10030</v>
      </c>
      <c r="D45" s="118">
        <f>-Statement!N110</f>
        <v>12067</v>
      </c>
      <c r="E45" s="118">
        <f>-Statement!O110</f>
        <v>7676</v>
      </c>
      <c r="F45" s="118">
        <f>-Statement!P110</f>
        <v>8386</v>
      </c>
      <c r="G45" s="119">
        <f>-Statement!Q110</f>
        <v>15857</v>
      </c>
      <c r="H45" s="25">
        <f>H7*H46</f>
        <v>35112.800000000003</v>
      </c>
      <c r="I45" s="25">
        <f>I7*I46</f>
        <v>55307.298000000003</v>
      </c>
      <c r="J45" s="25">
        <f>J7*J46</f>
        <v>53640.455750000008</v>
      </c>
      <c r="K45" s="25">
        <f>K7*K46</f>
        <v>36867.860430000001</v>
      </c>
      <c r="L45" s="25">
        <f>L7*L46</f>
        <v>20942.372833950005</v>
      </c>
    </row>
    <row r="46" spans="2:12" x14ac:dyDescent="0.2">
      <c r="B46" s="126" t="s">
        <v>151</v>
      </c>
      <c r="C46" s="127">
        <f>C45/C7</f>
        <v>0.36202851470853636</v>
      </c>
      <c r="D46" s="127">
        <f>D45/D7</f>
        <v>0.39232069705442485</v>
      </c>
      <c r="E46" s="127">
        <f>E45/E7</f>
        <v>0.49395109395109393</v>
      </c>
      <c r="F46" s="127">
        <f>F45/F7</f>
        <v>0.33395722989924737</v>
      </c>
      <c r="G46" s="128">
        <f>G45/G7</f>
        <v>0.42423350634062817</v>
      </c>
      <c r="H46" s="97">
        <v>0.25</v>
      </c>
      <c r="I46" s="97">
        <v>0.3</v>
      </c>
      <c r="J46" s="97">
        <v>0.25</v>
      </c>
      <c r="K46" s="97">
        <v>0.2</v>
      </c>
      <c r="L46" s="97">
        <v>0.17</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abSelected="1" topLeftCell="C21" zoomScale="183" workbookViewId="0">
      <selection activeCell="G27" sqref="G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0" t="s">
        <v>113</v>
      </c>
      <c r="D2" s="240"/>
      <c r="E2" s="240"/>
      <c r="F2" s="240"/>
      <c r="G2" s="252"/>
      <c r="H2" s="253" t="s">
        <v>114</v>
      </c>
      <c r="I2" s="240"/>
      <c r="J2" s="240"/>
      <c r="K2" s="240"/>
      <c r="L2" s="240"/>
      <c r="S2" s="254"/>
      <c r="T2" s="254"/>
      <c r="U2" s="254"/>
      <c r="V2" s="254"/>
      <c r="W2" s="254"/>
      <c r="X2" s="254"/>
      <c r="Y2" s="254"/>
      <c r="Z2" s="254"/>
      <c r="AA2" s="254"/>
      <c r="AB2" s="254"/>
      <c r="AC2" s="254"/>
      <c r="AE2" s="113"/>
    </row>
    <row r="3" spans="1:31" ht="10" customHeight="1" x14ac:dyDescent="0.2"/>
    <row r="4" spans="1:31" ht="16" customHeight="1" x14ac:dyDescent="0.2">
      <c r="A4" s="86"/>
      <c r="B4" s="60"/>
      <c r="C4" s="249" t="s">
        <v>18</v>
      </c>
      <c r="D4" s="249"/>
      <c r="E4" s="249"/>
      <c r="F4" s="249"/>
      <c r="G4" s="249"/>
      <c r="H4" s="249"/>
      <c r="I4" s="249"/>
      <c r="J4" s="249"/>
      <c r="K4" s="249"/>
      <c r="L4" s="249"/>
      <c r="S4" s="254"/>
      <c r="T4" s="254"/>
      <c r="U4" s="254"/>
      <c r="V4" s="254"/>
      <c r="W4" s="254"/>
      <c r="X4" s="254"/>
      <c r="Y4" s="254"/>
      <c r="Z4" s="254"/>
      <c r="AA4" s="254"/>
      <c r="AB4" s="254"/>
      <c r="AC4" s="254"/>
      <c r="AE4" s="114"/>
    </row>
    <row r="5" spans="1:31" x14ac:dyDescent="0.2">
      <c r="B5" s="16" t="s">
        <v>133</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5"/>
      <c r="T5" s="115"/>
      <c r="U5" s="115"/>
      <c r="V5" s="115"/>
      <c r="W5" s="115"/>
      <c r="X5" s="115"/>
      <c r="Y5" s="115"/>
      <c r="Z5" s="115"/>
      <c r="AA5" s="115"/>
      <c r="AB5" s="115"/>
      <c r="AC5" s="115"/>
      <c r="AE5" s="114"/>
    </row>
    <row r="6" spans="1:31"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0" t="s">
        <v>154</v>
      </c>
      <c r="Q6" s="90"/>
      <c r="S6" s="88"/>
      <c r="T6" s="88"/>
      <c r="U6" s="88"/>
      <c r="V6" s="88"/>
      <c r="W6" s="88"/>
      <c r="X6" s="88"/>
      <c r="Y6" s="88"/>
      <c r="Z6" s="88"/>
      <c r="AA6" s="64"/>
      <c r="AB6" s="64"/>
      <c r="AC6" s="64"/>
      <c r="AE6" s="64"/>
    </row>
    <row r="7" spans="1:31" x14ac:dyDescent="0.2">
      <c r="B7" s="1" t="s">
        <v>20</v>
      </c>
      <c r="C7" s="88">
        <f>'COGS &amp; OpEx'!C15</f>
        <v>17282</v>
      </c>
      <c r="D7" s="88">
        <f>'COGS &amp; OpEx'!D15</f>
        <v>16860</v>
      </c>
      <c r="E7" s="88">
        <f>'COGS &amp; OpEx'!E15</f>
        <v>16956</v>
      </c>
      <c r="F7" s="88">
        <f>'COGS &amp; OpEx'!F15</f>
        <v>19498</v>
      </c>
      <c r="G7" s="89">
        <f>'COGS &amp; OpEx'!G15</f>
        <v>22505</v>
      </c>
      <c r="H7" s="116">
        <f>'COGS &amp; OpEx'!H15</f>
        <v>20786.777600000001</v>
      </c>
      <c r="I7" s="116">
        <f>'COGS &amp; OpEx'!I15</f>
        <v>23044.707500000004</v>
      </c>
      <c r="J7" s="116">
        <f>'COGS &amp; OpEx'!J15</f>
        <v>26820.227875000004</v>
      </c>
      <c r="K7" s="116">
        <f>'COGS &amp; OpEx'!K15</f>
        <v>27650.8953225</v>
      </c>
      <c r="L7" s="116">
        <f>'COGS &amp; OpEx'!L15</f>
        <v>18478.564265250003</v>
      </c>
      <c r="N7" s="90" t="s">
        <v>155</v>
      </c>
      <c r="Q7" s="90"/>
      <c r="S7" s="88"/>
      <c r="T7" s="88"/>
      <c r="U7" s="88"/>
      <c r="V7" s="88"/>
      <c r="W7" s="88"/>
      <c r="X7" s="88"/>
      <c r="Y7" s="88"/>
      <c r="Z7" s="88"/>
      <c r="AA7" s="64"/>
      <c r="AB7" s="64"/>
      <c r="AC7" s="64"/>
      <c r="AE7" s="64"/>
    </row>
    <row r="8" spans="1:31" x14ac:dyDescent="0.2">
      <c r="B8" s="16" t="s">
        <v>156</v>
      </c>
      <c r="C8" s="94">
        <f>C6-C7</f>
        <v>10423</v>
      </c>
      <c r="D8" s="94">
        <f t="shared" ref="D8:L8" si="1">D6-D7</f>
        <v>13898</v>
      </c>
      <c r="E8" s="94">
        <f t="shared" si="1"/>
        <v>-1416</v>
      </c>
      <c r="F8" s="94">
        <f t="shared" si="1"/>
        <v>5613</v>
      </c>
      <c r="G8" s="131">
        <f t="shared" si="1"/>
        <v>14873</v>
      </c>
      <c r="H8" s="94">
        <f t="shared" si="1"/>
        <v>119664.42240000001</v>
      </c>
      <c r="I8" s="94">
        <f t="shared" si="1"/>
        <v>161312.95250000001</v>
      </c>
      <c r="J8" s="94">
        <f t="shared" si="1"/>
        <v>187741.59512500002</v>
      </c>
      <c r="K8" s="94">
        <f t="shared" si="1"/>
        <v>156688.4068275</v>
      </c>
      <c r="L8" s="94">
        <f t="shared" si="1"/>
        <v>104711.86416975001</v>
      </c>
      <c r="N8" s="90"/>
      <c r="Q8" s="90"/>
      <c r="S8" s="88"/>
      <c r="T8" s="88"/>
      <c r="U8" s="88"/>
      <c r="V8" s="88"/>
      <c r="W8" s="88"/>
      <c r="X8" s="88"/>
      <c r="Y8" s="88"/>
      <c r="Z8" s="88"/>
      <c r="AA8" s="64"/>
      <c r="AB8" s="64"/>
      <c r="AC8" s="64"/>
      <c r="AE8" s="64"/>
    </row>
    <row r="9" spans="1:31" x14ac:dyDescent="0.2">
      <c r="B9" s="1" t="s">
        <v>24</v>
      </c>
      <c r="C9" s="88">
        <f>'COGS &amp; OpEx'!C19</f>
        <v>4140</v>
      </c>
      <c r="D9" s="88">
        <f>'COGS &amp; OpEx'!D19</f>
        <v>4196</v>
      </c>
      <c r="E9" s="88">
        <f>'COGS &amp; OpEx'!E19</f>
        <v>4329</v>
      </c>
      <c r="F9" s="88">
        <f>'COGS &amp; OpEx'!F19</f>
        <v>4309</v>
      </c>
      <c r="G9" s="89">
        <f>'COGS &amp; OpEx'!G19</f>
        <v>5103</v>
      </c>
      <c r="H9" s="116">
        <f>'COGS &amp; OpEx'!H19</f>
        <v>8577.0720000000001</v>
      </c>
      <c r="I9" s="116">
        <f>'COGS &amp; OpEx'!I19</f>
        <v>11211.4596</v>
      </c>
      <c r="J9" s="116">
        <f>'COGS &amp; OpEx'!J19</f>
        <v>13023.709380000004</v>
      </c>
      <c r="K9" s="116">
        <f>'COGS &amp; OpEx'!K19</f>
        <v>9366.9651075000002</v>
      </c>
      <c r="L9" s="116">
        <f>'COGS &amp; OpEx'!L19</f>
        <v>7541.4257061000008</v>
      </c>
      <c r="N9" s="132" t="s">
        <v>155</v>
      </c>
      <c r="Q9" s="90"/>
      <c r="S9" s="88"/>
      <c r="T9" s="88"/>
      <c r="U9" s="88"/>
      <c r="V9" s="88"/>
      <c r="W9" s="88"/>
      <c r="X9" s="88"/>
      <c r="Y9" s="88"/>
      <c r="Z9" s="88"/>
      <c r="AA9" s="64"/>
      <c r="AB9" s="64"/>
      <c r="AC9" s="64"/>
      <c r="AE9" s="64"/>
    </row>
    <row r="10" spans="1:31" x14ac:dyDescent="0.2">
      <c r="B10" s="16" t="s">
        <v>157</v>
      </c>
      <c r="C10" s="94">
        <f t="shared" ref="C10:L10" si="2">C8-C9</f>
        <v>6283</v>
      </c>
      <c r="D10" s="94">
        <f t="shared" si="2"/>
        <v>9702</v>
      </c>
      <c r="E10" s="94">
        <f t="shared" si="2"/>
        <v>-5745</v>
      </c>
      <c r="F10" s="94">
        <f t="shared" si="2"/>
        <v>1304</v>
      </c>
      <c r="G10" s="131">
        <f t="shared" si="2"/>
        <v>9770</v>
      </c>
      <c r="H10" s="94">
        <f t="shared" si="2"/>
        <v>111087.35040000001</v>
      </c>
      <c r="I10" s="94">
        <f t="shared" si="2"/>
        <v>150101.49290000001</v>
      </c>
      <c r="J10" s="94">
        <f t="shared" si="2"/>
        <v>174717.88574500001</v>
      </c>
      <c r="K10" s="94">
        <f t="shared" si="2"/>
        <v>147321.44172</v>
      </c>
      <c r="L10" s="94">
        <f t="shared" si="2"/>
        <v>97170.438463650018</v>
      </c>
      <c r="N10" s="90"/>
      <c r="Q10" s="90"/>
      <c r="S10" s="88"/>
      <c r="T10" s="88"/>
      <c r="U10" s="88"/>
      <c r="V10" s="88"/>
      <c r="W10" s="88"/>
      <c r="X10" s="88"/>
      <c r="Y10" s="88"/>
      <c r="Z10" s="88"/>
      <c r="AA10" s="64"/>
      <c r="AB10" s="64"/>
      <c r="AC10" s="64"/>
      <c r="AE10" s="64"/>
    </row>
    <row r="13" spans="1:31" x14ac:dyDescent="0.2">
      <c r="C13" s="249" t="s">
        <v>158</v>
      </c>
      <c r="D13" s="249"/>
      <c r="E13" s="249"/>
      <c r="F13" s="249"/>
      <c r="G13" s="249"/>
      <c r="H13" s="249"/>
      <c r="I13" s="249"/>
      <c r="J13" s="249"/>
      <c r="K13" s="249"/>
      <c r="L13" s="24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33">
        <f>Statement!M83</f>
        <v>6.3364425860405277E-2</v>
      </c>
      <c r="D15" s="133">
        <f>Statement!N83</f>
        <v>9.2780273743600455E-2</v>
      </c>
      <c r="E15" s="133">
        <f>Statement!O83</f>
        <v>0</v>
      </c>
      <c r="F15" s="133">
        <f>Statement!P83</f>
        <v>0.36370967741935484</v>
      </c>
      <c r="G15" s="134">
        <f>Statement!Q83</f>
        <v>0.1164284234514191</v>
      </c>
      <c r="H15" s="133">
        <f>Overview!$C$26</f>
        <v>0.21</v>
      </c>
      <c r="I15" s="133">
        <f>Overview!$C$26</f>
        <v>0.21</v>
      </c>
      <c r="J15" s="133">
        <f>Overview!$C$26</f>
        <v>0.21</v>
      </c>
      <c r="K15" s="133">
        <f>Overview!$C$26</f>
        <v>0.21</v>
      </c>
      <c r="L15" s="133">
        <f>Overview!$C$26</f>
        <v>0.21</v>
      </c>
      <c r="N15" s="1" t="s">
        <v>163</v>
      </c>
    </row>
    <row r="18" spans="2:14" x14ac:dyDescent="0.2">
      <c r="C18" s="249" t="s">
        <v>159</v>
      </c>
      <c r="D18" s="249"/>
      <c r="E18" s="249"/>
      <c r="F18" s="249"/>
      <c r="G18" s="249"/>
      <c r="H18" s="249"/>
      <c r="I18" s="249"/>
      <c r="J18" s="249"/>
      <c r="K18" s="249"/>
      <c r="L18" s="249"/>
    </row>
    <row r="19" spans="2:14" x14ac:dyDescent="0.2">
      <c r="B19" s="16" t="s">
        <v>133</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6214</v>
      </c>
      <c r="D20" s="88">
        <f>'WC &amp; Investments'!D42</f>
        <v>7116</v>
      </c>
      <c r="E20" s="88">
        <f>'WC &amp; Investments'!E42</f>
        <v>7756</v>
      </c>
      <c r="F20" s="88">
        <f>'WC &amp; Investments'!F42</f>
        <v>7780</v>
      </c>
      <c r="G20" s="89">
        <f>'WC &amp; Investments'!G42</f>
        <v>8352</v>
      </c>
      <c r="H20" s="88">
        <f>'WC &amp; Investments'!H42</f>
        <v>14045.120000000003</v>
      </c>
      <c r="I20" s="88">
        <f>'WC &amp; Investments'!I42</f>
        <v>16592.189399999999</v>
      </c>
      <c r="J20" s="88">
        <f>'WC &amp; Investments'!J42</f>
        <v>17164.945840000004</v>
      </c>
      <c r="K20" s="88">
        <f>'WC &amp; Investments'!K42</f>
        <v>18433.930215</v>
      </c>
      <c r="L20" s="88">
        <f>'WC &amp; Investments'!L42</f>
        <v>18478.564265250003</v>
      </c>
      <c r="N20" s="1" t="s">
        <v>160</v>
      </c>
    </row>
    <row r="21" spans="2:14" x14ac:dyDescent="0.2">
      <c r="B21" s="1" t="s">
        <v>59</v>
      </c>
      <c r="C21" s="88">
        <f>'WC &amp; Investments'!C45</f>
        <v>10030</v>
      </c>
      <c r="D21" s="88">
        <f>'WC &amp; Investments'!D45</f>
        <v>12067</v>
      </c>
      <c r="E21" s="88">
        <f>'WC &amp; Investments'!E45</f>
        <v>7676</v>
      </c>
      <c r="F21" s="88">
        <f>'WC &amp; Investments'!F45</f>
        <v>8386</v>
      </c>
      <c r="G21" s="89">
        <f>'WC &amp; Investments'!G45</f>
        <v>15857</v>
      </c>
      <c r="H21" s="88">
        <f>'WC &amp; Investments'!H45</f>
        <v>35112.800000000003</v>
      </c>
      <c r="I21" s="88">
        <f>'WC &amp; Investments'!I45</f>
        <v>55307.298000000003</v>
      </c>
      <c r="J21" s="88">
        <f>'WC &amp; Investments'!J45</f>
        <v>53640.455750000008</v>
      </c>
      <c r="K21" s="88">
        <f>'WC &amp; Investments'!K45</f>
        <v>36867.860430000001</v>
      </c>
      <c r="L21" s="88">
        <f>'WC &amp; Investments'!L45</f>
        <v>20942.372833950005</v>
      </c>
      <c r="N21" s="1" t="s">
        <v>160</v>
      </c>
    </row>
    <row r="22" spans="2:14" x14ac:dyDescent="0.2">
      <c r="B22" s="1" t="s">
        <v>161</v>
      </c>
      <c r="C22" s="88">
        <f>'WC &amp; Investments'!C35</f>
        <v>-370</v>
      </c>
      <c r="D22" s="88">
        <f>'WC &amp; Investments'!D35</f>
        <v>-1245</v>
      </c>
      <c r="E22" s="88">
        <f>'WC &amp; Investments'!E35</f>
        <v>-2892</v>
      </c>
      <c r="F22" s="88">
        <f>'WC &amp; Investments'!F35</f>
        <v>-884</v>
      </c>
      <c r="G22" s="89">
        <f>'WC &amp; Investments'!G35</f>
        <v>-338</v>
      </c>
      <c r="H22" s="88">
        <f>'WC &amp; Investments'!H35</f>
        <v>-23316.909786301378</v>
      </c>
      <c r="I22" s="88">
        <f>'WC &amp; Investments'!I35</f>
        <v>-9179.2815684931466</v>
      </c>
      <c r="J22" s="88">
        <f>'WC &amp; Investments'!J35</f>
        <v>-390.11365931507044</v>
      </c>
      <c r="K22" s="88">
        <f>'WC &amp; Investments'!K35</f>
        <v>10770.423361356166</v>
      </c>
      <c r="L22" s="88">
        <f>'WC &amp; Investments'!L35</f>
        <v>14969.459475117117</v>
      </c>
      <c r="N22" s="1" t="s">
        <v>160</v>
      </c>
    </row>
    <row r="25" spans="2:14" x14ac:dyDescent="0.2">
      <c r="C25" s="249" t="s">
        <v>267</v>
      </c>
      <c r="D25" s="249"/>
      <c r="E25" s="249"/>
      <c r="F25" s="249"/>
      <c r="G25" s="249"/>
      <c r="H25" s="249"/>
      <c r="I25" s="249"/>
      <c r="J25" s="249"/>
      <c r="K25" s="249"/>
      <c r="L25" s="249"/>
    </row>
    <row r="26" spans="2:14" x14ac:dyDescent="0.2">
      <c r="B26" s="16" t="s">
        <v>133</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162</v>
      </c>
      <c r="C27" s="130">
        <f>C10*(1-C15)</f>
        <v>5884.8813123190739</v>
      </c>
      <c r="D27" s="130">
        <f t="shared" ref="D27:L27" si="6">D10*(1-D15)</f>
        <v>8801.8457841395884</v>
      </c>
      <c r="E27" s="130">
        <f t="shared" si="6"/>
        <v>-5745</v>
      </c>
      <c r="F27" s="130">
        <f t="shared" si="6"/>
        <v>829.7225806451612</v>
      </c>
      <c r="G27" s="135">
        <f t="shared" si="6"/>
        <v>8632.4943028796351</v>
      </c>
      <c r="H27" s="130">
        <f t="shared" si="6"/>
        <v>87759.006816000008</v>
      </c>
      <c r="I27" s="130">
        <f t="shared" si="6"/>
        <v>118580.17939100001</v>
      </c>
      <c r="J27" s="130">
        <f t="shared" si="6"/>
        <v>138027.12973855002</v>
      </c>
      <c r="K27" s="130">
        <f t="shared" si="6"/>
        <v>116383.9389588</v>
      </c>
      <c r="L27" s="130">
        <f t="shared" si="6"/>
        <v>76764.646386283523</v>
      </c>
    </row>
    <row r="28" spans="2:14" x14ac:dyDescent="0.2">
      <c r="B28" s="16" t="s">
        <v>267</v>
      </c>
      <c r="C28" s="94">
        <f>C27+C20-C21+C22</f>
        <v>1698.8813123190739</v>
      </c>
      <c r="D28" s="94">
        <f t="shared" ref="D28:L28" si="7">D27+D20-D21+D22</f>
        <v>2605.8457841395884</v>
      </c>
      <c r="E28" s="94">
        <f t="shared" si="7"/>
        <v>-8557</v>
      </c>
      <c r="F28" s="94">
        <f t="shared" si="7"/>
        <v>-660.27741935483937</v>
      </c>
      <c r="G28" s="131">
        <f t="shared" si="7"/>
        <v>789.49430287963332</v>
      </c>
      <c r="H28" s="94">
        <f t="shared" si="7"/>
        <v>43374.417029698627</v>
      </c>
      <c r="I28" s="94">
        <f t="shared" si="7"/>
        <v>70685.789222506864</v>
      </c>
      <c r="J28" s="94">
        <f t="shared" si="7"/>
        <v>101161.50616923494</v>
      </c>
      <c r="K28" s="94">
        <f t="shared" si="7"/>
        <v>108720.43210515616</v>
      </c>
      <c r="L28" s="94">
        <f t="shared" si="7"/>
        <v>89270.297292700649</v>
      </c>
    </row>
    <row r="31" spans="2:14" x14ac:dyDescent="0.2">
      <c r="C31" s="249" t="s">
        <v>76</v>
      </c>
      <c r="D31" s="249"/>
      <c r="E31" s="249"/>
      <c r="F31" s="249"/>
      <c r="G31" s="249"/>
      <c r="H31" s="249"/>
      <c r="I31" s="249"/>
      <c r="J31" s="249"/>
      <c r="K31" s="249"/>
      <c r="L31" s="249"/>
    </row>
    <row r="32" spans="2:14" x14ac:dyDescent="0.2">
      <c r="B32" s="16" t="s">
        <v>342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33">
        <f>Statement!M101</f>
        <v>0.37621367984118392</v>
      </c>
      <c r="D33" s="133">
        <f>Statement!N101</f>
        <v>0.45184992522270628</v>
      </c>
      <c r="E33" s="133">
        <f>Statement!O101</f>
        <v>-9.1119691119691121E-2</v>
      </c>
      <c r="F33" s="133">
        <f>Statement!P101</f>
        <v>0.22352753773246783</v>
      </c>
      <c r="G33" s="134">
        <f>Statement!Q101</f>
        <v>0.39790786023864305</v>
      </c>
      <c r="H33" s="220">
        <f>H8/H6</f>
        <v>0.85199999999999998</v>
      </c>
      <c r="I33" s="220">
        <f t="shared" ref="I33:L33" si="9">I8/I6</f>
        <v>0.87500000000000011</v>
      </c>
      <c r="J33" s="220">
        <f t="shared" si="9"/>
        <v>0.875</v>
      </c>
      <c r="K33" s="220">
        <f t="shared" si="9"/>
        <v>0.85</v>
      </c>
      <c r="L33" s="220">
        <f t="shared" si="9"/>
        <v>0.85</v>
      </c>
    </row>
    <row r="34" spans="2:12" x14ac:dyDescent="0.2">
      <c r="B34" s="1" t="s">
        <v>78</v>
      </c>
      <c r="C34" s="133">
        <f>Statement!M102</f>
        <v>0.22678216928352282</v>
      </c>
      <c r="D34" s="133">
        <f>Statement!N102</f>
        <v>0.31543013199817932</v>
      </c>
      <c r="E34" s="133">
        <f>Statement!O102</f>
        <v>-0.36969111969111967</v>
      </c>
      <c r="F34" s="133">
        <f>Statement!P102</f>
        <v>5.192943331607662E-2</v>
      </c>
      <c r="G34" s="134">
        <f>Statement!Q102</f>
        <v>0.26138370164267749</v>
      </c>
      <c r="H34" s="220">
        <f>H10/H6</f>
        <v>0.79093201339682395</v>
      </c>
      <c r="I34" s="220">
        <f t="shared" ref="I34:L34" si="10">I10/I6</f>
        <v>0.81418636415758372</v>
      </c>
      <c r="J34" s="220">
        <f t="shared" si="10"/>
        <v>0.81430090079445294</v>
      </c>
      <c r="K34" s="220">
        <f t="shared" si="10"/>
        <v>0.79918628312980189</v>
      </c>
      <c r="L34" s="220">
        <f t="shared" si="10"/>
        <v>0.78878237293346909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20" sqref="C2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0" t="s">
        <v>166</v>
      </c>
      <c r="C4" s="240"/>
    </row>
    <row r="5" spans="1:3" ht="17" customHeight="1" x14ac:dyDescent="0.2">
      <c r="B5" s="1" t="s">
        <v>167</v>
      </c>
      <c r="C5" s="140">
        <f>Statement!AC78</f>
        <v>1146</v>
      </c>
    </row>
    <row r="6" spans="1:3" ht="17" customHeight="1" x14ac:dyDescent="0.2">
      <c r="B6" s="1" t="s">
        <v>1</v>
      </c>
      <c r="C6" s="137">
        <f ca="1">Overview!C5</f>
        <v>1087.96</v>
      </c>
    </row>
    <row r="7" spans="1:3" ht="17" customHeight="1" x14ac:dyDescent="0.2">
      <c r="B7" s="1" t="s">
        <v>168</v>
      </c>
      <c r="C7" s="138">
        <f ca="1">C5*C6</f>
        <v>1246802.1600000001</v>
      </c>
    </row>
    <row r="8" spans="1:3" ht="17" customHeight="1" x14ac:dyDescent="0.2">
      <c r="B8" s="1" t="s">
        <v>169</v>
      </c>
      <c r="C8" s="116">
        <f>Statement!AC108</f>
        <v>5722</v>
      </c>
    </row>
    <row r="9" spans="1:3" ht="17" customHeight="1" x14ac:dyDescent="0.2">
      <c r="B9" s="1" t="s">
        <v>170</v>
      </c>
      <c r="C9" s="139">
        <f ca="1">Overview!F27</f>
        <v>4.9630000000000001E-2</v>
      </c>
    </row>
    <row r="10" spans="1:3" ht="17" customHeight="1" x14ac:dyDescent="0.2">
      <c r="B10" s="1" t="s">
        <v>9</v>
      </c>
      <c r="C10" s="137">
        <f ca="1">Overview!C13</f>
        <v>2.2370000000000001</v>
      </c>
    </row>
    <row r="11" spans="1:3" ht="17" customHeight="1" x14ac:dyDescent="0.2">
      <c r="B11" s="1" t="s">
        <v>171</v>
      </c>
      <c r="C11" s="139">
        <f>[1]Sheet1!$C$12</f>
        <v>4.3999999999999997E-2</v>
      </c>
    </row>
    <row r="12" spans="1:3" ht="17" customHeight="1" x14ac:dyDescent="0.2">
      <c r="B12" s="1" t="s">
        <v>72</v>
      </c>
      <c r="C12" s="139">
        <f>Overview!C26</f>
        <v>0.21</v>
      </c>
    </row>
    <row r="13" spans="1:3" ht="17" customHeight="1" x14ac:dyDescent="0.2">
      <c r="B13" s="1" t="s">
        <v>172</v>
      </c>
      <c r="C13" s="139">
        <f>Overview!C27</f>
        <v>5.0999999999999997E-2</v>
      </c>
    </row>
    <row r="14" spans="1:3" ht="17" customHeight="1" x14ac:dyDescent="0.2"/>
    <row r="15" spans="1:3" ht="17" customHeight="1" x14ac:dyDescent="0.2">
      <c r="B15" s="240" t="s">
        <v>173</v>
      </c>
      <c r="C15" s="240"/>
    </row>
    <row r="16" spans="1:3" ht="17" customHeight="1" x14ac:dyDescent="0.2">
      <c r="B16" s="1" t="s">
        <v>174</v>
      </c>
      <c r="C16" s="46">
        <f ca="1">C8/(C8+C7)</f>
        <v>4.5683749525438294E-3</v>
      </c>
    </row>
    <row r="17" spans="2:3" ht="17" customHeight="1" x14ac:dyDescent="0.2">
      <c r="B17" s="1" t="s">
        <v>175</v>
      </c>
      <c r="C17" s="46">
        <f ca="1">C7/(C8+C7)</f>
        <v>0.99543162504745619</v>
      </c>
    </row>
    <row r="18" spans="2:3" ht="17" customHeight="1" x14ac:dyDescent="0.2">
      <c r="B18" s="1" t="s">
        <v>176</v>
      </c>
      <c r="C18" s="46">
        <f>C13*(1-C12)</f>
        <v>4.0289999999999999E-2</v>
      </c>
    </row>
    <row r="19" spans="2:3" ht="17" customHeight="1" x14ac:dyDescent="0.2">
      <c r="B19" s="1" t="s">
        <v>177</v>
      </c>
      <c r="C19" s="46">
        <f ca="1">C9+C10*C11</f>
        <v>0.148058</v>
      </c>
    </row>
    <row r="20" spans="2:3" ht="17" customHeight="1" x14ac:dyDescent="0.2">
      <c r="B20" s="1" t="s">
        <v>165</v>
      </c>
      <c r="C20" s="46">
        <f ca="1">(C17*C19)+(C16*C18)</f>
        <v>0.14756567536811427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0" t="s">
        <v>113</v>
      </c>
      <c r="D3" s="240"/>
      <c r="E3" s="240"/>
      <c r="F3" s="240"/>
      <c r="G3" s="252"/>
      <c r="H3" s="253" t="s">
        <v>114</v>
      </c>
      <c r="I3" s="240"/>
      <c r="J3" s="240"/>
      <c r="K3" s="240"/>
      <c r="L3" s="240"/>
      <c r="P3" s="254"/>
      <c r="Q3" s="254"/>
      <c r="R3" s="254"/>
      <c r="S3" s="254"/>
      <c r="T3" s="254"/>
      <c r="U3" s="254"/>
      <c r="V3" s="254"/>
      <c r="W3" s="254"/>
      <c r="X3" s="254"/>
      <c r="Y3" s="254"/>
      <c r="Z3" s="254"/>
      <c r="AB3" s="113"/>
    </row>
    <row r="4" spans="1:28" ht="10" customHeight="1" x14ac:dyDescent="0.2"/>
    <row r="5" spans="1:28" ht="16" customHeight="1" x14ac:dyDescent="0.2">
      <c r="A5" s="86"/>
      <c r="B5" s="60"/>
      <c r="C5" s="249" t="s">
        <v>180</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1698.8813123190739</v>
      </c>
      <c r="D7" s="116">
        <f>'FCF &amp; Other'!D28</f>
        <v>2605.8457841395884</v>
      </c>
      <c r="E7" s="116">
        <f>'FCF &amp; Other'!E28</f>
        <v>-8557</v>
      </c>
      <c r="F7" s="116">
        <f>'FCF &amp; Other'!F28</f>
        <v>-660.27741935483937</v>
      </c>
      <c r="G7" s="117">
        <f>'FCF &amp; Other'!G28</f>
        <v>789.49430287963332</v>
      </c>
      <c r="H7" s="116">
        <f>'FCF &amp; Other'!H28</f>
        <v>43374.417029698627</v>
      </c>
      <c r="I7" s="116">
        <f>'FCF &amp; Other'!I28</f>
        <v>70685.789222506864</v>
      </c>
      <c r="J7" s="116">
        <f>'FCF &amp; Other'!J28</f>
        <v>101161.50616923494</v>
      </c>
      <c r="K7" s="116">
        <f>'FCF &amp; Other'!K28</f>
        <v>108720.43210515616</v>
      </c>
      <c r="L7" s="116">
        <f>'FCF &amp; Other'!L28</f>
        <v>89270.297292700649</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655417.85786577209</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H7/(1+$C$15)^H9</f>
        <v>37796.892988965577</v>
      </c>
      <c r="I10" s="130">
        <f t="shared" ref="I10:L10" ca="1" si="0">I7/(1+$C$15)^I9</f>
        <v>53675.612882686808</v>
      </c>
      <c r="J10" s="130">
        <f t="shared" ca="1" si="0"/>
        <v>66939.526778362866</v>
      </c>
      <c r="K10" s="130">
        <f t="shared" ca="1" si="0"/>
        <v>62690.389934394116</v>
      </c>
      <c r="L10" s="130">
        <f t="shared" ca="1" si="0"/>
        <v>44855.864663975146</v>
      </c>
      <c r="N10" s="91"/>
    </row>
    <row r="11" spans="1:28" x14ac:dyDescent="0.2">
      <c r="B11" s="1" t="s">
        <v>183</v>
      </c>
      <c r="C11" s="141"/>
      <c r="D11" s="141"/>
      <c r="E11" s="141"/>
      <c r="F11" s="141"/>
      <c r="G11" s="142"/>
      <c r="H11" s="141"/>
      <c r="I11" s="141"/>
      <c r="J11" s="141"/>
      <c r="K11" s="141"/>
      <c r="L11" s="130">
        <f ca="1">L8/(1+C15)^L9</f>
        <v>329329.41440067842</v>
      </c>
    </row>
    <row r="13" spans="1:28" x14ac:dyDescent="0.2">
      <c r="B13" s="240" t="s">
        <v>184</v>
      </c>
      <c r="C13" s="240"/>
    </row>
    <row r="14" spans="1:28" x14ac:dyDescent="0.2">
      <c r="B14" s="1" t="s">
        <v>185</v>
      </c>
      <c r="C14" s="144">
        <v>0.01</v>
      </c>
    </row>
    <row r="15" spans="1:28" x14ac:dyDescent="0.2">
      <c r="B15" s="1" t="s">
        <v>165</v>
      </c>
      <c r="C15" s="139">
        <f ca="1">IF(Overview!C28&gt;0,Overview!C28,WACC!C20)</f>
        <v>0.14756567536811427</v>
      </c>
    </row>
    <row r="18" spans="2:3" x14ac:dyDescent="0.2">
      <c r="B18" s="240" t="s">
        <v>186</v>
      </c>
      <c r="C18" s="240"/>
    </row>
    <row r="19" spans="2:3" x14ac:dyDescent="0.2">
      <c r="B19" s="1" t="s">
        <v>187</v>
      </c>
      <c r="C19" s="64">
        <f ca="1">SUM(H10:L10)</f>
        <v>265958.2872483845</v>
      </c>
    </row>
    <row r="20" spans="2:3" x14ac:dyDescent="0.2">
      <c r="B20" s="1" t="s">
        <v>183</v>
      </c>
      <c r="C20" s="64">
        <f ca="1">L11</f>
        <v>329329.41440067842</v>
      </c>
    </row>
    <row r="21" spans="2:3" x14ac:dyDescent="0.2">
      <c r="B21" s="16" t="s">
        <v>188</v>
      </c>
      <c r="C21" s="94">
        <f ca="1">C19+C20</f>
        <v>595287.70164906292</v>
      </c>
    </row>
    <row r="22" spans="2:3" x14ac:dyDescent="0.2">
      <c r="B22" s="1" t="s">
        <v>189</v>
      </c>
      <c r="C22" s="88">
        <f>Statement!AC107</f>
        <v>30128</v>
      </c>
    </row>
    <row r="23" spans="2:3" x14ac:dyDescent="0.2">
      <c r="B23" s="1" t="s">
        <v>190</v>
      </c>
      <c r="C23" s="88">
        <f>Statement!AC108</f>
        <v>5722</v>
      </c>
    </row>
    <row r="24" spans="2:3" x14ac:dyDescent="0.2">
      <c r="B24" s="16" t="s">
        <v>191</v>
      </c>
      <c r="C24" s="94">
        <f ca="1">C21+C22-C23</f>
        <v>619693.70164906292</v>
      </c>
    </row>
    <row r="25" spans="2:3" x14ac:dyDescent="0.2">
      <c r="B25" s="1" t="s">
        <v>68</v>
      </c>
      <c r="C25" s="88">
        <f>Statement!AC78</f>
        <v>1146</v>
      </c>
    </row>
    <row r="26" spans="2:3" x14ac:dyDescent="0.2">
      <c r="B26" s="145" t="s">
        <v>192</v>
      </c>
      <c r="C26" s="146">
        <f ca="1">C24/C25</f>
        <v>540.7449403569484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60"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0" t="s">
        <v>113</v>
      </c>
      <c r="D2" s="240"/>
      <c r="E2" s="240"/>
      <c r="F2" s="240"/>
      <c r="G2" s="252"/>
      <c r="H2" s="253" t="s">
        <v>114</v>
      </c>
      <c r="I2" s="240"/>
      <c r="J2" s="240"/>
      <c r="K2" s="240"/>
      <c r="L2" s="240"/>
    </row>
    <row r="3" spans="1:14" ht="10" customHeight="1" x14ac:dyDescent="0.2"/>
    <row r="4" spans="1:14" ht="16" customHeight="1" x14ac:dyDescent="0.2">
      <c r="A4" s="86"/>
      <c r="B4" s="60"/>
      <c r="C4" s="249" t="s">
        <v>194</v>
      </c>
      <c r="D4" s="249"/>
      <c r="E4" s="249"/>
      <c r="F4" s="249"/>
      <c r="G4" s="249"/>
      <c r="H4" s="249"/>
      <c r="I4" s="249"/>
      <c r="J4" s="249"/>
      <c r="K4" s="249"/>
      <c r="L4" s="249"/>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row>
    <row r="7" spans="1:14" x14ac:dyDescent="0.2">
      <c r="B7" s="16" t="s">
        <v>157</v>
      </c>
      <c r="C7" s="92">
        <f>'FCF &amp; Other'!C10</f>
        <v>6283</v>
      </c>
      <c r="D7" s="92">
        <f>'FCF &amp; Other'!D10</f>
        <v>9702</v>
      </c>
      <c r="E7" s="92">
        <f>'FCF &amp; Other'!E10</f>
        <v>-5745</v>
      </c>
      <c r="F7" s="92">
        <f>'FCF &amp; Other'!F10</f>
        <v>1304</v>
      </c>
      <c r="G7" s="93">
        <f>'FCF &amp; Other'!G10</f>
        <v>9770</v>
      </c>
      <c r="H7" s="92">
        <f>'FCF &amp; Other'!H10</f>
        <v>111087.35040000001</v>
      </c>
      <c r="I7" s="92">
        <f>'FCF &amp; Other'!I10</f>
        <v>150101.49290000001</v>
      </c>
      <c r="J7" s="92">
        <f>'FCF &amp; Other'!J10</f>
        <v>174717.88574500001</v>
      </c>
      <c r="K7" s="92">
        <f>'FCF &amp; Other'!K10</f>
        <v>147321.44172</v>
      </c>
      <c r="L7" s="92">
        <f>'FCF &amp; Other'!L10</f>
        <v>97170.438463650018</v>
      </c>
      <c r="N7" s="91"/>
    </row>
    <row r="8" spans="1:14" x14ac:dyDescent="0.2">
      <c r="B8" s="16" t="s">
        <v>267</v>
      </c>
      <c r="C8" s="92">
        <f>'FCF &amp; Other'!C28</f>
        <v>1698.8813123190739</v>
      </c>
      <c r="D8" s="92">
        <f>'FCF &amp; Other'!D28</f>
        <v>2605.8457841395884</v>
      </c>
      <c r="E8" s="92">
        <f>'FCF &amp; Other'!E28</f>
        <v>-8557</v>
      </c>
      <c r="F8" s="92">
        <f>'FCF &amp; Other'!F28</f>
        <v>-660.27741935483937</v>
      </c>
      <c r="G8" s="93">
        <f>'FCF &amp; Other'!G28</f>
        <v>789.49430287963332</v>
      </c>
      <c r="H8" s="92">
        <f>'FCF &amp; Other'!H28</f>
        <v>43374.417029698627</v>
      </c>
      <c r="I8" s="92">
        <f>'FCF &amp; Other'!I28</f>
        <v>70685.789222506864</v>
      </c>
      <c r="J8" s="92">
        <f>'FCF &amp; Other'!J28</f>
        <v>101161.50616923494</v>
      </c>
      <c r="K8" s="92">
        <f>'FCF &amp; Other'!K28</f>
        <v>108720.43210515616</v>
      </c>
      <c r="L8" s="92">
        <f>'FCF &amp; Other'!L28</f>
        <v>89270.297292700649</v>
      </c>
      <c r="N8" s="91"/>
    </row>
    <row r="9" spans="1:14" x14ac:dyDescent="0.2">
      <c r="N9" s="91"/>
    </row>
    <row r="10" spans="1:14" x14ac:dyDescent="0.2">
      <c r="C10" s="249" t="s">
        <v>122</v>
      </c>
      <c r="D10" s="249"/>
      <c r="E10" s="249"/>
      <c r="F10" s="249"/>
      <c r="G10" s="249"/>
      <c r="H10" s="249"/>
      <c r="I10" s="249"/>
      <c r="J10" s="249"/>
      <c r="K10" s="249"/>
      <c r="L10" s="249"/>
      <c r="N10" s="91"/>
    </row>
    <row r="11" spans="1:14" x14ac:dyDescent="0.2">
      <c r="B11" s="16" t="s">
        <v>195</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41"/>
      <c r="D12" s="95">
        <f>(D6-C6)/C6</f>
        <v>0.11019671539433315</v>
      </c>
      <c r="E12" s="95">
        <f t="shared" ref="E12:L12" si="1">(E6-D6)/D6</f>
        <v>-0.49476558944014565</v>
      </c>
      <c r="F12" s="95">
        <f t="shared" si="1"/>
        <v>0.61589446589446595</v>
      </c>
      <c r="G12" s="96">
        <f t="shared" si="1"/>
        <v>0.48851101111066864</v>
      </c>
      <c r="H12" s="95">
        <f t="shared" si="1"/>
        <v>2.7575900262186317</v>
      </c>
      <c r="I12" s="95">
        <f t="shared" si="1"/>
        <v>0.31261007381923395</v>
      </c>
      <c r="J12" s="95">
        <f t="shared" si="1"/>
        <v>0.16383459737989747</v>
      </c>
      <c r="K12" s="95">
        <f t="shared" si="1"/>
        <v>-0.14085693543906935</v>
      </c>
      <c r="L12" s="95">
        <f t="shared" si="1"/>
        <v>-0.33171913423672456</v>
      </c>
      <c r="N12" s="91"/>
    </row>
    <row r="13" spans="1:14" x14ac:dyDescent="0.2">
      <c r="B13" s="1" t="s">
        <v>157</v>
      </c>
      <c r="C13" s="141"/>
      <c r="D13" s="95">
        <f>IF(C7=0,
IF(D7=0,0,IF(D7&gt;0,1,-1)),
(D7-C7)/ABS(C7)
)</f>
        <v>0.54416679929969758</v>
      </c>
      <c r="E13" s="95">
        <f t="shared" ref="E13:L13" si="2">IF(D7=0,
IF(E7=0,0,IF(E7&gt;0,1,-1)),
(E7-D7)/ABS(D7)
)</f>
        <v>-1.5921459492888064</v>
      </c>
      <c r="F13" s="95">
        <f t="shared" si="2"/>
        <v>1.2269799825935597</v>
      </c>
      <c r="G13" s="96">
        <f t="shared" si="2"/>
        <v>6.492331288343558</v>
      </c>
      <c r="H13" s="95">
        <f t="shared" si="2"/>
        <v>10.370250808597749</v>
      </c>
      <c r="I13" s="95">
        <f t="shared" si="2"/>
        <v>0.35120238586588881</v>
      </c>
      <c r="J13" s="95">
        <f t="shared" si="2"/>
        <v>0.16399832119857613</v>
      </c>
      <c r="K13" s="95">
        <f t="shared" si="2"/>
        <v>-0.1568038893567256</v>
      </c>
      <c r="L13" s="95">
        <f t="shared" si="2"/>
        <v>-0.34041890081192172</v>
      </c>
      <c r="N13" s="91"/>
    </row>
    <row r="14" spans="1:14" x14ac:dyDescent="0.2">
      <c r="B14" s="1" t="s">
        <v>267</v>
      </c>
      <c r="C14" s="141"/>
      <c r="D14" s="95">
        <f>IF(C8=0,
IF(D8=0,0,IF(D8&gt;0,1,-1)),
(D8-C8)/ABS(C8)
)</f>
        <v>0.53385982013213984</v>
      </c>
      <c r="E14" s="95">
        <f t="shared" ref="E14:L14" si="3">IF(D8=0,
IF(E8=0,0,IF(E8&gt;0,1,-1)),
(E8-D8)/ABS(D8)
)</f>
        <v>-4.2837706866929555</v>
      </c>
      <c r="F14" s="95">
        <f t="shared" si="3"/>
        <v>0.92283774461203227</v>
      </c>
      <c r="G14" s="96">
        <f t="shared" si="3"/>
        <v>2.1957008974364935</v>
      </c>
      <c r="H14" s="95">
        <f t="shared" si="3"/>
        <v>53.939493383920606</v>
      </c>
      <c r="I14" s="95">
        <f t="shared" si="3"/>
        <v>0.62966545865292067</v>
      </c>
      <c r="J14" s="95">
        <f t="shared" si="3"/>
        <v>0.43114347709687012</v>
      </c>
      <c r="K14" s="95">
        <f t="shared" si="3"/>
        <v>7.4721366082428131E-2</v>
      </c>
      <c r="L14" s="95">
        <f t="shared" si="3"/>
        <v>-0.1789004553775414</v>
      </c>
      <c r="N14" s="91"/>
    </row>
    <row r="15" spans="1:14" x14ac:dyDescent="0.2">
      <c r="N15" s="91"/>
    </row>
    <row r="16" spans="1:14" x14ac:dyDescent="0.2">
      <c r="C16" s="249" t="s">
        <v>196</v>
      </c>
      <c r="D16" s="249"/>
      <c r="E16" s="249"/>
      <c r="F16" s="249"/>
      <c r="G16" s="249"/>
      <c r="H16" s="249"/>
      <c r="I16" s="249"/>
      <c r="J16" s="249"/>
      <c r="K16" s="249"/>
      <c r="L16" s="24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197</v>
      </c>
      <c r="C18" s="100">
        <f>Statement!M22</f>
        <v>1141</v>
      </c>
      <c r="D18" s="100">
        <f>Statement!N22</f>
        <v>1122</v>
      </c>
      <c r="E18" s="100">
        <f>Statement!O22</f>
        <v>1093</v>
      </c>
      <c r="F18" s="100">
        <f>Statement!P22</f>
        <v>1118</v>
      </c>
      <c r="G18" s="101">
        <f>Statement!Q22</f>
        <v>1125</v>
      </c>
      <c r="H18" s="147">
        <f>G18*(1+H19)</f>
        <v>1116</v>
      </c>
      <c r="I18" s="147">
        <f t="shared" ref="I18:L18" si="5">H18*(1+I19)</f>
        <v>1104.8399999999999</v>
      </c>
      <c r="J18" s="147">
        <f t="shared" si="5"/>
        <v>1093.7916</v>
      </c>
      <c r="K18" s="147">
        <f t="shared" si="5"/>
        <v>1082.8536839999999</v>
      </c>
      <c r="L18" s="147">
        <f t="shared" si="5"/>
        <v>1072.02514716</v>
      </c>
      <c r="N18" s="91"/>
    </row>
    <row r="19" spans="2:14" x14ac:dyDescent="0.2">
      <c r="B19" s="1" t="s">
        <v>198</v>
      </c>
      <c r="C19" s="141"/>
      <c r="D19" s="148">
        <f>D18/C18-1</f>
        <v>-1.6652059596844904E-2</v>
      </c>
      <c r="E19" s="148">
        <f t="shared" ref="E19:G19" si="6">E18/D18-1</f>
        <v>-2.5846702317290582E-2</v>
      </c>
      <c r="F19" s="148">
        <f t="shared" si="6"/>
        <v>2.2872827081427349E-2</v>
      </c>
      <c r="G19" s="149">
        <f t="shared" si="6"/>
        <v>6.2611806797854275E-3</v>
      </c>
      <c r="H19" s="150">
        <v>-8.0000000000000002E-3</v>
      </c>
      <c r="I19" s="97">
        <v>-0.01</v>
      </c>
      <c r="J19" s="97">
        <v>-0.01</v>
      </c>
      <c r="K19" s="97">
        <v>-0.01</v>
      </c>
      <c r="L19" s="97">
        <v>-0.01</v>
      </c>
      <c r="N19" s="91"/>
    </row>
    <row r="20" spans="2:14" x14ac:dyDescent="0.2">
      <c r="N20" s="91"/>
    </row>
    <row r="21" spans="2:14" x14ac:dyDescent="0.2">
      <c r="C21" s="249" t="s">
        <v>199</v>
      </c>
      <c r="D21" s="249"/>
      <c r="E21" s="249"/>
      <c r="F21" s="249"/>
      <c r="G21" s="249"/>
      <c r="H21" s="249"/>
      <c r="I21" s="249"/>
      <c r="J21" s="249"/>
      <c r="K21" s="249"/>
      <c r="L21" s="24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51">
        <f>Statement!M116</f>
        <v>83.32</v>
      </c>
      <c r="D23" s="151">
        <f>Statement!N116</f>
        <v>57.31</v>
      </c>
      <c r="E23" s="151">
        <f>Statement!O116</f>
        <v>68.09</v>
      </c>
      <c r="F23" s="151">
        <f>Statement!P116</f>
        <v>95.57</v>
      </c>
      <c r="G23" s="152">
        <f>Statement!Q116</f>
        <v>122</v>
      </c>
      <c r="H23" s="141"/>
      <c r="I23" s="141"/>
      <c r="J23" s="141"/>
      <c r="K23" s="141"/>
      <c r="L23" s="141"/>
      <c r="N23" s="91"/>
    </row>
    <row r="24" spans="2:14" x14ac:dyDescent="0.2">
      <c r="N24" s="91"/>
    </row>
    <row r="25" spans="2:14" x14ac:dyDescent="0.2">
      <c r="N25" s="91"/>
    </row>
    <row r="26" spans="2:14" x14ac:dyDescent="0.2">
      <c r="C26" s="249" t="s">
        <v>200</v>
      </c>
      <c r="D26" s="249"/>
      <c r="E26" s="249"/>
      <c r="F26" s="249"/>
      <c r="G26" s="249"/>
      <c r="H26" s="249"/>
      <c r="I26" s="249"/>
      <c r="J26" s="249"/>
      <c r="K26" s="249"/>
      <c r="L26" s="24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201</v>
      </c>
      <c r="C28" s="153">
        <f>C23/(C6/C18)</f>
        <v>3.4314426998736689</v>
      </c>
      <c r="D28" s="153">
        <f t="shared" ref="D28:G28" si="9">D23/(D6/D18)</f>
        <v>2.0905722088562326</v>
      </c>
      <c r="E28" s="153">
        <f t="shared" si="9"/>
        <v>4.7890842985842994</v>
      </c>
      <c r="F28" s="153">
        <f t="shared" si="9"/>
        <v>4.2549982079566719</v>
      </c>
      <c r="G28" s="154">
        <f t="shared" si="9"/>
        <v>3.6719460645299371</v>
      </c>
      <c r="H28" s="141"/>
      <c r="I28" s="141"/>
      <c r="J28" s="141"/>
      <c r="K28" s="141"/>
      <c r="L28" s="141"/>
      <c r="N28" s="91"/>
    </row>
    <row r="29" spans="2:14" x14ac:dyDescent="0.2">
      <c r="B29" s="1" t="s">
        <v>202</v>
      </c>
      <c r="C29" s="147">
        <f>C23*C18</f>
        <v>95068.12</v>
      </c>
      <c r="D29" s="147">
        <f t="shared" ref="D29:G29" si="10">D23*D18</f>
        <v>64301.82</v>
      </c>
      <c r="E29" s="147">
        <f t="shared" si="10"/>
        <v>74422.37000000001</v>
      </c>
      <c r="F29" s="147">
        <f t="shared" si="10"/>
        <v>106847.26</v>
      </c>
      <c r="G29" s="155">
        <f t="shared" si="10"/>
        <v>137250</v>
      </c>
      <c r="H29" s="141"/>
      <c r="I29" s="141"/>
      <c r="J29" s="141"/>
      <c r="K29" s="141"/>
      <c r="L29" s="141"/>
      <c r="N29" s="91"/>
    </row>
    <row r="30" spans="2:14" x14ac:dyDescent="0.2">
      <c r="B30" s="1" t="s">
        <v>169</v>
      </c>
      <c r="C30" s="88">
        <f>Statement!M108</f>
        <v>6776</v>
      </c>
      <c r="D30" s="156">
        <f>Statement!N108</f>
        <v>6906</v>
      </c>
      <c r="E30" s="156">
        <f>Statement!O108</f>
        <v>13330</v>
      </c>
      <c r="F30" s="156">
        <f>Statement!P108</f>
        <v>13397</v>
      </c>
      <c r="G30" s="157">
        <f>Statement!Q108</f>
        <v>14577</v>
      </c>
      <c r="H30" s="141"/>
      <c r="I30" s="141"/>
      <c r="J30" s="141"/>
      <c r="K30" s="141"/>
      <c r="L30" s="141"/>
      <c r="N30" s="91"/>
    </row>
    <row r="31" spans="2:14" x14ac:dyDescent="0.2">
      <c r="B31" s="1" t="s">
        <v>178</v>
      </c>
      <c r="C31" s="156">
        <f>Statement!M107</f>
        <v>10398</v>
      </c>
      <c r="D31" s="156">
        <f>Statement!N107</f>
        <v>10978</v>
      </c>
      <c r="E31" s="156">
        <f>Statement!O107</f>
        <v>10438</v>
      </c>
      <c r="F31" s="156">
        <f>Statement!P107</f>
        <v>9152</v>
      </c>
      <c r="G31" s="157">
        <f>Statement!Q107</f>
        <v>11936</v>
      </c>
      <c r="H31" s="141"/>
      <c r="I31" s="141"/>
      <c r="J31" s="141"/>
      <c r="K31" s="141"/>
      <c r="L31" s="141"/>
      <c r="N31" s="91"/>
    </row>
    <row r="32" spans="2:14" x14ac:dyDescent="0.2">
      <c r="B32" s="1" t="s">
        <v>203</v>
      </c>
      <c r="C32" s="147">
        <f>C29+C30-C31</f>
        <v>91446.12</v>
      </c>
      <c r="D32" s="147">
        <f t="shared" ref="D32:G32" si="11">D29+D30-D31</f>
        <v>60229.820000000007</v>
      </c>
      <c r="E32" s="147">
        <f t="shared" si="11"/>
        <v>77314.37000000001</v>
      </c>
      <c r="F32" s="147">
        <f t="shared" si="11"/>
        <v>111092.26</v>
      </c>
      <c r="G32" s="155">
        <f t="shared" si="11"/>
        <v>139891</v>
      </c>
      <c r="H32" s="141"/>
      <c r="I32" s="141"/>
      <c r="J32" s="141"/>
      <c r="K32" s="141"/>
      <c r="L32" s="141"/>
      <c r="N32" s="91"/>
    </row>
    <row r="33" spans="2:14" x14ac:dyDescent="0.2">
      <c r="B33" s="16" t="s">
        <v>204</v>
      </c>
      <c r="C33" s="153">
        <f>C32/C7</f>
        <v>14.554531274868692</v>
      </c>
      <c r="D33" s="153">
        <f t="shared" ref="D33:G33" si="12">D32/D7</f>
        <v>6.2079797979797986</v>
      </c>
      <c r="E33" s="153">
        <f t="shared" si="12"/>
        <v>-13.457679721496955</v>
      </c>
      <c r="F33" s="153">
        <f t="shared" si="12"/>
        <v>85.193450920245397</v>
      </c>
      <c r="G33" s="154">
        <f t="shared" si="12"/>
        <v>14.31842374616172</v>
      </c>
      <c r="H33" s="141"/>
      <c r="I33" s="141"/>
      <c r="J33" s="141"/>
      <c r="K33" s="141"/>
      <c r="L33" s="141"/>
      <c r="N33" s="91"/>
    </row>
    <row r="34" spans="2:14" x14ac:dyDescent="0.2">
      <c r="B34" s="16" t="s">
        <v>326</v>
      </c>
      <c r="C34" s="153">
        <f>C32/C8</f>
        <v>53.827256405081414</v>
      </c>
      <c r="D34" s="153">
        <f t="shared" ref="D34:G34" si="13">D32/D8</f>
        <v>23.113347829939599</v>
      </c>
      <c r="E34" s="153">
        <f t="shared" si="13"/>
        <v>-9.0352191188500655</v>
      </c>
      <c r="F34" s="153">
        <f t="shared" si="13"/>
        <v>-168.2508847698424</v>
      </c>
      <c r="G34" s="154">
        <f t="shared" si="13"/>
        <v>177.19063898213824</v>
      </c>
      <c r="H34" s="141"/>
      <c r="I34" s="141"/>
      <c r="J34" s="141"/>
      <c r="K34" s="141"/>
      <c r="L34" s="141"/>
      <c r="N34" s="91"/>
    </row>
    <row r="35" spans="2:14" x14ac:dyDescent="0.2">
      <c r="N35" s="91"/>
    </row>
    <row r="36" spans="2:14" x14ac:dyDescent="0.2">
      <c r="N36" s="91"/>
    </row>
    <row r="37" spans="2:14" x14ac:dyDescent="0.2">
      <c r="B37" s="240" t="s">
        <v>205</v>
      </c>
      <c r="C37" s="240"/>
      <c r="N37" s="91"/>
    </row>
    <row r="38" spans="2:14" x14ac:dyDescent="0.2">
      <c r="B38" s="1" t="s">
        <v>206</v>
      </c>
      <c r="C38" s="64">
        <f>L7</f>
        <v>97170.438463650018</v>
      </c>
    </row>
    <row r="39" spans="2:14" x14ac:dyDescent="0.2">
      <c r="B39" s="1" t="s">
        <v>165</v>
      </c>
      <c r="C39" s="139">
        <f ca="1">IF(Overview!C28&gt;0,Overview!C28,WACC!C20)</f>
        <v>0.14756567536811427</v>
      </c>
    </row>
    <row r="40" spans="2:14" x14ac:dyDescent="0.2">
      <c r="B40" s="39" t="s">
        <v>207</v>
      </c>
      <c r="C40" s="105">
        <v>12</v>
      </c>
    </row>
    <row r="41" spans="2:14" x14ac:dyDescent="0.2">
      <c r="B41" s="1" t="s">
        <v>203</v>
      </c>
      <c r="C41" s="24">
        <f>(C38*C40)</f>
        <v>1166045.2615638003</v>
      </c>
    </row>
    <row r="42" spans="2:14" x14ac:dyDescent="0.2">
      <c r="B42" s="1" t="s">
        <v>355</v>
      </c>
      <c r="C42" s="24">
        <f ca="1">C41/(1+C39)^5-G30+G31</f>
        <v>583264.61509255844</v>
      </c>
    </row>
    <row r="43" spans="2:14" x14ac:dyDescent="0.2">
      <c r="B43" s="1" t="s">
        <v>189</v>
      </c>
      <c r="C43" s="88">
        <f>Statement!AC107</f>
        <v>30128</v>
      </c>
    </row>
    <row r="44" spans="2:14" x14ac:dyDescent="0.2">
      <c r="B44" s="1" t="s">
        <v>190</v>
      </c>
      <c r="C44" s="88">
        <f>Statement!AC108</f>
        <v>5722</v>
      </c>
    </row>
    <row r="45" spans="2:14" x14ac:dyDescent="0.2">
      <c r="B45" s="1" t="s">
        <v>191</v>
      </c>
      <c r="C45" s="24">
        <f ca="1">C42+C43-C44</f>
        <v>607670.61509255844</v>
      </c>
    </row>
    <row r="46" spans="2:14" x14ac:dyDescent="0.2">
      <c r="B46" s="1" t="s">
        <v>68</v>
      </c>
      <c r="C46" s="88">
        <f>Statement!AC78</f>
        <v>1146</v>
      </c>
    </row>
    <row r="47" spans="2:14" x14ac:dyDescent="0.2">
      <c r="B47" s="145" t="s">
        <v>209</v>
      </c>
      <c r="C47" s="146">
        <f ca="1">C45/C46</f>
        <v>530.25359083120281</v>
      </c>
    </row>
    <row r="49" spans="2:3" x14ac:dyDescent="0.2">
      <c r="B49" s="240" t="s">
        <v>210</v>
      </c>
      <c r="C49" s="240"/>
    </row>
    <row r="50" spans="2:3" x14ac:dyDescent="0.2">
      <c r="B50" s="1" t="s">
        <v>211</v>
      </c>
      <c r="C50" s="64">
        <f>L6</f>
        <v>123190.42843500002</v>
      </c>
    </row>
    <row r="51" spans="2:3" x14ac:dyDescent="0.2">
      <c r="B51" s="1" t="s">
        <v>354</v>
      </c>
      <c r="C51" s="139">
        <f ca="1">IF(Overview!C29&gt;0,Overview!C29,WACC!C19)</f>
        <v>0.148058</v>
      </c>
    </row>
    <row r="52" spans="2:3" x14ac:dyDescent="0.2">
      <c r="B52" s="39" t="s">
        <v>212</v>
      </c>
      <c r="C52" s="105">
        <v>3</v>
      </c>
    </row>
    <row r="53" spans="2:3" x14ac:dyDescent="0.2">
      <c r="B53" s="1" t="s">
        <v>208</v>
      </c>
      <c r="C53" s="24">
        <f>L18</f>
        <v>1072.02514716</v>
      </c>
    </row>
    <row r="54" spans="2:3" x14ac:dyDescent="0.2">
      <c r="B54" s="1" t="s">
        <v>192</v>
      </c>
      <c r="C54" s="24">
        <f>(C50*C52)/C53</f>
        <v>344.74124630757518</v>
      </c>
    </row>
    <row r="55" spans="2:3" x14ac:dyDescent="0.2">
      <c r="B55" s="145" t="s">
        <v>209</v>
      </c>
      <c r="C55" s="146">
        <f ca="1">C54/(1+C51)^5</f>
        <v>172.85187754425812</v>
      </c>
    </row>
    <row r="57" spans="2:3" x14ac:dyDescent="0.2">
      <c r="B57" s="240" t="s">
        <v>327</v>
      </c>
      <c r="C57" s="240"/>
    </row>
    <row r="58" spans="2:3" x14ac:dyDescent="0.2">
      <c r="B58" s="1" t="s">
        <v>213</v>
      </c>
      <c r="C58" s="64">
        <f>L8</f>
        <v>89270.297292700649</v>
      </c>
    </row>
    <row r="59" spans="2:3" x14ac:dyDescent="0.2">
      <c r="B59" s="1" t="s">
        <v>165</v>
      </c>
      <c r="C59" s="139">
        <f ca="1">IF(Overview!C28&gt;0,Overview!C28,WACC!C20)</f>
        <v>0.14756567536811427</v>
      </c>
    </row>
    <row r="60" spans="2:3" x14ac:dyDescent="0.2">
      <c r="B60" s="39" t="s">
        <v>356</v>
      </c>
      <c r="C60" s="105">
        <v>20</v>
      </c>
    </row>
    <row r="61" spans="2:3" x14ac:dyDescent="0.2">
      <c r="B61" s="1" t="s">
        <v>203</v>
      </c>
      <c r="C61" s="24">
        <f>(C58*C60)</f>
        <v>1785405.9458540129</v>
      </c>
    </row>
    <row r="62" spans="2:3" x14ac:dyDescent="0.2">
      <c r="B62" s="1" t="s">
        <v>355</v>
      </c>
      <c r="C62" s="24">
        <f ca="1">C61/(1+C59)^5-G30+G31</f>
        <v>894476.29327950289</v>
      </c>
    </row>
    <row r="63" spans="2:3" x14ac:dyDescent="0.2">
      <c r="B63" s="1" t="s">
        <v>189</v>
      </c>
      <c r="C63" s="88">
        <f>Statement!AC107</f>
        <v>30128</v>
      </c>
    </row>
    <row r="64" spans="2:3" x14ac:dyDescent="0.2">
      <c r="B64" s="1" t="s">
        <v>190</v>
      </c>
      <c r="C64" s="88">
        <f>Statement!AC108</f>
        <v>5722</v>
      </c>
    </row>
    <row r="65" spans="2:3" x14ac:dyDescent="0.2">
      <c r="B65" s="1" t="s">
        <v>191</v>
      </c>
      <c r="C65" s="24">
        <f ca="1">C62+C63-C64</f>
        <v>918882.29327950289</v>
      </c>
    </row>
    <row r="66" spans="2:3" x14ac:dyDescent="0.2">
      <c r="B66" s="1" t="s">
        <v>68</v>
      </c>
      <c r="C66" s="88">
        <f>Statement!AC78</f>
        <v>1146</v>
      </c>
    </row>
    <row r="67" spans="2:3" x14ac:dyDescent="0.2">
      <c r="B67" s="145" t="s">
        <v>209</v>
      </c>
      <c r="C67" s="146">
        <f ca="1">C65/C66</f>
        <v>801.81700984249812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0" t="s">
        <v>215</v>
      </c>
      <c r="C4" s="240"/>
      <c r="N4" s="91"/>
    </row>
    <row r="5" spans="1:14" x14ac:dyDescent="0.2">
      <c r="B5" s="1" t="s">
        <v>216</v>
      </c>
      <c r="C5" s="137">
        <f ca="1">DCF!C26</f>
        <v>540.7449403569484</v>
      </c>
    </row>
    <row r="6" spans="1:14" x14ac:dyDescent="0.2">
      <c r="B6" s="1" t="s">
        <v>217</v>
      </c>
      <c r="C6" s="137">
        <f ca="1">Multiples!C47</f>
        <v>530.25359083120281</v>
      </c>
    </row>
    <row r="7" spans="1:14" x14ac:dyDescent="0.2">
      <c r="B7" s="1" t="s">
        <v>218</v>
      </c>
      <c r="C7" s="137">
        <f ca="1">Multiples!C55</f>
        <v>172.85187754425812</v>
      </c>
    </row>
    <row r="8" spans="1:14" x14ac:dyDescent="0.2">
      <c r="B8" s="1" t="s">
        <v>328</v>
      </c>
      <c r="C8" s="137">
        <f ca="1">Multiples!C67</f>
        <v>801.81700984249812</v>
      </c>
    </row>
    <row r="9" spans="1:14" x14ac:dyDescent="0.2">
      <c r="B9" s="145" t="s">
        <v>219</v>
      </c>
      <c r="C9" s="146">
        <f ca="1">AVERAGE(C5:C8)</f>
        <v>511.41685464372688</v>
      </c>
    </row>
    <row r="10" spans="1:14" x14ac:dyDescent="0.2">
      <c r="B10" s="1" t="s">
        <v>220</v>
      </c>
      <c r="C10" s="137">
        <f ca="1">Overview!C5</f>
        <v>1087.96</v>
      </c>
    </row>
    <row r="11" spans="1:14" x14ac:dyDescent="0.2">
      <c r="B11" s="1" t="s">
        <v>221</v>
      </c>
      <c r="C11" s="158">
        <f ca="1">(C9-C10)/C10</f>
        <v>-0.52993046192532178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5"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367</v>
      </c>
    </row>
    <row r="2" spans="1:14" x14ac:dyDescent="0.2">
      <c r="A2" s="4"/>
      <c r="C2" s="240" t="s">
        <v>113</v>
      </c>
      <c r="D2" s="240"/>
      <c r="E2" s="240"/>
      <c r="F2" s="240"/>
      <c r="G2" s="252"/>
      <c r="H2" s="253" t="s">
        <v>114</v>
      </c>
      <c r="I2" s="240"/>
      <c r="J2" s="240"/>
      <c r="K2" s="240"/>
      <c r="L2" s="240"/>
    </row>
    <row r="3" spans="1:14" ht="10" customHeight="1" x14ac:dyDescent="0.2"/>
    <row r="4" spans="1:14" ht="16" customHeight="1" x14ac:dyDescent="0.2">
      <c r="A4" s="86"/>
      <c r="B4" s="60"/>
      <c r="C4" s="249" t="s">
        <v>194</v>
      </c>
      <c r="D4" s="249"/>
      <c r="E4" s="249"/>
      <c r="F4" s="249"/>
      <c r="G4" s="249"/>
      <c r="H4" s="249"/>
      <c r="I4" s="249"/>
      <c r="J4" s="249"/>
      <c r="K4" s="249"/>
      <c r="L4" s="249"/>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248</v>
      </c>
      <c r="C6" s="232">
        <f>Statement!M26</f>
        <v>5.14</v>
      </c>
      <c r="D6" s="232">
        <f>Statement!N26</f>
        <v>7.75</v>
      </c>
      <c r="E6" s="232">
        <f>Statement!O26</f>
        <v>-5.34</v>
      </c>
      <c r="F6" s="232">
        <f>Statement!P26</f>
        <v>0.7</v>
      </c>
      <c r="G6" s="233">
        <f>Statement!Q26</f>
        <v>7.59</v>
      </c>
      <c r="H6" s="141"/>
      <c r="I6" s="141"/>
      <c r="J6" s="141"/>
      <c r="K6" s="141"/>
      <c r="L6" s="141"/>
      <c r="N6" s="91"/>
    </row>
    <row r="7" spans="1:14" x14ac:dyDescent="0.2">
      <c r="B7" s="16" t="s">
        <v>368</v>
      </c>
      <c r="C7" s="232">
        <f>Statement!M82</f>
        <v>0.1</v>
      </c>
      <c r="D7" s="232">
        <f>Statement!N82</f>
        <v>0.315</v>
      </c>
      <c r="E7" s="232">
        <f>Statement!O82</f>
        <v>0.46</v>
      </c>
      <c r="F7" s="232">
        <f>Statement!P82</f>
        <v>0.46</v>
      </c>
      <c r="G7" s="233">
        <f>Statement!Q82</f>
        <v>0.46</v>
      </c>
      <c r="H7" s="141"/>
      <c r="I7" s="141"/>
      <c r="J7" s="141"/>
      <c r="K7" s="141"/>
      <c r="L7" s="141"/>
      <c r="N7" s="91"/>
    </row>
    <row r="8" spans="1:14" x14ac:dyDescent="0.2">
      <c r="N8" s="91"/>
    </row>
    <row r="9" spans="1:14" x14ac:dyDescent="0.2">
      <c r="C9" s="249" t="s">
        <v>122</v>
      </c>
      <c r="D9" s="249"/>
      <c r="E9" s="249"/>
      <c r="F9" s="249"/>
      <c r="G9" s="249"/>
      <c r="H9" s="249"/>
      <c r="I9" s="249"/>
      <c r="J9" s="249"/>
      <c r="K9" s="249"/>
      <c r="L9" s="249"/>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248</v>
      </c>
      <c r="C11" s="141"/>
      <c r="D11" s="95">
        <f>(D6-C6)/C6</f>
        <v>0.50778210116731526</v>
      </c>
      <c r="E11" s="95">
        <f>(E6-D6)/D6</f>
        <v>-1.6890322580645161</v>
      </c>
      <c r="F11" s="95">
        <f>(F6-E6)/E6</f>
        <v>-1.1310861423220975</v>
      </c>
      <c r="G11" s="96">
        <f>(G6-F6)/F6</f>
        <v>9.8428571428571434</v>
      </c>
      <c r="H11" s="141"/>
      <c r="I11" s="141"/>
      <c r="J11" s="141"/>
      <c r="K11" s="141"/>
      <c r="L11" s="141"/>
      <c r="N11" s="91"/>
    </row>
    <row r="12" spans="1:14" x14ac:dyDescent="0.2">
      <c r="B12" s="1" t="s">
        <v>249</v>
      </c>
      <c r="C12" s="141"/>
      <c r="D12" s="95">
        <f>IF(C7=0,
IF(D7=0,0,IF(D7&gt;0,1,-1)),
(D7-C7)/ABS(C7)
)</f>
        <v>2.15</v>
      </c>
      <c r="E12" s="95">
        <f>IF(D7=0,
IF(E7=0,0,IF(E7&gt;0,1,-1)),
(E7-D7)/ABS(D7)
)</f>
        <v>0.46031746031746035</v>
      </c>
      <c r="F12" s="95">
        <f>IF(E7=0,
IF(F7=0,0,IF(F7&gt;0,1,-1)),
(F7-E7)/ABS(E7)
)</f>
        <v>0</v>
      </c>
      <c r="G12" s="96">
        <f>IF(F7=0,
IF(G7=0,0,IF(G7&gt;0,1,-1)),
(G7-F7)/ABS(F7)
)</f>
        <v>0</v>
      </c>
      <c r="H12" s="141"/>
      <c r="I12" s="141"/>
      <c r="J12" s="141"/>
      <c r="K12" s="141"/>
      <c r="L12" s="141"/>
      <c r="N12" s="91"/>
    </row>
    <row r="13" spans="1:14" x14ac:dyDescent="0.2">
      <c r="N13" s="91"/>
    </row>
    <row r="14" spans="1:14" x14ac:dyDescent="0.2">
      <c r="C14" s="249" t="s">
        <v>369</v>
      </c>
      <c r="D14" s="249"/>
      <c r="E14" s="249"/>
      <c r="F14" s="249"/>
      <c r="G14" s="249"/>
      <c r="H14" s="249"/>
      <c r="I14" s="249"/>
      <c r="J14" s="249"/>
      <c r="K14" s="249"/>
      <c r="L14" s="249"/>
      <c r="N14" s="91"/>
    </row>
    <row r="15" spans="1:14" x14ac:dyDescent="0.2">
      <c r="B15" s="16" t="s">
        <v>342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370</v>
      </c>
      <c r="C16" s="95">
        <f>C7/C6</f>
        <v>1.9455252918287941E-2</v>
      </c>
      <c r="D16" s="95">
        <f t="shared" ref="D16:G16" si="2">D7/D6</f>
        <v>4.0645161290322578E-2</v>
      </c>
      <c r="E16" s="95">
        <f t="shared" si="2"/>
        <v>-8.6142322097378279E-2</v>
      </c>
      <c r="F16" s="95">
        <f t="shared" si="2"/>
        <v>0.65714285714285725</v>
      </c>
      <c r="G16" s="96">
        <f t="shared" si="2"/>
        <v>6.0606060606060608E-2</v>
      </c>
      <c r="H16" s="141"/>
      <c r="I16" s="141"/>
      <c r="J16" s="141"/>
      <c r="K16" s="141"/>
      <c r="L16" s="141"/>
      <c r="N16" s="91"/>
    </row>
    <row r="17" spans="2:14" x14ac:dyDescent="0.2">
      <c r="N17" s="91"/>
    </row>
    <row r="18" spans="2:14" x14ac:dyDescent="0.2">
      <c r="N18" s="91"/>
    </row>
    <row r="19" spans="2:14" x14ac:dyDescent="0.2">
      <c r="N19" s="91"/>
    </row>
    <row r="20" spans="2:14" x14ac:dyDescent="0.2">
      <c r="B20" s="240" t="s">
        <v>371</v>
      </c>
      <c r="C20" s="240"/>
      <c r="N20" s="91"/>
    </row>
    <row r="21" spans="2:14" x14ac:dyDescent="0.2">
      <c r="B21" s="1" t="s">
        <v>372</v>
      </c>
      <c r="C21" s="107">
        <f>G7</f>
        <v>0.46</v>
      </c>
    </row>
    <row r="22" spans="2:14" x14ac:dyDescent="0.2">
      <c r="B22" s="1" t="s">
        <v>373</v>
      </c>
      <c r="C22" s="234">
        <v>0.05</v>
      </c>
    </row>
    <row r="23" spans="2:14" x14ac:dyDescent="0.2">
      <c r="B23" s="39" t="s">
        <v>374</v>
      </c>
      <c r="C23" s="235">
        <f>C21*(1+C22)</f>
        <v>0.48300000000000004</v>
      </c>
    </row>
    <row r="24" spans="2:14" x14ac:dyDescent="0.2">
      <c r="B24" s="1" t="s">
        <v>354</v>
      </c>
      <c r="C24" s="139">
        <f ca="1">IF(Overview!C29&gt;0,Overview!C29,WACC!C19)</f>
        <v>0.148058</v>
      </c>
    </row>
    <row r="25" spans="2:14" x14ac:dyDescent="0.2">
      <c r="B25" s="39" t="s">
        <v>375</v>
      </c>
      <c r="C25" s="234">
        <v>0.03</v>
      </c>
    </row>
    <row r="26" spans="2:14" x14ac:dyDescent="0.2">
      <c r="B26" s="145" t="s">
        <v>209</v>
      </c>
      <c r="C26" s="146">
        <f ca="1">C23/(C24-C25)</f>
        <v>4.0912094055464268</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0" zoomScale="209" zoomScaleNormal="100" workbookViewId="0">
      <selection activeCell="L43" sqref="L4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0" t="s">
        <v>113</v>
      </c>
      <c r="D3" s="240"/>
      <c r="E3" s="240"/>
      <c r="F3" s="240"/>
      <c r="G3" s="252"/>
      <c r="H3" s="253" t="s">
        <v>114</v>
      </c>
      <c r="I3" s="240"/>
      <c r="J3" s="240"/>
      <c r="K3" s="240"/>
      <c r="L3" s="240"/>
      <c r="P3" s="254"/>
      <c r="Q3" s="254"/>
      <c r="R3" s="254"/>
      <c r="S3" s="254"/>
      <c r="T3" s="254"/>
      <c r="U3" s="254"/>
      <c r="V3" s="254"/>
      <c r="W3" s="254"/>
      <c r="X3" s="254"/>
      <c r="Y3" s="254"/>
      <c r="Z3" s="254"/>
      <c r="AB3" s="113"/>
    </row>
    <row r="4" spans="1:28" ht="10" customHeight="1" x14ac:dyDescent="0.2"/>
    <row r="5" spans="1:28" ht="16" customHeight="1" x14ac:dyDescent="0.2">
      <c r="A5" s="86"/>
      <c r="B5" s="60"/>
      <c r="C5" s="249" t="s">
        <v>180</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1698.8813123190739</v>
      </c>
      <c r="D7" s="116">
        <f>'FCF &amp; Other'!D28</f>
        <v>2605.8457841395884</v>
      </c>
      <c r="E7" s="116">
        <f>'FCF &amp; Other'!E28</f>
        <v>-8557</v>
      </c>
      <c r="F7" s="116">
        <f>'FCF &amp; Other'!F28</f>
        <v>-660.27741935483937</v>
      </c>
      <c r="G7" s="117">
        <f>'FCF &amp; Other'!G28</f>
        <v>789.49430287963332</v>
      </c>
      <c r="H7" s="130">
        <f>G7*(1+$C$17)</f>
        <v>1807.9419535943603</v>
      </c>
      <c r="I7" s="130">
        <f t="shared" ref="I7:L7" si="0">H7*(1+$C$17)</f>
        <v>4140.1870737310846</v>
      </c>
      <c r="J7" s="130">
        <f t="shared" si="0"/>
        <v>9481.0283988441843</v>
      </c>
      <c r="K7" s="130">
        <f t="shared" si="0"/>
        <v>21711.555033353183</v>
      </c>
      <c r="L7" s="130">
        <f t="shared" si="0"/>
        <v>49719.461026378791</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365037.68474415585</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H7/(1+$C$21)^H9</f>
        <v>1575.4583745408834</v>
      </c>
      <c r="I10" s="130">
        <f t="shared" ref="I10:L10" ca="1" si="1">I7/(1+$C$21)^I9</f>
        <v>3143.8720721071741</v>
      </c>
      <c r="J10" s="130">
        <f t="shared" ca="1" si="1"/>
        <v>6273.6862906046717</v>
      </c>
      <c r="K10" s="130">
        <f t="shared" ca="1" si="1"/>
        <v>12519.319733814935</v>
      </c>
      <c r="L10" s="130">
        <f t="shared" ca="1" si="1"/>
        <v>24982.659211412654</v>
      </c>
      <c r="N10" s="91"/>
    </row>
    <row r="11" spans="1:28" x14ac:dyDescent="0.2">
      <c r="B11" s="1" t="s">
        <v>183</v>
      </c>
      <c r="C11" s="141"/>
      <c r="D11" s="141"/>
      <c r="E11" s="141"/>
      <c r="F11" s="141"/>
      <c r="G11" s="142"/>
      <c r="H11" s="141"/>
      <c r="I11" s="141"/>
      <c r="J11" s="141"/>
      <c r="K11" s="141"/>
      <c r="L11" s="130">
        <f ca="1">L8/(1+C21)^L9</f>
        <v>183421.37845074185</v>
      </c>
    </row>
    <row r="13" spans="1:28" ht="17" thickBot="1" x14ac:dyDescent="0.25"/>
    <row r="14" spans="1:28" x14ac:dyDescent="0.2">
      <c r="B14" s="255" t="s">
        <v>223</v>
      </c>
      <c r="C14" s="256"/>
    </row>
    <row r="15" spans="1:28" x14ac:dyDescent="0.2">
      <c r="B15" s="159" t="s">
        <v>224</v>
      </c>
      <c r="C15" s="160">
        <f ca="1">Overview!C5</f>
        <v>1087.96</v>
      </c>
    </row>
    <row r="16" spans="1:28" x14ac:dyDescent="0.2">
      <c r="B16" s="159" t="s">
        <v>225</v>
      </c>
      <c r="C16" s="160">
        <f ca="1">C36</f>
        <v>227.0348752287176</v>
      </c>
    </row>
    <row r="17" spans="2:9" ht="17" thickBot="1" x14ac:dyDescent="0.25">
      <c r="B17" s="161" t="s">
        <v>329</v>
      </c>
      <c r="C17" s="162">
        <v>1.29</v>
      </c>
      <c r="E17" s="257" t="s">
        <v>226</v>
      </c>
      <c r="F17" s="257"/>
      <c r="G17" s="257"/>
      <c r="H17" s="257"/>
      <c r="I17" s="257"/>
    </row>
    <row r="18" spans="2:9" ht="17" thickBot="1" x14ac:dyDescent="0.25"/>
    <row r="19" spans="2:9" x14ac:dyDescent="0.2">
      <c r="B19" s="255" t="s">
        <v>184</v>
      </c>
      <c r="C19" s="256"/>
    </row>
    <row r="20" spans="2:9" x14ac:dyDescent="0.2">
      <c r="B20" s="163" t="s">
        <v>185</v>
      </c>
      <c r="C20" s="164">
        <v>0.01</v>
      </c>
    </row>
    <row r="21" spans="2:9" x14ac:dyDescent="0.2">
      <c r="B21" s="163" t="s">
        <v>165</v>
      </c>
      <c r="C21" s="226">
        <f ca="1">IF(Overview!C28&gt;0,Overview!C28,WACC!C20)</f>
        <v>0.14756567536811427</v>
      </c>
    </row>
    <row r="22" spans="2:9" x14ac:dyDescent="0.2">
      <c r="B22" s="163" t="s">
        <v>68</v>
      </c>
      <c r="C22" s="227">
        <f>Statement!AC75</f>
        <v>1129</v>
      </c>
    </row>
    <row r="23" spans="2:9" x14ac:dyDescent="0.2">
      <c r="B23" s="163" t="s">
        <v>227</v>
      </c>
      <c r="C23" s="165">
        <f ca="1">C15*C22</f>
        <v>1228306.8400000001</v>
      </c>
    </row>
    <row r="24" spans="2:9" x14ac:dyDescent="0.2">
      <c r="B24" s="163" t="s">
        <v>178</v>
      </c>
      <c r="C24" s="227">
        <f>Statement!AC107</f>
        <v>30128</v>
      </c>
    </row>
    <row r="25" spans="2:9" x14ac:dyDescent="0.2">
      <c r="B25" s="163" t="s">
        <v>169</v>
      </c>
      <c r="C25" s="227">
        <f>Statement!AC108</f>
        <v>5722</v>
      </c>
    </row>
    <row r="26" spans="2:9" ht="17" thickBot="1" x14ac:dyDescent="0.25">
      <c r="B26" s="161" t="s">
        <v>228</v>
      </c>
      <c r="C26" s="166">
        <f ca="1">C23+C25-C24</f>
        <v>1203900.8400000001</v>
      </c>
    </row>
    <row r="27" spans="2:9" ht="17" thickBot="1" x14ac:dyDescent="0.25"/>
    <row r="28" spans="2:9" x14ac:dyDescent="0.2">
      <c r="B28" s="255" t="s">
        <v>186</v>
      </c>
      <c r="C28" s="256"/>
    </row>
    <row r="29" spans="2:9" x14ac:dyDescent="0.2">
      <c r="B29" s="163" t="s">
        <v>187</v>
      </c>
      <c r="C29" s="165">
        <f ca="1">SUM(H10:L10)</f>
        <v>48494.995682480316</v>
      </c>
    </row>
    <row r="30" spans="2:9" x14ac:dyDescent="0.2">
      <c r="B30" s="163" t="s">
        <v>183</v>
      </c>
      <c r="C30" s="165">
        <f ca="1">L11</f>
        <v>183421.37845074185</v>
      </c>
    </row>
    <row r="31" spans="2:9" x14ac:dyDescent="0.2">
      <c r="B31" s="167" t="s">
        <v>188</v>
      </c>
      <c r="C31" s="168">
        <f ca="1">C29+C30</f>
        <v>231916.37413322215</v>
      </c>
    </row>
    <row r="32" spans="2:9" x14ac:dyDescent="0.2">
      <c r="B32" s="163" t="s">
        <v>189</v>
      </c>
      <c r="C32" s="169">
        <f>C24</f>
        <v>30128</v>
      </c>
    </row>
    <row r="33" spans="2:12" x14ac:dyDescent="0.2">
      <c r="B33" s="163" t="s">
        <v>190</v>
      </c>
      <c r="C33" s="169">
        <f>C25</f>
        <v>5722</v>
      </c>
    </row>
    <row r="34" spans="2:12" x14ac:dyDescent="0.2">
      <c r="B34" s="167" t="s">
        <v>191</v>
      </c>
      <c r="C34" s="168">
        <f ca="1">C31+C32-C33</f>
        <v>256322.37413322215</v>
      </c>
    </row>
    <row r="35" spans="2:12" x14ac:dyDescent="0.2">
      <c r="B35" s="163" t="s">
        <v>68</v>
      </c>
      <c r="C35" s="165">
        <f>C22</f>
        <v>1129</v>
      </c>
    </row>
    <row r="36" spans="2:12" ht="17" thickBot="1" x14ac:dyDescent="0.25">
      <c r="B36" s="170" t="s">
        <v>192</v>
      </c>
      <c r="C36" s="171">
        <f ca="1">C34/C35</f>
        <v>227.0348752287176</v>
      </c>
    </row>
    <row r="39" spans="2:12" x14ac:dyDescent="0.2">
      <c r="C39" s="249" t="s">
        <v>229</v>
      </c>
      <c r="D39" s="249"/>
      <c r="E39" s="249"/>
      <c r="F39" s="249"/>
      <c r="G39" s="249"/>
      <c r="H39" s="249"/>
      <c r="I39" s="249"/>
      <c r="J39" s="249"/>
      <c r="K39" s="249"/>
      <c r="L39" s="24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267</v>
      </c>
      <c r="C41" s="116">
        <f>C7</f>
        <v>1698.8813123190739</v>
      </c>
      <c r="D41" s="116">
        <f t="shared" si="2"/>
        <v>2605.8457841395884</v>
      </c>
      <c r="E41" s="116">
        <f t="shared" si="2"/>
        <v>-8557</v>
      </c>
      <c r="F41" s="116">
        <f t="shared" si="2"/>
        <v>-660.27741935483937</v>
      </c>
      <c r="G41" s="117">
        <f t="shared" si="2"/>
        <v>789.49430287963332</v>
      </c>
      <c r="H41" s="147">
        <f t="shared" si="2"/>
        <v>1807.9419535943603</v>
      </c>
      <c r="I41" s="147">
        <f t="shared" si="2"/>
        <v>4140.1870737310846</v>
      </c>
      <c r="J41" s="147">
        <f t="shared" si="2"/>
        <v>9481.0283988441843</v>
      </c>
      <c r="K41" s="147">
        <f t="shared" si="2"/>
        <v>21711.555033353183</v>
      </c>
      <c r="L41" s="147">
        <f t="shared" si="2"/>
        <v>49719.461026378791</v>
      </c>
    </row>
    <row r="42" spans="2:12" x14ac:dyDescent="0.2">
      <c r="B42" s="1" t="s">
        <v>157</v>
      </c>
      <c r="C42" s="116">
        <f>'FCF &amp; Other'!C10</f>
        <v>6283</v>
      </c>
      <c r="D42" s="116">
        <f>'FCF &amp; Other'!D10</f>
        <v>9702</v>
      </c>
      <c r="E42" s="116">
        <f>'FCF &amp; Other'!E10</f>
        <v>-5745</v>
      </c>
      <c r="F42" s="116">
        <f>'FCF &amp; Other'!F10</f>
        <v>1304</v>
      </c>
      <c r="G42" s="117">
        <f>'FCF &amp; Other'!G10</f>
        <v>9770</v>
      </c>
      <c r="H42" s="147">
        <f>H41/H43</f>
        <v>7231.767814377441</v>
      </c>
      <c r="I42" s="147">
        <f t="shared" ref="I42:L42" si="3">I41/I43</f>
        <v>16560.748294924339</v>
      </c>
      <c r="J42" s="147">
        <f t="shared" si="3"/>
        <v>37924.113595376737</v>
      </c>
      <c r="K42" s="147">
        <f t="shared" si="3"/>
        <v>86846.220133412731</v>
      </c>
      <c r="L42" s="147">
        <f t="shared" si="3"/>
        <v>198877.84410551516</v>
      </c>
    </row>
    <row r="43" spans="2:12" x14ac:dyDescent="0.2">
      <c r="B43" s="126" t="s">
        <v>330</v>
      </c>
      <c r="C43" s="95">
        <f>C41/C42</f>
        <v>0.27039333317190417</v>
      </c>
      <c r="D43" s="95">
        <f t="shared" ref="D43:G43" si="4">D41/D42</f>
        <v>0.26858851619661805</v>
      </c>
      <c r="E43" s="95">
        <f t="shared" si="4"/>
        <v>1.4894691035683203</v>
      </c>
      <c r="F43" s="95">
        <f t="shared" si="4"/>
        <v>-0.50634771422917124</v>
      </c>
      <c r="G43" s="96">
        <f t="shared" si="4"/>
        <v>8.0808014624322758E-2</v>
      </c>
      <c r="H43" s="172">
        <v>0.25</v>
      </c>
      <c r="I43" s="172">
        <v>0.25</v>
      </c>
      <c r="J43" s="172">
        <v>0.25</v>
      </c>
      <c r="K43" s="172">
        <v>0.25</v>
      </c>
      <c r="L43" s="172">
        <v>0.25</v>
      </c>
    </row>
    <row r="44" spans="2:12" x14ac:dyDescent="0.2">
      <c r="B44" s="1" t="s">
        <v>19</v>
      </c>
      <c r="C44" s="116">
        <f>Revenue!C10</f>
        <v>27705</v>
      </c>
      <c r="D44" s="116">
        <f>Revenue!D10</f>
        <v>30758</v>
      </c>
      <c r="E44" s="116">
        <f>Revenue!E10</f>
        <v>15540</v>
      </c>
      <c r="F44" s="116">
        <f>Revenue!F10</f>
        <v>25111</v>
      </c>
      <c r="G44" s="117">
        <f>Revenue!G10</f>
        <v>37378</v>
      </c>
      <c r="H44" s="147">
        <f>H41/H45</f>
        <v>180794.19535943601</v>
      </c>
      <c r="I44" s="147">
        <f t="shared" ref="I44:L44" si="5">I41/I45</f>
        <v>207009.35368655424</v>
      </c>
      <c r="J44" s="147">
        <f t="shared" si="5"/>
        <v>225738.77140105198</v>
      </c>
      <c r="K44" s="147">
        <f t="shared" si="5"/>
        <v>310165.07190504542</v>
      </c>
      <c r="L44" s="147">
        <f t="shared" si="5"/>
        <v>331463.07350919198</v>
      </c>
    </row>
    <row r="45" spans="2:12" x14ac:dyDescent="0.2">
      <c r="B45" s="126" t="s">
        <v>331</v>
      </c>
      <c r="C45" s="95">
        <f>C41/C44</f>
        <v>6.1320386656526761E-2</v>
      </c>
      <c r="D45" s="95">
        <f t="shared" ref="D45:G45" si="6">D41/D44</f>
        <v>8.4720911117094358E-2</v>
      </c>
      <c r="E45" s="95">
        <f t="shared" si="6"/>
        <v>-0.55064350064350065</v>
      </c>
      <c r="F45" s="95">
        <f t="shared" si="6"/>
        <v>-2.6294349860811573E-2</v>
      </c>
      <c r="G45" s="96">
        <f t="shared" si="6"/>
        <v>2.1121897984901099E-2</v>
      </c>
      <c r="H45" s="172">
        <v>0.01</v>
      </c>
      <c r="I45" s="172">
        <v>0.02</v>
      </c>
      <c r="J45" s="172">
        <v>4.2000000000000003E-2</v>
      </c>
      <c r="K45" s="172">
        <v>7.0000000000000007E-2</v>
      </c>
      <c r="L45" s="172">
        <v>0.15</v>
      </c>
    </row>
    <row r="46" spans="2:12" x14ac:dyDescent="0.2">
      <c r="B46" s="126" t="s">
        <v>332</v>
      </c>
      <c r="C46" s="141"/>
      <c r="D46" s="95">
        <f>D41/C41-1</f>
        <v>0.53385982013213984</v>
      </c>
      <c r="E46" s="95">
        <f t="shared" ref="E46:L47" si="7">E41/D41-1</f>
        <v>-4.2837706866929555</v>
      </c>
      <c r="F46" s="95">
        <f t="shared" si="7"/>
        <v>-0.92283774461203238</v>
      </c>
      <c r="G46" s="96">
        <f t="shared" si="7"/>
        <v>-2.1957008974364935</v>
      </c>
      <c r="H46" s="173">
        <f t="shared" si="7"/>
        <v>1.29</v>
      </c>
      <c r="I46" s="173">
        <f t="shared" si="7"/>
        <v>1.2899999999999996</v>
      </c>
      <c r="J46" s="173">
        <f t="shared" si="7"/>
        <v>1.29</v>
      </c>
      <c r="K46" s="173">
        <f t="shared" si="7"/>
        <v>1.29</v>
      </c>
      <c r="L46" s="173">
        <f t="shared" si="7"/>
        <v>1.29</v>
      </c>
    </row>
    <row r="47" spans="2:12" x14ac:dyDescent="0.2">
      <c r="B47" s="126" t="s">
        <v>230</v>
      </c>
      <c r="C47" s="141"/>
      <c r="D47" s="95">
        <f>D42/C42-1</f>
        <v>0.54416679929969769</v>
      </c>
      <c r="E47" s="95">
        <f t="shared" si="7"/>
        <v>-1.5921459492888066</v>
      </c>
      <c r="F47" s="95">
        <f t="shared" si="7"/>
        <v>-1.2269799825935597</v>
      </c>
      <c r="G47" s="96">
        <f t="shared" si="7"/>
        <v>6.492331288343558</v>
      </c>
      <c r="H47" s="173">
        <f t="shared" si="7"/>
        <v>-0.25979858604120354</v>
      </c>
      <c r="I47" s="173">
        <f t="shared" si="7"/>
        <v>1.2899999999999996</v>
      </c>
      <c r="J47" s="173">
        <f t="shared" si="7"/>
        <v>1.29</v>
      </c>
      <c r="K47" s="173">
        <f t="shared" si="7"/>
        <v>1.29</v>
      </c>
      <c r="L47" s="173">
        <f t="shared" si="7"/>
        <v>1.29</v>
      </c>
    </row>
    <row r="48" spans="2:12" x14ac:dyDescent="0.2">
      <c r="B48" s="126" t="s">
        <v>231</v>
      </c>
      <c r="C48" s="141"/>
      <c r="D48" s="95">
        <f>D44/C44-1</f>
        <v>0.11019671539433307</v>
      </c>
      <c r="E48" s="95">
        <f t="shared" ref="E48:L48" si="8">E44/D44-1</f>
        <v>-0.4947655894401457</v>
      </c>
      <c r="F48" s="95">
        <f t="shared" si="8"/>
        <v>0.61589446589446584</v>
      </c>
      <c r="G48" s="96">
        <f t="shared" si="8"/>
        <v>0.48851101111066852</v>
      </c>
      <c r="H48" s="173">
        <f t="shared" si="8"/>
        <v>3.8369146385423516</v>
      </c>
      <c r="I48" s="173">
        <f t="shared" si="8"/>
        <v>0.14500000000000002</v>
      </c>
      <c r="J48" s="173">
        <f t="shared" si="8"/>
        <v>9.0476190476190377E-2</v>
      </c>
      <c r="K48" s="173">
        <f t="shared" si="8"/>
        <v>0.37399999999999989</v>
      </c>
      <c r="L48" s="173">
        <f t="shared" si="8"/>
        <v>6.8666666666667098E-2</v>
      </c>
    </row>
    <row r="49" spans="2:12" x14ac:dyDescent="0.2">
      <c r="B49" s="126" t="s">
        <v>232</v>
      </c>
      <c r="C49" s="95">
        <f>C42/C44</f>
        <v>0.22678216928352282</v>
      </c>
      <c r="D49" s="95">
        <f t="shared" ref="D49:L49" si="9">D42/D44</f>
        <v>0.31543013199817932</v>
      </c>
      <c r="E49" s="95">
        <f t="shared" si="9"/>
        <v>-0.36969111969111967</v>
      </c>
      <c r="F49" s="95">
        <f t="shared" si="9"/>
        <v>5.192943331607662E-2</v>
      </c>
      <c r="G49" s="96">
        <f t="shared" si="9"/>
        <v>0.26138370164267749</v>
      </c>
      <c r="H49" s="173">
        <f t="shared" si="9"/>
        <v>0.04</v>
      </c>
      <c r="I49" s="173">
        <f t="shared" si="9"/>
        <v>0.08</v>
      </c>
      <c r="J49" s="173">
        <f t="shared" si="9"/>
        <v>0.16800000000000001</v>
      </c>
      <c r="K49" s="173">
        <f t="shared" si="9"/>
        <v>0.28000000000000003</v>
      </c>
      <c r="L49" s="173">
        <f t="shared" si="9"/>
        <v>0.6</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2026-09-22T18:26:05Z</dcterms:modified>
</cp:coreProperties>
</file>