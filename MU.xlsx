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EA3CA6C-C6B1-BB42-AB77-D32FD8B7461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6" l="1"/>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<sst xmlns="http://schemas.openxmlformats.org/spreadsheetml/2006/main" count="784" uniqueCount="435">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</sst>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xf numFmtId="38" fontId="9" fillId="19"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https://www.bing.com/financeapi/forcetrigger?t=a1y4oc&amp;q=XNAS%3aMU&amp;form=skydnc</v>
    <v>Learn more on Bing</v>
  </rv>
  <rv s="1">
    <v>0</v>
    <v>MICRON TECHNOLOGY, INC. (XNAS:MU)</v>
    <v>2</v>
    <v>3</v>
    <v>Finance</v>
    <v>4</v>
    <v>en-US</v>
    <v>a1y4oc</v>
    <v>268435456</v>
    <v>1</v>
    <v>Powered by Refinitiv</v>
    <v>1255</v>
    <v>179.61</v>
    <v>2.3384</v>
    <v>-11.89</v>
    <v>-1.1062000000000001E-2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1074.8800000000001</v>
    <v>Semiconductors &amp; Semiconductor Equipment</v>
    <v>Stock</v>
    <v>46300.76354130781</v>
    <v>0</v>
    <v>1055.56</v>
    <v>1200544759000</v>
    <v>MICRON TECHNOLOGY, INC.</v>
    <v>MICRON TECHNOLOGY, INC.</v>
    <v>1069.57</v>
    <v>14.324</v>
    <v>1074.8900000000001</v>
    <v>1063</v>
    <v>1129393000</v>
    <v>MU</v>
    <v>MICRON TECHNOLOGY, INC. (XNAS:MU)</v>
    <v>11564983</v>
    <v>25849641</v>
    <v>1984</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53.42</v>
    <v>39.47</v>
    <v>0.4</v>
    <v>7.6380000000000007E-3</v>
    <v>US</v>
    <v>52.98</v>
    <v>Index</v>
    <v>6</v>
    <v>51.57</v>
    <v>10 Y TSY YLD NDX</v>
    <v>52.16</v>
    <v>52.37</v>
    <v>52.77</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topLeftCell="A18"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287</v>
      </c>
      <c r="F2" s="239"/>
      <c r="H2" s="238" t="s">
        <v>325</v>
      </c>
      <c r="I2" s="239"/>
    </row>
    <row r="3" spans="2:9" x14ac:dyDescent="0.2">
      <c r="B3" s="185" t="s">
        <v>11</v>
      </c>
      <c r="C3" s="217" t="e" vm="1">
        <v>#VALUE!</v>
      </c>
      <c r="D3" s="2"/>
      <c r="E3" s="185" t="s">
        <v>239</v>
      </c>
      <c r="F3" s="187">
        <f ca="1">Statement!AC153</f>
        <v>1218198</v>
      </c>
      <c r="H3" s="185" t="str">
        <f>'AVG target price'!B5</f>
        <v>DCF price</v>
      </c>
      <c r="I3" s="211">
        <f ca="1">'AVG target price'!C5</f>
        <v>916.46425006850006</v>
      </c>
    </row>
    <row r="4" spans="2:9" x14ac:dyDescent="0.2">
      <c r="B4" s="185" t="s">
        <v>0</v>
      </c>
      <c r="C4" s="189" t="str" cm="1">
        <f t="array" aca="1" ref="C4" ca="1">_FV(C3,"Ticker symbol",TRUE)</f>
        <v>MU</v>
      </c>
      <c r="E4" s="186" t="s">
        <v>188</v>
      </c>
      <c r="F4" s="188">
        <f ca="1">Statement!AC154</f>
        <v>1149924</v>
      </c>
      <c r="H4" s="185" t="str">
        <f>'AVG target price'!B6</f>
        <v>EV/EBIT price</v>
      </c>
      <c r="I4" s="211">
        <f ca="1">'AVG target price'!C6</f>
        <v>1272.0185514183597</v>
      </c>
    </row>
    <row r="5" spans="2:9" x14ac:dyDescent="0.2">
      <c r="B5" s="185" t="s">
        <v>1</v>
      </c>
      <c r="C5" s="208" cm="1">
        <f t="array" aca="1" ref="C5" ca="1">_FV(C3,"Price",TRUE)</f>
        <v>1063</v>
      </c>
      <c r="E5" s="185" t="s">
        <v>243</v>
      </c>
      <c r="F5" s="190">
        <f>Statement!AC26</f>
        <v>74.210000000000008</v>
      </c>
      <c r="H5" s="185" t="str">
        <f>'AVG target price'!B7</f>
        <v>PS price</v>
      </c>
      <c r="I5" s="211">
        <f ca="1">'AVG target price'!C7</f>
        <v>562.93649354966783</v>
      </c>
    </row>
    <row r="6" spans="2:9" x14ac:dyDescent="0.2">
      <c r="B6" s="185" t="s">
        <v>2</v>
      </c>
      <c r="C6" s="208" t="e" cm="1" vm="2">
        <f t="array" ref="C6">_FV(C3,"Price (Extended hours)",TRUE)</f>
        <v>#VALUE!</v>
      </c>
      <c r="E6" s="185" t="s">
        <v>237</v>
      </c>
      <c r="F6" s="190">
        <f ca="1">Statement!AC150</f>
        <v>14.324215065355071</v>
      </c>
      <c r="H6" s="185" t="str">
        <f>'AVG target price'!B8</f>
        <v>EV/FCFF price</v>
      </c>
      <c r="I6" s="211">
        <f ca="1">'AVG target price'!C8</f>
        <v>1716.820188995074</v>
      </c>
    </row>
    <row r="7" spans="2:9" x14ac:dyDescent="0.2">
      <c r="B7" s="185" t="s">
        <v>3</v>
      </c>
      <c r="C7" s="6" cm="1">
        <f t="array" aca="1" ref="C7" ca="1">_FV(C3,"Change")</f>
        <v>-11.89</v>
      </c>
      <c r="E7" s="186" t="s">
        <v>201</v>
      </c>
      <c r="F7" s="191">
        <f ca="1">Statement!AC151</f>
        <v>9.1225110370303639</v>
      </c>
      <c r="H7" s="185" t="str">
        <f>'AVG target price'!B9</f>
        <v>EV/Sales price</v>
      </c>
      <c r="I7" s="211">
        <f ca="1">'AVG target price'!C9</f>
        <v>906.24601132593023</v>
      </c>
    </row>
    <row r="8" spans="2:9" x14ac:dyDescent="0.2">
      <c r="B8" s="185" t="s">
        <v>4</v>
      </c>
      <c r="C8" s="6" t="e" cm="1" vm="3">
        <f t="array" ref="C8">_FV(C3,"Change (extended hours)",TRUE)</f>
        <v>#VALUE!</v>
      </c>
      <c r="E8" s="185" t="s">
        <v>265</v>
      </c>
      <c r="F8" s="192">
        <f ca="1">Statement!AC161</f>
        <v>4.7307580541094303E-2</v>
      </c>
      <c r="H8" s="184" t="str">
        <f>'AVG target price'!B10</f>
        <v>AVG price</v>
      </c>
      <c r="I8" s="212">
        <f ca="1">'AVG target price'!C10</f>
        <v>1074.8970990715065</v>
      </c>
    </row>
    <row r="9" spans="2:9" x14ac:dyDescent="0.2">
      <c r="B9" s="185" t="s">
        <v>5</v>
      </c>
      <c r="C9" s="73" cm="1">
        <f t="array" aca="1" ref="C9" ca="1">_FV(C3,"Change (%)",TRUE)</f>
        <v>-1.1062000000000001E-2</v>
      </c>
      <c r="E9" s="185" t="s">
        <v>288</v>
      </c>
      <c r="F9" s="192">
        <f ca="1">Statement!AC162</f>
        <v>6.9811853245531519E-2</v>
      </c>
      <c r="H9" s="184" t="str">
        <f>'AVG target price'!B12</f>
        <v>Upside/Downside</v>
      </c>
      <c r="I9" s="213">
        <f ca="1">'AVG target price'!C12</f>
        <v>1.119200288946994E-2</v>
      </c>
    </row>
    <row r="10" spans="2:9" x14ac:dyDescent="0.2">
      <c r="B10" s="185" t="s">
        <v>6</v>
      </c>
      <c r="C10" s="73" t="e" cm="1" vm="4">
        <f t="array" ref="C10">_FV(C3,"Change % (extended hours)",TRUE)</f>
        <v>#VALUE!</v>
      </c>
      <c r="E10" s="185" t="s">
        <v>293</v>
      </c>
      <c r="F10" s="192">
        <f ca="1">Statement!AC164</f>
        <v>5.3357500176490192E-4</v>
      </c>
    </row>
    <row r="11" spans="2:9" x14ac:dyDescent="0.2">
      <c r="B11" s="185" t="s">
        <v>7</v>
      </c>
      <c r="C11" s="209" cm="1">
        <f t="array" aca="1" ref="C11" ca="1">_FV(C3,"52 week high",TRUE)</f>
        <v>1255</v>
      </c>
      <c r="E11" s="186" t="s">
        <v>289</v>
      </c>
      <c r="F11" s="193">
        <f ca="1">Statement!AC163</f>
        <v>5.3151458137347136E-4</v>
      </c>
      <c r="H11" s="184" t="s">
        <v>367</v>
      </c>
      <c r="I11" s="212">
        <f ca="1">DDM!C26</f>
        <v>5.1211737683401291</v>
      </c>
    </row>
    <row r="12" spans="2:9" x14ac:dyDescent="0.2">
      <c r="B12" s="185" t="s">
        <v>8</v>
      </c>
      <c r="C12" s="209" cm="1">
        <f t="array" aca="1" ref="C12" ca="1">_FV(C3,"52 week low",TRUE)</f>
        <v>179.61</v>
      </c>
      <c r="E12" s="185" t="s">
        <v>102</v>
      </c>
      <c r="F12" s="192">
        <f>Statement!AC123</f>
        <v>0.43376317079147264</v>
      </c>
    </row>
    <row r="13" spans="2:9" x14ac:dyDescent="0.2">
      <c r="B13" s="185" t="s">
        <v>9</v>
      </c>
      <c r="C13" s="209" cm="1">
        <f t="array" aca="1" ref="C13" ca="1">_FV(C3,"Beta")</f>
        <v>2.3384</v>
      </c>
      <c r="E13" s="185" t="s">
        <v>104</v>
      </c>
      <c r="F13" s="192">
        <f>Statement!AC125</f>
        <v>0.61403546806573295</v>
      </c>
      <c r="H13" s="184" t="s">
        <v>431</v>
      </c>
      <c r="I13" s="213">
        <f>'Reverse DCF'!C17</f>
        <v>0.31</v>
      </c>
    </row>
    <row r="14" spans="2:9" x14ac:dyDescent="0.2">
      <c r="B14" s="186" t="s">
        <v>10</v>
      </c>
      <c r="C14" s="210" cm="1">
        <f t="array" aca="1" ref="C14" ca="1">_FV(C3,"Volume average",TRUE)</f>
        <v>25849641</v>
      </c>
      <c r="E14" s="186" t="s">
        <v>105</v>
      </c>
      <c r="F14" s="193">
        <f>Statement!AC140</f>
        <v>1.2071781950589597</v>
      </c>
    </row>
    <row r="15" spans="2:9" x14ac:dyDescent="0.2">
      <c r="E15" s="185" t="s">
        <v>290</v>
      </c>
      <c r="F15" s="192">
        <f ca="1">Statement!AC176</f>
        <v>5.6045076416149101E-2</v>
      </c>
    </row>
    <row r="16" spans="2:9" x14ac:dyDescent="0.2">
      <c r="E16" s="186" t="s">
        <v>295</v>
      </c>
      <c r="F16" s="191">
        <f>Statement!AC175</f>
        <v>60.472984942426926</v>
      </c>
    </row>
    <row r="17" spans="2:9" x14ac:dyDescent="0.2">
      <c r="B17" s="240" t="s">
        <v>90</v>
      </c>
      <c r="C17" s="240"/>
      <c r="E17" s="184" t="s">
        <v>296</v>
      </c>
      <c r="F17" s="194">
        <f>Statement!AC171</f>
        <v>2.617801047120419E-3</v>
      </c>
    </row>
    <row r="18" spans="2:9" x14ac:dyDescent="0.2">
      <c r="B18" s="184" t="s">
        <v>12</v>
      </c>
      <c r="C18" s="69" t="s">
        <v>368</v>
      </c>
      <c r="E18" s="185" t="s">
        <v>297</v>
      </c>
      <c r="F18" s="190">
        <f>Statement!AC144</f>
        <v>-74.647977446327559</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0" t="s">
        <v>107</v>
      </c>
      <c r="C25" s="240"/>
      <c r="E25" s="238" t="s">
        <v>340</v>
      </c>
      <c r="F25" s="239"/>
    </row>
    <row r="26" spans="2:9" x14ac:dyDescent="0.2">
      <c r="B26" s="184" t="s">
        <v>108</v>
      </c>
      <c r="C26" s="170">
        <v>0.21</v>
      </c>
      <c r="E26" s="185" t="e" vm="5">
        <v>#VALUE!</v>
      </c>
      <c r="F26" s="219" cm="1">
        <f t="array" aca="1" ref="F26" ca="1">_FV(E26,"Price")</f>
        <v>52.77</v>
      </c>
    </row>
    <row r="27" spans="2:9" x14ac:dyDescent="0.2">
      <c r="B27" s="184" t="s">
        <v>172</v>
      </c>
      <c r="C27" s="221">
        <v>5.7000000000000002E-2</v>
      </c>
      <c r="E27" s="186" t="s">
        <v>341</v>
      </c>
      <c r="F27" s="220">
        <f ca="1">F26/1000</f>
        <v>5.2770000000000004E-2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397</v>
      </c>
      <c r="D48" s="41"/>
      <c r="E48" s="41" t="s">
        <v>85</v>
      </c>
    </row>
    <row r="49" spans="2:5" x14ac:dyDescent="0.2">
      <c r="B49" s="1" t="s">
        <v>398</v>
      </c>
      <c r="C49" s="1" t="s">
        <v>399</v>
      </c>
    </row>
    <row r="50" spans="2:5" x14ac:dyDescent="0.2">
      <c r="B50" s="1" t="s">
        <v>398</v>
      </c>
      <c r="C50" s="1" t="s">
        <v>400</v>
      </c>
    </row>
    <row r="51" spans="2:5" x14ac:dyDescent="0.2">
      <c r="C51" s="1" t="s">
        <v>401</v>
      </c>
    </row>
    <row r="52" spans="2:5" x14ac:dyDescent="0.2">
      <c r="C52" s="1" t="s">
        <v>402</v>
      </c>
    </row>
    <row r="53" spans="2:5" x14ac:dyDescent="0.2">
      <c r="C53" s="1" t="s">
        <v>403</v>
      </c>
    </row>
    <row r="54" spans="2:5" x14ac:dyDescent="0.2">
      <c r="C54" s="1" t="s">
        <v>404</v>
      </c>
    </row>
    <row r="55" spans="2:5" x14ac:dyDescent="0.2">
      <c r="B55" s="1" t="s">
        <v>398</v>
      </c>
      <c r="C55" s="1" t="s">
        <v>405</v>
      </c>
    </row>
    <row r="56" spans="2:5" x14ac:dyDescent="0.2">
      <c r="B56" s="1" t="s">
        <v>398</v>
      </c>
      <c r="C56" s="1" t="s">
        <v>406</v>
      </c>
    </row>
    <row r="57" spans="2:5" x14ac:dyDescent="0.2">
      <c r="B57" s="1" t="s">
        <v>398</v>
      </c>
      <c r="C57" s="1" t="s">
        <v>407</v>
      </c>
    </row>
    <row r="58" spans="2:5" x14ac:dyDescent="0.2">
      <c r="B58" s="1" t="s">
        <v>398</v>
      </c>
      <c r="C58" s="1" t="s">
        <v>408</v>
      </c>
    </row>
    <row r="59" spans="2:5" x14ac:dyDescent="0.2">
      <c r="B59" s="1" t="s">
        <v>398</v>
      </c>
      <c r="C59" s="1" t="s">
        <v>409</v>
      </c>
    </row>
    <row r="60" spans="2:5" x14ac:dyDescent="0.2">
      <c r="B60" s="1" t="s">
        <v>398</v>
      </c>
      <c r="C60" s="1" t="s">
        <v>410</v>
      </c>
    </row>
    <row r="62" spans="2:5" x14ac:dyDescent="0.2">
      <c r="B62" s="41" t="s">
        <v>339</v>
      </c>
      <c r="C62" s="41" t="s">
        <v>420</v>
      </c>
      <c r="D62" s="41"/>
      <c r="E62" s="41" t="s">
        <v>89</v>
      </c>
    </row>
    <row r="63" spans="2:5" x14ac:dyDescent="0.2">
      <c r="B63" s="1" t="s">
        <v>398</v>
      </c>
      <c r="C63" s="1" t="s">
        <v>421</v>
      </c>
    </row>
    <row r="66" spans="2:8" ht="5" customHeight="1" x14ac:dyDescent="0.2">
      <c r="B66" s="136"/>
      <c r="C66" s="136"/>
      <c r="D66" s="136"/>
      <c r="E66" s="136"/>
      <c r="F66" s="136"/>
      <c r="G66" s="136"/>
      <c r="H66" s="136"/>
    </row>
    <row r="69" spans="2:8" x14ac:dyDescent="0.2">
      <c r="B69" s="136" t="s">
        <v>109</v>
      </c>
      <c r="C69" s="136"/>
      <c r="D69" s="136"/>
      <c r="E69" s="136"/>
      <c r="F69" s="136"/>
      <c r="G69" s="136"/>
      <c r="H69" s="136"/>
    </row>
    <row r="71" spans="2:8" x14ac:dyDescent="0.2">
      <c r="B71" s="41" t="s">
        <v>339</v>
      </c>
      <c r="C71" s="41" t="s">
        <v>326</v>
      </c>
      <c r="D71" s="41"/>
      <c r="E71" s="41" t="s">
        <v>327</v>
      </c>
    </row>
    <row r="76" spans="2:8" ht="5" customHeight="1" x14ac:dyDescent="0.2">
      <c r="B76" s="136"/>
      <c r="C76" s="136"/>
      <c r="D76" s="136"/>
      <c r="E76" s="136"/>
      <c r="F76" s="136"/>
      <c r="G76" s="136"/>
      <c r="H76"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X124" activePane="bottomRight" state="frozen"/>
      <selection pane="topRight" activeCell="C1" sqref="C1"/>
      <selection pane="bottomLeft" activeCell="A4" sqref="A4"/>
      <selection pane="bottomRight" activeCell="Q196" sqref="Q19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Z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U11" si="7">SUM(T8:T10)</f>
        <v>1174</v>
      </c>
      <c r="U11" s="24">
        <f t="shared" ref="U11:V11" si="8">SUM(U8:U10)</f>
        <v>1190</v>
      </c>
      <c r="V11" s="24">
        <f t="shared" ref="V11:W11" si="9">SUM(V8:V10)</f>
        <v>1339</v>
      </c>
      <c r="W11" s="24">
        <f t="shared" ref="W11:X11" si="10">SUM(W8:W10)</f>
        <v>1400</v>
      </c>
      <c r="X11" s="24">
        <f t="shared" ref="X11:Z11" si="11">SUM(X8:X10)</f>
        <v>1510</v>
      </c>
      <c r="Y11" s="24">
        <f t="shared" si="11"/>
        <v>1620</v>
      </c>
      <c r="Z11" s="24">
        <f t="shared" si="11"/>
        <v>1738</v>
      </c>
      <c r="AA11" s="24">
        <f t="shared" ref="Z11: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T20: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T22: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L23/L$85</f>
        <v>5.23</v>
      </c>
      <c r="M24" s="65">
        <f>M23/M$85</f>
        <v>7.81</v>
      </c>
      <c r="N24" s="65">
        <f>N23/N$85</f>
        <v>-5.34</v>
      </c>
      <c r="O24" s="65">
        <f>O23/O$85</f>
        <v>0.7</v>
      </c>
      <c r="P24" s="65">
        <f>P23/P$85</f>
        <v>7.65</v>
      </c>
      <c r="Q24" s="65">
        <f>Q23/Q$85</f>
        <v>75.38</v>
      </c>
      <c r="T24" s="65">
        <f t="shared" ref="T24:Z24" si="21">T23/T$85</f>
        <v>1.68</v>
      </c>
      <c r="U24" s="65">
        <f t="shared" si="21"/>
        <v>1.42</v>
      </c>
      <c r="V24" s="65">
        <f t="shared" si="21"/>
        <v>1.69</v>
      </c>
      <c r="W24" s="65">
        <f t="shared" si="21"/>
        <v>2.86</v>
      </c>
      <c r="X24" s="65">
        <f t="shared" si="21"/>
        <v>4.66</v>
      </c>
      <c r="Y24" s="65">
        <f t="shared" si="21"/>
        <v>12.25</v>
      </c>
      <c r="Z24" s="65">
        <f t="shared" si="21"/>
        <v>25.03</v>
      </c>
      <c r="AA24" s="65">
        <f t="shared" ref="T24:AA24" si="22">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L25/L$85</f>
        <v>5.14</v>
      </c>
      <c r="M26" s="66">
        <f>M25/M$85</f>
        <v>7.75</v>
      </c>
      <c r="N26" s="66">
        <f>N25/N$85</f>
        <v>-5.34</v>
      </c>
      <c r="O26" s="66">
        <f>O25/O$85</f>
        <v>0.7</v>
      </c>
      <c r="P26" s="66">
        <f>P25/P$85</f>
        <v>7.59</v>
      </c>
      <c r="Q26" s="66">
        <f>Q25/Q$85</f>
        <v>74.33</v>
      </c>
      <c r="R26" s="1"/>
      <c r="S26" s="1"/>
      <c r="T26" s="66">
        <f t="shared" ref="T26:Z26" si="23">T25/T$85</f>
        <v>1.67</v>
      </c>
      <c r="U26" s="66">
        <f t="shared" si="23"/>
        <v>1.41</v>
      </c>
      <c r="V26" s="66">
        <f t="shared" si="23"/>
        <v>1.68</v>
      </c>
      <c r="W26" s="66">
        <f t="shared" si="23"/>
        <v>2.83</v>
      </c>
      <c r="X26" s="66">
        <f t="shared" si="23"/>
        <v>4.5999999999999996</v>
      </c>
      <c r="Y26" s="66">
        <f t="shared" si="23"/>
        <v>12.07</v>
      </c>
      <c r="Z26" s="66">
        <f t="shared" si="23"/>
        <v>24.67</v>
      </c>
      <c r="AA26" s="66">
        <f t="shared" ref="T26:AA26" si="24">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5">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5"/>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5"/>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5"/>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5"/>
        <v>1150</v>
      </c>
    </row>
    <row r="36" spans="1:31" s="34" customFormat="1" x14ac:dyDescent="0.2">
      <c r="A36" s="16"/>
      <c r="B36" s="32" t="s">
        <v>45</v>
      </c>
      <c r="C36" s="35"/>
      <c r="D36" s="35"/>
      <c r="E36" s="35"/>
      <c r="F36" s="35"/>
      <c r="G36" s="35"/>
      <c r="H36" s="35"/>
      <c r="I36" s="35"/>
      <c r="J36" s="35"/>
      <c r="K36" s="35"/>
      <c r="L36" s="35">
        <f t="shared" ref="L36:N36" si="26">L37-L32</f>
        <v>38942</v>
      </c>
      <c r="M36" s="35">
        <f t="shared" si="26"/>
        <v>44502</v>
      </c>
      <c r="N36" s="35">
        <f t="shared" si="26"/>
        <v>43010</v>
      </c>
      <c r="O36" s="35">
        <f>O37-O32</f>
        <v>45044</v>
      </c>
      <c r="P36" s="35">
        <f>P37-P32</f>
        <v>53957</v>
      </c>
      <c r="Q36" s="35">
        <f>Q37-Q32</f>
        <v>104818</v>
      </c>
      <c r="R36" s="1"/>
      <c r="S36" s="1"/>
      <c r="T36" s="35">
        <f t="shared" ref="T36:Z36" si="27">T37-T32</f>
        <v>46968</v>
      </c>
      <c r="U36" s="35">
        <f t="shared" si="27"/>
        <v>48364</v>
      </c>
      <c r="V36" s="35">
        <f t="shared" si="27"/>
        <v>50478</v>
      </c>
      <c r="W36" s="35">
        <f t="shared" si="27"/>
        <v>53957</v>
      </c>
      <c r="X36" s="35">
        <f t="shared" si="27"/>
        <v>56306</v>
      </c>
      <c r="Y36" s="35">
        <f t="shared" si="27"/>
        <v>60096</v>
      </c>
      <c r="Z36" s="35">
        <f t="shared" ref="Z36:AA36" si="28">Z37-Z32</f>
        <v>67375</v>
      </c>
      <c r="AA36" s="35">
        <f t="shared" si="28"/>
        <v>104818</v>
      </c>
      <c r="AB36" s="1"/>
      <c r="AC36" s="35">
        <f t="shared" si="25"/>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5"/>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5"/>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5"/>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5"/>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5"/>
        <v>4688</v>
      </c>
    </row>
    <row r="42" spans="1:31" s="34" customFormat="1" x14ac:dyDescent="0.2">
      <c r="A42" s="16"/>
      <c r="B42" s="32" t="s">
        <v>49</v>
      </c>
      <c r="C42" s="35"/>
      <c r="D42" s="35"/>
      <c r="E42" s="35"/>
      <c r="F42" s="35"/>
      <c r="G42" s="35"/>
      <c r="H42" s="35"/>
      <c r="I42" s="35"/>
      <c r="J42" s="35"/>
      <c r="K42" s="35"/>
      <c r="L42" s="35">
        <f t="shared" ref="L42:N42" si="29">L43-L40</f>
        <v>8492</v>
      </c>
      <c r="M42" s="35">
        <f t="shared" si="29"/>
        <v>8837</v>
      </c>
      <c r="N42" s="35">
        <f t="shared" si="29"/>
        <v>15369</v>
      </c>
      <c r="O42" s="35">
        <f>O43-O40</f>
        <v>15037</v>
      </c>
      <c r="P42" s="35">
        <f>P43-P40</f>
        <v>17179</v>
      </c>
      <c r="Q42" s="35">
        <f>Q43-Q40</f>
        <v>30028</v>
      </c>
      <c r="R42" s="1"/>
      <c r="S42" s="1"/>
      <c r="T42" s="35">
        <f t="shared" ref="T42:Z42" si="30">T43-T40</f>
        <v>15649</v>
      </c>
      <c r="U42" s="35">
        <f t="shared" si="30"/>
        <v>16543</v>
      </c>
      <c r="V42" s="35">
        <f t="shared" si="30"/>
        <v>17514</v>
      </c>
      <c r="W42" s="35">
        <f t="shared" si="30"/>
        <v>17179</v>
      </c>
      <c r="X42" s="35">
        <f t="shared" si="30"/>
        <v>15105</v>
      </c>
      <c r="Y42" s="35">
        <f t="shared" si="30"/>
        <v>14754</v>
      </c>
      <c r="Z42" s="35">
        <f t="shared" ref="Z42:AA42" si="31">Z43-Z40</f>
        <v>13900</v>
      </c>
      <c r="AA42" s="35">
        <f t="shared" si="31"/>
        <v>30028</v>
      </c>
      <c r="AB42" s="1"/>
      <c r="AC42" s="35">
        <f t="shared" si="25"/>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5"/>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5"/>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5"/>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5"/>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5"/>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5"/>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5"/>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5"/>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2">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2"/>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2"/>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2"/>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3">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3"/>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3"/>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3"/>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4">C5-C6-C11+C13+C14+C16-C17</f>
        <v>0</v>
      </c>
      <c r="D69" s="64">
        <f t="shared" si="34"/>
        <v>0</v>
      </c>
      <c r="E69" s="64">
        <f t="shared" si="34"/>
        <v>0</v>
      </c>
      <c r="F69" s="64">
        <f t="shared" si="34"/>
        <v>0</v>
      </c>
      <c r="G69" s="64">
        <f t="shared" si="34"/>
        <v>0</v>
      </c>
      <c r="H69" s="64">
        <f t="shared" si="34"/>
        <v>0</v>
      </c>
      <c r="I69" s="64">
        <f t="shared" si="34"/>
        <v>0</v>
      </c>
      <c r="J69" s="64">
        <f t="shared" si="34"/>
        <v>0</v>
      </c>
      <c r="K69" s="64">
        <f t="shared" si="34"/>
        <v>0</v>
      </c>
      <c r="L69" s="64">
        <f t="shared" ref="L69:P69" si="35">L5-L6-L11+L13+L14+L16-L17</f>
        <v>5824</v>
      </c>
      <c r="M69" s="64">
        <f t="shared" si="35"/>
        <v>8683</v>
      </c>
      <c r="N69" s="64">
        <f t="shared" si="35"/>
        <v>-5835</v>
      </c>
      <c r="O69" s="64">
        <f t="shared" si="35"/>
        <v>789</v>
      </c>
      <c r="P69" s="64">
        <f t="shared" si="35"/>
        <v>8530</v>
      </c>
      <c r="Q69" s="64">
        <f t="shared" si="34"/>
        <v>84910</v>
      </c>
      <c r="T69" s="64">
        <f t="shared" ref="T69:Z69" si="36">T5-T6-T11+T13+T14+T16-T17</f>
        <v>1869</v>
      </c>
      <c r="U69" s="64">
        <f t="shared" si="36"/>
        <v>1581</v>
      </c>
      <c r="V69" s="64">
        <f t="shared" si="36"/>
        <v>1878</v>
      </c>
      <c r="W69" s="64">
        <f t="shared" si="36"/>
        <v>3202</v>
      </c>
      <c r="X69" s="64">
        <f t="shared" si="36"/>
        <v>5232</v>
      </c>
      <c r="Y69" s="64">
        <f t="shared" si="36"/>
        <v>13789</v>
      </c>
      <c r="Z69" s="64">
        <f t="shared" si="36"/>
        <v>28234</v>
      </c>
      <c r="AA69" s="64">
        <f t="shared" ref="T69:AA69" si="37">AA5-AA6-AA11+AA13+AA14+AA16-AA17</f>
        <v>37655</v>
      </c>
      <c r="AC69" s="64">
        <f>AC5-AC6-AC11+AC13+AC14+AC16-AC17</f>
        <v>84910</v>
      </c>
    </row>
    <row r="70" spans="1:31" s="41" customFormat="1" x14ac:dyDescent="0.2">
      <c r="A70" s="16"/>
      <c r="B70" s="17" t="s">
        <v>65</v>
      </c>
      <c r="C70" s="40">
        <f t="shared" ref="C70:Q70" si="38">C18-C69</f>
        <v>0</v>
      </c>
      <c r="D70" s="40">
        <f t="shared" si="38"/>
        <v>0</v>
      </c>
      <c r="E70" s="40">
        <f t="shared" si="38"/>
        <v>0</v>
      </c>
      <c r="F70" s="40">
        <f t="shared" si="38"/>
        <v>0</v>
      </c>
      <c r="G70" s="40">
        <f t="shared" si="38"/>
        <v>0</v>
      </c>
      <c r="H70" s="40">
        <f t="shared" si="38"/>
        <v>0</v>
      </c>
      <c r="I70" s="40">
        <f t="shared" si="38"/>
        <v>0</v>
      </c>
      <c r="J70" s="40">
        <f t="shared" si="38"/>
        <v>0</v>
      </c>
      <c r="K70" s="40">
        <f t="shared" si="38"/>
        <v>0</v>
      </c>
      <c r="L70" s="40">
        <f t="shared" ref="L70:P70" si="39">L18-L69</f>
        <v>37</v>
      </c>
      <c r="M70" s="40">
        <f t="shared" si="39"/>
        <v>4</v>
      </c>
      <c r="N70" s="40">
        <f t="shared" si="39"/>
        <v>2</v>
      </c>
      <c r="O70" s="40">
        <f t="shared" si="39"/>
        <v>-11</v>
      </c>
      <c r="P70" s="40">
        <f t="shared" si="39"/>
        <v>9</v>
      </c>
      <c r="Q70" s="40">
        <f t="shared" si="38"/>
        <v>59</v>
      </c>
      <c r="R70" s="1"/>
      <c r="S70" s="1"/>
      <c r="T70" s="40">
        <f t="shared" ref="T70:Z70" si="40">T18-T69</f>
        <v>1</v>
      </c>
      <c r="U70" s="40">
        <f t="shared" si="40"/>
        <v>2</v>
      </c>
      <c r="V70" s="40">
        <f t="shared" si="40"/>
        <v>7</v>
      </c>
      <c r="W70" s="40">
        <f t="shared" si="40"/>
        <v>-1</v>
      </c>
      <c r="X70" s="40">
        <f t="shared" si="40"/>
        <v>8</v>
      </c>
      <c r="Y70" s="40">
        <f t="shared" si="40"/>
        <v>-4</v>
      </c>
      <c r="Z70" s="40">
        <f t="shared" ref="Z70:AA70" si="41">Z18-Z69</f>
        <v>9</v>
      </c>
      <c r="AA70" s="40">
        <f t="shared" si="41"/>
        <v>46</v>
      </c>
      <c r="AB70" s="16"/>
      <c r="AC70" s="40">
        <f>AC18-AC69</f>
        <v>59</v>
      </c>
      <c r="AD70" s="1"/>
      <c r="AE70" s="1"/>
    </row>
    <row r="71" spans="1:31" s="41" customFormat="1" x14ac:dyDescent="0.2">
      <c r="A71" s="16"/>
      <c r="B71" s="17" t="s">
        <v>66</v>
      </c>
      <c r="C71" s="42">
        <f t="shared" ref="C71:Q71" si="42">C37-(C43+C112)</f>
        <v>0</v>
      </c>
      <c r="D71" s="42">
        <f t="shared" si="42"/>
        <v>0</v>
      </c>
      <c r="E71" s="42">
        <f t="shared" si="42"/>
        <v>0</v>
      </c>
      <c r="F71" s="42">
        <f t="shared" si="42"/>
        <v>0</v>
      </c>
      <c r="G71" s="42">
        <f t="shared" si="42"/>
        <v>0</v>
      </c>
      <c r="H71" s="42">
        <f t="shared" si="42"/>
        <v>0</v>
      </c>
      <c r="I71" s="42">
        <f t="shared" si="42"/>
        <v>0</v>
      </c>
      <c r="J71" s="42">
        <f t="shared" si="42"/>
        <v>0</v>
      </c>
      <c r="K71" s="42">
        <f t="shared" si="42"/>
        <v>0</v>
      </c>
      <c r="L71" s="42">
        <f t="shared" ref="L71:P71" si="43">L37-(L43+L112)</f>
        <v>0</v>
      </c>
      <c r="M71" s="42">
        <f t="shared" si="43"/>
        <v>0</v>
      </c>
      <c r="N71" s="42">
        <f t="shared" si="43"/>
        <v>0</v>
      </c>
      <c r="O71" s="42">
        <f t="shared" si="43"/>
        <v>0</v>
      </c>
      <c r="P71" s="42">
        <f t="shared" si="43"/>
        <v>0</v>
      </c>
      <c r="Q71" s="42">
        <f t="shared" si="42"/>
        <v>0</v>
      </c>
      <c r="R71" s="1"/>
      <c r="S71" s="1"/>
      <c r="T71" s="42">
        <f t="shared" ref="T71:Z71" si="44">T37-(T43+T112)</f>
        <v>0</v>
      </c>
      <c r="U71" s="42">
        <f t="shared" si="44"/>
        <v>0</v>
      </c>
      <c r="V71" s="42">
        <f t="shared" si="44"/>
        <v>0</v>
      </c>
      <c r="W71" s="42">
        <f t="shared" si="44"/>
        <v>0</v>
      </c>
      <c r="X71" s="42">
        <f t="shared" si="44"/>
        <v>0</v>
      </c>
      <c r="Y71" s="42">
        <f t="shared" si="44"/>
        <v>0</v>
      </c>
      <c r="Z71" s="42">
        <f t="shared" si="44"/>
        <v>0</v>
      </c>
      <c r="AA71" s="42">
        <f t="shared" ref="T71:AA71" si="45">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56">
        <v>1129</v>
      </c>
      <c r="T74" s="21">
        <v>1114</v>
      </c>
      <c r="U74" s="21">
        <v>1118</v>
      </c>
      <c r="V74" s="21">
        <v>1119</v>
      </c>
      <c r="W74" s="21">
        <v>1122</v>
      </c>
      <c r="X74" s="21">
        <v>1126</v>
      </c>
      <c r="Y74" s="21">
        <v>1128</v>
      </c>
      <c r="Z74" s="21">
        <v>1129</v>
      </c>
      <c r="AA74" s="256">
        <v>1129</v>
      </c>
      <c r="AC74" s="24">
        <f>AA74</f>
        <v>1129</v>
      </c>
    </row>
    <row r="75" spans="1:31" x14ac:dyDescent="0.2">
      <c r="B75" s="20" t="s">
        <v>69</v>
      </c>
      <c r="C75" s="25"/>
      <c r="D75" s="25"/>
      <c r="E75" s="25"/>
      <c r="F75" s="25"/>
      <c r="G75" s="25"/>
      <c r="H75" s="25"/>
      <c r="I75" s="25"/>
      <c r="J75" s="25"/>
      <c r="K75" s="25"/>
      <c r="L75" s="25">
        <f t="shared" ref="L75:P75" si="46">L74*L85</f>
        <v>1119</v>
      </c>
      <c r="M75" s="25">
        <f t="shared" si="46"/>
        <v>1087</v>
      </c>
      <c r="N75" s="25">
        <f t="shared" si="46"/>
        <v>1098</v>
      </c>
      <c r="O75" s="25">
        <f t="shared" si="46"/>
        <v>1109</v>
      </c>
      <c r="P75" s="25">
        <f t="shared" si="46"/>
        <v>1122</v>
      </c>
      <c r="Q75" s="25">
        <f t="shared" ref="M75:Q75" si="47">Q74*Q85</f>
        <v>1129</v>
      </c>
      <c r="T75" s="25">
        <f t="shared" ref="T75:U75" si="48">T74*T85</f>
        <v>1114</v>
      </c>
      <c r="U75" s="25">
        <f t="shared" ref="U75:V75" si="49">U74*U85</f>
        <v>1118</v>
      </c>
      <c r="V75" s="25">
        <f t="shared" ref="V75:W75" si="50">V74*V85</f>
        <v>1119</v>
      </c>
      <c r="W75" s="25">
        <f t="shared" ref="W75:X75" si="51">W74*W85</f>
        <v>1122</v>
      </c>
      <c r="X75" s="25">
        <f t="shared" ref="X75:Z75" si="52">X74*X85</f>
        <v>1126</v>
      </c>
      <c r="Y75" s="25">
        <f t="shared" si="52"/>
        <v>1128</v>
      </c>
      <c r="Z75" s="25">
        <f t="shared" si="52"/>
        <v>1129</v>
      </c>
      <c r="AA75" s="25">
        <f t="shared" ref="Z75:AA75" si="53">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56">
        <v>9</v>
      </c>
      <c r="T76" s="21">
        <v>11</v>
      </c>
      <c r="U76" s="21">
        <v>8</v>
      </c>
      <c r="V76" s="21">
        <v>7</v>
      </c>
      <c r="W76" s="21">
        <v>9</v>
      </c>
      <c r="X76" s="21">
        <v>13</v>
      </c>
      <c r="Y76" s="21">
        <v>16</v>
      </c>
      <c r="Z76" s="21">
        <v>17</v>
      </c>
      <c r="AA76" s="256">
        <v>17</v>
      </c>
      <c r="AC76" s="21">
        <f>AA76</f>
        <v>17</v>
      </c>
    </row>
    <row r="77" spans="1:31" x14ac:dyDescent="0.2">
      <c r="B77" s="20" t="s">
        <v>235</v>
      </c>
      <c r="C77" s="25"/>
      <c r="D77" s="25"/>
      <c r="E77" s="25"/>
      <c r="F77" s="25"/>
      <c r="G77" s="25"/>
      <c r="H77" s="25"/>
      <c r="I77" s="25"/>
      <c r="J77" s="25"/>
      <c r="K77" s="25"/>
      <c r="L77" s="25">
        <f t="shared" ref="L77:O77" si="54">L76*L85</f>
        <v>21</v>
      </c>
      <c r="M77" s="25">
        <f t="shared" si="54"/>
        <v>10</v>
      </c>
      <c r="N77" s="25">
        <f t="shared" si="54"/>
        <v>0</v>
      </c>
      <c r="O77" s="25">
        <f t="shared" si="54"/>
        <v>13</v>
      </c>
      <c r="P77" s="25">
        <f>P76*P85</f>
        <v>9</v>
      </c>
      <c r="Q77" s="25">
        <f>Q76*Q85</f>
        <v>9</v>
      </c>
      <c r="T77" s="25">
        <f t="shared" ref="T77:Z77" si="55">T76*T85</f>
        <v>11</v>
      </c>
      <c r="U77" s="25">
        <f t="shared" si="55"/>
        <v>8</v>
      </c>
      <c r="V77" s="25">
        <f t="shared" si="55"/>
        <v>7</v>
      </c>
      <c r="W77" s="25">
        <f t="shared" si="55"/>
        <v>9</v>
      </c>
      <c r="X77" s="25">
        <f t="shared" si="55"/>
        <v>13</v>
      </c>
      <c r="Y77" s="25">
        <f t="shared" si="55"/>
        <v>16</v>
      </c>
      <c r="Z77" s="25">
        <f t="shared" ref="Z77:AA77" si="56">Z76*Z85</f>
        <v>17</v>
      </c>
      <c r="AA77" s="25">
        <f t="shared" si="56"/>
        <v>17</v>
      </c>
      <c r="AC77" s="24">
        <f>AA77</f>
        <v>17</v>
      </c>
    </row>
    <row r="78" spans="1:31" x14ac:dyDescent="0.2">
      <c r="B78" s="20" t="s">
        <v>236</v>
      </c>
      <c r="C78" s="25"/>
      <c r="D78" s="25"/>
      <c r="E78" s="25"/>
      <c r="F78" s="25"/>
      <c r="G78" s="25"/>
      <c r="H78" s="25"/>
      <c r="I78" s="25"/>
      <c r="J78" s="25"/>
      <c r="K78" s="25"/>
      <c r="L78" s="25">
        <f t="shared" ref="L78:O78" si="57">L75+L77</f>
        <v>1140</v>
      </c>
      <c r="M78" s="25">
        <f t="shared" si="57"/>
        <v>1097</v>
      </c>
      <c r="N78" s="25">
        <f t="shared" si="57"/>
        <v>1098</v>
      </c>
      <c r="O78" s="25">
        <f t="shared" si="57"/>
        <v>1122</v>
      </c>
      <c r="P78" s="25">
        <f>P75+P77</f>
        <v>1131</v>
      </c>
      <c r="Q78" s="25">
        <f>Q75+Q77</f>
        <v>1138</v>
      </c>
      <c r="T78" s="25">
        <f t="shared" ref="T78:Z78" si="58">T75+T77</f>
        <v>1125</v>
      </c>
      <c r="U78" s="25">
        <f t="shared" si="58"/>
        <v>1126</v>
      </c>
      <c r="V78" s="25">
        <f t="shared" si="58"/>
        <v>1126</v>
      </c>
      <c r="W78" s="25">
        <f t="shared" si="58"/>
        <v>1131</v>
      </c>
      <c r="X78" s="25">
        <f t="shared" si="58"/>
        <v>1139</v>
      </c>
      <c r="Y78" s="25">
        <f t="shared" si="58"/>
        <v>1144</v>
      </c>
      <c r="Z78" s="25">
        <f t="shared" ref="Z78:AA78" si="59">Z75+Z77</f>
        <v>1146</v>
      </c>
      <c r="AA78" s="25">
        <f t="shared" si="59"/>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56">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0">L79*L85</f>
        <v>4</v>
      </c>
      <c r="M80" s="25">
        <f t="shared" si="60"/>
        <v>4</v>
      </c>
      <c r="N80" s="25">
        <f t="shared" si="60"/>
        <v>4</v>
      </c>
      <c r="O80" s="25">
        <f t="shared" si="60"/>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1">L81/L85</f>
        <v>0.1</v>
      </c>
      <c r="M82" s="45">
        <f t="shared" si="61"/>
        <v>0.315</v>
      </c>
      <c r="N82" s="45">
        <f t="shared" si="61"/>
        <v>0.46</v>
      </c>
      <c r="O82" s="45">
        <f t="shared" si="61"/>
        <v>0.46</v>
      </c>
      <c r="P82" s="45">
        <f t="shared" si="61"/>
        <v>0.46</v>
      </c>
      <c r="Q82" s="45">
        <f t="shared" ref="M82:Q82" si="62">Q81/Q85</f>
        <v>0.56999999999999995</v>
      </c>
      <c r="T82" s="45">
        <f t="shared" ref="T82:U82" si="63">T81/T85</f>
        <v>0.115</v>
      </c>
      <c r="U82" s="45">
        <f t="shared" ref="U82:V82" si="64">U81/U85</f>
        <v>0.115</v>
      </c>
      <c r="V82" s="45">
        <f t="shared" ref="V82:W82" si="65">V81/V85</f>
        <v>0.115</v>
      </c>
      <c r="W82" s="45">
        <f t="shared" ref="W82:X82" si="66">W81/W85</f>
        <v>0.115</v>
      </c>
      <c r="X82" s="45">
        <f t="shared" ref="X82:Z82" si="67">X81/X85</f>
        <v>0.115</v>
      </c>
      <c r="Y82" s="45">
        <f t="shared" si="67"/>
        <v>0.15</v>
      </c>
      <c r="Z82" s="45">
        <f t="shared" si="67"/>
        <v>0.15</v>
      </c>
      <c r="AA82" s="45">
        <f t="shared" ref="Z82:AA82" si="68">AA81/AA85</f>
        <v>0.15</v>
      </c>
      <c r="AC82" s="72">
        <f>SUM(X82:AA82)</f>
        <v>0.56500000000000006</v>
      </c>
    </row>
    <row r="83" spans="1:31" x14ac:dyDescent="0.2">
      <c r="B83" s="20" t="s">
        <v>72</v>
      </c>
      <c r="C83" s="46">
        <f t="shared" ref="C83:Q83" si="69">IF(AND(C15&gt;0,C16&lt;0),-(C16)/C15,0)</f>
        <v>0</v>
      </c>
      <c r="D83" s="46">
        <f t="shared" si="69"/>
        <v>0</v>
      </c>
      <c r="E83" s="46">
        <f t="shared" si="69"/>
        <v>0</v>
      </c>
      <c r="F83" s="46">
        <f t="shared" si="69"/>
        <v>0</v>
      </c>
      <c r="G83" s="46">
        <f t="shared" si="69"/>
        <v>0</v>
      </c>
      <c r="H83" s="46">
        <f t="shared" si="69"/>
        <v>0</v>
      </c>
      <c r="I83" s="46">
        <f t="shared" si="69"/>
        <v>0</v>
      </c>
      <c r="J83" s="46">
        <f t="shared" si="69"/>
        <v>0</v>
      </c>
      <c r="K83" s="46">
        <f t="shared" si="69"/>
        <v>0</v>
      </c>
      <c r="L83" s="46">
        <f t="shared" ref="L83:P83" si="70">IF(AND(L15&gt;0,L16&lt;0),-(L16)/L15,0)</f>
        <v>6.3364425860405277E-2</v>
      </c>
      <c r="M83" s="46">
        <f t="shared" si="70"/>
        <v>9.2780273743600455E-2</v>
      </c>
      <c r="N83" s="46">
        <f t="shared" si="70"/>
        <v>0</v>
      </c>
      <c r="O83" s="46">
        <f t="shared" si="70"/>
        <v>0.36370967741935484</v>
      </c>
      <c r="P83" s="46">
        <f t="shared" si="70"/>
        <v>0.1164284234514191</v>
      </c>
      <c r="Q83" s="46">
        <f t="shared" si="69"/>
        <v>0.1480972399193346</v>
      </c>
      <c r="T83" s="46">
        <f t="shared" ref="T83:Z83" si="71">IF(AND(T15&gt;0,T16&lt;0),-(T16)/T15,0)</f>
        <v>0.13150557620817843</v>
      </c>
      <c r="U83" s="46">
        <f t="shared" si="71"/>
        <v>0.10068259385665529</v>
      </c>
      <c r="V83" s="46">
        <f t="shared" si="71"/>
        <v>0.11121628017037388</v>
      </c>
      <c r="W83" s="46">
        <f t="shared" si="71"/>
        <v>0.11814927017350592</v>
      </c>
      <c r="X83" s="46">
        <f t="shared" si="71"/>
        <v>0.13677610955287905</v>
      </c>
      <c r="Y83" s="46">
        <f t="shared" si="71"/>
        <v>0.14672029702970296</v>
      </c>
      <c r="Z83" s="46">
        <f t="shared" si="71"/>
        <v>0.14988558352402745</v>
      </c>
      <c r="AA83" s="46">
        <f t="shared" ref="T83:AA83" si="72">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56">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3">IF(K5=0,
IF(L5=0,0,IF(L5&gt;0,1,-1)),
(L5-K5)/ABS(K5)
)</f>
        <v>1</v>
      </c>
      <c r="M89" s="48">
        <f t="shared" ref="M89:M96" si="74">IF(L5=0,
IF(M5=0,0,IF(M5&gt;0,1,-1)),
(M5-L5)/ABS(L5)
)</f>
        <v>0.11019671539433315</v>
      </c>
      <c r="N89" s="48">
        <f t="shared" ref="N89:N96" si="75">IF(M5=0,
IF(N5=0,0,IF(N5&gt;0,1,-1)),
(N5-M5)/ABS(M5)
)</f>
        <v>-0.49476558944014565</v>
      </c>
      <c r="O89" s="48">
        <f t="shared" ref="O89:O96" si="76">IF(N5=0,
IF(O5=0,0,IF(O5&gt;0,1,-1)),
(O5-N5)/ABS(N5)
)</f>
        <v>0.61589446589446595</v>
      </c>
      <c r="P89" s="48">
        <f t="shared" ref="P89:P96" si="77">IF(O5=0,
IF(P5=0,0,IF(P5&gt;0,1,-1)),
(P5-O5)/ABS(O5)
)</f>
        <v>0.48851101111066864</v>
      </c>
      <c r="Q89" s="48">
        <f t="shared" ref="M89:Q96" si="78">IF(P5=0,
IF(Q5=0,0,IF(Q5&gt;0,1,-1)),
(Q5-P5)/ABS(P5)
)</f>
        <v>2.563272513243084</v>
      </c>
      <c r="R89" s="1"/>
      <c r="S89" s="1"/>
      <c r="T89" s="48">
        <f t="shared" ref="T89:T96" si="79">IF(S5=0,
IF(T5=0,0,IF(T5&gt;0,1,-1)),
(T5-S5)/ABS(S5)
)</f>
        <v>1</v>
      </c>
      <c r="U89" s="48">
        <f t="shared" ref="U89:U96" si="80">IF(T5=0,
IF(U5=0,0,IF(U5&gt;0,1,-1)),
(U5-T5)/ABS(T5)
)</f>
        <v>-7.5324377081180394E-2</v>
      </c>
      <c r="V89" s="48">
        <f t="shared" ref="V89:V96" si="81">IF(U5=0,
IF(V5=0,0,IF(V5&gt;0,1,-1)),
(V5-U5)/ABS(U5)
)</f>
        <v>0.1549733018750776</v>
      </c>
      <c r="W89" s="48">
        <f t="shared" ref="W89:W96" si="82">IF(V5=0,
IF(W5=0,0,IF(W5&gt;0,1,-1)),
(W5-V5)/ABS(V5)
)</f>
        <v>0.21653585635953124</v>
      </c>
      <c r="X89" s="48">
        <f t="shared" ref="X89:X96" si="83">IF(W5=0,
IF(X5=0,0,IF(X5&gt;0,1,-1)),
(X5-W5)/ABS(W5)
)</f>
        <v>0.2057445868316394</v>
      </c>
      <c r="Y89" s="48">
        <f t="shared" ref="Y89:Y96" si="84">IF(X5=0,
IF(Y5=0,0,IF(Y5&gt;0,1,-1)),
(Y5-X5)/ABS(X5)
)</f>
        <v>0.74888221065748006</v>
      </c>
      <c r="Z89" s="48">
        <f t="shared" ref="Z89:Z96" si="85">IF(Y5=0,
IF(Z5=0,0,IF(Z5&gt;0,1,-1)),
(Z5-Y5)/ABS(Y5)
)</f>
        <v>0.73746856663872595</v>
      </c>
      <c r="AA89" s="48">
        <f t="shared" ref="T89:AA96" si="86">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3"/>
        <v>1</v>
      </c>
      <c r="M90" s="50">
        <f t="shared" si="74"/>
        <v>-2.4418470084480962E-2</v>
      </c>
      <c r="N90" s="50">
        <f t="shared" si="75"/>
        <v>5.6939501779359435E-3</v>
      </c>
      <c r="O90" s="50">
        <f t="shared" si="76"/>
        <v>0.14991743335692381</v>
      </c>
      <c r="P90" s="50">
        <f t="shared" si="77"/>
        <v>0.15422094573802442</v>
      </c>
      <c r="Q90" s="50">
        <f t="shared" si="78"/>
        <v>0.14125749833370363</v>
      </c>
      <c r="T90" s="50">
        <f t="shared" si="79"/>
        <v>1</v>
      </c>
      <c r="U90" s="50">
        <f t="shared" si="80"/>
        <v>-5.0550270471926881E-2</v>
      </c>
      <c r="V90" s="50">
        <f t="shared" si="81"/>
        <v>0.13811394891944989</v>
      </c>
      <c r="W90" s="50">
        <f t="shared" si="82"/>
        <v>8.0787156913516317E-2</v>
      </c>
      <c r="X90" s="50">
        <f t="shared" si="83"/>
        <v>-4.2165788212745567E-2</v>
      </c>
      <c r="Y90" s="50">
        <f t="shared" si="84"/>
        <v>1.8009004502251125E-2</v>
      </c>
      <c r="Z90" s="50">
        <f t="shared" si="85"/>
        <v>4.8321048321048318E-2</v>
      </c>
      <c r="AA90" s="50">
        <f t="shared" si="86"/>
        <v>0.1221875</v>
      </c>
      <c r="AC90" s="68"/>
    </row>
    <row r="91" spans="1:31" s="41" customFormat="1" x14ac:dyDescent="0.2">
      <c r="A91" s="16"/>
      <c r="B91" s="17" t="s">
        <v>21</v>
      </c>
      <c r="C91" s="47"/>
      <c r="D91" s="48"/>
      <c r="E91" s="48"/>
      <c r="F91" s="48"/>
      <c r="G91" s="48"/>
      <c r="H91" s="48"/>
      <c r="I91" s="48"/>
      <c r="J91" s="48"/>
      <c r="K91" s="48"/>
      <c r="L91" s="48">
        <f t="shared" si="73"/>
        <v>1</v>
      </c>
      <c r="M91" s="48">
        <f t="shared" si="74"/>
        <v>0.33339729444497745</v>
      </c>
      <c r="N91" s="48">
        <f t="shared" si="75"/>
        <v>-1.1018851633328537</v>
      </c>
      <c r="O91" s="48">
        <f t="shared" si="76"/>
        <v>4.9639830508474576</v>
      </c>
      <c r="P91" s="48">
        <f t="shared" si="77"/>
        <v>1.6497416711206128</v>
      </c>
      <c r="Q91" s="48">
        <f t="shared" si="78"/>
        <v>6.228131513480804</v>
      </c>
      <c r="R91" s="1"/>
      <c r="S91" s="1"/>
      <c r="T91" s="48">
        <f t="shared" si="79"/>
        <v>1</v>
      </c>
      <c r="U91" s="48">
        <f t="shared" si="80"/>
        <v>-0.11499402628434886</v>
      </c>
      <c r="V91" s="48">
        <f t="shared" si="81"/>
        <v>0.18393520080998987</v>
      </c>
      <c r="W91" s="48">
        <f t="shared" si="82"/>
        <v>0.44070695553021666</v>
      </c>
      <c r="X91" s="48">
        <f t="shared" si="83"/>
        <v>0.51286110011871788</v>
      </c>
      <c r="Y91" s="48">
        <f t="shared" si="84"/>
        <v>1.3221292178917081</v>
      </c>
      <c r="Z91" s="48">
        <f t="shared" si="85"/>
        <v>0.97442973810194311</v>
      </c>
      <c r="AA91" s="48">
        <f t="shared" si="86"/>
        <v>0.3420527156549521</v>
      </c>
      <c r="AB91" s="1"/>
      <c r="AC91" s="67"/>
      <c r="AD91" s="1"/>
      <c r="AE91" s="1"/>
    </row>
    <row r="92" spans="1:31" x14ac:dyDescent="0.2">
      <c r="B92" s="20" t="s">
        <v>22</v>
      </c>
      <c r="C92" s="49"/>
      <c r="D92" s="50"/>
      <c r="E92" s="50"/>
      <c r="F92" s="50"/>
      <c r="G92" s="50"/>
      <c r="H92" s="50"/>
      <c r="I92" s="50"/>
      <c r="J92" s="50"/>
      <c r="K92" s="50"/>
      <c r="L92" s="50">
        <f t="shared" si="73"/>
        <v>1</v>
      </c>
      <c r="M92" s="50">
        <f t="shared" si="74"/>
        <v>0.17010889973713855</v>
      </c>
      <c r="N92" s="50">
        <f t="shared" si="75"/>
        <v>-6.4184852374839533E-4</v>
      </c>
      <c r="O92" s="50">
        <f t="shared" si="76"/>
        <v>0.1014771997430957</v>
      </c>
      <c r="P92" s="50">
        <f t="shared" si="77"/>
        <v>0.10728862973760933</v>
      </c>
      <c r="Q92" s="50">
        <f t="shared" si="78"/>
        <v>0.48762506582411796</v>
      </c>
      <c r="T92" s="50">
        <f t="shared" si="79"/>
        <v>1</v>
      </c>
      <c r="U92" s="50">
        <f t="shared" si="80"/>
        <v>1.1261261261261261E-2</v>
      </c>
      <c r="V92" s="50">
        <f t="shared" si="81"/>
        <v>7.4610244988864149E-2</v>
      </c>
      <c r="W92" s="50">
        <f t="shared" si="82"/>
        <v>8.4974093264248707E-2</v>
      </c>
      <c r="X92" s="50">
        <f t="shared" si="83"/>
        <v>0.11843361986628462</v>
      </c>
      <c r="Y92" s="50">
        <f t="shared" si="84"/>
        <v>6.7463706233988049E-2</v>
      </c>
      <c r="Z92" s="50">
        <f t="shared" si="85"/>
        <v>5.28E-2</v>
      </c>
      <c r="AA92" s="50">
        <f t="shared" si="86"/>
        <v>0.45364741641337386</v>
      </c>
      <c r="AC92" s="68"/>
    </row>
    <row r="93" spans="1:31" x14ac:dyDescent="0.2">
      <c r="B93" s="20" t="s">
        <v>23</v>
      </c>
      <c r="C93" s="49"/>
      <c r="D93" s="50"/>
      <c r="E93" s="50"/>
      <c r="F93" s="50"/>
      <c r="G93" s="50"/>
      <c r="H93" s="50"/>
      <c r="I93" s="50"/>
      <c r="J93" s="50"/>
      <c r="K93" s="50"/>
      <c r="L93" s="50">
        <f t="shared" si="73"/>
        <v>1</v>
      </c>
      <c r="M93" s="50">
        <f t="shared" si="74"/>
        <v>0.19239373601789708</v>
      </c>
      <c r="N93" s="50">
        <f t="shared" si="75"/>
        <v>-0.13696060037523453</v>
      </c>
      <c r="O93" s="50">
        <f t="shared" si="76"/>
        <v>0.22717391304347825</v>
      </c>
      <c r="P93" s="50">
        <f t="shared" si="77"/>
        <v>6.7316209034543842E-2</v>
      </c>
      <c r="Q93" s="50">
        <f t="shared" si="78"/>
        <v>0.61576763485477182</v>
      </c>
      <c r="T93" s="50">
        <f t="shared" si="79"/>
        <v>1</v>
      </c>
      <c r="U93" s="50">
        <f t="shared" si="80"/>
        <v>-1.0416666666666666E-2</v>
      </c>
      <c r="V93" s="50">
        <f t="shared" si="81"/>
        <v>0.11578947368421053</v>
      </c>
      <c r="W93" s="50">
        <f t="shared" si="82"/>
        <v>-1.2578616352201259E-2</v>
      </c>
      <c r="X93" s="50">
        <f t="shared" si="83"/>
        <v>7.32484076433121E-2</v>
      </c>
      <c r="Y93" s="50">
        <f t="shared" si="84"/>
        <v>2.0771513353115726E-2</v>
      </c>
      <c r="Z93" s="50">
        <f t="shared" si="85"/>
        <v>0.18313953488372092</v>
      </c>
      <c r="AA93" s="50">
        <f t="shared" si="86"/>
        <v>1.1105651105651106</v>
      </c>
      <c r="AC93" s="68"/>
    </row>
    <row r="94" spans="1:31" x14ac:dyDescent="0.2">
      <c r="B94" s="23" t="s">
        <v>27</v>
      </c>
      <c r="C94" s="49"/>
      <c r="D94" s="50"/>
      <c r="E94" s="50"/>
      <c r="F94" s="50"/>
      <c r="G94" s="50"/>
      <c r="H94" s="50"/>
      <c r="I94" s="50"/>
      <c r="J94" s="50"/>
      <c r="K94" s="50"/>
      <c r="L94" s="50">
        <f t="shared" si="73"/>
        <v>1</v>
      </c>
      <c r="M94" s="50">
        <f t="shared" si="74"/>
        <v>-0.97598627787307035</v>
      </c>
      <c r="N94" s="50">
        <f t="shared" si="75"/>
        <v>20.071428571428573</v>
      </c>
      <c r="O94" s="50">
        <f t="shared" si="76"/>
        <v>-1.847457627118644</v>
      </c>
      <c r="P94" s="50">
        <f t="shared" si="77"/>
        <v>1.4</v>
      </c>
      <c r="Q94" s="50">
        <f t="shared" si="78"/>
        <v>4.67</v>
      </c>
      <c r="T94" s="50">
        <f t="shared" si="79"/>
        <v>-1</v>
      </c>
      <c r="U94" s="50">
        <f t="shared" si="80"/>
        <v>4.5</v>
      </c>
      <c r="V94" s="50">
        <f t="shared" si="81"/>
        <v>7</v>
      </c>
      <c r="W94" s="50">
        <f t="shared" si="82"/>
        <v>-0.30357142857142855</v>
      </c>
      <c r="X94" s="50">
        <f t="shared" si="83"/>
        <v>-0.94871794871794868</v>
      </c>
      <c r="Y94" s="50">
        <f t="shared" si="84"/>
        <v>12</v>
      </c>
      <c r="Z94" s="50">
        <f t="shared" si="85"/>
        <v>-0.42307692307692307</v>
      </c>
      <c r="AA94" s="50">
        <f t="shared" si="86"/>
        <v>33.93333333333333</v>
      </c>
      <c r="AC94" s="68"/>
    </row>
    <row r="95" spans="1:31" x14ac:dyDescent="0.2">
      <c r="B95" s="23" t="s">
        <v>24</v>
      </c>
      <c r="C95" s="49"/>
      <c r="D95" s="50"/>
      <c r="E95" s="50"/>
      <c r="F95" s="50"/>
      <c r="G95" s="50"/>
      <c r="H95" s="50"/>
      <c r="I95" s="50"/>
      <c r="J95" s="50"/>
      <c r="K95" s="50"/>
      <c r="L95" s="50">
        <f t="shared" si="73"/>
        <v>1</v>
      </c>
      <c r="M95" s="50">
        <f t="shared" si="74"/>
        <v>1.3526570048309179E-2</v>
      </c>
      <c r="N95" s="50">
        <f t="shared" si="75"/>
        <v>3.169685414680648E-2</v>
      </c>
      <c r="O95" s="50">
        <f t="shared" si="76"/>
        <v>-4.6200046200046202E-3</v>
      </c>
      <c r="P95" s="50">
        <f t="shared" si="77"/>
        <v>0.18426549083313995</v>
      </c>
      <c r="Q95" s="50">
        <f t="shared" si="78"/>
        <v>0.59984322947285906</v>
      </c>
      <c r="T95" s="50">
        <f t="shared" si="79"/>
        <v>1</v>
      </c>
      <c r="U95" s="50">
        <f t="shared" si="80"/>
        <v>1.3628620102214651E-2</v>
      </c>
      <c r="V95" s="50">
        <f t="shared" si="81"/>
        <v>0.12521008403361344</v>
      </c>
      <c r="W95" s="50">
        <f t="shared" si="82"/>
        <v>4.5556385362210607E-2</v>
      </c>
      <c r="X95" s="50">
        <f t="shared" si="83"/>
        <v>7.857142857142857E-2</v>
      </c>
      <c r="Y95" s="50">
        <f t="shared" si="84"/>
        <v>7.2847682119205295E-2</v>
      </c>
      <c r="Z95" s="50">
        <f t="shared" si="85"/>
        <v>7.2839506172839505E-2</v>
      </c>
      <c r="AA95" s="50">
        <f t="shared" si="86"/>
        <v>0.89643268124280784</v>
      </c>
      <c r="AC95" s="68"/>
    </row>
    <row r="96" spans="1:31" s="41" customFormat="1" x14ac:dyDescent="0.2">
      <c r="A96" s="16"/>
      <c r="B96" s="17" t="s">
        <v>25</v>
      </c>
      <c r="C96" s="47"/>
      <c r="D96" s="48"/>
      <c r="E96" s="48"/>
      <c r="F96" s="48"/>
      <c r="G96" s="48"/>
      <c r="H96" s="48"/>
      <c r="I96" s="48"/>
      <c r="J96" s="48"/>
      <c r="K96" s="48"/>
      <c r="L96" s="48">
        <f t="shared" si="73"/>
        <v>1</v>
      </c>
      <c r="M96" s="48">
        <f t="shared" si="74"/>
        <v>0.54416679929969758</v>
      </c>
      <c r="N96" s="48">
        <f t="shared" si="75"/>
        <v>-1.5921459492888064</v>
      </c>
      <c r="O96" s="48">
        <f t="shared" si="76"/>
        <v>1.2269799825935597</v>
      </c>
      <c r="P96" s="48">
        <f t="shared" si="77"/>
        <v>6.492331288343558</v>
      </c>
      <c r="Q96" s="48">
        <f t="shared" si="78"/>
        <v>9.1678607983623337</v>
      </c>
      <c r="R96" s="1"/>
      <c r="S96" s="1"/>
      <c r="T96" s="48">
        <f t="shared" si="79"/>
        <v>1</v>
      </c>
      <c r="U96" s="48">
        <f t="shared" si="80"/>
        <v>-0.18445262189512421</v>
      </c>
      <c r="V96" s="48">
        <f t="shared" si="81"/>
        <v>0.2233502538071066</v>
      </c>
      <c r="W96" s="48">
        <f t="shared" si="82"/>
        <v>0.68464730290456433</v>
      </c>
      <c r="X96" s="48">
        <f t="shared" si="83"/>
        <v>0.67925561029009307</v>
      </c>
      <c r="Y96" s="48">
        <f t="shared" si="84"/>
        <v>1.6295632333767927</v>
      </c>
      <c r="Z96" s="48">
        <f t="shared" si="85"/>
        <v>1.0649519677719244</v>
      </c>
      <c r="AA96" s="48">
        <f t="shared" si="86"/>
        <v>0.3131340416591632</v>
      </c>
      <c r="AB96" s="1"/>
      <c r="AC96" s="67"/>
      <c r="AD96" s="1"/>
      <c r="AE96" s="1"/>
    </row>
    <row r="97" spans="1:31" s="53" customFormat="1" x14ac:dyDescent="0.2">
      <c r="A97" s="16"/>
      <c r="B97" s="51" t="s">
        <v>28</v>
      </c>
      <c r="C97" s="47"/>
      <c r="D97" s="52"/>
      <c r="E97" s="52"/>
      <c r="F97" s="52"/>
      <c r="G97" s="52"/>
      <c r="H97" s="52"/>
      <c r="I97" s="52"/>
      <c r="J97" s="52"/>
      <c r="K97" s="52"/>
      <c r="L97" s="52">
        <f>IF(K15=0,
IF(L15=0,0,IF(L15&gt;0,1,-1)),
(L15-K15)/ABS(K15)
)</f>
        <v>1</v>
      </c>
      <c r="M97" s="52">
        <f>IF(L15=0,
IF(M15=0,0,IF(M15&gt;0,1,-1)),
(M15-L15)/ABS(L15)
)</f>
        <v>0.5392409134770022</v>
      </c>
      <c r="N97" s="52">
        <f>IF(M15=0,
IF(N15=0,0,IF(N15&gt;0,1,-1)),
(N15-M15)/ABS(M15)
)</f>
        <v>-1.5911607982446976</v>
      </c>
      <c r="O97" s="52">
        <f>IF(N15=0,
IF(O15=0,0,IF(O15&gt;0,1,-1)),
(O15-N15)/ABS(N15)
)</f>
        <v>1.2191587133262638</v>
      </c>
      <c r="P97" s="52">
        <f>IF(O15=0,
IF(P15=0,0,IF(P15&gt;0,1,-1)),
(P15-O15)/ABS(O15)
)</f>
        <v>6.7854838709677416</v>
      </c>
      <c r="Q97" s="52">
        <f>IF(P15=0,
IF(Q15=0,0,IF(Q15&gt;0,1,-1)),
(Q15-P15)/ABS(P15)
)</f>
        <v>9.3243215247565772</v>
      </c>
      <c r="R97" s="1"/>
      <c r="S97" s="1"/>
      <c r="T97" s="52">
        <f t="shared" ref="T97" si="87">IF(S15=0,
IF(T15=0,0,IF(T15&gt;0,1,-1)),
(T15-S15)/ABS(S15)
)</f>
        <v>1</v>
      </c>
      <c r="U97" s="52">
        <f t="shared" ref="U97" si="88">IF(T15=0,
IF(U15=0,0,IF(U15&gt;0,1,-1)),
(U15-T15)/ABS(T15)
)</f>
        <v>-0.18308550185873607</v>
      </c>
      <c r="V97" s="52">
        <f t="shared" ref="V97" si="89">IF(U15=0,
IF(V15=0,0,IF(V15&gt;0,1,-1)),
(V15-U15)/ABS(U15)
)</f>
        <v>0.20193401592718999</v>
      </c>
      <c r="W97" s="52">
        <f t="shared" ref="W97" si="90">IF(V15=0,
IF(W15=0,0,IF(W15&gt;0,1,-1)),
(W15-V15)/ABS(V15)
)</f>
        <v>0.71840984382394701</v>
      </c>
      <c r="X97" s="52">
        <f t="shared" ref="X97" si="91">IF(W15=0,
IF(X15=0,0,IF(X15&gt;0,1,-1)),
(X15-W15)/ABS(W15)
)</f>
        <v>0.66923712475901953</v>
      </c>
      <c r="Y97" s="52">
        <f t="shared" ref="Y97" si="92">IF(X15=0,
IF(Y15=0,0,IF(Y15&gt;0,1,-1)),
(Y15-X15)/ABS(X15)
)</f>
        <v>1.6662266952648077</v>
      </c>
      <c r="Z97" s="52">
        <f t="shared" ref="Z97" si="93">IF(Y15=0,
IF(Z15=0,0,IF(Z15&gt;0,1,-1)),
(Z15-Y15)/ABS(Y15)
)</f>
        <v>1.0551980198019801</v>
      </c>
      <c r="AA97" s="52">
        <f t="shared" ref="T97:AA97" si="94">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IF(K18=0,
IF(L18=0,0,IF(L18&gt;0,1,-1)),
(L18-K18)/ABS(K18)
)</f>
        <v>1</v>
      </c>
      <c r="M98" s="52">
        <f>IF(L18=0,
IF(M18=0,0,IF(M18&gt;0,1,-1)),
(M18-L18)/ABS(L18)
)</f>
        <v>0.48217027810953761</v>
      </c>
      <c r="N98" s="52">
        <f>IF(M18=0,
IF(N18=0,0,IF(N18&gt;0,1,-1)),
(N18-M18)/ABS(M18)
)</f>
        <v>-1.6714631057902614</v>
      </c>
      <c r="O98" s="52">
        <f>IF(N18=0,
IF(O18=0,0,IF(O18&gt;0,1,-1)),
(O18-N18)/ABS(N18)
)</f>
        <v>1.1333790502314418</v>
      </c>
      <c r="P98" s="52">
        <f>IF(O18=0,
IF(P18=0,0,IF(P18&gt;0,1,-1)),
(P18-O18)/ABS(O18)
)</f>
        <v>9.9755784061696655</v>
      </c>
      <c r="Q98" s="52">
        <f>IF(P18=0,
IF(Q18=0,0,IF(Q18&gt;0,1,-1)),
(Q18-P18)/ABS(P18)
)</f>
        <v>8.9506968029043215</v>
      </c>
      <c r="R98" s="1"/>
      <c r="S98" s="1"/>
      <c r="T98" s="52">
        <f t="shared" ref="T98" si="95">IF(S18=0,
IF(T18=0,0,IF(T18&gt;0,1,-1)),
(T18-S18)/ABS(S18)
)</f>
        <v>1</v>
      </c>
      <c r="U98" s="52">
        <f t="shared" ref="U98" si="96">IF(T18=0,
IF(U18=0,0,IF(U18&gt;0,1,-1)),
(U18-T18)/ABS(T18)
)</f>
        <v>-0.153475935828877</v>
      </c>
      <c r="V98" s="52">
        <f t="shared" ref="V98" si="97">IF(U18=0,
IF(V18=0,0,IF(V18&gt;0,1,-1)),
(V18-U18)/ABS(U18)
)</f>
        <v>0.19077700568540745</v>
      </c>
      <c r="W98" s="52">
        <f t="shared" ref="W98" si="98">IF(V18=0,
IF(W18=0,0,IF(W18&gt;0,1,-1)),
(W18-V18)/ABS(V18)
)</f>
        <v>0.69814323607427053</v>
      </c>
      <c r="X98" s="52">
        <f t="shared" ref="X98" si="99">IF(W18=0,
IF(X18=0,0,IF(X18&gt;0,1,-1)),
(X18-W18)/ABS(W18)
)</f>
        <v>0.63698844111215247</v>
      </c>
      <c r="Y98" s="52">
        <f t="shared" ref="Y98" si="100">IF(X18=0,
IF(Y18=0,0,IF(Y18&gt;0,1,-1)),
(Y18-X18)/ABS(X18)
)</f>
        <v>1.6307251908396947</v>
      </c>
      <c r="Z98" s="52">
        <f t="shared" ref="Z98" si="101">IF(Y18=0,
IF(Z18=0,0,IF(Z18&gt;0,1,-1)),
(Z18-Y18)/ABS(Y18)
)</f>
        <v>1.0488211824446863</v>
      </c>
      <c r="AA98" s="52">
        <f t="shared" ref="T98:AA98" si="102">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L7/L5</f>
        <v>0.37621367984118392</v>
      </c>
      <c r="M101" s="50">
        <f>M7/M5</f>
        <v>0.45184992522270628</v>
      </c>
      <c r="N101" s="50">
        <f>N7/N5</f>
        <v>-9.1119691119691121E-2</v>
      </c>
      <c r="O101" s="50">
        <f>O7/O5</f>
        <v>0.22352753773246783</v>
      </c>
      <c r="P101" s="50">
        <f>P7/P5</f>
        <v>0.39790786023864305</v>
      </c>
      <c r="Q101" s="50">
        <f>Q7/Q5</f>
        <v>0.8071598041865633</v>
      </c>
      <c r="T101" s="50">
        <f t="shared" ref="T101:Z101" si="103">T7/T5</f>
        <v>0.38442990010334138</v>
      </c>
      <c r="U101" s="50">
        <f t="shared" si="103"/>
        <v>0.36793741462808893</v>
      </c>
      <c r="V101" s="50">
        <f t="shared" si="103"/>
        <v>0.37716374583378132</v>
      </c>
      <c r="W101" s="50">
        <f t="shared" si="103"/>
        <v>0.44666372072470173</v>
      </c>
      <c r="X101" s="50">
        <f t="shared" si="103"/>
        <v>0.56043392215788312</v>
      </c>
      <c r="Y101" s="50">
        <f t="shared" si="103"/>
        <v>0.74413243922883487</v>
      </c>
      <c r="Z101" s="50">
        <f t="shared" si="103"/>
        <v>0.84561945194905441</v>
      </c>
      <c r="AA101" s="50">
        <f t="shared" ref="T101:AA101" si="104">AA7/AA5</f>
        <v>0.86756163676261777</v>
      </c>
      <c r="AC101" s="50">
        <f>AC7/AC5</f>
        <v>0.8071598041865633</v>
      </c>
    </row>
    <row r="102" spans="1:31" x14ac:dyDescent="0.2">
      <c r="B102" s="20" t="s">
        <v>78</v>
      </c>
      <c r="C102" s="50"/>
      <c r="D102" s="50"/>
      <c r="E102" s="50"/>
      <c r="F102" s="50"/>
      <c r="G102" s="50"/>
      <c r="H102" s="50"/>
      <c r="I102" s="50"/>
      <c r="J102" s="50"/>
      <c r="K102" s="50"/>
      <c r="L102" s="50">
        <f>L12/L5</f>
        <v>0.22678216928352282</v>
      </c>
      <c r="M102" s="50">
        <f>M12/M5</f>
        <v>0.31543013199817932</v>
      </c>
      <c r="N102" s="50">
        <f>N12/N5</f>
        <v>-0.36969111969111967</v>
      </c>
      <c r="O102" s="50">
        <f>O12/O5</f>
        <v>5.192943331607662E-2</v>
      </c>
      <c r="P102" s="50">
        <f>P12/P5</f>
        <v>0.26138370164267749</v>
      </c>
      <c r="Q102" s="50">
        <f>Q12/Q5</f>
        <v>0.7458629906598192</v>
      </c>
      <c r="T102" s="50">
        <f t="shared" ref="T102:Z102" si="105">T12/T5</f>
        <v>0.24962682282696061</v>
      </c>
      <c r="U102" s="50">
        <f t="shared" si="105"/>
        <v>0.22016639761579535</v>
      </c>
      <c r="V102" s="50">
        <f t="shared" si="105"/>
        <v>0.23320073110418235</v>
      </c>
      <c r="W102" s="50">
        <f t="shared" si="105"/>
        <v>0.32293415819708354</v>
      </c>
      <c r="X102" s="50">
        <f t="shared" si="105"/>
        <v>0.44975445283295462</v>
      </c>
      <c r="Y102" s="50">
        <f t="shared" si="105"/>
        <v>0.67623637887678123</v>
      </c>
      <c r="Z102" s="50">
        <f t="shared" si="105"/>
        <v>0.80369548436896954</v>
      </c>
      <c r="AA102" s="50">
        <f t="shared" ref="T102:AA102" si="106">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L111/L5</f>
        <v>0.2115502616856163</v>
      </c>
      <c r="M103" s="55">
        <f>M111/M5</f>
        <v>0.28243058716431496</v>
      </c>
      <c r="N103" s="55">
        <f>N111/N5</f>
        <v>-0.37535392535392537</v>
      </c>
      <c r="O103" s="55">
        <f>O111/O5</f>
        <v>3.0982437975389271E-2</v>
      </c>
      <c r="P103" s="55">
        <f>P111/P5</f>
        <v>0.22844989030980792</v>
      </c>
      <c r="Q103" s="55">
        <f>Q111/Q5</f>
        <v>0.63796287953869713</v>
      </c>
      <c r="R103" s="1"/>
      <c r="S103" s="1"/>
      <c r="T103" s="55">
        <f t="shared" ref="T103:Z103" si="107">T111/T5</f>
        <v>0.21472040417958435</v>
      </c>
      <c r="U103" s="55">
        <f t="shared" si="107"/>
        <v>0.19657270582391656</v>
      </c>
      <c r="V103" s="55">
        <f t="shared" si="107"/>
        <v>0.20266637995914419</v>
      </c>
      <c r="W103" s="55">
        <f t="shared" si="107"/>
        <v>0.28289880689350422</v>
      </c>
      <c r="X103" s="55">
        <f t="shared" si="107"/>
        <v>0.38407974785604337</v>
      </c>
      <c r="Y103" s="55">
        <f t="shared" si="107"/>
        <v>0.57774518021793797</v>
      </c>
      <c r="Z103" s="55">
        <f t="shared" si="107"/>
        <v>0.68127653415669631</v>
      </c>
      <c r="AA103" s="55">
        <f t="shared" ref="T103:AA103" si="108">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09">IF(AND(C83&gt;=0,C12&gt;=0),C83,0)</f>
        <v>0</v>
      </c>
      <c r="D106" s="81">
        <f t="shared" si="109"/>
        <v>0</v>
      </c>
      <c r="E106" s="81">
        <f t="shared" si="109"/>
        <v>0</v>
      </c>
      <c r="F106" s="81">
        <f t="shared" si="109"/>
        <v>0</v>
      </c>
      <c r="G106" s="81">
        <f t="shared" si="109"/>
        <v>0</v>
      </c>
      <c r="H106" s="81">
        <f t="shared" si="109"/>
        <v>0</v>
      </c>
      <c r="I106" s="81">
        <f t="shared" si="109"/>
        <v>0</v>
      </c>
      <c r="J106" s="81">
        <f t="shared" si="109"/>
        <v>0</v>
      </c>
      <c r="K106" s="81">
        <f t="shared" si="109"/>
        <v>0</v>
      </c>
      <c r="L106" s="81">
        <f t="shared" ref="L106:P106" si="110">IF(AND(L83&gt;=0,L12&gt;=0),L83,0)</f>
        <v>6.3364425860405277E-2</v>
      </c>
      <c r="M106" s="81">
        <f t="shared" si="110"/>
        <v>9.2780273743600455E-2</v>
      </c>
      <c r="N106" s="81">
        <f t="shared" si="110"/>
        <v>0</v>
      </c>
      <c r="O106" s="81">
        <f t="shared" si="110"/>
        <v>0.36370967741935484</v>
      </c>
      <c r="P106" s="81">
        <f t="shared" si="110"/>
        <v>0.1164284234514191</v>
      </c>
      <c r="Q106" s="81">
        <f t="shared" si="109"/>
        <v>0.1480972399193346</v>
      </c>
      <c r="T106" s="81">
        <f t="shared" ref="T106:Z106" si="111">IF(AND(T83&gt;=0,T12&gt;=0),T83,0)</f>
        <v>0.13150557620817843</v>
      </c>
      <c r="U106" s="81">
        <f t="shared" si="111"/>
        <v>0.10068259385665529</v>
      </c>
      <c r="V106" s="81">
        <f t="shared" si="111"/>
        <v>0.11121628017037388</v>
      </c>
      <c r="W106" s="81">
        <f t="shared" si="111"/>
        <v>0.11814927017350592</v>
      </c>
      <c r="X106" s="81">
        <f t="shared" si="111"/>
        <v>0.13677610955287905</v>
      </c>
      <c r="Y106" s="81">
        <f t="shared" si="111"/>
        <v>0.14672029702970296</v>
      </c>
      <c r="Z106" s="81">
        <f t="shared" si="111"/>
        <v>0.14988558352402745</v>
      </c>
      <c r="AA106" s="81">
        <f t="shared" ref="T106:AA106" si="112">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13">M29+M34</f>
        <v>10978</v>
      </c>
      <c r="N107" s="25">
        <f t="shared" si="113"/>
        <v>10438</v>
      </c>
      <c r="O107" s="25">
        <f t="shared" si="113"/>
        <v>9152</v>
      </c>
      <c r="P107" s="25">
        <f t="shared" si="113"/>
        <v>11936</v>
      </c>
      <c r="Q107" s="25">
        <f t="shared" ref="N107:Q107" si="114">Q29+Q34</f>
        <v>73453</v>
      </c>
      <c r="T107" s="25">
        <f t="shared" ref="T107:Z107" si="115">T29+T34</f>
        <v>8744</v>
      </c>
      <c r="U107" s="25">
        <f t="shared" si="115"/>
        <v>9590</v>
      </c>
      <c r="V107" s="25">
        <f t="shared" si="115"/>
        <v>12213</v>
      </c>
      <c r="W107" s="25">
        <f t="shared" si="115"/>
        <v>11936</v>
      </c>
      <c r="X107" s="25">
        <f t="shared" si="115"/>
        <v>12015</v>
      </c>
      <c r="Y107" s="25">
        <f t="shared" si="115"/>
        <v>16627</v>
      </c>
      <c r="Z107" s="25">
        <f t="shared" si="115"/>
        <v>30128</v>
      </c>
      <c r="AA107" s="25">
        <f t="shared" ref="T107:AA107" si="116">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L39+L41</f>
        <v>6776</v>
      </c>
      <c r="M108" s="25">
        <f>M39+M41</f>
        <v>6906</v>
      </c>
      <c r="N108" s="25">
        <f>N39+N41</f>
        <v>13330</v>
      </c>
      <c r="O108" s="25">
        <f>O39+O41</f>
        <v>13397</v>
      </c>
      <c r="P108" s="25">
        <f>P39+P41</f>
        <v>14577</v>
      </c>
      <c r="Q108" s="25">
        <f>Q39+Q41</f>
        <v>5179</v>
      </c>
      <c r="T108" s="25">
        <f t="shared" ref="T108:Z108" si="117">T39+T41</f>
        <v>13785</v>
      </c>
      <c r="U108" s="25">
        <f t="shared" si="117"/>
        <v>14355</v>
      </c>
      <c r="V108" s="25">
        <f t="shared" si="117"/>
        <v>15541</v>
      </c>
      <c r="W108" s="25">
        <f t="shared" si="117"/>
        <v>14577</v>
      </c>
      <c r="X108" s="25">
        <f t="shared" si="117"/>
        <v>11756</v>
      </c>
      <c r="Y108" s="25">
        <f t="shared" si="117"/>
        <v>10142</v>
      </c>
      <c r="Z108" s="25">
        <f t="shared" si="117"/>
        <v>5722</v>
      </c>
      <c r="AA108" s="25">
        <f t="shared" ref="T108:AA108" si="118">AA39+AA41</f>
        <v>5179</v>
      </c>
      <c r="AC108" s="25">
        <f>AA108</f>
        <v>5179</v>
      </c>
    </row>
    <row r="109" spans="1:31" x14ac:dyDescent="0.2">
      <c r="B109" s="20" t="s">
        <v>162</v>
      </c>
      <c r="C109" s="25"/>
      <c r="D109" s="25"/>
      <c r="E109" s="25"/>
      <c r="F109" s="25"/>
      <c r="G109" s="25"/>
      <c r="H109" s="25"/>
      <c r="I109" s="25"/>
      <c r="J109" s="25"/>
      <c r="K109" s="25"/>
      <c r="L109" s="130">
        <f>L12*(1-L106)</f>
        <v>5884.8813123190739</v>
      </c>
      <c r="M109" s="130">
        <f>M12*(1-M106)</f>
        <v>8801.8457841395884</v>
      </c>
      <c r="N109" s="130">
        <f>N12*(1-N106)</f>
        <v>-5745</v>
      </c>
      <c r="O109" s="130">
        <f>O12*(1-O106)</f>
        <v>829.7225806451612</v>
      </c>
      <c r="P109" s="25">
        <f>P12*(1-P106)</f>
        <v>8632.4943028796351</v>
      </c>
      <c r="Q109" s="25">
        <f>Q12*(1-Q106)</f>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L60+L61</f>
        <v>-10030</v>
      </c>
      <c r="M110" s="130">
        <f>M60+M61</f>
        <v>-12067</v>
      </c>
      <c r="N110" s="130">
        <f>N60+N61</f>
        <v>-7676</v>
      </c>
      <c r="O110" s="130">
        <f>O60+O61</f>
        <v>-8386</v>
      </c>
      <c r="P110" s="130">
        <f>P60+P61</f>
        <v>-15857</v>
      </c>
      <c r="Q110" s="130">
        <f>Q60+Q61</f>
        <v>-30712</v>
      </c>
      <c r="T110" s="130">
        <f t="shared" ref="T110:Z110" si="119">T60+T61</f>
        <v>-3206</v>
      </c>
      <c r="U110" s="130">
        <f t="shared" si="119"/>
        <v>-4055</v>
      </c>
      <c r="V110" s="130">
        <f t="shared" si="119"/>
        <v>-2938</v>
      </c>
      <c r="W110" s="130">
        <f t="shared" si="119"/>
        <v>-5658</v>
      </c>
      <c r="X110" s="130">
        <f t="shared" si="119"/>
        <v>-5389</v>
      </c>
      <c r="Y110" s="130">
        <f t="shared" si="119"/>
        <v>-6387</v>
      </c>
      <c r="Z110" s="130">
        <f t="shared" si="119"/>
        <v>-7826</v>
      </c>
      <c r="AA110" s="130">
        <f t="shared" ref="T110:AA110" si="120">AA60+AA61</f>
        <v>-11110</v>
      </c>
      <c r="AC110" s="130">
        <f>AC60+AC61</f>
        <v>-30712</v>
      </c>
    </row>
    <row r="111" spans="1:31" x14ac:dyDescent="0.2">
      <c r="B111" s="20" t="s">
        <v>329</v>
      </c>
      <c r="C111" s="25"/>
      <c r="D111" s="25"/>
      <c r="E111" s="25"/>
      <c r="F111" s="25"/>
      <c r="G111" s="25"/>
      <c r="H111" s="25"/>
      <c r="I111" s="25"/>
      <c r="J111" s="25"/>
      <c r="K111" s="25"/>
      <c r="L111" s="130">
        <f>L17+L18</f>
        <v>5861</v>
      </c>
      <c r="M111" s="130">
        <f>M17+M18</f>
        <v>8687</v>
      </c>
      <c r="N111" s="130">
        <f>N17+N18</f>
        <v>-5833</v>
      </c>
      <c r="O111" s="130">
        <f>O17+O18</f>
        <v>778</v>
      </c>
      <c r="P111" s="130">
        <f>P17+P18</f>
        <v>8539</v>
      </c>
      <c r="Q111" s="130">
        <f>Q17+Q18</f>
        <v>84969</v>
      </c>
      <c r="T111" s="130">
        <f t="shared" ref="T111:Z111" si="121">T17+T18</f>
        <v>1870</v>
      </c>
      <c r="U111" s="130">
        <f t="shared" si="121"/>
        <v>1583</v>
      </c>
      <c r="V111" s="130">
        <f t="shared" si="121"/>
        <v>1885</v>
      </c>
      <c r="W111" s="130">
        <f t="shared" si="121"/>
        <v>3201</v>
      </c>
      <c r="X111" s="130">
        <f t="shared" si="121"/>
        <v>5240</v>
      </c>
      <c r="Y111" s="130">
        <f t="shared" si="121"/>
        <v>13785</v>
      </c>
      <c r="Z111" s="130">
        <f t="shared" si="121"/>
        <v>28243</v>
      </c>
      <c r="AA111" s="130">
        <f t="shared" ref="T111:AA111" si="122">AA17+AA18</f>
        <v>37701</v>
      </c>
      <c r="AC111" s="130">
        <f>AC17+AC18</f>
        <v>84969</v>
      </c>
    </row>
    <row r="112" spans="1:31" x14ac:dyDescent="0.2">
      <c r="B112" s="20" t="s">
        <v>330</v>
      </c>
      <c r="C112" s="25"/>
      <c r="D112" s="25"/>
      <c r="E112" s="25"/>
      <c r="F112" s="25"/>
      <c r="G112" s="25"/>
      <c r="H112" s="25"/>
      <c r="I112" s="25"/>
      <c r="J112" s="25"/>
      <c r="K112" s="25"/>
      <c r="L112" s="130">
        <f>L49+L48</f>
        <v>43933</v>
      </c>
      <c r="M112" s="130">
        <f>M49+M48</f>
        <v>49907</v>
      </c>
      <c r="N112" s="130">
        <f>N49+N48</f>
        <v>44120</v>
      </c>
      <c r="O112" s="130">
        <f>O49+O48</f>
        <v>45131</v>
      </c>
      <c r="P112" s="130">
        <f>P49+P48</f>
        <v>54165</v>
      </c>
      <c r="Q112" s="130">
        <f>Q49+Q48</f>
        <v>138378</v>
      </c>
      <c r="T112" s="130">
        <f t="shared" ref="T112:Z112" si="123">T49+T48</f>
        <v>46797</v>
      </c>
      <c r="U112" s="130">
        <f t="shared" si="123"/>
        <v>48633</v>
      </c>
      <c r="V112" s="130">
        <f t="shared" si="123"/>
        <v>50748</v>
      </c>
      <c r="W112" s="130">
        <f t="shared" si="123"/>
        <v>54165</v>
      </c>
      <c r="X112" s="130">
        <f t="shared" si="123"/>
        <v>58806</v>
      </c>
      <c r="Y112" s="130">
        <f t="shared" si="123"/>
        <v>72459</v>
      </c>
      <c r="Z112" s="130">
        <f t="shared" si="123"/>
        <v>100724</v>
      </c>
      <c r="AA112" s="130">
        <f t="shared" ref="T112:AA112" si="124">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1063</v>
      </c>
    </row>
    <row r="117" spans="1:31" x14ac:dyDescent="0.2">
      <c r="B117" s="20" t="s">
        <v>342</v>
      </c>
      <c r="C117" s="26"/>
      <c r="D117" s="26"/>
      <c r="E117" s="26"/>
      <c r="F117" s="26"/>
      <c r="G117" s="26"/>
      <c r="H117" s="26"/>
      <c r="I117" s="26"/>
      <c r="J117" s="26"/>
      <c r="K117" s="26"/>
      <c r="L117" s="65">
        <f>L116/L85</f>
        <v>83.32</v>
      </c>
      <c r="M117" s="65">
        <f>M116/M85</f>
        <v>57.31</v>
      </c>
      <c r="N117" s="65">
        <f>N116/N85</f>
        <v>68.09</v>
      </c>
      <c r="O117" s="65">
        <f>O116/O85</f>
        <v>95.57</v>
      </c>
      <c r="P117" s="65">
        <f>P116/P85</f>
        <v>122</v>
      </c>
      <c r="Q117" s="65">
        <f>Q116/Q85</f>
        <v>958.16</v>
      </c>
      <c r="T117" s="65">
        <f t="shared" ref="T117:Z117" si="125">T116/T85</f>
        <v>97.7</v>
      </c>
      <c r="U117" s="65">
        <f t="shared" si="125"/>
        <v>91.82</v>
      </c>
      <c r="V117" s="65">
        <f t="shared" si="125"/>
        <v>96.55</v>
      </c>
      <c r="W117" s="65">
        <f t="shared" si="125"/>
        <v>122</v>
      </c>
      <c r="X117" s="65">
        <f t="shared" si="125"/>
        <v>230.26</v>
      </c>
      <c r="Y117" s="65">
        <f t="shared" si="125"/>
        <v>415.56</v>
      </c>
      <c r="Z117" s="65">
        <f t="shared" si="125"/>
        <v>923.52</v>
      </c>
      <c r="AA117" s="65">
        <f t="shared" ref="T117:AA117" si="126">AA116/AA85</f>
        <v>958.16</v>
      </c>
      <c r="AC117" s="65">
        <f ca="1">AC116/AC85</f>
        <v>1063</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L111/L5</f>
        <v>0.2115502616856163</v>
      </c>
      <c r="M121" s="74">
        <f>M111/M5</f>
        <v>0.28243058716431496</v>
      </c>
      <c r="N121" s="74">
        <f>N111/N5</f>
        <v>-0.37535392535392537</v>
      </c>
      <c r="O121" s="74">
        <f>O111/O5</f>
        <v>3.0982437975389271E-2</v>
      </c>
      <c r="P121" s="74">
        <f>P111/P5</f>
        <v>0.22844989030980792</v>
      </c>
      <c r="Q121" s="74">
        <f>Q111/Q5</f>
        <v>0.63796287953869713</v>
      </c>
      <c r="T121" s="77"/>
      <c r="U121" s="77"/>
      <c r="V121" s="77"/>
      <c r="W121" s="77"/>
      <c r="X121" s="77"/>
      <c r="Y121" s="77"/>
      <c r="Z121" s="77"/>
      <c r="AA121" s="77"/>
      <c r="AC121" s="74">
        <f>AC111/AC5</f>
        <v>0.63796287953869713</v>
      </c>
    </row>
    <row r="122" spans="1:31" x14ac:dyDescent="0.2">
      <c r="B122" s="20" t="s">
        <v>101</v>
      </c>
      <c r="L122" s="75">
        <f>L5/L37</f>
        <v>0.47078115176128738</v>
      </c>
      <c r="M122" s="75">
        <f>M5/M37</f>
        <v>0.4640405533847291</v>
      </c>
      <c r="N122" s="75">
        <f>N5/N37</f>
        <v>0.24185264730600431</v>
      </c>
      <c r="O122" s="75">
        <f>O5/O37</f>
        <v>0.36174657139564365</v>
      </c>
      <c r="P122" s="75">
        <f>P5/P37</f>
        <v>0.45143602502475905</v>
      </c>
      <c r="Q122" s="75">
        <f>Q5/Q37</f>
        <v>0.67991913746630728</v>
      </c>
      <c r="T122" s="78"/>
      <c r="U122" s="78"/>
      <c r="V122" s="78"/>
      <c r="W122" s="78"/>
      <c r="X122" s="78"/>
      <c r="Y122" s="78"/>
      <c r="Z122" s="78"/>
      <c r="AA122" s="78"/>
      <c r="AC122" s="75">
        <f>AC5/AC37</f>
        <v>0.67991913746630728</v>
      </c>
    </row>
    <row r="123" spans="1:31" x14ac:dyDescent="0.2">
      <c r="B123" s="32" t="s">
        <v>102</v>
      </c>
      <c r="L123" s="76">
        <f t="shared" ref="L123:O123" si="127">L121*L122</f>
        <v>9.9593875851756192E-2</v>
      </c>
      <c r="M123" s="76">
        <f t="shared" si="127"/>
        <v>0.1310592459605027</v>
      </c>
      <c r="N123" s="76">
        <f t="shared" si="127"/>
        <v>-9.0780340523547179E-2</v>
      </c>
      <c r="O123" s="76">
        <f t="shared" si="127"/>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L37/L49</f>
        <v>1.3395169917829421</v>
      </c>
      <c r="M124" s="75">
        <f>M37/M49</f>
        <v>1.3281303223996634</v>
      </c>
      <c r="N124" s="75">
        <f>N37/N49</f>
        <v>1.4563463281958295</v>
      </c>
      <c r="O124" s="75">
        <f>O37/O49</f>
        <v>1.5381001972036958</v>
      </c>
      <c r="P124" s="75">
        <f>P37/P49</f>
        <v>1.5286254961691128</v>
      </c>
      <c r="Q124" s="75">
        <f>Q37/Q49</f>
        <v>1.4156007457832893</v>
      </c>
      <c r="T124" s="80"/>
      <c r="U124" s="80"/>
      <c r="V124" s="80"/>
      <c r="W124" s="80"/>
      <c r="X124" s="80"/>
      <c r="Y124" s="80"/>
      <c r="Z124" s="80"/>
      <c r="AA124" s="80"/>
      <c r="AC124" s="75">
        <f>AC37/AC49</f>
        <v>1.4156007457832893</v>
      </c>
    </row>
    <row r="125" spans="1:31" x14ac:dyDescent="0.2">
      <c r="B125" s="32" t="s">
        <v>104</v>
      </c>
      <c r="L125" s="76">
        <f t="shared" ref="L125:O125" si="128">L123*L124</f>
        <v>0.13340768898094826</v>
      </c>
      <c r="M125" s="76">
        <f t="shared" si="128"/>
        <v>0.17406375859097922</v>
      </c>
      <c r="N125" s="76">
        <f t="shared" si="128"/>
        <v>-0.13220761559383501</v>
      </c>
      <c r="O125" s="76">
        <f t="shared" si="128"/>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29">U5</f>
        <v>8053</v>
      </c>
      <c r="U131" s="25">
        <f t="shared" ref="U131" si="130">V5</f>
        <v>9301</v>
      </c>
      <c r="V131" s="25">
        <f t="shared" ref="V131" si="131">W5</f>
        <v>11315</v>
      </c>
      <c r="W131" s="25">
        <f t="shared" ref="W131" si="132">X5</f>
        <v>13643</v>
      </c>
      <c r="X131" s="25">
        <f t="shared" ref="X131" si="133">Y5</f>
        <v>23860</v>
      </c>
      <c r="Y131" s="25">
        <f t="shared" ref="Y131" si="134">Z5</f>
        <v>41456</v>
      </c>
      <c r="Z131" s="25">
        <f t="shared" ref="Z131" si="135">AA5</f>
        <v>54229</v>
      </c>
      <c r="AA131" s="25">
        <f t="shared" ref="T131:AA131" si="136">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Z132" si="137">IF(T131&gt;T130, "BEAT", IF(T131&lt;T129, "MISSED", "MET"))</f>
        <v>MET</v>
      </c>
      <c r="U132" s="225" t="str">
        <f t="shared" si="137"/>
        <v>BEAT</v>
      </c>
      <c r="V132" s="225" t="str">
        <f t="shared" si="137"/>
        <v>BEAT</v>
      </c>
      <c r="W132" s="225" t="str">
        <f t="shared" si="137"/>
        <v>BEAT</v>
      </c>
      <c r="X132" s="225" t="str">
        <f t="shared" si="137"/>
        <v>BEAT</v>
      </c>
      <c r="Y132" s="225" t="str">
        <f t="shared" si="137"/>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38">V26</f>
        <v>1.68</v>
      </c>
      <c r="V135" s="65">
        <f t="shared" ref="V135" si="139">W26</f>
        <v>2.83</v>
      </c>
      <c r="W135" s="65">
        <f t="shared" ref="W135" si="140">X26</f>
        <v>4.5999999999999996</v>
      </c>
      <c r="X135" s="65">
        <f t="shared" ref="X135" si="141">Y26</f>
        <v>12.07</v>
      </c>
      <c r="Y135" s="65">
        <f t="shared" ref="Y135" si="142">Z26</f>
        <v>24.67</v>
      </c>
      <c r="Z135" s="65">
        <f t="shared" ref="Z135" si="143">AA26</f>
        <v>32.869999999999997</v>
      </c>
      <c r="AA135" s="65">
        <f t="shared" ref="V135:AA135" si="144">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Z136" si="145">IF(T135&gt;T134, "BEAT", IF(T135&lt;T133, "MISSED", "MET"))</f>
        <v>MET</v>
      </c>
      <c r="U136" s="225" t="str">
        <f t="shared" si="145"/>
        <v>BEAT</v>
      </c>
      <c r="V136" s="225" t="str">
        <f t="shared" si="145"/>
        <v>BEAT</v>
      </c>
      <c r="W136" s="225" t="str">
        <f t="shared" si="145"/>
        <v>BEAT</v>
      </c>
      <c r="X136" s="225" t="str">
        <f t="shared" si="145"/>
        <v>BEAT</v>
      </c>
      <c r="Y136" s="225" t="str">
        <f t="shared" si="145"/>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L109/(L108+L112-L107)</f>
        <v>0.14598698400731994</v>
      </c>
      <c r="M140" s="81">
        <f>M109/(M108+M112-M107)</f>
        <v>0.19203328862527738</v>
      </c>
      <c r="N140" s="81">
        <f>N109/(N108+N112-N107)</f>
        <v>-0.12220284182761848</v>
      </c>
      <c r="O140" s="81">
        <f>O109/(O108+O112-O107)</f>
        <v>1.6804167624861494E-2</v>
      </c>
      <c r="P140" s="81">
        <f>P109/(P108+P112-P107)</f>
        <v>0.15196448091538983</v>
      </c>
      <c r="Q140" s="81">
        <f>Q109/(Q108+Q112-Q107)</f>
        <v>1.2071781950589597</v>
      </c>
      <c r="T140" s="49"/>
      <c r="U140" s="49"/>
      <c r="V140" s="49"/>
      <c r="W140" s="49"/>
      <c r="X140" s="49"/>
      <c r="Y140" s="49"/>
      <c r="Z140" s="49"/>
      <c r="AA140" s="49"/>
      <c r="AC140" s="81">
        <f>AC109/(AC108+AC112-AC107)</f>
        <v>1.2071781950589597</v>
      </c>
    </row>
    <row r="141" spans="2:29" x14ac:dyDescent="0.2">
      <c r="B141" s="20" t="s">
        <v>139</v>
      </c>
      <c r="L141" s="122">
        <f t="shared" ref="L141:P141" si="146">L30/L5*365</f>
        <v>69.969861035914093</v>
      </c>
      <c r="M141" s="122">
        <f t="shared" si="146"/>
        <v>60.876845048442682</v>
      </c>
      <c r="N141" s="122">
        <f t="shared" si="146"/>
        <v>57.380630630630634</v>
      </c>
      <c r="O141" s="122">
        <f t="shared" si="146"/>
        <v>96.152084743737802</v>
      </c>
      <c r="P141" s="122">
        <f t="shared" si="146"/>
        <v>90.473674353898005</v>
      </c>
      <c r="Q141" s="122">
        <f t="shared" ref="M141:Q142" si="147">Q30/Q5*365</f>
        <v>99.197412679820999</v>
      </c>
      <c r="T141" s="122">
        <f t="shared" ref="T141:Z141" si="148">T30/T5*90</f>
        <v>76.710299689975884</v>
      </c>
      <c r="U141" s="122">
        <f t="shared" si="148"/>
        <v>72.688439091021976</v>
      </c>
      <c r="V141" s="122">
        <f t="shared" si="148"/>
        <v>71.953553381356841</v>
      </c>
      <c r="W141" s="122">
        <f t="shared" si="148"/>
        <v>73.694211224038895</v>
      </c>
      <c r="X141" s="122">
        <f t="shared" si="148"/>
        <v>67.181704903613578</v>
      </c>
      <c r="Y141" s="122">
        <f t="shared" si="148"/>
        <v>65.30846605196983</v>
      </c>
      <c r="Z141" s="122">
        <f t="shared" si="148"/>
        <v>67.354544577383251</v>
      </c>
      <c r="AA141" s="122">
        <f t="shared" ref="T141:AA141" si="149">AA30/AA5*90</f>
        <v>60.07357686846521</v>
      </c>
      <c r="AC141" s="122">
        <f>AC30/AC5*365</f>
        <v>99.197412679820999</v>
      </c>
    </row>
    <row r="142" spans="2:29" x14ac:dyDescent="0.2">
      <c r="B142" s="20" t="s">
        <v>140</v>
      </c>
      <c r="L142" s="122">
        <f t="shared" ref="L142:P142" si="150">L31/L6*365</f>
        <v>94.766520078694597</v>
      </c>
      <c r="M142" s="122">
        <f t="shared" si="150"/>
        <v>144.24644128113877</v>
      </c>
      <c r="N142" s="122">
        <f t="shared" si="150"/>
        <v>180.5411063930172</v>
      </c>
      <c r="O142" s="122">
        <f t="shared" si="150"/>
        <v>166.13883475228226</v>
      </c>
      <c r="P142" s="122">
        <f t="shared" si="150"/>
        <v>135.5065540990891</v>
      </c>
      <c r="Q142" s="122">
        <f t="shared" si="147"/>
        <v>147.39838031459274</v>
      </c>
      <c r="T142" s="122">
        <f t="shared" ref="T142:Z142" si="151">T31/T6*365</f>
        <v>592.67394142883791</v>
      </c>
      <c r="U142" s="122">
        <f t="shared" si="151"/>
        <v>645.88506876227905</v>
      </c>
      <c r="V142" s="122">
        <f t="shared" si="151"/>
        <v>549.86276540652511</v>
      </c>
      <c r="W142" s="122">
        <f t="shared" si="151"/>
        <v>487.07474844274077</v>
      </c>
      <c r="X142" s="122">
        <f t="shared" si="151"/>
        <v>499.38719359679845</v>
      </c>
      <c r="Y142" s="122">
        <f t="shared" si="151"/>
        <v>494.25962325962325</v>
      </c>
      <c r="Z142" s="122">
        <f t="shared" si="151"/>
        <v>488.58671874999999</v>
      </c>
      <c r="AA142" s="122">
        <f t="shared" ref="T142:AA142" si="152">AA31/AA6*365</f>
        <v>527.12057922584245</v>
      </c>
      <c r="AC142" s="122">
        <f>AC31/AC6*365</f>
        <v>147.39838031459274</v>
      </c>
    </row>
    <row r="143" spans="2:29" x14ac:dyDescent="0.2">
      <c r="B143" s="20" t="s">
        <v>141</v>
      </c>
      <c r="L143" s="122">
        <f>L38/L6*365</f>
        <v>112.46528179608841</v>
      </c>
      <c r="M143" s="122">
        <f>M38/M6*365</f>
        <v>131.84163701067615</v>
      </c>
      <c r="N143" s="122">
        <f>N38/N6*365</f>
        <v>85.201108752064172</v>
      </c>
      <c r="O143" s="122">
        <f>O38/O6*365</f>
        <v>136.63632167401784</v>
      </c>
      <c r="P143" s="122">
        <f>P38/P6*365</f>
        <v>156.4934459009109</v>
      </c>
      <c r="Q143" s="122">
        <f>Q38/Q6*365</f>
        <v>321.24377044074129</v>
      </c>
      <c r="T143" s="122">
        <f t="shared" ref="T143:Z143" si="153">T38/T6*90</f>
        <v>119.63066592053723</v>
      </c>
      <c r="U143" s="122">
        <f t="shared" si="153"/>
        <v>109.20235756385068</v>
      </c>
      <c r="V143" s="122">
        <f t="shared" si="153"/>
        <v>136.11082340756084</v>
      </c>
      <c r="W143" s="122">
        <f t="shared" si="153"/>
        <v>138.70148538572113</v>
      </c>
      <c r="X143" s="122">
        <f t="shared" si="153"/>
        <v>146.60830415207604</v>
      </c>
      <c r="Y143" s="122">
        <f t="shared" si="153"/>
        <v>162.11793611793613</v>
      </c>
      <c r="Z143" s="122">
        <f t="shared" si="153"/>
        <v>218.26406250000002</v>
      </c>
      <c r="AA143" s="122">
        <f t="shared" ref="T143:AA143" si="154">AA38/AA6*90</f>
        <v>283.27067669172936</v>
      </c>
      <c r="AC143" s="122">
        <f>AC38/AC6*365</f>
        <v>321.24377044074129</v>
      </c>
    </row>
    <row r="144" spans="2:29" x14ac:dyDescent="0.2">
      <c r="B144" s="20" t="s">
        <v>142</v>
      </c>
      <c r="L144" s="122">
        <f>L141+L142-L143</f>
        <v>52.271099318520285</v>
      </c>
      <c r="M144" s="122">
        <f t="shared" ref="M144:P144" si="155">M141+M142-M143</f>
        <v>73.281649318905295</v>
      </c>
      <c r="N144" s="122">
        <f t="shared" si="155"/>
        <v>152.72062827158368</v>
      </c>
      <c r="O144" s="122">
        <f t="shared" si="155"/>
        <v>125.65459782200224</v>
      </c>
      <c r="P144" s="122">
        <f t="shared" si="155"/>
        <v>69.486782552076193</v>
      </c>
      <c r="Q144" s="122">
        <f t="shared" ref="N144:Q144" si="156">Q141+Q142-Q143</f>
        <v>-74.647977446327559</v>
      </c>
      <c r="T144" s="122">
        <f t="shared" ref="T144:U144" si="157">T141+T142-T143</f>
        <v>549.75357519827651</v>
      </c>
      <c r="U144" s="122">
        <f t="shared" ref="U144:V144" si="158">U141+U142-U143</f>
        <v>609.37115028945038</v>
      </c>
      <c r="V144" s="122">
        <f t="shared" ref="V144:W144" si="159">V141+V142-V143</f>
        <v>485.70549538032117</v>
      </c>
      <c r="W144" s="122">
        <f t="shared" ref="W144:X144" si="160">W141+W142-W143</f>
        <v>422.06747428105854</v>
      </c>
      <c r="X144" s="122">
        <f t="shared" ref="X144:Z144" si="161">X141+X142-X143</f>
        <v>419.96059434833603</v>
      </c>
      <c r="Y144" s="122">
        <f t="shared" si="161"/>
        <v>397.450153193657</v>
      </c>
      <c r="Z144" s="122">
        <f t="shared" si="161"/>
        <v>337.67720082738322</v>
      </c>
      <c r="AA144" s="122">
        <f t="shared" ref="Z144:AA144" si="162">AA141+AA142-AA143</f>
        <v>303.92347940257832</v>
      </c>
      <c r="AC144" s="122">
        <f t="shared" ref="AC144" si="163">AC141+AC142-AC143</f>
        <v>-74.647977446327559</v>
      </c>
    </row>
    <row r="145" spans="2:29" x14ac:dyDescent="0.2">
      <c r="B145" s="20" t="s">
        <v>251</v>
      </c>
      <c r="L145" s="122">
        <f>L108/L49</f>
        <v>0.15423485762410943</v>
      </c>
      <c r="M145" s="122">
        <f>M108/M49</f>
        <v>0.13837738193039054</v>
      </c>
      <c r="N145" s="122">
        <f>N108/N49</f>
        <v>0.30213055303717135</v>
      </c>
      <c r="O145" s="122">
        <f>O108/O49</f>
        <v>0.29684695663734462</v>
      </c>
      <c r="P145" s="122">
        <f>P108/P49</f>
        <v>0.26912212683467185</v>
      </c>
      <c r="Q145" s="122">
        <f>Q108/Q49</f>
        <v>3.7426469525502611E-2</v>
      </c>
      <c r="T145" s="122">
        <f t="shared" ref="T145:Z145" si="164">T108/T49</f>
        <v>0.29457016475415093</v>
      </c>
      <c r="U145" s="122">
        <f t="shared" si="164"/>
        <v>0.29516994633273702</v>
      </c>
      <c r="V145" s="122">
        <f t="shared" si="164"/>
        <v>0.30623866950421691</v>
      </c>
      <c r="W145" s="122">
        <f t="shared" si="164"/>
        <v>0.26912212683467185</v>
      </c>
      <c r="X145" s="122">
        <f t="shared" si="164"/>
        <v>0.19991157364894738</v>
      </c>
      <c r="Y145" s="122">
        <f t="shared" si="164"/>
        <v>0.13996880994769456</v>
      </c>
      <c r="Z145" s="122">
        <f t="shared" si="164"/>
        <v>5.6808704975973949E-2</v>
      </c>
      <c r="AA145" s="122">
        <f t="shared" ref="T145:AA145" si="165">AA108/AA49</f>
        <v>3.7426469525502611E-2</v>
      </c>
      <c r="AC145" s="122">
        <f>AC108/AC49</f>
        <v>3.7426469525502611E-2</v>
      </c>
    </row>
    <row r="146" spans="2:29" x14ac:dyDescent="0.2">
      <c r="B146" s="20" t="s">
        <v>255</v>
      </c>
      <c r="L146" s="179">
        <f>(L108-L107)/L49</f>
        <v>-8.2443721120797578E-2</v>
      </c>
      <c r="M146" s="179">
        <f>(M108-M107)/M49</f>
        <v>-8.1591760674855227E-2</v>
      </c>
      <c r="N146" s="179">
        <f>(N108-N107)/N49</f>
        <v>6.554850407978241E-2</v>
      </c>
      <c r="O146" s="179">
        <f>(O108-O107)/O49</f>
        <v>9.4059515632270496E-2</v>
      </c>
      <c r="P146" s="179">
        <f>(P108-P107)/P49</f>
        <v>4.8758423336102648E-2</v>
      </c>
      <c r="Q146" s="179">
        <f>(Q108-Q107)/Q49</f>
        <v>-0.49338767723192994</v>
      </c>
      <c r="T146" s="179">
        <f t="shared" ref="T146:Z146" si="166">(T108-T107)/T49</f>
        <v>0.10772058037908414</v>
      </c>
      <c r="U146" s="179">
        <f t="shared" si="166"/>
        <v>9.7978738716509362E-2</v>
      </c>
      <c r="V146" s="179">
        <f t="shared" si="166"/>
        <v>6.5578939071490497E-2</v>
      </c>
      <c r="W146" s="179">
        <f t="shared" si="166"/>
        <v>4.8758423336102648E-2</v>
      </c>
      <c r="X146" s="179">
        <f t="shared" si="166"/>
        <v>-4.4043124851205658E-3</v>
      </c>
      <c r="Y146" s="179">
        <f t="shared" si="166"/>
        <v>-8.9498889026897968E-2</v>
      </c>
      <c r="Z146" s="179">
        <f t="shared" si="166"/>
        <v>-0.24230570668361065</v>
      </c>
      <c r="AA146" s="179">
        <f t="shared" ref="T146:AA146" si="167">(AA108-AA107)/AA49</f>
        <v>-0.49338767723192994</v>
      </c>
      <c r="AC146" s="179">
        <f>(AC108-AC107)/AC49</f>
        <v>-0.49338767723192994</v>
      </c>
    </row>
    <row r="147" spans="2:29" x14ac:dyDescent="0.2">
      <c r="B147" s="20" t="s">
        <v>252</v>
      </c>
      <c r="L147" s="122">
        <f>(L107+L30)/L40</f>
        <v>2.4453611457036115</v>
      </c>
      <c r="M147" s="122">
        <f>(M107+M30)/M40</f>
        <v>2.1366228942830614</v>
      </c>
      <c r="N147" s="122">
        <f>(N107+N30)/N40</f>
        <v>2.7032528856243441</v>
      </c>
      <c r="O147" s="122">
        <f>(O107+O30)/O40</f>
        <v>1.704909169550173</v>
      </c>
      <c r="P147" s="122">
        <f>(P107+P30)/P40</f>
        <v>1.8509690937663699</v>
      </c>
      <c r="Q147" s="122">
        <f>(Q107+Q30)/Q40</f>
        <v>3.9898842878975329</v>
      </c>
      <c r="T147" s="122">
        <f t="shared" ref="T147:Z147" si="168">(T107+T30)/T40</f>
        <v>1.7933444259567388</v>
      </c>
      <c r="U147" s="122">
        <f t="shared" si="168"/>
        <v>2.0431636409800684</v>
      </c>
      <c r="V147" s="122">
        <f t="shared" si="168"/>
        <v>1.9387271830291071</v>
      </c>
      <c r="W147" s="122">
        <f t="shared" si="168"/>
        <v>1.8509690937663699</v>
      </c>
      <c r="X147" s="122">
        <f t="shared" si="168"/>
        <v>1.8407131011608624</v>
      </c>
      <c r="Y147" s="122">
        <f t="shared" si="168"/>
        <v>2.3741606043648571</v>
      </c>
      <c r="Z147" s="122">
        <f t="shared" si="168"/>
        <v>3.1379823481116587</v>
      </c>
      <c r="AA147" s="122">
        <f t="shared" ref="T147:AA147" si="169">(AA107+AA30)/AA40</f>
        <v>3.9898842878975329</v>
      </c>
      <c r="AC147" s="122">
        <f>(AC107+AC30)/AC40</f>
        <v>3.9898842878975329</v>
      </c>
    </row>
    <row r="148" spans="2:29" x14ac:dyDescent="0.2">
      <c r="B148" s="20" t="s">
        <v>253</v>
      </c>
      <c r="L148" s="122">
        <f>L32/L40</f>
        <v>3.0988480697384806</v>
      </c>
      <c r="M148" s="122">
        <f>M32/M40</f>
        <v>2.88910996153336</v>
      </c>
      <c r="N148" s="122">
        <f>N32/N40</f>
        <v>4.4583420776495277</v>
      </c>
      <c r="O148" s="122">
        <f>O32/O40</f>
        <v>2.6353806228373702</v>
      </c>
      <c r="P148" s="122">
        <f>P32/P40</f>
        <v>2.5179849834119086</v>
      </c>
      <c r="Q148" s="122">
        <f>Q32/Q40</f>
        <v>3.313805399898115</v>
      </c>
      <c r="T148" s="122">
        <f t="shared" ref="T148:Z148" si="170">T32/T40</f>
        <v>2.7169162506932891</v>
      </c>
      <c r="U148" s="122">
        <f t="shared" si="170"/>
        <v>3.1343150945791547</v>
      </c>
      <c r="V148" s="122">
        <f t="shared" si="170"/>
        <v>2.7547113961519485</v>
      </c>
      <c r="W148" s="122">
        <f t="shared" si="170"/>
        <v>2.5179849834119086</v>
      </c>
      <c r="X148" s="122">
        <f t="shared" si="170"/>
        <v>2.4597844112769485</v>
      </c>
      <c r="Y148" s="122">
        <f t="shared" si="170"/>
        <v>2.8968242865137102</v>
      </c>
      <c r="Z148" s="122">
        <f t="shared" si="170"/>
        <v>3.4245176518883413</v>
      </c>
      <c r="AA148" s="122">
        <f t="shared" ref="T148:AA148" si="171">AA32/AA40</f>
        <v>3.313805399898115</v>
      </c>
      <c r="AC148" s="122">
        <f>AC32/AC40</f>
        <v>3.313805399898115</v>
      </c>
    </row>
    <row r="149" spans="2:29" x14ac:dyDescent="0.2">
      <c r="B149" s="20" t="s">
        <v>259</v>
      </c>
      <c r="L149" s="181">
        <f>IF(L13&gt;=0,"N/A",IF(L12&lt;=0,"N/A",L12/-L13))</f>
        <v>43.034246575342465</v>
      </c>
      <c r="M149" s="181">
        <f>IF(M13&gt;=0,"N/A",IF(M12&lt;=0,"N/A",M12/-M13))</f>
        <v>104.3225806451613</v>
      </c>
      <c r="N149" s="181" t="str">
        <f>IF(N13&gt;=0,"N/A",IF(N12&lt;=0,"N/A",N12/-N13))</f>
        <v>N/A</v>
      </c>
      <c r="O149" s="181">
        <f>IF(O13&gt;=0,"N/A",IF(O12&lt;=0,"N/A",O12/-O13))</f>
        <v>39.515151515151516</v>
      </c>
      <c r="P149" s="181" t="str">
        <f>IF(P13&gt;=0,"N/A",IF(P12&lt;=0,"N/A",P12/-P13))</f>
        <v>N/A</v>
      </c>
      <c r="Q149" s="181" t="str">
        <f>IF(Q13&gt;=0,"N/A",IF(Q12&lt;=0,"N/A",Q12/-Q13))</f>
        <v>N/A</v>
      </c>
      <c r="T149" s="181">
        <f t="shared" ref="T149:Z149" si="172">IF(T13&gt;=0,"N/A",IF(T12&lt;=0,"N/A",T12/-T13))</f>
        <v>197.63636363636363</v>
      </c>
      <c r="U149" s="181">
        <f t="shared" si="172"/>
        <v>443.25</v>
      </c>
      <c r="V149" s="181" t="str">
        <f t="shared" si="172"/>
        <v>N/A</v>
      </c>
      <c r="W149" s="181" t="str">
        <f t="shared" si="172"/>
        <v>N/A</v>
      </c>
      <c r="X149" s="181" t="str">
        <f t="shared" si="172"/>
        <v>N/A</v>
      </c>
      <c r="Y149" s="181" t="str">
        <f t="shared" si="172"/>
        <v>N/A</v>
      </c>
      <c r="Z149" s="181" t="str">
        <f t="shared" si="172"/>
        <v>N/A</v>
      </c>
      <c r="AA149" s="181" t="str">
        <f t="shared" ref="T149:AA149" si="173">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14.324215065355071</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9.1225110370303639</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8.6728164881700849</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1090386.08</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1218198</v>
      </c>
    </row>
    <row r="154" spans="2:29" x14ac:dyDescent="0.2">
      <c r="B154" s="20" t="s">
        <v>188</v>
      </c>
      <c r="L154" s="145">
        <f>L153+L108-L107+L48+L45</f>
        <v>91362.799999999988</v>
      </c>
      <c r="M154" s="145">
        <f>M153+M108-M107+M48+M45</f>
        <v>58797.070000000007</v>
      </c>
      <c r="N154" s="145">
        <f>N153+N108-N107+N48+N45</f>
        <v>77654.820000000007</v>
      </c>
      <c r="O154" s="145">
        <f>O153+O108-O107+O48+O45</f>
        <v>111474.54</v>
      </c>
      <c r="P154" s="145">
        <f>P153+P108-P107+P48+P45</f>
        <v>140623</v>
      </c>
      <c r="Q154" s="145">
        <f>Q153+Q108-Q107+Q48+Q45</f>
        <v>1022112.0800000001</v>
      </c>
      <c r="T154" s="145">
        <f t="shared" ref="T154:Z154" si="174">T153+T108-T107+T48+T45</f>
        <v>114953.5</v>
      </c>
      <c r="U154" s="145">
        <f t="shared" si="174"/>
        <v>108154.31999999999</v>
      </c>
      <c r="V154" s="145">
        <f t="shared" si="174"/>
        <v>112043.3</v>
      </c>
      <c r="W154" s="145">
        <f t="shared" si="174"/>
        <v>140623</v>
      </c>
      <c r="X154" s="145">
        <f t="shared" si="174"/>
        <v>262007.14</v>
      </c>
      <c r="Y154" s="145">
        <f t="shared" si="174"/>
        <v>468915.64</v>
      </c>
      <c r="Z154" s="145">
        <f t="shared" si="174"/>
        <v>1033947.9199999999</v>
      </c>
      <c r="AA154" s="145">
        <f t="shared" ref="T154:AA154" si="175">AA153+AA108-AA107+AA48+AA45</f>
        <v>1029777.3599999999</v>
      </c>
      <c r="AC154" s="145">
        <f ca="1">AC153+AC108-AC107+AC48+AC45</f>
        <v>1149924</v>
      </c>
    </row>
    <row r="155" spans="2:29" x14ac:dyDescent="0.2">
      <c r="B155" s="20" t="s">
        <v>260</v>
      </c>
      <c r="L155" s="183">
        <f>L154/L5</f>
        <v>3.2977007760332064</v>
      </c>
      <c r="M155" s="183">
        <f>M154/M5</f>
        <v>1.9116025099161196</v>
      </c>
      <c r="N155" s="183">
        <f>N154/N5</f>
        <v>4.9970926640926647</v>
      </c>
      <c r="O155" s="183">
        <f>O154/O5</f>
        <v>4.4392712357134325</v>
      </c>
      <c r="P155" s="183">
        <f>P154/P5</f>
        <v>3.7621863128043236</v>
      </c>
      <c r="Q155" s="183">
        <f>Q154/Q5</f>
        <v>7.674205483977536</v>
      </c>
      <c r="T155" s="49"/>
      <c r="U155" s="49"/>
      <c r="V155" s="49"/>
      <c r="W155" s="49"/>
      <c r="X155" s="49"/>
      <c r="Y155" s="49"/>
      <c r="Z155" s="49"/>
      <c r="AA155" s="49"/>
      <c r="AC155" s="183">
        <f ca="1">AC154/AC5</f>
        <v>8.6338408865663574</v>
      </c>
    </row>
    <row r="156" spans="2:29" x14ac:dyDescent="0.2">
      <c r="B156" s="20" t="s">
        <v>204</v>
      </c>
      <c r="L156" s="183">
        <f>L154/L12</f>
        <v>14.541270093904185</v>
      </c>
      <c r="M156" s="183">
        <f>M154/M12</f>
        <v>6.0603040610183472</v>
      </c>
      <c r="N156" s="183">
        <f>N154/N12</f>
        <v>-13.51693994778068</v>
      </c>
      <c r="O156" s="183">
        <f>O154/O12</f>
        <v>85.48661042944785</v>
      </c>
      <c r="P156" s="183">
        <f>P154/P12</f>
        <v>14.393346980552712</v>
      </c>
      <c r="Q156" s="183">
        <f>Q154/Q12</f>
        <v>10.289028387356554</v>
      </c>
      <c r="T156" s="49"/>
      <c r="U156" s="49"/>
      <c r="V156" s="49"/>
      <c r="W156" s="49"/>
      <c r="X156" s="49"/>
      <c r="Y156" s="49"/>
      <c r="Z156" s="49"/>
      <c r="AA156" s="49"/>
      <c r="AC156" s="183">
        <f ca="1">AC154/AC12</f>
        <v>11.575639218844373</v>
      </c>
    </row>
    <row r="157" spans="2:29" x14ac:dyDescent="0.2">
      <c r="B157" s="20" t="s">
        <v>261</v>
      </c>
      <c r="L157" s="64">
        <f>L59-L54+L110+L65</f>
        <v>2060</v>
      </c>
      <c r="M157" s="64">
        <f>M59-M54+M110+M65</f>
        <v>2600</v>
      </c>
      <c r="N157" s="64">
        <f>N59-N54+N110+N65</f>
        <v>-6713</v>
      </c>
      <c r="O157" s="64">
        <f>O59-O54+O110+O65</f>
        <v>-712</v>
      </c>
      <c r="P157" s="64">
        <f>P59-P54+P110+P65</f>
        <v>696</v>
      </c>
      <c r="Q157" s="64">
        <f>Q59-Q54+Q110+Q65</f>
        <v>57630</v>
      </c>
      <c r="T157" s="64">
        <f t="shared" ref="T157:Z157" si="176">T59-T54+T110+T65</f>
        <v>-182</v>
      </c>
      <c r="U157" s="64">
        <f t="shared" si="176"/>
        <v>-362</v>
      </c>
      <c r="V157" s="64">
        <f t="shared" si="176"/>
        <v>1418</v>
      </c>
      <c r="W157" s="64">
        <f t="shared" si="176"/>
        <v>-178</v>
      </c>
      <c r="X157" s="64">
        <f t="shared" si="176"/>
        <v>2732</v>
      </c>
      <c r="Y157" s="64">
        <f t="shared" si="176"/>
        <v>5207</v>
      </c>
      <c r="Z157" s="64">
        <f t="shared" si="176"/>
        <v>17207</v>
      </c>
      <c r="AA157" s="64">
        <f t="shared" ref="T157:AA157" si="177">AA59-AA54+AA110+AA65</f>
        <v>32484</v>
      </c>
      <c r="AC157" s="64">
        <f>AC59-AC54+AC110+AC65</f>
        <v>57630</v>
      </c>
    </row>
    <row r="158" spans="2:29" x14ac:dyDescent="0.2">
      <c r="B158" s="20" t="s">
        <v>262</v>
      </c>
      <c r="L158" s="64">
        <f>L109+L53+L110+L55+L57+L58+L56</f>
        <v>1698.8813123190739</v>
      </c>
      <c r="M158" s="64">
        <f>M109+M53+M110+M55+M57+M58+M56</f>
        <v>2605.8457841395884</v>
      </c>
      <c r="N158" s="64">
        <f>N109+N53+N110+N55+N57+N58+N56</f>
        <v>-8557</v>
      </c>
      <c r="O158" s="64">
        <f>O109+O53+O110+O55+O57+O58+O56</f>
        <v>-660.27741935483937</v>
      </c>
      <c r="P158" s="64">
        <f>P109+P53+P110+P55+P57+P58+P56</f>
        <v>789.49430287963332</v>
      </c>
      <c r="Q158" s="64">
        <f>Q109+Q53+Q110+Q55+Q57+Q58+Q56</f>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178">M153/M157</f>
        <v>24.180411538461538</v>
      </c>
      <c r="N159" s="72">
        <f t="shared" si="178"/>
        <v>-11.137020706092658</v>
      </c>
      <c r="O159" s="72">
        <f t="shared" si="178"/>
        <v>-150.60328651685393</v>
      </c>
      <c r="P159" s="72">
        <f t="shared" si="178"/>
        <v>198.25</v>
      </c>
      <c r="Q159" s="72">
        <f t="shared" ref="N159:Q159" si="179">Q153/Q157</f>
        <v>18.92045948290821</v>
      </c>
      <c r="T159" s="49"/>
      <c r="U159" s="49"/>
      <c r="V159" s="49"/>
      <c r="W159" s="49"/>
      <c r="X159" s="49"/>
      <c r="Y159" s="49"/>
      <c r="Z159" s="49"/>
      <c r="AA159" s="49"/>
      <c r="AC159" s="72">
        <f t="shared" ref="AC159:AC160" ca="1" si="180">AC153/AC157</f>
        <v>21.138261322228008</v>
      </c>
    </row>
    <row r="160" spans="2:29" x14ac:dyDescent="0.2">
      <c r="B160" s="20" t="s">
        <v>264</v>
      </c>
      <c r="L160" s="72">
        <f>L154/L158</f>
        <v>53.778212366868843</v>
      </c>
      <c r="M160" s="72">
        <f t="shared" ref="M160:P160" si="181">M154/M158</f>
        <v>22.563526344447098</v>
      </c>
      <c r="N160" s="72">
        <f t="shared" si="181"/>
        <v>-9.0750052588524017</v>
      </c>
      <c r="O160" s="72">
        <f t="shared" si="181"/>
        <v>-168.8298535317509</v>
      </c>
      <c r="P160" s="72">
        <f t="shared" si="181"/>
        <v>178.11781476710598</v>
      </c>
      <c r="Q160" s="72">
        <f t="shared" ref="N160:Q160" si="182">Q154/Q158</f>
        <v>17.721305239010491</v>
      </c>
      <c r="T160" s="49"/>
      <c r="U160" s="49"/>
      <c r="V160" s="49"/>
      <c r="W160" s="49"/>
      <c r="X160" s="49"/>
      <c r="Y160" s="49"/>
      <c r="Z160" s="49"/>
      <c r="AA160" s="49"/>
      <c r="AC160" s="72">
        <f t="shared" ca="1" si="180"/>
        <v>19.937299053997972</v>
      </c>
    </row>
    <row r="161" spans="2:29" x14ac:dyDescent="0.2">
      <c r="B161" s="20" t="s">
        <v>265</v>
      </c>
      <c r="L161" s="74">
        <f>L157/L153</f>
        <v>2.1687680555204626E-2</v>
      </c>
      <c r="M161" s="74">
        <f t="shared" ref="M161:P161" si="183">M157/M153</f>
        <v>4.1355789102654132E-2</v>
      </c>
      <c r="N161" s="74">
        <f t="shared" si="183"/>
        <v>-8.9790620525014964E-2</v>
      </c>
      <c r="O161" s="74">
        <f t="shared" si="183"/>
        <v>-6.6399613390116198E-3</v>
      </c>
      <c r="P161" s="74">
        <f t="shared" si="183"/>
        <v>5.0441361916771753E-3</v>
      </c>
      <c r="Q161" s="74">
        <f t="shared" ref="N161:Q161" si="184">Q157/Q153</f>
        <v>5.2852839060454619E-2</v>
      </c>
      <c r="T161" s="49"/>
      <c r="U161" s="49"/>
      <c r="V161" s="49"/>
      <c r="W161" s="49"/>
      <c r="X161" s="49"/>
      <c r="Y161" s="49"/>
      <c r="Z161" s="49"/>
      <c r="AA161" s="49"/>
      <c r="AC161" s="74">
        <f t="shared" ref="AC161" ca="1" si="185">AC157/AC153</f>
        <v>4.7307580541094303E-2</v>
      </c>
    </row>
    <row r="162" spans="2:29" x14ac:dyDescent="0.2">
      <c r="B162" s="20" t="s">
        <v>266</v>
      </c>
      <c r="L162" s="74">
        <f>L26/L117</f>
        <v>6.1689870379260686E-2</v>
      </c>
      <c r="M162" s="74">
        <f>M26/M117</f>
        <v>0.13522945384749607</v>
      </c>
      <c r="N162" s="74">
        <f>N26/N117</f>
        <v>-7.8425613159054192E-2</v>
      </c>
      <c r="O162" s="74">
        <f>O26/O117</f>
        <v>7.3244742073872559E-3</v>
      </c>
      <c r="P162" s="74">
        <f>P26/P117</f>
        <v>6.221311475409836E-2</v>
      </c>
      <c r="Q162" s="74">
        <f>Q26/Q117</f>
        <v>7.7575770226267007E-2</v>
      </c>
      <c r="T162" s="49"/>
      <c r="U162" s="49"/>
      <c r="V162" s="49"/>
      <c r="W162" s="49"/>
      <c r="X162" s="49"/>
      <c r="Y162" s="49"/>
      <c r="Z162" s="49"/>
      <c r="AA162" s="49"/>
      <c r="AC162" s="74">
        <f ca="1">AC26/AC117</f>
        <v>6.9811853245531519E-2</v>
      </c>
    </row>
    <row r="163" spans="2:29" x14ac:dyDescent="0.2">
      <c r="B163" s="20" t="s">
        <v>267</v>
      </c>
      <c r="L163" s="156">
        <f>L82/L117</f>
        <v>1.2001920307249162E-3</v>
      </c>
      <c r="M163" s="156">
        <f>M82/M117</f>
        <v>5.4964229628337111E-3</v>
      </c>
      <c r="N163" s="156">
        <f>N82/N117</f>
        <v>6.7557644294316344E-3</v>
      </c>
      <c r="O163" s="156">
        <f>O82/O117</f>
        <v>4.8132259077116255E-3</v>
      </c>
      <c r="P163" s="156">
        <f>P82/P117</f>
        <v>3.7704918032786887E-3</v>
      </c>
      <c r="Q163" s="156">
        <f>Q82/Q117</f>
        <v>5.9489020622860477E-4</v>
      </c>
      <c r="T163" s="49"/>
      <c r="U163" s="49"/>
      <c r="V163" s="49"/>
      <c r="W163" s="49"/>
      <c r="X163" s="49"/>
      <c r="Y163" s="49"/>
      <c r="Z163" s="49"/>
      <c r="AA163" s="49"/>
      <c r="AC163" s="156">
        <f ca="1">AC82/AC117</f>
        <v>5.3151458137347136E-4</v>
      </c>
    </row>
    <row r="164" spans="2:29" x14ac:dyDescent="0.2">
      <c r="B164" s="20" t="s">
        <v>292</v>
      </c>
      <c r="L164" s="156">
        <f>-L63/L153</f>
        <v>1.362323234875475E-2</v>
      </c>
      <c r="M164" s="156">
        <f>-M63/M153</f>
        <v>4.0671827975187161E-2</v>
      </c>
      <c r="N164" s="156">
        <f>-N63/N153</f>
        <v>5.6846437841697245E-3</v>
      </c>
      <c r="O164" s="156">
        <f>-O63/O153</f>
        <v>2.7977365192464691E-3</v>
      </c>
      <c r="P164" s="156">
        <f>-P63/P153</f>
        <v>0</v>
      </c>
      <c r="Q164" s="156">
        <f>-Q63/Q153</f>
        <v>5.9611912874016142E-4</v>
      </c>
      <c r="T164" s="49"/>
      <c r="U164" s="49"/>
      <c r="V164" s="49"/>
      <c r="W164" s="49"/>
      <c r="X164" s="49"/>
      <c r="Y164" s="49"/>
      <c r="Z164" s="49"/>
      <c r="AA164" s="49"/>
      <c r="AC164" s="156">
        <f ca="1">-AC63/AC153</f>
        <v>5.3357500176490192E-4</v>
      </c>
    </row>
    <row r="165" spans="2:29" x14ac:dyDescent="0.2">
      <c r="B165" s="20" t="s">
        <v>294</v>
      </c>
      <c r="L165" s="156">
        <f>-(L63+L64)/L153</f>
        <v>1.362323234875475E-2</v>
      </c>
      <c r="M165" s="156">
        <f>-(M63+M64)/M153</f>
        <v>4.8004527504542378E-2</v>
      </c>
      <c r="N165" s="156">
        <f>-(N63+N64)/N153</f>
        <v>1.2425962530573351E-2</v>
      </c>
      <c r="O165" s="156">
        <f>-(O63+O64)/O153</f>
        <v>7.5818659671579311E-3</v>
      </c>
      <c r="P165" s="156">
        <f>-(P63+P64)/P153</f>
        <v>3.7831021437578815E-3</v>
      </c>
      <c r="Q165" s="156">
        <f>-(Q63+Q64)/Q153</f>
        <v>1.1555540034040052E-3</v>
      </c>
      <c r="T165" s="49"/>
      <c r="U165" s="49"/>
      <c r="V165" s="49"/>
      <c r="W165" s="49"/>
      <c r="X165" s="49"/>
      <c r="Y165" s="49"/>
      <c r="Z165" s="49"/>
      <c r="AA165" s="49"/>
      <c r="AC165" s="156">
        <f ca="1">-(AC63+AC64)/AC153</f>
        <v>1.0343146188058099E-3</v>
      </c>
    </row>
    <row r="166" spans="2:29" x14ac:dyDescent="0.2">
      <c r="B166" s="20" t="s">
        <v>343</v>
      </c>
      <c r="L166" s="156">
        <f>L158/L5</f>
        <v>6.1320386656526761E-2</v>
      </c>
      <c r="M166" s="156">
        <f>M158/M5</f>
        <v>8.4720911117094358E-2</v>
      </c>
      <c r="N166" s="156">
        <f>N158/N5</f>
        <v>-0.55064350064350065</v>
      </c>
      <c r="O166" s="156">
        <f>O158/O5</f>
        <v>-2.6294349860811573E-2</v>
      </c>
      <c r="P166" s="156">
        <f>P158/P5</f>
        <v>2.1121897984901099E-2</v>
      </c>
      <c r="Q166" s="156">
        <f>Q158/Q5</f>
        <v>0.43304967554444329</v>
      </c>
      <c r="T166" s="49"/>
      <c r="U166" s="49"/>
      <c r="V166" s="49"/>
      <c r="W166" s="49"/>
      <c r="X166" s="49"/>
      <c r="Y166" s="49"/>
      <c r="Z166" s="49"/>
      <c r="AA166" s="49"/>
      <c r="AC166" s="156">
        <f>AC158/AC5</f>
        <v>0.43304967554444329</v>
      </c>
    </row>
    <row r="167" spans="2:29" x14ac:dyDescent="0.2">
      <c r="B167" s="20" t="s">
        <v>344</v>
      </c>
      <c r="L167" s="156">
        <f>L157/L5</f>
        <v>7.4354809601155022E-2</v>
      </c>
      <c r="M167" s="156">
        <f>M157/M5</f>
        <v>8.453085376162299E-2</v>
      </c>
      <c r="N167" s="156">
        <f>N157/N5</f>
        <v>-0.43198198198198196</v>
      </c>
      <c r="O167" s="156">
        <f>O157/O5</f>
        <v>-2.8354107761538769E-2</v>
      </c>
      <c r="P167" s="156">
        <f>P157/P5</f>
        <v>1.86205789501846E-2</v>
      </c>
      <c r="Q167" s="156">
        <f>Q157/Q5</f>
        <v>0.43269663933687719</v>
      </c>
      <c r="T167" s="49"/>
      <c r="U167" s="49"/>
      <c r="V167" s="49"/>
      <c r="W167" s="49"/>
      <c r="X167" s="49"/>
      <c r="Y167" s="49"/>
      <c r="Z167" s="49"/>
      <c r="AA167" s="49"/>
      <c r="AC167" s="156">
        <f>AC157/AC5</f>
        <v>0.43269663933687719</v>
      </c>
    </row>
    <row r="168" spans="2:29" x14ac:dyDescent="0.2">
      <c r="B168" s="20" t="s">
        <v>270</v>
      </c>
      <c r="L168" s="156">
        <f>-L64/L157</f>
        <v>0</v>
      </c>
      <c r="M168" s="156">
        <f>-M64/M157</f>
        <v>0.17730769230769231</v>
      </c>
      <c r="N168" s="156">
        <f>-N64/N157</f>
        <v>-7.5078206465067784E-2</v>
      </c>
      <c r="O168" s="156">
        <f>-O64/O157</f>
        <v>-0.7205056179775281</v>
      </c>
      <c r="P168" s="156">
        <f>-P64/P157</f>
        <v>0.75</v>
      </c>
      <c r="Q168" s="156">
        <f>-Q64/Q157</f>
        <v>1.0584764879403089E-2</v>
      </c>
      <c r="T168" s="49"/>
      <c r="U168" s="49"/>
      <c r="V168" s="49"/>
      <c r="W168" s="49"/>
      <c r="X168" s="49"/>
      <c r="Y168" s="49"/>
      <c r="Z168" s="49"/>
      <c r="AA168" s="49"/>
      <c r="AC168" s="156">
        <f>-AC64/AC157</f>
        <v>1.0584764879403089E-2</v>
      </c>
    </row>
    <row r="169" spans="2:29" x14ac:dyDescent="0.2">
      <c r="B169" s="20" t="s">
        <v>272</v>
      </c>
      <c r="L169" s="156">
        <f>-L63/L157</f>
        <v>0.62815533980582527</v>
      </c>
      <c r="M169" s="156">
        <f>-M63/M157</f>
        <v>0.9834615384615385</v>
      </c>
      <c r="N169" s="156">
        <f>-N63/N157</f>
        <v>-6.3309995531059135E-2</v>
      </c>
      <c r="O169" s="156">
        <f>-O63/O157</f>
        <v>-0.42134831460674155</v>
      </c>
      <c r="P169" s="156">
        <f>-P63/P157</f>
        <v>0</v>
      </c>
      <c r="Q169" s="156">
        <f>-Q63/Q157</f>
        <v>1.1278847822314766E-2</v>
      </c>
      <c r="T169" s="49"/>
      <c r="U169" s="49"/>
      <c r="V169" s="49"/>
      <c r="W169" s="49"/>
      <c r="X169" s="49"/>
      <c r="Y169" s="49"/>
      <c r="Z169" s="49"/>
      <c r="AA169" s="49"/>
      <c r="AC169" s="156">
        <f>-AC63/AC157</f>
        <v>1.1278847822314766E-2</v>
      </c>
    </row>
    <row r="170" spans="2:29" x14ac:dyDescent="0.2">
      <c r="B170" s="20" t="s">
        <v>283</v>
      </c>
      <c r="L170" s="156">
        <f>(-L64-L63)/L157</f>
        <v>0.62815533980582527</v>
      </c>
      <c r="M170" s="156">
        <f>(-M64-M63)/M157</f>
        <v>1.1607692307692308</v>
      </c>
      <c r="N170" s="156">
        <f>(-N64-N63)/N157</f>
        <v>-0.13838820199612692</v>
      </c>
      <c r="O170" s="156">
        <f>(-O64-O63)/O157</f>
        <v>-1.1418539325842696</v>
      </c>
      <c r="P170" s="156">
        <f>(-P64-P63)/P157</f>
        <v>0.75</v>
      </c>
      <c r="Q170" s="156">
        <f>(-Q64-Q63)/Q157</f>
        <v>2.1863612701717855E-2</v>
      </c>
      <c r="T170" s="49"/>
      <c r="U170" s="49"/>
      <c r="V170" s="49"/>
      <c r="W170" s="49"/>
      <c r="X170" s="49"/>
      <c r="Y170" s="49"/>
      <c r="Z170" s="49"/>
      <c r="AA170" s="49"/>
      <c r="AC170" s="156">
        <f>(-AC64-AC63)/AC157</f>
        <v>2.1863612701717855E-2</v>
      </c>
    </row>
    <row r="171" spans="2:29" x14ac:dyDescent="0.2">
      <c r="B171" s="20" t="s">
        <v>277</v>
      </c>
      <c r="L171" s="156">
        <f>L80/L78</f>
        <v>3.5087719298245615E-3</v>
      </c>
      <c r="M171" s="156">
        <f>M80/M78</f>
        <v>3.6463081130355514E-3</v>
      </c>
      <c r="N171" s="156">
        <f>N80/N78</f>
        <v>3.6429872495446266E-3</v>
      </c>
      <c r="O171" s="156">
        <f>O80/O78</f>
        <v>2.6737967914438501E-3</v>
      </c>
      <c r="P171" s="156">
        <f>P80/P78</f>
        <v>2.6525198938992041E-3</v>
      </c>
      <c r="Q171" s="156">
        <f>Q80/Q78</f>
        <v>2.6362038664323375E-3</v>
      </c>
      <c r="T171" s="49"/>
      <c r="U171" s="49"/>
      <c r="V171" s="49"/>
      <c r="W171" s="49"/>
      <c r="X171" s="49"/>
      <c r="Y171" s="49"/>
      <c r="Z171" s="49"/>
      <c r="AA171" s="49"/>
      <c r="AC171" s="156">
        <f>AC80/AC78</f>
        <v>2.617801047120419E-3</v>
      </c>
    </row>
    <row r="172" spans="2:29" x14ac:dyDescent="0.2">
      <c r="B172" s="20" t="s">
        <v>278</v>
      </c>
      <c r="L172" s="72">
        <f>L107/L75</f>
        <v>9.2922252010723856</v>
      </c>
      <c r="M172" s="72">
        <f>M107/M75</f>
        <v>10.09935602575897</v>
      </c>
      <c r="N172" s="72">
        <f>N107/N75</f>
        <v>9.5063752276867035</v>
      </c>
      <c r="O172" s="72">
        <f>O107/O75</f>
        <v>8.252479711451759</v>
      </c>
      <c r="P172" s="72">
        <f>P107/P75</f>
        <v>10.638146167557933</v>
      </c>
      <c r="Q172" s="72">
        <f>Q107/Q75</f>
        <v>65.060230292294065</v>
      </c>
      <c r="T172" s="72">
        <f t="shared" ref="T172:Z172" si="186">T107/T75</f>
        <v>7.8491921005386001</v>
      </c>
      <c r="U172" s="72">
        <f t="shared" si="186"/>
        <v>8.5778175313059037</v>
      </c>
      <c r="V172" s="72">
        <f t="shared" si="186"/>
        <v>10.914209115281501</v>
      </c>
      <c r="W172" s="72">
        <f t="shared" si="186"/>
        <v>10.638146167557933</v>
      </c>
      <c r="X172" s="72">
        <f t="shared" si="186"/>
        <v>10.670515097690942</v>
      </c>
      <c r="Y172" s="72">
        <f t="shared" si="186"/>
        <v>14.740248226950355</v>
      </c>
      <c r="Z172" s="72">
        <f t="shared" si="186"/>
        <v>26.685562444641274</v>
      </c>
      <c r="AA172" s="72">
        <f t="shared" ref="T172:AA172" si="187">AA107/AA75</f>
        <v>65.060230292294065</v>
      </c>
      <c r="AC172" s="72">
        <f>AC107/AC75</f>
        <v>65.060230292294065</v>
      </c>
    </row>
    <row r="173" spans="2:29" x14ac:dyDescent="0.2">
      <c r="B173" s="20" t="s">
        <v>280</v>
      </c>
      <c r="L173" s="156">
        <f>L54/L59</f>
        <v>3.0317613089509143E-2</v>
      </c>
      <c r="M173" s="156">
        <f>M54/M59</f>
        <v>3.3858112113826493E-2</v>
      </c>
      <c r="N173" s="156">
        <f>N54/N59</f>
        <v>0.38229634381013472</v>
      </c>
      <c r="O173" s="156">
        <f>O54/O59</f>
        <v>9.7919360526625129E-2</v>
      </c>
      <c r="P173" s="156">
        <f>P54/P59</f>
        <v>5.5463623395149785E-2</v>
      </c>
      <c r="Q173" s="156">
        <f>Q54/Q59</f>
        <v>1.4864789517702816E-2</v>
      </c>
      <c r="T173" s="156">
        <f t="shared" ref="T173:Z173" si="188">T54/T59</f>
        <v>6.7817509247842175E-2</v>
      </c>
      <c r="U173" s="156">
        <f t="shared" si="188"/>
        <v>6.3165905631659053E-2</v>
      </c>
      <c r="V173" s="156">
        <f t="shared" si="188"/>
        <v>5.4892601431980909E-2</v>
      </c>
      <c r="W173" s="156">
        <f t="shared" si="188"/>
        <v>4.3630017452006981E-2</v>
      </c>
      <c r="X173" s="156">
        <f t="shared" si="188"/>
        <v>3.4478658899060752E-2</v>
      </c>
      <c r="Y173" s="156">
        <f t="shared" si="188"/>
        <v>2.5959842056624379E-2</v>
      </c>
      <c r="Z173" s="156">
        <f t="shared" si="188"/>
        <v>1.3982984086970221E-2</v>
      </c>
      <c r="AA173" s="156">
        <f t="shared" ref="T173:AA173" si="189">AA54/AA59</f>
        <v>8.618925249584972E-3</v>
      </c>
      <c r="AC173" s="156">
        <f>AC54/AC59</f>
        <v>1.4864789517702816E-2</v>
      </c>
    </row>
    <row r="174" spans="2:29" x14ac:dyDescent="0.2">
      <c r="B174" s="20" t="s">
        <v>281</v>
      </c>
      <c r="L174" s="156">
        <f>L54/L5</f>
        <v>1.3643746616134272E-2</v>
      </c>
      <c r="M174" s="156">
        <f>M54/M5</f>
        <v>1.6711099551336237E-2</v>
      </c>
      <c r="N174" s="156">
        <f>N54/N5</f>
        <v>3.835263835263835E-2</v>
      </c>
      <c r="O174" s="156">
        <f>O54/O5</f>
        <v>3.3172713153598023E-2</v>
      </c>
      <c r="P174" s="156">
        <f>P54/P5</f>
        <v>2.600460163732677E-2</v>
      </c>
      <c r="Q174" s="156">
        <f>Q54/Q5</f>
        <v>1.000840916599093E-2</v>
      </c>
      <c r="T174" s="156">
        <f t="shared" ref="T174:Z174" si="190">T54/T5</f>
        <v>2.5261224021127571E-2</v>
      </c>
      <c r="U174" s="156">
        <f t="shared" si="190"/>
        <v>3.0920153979883274E-2</v>
      </c>
      <c r="V174" s="156">
        <f t="shared" si="190"/>
        <v>2.7201376196107945E-2</v>
      </c>
      <c r="W174" s="156">
        <f t="shared" si="190"/>
        <v>2.209456473707468E-2</v>
      </c>
      <c r="X174" s="156">
        <f t="shared" si="190"/>
        <v>2.1256321923330646E-2</v>
      </c>
      <c r="Y174" s="156">
        <f t="shared" si="190"/>
        <v>1.2950544844928752E-2</v>
      </c>
      <c r="Z174" s="156">
        <f t="shared" si="190"/>
        <v>8.5632960247008869E-3</v>
      </c>
      <c r="AA174" s="156">
        <f t="shared" ref="T174:AA174" si="191">AA54/AA5</f>
        <v>6.988880488299618E-3</v>
      </c>
      <c r="AC174" s="156">
        <f>AC54/AC5</f>
        <v>1.000840916599093E-2</v>
      </c>
    </row>
    <row r="175" spans="2:29" x14ac:dyDescent="0.2">
      <c r="B175" s="20" t="s">
        <v>286</v>
      </c>
      <c r="L175" s="72">
        <f>(L107-L108)/L75</f>
        <v>3.2368185880250224</v>
      </c>
      <c r="M175" s="72">
        <f>(M107-M108)/M75</f>
        <v>3.7460901563937443</v>
      </c>
      <c r="N175" s="72">
        <f>(N107-N108)/N75</f>
        <v>-2.6338797814207648</v>
      </c>
      <c r="O175" s="72">
        <f>(O107-O108)/O75</f>
        <v>-3.8277727682596936</v>
      </c>
      <c r="P175" s="72">
        <f>(P107-P108)/P75</f>
        <v>-2.3538324420677363</v>
      </c>
      <c r="Q175" s="72">
        <f>(Q107-Q108)/Q75</f>
        <v>60.472984942426926</v>
      </c>
      <c r="T175" s="72">
        <f t="shared" ref="T175:Z175" si="192">(T107-T108)/T75</f>
        <v>-4.5251346499102336</v>
      </c>
      <c r="U175" s="72">
        <f t="shared" si="192"/>
        <v>-4.2620751341681578</v>
      </c>
      <c r="V175" s="72">
        <f t="shared" si="192"/>
        <v>-2.9740840035746201</v>
      </c>
      <c r="W175" s="72">
        <f t="shared" si="192"/>
        <v>-2.3538324420677363</v>
      </c>
      <c r="X175" s="72">
        <f t="shared" si="192"/>
        <v>0.23001776198934282</v>
      </c>
      <c r="Y175" s="72">
        <f t="shared" si="192"/>
        <v>5.749113475177305</v>
      </c>
      <c r="Z175" s="72">
        <f t="shared" si="192"/>
        <v>21.617360496014172</v>
      </c>
      <c r="AA175" s="72">
        <f t="shared" ref="T175:AA175" si="193">(AA107-AA108)/AA75</f>
        <v>60.472984942426926</v>
      </c>
      <c r="AC175" s="72">
        <f>(AC107-AC108)/AC75</f>
        <v>60.472984942426926</v>
      </c>
    </row>
    <row r="176" spans="2:29" x14ac:dyDescent="0.2">
      <c r="B176" s="20" t="s">
        <v>291</v>
      </c>
      <c r="L176" s="156">
        <f>(L107-L108)/L153</f>
        <v>3.8132416976189881E-2</v>
      </c>
      <c r="M176" s="156">
        <f>(M107-M108)/M153</f>
        <v>6.4769528163849094E-2</v>
      </c>
      <c r="N176" s="156">
        <f>(N107-N108)/N153</f>
        <v>-3.8682328997220808E-2</v>
      </c>
      <c r="O176" s="156">
        <f>(O107-O108)/O153</f>
        <v>-3.9587971747337539E-2</v>
      </c>
      <c r="P176" s="156">
        <f>(P107-P108)/P153</f>
        <v>-1.9140177704338249E-2</v>
      </c>
      <c r="Q176" s="156">
        <f>(Q107-Q108)/Q153</f>
        <v>6.2614519070162744E-2</v>
      </c>
      <c r="T176" s="49"/>
      <c r="U176" s="49"/>
      <c r="V176" s="49"/>
      <c r="W176" s="49"/>
      <c r="X176" s="49"/>
      <c r="Y176" s="49"/>
      <c r="Z176" s="49"/>
      <c r="AA176" s="49"/>
      <c r="AC176" s="156">
        <f ca="1">(AC107-AC108)/AC153</f>
        <v>5.6045076416149101E-2</v>
      </c>
    </row>
    <row r="177" spans="1:31" x14ac:dyDescent="0.2">
      <c r="B177" s="20" t="s">
        <v>300</v>
      </c>
      <c r="L177" s="156">
        <f>-L110/L5</f>
        <v>0.36202851470853636</v>
      </c>
      <c r="M177" s="156">
        <f>-M110/M5</f>
        <v>0.39232069705442485</v>
      </c>
      <c r="N177" s="156">
        <f>-N110/N5</f>
        <v>0.49395109395109393</v>
      </c>
      <c r="O177" s="156">
        <f>-O110/O5</f>
        <v>0.33395722989924737</v>
      </c>
      <c r="P177" s="156">
        <f>-P110/P5</f>
        <v>0.42423350634062817</v>
      </c>
      <c r="Q177" s="156">
        <f>-Q110/Q5</f>
        <v>0.23059134456557648</v>
      </c>
      <c r="T177" s="156">
        <f t="shared" ref="T177:Z177" si="194">-T110/T5</f>
        <v>0.36812492823515902</v>
      </c>
      <c r="U177" s="156">
        <f t="shared" si="194"/>
        <v>0.50353905376878183</v>
      </c>
      <c r="V177" s="156">
        <f t="shared" si="194"/>
        <v>0.31588001290183854</v>
      </c>
      <c r="W177" s="156">
        <f t="shared" si="194"/>
        <v>0.50004418912947413</v>
      </c>
      <c r="X177" s="156">
        <f t="shared" si="194"/>
        <v>0.39500109946492706</v>
      </c>
      <c r="Y177" s="156">
        <f t="shared" si="194"/>
        <v>0.26768650461022631</v>
      </c>
      <c r="Z177" s="156">
        <f t="shared" si="194"/>
        <v>0.18877846391354688</v>
      </c>
      <c r="AA177" s="156">
        <f t="shared" ref="T177:AA177" si="195">-AA110/AA5</f>
        <v>0.20487193199210754</v>
      </c>
      <c r="AC177" s="156">
        <f>-AC110/AC5</f>
        <v>0.23059134456557648</v>
      </c>
    </row>
    <row r="178" spans="1:31" x14ac:dyDescent="0.2">
      <c r="B178" s="20" t="s">
        <v>301</v>
      </c>
      <c r="L178" s="156">
        <f>-(L110/L59)</f>
        <v>0.80445941610522942</v>
      </c>
      <c r="M178" s="156">
        <f>-(M110/M59)</f>
        <v>0.79487517291351029</v>
      </c>
      <c r="N178" s="156">
        <f>-(N110/N59)</f>
        <v>4.9236690186016681</v>
      </c>
      <c r="O178" s="156">
        <f>-(O110/O59)</f>
        <v>0.98577641941930172</v>
      </c>
      <c r="P178" s="156">
        <f>-(P110/P59)</f>
        <v>0.90482168330955781</v>
      </c>
      <c r="Q178" s="156">
        <f>-(Q110/Q59)</f>
        <v>0.34248118204627825</v>
      </c>
      <c r="T178" s="156">
        <f t="shared" ref="T178:Z178" si="196">-(T110/T59)</f>
        <v>0.98828606658446361</v>
      </c>
      <c r="U178" s="156">
        <f t="shared" si="196"/>
        <v>1.0286656519533233</v>
      </c>
      <c r="V178" s="156">
        <f t="shared" si="196"/>
        <v>0.6374484703840313</v>
      </c>
      <c r="W178" s="156">
        <f t="shared" si="196"/>
        <v>0.98743455497382204</v>
      </c>
      <c r="X178" s="156">
        <f t="shared" si="196"/>
        <v>0.64070859588633933</v>
      </c>
      <c r="Y178" s="156">
        <f t="shared" si="196"/>
        <v>0.53658741493741069</v>
      </c>
      <c r="Z178" s="156">
        <f t="shared" si="196"/>
        <v>0.30825586891444778</v>
      </c>
      <c r="AA178" s="156">
        <f t="shared" ref="T178:AA178" si="197">-(AA110/AA59)</f>
        <v>0.25265503831896846</v>
      </c>
      <c r="AC178" s="156">
        <f>-(AC110/AC59)</f>
        <v>0.34248118204627825</v>
      </c>
    </row>
    <row r="179" spans="1:31" x14ac:dyDescent="0.2">
      <c r="B179" s="20" t="s">
        <v>302</v>
      </c>
      <c r="L179" s="156">
        <f>-L110/L53</f>
        <v>1.6140971998712585</v>
      </c>
      <c r="M179" s="156">
        <f>-M110/M53</f>
        <v>1.6957560427206295</v>
      </c>
      <c r="N179" s="156">
        <f>-N110/N53</f>
        <v>0.98968540484785972</v>
      </c>
      <c r="O179" s="156">
        <f>-O110/O53</f>
        <v>1.0778920308483291</v>
      </c>
      <c r="P179" s="156">
        <f>-P110/P53</f>
        <v>1.8985871647509578</v>
      </c>
      <c r="Q179" s="156">
        <f>-Q110/Q53</f>
        <v>3.2318215300431441</v>
      </c>
      <c r="T179" s="156">
        <f t="shared" ref="T179:Z179" si="198">-T110/T53</f>
        <v>1.5793103448275863</v>
      </c>
      <c r="U179" s="156">
        <f t="shared" si="198"/>
        <v>1.9504569504569504</v>
      </c>
      <c r="V179" s="156">
        <f t="shared" si="198"/>
        <v>1.4030563514804202</v>
      </c>
      <c r="W179" s="156">
        <f t="shared" si="198"/>
        <v>2.6328524895300141</v>
      </c>
      <c r="X179" s="156">
        <f t="shared" si="198"/>
        <v>2.4362567811934901</v>
      </c>
      <c r="Y179" s="156">
        <f t="shared" si="198"/>
        <v>2.7939632545931761</v>
      </c>
      <c r="Z179" s="156">
        <f t="shared" si="198"/>
        <v>3.3104906937394247</v>
      </c>
      <c r="AA179" s="156">
        <f t="shared" ref="T179:AA179" si="199">-AA110/AA53</f>
        <v>4.2067398712608863</v>
      </c>
      <c r="AC179" s="156">
        <f>-AC110/AC53</f>
        <v>3.2318215300431441</v>
      </c>
    </row>
    <row r="180" spans="1:31" x14ac:dyDescent="0.2">
      <c r="B180" s="20" t="s">
        <v>356</v>
      </c>
      <c r="L180" s="224">
        <f>L5/L37</f>
        <v>0.47078115176128738</v>
      </c>
      <c r="M180" s="224">
        <f t="shared" ref="M180:P180" si="200">M5/M37</f>
        <v>0.4640405533847291</v>
      </c>
      <c r="N180" s="224">
        <f t="shared" si="200"/>
        <v>0.24185264730600431</v>
      </c>
      <c r="O180" s="224">
        <f t="shared" si="200"/>
        <v>0.36174657139564365</v>
      </c>
      <c r="P180" s="224">
        <f t="shared" si="200"/>
        <v>0.45143602502475905</v>
      </c>
      <c r="Q180" s="224">
        <f t="shared" ref="N180:Q180" si="201">Q5/Q37</f>
        <v>0.67991913746630728</v>
      </c>
      <c r="T180" s="49"/>
      <c r="U180" s="49"/>
      <c r="V180" s="49"/>
      <c r="W180" s="49"/>
      <c r="X180" s="49"/>
      <c r="Y180" s="49"/>
      <c r="Z180" s="49"/>
      <c r="AA180" s="49"/>
      <c r="AC180" s="224">
        <f t="shared" ref="AC180" si="202">AC5/AC37</f>
        <v>0.67991913746630728</v>
      </c>
    </row>
    <row r="181" spans="1:31" x14ac:dyDescent="0.2">
      <c r="B181" s="20" t="s">
        <v>353</v>
      </c>
      <c r="L181" s="226">
        <f>IF(AND(L12&gt;0,L108&gt;0),L108/L12,"N/A")</f>
        <v>1.0784657010982015</v>
      </c>
      <c r="M181" s="226">
        <f t="shared" ref="M181:P181" si="203">IF(AND(M12&gt;0,M108&gt;0),M108/M12,"N/A")</f>
        <v>0.71181199752628321</v>
      </c>
      <c r="N181" s="226" t="str">
        <f t="shared" si="203"/>
        <v>N/A</v>
      </c>
      <c r="O181" s="226">
        <f t="shared" si="203"/>
        <v>10.27377300613497</v>
      </c>
      <c r="P181" s="226">
        <f t="shared" si="203"/>
        <v>1.4920163766632548</v>
      </c>
      <c r="Q181" s="226">
        <f t="shared" ref="N181:Q181" si="204">IF(AND(Q12&gt;0,Q108&gt;0),Q108/Q12,"N/A")</f>
        <v>5.2134084960740887E-2</v>
      </c>
      <c r="T181" s="49"/>
      <c r="U181" s="49"/>
      <c r="V181" s="49"/>
      <c r="W181" s="49"/>
      <c r="X181" s="49"/>
      <c r="Y181" s="49"/>
      <c r="Z181" s="49"/>
      <c r="AA181" s="49"/>
      <c r="AC181" s="226">
        <f t="shared" ref="AC181" si="205">IF(AND(AC12&gt;0,AC108&gt;0),AC108/AC12,"N/A")</f>
        <v>5.2134084960740887E-2</v>
      </c>
    </row>
    <row r="182" spans="1:31" x14ac:dyDescent="0.2">
      <c r="B182" s="20" t="s">
        <v>354</v>
      </c>
      <c r="L182" s="226">
        <f>IF(AND(L12&gt;0,L108&gt;0),(L108-L107)/L12,"N/A")</f>
        <v>-0.57647620563425117</v>
      </c>
      <c r="M182" s="226">
        <f t="shared" ref="M182:P182" si="206">IF(AND(M12&gt;0,M108&gt;0),(M108-M107)/M12,"N/A")</f>
        <v>-0.41970727685013398</v>
      </c>
      <c r="N182" s="226" t="str">
        <f t="shared" si="206"/>
        <v>N/A</v>
      </c>
      <c r="O182" s="226">
        <f t="shared" si="206"/>
        <v>3.2553680981595092</v>
      </c>
      <c r="P182" s="226">
        <f t="shared" si="206"/>
        <v>0.27031729785056297</v>
      </c>
      <c r="Q182" s="226">
        <f t="shared" ref="N182:Q182" si="207">IF(AND(Q12&gt;0,Q108&gt;0),(Q108-Q107)/Q12,"N/A")</f>
        <v>-0.6872760217435071</v>
      </c>
      <c r="T182" s="49"/>
      <c r="U182" s="49"/>
      <c r="V182" s="49"/>
      <c r="W182" s="49"/>
      <c r="X182" s="49"/>
      <c r="Y182" s="49"/>
      <c r="Z182" s="49"/>
      <c r="AA182" s="49"/>
      <c r="AC182" s="226">
        <f t="shared" ref="AC182" si="208">IF(AND(AC12&gt;0,AC108&gt;0),(AC108-AC107)/AC12,"N/A")</f>
        <v>-0.6872760217435071</v>
      </c>
    </row>
    <row r="183" spans="1:31" x14ac:dyDescent="0.2">
      <c r="B183" s="20" t="s">
        <v>355</v>
      </c>
      <c r="L183" s="226">
        <f>L5/(L108+L112-L107)</f>
        <v>0.68728138721440801</v>
      </c>
      <c r="M183" s="226">
        <f t="shared" ref="M183:P183" si="209">M5/(M108+M112-M107)</f>
        <v>0.67105923420966507</v>
      </c>
      <c r="N183" s="226">
        <f t="shared" si="209"/>
        <v>0.33055390113162597</v>
      </c>
      <c r="O183" s="226">
        <f t="shared" si="209"/>
        <v>0.50856691510045371</v>
      </c>
      <c r="P183" s="226">
        <f t="shared" si="209"/>
        <v>0.65799387388656128</v>
      </c>
      <c r="Q183" s="226">
        <f t="shared" ref="N183:Q183" si="210">Q5/(Q108+Q112-Q107)</f>
        <v>1.8998630605956863</v>
      </c>
      <c r="T183" s="49"/>
      <c r="U183" s="49"/>
      <c r="V183" s="49"/>
      <c r="W183" s="49"/>
      <c r="X183" s="49"/>
      <c r="Y183" s="49"/>
      <c r="Z183" s="49"/>
      <c r="AA183" s="49"/>
      <c r="AC183" s="226">
        <f t="shared" ref="AC183" si="211">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12">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12"/>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12"/>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12"/>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12"/>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12"/>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12"/>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12"/>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12"/>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12"/>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13">IF(K187=0,
IF(L187=0,0,IF(L187&gt;0,1,-1)),
(L187-K187)/ABS(K187)
)</f>
        <v>1</v>
      </c>
      <c r="M203" s="81">
        <f t="shared" ref="M203:M205" si="214">IF(L187=0,
IF(M187=0,0,IF(M187&gt;0,1,-1)),
(M187-L187)/ABS(L187)
)</f>
        <v>0.11712161285493287</v>
      </c>
      <c r="N203" s="81">
        <f t="shared" ref="N203:N205" si="215">IF(M187=0,
IF(N187=0,0,IF(N187&gt;0,1,-1)),
(N187-M187)/ABS(M187)
)</f>
        <v>-0.5096042169212901</v>
      </c>
      <c r="O203" s="81">
        <f t="shared" ref="O203:O205" si="216">IF(N187=0,
IF(O187=0,0,IF(O187&gt;0,1,-1)),
(O187-N187)/ABS(N187)
)</f>
        <v>0.60347968664601936</v>
      </c>
      <c r="P203" s="81">
        <f t="shared" ref="P203:P205" si="217">IF(O187=0,
IF(P187=0,0,IF(P187&gt;0,1,-1)),
(P187-O187)/ABS(O187)
)</f>
        <v>0.62347327160143162</v>
      </c>
      <c r="Q203" s="81">
        <f t="shared" ref="M203:Q210" si="218">IF(P187=0,
IF(Q187=0,0,IF(Q187&gt;0,1,-1)),
(Q187-P187)/ABS(P187)
)</f>
        <v>2.5229547204143046</v>
      </c>
      <c r="T203" s="81">
        <f t="shared" ref="T203:T205" si="219">IF(S187=0,
IF(T187=0,0,IF(T187&gt;0,1,-1)),
(T187-S187)/ABS(S187)
)</f>
        <v>1</v>
      </c>
      <c r="U203" s="81">
        <f t="shared" ref="U203:U205" si="220">IF(T187=0,
IF(U187=0,0,IF(U187&gt;0,1,-1)),
(U187-T187)/ABS(T187)
)</f>
        <v>-4.328125E-2</v>
      </c>
      <c r="V203" s="81">
        <f t="shared" ref="V203:V205" si="221">IF(U187=0,
IF(V187=0,0,IF(V187&gt;0,1,-1)),
(V187-U187)/ABS(U187)
)</f>
        <v>0.15482606565409113</v>
      </c>
      <c r="W203" s="81">
        <f t="shared" ref="W203:W205" si="222">IF(V187=0,
IF(W187=0,0,IF(W187&gt;0,1,-1)),
(W187-V187)/ABS(V187)
)</f>
        <v>2.1364729175505586</v>
      </c>
      <c r="X203" s="81">
        <f t="shared" ref="X203:X205" si="223">IF(W187=0,
IF(X187=0,0,IF(X187&gt;0,1,-1)),
(X187-W187)/ABS(W187)
)</f>
        <v>-0.51248985481107401</v>
      </c>
      <c r="Y203" s="81">
        <f t="shared" ref="Y203:Y205" si="224">IF(X187=0,
IF(Y187=0,0,IF(Y187&gt;0,1,-1)),
(Y187-X187)/ABS(X187)
)</f>
        <v>0.73584905660377353</v>
      </c>
      <c r="Z203" s="81">
        <f t="shared" ref="Z203:Z205" si="225">IF(Y187=0,
IF(Z187=0,0,IF(Z187&gt;0,1,-1)),
(Z187-Y187)/ABS(Y187)
)</f>
        <v>0.66922421142369992</v>
      </c>
      <c r="AA203" s="81">
        <f t="shared" ref="T203:AA205" si="226">IF(Z187=0,
IF(AA187=0,0,IF(AA187&gt;0,1,-1)),
(AA187-Z187)/ABS(Z187)
)</f>
        <v>0.26950331971399388</v>
      </c>
      <c r="AC203" s="49"/>
    </row>
    <row r="204" spans="2:29" x14ac:dyDescent="0.2">
      <c r="B204" s="20" t="str">
        <f t="shared" ref="B204:B210" si="227">B188</f>
        <v>NAND</v>
      </c>
      <c r="L204" s="81">
        <f t="shared" si="213"/>
        <v>1</v>
      </c>
      <c r="M204" s="81">
        <f t="shared" si="214"/>
        <v>0.11474240045668617</v>
      </c>
      <c r="N204" s="81">
        <f t="shared" si="215"/>
        <v>-0.46152861349379082</v>
      </c>
      <c r="O204" s="81">
        <f t="shared" si="216"/>
        <v>0.71825962910128383</v>
      </c>
      <c r="P204" s="81">
        <f t="shared" si="217"/>
        <v>0.17656012176560121</v>
      </c>
      <c r="Q204" s="81">
        <f t="shared" si="218"/>
        <v>2.738092437963072</v>
      </c>
      <c r="T204" s="81">
        <f t="shared" si="219"/>
        <v>1</v>
      </c>
      <c r="U204" s="81">
        <f t="shared" si="220"/>
        <v>-0.17224453369031684</v>
      </c>
      <c r="V204" s="81">
        <f t="shared" si="221"/>
        <v>0.16172506738544473</v>
      </c>
      <c r="W204" s="81">
        <f t="shared" si="222"/>
        <v>1.9058004640371229</v>
      </c>
      <c r="X204" s="81">
        <f t="shared" si="223"/>
        <v>-0.56196103481315873</v>
      </c>
      <c r="Y204" s="81">
        <f t="shared" si="224"/>
        <v>0.82172803499817715</v>
      </c>
      <c r="Z204" s="81">
        <f t="shared" si="225"/>
        <v>0.98979387632579552</v>
      </c>
      <c r="AA204" s="81">
        <f t="shared" si="226"/>
        <v>0.41828422005430954</v>
      </c>
      <c r="AC204" s="49"/>
    </row>
    <row r="205" spans="2:29" x14ac:dyDescent="0.2">
      <c r="B205" s="20" t="str">
        <f t="shared" si="227"/>
        <v>Other</v>
      </c>
      <c r="L205" s="81">
        <f t="shared" si="213"/>
        <v>1</v>
      </c>
      <c r="M205" s="81">
        <f t="shared" si="214"/>
        <v>-0.14871016691957512</v>
      </c>
      <c r="N205" s="81">
        <f t="shared" si="215"/>
        <v>-0.36541889483065954</v>
      </c>
      <c r="O205" s="81">
        <f t="shared" si="216"/>
        <v>-0.21067415730337077</v>
      </c>
      <c r="P205" s="81">
        <f t="shared" si="217"/>
        <v>5.6939501779359428E-2</v>
      </c>
      <c r="Q205" s="81">
        <f t="shared" si="218"/>
        <v>1.4377104377104377</v>
      </c>
      <c r="T205" s="81">
        <f t="shared" si="219"/>
        <v>1</v>
      </c>
      <c r="U205" s="81">
        <f t="shared" si="220"/>
        <v>0.10294117647058823</v>
      </c>
      <c r="V205" s="81">
        <f t="shared" si="221"/>
        <v>0</v>
      </c>
      <c r="W205" s="81">
        <f t="shared" si="222"/>
        <v>2.0533333333333332</v>
      </c>
      <c r="X205" s="81">
        <f t="shared" si="223"/>
        <v>-0.61572052401746724</v>
      </c>
      <c r="Y205" s="81">
        <f t="shared" si="224"/>
        <v>7.9545454545454544E-2</v>
      </c>
      <c r="Z205" s="81">
        <f t="shared" si="225"/>
        <v>0.94736842105263153</v>
      </c>
      <c r="AA205" s="81">
        <f t="shared" si="226"/>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27"/>
        <v>Cloud Memory</v>
      </c>
      <c r="L207" s="81">
        <f t="shared" ref="L207:L210" si="228">IF(K191=0,
IF(L191=0,0,IF(L191&gt;0,1,-1)),
(L191-K191)/ABS(K191)
)</f>
        <v>0</v>
      </c>
      <c r="M207" s="81">
        <f t="shared" ref="M207:M210" si="229">IF(L191=0,
IF(M191=0,0,IF(M191&gt;0,1,-1)),
(M191-L191)/ABS(L191)
)</f>
        <v>0</v>
      </c>
      <c r="N207" s="81">
        <f t="shared" ref="N207:N210" si="230">IF(M191=0,
IF(N191=0,0,IF(N191&gt;0,1,-1)),
(N191-M191)/ABS(M191)
)</f>
        <v>1</v>
      </c>
      <c r="O207" s="81">
        <f t="shared" ref="O207:O210" si="231">IF(N191=0,
IF(O191=0,0,IF(O191&gt;0,1,-1)),
(O191-N191)/ABS(N191)
)</f>
        <v>1.0256410256410255</v>
      </c>
      <c r="P207" s="81">
        <f t="shared" ref="P207:P210" si="232">IF(O191=0,
IF(P191=0,0,IF(P191&gt;0,1,-1)),
(P191-O191)/ABS(O191)
)</f>
        <v>2.5664556962025316</v>
      </c>
      <c r="Q207" s="81">
        <f t="shared" ref="Q207:Q210" si="233">IF(P191=0,
IF(Q191=0,0,IF(Q191&gt;0,1,-1)),
(Q191-P191)/ABS(P191)
)</f>
        <v>2.1858178053830226</v>
      </c>
      <c r="T207" s="81">
        <f t="shared" ref="T207:T210" si="234">IF(S191=0,
IF(T191=0,0,IF(T191&gt;0,1,-1)),
(T191-S191)/ABS(S191)
)</f>
        <v>1</v>
      </c>
      <c r="U207" s="81">
        <f t="shared" ref="U207:U210" si="235">IF(T191=0,
IF(U191=0,0,IF(U191&gt;0,1,-1)),
(U191-T191)/ABS(T191)
)</f>
        <v>0.10872836719337849</v>
      </c>
      <c r="V207" s="81">
        <f t="shared" ref="V207:V210" si="236">IF(U191=0,
IF(V191=0,0,IF(V191&gt;0,1,-1)),
(V191-U191)/ABS(U191)
)</f>
        <v>0.14896504920257889</v>
      </c>
      <c r="W207" s="81">
        <f t="shared" ref="W207:W210" si="237">IF(V191=0,
IF(W191=0,0,IF(W191&gt;0,1,-1)),
(W191-V191)/ABS(V191)
)</f>
        <v>0.34170112226816302</v>
      </c>
      <c r="X207" s="81">
        <f t="shared" ref="X207:X210" si="238">IF(W191=0,
IF(X191=0,0,IF(X191&gt;0,1,-1)),
(X191-W191)/ABS(W191)
)</f>
        <v>0.16310807836231564</v>
      </c>
      <c r="Y207" s="81">
        <f t="shared" ref="Y207:Y210" si="239">IF(X191=0,
IF(Y191=0,0,IF(Y191&gt;0,1,-1)),
(Y191-X191)/ABS(X191)
)</f>
        <v>0.46650264950794851</v>
      </c>
      <c r="Z207" s="81">
        <f t="shared" ref="Z207:Z210" si="240">IF(Y191=0,
IF(Z191=0,0,IF(Z191&gt;0,1,-1)),
(Z191-Y191)/ABS(Y191)
)</f>
        <v>0.77687443541102075</v>
      </c>
      <c r="AA207" s="81">
        <f t="shared" ref="AA207:AA210" si="241">IF(Z191=0,
IF(AA191=0,0,IF(AA191&gt;0,1,-1)),
(AA191-Z191)/ABS(Z191)
)</f>
        <v>0.18258406565473165</v>
      </c>
      <c r="AC207" s="49"/>
    </row>
    <row r="208" spans="2:29" x14ac:dyDescent="0.2">
      <c r="B208" s="20" t="str">
        <f t="shared" si="227"/>
        <v>Core Data Center</v>
      </c>
      <c r="L208" s="81">
        <f t="shared" si="228"/>
        <v>0</v>
      </c>
      <c r="M208" s="81">
        <f t="shared" si="229"/>
        <v>0</v>
      </c>
      <c r="N208" s="81">
        <f t="shared" si="230"/>
        <v>1</v>
      </c>
      <c r="O208" s="81">
        <f t="shared" si="231"/>
        <v>1.3465160075329567</v>
      </c>
      <c r="P208" s="81">
        <f t="shared" si="232"/>
        <v>0.4504414125200642</v>
      </c>
      <c r="Q208" s="81">
        <f t="shared" si="233"/>
        <v>4.2001659980633557</v>
      </c>
      <c r="T208" s="81">
        <f t="shared" si="234"/>
        <v>1</v>
      </c>
      <c r="U208" s="81">
        <f t="shared" si="235"/>
        <v>-0.20157068062827224</v>
      </c>
      <c r="V208" s="81">
        <f t="shared" si="236"/>
        <v>-0.16393442622950818</v>
      </c>
      <c r="W208" s="81">
        <f t="shared" si="237"/>
        <v>3.0718954248366011E-2</v>
      </c>
      <c r="X208" s="81">
        <f t="shared" si="238"/>
        <v>0.50856055802155997</v>
      </c>
      <c r="Y208" s="81">
        <f t="shared" si="239"/>
        <v>1.3905002101723414</v>
      </c>
      <c r="Z208" s="81">
        <f t="shared" si="240"/>
        <v>1.0263759451380341</v>
      </c>
      <c r="AA208" s="81">
        <f t="shared" si="241"/>
        <v>0.56213120444290177</v>
      </c>
      <c r="AC208" s="49"/>
    </row>
    <row r="209" spans="1:31" x14ac:dyDescent="0.2">
      <c r="B209" s="20" t="str">
        <f t="shared" si="227"/>
        <v>Mobile and Client</v>
      </c>
      <c r="L209" s="81">
        <f t="shared" si="228"/>
        <v>0</v>
      </c>
      <c r="M209" s="81">
        <f t="shared" si="229"/>
        <v>0</v>
      </c>
      <c r="N209" s="81">
        <f t="shared" si="230"/>
        <v>1</v>
      </c>
      <c r="O209" s="81">
        <f t="shared" si="231"/>
        <v>0.57790100081146878</v>
      </c>
      <c r="P209" s="81">
        <f t="shared" si="232"/>
        <v>1.6456672666495243E-2</v>
      </c>
      <c r="Q209" s="81">
        <f t="shared" si="233"/>
        <v>2.0863479214098994</v>
      </c>
      <c r="T209" s="81">
        <f t="shared" si="234"/>
        <v>1</v>
      </c>
      <c r="U209" s="81">
        <f t="shared" si="235"/>
        <v>-0.14263803680981596</v>
      </c>
      <c r="V209" s="81">
        <f t="shared" si="236"/>
        <v>0.45572450805008946</v>
      </c>
      <c r="W209" s="81">
        <f t="shared" si="237"/>
        <v>0.15514592933947774</v>
      </c>
      <c r="X209" s="81">
        <f t="shared" si="238"/>
        <v>0.13164893617021275</v>
      </c>
      <c r="Y209" s="81">
        <f t="shared" si="239"/>
        <v>0.81222091656874262</v>
      </c>
      <c r="Z209" s="81">
        <f t="shared" si="240"/>
        <v>0.49409933860718452</v>
      </c>
      <c r="AA209" s="81">
        <f t="shared" si="241"/>
        <v>0.13826924746115787</v>
      </c>
      <c r="AC209" s="49"/>
    </row>
    <row r="210" spans="1:31" x14ac:dyDescent="0.2">
      <c r="B210" s="20" t="str">
        <f t="shared" si="227"/>
        <v>Automotive and Embedded</v>
      </c>
      <c r="L210" s="81">
        <f t="shared" si="228"/>
        <v>0</v>
      </c>
      <c r="M210" s="81">
        <f t="shared" si="229"/>
        <v>0</v>
      </c>
      <c r="N210" s="81">
        <f t="shared" si="230"/>
        <v>1</v>
      </c>
      <c r="O210" s="81">
        <f t="shared" si="231"/>
        <v>0.11886929209954095</v>
      </c>
      <c r="P210" s="81">
        <f t="shared" si="232"/>
        <v>2.6344202116173613E-2</v>
      </c>
      <c r="Q210" s="81">
        <f t="shared" si="233"/>
        <v>2.3423101199242584</v>
      </c>
      <c r="T210" s="81">
        <f t="shared" si="234"/>
        <v>1</v>
      </c>
      <c r="U210" s="81">
        <f t="shared" si="235"/>
        <v>-0.10708117443868739</v>
      </c>
      <c r="V210" s="81">
        <f t="shared" si="236"/>
        <v>8.994197292069632E-2</v>
      </c>
      <c r="W210" s="81">
        <f t="shared" si="237"/>
        <v>0.27240461401952087</v>
      </c>
      <c r="X210" s="81">
        <f t="shared" si="238"/>
        <v>0.19944211994421199</v>
      </c>
      <c r="Y210" s="81">
        <f t="shared" si="239"/>
        <v>0.57441860465116279</v>
      </c>
      <c r="Z210" s="81">
        <f t="shared" si="240"/>
        <v>0.71122599704579026</v>
      </c>
      <c r="AA210" s="81">
        <f t="shared" si="241"/>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IF(K64=0,
IF(L64=0,0,IF(L64&gt;0,1,-1)),
(L64-K64)/K64
)</f>
        <v>0</v>
      </c>
      <c r="M214" s="81">
        <f>IF(L64=0,
IF(M64=0,0,IF(M64&gt;0,1,-1)),
(M64-L64)/L64
)</f>
        <v>-1</v>
      </c>
      <c r="N214" s="81">
        <f>IF(M64=0,
IF(N64=0,0,IF(N64&gt;0,1,-1)),
(N64-M64)/M64
)</f>
        <v>9.3275488069414311E-2</v>
      </c>
      <c r="O214" s="81">
        <f>IF(N64=0,
IF(O64=0,0,IF(O64&gt;0,1,-1)),
(O64-N64)/N64
)</f>
        <v>1.7857142857142856E-2</v>
      </c>
      <c r="P214" s="81">
        <f>IF(O64=0,
IF(P64=0,0,IF(P64&gt;0,1,-1)),
(P64-O64)/O64
)</f>
        <v>1.7543859649122806E-2</v>
      </c>
      <c r="Q214" s="81">
        <f>IF(P64=0,
IF(Q64=0,0,IF(Q64&gt;0,1,-1)),
(Q64-P64)/P64
)</f>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42">100*(1+((N117-$M117)/ABS($M117)))</f>
        <v>118.80998080614202</v>
      </c>
      <c r="O218" s="145">
        <f t="shared" si="242"/>
        <v>166.75972779619613</v>
      </c>
      <c r="P218" s="145">
        <f t="shared" si="242"/>
        <v>212.87733379863897</v>
      </c>
      <c r="Q218" s="145">
        <f t="shared" ref="O218:Q218" si="243">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44">100*(1+((N5-$M5)/ABS($M5)))</f>
        <v>50.52344105598543</v>
      </c>
      <c r="O219" s="145">
        <f t="shared" si="244"/>
        <v>81.640548800312104</v>
      </c>
      <c r="P219" s="145">
        <f t="shared" si="244"/>
        <v>121.52285584238247</v>
      </c>
      <c r="Q219" s="145">
        <f t="shared" ref="O219:Q219" si="245">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46">100*(1+((N26-$M26)/ABS($M26)))</f>
        <v>-68.903225806451601</v>
      </c>
      <c r="O220" s="145">
        <f t="shared" si="246"/>
        <v>9.0322580645161299</v>
      </c>
      <c r="P220" s="145">
        <f t="shared" si="246"/>
        <v>97.935483870967744</v>
      </c>
      <c r="Q220" s="145">
        <f t="shared" ref="O220:Q220" si="247">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1" t="s">
        <v>233</v>
      </c>
      <c r="C4" s="241"/>
      <c r="E4" s="241" t="s">
        <v>240</v>
      </c>
      <c r="F4" s="241"/>
      <c r="G4" s="241"/>
    </row>
    <row r="5" spans="2:7" x14ac:dyDescent="0.2">
      <c r="B5" s="20" t="s">
        <v>1</v>
      </c>
      <c r="C5" s="172">
        <f ca="1">Overview!C5</f>
        <v>1063</v>
      </c>
      <c r="E5" s="12"/>
      <c r="F5" s="136" t="s">
        <v>241</v>
      </c>
      <c r="G5" s="136" t="s">
        <v>242</v>
      </c>
    </row>
    <row r="6" spans="2:7" x14ac:dyDescent="0.2">
      <c r="B6" s="20" t="s">
        <v>239</v>
      </c>
      <c r="C6" s="173">
        <f ca="1">Statement!AC153</f>
        <v>1218198</v>
      </c>
      <c r="E6" s="20" t="s">
        <v>19</v>
      </c>
      <c r="F6" s="178">
        <f>IF(Statement!M5&lt;=0,"N/A",_xlfn.RRI(4,Statement!M5,Statement!Q5))</f>
        <v>0.44253630217364326</v>
      </c>
      <c r="G6" s="178" t="str">
        <f>IF(Statement!H5&lt;=0,"N/A",_xlfn.RRI(9,Statement!H5,Statement!Q5))</f>
        <v>N/A</v>
      </c>
    </row>
    <row r="7" spans="2:7" x14ac:dyDescent="0.2">
      <c r="B7" s="20" t="s">
        <v>188</v>
      </c>
      <c r="C7" s="173">
        <f ca="1">Statement!AC154</f>
        <v>1149924</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14.324215065355071</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9.1225110370303639</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8.6728164881700849</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8.6338408865663574</v>
      </c>
    </row>
    <row r="12" spans="2:7" x14ac:dyDescent="0.2">
      <c r="B12" s="20" t="s">
        <v>204</v>
      </c>
      <c r="C12" s="174">
        <f ca="1">Statement!AC156</f>
        <v>11.575639218844373</v>
      </c>
    </row>
    <row r="15" spans="2:7" x14ac:dyDescent="0.2">
      <c r="B15" s="241" t="s">
        <v>76</v>
      </c>
      <c r="C15" s="241"/>
      <c r="E15" s="241" t="s">
        <v>246</v>
      </c>
      <c r="F15" s="241"/>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1" t="s">
        <v>245</v>
      </c>
      <c r="C21" s="241"/>
      <c r="E21" s="241" t="s">
        <v>249</v>
      </c>
      <c r="F21" s="241"/>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1" t="s">
        <v>250</v>
      </c>
      <c r="C29" s="241"/>
      <c r="E29" s="241" t="s">
        <v>256</v>
      </c>
      <c r="F29" s="241"/>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1" t="s">
        <v>268</v>
      </c>
      <c r="C37" s="241"/>
      <c r="E37" s="241" t="s">
        <v>271</v>
      </c>
      <c r="F37" s="241"/>
    </row>
    <row r="38" spans="2:6" x14ac:dyDescent="0.2">
      <c r="B38" s="20" t="s">
        <v>266</v>
      </c>
      <c r="C38" s="175">
        <f ca="1">Statement!AC162</f>
        <v>6.9811853245531519E-2</v>
      </c>
      <c r="E38" s="20" t="s">
        <v>270</v>
      </c>
      <c r="F38" s="175">
        <f>Statement!AC168</f>
        <v>1.0584764879403089E-2</v>
      </c>
    </row>
    <row r="39" spans="2:6" x14ac:dyDescent="0.2">
      <c r="B39" s="54" t="s">
        <v>269</v>
      </c>
      <c r="C39" s="215">
        <f ca="1">Statement!AC161</f>
        <v>4.7307580541094303E-2</v>
      </c>
      <c r="E39" s="20" t="s">
        <v>272</v>
      </c>
      <c r="F39" s="175">
        <f>Statement!AC169</f>
        <v>1.1278847822314766E-2</v>
      </c>
    </row>
    <row r="40" spans="2:6" x14ac:dyDescent="0.2">
      <c r="B40" s="20" t="s">
        <v>267</v>
      </c>
      <c r="C40" s="175">
        <f ca="1">Statement!AC163</f>
        <v>5.3151458137347136E-4</v>
      </c>
      <c r="E40" s="20" t="s">
        <v>273</v>
      </c>
      <c r="F40" s="175">
        <f>Statement!AC170</f>
        <v>2.1863612701717855E-2</v>
      </c>
    </row>
    <row r="41" spans="2:6" x14ac:dyDescent="0.2">
      <c r="B41" s="20" t="s">
        <v>292</v>
      </c>
      <c r="C41" s="175">
        <f ca="1">Statement!AC164</f>
        <v>5.3357500176490192E-4</v>
      </c>
    </row>
    <row r="42" spans="2:6" x14ac:dyDescent="0.2">
      <c r="B42" s="20" t="s">
        <v>294</v>
      </c>
      <c r="C42" s="175">
        <f ca="1">Statement!AC165</f>
        <v>1.0343146188058099E-3</v>
      </c>
    </row>
    <row r="45" spans="2:6" x14ac:dyDescent="0.2">
      <c r="B45" s="241" t="s">
        <v>279</v>
      </c>
      <c r="C45" s="241"/>
      <c r="E45" s="241" t="s">
        <v>285</v>
      </c>
      <c r="F45" s="241"/>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5.6045076416149101E-2</v>
      </c>
    </row>
    <row r="51" spans="2:6" x14ac:dyDescent="0.2">
      <c r="B51" s="241" t="s">
        <v>282</v>
      </c>
      <c r="C51" s="241"/>
      <c r="E51" s="241" t="s">
        <v>303</v>
      </c>
      <c r="F51" s="241"/>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1063</v>
      </c>
    </row>
    <row r="7" spans="2:9" x14ac:dyDescent="0.2">
      <c r="B7" s="20" t="s">
        <v>239</v>
      </c>
      <c r="C7" s="173">
        <f>Statement!M153</f>
        <v>62869.07</v>
      </c>
      <c r="D7" s="173">
        <f>Statement!N153</f>
        <v>74762.820000000007</v>
      </c>
      <c r="E7" s="173">
        <f>Statement!O153</f>
        <v>107229.54</v>
      </c>
      <c r="F7" s="173">
        <f>Statement!P153</f>
        <v>137982</v>
      </c>
      <c r="G7" s="173">
        <f>Statement!Q153</f>
        <v>1090386.08</v>
      </c>
      <c r="I7" s="173">
        <f ca="1">Statement!AC153</f>
        <v>1218198</v>
      </c>
    </row>
    <row r="8" spans="2:9" x14ac:dyDescent="0.2">
      <c r="B8" s="20" t="s">
        <v>188</v>
      </c>
      <c r="C8" s="173">
        <f>Statement!M154</f>
        <v>58797.070000000007</v>
      </c>
      <c r="D8" s="173">
        <f>Statement!N154</f>
        <v>77654.820000000007</v>
      </c>
      <c r="E8" s="173">
        <f>Statement!O154</f>
        <v>111474.54</v>
      </c>
      <c r="F8" s="173">
        <f>Statement!P154</f>
        <v>140623</v>
      </c>
      <c r="G8" s="173">
        <f>Statement!Q154</f>
        <v>1022112.0800000001</v>
      </c>
      <c r="I8" s="173">
        <f ca="1">Statement!AC154</f>
        <v>1149924</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14.324215065355071</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9.1225110370303639</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8.6728164881700849</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7.674205483977536</v>
      </c>
      <c r="I12" s="174">
        <f ca="1">Statement!AC155</f>
        <v>8.6338408865663574</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10.289028387356554</v>
      </c>
      <c r="I13" s="174">
        <f ca="1">Statement!AC156</f>
        <v>11.575639218844373</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6.9811853245531519E-2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5.2852839060454619E-2</v>
      </c>
      <c r="I52" s="175">
        <f ca="1">Statement!AC161</f>
        <v>4.7307580541094303E-2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5.3151458137347136E-4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5.9611912874016142E-4</v>
      </c>
      <c r="I54" s="175">
        <f ca="1">Statement!AC164</f>
        <v>5.3357500176490192E-4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1.1555540034040052E-3</v>
      </c>
      <c r="I55" s="175">
        <f ca="1">Statement!AC165</f>
        <v>1.0343146188058099E-3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2.6362038664323375E-3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6.2614519070162744E-2</v>
      </c>
      <c r="I68" s="196">
        <f ca="1">Statement!AC176</f>
        <v>5.6045076416149101E-2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313</v>
      </c>
      <c r="D3" s="245"/>
      <c r="F3" s="246" t="s">
        <v>314</v>
      </c>
      <c r="G3" s="245"/>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42">
        <f>Statement!AA89</f>
        <v>0.30810980316480124</v>
      </c>
      <c r="D7" s="243"/>
      <c r="F7" s="242">
        <f>IF(F6=0,
IF(G6=0,0,IF(G6&gt;0,1,-1)),
(G6-F6)/ABS(F6)
)</f>
        <v>3.7926646045072911</v>
      </c>
      <c r="G7" s="243"/>
    </row>
    <row r="8" spans="2:7" x14ac:dyDescent="0.2">
      <c r="B8" s="207" t="s">
        <v>20</v>
      </c>
      <c r="C8" s="200">
        <f>Statement!Z6</f>
        <v>6400</v>
      </c>
      <c r="D8" s="198">
        <f>Statement!AA6</f>
        <v>7182</v>
      </c>
      <c r="F8" s="200">
        <f>Statement!W6</f>
        <v>6261</v>
      </c>
      <c r="G8" s="198">
        <f>Statement!AA6</f>
        <v>7182</v>
      </c>
    </row>
    <row r="9" spans="2:7" x14ac:dyDescent="0.2">
      <c r="B9" s="206" t="s">
        <v>315</v>
      </c>
      <c r="C9" s="242">
        <f>Statement!AA90</f>
        <v>0.1221875</v>
      </c>
      <c r="D9" s="243"/>
      <c r="F9" s="242">
        <f>IF(F8=0,
IF(G8=0,0,IF(G8&gt;0,1,-1)),
(G8-F8)/ABS(F8)
)</f>
        <v>0.14710110206037375</v>
      </c>
      <c r="G9" s="243"/>
    </row>
    <row r="10" spans="2:7" x14ac:dyDescent="0.2">
      <c r="B10" s="207" t="s">
        <v>21</v>
      </c>
      <c r="C10" s="200">
        <f>Statement!Z7</f>
        <v>35056</v>
      </c>
      <c r="D10" s="198">
        <f>Statement!AA7</f>
        <v>47047</v>
      </c>
      <c r="F10" s="200">
        <f>Statement!W7</f>
        <v>5054</v>
      </c>
      <c r="G10" s="198">
        <f>Statement!AA7</f>
        <v>47047</v>
      </c>
    </row>
    <row r="11" spans="2:7" x14ac:dyDescent="0.2">
      <c r="B11" s="206" t="s">
        <v>315</v>
      </c>
      <c r="C11" s="242">
        <f>Statement!AA91</f>
        <v>0.3420527156549521</v>
      </c>
      <c r="D11" s="243"/>
      <c r="F11" s="242">
        <f>IF(F10=0,
IF(G10=0,0,IF(G10&gt;0,1,-1)),
(G10-F10)/ABS(F10)
)</f>
        <v>8.3088642659279781</v>
      </c>
      <c r="G11" s="243"/>
    </row>
    <row r="12" spans="2:7" x14ac:dyDescent="0.2">
      <c r="B12" s="207" t="s">
        <v>24</v>
      </c>
      <c r="C12" s="200">
        <f>Statement!Z11</f>
        <v>1738</v>
      </c>
      <c r="D12" s="198">
        <f>Statement!AA11</f>
        <v>3296</v>
      </c>
      <c r="F12" s="200">
        <f>Statement!W11</f>
        <v>1400</v>
      </c>
      <c r="G12" s="198">
        <f>Statement!AA11</f>
        <v>3296</v>
      </c>
    </row>
    <row r="13" spans="2:7" x14ac:dyDescent="0.2">
      <c r="B13" s="206" t="s">
        <v>315</v>
      </c>
      <c r="C13" s="242">
        <f>Statement!AA95</f>
        <v>0.89643268124280784</v>
      </c>
      <c r="D13" s="243"/>
      <c r="F13" s="242">
        <f>IF(F12=0,
IF(G12=0,0,IF(G12&gt;0,1,-1)),
(G12-F12)/ABS(F12)
)</f>
        <v>1.3542857142857143</v>
      </c>
      <c r="G13" s="243"/>
    </row>
    <row r="14" spans="2:7" x14ac:dyDescent="0.2">
      <c r="B14" s="207" t="s">
        <v>316</v>
      </c>
      <c r="C14" s="200">
        <f>Statement!Z12</f>
        <v>33318</v>
      </c>
      <c r="D14" s="198">
        <f>Statement!AA12</f>
        <v>43751</v>
      </c>
      <c r="F14" s="200">
        <f>Statement!W12</f>
        <v>3654</v>
      </c>
      <c r="G14" s="198">
        <f>Statement!AA12</f>
        <v>43751</v>
      </c>
    </row>
    <row r="15" spans="2:7" x14ac:dyDescent="0.2">
      <c r="B15" s="206" t="s">
        <v>315</v>
      </c>
      <c r="C15" s="242">
        <f>Statement!AA96</f>
        <v>0.3131340416591632</v>
      </c>
      <c r="D15" s="243"/>
      <c r="F15" s="242">
        <f>IF(F14=0,
IF(G14=0,0,IF(G14&gt;0,1,-1)),
(G14-F14)/ABS(F14)
)</f>
        <v>10.973453749315818</v>
      </c>
      <c r="G15" s="243"/>
    </row>
    <row r="16" spans="2:7" x14ac:dyDescent="0.2">
      <c r="B16" s="207" t="s">
        <v>30</v>
      </c>
      <c r="C16" s="200">
        <f>Statement!Z18</f>
        <v>28243</v>
      </c>
      <c r="D16" s="198">
        <f>Statement!AA18</f>
        <v>37701</v>
      </c>
      <c r="F16" s="200">
        <f>Statement!W18</f>
        <v>3201</v>
      </c>
      <c r="G16" s="198">
        <f>Statement!AA18</f>
        <v>37701</v>
      </c>
    </row>
    <row r="17" spans="2:7" x14ac:dyDescent="0.2">
      <c r="B17" s="206" t="s">
        <v>315</v>
      </c>
      <c r="C17" s="242">
        <f>Statement!AA98</f>
        <v>0.33487943915306445</v>
      </c>
      <c r="D17" s="243"/>
      <c r="F17" s="242">
        <f>IF(F16=0,
IF(G16=0,0,IF(G16&gt;0,1,-1)),
(G16-F16)/ABS(F16)
)</f>
        <v>10.777881911902531</v>
      </c>
      <c r="G17" s="243"/>
    </row>
    <row r="18" spans="2:7" x14ac:dyDescent="0.2">
      <c r="B18" s="207" t="s">
        <v>317</v>
      </c>
      <c r="C18" s="200">
        <f>Statement!Z22</f>
        <v>1145</v>
      </c>
      <c r="D18" s="198">
        <f>Statement!AA22</f>
        <v>1147</v>
      </c>
      <c r="F18" s="200">
        <f>Statement!W22</f>
        <v>1131</v>
      </c>
      <c r="G18" s="198">
        <f>Statement!AA22</f>
        <v>1147</v>
      </c>
    </row>
    <row r="19" spans="2:7" x14ac:dyDescent="0.2">
      <c r="B19" s="206" t="s">
        <v>315</v>
      </c>
      <c r="C19" s="242">
        <f>IF(C18=0,
IF(D18=0,0,IF(D18&gt;0,1,-1)),
(D18-C18)/ABS(C18)
)</f>
        <v>1.7467248908296944E-3</v>
      </c>
      <c r="D19" s="243"/>
      <c r="F19" s="242">
        <f>IF(F18=0,
IF(G18=0,0,IF(G18&gt;0,1,-1)),
(G18-F18)/ABS(F18)
)</f>
        <v>1.4146772767462422E-2</v>
      </c>
      <c r="G19" s="243"/>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42">
        <f>IF(C20=0,
IF(D20=0,0,IF(D20&gt;0,1,-1)),
(D20-C20)/ABS(C20)
)</f>
        <v>0.33238751520064835</v>
      </c>
      <c r="D21" s="243"/>
      <c r="F21" s="242">
        <f>IF(F20=0,
IF(G20=0,0,IF(G20&gt;0,1,-1)),
(G20-F20)/ABS(F20)
)</f>
        <v>10.614840989399292</v>
      </c>
      <c r="G21" s="243"/>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42">
        <f>IF(C24=0,
IF(D24=0,0,IF(D24&gt;0,1,-1)),
(D24-C24)/ABS(C24)
)</f>
        <v>0.26950331971399388</v>
      </c>
      <c r="D25" s="243"/>
      <c r="F25" s="242">
        <f>IF(F24=0,
IF(G24=0,0,IF(G24&gt;0,1,-1)),
(G24-F24)/ABS(F24)
)</f>
        <v>0.79326359455316076</v>
      </c>
      <c r="G25" s="243"/>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42">
        <f>IF(C26=0,
IF(D26=0,0,IF(D26&gt;0,1,-1)),
(D26-C26)/ABS(C26)
)</f>
        <v>0.41828422005430954</v>
      </c>
      <c r="D27" s="243"/>
      <c r="F27" s="242">
        <f>IF(F26=0,
IF(G26=0,0,IF(G26&gt;0,1,-1)),
(G26-F26)/ABS(F26)
)</f>
        <v>1.2519961673586713</v>
      </c>
      <c r="G27" s="243"/>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42">
        <f>IF(C28=0,
IF(D28=0,0,IF(D28&gt;0,1,-1)),
(D28-C28)/ABS(C28)
)</f>
        <v>0.92432432432432432</v>
      </c>
      <c r="D29" s="243"/>
      <c r="F29" s="242">
        <f>IF(F28=0,
IF(G28=0,0,IF(G28&gt;0,1,-1)),
(G28-F28)/ABS(F28)
)</f>
        <v>0.55458515283842791</v>
      </c>
      <c r="G29" s="243"/>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42">
        <f>IF(C31=0,
IF(D31=0,0,IF(D31&gt;0,1,-1)),
(D31-C31)/ABS(C31)
)</f>
        <v>0.18258406565473165</v>
      </c>
      <c r="D32" s="243"/>
      <c r="F32" s="242">
        <f>IF(F31=0,
IF(G31=0,0,IF(G31&gt;0,1,-1)),
(G31-F31)/ABS(F31)
)</f>
        <v>2.5841954655513977</v>
      </c>
      <c r="G32" s="243"/>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42">
        <f>IF(C33=0,
IF(D33=0,0,IF(D33&gt;0,1,-1)),
(D33-C33)/ABS(C33)
)</f>
        <v>0.56213120444290177</v>
      </c>
      <c r="D34" s="243"/>
      <c r="F34" s="242">
        <f>IF(F33=0,
IF(G33=0,0,IF(G33&gt;0,1,-1)),
(G33-F33)/ABS(F33)
)</f>
        <v>10.415345592897907</v>
      </c>
      <c r="G34" s="243"/>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42">
        <f>IF(C35=0,
IF(D35=0,0,IF(D35&gt;0,1,-1)),
(D35-C35)/ABS(C35)
)</f>
        <v>0.13826924746115787</v>
      </c>
      <c r="D36" s="243"/>
      <c r="F36" s="242">
        <f>IF(F35=0,
IF(G35=0,0,IF(G35&gt;0,1,-1)),
(G35-F35)/ABS(F35)
)</f>
        <v>2.4877659574468085</v>
      </c>
      <c r="G36" s="243"/>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42">
        <f>IF(C37=0,
IF(D37=0,0,IF(D37&gt;0,1,-1)),
(D37-C37)/ABS(C37)
)</f>
        <v>0.47259387138541215</v>
      </c>
      <c r="D38" s="243"/>
      <c r="F38" s="242">
        <f>IF(F37=0,
IF(G37=0,0,IF(G37&gt;0,1,-1)),
(G37-F37)/ABS(F37)
)</f>
        <v>3.7587168758716878</v>
      </c>
      <c r="G38" s="243"/>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A8"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1" t="s">
        <v>113</v>
      </c>
      <c r="D2" s="241"/>
      <c r="E2" s="241"/>
      <c r="F2" s="241"/>
      <c r="G2" s="250"/>
      <c r="H2" s="251" t="s">
        <v>114</v>
      </c>
      <c r="I2" s="241"/>
      <c r="J2" s="241"/>
      <c r="K2" s="241"/>
      <c r="L2" s="241"/>
      <c r="O2" s="5"/>
      <c r="S2" s="241" t="s">
        <v>113</v>
      </c>
      <c r="T2" s="241"/>
      <c r="U2" s="241"/>
      <c r="V2" s="241"/>
      <c r="W2" s="241"/>
      <c r="X2" s="241"/>
      <c r="Y2" s="241"/>
      <c r="Z2" s="241"/>
      <c r="AA2" s="241" t="s">
        <v>114</v>
      </c>
      <c r="AB2" s="241"/>
      <c r="AC2" s="241"/>
      <c r="AE2" s="85" t="s">
        <v>115</v>
      </c>
    </row>
    <row r="3" spans="1:31" ht="10" customHeight="1" x14ac:dyDescent="0.2">
      <c r="O3" s="5"/>
    </row>
    <row r="4" spans="1:31" ht="16" customHeight="1" x14ac:dyDescent="0.2">
      <c r="A4" s="86"/>
      <c r="B4" s="60"/>
      <c r="C4" s="247" t="s">
        <v>116</v>
      </c>
      <c r="D4" s="247"/>
      <c r="E4" s="247"/>
      <c r="F4" s="247"/>
      <c r="G4" s="247"/>
      <c r="H4" s="247"/>
      <c r="I4" s="247"/>
      <c r="J4" s="247"/>
      <c r="K4" s="247"/>
      <c r="L4" s="247"/>
      <c r="O4" s="5"/>
      <c r="S4" s="248" t="s">
        <v>116</v>
      </c>
      <c r="T4" s="249"/>
      <c r="U4" s="249"/>
      <c r="V4" s="249"/>
      <c r="W4" s="249"/>
      <c r="X4" s="249"/>
      <c r="Y4" s="249"/>
      <c r="Z4" s="249"/>
      <c r="AA4" s="249"/>
      <c r="AB4" s="249"/>
      <c r="AC4" s="249"/>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47" t="s">
        <v>122</v>
      </c>
      <c r="D12" s="247"/>
      <c r="E12" s="247"/>
      <c r="F12" s="247"/>
      <c r="G12" s="247"/>
      <c r="H12" s="247"/>
      <c r="I12" s="247"/>
      <c r="J12" s="247"/>
      <c r="K12" s="247"/>
      <c r="L12" s="247"/>
      <c r="O12" s="5"/>
      <c r="Q12" s="91"/>
      <c r="S12" s="248" t="s">
        <v>122</v>
      </c>
      <c r="T12" s="249"/>
      <c r="U12" s="249"/>
      <c r="V12" s="249"/>
      <c r="W12" s="249"/>
      <c r="X12" s="249"/>
      <c r="Y12" s="249"/>
      <c r="Z12" s="249"/>
      <c r="AA12" s="249"/>
      <c r="AB12" s="249"/>
      <c r="AC12" s="249"/>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30" sqref="H3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1" t="s">
        <v>113</v>
      </c>
      <c r="D2" s="241"/>
      <c r="E2" s="241"/>
      <c r="F2" s="241"/>
      <c r="G2" s="250"/>
      <c r="H2" s="251" t="s">
        <v>114</v>
      </c>
      <c r="I2" s="241"/>
      <c r="J2" s="241"/>
      <c r="K2" s="241"/>
      <c r="L2" s="241"/>
      <c r="P2" s="241" t="s">
        <v>113</v>
      </c>
      <c r="Q2" s="241"/>
      <c r="R2" s="241"/>
      <c r="S2" s="241"/>
      <c r="T2" s="241"/>
      <c r="U2" s="241"/>
      <c r="V2" s="241"/>
      <c r="W2" s="241"/>
      <c r="X2" s="241" t="s">
        <v>114</v>
      </c>
      <c r="Y2" s="241"/>
      <c r="Z2" s="241"/>
      <c r="AB2" s="85" t="s">
        <v>115</v>
      </c>
    </row>
    <row r="3" spans="1:30" ht="10" customHeight="1" x14ac:dyDescent="0.2"/>
    <row r="4" spans="1:30" ht="16" customHeight="1" x14ac:dyDescent="0.2">
      <c r="A4" s="86"/>
      <c r="B4" s="60"/>
      <c r="C4" s="247" t="s">
        <v>116</v>
      </c>
      <c r="D4" s="247"/>
      <c r="E4" s="247"/>
      <c r="F4" s="247"/>
      <c r="G4" s="247"/>
      <c r="H4" s="247"/>
      <c r="I4" s="247"/>
      <c r="J4" s="247"/>
      <c r="K4" s="247"/>
      <c r="L4" s="247"/>
      <c r="P4" s="249" t="s">
        <v>116</v>
      </c>
      <c r="Q4" s="249"/>
      <c r="R4" s="249"/>
      <c r="S4" s="249"/>
      <c r="T4" s="249"/>
      <c r="U4" s="249"/>
      <c r="V4" s="249"/>
      <c r="W4" s="249"/>
      <c r="X4" s="249"/>
      <c r="Y4" s="249"/>
      <c r="Z4" s="249"/>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47" t="s">
        <v>125</v>
      </c>
      <c r="D9" s="247"/>
      <c r="E9" s="247"/>
      <c r="F9" s="247"/>
      <c r="G9" s="247"/>
      <c r="H9" s="247"/>
      <c r="I9" s="247"/>
      <c r="J9" s="247"/>
      <c r="K9" s="247"/>
      <c r="L9" s="247"/>
      <c r="N9" s="91"/>
      <c r="P9" s="249" t="s">
        <v>126</v>
      </c>
      <c r="Q9" s="249"/>
      <c r="R9" s="249"/>
      <c r="S9" s="249"/>
      <c r="T9" s="249"/>
      <c r="U9" s="249"/>
      <c r="V9" s="249"/>
      <c r="W9" s="249"/>
      <c r="X9" s="249"/>
      <c r="Y9" s="249"/>
      <c r="Z9" s="249"/>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2779.6882499999997</v>
      </c>
      <c r="Y11" s="25"/>
      <c r="Z11" s="25"/>
      <c r="AB11" s="24">
        <f>SUM(U11:X11)</f>
        <v>9827.7982499999998</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1853.1254999999999</v>
      </c>
      <c r="Y12" s="25"/>
      <c r="Z12" s="25"/>
      <c r="AB12" s="24">
        <f>SUM(U12:X12)</f>
        <v>6651.3254999999999</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1235.4169999999999</v>
      </c>
      <c r="Y13" s="25"/>
      <c r="Z13" s="25"/>
      <c r="AB13" s="24">
        <f>SUM(U13:X13)</f>
        <v>5666.8169999999991</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988.33360000000005</v>
      </c>
      <c r="Y14" s="25"/>
      <c r="Z14" s="25"/>
      <c r="AB14" s="24">
        <f>SUM(U14:X14)</f>
        <v>3914.1736000000001</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6856.5643499999987</v>
      </c>
      <c r="Y15" s="110"/>
      <c r="Z15" s="110"/>
      <c r="AB15" s="110">
        <f>SUM(AB11:AB14)</f>
        <v>26060.114349999996</v>
      </c>
    </row>
    <row r="16" spans="1:30" x14ac:dyDescent="0.2">
      <c r="B16" s="1" t="str">
        <f>Statement!B8</f>
        <v>R&amp;D</v>
      </c>
      <c r="C16" s="98">
        <f>Statement!M8</f>
        <v>3116</v>
      </c>
      <c r="D16" s="98">
        <f>Statement!N8</f>
        <v>3114</v>
      </c>
      <c r="E16" s="98">
        <f>Statement!O8</f>
        <v>3430</v>
      </c>
      <c r="F16" s="98">
        <f>Statement!P8</f>
        <v>3798</v>
      </c>
      <c r="G16" s="99">
        <f>Statement!Q8</f>
        <v>5650</v>
      </c>
      <c r="H16" s="24">
        <f>H6*H29</f>
        <v>10410.91425</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2470.8339999999998</v>
      </c>
      <c r="Y16" s="24"/>
      <c r="Z16" s="24"/>
      <c r="AB16" s="24">
        <f t="shared" ref="AB16:AB19" si="10">SUM(U16:X16)</f>
        <v>6949.8339999999998</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1235.4169999999999</v>
      </c>
      <c r="Y17" s="24"/>
      <c r="Z17" s="24"/>
      <c r="AB17" s="24">
        <f t="shared" si="10"/>
        <v>2845.4169999999999</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14031.218999999999</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3856.2509999999997</v>
      </c>
      <c r="Y19" s="110"/>
      <c r="Z19" s="110"/>
      <c r="AB19" s="110">
        <f t="shared" si="10"/>
        <v>10510.251</v>
      </c>
    </row>
    <row r="22" spans="2:28" x14ac:dyDescent="0.2">
      <c r="C22" s="247" t="s">
        <v>128</v>
      </c>
      <c r="D22" s="247"/>
      <c r="E22" s="247"/>
      <c r="F22" s="247"/>
      <c r="G22" s="247"/>
      <c r="H22" s="247"/>
      <c r="I22" s="247"/>
      <c r="J22" s="247"/>
      <c r="K22" s="247"/>
      <c r="L22" s="247"/>
      <c r="P22" s="249" t="s">
        <v>128</v>
      </c>
      <c r="Q22" s="249"/>
      <c r="R22" s="249"/>
      <c r="S22" s="249"/>
      <c r="T22" s="249"/>
      <c r="U22" s="249"/>
      <c r="V22" s="249"/>
      <c r="W22" s="249"/>
      <c r="X22" s="249"/>
      <c r="Y22" s="249"/>
      <c r="Z22" s="249"/>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4.4999999999999998E-2</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0.03</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0.02</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1.6E-2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0.11099999999999999</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4.4999999999999998E-2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0.04</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0.02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6.0648358044059388E-2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6.2428329867566981E-2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K37" sqref="K3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1" t="s">
        <v>113</v>
      </c>
      <c r="D3" s="241"/>
      <c r="E3" s="241"/>
      <c r="F3" s="241"/>
      <c r="G3" s="250"/>
      <c r="H3" s="251" t="s">
        <v>114</v>
      </c>
      <c r="I3" s="241"/>
      <c r="J3" s="241"/>
      <c r="K3" s="241"/>
      <c r="L3" s="241"/>
      <c r="P3" s="252"/>
      <c r="Q3" s="252"/>
      <c r="R3" s="252"/>
      <c r="S3" s="252"/>
      <c r="T3" s="252"/>
      <c r="U3" s="252"/>
      <c r="V3" s="252"/>
      <c r="W3" s="252"/>
      <c r="X3" s="252"/>
      <c r="Y3" s="252"/>
      <c r="Z3" s="252"/>
      <c r="AB3" s="113"/>
    </row>
    <row r="4" spans="1:28" ht="10" customHeight="1" x14ac:dyDescent="0.2"/>
    <row r="5" spans="1:28" ht="16" customHeight="1" x14ac:dyDescent="0.2">
      <c r="A5" s="86"/>
      <c r="B5" s="60"/>
      <c r="C5" s="247" t="s">
        <v>116</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7" t="s">
        <v>132</v>
      </c>
      <c r="D11" s="247"/>
      <c r="E11" s="247"/>
      <c r="F11" s="247"/>
      <c r="G11" s="247"/>
      <c r="H11" s="247"/>
      <c r="I11" s="247"/>
      <c r="J11" s="247"/>
      <c r="K11" s="247"/>
      <c r="L11" s="247"/>
      <c r="N11" s="91"/>
      <c r="P11" s="252"/>
      <c r="Q11" s="252"/>
      <c r="R11" s="252"/>
      <c r="S11" s="252"/>
      <c r="T11" s="252"/>
      <c r="U11" s="252"/>
      <c r="V11" s="252"/>
      <c r="W11" s="252"/>
      <c r="X11" s="252"/>
      <c r="Y11" s="252"/>
      <c r="Z11" s="252"/>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47" t="s">
        <v>137</v>
      </c>
      <c r="D18" s="247"/>
      <c r="E18" s="247"/>
      <c r="F18" s="247"/>
      <c r="G18" s="247"/>
      <c r="H18" s="247"/>
      <c r="I18" s="247"/>
      <c r="J18" s="247"/>
      <c r="K18" s="247"/>
      <c r="L18" s="247"/>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52"/>
      <c r="C25" s="252"/>
    </row>
    <row r="26" spans="2:12" x14ac:dyDescent="0.2">
      <c r="B26" s="113"/>
      <c r="C26" s="247" t="s">
        <v>143</v>
      </c>
      <c r="D26" s="247"/>
      <c r="E26" s="247"/>
      <c r="F26" s="247"/>
      <c r="G26" s="247"/>
      <c r="H26" s="247"/>
      <c r="I26" s="247"/>
      <c r="J26" s="247"/>
      <c r="K26" s="247"/>
      <c r="L26" s="247"/>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47" t="s">
        <v>147</v>
      </c>
      <c r="D33" s="247"/>
      <c r="E33" s="247"/>
      <c r="F33" s="247"/>
      <c r="G33" s="247"/>
      <c r="H33" s="247"/>
      <c r="I33" s="247"/>
      <c r="J33" s="247"/>
      <c r="K33" s="247"/>
      <c r="L33" s="247"/>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47" t="s">
        <v>150</v>
      </c>
      <c r="D40" s="247"/>
      <c r="E40" s="247"/>
      <c r="F40" s="247"/>
      <c r="G40" s="247"/>
      <c r="H40" s="247"/>
      <c r="I40" s="247"/>
      <c r="J40" s="247"/>
      <c r="K40" s="247"/>
      <c r="L40" s="247"/>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1" t="s">
        <v>113</v>
      </c>
      <c r="D2" s="241"/>
      <c r="E2" s="241"/>
      <c r="F2" s="241"/>
      <c r="G2" s="250"/>
      <c r="H2" s="251" t="s">
        <v>114</v>
      </c>
      <c r="I2" s="241"/>
      <c r="J2" s="241"/>
      <c r="K2" s="241"/>
      <c r="L2" s="241"/>
      <c r="S2" s="252"/>
      <c r="T2" s="252"/>
      <c r="U2" s="252"/>
      <c r="V2" s="252"/>
      <c r="W2" s="252"/>
      <c r="X2" s="252"/>
      <c r="Y2" s="252"/>
      <c r="Z2" s="252"/>
      <c r="AA2" s="252"/>
      <c r="AB2" s="252"/>
      <c r="AC2" s="252"/>
      <c r="AE2" s="113"/>
    </row>
    <row r="3" spans="1:31" ht="10" customHeight="1" x14ac:dyDescent="0.2"/>
    <row r="4" spans="1:31" ht="16" customHeight="1" x14ac:dyDescent="0.2">
      <c r="A4" s="86"/>
      <c r="B4" s="60"/>
      <c r="C4" s="247" t="s">
        <v>18</v>
      </c>
      <c r="D4" s="247"/>
      <c r="E4" s="247"/>
      <c r="F4" s="247"/>
      <c r="G4" s="247"/>
      <c r="H4" s="247"/>
      <c r="I4" s="247"/>
      <c r="J4" s="247"/>
      <c r="K4" s="247"/>
      <c r="L4" s="247"/>
      <c r="S4" s="252"/>
      <c r="T4" s="252"/>
      <c r="U4" s="252"/>
      <c r="V4" s="252"/>
      <c r="W4" s="252"/>
      <c r="X4" s="252"/>
      <c r="Y4" s="252"/>
      <c r="Z4" s="252"/>
      <c r="AA4" s="252"/>
      <c r="AB4" s="252"/>
      <c r="AC4" s="252"/>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14031.218999999999</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180305.84699999998</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47" t="s">
        <v>158</v>
      </c>
      <c r="D13" s="247"/>
      <c r="E13" s="247"/>
      <c r="F13" s="247"/>
      <c r="G13" s="247"/>
      <c r="H13" s="247"/>
      <c r="I13" s="247"/>
      <c r="J13" s="247"/>
      <c r="K13" s="247"/>
      <c r="L13" s="24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47" t="s">
        <v>159</v>
      </c>
      <c r="D18" s="247"/>
      <c r="E18" s="247"/>
      <c r="F18" s="247"/>
      <c r="G18" s="247"/>
      <c r="H18" s="247"/>
      <c r="I18" s="247"/>
      <c r="J18" s="247"/>
      <c r="K18" s="247"/>
      <c r="L18" s="247"/>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47" t="s">
        <v>262</v>
      </c>
      <c r="D25" s="247"/>
      <c r="E25" s="247"/>
      <c r="F25" s="247"/>
      <c r="G25" s="247"/>
      <c r="H25" s="247"/>
      <c r="I25" s="247"/>
      <c r="J25" s="247"/>
      <c r="K25" s="247"/>
      <c r="L25" s="247"/>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142441.61912999998</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91421.682705342435</v>
      </c>
      <c r="I28" s="94">
        <f t="shared" si="7"/>
        <v>124064.76616155481</v>
      </c>
      <c r="J28" s="94">
        <f t="shared" si="7"/>
        <v>175525.57843428288</v>
      </c>
      <c r="K28" s="94">
        <f t="shared" si="7"/>
        <v>188625.14228390134</v>
      </c>
      <c r="L28" s="94">
        <f t="shared" si="7"/>
        <v>156823.0650703951</v>
      </c>
    </row>
    <row r="31" spans="2:14" x14ac:dyDescent="0.2">
      <c r="C31" s="247" t="s">
        <v>76</v>
      </c>
      <c r="D31" s="247"/>
      <c r="E31" s="247"/>
      <c r="F31" s="247"/>
      <c r="G31" s="247"/>
      <c r="H31" s="247"/>
      <c r="I31" s="247"/>
      <c r="J31" s="247"/>
      <c r="K31" s="247"/>
      <c r="L31" s="247"/>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0.77935164195594053</v>
      </c>
      <c r="I34" s="216">
        <f t="shared" ref="I34:L34" si="10">I10/I6</f>
        <v>0.81452756570639784</v>
      </c>
      <c r="J34" s="216">
        <f t="shared" si="10"/>
        <v>0.81459882900111036</v>
      </c>
      <c r="K34" s="216">
        <f t="shared" si="10"/>
        <v>0.79952891679303562</v>
      </c>
      <c r="L34" s="216">
        <f t="shared" si="10"/>
        <v>0.78931602536679157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1" t="s">
        <v>166</v>
      </c>
      <c r="C4" s="241"/>
    </row>
    <row r="5" spans="1:3" ht="17" customHeight="1" x14ac:dyDescent="0.2">
      <c r="B5" s="1" t="s">
        <v>167</v>
      </c>
      <c r="C5" s="140">
        <f>Statement!AC78</f>
        <v>1146</v>
      </c>
    </row>
    <row r="6" spans="1:3" ht="17" customHeight="1" x14ac:dyDescent="0.2">
      <c r="B6" s="1" t="s">
        <v>1</v>
      </c>
      <c r="C6" s="137">
        <f ca="1">Overview!C5</f>
        <v>1063</v>
      </c>
    </row>
    <row r="7" spans="1:3" ht="17" customHeight="1" x14ac:dyDescent="0.2">
      <c r="B7" s="1" t="s">
        <v>168</v>
      </c>
      <c r="C7" s="138">
        <f ca="1">C5*C6</f>
        <v>1218198</v>
      </c>
    </row>
    <row r="8" spans="1:3" ht="17" customHeight="1" x14ac:dyDescent="0.2">
      <c r="B8" s="1" t="s">
        <v>169</v>
      </c>
      <c r="C8" s="116">
        <f>Statement!AC108</f>
        <v>5179</v>
      </c>
    </row>
    <row r="9" spans="1:3" ht="17" customHeight="1" x14ac:dyDescent="0.2">
      <c r="B9" s="1" t="s">
        <v>170</v>
      </c>
      <c r="C9" s="139">
        <f ca="1">Overview!F27</f>
        <v>5.2770000000000004E-2</v>
      </c>
    </row>
    <row r="10" spans="1:3" ht="17" customHeight="1" x14ac:dyDescent="0.2">
      <c r="B10" s="1" t="s">
        <v>9</v>
      </c>
      <c r="C10" s="137">
        <f ca="1">Overview!C13</f>
        <v>2.3384</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1" t="s">
        <v>173</v>
      </c>
      <c r="C15" s="241"/>
    </row>
    <row r="16" spans="1:3" ht="17" customHeight="1" x14ac:dyDescent="0.2">
      <c r="B16" s="1" t="s">
        <v>174</v>
      </c>
      <c r="C16" s="46">
        <f ca="1">C8/(C8+C7)</f>
        <v>4.2333638772022036E-3</v>
      </c>
    </row>
    <row r="17" spans="2:3" ht="17" customHeight="1" x14ac:dyDescent="0.2">
      <c r="B17" s="1" t="s">
        <v>175</v>
      </c>
      <c r="C17" s="46">
        <f ca="1">C7/(C8+C7)</f>
        <v>0.99576663612279781</v>
      </c>
    </row>
    <row r="18" spans="2:3" ht="17" customHeight="1" x14ac:dyDescent="0.2">
      <c r="B18" s="1" t="s">
        <v>176</v>
      </c>
      <c r="C18" s="46">
        <f>C13*(1-C12)</f>
        <v>4.5030000000000001E-2</v>
      </c>
    </row>
    <row r="19" spans="2:3" ht="17" customHeight="1" x14ac:dyDescent="0.2">
      <c r="B19" s="1" t="s">
        <v>177</v>
      </c>
      <c r="C19" s="46">
        <f ca="1">C9+C10*C11</f>
        <v>0.157998</v>
      </c>
    </row>
    <row r="20" spans="2:3" ht="17" customHeight="1" x14ac:dyDescent="0.2">
      <c r="B20" s="1" t="s">
        <v>165</v>
      </c>
      <c r="C20" s="46">
        <f ca="1">(C17*C19)+(C16*C18)</f>
        <v>0.15751976534952022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1" t="s">
        <v>113</v>
      </c>
      <c r="D3" s="241"/>
      <c r="E3" s="241"/>
      <c r="F3" s="241"/>
      <c r="G3" s="250"/>
      <c r="H3" s="251" t="s">
        <v>114</v>
      </c>
      <c r="I3" s="241"/>
      <c r="J3" s="241"/>
      <c r="K3" s="241"/>
      <c r="L3" s="241"/>
      <c r="P3" s="252"/>
      <c r="Q3" s="252"/>
      <c r="R3" s="252"/>
      <c r="S3" s="252"/>
      <c r="T3" s="252"/>
      <c r="U3" s="252"/>
      <c r="V3" s="252"/>
      <c r="W3" s="252"/>
      <c r="X3" s="252"/>
      <c r="Y3" s="252"/>
      <c r="Z3" s="252"/>
      <c r="AB3" s="113"/>
    </row>
    <row r="4" spans="1:28" ht="10" customHeight="1" x14ac:dyDescent="0.2"/>
    <row r="5" spans="1:28" ht="16" customHeight="1" x14ac:dyDescent="0.2">
      <c r="A5" s="86"/>
      <c r="B5" s="60"/>
      <c r="C5" s="247" t="s">
        <v>180</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91421.682705342435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1073695.4152944915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78980.666630549589</v>
      </c>
      <c r="I10" s="130">
        <f t="shared" ref="I10:L10" ca="1" si="0">I7/(1+$C$15)^I9</f>
        <v>92595.872900288377</v>
      </c>
      <c r="J10" s="130">
        <f t="shared" ca="1" si="0"/>
        <v>113176.2151487457</v>
      </c>
      <c r="K10" s="130">
        <f t="shared" ca="1" si="0"/>
        <v>105071.73848107252</v>
      </c>
      <c r="L10" s="130">
        <f t="shared" ca="1" si="0"/>
        <v>75468.872171384937</v>
      </c>
      <c r="N10" s="91"/>
    </row>
    <row r="11" spans="1:28" x14ac:dyDescent="0.2">
      <c r="B11" s="1" t="s">
        <v>183</v>
      </c>
      <c r="C11" s="141"/>
      <c r="D11" s="141"/>
      <c r="E11" s="141"/>
      <c r="F11" s="141"/>
      <c r="G11" s="142"/>
      <c r="H11" s="141"/>
      <c r="I11" s="141"/>
      <c r="J11" s="141"/>
      <c r="K11" s="141"/>
      <c r="L11" s="130">
        <f ca="1">L8/(1+C15)^L9</f>
        <v>516700.66524646</v>
      </c>
    </row>
    <row r="13" spans="1:28" x14ac:dyDescent="0.2">
      <c r="B13" s="241" t="s">
        <v>184</v>
      </c>
      <c r="C13" s="241"/>
    </row>
    <row r="14" spans="1:28" x14ac:dyDescent="0.2">
      <c r="B14" s="1" t="s">
        <v>185</v>
      </c>
      <c r="C14" s="144">
        <v>0.01</v>
      </c>
    </row>
    <row r="15" spans="1:28" x14ac:dyDescent="0.2">
      <c r="B15" s="1" t="s">
        <v>165</v>
      </c>
      <c r="C15" s="139">
        <f ca="1">IF(Overview!C28&gt;0,Overview!C28,WACC!C20)</f>
        <v>0.15751976534952022</v>
      </c>
    </row>
    <row r="18" spans="2:3" x14ac:dyDescent="0.2">
      <c r="B18" s="241" t="s">
        <v>186</v>
      </c>
      <c r="C18" s="241"/>
    </row>
    <row r="19" spans="2:3" x14ac:dyDescent="0.2">
      <c r="B19" s="1" t="s">
        <v>187</v>
      </c>
      <c r="C19" s="64">
        <f ca="1">SUM(H10:L10)</f>
        <v>465293.36533204111</v>
      </c>
    </row>
    <row r="20" spans="2:3" x14ac:dyDescent="0.2">
      <c r="B20" s="1" t="s">
        <v>183</v>
      </c>
      <c r="C20" s="64">
        <f ca="1">L11</f>
        <v>516700.66524646</v>
      </c>
    </row>
    <row r="21" spans="2:3" x14ac:dyDescent="0.2">
      <c r="B21" s="16" t="s">
        <v>188</v>
      </c>
      <c r="C21" s="94">
        <f ca="1">C19+C20</f>
        <v>981994.03057850106</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1050268.0305785011</v>
      </c>
    </row>
    <row r="25" spans="2:3" x14ac:dyDescent="0.2">
      <c r="B25" s="1" t="s">
        <v>68</v>
      </c>
      <c r="C25" s="88">
        <f>Statement!AC78</f>
        <v>1146</v>
      </c>
    </row>
    <row r="26" spans="2:3" x14ac:dyDescent="0.2">
      <c r="B26" s="236" t="s">
        <v>192</v>
      </c>
      <c r="C26" s="237">
        <f ca="1">C24/C25</f>
        <v>916.46425006850006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1" t="s">
        <v>113</v>
      </c>
      <c r="D2" s="241"/>
      <c r="E2" s="241"/>
      <c r="F2" s="241"/>
      <c r="G2" s="250"/>
      <c r="H2" s="251" t="s">
        <v>114</v>
      </c>
      <c r="I2" s="241"/>
      <c r="J2" s="241"/>
      <c r="K2" s="241"/>
      <c r="L2" s="241"/>
    </row>
    <row r="3" spans="1:14" ht="10" customHeight="1" x14ac:dyDescent="0.2"/>
    <row r="4" spans="1:14" ht="16" customHeight="1" x14ac:dyDescent="0.2">
      <c r="A4" s="86"/>
      <c r="B4" s="60"/>
      <c r="C4" s="247" t="s">
        <v>194</v>
      </c>
      <c r="D4" s="247"/>
      <c r="E4" s="247"/>
      <c r="F4" s="247"/>
      <c r="G4" s="247"/>
      <c r="H4" s="247"/>
      <c r="I4" s="247"/>
      <c r="J4" s="247"/>
      <c r="K4" s="247"/>
      <c r="L4" s="247"/>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180305.84699999998</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91421.682705342435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78980.666630549589</v>
      </c>
      <c r="I9" s="92">
        <f ca="1">DCF!I10</f>
        <v>92595.872900288377</v>
      </c>
      <c r="J9" s="92">
        <f ca="1">DCF!J10</f>
        <v>113176.2151487457</v>
      </c>
      <c r="K9" s="92">
        <f ca="1">DCF!K10</f>
        <v>105071.73848107252</v>
      </c>
      <c r="L9" s="92">
        <f ca="1">DCF!L10</f>
        <v>75468.872171384937</v>
      </c>
      <c r="N9" s="91"/>
    </row>
    <row r="10" spans="1:14" x14ac:dyDescent="0.2">
      <c r="N10" s="91"/>
    </row>
    <row r="11" spans="1:14" x14ac:dyDescent="0.2">
      <c r="C11" s="247" t="s">
        <v>122</v>
      </c>
      <c r="D11" s="247"/>
      <c r="E11" s="247"/>
      <c r="F11" s="247"/>
      <c r="G11" s="247"/>
      <c r="H11" s="247"/>
      <c r="I11" s="247"/>
      <c r="J11" s="247"/>
      <c r="K11" s="247"/>
      <c r="L11" s="247"/>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0.81503771894503707</v>
      </c>
      <c r="I14" s="95">
        <f t="shared" si="2"/>
        <v>0.43431922676362261</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0.5850625155367889</v>
      </c>
      <c r="I15" s="95">
        <f t="shared" si="3"/>
        <v>0.35706062818186135</v>
      </c>
      <c r="J15" s="95">
        <f t="shared" si="3"/>
        <v>0.41478990260390902</v>
      </c>
      <c r="K15" s="95">
        <f t="shared" si="3"/>
        <v>7.4630512353064005E-2</v>
      </c>
      <c r="L15" s="95">
        <f t="shared" si="3"/>
        <v>-0.16859935440441265</v>
      </c>
      <c r="N15" s="91"/>
    </row>
    <row r="16" spans="1:14" x14ac:dyDescent="0.2">
      <c r="N16" s="91"/>
    </row>
    <row r="17" spans="2:14" x14ac:dyDescent="0.2">
      <c r="C17" s="247" t="s">
        <v>196</v>
      </c>
      <c r="D17" s="247"/>
      <c r="E17" s="247"/>
      <c r="F17" s="247"/>
      <c r="G17" s="247"/>
      <c r="H17" s="247"/>
      <c r="I17" s="247"/>
      <c r="J17" s="247"/>
      <c r="K17" s="247"/>
      <c r="L17" s="247"/>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47" t="s">
        <v>199</v>
      </c>
      <c r="D22" s="247"/>
      <c r="E22" s="247"/>
      <c r="F22" s="247"/>
      <c r="G22" s="247"/>
      <c r="H22" s="247"/>
      <c r="I22" s="247"/>
      <c r="J22" s="247"/>
      <c r="K22" s="247"/>
      <c r="L22" s="247"/>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47" t="s">
        <v>200</v>
      </c>
      <c r="D27" s="247"/>
      <c r="E27" s="247"/>
      <c r="F27" s="247"/>
      <c r="G27" s="247"/>
      <c r="H27" s="247"/>
      <c r="I27" s="247"/>
      <c r="J27" s="247"/>
      <c r="K27" s="247"/>
      <c r="L27" s="247"/>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1" t="s">
        <v>205</v>
      </c>
      <c r="C39" s="241"/>
      <c r="N39" s="91"/>
    </row>
    <row r="40" spans="2:14" x14ac:dyDescent="0.2">
      <c r="B40" s="1" t="s">
        <v>206</v>
      </c>
      <c r="C40" s="64">
        <f>L7</f>
        <v>173102.03925200002</v>
      </c>
    </row>
    <row r="41" spans="2:14" x14ac:dyDescent="0.2">
      <c r="B41" s="1" t="s">
        <v>165</v>
      </c>
      <c r="C41" s="139">
        <f ca="1">IF(Overview!C28&gt;0,Overview!C28,WACC!C20)</f>
        <v>0.15751976534952022</v>
      </c>
    </row>
    <row r="42" spans="2:14" x14ac:dyDescent="0.2">
      <c r="B42" s="39" t="s">
        <v>207</v>
      </c>
      <c r="C42" s="105">
        <v>12</v>
      </c>
    </row>
    <row r="43" spans="2:14" x14ac:dyDescent="0.2">
      <c r="B43" s="1" t="s">
        <v>422</v>
      </c>
      <c r="C43" s="24">
        <f>(C40*C42)</f>
        <v>2077224.4710240001</v>
      </c>
    </row>
    <row r="44" spans="2:14" x14ac:dyDescent="0.2">
      <c r="B44" s="1" t="s">
        <v>423</v>
      </c>
      <c r="C44" s="24">
        <f ca="1">C43/(1+C41)^5</f>
        <v>999634.766764784</v>
      </c>
    </row>
    <row r="45" spans="2:14" x14ac:dyDescent="0.2">
      <c r="B45" s="16" t="s">
        <v>424</v>
      </c>
      <c r="C45" s="110">
        <f ca="1">SUM(H9:K9)+C44</f>
        <v>1389459.2599254402</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1457733.2599254402</v>
      </c>
    </row>
    <row r="49" spans="2:3" x14ac:dyDescent="0.2">
      <c r="B49" s="1" t="s">
        <v>68</v>
      </c>
      <c r="C49" s="88">
        <f>Statement!AC78</f>
        <v>1146</v>
      </c>
    </row>
    <row r="50" spans="2:3" x14ac:dyDescent="0.2">
      <c r="B50" s="236" t="s">
        <v>209</v>
      </c>
      <c r="C50" s="237">
        <f ca="1">C48/C49</f>
        <v>1272.0185514183597</v>
      </c>
    </row>
    <row r="52" spans="2:3" x14ac:dyDescent="0.2">
      <c r="B52" s="241" t="s">
        <v>210</v>
      </c>
      <c r="C52" s="241"/>
    </row>
    <row r="53" spans="2:3" x14ac:dyDescent="0.2">
      <c r="B53" s="1" t="s">
        <v>211</v>
      </c>
      <c r="C53" s="64">
        <f>L6</f>
        <v>219306.37880000001</v>
      </c>
    </row>
    <row r="54" spans="2:3" x14ac:dyDescent="0.2">
      <c r="B54" s="1" t="s">
        <v>346</v>
      </c>
      <c r="C54" s="139">
        <f ca="1">IF(Overview!C29&gt;0,Overview!C29,WACC!C19)</f>
        <v>0.157998</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562.93649354966783</v>
      </c>
    </row>
    <row r="60" spans="2:3" x14ac:dyDescent="0.2">
      <c r="B60" s="241" t="s">
        <v>322</v>
      </c>
      <c r="C60" s="241"/>
    </row>
    <row r="61" spans="2:3" x14ac:dyDescent="0.2">
      <c r="B61" s="1" t="s">
        <v>425</v>
      </c>
      <c r="C61" s="64">
        <f>L8</f>
        <v>156823.0650703951</v>
      </c>
    </row>
    <row r="62" spans="2:3" x14ac:dyDescent="0.2">
      <c r="B62" s="1" t="s">
        <v>165</v>
      </c>
      <c r="C62" s="139">
        <f ca="1">IF(Overview!C28&gt;0,Overview!C28,WACC!C20)</f>
        <v>0.15751976534952022</v>
      </c>
    </row>
    <row r="63" spans="2:3" x14ac:dyDescent="0.2">
      <c r="B63" s="39" t="s">
        <v>347</v>
      </c>
      <c r="C63" s="105">
        <v>20</v>
      </c>
    </row>
    <row r="64" spans="2:3" x14ac:dyDescent="0.2">
      <c r="B64" s="1" t="s">
        <v>422</v>
      </c>
      <c r="C64" s="24">
        <f>(C61*C63)</f>
        <v>3136461.301407902</v>
      </c>
    </row>
    <row r="65" spans="2:3" x14ac:dyDescent="0.2">
      <c r="B65" s="1" t="s">
        <v>423</v>
      </c>
      <c r="C65" s="24">
        <f ca="1">C64/(1+C62)^5</f>
        <v>1509377.4434276987</v>
      </c>
    </row>
    <row r="66" spans="2:3" x14ac:dyDescent="0.2">
      <c r="B66" s="16" t="s">
        <v>424</v>
      </c>
      <c r="C66" s="110">
        <f ca="1">SUM(H9:K9)+C65</f>
        <v>1899201.9365883549</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1967475.9365883549</v>
      </c>
    </row>
    <row r="70" spans="2:3" x14ac:dyDescent="0.2">
      <c r="B70" s="1" t="s">
        <v>68</v>
      </c>
      <c r="C70" s="88">
        <f>Statement!AC78</f>
        <v>1146</v>
      </c>
    </row>
    <row r="71" spans="2:3" x14ac:dyDescent="0.2">
      <c r="B71" s="236" t="s">
        <v>209</v>
      </c>
      <c r="C71" s="237">
        <f ca="1">C69/C70</f>
        <v>1716.820188995074</v>
      </c>
    </row>
    <row r="73" spans="2:3" x14ac:dyDescent="0.2">
      <c r="B73" s="241" t="s">
        <v>427</v>
      </c>
      <c r="C73" s="241"/>
    </row>
    <row r="74" spans="2:3" x14ac:dyDescent="0.2">
      <c r="B74" s="1" t="s">
        <v>428</v>
      </c>
      <c r="C74" s="64">
        <f>L6</f>
        <v>219306.37880000001</v>
      </c>
    </row>
    <row r="75" spans="2:3" x14ac:dyDescent="0.2">
      <c r="B75" s="1" t="s">
        <v>165</v>
      </c>
      <c r="C75" s="139">
        <f ca="1">IF(Overview!C28&gt;0,Overview!C28,WACC!C20)</f>
        <v>0.15751976534952022</v>
      </c>
    </row>
    <row r="76" spans="2:3" x14ac:dyDescent="0.2">
      <c r="B76" s="39" t="s">
        <v>429</v>
      </c>
      <c r="C76" s="105">
        <v>5.5</v>
      </c>
    </row>
    <row r="77" spans="2:3" x14ac:dyDescent="0.2">
      <c r="B77" s="1" t="s">
        <v>422</v>
      </c>
      <c r="C77" s="24">
        <f>(C74*C76)</f>
        <v>1206185.0834000001</v>
      </c>
    </row>
    <row r="78" spans="2:3" x14ac:dyDescent="0.2">
      <c r="B78" s="1" t="s">
        <v>423</v>
      </c>
      <c r="C78" s="24">
        <f ca="1">C77/(1+C75)^5</f>
        <v>580459.43581885984</v>
      </c>
    </row>
    <row r="79" spans="2:3" x14ac:dyDescent="0.2">
      <c r="B79" s="16" t="s">
        <v>424</v>
      </c>
      <c r="C79" s="110">
        <f ca="1">SUM(H9:K9)+C78</f>
        <v>970283.92897951603</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1038557.928979516</v>
      </c>
    </row>
    <row r="83" spans="2:3" x14ac:dyDescent="0.2">
      <c r="B83" s="1" t="s">
        <v>68</v>
      </c>
      <c r="C83" s="88">
        <f>Statement!AC78</f>
        <v>1146</v>
      </c>
    </row>
    <row r="84" spans="2:3" x14ac:dyDescent="0.2">
      <c r="B84" s="236" t="s">
        <v>209</v>
      </c>
      <c r="C84" s="237">
        <f ca="1">C82/C83</f>
        <v>906.24601132593023</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1" t="s">
        <v>214</v>
      </c>
      <c r="C4" s="241"/>
      <c r="N4" s="91"/>
    </row>
    <row r="5" spans="1:14" x14ac:dyDescent="0.2">
      <c r="B5" s="1" t="s">
        <v>215</v>
      </c>
      <c r="C5" s="137">
        <f ca="1">DCF!C26</f>
        <v>916.46425006850006</v>
      </c>
    </row>
    <row r="6" spans="1:14" x14ac:dyDescent="0.2">
      <c r="B6" s="1" t="s">
        <v>216</v>
      </c>
      <c r="C6" s="137">
        <f ca="1">Multiples!C50</f>
        <v>1272.0185514183597</v>
      </c>
    </row>
    <row r="7" spans="1:14" x14ac:dyDescent="0.2">
      <c r="B7" s="1" t="s">
        <v>217</v>
      </c>
      <c r="C7" s="137">
        <f ca="1">Multiples!C58</f>
        <v>562.93649354966783</v>
      </c>
    </row>
    <row r="8" spans="1:14" x14ac:dyDescent="0.2">
      <c r="B8" s="1" t="s">
        <v>323</v>
      </c>
      <c r="C8" s="137">
        <f ca="1">Multiples!C71</f>
        <v>1716.820188995074</v>
      </c>
    </row>
    <row r="9" spans="1:14" x14ac:dyDescent="0.2">
      <c r="B9" s="1" t="s">
        <v>430</v>
      </c>
      <c r="C9" s="137">
        <f ca="1">Multiples!C84</f>
        <v>906.24601132593023</v>
      </c>
    </row>
    <row r="10" spans="1:14" x14ac:dyDescent="0.2">
      <c r="B10" s="236" t="s">
        <v>218</v>
      </c>
      <c r="C10" s="237">
        <f ca="1">AVERAGE(C5:C9)</f>
        <v>1074.8970990715065</v>
      </c>
    </row>
    <row r="11" spans="1:14" x14ac:dyDescent="0.2">
      <c r="B11" s="1" t="s">
        <v>219</v>
      </c>
      <c r="C11" s="137">
        <f ca="1">Overview!C5</f>
        <v>1063</v>
      </c>
    </row>
    <row r="12" spans="1:14" x14ac:dyDescent="0.2">
      <c r="B12" s="1" t="s">
        <v>220</v>
      </c>
      <c r="C12" s="156">
        <f ca="1">(C10-C11)/C11</f>
        <v>1.119200288946994E-2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1" t="s">
        <v>113</v>
      </c>
      <c r="D2" s="241"/>
      <c r="E2" s="241"/>
      <c r="F2" s="241"/>
      <c r="G2" s="250"/>
      <c r="H2" s="251" t="s">
        <v>114</v>
      </c>
      <c r="I2" s="241"/>
      <c r="J2" s="241"/>
      <c r="K2" s="241"/>
      <c r="L2" s="241"/>
    </row>
    <row r="3" spans="1:14" ht="10" customHeight="1" x14ac:dyDescent="0.2"/>
    <row r="4" spans="1:14" ht="16" customHeight="1" x14ac:dyDescent="0.2">
      <c r="A4" s="86"/>
      <c r="B4" s="60"/>
      <c r="C4" s="247" t="s">
        <v>194</v>
      </c>
      <c r="D4" s="247"/>
      <c r="E4" s="247"/>
      <c r="F4" s="247"/>
      <c r="G4" s="247"/>
      <c r="H4" s="247"/>
      <c r="I4" s="247"/>
      <c r="J4" s="247"/>
      <c r="K4" s="247"/>
      <c r="L4" s="247"/>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47" t="s">
        <v>122</v>
      </c>
      <c r="D9" s="247"/>
      <c r="E9" s="247"/>
      <c r="F9" s="247"/>
      <c r="G9" s="247"/>
      <c r="H9" s="247"/>
      <c r="I9" s="247"/>
      <c r="J9" s="247"/>
      <c r="K9" s="247"/>
      <c r="L9" s="247"/>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47" t="s">
        <v>360</v>
      </c>
      <c r="D14" s="247"/>
      <c r="E14" s="247"/>
      <c r="F14" s="247"/>
      <c r="G14" s="247"/>
      <c r="H14" s="247"/>
      <c r="I14" s="247"/>
      <c r="J14" s="247"/>
      <c r="K14" s="247"/>
      <c r="L14" s="247"/>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1" t="s">
        <v>362</v>
      </c>
      <c r="C20" s="241"/>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0.157998</v>
      </c>
    </row>
    <row r="25" spans="2:14" x14ac:dyDescent="0.2">
      <c r="B25" s="39" t="s">
        <v>366</v>
      </c>
      <c r="C25" s="230">
        <v>0.03</v>
      </c>
    </row>
    <row r="26" spans="2:14" x14ac:dyDescent="0.2">
      <c r="B26" s="236" t="s">
        <v>209</v>
      </c>
      <c r="C26" s="237">
        <f ca="1">C23/(C24-C25)</f>
        <v>5.1211737683401291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1" t="s">
        <v>113</v>
      </c>
      <c r="D3" s="241"/>
      <c r="E3" s="241"/>
      <c r="F3" s="241"/>
      <c r="G3" s="250"/>
      <c r="H3" s="251" t="s">
        <v>114</v>
      </c>
      <c r="I3" s="241"/>
      <c r="J3" s="241"/>
      <c r="K3" s="241"/>
      <c r="L3" s="241"/>
      <c r="P3" s="252"/>
      <c r="Q3" s="252"/>
      <c r="R3" s="252"/>
      <c r="S3" s="252"/>
      <c r="T3" s="252"/>
      <c r="U3" s="252"/>
      <c r="V3" s="252"/>
      <c r="W3" s="252"/>
      <c r="X3" s="252"/>
      <c r="Y3" s="252"/>
      <c r="Z3" s="252"/>
      <c r="AB3" s="113"/>
    </row>
    <row r="4" spans="1:28" ht="10" customHeight="1" x14ac:dyDescent="0.2"/>
    <row r="5" spans="1:28" ht="16" customHeight="1" x14ac:dyDescent="0.2">
      <c r="A5" s="86"/>
      <c r="B5" s="60"/>
      <c r="C5" s="247" t="s">
        <v>180</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75556.89644420144</v>
      </c>
      <c r="I7" s="130">
        <f t="shared" ref="I7:L7" si="0">H7*(1+$C$17)</f>
        <v>98979.534341903884</v>
      </c>
      <c r="J7" s="130">
        <f t="shared" si="0"/>
        <v>129663.18998789409</v>
      </c>
      <c r="K7" s="130">
        <f t="shared" si="0"/>
        <v>169858.77888414127</v>
      </c>
      <c r="L7" s="130">
        <f t="shared" si="0"/>
        <v>222515.00033822507</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1523457.8892470985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65274.821826810512</v>
      </c>
      <c r="I10" s="130">
        <f t="shared" ref="I10:L10" ca="1" si="1">I7/(1+$C$21)^I9</f>
        <v>73873.482901003852</v>
      </c>
      <c r="J10" s="130">
        <f t="shared" ca="1" si="1"/>
        <v>83604.84675706031</v>
      </c>
      <c r="K10" s="130">
        <f t="shared" ca="1" si="1"/>
        <v>94618.124485051958</v>
      </c>
      <c r="L10" s="130">
        <f t="shared" ca="1" si="1"/>
        <v>107082.18277205029</v>
      </c>
      <c r="N10" s="91"/>
    </row>
    <row r="11" spans="1:28" x14ac:dyDescent="0.2">
      <c r="B11" s="1" t="s">
        <v>183</v>
      </c>
      <c r="C11" s="141"/>
      <c r="D11" s="141"/>
      <c r="E11" s="141"/>
      <c r="F11" s="141"/>
      <c r="G11" s="142"/>
      <c r="H11" s="141"/>
      <c r="I11" s="141"/>
      <c r="J11" s="141"/>
      <c r="K11" s="141"/>
      <c r="L11" s="130">
        <f ca="1">L8/(1+C21)^L9</f>
        <v>733142.46632322576</v>
      </c>
    </row>
    <row r="13" spans="1:28" ht="17" thickBot="1" x14ac:dyDescent="0.25"/>
    <row r="14" spans="1:28" x14ac:dyDescent="0.2">
      <c r="B14" s="254" t="s">
        <v>222</v>
      </c>
      <c r="C14" s="255"/>
    </row>
    <row r="15" spans="1:28" x14ac:dyDescent="0.2">
      <c r="B15" s="157" t="s">
        <v>223</v>
      </c>
      <c r="C15" s="158">
        <f ca="1">Overview!C5</f>
        <v>1063</v>
      </c>
    </row>
    <row r="16" spans="1:28" x14ac:dyDescent="0.2">
      <c r="B16" s="157" t="s">
        <v>224</v>
      </c>
      <c r="C16" s="158">
        <f ca="1">C36</f>
        <v>1085.8015279585497</v>
      </c>
    </row>
    <row r="17" spans="2:9" ht="17" thickBot="1" x14ac:dyDescent="0.25">
      <c r="B17" s="159" t="s">
        <v>324</v>
      </c>
      <c r="C17" s="160">
        <v>0.31</v>
      </c>
      <c r="E17" s="253" t="s">
        <v>225</v>
      </c>
      <c r="F17" s="253"/>
      <c r="G17" s="253"/>
      <c r="H17" s="253"/>
      <c r="I17" s="253"/>
    </row>
    <row r="18" spans="2:9" ht="17" thickBot="1" x14ac:dyDescent="0.25"/>
    <row r="19" spans="2:9" x14ac:dyDescent="0.2">
      <c r="B19" s="254" t="s">
        <v>184</v>
      </c>
      <c r="C19" s="255"/>
    </row>
    <row r="20" spans="2:9" x14ac:dyDescent="0.2">
      <c r="B20" s="161" t="s">
        <v>185</v>
      </c>
      <c r="C20" s="162">
        <v>0.01</v>
      </c>
    </row>
    <row r="21" spans="2:9" x14ac:dyDescent="0.2">
      <c r="B21" s="161" t="s">
        <v>165</v>
      </c>
      <c r="C21" s="222">
        <f ca="1">IF(Overview!C28&gt;0,Overview!C28,WACC!C20)</f>
        <v>0.15751976534952022</v>
      </c>
    </row>
    <row r="22" spans="2:9" x14ac:dyDescent="0.2">
      <c r="B22" s="161" t="s">
        <v>68</v>
      </c>
      <c r="C22" s="223">
        <f>Statement!AC75</f>
        <v>1129</v>
      </c>
    </row>
    <row r="23" spans="2:9" x14ac:dyDescent="0.2">
      <c r="B23" s="161" t="s">
        <v>226</v>
      </c>
      <c r="C23" s="163">
        <f ca="1">C15*C22</f>
        <v>1200127</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1131853</v>
      </c>
    </row>
    <row r="27" spans="2:9" ht="17" thickBot="1" x14ac:dyDescent="0.25"/>
    <row r="28" spans="2:9" x14ac:dyDescent="0.2">
      <c r="B28" s="254" t="s">
        <v>186</v>
      </c>
      <c r="C28" s="255"/>
    </row>
    <row r="29" spans="2:9" x14ac:dyDescent="0.2">
      <c r="B29" s="161" t="s">
        <v>187</v>
      </c>
      <c r="C29" s="163">
        <f ca="1">SUM(H10:L10)</f>
        <v>424453.45874197688</v>
      </c>
    </row>
    <row r="30" spans="2:9" x14ac:dyDescent="0.2">
      <c r="B30" s="161" t="s">
        <v>183</v>
      </c>
      <c r="C30" s="163">
        <f ca="1">L11</f>
        <v>733142.46632322576</v>
      </c>
    </row>
    <row r="31" spans="2:9" x14ac:dyDescent="0.2">
      <c r="B31" s="165" t="s">
        <v>188</v>
      </c>
      <c r="C31" s="166">
        <f ca="1">C29+C30</f>
        <v>1157595.9250652026</v>
      </c>
    </row>
    <row r="32" spans="2:9" x14ac:dyDescent="0.2">
      <c r="B32" s="161" t="s">
        <v>189</v>
      </c>
      <c r="C32" s="167">
        <f>C24</f>
        <v>73453</v>
      </c>
    </row>
    <row r="33" spans="2:3" x14ac:dyDescent="0.2">
      <c r="B33" s="161" t="s">
        <v>190</v>
      </c>
      <c r="C33" s="167">
        <f>C25</f>
        <v>5179</v>
      </c>
    </row>
    <row r="34" spans="2:3" x14ac:dyDescent="0.2">
      <c r="B34" s="165" t="s">
        <v>191</v>
      </c>
      <c r="C34" s="166">
        <f ca="1">C31+C32-C33</f>
        <v>1225869.9250652026</v>
      </c>
    </row>
    <row r="35" spans="2:3" x14ac:dyDescent="0.2">
      <c r="B35" s="161" t="s">
        <v>68</v>
      </c>
      <c r="C35" s="163">
        <f>C22</f>
        <v>1129</v>
      </c>
    </row>
    <row r="36" spans="2:3" ht="17" thickBot="1" x14ac:dyDescent="0.25">
      <c r="B36" s="168" t="s">
        <v>192</v>
      </c>
      <c r="C36" s="169">
        <f ca="1">C34/C35</f>
        <v>1085.8015279585497</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2026-10-05T18:21:42Z</dcterms:modified>
</cp:coreProperties>
</file>