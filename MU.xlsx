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BC0139E-74FC-5F4B-9791-BA49DFDE1B7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1" i="12" s="1"/>
  <c r="N108" i="3"/>
  <c r="D31"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7" i="12"/>
  <c r="C46"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2" i="12"/>
  <c r="Q147" i="3"/>
  <c r="G46" i="17" s="1"/>
  <c r="F32" i="12"/>
  <c r="P147" i="3"/>
  <c r="F46" i="17" s="1"/>
  <c r="E32" i="12"/>
  <c r="O147" i="3"/>
  <c r="E46" i="17" s="1"/>
  <c r="D32" i="12"/>
  <c r="N147" i="3"/>
  <c r="D46" i="17" s="1"/>
  <c r="C32" i="12"/>
  <c r="M147" i="3"/>
  <c r="C46" i="17" s="1"/>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6" i="12"/>
  <c r="C45" i="12"/>
  <c r="AC183" i="3"/>
  <c r="C24" i="21"/>
  <c r="C26" i="21" s="1"/>
  <c r="I10" i="1" s="1"/>
  <c r="C53" i="12"/>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8" i="12"/>
  <c r="C69"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5" i="12"/>
  <c r="C33" i="16"/>
  <c r="F18" i="1"/>
  <c r="AC172" i="3"/>
  <c r="AC175" i="3"/>
  <c r="I67" i="17" s="1"/>
  <c r="C33" i="12"/>
  <c r="D33" i="12"/>
  <c r="F33" i="12"/>
  <c r="E33" i="12"/>
  <c r="G33" i="12"/>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J6" i="14" l="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C21" i="14" s="1"/>
  <c r="J34" i="7"/>
  <c r="J41" i="7"/>
  <c r="J12" i="7"/>
  <c r="J19" i="7"/>
  <c r="J27" i="7"/>
  <c r="K6" i="7"/>
  <c r="C7" i="12"/>
  <c r="C27" i="8"/>
  <c r="C28" i="8" s="1"/>
  <c r="F7" i="12"/>
  <c r="F27" i="8"/>
  <c r="F28" i="8" s="1"/>
  <c r="E7" i="12"/>
  <c r="E27" i="8"/>
  <c r="E28" i="8" s="1"/>
  <c r="H18" i="12"/>
  <c r="H12" i="12"/>
  <c r="H28" i="12"/>
  <c r="H23" i="12"/>
  <c r="K5" i="5"/>
  <c r="J13" i="5"/>
  <c r="H7" i="14" l="1"/>
  <c r="K6" i="14"/>
  <c r="K5" i="12"/>
  <c r="K6" i="11"/>
  <c r="F14" i="12"/>
  <c r="J26" i="8"/>
  <c r="J19" i="8"/>
  <c r="J14" i="8"/>
  <c r="K5" i="8"/>
  <c r="K32" i="8" s="1"/>
  <c r="C61" i="12"/>
  <c r="C40"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3"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4" i="12" s="1"/>
  <c r="K34" i="8"/>
  <c r="K28" i="8" l="1"/>
  <c r="L6" i="6"/>
  <c r="L14" i="6" s="1"/>
  <c r="L6" i="8"/>
  <c r="L6" i="12"/>
  <c r="L18" i="5"/>
  <c r="L7" i="7"/>
  <c r="K8" i="12" l="1"/>
  <c r="K15" i="12" s="1"/>
  <c r="K7" i="11"/>
  <c r="K10" i="11" s="1"/>
  <c r="K9" i="12" s="1"/>
  <c r="L13" i="7"/>
  <c r="L28" i="7" s="1"/>
  <c r="L36" i="7"/>
  <c r="L13" i="12"/>
  <c r="C52" i="12"/>
  <c r="C56" i="12" s="1"/>
  <c r="C57"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9" i="12" l="1"/>
  <c r="C42" i="12" s="1"/>
  <c r="C43" i="12" s="1"/>
  <c r="C44" i="12" s="1"/>
  <c r="C47" i="12" s="1"/>
  <c r="C49" i="12" s="1"/>
  <c r="C6" i="13" s="1"/>
  <c r="I4" i="1" s="1"/>
  <c r="L14" i="12"/>
  <c r="L28" i="8"/>
  <c r="L8" i="12" l="1"/>
  <c r="L7" i="11"/>
  <c r="C60" i="12" l="1"/>
  <c r="C63" i="12" s="1"/>
  <c r="C64" i="12" s="1"/>
  <c r="C65" i="12" s="1"/>
  <c r="C68" i="12" s="1"/>
  <c r="C70" i="12" s="1"/>
  <c r="C8" i="13" s="1"/>
  <c r="I6" i="1" s="1"/>
  <c r="L15" i="12"/>
  <c r="L10" i="11"/>
  <c r="L8" i="11"/>
  <c r="L11" i="11" s="1"/>
  <c r="C20" i="11" s="1"/>
  <c r="C19" i="11" l="1"/>
  <c r="L9" i="12"/>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<sst xmlns="http://schemas.openxmlformats.org/spreadsheetml/2006/main" count="768" uniqueCount="427">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</sst>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7" fillId="9" borderId="15" xfId="0" applyFont="1" applyFill="1" applyBorder="1"/>
    <xf numFmtId="167" fontId="7" fillId="9" borderId="16"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https://www.bing.com/financeapi/forcetrigger?t=a1y4oc&amp;q=XNAS%3aMU&amp;form=skydnc</v>
    <v>Learn more on Bing</v>
  </rv>
  <rv s="1">
    <v>0</v>
    <v>MICRON TECHNOLOGY, INC. (XNAS:MU)</v>
    <v>2</v>
    <v>3</v>
    <v>Finance</v>
    <v>4</v>
    <v>en-US</v>
    <v>a1y4oc</v>
    <v>268435456</v>
    <v>1</v>
    <v>Powered by Refinitiv</v>
    <v>1255</v>
    <v>154.65</v>
    <v>2.2311999999999999</v>
    <v>1.3087</v>
    <v>1.2110000000000001E-3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1108.72</v>
    <v>Semiconductors &amp; Semiconductor Equipment</v>
    <v>Stock</v>
    <v>46290.724240277341</v>
    <v>0</v>
    <v>1073</v>
    <v>1221821054909</v>
    <v>MICRON TECHNOLOGY, INC.</v>
    <v>MICRON TECHNOLOGY, INC.</v>
    <v>1095</v>
    <v>24.491399999999999</v>
    <v>1080.53</v>
    <v>1081.8387</v>
    <v>1129393000</v>
    <v>MU</v>
    <v>MICRON TECHNOLOGY, INC. (XNAS:MU)</v>
    <v>13678342</v>
    <v>24917533</v>
    <v>1984</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topLeftCell="A16"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1" t="s">
        <v>17</v>
      </c>
      <c r="C2" s="242"/>
      <c r="E2" s="241" t="s">
        <v>287</v>
      </c>
      <c r="F2" s="242"/>
      <c r="H2" s="241" t="s">
        <v>325</v>
      </c>
      <c r="I2" s="242"/>
    </row>
    <row r="3" spans="2:9" x14ac:dyDescent="0.2">
      <c r="B3" s="185" t="s">
        <v>11</v>
      </c>
      <c r="C3" s="217" t="e" vm="1">
        <v>#VALUE!</v>
      </c>
      <c r="D3" s="2"/>
      <c r="E3" s="185" t="s">
        <v>239</v>
      </c>
      <c r="F3" s="187">
        <f ca="1">Statement!AC153</f>
        <v>1239787.1502</v>
      </c>
      <c r="H3" s="185" t="str">
        <f>'AVG target price'!B5</f>
        <v>DCF price</v>
      </c>
      <c r="I3" s="211">
        <f ca="1">'AVG target price'!C5</f>
        <v>525.53755182109433</v>
      </c>
    </row>
    <row r="4" spans="2:9" x14ac:dyDescent="0.2">
      <c r="B4" s="185" t="s">
        <v>0</v>
      </c>
      <c r="C4" s="189" t="str" cm="1">
        <f t="array" aca="1" ref="C4" ca="1">_FV(C3,"Ticker symbol",TRUE)</f>
        <v>MU</v>
      </c>
      <c r="E4" s="186" t="s">
        <v>188</v>
      </c>
      <c r="F4" s="188">
        <f ca="1">Statement!AC154</f>
        <v>1215381.1502</v>
      </c>
      <c r="H4" s="185" t="str">
        <f>'AVG target price'!B6</f>
        <v>EV/EBIT price</v>
      </c>
      <c r="I4" s="211">
        <f ca="1">'AVG target price'!C6</f>
        <v>712.71223026739199</v>
      </c>
    </row>
    <row r="5" spans="2:9" x14ac:dyDescent="0.2">
      <c r="B5" s="185" t="s">
        <v>1</v>
      </c>
      <c r="C5" s="208" cm="1">
        <f t="array" aca="1" ref="C5" ca="1">_FV(C3,"Price",TRUE)</f>
        <v>1081.8387</v>
      </c>
      <c r="E5" s="185" t="s">
        <v>243</v>
      </c>
      <c r="F5" s="190">
        <f>Statement!AC26</f>
        <v>44.17</v>
      </c>
      <c r="H5" s="185" t="str">
        <f>'AVG target price'!B7</f>
        <v>PS price</v>
      </c>
      <c r="I5" s="211">
        <f ca="1">'AVG target price'!C7</f>
        <v>226.52928279541413</v>
      </c>
    </row>
    <row r="6" spans="2:9" x14ac:dyDescent="0.2">
      <c r="B6" s="185" t="s">
        <v>2</v>
      </c>
      <c r="C6" s="208" t="e" cm="1" vm="2">
        <f t="array" ref="C6">_FV(C3,"Price (Extended hours)",TRUE)</f>
        <v>#VALUE!</v>
      </c>
      <c r="E6" s="185" t="s">
        <v>237</v>
      </c>
      <c r="F6" s="190">
        <f ca="1">Statement!AC150</f>
        <v>24.492612633008829</v>
      </c>
      <c r="H6" s="185" t="str">
        <f>'AVG target price'!B8</f>
        <v>EV/FCFF price</v>
      </c>
      <c r="I6" s="211">
        <f ca="1">'AVG target price'!C8</f>
        <v>979.65561350226164</v>
      </c>
    </row>
    <row r="7" spans="2:9" x14ac:dyDescent="0.2">
      <c r="B7" s="185" t="s">
        <v>3</v>
      </c>
      <c r="C7" s="6" cm="1">
        <f t="array" aca="1" ref="C7" ca="1">_FV(C3,"Change")</f>
        <v>1.3087</v>
      </c>
      <c r="E7" s="186" t="s">
        <v>201</v>
      </c>
      <c r="F7" s="191">
        <f ca="1">Statement!AC151</f>
        <v>13.649713974123225</v>
      </c>
      <c r="H7" s="184" t="str">
        <f>'AVG target price'!B9</f>
        <v>AVG price</v>
      </c>
      <c r="I7" s="212">
        <f ca="1">'AVG target price'!C9</f>
        <v>611.10866959654049</v>
      </c>
    </row>
    <row r="8" spans="2:9" x14ac:dyDescent="0.2">
      <c r="B8" s="185" t="s">
        <v>4</v>
      </c>
      <c r="C8" s="6" t="e" cm="1" vm="3">
        <f t="array" ref="C8">_FV(C3,"Change (extended hours)",TRUE)</f>
        <v>#VALUE!</v>
      </c>
      <c r="E8" s="185" t="s">
        <v>265</v>
      </c>
      <c r="F8" s="192">
        <f ca="1">Statement!AC161</f>
        <v>2.0138940781869057E-2</v>
      </c>
      <c r="H8" s="184" t="str">
        <f>'AVG target price'!B11</f>
        <v>Upside/Downside</v>
      </c>
      <c r="I8" s="213">
        <f ca="1">'AVG target price'!C11</f>
        <v>-0.43512034687191309</v>
      </c>
    </row>
    <row r="9" spans="2:9" x14ac:dyDescent="0.2">
      <c r="B9" s="185" t="s">
        <v>5</v>
      </c>
      <c r="C9" s="73" cm="1">
        <f t="array" aca="1" ref="C9" ca="1">_FV(C3,"Change (%)",TRUE)</f>
        <v>1.2110000000000001E-3</v>
      </c>
      <c r="E9" s="185" t="s">
        <v>288</v>
      </c>
      <c r="F9" s="192">
        <f ca="1">Statement!AC162</f>
        <v>4.0828637392986589E-2</v>
      </c>
    </row>
    <row r="10" spans="2:9" x14ac:dyDescent="0.2">
      <c r="B10" s="185" t="s">
        <v>6</v>
      </c>
      <c r="C10" s="73" t="e" cm="1" vm="4">
        <f t="array" ref="C10">_FV(C3,"Change % (extended hours)",TRUE)</f>
        <v>#VALUE!</v>
      </c>
      <c r="E10" s="185" t="s">
        <v>293</v>
      </c>
      <c r="F10" s="192">
        <f ca="1">Statement!AC164</f>
        <v>9.0499405468027409E-4</v>
      </c>
      <c r="H10" s="184" t="s">
        <v>367</v>
      </c>
      <c r="I10" s="212">
        <f ca="1">DDM!C26</f>
        <v>3.9582377237264805</v>
      </c>
    </row>
    <row r="11" spans="2:9" x14ac:dyDescent="0.2">
      <c r="B11" s="185" t="s">
        <v>7</v>
      </c>
      <c r="C11" s="209" cm="1">
        <f t="array" aca="1" ref="C11" ca="1">_FV(C3,"52 week high",TRUE)</f>
        <v>1255</v>
      </c>
      <c r="E11" s="186" t="s">
        <v>289</v>
      </c>
      <c r="F11" s="193">
        <f ca="1">Statement!AC163</f>
        <v>4.8990667462718801E-4</v>
      </c>
    </row>
    <row r="12" spans="2:9" x14ac:dyDescent="0.2">
      <c r="B12" s="185" t="s">
        <v>8</v>
      </c>
      <c r="C12" s="209" cm="1">
        <f t="array" aca="1" ref="C12" ca="1">_FV(C3,"52 week low",TRUE)</f>
        <v>154.65</v>
      </c>
      <c r="E12" s="185" t="s">
        <v>102</v>
      </c>
      <c r="F12" s="192">
        <f>Statement!AC123</f>
        <v>0.37631979241231212</v>
      </c>
    </row>
    <row r="13" spans="2:9" x14ac:dyDescent="0.2">
      <c r="B13" s="185" t="s">
        <v>9</v>
      </c>
      <c r="C13" s="209" cm="1">
        <f t="array" aca="1" ref="C13" ca="1">_FV(C3,"Beta")</f>
        <v>2.2311999999999999</v>
      </c>
      <c r="E13" s="185" t="s">
        <v>104</v>
      </c>
      <c r="F13" s="192">
        <f>Statement!AC125</f>
        <v>0.50106230888368219</v>
      </c>
    </row>
    <row r="14" spans="2:9" x14ac:dyDescent="0.2">
      <c r="B14" s="186" t="s">
        <v>10</v>
      </c>
      <c r="C14" s="210" cm="1">
        <f t="array" aca="1" ref="C14" ca="1">_FV(C3,"Volume average",TRUE)</f>
        <v>24917533</v>
      </c>
      <c r="E14" s="186" t="s">
        <v>105</v>
      </c>
      <c r="F14" s="193">
        <f>Statement!AC140</f>
        <v>0.66314520207950856</v>
      </c>
    </row>
    <row r="15" spans="2:9" x14ac:dyDescent="0.2">
      <c r="E15" s="185" t="s">
        <v>290</v>
      </c>
      <c r="F15" s="192">
        <f ca="1">Statement!AC176</f>
        <v>1.9685637164462363E-2</v>
      </c>
    </row>
    <row r="16" spans="2:9" x14ac:dyDescent="0.2">
      <c r="E16" s="186" t="s">
        <v>295</v>
      </c>
      <c r="F16" s="191">
        <f>Statement!AC175</f>
        <v>21.617360496014172</v>
      </c>
    </row>
    <row r="17" spans="2:9" x14ac:dyDescent="0.2">
      <c r="B17" s="243" t="s">
        <v>90</v>
      </c>
      <c r="C17" s="243"/>
      <c r="E17" s="184" t="s">
        <v>296</v>
      </c>
      <c r="F17" s="194">
        <f>Statement!AC171</f>
        <v>2.617801047120419E-3</v>
      </c>
    </row>
    <row r="18" spans="2:9" x14ac:dyDescent="0.2">
      <c r="B18" s="184" t="s">
        <v>12</v>
      </c>
      <c r="C18" s="69" t="s">
        <v>368</v>
      </c>
      <c r="E18" s="185" t="s">
        <v>297</v>
      </c>
      <c r="F18" s="190">
        <f>Statement!AC144</f>
        <v>22.941609834516981</v>
      </c>
      <c r="I18" s="50"/>
    </row>
    <row r="19" spans="2:9" x14ac:dyDescent="0.2">
      <c r="B19" s="184" t="s">
        <v>13</v>
      </c>
      <c r="C19" s="70">
        <v>1000000</v>
      </c>
      <c r="E19" s="185" t="s">
        <v>258</v>
      </c>
      <c r="F19" s="190">
        <f>Statement!AC146</f>
        <v>-0.24230570668361065</v>
      </c>
    </row>
    <row r="20" spans="2:9" x14ac:dyDescent="0.2">
      <c r="B20" s="184" t="s">
        <v>91</v>
      </c>
      <c r="C20" s="69" t="s">
        <v>92</v>
      </c>
      <c r="E20" s="186" t="s">
        <v>298</v>
      </c>
      <c r="F20" s="191">
        <f>Statement!AC147</f>
        <v>3.1379823481116587</v>
      </c>
    </row>
    <row r="21" spans="2:9" x14ac:dyDescent="0.2">
      <c r="B21" s="184" t="s">
        <v>93</v>
      </c>
      <c r="C21" s="69" t="s">
        <v>94</v>
      </c>
      <c r="I21" s="50"/>
    </row>
    <row r="22" spans="2:9" x14ac:dyDescent="0.2">
      <c r="B22" s="184" t="s">
        <v>95</v>
      </c>
      <c r="C22" s="69" t="s">
        <v>92</v>
      </c>
    </row>
    <row r="25" spans="2:9" x14ac:dyDescent="0.2">
      <c r="B25" s="243" t="s">
        <v>107</v>
      </c>
      <c r="C25" s="243"/>
      <c r="E25" s="241" t="s">
        <v>340</v>
      </c>
      <c r="F25" s="242"/>
    </row>
    <row r="26" spans="2:9" x14ac:dyDescent="0.2">
      <c r="B26" s="184" t="s">
        <v>108</v>
      </c>
      <c r="C26" s="170">
        <v>0.21</v>
      </c>
      <c r="E26" s="185" t="e" vm="5">
        <v>#VALUE!</v>
      </c>
      <c r="F26" s="219" cm="1">
        <f t="array" aca="1" ref="F26" ca="1">_FV(E26,"Price")</f>
        <v>51.62</v>
      </c>
    </row>
    <row r="27" spans="2:9" x14ac:dyDescent="0.2">
      <c r="B27" s="184" t="s">
        <v>172</v>
      </c>
      <c r="C27" s="221">
        <v>5.0999999999999997E-2</v>
      </c>
      <c r="E27" s="186" t="s">
        <v>341</v>
      </c>
      <c r="F27" s="220">
        <f ca="1">F26/1000</f>
        <v>5.1619999999999999E-2</v>
      </c>
    </row>
    <row r="28" spans="2:9" x14ac:dyDescent="0.2">
      <c r="B28" s="184" t="s">
        <v>345</v>
      </c>
      <c r="C28" s="221">
        <v>0</v>
      </c>
    </row>
    <row r="29" spans="2:9" x14ac:dyDescent="0.2">
      <c r="B29" s="184" t="s">
        <v>357</v>
      </c>
      <c r="C29" s="221">
        <v>0</v>
      </c>
    </row>
    <row r="33" spans="2:8" x14ac:dyDescent="0.2">
      <c r="B33" s="237" t="s">
        <v>335</v>
      </c>
      <c r="C33" s="237"/>
      <c r="D33" s="237"/>
      <c r="E33" s="237"/>
      <c r="F33" s="237"/>
      <c r="G33" s="237"/>
      <c r="H33" s="237"/>
    </row>
    <row r="35" spans="2:8" x14ac:dyDescent="0.2">
      <c r="B35" s="16" t="s">
        <v>336</v>
      </c>
      <c r="C35" s="1" t="s">
        <v>396</v>
      </c>
    </row>
    <row r="36" spans="2:8" x14ac:dyDescent="0.2">
      <c r="B36" s="16" t="s">
        <v>337</v>
      </c>
      <c r="C36" s="1" t="s">
        <v>397</v>
      </c>
    </row>
    <row r="37" spans="2:8" x14ac:dyDescent="0.2">
      <c r="B37" s="16" t="s">
        <v>412</v>
      </c>
      <c r="C37" s="1" t="s">
        <v>413</v>
      </c>
    </row>
    <row r="38" spans="2:8" x14ac:dyDescent="0.2">
      <c r="B38" s="16"/>
      <c r="C38" s="1" t="s">
        <v>414</v>
      </c>
    </row>
    <row r="39" spans="2:8" x14ac:dyDescent="0.2">
      <c r="B39" s="16"/>
      <c r="C39" s="1" t="s">
        <v>415</v>
      </c>
    </row>
    <row r="40" spans="2:8" x14ac:dyDescent="0.2">
      <c r="B40" s="16"/>
      <c r="C40" s="1" t="s">
        <v>416</v>
      </c>
    </row>
    <row r="43" spans="2:8" ht="6" customHeight="1" x14ac:dyDescent="0.2">
      <c r="B43" s="237"/>
      <c r="C43" s="237"/>
      <c r="D43" s="237"/>
      <c r="E43" s="237"/>
      <c r="F43" s="237"/>
      <c r="G43" s="237"/>
      <c r="H43" s="237"/>
    </row>
    <row r="46" spans="2:8" x14ac:dyDescent="0.2">
      <c r="B46" s="237" t="s">
        <v>338</v>
      </c>
      <c r="C46" s="237"/>
      <c r="D46" s="237"/>
      <c r="E46" s="237"/>
      <c r="F46" s="237"/>
      <c r="G46" s="237"/>
      <c r="H46" s="237"/>
    </row>
    <row r="48" spans="2:8" x14ac:dyDescent="0.2">
      <c r="B48" s="41" t="s">
        <v>339</v>
      </c>
      <c r="C48" s="41" t="s">
        <v>398</v>
      </c>
      <c r="D48" s="41"/>
      <c r="E48" s="41" t="s">
        <v>85</v>
      </c>
    </row>
    <row r="49" spans="2:5" x14ac:dyDescent="0.2">
      <c r="B49" s="1" t="s">
        <v>399</v>
      </c>
      <c r="C49" s="1" t="s">
        <v>400</v>
      </c>
    </row>
    <row r="50" spans="2:5" x14ac:dyDescent="0.2">
      <c r="B50" s="1" t="s">
        <v>399</v>
      </c>
      <c r="C50" s="1" t="s">
        <v>401</v>
      </c>
    </row>
    <row r="51" spans="2:5" x14ac:dyDescent="0.2">
      <c r="C51" s="1" t="s">
        <v>402</v>
      </c>
    </row>
    <row r="52" spans="2:5" x14ac:dyDescent="0.2">
      <c r="C52" s="1" t="s">
        <v>403</v>
      </c>
    </row>
    <row r="53" spans="2:5" x14ac:dyDescent="0.2">
      <c r="C53" s="1" t="s">
        <v>404</v>
      </c>
    </row>
    <row r="54" spans="2:5" x14ac:dyDescent="0.2">
      <c r="C54" s="1" t="s">
        <v>405</v>
      </c>
    </row>
    <row r="55" spans="2:5" x14ac:dyDescent="0.2">
      <c r="B55" s="1" t="s">
        <v>399</v>
      </c>
      <c r="C55" s="1" t="s">
        <v>406</v>
      </c>
    </row>
    <row r="56" spans="2:5" x14ac:dyDescent="0.2">
      <c r="B56" s="1" t="s">
        <v>399</v>
      </c>
      <c r="C56" s="1" t="s">
        <v>407</v>
      </c>
    </row>
    <row r="57" spans="2:5" x14ac:dyDescent="0.2">
      <c r="B57" s="1" t="s">
        <v>399</v>
      </c>
      <c r="C57" s="1" t="s">
        <v>408</v>
      </c>
    </row>
    <row r="58" spans="2:5" x14ac:dyDescent="0.2">
      <c r="B58" s="1" t="s">
        <v>399</v>
      </c>
      <c r="C58" s="1" t="s">
        <v>409</v>
      </c>
    </row>
    <row r="59" spans="2:5" x14ac:dyDescent="0.2">
      <c r="B59" s="1" t="s">
        <v>399</v>
      </c>
      <c r="C59" s="1" t="s">
        <v>410</v>
      </c>
    </row>
    <row r="60" spans="2:5" x14ac:dyDescent="0.2">
      <c r="B60" s="1" t="s">
        <v>399</v>
      </c>
      <c r="C60" s="1" t="s">
        <v>411</v>
      </c>
    </row>
    <row r="62" spans="2:5" x14ac:dyDescent="0.2">
      <c r="B62" s="41" t="s">
        <v>339</v>
      </c>
      <c r="C62" s="41" t="s">
        <v>421</v>
      </c>
      <c r="D62" s="41"/>
      <c r="E62" s="41" t="s">
        <v>89</v>
      </c>
    </row>
    <row r="63" spans="2:5" x14ac:dyDescent="0.2">
      <c r="B63" s="1" t="s">
        <v>399</v>
      </c>
      <c r="C63" s="1" t="s">
        <v>422</v>
      </c>
    </row>
    <row r="66" spans="2:8" ht="5" customHeight="1" x14ac:dyDescent="0.2">
      <c r="B66" s="237"/>
      <c r="C66" s="237"/>
      <c r="D66" s="237"/>
      <c r="E66" s="237"/>
      <c r="F66" s="237"/>
      <c r="G66" s="237"/>
      <c r="H66" s="237"/>
    </row>
    <row r="69" spans="2:8" x14ac:dyDescent="0.2">
      <c r="B69" s="237" t="s">
        <v>109</v>
      </c>
      <c r="C69" s="237"/>
      <c r="D69" s="237"/>
      <c r="E69" s="237"/>
      <c r="F69" s="237"/>
      <c r="G69" s="237"/>
      <c r="H69" s="237"/>
    </row>
    <row r="71" spans="2:8" x14ac:dyDescent="0.2">
      <c r="B71" s="41" t="s">
        <v>339</v>
      </c>
      <c r="C71" s="41" t="s">
        <v>326</v>
      </c>
      <c r="D71" s="41"/>
      <c r="E71" s="41" t="s">
        <v>327</v>
      </c>
    </row>
    <row r="76" spans="2:8" ht="5" customHeight="1" x14ac:dyDescent="0.2">
      <c r="B76" s="237"/>
      <c r="C76" s="237"/>
      <c r="D76" s="237"/>
      <c r="E76" s="237"/>
      <c r="F76" s="237"/>
      <c r="G76" s="237"/>
      <c r="H76" s="237"/>
    </row>
  </sheetData>
  <mergeCells count="12">
    <mergeCell ref="B69:H69"/>
    <mergeCell ref="B76:H76"/>
    <mergeCell ref="B33:H33"/>
    <mergeCell ref="B43:H43"/>
    <mergeCell ref="B46:H46"/>
    <mergeCell ref="B66:H6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373</v>
      </c>
      <c r="N2" s="10" t="s">
        <v>372</v>
      </c>
      <c r="O2" s="10" t="s">
        <v>371</v>
      </c>
      <c r="P2" s="10" t="s">
        <v>370</v>
      </c>
      <c r="Q2" s="10" t="s">
        <v>369</v>
      </c>
      <c r="R2" s="7"/>
      <c r="S2" s="7"/>
      <c r="T2" s="10" t="s">
        <v>370</v>
      </c>
      <c r="U2" s="10" t="s">
        <v>380</v>
      </c>
      <c r="V2" s="10" t="s">
        <v>377</v>
      </c>
      <c r="W2" s="10" t="s">
        <v>375</v>
      </c>
      <c r="X2" s="10" t="s">
        <v>369</v>
      </c>
      <c r="Y2" s="10" t="s">
        <v>378</v>
      </c>
      <c r="Z2" s="10" t="s">
        <v>376</v>
      </c>
      <c r="AA2" s="10" t="s">
        <v>374</v>
      </c>
      <c r="AB2" s="7"/>
      <c r="AD2" s="7"/>
      <c r="AE2" s="7"/>
    </row>
    <row r="3" spans="1:31" s="13" customFormat="1" x14ac:dyDescent="0.2">
      <c r="A3" s="11"/>
      <c r="B3" s="12" t="s">
        <v>16</v>
      </c>
      <c r="M3" s="13">
        <v>2021</v>
      </c>
      <c r="N3" s="13">
        <v>2022</v>
      </c>
      <c r="O3" s="13">
        <v>2023</v>
      </c>
      <c r="P3" s="13">
        <v>2024</v>
      </c>
      <c r="Q3" s="13">
        <v>2025</v>
      </c>
      <c r="R3" s="11"/>
      <c r="S3" s="11"/>
      <c r="T3" s="10" t="s">
        <v>381</v>
      </c>
      <c r="U3" s="10" t="s">
        <v>379</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2">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328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352</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332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333</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328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284</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234</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235</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236</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275</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299</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329</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330</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1081.8387</v>
      </c>
    </row>
    <row r="117" spans="1:31" x14ac:dyDescent="0.2">
      <c r="B117" s="20" t="s">
        <v>342</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1081.8387</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230</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Z132" si="78">IF(T131&gt;T130, "BEAT", IF(T131&lt;T129, "MISSED", "MET"))</f>
        <v>MET</v>
      </c>
      <c r="U132" s="225" t="str">
        <f t="shared" si="78"/>
        <v>MET</v>
      </c>
      <c r="V132" s="225" t="str">
        <f t="shared" si="78"/>
        <v>BEAT</v>
      </c>
      <c r="W132" s="225" t="str">
        <f t="shared" si="78"/>
        <v>BEAT</v>
      </c>
      <c r="X132" s="225" t="str">
        <f t="shared" si="78"/>
        <v>BEAT</v>
      </c>
      <c r="Y132" s="225" t="str">
        <f t="shared" si="78"/>
        <v>BEAT</v>
      </c>
      <c r="Z132" s="225" t="str">
        <f t="shared" si="78"/>
        <v>BEAT</v>
      </c>
      <c r="AA132" s="225" t="str">
        <f>IF(AA131&gt;AA130, "BEAT", IF(AA131&lt;AA129, "MISSED", "MET"))</f>
        <v>MISSED</v>
      </c>
      <c r="AC132" s="49"/>
    </row>
    <row r="133" spans="2:29" x14ac:dyDescent="0.2">
      <c r="B133" s="20" t="s">
        <v>382</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383</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384</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Z136" si="80">IF(T135&gt;T134, "BEAT", IF(T135&lt;T133, "MISSED", "MET"))</f>
        <v>MET</v>
      </c>
      <c r="U136" s="225" t="str">
        <f t="shared" si="80"/>
        <v>MET</v>
      </c>
      <c r="V136" s="225" t="str">
        <f t="shared" si="80"/>
        <v>BEAT</v>
      </c>
      <c r="W136" s="225" t="str">
        <f t="shared" si="80"/>
        <v>BEAT</v>
      </c>
      <c r="X136" s="225" t="str">
        <f t="shared" si="80"/>
        <v>BEAT</v>
      </c>
      <c r="Y136" s="225" t="str">
        <f t="shared" si="80"/>
        <v>BEAT</v>
      </c>
      <c r="Z136" s="225" t="str">
        <f t="shared" si="80"/>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251</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255</v>
      </c>
      <c r="M146" s="179">
        <f>(M108-M107)/M49</f>
        <v>-8.2443721120797578E-2</v>
      </c>
      <c r="N146" s="179">
        <f>(N108-N107)/N49</f>
        <v>-8.1591760674855227E-2</v>
      </c>
      <c r="O146" s="179">
        <f>(O108-O107)/O49</f>
        <v>6.554850407978241E-2</v>
      </c>
      <c r="P146" s="179">
        <f>(P108-P107)/P49</f>
        <v>9.4059515632270496E-2</v>
      </c>
      <c r="Q146" s="179">
        <f>(Q108-Q107)/Q49</f>
        <v>4.8758423336102648E-2</v>
      </c>
      <c r="T146" s="179">
        <f t="shared" ref="T146:AA146" si="95">(T108-T107)/T49</f>
        <v>9.4059515632270496E-2</v>
      </c>
      <c r="U146" s="179">
        <f t="shared" si="95"/>
        <v>0.10772058037908414</v>
      </c>
      <c r="V146" s="179">
        <f t="shared" si="95"/>
        <v>9.7978738716509362E-2</v>
      </c>
      <c r="W146" s="179">
        <f t="shared" si="95"/>
        <v>6.5578939071490497E-2</v>
      </c>
      <c r="X146" s="179">
        <f t="shared" si="95"/>
        <v>4.8758423336102648E-2</v>
      </c>
      <c r="Y146" s="179">
        <f t="shared" si="95"/>
        <v>-4.4043124851205658E-3</v>
      </c>
      <c r="Z146" s="179">
        <f t="shared" si="95"/>
        <v>-8.9498889026897968E-2</v>
      </c>
      <c r="AA146" s="179">
        <f t="shared" si="95"/>
        <v>-0.24230570668361065</v>
      </c>
      <c r="AC146" s="179">
        <f>(AC108-AC107)/AC49</f>
        <v>-0.24230570668361065</v>
      </c>
    </row>
    <row r="147" spans="2:29" x14ac:dyDescent="0.2">
      <c r="B147" s="20" t="s">
        <v>252</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253</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259</v>
      </c>
      <c r="M149" s="181">
        <f>IF(M13&gt;=0,"N/A",IF(M12&lt;=0,"N/A",M12/-M13))</f>
        <v>43.034246575342465</v>
      </c>
      <c r="N149" s="181">
        <f>IF(N13&gt;=0,"N/A",IF(N12&lt;=0,"N/A",N12/-N13))</f>
        <v>104.3225806451613</v>
      </c>
      <c r="O149" s="181" t="str">
        <f>IF(O13&gt;=0,"N/A",IF(O12&lt;=0,"N/A",O12/-O13))</f>
        <v>N/A</v>
      </c>
      <c r="P149" s="181">
        <f>IF(P13&gt;=0,"N/A",IF(P12&lt;=0,"N/A",P12/-P13))</f>
        <v>39.515151515151516</v>
      </c>
      <c r="Q149" s="181" t="str">
        <f>IF(Q13&gt;=0,"N/A",IF(Q12&lt;=0,"N/A",Q12/-Q13))</f>
        <v>N/A</v>
      </c>
      <c r="T149" s="181">
        <f t="shared" ref="T149:AA149" si="98">IF(T13&gt;=0,"N/A",IF(T12&lt;=0,"N/A",T12/-T13))</f>
        <v>304.39999999999998</v>
      </c>
      <c r="U149" s="181">
        <f t="shared" si="98"/>
        <v>197.63636363636363</v>
      </c>
      <c r="V149" s="181">
        <f t="shared" si="98"/>
        <v>443.25</v>
      </c>
      <c r="W149" s="181" t="str">
        <f t="shared" si="98"/>
        <v>N/A</v>
      </c>
      <c r="X149" s="181" t="str">
        <f t="shared" si="98"/>
        <v>N/A</v>
      </c>
      <c r="Y149" s="181" t="str">
        <f t="shared" si="98"/>
        <v>N/A</v>
      </c>
      <c r="Z149" s="181" t="str">
        <f t="shared" si="98"/>
        <v>N/A</v>
      </c>
      <c r="AA149" s="181" t="str">
        <f t="shared" si="98"/>
        <v>N/A</v>
      </c>
      <c r="AC149" s="181" t="str">
        <f>IF(AC13&gt;=0,"N/A",IF(AC12&lt;=0,"N/A",AC12/-AC13))</f>
        <v>N/A</v>
      </c>
    </row>
    <row r="150" spans="2:29" x14ac:dyDescent="0.2">
      <c r="B150" s="20" t="s">
        <v>237</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24.492612633008829</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13.649713974123225</v>
      </c>
    </row>
    <row r="152" spans="2:29" x14ac:dyDescent="0.2">
      <c r="B152" s="20" t="s">
        <v>238</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12.1261654848894</v>
      </c>
    </row>
    <row r="153" spans="2:29" x14ac:dyDescent="0.2">
      <c r="B153" s="20" t="s">
        <v>239</v>
      </c>
      <c r="M153" s="145">
        <f>Statement!M117*Statement!M78</f>
        <v>94984.799999999988</v>
      </c>
      <c r="N153" s="145">
        <f>Statement!N117*Statement!N78</f>
        <v>62869.07</v>
      </c>
      <c r="O153" s="145">
        <f>Statement!O117*Statement!O78</f>
        <v>74762.820000000007</v>
      </c>
      <c r="P153" s="145">
        <f>Statement!P117*Statement!P78</f>
        <v>107229.54</v>
      </c>
      <c r="Q153" s="145">
        <f>Statement!Q117*Statement!Q78</f>
        <v>137982</v>
      </c>
      <c r="T153" s="145">
        <f>Statement!T117*Statement!T78</f>
        <v>107229.54</v>
      </c>
      <c r="U153" s="145">
        <f>Statement!U117*Statement!U78</f>
        <v>109912.5</v>
      </c>
      <c r="V153" s="145">
        <f>Statement!V117*Statement!V78</f>
        <v>103389.31999999999</v>
      </c>
      <c r="W153" s="145">
        <f>Statement!W117*Statement!W78</f>
        <v>108715.3</v>
      </c>
      <c r="X153" s="145">
        <f>Statement!X117*Statement!X78</f>
        <v>137982</v>
      </c>
      <c r="Y153" s="145">
        <f>Statement!Y117*Statement!Y78</f>
        <v>262266.14</v>
      </c>
      <c r="Z153" s="145">
        <f>Statement!Z117*Statement!Z78</f>
        <v>475400.64</v>
      </c>
      <c r="AA153" s="145">
        <f>Statement!AA117*Statement!AA78</f>
        <v>1058353.92</v>
      </c>
      <c r="AC153" s="145">
        <f ca="1">Statement!AC117*Statement!AC78</f>
        <v>1239787.1502</v>
      </c>
    </row>
    <row r="154" spans="2:29" x14ac:dyDescent="0.2">
      <c r="B154" s="20" t="s">
        <v>188</v>
      </c>
      <c r="M154" s="145">
        <f>M153+M108-M107+M48+M45</f>
        <v>91362.799999999988</v>
      </c>
      <c r="N154" s="145">
        <f>N153+N108-N107+N48+N45</f>
        <v>58797.070000000007</v>
      </c>
      <c r="O154" s="145">
        <f>O153+O108-O107+O48+O45</f>
        <v>77654.820000000007</v>
      </c>
      <c r="P154" s="145">
        <f>P153+P108-P107+P48+P45</f>
        <v>111474.54</v>
      </c>
      <c r="Q154" s="145">
        <f>Q153+Q108-Q107+Q48+Q45</f>
        <v>140623</v>
      </c>
      <c r="T154" s="145">
        <f t="shared" ref="T154:AA154" si="99">T153+T108-T107+T48+T45</f>
        <v>111474.54</v>
      </c>
      <c r="U154" s="145">
        <f t="shared" si="99"/>
        <v>114953.5</v>
      </c>
      <c r="V154" s="145">
        <f t="shared" si="99"/>
        <v>108154.31999999999</v>
      </c>
      <c r="W154" s="145">
        <f t="shared" si="99"/>
        <v>112043.3</v>
      </c>
      <c r="X154" s="145">
        <f t="shared" si="99"/>
        <v>140623</v>
      </c>
      <c r="Y154" s="145">
        <f t="shared" si="99"/>
        <v>262007.14</v>
      </c>
      <c r="Z154" s="145">
        <f t="shared" si="99"/>
        <v>468915.64</v>
      </c>
      <c r="AA154" s="145">
        <f t="shared" si="99"/>
        <v>1033947.9199999999</v>
      </c>
      <c r="AC154" s="145">
        <f ca="1">AC153+AC108-AC107+AC48+AC45</f>
        <v>1215381.1502</v>
      </c>
    </row>
    <row r="155" spans="2:29" x14ac:dyDescent="0.2">
      <c r="B155" s="20" t="s">
        <v>260</v>
      </c>
      <c r="M155" s="183">
        <f>M154/M5</f>
        <v>3.2977007760332064</v>
      </c>
      <c r="N155" s="183">
        <f>N154/N5</f>
        <v>1.9116025099161196</v>
      </c>
      <c r="O155" s="183">
        <f>O154/O5</f>
        <v>4.9970926640926647</v>
      </c>
      <c r="P155" s="183">
        <f>P154/P5</f>
        <v>4.4392712357134325</v>
      </c>
      <c r="Q155" s="183">
        <f>Q154/Q5</f>
        <v>3.7621863128043236</v>
      </c>
      <c r="T155" s="49"/>
      <c r="U155" s="49"/>
      <c r="V155" s="49"/>
      <c r="W155" s="49"/>
      <c r="X155" s="49"/>
      <c r="Y155" s="49"/>
      <c r="Z155" s="49"/>
      <c r="AA155" s="49"/>
      <c r="AC155" s="183">
        <f ca="1">AC154/AC5</f>
        <v>13.463246895008529</v>
      </c>
    </row>
    <row r="156" spans="2:29" x14ac:dyDescent="0.2">
      <c r="B156" s="20" t="s">
        <v>204</v>
      </c>
      <c r="M156" s="183">
        <f>M154/M12</f>
        <v>14.541270093904185</v>
      </c>
      <c r="N156" s="183">
        <f>N154/N12</f>
        <v>6.0603040610183472</v>
      </c>
      <c r="O156" s="183">
        <f>O154/O12</f>
        <v>-13.51693994778068</v>
      </c>
      <c r="P156" s="183">
        <f>P154/P12</f>
        <v>85.48661042944785</v>
      </c>
      <c r="Q156" s="183">
        <f>Q154/Q12</f>
        <v>14.393346980552712</v>
      </c>
      <c r="T156" s="49"/>
      <c r="U156" s="49"/>
      <c r="V156" s="49"/>
      <c r="W156" s="49"/>
      <c r="X156" s="49"/>
      <c r="Y156" s="49"/>
      <c r="Z156" s="49"/>
      <c r="AA156" s="49"/>
      <c r="AC156" s="183">
        <f ca="1">AC154/AC12</f>
        <v>20.515185763718922</v>
      </c>
    </row>
    <row r="157" spans="2:29" x14ac:dyDescent="0.2">
      <c r="B157" s="20" t="s">
        <v>261</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262</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263</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49.655044464915093</v>
      </c>
    </row>
    <row r="160" spans="2:29" x14ac:dyDescent="0.2">
      <c r="B160" s="20" t="s">
        <v>264</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49.150165876790389</v>
      </c>
    </row>
    <row r="161" spans="2:29" x14ac:dyDescent="0.2">
      <c r="B161" s="20" t="s">
        <v>265</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2.0138940781869057E-2</v>
      </c>
    </row>
    <row r="162" spans="2:29" x14ac:dyDescent="0.2">
      <c r="B162" s="20" t="s">
        <v>266</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4.0828637392986589E-2</v>
      </c>
    </row>
    <row r="163" spans="2:29" x14ac:dyDescent="0.2">
      <c r="B163" s="20" t="s">
        <v>267</v>
      </c>
      <c r="M163" s="156">
        <f>M82/M117</f>
        <v>1.2001920307249162E-3</v>
      </c>
      <c r="N163" s="156">
        <f>N82/N117</f>
        <v>5.4964229628337111E-3</v>
      </c>
      <c r="O163" s="156">
        <f>O82/O117</f>
        <v>6.7557644294316344E-3</v>
      </c>
      <c r="P163" s="156">
        <f>P82/P117</f>
        <v>4.8132259077116255E-3</v>
      </c>
      <c r="Q163" s="156">
        <f>Q82/Q117</f>
        <v>3.7704918032786887E-3</v>
      </c>
      <c r="T163" s="49"/>
      <c r="U163" s="49"/>
      <c r="V163" s="49"/>
      <c r="W163" s="49"/>
      <c r="X163" s="49"/>
      <c r="Y163" s="49"/>
      <c r="Z163" s="49"/>
      <c r="AA163" s="49"/>
      <c r="AC163" s="156">
        <f ca="1">AC82/AC117</f>
        <v>4.8990667462718801E-4</v>
      </c>
    </row>
    <row r="164" spans="2:29" x14ac:dyDescent="0.2">
      <c r="B164" s="20" t="s">
        <v>292</v>
      </c>
      <c r="M164" s="156">
        <f>-M63/M153</f>
        <v>1.362323234875475E-2</v>
      </c>
      <c r="N164" s="156">
        <f>-N63/N153</f>
        <v>4.0671827975187161E-2</v>
      </c>
      <c r="O164" s="156">
        <f>-O63/O153</f>
        <v>5.6846437841697245E-3</v>
      </c>
      <c r="P164" s="156">
        <f>-P63/P153</f>
        <v>2.7977365192464691E-3</v>
      </c>
      <c r="Q164" s="156">
        <f>-Q63/Q153</f>
        <v>0</v>
      </c>
      <c r="T164" s="49"/>
      <c r="U164" s="49"/>
      <c r="V164" s="49"/>
      <c r="W164" s="49"/>
      <c r="X164" s="49"/>
      <c r="Y164" s="49"/>
      <c r="Z164" s="49"/>
      <c r="AA164" s="49"/>
      <c r="AC164" s="156">
        <f ca="1">-AC63/AC153</f>
        <v>9.0499405468027409E-4</v>
      </c>
    </row>
    <row r="165" spans="2:29" x14ac:dyDescent="0.2">
      <c r="B165" s="20" t="s">
        <v>294</v>
      </c>
      <c r="M165" s="156">
        <f>-(M63+M64)/M153</f>
        <v>1.362323234875475E-2</v>
      </c>
      <c r="N165" s="156">
        <f>-(N63+N64)/N153</f>
        <v>4.8004527504542378E-2</v>
      </c>
      <c r="O165" s="156">
        <f>-(O63+O64)/O153</f>
        <v>1.2425962530573351E-2</v>
      </c>
      <c r="P165" s="156">
        <f>-(P63+P64)/P153</f>
        <v>7.5818659671579311E-3</v>
      </c>
      <c r="Q165" s="156">
        <f>-(Q63+Q64)/Q153</f>
        <v>3.7831021437578815E-3</v>
      </c>
      <c r="T165" s="49"/>
      <c r="U165" s="49"/>
      <c r="V165" s="49"/>
      <c r="W165" s="49"/>
      <c r="X165" s="49"/>
      <c r="Y165" s="49"/>
      <c r="Z165" s="49"/>
      <c r="AA165" s="49"/>
      <c r="AC165" s="156">
        <f ca="1">-(AC63+AC64)/AC153</f>
        <v>1.3623306224197708E-3</v>
      </c>
    </row>
    <row r="166" spans="2:29" x14ac:dyDescent="0.2">
      <c r="B166" s="20" t="s">
        <v>343</v>
      </c>
      <c r="M166" s="156">
        <f>M158/M5</f>
        <v>6.1320386656526761E-2</v>
      </c>
      <c r="N166" s="156">
        <f>N158/N5</f>
        <v>8.4720911117094358E-2</v>
      </c>
      <c r="O166" s="156">
        <f>O158/O5</f>
        <v>-0.55064350064350065</v>
      </c>
      <c r="P166" s="156">
        <f>P158/P5</f>
        <v>-2.6294349860811573E-2</v>
      </c>
      <c r="Q166" s="156">
        <f>Q158/Q5</f>
        <v>2.1121897984901099E-2</v>
      </c>
      <c r="T166" s="49"/>
      <c r="U166" s="49"/>
      <c r="V166" s="49"/>
      <c r="W166" s="49"/>
      <c r="X166" s="49"/>
      <c r="Y166" s="49"/>
      <c r="Z166" s="49"/>
      <c r="AA166" s="49"/>
      <c r="AC166" s="156">
        <f>AC158/AC5</f>
        <v>0.27392068073092957</v>
      </c>
    </row>
    <row r="167" spans="2:29" x14ac:dyDescent="0.2">
      <c r="B167" s="20" t="s">
        <v>344</v>
      </c>
      <c r="M167" s="156">
        <f>M157/M5</f>
        <v>7.4354809601155022E-2</v>
      </c>
      <c r="N167" s="156">
        <f>N157/N5</f>
        <v>8.453085376162299E-2</v>
      </c>
      <c r="O167" s="156">
        <f>O157/O5</f>
        <v>-0.43198198198198196</v>
      </c>
      <c r="P167" s="156">
        <f>P157/P5</f>
        <v>-2.8354107761538769E-2</v>
      </c>
      <c r="Q167" s="156">
        <f>Q157/Q5</f>
        <v>1.86205789501846E-2</v>
      </c>
      <c r="T167" s="49"/>
      <c r="U167" s="49"/>
      <c r="V167" s="49"/>
      <c r="W167" s="49"/>
      <c r="X167" s="49"/>
      <c r="Y167" s="49"/>
      <c r="Z167" s="49"/>
      <c r="AA167" s="49"/>
      <c r="AC167" s="156">
        <f>AC157/AC5</f>
        <v>0.27658018920176353</v>
      </c>
    </row>
    <row r="168" spans="2:29" x14ac:dyDescent="0.2">
      <c r="B168" s="20" t="s">
        <v>270</v>
      </c>
      <c r="M168" s="156">
        <f>-M64/M157</f>
        <v>0</v>
      </c>
      <c r="N168" s="156">
        <f>-N64/N157</f>
        <v>0.17730769230769231</v>
      </c>
      <c r="O168" s="156">
        <f>-O64/O157</f>
        <v>-7.5078206465067784E-2</v>
      </c>
      <c r="P168" s="156">
        <f>-P64/P157</f>
        <v>-0.7205056179775281</v>
      </c>
      <c r="Q168" s="156">
        <f>-Q64/Q157</f>
        <v>0.75</v>
      </c>
      <c r="T168" s="49"/>
      <c r="U168" s="49"/>
      <c r="V168" s="49"/>
      <c r="W168" s="49"/>
      <c r="X168" s="49"/>
      <c r="Y168" s="49"/>
      <c r="Z168" s="49"/>
      <c r="AA168" s="49"/>
      <c r="AC168" s="156">
        <f>-AC64/AC157</f>
        <v>2.2709067606536366E-2</v>
      </c>
    </row>
    <row r="169" spans="2:29" x14ac:dyDescent="0.2">
      <c r="B169" s="20" t="s">
        <v>272</v>
      </c>
      <c r="M169" s="156">
        <f>-M63/M157</f>
        <v>0.62815533980582527</v>
      </c>
      <c r="N169" s="156">
        <f>-N63/N157</f>
        <v>0.9834615384615385</v>
      </c>
      <c r="O169" s="156">
        <f>-O63/O157</f>
        <v>-6.3309995531059135E-2</v>
      </c>
      <c r="P169" s="156">
        <f>-P63/P157</f>
        <v>-0.42134831460674155</v>
      </c>
      <c r="Q169" s="156">
        <f>-Q63/Q157</f>
        <v>0</v>
      </c>
      <c r="T169" s="49"/>
      <c r="U169" s="49"/>
      <c r="V169" s="49"/>
      <c r="W169" s="49"/>
      <c r="X169" s="49"/>
      <c r="Y169" s="49"/>
      <c r="Z169" s="49"/>
      <c r="AA169" s="49"/>
      <c r="AC169" s="156">
        <f>-AC63/AC157</f>
        <v>4.493752002563281E-2</v>
      </c>
    </row>
    <row r="170" spans="2:29" x14ac:dyDescent="0.2">
      <c r="B170" s="20" t="s">
        <v>283</v>
      </c>
      <c r="M170" s="156">
        <f>(-M64-M63)/M157</f>
        <v>0.62815533980582527</v>
      </c>
      <c r="N170" s="156">
        <f>(-N64-N63)/N157</f>
        <v>1.1607692307692308</v>
      </c>
      <c r="O170" s="156">
        <f>(-O64-O63)/O157</f>
        <v>-0.13838820199612692</v>
      </c>
      <c r="P170" s="156">
        <f>(-P64-P63)/P157</f>
        <v>-1.1418539325842696</v>
      </c>
      <c r="Q170" s="156">
        <f>(-Q64-Q63)/Q157</f>
        <v>0.75</v>
      </c>
      <c r="T170" s="49"/>
      <c r="U170" s="49"/>
      <c r="V170" s="49"/>
      <c r="W170" s="49"/>
      <c r="X170" s="49"/>
      <c r="Y170" s="49"/>
      <c r="Z170" s="49"/>
      <c r="AA170" s="49"/>
      <c r="AC170" s="156">
        <f>(-AC64-AC63)/AC157</f>
        <v>6.7646587632169172E-2</v>
      </c>
    </row>
    <row r="171" spans="2:29" x14ac:dyDescent="0.2">
      <c r="B171" s="20" t="s">
        <v>277</v>
      </c>
      <c r="M171" s="156">
        <f>M80/M78</f>
        <v>3.5087719298245615E-3</v>
      </c>
      <c r="N171" s="156">
        <f>N80/N78</f>
        <v>3.6463081130355514E-3</v>
      </c>
      <c r="O171" s="156">
        <f>O80/O78</f>
        <v>3.6429872495446266E-3</v>
      </c>
      <c r="P171" s="156">
        <f>P80/P78</f>
        <v>2.6737967914438501E-3</v>
      </c>
      <c r="Q171" s="156">
        <f>Q80/Q78</f>
        <v>2.6525198938992041E-3</v>
      </c>
      <c r="T171" s="49"/>
      <c r="U171" s="49"/>
      <c r="V171" s="49"/>
      <c r="W171" s="49"/>
      <c r="X171" s="49"/>
      <c r="Y171" s="49"/>
      <c r="Z171" s="49"/>
      <c r="AA171" s="49"/>
      <c r="AC171" s="156">
        <f>AC80/AC78</f>
        <v>2.617801047120419E-3</v>
      </c>
    </row>
    <row r="172" spans="2:29" x14ac:dyDescent="0.2">
      <c r="B172" s="20" t="s">
        <v>278</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280</v>
      </c>
      <c r="M173" s="156">
        <f>M54/M59</f>
        <v>3.0317613089509143E-2</v>
      </c>
      <c r="N173" s="156">
        <f>N54/N59</f>
        <v>3.3858112113826493E-2</v>
      </c>
      <c r="O173" s="156">
        <f>O54/O59</f>
        <v>0.38229634381013472</v>
      </c>
      <c r="P173" s="156">
        <f>P54/P59</f>
        <v>9.7919360526625129E-2</v>
      </c>
      <c r="Q173" s="156">
        <f>Q54/Q59</f>
        <v>5.5463623395149785E-2</v>
      </c>
      <c r="T173" s="156" t="e">
        <f t="shared" ref="T173:AA173" si="107">T54/T59</f>
        <v>#DIV/0!</v>
      </c>
      <c r="U173" s="156">
        <f t="shared" si="107"/>
        <v>6.7817509247842175E-2</v>
      </c>
      <c r="V173" s="156">
        <f t="shared" si="107"/>
        <v>6.3165905631659053E-2</v>
      </c>
      <c r="W173" s="156">
        <f t="shared" si="107"/>
        <v>5.4892601431980909E-2</v>
      </c>
      <c r="X173" s="156">
        <f t="shared" si="107"/>
        <v>4.3630017452006981E-2</v>
      </c>
      <c r="Y173" s="156">
        <f t="shared" si="107"/>
        <v>3.4478658899060752E-2</v>
      </c>
      <c r="Z173" s="156">
        <f t="shared" si="107"/>
        <v>2.5959842056624379E-2</v>
      </c>
      <c r="AA173" s="156">
        <f t="shared" si="107"/>
        <v>1.3982984086970221E-2</v>
      </c>
      <c r="AC173" s="156">
        <f>AC54/AC59</f>
        <v>2.3409550474412816E-2</v>
      </c>
    </row>
    <row r="174" spans="2:29" x14ac:dyDescent="0.2">
      <c r="B174" s="20" t="s">
        <v>281</v>
      </c>
      <c r="M174" s="156">
        <f>M54/M5</f>
        <v>1.3643746616134272E-2</v>
      </c>
      <c r="N174" s="156">
        <f>N54/N5</f>
        <v>1.6711099551336237E-2</v>
      </c>
      <c r="O174" s="156">
        <f>O54/O5</f>
        <v>3.835263835263835E-2</v>
      </c>
      <c r="P174" s="156">
        <f>P54/P5</f>
        <v>3.3172713153598023E-2</v>
      </c>
      <c r="Q174" s="156">
        <f>Q54/Q5</f>
        <v>2.600460163732677E-2</v>
      </c>
      <c r="T174" s="156">
        <f t="shared" ref="T174:AA174" si="108">T54/T5</f>
        <v>0</v>
      </c>
      <c r="U174" s="156">
        <f t="shared" si="108"/>
        <v>2.5261224021127571E-2</v>
      </c>
      <c r="V174" s="156">
        <f t="shared" si="108"/>
        <v>3.0920153979883274E-2</v>
      </c>
      <c r="W174" s="156">
        <f t="shared" si="108"/>
        <v>2.7201376196107945E-2</v>
      </c>
      <c r="X174" s="156">
        <f t="shared" si="108"/>
        <v>2.209456473707468E-2</v>
      </c>
      <c r="Y174" s="156">
        <f t="shared" si="108"/>
        <v>2.1256321923330646E-2</v>
      </c>
      <c r="Z174" s="156">
        <f t="shared" si="108"/>
        <v>1.2950544844928752E-2</v>
      </c>
      <c r="AA174" s="156">
        <f t="shared" si="108"/>
        <v>8.5632960247008869E-3</v>
      </c>
      <c r="AC174" s="156">
        <f>AC54/AC5</f>
        <v>1.3337173494029289E-2</v>
      </c>
    </row>
    <row r="175" spans="2:29" x14ac:dyDescent="0.2">
      <c r="B175" s="20" t="s">
        <v>286</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291</v>
      </c>
      <c r="M176" s="156">
        <f>(M107-M108)/M153</f>
        <v>3.8132416976189881E-2</v>
      </c>
      <c r="N176" s="156">
        <f>(N107-N108)/N153</f>
        <v>6.4769528163849094E-2</v>
      </c>
      <c r="O176" s="156">
        <f>(O107-O108)/O153</f>
        <v>-3.8682328997220808E-2</v>
      </c>
      <c r="P176" s="156">
        <f>(P107-P108)/P153</f>
        <v>-3.9587971747337539E-2</v>
      </c>
      <c r="Q176" s="156">
        <f>(Q107-Q108)/Q153</f>
        <v>-1.9140177704338249E-2</v>
      </c>
      <c r="T176" s="49"/>
      <c r="U176" s="49"/>
      <c r="V176" s="49"/>
      <c r="W176" s="49"/>
      <c r="X176" s="49"/>
      <c r="Y176" s="49"/>
      <c r="Z176" s="49"/>
      <c r="AA176" s="49"/>
      <c r="AC176" s="156">
        <f ca="1">(AC107-AC108)/AC153</f>
        <v>1.9685637164462363E-2</v>
      </c>
    </row>
    <row r="177" spans="1:31" x14ac:dyDescent="0.2">
      <c r="B177" s="20" t="s">
        <v>300</v>
      </c>
      <c r="M177" s="156">
        <f>-M110/M5</f>
        <v>0.36202851470853636</v>
      </c>
      <c r="N177" s="156">
        <f>-N110/N5</f>
        <v>0.39232069705442485</v>
      </c>
      <c r="O177" s="156">
        <f>-O110/O5</f>
        <v>0.49395109395109393</v>
      </c>
      <c r="P177" s="156">
        <f>-P110/P5</f>
        <v>0.33395722989924737</v>
      </c>
      <c r="Q177" s="156">
        <f>-Q110/Q5</f>
        <v>0.42423350634062817</v>
      </c>
      <c r="T177" s="156">
        <f t="shared" ref="T177:AA177" si="110">-T110/T5</f>
        <v>0</v>
      </c>
      <c r="U177" s="156">
        <f t="shared" si="110"/>
        <v>0.36812492823515902</v>
      </c>
      <c r="V177" s="156">
        <f t="shared" si="110"/>
        <v>0.50353905376878183</v>
      </c>
      <c r="W177" s="156">
        <f t="shared" si="110"/>
        <v>0.31588001290183854</v>
      </c>
      <c r="X177" s="156">
        <f t="shared" si="110"/>
        <v>0.50004418912947413</v>
      </c>
      <c r="Y177" s="156">
        <f t="shared" si="110"/>
        <v>0.39500109946492706</v>
      </c>
      <c r="Z177" s="156">
        <f t="shared" si="110"/>
        <v>0.26768650461022631</v>
      </c>
      <c r="AA177" s="156">
        <f t="shared" si="110"/>
        <v>0.18877846391354688</v>
      </c>
      <c r="AC177" s="156">
        <f>-AC110/AC5</f>
        <v>0.27981478609566429</v>
      </c>
    </row>
    <row r="178" spans="1:31" x14ac:dyDescent="0.2">
      <c r="B178" s="20" t="s">
        <v>301</v>
      </c>
      <c r="M178" s="156">
        <f>-(M110/M59)</f>
        <v>0.80445941610522942</v>
      </c>
      <c r="N178" s="156">
        <f>-(N110/N59)</f>
        <v>0.79487517291351029</v>
      </c>
      <c r="O178" s="156">
        <f>-(O110/O59)</f>
        <v>4.9236690186016681</v>
      </c>
      <c r="P178" s="156">
        <f>-(P110/P59)</f>
        <v>0.98577641941930172</v>
      </c>
      <c r="Q178" s="156">
        <f>-(Q110/Q59)</f>
        <v>0.90482168330955781</v>
      </c>
      <c r="T178" s="156" t="e">
        <f t="shared" ref="T178:AA178" si="111">-(T110/T59)</f>
        <v>#DIV/0!</v>
      </c>
      <c r="U178" s="156">
        <f t="shared" si="111"/>
        <v>0.98828606658446361</v>
      </c>
      <c r="V178" s="156">
        <f t="shared" si="111"/>
        <v>1.0286656519533233</v>
      </c>
      <c r="W178" s="156">
        <f t="shared" si="111"/>
        <v>0.6374484703840313</v>
      </c>
      <c r="X178" s="156">
        <f t="shared" si="111"/>
        <v>0.98743455497382204</v>
      </c>
      <c r="Y178" s="156">
        <f t="shared" si="111"/>
        <v>0.64070859588633933</v>
      </c>
      <c r="Z178" s="156">
        <f t="shared" si="111"/>
        <v>0.53658741493741069</v>
      </c>
      <c r="AA178" s="156">
        <f t="shared" si="111"/>
        <v>0.30825586891444778</v>
      </c>
      <c r="AC178" s="156">
        <f>-(AC110/AC59)</f>
        <v>0.49113392440503967</v>
      </c>
    </row>
    <row r="179" spans="1:31" x14ac:dyDescent="0.2">
      <c r="B179" s="20" t="s">
        <v>302</v>
      </c>
      <c r="M179" s="156">
        <f>-M110/M53</f>
        <v>1.6140971998712585</v>
      </c>
      <c r="N179" s="156">
        <f>-N110/N53</f>
        <v>1.6957560427206295</v>
      </c>
      <c r="O179" s="156">
        <f>-O110/O53</f>
        <v>0.98968540484785972</v>
      </c>
      <c r="P179" s="156">
        <f>-P110/P53</f>
        <v>1.0778920308483291</v>
      </c>
      <c r="Q179" s="156">
        <f>-Q110/Q53</f>
        <v>1.8985871647509578</v>
      </c>
      <c r="T179" s="156" t="e">
        <f t="shared" ref="T179:AA179" si="112">-T110/T53</f>
        <v>#DIV/0!</v>
      </c>
      <c r="U179" s="156">
        <f t="shared" si="112"/>
        <v>1.5793103448275863</v>
      </c>
      <c r="V179" s="156">
        <f t="shared" si="112"/>
        <v>1.9504569504569504</v>
      </c>
      <c r="W179" s="156">
        <f t="shared" si="112"/>
        <v>1.4030563514804202</v>
      </c>
      <c r="X179" s="156">
        <f t="shared" si="112"/>
        <v>2.6328524895300141</v>
      </c>
      <c r="Y179" s="156">
        <f t="shared" si="112"/>
        <v>2.4362567811934901</v>
      </c>
      <c r="Z179" s="156">
        <f t="shared" si="112"/>
        <v>2.7939632545931761</v>
      </c>
      <c r="AA179" s="156">
        <f t="shared" si="112"/>
        <v>3.3104906937394247</v>
      </c>
      <c r="AC179" s="156">
        <f>-AC110/AC53</f>
        <v>2.8032404838530685</v>
      </c>
    </row>
    <row r="180" spans="1:31" x14ac:dyDescent="0.2">
      <c r="B180" s="20" t="s">
        <v>356</v>
      </c>
      <c r="M180" s="224">
        <f>M5/M37</f>
        <v>0.47078115176128738</v>
      </c>
      <c r="N180" s="224">
        <f t="shared" ref="N180:Q180" si="113">N5/N37</f>
        <v>0.4640405533847291</v>
      </c>
      <c r="O180" s="224">
        <f t="shared" si="113"/>
        <v>0.24185264730600431</v>
      </c>
      <c r="P180" s="224">
        <f t="shared" si="113"/>
        <v>0.36174657139564365</v>
      </c>
      <c r="Q180" s="224">
        <f t="shared" si="113"/>
        <v>0.45143602502475905</v>
      </c>
      <c r="T180" s="49"/>
      <c r="U180" s="49"/>
      <c r="V180" s="49"/>
      <c r="W180" s="49"/>
      <c r="X180" s="49"/>
      <c r="Y180" s="49"/>
      <c r="Z180" s="49"/>
      <c r="AA180" s="49"/>
      <c r="AC180" s="224">
        <f t="shared" ref="AC180" si="114">AC5/AC37</f>
        <v>0.67312395609639708</v>
      </c>
    </row>
    <row r="181" spans="1:31" x14ac:dyDescent="0.2">
      <c r="B181" s="20" t="s">
        <v>353</v>
      </c>
      <c r="M181" s="226">
        <f>IF(AND(M12&gt;0,M108&gt;0),M108/M12,"N/A")</f>
        <v>1.0784657010982015</v>
      </c>
      <c r="N181" s="226">
        <f t="shared" ref="N181:Q181" si="115">IF(AND(N12&gt;0,N108&gt;0),N108/N12,"N/A")</f>
        <v>0.71181199752628321</v>
      </c>
      <c r="O181" s="226" t="str">
        <f t="shared" si="115"/>
        <v>N/A</v>
      </c>
      <c r="P181" s="226">
        <f t="shared" si="115"/>
        <v>10.27377300613497</v>
      </c>
      <c r="Q181" s="226">
        <f t="shared" si="115"/>
        <v>1.4920163766632548</v>
      </c>
      <c r="T181" s="49"/>
      <c r="U181" s="49"/>
      <c r="V181" s="49"/>
      <c r="W181" s="49"/>
      <c r="X181" s="49"/>
      <c r="Y181" s="49"/>
      <c r="Z181" s="49"/>
      <c r="AA181" s="49"/>
      <c r="AC181" s="226">
        <f t="shared" ref="AC181" si="116">IF(AND(AC12&gt;0,AC108&gt;0),AC108/AC12,"N/A")</f>
        <v>9.6585250578127377E-2</v>
      </c>
    </row>
    <row r="182" spans="1:31" x14ac:dyDescent="0.2">
      <c r="B182" s="20" t="s">
        <v>354</v>
      </c>
      <c r="M182" s="226">
        <f>IF(AND(M12&gt;0,M108&gt;0),(M108-M107)/M12,"N/A")</f>
        <v>-0.57647620563425117</v>
      </c>
      <c r="N182" s="226">
        <f t="shared" ref="N182:Q182" si="117">IF(AND(N12&gt;0,N108&gt;0),(N108-N107)/N12,"N/A")</f>
        <v>-0.41970727685013398</v>
      </c>
      <c r="O182" s="226" t="str">
        <f t="shared" si="117"/>
        <v>N/A</v>
      </c>
      <c r="P182" s="226">
        <f t="shared" si="117"/>
        <v>3.2553680981595092</v>
      </c>
      <c r="Q182" s="226">
        <f t="shared" si="117"/>
        <v>0.27031729785056297</v>
      </c>
      <c r="T182" s="49"/>
      <c r="U182" s="49"/>
      <c r="V182" s="49"/>
      <c r="W182" s="49"/>
      <c r="X182" s="49"/>
      <c r="Y182" s="49"/>
      <c r="Z182" s="49"/>
      <c r="AA182" s="49"/>
      <c r="AC182" s="226">
        <f t="shared" ref="AC182" si="118">IF(AND(AC12&gt;0,AC108&gt;0),(AC108-AC107)/AC12,"N/A")</f>
        <v>-0.41196428270006585</v>
      </c>
    </row>
    <row r="183" spans="1:31" x14ac:dyDescent="0.2">
      <c r="B183" s="20" t="s">
        <v>355</v>
      </c>
      <c r="M183" s="226">
        <f>M5/(M108+M112-M107)</f>
        <v>0.68728138721440801</v>
      </c>
      <c r="N183" s="226">
        <f t="shared" ref="N183:Q183" si="119">N5/(N108+N112-N107)</f>
        <v>0.67105923420966507</v>
      </c>
      <c r="O183" s="226">
        <f t="shared" si="119"/>
        <v>0.33055390113162597</v>
      </c>
      <c r="P183" s="226">
        <f t="shared" si="119"/>
        <v>0.50856691510045371</v>
      </c>
      <c r="Q183" s="226">
        <f t="shared" si="119"/>
        <v>0.65799387388656128</v>
      </c>
      <c r="T183" s="49"/>
      <c r="U183" s="49"/>
      <c r="V183" s="49"/>
      <c r="W183" s="49"/>
      <c r="X183" s="49"/>
      <c r="Y183" s="49"/>
      <c r="Z183" s="49"/>
      <c r="AA183" s="49"/>
      <c r="AC183" s="226">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385</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386</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387</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388</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389</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390</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391</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392</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393</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394</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395</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M218" s="145">
        <v>100</v>
      </c>
      <c r="N218" s="145">
        <f>100*(1+((N117-$M117)/ABS($M117)))</f>
        <v>68.783005280844947</v>
      </c>
      <c r="O218" s="145">
        <f t="shared" ref="O218:Q218" si="137">100*(1+((O117-$M117)/ABS($M117)))</f>
        <v>81.721075372059531</v>
      </c>
      <c r="P218" s="145">
        <f t="shared" si="137"/>
        <v>114.70235237638022</v>
      </c>
      <c r="Q218" s="145">
        <f t="shared" si="137"/>
        <v>146.42342774843974</v>
      </c>
      <c r="T218" s="49"/>
      <c r="U218" s="49"/>
      <c r="V218" s="49"/>
      <c r="W218" s="49"/>
      <c r="X218" s="49"/>
      <c r="Y218" s="49"/>
      <c r="Z218" s="49"/>
      <c r="AA218" s="49"/>
      <c r="AC218" s="49"/>
    </row>
    <row r="219" spans="1:31" x14ac:dyDescent="0.2">
      <c r="B219" s="20" t="s">
        <v>350</v>
      </c>
      <c r="M219" s="145">
        <v>100</v>
      </c>
      <c r="N219" s="145">
        <f>100*(1+((N5-$M5)/ABS($M5)))</f>
        <v>111.0196715394333</v>
      </c>
      <c r="O219" s="145">
        <f t="shared" ref="O219:Q219" si="138">100*(1+((O5-$M5)/ABS($M5)))</f>
        <v>56.090958310774234</v>
      </c>
      <c r="P219" s="145">
        <f t="shared" si="138"/>
        <v>90.637069121097284</v>
      </c>
      <c r="Q219" s="145">
        <f t="shared" si="138"/>
        <v>134.91427540155206</v>
      </c>
      <c r="T219" s="49"/>
      <c r="U219" s="49"/>
      <c r="V219" s="49"/>
      <c r="W219" s="49"/>
      <c r="X219" s="49"/>
      <c r="Y219" s="49"/>
      <c r="Z219" s="49"/>
      <c r="AA219" s="49"/>
      <c r="AC219" s="49"/>
    </row>
    <row r="220" spans="1:31" x14ac:dyDescent="0.2">
      <c r="B220" s="20" t="s">
        <v>351</v>
      </c>
      <c r="M220" s="145">
        <v>100</v>
      </c>
      <c r="N220" s="145">
        <f>100*(1+((N26-$M26)/ABS($M26)))</f>
        <v>150.77821011673151</v>
      </c>
      <c r="O220" s="145">
        <f t="shared" ref="O220:Q220" si="139">100*(1+((O26-$M26)/ABS($M26)))</f>
        <v>-103.89105058365762</v>
      </c>
      <c r="P220" s="145">
        <f t="shared" si="139"/>
        <v>13.618677042801563</v>
      </c>
      <c r="Q220" s="145">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37" t="s">
        <v>233</v>
      </c>
      <c r="C4" s="237"/>
      <c r="E4" s="237" t="s">
        <v>240</v>
      </c>
      <c r="F4" s="237"/>
      <c r="G4" s="237"/>
    </row>
    <row r="5" spans="2:7" x14ac:dyDescent="0.2">
      <c r="B5" s="20" t="s">
        <v>1</v>
      </c>
      <c r="C5" s="172">
        <f ca="1">Overview!C5</f>
        <v>1081.8387</v>
      </c>
      <c r="E5" s="12"/>
      <c r="F5" s="136" t="s">
        <v>241</v>
      </c>
      <c r="G5" s="136" t="s">
        <v>242</v>
      </c>
    </row>
    <row r="6" spans="2:7" x14ac:dyDescent="0.2">
      <c r="B6" s="20" t="s">
        <v>239</v>
      </c>
      <c r="C6" s="173">
        <f ca="1">Statement!AC153</f>
        <v>1239787.1502</v>
      </c>
      <c r="E6" s="20" t="s">
        <v>19</v>
      </c>
      <c r="F6" s="178">
        <f>IF(Statement!M5&lt;=0,"N/A",_xlfn.RRI(4,Statement!M5,Statement!Q5))</f>
        <v>7.7741177345151069E-2</v>
      </c>
      <c r="G6" s="178" t="str">
        <f>IF(Statement!H5&lt;=0,"N/A",_xlfn.RRI(9,Statement!H5,Statement!Q5))</f>
        <v>N/A</v>
      </c>
    </row>
    <row r="7" spans="2:7" x14ac:dyDescent="0.2">
      <c r="B7" s="20" t="s">
        <v>188</v>
      </c>
      <c r="C7" s="173">
        <f ca="1">Statement!AC154</f>
        <v>1215381.1502</v>
      </c>
      <c r="E7" s="20" t="s">
        <v>30</v>
      </c>
      <c r="F7" s="178">
        <f>IF(OR(Statement!M18&lt;=0, Statement!Q18&lt;=0), "N/A", _xlfn.RRI(4, Statement!M18, Statement!Q18))</f>
        <v>9.8648641516440261E-2</v>
      </c>
      <c r="G7" s="178" t="str">
        <f>IF(OR(Statement!H18&lt;=0, Statement!Q18&lt;=0), "N/A", _xlfn.RRI(9, Statement!H18, Statement!Q18))</f>
        <v>N/A</v>
      </c>
    </row>
    <row r="8" spans="2:7" x14ac:dyDescent="0.2">
      <c r="B8" s="20" t="s">
        <v>237</v>
      </c>
      <c r="C8" s="174">
        <f ca="1">Statement!AC150</f>
        <v>24.492612633008829</v>
      </c>
      <c r="E8" s="20" t="s">
        <v>243</v>
      </c>
      <c r="F8" s="178">
        <f>IF(OR(Statement!M26&lt;=0, Statement!Q26&lt;=0), "N/A", _xlfn.RRI(4, Statement!M26, Statement!Q26))</f>
        <v>0.10235040051057442</v>
      </c>
      <c r="G8" s="178" t="str">
        <f>IF(OR(Statement!H26&lt;=0, Statement!Q26&lt;=0), "N/A", _xlfn.RRI(9, Statement!H26, Statement!Q26))</f>
        <v>N/A</v>
      </c>
    </row>
    <row r="9" spans="2:7" x14ac:dyDescent="0.2">
      <c r="B9" s="20" t="s">
        <v>201</v>
      </c>
      <c r="C9" s="174">
        <f ca="1">Statement!AC151</f>
        <v>13.649713974123225</v>
      </c>
      <c r="E9" s="20" t="s">
        <v>244</v>
      </c>
      <c r="F9" s="178">
        <f>IF(Statement!M82&lt;=0,"N/A",_xlfn.RRI(4,Statement!M82,Statement!Q82))</f>
        <v>0.46450027618731493</v>
      </c>
      <c r="G9" s="178" t="str">
        <f>IF(Statement!H82&lt;=0,"N/A",_xlfn.RRI(9,Statement!H82,Statement!Q82))</f>
        <v>N/A</v>
      </c>
    </row>
    <row r="10" spans="2:7" x14ac:dyDescent="0.2">
      <c r="B10" s="20" t="s">
        <v>238</v>
      </c>
      <c r="C10" s="174">
        <f ca="1">Statement!AC152</f>
        <v>12.1261654848894</v>
      </c>
      <c r="E10" s="20" t="s">
        <v>1</v>
      </c>
      <c r="F10" s="178">
        <f>IF(Statement!M117&lt;=0,"N/A",_xlfn.RRI(4,Statement!M117,Statement!Q117))</f>
        <v>0.10002522029799144</v>
      </c>
      <c r="G10" s="178" t="str">
        <f>IF(Statement!H117&lt;=0,"N/A",_xlfn.RRI(9,Statement!H117,Statement!Q117))</f>
        <v>N/A</v>
      </c>
    </row>
    <row r="11" spans="2:7" x14ac:dyDescent="0.2">
      <c r="B11" s="20" t="s">
        <v>260</v>
      </c>
      <c r="C11" s="174">
        <f ca="1">Statement!AC155</f>
        <v>13.463246895008529</v>
      </c>
    </row>
    <row r="12" spans="2:7" x14ac:dyDescent="0.2">
      <c r="B12" s="20" t="s">
        <v>204</v>
      </c>
      <c r="C12" s="174">
        <f ca="1">Statement!AC156</f>
        <v>20.515185763718922</v>
      </c>
    </row>
    <row r="15" spans="2:7" x14ac:dyDescent="0.2">
      <c r="B15" s="237" t="s">
        <v>76</v>
      </c>
      <c r="C15" s="237"/>
      <c r="E15" s="237" t="s">
        <v>246</v>
      </c>
      <c r="F15" s="237"/>
    </row>
    <row r="16" spans="2:7" x14ac:dyDescent="0.2">
      <c r="B16" s="20" t="s">
        <v>77</v>
      </c>
      <c r="C16" s="175">
        <f>Statement!AC101</f>
        <v>0.72569067505594076</v>
      </c>
      <c r="E16" s="20" t="s">
        <v>30</v>
      </c>
      <c r="F16" s="173">
        <f>Statement!AC18</f>
        <v>50469</v>
      </c>
    </row>
    <row r="17" spans="2:6" x14ac:dyDescent="0.2">
      <c r="B17" s="20" t="s">
        <v>78</v>
      </c>
      <c r="C17" s="175">
        <f>Statement!AC102</f>
        <v>0.65625761570330332</v>
      </c>
      <c r="E17" s="20" t="s">
        <v>247</v>
      </c>
      <c r="F17" s="173">
        <f>Statement!AC59</f>
        <v>51432</v>
      </c>
    </row>
    <row r="18" spans="2:6" x14ac:dyDescent="0.2">
      <c r="B18" s="20" t="s">
        <v>79</v>
      </c>
      <c r="C18" s="175">
        <f>Statement!AC103</f>
        <v>0.55906462547355829</v>
      </c>
      <c r="E18" s="20" t="s">
        <v>254</v>
      </c>
      <c r="F18" s="177">
        <f>IF(OR(F16&lt;=0, F17&lt;=0),"N/A",F16-F17)</f>
        <v>-963</v>
      </c>
    </row>
    <row r="21" spans="2:6" x14ac:dyDescent="0.2">
      <c r="B21" s="237" t="s">
        <v>245</v>
      </c>
      <c r="C21" s="237"/>
      <c r="E21" s="237" t="s">
        <v>249</v>
      </c>
      <c r="F21" s="237"/>
    </row>
    <row r="22" spans="2:6" x14ac:dyDescent="0.2">
      <c r="B22" s="20" t="s">
        <v>100</v>
      </c>
      <c r="C22" s="175">
        <f>Statement!AC121</f>
        <v>0.55906462547355829</v>
      </c>
      <c r="E22" s="20" t="s">
        <v>102</v>
      </c>
      <c r="F22" s="175">
        <f>C24</f>
        <v>0.37631979241231212</v>
      </c>
    </row>
    <row r="23" spans="2:6" x14ac:dyDescent="0.2">
      <c r="B23" s="20" t="s">
        <v>101</v>
      </c>
      <c r="C23" s="174">
        <f>Statement!AC122</f>
        <v>0.67312395609639708</v>
      </c>
      <c r="E23" s="20" t="s">
        <v>104</v>
      </c>
      <c r="F23" s="175">
        <f>C26</f>
        <v>0.50106230888368219</v>
      </c>
    </row>
    <row r="24" spans="2:6" x14ac:dyDescent="0.2">
      <c r="B24" s="32" t="s">
        <v>102</v>
      </c>
      <c r="C24" s="176">
        <f>Statement!AC123</f>
        <v>0.37631979241231212</v>
      </c>
      <c r="E24" s="20" t="s">
        <v>105</v>
      </c>
      <c r="F24" s="175">
        <f>Statement!AC140</f>
        <v>0.66314520207950856</v>
      </c>
    </row>
    <row r="25" spans="2:6" x14ac:dyDescent="0.2">
      <c r="B25" s="20" t="s">
        <v>103</v>
      </c>
      <c r="C25" s="174">
        <f>Statement!AC124</f>
        <v>1.331480084190461</v>
      </c>
    </row>
    <row r="26" spans="2:6" x14ac:dyDescent="0.2">
      <c r="B26" s="32" t="s">
        <v>104</v>
      </c>
      <c r="C26" s="176">
        <f>Statement!AC125</f>
        <v>0.50106230888368219</v>
      </c>
    </row>
    <row r="29" spans="2:6" x14ac:dyDescent="0.2">
      <c r="B29" s="237" t="s">
        <v>250</v>
      </c>
      <c r="C29" s="237"/>
      <c r="E29" s="237" t="s">
        <v>256</v>
      </c>
      <c r="F29" s="237"/>
    </row>
    <row r="30" spans="2:6" x14ac:dyDescent="0.2">
      <c r="B30" s="20" t="s">
        <v>139</v>
      </c>
      <c r="C30" s="174">
        <f>Statement!AC141</f>
        <v>125.44171079159004</v>
      </c>
      <c r="E30" s="20" t="s">
        <v>257</v>
      </c>
      <c r="F30" s="180">
        <f>Statement!AC145</f>
        <v>5.6808704975973949E-2</v>
      </c>
    </row>
    <row r="31" spans="2:6" x14ac:dyDescent="0.2">
      <c r="B31" s="20" t="s">
        <v>140</v>
      </c>
      <c r="C31" s="174">
        <f>Statement!AC142</f>
        <v>126.27528974679967</v>
      </c>
      <c r="E31" s="20" t="s">
        <v>258</v>
      </c>
      <c r="F31" s="180">
        <f>Statement!AC146</f>
        <v>-0.24230570668361065</v>
      </c>
    </row>
    <row r="32" spans="2:6" x14ac:dyDescent="0.2">
      <c r="B32" s="20" t="s">
        <v>141</v>
      </c>
      <c r="C32" s="174">
        <f>Statement!AC143</f>
        <v>228.77539070387272</v>
      </c>
      <c r="E32" s="20" t="s">
        <v>253</v>
      </c>
      <c r="F32" s="180">
        <f>Statement!AC148</f>
        <v>3.4245176518883413</v>
      </c>
    </row>
    <row r="33" spans="2:6" x14ac:dyDescent="0.2">
      <c r="B33" s="20" t="s">
        <v>142</v>
      </c>
      <c r="C33" s="174">
        <f>Statement!AC144</f>
        <v>22.941609834516981</v>
      </c>
      <c r="E33" s="20" t="s">
        <v>252</v>
      </c>
      <c r="F33" s="180">
        <f>Statement!AC147</f>
        <v>3.1379823481116587</v>
      </c>
    </row>
    <row r="34" spans="2:6" x14ac:dyDescent="0.2">
      <c r="E34" s="20" t="s">
        <v>259</v>
      </c>
      <c r="F34" s="182" t="str">
        <f>Statement!AC149</f>
        <v>N/A</v>
      </c>
    </row>
    <row r="37" spans="2:6" x14ac:dyDescent="0.2">
      <c r="B37" s="237" t="s">
        <v>268</v>
      </c>
      <c r="C37" s="237"/>
      <c r="E37" s="237" t="s">
        <v>271</v>
      </c>
      <c r="F37" s="237"/>
    </row>
    <row r="38" spans="2:6" x14ac:dyDescent="0.2">
      <c r="B38" s="20" t="s">
        <v>266</v>
      </c>
      <c r="C38" s="175">
        <f ca="1">Statement!AC162</f>
        <v>4.0828637392986589E-2</v>
      </c>
      <c r="E38" s="20" t="s">
        <v>270</v>
      </c>
      <c r="F38" s="175">
        <f>Statement!AC168</f>
        <v>2.2709067606536366E-2</v>
      </c>
    </row>
    <row r="39" spans="2:6" x14ac:dyDescent="0.2">
      <c r="B39" s="54" t="s">
        <v>269</v>
      </c>
      <c r="C39" s="215">
        <f ca="1">Statement!AC161</f>
        <v>2.0138940781869057E-2</v>
      </c>
      <c r="E39" s="20" t="s">
        <v>272</v>
      </c>
      <c r="F39" s="175">
        <f>Statement!AC169</f>
        <v>4.493752002563281E-2</v>
      </c>
    </row>
    <row r="40" spans="2:6" x14ac:dyDescent="0.2">
      <c r="B40" s="20" t="s">
        <v>267</v>
      </c>
      <c r="C40" s="175">
        <f ca="1">Statement!AC163</f>
        <v>4.8990667462718801E-4</v>
      </c>
      <c r="E40" s="20" t="s">
        <v>273</v>
      </c>
      <c r="F40" s="175">
        <f>Statement!AC170</f>
        <v>6.7646587632169172E-2</v>
      </c>
    </row>
    <row r="41" spans="2:6" x14ac:dyDescent="0.2">
      <c r="B41" s="20" t="s">
        <v>292</v>
      </c>
      <c r="C41" s="175">
        <f ca="1">Statement!AC164</f>
        <v>9.0499405468027409E-4</v>
      </c>
    </row>
    <row r="42" spans="2:6" x14ac:dyDescent="0.2">
      <c r="B42" s="20" t="s">
        <v>294</v>
      </c>
      <c r="C42" s="175">
        <f ca="1">Statement!AC165</f>
        <v>1.3623306224197708E-3</v>
      </c>
    </row>
    <row r="45" spans="2:6" x14ac:dyDescent="0.2">
      <c r="B45" s="237" t="s">
        <v>279</v>
      </c>
      <c r="C45" s="237"/>
      <c r="E45" s="237" t="s">
        <v>285</v>
      </c>
      <c r="F45" s="237"/>
    </row>
    <row r="46" spans="2:6" x14ac:dyDescent="0.2">
      <c r="B46" s="20" t="s">
        <v>277</v>
      </c>
      <c r="C46" s="175">
        <f>Statement!AC171</f>
        <v>2.617801047120419E-3</v>
      </c>
      <c r="E46" s="20" t="s">
        <v>278</v>
      </c>
      <c r="F46" s="174">
        <f>Statement!AC172</f>
        <v>26.685562444641274</v>
      </c>
    </row>
    <row r="47" spans="2:6" x14ac:dyDescent="0.2">
      <c r="E47" s="20" t="s">
        <v>286</v>
      </c>
      <c r="F47" s="174">
        <f>Statement!AC175</f>
        <v>21.617360496014172</v>
      </c>
    </row>
    <row r="48" spans="2:6" x14ac:dyDescent="0.2">
      <c r="E48" s="20" t="s">
        <v>291</v>
      </c>
      <c r="F48" s="175">
        <f ca="1">Statement!AC176</f>
        <v>1.9685637164462363E-2</v>
      </c>
    </row>
    <row r="51" spans="2:6" x14ac:dyDescent="0.2">
      <c r="B51" s="237" t="s">
        <v>282</v>
      </c>
      <c r="C51" s="237"/>
      <c r="E51" s="237" t="s">
        <v>303</v>
      </c>
      <c r="F51" s="237"/>
    </row>
    <row r="52" spans="2:6" x14ac:dyDescent="0.2">
      <c r="B52" s="20" t="s">
        <v>280</v>
      </c>
      <c r="C52" s="175">
        <f>Statement!AC173</f>
        <v>2.3409550474412816E-2</v>
      </c>
      <c r="E52" s="20" t="s">
        <v>304</v>
      </c>
      <c r="F52" s="175">
        <f>Statement!AC177</f>
        <v>0.27981478609566429</v>
      </c>
    </row>
    <row r="53" spans="2:6" x14ac:dyDescent="0.2">
      <c r="B53" s="20" t="s">
        <v>281</v>
      </c>
      <c r="C53" s="175">
        <f>Statement!AC174</f>
        <v>1.3337173494029289E-2</v>
      </c>
      <c r="E53" s="20" t="s">
        <v>301</v>
      </c>
      <c r="F53" s="175">
        <f>Statement!AC178</f>
        <v>0.49113392440503967</v>
      </c>
    </row>
    <row r="54" spans="2:6" x14ac:dyDescent="0.2">
      <c r="E54" s="20" t="s">
        <v>302</v>
      </c>
      <c r="F54" s="175">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2">
        <f>Statement!M116</f>
        <v>83.32</v>
      </c>
      <c r="D6" s="172">
        <f>Statement!N116</f>
        <v>57.31</v>
      </c>
      <c r="E6" s="172">
        <f>Statement!O116</f>
        <v>68.09</v>
      </c>
      <c r="F6" s="172">
        <f>Statement!P116</f>
        <v>95.57</v>
      </c>
      <c r="G6" s="172">
        <f>Statement!Q116</f>
        <v>122</v>
      </c>
      <c r="I6" s="172">
        <f ca="1">Statement!AC116</f>
        <v>1081.8387</v>
      </c>
    </row>
    <row r="7" spans="2:9" x14ac:dyDescent="0.2">
      <c r="B7" s="20" t="s">
        <v>239</v>
      </c>
      <c r="C7" s="173">
        <f>Statement!M153</f>
        <v>94984.799999999988</v>
      </c>
      <c r="D7" s="173">
        <f>Statement!N153</f>
        <v>62869.07</v>
      </c>
      <c r="E7" s="173">
        <f>Statement!O153</f>
        <v>74762.820000000007</v>
      </c>
      <c r="F7" s="173">
        <f>Statement!P153</f>
        <v>107229.54</v>
      </c>
      <c r="G7" s="173">
        <f>Statement!Q153</f>
        <v>137982</v>
      </c>
      <c r="I7" s="173">
        <f ca="1">Statement!AC153</f>
        <v>1239787.1502</v>
      </c>
    </row>
    <row r="8" spans="2:9" x14ac:dyDescent="0.2">
      <c r="B8" s="20" t="s">
        <v>188</v>
      </c>
      <c r="C8" s="173">
        <f>Statement!M154</f>
        <v>91362.799999999988</v>
      </c>
      <c r="D8" s="173">
        <f>Statement!N154</f>
        <v>58797.070000000007</v>
      </c>
      <c r="E8" s="173">
        <f>Statement!O154</f>
        <v>77654.820000000007</v>
      </c>
      <c r="F8" s="173">
        <f>Statement!P154</f>
        <v>111474.54</v>
      </c>
      <c r="G8" s="173">
        <f>Statement!Q154</f>
        <v>140623</v>
      </c>
      <c r="I8" s="173">
        <f ca="1">Statement!AC154</f>
        <v>1215381.1502</v>
      </c>
    </row>
    <row r="9" spans="2:9" x14ac:dyDescent="0.2">
      <c r="B9" s="20" t="s">
        <v>237</v>
      </c>
      <c r="C9" s="174">
        <f>Statement!M150</f>
        <v>16.210116731517509</v>
      </c>
      <c r="D9" s="174">
        <f>Statement!N150</f>
        <v>7.39483870967742</v>
      </c>
      <c r="E9" s="174">
        <f>Statement!O150</f>
        <v>-12.750936329588017</v>
      </c>
      <c r="F9" s="174">
        <f>Statement!P150</f>
        <v>136.52857142857144</v>
      </c>
      <c r="G9" s="174">
        <f>Statement!Q150</f>
        <v>16.073781291172597</v>
      </c>
      <c r="I9" s="174">
        <f ca="1">Statement!AC150</f>
        <v>24.492612633008829</v>
      </c>
    </row>
    <row r="10" spans="2:9" x14ac:dyDescent="0.2">
      <c r="B10" s="20" t="s">
        <v>201</v>
      </c>
      <c r="C10" s="174">
        <f>Statement!M151</f>
        <v>3.4314426998736689</v>
      </c>
      <c r="D10" s="174">
        <f>Statement!N151</f>
        <v>2.0905722088562326</v>
      </c>
      <c r="E10" s="174">
        <f>Statement!O151</f>
        <v>4.7890842985842994</v>
      </c>
      <c r="F10" s="174">
        <f>Statement!P151</f>
        <v>4.2549982079566719</v>
      </c>
      <c r="G10" s="174">
        <f>Statement!Q151</f>
        <v>3.6719460645299371</v>
      </c>
      <c r="I10" s="174">
        <f ca="1">Statement!AC151</f>
        <v>13.649713974123225</v>
      </c>
    </row>
    <row r="11" spans="2:9" x14ac:dyDescent="0.2">
      <c r="B11" s="20" t="s">
        <v>238</v>
      </c>
      <c r="C11" s="174">
        <f>Statement!M152</f>
        <v>2.1222106389274575</v>
      </c>
      <c r="D11" s="174">
        <f>Statement!N152</f>
        <v>1.248241128499008</v>
      </c>
      <c r="E11" s="174">
        <f>Statement!O152</f>
        <v>1.6945335448776064</v>
      </c>
      <c r="F11" s="174">
        <f>Statement!P152</f>
        <v>2.3484330061376881</v>
      </c>
      <c r="G11" s="174">
        <f>Statement!Q152</f>
        <v>2.5271669897535309</v>
      </c>
      <c r="I11" s="174">
        <f ca="1">Statement!AC152</f>
        <v>12.1261654848894</v>
      </c>
    </row>
    <row r="12" spans="2:9" x14ac:dyDescent="0.2">
      <c r="B12" s="20" t="s">
        <v>260</v>
      </c>
      <c r="C12" s="174">
        <f>Statement!M155</f>
        <v>3.2977007760332064</v>
      </c>
      <c r="D12" s="174">
        <f>Statement!N155</f>
        <v>1.9116025099161196</v>
      </c>
      <c r="E12" s="174">
        <f>Statement!O155</f>
        <v>4.9970926640926647</v>
      </c>
      <c r="F12" s="174">
        <f>Statement!P155</f>
        <v>4.4392712357134325</v>
      </c>
      <c r="G12" s="174">
        <f>Statement!Q155</f>
        <v>3.7621863128043236</v>
      </c>
      <c r="I12" s="174">
        <f ca="1">Statement!AC155</f>
        <v>13.463246895008529</v>
      </c>
    </row>
    <row r="13" spans="2:9" x14ac:dyDescent="0.2">
      <c r="B13" s="20" t="s">
        <v>204</v>
      </c>
      <c r="C13" s="174">
        <f>Statement!M156</f>
        <v>14.541270093904185</v>
      </c>
      <c r="D13" s="174">
        <f>Statement!N156</f>
        <v>6.0603040610183472</v>
      </c>
      <c r="E13" s="174">
        <f>Statement!O156</f>
        <v>-13.51693994778068</v>
      </c>
      <c r="F13" s="174">
        <f>Statement!P156</f>
        <v>85.48661042944785</v>
      </c>
      <c r="G13" s="174">
        <f>Statement!Q156</f>
        <v>14.393346980552712</v>
      </c>
      <c r="I13" s="174">
        <f ca="1">Statement!AC156</f>
        <v>20.515185763718922</v>
      </c>
    </row>
    <row r="15" spans="2:9" ht="17" thickBot="1" x14ac:dyDescent="0.25">
      <c r="B15" s="14" t="s">
        <v>76</v>
      </c>
      <c r="C15" s="14"/>
      <c r="D15" s="14"/>
      <c r="E15" s="14"/>
      <c r="F15" s="14"/>
      <c r="G15" s="14"/>
      <c r="I15" s="14"/>
    </row>
    <row r="16" spans="2:9" x14ac:dyDescent="0.2">
      <c r="B16" s="20" t="s">
        <v>77</v>
      </c>
      <c r="C16" s="175">
        <f>Statement!M101</f>
        <v>0.37621367984118392</v>
      </c>
      <c r="D16" s="175">
        <f>Statement!N101</f>
        <v>0.45184992522270628</v>
      </c>
      <c r="E16" s="175">
        <f>Statement!O101</f>
        <v>-9.1119691119691121E-2</v>
      </c>
      <c r="F16" s="175">
        <f>Statement!P101</f>
        <v>0.22352753773246783</v>
      </c>
      <c r="G16" s="175">
        <f>Statement!Q101</f>
        <v>0.39790786023864305</v>
      </c>
      <c r="I16" s="175">
        <f>Statement!AC101</f>
        <v>0.72569067505594076</v>
      </c>
    </row>
    <row r="17" spans="2:9" x14ac:dyDescent="0.2">
      <c r="B17" s="20" t="s">
        <v>78</v>
      </c>
      <c r="C17" s="175">
        <f>Statement!M102</f>
        <v>0.22678216928352282</v>
      </c>
      <c r="D17" s="175">
        <f>Statement!N102</f>
        <v>0.31543013199817932</v>
      </c>
      <c r="E17" s="175">
        <f>Statement!O102</f>
        <v>-0.36969111969111967</v>
      </c>
      <c r="F17" s="175">
        <f>Statement!P102</f>
        <v>5.192943331607662E-2</v>
      </c>
      <c r="G17" s="175">
        <f>Statement!Q102</f>
        <v>0.26138370164267749</v>
      </c>
      <c r="I17" s="175">
        <f>Statement!AC102</f>
        <v>0.65625761570330332</v>
      </c>
    </row>
    <row r="18" spans="2:9" x14ac:dyDescent="0.2">
      <c r="B18" s="20" t="s">
        <v>79</v>
      </c>
      <c r="C18" s="175">
        <f>Statement!M103</f>
        <v>0.2115502616856163</v>
      </c>
      <c r="D18" s="175">
        <f>Statement!N103</f>
        <v>0.28243058716431496</v>
      </c>
      <c r="E18" s="175">
        <f>Statement!O103</f>
        <v>-0.37535392535392537</v>
      </c>
      <c r="F18" s="175">
        <f>Statement!P103</f>
        <v>3.0982437975389271E-2</v>
      </c>
      <c r="G18" s="175">
        <f>Statement!Q103</f>
        <v>0.22844989030980792</v>
      </c>
      <c r="I18" s="175">
        <f>Statement!AC103</f>
        <v>0.55906462547355829</v>
      </c>
    </row>
    <row r="20" spans="2:9" ht="17" thickBot="1" x14ac:dyDescent="0.25">
      <c r="B20" s="14" t="s">
        <v>246</v>
      </c>
      <c r="C20" s="14"/>
      <c r="D20" s="14"/>
      <c r="E20" s="14"/>
      <c r="F20" s="14"/>
      <c r="G20" s="14"/>
      <c r="I20" s="14"/>
    </row>
    <row r="21" spans="2:9" x14ac:dyDescent="0.2">
      <c r="B21" s="20" t="s">
        <v>30</v>
      </c>
      <c r="C21" s="177">
        <f>Statement!M18</f>
        <v>5861</v>
      </c>
      <c r="D21" s="177">
        <f>Statement!N18</f>
        <v>8687</v>
      </c>
      <c r="E21" s="177">
        <f>Statement!O18</f>
        <v>-5833</v>
      </c>
      <c r="F21" s="177">
        <f>Statement!P18</f>
        <v>778</v>
      </c>
      <c r="G21" s="177">
        <f>Statement!Q18</f>
        <v>8539</v>
      </c>
      <c r="I21" s="177">
        <f>Statement!AC18</f>
        <v>50469</v>
      </c>
    </row>
    <row r="22" spans="2:9" x14ac:dyDescent="0.2">
      <c r="B22" s="20" t="s">
        <v>247</v>
      </c>
      <c r="C22" s="177">
        <f>Statement!M59</f>
        <v>12468</v>
      </c>
      <c r="D22" s="177">
        <f>Statement!N59</f>
        <v>15181</v>
      </c>
      <c r="E22" s="177">
        <f>Statement!O59</f>
        <v>1559</v>
      </c>
      <c r="F22" s="177">
        <f>Statement!P59</f>
        <v>8507</v>
      </c>
      <c r="G22" s="177">
        <f>Statement!Q59</f>
        <v>17525</v>
      </c>
      <c r="I22" s="177">
        <f>Statement!AC59</f>
        <v>51432</v>
      </c>
    </row>
    <row r="23" spans="2:9" x14ac:dyDescent="0.2">
      <c r="B23" s="20" t="s">
        <v>254</v>
      </c>
      <c r="C23" s="195">
        <f>IF(OR(C21&lt;=0, C22&lt;=0),"N/A",C21-C22)</f>
        <v>-6607</v>
      </c>
      <c r="D23" s="195">
        <f t="shared" ref="D23:I23" si="0">IF(OR(D21&lt;=0, D22&lt;=0),"N/A",D21-D22)</f>
        <v>-6494</v>
      </c>
      <c r="E23" s="195" t="str">
        <f t="shared" si="0"/>
        <v>N/A</v>
      </c>
      <c r="F23" s="195">
        <f t="shared" si="0"/>
        <v>-7729</v>
      </c>
      <c r="G23" s="195">
        <f t="shared" si="0"/>
        <v>-8986</v>
      </c>
      <c r="I23" s="195">
        <f t="shared" si="0"/>
        <v>-963</v>
      </c>
    </row>
    <row r="25" spans="2:9" ht="17" thickBot="1" x14ac:dyDescent="0.25">
      <c r="B25" s="14" t="s">
        <v>245</v>
      </c>
      <c r="C25" s="14"/>
      <c r="D25" s="14"/>
      <c r="E25" s="14"/>
      <c r="F25" s="14"/>
      <c r="G25" s="14"/>
      <c r="I25" s="14"/>
    </row>
    <row r="26" spans="2:9" x14ac:dyDescent="0.2">
      <c r="B26" s="20" t="s">
        <v>100</v>
      </c>
      <c r="C26" s="175">
        <f>Statement!M121</f>
        <v>0.2115502616856163</v>
      </c>
      <c r="D26" s="175">
        <f>Statement!N121</f>
        <v>0.28243058716431496</v>
      </c>
      <c r="E26" s="175">
        <f>Statement!O121</f>
        <v>-0.37535392535392537</v>
      </c>
      <c r="F26" s="175">
        <f>Statement!P121</f>
        <v>3.0982437975389271E-2</v>
      </c>
      <c r="G26" s="175">
        <f>Statement!Q121</f>
        <v>0.22844989030980792</v>
      </c>
      <c r="I26" s="175">
        <f>Statement!AC121</f>
        <v>0.55906462547355829</v>
      </c>
    </row>
    <row r="27" spans="2:9" x14ac:dyDescent="0.2">
      <c r="B27" s="20" t="s">
        <v>101</v>
      </c>
      <c r="C27" s="214">
        <f>Statement!M122</f>
        <v>0.47078115176128738</v>
      </c>
      <c r="D27" s="214">
        <f>Statement!N122</f>
        <v>0.4640405533847291</v>
      </c>
      <c r="E27" s="214">
        <f>Statement!O122</f>
        <v>0.24185264730600431</v>
      </c>
      <c r="F27" s="214">
        <f>Statement!P122</f>
        <v>0.36174657139564365</v>
      </c>
      <c r="G27" s="214">
        <f>Statement!Q122</f>
        <v>0.45143602502475905</v>
      </c>
      <c r="I27" s="214">
        <f>Statement!AC122</f>
        <v>0.67312395609639708</v>
      </c>
    </row>
    <row r="28" spans="2:9" x14ac:dyDescent="0.2">
      <c r="B28" s="32" t="s">
        <v>102</v>
      </c>
      <c r="C28" s="176">
        <f>Statement!M123</f>
        <v>9.9593875851756192E-2</v>
      </c>
      <c r="D28" s="176">
        <f>Statement!N123</f>
        <v>0.1310592459605027</v>
      </c>
      <c r="E28" s="176">
        <f>Statement!O123</f>
        <v>-9.0780340523547179E-2</v>
      </c>
      <c r="F28" s="176">
        <f>Statement!P123</f>
        <v>1.1207790711075256E-2</v>
      </c>
      <c r="G28" s="176">
        <f>Statement!Q123</f>
        <v>0.1031305103988019</v>
      </c>
      <c r="I28" s="176">
        <f>Statement!AC123</f>
        <v>0.37631979241231212</v>
      </c>
    </row>
    <row r="29" spans="2:9" x14ac:dyDescent="0.2">
      <c r="B29" s="20" t="s">
        <v>103</v>
      </c>
      <c r="C29" s="214">
        <f>Statement!M124</f>
        <v>1.3395169917829421</v>
      </c>
      <c r="D29" s="214">
        <f>Statement!N124</f>
        <v>1.3281303223996634</v>
      </c>
      <c r="E29" s="214">
        <f>Statement!O124</f>
        <v>1.4563463281958295</v>
      </c>
      <c r="F29" s="214">
        <f>Statement!P124</f>
        <v>1.5381001972036958</v>
      </c>
      <c r="G29" s="214">
        <f>Statement!Q124</f>
        <v>1.5286254961691128</v>
      </c>
      <c r="I29" s="214">
        <f>Statement!AC124</f>
        <v>1.331480084190461</v>
      </c>
    </row>
    <row r="30" spans="2:9" x14ac:dyDescent="0.2">
      <c r="B30" s="32" t="s">
        <v>104</v>
      </c>
      <c r="C30" s="176">
        <f>Statement!M125</f>
        <v>0.13340768898094826</v>
      </c>
      <c r="D30" s="176">
        <f>Statement!N125</f>
        <v>0.17406375859097922</v>
      </c>
      <c r="E30" s="176">
        <f>Statement!O125</f>
        <v>-0.13220761559383501</v>
      </c>
      <c r="F30" s="176">
        <f>Statement!P125</f>
        <v>1.7238705102922601E-2</v>
      </c>
      <c r="G30" s="176">
        <f>Statement!Q125</f>
        <v>0.15764792762854241</v>
      </c>
      <c r="I30" s="176">
        <f>Statement!AC125</f>
        <v>0.50106230888368219</v>
      </c>
    </row>
    <row r="32" spans="2:9" ht="17" thickBot="1" x14ac:dyDescent="0.25">
      <c r="B32" s="14" t="s">
        <v>305</v>
      </c>
      <c r="C32" s="14"/>
      <c r="D32" s="14"/>
      <c r="E32" s="14"/>
      <c r="F32" s="14"/>
      <c r="G32" s="14"/>
      <c r="I32" s="14"/>
    </row>
    <row r="33" spans="2:9" x14ac:dyDescent="0.2">
      <c r="B33" s="20" t="s">
        <v>102</v>
      </c>
      <c r="C33" s="175">
        <f>C28</f>
        <v>9.9593875851756192E-2</v>
      </c>
      <c r="D33" s="175">
        <f t="shared" ref="D33:G33" si="1">D28</f>
        <v>0.1310592459605027</v>
      </c>
      <c r="E33" s="175">
        <f t="shared" si="1"/>
        <v>-9.0780340523547179E-2</v>
      </c>
      <c r="F33" s="175">
        <f t="shared" si="1"/>
        <v>1.1207790711075256E-2</v>
      </c>
      <c r="G33" s="175">
        <f t="shared" si="1"/>
        <v>0.1031305103988019</v>
      </c>
      <c r="I33" s="175">
        <f>I28</f>
        <v>0.37631979241231212</v>
      </c>
    </row>
    <row r="34" spans="2:9" x14ac:dyDescent="0.2">
      <c r="B34" s="20" t="s">
        <v>104</v>
      </c>
      <c r="C34" s="175">
        <f>C30</f>
        <v>0.13340768898094826</v>
      </c>
      <c r="D34" s="175">
        <f t="shared" ref="D34:G34" si="2">D30</f>
        <v>0.17406375859097922</v>
      </c>
      <c r="E34" s="175">
        <f t="shared" si="2"/>
        <v>-0.13220761559383501</v>
      </c>
      <c r="F34" s="175">
        <f t="shared" si="2"/>
        <v>1.7238705102922601E-2</v>
      </c>
      <c r="G34" s="175">
        <f t="shared" si="2"/>
        <v>0.15764792762854241</v>
      </c>
      <c r="I34" s="175">
        <f>I30</f>
        <v>0.50106230888368219</v>
      </c>
    </row>
    <row r="35" spans="2:9" x14ac:dyDescent="0.2">
      <c r="B35" s="20" t="s">
        <v>105</v>
      </c>
      <c r="C35" s="175">
        <f>Statement!M140</f>
        <v>0.14598698400731994</v>
      </c>
      <c r="D35" s="175">
        <f>Statement!N140</f>
        <v>0.19203328862527738</v>
      </c>
      <c r="E35" s="175">
        <f>Statement!O140</f>
        <v>-0.12220284182761848</v>
      </c>
      <c r="F35" s="175">
        <f>Statement!P140</f>
        <v>1.6804167624861494E-2</v>
      </c>
      <c r="G35" s="175">
        <f>Statement!Q140</f>
        <v>0.15196448091538983</v>
      </c>
      <c r="I35" s="175">
        <f>Statement!AC140</f>
        <v>0.66314520207950856</v>
      </c>
    </row>
    <row r="37" spans="2:9" ht="17" thickBot="1" x14ac:dyDescent="0.25">
      <c r="B37" s="14" t="s">
        <v>250</v>
      </c>
      <c r="C37" s="14"/>
      <c r="D37" s="14"/>
      <c r="E37" s="14"/>
      <c r="F37" s="14"/>
      <c r="G37" s="14"/>
      <c r="I37" s="14"/>
    </row>
    <row r="38" spans="2:9" x14ac:dyDescent="0.2">
      <c r="B38" s="20" t="s">
        <v>139</v>
      </c>
      <c r="C38" s="174">
        <f>Statement!M141</f>
        <v>69.969861035914093</v>
      </c>
      <c r="D38" s="174">
        <f>Statement!N141</f>
        <v>60.876845048442682</v>
      </c>
      <c r="E38" s="174">
        <f>Statement!O141</f>
        <v>57.380630630630634</v>
      </c>
      <c r="F38" s="174">
        <f>Statement!P141</f>
        <v>96.152084743737802</v>
      </c>
      <c r="G38" s="174">
        <f>Statement!Q141</f>
        <v>90.473674353898005</v>
      </c>
      <c r="I38" s="174">
        <f>Statement!AC141</f>
        <v>125.44171079159004</v>
      </c>
    </row>
    <row r="39" spans="2:9" x14ac:dyDescent="0.2">
      <c r="B39" s="20" t="s">
        <v>140</v>
      </c>
      <c r="C39" s="174">
        <f>Statement!M142</f>
        <v>94.766520078694597</v>
      </c>
      <c r="D39" s="174">
        <f>Statement!N142</f>
        <v>144.24644128113877</v>
      </c>
      <c r="E39" s="174">
        <f>Statement!O142</f>
        <v>180.5411063930172</v>
      </c>
      <c r="F39" s="174">
        <f>Statement!P142</f>
        <v>166.13883475228226</v>
      </c>
      <c r="G39" s="174">
        <f>Statement!Q142</f>
        <v>135.5065540990891</v>
      </c>
      <c r="I39" s="174">
        <f>Statement!AC142</f>
        <v>126.27528974679967</v>
      </c>
    </row>
    <row r="40" spans="2:9" x14ac:dyDescent="0.2">
      <c r="B40" s="20" t="s">
        <v>141</v>
      </c>
      <c r="C40" s="174">
        <f>Statement!M143</f>
        <v>112.46528179608841</v>
      </c>
      <c r="D40" s="174">
        <f>Statement!N143</f>
        <v>131.84163701067615</v>
      </c>
      <c r="E40" s="174">
        <f>Statement!O143</f>
        <v>85.201108752064172</v>
      </c>
      <c r="F40" s="174">
        <f>Statement!P143</f>
        <v>136.63632167401784</v>
      </c>
      <c r="G40" s="174">
        <f>Statement!Q143</f>
        <v>156.4934459009109</v>
      </c>
      <c r="I40" s="174">
        <f>Statement!AC143</f>
        <v>228.77539070387272</v>
      </c>
    </row>
    <row r="41" spans="2:9" x14ac:dyDescent="0.2">
      <c r="B41" s="20" t="s">
        <v>142</v>
      </c>
      <c r="C41" s="174">
        <f>Statement!M144</f>
        <v>52.271099318520285</v>
      </c>
      <c r="D41" s="174">
        <f>Statement!N144</f>
        <v>73.281649318905295</v>
      </c>
      <c r="E41" s="174">
        <f>Statement!O144</f>
        <v>152.72062827158368</v>
      </c>
      <c r="F41" s="174">
        <f>Statement!P144</f>
        <v>125.65459782200224</v>
      </c>
      <c r="G41" s="174">
        <f>Statement!Q144</f>
        <v>69.486782552076193</v>
      </c>
      <c r="I41" s="174">
        <f>Statement!AC144</f>
        <v>22.941609834516981</v>
      </c>
    </row>
    <row r="43" spans="2:9" ht="17" thickBot="1" x14ac:dyDescent="0.25">
      <c r="B43" s="14" t="s">
        <v>256</v>
      </c>
      <c r="C43" s="14"/>
      <c r="D43" s="14"/>
      <c r="E43" s="14"/>
      <c r="F43" s="14"/>
      <c r="G43" s="14"/>
      <c r="I43" s="14"/>
    </row>
    <row r="44" spans="2:9" x14ac:dyDescent="0.2">
      <c r="B44" s="20" t="s">
        <v>257</v>
      </c>
      <c r="C44" s="180">
        <f>Statement!M145</f>
        <v>0.15423485762410943</v>
      </c>
      <c r="D44" s="180">
        <f>Statement!N145</f>
        <v>0.13837738193039054</v>
      </c>
      <c r="E44" s="180">
        <f>Statement!O145</f>
        <v>0.30213055303717135</v>
      </c>
      <c r="F44" s="180">
        <f>Statement!P145</f>
        <v>0.29684695663734462</v>
      </c>
      <c r="G44" s="180">
        <f>Statement!Q145</f>
        <v>0.26912212683467185</v>
      </c>
      <c r="I44" s="180">
        <f>Statement!AC145</f>
        <v>5.6808704975973949E-2</v>
      </c>
    </row>
    <row r="45" spans="2:9" x14ac:dyDescent="0.2">
      <c r="B45" s="20" t="s">
        <v>258</v>
      </c>
      <c r="C45" s="180">
        <f>Statement!M146</f>
        <v>-8.2443721120797578E-2</v>
      </c>
      <c r="D45" s="180">
        <f>Statement!N146</f>
        <v>-8.1591760674855227E-2</v>
      </c>
      <c r="E45" s="180">
        <f>Statement!O146</f>
        <v>6.554850407978241E-2</v>
      </c>
      <c r="F45" s="180">
        <f>Statement!P146</f>
        <v>9.4059515632270496E-2</v>
      </c>
      <c r="G45" s="180">
        <f>Statement!Q146</f>
        <v>4.8758423336102648E-2</v>
      </c>
      <c r="I45" s="180">
        <f>Statement!AC146</f>
        <v>-0.24230570668361065</v>
      </c>
    </row>
    <row r="46" spans="2:9" x14ac:dyDescent="0.2">
      <c r="B46" s="20" t="s">
        <v>252</v>
      </c>
      <c r="C46" s="180">
        <f>Statement!M147</f>
        <v>2.4453611457036115</v>
      </c>
      <c r="D46" s="180">
        <f>Statement!N147</f>
        <v>2.1366228942830614</v>
      </c>
      <c r="E46" s="180">
        <f>Statement!O147</f>
        <v>2.7032528856243441</v>
      </c>
      <c r="F46" s="180">
        <f>Statement!P147</f>
        <v>1.704909169550173</v>
      </c>
      <c r="G46" s="180">
        <f>Statement!Q147</f>
        <v>1.8509690937663699</v>
      </c>
      <c r="I46" s="180">
        <f>Statement!AC147</f>
        <v>3.1379823481116587</v>
      </c>
    </row>
    <row r="47" spans="2:9" x14ac:dyDescent="0.2">
      <c r="B47" s="20" t="s">
        <v>253</v>
      </c>
      <c r="C47" s="180">
        <f>Statement!M148</f>
        <v>3.0988480697384806</v>
      </c>
      <c r="D47" s="180">
        <f>Statement!N148</f>
        <v>2.88910996153336</v>
      </c>
      <c r="E47" s="180">
        <f>Statement!O148</f>
        <v>4.4583420776495277</v>
      </c>
      <c r="F47" s="180">
        <f>Statement!P148</f>
        <v>2.6353806228373702</v>
      </c>
      <c r="G47" s="180">
        <f>Statement!Q148</f>
        <v>2.5179849834119086</v>
      </c>
      <c r="I47" s="180">
        <f>Statement!AC148</f>
        <v>3.4245176518883413</v>
      </c>
    </row>
    <row r="48" spans="2:9" x14ac:dyDescent="0.2">
      <c r="B48" s="20" t="s">
        <v>259</v>
      </c>
      <c r="C48" s="182">
        <f>Statement!M149</f>
        <v>43.034246575342465</v>
      </c>
      <c r="D48" s="182">
        <f>Statement!N149</f>
        <v>104.3225806451613</v>
      </c>
      <c r="E48" s="182" t="str">
        <f>Statement!O149</f>
        <v>N/A</v>
      </c>
      <c r="F48" s="182">
        <f>Statement!P149</f>
        <v>39.515151515151516</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6.1689870379260686E-2</v>
      </c>
      <c r="D51" s="175">
        <f>Statement!N162</f>
        <v>0.13522945384749607</v>
      </c>
      <c r="E51" s="175">
        <f>Statement!O162</f>
        <v>-7.8425613159054192E-2</v>
      </c>
      <c r="F51" s="175">
        <f>Statement!P162</f>
        <v>7.3244742073872559E-3</v>
      </c>
      <c r="G51" s="175">
        <f>Statement!Q162</f>
        <v>6.221311475409836E-2</v>
      </c>
      <c r="I51" s="175">
        <f ca="1">Statement!AC162</f>
        <v>4.0828637392986589E-2</v>
      </c>
    </row>
    <row r="52" spans="2:9" x14ac:dyDescent="0.2">
      <c r="B52" s="20" t="s">
        <v>269</v>
      </c>
      <c r="C52" s="175">
        <f>Statement!M161</f>
        <v>2.1687680555204626E-2</v>
      </c>
      <c r="D52" s="175">
        <f>Statement!N161</f>
        <v>4.1355789102654132E-2</v>
      </c>
      <c r="E52" s="175">
        <f>Statement!O161</f>
        <v>-8.9790620525014964E-2</v>
      </c>
      <c r="F52" s="175">
        <f>Statement!P161</f>
        <v>-6.6399613390116198E-3</v>
      </c>
      <c r="G52" s="175">
        <f>Statement!Q161</f>
        <v>5.0441361916771753E-3</v>
      </c>
      <c r="I52" s="175">
        <f ca="1">Statement!AC161</f>
        <v>2.0138940781869057E-2</v>
      </c>
    </row>
    <row r="53" spans="2:9" x14ac:dyDescent="0.2">
      <c r="B53" s="20" t="s">
        <v>267</v>
      </c>
      <c r="C53" s="175">
        <f>Statement!M163</f>
        <v>1.2001920307249162E-3</v>
      </c>
      <c r="D53" s="175">
        <f>Statement!N163</f>
        <v>5.4964229628337111E-3</v>
      </c>
      <c r="E53" s="175">
        <f>Statement!O163</f>
        <v>6.7557644294316344E-3</v>
      </c>
      <c r="F53" s="175">
        <f>Statement!P163</f>
        <v>4.8132259077116255E-3</v>
      </c>
      <c r="G53" s="175">
        <f>Statement!Q163</f>
        <v>3.7704918032786887E-3</v>
      </c>
      <c r="I53" s="175">
        <f ca="1">Statement!AC163</f>
        <v>4.8990667462718801E-4</v>
      </c>
    </row>
    <row r="54" spans="2:9" x14ac:dyDescent="0.2">
      <c r="B54" s="20" t="s">
        <v>292</v>
      </c>
      <c r="C54" s="175">
        <f>Statement!M164</f>
        <v>1.362323234875475E-2</v>
      </c>
      <c r="D54" s="175">
        <f>Statement!N164</f>
        <v>4.0671827975187161E-2</v>
      </c>
      <c r="E54" s="175">
        <f>Statement!O164</f>
        <v>5.6846437841697245E-3</v>
      </c>
      <c r="F54" s="175">
        <f>Statement!P164</f>
        <v>2.7977365192464691E-3</v>
      </c>
      <c r="G54" s="175">
        <f>Statement!Q164</f>
        <v>0</v>
      </c>
      <c r="I54" s="175">
        <f ca="1">Statement!AC164</f>
        <v>9.0499405468027409E-4</v>
      </c>
    </row>
    <row r="55" spans="2:9" x14ac:dyDescent="0.2">
      <c r="B55" s="20" t="s">
        <v>294</v>
      </c>
      <c r="C55" s="175">
        <f>Statement!M165</f>
        <v>1.362323234875475E-2</v>
      </c>
      <c r="D55" s="175">
        <f>Statement!N165</f>
        <v>4.8004527504542378E-2</v>
      </c>
      <c r="E55" s="175">
        <f>Statement!O165</f>
        <v>1.2425962530573351E-2</v>
      </c>
      <c r="F55" s="175">
        <f>Statement!P165</f>
        <v>7.5818659671579311E-3</v>
      </c>
      <c r="G55" s="175">
        <f>Statement!Q165</f>
        <v>3.7831021437578815E-3</v>
      </c>
      <c r="I55" s="175">
        <f ca="1">Statement!AC165</f>
        <v>1.3623306224197708E-3</v>
      </c>
    </row>
    <row r="57" spans="2:9" ht="17" thickBot="1" x14ac:dyDescent="0.25">
      <c r="B57" s="14" t="s">
        <v>271</v>
      </c>
      <c r="C57" s="14"/>
      <c r="D57" s="14"/>
      <c r="E57" s="14"/>
      <c r="F57" s="14"/>
      <c r="G57" s="14"/>
      <c r="I57" s="14"/>
    </row>
    <row r="58" spans="2:9" x14ac:dyDescent="0.2">
      <c r="B58" s="20" t="s">
        <v>270</v>
      </c>
      <c r="C58" s="175">
        <f>Statement!M168</f>
        <v>0</v>
      </c>
      <c r="D58" s="175">
        <f>Statement!N168</f>
        <v>0.17730769230769231</v>
      </c>
      <c r="E58" s="175">
        <f>Statement!O168</f>
        <v>-7.5078206465067784E-2</v>
      </c>
      <c r="F58" s="175">
        <f>Statement!P168</f>
        <v>-0.7205056179775281</v>
      </c>
      <c r="G58" s="175">
        <f>Statement!Q168</f>
        <v>0.75</v>
      </c>
      <c r="I58" s="175">
        <f>Statement!AC168</f>
        <v>2.2709067606536366E-2</v>
      </c>
    </row>
    <row r="59" spans="2:9" x14ac:dyDescent="0.2">
      <c r="B59" s="20" t="s">
        <v>272</v>
      </c>
      <c r="C59" s="175">
        <f>Statement!M169</f>
        <v>0.62815533980582527</v>
      </c>
      <c r="D59" s="175">
        <f>Statement!N169</f>
        <v>0.9834615384615385</v>
      </c>
      <c r="E59" s="175">
        <f>Statement!O169</f>
        <v>-6.3309995531059135E-2</v>
      </c>
      <c r="F59" s="175">
        <f>Statement!P169</f>
        <v>-0.42134831460674155</v>
      </c>
      <c r="G59" s="175">
        <f>Statement!Q169</f>
        <v>0</v>
      </c>
      <c r="I59" s="175">
        <f>Statement!AC169</f>
        <v>4.493752002563281E-2</v>
      </c>
    </row>
    <row r="60" spans="2:9" x14ac:dyDescent="0.2">
      <c r="B60" s="20" t="s">
        <v>273</v>
      </c>
      <c r="C60" s="175">
        <f>Statement!M170</f>
        <v>0.62815533980582527</v>
      </c>
      <c r="D60" s="175">
        <f>Statement!N170</f>
        <v>1.1607692307692308</v>
      </c>
      <c r="E60" s="175">
        <f>Statement!O170</f>
        <v>-0.13838820199612692</v>
      </c>
      <c r="F60" s="175">
        <f>Statement!P170</f>
        <v>-1.1418539325842696</v>
      </c>
      <c r="G60" s="175">
        <f>Statement!Q170</f>
        <v>0.75</v>
      </c>
      <c r="I60" s="175">
        <f>Statement!AC170</f>
        <v>6.7646587632169172E-2</v>
      </c>
    </row>
    <row r="62" spans="2:9" ht="17" thickBot="1" x14ac:dyDescent="0.25">
      <c r="B62" s="14" t="s">
        <v>279</v>
      </c>
      <c r="C62" s="14"/>
      <c r="D62" s="14"/>
      <c r="E62" s="14"/>
      <c r="F62" s="14"/>
      <c r="G62" s="14"/>
      <c r="I62" s="14"/>
    </row>
    <row r="63" spans="2:9" x14ac:dyDescent="0.2">
      <c r="B63" s="20" t="s">
        <v>277</v>
      </c>
      <c r="C63" s="175">
        <f>Statement!M171</f>
        <v>3.5087719298245615E-3</v>
      </c>
      <c r="D63" s="175">
        <f>Statement!N171</f>
        <v>3.6463081130355514E-3</v>
      </c>
      <c r="E63" s="175">
        <f>Statement!O171</f>
        <v>3.6429872495446266E-3</v>
      </c>
      <c r="F63" s="175">
        <f>Statement!P171</f>
        <v>2.6737967914438501E-3</v>
      </c>
      <c r="G63" s="175">
        <f>Statement!Q171</f>
        <v>2.6525198938992041E-3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9.2922252010723856</v>
      </c>
      <c r="D66" s="174">
        <f>Statement!N172</f>
        <v>10.09935602575897</v>
      </c>
      <c r="E66" s="174">
        <f>Statement!O172</f>
        <v>9.5063752276867035</v>
      </c>
      <c r="F66" s="174">
        <f>Statement!P172</f>
        <v>8.252479711451759</v>
      </c>
      <c r="G66" s="174">
        <f>Statement!Q172</f>
        <v>10.638146167557933</v>
      </c>
      <c r="I66" s="174">
        <f>Statement!AC172</f>
        <v>26.685562444641274</v>
      </c>
    </row>
    <row r="67" spans="2:9" x14ac:dyDescent="0.2">
      <c r="B67" s="20" t="s">
        <v>286</v>
      </c>
      <c r="C67" s="174">
        <f>Statement!M175</f>
        <v>3.2368185880250224</v>
      </c>
      <c r="D67" s="174">
        <f>Statement!N175</f>
        <v>3.7460901563937443</v>
      </c>
      <c r="E67" s="174">
        <f>Statement!O175</f>
        <v>-2.6338797814207648</v>
      </c>
      <c r="F67" s="174">
        <f>Statement!P175</f>
        <v>-3.8277727682596936</v>
      </c>
      <c r="G67" s="174">
        <f>Statement!Q175</f>
        <v>-2.3538324420677363</v>
      </c>
      <c r="I67" s="174">
        <f>Statement!AC175</f>
        <v>21.617360496014172</v>
      </c>
    </row>
    <row r="68" spans="2:9" x14ac:dyDescent="0.2">
      <c r="B68" s="20" t="s">
        <v>291</v>
      </c>
      <c r="C68" s="196">
        <f>Statement!M176</f>
        <v>3.8132416976189881E-2</v>
      </c>
      <c r="D68" s="196">
        <f>Statement!N176</f>
        <v>6.4769528163849094E-2</v>
      </c>
      <c r="E68" s="196">
        <f>Statement!O176</f>
        <v>-3.8682328997220808E-2</v>
      </c>
      <c r="F68" s="196">
        <f>Statement!P176</f>
        <v>-3.9587971747337539E-2</v>
      </c>
      <c r="G68" s="196">
        <f>Statement!Q176</f>
        <v>-1.9140177704338249E-2</v>
      </c>
      <c r="I68" s="196">
        <f ca="1">Statement!AC176</f>
        <v>1.9685637164462363E-2</v>
      </c>
    </row>
    <row r="70" spans="2:9" ht="17" thickBot="1" x14ac:dyDescent="0.25">
      <c r="B70" s="14" t="s">
        <v>306</v>
      </c>
      <c r="C70" s="14"/>
      <c r="D70" s="14"/>
      <c r="E70" s="14"/>
      <c r="F70" s="14"/>
      <c r="G70" s="14"/>
      <c r="I70" s="14"/>
    </row>
    <row r="71" spans="2:9" x14ac:dyDescent="0.2">
      <c r="B71" s="20" t="s">
        <v>280</v>
      </c>
      <c r="C71" s="175">
        <f>Statement!M173</f>
        <v>3.0317613089509143E-2</v>
      </c>
      <c r="D71" s="175">
        <f>Statement!N173</f>
        <v>3.3858112113826493E-2</v>
      </c>
      <c r="E71" s="175">
        <f>Statement!O173</f>
        <v>0.38229634381013472</v>
      </c>
      <c r="F71" s="175">
        <f>Statement!P173</f>
        <v>9.7919360526625129E-2</v>
      </c>
      <c r="G71" s="175">
        <f>Statement!Q173</f>
        <v>5.5463623395149785E-2</v>
      </c>
      <c r="I71" s="175">
        <f>Statement!AC173</f>
        <v>2.3409550474412816E-2</v>
      </c>
    </row>
    <row r="72" spans="2:9" x14ac:dyDescent="0.2">
      <c r="B72" s="20" t="s">
        <v>281</v>
      </c>
      <c r="C72" s="175">
        <f>Statement!M174</f>
        <v>1.3643746616134272E-2</v>
      </c>
      <c r="D72" s="175">
        <f>Statement!N174</f>
        <v>1.6711099551336237E-2</v>
      </c>
      <c r="E72" s="175">
        <f>Statement!O174</f>
        <v>3.835263835263835E-2</v>
      </c>
      <c r="F72" s="175">
        <f>Statement!P174</f>
        <v>3.3172713153598023E-2</v>
      </c>
      <c r="G72" s="175">
        <f>Statement!Q174</f>
        <v>2.600460163732677E-2</v>
      </c>
      <c r="I72" s="175">
        <f>Statement!AC174</f>
        <v>1.3337173494029289E-2</v>
      </c>
    </row>
    <row r="74" spans="2:9" ht="17" thickBot="1" x14ac:dyDescent="0.25">
      <c r="B74" s="14" t="s">
        <v>307</v>
      </c>
      <c r="C74" s="14"/>
      <c r="D74" s="14"/>
      <c r="E74" s="14"/>
      <c r="F74" s="14"/>
      <c r="G74" s="14"/>
      <c r="I74" s="14"/>
    </row>
    <row r="75" spans="2:9" x14ac:dyDescent="0.2">
      <c r="B75" s="20" t="s">
        <v>304</v>
      </c>
      <c r="C75" s="175">
        <f>Statement!M177</f>
        <v>0.36202851470853636</v>
      </c>
      <c r="D75" s="175">
        <f>Statement!N177</f>
        <v>0.39232069705442485</v>
      </c>
      <c r="E75" s="175">
        <f>Statement!O177</f>
        <v>0.49395109395109393</v>
      </c>
      <c r="F75" s="175">
        <f>Statement!P177</f>
        <v>0.33395722989924737</v>
      </c>
      <c r="G75" s="175">
        <f>Statement!Q177</f>
        <v>0.42423350634062817</v>
      </c>
      <c r="I75" s="175">
        <f>Statement!AC177</f>
        <v>0.27981478609566429</v>
      </c>
    </row>
    <row r="76" spans="2:9" x14ac:dyDescent="0.2">
      <c r="B76" s="20" t="s">
        <v>301</v>
      </c>
      <c r="C76" s="175">
        <f>Statement!M178</f>
        <v>0.80445941610522942</v>
      </c>
      <c r="D76" s="175">
        <f>Statement!N178</f>
        <v>0.79487517291351029</v>
      </c>
      <c r="E76" s="175">
        <f>Statement!O178</f>
        <v>4.9236690186016681</v>
      </c>
      <c r="F76" s="175">
        <f>Statement!P178</f>
        <v>0.98577641941930172</v>
      </c>
      <c r="G76" s="175">
        <f>Statement!Q178</f>
        <v>0.90482168330955781</v>
      </c>
      <c r="I76" s="175">
        <f>Statement!AC178</f>
        <v>0.49113392440503967</v>
      </c>
    </row>
    <row r="77" spans="2:9" x14ac:dyDescent="0.2">
      <c r="B77" s="20" t="s">
        <v>302</v>
      </c>
      <c r="C77" s="175">
        <f>Statement!M179</f>
        <v>1.6140971998712585</v>
      </c>
      <c r="D77" s="175">
        <f>Statement!N179</f>
        <v>1.6957560427206295</v>
      </c>
      <c r="E77" s="175">
        <f>Statement!O179</f>
        <v>0.98968540484785972</v>
      </c>
      <c r="F77" s="175">
        <f>Statement!P179</f>
        <v>1.0778920308483291</v>
      </c>
      <c r="G77" s="175">
        <f>Statement!Q179</f>
        <v>1.8985871647509578</v>
      </c>
      <c r="I77" s="175">
        <f>Statement!AC179</f>
        <v>2.8032404838530685</v>
      </c>
    </row>
    <row r="79" spans="2:9" ht="17" thickBot="1" x14ac:dyDescent="0.25">
      <c r="B79" s="14" t="s">
        <v>122</v>
      </c>
      <c r="C79" s="14"/>
      <c r="D79" s="14"/>
      <c r="E79" s="14"/>
      <c r="F79" s="14"/>
      <c r="G79" s="14"/>
      <c r="I79" s="14"/>
    </row>
    <row r="80" spans="2:9" x14ac:dyDescent="0.2">
      <c r="B80" s="20" t="s">
        <v>19</v>
      </c>
      <c r="C80" s="175">
        <f>Statement!M89</f>
        <v>1</v>
      </c>
      <c r="D80" s="175">
        <f>Statement!N89</f>
        <v>0.11019671539433315</v>
      </c>
      <c r="E80" s="175">
        <f>Statement!O89</f>
        <v>-0.49476558944014565</v>
      </c>
      <c r="F80" s="175">
        <f>Statement!P89</f>
        <v>0.61589446589446595</v>
      </c>
      <c r="G80" s="175">
        <f>Statement!Q89</f>
        <v>0.48851101111066864</v>
      </c>
      <c r="I80" s="197"/>
    </row>
    <row r="81" spans="2:9" x14ac:dyDescent="0.2">
      <c r="B81" s="20" t="s">
        <v>20</v>
      </c>
      <c r="C81" s="175">
        <f>Statement!M90</f>
        <v>1</v>
      </c>
      <c r="D81" s="175">
        <f>Statement!N90</f>
        <v>-2.4418470084480962E-2</v>
      </c>
      <c r="E81" s="175">
        <f>Statement!O90</f>
        <v>5.6939501779359435E-3</v>
      </c>
      <c r="F81" s="175">
        <f>Statement!P90</f>
        <v>0.14991743335692381</v>
      </c>
      <c r="G81" s="175">
        <f>Statement!Q90</f>
        <v>0.15422094573802442</v>
      </c>
      <c r="I81" s="197"/>
    </row>
    <row r="82" spans="2:9" x14ac:dyDescent="0.2">
      <c r="B82" s="20" t="s">
        <v>21</v>
      </c>
      <c r="C82" s="175">
        <f>Statement!M91</f>
        <v>1</v>
      </c>
      <c r="D82" s="175">
        <f>Statement!N91</f>
        <v>0.33339729444497745</v>
      </c>
      <c r="E82" s="175">
        <f>Statement!O91</f>
        <v>-1.1018851633328537</v>
      </c>
      <c r="F82" s="175">
        <f>Statement!P91</f>
        <v>4.9639830508474576</v>
      </c>
      <c r="G82" s="175">
        <f>Statement!Q91</f>
        <v>1.6497416711206128</v>
      </c>
      <c r="I82" s="197"/>
    </row>
    <row r="83" spans="2:9" x14ac:dyDescent="0.2">
      <c r="B83" s="20" t="s">
        <v>24</v>
      </c>
      <c r="C83" s="175">
        <f>Statement!M95</f>
        <v>1</v>
      </c>
      <c r="D83" s="175">
        <f>Statement!N95</f>
        <v>1.3526570048309179E-2</v>
      </c>
      <c r="E83" s="175">
        <f>Statement!O95</f>
        <v>3.169685414680648E-2</v>
      </c>
      <c r="F83" s="175">
        <f>Statement!P95</f>
        <v>-4.6200046200046202E-3</v>
      </c>
      <c r="G83" s="175">
        <f>Statement!Q95</f>
        <v>0.18426549083313995</v>
      </c>
      <c r="I83" s="197"/>
    </row>
    <row r="84" spans="2:9" x14ac:dyDescent="0.2">
      <c r="B84" s="20" t="s">
        <v>308</v>
      </c>
      <c r="C84" s="175">
        <f>Statement!M96</f>
        <v>1</v>
      </c>
      <c r="D84" s="175">
        <f>Statement!N96</f>
        <v>0.54416679929969758</v>
      </c>
      <c r="E84" s="175">
        <f>Statement!O96</f>
        <v>-1.5921459492888064</v>
      </c>
      <c r="F84" s="175">
        <f>Statement!P96</f>
        <v>1.2269799825935597</v>
      </c>
      <c r="G84" s="175">
        <f>Statement!Q96</f>
        <v>6.492331288343558</v>
      </c>
      <c r="I84" s="197"/>
    </row>
    <row r="85" spans="2:9" x14ac:dyDescent="0.2">
      <c r="B85" s="20" t="s">
        <v>309</v>
      </c>
      <c r="C85" s="175">
        <f>Statement!M98</f>
        <v>1</v>
      </c>
      <c r="D85" s="175">
        <f>Statement!N98</f>
        <v>0.48217027810953761</v>
      </c>
      <c r="E85" s="175">
        <f>Statement!O98</f>
        <v>-1.6714631057902614</v>
      </c>
      <c r="F85" s="175">
        <f>Statement!P98</f>
        <v>1.1333790502314418</v>
      </c>
      <c r="G85" s="175">
        <f>Statement!Q98</f>
        <v>9.9755784061696655</v>
      </c>
      <c r="I85" s="197"/>
    </row>
    <row r="88" spans="2:9" ht="17" thickBot="1" x14ac:dyDescent="0.25">
      <c r="B88" s="14" t="s">
        <v>310</v>
      </c>
      <c r="C88" s="14"/>
      <c r="D88" s="14"/>
      <c r="E88" s="14"/>
      <c r="F88" s="14"/>
      <c r="G88" s="14"/>
      <c r="I88" s="14"/>
    </row>
    <row r="89" spans="2:9" x14ac:dyDescent="0.2">
      <c r="B89" s="20" t="str">
        <f>Statement!B203</f>
        <v>DRAM</v>
      </c>
      <c r="C89" s="175">
        <f>Statement!M203</f>
        <v>1</v>
      </c>
      <c r="D89" s="175">
        <f>Statement!N203</f>
        <v>0.11712161285493287</v>
      </c>
      <c r="E89" s="175">
        <f>Statement!O203</f>
        <v>-0.5096042169212901</v>
      </c>
      <c r="F89" s="175">
        <f>Statement!P203</f>
        <v>0.60347968664601936</v>
      </c>
      <c r="G89" s="175">
        <f>Statement!Q203</f>
        <v>0.62347327160143162</v>
      </c>
      <c r="I89" s="197"/>
    </row>
    <row r="90" spans="2:9" x14ac:dyDescent="0.2">
      <c r="B90" s="20" t="str">
        <f>Statement!B204</f>
        <v>NAND</v>
      </c>
      <c r="C90" s="175">
        <f>Statement!M204</f>
        <v>1</v>
      </c>
      <c r="D90" s="175">
        <f>Statement!N204</f>
        <v>0.11474240045668617</v>
      </c>
      <c r="E90" s="175">
        <f>Statement!O204</f>
        <v>-0.46152861349379082</v>
      </c>
      <c r="F90" s="175">
        <f>Statement!P204</f>
        <v>0.71825962910128383</v>
      </c>
      <c r="G90" s="175">
        <f>Statement!Q204</f>
        <v>0.17656012176560121</v>
      </c>
      <c r="I90" s="197"/>
    </row>
    <row r="91" spans="2:9" x14ac:dyDescent="0.2">
      <c r="B91" s="20" t="str">
        <f>Statement!B205</f>
        <v>Other</v>
      </c>
      <c r="C91" s="175">
        <f>Statement!M205</f>
        <v>1</v>
      </c>
      <c r="D91" s="175">
        <f>Statement!N205</f>
        <v>-0.14871016691957512</v>
      </c>
      <c r="E91" s="175">
        <f>Statement!O205</f>
        <v>-0.36541889483065954</v>
      </c>
      <c r="F91" s="175">
        <f>Statement!P205</f>
        <v>-0.21067415730337077</v>
      </c>
      <c r="G91" s="175">
        <f>Statement!Q205</f>
        <v>5.6939501779359428E-2</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0</v>
      </c>
      <c r="E93" s="175">
        <f>Statement!O207</f>
        <v>1</v>
      </c>
      <c r="F93" s="175">
        <f>Statement!P207</f>
        <v>1.0256410256410255</v>
      </c>
      <c r="G93" s="175">
        <f>Statement!Q207</f>
        <v>2.5664556962025316</v>
      </c>
      <c r="I93" s="197"/>
    </row>
    <row r="94" spans="2:9" x14ac:dyDescent="0.2">
      <c r="B94" s="20" t="str">
        <f>Statement!B208</f>
        <v>Core Data Center</v>
      </c>
      <c r="C94" s="175">
        <f>Statement!M208</f>
        <v>0</v>
      </c>
      <c r="D94" s="175">
        <f>Statement!N208</f>
        <v>0</v>
      </c>
      <c r="E94" s="175">
        <f>Statement!O208</f>
        <v>1</v>
      </c>
      <c r="F94" s="175">
        <f>Statement!P208</f>
        <v>1.3465160075329567</v>
      </c>
      <c r="G94" s="175">
        <f>Statement!Q208</f>
        <v>0.4504414125200642</v>
      </c>
      <c r="I94" s="197"/>
    </row>
    <row r="95" spans="2:9" x14ac:dyDescent="0.2">
      <c r="B95" s="20" t="str">
        <f>Statement!B209</f>
        <v>Mobile and Client</v>
      </c>
      <c r="C95" s="175">
        <f>Statement!M209</f>
        <v>0</v>
      </c>
      <c r="D95" s="175">
        <f>Statement!N209</f>
        <v>0</v>
      </c>
      <c r="E95" s="175">
        <f>Statement!O209</f>
        <v>1</v>
      </c>
      <c r="F95" s="175">
        <f>Statement!P209</f>
        <v>0.57790100081146878</v>
      </c>
      <c r="G95" s="175">
        <f>Statement!Q209</f>
        <v>1.6456672666495243E-2</v>
      </c>
      <c r="I95" s="197"/>
    </row>
    <row r="96" spans="2:9" x14ac:dyDescent="0.2">
      <c r="B96" s="20" t="str">
        <f>Statement!B210</f>
        <v>Automotive and Embedded</v>
      </c>
      <c r="C96" s="175">
        <f>Statement!M210</f>
        <v>0</v>
      </c>
      <c r="D96" s="175">
        <f>Statement!N210</f>
        <v>0</v>
      </c>
      <c r="E96" s="175">
        <f>Statement!O210</f>
        <v>1</v>
      </c>
      <c r="F96" s="175">
        <f>Statement!P210</f>
        <v>0.11886929209954095</v>
      </c>
      <c r="G96" s="175">
        <f>Statement!Q210</f>
        <v>2.6344202116173613E-2</v>
      </c>
      <c r="I96" s="197"/>
    </row>
    <row r="98" spans="2:9" ht="17" thickBot="1" x14ac:dyDescent="0.25">
      <c r="B98" s="14" t="s">
        <v>312</v>
      </c>
      <c r="C98" s="14"/>
      <c r="D98" s="14"/>
      <c r="E98" s="14"/>
      <c r="F98" s="14"/>
      <c r="G98" s="14"/>
      <c r="I98" s="14"/>
    </row>
    <row r="99" spans="2:9" x14ac:dyDescent="0.2">
      <c r="B99" s="20" t="s">
        <v>284</v>
      </c>
      <c r="C99" s="175">
        <f>Statement!M214</f>
        <v>0</v>
      </c>
      <c r="D99" s="175">
        <f>Statement!N214</f>
        <v>-1</v>
      </c>
      <c r="E99" s="175">
        <f>Statement!O214</f>
        <v>9.3275488069414311E-2</v>
      </c>
      <c r="F99" s="175">
        <f>Statement!P214</f>
        <v>1.7857142857142856E-2</v>
      </c>
      <c r="G99" s="175">
        <f>Statement!Q214</f>
        <v>1.7543859649122806E-2</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313</v>
      </c>
      <c r="D3" s="247"/>
      <c r="F3" s="248" t="s">
        <v>314</v>
      </c>
      <c r="G3" s="247"/>
    </row>
    <row r="4" spans="2:7" x14ac:dyDescent="0.2">
      <c r="B4" s="8"/>
      <c r="C4" s="10" t="str">
        <f>Statement!Z2</f>
        <v>26.02.2026</v>
      </c>
      <c r="D4" s="203" t="str">
        <f>Statement!AA2</f>
        <v>28.05.2026</v>
      </c>
      <c r="F4" s="204" t="str">
        <f>Statement!W2</f>
        <v>29.05.2025</v>
      </c>
      <c r="G4" s="203" t="str">
        <f>Statement!AA2</f>
        <v>28.05.2026</v>
      </c>
    </row>
    <row r="5" spans="2:7" x14ac:dyDescent="0.2">
      <c r="B5" s="8" t="s">
        <v>319</v>
      </c>
      <c r="C5" s="10" t="str">
        <f>Statement!Z3</f>
        <v>Q2 2026</v>
      </c>
      <c r="D5" s="203" t="str">
        <f>Statement!AA3</f>
        <v>Q3 2026</v>
      </c>
      <c r="F5" s="204" t="str">
        <f>Statement!W3</f>
        <v>Q3 2025</v>
      </c>
      <c r="G5" s="203" t="str">
        <f>Statement!AA3</f>
        <v>Q3 2026</v>
      </c>
    </row>
    <row r="6" spans="2:7" x14ac:dyDescent="0.2">
      <c r="B6" s="205" t="s">
        <v>19</v>
      </c>
      <c r="C6" s="199">
        <f>Statement!Z5</f>
        <v>23860</v>
      </c>
      <c r="D6" s="198">
        <f>Statement!AA5</f>
        <v>41456</v>
      </c>
      <c r="F6" s="199">
        <f>Statement!W5</f>
        <v>9301</v>
      </c>
      <c r="G6" s="198">
        <f>Statement!AA5</f>
        <v>41456</v>
      </c>
    </row>
    <row r="7" spans="2:7" x14ac:dyDescent="0.2">
      <c r="B7" s="206" t="s">
        <v>315</v>
      </c>
      <c r="C7" s="244">
        <f>Statement!AA89</f>
        <v>0.73746856663872595</v>
      </c>
      <c r="D7" s="245"/>
      <c r="F7" s="244">
        <f>IF(F6=0,
IF(G6=0,0,IF(G6&gt;0,1,-1)),
(G6-F6)/ABS(F6)
)</f>
        <v>3.4571551446081066</v>
      </c>
      <c r="G7" s="245"/>
    </row>
    <row r="8" spans="2:7" x14ac:dyDescent="0.2">
      <c r="B8" s="207" t="s">
        <v>20</v>
      </c>
      <c r="C8" s="200">
        <f>Statement!Z6</f>
        <v>6105</v>
      </c>
      <c r="D8" s="198">
        <f>Statement!AA6</f>
        <v>6400</v>
      </c>
      <c r="F8" s="200">
        <f>Statement!W6</f>
        <v>5793</v>
      </c>
      <c r="G8" s="198">
        <f>Statement!AA6</f>
        <v>6400</v>
      </c>
    </row>
    <row r="9" spans="2:7" x14ac:dyDescent="0.2">
      <c r="B9" s="206" t="s">
        <v>315</v>
      </c>
      <c r="C9" s="244">
        <f>Statement!AA90</f>
        <v>4.8321048321048318E-2</v>
      </c>
      <c r="D9" s="245"/>
      <c r="F9" s="244">
        <f>IF(F8=0,
IF(G8=0,0,IF(G8&gt;0,1,-1)),
(G8-F8)/ABS(F8)
)</f>
        <v>0.10478163300535129</v>
      </c>
      <c r="G9" s="245"/>
    </row>
    <row r="10" spans="2:7" x14ac:dyDescent="0.2">
      <c r="B10" s="207" t="s">
        <v>21</v>
      </c>
      <c r="C10" s="200">
        <f>Statement!Z7</f>
        <v>17755</v>
      </c>
      <c r="D10" s="198">
        <f>Statement!AA7</f>
        <v>35056</v>
      </c>
      <c r="F10" s="200">
        <f>Statement!W7</f>
        <v>3508</v>
      </c>
      <c r="G10" s="198">
        <f>Statement!AA7</f>
        <v>35056</v>
      </c>
    </row>
    <row r="11" spans="2:7" x14ac:dyDescent="0.2">
      <c r="B11" s="206" t="s">
        <v>315</v>
      </c>
      <c r="C11" s="244">
        <f>Statement!AA91</f>
        <v>0.97442973810194311</v>
      </c>
      <c r="D11" s="245"/>
      <c r="F11" s="244">
        <f>IF(F10=0,
IF(G10=0,0,IF(G10&gt;0,1,-1)),
(G10-F10)/ABS(F10)
)</f>
        <v>8.9931584948688705</v>
      </c>
      <c r="G11" s="245"/>
    </row>
    <row r="12" spans="2:7" x14ac:dyDescent="0.2">
      <c r="B12" s="207" t="s">
        <v>24</v>
      </c>
      <c r="C12" s="200">
        <f>Statement!Z11</f>
        <v>1620</v>
      </c>
      <c r="D12" s="198">
        <f>Statement!AA11</f>
        <v>1738</v>
      </c>
      <c r="F12" s="200">
        <f>Statement!W11</f>
        <v>1339</v>
      </c>
      <c r="G12" s="198">
        <f>Statement!AA11</f>
        <v>1738</v>
      </c>
    </row>
    <row r="13" spans="2:7" x14ac:dyDescent="0.2">
      <c r="B13" s="206" t="s">
        <v>315</v>
      </c>
      <c r="C13" s="244">
        <f>Statement!AA95</f>
        <v>7.2839506172839505E-2</v>
      </c>
      <c r="D13" s="245"/>
      <c r="F13" s="244">
        <f>IF(F12=0,
IF(G12=0,0,IF(G12&gt;0,1,-1)),
(G12-F12)/ABS(F12)
)</f>
        <v>0.29798356982823004</v>
      </c>
      <c r="G13" s="245"/>
    </row>
    <row r="14" spans="2:7" x14ac:dyDescent="0.2">
      <c r="B14" s="207" t="s">
        <v>316</v>
      </c>
      <c r="C14" s="200">
        <f>Statement!Z12</f>
        <v>16135</v>
      </c>
      <c r="D14" s="198">
        <f>Statement!AA12</f>
        <v>33318</v>
      </c>
      <c r="F14" s="200">
        <f>Statement!W12</f>
        <v>2169</v>
      </c>
      <c r="G14" s="198">
        <f>Statement!AA12</f>
        <v>33318</v>
      </c>
    </row>
    <row r="15" spans="2:7" x14ac:dyDescent="0.2">
      <c r="B15" s="206" t="s">
        <v>315</v>
      </c>
      <c r="C15" s="244">
        <f>Statement!AA96</f>
        <v>1.0649519677719244</v>
      </c>
      <c r="D15" s="245"/>
      <c r="F15" s="244">
        <f>IF(F14=0,
IF(G14=0,0,IF(G14&gt;0,1,-1)),
(G14-F14)/ABS(F14)
)</f>
        <v>14.360995850622407</v>
      </c>
      <c r="G15" s="245"/>
    </row>
    <row r="16" spans="2:7" x14ac:dyDescent="0.2">
      <c r="B16" s="207" t="s">
        <v>30</v>
      </c>
      <c r="C16" s="200">
        <f>Statement!Z18</f>
        <v>13785</v>
      </c>
      <c r="D16" s="198">
        <f>Statement!AA18</f>
        <v>28243</v>
      </c>
      <c r="F16" s="200">
        <f>Statement!W18</f>
        <v>1885</v>
      </c>
      <c r="G16" s="198">
        <f>Statement!AA18</f>
        <v>28243</v>
      </c>
    </row>
    <row r="17" spans="2:7" x14ac:dyDescent="0.2">
      <c r="B17" s="206" t="s">
        <v>315</v>
      </c>
      <c r="C17" s="244">
        <f>Statement!AA98</f>
        <v>1.0488211824446863</v>
      </c>
      <c r="D17" s="245"/>
      <c r="F17" s="244">
        <f>IF(F16=0,
IF(G16=0,0,IF(G16&gt;0,1,-1)),
(G16-F16)/ABS(F16)
)</f>
        <v>13.983023872679045</v>
      </c>
      <c r="G17" s="245"/>
    </row>
    <row r="18" spans="2:7" x14ac:dyDescent="0.2">
      <c r="B18" s="207" t="s">
        <v>317</v>
      </c>
      <c r="C18" s="200">
        <f>Statement!Z22</f>
        <v>1142</v>
      </c>
      <c r="D18" s="198">
        <f>Statement!AA22</f>
        <v>1145</v>
      </c>
      <c r="F18" s="200">
        <f>Statement!W22</f>
        <v>1125</v>
      </c>
      <c r="G18" s="198">
        <f>Statement!AA22</f>
        <v>1145</v>
      </c>
    </row>
    <row r="19" spans="2:7" x14ac:dyDescent="0.2">
      <c r="B19" s="206" t="s">
        <v>315</v>
      </c>
      <c r="C19" s="244">
        <f>IF(C18=0,
IF(D18=0,0,IF(D18&gt;0,1,-1)),
(D18-C18)/ABS(C18)
)</f>
        <v>2.6269702276707531E-3</v>
      </c>
      <c r="D19" s="245"/>
      <c r="F19" s="244">
        <f>IF(F18=0,
IF(G18=0,0,IF(G18&gt;0,1,-1)),
(G18-F18)/ABS(F18)
)</f>
        <v>1.7777777777777778E-2</v>
      </c>
      <c r="G19" s="245"/>
    </row>
    <row r="20" spans="2:7" x14ac:dyDescent="0.2">
      <c r="B20" s="207" t="s">
        <v>37</v>
      </c>
      <c r="C20" s="201">
        <f>Statement!Z26</f>
        <v>12.07</v>
      </c>
      <c r="D20" s="202">
        <f>Statement!AA26</f>
        <v>24.67</v>
      </c>
      <c r="F20" s="201">
        <f>Statement!W26</f>
        <v>1.68</v>
      </c>
      <c r="G20" s="202">
        <f>Statement!AA26</f>
        <v>24.67</v>
      </c>
    </row>
    <row r="21" spans="2:7" x14ac:dyDescent="0.2">
      <c r="B21" s="206" t="s">
        <v>315</v>
      </c>
      <c r="C21" s="244">
        <f>IF(C20=0,
IF(D20=0,0,IF(D20&gt;0,1,-1)),
(D20-C20)/ABS(C20)
)</f>
        <v>1.0439105219552611</v>
      </c>
      <c r="D21" s="245"/>
      <c r="F21" s="244">
        <f>IF(F20=0,
IF(G20=0,0,IF(G20&gt;0,1,-1)),
(G20-F20)/ABS(F20)
)</f>
        <v>13.684523809523812</v>
      </c>
      <c r="G21" s="245"/>
    </row>
    <row r="23" spans="2:7" x14ac:dyDescent="0.2">
      <c r="B23" s="8" t="s">
        <v>318</v>
      </c>
      <c r="C23" s="10" t="str">
        <f>C5</f>
        <v>Q2 2026</v>
      </c>
      <c r="D23" s="203" t="str">
        <f>D5</f>
        <v>Q3 2026</v>
      </c>
      <c r="F23" s="204" t="str">
        <f>F5</f>
        <v>Q3 2025</v>
      </c>
      <c r="G23" s="203" t="str">
        <f>G5</f>
        <v>Q3 2026</v>
      </c>
    </row>
    <row r="24" spans="2:7" x14ac:dyDescent="0.2">
      <c r="B24" s="20" t="str">
        <f>Statement!B187</f>
        <v>DRAM</v>
      </c>
      <c r="C24" s="200">
        <f>Statement!Z187</f>
        <v>18768</v>
      </c>
      <c r="D24" s="198">
        <f>Statement!AA187</f>
        <v>31328</v>
      </c>
      <c r="F24" s="200">
        <f>Statement!W187</f>
        <v>7071</v>
      </c>
      <c r="G24" s="198">
        <f>Statement!AA187</f>
        <v>31328</v>
      </c>
    </row>
    <row r="25" spans="2:7" x14ac:dyDescent="0.2">
      <c r="B25" s="206" t="s">
        <v>315</v>
      </c>
      <c r="C25" s="244">
        <f>IF(C24=0,
IF(D24=0,0,IF(D24&gt;0,1,-1)),
(D24-C24)/ABS(C24)
)</f>
        <v>0.66922421142369992</v>
      </c>
      <c r="D25" s="245"/>
      <c r="F25" s="244">
        <f>IF(F24=0,
IF(G24=0,0,IF(G24&gt;0,1,-1)),
(G24-F24)/ABS(F24)
)</f>
        <v>3.4304907368123319</v>
      </c>
      <c r="G25" s="245"/>
    </row>
    <row r="26" spans="2:7" x14ac:dyDescent="0.2">
      <c r="B26" s="20" t="str">
        <f>Statement!B188</f>
        <v>NAND</v>
      </c>
      <c r="C26" s="200">
        <f>Statement!Z188</f>
        <v>4997</v>
      </c>
      <c r="D26" s="198">
        <f>Statement!AA188</f>
        <v>9943</v>
      </c>
      <c r="F26" s="200">
        <f>Statement!W188</f>
        <v>2155</v>
      </c>
      <c r="G26" s="198">
        <f>Statement!AA188</f>
        <v>9943</v>
      </c>
    </row>
    <row r="27" spans="2:7" x14ac:dyDescent="0.2">
      <c r="B27" s="206" t="s">
        <v>315</v>
      </c>
      <c r="C27" s="244">
        <f>IF(C26=0,
IF(D26=0,0,IF(D26&gt;0,1,-1)),
(D26-C26)/ABS(C26)
)</f>
        <v>0.98979387632579552</v>
      </c>
      <c r="D27" s="245"/>
      <c r="F27" s="244">
        <f>IF(F26=0,
IF(G26=0,0,IF(G26&gt;0,1,-1)),
(G26-F26)/ABS(F26)
)</f>
        <v>3.613921113689095</v>
      </c>
      <c r="G27" s="245"/>
    </row>
    <row r="28" spans="2:7" x14ac:dyDescent="0.2">
      <c r="B28" s="20" t="str">
        <f>Statement!B189</f>
        <v>Other</v>
      </c>
      <c r="C28" s="200">
        <f>Statement!Z189</f>
        <v>95</v>
      </c>
      <c r="D28" s="198">
        <f>Statement!AA189</f>
        <v>185</v>
      </c>
      <c r="F28" s="200">
        <f>Statement!W189</f>
        <v>75</v>
      </c>
      <c r="G28" s="198">
        <f>Statement!AA189</f>
        <v>185</v>
      </c>
    </row>
    <row r="29" spans="2:7" x14ac:dyDescent="0.2">
      <c r="B29" s="206" t="s">
        <v>315</v>
      </c>
      <c r="C29" s="244">
        <f>IF(C28=0,
IF(D28=0,0,IF(D28&gt;0,1,-1)),
(D28-C28)/ABS(C28)
)</f>
        <v>0.94736842105263153</v>
      </c>
      <c r="D29" s="245"/>
      <c r="F29" s="244">
        <f>IF(F28=0,
IF(G28=0,0,IF(G28&gt;0,1,-1)),
(G28-F28)/ABS(F28)
)</f>
        <v>1.4666666666666666</v>
      </c>
      <c r="G29" s="245"/>
    </row>
    <row r="31" spans="2:7" x14ac:dyDescent="0.2">
      <c r="B31" s="184" t="str">
        <f>Statement!B191</f>
        <v>Cloud Memory</v>
      </c>
      <c r="C31" s="200">
        <f>Statement!Z191</f>
        <v>7749</v>
      </c>
      <c r="D31" s="200">
        <f>Statement!AA191</f>
        <v>13769</v>
      </c>
      <c r="F31" s="200">
        <f>Statement!W191</f>
        <v>3386</v>
      </c>
      <c r="G31" s="198">
        <f>Statement!AA191</f>
        <v>13769</v>
      </c>
    </row>
    <row r="32" spans="2:7" x14ac:dyDescent="0.2">
      <c r="B32" s="233" t="s">
        <v>315</v>
      </c>
      <c r="C32" s="244">
        <f>IF(C31=0,
IF(D31=0,0,IF(D31&gt;0,1,-1)),
(D31-C31)/ABS(C31)
)</f>
        <v>0.77687443541102075</v>
      </c>
      <c r="D32" s="245"/>
      <c r="F32" s="244">
        <f>IF(F31=0,
IF(G31=0,0,IF(G31&gt;0,1,-1)),
(G31-F31)/ABS(F31)
)</f>
        <v>3.066450088600118</v>
      </c>
      <c r="G32" s="245"/>
    </row>
    <row r="33" spans="2:7" x14ac:dyDescent="0.2">
      <c r="B33" s="184" t="str">
        <f>Statement!B192</f>
        <v>Core Data Center</v>
      </c>
      <c r="C33" s="200">
        <f>Statement!Z192</f>
        <v>5687</v>
      </c>
      <c r="D33" s="200">
        <f>Statement!AA192</f>
        <v>11524</v>
      </c>
      <c r="F33" s="200">
        <f>Statement!W192</f>
        <v>1530</v>
      </c>
      <c r="G33" s="198">
        <f>Statement!AA192</f>
        <v>11524</v>
      </c>
    </row>
    <row r="34" spans="2:7" x14ac:dyDescent="0.2">
      <c r="B34" s="233" t="s">
        <v>315</v>
      </c>
      <c r="C34" s="244">
        <f>IF(C33=0,
IF(D33=0,0,IF(D33&gt;0,1,-1)),
(D33-C33)/ABS(C33)
)</f>
        <v>1.0263759451380341</v>
      </c>
      <c r="D34" s="245"/>
      <c r="F34" s="244">
        <f>IF(F33=0,
IF(G33=0,0,IF(G33&gt;0,1,-1)),
(G33-F33)/ABS(F33)
)</f>
        <v>6.5320261437908496</v>
      </c>
      <c r="G34" s="245"/>
    </row>
    <row r="35" spans="2:7" x14ac:dyDescent="0.2">
      <c r="B35" s="184" t="str">
        <f>Statement!B193</f>
        <v>Mobile and Client</v>
      </c>
      <c r="C35" s="200">
        <f>Statement!Z193</f>
        <v>7711</v>
      </c>
      <c r="D35" s="200">
        <f>Statement!AA193</f>
        <v>11521</v>
      </c>
      <c r="F35" s="200">
        <f>Statement!W193</f>
        <v>3255</v>
      </c>
      <c r="G35" s="198">
        <f>Statement!AA193</f>
        <v>11521</v>
      </c>
    </row>
    <row r="36" spans="2:7" x14ac:dyDescent="0.2">
      <c r="B36" s="233" t="s">
        <v>315</v>
      </c>
      <c r="C36" s="244">
        <f>IF(C35=0,
IF(D35=0,0,IF(D35&gt;0,1,-1)),
(D35-C35)/ABS(C35)
)</f>
        <v>0.49409933860718452</v>
      </c>
      <c r="D36" s="245"/>
      <c r="F36" s="244">
        <f>IF(F35=0,
IF(G35=0,0,IF(G35&gt;0,1,-1)),
(G35-F35)/ABS(F35)
)</f>
        <v>2.5394777265745008</v>
      </c>
      <c r="G36" s="245"/>
    </row>
    <row r="37" spans="2:7" x14ac:dyDescent="0.2">
      <c r="B37" s="184" t="str">
        <f>Statement!B194</f>
        <v>Automotive and Embedded</v>
      </c>
      <c r="C37" s="200">
        <f>Statement!Z194</f>
        <v>2708</v>
      </c>
      <c r="D37" s="200">
        <f>Statement!AA194</f>
        <v>4634</v>
      </c>
      <c r="F37" s="200">
        <f>Statement!W194</f>
        <v>1127</v>
      </c>
      <c r="G37" s="198">
        <f>Statement!AA194</f>
        <v>4634</v>
      </c>
    </row>
    <row r="38" spans="2:7" x14ac:dyDescent="0.2">
      <c r="B38" s="233" t="s">
        <v>315</v>
      </c>
      <c r="C38" s="244">
        <f>IF(C37=0,
IF(D37=0,0,IF(D37&gt;0,1,-1)),
(D37-C37)/ABS(C37)
)</f>
        <v>0.71122599704579026</v>
      </c>
      <c r="D38" s="245"/>
      <c r="F38" s="244">
        <f>IF(F37=0,
IF(G37=0,0,IF(G37&gt;0,1,-1)),
(G37-F37)/ABS(F37)
)</f>
        <v>3.1118012422360248</v>
      </c>
      <c r="G38" s="245"/>
    </row>
  </sheetData>
  <mergeCells count="32">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8:D38"/>
    <mergeCell ref="F38:G38"/>
    <mergeCell ref="C32:D32"/>
    <mergeCell ref="F32:G32"/>
    <mergeCell ref="C34:D34"/>
    <mergeCell ref="F34:G34"/>
    <mergeCell ref="C36:D36"/>
    <mergeCell ref="F36:G36"/>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261</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262</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18">
        <f>Statement!H123</f>
        <v>0</v>
      </c>
      <c r="D79" s="218">
        <f>Statement!I123</f>
        <v>0</v>
      </c>
      <c r="E79" s="218">
        <f>Statement!J123</f>
        <v>0</v>
      </c>
      <c r="F79" s="218">
        <f>Statement!K123</f>
        <v>0</v>
      </c>
      <c r="G79" s="218">
        <f>Statement!L123</f>
        <v>0</v>
      </c>
      <c r="H79" s="218">
        <f>Statement!M123</f>
        <v>9.9593875851756192E-2</v>
      </c>
      <c r="I79" s="218">
        <f>Statement!N123</f>
        <v>0.1310592459605027</v>
      </c>
      <c r="J79" s="218">
        <f>Statement!O123</f>
        <v>-9.0780340523547179E-2</v>
      </c>
      <c r="K79" s="218">
        <f>Statement!P123</f>
        <v>1.1207790711075256E-2</v>
      </c>
      <c r="L79" s="218">
        <f>Statement!Q123</f>
        <v>0.1031305103988019</v>
      </c>
    </row>
    <row r="80" spans="2:12" x14ac:dyDescent="0.2">
      <c r="B80" s="20" t="s">
        <v>104</v>
      </c>
      <c r="C80" s="218">
        <f>Statement!H125</f>
        <v>0</v>
      </c>
      <c r="D80" s="218">
        <f>Statement!I125</f>
        <v>0</v>
      </c>
      <c r="E80" s="218">
        <f>Statement!J125</f>
        <v>0</v>
      </c>
      <c r="F80" s="218">
        <f>Statement!K125</f>
        <v>0</v>
      </c>
      <c r="G80" s="218">
        <f>Statement!L125</f>
        <v>0</v>
      </c>
      <c r="H80" s="218">
        <f>Statement!M125</f>
        <v>0.13340768898094826</v>
      </c>
      <c r="I80" s="218">
        <f>Statement!N125</f>
        <v>0.17406375859097922</v>
      </c>
      <c r="J80" s="218">
        <f>Statement!O125</f>
        <v>-0.13220761559383501</v>
      </c>
      <c r="K80" s="218">
        <f>Statement!P125</f>
        <v>1.7238705102922601E-2</v>
      </c>
      <c r="L80" s="218">
        <f>Statement!Q125</f>
        <v>0.15764792762854241</v>
      </c>
    </row>
    <row r="81" spans="2:12" x14ac:dyDescent="0.2">
      <c r="B81" s="20" t="s">
        <v>105</v>
      </c>
      <c r="C81" s="218">
        <f>Statement!H140</f>
        <v>0</v>
      </c>
      <c r="D81" s="218">
        <f>Statement!I140</f>
        <v>0</v>
      </c>
      <c r="E81" s="218">
        <f>Statement!J140</f>
        <v>0</v>
      </c>
      <c r="F81" s="218">
        <f>Statement!K140</f>
        <v>0</v>
      </c>
      <c r="G81" s="218">
        <f>Statement!L140</f>
        <v>0</v>
      </c>
      <c r="H81" s="218">
        <f>Statement!M140</f>
        <v>0.14598698400731994</v>
      </c>
      <c r="I81" s="218">
        <f>Statement!N140</f>
        <v>0.19203328862527738</v>
      </c>
      <c r="J81" s="218">
        <f>Statement!O140</f>
        <v>-0.12220284182761848</v>
      </c>
      <c r="K81" s="218">
        <f>Statement!P140</f>
        <v>1.6804167624861494E-2</v>
      </c>
      <c r="L81" s="218">
        <f>Statement!Q140</f>
        <v>0.15196448091538983</v>
      </c>
    </row>
    <row r="82" spans="2:12" x14ac:dyDescent="0.2">
      <c r="B82" s="20" t="s">
        <v>349</v>
      </c>
      <c r="C82" s="227">
        <f>Statement!H218</f>
        <v>0</v>
      </c>
      <c r="D82" s="227">
        <f>Statement!I218</f>
        <v>0</v>
      </c>
      <c r="E82" s="227">
        <f>Statement!J218</f>
        <v>0</v>
      </c>
      <c r="F82" s="227">
        <f>Statement!K218</f>
        <v>0</v>
      </c>
      <c r="G82" s="227">
        <f>Statement!L218</f>
        <v>0</v>
      </c>
      <c r="H82" s="227">
        <f>Statement!M218</f>
        <v>100</v>
      </c>
      <c r="I82" s="227">
        <f>Statement!N218</f>
        <v>68.783005280844947</v>
      </c>
      <c r="J82" s="227">
        <f>Statement!O218</f>
        <v>81.721075372059531</v>
      </c>
      <c r="K82" s="227">
        <f>Statement!P218</f>
        <v>114.70235237638022</v>
      </c>
      <c r="L82" s="227">
        <f>Statement!Q218</f>
        <v>146.42342774843974</v>
      </c>
    </row>
    <row r="83" spans="2:12" x14ac:dyDescent="0.2">
      <c r="B83" s="20" t="s">
        <v>350</v>
      </c>
      <c r="C83" s="227">
        <f>Statement!H219</f>
        <v>0</v>
      </c>
      <c r="D83" s="227">
        <f>Statement!I219</f>
        <v>0</v>
      </c>
      <c r="E83" s="227">
        <f>Statement!J219</f>
        <v>0</v>
      </c>
      <c r="F83" s="227">
        <f>Statement!K219</f>
        <v>0</v>
      </c>
      <c r="G83" s="227">
        <f>Statement!L219</f>
        <v>0</v>
      </c>
      <c r="H83" s="227">
        <f>Statement!M219</f>
        <v>100</v>
      </c>
      <c r="I83" s="227">
        <f>Statement!N219</f>
        <v>111.0196715394333</v>
      </c>
      <c r="J83" s="227">
        <f>Statement!O219</f>
        <v>56.090958310774234</v>
      </c>
      <c r="K83" s="227">
        <f>Statement!P219</f>
        <v>90.637069121097284</v>
      </c>
      <c r="L83" s="227">
        <f>Statement!Q219</f>
        <v>134.91427540155206</v>
      </c>
    </row>
    <row r="84" spans="2:12" x14ac:dyDescent="0.2">
      <c r="B84" s="20" t="s">
        <v>351</v>
      </c>
      <c r="C84" s="227">
        <f>Statement!H220</f>
        <v>0</v>
      </c>
      <c r="D84" s="227">
        <f>Statement!I220</f>
        <v>0</v>
      </c>
      <c r="E84" s="227">
        <f>Statement!J220</f>
        <v>0</v>
      </c>
      <c r="F84" s="227">
        <f>Statement!K220</f>
        <v>0</v>
      </c>
      <c r="G84" s="227">
        <f>Statement!L220</f>
        <v>0</v>
      </c>
      <c r="H84" s="227">
        <f>Statement!M220</f>
        <v>100</v>
      </c>
      <c r="I84" s="227">
        <f>Statement!N220</f>
        <v>150.77821011673151</v>
      </c>
      <c r="J84" s="227">
        <f>Statement!O220</f>
        <v>-103.89105058365762</v>
      </c>
      <c r="K84" s="227">
        <f>Statement!P220</f>
        <v>13.618677042801563</v>
      </c>
      <c r="L84" s="227">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261</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37" t="s">
        <v>113</v>
      </c>
      <c r="D2" s="237"/>
      <c r="E2" s="237"/>
      <c r="F2" s="237"/>
      <c r="G2" s="238"/>
      <c r="H2" s="239" t="s">
        <v>114</v>
      </c>
      <c r="I2" s="237"/>
      <c r="J2" s="237"/>
      <c r="K2" s="237"/>
      <c r="L2" s="237"/>
      <c r="O2" s="5"/>
      <c r="S2" s="237" t="s">
        <v>113</v>
      </c>
      <c r="T2" s="237"/>
      <c r="U2" s="237"/>
      <c r="V2" s="237"/>
      <c r="W2" s="237"/>
      <c r="X2" s="237"/>
      <c r="Y2" s="237"/>
      <c r="Z2" s="237"/>
      <c r="AA2" s="237" t="s">
        <v>114</v>
      </c>
      <c r="AB2" s="237"/>
      <c r="AC2" s="237"/>
      <c r="AE2" s="85" t="s">
        <v>115</v>
      </c>
    </row>
    <row r="3" spans="1:31" ht="10" customHeight="1" x14ac:dyDescent="0.2">
      <c r="O3" s="5"/>
    </row>
    <row r="4" spans="1:31" ht="16" customHeight="1" x14ac:dyDescent="0.2">
      <c r="A4" s="86"/>
      <c r="B4" s="60"/>
      <c r="C4" s="236" t="s">
        <v>116</v>
      </c>
      <c r="D4" s="236"/>
      <c r="E4" s="236"/>
      <c r="F4" s="236"/>
      <c r="G4" s="236"/>
      <c r="H4" s="236"/>
      <c r="I4" s="236"/>
      <c r="J4" s="236"/>
      <c r="K4" s="236"/>
      <c r="L4" s="236"/>
      <c r="O4" s="5"/>
      <c r="S4" s="249" t="s">
        <v>116</v>
      </c>
      <c r="T4" s="250"/>
      <c r="U4" s="250"/>
      <c r="V4" s="250"/>
      <c r="W4" s="250"/>
      <c r="X4" s="250"/>
      <c r="Y4" s="250"/>
      <c r="Z4" s="250"/>
      <c r="AA4" s="250"/>
      <c r="AB4" s="250"/>
      <c r="AC4" s="250"/>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417</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418</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419</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420</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36" t="s">
        <v>122</v>
      </c>
      <c r="D12" s="236"/>
      <c r="E12" s="236"/>
      <c r="F12" s="236"/>
      <c r="G12" s="236"/>
      <c r="H12" s="236"/>
      <c r="I12" s="236"/>
      <c r="J12" s="236"/>
      <c r="K12" s="236"/>
      <c r="L12" s="236"/>
      <c r="O12" s="5"/>
      <c r="Q12" s="91"/>
      <c r="S12" s="249" t="s">
        <v>122</v>
      </c>
      <c r="T12" s="250"/>
      <c r="U12" s="250"/>
      <c r="V12" s="250"/>
      <c r="W12" s="250"/>
      <c r="X12" s="250"/>
      <c r="Y12" s="250"/>
      <c r="Z12" s="250"/>
      <c r="AA12" s="250"/>
      <c r="AB12" s="250"/>
      <c r="AC12" s="250"/>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37" t="s">
        <v>113</v>
      </c>
      <c r="D2" s="237"/>
      <c r="E2" s="237"/>
      <c r="F2" s="237"/>
      <c r="G2" s="238"/>
      <c r="H2" s="239" t="s">
        <v>114</v>
      </c>
      <c r="I2" s="237"/>
      <c r="J2" s="237"/>
      <c r="K2" s="237"/>
      <c r="L2" s="237"/>
      <c r="P2" s="237" t="s">
        <v>113</v>
      </c>
      <c r="Q2" s="237"/>
      <c r="R2" s="237"/>
      <c r="S2" s="237"/>
      <c r="T2" s="237"/>
      <c r="U2" s="237"/>
      <c r="V2" s="237"/>
      <c r="W2" s="237"/>
      <c r="X2" s="237" t="s">
        <v>114</v>
      </c>
      <c r="Y2" s="237"/>
      <c r="Z2" s="237"/>
      <c r="AB2" s="85" t="s">
        <v>115</v>
      </c>
    </row>
    <row r="3" spans="1:30" ht="10" customHeight="1" x14ac:dyDescent="0.2"/>
    <row r="4" spans="1:30" ht="16" customHeight="1" x14ac:dyDescent="0.2">
      <c r="A4" s="86"/>
      <c r="B4" s="60"/>
      <c r="C4" s="236" t="s">
        <v>116</v>
      </c>
      <c r="D4" s="236"/>
      <c r="E4" s="236"/>
      <c r="F4" s="236"/>
      <c r="G4" s="236"/>
      <c r="H4" s="236"/>
      <c r="I4" s="236"/>
      <c r="J4" s="236"/>
      <c r="K4" s="236"/>
      <c r="L4" s="236"/>
      <c r="P4" s="250" t="s">
        <v>116</v>
      </c>
      <c r="Q4" s="250"/>
      <c r="R4" s="250"/>
      <c r="S4" s="250"/>
      <c r="T4" s="250"/>
      <c r="U4" s="250"/>
      <c r="V4" s="250"/>
      <c r="W4" s="250"/>
      <c r="X4" s="250"/>
      <c r="Y4" s="250"/>
      <c r="Z4" s="250"/>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36" t="s">
        <v>125</v>
      </c>
      <c r="D9" s="236"/>
      <c r="E9" s="236"/>
      <c r="F9" s="236"/>
      <c r="G9" s="236"/>
      <c r="H9" s="236"/>
      <c r="I9" s="236"/>
      <c r="J9" s="236"/>
      <c r="K9" s="236"/>
      <c r="L9" s="236"/>
      <c r="N9" s="91"/>
      <c r="P9" s="250" t="s">
        <v>126</v>
      </c>
      <c r="Q9" s="250"/>
      <c r="R9" s="250"/>
      <c r="S9" s="250"/>
      <c r="T9" s="250"/>
      <c r="U9" s="250"/>
      <c r="V9" s="250"/>
      <c r="W9" s="250"/>
      <c r="X9" s="250"/>
      <c r="Y9" s="250"/>
      <c r="Z9" s="250"/>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4"/>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5">
        <v>150</v>
      </c>
      <c r="I18" s="235">
        <v>150</v>
      </c>
      <c r="J18" s="235">
        <v>150</v>
      </c>
      <c r="K18" s="235">
        <v>150</v>
      </c>
      <c r="L18" s="235">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5">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36" t="s">
        <v>128</v>
      </c>
      <c r="D22" s="236"/>
      <c r="E22" s="236"/>
      <c r="F22" s="236"/>
      <c r="G22" s="236"/>
      <c r="H22" s="236"/>
      <c r="I22" s="236"/>
      <c r="J22" s="236"/>
      <c r="K22" s="236"/>
      <c r="L22" s="236"/>
      <c r="P22" s="250" t="s">
        <v>128</v>
      </c>
      <c r="Q22" s="250"/>
      <c r="R22" s="250"/>
      <c r="S22" s="250"/>
      <c r="T22" s="250"/>
      <c r="U22" s="250"/>
      <c r="V22" s="250"/>
      <c r="W22" s="250"/>
      <c r="X22" s="250"/>
      <c r="Y22" s="250"/>
      <c r="Z22" s="250"/>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37" t="s">
        <v>113</v>
      </c>
      <c r="D3" s="237"/>
      <c r="E3" s="237"/>
      <c r="F3" s="237"/>
      <c r="G3" s="238"/>
      <c r="H3" s="239" t="s">
        <v>114</v>
      </c>
      <c r="I3" s="237"/>
      <c r="J3" s="237"/>
      <c r="K3" s="237"/>
      <c r="L3" s="237"/>
      <c r="P3" s="240"/>
      <c r="Q3" s="240"/>
      <c r="R3" s="240"/>
      <c r="S3" s="240"/>
      <c r="T3" s="240"/>
      <c r="U3" s="240"/>
      <c r="V3" s="240"/>
      <c r="W3" s="240"/>
      <c r="X3" s="240"/>
      <c r="Y3" s="240"/>
      <c r="Z3" s="240"/>
      <c r="AB3" s="113"/>
    </row>
    <row r="4" spans="1:28" ht="10" customHeight="1" x14ac:dyDescent="0.2"/>
    <row r="5" spans="1:28" ht="16" customHeight="1" x14ac:dyDescent="0.2">
      <c r="A5" s="86"/>
      <c r="B5" s="60"/>
      <c r="C5" s="236" t="s">
        <v>116</v>
      </c>
      <c r="D5" s="236"/>
      <c r="E5" s="236"/>
      <c r="F5" s="236"/>
      <c r="G5" s="236"/>
      <c r="H5" s="236"/>
      <c r="I5" s="236"/>
      <c r="J5" s="236"/>
      <c r="K5" s="236"/>
      <c r="L5" s="236"/>
      <c r="P5" s="240"/>
      <c r="Q5" s="240"/>
      <c r="R5" s="240"/>
      <c r="S5" s="240"/>
      <c r="T5" s="240"/>
      <c r="U5" s="240"/>
      <c r="V5" s="240"/>
      <c r="W5" s="240"/>
      <c r="X5" s="240"/>
      <c r="Y5" s="240"/>
      <c r="Z5" s="240"/>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6" t="s">
        <v>132</v>
      </c>
      <c r="D11" s="236"/>
      <c r="E11" s="236"/>
      <c r="F11" s="236"/>
      <c r="G11" s="236"/>
      <c r="H11" s="236"/>
      <c r="I11" s="236"/>
      <c r="J11" s="236"/>
      <c r="K11" s="236"/>
      <c r="L11" s="236"/>
      <c r="N11" s="91"/>
      <c r="P11" s="240"/>
      <c r="Q11" s="240"/>
      <c r="R11" s="240"/>
      <c r="S11" s="240"/>
      <c r="T11" s="240"/>
      <c r="U11" s="240"/>
      <c r="V11" s="240"/>
      <c r="W11" s="240"/>
      <c r="X11" s="240"/>
      <c r="Y11" s="240"/>
      <c r="Z11" s="240"/>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36" t="s">
        <v>137</v>
      </c>
      <c r="D18" s="236"/>
      <c r="E18" s="236"/>
      <c r="F18" s="236"/>
      <c r="G18" s="236"/>
      <c r="H18" s="236"/>
      <c r="I18" s="236"/>
      <c r="J18" s="236"/>
      <c r="K18" s="236"/>
      <c r="L18" s="236"/>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40"/>
      <c r="C25" s="240"/>
    </row>
    <row r="26" spans="2:12" x14ac:dyDescent="0.2">
      <c r="B26" s="113"/>
      <c r="C26" s="236" t="s">
        <v>143</v>
      </c>
      <c r="D26" s="236"/>
      <c r="E26" s="236"/>
      <c r="F26" s="236"/>
      <c r="G26" s="236"/>
      <c r="H26" s="236"/>
      <c r="I26" s="236"/>
      <c r="J26" s="236"/>
      <c r="K26" s="236"/>
      <c r="L26" s="236"/>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36" t="s">
        <v>147</v>
      </c>
      <c r="D33" s="236"/>
      <c r="E33" s="236"/>
      <c r="F33" s="236"/>
      <c r="G33" s="236"/>
      <c r="H33" s="236"/>
      <c r="I33" s="236"/>
      <c r="J33" s="236"/>
      <c r="K33" s="236"/>
      <c r="L33" s="236"/>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36" t="s">
        <v>150</v>
      </c>
      <c r="D40" s="236"/>
      <c r="E40" s="236"/>
      <c r="F40" s="236"/>
      <c r="G40" s="236"/>
      <c r="H40" s="236"/>
      <c r="I40" s="236"/>
      <c r="J40" s="236"/>
      <c r="K40" s="236"/>
      <c r="L40" s="236"/>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G27" sqref="G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37" t="s">
        <v>113</v>
      </c>
      <c r="D2" s="237"/>
      <c r="E2" s="237"/>
      <c r="F2" s="237"/>
      <c r="G2" s="238"/>
      <c r="H2" s="239" t="s">
        <v>114</v>
      </c>
      <c r="I2" s="237"/>
      <c r="J2" s="237"/>
      <c r="K2" s="237"/>
      <c r="L2" s="237"/>
      <c r="S2" s="240"/>
      <c r="T2" s="240"/>
      <c r="U2" s="240"/>
      <c r="V2" s="240"/>
      <c r="W2" s="240"/>
      <c r="X2" s="240"/>
      <c r="Y2" s="240"/>
      <c r="Z2" s="240"/>
      <c r="AA2" s="240"/>
      <c r="AB2" s="240"/>
      <c r="AC2" s="240"/>
      <c r="AE2" s="113"/>
    </row>
    <row r="3" spans="1:31" ht="10" customHeight="1" x14ac:dyDescent="0.2"/>
    <row r="4" spans="1:31" ht="16" customHeight="1" x14ac:dyDescent="0.2">
      <c r="A4" s="86"/>
      <c r="B4" s="60"/>
      <c r="C4" s="236" t="s">
        <v>18</v>
      </c>
      <c r="D4" s="236"/>
      <c r="E4" s="236"/>
      <c r="F4" s="236"/>
      <c r="G4" s="236"/>
      <c r="H4" s="236"/>
      <c r="I4" s="236"/>
      <c r="J4" s="236"/>
      <c r="K4" s="236"/>
      <c r="L4" s="236"/>
      <c r="S4" s="240"/>
      <c r="T4" s="240"/>
      <c r="U4" s="240"/>
      <c r="V4" s="240"/>
      <c r="W4" s="240"/>
      <c r="X4" s="240"/>
      <c r="Y4" s="240"/>
      <c r="Z4" s="240"/>
      <c r="AA4" s="240"/>
      <c r="AB4" s="240"/>
      <c r="AC4" s="240"/>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36" t="s">
        <v>158</v>
      </c>
      <c r="D13" s="236"/>
      <c r="E13" s="236"/>
      <c r="F13" s="236"/>
      <c r="G13" s="236"/>
      <c r="H13" s="236"/>
      <c r="I13" s="236"/>
      <c r="J13" s="236"/>
      <c r="K13" s="236"/>
      <c r="L13" s="23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36" t="s">
        <v>159</v>
      </c>
      <c r="D18" s="236"/>
      <c r="E18" s="236"/>
      <c r="F18" s="236"/>
      <c r="G18" s="236"/>
      <c r="H18" s="236"/>
      <c r="I18" s="236"/>
      <c r="J18" s="236"/>
      <c r="K18" s="236"/>
      <c r="L18" s="236"/>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36" t="s">
        <v>262</v>
      </c>
      <c r="D25" s="236"/>
      <c r="E25" s="236"/>
      <c r="F25" s="236"/>
      <c r="G25" s="236"/>
      <c r="H25" s="236"/>
      <c r="I25" s="236"/>
      <c r="J25" s="236"/>
      <c r="K25" s="236"/>
      <c r="L25" s="236"/>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5884.8813123190739</v>
      </c>
      <c r="D27" s="130">
        <f t="shared" ref="D27:L27" si="6">D10*(1-D15)</f>
        <v>8801.8457841395884</v>
      </c>
      <c r="E27" s="130">
        <f t="shared" si="6"/>
        <v>-5745</v>
      </c>
      <c r="F27" s="130">
        <f t="shared" si="6"/>
        <v>829.7225806451612</v>
      </c>
      <c r="G27" s="135">
        <f t="shared" si="6"/>
        <v>8632.4943028796351</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262</v>
      </c>
      <c r="C28" s="94">
        <f>C27+C20-C21+C22</f>
        <v>1698.8813123190739</v>
      </c>
      <c r="D28" s="94">
        <f t="shared" ref="D28:L28" si="7">D27+D20-D21+D22</f>
        <v>2605.8457841395884</v>
      </c>
      <c r="E28" s="94">
        <f t="shared" si="7"/>
        <v>-8557</v>
      </c>
      <c r="F28" s="94">
        <f t="shared" si="7"/>
        <v>-660.27741935483937</v>
      </c>
      <c r="G28" s="131">
        <f t="shared" si="7"/>
        <v>789.49430287963332</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36" t="s">
        <v>76</v>
      </c>
      <c r="D31" s="236"/>
      <c r="E31" s="236"/>
      <c r="F31" s="236"/>
      <c r="G31" s="236"/>
      <c r="H31" s="236"/>
      <c r="I31" s="236"/>
      <c r="J31" s="236"/>
      <c r="K31" s="236"/>
      <c r="L31" s="236"/>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16">
        <f>H8/H6</f>
        <v>0.85199999999999998</v>
      </c>
      <c r="I33" s="216">
        <f t="shared" ref="I33:L33" si="9">I8/I6</f>
        <v>0.87500000000000011</v>
      </c>
      <c r="J33" s="216">
        <f t="shared" si="9"/>
        <v>0.875</v>
      </c>
      <c r="K33" s="216">
        <f t="shared" si="9"/>
        <v>0.85</v>
      </c>
      <c r="L33" s="216">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16">
        <f>H10/H6</f>
        <v>0.79093201339682395</v>
      </c>
      <c r="I34" s="216">
        <f t="shared" ref="I34:L34" si="10">I10/I6</f>
        <v>0.81418636415758372</v>
      </c>
      <c r="J34" s="216">
        <f t="shared" si="10"/>
        <v>0.81430090079445294</v>
      </c>
      <c r="K34" s="216">
        <f t="shared" si="10"/>
        <v>0.79918628312980189</v>
      </c>
      <c r="L34" s="216">
        <f t="shared" si="10"/>
        <v>0.78878237293346909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37" t="s">
        <v>166</v>
      </c>
      <c r="C4" s="237"/>
    </row>
    <row r="5" spans="1:3" ht="17" customHeight="1" x14ac:dyDescent="0.2">
      <c r="B5" s="1" t="s">
        <v>167</v>
      </c>
      <c r="C5" s="140">
        <f>Statement!AC78</f>
        <v>1146</v>
      </c>
    </row>
    <row r="6" spans="1:3" ht="17" customHeight="1" x14ac:dyDescent="0.2">
      <c r="B6" s="1" t="s">
        <v>1</v>
      </c>
      <c r="C6" s="137">
        <f ca="1">Overview!C5</f>
        <v>1081.8387</v>
      </c>
    </row>
    <row r="7" spans="1:3" ht="17" customHeight="1" x14ac:dyDescent="0.2">
      <c r="B7" s="1" t="s">
        <v>168</v>
      </c>
      <c r="C7" s="138">
        <f ca="1">C5*C6</f>
        <v>1239787.1502</v>
      </c>
    </row>
    <row r="8" spans="1:3" ht="17" customHeight="1" x14ac:dyDescent="0.2">
      <c r="B8" s="1" t="s">
        <v>169</v>
      </c>
      <c r="C8" s="116">
        <f>Statement!AC108</f>
        <v>5722</v>
      </c>
    </row>
    <row r="9" spans="1:3" ht="17" customHeight="1" x14ac:dyDescent="0.2">
      <c r="B9" s="1" t="s">
        <v>170</v>
      </c>
      <c r="C9" s="139">
        <f ca="1">Overview!F27</f>
        <v>5.1619999999999999E-2</v>
      </c>
    </row>
    <row r="10" spans="1:3" ht="17" customHeight="1" x14ac:dyDescent="0.2">
      <c r="B10" s="1" t="s">
        <v>9</v>
      </c>
      <c r="C10" s="137">
        <f ca="1">Overview!C13</f>
        <v>2.2311999999999999</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37" t="s">
        <v>173</v>
      </c>
      <c r="C15" s="237"/>
    </row>
    <row r="16" spans="1:3" ht="17" customHeight="1" x14ac:dyDescent="0.2">
      <c r="B16" s="1" t="s">
        <v>174</v>
      </c>
      <c r="C16" s="46">
        <f ca="1">C8/(C8+C7)</f>
        <v>4.5941051489514781E-3</v>
      </c>
    </row>
    <row r="17" spans="2:3" ht="17" customHeight="1" x14ac:dyDescent="0.2">
      <c r="B17" s="1" t="s">
        <v>175</v>
      </c>
      <c r="C17" s="46">
        <f ca="1">C7/(C8+C7)</f>
        <v>0.99540589485104847</v>
      </c>
    </row>
    <row r="18" spans="2:3" ht="17" customHeight="1" x14ac:dyDescent="0.2">
      <c r="B18" s="1" t="s">
        <v>176</v>
      </c>
      <c r="C18" s="46">
        <f>C13*(1-C12)</f>
        <v>4.0289999999999999E-2</v>
      </c>
    </row>
    <row r="19" spans="2:3" ht="17" customHeight="1" x14ac:dyDescent="0.2">
      <c r="B19" s="1" t="s">
        <v>177</v>
      </c>
      <c r="C19" s="46">
        <f ca="1">C9+C10*C11</f>
        <v>0.15202399999999999</v>
      </c>
    </row>
    <row r="20" spans="2:3" ht="17" customHeight="1" x14ac:dyDescent="0.2">
      <c r="B20" s="1" t="s">
        <v>165</v>
      </c>
      <c r="C20" s="46">
        <f ca="1">(C17*C19)+(C16*C18)</f>
        <v>0.15151068225528705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4" sqref="B2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37" t="s">
        <v>113</v>
      </c>
      <c r="D3" s="237"/>
      <c r="E3" s="237"/>
      <c r="F3" s="237"/>
      <c r="G3" s="238"/>
      <c r="H3" s="239" t="s">
        <v>114</v>
      </c>
      <c r="I3" s="237"/>
      <c r="J3" s="237"/>
      <c r="K3" s="237"/>
      <c r="L3" s="237"/>
      <c r="P3" s="240"/>
      <c r="Q3" s="240"/>
      <c r="R3" s="240"/>
      <c r="S3" s="240"/>
      <c r="T3" s="240"/>
      <c r="U3" s="240"/>
      <c r="V3" s="240"/>
      <c r="W3" s="240"/>
      <c r="X3" s="240"/>
      <c r="Y3" s="240"/>
      <c r="Z3" s="240"/>
      <c r="AB3" s="113"/>
    </row>
    <row r="4" spans="1:28" ht="10" customHeight="1" x14ac:dyDescent="0.2"/>
    <row r="5" spans="1:28" ht="16" customHeight="1" x14ac:dyDescent="0.2">
      <c r="A5" s="86"/>
      <c r="B5" s="60"/>
      <c r="C5" s="236" t="s">
        <v>180</v>
      </c>
      <c r="D5" s="236"/>
      <c r="E5" s="236"/>
      <c r="F5" s="236"/>
      <c r="G5" s="236"/>
      <c r="H5" s="236"/>
      <c r="I5" s="236"/>
      <c r="J5" s="236"/>
      <c r="K5" s="236"/>
      <c r="L5" s="236"/>
      <c r="P5" s="240"/>
      <c r="Q5" s="240"/>
      <c r="R5" s="240"/>
      <c r="S5" s="240"/>
      <c r="T5" s="240"/>
      <c r="U5" s="240"/>
      <c r="V5" s="240"/>
      <c r="W5" s="240"/>
      <c r="X5" s="240"/>
      <c r="Y5" s="240"/>
      <c r="Z5" s="240"/>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637146.24810424191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37667.403088912579</v>
      </c>
      <c r="I10" s="130">
        <f t="shared" ref="I10:L10" ca="1" si="0">I7/(1+$C$15)^I9</f>
        <v>53308.463983096772</v>
      </c>
      <c r="J10" s="130">
        <f t="shared" ca="1" si="0"/>
        <v>66253.888634398812</v>
      </c>
      <c r="K10" s="130">
        <f t="shared" ca="1" si="0"/>
        <v>61835.700526873872</v>
      </c>
      <c r="L10" s="130">
        <f t="shared" ca="1" si="0"/>
        <v>44092.743842015494</v>
      </c>
      <c r="N10" s="91"/>
    </row>
    <row r="11" spans="1:28" x14ac:dyDescent="0.2">
      <c r="B11" s="1" t="s">
        <v>183</v>
      </c>
      <c r="C11" s="141"/>
      <c r="D11" s="141"/>
      <c r="E11" s="141"/>
      <c r="F11" s="141"/>
      <c r="G11" s="142"/>
      <c r="H11" s="141"/>
      <c r="I11" s="141"/>
      <c r="J11" s="141"/>
      <c r="K11" s="141"/>
      <c r="L11" s="130">
        <f ca="1">L8/(1+C15)^L9</f>
        <v>314701.83431167656</v>
      </c>
    </row>
    <row r="13" spans="1:28" x14ac:dyDescent="0.2">
      <c r="B13" s="237" t="s">
        <v>184</v>
      </c>
      <c r="C13" s="237"/>
    </row>
    <row r="14" spans="1:28" x14ac:dyDescent="0.2">
      <c r="B14" s="1" t="s">
        <v>185</v>
      </c>
      <c r="C14" s="144">
        <v>0.01</v>
      </c>
    </row>
    <row r="15" spans="1:28" x14ac:dyDescent="0.2">
      <c r="B15" s="1" t="s">
        <v>165</v>
      </c>
      <c r="C15" s="139">
        <f ca="1">IF(Overview!C28&gt;0,Overview!C28,WACC!C20)</f>
        <v>0.15151068225528705</v>
      </c>
    </row>
    <row r="18" spans="2:3" x14ac:dyDescent="0.2">
      <c r="B18" s="237" t="s">
        <v>186</v>
      </c>
      <c r="C18" s="237"/>
    </row>
    <row r="19" spans="2:3" x14ac:dyDescent="0.2">
      <c r="B19" s="1" t="s">
        <v>187</v>
      </c>
      <c r="C19" s="64">
        <f ca="1">SUM(H10:L10)</f>
        <v>263158.20007529756</v>
      </c>
    </row>
    <row r="20" spans="2:3" x14ac:dyDescent="0.2">
      <c r="B20" s="1" t="s">
        <v>183</v>
      </c>
      <c r="C20" s="64">
        <f ca="1">L11</f>
        <v>314701.83431167656</v>
      </c>
    </row>
    <row r="21" spans="2:3" x14ac:dyDescent="0.2">
      <c r="B21" s="16" t="s">
        <v>188</v>
      </c>
      <c r="C21" s="94">
        <f ca="1">C19+C20</f>
        <v>577860.03438697406</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602266.03438697406</v>
      </c>
    </row>
    <row r="25" spans="2:3" x14ac:dyDescent="0.2">
      <c r="B25" s="1" t="s">
        <v>68</v>
      </c>
      <c r="C25" s="88">
        <f>Statement!AC78</f>
        <v>1146</v>
      </c>
    </row>
    <row r="26" spans="2:3" x14ac:dyDescent="0.2">
      <c r="B26" s="254" t="s">
        <v>192</v>
      </c>
      <c r="C26" s="255">
        <f ca="1">C24/C25</f>
        <v>525.53755182109433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52" zoomScale="192" zoomScaleNormal="100" workbookViewId="0">
      <selection activeCell="B60" sqref="B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37" t="s">
        <v>113</v>
      </c>
      <c r="D2" s="237"/>
      <c r="E2" s="237"/>
      <c r="F2" s="237"/>
      <c r="G2" s="238"/>
      <c r="H2" s="239" t="s">
        <v>114</v>
      </c>
      <c r="I2" s="237"/>
      <c r="J2" s="237"/>
      <c r="K2" s="237"/>
      <c r="L2" s="237"/>
    </row>
    <row r="3" spans="1:14" ht="10" customHeight="1" x14ac:dyDescent="0.2"/>
    <row r="4" spans="1:14" ht="16" customHeight="1" x14ac:dyDescent="0.2">
      <c r="A4" s="86"/>
      <c r="B4" s="60"/>
      <c r="C4" s="236" t="s">
        <v>194</v>
      </c>
      <c r="D4" s="236"/>
      <c r="E4" s="236"/>
      <c r="F4" s="236"/>
      <c r="G4" s="236"/>
      <c r="H4" s="236"/>
      <c r="I4" s="236"/>
      <c r="J4" s="236"/>
      <c r="K4" s="236"/>
      <c r="L4" s="236"/>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262</v>
      </c>
      <c r="C8" s="92">
        <f>'FCF &amp; Other'!C28</f>
        <v>1698.8813123190739</v>
      </c>
      <c r="D8" s="92">
        <f>'FCF &amp; Other'!D28</f>
        <v>2605.8457841395884</v>
      </c>
      <c r="E8" s="92">
        <f>'FCF &amp; Other'!E28</f>
        <v>-8557</v>
      </c>
      <c r="F8" s="92">
        <f>'FCF &amp; Other'!F28</f>
        <v>-660.27741935483937</v>
      </c>
      <c r="G8" s="93">
        <f>'FCF &amp; Other'!G28</f>
        <v>789.49430287963332</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B9" s="16" t="s">
        <v>320</v>
      </c>
      <c r="C9" s="141"/>
      <c r="D9" s="141"/>
      <c r="E9" s="141"/>
      <c r="F9" s="141"/>
      <c r="G9" s="142"/>
      <c r="H9" s="92">
        <f ca="1">DCF!H10</f>
        <v>37667.403088912579</v>
      </c>
      <c r="I9" s="92">
        <f ca="1">DCF!I10</f>
        <v>53308.463983096772</v>
      </c>
      <c r="J9" s="92">
        <f ca="1">DCF!J10</f>
        <v>66253.888634398812</v>
      </c>
      <c r="K9" s="92">
        <f ca="1">DCF!K10</f>
        <v>61835.700526873872</v>
      </c>
      <c r="L9" s="92">
        <f ca="1">DCF!L10</f>
        <v>44092.743842015494</v>
      </c>
      <c r="N9" s="91"/>
    </row>
    <row r="10" spans="1:14" x14ac:dyDescent="0.2">
      <c r="N10" s="91"/>
    </row>
    <row r="11" spans="1:14" x14ac:dyDescent="0.2">
      <c r="C11" s="236" t="s">
        <v>122</v>
      </c>
      <c r="D11" s="236"/>
      <c r="E11" s="236"/>
      <c r="F11" s="236"/>
      <c r="G11" s="236"/>
      <c r="H11" s="236"/>
      <c r="I11" s="236"/>
      <c r="J11" s="236"/>
      <c r="K11" s="236"/>
      <c r="L11" s="236"/>
      <c r="N11" s="91"/>
    </row>
    <row r="12" spans="1:14" x14ac:dyDescent="0.2">
      <c r="B12" s="16" t="s">
        <v>195</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41"/>
      <c r="D13" s="95">
        <f>(D6-C6)/C6</f>
        <v>0.11019671539433315</v>
      </c>
      <c r="E13" s="95">
        <f t="shared" ref="E13:L13" si="1">(E6-D6)/D6</f>
        <v>-0.49476558944014565</v>
      </c>
      <c r="F13" s="95">
        <f t="shared" si="1"/>
        <v>0.61589446589446595</v>
      </c>
      <c r="G13" s="96">
        <f t="shared" si="1"/>
        <v>0.48851101111066864</v>
      </c>
      <c r="H13" s="95">
        <f t="shared" si="1"/>
        <v>2.7575900262186317</v>
      </c>
      <c r="I13" s="95">
        <f t="shared" si="1"/>
        <v>0.31261007381923395</v>
      </c>
      <c r="J13" s="95">
        <f t="shared" si="1"/>
        <v>0.16383459737989747</v>
      </c>
      <c r="K13" s="95">
        <f t="shared" si="1"/>
        <v>-0.14085693543906935</v>
      </c>
      <c r="L13" s="95">
        <f t="shared" si="1"/>
        <v>-0.33171913423672456</v>
      </c>
      <c r="N13" s="91"/>
    </row>
    <row r="14" spans="1:14" x14ac:dyDescent="0.2">
      <c r="B14" s="1" t="s">
        <v>157</v>
      </c>
      <c r="C14" s="141"/>
      <c r="D14" s="95">
        <f>IF(C7=0,
IF(D7=0,0,IF(D7&gt;0,1,-1)),
(D7-C7)/ABS(C7)
)</f>
        <v>0.54416679929969758</v>
      </c>
      <c r="E14" s="95">
        <f t="shared" ref="E14:L14" si="2">IF(D7=0,
IF(E7=0,0,IF(E7&gt;0,1,-1)),
(E7-D7)/ABS(D7)
)</f>
        <v>-1.5921459492888064</v>
      </c>
      <c r="F14" s="95">
        <f t="shared" si="2"/>
        <v>1.2269799825935597</v>
      </c>
      <c r="G14" s="96">
        <f t="shared" si="2"/>
        <v>6.492331288343558</v>
      </c>
      <c r="H14" s="95">
        <f t="shared" si="2"/>
        <v>10.370250808597749</v>
      </c>
      <c r="I14" s="95">
        <f t="shared" si="2"/>
        <v>0.35120238586588881</v>
      </c>
      <c r="J14" s="95">
        <f t="shared" si="2"/>
        <v>0.16399832119857613</v>
      </c>
      <c r="K14" s="95">
        <f t="shared" si="2"/>
        <v>-0.1568038893567256</v>
      </c>
      <c r="L14" s="95">
        <f t="shared" si="2"/>
        <v>-0.34041890081192172</v>
      </c>
      <c r="N14" s="91"/>
    </row>
    <row r="15" spans="1:14" x14ac:dyDescent="0.2">
      <c r="B15" s="1" t="s">
        <v>262</v>
      </c>
      <c r="C15" s="141"/>
      <c r="D15" s="95">
        <f>IF(C8=0,
IF(D8=0,0,IF(D8&gt;0,1,-1)),
(D8-C8)/ABS(C8)
)</f>
        <v>0.53385982013213984</v>
      </c>
      <c r="E15" s="95">
        <f t="shared" ref="E15:L15" si="3">IF(D8=0,
IF(E8=0,0,IF(E8&gt;0,1,-1)),
(E8-D8)/ABS(D8)
)</f>
        <v>-4.2837706866929555</v>
      </c>
      <c r="F15" s="95">
        <f t="shared" si="3"/>
        <v>0.92283774461203227</v>
      </c>
      <c r="G15" s="96">
        <f t="shared" si="3"/>
        <v>2.1957008974364935</v>
      </c>
      <c r="H15" s="95">
        <f t="shared" si="3"/>
        <v>53.939493383920606</v>
      </c>
      <c r="I15" s="95">
        <f t="shared" si="3"/>
        <v>0.62966545865292067</v>
      </c>
      <c r="J15" s="95">
        <f t="shared" si="3"/>
        <v>0.43114347709687012</v>
      </c>
      <c r="K15" s="95">
        <f t="shared" si="3"/>
        <v>7.4721366082428131E-2</v>
      </c>
      <c r="L15" s="95">
        <f t="shared" si="3"/>
        <v>-0.1789004553775414</v>
      </c>
      <c r="N15" s="91"/>
    </row>
    <row r="16" spans="1:14" x14ac:dyDescent="0.2">
      <c r="N16" s="91"/>
    </row>
    <row r="17" spans="2:14" x14ac:dyDescent="0.2">
      <c r="C17" s="236" t="s">
        <v>196</v>
      </c>
      <c r="D17" s="236"/>
      <c r="E17" s="236"/>
      <c r="F17" s="236"/>
      <c r="G17" s="236"/>
      <c r="H17" s="236"/>
      <c r="I17" s="236"/>
      <c r="J17" s="236"/>
      <c r="K17" s="236"/>
      <c r="L17" s="236"/>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197</v>
      </c>
      <c r="C19" s="100">
        <f>Statement!M22</f>
        <v>1141</v>
      </c>
      <c r="D19" s="100">
        <f>Statement!N22</f>
        <v>1122</v>
      </c>
      <c r="E19" s="100">
        <f>Statement!O22</f>
        <v>1093</v>
      </c>
      <c r="F19" s="100">
        <f>Statement!P22</f>
        <v>1118</v>
      </c>
      <c r="G19" s="101">
        <f>Statement!Q22</f>
        <v>1125</v>
      </c>
      <c r="H19" s="145">
        <f>G19*(1+H20)</f>
        <v>1116</v>
      </c>
      <c r="I19" s="145">
        <f t="shared" ref="I19:L19" si="5">H19*(1+I20)</f>
        <v>1104.8399999999999</v>
      </c>
      <c r="J19" s="145">
        <f t="shared" si="5"/>
        <v>1093.7916</v>
      </c>
      <c r="K19" s="145">
        <f t="shared" si="5"/>
        <v>1082.8536839999999</v>
      </c>
      <c r="L19" s="145">
        <f t="shared" si="5"/>
        <v>1072.02514716</v>
      </c>
      <c r="N19" s="91"/>
    </row>
    <row r="20" spans="2:14" x14ac:dyDescent="0.2">
      <c r="B20" s="1" t="s">
        <v>198</v>
      </c>
      <c r="C20" s="141"/>
      <c r="D20" s="146">
        <f>D19/C19-1</f>
        <v>-1.6652059596844904E-2</v>
      </c>
      <c r="E20" s="146">
        <f t="shared" ref="E20:G20" si="6">E19/D19-1</f>
        <v>-2.5846702317290582E-2</v>
      </c>
      <c r="F20" s="146">
        <f t="shared" si="6"/>
        <v>2.2872827081427349E-2</v>
      </c>
      <c r="G20" s="147">
        <f t="shared" si="6"/>
        <v>6.2611806797854275E-3</v>
      </c>
      <c r="H20" s="148">
        <v>-8.0000000000000002E-3</v>
      </c>
      <c r="I20" s="97">
        <v>-0.01</v>
      </c>
      <c r="J20" s="97">
        <v>-0.01</v>
      </c>
      <c r="K20" s="97">
        <v>-0.01</v>
      </c>
      <c r="L20" s="97">
        <v>-0.01</v>
      </c>
      <c r="N20" s="91"/>
    </row>
    <row r="21" spans="2:14" x14ac:dyDescent="0.2">
      <c r="N21" s="91"/>
    </row>
    <row r="22" spans="2:14" x14ac:dyDescent="0.2">
      <c r="C22" s="236" t="s">
        <v>199</v>
      </c>
      <c r="D22" s="236"/>
      <c r="E22" s="236"/>
      <c r="F22" s="236"/>
      <c r="G22" s="236"/>
      <c r="H22" s="236"/>
      <c r="I22" s="236"/>
      <c r="J22" s="236"/>
      <c r="K22" s="236"/>
      <c r="L22" s="236"/>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9">
        <f>Statement!M116</f>
        <v>83.32</v>
      </c>
      <c r="D24" s="149">
        <f>Statement!N116</f>
        <v>57.31</v>
      </c>
      <c r="E24" s="149">
        <f>Statement!O116</f>
        <v>68.09</v>
      </c>
      <c r="F24" s="149">
        <f>Statement!P116</f>
        <v>95.57</v>
      </c>
      <c r="G24" s="150">
        <f>Statement!Q116</f>
        <v>122</v>
      </c>
      <c r="H24" s="141"/>
      <c r="I24" s="141"/>
      <c r="J24" s="141"/>
      <c r="K24" s="141"/>
      <c r="L24" s="141"/>
      <c r="N24" s="91"/>
    </row>
    <row r="25" spans="2:14" x14ac:dyDescent="0.2">
      <c r="N25" s="91"/>
    </row>
    <row r="26" spans="2:14" x14ac:dyDescent="0.2">
      <c r="N26" s="91"/>
    </row>
    <row r="27" spans="2:14" x14ac:dyDescent="0.2">
      <c r="C27" s="236" t="s">
        <v>200</v>
      </c>
      <c r="D27" s="236"/>
      <c r="E27" s="236"/>
      <c r="F27" s="236"/>
      <c r="G27" s="236"/>
      <c r="H27" s="236"/>
      <c r="I27" s="236"/>
      <c r="J27" s="236"/>
      <c r="K27" s="236"/>
      <c r="L27" s="236"/>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201</v>
      </c>
      <c r="C29" s="151">
        <f>C24/(C6/C19)</f>
        <v>3.4314426998736689</v>
      </c>
      <c r="D29" s="151">
        <f t="shared" ref="D29:G29" si="9">D24/(D6/D19)</f>
        <v>2.0905722088562326</v>
      </c>
      <c r="E29" s="151">
        <f t="shared" si="9"/>
        <v>4.7890842985842994</v>
      </c>
      <c r="F29" s="151">
        <f t="shared" si="9"/>
        <v>4.2549982079566719</v>
      </c>
      <c r="G29" s="152">
        <f t="shared" si="9"/>
        <v>3.6719460645299371</v>
      </c>
      <c r="H29" s="141"/>
      <c r="I29" s="141"/>
      <c r="J29" s="141"/>
      <c r="K29" s="141"/>
      <c r="L29" s="141"/>
      <c r="N29" s="91"/>
    </row>
    <row r="30" spans="2:14" x14ac:dyDescent="0.2">
      <c r="B30" s="1" t="s">
        <v>202</v>
      </c>
      <c r="C30" s="145">
        <f>C24*C19</f>
        <v>95068.12</v>
      </c>
      <c r="D30" s="145">
        <f t="shared" ref="D30:G30" si="10">D24*D19</f>
        <v>64301.82</v>
      </c>
      <c r="E30" s="145">
        <f t="shared" si="10"/>
        <v>74422.37000000001</v>
      </c>
      <c r="F30" s="145">
        <f t="shared" si="10"/>
        <v>106847.26</v>
      </c>
      <c r="G30" s="153">
        <f t="shared" si="10"/>
        <v>137250</v>
      </c>
      <c r="H30" s="141"/>
      <c r="I30" s="141"/>
      <c r="J30" s="141"/>
      <c r="K30" s="141"/>
      <c r="L30" s="141"/>
      <c r="N30" s="91"/>
    </row>
    <row r="31" spans="2:14" x14ac:dyDescent="0.2">
      <c r="B31" s="1" t="s">
        <v>169</v>
      </c>
      <c r="C31" s="88">
        <f>Statement!M108</f>
        <v>6776</v>
      </c>
      <c r="D31" s="154">
        <f>Statement!N108</f>
        <v>6906</v>
      </c>
      <c r="E31" s="154">
        <f>Statement!O108</f>
        <v>13330</v>
      </c>
      <c r="F31" s="154">
        <f>Statement!P108</f>
        <v>13397</v>
      </c>
      <c r="G31" s="155">
        <f>Statement!Q108</f>
        <v>14577</v>
      </c>
      <c r="H31" s="141"/>
      <c r="I31" s="141"/>
      <c r="J31" s="141"/>
      <c r="K31" s="141"/>
      <c r="L31" s="141"/>
      <c r="N31" s="91"/>
    </row>
    <row r="32" spans="2:14" x14ac:dyDescent="0.2">
      <c r="B32" s="1" t="s">
        <v>178</v>
      </c>
      <c r="C32" s="154">
        <f>Statement!M107</f>
        <v>10398</v>
      </c>
      <c r="D32" s="154">
        <f>Statement!N107</f>
        <v>10978</v>
      </c>
      <c r="E32" s="154">
        <f>Statement!O107</f>
        <v>10438</v>
      </c>
      <c r="F32" s="154">
        <f>Statement!P107</f>
        <v>9152</v>
      </c>
      <c r="G32" s="155">
        <f>Statement!Q107</f>
        <v>11936</v>
      </c>
      <c r="H32" s="141"/>
      <c r="I32" s="141"/>
      <c r="J32" s="141"/>
      <c r="K32" s="141"/>
      <c r="L32" s="141"/>
      <c r="N32" s="91"/>
    </row>
    <row r="33" spans="2:14" x14ac:dyDescent="0.2">
      <c r="B33" s="1" t="s">
        <v>203</v>
      </c>
      <c r="C33" s="145">
        <f>C30+C31-C32</f>
        <v>91446.12</v>
      </c>
      <c r="D33" s="145">
        <f t="shared" ref="D33:G33" si="11">D30+D31-D32</f>
        <v>60229.820000000007</v>
      </c>
      <c r="E33" s="145">
        <f t="shared" si="11"/>
        <v>77314.37000000001</v>
      </c>
      <c r="F33" s="145">
        <f t="shared" si="11"/>
        <v>111092.26</v>
      </c>
      <c r="G33" s="153">
        <f t="shared" si="11"/>
        <v>139891</v>
      </c>
      <c r="H33" s="141"/>
      <c r="I33" s="141"/>
      <c r="J33" s="141"/>
      <c r="K33" s="141"/>
      <c r="L33" s="141"/>
      <c r="N33" s="91"/>
    </row>
    <row r="34" spans="2:14" x14ac:dyDescent="0.2">
      <c r="B34" s="16" t="s">
        <v>204</v>
      </c>
      <c r="C34" s="151">
        <f>C33/C7</f>
        <v>14.554531274868692</v>
      </c>
      <c r="D34" s="151">
        <f t="shared" ref="D34:G34" si="12">D33/D7</f>
        <v>6.2079797979797986</v>
      </c>
      <c r="E34" s="151">
        <f t="shared" si="12"/>
        <v>-13.457679721496955</v>
      </c>
      <c r="F34" s="151">
        <f t="shared" si="12"/>
        <v>85.193450920245397</v>
      </c>
      <c r="G34" s="152">
        <f t="shared" si="12"/>
        <v>14.31842374616172</v>
      </c>
      <c r="H34" s="141"/>
      <c r="I34" s="141"/>
      <c r="J34" s="141"/>
      <c r="K34" s="141"/>
      <c r="L34" s="141"/>
      <c r="N34" s="91"/>
    </row>
    <row r="35" spans="2:14" x14ac:dyDescent="0.2">
      <c r="B35" s="16" t="s">
        <v>321</v>
      </c>
      <c r="C35" s="151">
        <f>C33/C8</f>
        <v>53.827256405081414</v>
      </c>
      <c r="D35" s="151">
        <f t="shared" ref="D35:G35" si="13">D33/D8</f>
        <v>23.113347829939599</v>
      </c>
      <c r="E35" s="151">
        <f t="shared" si="13"/>
        <v>-9.0352191188500655</v>
      </c>
      <c r="F35" s="151">
        <f t="shared" si="13"/>
        <v>-168.2508847698424</v>
      </c>
      <c r="G35" s="152">
        <f t="shared" si="13"/>
        <v>177.19063898213824</v>
      </c>
      <c r="H35" s="141"/>
      <c r="I35" s="141"/>
      <c r="J35" s="141"/>
      <c r="K35" s="141"/>
      <c r="L35" s="141"/>
      <c r="N35" s="91"/>
    </row>
    <row r="36" spans="2:14" x14ac:dyDescent="0.2">
      <c r="N36" s="91"/>
    </row>
    <row r="37" spans="2:14" x14ac:dyDescent="0.2">
      <c r="N37" s="91"/>
    </row>
    <row r="38" spans="2:14" x14ac:dyDescent="0.2">
      <c r="B38" s="237" t="s">
        <v>205</v>
      </c>
      <c r="C38" s="237"/>
      <c r="N38" s="91"/>
    </row>
    <row r="39" spans="2:14" x14ac:dyDescent="0.2">
      <c r="B39" s="1" t="s">
        <v>206</v>
      </c>
      <c r="C39" s="64">
        <f>L7</f>
        <v>97170.438463650018</v>
      </c>
    </row>
    <row r="40" spans="2:14" x14ac:dyDescent="0.2">
      <c r="B40" s="1" t="s">
        <v>165</v>
      </c>
      <c r="C40" s="139">
        <f ca="1">IF(Overview!C28&gt;0,Overview!C28,WACC!C20)</f>
        <v>0.15151068225528705</v>
      </c>
    </row>
    <row r="41" spans="2:14" x14ac:dyDescent="0.2">
      <c r="B41" s="39" t="s">
        <v>207</v>
      </c>
      <c r="C41" s="105">
        <v>12</v>
      </c>
    </row>
    <row r="42" spans="2:14" x14ac:dyDescent="0.2">
      <c r="B42" s="1" t="s">
        <v>423</v>
      </c>
      <c r="C42" s="24">
        <f>(C39*C41)</f>
        <v>1166045.2615638003</v>
      </c>
    </row>
    <row r="43" spans="2:14" x14ac:dyDescent="0.2">
      <c r="B43" s="1" t="s">
        <v>424</v>
      </c>
      <c r="C43" s="24">
        <f ca="1">C42/(1+C40)^5-G31+G32</f>
        <v>573296.75965314917</v>
      </c>
    </row>
    <row r="44" spans="2:14" x14ac:dyDescent="0.2">
      <c r="B44" s="16" t="s">
        <v>425</v>
      </c>
      <c r="C44" s="110">
        <f ca="1">SUM(H9:K9)+C43</f>
        <v>792362.21588643128</v>
      </c>
    </row>
    <row r="45" spans="2:14" x14ac:dyDescent="0.2">
      <c r="B45" s="1" t="s">
        <v>189</v>
      </c>
      <c r="C45" s="88">
        <f>Statement!AC107</f>
        <v>30128</v>
      </c>
    </row>
    <row r="46" spans="2:14" x14ac:dyDescent="0.2">
      <c r="B46" s="1" t="s">
        <v>190</v>
      </c>
      <c r="C46" s="88">
        <f>Statement!AC108</f>
        <v>5722</v>
      </c>
    </row>
    <row r="47" spans="2:14" x14ac:dyDescent="0.2">
      <c r="B47" s="16" t="s">
        <v>191</v>
      </c>
      <c r="C47" s="110">
        <f ca="1">C44+C45-C46</f>
        <v>816768.21588643128</v>
      </c>
    </row>
    <row r="48" spans="2:14" x14ac:dyDescent="0.2">
      <c r="B48" s="1" t="s">
        <v>68</v>
      </c>
      <c r="C48" s="88">
        <f>Statement!AC78</f>
        <v>1146</v>
      </c>
    </row>
    <row r="49" spans="2:3" x14ac:dyDescent="0.2">
      <c r="B49" s="254" t="s">
        <v>209</v>
      </c>
      <c r="C49" s="255">
        <f ca="1">C47/C48</f>
        <v>712.71223026739199</v>
      </c>
    </row>
    <row r="51" spans="2:3" x14ac:dyDescent="0.2">
      <c r="B51" s="237" t="s">
        <v>210</v>
      </c>
      <c r="C51" s="237"/>
    </row>
    <row r="52" spans="2:3" x14ac:dyDescent="0.2">
      <c r="B52" s="1" t="s">
        <v>211</v>
      </c>
      <c r="C52" s="64">
        <f>L6</f>
        <v>123190.42843500002</v>
      </c>
    </row>
    <row r="53" spans="2:3" x14ac:dyDescent="0.2">
      <c r="B53" s="1" t="s">
        <v>346</v>
      </c>
      <c r="C53" s="139">
        <f ca="1">IF(Overview!C29&gt;0,Overview!C29,WACC!C19)</f>
        <v>0.15202399999999999</v>
      </c>
    </row>
    <row r="54" spans="2:3" x14ac:dyDescent="0.2">
      <c r="B54" s="39" t="s">
        <v>212</v>
      </c>
      <c r="C54" s="105">
        <v>4</v>
      </c>
    </row>
    <row r="55" spans="2:3" x14ac:dyDescent="0.2">
      <c r="B55" s="1" t="s">
        <v>208</v>
      </c>
      <c r="C55" s="24">
        <f>L19</f>
        <v>1072.02514716</v>
      </c>
    </row>
    <row r="56" spans="2:3" x14ac:dyDescent="0.2">
      <c r="B56" s="1" t="s">
        <v>192</v>
      </c>
      <c r="C56" s="24">
        <f>(C52*C54)/C55</f>
        <v>459.65499507676691</v>
      </c>
    </row>
    <row r="57" spans="2:3" x14ac:dyDescent="0.2">
      <c r="B57" s="254" t="s">
        <v>209</v>
      </c>
      <c r="C57" s="255">
        <f ca="1">C56/(1+C53)^5</f>
        <v>226.52928279541413</v>
      </c>
    </row>
    <row r="59" spans="2:3" x14ac:dyDescent="0.2">
      <c r="B59" s="237" t="s">
        <v>322</v>
      </c>
      <c r="C59" s="237"/>
    </row>
    <row r="60" spans="2:3" x14ac:dyDescent="0.2">
      <c r="B60" s="1" t="s">
        <v>426</v>
      </c>
      <c r="C60" s="64">
        <f>L8</f>
        <v>89270.297292700649</v>
      </c>
    </row>
    <row r="61" spans="2:3" x14ac:dyDescent="0.2">
      <c r="B61" s="1" t="s">
        <v>165</v>
      </c>
      <c r="C61" s="139">
        <f ca="1">IF(Overview!C28&gt;0,Overview!C28,WACC!C20)</f>
        <v>0.15151068225528705</v>
      </c>
    </row>
    <row r="62" spans="2:3" x14ac:dyDescent="0.2">
      <c r="B62" s="39" t="s">
        <v>347</v>
      </c>
      <c r="C62" s="105">
        <v>20</v>
      </c>
    </row>
    <row r="63" spans="2:3" x14ac:dyDescent="0.2">
      <c r="B63" s="1" t="s">
        <v>423</v>
      </c>
      <c r="C63" s="24">
        <f>(C60*C62)</f>
        <v>1785405.9458540129</v>
      </c>
    </row>
    <row r="64" spans="2:3" x14ac:dyDescent="0.2">
      <c r="B64" s="1" t="s">
        <v>424</v>
      </c>
      <c r="C64" s="24">
        <f ca="1">C63/(1+C61)^5-G31+G32</f>
        <v>879213.87684030971</v>
      </c>
    </row>
    <row r="65" spans="2:3" x14ac:dyDescent="0.2">
      <c r="B65" s="16" t="s">
        <v>425</v>
      </c>
      <c r="C65" s="110">
        <f ca="1">SUM(H9:K9)+C64</f>
        <v>1098279.3330735918</v>
      </c>
    </row>
    <row r="66" spans="2:3" x14ac:dyDescent="0.2">
      <c r="B66" s="1" t="s">
        <v>189</v>
      </c>
      <c r="C66" s="88">
        <f>Statement!AC107</f>
        <v>30128</v>
      </c>
    </row>
    <row r="67" spans="2:3" x14ac:dyDescent="0.2">
      <c r="B67" s="1" t="s">
        <v>190</v>
      </c>
      <c r="C67" s="88">
        <f>Statement!AC108</f>
        <v>5722</v>
      </c>
    </row>
    <row r="68" spans="2:3" x14ac:dyDescent="0.2">
      <c r="B68" s="16" t="s">
        <v>191</v>
      </c>
      <c r="C68" s="110">
        <f ca="1">C65+C66-C67</f>
        <v>1122685.3330735918</v>
      </c>
    </row>
    <row r="69" spans="2:3" x14ac:dyDescent="0.2">
      <c r="B69" s="1" t="s">
        <v>68</v>
      </c>
      <c r="C69" s="88">
        <f>Statement!AC78</f>
        <v>1146</v>
      </c>
    </row>
    <row r="70" spans="2:3" x14ac:dyDescent="0.2">
      <c r="B70" s="254" t="s">
        <v>209</v>
      </c>
      <c r="C70" s="255">
        <f ca="1">C68/C69</f>
        <v>979.65561350226164</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B11" sqref="B1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37" t="s">
        <v>214</v>
      </c>
      <c r="C4" s="237"/>
      <c r="N4" s="91"/>
    </row>
    <row r="5" spans="1:14" x14ac:dyDescent="0.2">
      <c r="B5" s="1" t="s">
        <v>215</v>
      </c>
      <c r="C5" s="137">
        <f ca="1">DCF!C26</f>
        <v>525.53755182109433</v>
      </c>
    </row>
    <row r="6" spans="1:14" x14ac:dyDescent="0.2">
      <c r="B6" s="1" t="s">
        <v>216</v>
      </c>
      <c r="C6" s="137">
        <f ca="1">Multiples!C49</f>
        <v>712.71223026739199</v>
      </c>
    </row>
    <row r="7" spans="1:14" x14ac:dyDescent="0.2">
      <c r="B7" s="1" t="s">
        <v>217</v>
      </c>
      <c r="C7" s="137">
        <f ca="1">Multiples!C57</f>
        <v>226.52928279541413</v>
      </c>
    </row>
    <row r="8" spans="1:14" x14ac:dyDescent="0.2">
      <c r="B8" s="1" t="s">
        <v>323</v>
      </c>
      <c r="C8" s="137">
        <f ca="1">Multiples!C70</f>
        <v>979.65561350226164</v>
      </c>
    </row>
    <row r="9" spans="1:14" x14ac:dyDescent="0.2">
      <c r="B9" s="254" t="s">
        <v>218</v>
      </c>
      <c r="C9" s="255">
        <f ca="1">AVERAGE(C5:C8)</f>
        <v>611.10866959654049</v>
      </c>
    </row>
    <row r="10" spans="1:14" x14ac:dyDescent="0.2">
      <c r="B10" s="1" t="s">
        <v>219</v>
      </c>
      <c r="C10" s="137">
        <f ca="1">Overview!C5</f>
        <v>1081.8387</v>
      </c>
    </row>
    <row r="11" spans="1:14" x14ac:dyDescent="0.2">
      <c r="B11" s="1" t="s">
        <v>220</v>
      </c>
      <c r="C11" s="156">
        <f ca="1">(C9-C10)/C10</f>
        <v>-0.43512034687191309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B25" sqref="B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37" t="s">
        <v>113</v>
      </c>
      <c r="D2" s="237"/>
      <c r="E2" s="237"/>
      <c r="F2" s="237"/>
      <c r="G2" s="238"/>
      <c r="H2" s="239" t="s">
        <v>114</v>
      </c>
      <c r="I2" s="237"/>
      <c r="J2" s="237"/>
      <c r="K2" s="237"/>
      <c r="L2" s="237"/>
    </row>
    <row r="3" spans="1:14" ht="10" customHeight="1" x14ac:dyDescent="0.2"/>
    <row r="4" spans="1:14" ht="16" customHeight="1" x14ac:dyDescent="0.2">
      <c r="A4" s="86"/>
      <c r="B4" s="60"/>
      <c r="C4" s="236" t="s">
        <v>194</v>
      </c>
      <c r="D4" s="236"/>
      <c r="E4" s="236"/>
      <c r="F4" s="236"/>
      <c r="G4" s="236"/>
      <c r="H4" s="236"/>
      <c r="I4" s="236"/>
      <c r="J4" s="236"/>
      <c r="K4" s="236"/>
      <c r="L4" s="236"/>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5.14</v>
      </c>
      <c r="D6" s="228">
        <f>Statement!N26</f>
        <v>7.75</v>
      </c>
      <c r="E6" s="228">
        <f>Statement!O26</f>
        <v>-5.34</v>
      </c>
      <c r="F6" s="228">
        <f>Statement!P26</f>
        <v>0.7</v>
      </c>
      <c r="G6" s="229">
        <f>Statement!Q26</f>
        <v>7.59</v>
      </c>
      <c r="H6" s="141"/>
      <c r="I6" s="141"/>
      <c r="J6" s="141"/>
      <c r="K6" s="141"/>
      <c r="L6" s="141"/>
      <c r="N6" s="91"/>
    </row>
    <row r="7" spans="1:14" x14ac:dyDescent="0.2">
      <c r="B7" s="16" t="s">
        <v>359</v>
      </c>
      <c r="C7" s="228">
        <f>Statement!M82</f>
        <v>0.1</v>
      </c>
      <c r="D7" s="228">
        <f>Statement!N82</f>
        <v>0.315</v>
      </c>
      <c r="E7" s="228">
        <f>Statement!O82</f>
        <v>0.46</v>
      </c>
      <c r="F7" s="228">
        <f>Statement!P82</f>
        <v>0.46</v>
      </c>
      <c r="G7" s="229">
        <f>Statement!Q82</f>
        <v>0.46</v>
      </c>
      <c r="H7" s="141"/>
      <c r="I7" s="141"/>
      <c r="J7" s="141"/>
      <c r="K7" s="141"/>
      <c r="L7" s="141"/>
      <c r="N7" s="91"/>
    </row>
    <row r="8" spans="1:14" x14ac:dyDescent="0.2">
      <c r="N8" s="91"/>
    </row>
    <row r="9" spans="1:14" x14ac:dyDescent="0.2">
      <c r="C9" s="236" t="s">
        <v>122</v>
      </c>
      <c r="D9" s="236"/>
      <c r="E9" s="236"/>
      <c r="F9" s="236"/>
      <c r="G9" s="236"/>
      <c r="H9" s="236"/>
      <c r="I9" s="236"/>
      <c r="J9" s="236"/>
      <c r="K9" s="236"/>
      <c r="L9" s="236"/>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244</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36" t="s">
        <v>360</v>
      </c>
      <c r="D14" s="236"/>
      <c r="E14" s="236"/>
      <c r="F14" s="236"/>
      <c r="G14" s="236"/>
      <c r="H14" s="236"/>
      <c r="I14" s="236"/>
      <c r="J14" s="236"/>
      <c r="K14" s="236"/>
      <c r="L14" s="23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37" t="s">
        <v>362</v>
      </c>
      <c r="C20" s="237"/>
      <c r="N20" s="91"/>
    </row>
    <row r="21" spans="2:14" x14ac:dyDescent="0.2">
      <c r="B21" s="1" t="s">
        <v>363</v>
      </c>
      <c r="C21" s="107">
        <f>G7</f>
        <v>0.46</v>
      </c>
    </row>
    <row r="22" spans="2:14" x14ac:dyDescent="0.2">
      <c r="B22" s="1" t="s">
        <v>364</v>
      </c>
      <c r="C22" s="230">
        <v>0.05</v>
      </c>
    </row>
    <row r="23" spans="2:14" x14ac:dyDescent="0.2">
      <c r="B23" s="39" t="s">
        <v>365</v>
      </c>
      <c r="C23" s="231">
        <f>C21*(1+C22)</f>
        <v>0.48300000000000004</v>
      </c>
    </row>
    <row r="24" spans="2:14" x14ac:dyDescent="0.2">
      <c r="B24" s="1" t="s">
        <v>346</v>
      </c>
      <c r="C24" s="139">
        <f ca="1">IF(Overview!C29&gt;0,Overview!C29,WACC!C19)</f>
        <v>0.15202399999999999</v>
      </c>
    </row>
    <row r="25" spans="2:14" x14ac:dyDescent="0.2">
      <c r="B25" s="39" t="s">
        <v>366</v>
      </c>
      <c r="C25" s="230">
        <v>0.03</v>
      </c>
    </row>
    <row r="26" spans="2:14" x14ac:dyDescent="0.2">
      <c r="B26" s="254" t="s">
        <v>209</v>
      </c>
      <c r="C26" s="255">
        <f ca="1">C23/(C24-C25)</f>
        <v>3.9582377237264805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6" sqref="B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37" t="s">
        <v>113</v>
      </c>
      <c r="D3" s="237"/>
      <c r="E3" s="237"/>
      <c r="F3" s="237"/>
      <c r="G3" s="238"/>
      <c r="H3" s="239" t="s">
        <v>114</v>
      </c>
      <c r="I3" s="237"/>
      <c r="J3" s="237"/>
      <c r="K3" s="237"/>
      <c r="L3" s="237"/>
      <c r="P3" s="240"/>
      <c r="Q3" s="240"/>
      <c r="R3" s="240"/>
      <c r="S3" s="240"/>
      <c r="T3" s="240"/>
      <c r="U3" s="240"/>
      <c r="V3" s="240"/>
      <c r="W3" s="240"/>
      <c r="X3" s="240"/>
      <c r="Y3" s="240"/>
      <c r="Z3" s="240"/>
      <c r="AB3" s="113"/>
    </row>
    <row r="4" spans="1:28" ht="10" customHeight="1" x14ac:dyDescent="0.2"/>
    <row r="5" spans="1:28" ht="16" customHeight="1" x14ac:dyDescent="0.2">
      <c r="A5" s="86"/>
      <c r="B5" s="60"/>
      <c r="C5" s="236" t="s">
        <v>180</v>
      </c>
      <c r="D5" s="236"/>
      <c r="E5" s="236"/>
      <c r="F5" s="236"/>
      <c r="G5" s="236"/>
      <c r="H5" s="236"/>
      <c r="I5" s="236"/>
      <c r="J5" s="236"/>
      <c r="K5" s="236"/>
      <c r="L5" s="236"/>
      <c r="P5" s="240"/>
      <c r="Q5" s="240"/>
      <c r="R5" s="240"/>
      <c r="S5" s="240"/>
      <c r="T5" s="240"/>
      <c r="U5" s="240"/>
      <c r="V5" s="240"/>
      <c r="W5" s="240"/>
      <c r="X5" s="240"/>
      <c r="Y5" s="240"/>
      <c r="Z5" s="240"/>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30">
        <f>G7*(1+$C$17)</f>
        <v>2550.0665983012154</v>
      </c>
      <c r="I7" s="130">
        <f t="shared" ref="I7:L7" si="0">H7*(1+$C$17)</f>
        <v>8236.7151125129258</v>
      </c>
      <c r="J7" s="130">
        <f t="shared" si="0"/>
        <v>26604.589813416751</v>
      </c>
      <c r="K7" s="130">
        <f t="shared" si="0"/>
        <v>85932.825097336099</v>
      </c>
      <c r="L7" s="130">
        <f t="shared" si="0"/>
        <v>277563.02506439562</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1981042.3555820691</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2214.5401146490381</v>
      </c>
      <c r="I10" s="130">
        <f t="shared" ref="I10:L10" ca="1" si="1">I7/(1+$C$21)^I9</f>
        <v>6211.8091308601506</v>
      </c>
      <c r="J10" s="130">
        <f t="shared" ca="1" si="1"/>
        <v>17424.192238826421</v>
      </c>
      <c r="K10" s="130">
        <f t="shared" ca="1" si="1"/>
        <v>48875.048923716509</v>
      </c>
      <c r="L10" s="130">
        <f t="shared" ca="1" si="1"/>
        <v>137095.04432422257</v>
      </c>
      <c r="N10" s="91"/>
    </row>
    <row r="11" spans="1:28" x14ac:dyDescent="0.2">
      <c r="B11" s="1" t="s">
        <v>183</v>
      </c>
      <c r="C11" s="141"/>
      <c r="D11" s="141"/>
      <c r="E11" s="141"/>
      <c r="F11" s="141"/>
      <c r="G11" s="142"/>
      <c r="H11" s="141"/>
      <c r="I11" s="141"/>
      <c r="J11" s="141"/>
      <c r="K11" s="141"/>
      <c r="L11" s="130">
        <f ca="1">L8/(1+C21)^L9</f>
        <v>978484.39821433683</v>
      </c>
    </row>
    <row r="13" spans="1:28" ht="17" thickBot="1" x14ac:dyDescent="0.25"/>
    <row r="14" spans="1:28" x14ac:dyDescent="0.2">
      <c r="B14" s="251" t="s">
        <v>222</v>
      </c>
      <c r="C14" s="252"/>
    </row>
    <row r="15" spans="1:28" x14ac:dyDescent="0.2">
      <c r="B15" s="157" t="s">
        <v>223</v>
      </c>
      <c r="C15" s="158">
        <f ca="1">Overview!C5</f>
        <v>1081.8387</v>
      </c>
    </row>
    <row r="16" spans="1:28" x14ac:dyDescent="0.2">
      <c r="B16" s="157" t="s">
        <v>224</v>
      </c>
      <c r="C16" s="158">
        <f ca="1">C36</f>
        <v>1075.9176554000103</v>
      </c>
    </row>
    <row r="17" spans="2:9" ht="17" thickBot="1" x14ac:dyDescent="0.25">
      <c r="B17" s="159" t="s">
        <v>324</v>
      </c>
      <c r="C17" s="160">
        <v>2.23</v>
      </c>
      <c r="E17" s="253" t="s">
        <v>225</v>
      </c>
      <c r="F17" s="253"/>
      <c r="G17" s="253"/>
      <c r="H17" s="253"/>
      <c r="I17" s="253"/>
    </row>
    <row r="18" spans="2:9" ht="17" thickBot="1" x14ac:dyDescent="0.25"/>
    <row r="19" spans="2:9" x14ac:dyDescent="0.2">
      <c r="B19" s="251" t="s">
        <v>184</v>
      </c>
      <c r="C19" s="252"/>
    </row>
    <row r="20" spans="2:9" x14ac:dyDescent="0.2">
      <c r="B20" s="161" t="s">
        <v>185</v>
      </c>
      <c r="C20" s="162">
        <v>0.01</v>
      </c>
    </row>
    <row r="21" spans="2:9" x14ac:dyDescent="0.2">
      <c r="B21" s="161" t="s">
        <v>165</v>
      </c>
      <c r="C21" s="222">
        <f ca="1">IF(Overview!C28&gt;0,Overview!C28,WACC!C20)</f>
        <v>0.15151068225528705</v>
      </c>
    </row>
    <row r="22" spans="2:9" x14ac:dyDescent="0.2">
      <c r="B22" s="161" t="s">
        <v>68</v>
      </c>
      <c r="C22" s="223">
        <f>Statement!AC75</f>
        <v>1129</v>
      </c>
    </row>
    <row r="23" spans="2:9" x14ac:dyDescent="0.2">
      <c r="B23" s="161" t="s">
        <v>226</v>
      </c>
      <c r="C23" s="163">
        <f ca="1">C15*C22</f>
        <v>1221395.8922999999</v>
      </c>
    </row>
    <row r="24" spans="2:9" x14ac:dyDescent="0.2">
      <c r="B24" s="161" t="s">
        <v>178</v>
      </c>
      <c r="C24" s="223">
        <f>Statement!AC107</f>
        <v>30128</v>
      </c>
    </row>
    <row r="25" spans="2:9" x14ac:dyDescent="0.2">
      <c r="B25" s="161" t="s">
        <v>169</v>
      </c>
      <c r="C25" s="223">
        <f>Statement!AC108</f>
        <v>5722</v>
      </c>
    </row>
    <row r="26" spans="2:9" ht="17" thickBot="1" x14ac:dyDescent="0.25">
      <c r="B26" s="159" t="s">
        <v>227</v>
      </c>
      <c r="C26" s="164">
        <f ca="1">C23+C25-C24</f>
        <v>1196989.8922999999</v>
      </c>
    </row>
    <row r="27" spans="2:9" ht="17" thickBot="1" x14ac:dyDescent="0.25"/>
    <row r="28" spans="2:9" x14ac:dyDescent="0.2">
      <c r="B28" s="251" t="s">
        <v>186</v>
      </c>
      <c r="C28" s="252"/>
    </row>
    <row r="29" spans="2:9" x14ac:dyDescent="0.2">
      <c r="B29" s="161" t="s">
        <v>187</v>
      </c>
      <c r="C29" s="163">
        <f ca="1">SUM(H10:L10)</f>
        <v>211820.63473227469</v>
      </c>
    </row>
    <row r="30" spans="2:9" x14ac:dyDescent="0.2">
      <c r="B30" s="161" t="s">
        <v>183</v>
      </c>
      <c r="C30" s="163">
        <f ca="1">L11</f>
        <v>978484.39821433683</v>
      </c>
    </row>
    <row r="31" spans="2:9" x14ac:dyDescent="0.2">
      <c r="B31" s="165" t="s">
        <v>188</v>
      </c>
      <c r="C31" s="166">
        <f ca="1">C29+C30</f>
        <v>1190305.0329466115</v>
      </c>
    </row>
    <row r="32" spans="2:9" x14ac:dyDescent="0.2">
      <c r="B32" s="161" t="s">
        <v>189</v>
      </c>
      <c r="C32" s="167">
        <f>C24</f>
        <v>30128</v>
      </c>
    </row>
    <row r="33" spans="2:3" x14ac:dyDescent="0.2">
      <c r="B33" s="161" t="s">
        <v>190</v>
      </c>
      <c r="C33" s="167">
        <f>C25</f>
        <v>5722</v>
      </c>
    </row>
    <row r="34" spans="2:3" x14ac:dyDescent="0.2">
      <c r="B34" s="165" t="s">
        <v>191</v>
      </c>
      <c r="C34" s="166">
        <f ca="1">C31+C32-C33</f>
        <v>1214711.0329466115</v>
      </c>
    </row>
    <row r="35" spans="2:3" x14ac:dyDescent="0.2">
      <c r="B35" s="161" t="s">
        <v>68</v>
      </c>
      <c r="C35" s="163">
        <f>C22</f>
        <v>1129</v>
      </c>
    </row>
    <row r="36" spans="2:3" ht="17" thickBot="1" x14ac:dyDescent="0.25">
      <c r="B36" s="168" t="s">
        <v>192</v>
      </c>
      <c r="C36" s="169">
        <f ca="1">C34/C35</f>
        <v>1075.9176554000103</v>
      </c>
    </row>
  </sheetData>
  <mergeCells count="10">
    <mergeCell ref="C3:G3"/>
    <mergeCell ref="H3:L3"/>
    <mergeCell ref="P3:W3"/>
    <mergeCell ref="X3:Z3"/>
    <mergeCell ref="C5:L5"/>
    <mergeCell ref="P5:Z5"/>
    <mergeCell ref="B14:C14"/>
    <mergeCell ref="E17:I17"/>
    <mergeCell ref="B19:C19"/>
    <mergeCell ref="B28:C28"/>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2026-09-25T17:25:27Z</dcterms:modified>
</cp:coreProperties>
</file>