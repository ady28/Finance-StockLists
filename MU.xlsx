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024085D-4C6B-8444-A549-084DF7E60DD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 l="1"/>
  <c r="G12" i="6"/>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C83" i="12"/>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96" i="17"/>
  <c r="E96" i="17"/>
  <c r="D96" i="17"/>
  <c r="F95" i="17"/>
  <c r="E95" i="17"/>
  <c r="D95" i="17"/>
  <c r="F94" i="17"/>
  <c r="E94" i="17"/>
  <c r="D94" i="17"/>
  <c r="F93" i="17"/>
  <c r="E93" i="17"/>
  <c r="D93" i="17"/>
  <c r="C96" i="17"/>
  <c r="C95" i="17"/>
  <c r="C94" i="17"/>
  <c r="C93" i="17"/>
  <c r="B96" i="17"/>
  <c r="B95" i="17"/>
  <c r="B94" i="17"/>
  <c r="B93" i="17"/>
  <c r="B65" i="20"/>
  <c r="B64" i="20"/>
  <c r="B63" i="20"/>
  <c r="B74" i="19"/>
  <c r="B73" i="19"/>
  <c r="B72" i="19"/>
  <c r="B28" i="18"/>
  <c r="B26" i="18"/>
  <c r="B24" i="18"/>
  <c r="B91" i="17"/>
  <c r="B90" i="17"/>
  <c r="B89" i="17"/>
  <c r="AA210" i="3"/>
  <c r="AA209" i="3"/>
  <c r="AA208" i="3"/>
  <c r="AA207" i="3"/>
  <c r="G65" i="20"/>
  <c r="G64" i="20"/>
  <c r="C65" i="20"/>
  <c r="C63" i="20"/>
  <c r="AC198" i="3"/>
  <c r="AC197" i="3"/>
  <c r="AC196" i="3"/>
  <c r="AC194" i="3"/>
  <c r="Q210" i="3"/>
  <c r="G96" i="17" s="1"/>
  <c r="Q209" i="3"/>
  <c r="G95" i="17" s="1"/>
  <c r="Q208" i="3"/>
  <c r="G94" i="17" s="1"/>
  <c r="Q207" i="3"/>
  <c r="G93"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AA153" i="3"/>
  <c r="AA152" i="3"/>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AC75" i="3" s="1"/>
  <c r="C22" i="14" s="1"/>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W27" i="6" l="1"/>
  <c r="H9" i="5"/>
  <c r="I9" i="5" s="1"/>
  <c r="J9" i="5" s="1"/>
  <c r="K9" i="5" s="1"/>
  <c r="L9" i="5" s="1"/>
  <c r="G17" i="5"/>
  <c r="H8" i="5"/>
  <c r="I8" i="5" s="1"/>
  <c r="J8" i="5" s="1"/>
  <c r="K8" i="5" s="1"/>
  <c r="L8" i="5" s="1"/>
  <c r="G16" i="5"/>
  <c r="H7" i="5"/>
  <c r="I7" i="5" s="1"/>
  <c r="J7" i="5" s="1"/>
  <c r="K7" i="5" s="1"/>
  <c r="L7" i="5" s="1"/>
  <c r="G15" i="5"/>
  <c r="H6" i="5"/>
  <c r="I6" i="5" s="1"/>
  <c r="G14" i="5"/>
  <c r="AA154" i="3"/>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J6" i="5" l="1"/>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18" i="1" s="1"/>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Q161" i="3"/>
  <c r="G52" i="17" s="1"/>
  <c r="AC163" i="3"/>
  <c r="AC162" i="3"/>
  <c r="AC153"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71" i="3"/>
  <c r="I63" i="17" s="1"/>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K6" i="5" l="1"/>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K10" i="5" l="1"/>
  <c r="L6" i="5"/>
  <c r="L10" i="5" s="1"/>
  <c r="C21" i="14"/>
  <c r="C75" i="12"/>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<sst xmlns="http://schemas.openxmlformats.org/spreadsheetml/2006/main" count="832" uniqueCount="448">
  <si>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</si>
  <si>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</si>
  <si>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</si>
  <si>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</si>
  <si>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</si>
  <si>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</si>
  <si>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</si>
  <si>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</si>
  <si>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</si>
  <si>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</si>
  <si>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</si>
  <si>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</si>
  <si>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</si>
  <si>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</si>
  <si>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</si>
  <si>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</si>
  <si>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</si>
  <si>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</si>
  <si>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</si>
  <si>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</si>
  <si>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</si>
  <si>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</si>
  <si>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</si>
  <si>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</si>
  <si>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</si>
  <si>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</si>
  <si>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</si>
  <si>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</si>
  <si>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</si>
  <si>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</si>
  <si>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</si>
  <si>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</si>
  <si>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</si>
  <si>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</si>
  <si>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</si>
  <si>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</si>
  <si>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</si>
  <si>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</si>
  <si>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</si>
  <si>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</si>
  <si>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</si>
  <si>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</si>
  <si>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</si>
  <si>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</si>
  <si>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</si>
  <si>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</si>
  <si>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</si>
  <si>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</si>
  <si>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</si>
  <si>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</si>
  <si>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</si>
  <si>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</si>
  <si>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</si>
  <si>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</si>
  <si>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</si>
  <si>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</si>
  <si>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</si>
  <si>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</si>
  <si>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</si>
  <si>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</si>
  <si>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</si>
  <si>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</si>
  <si>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</si>
  <si>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</si>
  <si>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</si>
  <si>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</si>
  <si>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</si>
  <si>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</si>
  <si>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</si>
  <si>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</si>
  <si>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</si>
  <si>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</si>
  <si>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</si>
  <si>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</si>
  <si>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</si>
  <si>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</si>
  <si>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</si>
  <si>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</si>
  <si>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</si>
  <si>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</si>
  <si>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</si>
  <si>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</si>
  <si>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</si>
  <si>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</si>
  <si>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</si>
  <si>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</si>
  <si>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</si>
  <si>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</si>
  <si>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</si>
  <si>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</si>
  <si>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</si>
  <si>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</si>
  <si>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</si>
  <si>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</si>
  <si>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</si>
  <si>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</si>
  <si>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</si>
  <si>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</si>
  <si>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</si>
  <si>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</si>
  <si>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</si>
  <si>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</si>
  <si>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</si>
  <si>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</si>
  <si>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</si>
  <si>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</si>
  <si>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</si>
  <si>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</si>
  <si>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</si>
  <si>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</si>
  <si>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</si>
  <si>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</si>
  <si>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</si>
  <si>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</si>
  <si>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</si>
  <si>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</si>
  <si>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</si>
  <si>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</si>
  <si>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</si>
  <si>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</si>
  <si>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</si>
  <si>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</si>
  <si>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</si>
  <si>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</si>
  <si>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</si>
  <si>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</si>
  <si>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</si>
  <si>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</si>
  <si>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</si>
  <si>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</si>
  <si>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</si>
  <si>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</si>
  <si>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</si>
  <si>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</si>
  <si>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</si>
  <si>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</si>
  <si>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</si>
  <si>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</si>
  <si>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</si>
  <si>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</si>
  <si>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</si>
  <si>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</si>
  <si>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</si>
  <si>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</si>
  <si>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</si>
  <si>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</si>
  <si>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</si>
  <si>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</si>
  <si>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</si>
  <si>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</si>
  <si>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</si>
  <si>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</si>
  <si>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</si>
  <si>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</si>
  <si>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</si>
  <si>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</si>
  <si>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</si>
  <si>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</si>
  <si>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</si>
  <si>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</si>
  <si>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</si>
  <si>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</si>
  <si>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</si>
  <si>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</si>
  <si>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</si>
  <si>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</si>
  <si>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</si>
  <si>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</si>
  <si>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</si>
  <si>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</si>
  <si>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</si>
  <si>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</si>
  <si>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</si>
  <si>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</si>
  <si>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</si>
  <si>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</si>
  <si>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</si>
  <si>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</si>
  <si>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</si>
  <si>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</si>
  <si>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</si>
  <si>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</si>
  <si>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</si>
  <si>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</si>
  <si>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</si>
  <si>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</si>
  <si>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</si>
  <si>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</si>
  <si>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</si>
  <si>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</si>
  <si>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</si>
  <si>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</si>
  <si>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</si>
  <si>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</si>
  <si>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</si>
  <si>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</si>
  <si>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</si>
  <si>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</si>
  <si>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</si>
  <si>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</si>
  <si>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</si>
  <si>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</si>
  <si>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</si>
  <si>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</si>
  <si>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</si>
  <si>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</si>
  <si>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</si>
  <si>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</si>
  <si>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</si>
  <si>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</si>
  <si>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</si>
  <si>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</si>
  <si>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</si>
  <si>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</si>
  <si>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</si>
  <si>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</si>
  <si>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</si>
  <si>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</si>
  <si>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</si>
  <si>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</si>
  <si>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</si>
  <si>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</si>
  <si>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</si>
  <si>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</si>
  <si>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</si>
  <si>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</si>
  <si>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</si>
  <si>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</si>
  <si>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</si>
  <si>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</si>
  <si>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</si>
  <si>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</si>
  <si>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</si>
  <si>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</si>
  <si>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</si>
  <si>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</si>
  <si>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</si>
  <si>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</si>
  <si>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</si>
  <si>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</si>
  <si>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</si>
  <si>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</si>
  <si>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</si>
  <si>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</si>
  <si>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</si>
  <si>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</si>
  <si>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</si>
  <si>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</si>
  <si>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</si>
  <si>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</si>
  <si>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</si>
  <si>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</si>
  <si>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</si>
  <si>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</si>
  <si>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</si>
  <si>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</si>
  <si>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</si>
  <si>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</si>
  <si>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</si>
  <si>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</si>
  <si>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</si>
  <si>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</si>
  <si>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</si>
  <si>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</si>
  <si>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</si>
  <si>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</si>
  <si>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</si>
  <si>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</si>
  <si>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</si>
  <si>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</si>
  <si>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</si>
  <si>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</si>
  <si>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</si>
  <si>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</si>
  <si>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</si>
  <si>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</si>
  <si>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</si>
  <si>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</si>
  <si>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</si>
  <si>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</si>
  <si>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</si>
  <si>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</si>
  <si>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</si>
  <si>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</si>
  <si>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</si>
  <si>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</si>
  <si>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</si>
  <si>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</si>
  <si>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</si>
  <si>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</si>
  <si>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</si>
  <si>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</si>
  <si>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</si>
  <si>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</si>
  <si>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</si>
  <si>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</si>
  <si>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</si>
  <si>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</si>
  <si>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</si>
  <si>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</si>
  <si>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</si>
  <si>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</si>
  <si>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</si>
  <si>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</si>
  <si>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</si>
  <si>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</si>
  <si>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</si>
  <si>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</si>
  <si>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</si>
  <si>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</si>
  <si>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</si>
  <si>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</si>
  <si>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</si>
  <si>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</si>
  <si>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</si>
  <si>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</si>
  <si>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</si>
  <si>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</si>
  <si>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</si>
  <si>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</si>
  <si>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</si>
  <si>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</si>
  <si>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</si>
  <si>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</si>
  <si>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</si>
  <si>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</si>
  <si>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</si>
  <si>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</si>
  <si>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</si>
  <si>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</si>
  <si>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</si>
  <si>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</si>
  <si>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</si>
  <si>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</si>
  <si>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</si>
  <si>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</si>
  <si>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</si>
  <si>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</si>
  <si>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</si>
  <si>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</si>
  <si>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</si>
  <si>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</si>
  <si>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</si>
  <si>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</si>
  <si>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</si>
  <si>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</si>
  <si>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</si>
  <si>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</si>
  <si>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</si>
  <si>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</si>
  <si>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</si>
  <si>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</si>
  <si>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</si>
  <si>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</si>
  <si>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</si>
  <si>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</si>
  <si>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</si>
  <si>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</si>
  <si>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</si>
  <si>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</si>
  <si>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</si>
  <si>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</si>
  <si>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</si>
  <si>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</si>
  <si>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</si>
  <si>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</si>
  <si>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</si>
  <si>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</si>
  <si>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</si>
  <si>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</si>
  <si>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</si>
  <si>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</si>
  <si>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</si>
  <si>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</si>
  <si>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</si>
  <si>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</si>
  <si>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</si>
  <si>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</si>
  <si>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</si>
  <si>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</si>
  <si>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</si>
  <si>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</si>
  <si>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</si>
  <si>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</si>
  <si>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</si>
  <si>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</si>
  <si>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</si>
  <si>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</si>
  <si>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</si>
  <si>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</si>
  <si>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</si>
  <si>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</si>
  <si>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</si>
  <si>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</si>
  <si>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</si>
  <si>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</si>
  <si>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</si>
  <si>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</si>
  <si>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</si>
  <si>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</si>
  <si>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</si>
  <si>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</si>
  <si>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</si>
  <si>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</si>
  <si>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</si>
  <si>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</si>
  <si>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</si>
  <si>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</si>
  <si>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</si>
  <si>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</si>
  <si>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</si>
  <si>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</si>
  <si>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</si>
  <si>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</si>
  <si>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</si>
  <si>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</si>
  <si>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</si>
  <si>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</si>
  <si>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</si>
  <si>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</si>
  <si>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</si>
  <si>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</si>
  <si>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</si>
  <si>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</si>
  <si>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</si>
  <si>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</si>
  <si>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</si>
  <si>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</si>
  <si>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</si>
  <si>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</si>
  <si>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</si>
  <si>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</si>
  <si>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</si>
  <si>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</si>
  <si>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</si>
  <si>
    <t>30.09.2026</t>
  </si>
  <si>
    <t>In Q1 2027 gross margin will be 85.95% and Opex $2.35B</t>
  </si>
  <si>
    <t>26 signed agreements with customers in datacenter consumer and automotive fields representing more than 35% of revenue through 2030</t>
  </si>
  <si>
    <t>Datacenter revenue increased because of higher pricing and higher bit shipments</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</si>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</sst>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38" fontId="9" fillId="19" borderId="0" xfId="0" applyNumberFormat="1" applyFont="1" applyFill="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https://www.bing.com/financeapi/forcetrigger?t=a1y4oc&amp;q=XNAS%3aMU&amp;form=skydnc</v>
    <v>Learn more on Bing</v>
  </rv>
  <rv s="1">
    <v>0</v>
    <v>MICRON TECHNOLOGY, INC. (XNAS:MU)</v>
    <v>2</v>
    <v>3</v>
    <v>Finance</v>
    <v>4</v>
    <v>en-US</v>
    <v>a1y4oc</v>
    <v>268435456</v>
    <v>1</v>
    <v>Powered by Refinitiv</v>
    <v>1255</v>
    <v>192.4</v>
    <v>2.3460000000000001</v>
    <v>5.18</v>
    <v>5.7239999999999999E-3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61000</v>
    <v>Nasdaq Stock Market</v>
    <v>XNAS</v>
    <v>XNAS</v>
    <v>8000 S Federal Way, Po Box 6, BOISE, ID, 83716-9632 US</v>
    <v>918.89</v>
    <v>Semiconductors &amp; Semiconductor Equipment</v>
    <v>Stock</v>
    <v>46315.718867510936</v>
    <v>0</v>
    <v>881.52</v>
    <v>1029685443840</v>
    <v>MICRON TECHNOLOGY, INC.</v>
    <v>MICRON TECHNOLOGY, INC.</v>
    <v>885</v>
    <v>12.258699999999999</v>
    <v>904.9</v>
    <v>910.08</v>
    <v>1131423000</v>
    <v>MU</v>
    <v>MICRON TECHNOLOGY, INC. (XNAS:MU)</v>
    <v>12708528</v>
    <v>26550431</v>
    <v>1984</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85"/>
  <sheetViews>
    <sheetView tabSelected="1" zoomScale="160" zoomScaleNormal="160" workbookViewId="0">
      <selection activeCell="K12" sqref="K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287</v>
      </c>
      <c r="F2" s="244"/>
      <c r="H2" s="243" t="s">
        <v>325</v>
      </c>
      <c r="I2" s="244"/>
      <c r="K2" s="136" t="s">
        <v>441</v>
      </c>
    </row>
    <row r="3" spans="2:11" x14ac:dyDescent="0.2">
      <c r="B3" s="185" t="s">
        <v>11</v>
      </c>
      <c r="C3" s="217" t="e" vm="1">
        <v>#VALUE!</v>
      </c>
      <c r="D3" s="2"/>
      <c r="E3" s="185" t="s">
        <v>239</v>
      </c>
      <c r="F3" s="187">
        <f ca="1">Statement!AC153</f>
        <v>1042951.6800000001</v>
      </c>
      <c r="H3" s="185" t="str">
        <f>'AVG target price'!B5</f>
        <v>DCF price</v>
      </c>
      <c r="I3" s="211">
        <f ca="1">'AVG target price'!C5</f>
        <v>923.85708759013744</v>
      </c>
      <c r="K3" s="241" t="s">
        <v>442</v>
      </c>
    </row>
    <row r="4" spans="2:11" x14ac:dyDescent="0.2">
      <c r="B4" s="185" t="s">
        <v>0</v>
      </c>
      <c r="C4" s="189" t="str" cm="1">
        <f t="array" aca="1" ref="C4" ca="1">_FV(C3,"Ticker symbol",TRUE)</f>
        <v>MU</v>
      </c>
      <c r="E4" s="186" t="s">
        <v>188</v>
      </c>
      <c r="F4" s="188">
        <f ca="1">Statement!AC154</f>
        <v>974677.68</v>
      </c>
      <c r="H4" s="185" t="str">
        <f>'AVG target price'!B6</f>
        <v>EV/EBIT price</v>
      </c>
      <c r="I4" s="211">
        <f ca="1">'AVG target price'!C6</f>
        <v>1277.6344465261868</v>
      </c>
      <c r="K4" s="241" t="s">
        <v>443</v>
      </c>
    </row>
    <row r="5" spans="2:11" x14ac:dyDescent="0.2">
      <c r="B5" s="185" t="s">
        <v>1</v>
      </c>
      <c r="C5" s="208" cm="1">
        <f t="array" aca="1" ref="C5" ca="1">_FV(C3,"Price",TRUE)</f>
        <v>910.08</v>
      </c>
      <c r="E5" s="185" t="s">
        <v>243</v>
      </c>
      <c r="F5" s="190">
        <f>Statement!AC26</f>
        <v>74.210000000000008</v>
      </c>
      <c r="H5" s="185" t="str">
        <f>'AVG target price'!B7</f>
        <v>PS price</v>
      </c>
      <c r="I5" s="211">
        <f ca="1">'AVG target price'!C7</f>
        <v>565.53962081310044</v>
      </c>
      <c r="K5" s="241" t="s">
        <v>444</v>
      </c>
    </row>
    <row r="6" spans="2:11" x14ac:dyDescent="0.2">
      <c r="B6" s="185" t="s">
        <v>2</v>
      </c>
      <c r="C6" s="208" t="e" cm="1" vm="2">
        <f t="array" ref="C6">_FV(C3,"Price (Extended hours)",TRUE)</f>
        <v>#VALUE!</v>
      </c>
      <c r="E6" s="185" t="s">
        <v>237</v>
      </c>
      <c r="F6" s="190">
        <f ca="1">Statement!AC150</f>
        <v>12.263576337420831</v>
      </c>
      <c r="H6" s="185" t="str">
        <f>'AVG target price'!B8</f>
        <v>EV/FCFF price</v>
      </c>
      <c r="I6" s="211">
        <f ca="1">'AVG target price'!C8</f>
        <v>1724.6381029326601</v>
      </c>
      <c r="K6" s="242" t="s">
        <v>445</v>
      </c>
    </row>
    <row r="7" spans="2:11" x14ac:dyDescent="0.2">
      <c r="B7" s="185" t="s">
        <v>3</v>
      </c>
      <c r="C7" s="6" cm="1">
        <f t="array" aca="1" ref="C7" ca="1">_FV(C3,"Change")</f>
        <v>5.18</v>
      </c>
      <c r="E7" s="186" t="s">
        <v>201</v>
      </c>
      <c r="F7" s="191">
        <f ca="1">Statement!AC151</f>
        <v>7.8101738895395991</v>
      </c>
      <c r="H7" s="185" t="str">
        <f>'AVG target price'!B9</f>
        <v>EV/Sales price</v>
      </c>
      <c r="I7" s="211">
        <f ca="1">'AVG target price'!C9</f>
        <v>910.05112618330634</v>
      </c>
    </row>
    <row r="8" spans="2:11" x14ac:dyDescent="0.2">
      <c r="B8" s="185" t="s">
        <v>4</v>
      </c>
      <c r="C8" s="6" t="e" cm="1" vm="3">
        <f t="array" ref="C8">_FV(C3,"Change (extended hours)",TRUE)</f>
        <v>#VALUE!</v>
      </c>
      <c r="E8" s="185" t="s">
        <v>265</v>
      </c>
      <c r="F8" s="192">
        <f ca="1">Statement!AC161</f>
        <v>5.5256634708139116E-2</v>
      </c>
      <c r="H8" s="184" t="str">
        <f>'AVG target price'!B10</f>
        <v>AVG price</v>
      </c>
      <c r="I8" s="212">
        <f ca="1">'AVG target price'!C10</f>
        <v>1080.3440768090782</v>
      </c>
    </row>
    <row r="9" spans="2:11" x14ac:dyDescent="0.2">
      <c r="B9" s="185" t="s">
        <v>5</v>
      </c>
      <c r="C9" s="73" cm="1">
        <f t="array" aca="1" ref="C9" ca="1">_FV(C3,"Change (%)",TRUE)</f>
        <v>5.7239999999999999E-3</v>
      </c>
      <c r="E9" s="185" t="s">
        <v>288</v>
      </c>
      <c r="F9" s="192">
        <f ca="1">Statement!AC162</f>
        <v>8.1542281997187063E-2</v>
      </c>
      <c r="H9" s="184" t="str">
        <f>'AVG target price'!B12</f>
        <v>Upside/Downside</v>
      </c>
      <c r="I9" s="213">
        <f ca="1">'AVG target price'!C12</f>
        <v>0.18708693390589631</v>
      </c>
    </row>
    <row r="10" spans="2:11" x14ac:dyDescent="0.2">
      <c r="B10" s="185" t="s">
        <v>6</v>
      </c>
      <c r="C10" s="73" t="e" cm="1" vm="4">
        <f t="array" ref="C10">_FV(C3,"Change % (extended hours)",TRUE)</f>
        <v>#VALUE!</v>
      </c>
      <c r="E10" s="185" t="s">
        <v>293</v>
      </c>
      <c r="F10" s="192">
        <f ca="1">Statement!AC164</f>
        <v>6.2323117404633737E-4</v>
      </c>
    </row>
    <row r="11" spans="2:11" x14ac:dyDescent="0.2">
      <c r="B11" s="185" t="s">
        <v>7</v>
      </c>
      <c r="C11" s="209" cm="1">
        <f t="array" aca="1" ref="C11" ca="1">_FV(C3,"52 week high",TRUE)</f>
        <v>1255</v>
      </c>
      <c r="E11" s="186" t="s">
        <v>289</v>
      </c>
      <c r="F11" s="193">
        <f ca="1">Statement!AC163</f>
        <v>6.2082454289732775E-4</v>
      </c>
      <c r="H11" s="184" t="s">
        <v>367</v>
      </c>
      <c r="I11" s="212">
        <f ca="1">DDM!C26</f>
        <v>5.1642637674308656</v>
      </c>
    </row>
    <row r="12" spans="2:11" x14ac:dyDescent="0.2">
      <c r="B12" s="185" t="s">
        <v>8</v>
      </c>
      <c r="C12" s="209" cm="1">
        <f t="array" aca="1" ref="C12" ca="1">_FV(C3,"52 week low",TRUE)</f>
        <v>192.4</v>
      </c>
      <c r="E12" s="185" t="s">
        <v>102</v>
      </c>
      <c r="F12" s="192">
        <f>Statement!AC123</f>
        <v>0.43376317079147264</v>
      </c>
    </row>
    <row r="13" spans="2:11" x14ac:dyDescent="0.2">
      <c r="B13" s="185" t="s">
        <v>9</v>
      </c>
      <c r="C13" s="209" cm="1">
        <f t="array" aca="1" ref="C13" ca="1">_FV(C3,"Beta")</f>
        <v>2.3460000000000001</v>
      </c>
      <c r="E13" s="185" t="s">
        <v>104</v>
      </c>
      <c r="F13" s="192">
        <f>Statement!AC125</f>
        <v>0.61403546806573295</v>
      </c>
      <c r="H13" s="263" t="s">
        <v>431</v>
      </c>
      <c r="I13" s="261">
        <f>'Reverse DCF'!C17</f>
        <v>0.28399999999999997</v>
      </c>
    </row>
    <row r="14" spans="2:11" x14ac:dyDescent="0.2">
      <c r="B14" s="186" t="s">
        <v>10</v>
      </c>
      <c r="C14" s="210" cm="1">
        <f t="array" aca="1" ref="C14" ca="1">_FV(C3,"Volume average",TRUE)</f>
        <v>26550431</v>
      </c>
      <c r="E14" s="186" t="s">
        <v>105</v>
      </c>
      <c r="F14" s="193">
        <f>Statement!AC140</f>
        <v>1.2071781950589597</v>
      </c>
      <c r="H14" s="186" t="s">
        <v>447</v>
      </c>
      <c r="I14" s="262">
        <f ca="1">'Reverse DCF'!C16</f>
        <v>1008.957186410955</v>
      </c>
    </row>
    <row r="15" spans="2:11" x14ac:dyDescent="0.2">
      <c r="E15" s="185" t="s">
        <v>290</v>
      </c>
      <c r="F15" s="192">
        <f ca="1">Statement!AC176</f>
        <v>6.5462284887445599E-2</v>
      </c>
    </row>
    <row r="16" spans="2:11" x14ac:dyDescent="0.2">
      <c r="E16" s="186" t="s">
        <v>295</v>
      </c>
      <c r="F16" s="191">
        <f>Statement!AC175</f>
        <v>60.472984942426926</v>
      </c>
      <c r="H16" s="243" t="s">
        <v>439</v>
      </c>
      <c r="I16" s="244"/>
    </row>
    <row r="17" spans="2:9" x14ac:dyDescent="0.2">
      <c r="B17" s="245" t="s">
        <v>90</v>
      </c>
      <c r="C17" s="245"/>
      <c r="E17" s="184" t="s">
        <v>296</v>
      </c>
      <c r="F17" s="194">
        <f>Statement!AC171</f>
        <v>2.617801047120419E-3</v>
      </c>
      <c r="H17" s="185" t="s">
        <v>165</v>
      </c>
      <c r="I17" s="239">
        <f ca="1">DCF!C15</f>
        <v>0.15637708220925278</v>
      </c>
    </row>
    <row r="18" spans="2:9" x14ac:dyDescent="0.2">
      <c r="B18" s="184" t="s">
        <v>12</v>
      </c>
      <c r="C18" s="69" t="s">
        <v>368</v>
      </c>
      <c r="E18" s="185" t="s">
        <v>297</v>
      </c>
      <c r="F18" s="190">
        <f>Statement!AC144</f>
        <v>-74.647977446327559</v>
      </c>
      <c r="H18" s="186" t="s">
        <v>440</v>
      </c>
      <c r="I18" s="240">
        <f ca="1">Multiples!C54</f>
        <v>0.15693000000000001</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5" t="s">
        <v>107</v>
      </c>
      <c r="C25" s="245"/>
      <c r="E25" s="243" t="s">
        <v>340</v>
      </c>
      <c r="F25" s="244"/>
    </row>
    <row r="26" spans="2:9" x14ac:dyDescent="0.2">
      <c r="B26" s="184" t="s">
        <v>108</v>
      </c>
      <c r="C26" s="170">
        <v>0.21</v>
      </c>
      <c r="E26" s="185" t="e" vm="5">
        <v>#VALUE!</v>
      </c>
      <c r="F26" s="219" cm="1">
        <f t="array" aca="1" ref="F26" ca="1">_FV(E26,"Price")</f>
        <v>51.36</v>
      </c>
    </row>
    <row r="27" spans="2:9" x14ac:dyDescent="0.2">
      <c r="B27" s="184" t="s">
        <v>172</v>
      </c>
      <c r="C27" s="221">
        <v>5.7000000000000002E-2</v>
      </c>
      <c r="E27" s="186" t="s">
        <v>341</v>
      </c>
      <c r="F27" s="220">
        <f ca="1">F26/1000</f>
        <v>5.1360000000000003E-2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435</v>
      </c>
      <c r="D48" s="41"/>
      <c r="E48" s="41" t="s">
        <v>434</v>
      </c>
    </row>
    <row r="49" spans="2:5" x14ac:dyDescent="0.2">
      <c r="B49" s="1" t="s">
        <v>398</v>
      </c>
      <c r="C49" s="1" t="s">
        <v>436</v>
      </c>
    </row>
    <row r="50" spans="2:5" x14ac:dyDescent="0.2">
      <c r="B50" s="1" t="s">
        <v>398</v>
      </c>
      <c r="C50" s="1" t="s">
        <v>437</v>
      </c>
    </row>
    <row r="51" spans="2:5" x14ac:dyDescent="0.2">
      <c r="B51" s="1" t="s">
        <v>398</v>
      </c>
      <c r="C51" s="1" t="s">
        <v>405</v>
      </c>
    </row>
    <row r="52" spans="2:5" x14ac:dyDescent="0.2">
      <c r="B52" s="1" t="s">
        <v>398</v>
      </c>
      <c r="C52" s="1" t="s">
        <v>438</v>
      </c>
    </row>
    <row r="53" spans="2:5" x14ac:dyDescent="0.2">
      <c r="B53" s="1" t="s">
        <v>398</v>
      </c>
      <c r="C53" s="1" t="s">
        <v>407</v>
      </c>
    </row>
    <row r="54" spans="2:5" x14ac:dyDescent="0.2">
      <c r="B54" s="1" t="s">
        <v>398</v>
      </c>
      <c r="C54" s="1" t="s">
        <v>408</v>
      </c>
    </row>
    <row r="57" spans="2:5" x14ac:dyDescent="0.2">
      <c r="B57" s="41" t="s">
        <v>339</v>
      </c>
      <c r="C57" s="41" t="s">
        <v>397</v>
      </c>
      <c r="D57" s="41"/>
      <c r="E57" s="41" t="s">
        <v>85</v>
      </c>
    </row>
    <row r="58" spans="2:5" x14ac:dyDescent="0.2">
      <c r="B58" s="1" t="s">
        <v>398</v>
      </c>
      <c r="C58" s="1" t="s">
        <v>399</v>
      </c>
    </row>
    <row r="59" spans="2:5" x14ac:dyDescent="0.2">
      <c r="B59" s="1" t="s">
        <v>398</v>
      </c>
      <c r="C59" s="1" t="s">
        <v>400</v>
      </c>
    </row>
    <row r="60" spans="2:5" x14ac:dyDescent="0.2">
      <c r="C60" s="1" t="s">
        <v>401</v>
      </c>
    </row>
    <row r="61" spans="2:5" x14ac:dyDescent="0.2">
      <c r="C61" s="1" t="s">
        <v>402</v>
      </c>
    </row>
    <row r="62" spans="2:5" x14ac:dyDescent="0.2">
      <c r="C62" s="1" t="s">
        <v>403</v>
      </c>
    </row>
    <row r="63" spans="2:5" x14ac:dyDescent="0.2">
      <c r="C63" s="1" t="s">
        <v>404</v>
      </c>
    </row>
    <row r="64" spans="2:5" x14ac:dyDescent="0.2">
      <c r="B64" s="1" t="s">
        <v>398</v>
      </c>
      <c r="C64" s="1" t="s">
        <v>405</v>
      </c>
    </row>
    <row r="65" spans="2:8" x14ac:dyDescent="0.2">
      <c r="B65" s="1" t="s">
        <v>398</v>
      </c>
      <c r="C65" s="1" t="s">
        <v>406</v>
      </c>
    </row>
    <row r="66" spans="2:8" x14ac:dyDescent="0.2">
      <c r="B66" s="1" t="s">
        <v>398</v>
      </c>
      <c r="C66" s="1" t="s">
        <v>407</v>
      </c>
    </row>
    <row r="67" spans="2:8" x14ac:dyDescent="0.2">
      <c r="B67" s="1" t="s">
        <v>398</v>
      </c>
      <c r="C67" s="1" t="s">
        <v>408</v>
      </c>
    </row>
    <row r="68" spans="2:8" x14ac:dyDescent="0.2">
      <c r="B68" s="1" t="s">
        <v>398</v>
      </c>
      <c r="C68" s="1" t="s">
        <v>409</v>
      </c>
    </row>
    <row r="69" spans="2:8" x14ac:dyDescent="0.2">
      <c r="B69" s="1" t="s">
        <v>398</v>
      </c>
      <c r="C69" s="1" t="s">
        <v>410</v>
      </c>
    </row>
    <row r="71" spans="2:8" x14ac:dyDescent="0.2">
      <c r="B71" s="41" t="s">
        <v>339</v>
      </c>
      <c r="C71" s="41" t="s">
        <v>420</v>
      </c>
      <c r="D71" s="41"/>
      <c r="E71" s="41" t="s">
        <v>89</v>
      </c>
    </row>
    <row r="72" spans="2:8" x14ac:dyDescent="0.2">
      <c r="B72" s="1" t="s">
        <v>398</v>
      </c>
      <c r="C72" s="1" t="s">
        <v>421</v>
      </c>
    </row>
    <row r="75" spans="2:8" ht="5" customHeight="1" x14ac:dyDescent="0.2">
      <c r="B75" s="136"/>
      <c r="C75" s="136"/>
      <c r="D75" s="136"/>
      <c r="E75" s="136"/>
      <c r="F75" s="136"/>
      <c r="G75" s="136"/>
      <c r="H75" s="136"/>
    </row>
    <row r="78" spans="2:8" x14ac:dyDescent="0.2">
      <c r="B78" s="136" t="s">
        <v>109</v>
      </c>
      <c r="C78" s="136"/>
      <c r="D78" s="136"/>
      <c r="E78" s="136"/>
      <c r="F78" s="136"/>
      <c r="G78" s="136"/>
      <c r="H78" s="136"/>
    </row>
    <row r="80" spans="2:8" x14ac:dyDescent="0.2">
      <c r="B80" s="41" t="s">
        <v>339</v>
      </c>
      <c r="C80" s="41" t="s">
        <v>326</v>
      </c>
      <c r="D80" s="41"/>
      <c r="E80" s="41" t="s">
        <v>327</v>
      </c>
    </row>
    <row r="85" spans="2:8" ht="5" customHeight="1" x14ac:dyDescent="0.2">
      <c r="B85" s="136"/>
      <c r="C85" s="136"/>
      <c r="D85" s="136"/>
      <c r="E85" s="136"/>
      <c r="F85" s="136"/>
      <c r="G85" s="136"/>
      <c r="H85"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FB0360C-24EF-5241-8066-E09C4813D663}"/>
    <hyperlink ref="K4" location="'Analysis -&gt;'!B13" display="'Analysis -&gt;'!B13" xr:uid="{AE5E1E03-D186-2C41-A6CC-06129118B7F8}"/>
    <hyperlink ref="K5" location="'Forecast -&gt;'!B13" display="'Forecast -&gt;'!B13" xr:uid="{21AA7E56-DA1B-FC46-AFAD-5FD96DEC8511}"/>
    <hyperlink ref="K6" location="'Valuation -&gt;'!B13" display="'Valuation -&gt;'!B13" xr:uid="{E7BF3B29-E6B2-DE41-8BB5-EB1F2EF0A76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9.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14</v>
      </c>
    </row>
  </sheetData>
  <hyperlinks>
    <hyperlink ref="H6" location="Overview!B3" display="Overview'!B3" xr:uid="{EBB45001-6307-E34A-9590-9E471CF7DF8E}"/>
    <hyperlink ref="H8" location="'Analysis -&gt;'!B13" display="'Analysis -&gt;'!B13" xr:uid="{7FEFED7B-6F49-6345-A225-CD95CFFF29F3}"/>
    <hyperlink ref="H9" location="'Forecast -&gt;'!B13" display="'Forecast -&gt;'!B13" xr:uid="{97C85210-ECF5-F54E-A672-0A0AF9713E1E}"/>
    <hyperlink ref="H10" location="'Valuation -&gt;'!B13" display="'Valuation -&gt;'!B13" xr:uid="{514F83DF-19BB-4C44-B9EA-53F46030EC1E}"/>
    <hyperlink ref="H7" location="'Financials -&gt;'!B13" display="'Financials -&gt;'!B13" xr:uid="{3A1BB07F-F506-1E46-9D87-5DA805869BD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K9" activePane="bottomRight" state="frozen"/>
      <selection pane="topRight" activeCell="C1" sqref="C1"/>
      <selection pane="bottomLeft" activeCell="A4" sqref="A4"/>
      <selection pane="bottomRight" activeCell="M18" sqref="M1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Y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 si="7">SUM(T8:T10)</f>
        <v>1174</v>
      </c>
      <c r="U11" s="24">
        <f t="shared" ref="U11" si="8">SUM(U8:U10)</f>
        <v>1190</v>
      </c>
      <c r="V11" s="24">
        <f t="shared" ref="V11" si="9">SUM(V8:V10)</f>
        <v>1339</v>
      </c>
      <c r="W11" s="24">
        <f t="shared" ref="W11" si="10">SUM(W8:W10)</f>
        <v>1400</v>
      </c>
      <c r="X11" s="24">
        <f t="shared" ref="X11:Z11" si="11">SUM(X8:X10)</f>
        <v>1510</v>
      </c>
      <c r="Y11" s="24">
        <f t="shared" si="11"/>
        <v>1620</v>
      </c>
      <c r="Z11" s="24">
        <f t="shared" si="11"/>
        <v>1738</v>
      </c>
      <c r="AA11" s="24">
        <f t="shared" ref="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 t="shared" ref="L24:Q24" si="21">L23/L$85</f>
        <v>5.23</v>
      </c>
      <c r="M24" s="65">
        <f t="shared" si="21"/>
        <v>7.81</v>
      </c>
      <c r="N24" s="65">
        <f t="shared" si="21"/>
        <v>-5.34</v>
      </c>
      <c r="O24" s="65">
        <f t="shared" si="21"/>
        <v>0.7</v>
      </c>
      <c r="P24" s="65">
        <f t="shared" si="21"/>
        <v>7.65</v>
      </c>
      <c r="Q24" s="65">
        <f t="shared" si="21"/>
        <v>75.38</v>
      </c>
      <c r="T24" s="65">
        <f t="shared" ref="T24:Z24" si="22">T23/T$85</f>
        <v>1.68</v>
      </c>
      <c r="U24" s="65">
        <f t="shared" si="22"/>
        <v>1.42</v>
      </c>
      <c r="V24" s="65">
        <f t="shared" si="22"/>
        <v>1.69</v>
      </c>
      <c r="W24" s="65">
        <f t="shared" si="22"/>
        <v>2.86</v>
      </c>
      <c r="X24" s="65">
        <f t="shared" si="22"/>
        <v>4.66</v>
      </c>
      <c r="Y24" s="65">
        <f t="shared" si="22"/>
        <v>12.25</v>
      </c>
      <c r="Z24" s="65">
        <f t="shared" si="22"/>
        <v>25.03</v>
      </c>
      <c r="AA24" s="65">
        <f t="shared" ref="AA24" si="23">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 t="shared" ref="L26:Q26" si="24">L25/L$85</f>
        <v>5.14</v>
      </c>
      <c r="M26" s="66">
        <f t="shared" si="24"/>
        <v>7.75</v>
      </c>
      <c r="N26" s="66">
        <f t="shared" si="24"/>
        <v>-5.34</v>
      </c>
      <c r="O26" s="66">
        <f t="shared" si="24"/>
        <v>0.7</v>
      </c>
      <c r="P26" s="66">
        <f t="shared" si="24"/>
        <v>7.59</v>
      </c>
      <c r="Q26" s="66">
        <f t="shared" si="24"/>
        <v>74.33</v>
      </c>
      <c r="R26" s="1"/>
      <c r="S26" s="1"/>
      <c r="T26" s="66">
        <f t="shared" ref="T26:Z26" si="25">T25/T$85</f>
        <v>1.67</v>
      </c>
      <c r="U26" s="66">
        <f t="shared" si="25"/>
        <v>1.41</v>
      </c>
      <c r="V26" s="66">
        <f t="shared" si="25"/>
        <v>1.68</v>
      </c>
      <c r="W26" s="66">
        <f t="shared" si="25"/>
        <v>2.83</v>
      </c>
      <c r="X26" s="66">
        <f t="shared" si="25"/>
        <v>4.5999999999999996</v>
      </c>
      <c r="Y26" s="66">
        <f t="shared" si="25"/>
        <v>12.07</v>
      </c>
      <c r="Z26" s="66">
        <f t="shared" si="25"/>
        <v>24.67</v>
      </c>
      <c r="AA26" s="66">
        <f t="shared" ref="AA26" si="26">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7">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7"/>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7"/>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7"/>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7"/>
        <v>1150</v>
      </c>
    </row>
    <row r="36" spans="1:31" s="34" customFormat="1" x14ac:dyDescent="0.2">
      <c r="A36" s="16"/>
      <c r="B36" s="32" t="s">
        <v>45</v>
      </c>
      <c r="C36" s="35"/>
      <c r="D36" s="35"/>
      <c r="E36" s="35"/>
      <c r="F36" s="35"/>
      <c r="G36" s="35"/>
      <c r="H36" s="35"/>
      <c r="I36" s="35"/>
      <c r="J36" s="35"/>
      <c r="K36" s="35"/>
      <c r="L36" s="35">
        <f t="shared" ref="L36:N36" si="28">L37-L32</f>
        <v>38942</v>
      </c>
      <c r="M36" s="35">
        <f t="shared" si="28"/>
        <v>44502</v>
      </c>
      <c r="N36" s="35">
        <f t="shared" si="28"/>
        <v>43010</v>
      </c>
      <c r="O36" s="35">
        <f>O37-O32</f>
        <v>45044</v>
      </c>
      <c r="P36" s="35">
        <f>P37-P32</f>
        <v>53957</v>
      </c>
      <c r="Q36" s="35">
        <f>Q37-Q32</f>
        <v>104818</v>
      </c>
      <c r="R36" s="1"/>
      <c r="S36" s="1"/>
      <c r="T36" s="35">
        <f t="shared" ref="T36:Y36" si="29">T37-T32</f>
        <v>46968</v>
      </c>
      <c r="U36" s="35">
        <f t="shared" si="29"/>
        <v>48364</v>
      </c>
      <c r="V36" s="35">
        <f t="shared" si="29"/>
        <v>50478</v>
      </c>
      <c r="W36" s="35">
        <f t="shared" si="29"/>
        <v>53957</v>
      </c>
      <c r="X36" s="35">
        <f t="shared" si="29"/>
        <v>56306</v>
      </c>
      <c r="Y36" s="35">
        <f t="shared" si="29"/>
        <v>60096</v>
      </c>
      <c r="Z36" s="35">
        <f t="shared" ref="Z36:AA36" si="30">Z37-Z32</f>
        <v>67375</v>
      </c>
      <c r="AA36" s="35">
        <f t="shared" si="30"/>
        <v>104818</v>
      </c>
      <c r="AB36" s="1"/>
      <c r="AC36" s="35">
        <f t="shared" si="27"/>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7"/>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7"/>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7"/>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7"/>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7"/>
        <v>4688</v>
      </c>
    </row>
    <row r="42" spans="1:31" s="34" customFormat="1" x14ac:dyDescent="0.2">
      <c r="A42" s="16"/>
      <c r="B42" s="32" t="s">
        <v>49</v>
      </c>
      <c r="C42" s="35"/>
      <c r="D42" s="35"/>
      <c r="E42" s="35"/>
      <c r="F42" s="35"/>
      <c r="G42" s="35"/>
      <c r="H42" s="35"/>
      <c r="I42" s="35"/>
      <c r="J42" s="35"/>
      <c r="K42" s="35"/>
      <c r="L42" s="35">
        <f t="shared" ref="L42:N42" si="31">L43-L40</f>
        <v>8492</v>
      </c>
      <c r="M42" s="35">
        <f t="shared" si="31"/>
        <v>8837</v>
      </c>
      <c r="N42" s="35">
        <f t="shared" si="31"/>
        <v>15369</v>
      </c>
      <c r="O42" s="35">
        <f>O43-O40</f>
        <v>15037</v>
      </c>
      <c r="P42" s="35">
        <f>P43-P40</f>
        <v>17179</v>
      </c>
      <c r="Q42" s="35">
        <f>Q43-Q40</f>
        <v>30028</v>
      </c>
      <c r="R42" s="1"/>
      <c r="S42" s="1"/>
      <c r="T42" s="35">
        <f t="shared" ref="T42:Y42" si="32">T43-T40</f>
        <v>15649</v>
      </c>
      <c r="U42" s="35">
        <f t="shared" si="32"/>
        <v>16543</v>
      </c>
      <c r="V42" s="35">
        <f t="shared" si="32"/>
        <v>17514</v>
      </c>
      <c r="W42" s="35">
        <f t="shared" si="32"/>
        <v>17179</v>
      </c>
      <c r="X42" s="35">
        <f t="shared" si="32"/>
        <v>15105</v>
      </c>
      <c r="Y42" s="35">
        <f t="shared" si="32"/>
        <v>14754</v>
      </c>
      <c r="Z42" s="35">
        <f t="shared" ref="Z42:AA42" si="33">Z43-Z40</f>
        <v>13900</v>
      </c>
      <c r="AA42" s="35">
        <f t="shared" si="33"/>
        <v>30028</v>
      </c>
      <c r="AB42" s="1"/>
      <c r="AC42" s="35">
        <f t="shared" si="27"/>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7"/>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7"/>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7"/>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7"/>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7"/>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7"/>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7"/>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7"/>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4">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4"/>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4"/>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4"/>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5">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5"/>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5"/>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5"/>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6">C5-C6-C11+C13+C14+C16-C17</f>
        <v>0</v>
      </c>
      <c r="D69" s="64">
        <f t="shared" si="36"/>
        <v>0</v>
      </c>
      <c r="E69" s="64">
        <f t="shared" si="36"/>
        <v>0</v>
      </c>
      <c r="F69" s="64">
        <f t="shared" si="36"/>
        <v>0</v>
      </c>
      <c r="G69" s="64">
        <f t="shared" si="36"/>
        <v>0</v>
      </c>
      <c r="H69" s="64">
        <f t="shared" si="36"/>
        <v>0</v>
      </c>
      <c r="I69" s="64">
        <f t="shared" si="36"/>
        <v>0</v>
      </c>
      <c r="J69" s="64">
        <f t="shared" si="36"/>
        <v>0</v>
      </c>
      <c r="K69" s="64">
        <f t="shared" si="36"/>
        <v>0</v>
      </c>
      <c r="L69" s="64">
        <f t="shared" ref="L69:P69" si="37">L5-L6-L11+L13+L14+L16-L17</f>
        <v>5824</v>
      </c>
      <c r="M69" s="64">
        <f t="shared" si="37"/>
        <v>8683</v>
      </c>
      <c r="N69" s="64">
        <f t="shared" si="37"/>
        <v>-5835</v>
      </c>
      <c r="O69" s="64">
        <f t="shared" si="37"/>
        <v>789</v>
      </c>
      <c r="P69" s="64">
        <f t="shared" si="37"/>
        <v>8530</v>
      </c>
      <c r="Q69" s="64">
        <f t="shared" si="36"/>
        <v>84910</v>
      </c>
      <c r="T69" s="64">
        <f t="shared" ref="T69:Z69" si="38">T5-T6-T11+T13+T14+T16-T17</f>
        <v>1869</v>
      </c>
      <c r="U69" s="64">
        <f t="shared" si="38"/>
        <v>1581</v>
      </c>
      <c r="V69" s="64">
        <f t="shared" si="38"/>
        <v>1878</v>
      </c>
      <c r="W69" s="64">
        <f t="shared" si="38"/>
        <v>3202</v>
      </c>
      <c r="X69" s="64">
        <f t="shared" si="38"/>
        <v>5232</v>
      </c>
      <c r="Y69" s="64">
        <f t="shared" si="38"/>
        <v>13789</v>
      </c>
      <c r="Z69" s="64">
        <f t="shared" si="38"/>
        <v>28234</v>
      </c>
      <c r="AA69" s="64">
        <f t="shared" ref="AA69" si="39">AA5-AA6-AA11+AA13+AA14+AA16-AA17</f>
        <v>37655</v>
      </c>
      <c r="AC69" s="64">
        <f>AC5-AC6-AC11+AC13+AC14+AC16-AC17</f>
        <v>84910</v>
      </c>
    </row>
    <row r="70" spans="1:31" s="41" customFormat="1" x14ac:dyDescent="0.2">
      <c r="A70" s="16"/>
      <c r="B70" s="17" t="s">
        <v>65</v>
      </c>
      <c r="C70" s="40">
        <f t="shared" ref="C70:Q70" si="40">C18-C69</f>
        <v>0</v>
      </c>
      <c r="D70" s="40">
        <f t="shared" si="40"/>
        <v>0</v>
      </c>
      <c r="E70" s="40">
        <f t="shared" si="40"/>
        <v>0</v>
      </c>
      <c r="F70" s="40">
        <f t="shared" si="40"/>
        <v>0</v>
      </c>
      <c r="G70" s="40">
        <f t="shared" si="40"/>
        <v>0</v>
      </c>
      <c r="H70" s="40">
        <f t="shared" si="40"/>
        <v>0</v>
      </c>
      <c r="I70" s="40">
        <f t="shared" si="40"/>
        <v>0</v>
      </c>
      <c r="J70" s="40">
        <f t="shared" si="40"/>
        <v>0</v>
      </c>
      <c r="K70" s="40">
        <f t="shared" si="40"/>
        <v>0</v>
      </c>
      <c r="L70" s="40">
        <f t="shared" ref="L70:P70" si="41">L18-L69</f>
        <v>37</v>
      </c>
      <c r="M70" s="40">
        <f t="shared" si="41"/>
        <v>4</v>
      </c>
      <c r="N70" s="40">
        <f t="shared" si="41"/>
        <v>2</v>
      </c>
      <c r="O70" s="40">
        <f t="shared" si="41"/>
        <v>-11</v>
      </c>
      <c r="P70" s="40">
        <f t="shared" si="41"/>
        <v>9</v>
      </c>
      <c r="Q70" s="40">
        <f t="shared" si="40"/>
        <v>59</v>
      </c>
      <c r="R70" s="1"/>
      <c r="S70" s="1"/>
      <c r="T70" s="40">
        <f t="shared" ref="T70:Y70" si="42">T18-T69</f>
        <v>1</v>
      </c>
      <c r="U70" s="40">
        <f t="shared" si="42"/>
        <v>2</v>
      </c>
      <c r="V70" s="40">
        <f t="shared" si="42"/>
        <v>7</v>
      </c>
      <c r="W70" s="40">
        <f t="shared" si="42"/>
        <v>-1</v>
      </c>
      <c r="X70" s="40">
        <f t="shared" si="42"/>
        <v>8</v>
      </c>
      <c r="Y70" s="40">
        <f t="shared" si="42"/>
        <v>-4</v>
      </c>
      <c r="Z70" s="40">
        <f t="shared" ref="Z70:AA70" si="43">Z18-Z69</f>
        <v>9</v>
      </c>
      <c r="AA70" s="40">
        <f t="shared" si="43"/>
        <v>46</v>
      </c>
      <c r="AB70" s="16"/>
      <c r="AC70" s="40">
        <f>AC18-AC69</f>
        <v>59</v>
      </c>
      <c r="AD70" s="1"/>
      <c r="AE70" s="1"/>
    </row>
    <row r="71" spans="1:31" s="41" customFormat="1" x14ac:dyDescent="0.2">
      <c r="A71" s="16"/>
      <c r="B71" s="17" t="s">
        <v>66</v>
      </c>
      <c r="C71" s="42">
        <f t="shared" ref="C71:Q71" si="44">C37-(C43+C112)</f>
        <v>0</v>
      </c>
      <c r="D71" s="42">
        <f t="shared" si="44"/>
        <v>0</v>
      </c>
      <c r="E71" s="42">
        <f t="shared" si="44"/>
        <v>0</v>
      </c>
      <c r="F71" s="42">
        <f t="shared" si="44"/>
        <v>0</v>
      </c>
      <c r="G71" s="42">
        <f t="shared" si="44"/>
        <v>0</v>
      </c>
      <c r="H71" s="42">
        <f t="shared" si="44"/>
        <v>0</v>
      </c>
      <c r="I71" s="42">
        <f t="shared" si="44"/>
        <v>0</v>
      </c>
      <c r="J71" s="42">
        <f t="shared" si="44"/>
        <v>0</v>
      </c>
      <c r="K71" s="42">
        <f t="shared" si="44"/>
        <v>0</v>
      </c>
      <c r="L71" s="42">
        <f t="shared" ref="L71:P71" si="45">L37-(L43+L112)</f>
        <v>0</v>
      </c>
      <c r="M71" s="42">
        <f t="shared" si="45"/>
        <v>0</v>
      </c>
      <c r="N71" s="42">
        <f t="shared" si="45"/>
        <v>0</v>
      </c>
      <c r="O71" s="42">
        <f t="shared" si="45"/>
        <v>0</v>
      </c>
      <c r="P71" s="42">
        <f t="shared" si="45"/>
        <v>0</v>
      </c>
      <c r="Q71" s="42">
        <f t="shared" si="44"/>
        <v>0</v>
      </c>
      <c r="R71" s="1"/>
      <c r="S71" s="1"/>
      <c r="T71" s="42">
        <f t="shared" ref="T71:Z71" si="46">T37-(T43+T112)</f>
        <v>0</v>
      </c>
      <c r="U71" s="42">
        <f t="shared" si="46"/>
        <v>0</v>
      </c>
      <c r="V71" s="42">
        <f t="shared" si="46"/>
        <v>0</v>
      </c>
      <c r="W71" s="42">
        <f t="shared" si="46"/>
        <v>0</v>
      </c>
      <c r="X71" s="42">
        <f t="shared" si="46"/>
        <v>0</v>
      </c>
      <c r="Y71" s="42">
        <f t="shared" si="46"/>
        <v>0</v>
      </c>
      <c r="Z71" s="42">
        <f t="shared" si="46"/>
        <v>0</v>
      </c>
      <c r="AA71" s="42">
        <f t="shared" ref="AA71" si="47">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38">
        <v>1129</v>
      </c>
      <c r="T74" s="21">
        <v>1114</v>
      </c>
      <c r="U74" s="21">
        <v>1118</v>
      </c>
      <c r="V74" s="21">
        <v>1119</v>
      </c>
      <c r="W74" s="21">
        <v>1122</v>
      </c>
      <c r="X74" s="21">
        <v>1126</v>
      </c>
      <c r="Y74" s="21">
        <v>1128</v>
      </c>
      <c r="Z74" s="21">
        <v>1129</v>
      </c>
      <c r="AA74" s="238">
        <v>1129</v>
      </c>
      <c r="AC74" s="24">
        <f>AA74</f>
        <v>1129</v>
      </c>
    </row>
    <row r="75" spans="1:31" x14ac:dyDescent="0.2">
      <c r="B75" s="20" t="s">
        <v>69</v>
      </c>
      <c r="C75" s="25"/>
      <c r="D75" s="25"/>
      <c r="E75" s="25"/>
      <c r="F75" s="25"/>
      <c r="G75" s="25"/>
      <c r="H75" s="25"/>
      <c r="I75" s="25"/>
      <c r="J75" s="25"/>
      <c r="K75" s="25"/>
      <c r="L75" s="25">
        <f t="shared" ref="L75:P75" si="48">L74*L85</f>
        <v>1119</v>
      </c>
      <c r="M75" s="25">
        <f t="shared" si="48"/>
        <v>1087</v>
      </c>
      <c r="N75" s="25">
        <f t="shared" si="48"/>
        <v>1098</v>
      </c>
      <c r="O75" s="25">
        <f t="shared" si="48"/>
        <v>1109</v>
      </c>
      <c r="P75" s="25">
        <f t="shared" si="48"/>
        <v>1122</v>
      </c>
      <c r="Q75" s="25">
        <f t="shared" ref="Q75" si="49">Q74*Q85</f>
        <v>1129</v>
      </c>
      <c r="T75" s="25">
        <f t="shared" ref="T75" si="50">T74*T85</f>
        <v>1114</v>
      </c>
      <c r="U75" s="25">
        <f t="shared" ref="U75" si="51">U74*U85</f>
        <v>1118</v>
      </c>
      <c r="V75" s="25">
        <f t="shared" ref="V75" si="52">V74*V85</f>
        <v>1119</v>
      </c>
      <c r="W75" s="25">
        <f t="shared" ref="W75" si="53">W74*W85</f>
        <v>1122</v>
      </c>
      <c r="X75" s="25">
        <f t="shared" ref="X75:Z75" si="54">X74*X85</f>
        <v>1126</v>
      </c>
      <c r="Y75" s="25">
        <f t="shared" si="54"/>
        <v>1128</v>
      </c>
      <c r="Z75" s="25">
        <f t="shared" si="54"/>
        <v>1129</v>
      </c>
      <c r="AA75" s="25">
        <f t="shared" ref="AA75" si="55">AA74*AA85</f>
        <v>1129</v>
      </c>
      <c r="AC75" s="24">
        <f>AA75</f>
        <v>1129</v>
      </c>
    </row>
    <row r="76" spans="1:31" x14ac:dyDescent="0.2">
      <c r="B76" s="20" t="s">
        <v>234</v>
      </c>
      <c r="C76" s="25"/>
      <c r="D76" s="25"/>
      <c r="E76" s="25"/>
      <c r="F76" s="25"/>
      <c r="G76" s="25"/>
      <c r="H76" s="25"/>
      <c r="I76" s="25"/>
      <c r="J76" s="25"/>
      <c r="K76" s="25"/>
      <c r="L76" s="21">
        <v>21</v>
      </c>
      <c r="M76" s="21">
        <v>10</v>
      </c>
      <c r="N76" s="21">
        <v>0</v>
      </c>
      <c r="O76" s="21">
        <v>13</v>
      </c>
      <c r="P76" s="21">
        <v>9</v>
      </c>
      <c r="Q76" s="238">
        <v>17</v>
      </c>
      <c r="T76" s="21">
        <v>11</v>
      </c>
      <c r="U76" s="21">
        <v>8</v>
      </c>
      <c r="V76" s="21">
        <v>7</v>
      </c>
      <c r="W76" s="21">
        <v>9</v>
      </c>
      <c r="X76" s="21">
        <v>13</v>
      </c>
      <c r="Y76" s="21">
        <v>16</v>
      </c>
      <c r="Z76" s="21">
        <v>17</v>
      </c>
      <c r="AA76" s="238">
        <v>17</v>
      </c>
      <c r="AC76" s="21">
        <f>AA76</f>
        <v>17</v>
      </c>
    </row>
    <row r="77" spans="1:31" x14ac:dyDescent="0.2">
      <c r="B77" s="20" t="s">
        <v>235</v>
      </c>
      <c r="C77" s="25"/>
      <c r="D77" s="25"/>
      <c r="E77" s="25"/>
      <c r="F77" s="25"/>
      <c r="G77" s="25"/>
      <c r="H77" s="25"/>
      <c r="I77" s="25"/>
      <c r="J77" s="25"/>
      <c r="K77" s="25"/>
      <c r="L77" s="25">
        <f t="shared" ref="L77:O77" si="56">L76*L85</f>
        <v>21</v>
      </c>
      <c r="M77" s="25">
        <f t="shared" si="56"/>
        <v>10</v>
      </c>
      <c r="N77" s="25">
        <f t="shared" si="56"/>
        <v>0</v>
      </c>
      <c r="O77" s="25">
        <f t="shared" si="56"/>
        <v>13</v>
      </c>
      <c r="P77" s="25">
        <f>P76*P85</f>
        <v>9</v>
      </c>
      <c r="Q77" s="25">
        <f>Q76*Q85</f>
        <v>17</v>
      </c>
      <c r="T77" s="25">
        <f t="shared" ref="T77:Y77" si="57">T76*T85</f>
        <v>11</v>
      </c>
      <c r="U77" s="25">
        <f t="shared" si="57"/>
        <v>8</v>
      </c>
      <c r="V77" s="25">
        <f t="shared" si="57"/>
        <v>7</v>
      </c>
      <c r="W77" s="25">
        <f t="shared" si="57"/>
        <v>9</v>
      </c>
      <c r="X77" s="25">
        <f t="shared" si="57"/>
        <v>13</v>
      </c>
      <c r="Y77" s="25">
        <f t="shared" si="57"/>
        <v>16</v>
      </c>
      <c r="Z77" s="25">
        <f t="shared" ref="Z77:AA77" si="58">Z76*Z85</f>
        <v>17</v>
      </c>
      <c r="AA77" s="25">
        <f t="shared" si="58"/>
        <v>17</v>
      </c>
      <c r="AC77" s="24">
        <f>AA77</f>
        <v>17</v>
      </c>
    </row>
    <row r="78" spans="1:31" x14ac:dyDescent="0.2">
      <c r="B78" s="20" t="s">
        <v>236</v>
      </c>
      <c r="C78" s="25"/>
      <c r="D78" s="25"/>
      <c r="E78" s="25"/>
      <c r="F78" s="25"/>
      <c r="G78" s="25"/>
      <c r="H78" s="25"/>
      <c r="I78" s="25"/>
      <c r="J78" s="25"/>
      <c r="K78" s="25"/>
      <c r="L78" s="25">
        <f t="shared" ref="L78:O78" si="59">L75+L77</f>
        <v>1140</v>
      </c>
      <c r="M78" s="25">
        <f t="shared" si="59"/>
        <v>1097</v>
      </c>
      <c r="N78" s="25">
        <f t="shared" si="59"/>
        <v>1098</v>
      </c>
      <c r="O78" s="25">
        <f t="shared" si="59"/>
        <v>1122</v>
      </c>
      <c r="P78" s="25">
        <f>P75+P77</f>
        <v>1131</v>
      </c>
      <c r="Q78" s="25">
        <f>Q75+Q77</f>
        <v>1146</v>
      </c>
      <c r="T78" s="25">
        <f t="shared" ref="T78:Y78" si="60">T75+T77</f>
        <v>1125</v>
      </c>
      <c r="U78" s="25">
        <f t="shared" si="60"/>
        <v>1126</v>
      </c>
      <c r="V78" s="25">
        <f t="shared" si="60"/>
        <v>1126</v>
      </c>
      <c r="W78" s="25">
        <f t="shared" si="60"/>
        <v>1131</v>
      </c>
      <c r="X78" s="25">
        <f t="shared" si="60"/>
        <v>1139</v>
      </c>
      <c r="Y78" s="25">
        <f t="shared" si="60"/>
        <v>1144</v>
      </c>
      <c r="Z78" s="25">
        <f t="shared" ref="Z78:AA78" si="61">Z75+Z77</f>
        <v>1146</v>
      </c>
      <c r="AA78" s="25">
        <f t="shared" si="61"/>
        <v>1146</v>
      </c>
      <c r="AC78" s="24">
        <f>AA78</f>
        <v>1146</v>
      </c>
    </row>
    <row r="79" spans="1:31" x14ac:dyDescent="0.2">
      <c r="B79" s="20" t="s">
        <v>275</v>
      </c>
      <c r="C79" s="25"/>
      <c r="D79" s="25"/>
      <c r="E79" s="25"/>
      <c r="F79" s="25"/>
      <c r="G79" s="25"/>
      <c r="H79" s="25"/>
      <c r="I79" s="25"/>
      <c r="J79" s="25"/>
      <c r="K79" s="25"/>
      <c r="L79" s="21">
        <v>4</v>
      </c>
      <c r="M79" s="21">
        <v>4</v>
      </c>
      <c r="N79" s="21">
        <v>4</v>
      </c>
      <c r="O79" s="21">
        <v>3</v>
      </c>
      <c r="P79" s="21">
        <v>3</v>
      </c>
      <c r="Q79" s="238">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2">L79*L85</f>
        <v>4</v>
      </c>
      <c r="M80" s="25">
        <f t="shared" si="62"/>
        <v>4</v>
      </c>
      <c r="N80" s="25">
        <f t="shared" si="62"/>
        <v>4</v>
      </c>
      <c r="O80" s="25">
        <f t="shared" si="62"/>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3">L81/L85</f>
        <v>0.1</v>
      </c>
      <c r="M82" s="45">
        <f t="shared" si="63"/>
        <v>0.315</v>
      </c>
      <c r="N82" s="45">
        <f t="shared" si="63"/>
        <v>0.46</v>
      </c>
      <c r="O82" s="45">
        <f t="shared" si="63"/>
        <v>0.46</v>
      </c>
      <c r="P82" s="45">
        <f t="shared" si="63"/>
        <v>0.46</v>
      </c>
      <c r="Q82" s="45">
        <f t="shared" ref="Q82" si="64">Q81/Q85</f>
        <v>0.56999999999999995</v>
      </c>
      <c r="T82" s="45">
        <f t="shared" ref="T82" si="65">T81/T85</f>
        <v>0.115</v>
      </c>
      <c r="U82" s="45">
        <f t="shared" ref="U82" si="66">U81/U85</f>
        <v>0.115</v>
      </c>
      <c r="V82" s="45">
        <f t="shared" ref="V82" si="67">V81/V85</f>
        <v>0.115</v>
      </c>
      <c r="W82" s="45">
        <f t="shared" ref="W82" si="68">W81/W85</f>
        <v>0.115</v>
      </c>
      <c r="X82" s="45">
        <f t="shared" ref="X82:Z82" si="69">X81/X85</f>
        <v>0.115</v>
      </c>
      <c r="Y82" s="45">
        <f t="shared" si="69"/>
        <v>0.15</v>
      </c>
      <c r="Z82" s="45">
        <f t="shared" si="69"/>
        <v>0.15</v>
      </c>
      <c r="AA82" s="45">
        <f t="shared" ref="AA82" si="70">AA81/AA85</f>
        <v>0.15</v>
      </c>
      <c r="AC82" s="72">
        <f>SUM(X82:AA82)</f>
        <v>0.56500000000000006</v>
      </c>
    </row>
    <row r="83" spans="1:31" x14ac:dyDescent="0.2">
      <c r="B83" s="20" t="s">
        <v>72</v>
      </c>
      <c r="C83" s="46">
        <f t="shared" ref="C83:Q83" si="71">IF(AND(C15&gt;0,C16&lt;0),-(C16)/C15,0)</f>
        <v>0</v>
      </c>
      <c r="D83" s="46">
        <f t="shared" si="71"/>
        <v>0</v>
      </c>
      <c r="E83" s="46">
        <f t="shared" si="71"/>
        <v>0</v>
      </c>
      <c r="F83" s="46">
        <f t="shared" si="71"/>
        <v>0</v>
      </c>
      <c r="G83" s="46">
        <f t="shared" si="71"/>
        <v>0</v>
      </c>
      <c r="H83" s="46">
        <f t="shared" si="71"/>
        <v>0</v>
      </c>
      <c r="I83" s="46">
        <f t="shared" si="71"/>
        <v>0</v>
      </c>
      <c r="J83" s="46">
        <f t="shared" si="71"/>
        <v>0</v>
      </c>
      <c r="K83" s="46">
        <f t="shared" si="71"/>
        <v>0</v>
      </c>
      <c r="L83" s="46">
        <f t="shared" ref="L83:P83" si="72">IF(AND(L15&gt;0,L16&lt;0),-(L16)/L15,0)</f>
        <v>6.3364425860405277E-2</v>
      </c>
      <c r="M83" s="46">
        <f t="shared" si="72"/>
        <v>9.2780273743600455E-2</v>
      </c>
      <c r="N83" s="46">
        <f t="shared" si="72"/>
        <v>0</v>
      </c>
      <c r="O83" s="46">
        <f t="shared" si="72"/>
        <v>0.36370967741935484</v>
      </c>
      <c r="P83" s="46">
        <f t="shared" si="72"/>
        <v>0.1164284234514191</v>
      </c>
      <c r="Q83" s="46">
        <f t="shared" si="71"/>
        <v>0.1480972399193346</v>
      </c>
      <c r="T83" s="46">
        <f t="shared" ref="T83:Z83" si="73">IF(AND(T15&gt;0,T16&lt;0),-(T16)/T15,0)</f>
        <v>0.13150557620817843</v>
      </c>
      <c r="U83" s="46">
        <f t="shared" si="73"/>
        <v>0.10068259385665529</v>
      </c>
      <c r="V83" s="46">
        <f t="shared" si="73"/>
        <v>0.11121628017037388</v>
      </c>
      <c r="W83" s="46">
        <f t="shared" si="73"/>
        <v>0.11814927017350592</v>
      </c>
      <c r="X83" s="46">
        <f t="shared" si="73"/>
        <v>0.13677610955287905</v>
      </c>
      <c r="Y83" s="46">
        <f t="shared" si="73"/>
        <v>0.14672029702970296</v>
      </c>
      <c r="Z83" s="46">
        <f t="shared" si="73"/>
        <v>0.14988558352402745</v>
      </c>
      <c r="AA83" s="46">
        <f t="shared" ref="AA83" si="74">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38">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5">IF(K5=0,
IF(L5=0,0,IF(L5&gt;0,1,-1)),
(L5-K5)/ABS(K5)
)</f>
        <v>1</v>
      </c>
      <c r="M89" s="48">
        <f t="shared" ref="M89:M96" si="76">IF(L5=0,
IF(M5=0,0,IF(M5&gt;0,1,-1)),
(M5-L5)/ABS(L5)
)</f>
        <v>0.11019671539433315</v>
      </c>
      <c r="N89" s="48">
        <f t="shared" ref="N89:N96" si="77">IF(M5=0,
IF(N5=0,0,IF(N5&gt;0,1,-1)),
(N5-M5)/ABS(M5)
)</f>
        <v>-0.49476558944014565</v>
      </c>
      <c r="O89" s="48">
        <f t="shared" ref="O89:O96" si="78">IF(N5=0,
IF(O5=0,0,IF(O5&gt;0,1,-1)),
(O5-N5)/ABS(N5)
)</f>
        <v>0.61589446589446595</v>
      </c>
      <c r="P89" s="48">
        <f t="shared" ref="P89:P96" si="79">IF(O5=0,
IF(P5=0,0,IF(P5&gt;0,1,-1)),
(P5-O5)/ABS(O5)
)</f>
        <v>0.48851101111066864</v>
      </c>
      <c r="Q89" s="48">
        <f t="shared" ref="Q89:Q96" si="80">IF(P5=0,
IF(Q5=0,0,IF(Q5&gt;0,1,-1)),
(Q5-P5)/ABS(P5)
)</f>
        <v>2.563272513243084</v>
      </c>
      <c r="R89" s="1"/>
      <c r="S89" s="1"/>
      <c r="T89" s="48">
        <f t="shared" ref="T89:T96" si="81">IF(S5=0,
IF(T5=0,0,IF(T5&gt;0,1,-1)),
(T5-S5)/ABS(S5)
)</f>
        <v>1</v>
      </c>
      <c r="U89" s="48">
        <f t="shared" ref="U89:U96" si="82">IF(T5=0,
IF(U5=0,0,IF(U5&gt;0,1,-1)),
(U5-T5)/ABS(T5)
)</f>
        <v>-7.5324377081180394E-2</v>
      </c>
      <c r="V89" s="48">
        <f t="shared" ref="V89:V96" si="83">IF(U5=0,
IF(V5=0,0,IF(V5&gt;0,1,-1)),
(V5-U5)/ABS(U5)
)</f>
        <v>0.1549733018750776</v>
      </c>
      <c r="W89" s="48">
        <f t="shared" ref="W89:W96" si="84">IF(V5=0,
IF(W5=0,0,IF(W5&gt;0,1,-1)),
(W5-V5)/ABS(V5)
)</f>
        <v>0.21653585635953124</v>
      </c>
      <c r="X89" s="48">
        <f t="shared" ref="X89:X96" si="85">IF(W5=0,
IF(X5=0,0,IF(X5&gt;0,1,-1)),
(X5-W5)/ABS(W5)
)</f>
        <v>0.2057445868316394</v>
      </c>
      <c r="Y89" s="48">
        <f t="shared" ref="Y89:Y96" si="86">IF(X5=0,
IF(Y5=0,0,IF(Y5&gt;0,1,-1)),
(Y5-X5)/ABS(X5)
)</f>
        <v>0.74888221065748006</v>
      </c>
      <c r="Z89" s="48">
        <f t="shared" ref="Z89:Z96" si="87">IF(Y5=0,
IF(Z5=0,0,IF(Z5&gt;0,1,-1)),
(Z5-Y5)/ABS(Y5)
)</f>
        <v>0.73746856663872595</v>
      </c>
      <c r="AA89" s="48">
        <f t="shared" ref="AA89:AA96" si="88">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5"/>
        <v>1</v>
      </c>
      <c r="M90" s="50">
        <f t="shared" si="76"/>
        <v>-2.4418470084480962E-2</v>
      </c>
      <c r="N90" s="50">
        <f t="shared" si="77"/>
        <v>5.6939501779359435E-3</v>
      </c>
      <c r="O90" s="50">
        <f t="shared" si="78"/>
        <v>0.14991743335692381</v>
      </c>
      <c r="P90" s="50">
        <f t="shared" si="79"/>
        <v>0.15422094573802442</v>
      </c>
      <c r="Q90" s="50">
        <f t="shared" si="80"/>
        <v>0.14125749833370363</v>
      </c>
      <c r="T90" s="50">
        <f t="shared" si="81"/>
        <v>1</v>
      </c>
      <c r="U90" s="50">
        <f t="shared" si="82"/>
        <v>-5.0550270471926881E-2</v>
      </c>
      <c r="V90" s="50">
        <f t="shared" si="83"/>
        <v>0.13811394891944989</v>
      </c>
      <c r="W90" s="50">
        <f t="shared" si="84"/>
        <v>8.0787156913516317E-2</v>
      </c>
      <c r="X90" s="50">
        <f t="shared" si="85"/>
        <v>-4.2165788212745567E-2</v>
      </c>
      <c r="Y90" s="50">
        <f t="shared" si="86"/>
        <v>1.8009004502251125E-2</v>
      </c>
      <c r="Z90" s="50">
        <f t="shared" si="87"/>
        <v>4.8321048321048318E-2</v>
      </c>
      <c r="AA90" s="50">
        <f t="shared" si="88"/>
        <v>0.1221875</v>
      </c>
      <c r="AC90" s="68"/>
    </row>
    <row r="91" spans="1:31" s="41" customFormat="1" x14ac:dyDescent="0.2">
      <c r="A91" s="16"/>
      <c r="B91" s="17" t="s">
        <v>21</v>
      </c>
      <c r="C91" s="47"/>
      <c r="D91" s="48"/>
      <c r="E91" s="48"/>
      <c r="F91" s="48"/>
      <c r="G91" s="48"/>
      <c r="H91" s="48"/>
      <c r="I91" s="48"/>
      <c r="J91" s="48"/>
      <c r="K91" s="48"/>
      <c r="L91" s="48">
        <f t="shared" si="75"/>
        <v>1</v>
      </c>
      <c r="M91" s="48">
        <f t="shared" si="76"/>
        <v>0.33339729444497745</v>
      </c>
      <c r="N91" s="48">
        <f t="shared" si="77"/>
        <v>-1.1018851633328537</v>
      </c>
      <c r="O91" s="48">
        <f t="shared" si="78"/>
        <v>4.9639830508474576</v>
      </c>
      <c r="P91" s="48">
        <f t="shared" si="79"/>
        <v>1.6497416711206128</v>
      </c>
      <c r="Q91" s="48">
        <f t="shared" si="80"/>
        <v>6.228131513480804</v>
      </c>
      <c r="R91" s="1"/>
      <c r="S91" s="1"/>
      <c r="T91" s="48">
        <f t="shared" si="81"/>
        <v>1</v>
      </c>
      <c r="U91" s="48">
        <f t="shared" si="82"/>
        <v>-0.11499402628434886</v>
      </c>
      <c r="V91" s="48">
        <f t="shared" si="83"/>
        <v>0.18393520080998987</v>
      </c>
      <c r="W91" s="48">
        <f t="shared" si="84"/>
        <v>0.44070695553021666</v>
      </c>
      <c r="X91" s="48">
        <f t="shared" si="85"/>
        <v>0.51286110011871788</v>
      </c>
      <c r="Y91" s="48">
        <f t="shared" si="86"/>
        <v>1.3221292178917081</v>
      </c>
      <c r="Z91" s="48">
        <f t="shared" si="87"/>
        <v>0.97442973810194311</v>
      </c>
      <c r="AA91" s="48">
        <f t="shared" si="88"/>
        <v>0.3420527156549521</v>
      </c>
      <c r="AB91" s="1"/>
      <c r="AC91" s="67"/>
      <c r="AD91" s="1"/>
      <c r="AE91" s="1"/>
    </row>
    <row r="92" spans="1:31" x14ac:dyDescent="0.2">
      <c r="B92" s="20" t="s">
        <v>22</v>
      </c>
      <c r="C92" s="49"/>
      <c r="D92" s="50"/>
      <c r="E92" s="50"/>
      <c r="F92" s="50"/>
      <c r="G92" s="50"/>
      <c r="H92" s="50"/>
      <c r="I92" s="50"/>
      <c r="J92" s="50"/>
      <c r="K92" s="50"/>
      <c r="L92" s="50">
        <f t="shared" si="75"/>
        <v>1</v>
      </c>
      <c r="M92" s="50">
        <f t="shared" si="76"/>
        <v>0.17010889973713855</v>
      </c>
      <c r="N92" s="50">
        <f t="shared" si="77"/>
        <v>-6.4184852374839533E-4</v>
      </c>
      <c r="O92" s="50">
        <f t="shared" si="78"/>
        <v>0.1014771997430957</v>
      </c>
      <c r="P92" s="50">
        <f t="shared" si="79"/>
        <v>0.10728862973760933</v>
      </c>
      <c r="Q92" s="50">
        <f t="shared" si="80"/>
        <v>0.48762506582411796</v>
      </c>
      <c r="T92" s="50">
        <f t="shared" si="81"/>
        <v>1</v>
      </c>
      <c r="U92" s="50">
        <f t="shared" si="82"/>
        <v>1.1261261261261261E-2</v>
      </c>
      <c r="V92" s="50">
        <f t="shared" si="83"/>
        <v>7.4610244988864149E-2</v>
      </c>
      <c r="W92" s="50">
        <f t="shared" si="84"/>
        <v>8.4974093264248707E-2</v>
      </c>
      <c r="X92" s="50">
        <f t="shared" si="85"/>
        <v>0.11843361986628462</v>
      </c>
      <c r="Y92" s="50">
        <f t="shared" si="86"/>
        <v>6.7463706233988049E-2</v>
      </c>
      <c r="Z92" s="50">
        <f t="shared" si="87"/>
        <v>5.28E-2</v>
      </c>
      <c r="AA92" s="50">
        <f t="shared" si="88"/>
        <v>0.45364741641337386</v>
      </c>
      <c r="AC92" s="68"/>
    </row>
    <row r="93" spans="1:31" x14ac:dyDescent="0.2">
      <c r="B93" s="20" t="s">
        <v>23</v>
      </c>
      <c r="C93" s="49"/>
      <c r="D93" s="50"/>
      <c r="E93" s="50"/>
      <c r="F93" s="50"/>
      <c r="G93" s="50"/>
      <c r="H93" s="50"/>
      <c r="I93" s="50"/>
      <c r="J93" s="50"/>
      <c r="K93" s="50"/>
      <c r="L93" s="50">
        <f t="shared" si="75"/>
        <v>1</v>
      </c>
      <c r="M93" s="50">
        <f t="shared" si="76"/>
        <v>0.19239373601789708</v>
      </c>
      <c r="N93" s="50">
        <f t="shared" si="77"/>
        <v>-0.13696060037523453</v>
      </c>
      <c r="O93" s="50">
        <f t="shared" si="78"/>
        <v>0.22717391304347825</v>
      </c>
      <c r="P93" s="50">
        <f t="shared" si="79"/>
        <v>6.7316209034543842E-2</v>
      </c>
      <c r="Q93" s="50">
        <f t="shared" si="80"/>
        <v>0.61576763485477182</v>
      </c>
      <c r="T93" s="50">
        <f t="shared" si="81"/>
        <v>1</v>
      </c>
      <c r="U93" s="50">
        <f t="shared" si="82"/>
        <v>-1.0416666666666666E-2</v>
      </c>
      <c r="V93" s="50">
        <f t="shared" si="83"/>
        <v>0.11578947368421053</v>
      </c>
      <c r="W93" s="50">
        <f t="shared" si="84"/>
        <v>-1.2578616352201259E-2</v>
      </c>
      <c r="X93" s="50">
        <f t="shared" si="85"/>
        <v>7.32484076433121E-2</v>
      </c>
      <c r="Y93" s="50">
        <f t="shared" si="86"/>
        <v>2.0771513353115726E-2</v>
      </c>
      <c r="Z93" s="50">
        <f t="shared" si="87"/>
        <v>0.18313953488372092</v>
      </c>
      <c r="AA93" s="50">
        <f t="shared" si="88"/>
        <v>1.1105651105651106</v>
      </c>
      <c r="AC93" s="68"/>
    </row>
    <row r="94" spans="1:31" x14ac:dyDescent="0.2">
      <c r="B94" s="23" t="s">
        <v>27</v>
      </c>
      <c r="C94" s="49"/>
      <c r="D94" s="50"/>
      <c r="E94" s="50"/>
      <c r="F94" s="50"/>
      <c r="G94" s="50"/>
      <c r="H94" s="50"/>
      <c r="I94" s="50"/>
      <c r="J94" s="50"/>
      <c r="K94" s="50"/>
      <c r="L94" s="50">
        <f t="shared" si="75"/>
        <v>1</v>
      </c>
      <c r="M94" s="50">
        <f t="shared" si="76"/>
        <v>-0.97598627787307035</v>
      </c>
      <c r="N94" s="50">
        <f t="shared" si="77"/>
        <v>20.071428571428573</v>
      </c>
      <c r="O94" s="50">
        <f t="shared" si="78"/>
        <v>-1.847457627118644</v>
      </c>
      <c r="P94" s="50">
        <f t="shared" si="79"/>
        <v>1.4</v>
      </c>
      <c r="Q94" s="50">
        <f t="shared" si="80"/>
        <v>4.67</v>
      </c>
      <c r="T94" s="50">
        <f t="shared" si="81"/>
        <v>-1</v>
      </c>
      <c r="U94" s="50">
        <f t="shared" si="82"/>
        <v>4.5</v>
      </c>
      <c r="V94" s="50">
        <f t="shared" si="83"/>
        <v>7</v>
      </c>
      <c r="W94" s="50">
        <f t="shared" si="84"/>
        <v>-0.30357142857142855</v>
      </c>
      <c r="X94" s="50">
        <f t="shared" si="85"/>
        <v>-0.94871794871794868</v>
      </c>
      <c r="Y94" s="50">
        <f t="shared" si="86"/>
        <v>12</v>
      </c>
      <c r="Z94" s="50">
        <f t="shared" si="87"/>
        <v>-0.42307692307692307</v>
      </c>
      <c r="AA94" s="50">
        <f t="shared" si="88"/>
        <v>33.93333333333333</v>
      </c>
      <c r="AC94" s="68"/>
    </row>
    <row r="95" spans="1:31" x14ac:dyDescent="0.2">
      <c r="B95" s="23" t="s">
        <v>24</v>
      </c>
      <c r="C95" s="49"/>
      <c r="D95" s="50"/>
      <c r="E95" s="50"/>
      <c r="F95" s="50"/>
      <c r="G95" s="50"/>
      <c r="H95" s="50"/>
      <c r="I95" s="50"/>
      <c r="J95" s="50"/>
      <c r="K95" s="50"/>
      <c r="L95" s="50">
        <f t="shared" si="75"/>
        <v>1</v>
      </c>
      <c r="M95" s="50">
        <f t="shared" si="76"/>
        <v>1.3526570048309179E-2</v>
      </c>
      <c r="N95" s="50">
        <f t="shared" si="77"/>
        <v>3.169685414680648E-2</v>
      </c>
      <c r="O95" s="50">
        <f t="shared" si="78"/>
        <v>-4.6200046200046202E-3</v>
      </c>
      <c r="P95" s="50">
        <f t="shared" si="79"/>
        <v>0.18426549083313995</v>
      </c>
      <c r="Q95" s="50">
        <f t="shared" si="80"/>
        <v>0.59984322947285906</v>
      </c>
      <c r="T95" s="50">
        <f t="shared" si="81"/>
        <v>1</v>
      </c>
      <c r="U95" s="50">
        <f t="shared" si="82"/>
        <v>1.3628620102214651E-2</v>
      </c>
      <c r="V95" s="50">
        <f t="shared" si="83"/>
        <v>0.12521008403361344</v>
      </c>
      <c r="W95" s="50">
        <f t="shared" si="84"/>
        <v>4.5556385362210607E-2</v>
      </c>
      <c r="X95" s="50">
        <f t="shared" si="85"/>
        <v>7.857142857142857E-2</v>
      </c>
      <c r="Y95" s="50">
        <f t="shared" si="86"/>
        <v>7.2847682119205295E-2</v>
      </c>
      <c r="Z95" s="50">
        <f t="shared" si="87"/>
        <v>7.2839506172839505E-2</v>
      </c>
      <c r="AA95" s="50">
        <f t="shared" si="88"/>
        <v>0.89643268124280784</v>
      </c>
      <c r="AC95" s="68"/>
    </row>
    <row r="96" spans="1:31" s="41" customFormat="1" x14ac:dyDescent="0.2">
      <c r="A96" s="16"/>
      <c r="B96" s="17" t="s">
        <v>25</v>
      </c>
      <c r="C96" s="47"/>
      <c r="D96" s="48"/>
      <c r="E96" s="48"/>
      <c r="F96" s="48"/>
      <c r="G96" s="48"/>
      <c r="H96" s="48"/>
      <c r="I96" s="48"/>
      <c r="J96" s="48"/>
      <c r="K96" s="48"/>
      <c r="L96" s="48">
        <f t="shared" si="75"/>
        <v>1</v>
      </c>
      <c r="M96" s="48">
        <f t="shared" si="76"/>
        <v>0.54416679929969758</v>
      </c>
      <c r="N96" s="48">
        <f t="shared" si="77"/>
        <v>-1.5921459492888064</v>
      </c>
      <c r="O96" s="48">
        <f t="shared" si="78"/>
        <v>1.2269799825935597</v>
      </c>
      <c r="P96" s="48">
        <f t="shared" si="79"/>
        <v>6.492331288343558</v>
      </c>
      <c r="Q96" s="48">
        <f t="shared" si="80"/>
        <v>9.1678607983623337</v>
      </c>
      <c r="R96" s="1"/>
      <c r="S96" s="1"/>
      <c r="T96" s="48">
        <f t="shared" si="81"/>
        <v>1</v>
      </c>
      <c r="U96" s="48">
        <f t="shared" si="82"/>
        <v>-0.18445262189512421</v>
      </c>
      <c r="V96" s="48">
        <f t="shared" si="83"/>
        <v>0.2233502538071066</v>
      </c>
      <c r="W96" s="48">
        <f t="shared" si="84"/>
        <v>0.68464730290456433</v>
      </c>
      <c r="X96" s="48">
        <f t="shared" si="85"/>
        <v>0.67925561029009307</v>
      </c>
      <c r="Y96" s="48">
        <f t="shared" si="86"/>
        <v>1.6295632333767927</v>
      </c>
      <c r="Z96" s="48">
        <f t="shared" si="87"/>
        <v>1.0649519677719244</v>
      </c>
      <c r="AA96" s="48">
        <f t="shared" si="88"/>
        <v>0.3131340416591632</v>
      </c>
      <c r="AB96" s="1"/>
      <c r="AC96" s="67"/>
      <c r="AD96" s="1"/>
      <c r="AE96" s="1"/>
    </row>
    <row r="97" spans="1:31" s="53" customFormat="1" x14ac:dyDescent="0.2">
      <c r="A97" s="16"/>
      <c r="B97" s="51" t="s">
        <v>28</v>
      </c>
      <c r="C97" s="47"/>
      <c r="D97" s="52"/>
      <c r="E97" s="52"/>
      <c r="F97" s="52"/>
      <c r="G97" s="52"/>
      <c r="H97" s="52"/>
      <c r="I97" s="52"/>
      <c r="J97" s="52"/>
      <c r="K97" s="52"/>
      <c r="L97" s="52">
        <f t="shared" ref="L97:Q97" si="89">IF(K15=0,
IF(L15=0,0,IF(L15&gt;0,1,-1)),
(L15-K15)/ABS(K15)
)</f>
        <v>1</v>
      </c>
      <c r="M97" s="52">
        <f t="shared" si="89"/>
        <v>0.5392409134770022</v>
      </c>
      <c r="N97" s="52">
        <f t="shared" si="89"/>
        <v>-1.5911607982446976</v>
      </c>
      <c r="O97" s="52">
        <f t="shared" si="89"/>
        <v>1.2191587133262638</v>
      </c>
      <c r="P97" s="52">
        <f t="shared" si="89"/>
        <v>6.7854838709677416</v>
      </c>
      <c r="Q97" s="52">
        <f t="shared" si="89"/>
        <v>9.3243215247565772</v>
      </c>
      <c r="R97" s="1"/>
      <c r="S97" s="1"/>
      <c r="T97" s="52">
        <f t="shared" ref="T97" si="90">IF(S15=0,
IF(T15=0,0,IF(T15&gt;0,1,-1)),
(T15-S15)/ABS(S15)
)</f>
        <v>1</v>
      </c>
      <c r="U97" s="52">
        <f t="shared" ref="U97" si="91">IF(T15=0,
IF(U15=0,0,IF(U15&gt;0,1,-1)),
(U15-T15)/ABS(T15)
)</f>
        <v>-0.18308550185873607</v>
      </c>
      <c r="V97" s="52">
        <f t="shared" ref="V97" si="92">IF(U15=0,
IF(V15=0,0,IF(V15&gt;0,1,-1)),
(V15-U15)/ABS(U15)
)</f>
        <v>0.20193401592718999</v>
      </c>
      <c r="W97" s="52">
        <f t="shared" ref="W97" si="93">IF(V15=0,
IF(W15=0,0,IF(W15&gt;0,1,-1)),
(W15-V15)/ABS(V15)
)</f>
        <v>0.71840984382394701</v>
      </c>
      <c r="X97" s="52">
        <f t="shared" ref="X97" si="94">IF(W15=0,
IF(X15=0,0,IF(X15&gt;0,1,-1)),
(X15-W15)/ABS(W15)
)</f>
        <v>0.66923712475901953</v>
      </c>
      <c r="Y97" s="52">
        <f t="shared" ref="Y97" si="95">IF(X15=0,
IF(Y15=0,0,IF(Y15&gt;0,1,-1)),
(Y15-X15)/ABS(X15)
)</f>
        <v>1.6662266952648077</v>
      </c>
      <c r="Z97" s="52">
        <f t="shared" ref="Z97" si="96">IF(Y15=0,
IF(Z15=0,0,IF(Z15&gt;0,1,-1)),
(Z15-Y15)/ABS(Y15)
)</f>
        <v>1.0551980198019801</v>
      </c>
      <c r="AA97" s="52">
        <f t="shared" ref="AA97" si="97">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 t="shared" ref="L98:Q98" si="98">IF(K18=0,
IF(L18=0,0,IF(L18&gt;0,1,-1)),
(L18-K18)/ABS(K18)
)</f>
        <v>1</v>
      </c>
      <c r="M98" s="52">
        <f t="shared" si="98"/>
        <v>0.48217027810953761</v>
      </c>
      <c r="N98" s="52">
        <f t="shared" si="98"/>
        <v>-1.6714631057902614</v>
      </c>
      <c r="O98" s="52">
        <f t="shared" si="98"/>
        <v>1.1333790502314418</v>
      </c>
      <c r="P98" s="52">
        <f t="shared" si="98"/>
        <v>9.9755784061696655</v>
      </c>
      <c r="Q98" s="52">
        <f t="shared" si="98"/>
        <v>8.9506968029043215</v>
      </c>
      <c r="R98" s="1"/>
      <c r="S98" s="1"/>
      <c r="T98" s="52">
        <f t="shared" ref="T98" si="99">IF(S18=0,
IF(T18=0,0,IF(T18&gt;0,1,-1)),
(T18-S18)/ABS(S18)
)</f>
        <v>1</v>
      </c>
      <c r="U98" s="52">
        <f t="shared" ref="U98" si="100">IF(T18=0,
IF(U18=0,0,IF(U18&gt;0,1,-1)),
(U18-T18)/ABS(T18)
)</f>
        <v>-0.153475935828877</v>
      </c>
      <c r="V98" s="52">
        <f t="shared" ref="V98" si="101">IF(U18=0,
IF(V18=0,0,IF(V18&gt;0,1,-1)),
(V18-U18)/ABS(U18)
)</f>
        <v>0.19077700568540745</v>
      </c>
      <c r="W98" s="52">
        <f t="shared" ref="W98" si="102">IF(V18=0,
IF(W18=0,0,IF(W18&gt;0,1,-1)),
(W18-V18)/ABS(V18)
)</f>
        <v>0.69814323607427053</v>
      </c>
      <c r="X98" s="52">
        <f t="shared" ref="X98" si="103">IF(W18=0,
IF(X18=0,0,IF(X18&gt;0,1,-1)),
(X18-W18)/ABS(W18)
)</f>
        <v>0.63698844111215247</v>
      </c>
      <c r="Y98" s="52">
        <f t="shared" ref="Y98" si="104">IF(X18=0,
IF(Y18=0,0,IF(Y18&gt;0,1,-1)),
(Y18-X18)/ABS(X18)
)</f>
        <v>1.6307251908396947</v>
      </c>
      <c r="Z98" s="52">
        <f t="shared" ref="Z98" si="105">IF(Y18=0,
IF(Z18=0,0,IF(Z18&gt;0,1,-1)),
(Z18-Y18)/ABS(Y18)
)</f>
        <v>1.0488211824446863</v>
      </c>
      <c r="AA98" s="52">
        <f t="shared" ref="AA98" si="106">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 t="shared" ref="L101:Q101" si="107">L7/L5</f>
        <v>0.37621367984118392</v>
      </c>
      <c r="M101" s="50">
        <f t="shared" si="107"/>
        <v>0.45184992522270628</v>
      </c>
      <c r="N101" s="50">
        <f t="shared" si="107"/>
        <v>-9.1119691119691121E-2</v>
      </c>
      <c r="O101" s="50">
        <f t="shared" si="107"/>
        <v>0.22352753773246783</v>
      </c>
      <c r="P101" s="50">
        <f t="shared" si="107"/>
        <v>0.39790786023864305</v>
      </c>
      <c r="Q101" s="50">
        <f t="shared" si="107"/>
        <v>0.8071598041865633</v>
      </c>
      <c r="T101" s="50">
        <f t="shared" ref="T101:Z101" si="108">T7/T5</f>
        <v>0.38442990010334138</v>
      </c>
      <c r="U101" s="50">
        <f t="shared" si="108"/>
        <v>0.36793741462808893</v>
      </c>
      <c r="V101" s="50">
        <f t="shared" si="108"/>
        <v>0.37716374583378132</v>
      </c>
      <c r="W101" s="50">
        <f t="shared" si="108"/>
        <v>0.44666372072470173</v>
      </c>
      <c r="X101" s="50">
        <f t="shared" si="108"/>
        <v>0.56043392215788312</v>
      </c>
      <c r="Y101" s="50">
        <f t="shared" si="108"/>
        <v>0.74413243922883487</v>
      </c>
      <c r="Z101" s="50">
        <f t="shared" si="108"/>
        <v>0.84561945194905441</v>
      </c>
      <c r="AA101" s="50">
        <f t="shared" ref="AA101" si="109">AA7/AA5</f>
        <v>0.86756163676261777</v>
      </c>
      <c r="AC101" s="50">
        <f>AC7/AC5</f>
        <v>0.8071598041865633</v>
      </c>
    </row>
    <row r="102" spans="1:31" x14ac:dyDescent="0.2">
      <c r="B102" s="20" t="s">
        <v>78</v>
      </c>
      <c r="C102" s="50"/>
      <c r="D102" s="50"/>
      <c r="E102" s="50"/>
      <c r="F102" s="50"/>
      <c r="G102" s="50"/>
      <c r="H102" s="50"/>
      <c r="I102" s="50"/>
      <c r="J102" s="50"/>
      <c r="K102" s="50"/>
      <c r="L102" s="50">
        <f t="shared" ref="L102:Q102" si="110">L12/L5</f>
        <v>0.22678216928352282</v>
      </c>
      <c r="M102" s="50">
        <f t="shared" si="110"/>
        <v>0.31543013199817932</v>
      </c>
      <c r="N102" s="50">
        <f t="shared" si="110"/>
        <v>-0.36969111969111967</v>
      </c>
      <c r="O102" s="50">
        <f t="shared" si="110"/>
        <v>5.192943331607662E-2</v>
      </c>
      <c r="P102" s="50">
        <f t="shared" si="110"/>
        <v>0.26138370164267749</v>
      </c>
      <c r="Q102" s="50">
        <f t="shared" si="110"/>
        <v>0.7458629906598192</v>
      </c>
      <c r="T102" s="50">
        <f t="shared" ref="T102:Z102" si="111">T12/T5</f>
        <v>0.24962682282696061</v>
      </c>
      <c r="U102" s="50">
        <f t="shared" si="111"/>
        <v>0.22016639761579535</v>
      </c>
      <c r="V102" s="50">
        <f t="shared" si="111"/>
        <v>0.23320073110418235</v>
      </c>
      <c r="W102" s="50">
        <f t="shared" si="111"/>
        <v>0.32293415819708354</v>
      </c>
      <c r="X102" s="50">
        <f t="shared" si="111"/>
        <v>0.44975445283295462</v>
      </c>
      <c r="Y102" s="50">
        <f t="shared" si="111"/>
        <v>0.67623637887678123</v>
      </c>
      <c r="Z102" s="50">
        <f t="shared" si="111"/>
        <v>0.80369548436896954</v>
      </c>
      <c r="AA102" s="50">
        <f t="shared" ref="AA102" si="112">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 t="shared" ref="L103:Q103" si="113">L111/L5</f>
        <v>0.2115502616856163</v>
      </c>
      <c r="M103" s="55">
        <f t="shared" si="113"/>
        <v>0.28243058716431496</v>
      </c>
      <c r="N103" s="55">
        <f t="shared" si="113"/>
        <v>-0.37535392535392537</v>
      </c>
      <c r="O103" s="55">
        <f t="shared" si="113"/>
        <v>3.0982437975389271E-2</v>
      </c>
      <c r="P103" s="55">
        <f t="shared" si="113"/>
        <v>0.22844989030980792</v>
      </c>
      <c r="Q103" s="55">
        <f t="shared" si="113"/>
        <v>0.63796287953869713</v>
      </c>
      <c r="R103" s="1"/>
      <c r="S103" s="1"/>
      <c r="T103" s="55">
        <f t="shared" ref="T103:Z103" si="114">T111/T5</f>
        <v>0.21472040417958435</v>
      </c>
      <c r="U103" s="55">
        <f t="shared" si="114"/>
        <v>0.19657270582391656</v>
      </c>
      <c r="V103" s="55">
        <f t="shared" si="114"/>
        <v>0.20266637995914419</v>
      </c>
      <c r="W103" s="55">
        <f t="shared" si="114"/>
        <v>0.28289880689350422</v>
      </c>
      <c r="X103" s="55">
        <f t="shared" si="114"/>
        <v>0.38407974785604337</v>
      </c>
      <c r="Y103" s="55">
        <f t="shared" si="114"/>
        <v>0.57774518021793797</v>
      </c>
      <c r="Z103" s="55">
        <f t="shared" si="114"/>
        <v>0.68127653415669631</v>
      </c>
      <c r="AA103" s="55">
        <f t="shared" ref="AA103" si="115">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16">IF(AND(C83&gt;=0,C12&gt;=0),C83,0)</f>
        <v>0</v>
      </c>
      <c r="D106" s="81">
        <f t="shared" si="116"/>
        <v>0</v>
      </c>
      <c r="E106" s="81">
        <f t="shared" si="116"/>
        <v>0</v>
      </c>
      <c r="F106" s="81">
        <f t="shared" si="116"/>
        <v>0</v>
      </c>
      <c r="G106" s="81">
        <f t="shared" si="116"/>
        <v>0</v>
      </c>
      <c r="H106" s="81">
        <f t="shared" si="116"/>
        <v>0</v>
      </c>
      <c r="I106" s="81">
        <f t="shared" si="116"/>
        <v>0</v>
      </c>
      <c r="J106" s="81">
        <f t="shared" si="116"/>
        <v>0</v>
      </c>
      <c r="K106" s="81">
        <f t="shared" si="116"/>
        <v>0</v>
      </c>
      <c r="L106" s="81">
        <f t="shared" ref="L106:P106" si="117">IF(AND(L83&gt;=0,L12&gt;=0),L83,0)</f>
        <v>6.3364425860405277E-2</v>
      </c>
      <c r="M106" s="81">
        <f t="shared" si="117"/>
        <v>9.2780273743600455E-2</v>
      </c>
      <c r="N106" s="81">
        <f t="shared" si="117"/>
        <v>0</v>
      </c>
      <c r="O106" s="81">
        <f t="shared" si="117"/>
        <v>0.36370967741935484</v>
      </c>
      <c r="P106" s="81">
        <f t="shared" si="117"/>
        <v>0.1164284234514191</v>
      </c>
      <c r="Q106" s="81">
        <f t="shared" si="116"/>
        <v>0.1480972399193346</v>
      </c>
      <c r="T106" s="81">
        <f t="shared" ref="T106:Z106" si="118">IF(AND(T83&gt;=0,T12&gt;=0),T83,0)</f>
        <v>0.13150557620817843</v>
      </c>
      <c r="U106" s="81">
        <f t="shared" si="118"/>
        <v>0.10068259385665529</v>
      </c>
      <c r="V106" s="81">
        <f t="shared" si="118"/>
        <v>0.11121628017037388</v>
      </c>
      <c r="W106" s="81">
        <f t="shared" si="118"/>
        <v>0.11814927017350592</v>
      </c>
      <c r="X106" s="81">
        <f t="shared" si="118"/>
        <v>0.13677610955287905</v>
      </c>
      <c r="Y106" s="81">
        <f t="shared" si="118"/>
        <v>0.14672029702970296</v>
      </c>
      <c r="Z106" s="81">
        <f t="shared" si="118"/>
        <v>0.14988558352402745</v>
      </c>
      <c r="AA106" s="81">
        <f t="shared" ref="AA106" si="119">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20">M29+M34</f>
        <v>10978</v>
      </c>
      <c r="N107" s="25">
        <f t="shared" si="120"/>
        <v>10438</v>
      </c>
      <c r="O107" s="25">
        <f t="shared" si="120"/>
        <v>9152</v>
      </c>
      <c r="P107" s="25">
        <f t="shared" si="120"/>
        <v>11936</v>
      </c>
      <c r="Q107" s="25">
        <f t="shared" ref="Q107" si="121">Q29+Q34</f>
        <v>73453</v>
      </c>
      <c r="T107" s="25">
        <f t="shared" ref="T107:Z107" si="122">T29+T34</f>
        <v>8744</v>
      </c>
      <c r="U107" s="25">
        <f t="shared" si="122"/>
        <v>9590</v>
      </c>
      <c r="V107" s="25">
        <f t="shared" si="122"/>
        <v>12213</v>
      </c>
      <c r="W107" s="25">
        <f t="shared" si="122"/>
        <v>11936</v>
      </c>
      <c r="X107" s="25">
        <f t="shared" si="122"/>
        <v>12015</v>
      </c>
      <c r="Y107" s="25">
        <f t="shared" si="122"/>
        <v>16627</v>
      </c>
      <c r="Z107" s="25">
        <f t="shared" si="122"/>
        <v>30128</v>
      </c>
      <c r="AA107" s="25">
        <f t="shared" ref="AA107" si="123">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 t="shared" ref="L108:Q108" si="124">L39+L41</f>
        <v>6776</v>
      </c>
      <c r="M108" s="25">
        <f t="shared" si="124"/>
        <v>6906</v>
      </c>
      <c r="N108" s="25">
        <f t="shared" si="124"/>
        <v>13330</v>
      </c>
      <c r="O108" s="25">
        <f t="shared" si="124"/>
        <v>13397</v>
      </c>
      <c r="P108" s="25">
        <f t="shared" si="124"/>
        <v>14577</v>
      </c>
      <c r="Q108" s="25">
        <f t="shared" si="124"/>
        <v>5179</v>
      </c>
      <c r="T108" s="25">
        <f t="shared" ref="T108:Z108" si="125">T39+T41</f>
        <v>13785</v>
      </c>
      <c r="U108" s="25">
        <f t="shared" si="125"/>
        <v>14355</v>
      </c>
      <c r="V108" s="25">
        <f t="shared" si="125"/>
        <v>15541</v>
      </c>
      <c r="W108" s="25">
        <f t="shared" si="125"/>
        <v>14577</v>
      </c>
      <c r="X108" s="25">
        <f t="shared" si="125"/>
        <v>11756</v>
      </c>
      <c r="Y108" s="25">
        <f t="shared" si="125"/>
        <v>10142</v>
      </c>
      <c r="Z108" s="25">
        <f t="shared" si="125"/>
        <v>5722</v>
      </c>
      <c r="AA108" s="25">
        <f t="shared" ref="AA108" si="126">AA39+AA41</f>
        <v>5179</v>
      </c>
      <c r="AC108" s="25">
        <f>AA108</f>
        <v>5179</v>
      </c>
    </row>
    <row r="109" spans="1:31" x14ac:dyDescent="0.2">
      <c r="B109" s="20" t="s">
        <v>162</v>
      </c>
      <c r="C109" s="25"/>
      <c r="D109" s="25"/>
      <c r="E109" s="25"/>
      <c r="F109" s="25"/>
      <c r="G109" s="25"/>
      <c r="H109" s="25"/>
      <c r="I109" s="25"/>
      <c r="J109" s="25"/>
      <c r="K109" s="25"/>
      <c r="L109" s="130">
        <f t="shared" ref="L109:Q109" si="127">L12*(1-L106)</f>
        <v>5884.8813123190739</v>
      </c>
      <c r="M109" s="130">
        <f t="shared" si="127"/>
        <v>8801.8457841395884</v>
      </c>
      <c r="N109" s="130">
        <f t="shared" si="127"/>
        <v>-5745</v>
      </c>
      <c r="O109" s="130">
        <f t="shared" si="127"/>
        <v>829.7225806451612</v>
      </c>
      <c r="P109" s="25">
        <f t="shared" si="127"/>
        <v>8632.4943028796351</v>
      </c>
      <c r="Q109" s="25">
        <f t="shared" si="127"/>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 t="shared" ref="L110:Q110" si="128">L60+L61</f>
        <v>-10030</v>
      </c>
      <c r="M110" s="130">
        <f t="shared" si="128"/>
        <v>-12067</v>
      </c>
      <c r="N110" s="130">
        <f t="shared" si="128"/>
        <v>-7676</v>
      </c>
      <c r="O110" s="130">
        <f t="shared" si="128"/>
        <v>-8386</v>
      </c>
      <c r="P110" s="130">
        <f t="shared" si="128"/>
        <v>-15857</v>
      </c>
      <c r="Q110" s="130">
        <f t="shared" si="128"/>
        <v>-30712</v>
      </c>
      <c r="T110" s="130">
        <f t="shared" ref="T110:Z110" si="129">T60+T61</f>
        <v>-3206</v>
      </c>
      <c r="U110" s="130">
        <f t="shared" si="129"/>
        <v>-4055</v>
      </c>
      <c r="V110" s="130">
        <f t="shared" si="129"/>
        <v>-2938</v>
      </c>
      <c r="W110" s="130">
        <f t="shared" si="129"/>
        <v>-5658</v>
      </c>
      <c r="X110" s="130">
        <f t="shared" si="129"/>
        <v>-5389</v>
      </c>
      <c r="Y110" s="130">
        <f t="shared" si="129"/>
        <v>-6387</v>
      </c>
      <c r="Z110" s="130">
        <f t="shared" si="129"/>
        <v>-7826</v>
      </c>
      <c r="AA110" s="130">
        <f t="shared" ref="AA110" si="130">AA60+AA61</f>
        <v>-11110</v>
      </c>
      <c r="AC110" s="130">
        <f>AC60+AC61</f>
        <v>-30712</v>
      </c>
    </row>
    <row r="111" spans="1:31" x14ac:dyDescent="0.2">
      <c r="B111" s="20" t="s">
        <v>329</v>
      </c>
      <c r="C111" s="25"/>
      <c r="D111" s="25"/>
      <c r="E111" s="25"/>
      <c r="F111" s="25"/>
      <c r="G111" s="25"/>
      <c r="H111" s="25"/>
      <c r="I111" s="25"/>
      <c r="J111" s="25"/>
      <c r="K111" s="25"/>
      <c r="L111" s="130">
        <f t="shared" ref="L111:Q111" si="131">L17+L18</f>
        <v>5861</v>
      </c>
      <c r="M111" s="130">
        <f t="shared" si="131"/>
        <v>8687</v>
      </c>
      <c r="N111" s="130">
        <f t="shared" si="131"/>
        <v>-5833</v>
      </c>
      <c r="O111" s="130">
        <f t="shared" si="131"/>
        <v>778</v>
      </c>
      <c r="P111" s="130">
        <f t="shared" si="131"/>
        <v>8539</v>
      </c>
      <c r="Q111" s="130">
        <f t="shared" si="131"/>
        <v>84969</v>
      </c>
      <c r="T111" s="130">
        <f t="shared" ref="T111:Z111" si="132">T17+T18</f>
        <v>1870</v>
      </c>
      <c r="U111" s="130">
        <f t="shared" si="132"/>
        <v>1583</v>
      </c>
      <c r="V111" s="130">
        <f t="shared" si="132"/>
        <v>1885</v>
      </c>
      <c r="W111" s="130">
        <f t="shared" si="132"/>
        <v>3201</v>
      </c>
      <c r="X111" s="130">
        <f t="shared" si="132"/>
        <v>5240</v>
      </c>
      <c r="Y111" s="130">
        <f t="shared" si="132"/>
        <v>13785</v>
      </c>
      <c r="Z111" s="130">
        <f t="shared" si="132"/>
        <v>28243</v>
      </c>
      <c r="AA111" s="130">
        <f t="shared" ref="AA111" si="133">AA17+AA18</f>
        <v>37701</v>
      </c>
      <c r="AC111" s="130">
        <f>AC17+AC18</f>
        <v>84969</v>
      </c>
    </row>
    <row r="112" spans="1:31" x14ac:dyDescent="0.2">
      <c r="B112" s="20" t="s">
        <v>330</v>
      </c>
      <c r="C112" s="25"/>
      <c r="D112" s="25"/>
      <c r="E112" s="25"/>
      <c r="F112" s="25"/>
      <c r="G112" s="25"/>
      <c r="H112" s="25"/>
      <c r="I112" s="25"/>
      <c r="J112" s="25"/>
      <c r="K112" s="25"/>
      <c r="L112" s="130">
        <f t="shared" ref="L112:Q112" si="134">L49+L48</f>
        <v>43933</v>
      </c>
      <c r="M112" s="130">
        <f t="shared" si="134"/>
        <v>49907</v>
      </c>
      <c r="N112" s="130">
        <f t="shared" si="134"/>
        <v>44120</v>
      </c>
      <c r="O112" s="130">
        <f t="shared" si="134"/>
        <v>45131</v>
      </c>
      <c r="P112" s="130">
        <f t="shared" si="134"/>
        <v>54165</v>
      </c>
      <c r="Q112" s="130">
        <f t="shared" si="134"/>
        <v>138378</v>
      </c>
      <c r="T112" s="130">
        <f t="shared" ref="T112:Z112" si="135">T49+T48</f>
        <v>46797</v>
      </c>
      <c r="U112" s="130">
        <f t="shared" si="135"/>
        <v>48633</v>
      </c>
      <c r="V112" s="130">
        <f t="shared" si="135"/>
        <v>50748</v>
      </c>
      <c r="W112" s="130">
        <f t="shared" si="135"/>
        <v>54165</v>
      </c>
      <c r="X112" s="130">
        <f t="shared" si="135"/>
        <v>58806</v>
      </c>
      <c r="Y112" s="130">
        <f t="shared" si="135"/>
        <v>72459</v>
      </c>
      <c r="Z112" s="130">
        <f t="shared" si="135"/>
        <v>100724</v>
      </c>
      <c r="AA112" s="130">
        <f t="shared" ref="AA112" si="136">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910.08</v>
      </c>
    </row>
    <row r="117" spans="1:31" x14ac:dyDescent="0.2">
      <c r="B117" s="20" t="s">
        <v>342</v>
      </c>
      <c r="C117" s="26"/>
      <c r="D117" s="26"/>
      <c r="E117" s="26"/>
      <c r="F117" s="26"/>
      <c r="G117" s="26"/>
      <c r="H117" s="26"/>
      <c r="I117" s="26"/>
      <c r="J117" s="26"/>
      <c r="K117" s="26"/>
      <c r="L117" s="65">
        <f t="shared" ref="L117:Q117" si="137">L116/L85</f>
        <v>83.32</v>
      </c>
      <c r="M117" s="65">
        <f t="shared" si="137"/>
        <v>57.31</v>
      </c>
      <c r="N117" s="65">
        <f t="shared" si="137"/>
        <v>68.09</v>
      </c>
      <c r="O117" s="65">
        <f t="shared" si="137"/>
        <v>95.57</v>
      </c>
      <c r="P117" s="65">
        <f t="shared" si="137"/>
        <v>122</v>
      </c>
      <c r="Q117" s="65">
        <f t="shared" si="137"/>
        <v>958.16</v>
      </c>
      <c r="T117" s="65">
        <f t="shared" ref="T117:Z117" si="138">T116/T85</f>
        <v>97.7</v>
      </c>
      <c r="U117" s="65">
        <f t="shared" si="138"/>
        <v>91.82</v>
      </c>
      <c r="V117" s="65">
        <f t="shared" si="138"/>
        <v>96.55</v>
      </c>
      <c r="W117" s="65">
        <f t="shared" si="138"/>
        <v>122</v>
      </c>
      <c r="X117" s="65">
        <f t="shared" si="138"/>
        <v>230.26</v>
      </c>
      <c r="Y117" s="65">
        <f t="shared" si="138"/>
        <v>415.56</v>
      </c>
      <c r="Z117" s="65">
        <f t="shared" si="138"/>
        <v>923.52</v>
      </c>
      <c r="AA117" s="65">
        <f t="shared" ref="AA117" si="139">AA116/AA85</f>
        <v>958.16</v>
      </c>
      <c r="AC117" s="65">
        <f ca="1">AC116/AC85</f>
        <v>910.08</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 t="shared" ref="L121:Q121" si="140">L111/L5</f>
        <v>0.2115502616856163</v>
      </c>
      <c r="M121" s="74">
        <f t="shared" si="140"/>
        <v>0.28243058716431496</v>
      </c>
      <c r="N121" s="74">
        <f t="shared" si="140"/>
        <v>-0.37535392535392537</v>
      </c>
      <c r="O121" s="74">
        <f t="shared" si="140"/>
        <v>3.0982437975389271E-2</v>
      </c>
      <c r="P121" s="74">
        <f t="shared" si="140"/>
        <v>0.22844989030980792</v>
      </c>
      <c r="Q121" s="74">
        <f t="shared" si="140"/>
        <v>0.63796287953869713</v>
      </c>
      <c r="T121" s="77"/>
      <c r="U121" s="77"/>
      <c r="V121" s="77"/>
      <c r="W121" s="77"/>
      <c r="X121" s="77"/>
      <c r="Y121" s="77"/>
      <c r="Z121" s="77"/>
      <c r="AA121" s="77"/>
      <c r="AC121" s="74">
        <f>AC111/AC5</f>
        <v>0.63796287953869713</v>
      </c>
    </row>
    <row r="122" spans="1:31" x14ac:dyDescent="0.2">
      <c r="B122" s="20" t="s">
        <v>101</v>
      </c>
      <c r="L122" s="75">
        <f t="shared" ref="L122:Q122" si="141">L5/L37</f>
        <v>0.47078115176128738</v>
      </c>
      <c r="M122" s="75">
        <f t="shared" si="141"/>
        <v>0.4640405533847291</v>
      </c>
      <c r="N122" s="75">
        <f t="shared" si="141"/>
        <v>0.24185264730600431</v>
      </c>
      <c r="O122" s="75">
        <f t="shared" si="141"/>
        <v>0.36174657139564365</v>
      </c>
      <c r="P122" s="75">
        <f t="shared" si="141"/>
        <v>0.45143602502475905</v>
      </c>
      <c r="Q122" s="75">
        <f t="shared" si="141"/>
        <v>0.67991913746630728</v>
      </c>
      <c r="T122" s="78"/>
      <c r="U122" s="78"/>
      <c r="V122" s="78"/>
      <c r="W122" s="78"/>
      <c r="X122" s="78"/>
      <c r="Y122" s="78"/>
      <c r="Z122" s="78"/>
      <c r="AA122" s="78"/>
      <c r="AC122" s="75">
        <f>AC5/AC37</f>
        <v>0.67991913746630728</v>
      </c>
    </row>
    <row r="123" spans="1:31" x14ac:dyDescent="0.2">
      <c r="B123" s="32" t="s">
        <v>102</v>
      </c>
      <c r="L123" s="76">
        <f t="shared" ref="L123:O123" si="142">L121*L122</f>
        <v>9.9593875851756192E-2</v>
      </c>
      <c r="M123" s="76">
        <f t="shared" si="142"/>
        <v>0.1310592459605027</v>
      </c>
      <c r="N123" s="76">
        <f t="shared" si="142"/>
        <v>-9.0780340523547179E-2</v>
      </c>
      <c r="O123" s="76">
        <f t="shared" si="142"/>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 t="shared" ref="L124:Q124" si="143">L37/L49</f>
        <v>1.3395169917829421</v>
      </c>
      <c r="M124" s="75">
        <f t="shared" si="143"/>
        <v>1.3281303223996634</v>
      </c>
      <c r="N124" s="75">
        <f t="shared" si="143"/>
        <v>1.4563463281958295</v>
      </c>
      <c r="O124" s="75">
        <f t="shared" si="143"/>
        <v>1.5381001972036958</v>
      </c>
      <c r="P124" s="75">
        <f t="shared" si="143"/>
        <v>1.5286254961691128</v>
      </c>
      <c r="Q124" s="75">
        <f t="shared" si="143"/>
        <v>1.4156007457832893</v>
      </c>
      <c r="T124" s="80"/>
      <c r="U124" s="80"/>
      <c r="V124" s="80"/>
      <c r="W124" s="80"/>
      <c r="X124" s="80"/>
      <c r="Y124" s="80"/>
      <c r="Z124" s="80"/>
      <c r="AA124" s="80"/>
      <c r="AC124" s="75">
        <f>AC37/AC49</f>
        <v>1.4156007457832893</v>
      </c>
    </row>
    <row r="125" spans="1:31" x14ac:dyDescent="0.2">
      <c r="B125" s="32" t="s">
        <v>104</v>
      </c>
      <c r="L125" s="76">
        <f t="shared" ref="L125:O125" si="144">L123*L124</f>
        <v>0.13340768898094826</v>
      </c>
      <c r="M125" s="76">
        <f t="shared" si="144"/>
        <v>0.17406375859097922</v>
      </c>
      <c r="N125" s="76">
        <f t="shared" si="144"/>
        <v>-0.13220761559383501</v>
      </c>
      <c r="O125" s="76">
        <f t="shared" si="144"/>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45">U5</f>
        <v>8053</v>
      </c>
      <c r="U131" s="25">
        <f t="shared" ref="U131" si="146">V5</f>
        <v>9301</v>
      </c>
      <c r="V131" s="25">
        <f t="shared" ref="V131" si="147">W5</f>
        <v>11315</v>
      </c>
      <c r="W131" s="25">
        <f t="shared" ref="W131" si="148">X5</f>
        <v>13643</v>
      </c>
      <c r="X131" s="25">
        <f t="shared" ref="X131" si="149">Y5</f>
        <v>23860</v>
      </c>
      <c r="Y131" s="25">
        <f t="shared" ref="Y131" si="150">Z5</f>
        <v>41456</v>
      </c>
      <c r="Z131" s="25">
        <f t="shared" ref="Z131" si="151">AA5</f>
        <v>54229</v>
      </c>
      <c r="AA131" s="25">
        <f t="shared" ref="AA131" si="152">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Y132" si="153">IF(T131&gt;T130, "BEAT", IF(T131&lt;T129, "MISSED", "MET"))</f>
        <v>MET</v>
      </c>
      <c r="U132" s="225" t="str">
        <f t="shared" si="153"/>
        <v>BEAT</v>
      </c>
      <c r="V132" s="225" t="str">
        <f t="shared" si="153"/>
        <v>BEAT</v>
      </c>
      <c r="W132" s="225" t="str">
        <f t="shared" si="153"/>
        <v>BEAT</v>
      </c>
      <c r="X132" s="225" t="str">
        <f t="shared" si="153"/>
        <v>BEAT</v>
      </c>
      <c r="Y132" s="225" t="str">
        <f t="shared" si="153"/>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54">V26</f>
        <v>1.68</v>
      </c>
      <c r="V135" s="65">
        <f t="shared" ref="V135" si="155">W26</f>
        <v>2.83</v>
      </c>
      <c r="W135" s="65">
        <f t="shared" ref="W135" si="156">X26</f>
        <v>4.5999999999999996</v>
      </c>
      <c r="X135" s="65">
        <f t="shared" ref="X135" si="157">Y26</f>
        <v>12.07</v>
      </c>
      <c r="Y135" s="65">
        <f t="shared" ref="Y135" si="158">Z26</f>
        <v>24.67</v>
      </c>
      <c r="Z135" s="65">
        <f t="shared" ref="Z135" si="159">AA26</f>
        <v>32.869999999999997</v>
      </c>
      <c r="AA135" s="65">
        <f t="shared" ref="AA135" si="160">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Y136" si="161">IF(T135&gt;T134, "BEAT", IF(T135&lt;T133, "MISSED", "MET"))</f>
        <v>MET</v>
      </c>
      <c r="U136" s="225" t="str">
        <f t="shared" si="161"/>
        <v>BEAT</v>
      </c>
      <c r="V136" s="225" t="str">
        <f t="shared" si="161"/>
        <v>BEAT</v>
      </c>
      <c r="W136" s="225" t="str">
        <f t="shared" si="161"/>
        <v>BEAT</v>
      </c>
      <c r="X136" s="225" t="str">
        <f t="shared" si="161"/>
        <v>BEAT</v>
      </c>
      <c r="Y136" s="225" t="str">
        <f t="shared" si="161"/>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 t="shared" ref="L140:Q140" si="162">L109/(L108+L112-L107)</f>
        <v>0.14598698400731994</v>
      </c>
      <c r="M140" s="81">
        <f t="shared" si="162"/>
        <v>0.19203328862527738</v>
      </c>
      <c r="N140" s="81">
        <f t="shared" si="162"/>
        <v>-0.12220284182761848</v>
      </c>
      <c r="O140" s="81">
        <f t="shared" si="162"/>
        <v>1.6804167624861494E-2</v>
      </c>
      <c r="P140" s="81">
        <f t="shared" si="162"/>
        <v>0.15196448091538983</v>
      </c>
      <c r="Q140" s="81">
        <f t="shared" si="162"/>
        <v>1.2071781950589597</v>
      </c>
      <c r="T140" s="49"/>
      <c r="U140" s="49"/>
      <c r="V140" s="49"/>
      <c r="W140" s="49"/>
      <c r="X140" s="49"/>
      <c r="Y140" s="49"/>
      <c r="Z140" s="49"/>
      <c r="AA140" s="49"/>
      <c r="AC140" s="81">
        <f>AC109/(AC108+AC112-AC107)</f>
        <v>1.2071781950589597</v>
      </c>
    </row>
    <row r="141" spans="2:29" x14ac:dyDescent="0.2">
      <c r="B141" s="20" t="s">
        <v>139</v>
      </c>
      <c r="L141" s="122">
        <f t="shared" ref="L141:P141" si="163">L30/L5*365</f>
        <v>69.969861035914093</v>
      </c>
      <c r="M141" s="122">
        <f t="shared" si="163"/>
        <v>60.876845048442682</v>
      </c>
      <c r="N141" s="122">
        <f t="shared" si="163"/>
        <v>57.380630630630634</v>
      </c>
      <c r="O141" s="122">
        <f t="shared" si="163"/>
        <v>96.152084743737802</v>
      </c>
      <c r="P141" s="122">
        <f t="shared" si="163"/>
        <v>90.473674353898005</v>
      </c>
      <c r="Q141" s="122">
        <f t="shared" ref="Q141:Q142" si="164">Q30/Q5*365</f>
        <v>99.197412679820999</v>
      </c>
      <c r="T141" s="122">
        <f t="shared" ref="T141:Z141" si="165">T30/T5*90</f>
        <v>76.710299689975884</v>
      </c>
      <c r="U141" s="122">
        <f t="shared" si="165"/>
        <v>72.688439091021976</v>
      </c>
      <c r="V141" s="122">
        <f t="shared" si="165"/>
        <v>71.953553381356841</v>
      </c>
      <c r="W141" s="122">
        <f t="shared" si="165"/>
        <v>73.694211224038895</v>
      </c>
      <c r="X141" s="122">
        <f t="shared" si="165"/>
        <v>67.181704903613578</v>
      </c>
      <c r="Y141" s="122">
        <f t="shared" si="165"/>
        <v>65.30846605196983</v>
      </c>
      <c r="Z141" s="122">
        <f t="shared" si="165"/>
        <v>67.354544577383251</v>
      </c>
      <c r="AA141" s="122">
        <f t="shared" ref="AA141" si="166">AA30/AA5*90</f>
        <v>60.07357686846521</v>
      </c>
      <c r="AC141" s="122">
        <f>AC30/AC5*365</f>
        <v>99.197412679820999</v>
      </c>
    </row>
    <row r="142" spans="2:29" x14ac:dyDescent="0.2">
      <c r="B142" s="20" t="s">
        <v>140</v>
      </c>
      <c r="L142" s="122">
        <f t="shared" ref="L142:P142" si="167">L31/L6*365</f>
        <v>94.766520078694597</v>
      </c>
      <c r="M142" s="122">
        <f t="shared" si="167"/>
        <v>144.24644128113877</v>
      </c>
      <c r="N142" s="122">
        <f t="shared" si="167"/>
        <v>180.5411063930172</v>
      </c>
      <c r="O142" s="122">
        <f t="shared" si="167"/>
        <v>166.13883475228226</v>
      </c>
      <c r="P142" s="122">
        <f t="shared" si="167"/>
        <v>135.5065540990891</v>
      </c>
      <c r="Q142" s="122">
        <f t="shared" si="164"/>
        <v>147.39838031459274</v>
      </c>
      <c r="T142" s="122">
        <f t="shared" ref="T142:Z142" si="168">T31/T6*365</f>
        <v>592.67394142883791</v>
      </c>
      <c r="U142" s="122">
        <f t="shared" si="168"/>
        <v>645.88506876227905</v>
      </c>
      <c r="V142" s="122">
        <f t="shared" si="168"/>
        <v>549.86276540652511</v>
      </c>
      <c r="W142" s="122">
        <f t="shared" si="168"/>
        <v>487.07474844274077</v>
      </c>
      <c r="X142" s="122">
        <f t="shared" si="168"/>
        <v>499.38719359679845</v>
      </c>
      <c r="Y142" s="122">
        <f t="shared" si="168"/>
        <v>494.25962325962325</v>
      </c>
      <c r="Z142" s="122">
        <f t="shared" si="168"/>
        <v>488.58671874999999</v>
      </c>
      <c r="AA142" s="122">
        <f t="shared" ref="AA142" si="169">AA31/AA6*365</f>
        <v>527.12057922584245</v>
      </c>
      <c r="AC142" s="122">
        <f>AC31/AC6*365</f>
        <v>147.39838031459274</v>
      </c>
    </row>
    <row r="143" spans="2:29" x14ac:dyDescent="0.2">
      <c r="B143" s="20" t="s">
        <v>141</v>
      </c>
      <c r="L143" s="122">
        <f t="shared" ref="L143:Q143" si="170">L38/L6*365</f>
        <v>112.46528179608841</v>
      </c>
      <c r="M143" s="122">
        <f t="shared" si="170"/>
        <v>131.84163701067615</v>
      </c>
      <c r="N143" s="122">
        <f t="shared" si="170"/>
        <v>85.201108752064172</v>
      </c>
      <c r="O143" s="122">
        <f t="shared" si="170"/>
        <v>136.63632167401784</v>
      </c>
      <c r="P143" s="122">
        <f t="shared" si="170"/>
        <v>156.4934459009109</v>
      </c>
      <c r="Q143" s="122">
        <f t="shared" si="170"/>
        <v>321.24377044074129</v>
      </c>
      <c r="T143" s="122">
        <f t="shared" ref="T143:Z143" si="171">T38/T6*90</f>
        <v>119.63066592053723</v>
      </c>
      <c r="U143" s="122">
        <f t="shared" si="171"/>
        <v>109.20235756385068</v>
      </c>
      <c r="V143" s="122">
        <f t="shared" si="171"/>
        <v>136.11082340756084</v>
      </c>
      <c r="W143" s="122">
        <f t="shared" si="171"/>
        <v>138.70148538572113</v>
      </c>
      <c r="X143" s="122">
        <f t="shared" si="171"/>
        <v>146.60830415207604</v>
      </c>
      <c r="Y143" s="122">
        <f t="shared" si="171"/>
        <v>162.11793611793613</v>
      </c>
      <c r="Z143" s="122">
        <f t="shared" si="171"/>
        <v>218.26406250000002</v>
      </c>
      <c r="AA143" s="122">
        <f t="shared" ref="AA143" si="172">AA38/AA6*90</f>
        <v>283.27067669172936</v>
      </c>
      <c r="AC143" s="122">
        <f>AC38/AC6*365</f>
        <v>321.24377044074129</v>
      </c>
    </row>
    <row r="144" spans="2:29" x14ac:dyDescent="0.2">
      <c r="B144" s="20" t="s">
        <v>142</v>
      </c>
      <c r="L144" s="122">
        <f>L141+L142-L143</f>
        <v>52.271099318520285</v>
      </c>
      <c r="M144" s="122">
        <f t="shared" ref="M144:P144" si="173">M141+M142-M143</f>
        <v>73.281649318905295</v>
      </c>
      <c r="N144" s="122">
        <f t="shared" si="173"/>
        <v>152.72062827158368</v>
      </c>
      <c r="O144" s="122">
        <f t="shared" si="173"/>
        <v>125.65459782200224</v>
      </c>
      <c r="P144" s="122">
        <f t="shared" si="173"/>
        <v>69.486782552076193</v>
      </c>
      <c r="Q144" s="122">
        <f t="shared" ref="Q144" si="174">Q141+Q142-Q143</f>
        <v>-74.647977446327559</v>
      </c>
      <c r="T144" s="122">
        <f t="shared" ref="T144" si="175">T141+T142-T143</f>
        <v>549.75357519827651</v>
      </c>
      <c r="U144" s="122">
        <f t="shared" ref="U144" si="176">U141+U142-U143</f>
        <v>609.37115028945038</v>
      </c>
      <c r="V144" s="122">
        <f t="shared" ref="V144" si="177">V141+V142-V143</f>
        <v>485.70549538032117</v>
      </c>
      <c r="W144" s="122">
        <f t="shared" ref="W144" si="178">W141+W142-W143</f>
        <v>422.06747428105854</v>
      </c>
      <c r="X144" s="122">
        <f t="shared" ref="X144:Z144" si="179">X141+X142-X143</f>
        <v>419.96059434833603</v>
      </c>
      <c r="Y144" s="122">
        <f t="shared" si="179"/>
        <v>397.450153193657</v>
      </c>
      <c r="Z144" s="122">
        <f t="shared" si="179"/>
        <v>337.67720082738322</v>
      </c>
      <c r="AA144" s="122">
        <f t="shared" ref="AA144" si="180">AA141+AA142-AA143</f>
        <v>303.92347940257832</v>
      </c>
      <c r="AC144" s="122">
        <f t="shared" ref="AC144" si="181">AC141+AC142-AC143</f>
        <v>-74.647977446327559</v>
      </c>
    </row>
    <row r="145" spans="2:29" x14ac:dyDescent="0.2">
      <c r="B145" s="20" t="s">
        <v>251</v>
      </c>
      <c r="L145" s="122">
        <f t="shared" ref="L145:Q145" si="182">L108/L49</f>
        <v>0.15423485762410943</v>
      </c>
      <c r="M145" s="122">
        <f t="shared" si="182"/>
        <v>0.13837738193039054</v>
      </c>
      <c r="N145" s="122">
        <f t="shared" si="182"/>
        <v>0.30213055303717135</v>
      </c>
      <c r="O145" s="122">
        <f t="shared" si="182"/>
        <v>0.29684695663734462</v>
      </c>
      <c r="P145" s="122">
        <f t="shared" si="182"/>
        <v>0.26912212683467185</v>
      </c>
      <c r="Q145" s="122">
        <f t="shared" si="182"/>
        <v>3.7426469525502611E-2</v>
      </c>
      <c r="T145" s="122">
        <f t="shared" ref="T145:Z145" si="183">T108/T49</f>
        <v>0.29457016475415093</v>
      </c>
      <c r="U145" s="122">
        <f t="shared" si="183"/>
        <v>0.29516994633273702</v>
      </c>
      <c r="V145" s="122">
        <f t="shared" si="183"/>
        <v>0.30623866950421691</v>
      </c>
      <c r="W145" s="122">
        <f t="shared" si="183"/>
        <v>0.26912212683467185</v>
      </c>
      <c r="X145" s="122">
        <f t="shared" si="183"/>
        <v>0.19991157364894738</v>
      </c>
      <c r="Y145" s="122">
        <f t="shared" si="183"/>
        <v>0.13996880994769456</v>
      </c>
      <c r="Z145" s="122">
        <f t="shared" si="183"/>
        <v>5.6808704975973949E-2</v>
      </c>
      <c r="AA145" s="122">
        <f t="shared" ref="AA145" si="184">AA108/AA49</f>
        <v>3.7426469525502611E-2</v>
      </c>
      <c r="AC145" s="122">
        <f>AC108/AC49</f>
        <v>3.7426469525502611E-2</v>
      </c>
    </row>
    <row r="146" spans="2:29" x14ac:dyDescent="0.2">
      <c r="B146" s="20" t="s">
        <v>255</v>
      </c>
      <c r="L146" s="179">
        <f t="shared" ref="L146:Q146" si="185">(L108-L107)/L49</f>
        <v>-8.2443721120797578E-2</v>
      </c>
      <c r="M146" s="179">
        <f t="shared" si="185"/>
        <v>-8.1591760674855227E-2</v>
      </c>
      <c r="N146" s="179">
        <f t="shared" si="185"/>
        <v>6.554850407978241E-2</v>
      </c>
      <c r="O146" s="179">
        <f t="shared" si="185"/>
        <v>9.4059515632270496E-2</v>
      </c>
      <c r="P146" s="179">
        <f t="shared" si="185"/>
        <v>4.8758423336102648E-2</v>
      </c>
      <c r="Q146" s="179">
        <f t="shared" si="185"/>
        <v>-0.49338767723192994</v>
      </c>
      <c r="T146" s="179">
        <f t="shared" ref="T146:Z146" si="186">(T108-T107)/T49</f>
        <v>0.10772058037908414</v>
      </c>
      <c r="U146" s="179">
        <f t="shared" si="186"/>
        <v>9.7978738716509362E-2</v>
      </c>
      <c r="V146" s="179">
        <f t="shared" si="186"/>
        <v>6.5578939071490497E-2</v>
      </c>
      <c r="W146" s="179">
        <f t="shared" si="186"/>
        <v>4.8758423336102648E-2</v>
      </c>
      <c r="X146" s="179">
        <f t="shared" si="186"/>
        <v>-4.4043124851205658E-3</v>
      </c>
      <c r="Y146" s="179">
        <f t="shared" si="186"/>
        <v>-8.9498889026897968E-2</v>
      </c>
      <c r="Z146" s="179">
        <f t="shared" si="186"/>
        <v>-0.24230570668361065</v>
      </c>
      <c r="AA146" s="179">
        <f t="shared" ref="AA146" si="187">(AA108-AA107)/AA49</f>
        <v>-0.49338767723192994</v>
      </c>
      <c r="AC146" s="179">
        <f>(AC108-AC107)/AC49</f>
        <v>-0.49338767723192994</v>
      </c>
    </row>
    <row r="147" spans="2:29" x14ac:dyDescent="0.2">
      <c r="B147" s="20" t="s">
        <v>252</v>
      </c>
      <c r="L147" s="122">
        <f t="shared" ref="L147:Q147" si="188">(L107+L30)/L40</f>
        <v>2.4453611457036115</v>
      </c>
      <c r="M147" s="122">
        <f t="shared" si="188"/>
        <v>2.1366228942830614</v>
      </c>
      <c r="N147" s="122">
        <f t="shared" si="188"/>
        <v>2.7032528856243441</v>
      </c>
      <c r="O147" s="122">
        <f t="shared" si="188"/>
        <v>1.704909169550173</v>
      </c>
      <c r="P147" s="122">
        <f t="shared" si="188"/>
        <v>1.8509690937663699</v>
      </c>
      <c r="Q147" s="122">
        <f t="shared" si="188"/>
        <v>3.9898842878975329</v>
      </c>
      <c r="T147" s="122">
        <f t="shared" ref="T147:Z147" si="189">(T107+T30)/T40</f>
        <v>1.7933444259567388</v>
      </c>
      <c r="U147" s="122">
        <f t="shared" si="189"/>
        <v>2.0431636409800684</v>
      </c>
      <c r="V147" s="122">
        <f t="shared" si="189"/>
        <v>1.9387271830291071</v>
      </c>
      <c r="W147" s="122">
        <f t="shared" si="189"/>
        <v>1.8509690937663699</v>
      </c>
      <c r="X147" s="122">
        <f t="shared" si="189"/>
        <v>1.8407131011608624</v>
      </c>
      <c r="Y147" s="122">
        <f t="shared" si="189"/>
        <v>2.3741606043648571</v>
      </c>
      <c r="Z147" s="122">
        <f t="shared" si="189"/>
        <v>3.1379823481116587</v>
      </c>
      <c r="AA147" s="122">
        <f t="shared" ref="AA147" si="190">(AA107+AA30)/AA40</f>
        <v>3.9898842878975329</v>
      </c>
      <c r="AC147" s="122">
        <f>(AC107+AC30)/AC40</f>
        <v>3.9898842878975329</v>
      </c>
    </row>
    <row r="148" spans="2:29" x14ac:dyDescent="0.2">
      <c r="B148" s="20" t="s">
        <v>253</v>
      </c>
      <c r="L148" s="122">
        <f t="shared" ref="L148:Q148" si="191">L32/L40</f>
        <v>3.0988480697384806</v>
      </c>
      <c r="M148" s="122">
        <f t="shared" si="191"/>
        <v>2.88910996153336</v>
      </c>
      <c r="N148" s="122">
        <f t="shared" si="191"/>
        <v>4.4583420776495277</v>
      </c>
      <c r="O148" s="122">
        <f t="shared" si="191"/>
        <v>2.6353806228373702</v>
      </c>
      <c r="P148" s="122">
        <f t="shared" si="191"/>
        <v>2.5179849834119086</v>
      </c>
      <c r="Q148" s="122">
        <f t="shared" si="191"/>
        <v>3.313805399898115</v>
      </c>
      <c r="T148" s="122">
        <f t="shared" ref="T148:Z148" si="192">T32/T40</f>
        <v>2.7169162506932891</v>
      </c>
      <c r="U148" s="122">
        <f t="shared" si="192"/>
        <v>3.1343150945791547</v>
      </c>
      <c r="V148" s="122">
        <f t="shared" si="192"/>
        <v>2.7547113961519485</v>
      </c>
      <c r="W148" s="122">
        <f t="shared" si="192"/>
        <v>2.5179849834119086</v>
      </c>
      <c r="X148" s="122">
        <f t="shared" si="192"/>
        <v>2.4597844112769485</v>
      </c>
      <c r="Y148" s="122">
        <f t="shared" si="192"/>
        <v>2.8968242865137102</v>
      </c>
      <c r="Z148" s="122">
        <f t="shared" si="192"/>
        <v>3.4245176518883413</v>
      </c>
      <c r="AA148" s="122">
        <f t="shared" ref="AA148" si="193">AA32/AA40</f>
        <v>3.313805399898115</v>
      </c>
      <c r="AC148" s="122">
        <f>AC32/AC40</f>
        <v>3.313805399898115</v>
      </c>
    </row>
    <row r="149" spans="2:29" x14ac:dyDescent="0.2">
      <c r="B149" s="20" t="s">
        <v>259</v>
      </c>
      <c r="L149" s="181">
        <f t="shared" ref="L149:Q149" si="194">IF(L13&gt;=0,"N/A",IF(L12&lt;=0,"N/A",L12/-L13))</f>
        <v>43.034246575342465</v>
      </c>
      <c r="M149" s="181">
        <f t="shared" si="194"/>
        <v>104.3225806451613</v>
      </c>
      <c r="N149" s="181" t="str">
        <f t="shared" si="194"/>
        <v>N/A</v>
      </c>
      <c r="O149" s="181">
        <f t="shared" si="194"/>
        <v>39.515151515151516</v>
      </c>
      <c r="P149" s="181" t="str">
        <f t="shared" si="194"/>
        <v>N/A</v>
      </c>
      <c r="Q149" s="181" t="str">
        <f t="shared" si="194"/>
        <v>N/A</v>
      </c>
      <c r="T149" s="181">
        <f t="shared" ref="T149:Z149" si="195">IF(T13&gt;=0,"N/A",IF(T12&lt;=0,"N/A",T12/-T13))</f>
        <v>197.63636363636363</v>
      </c>
      <c r="U149" s="181">
        <f t="shared" si="195"/>
        <v>443.25</v>
      </c>
      <c r="V149" s="181" t="str">
        <f t="shared" si="195"/>
        <v>N/A</v>
      </c>
      <c r="W149" s="181" t="str">
        <f t="shared" si="195"/>
        <v>N/A</v>
      </c>
      <c r="X149" s="181" t="str">
        <f t="shared" si="195"/>
        <v>N/A</v>
      </c>
      <c r="Y149" s="181" t="str">
        <f t="shared" si="195"/>
        <v>N/A</v>
      </c>
      <c r="Z149" s="181" t="str">
        <f t="shared" si="195"/>
        <v>N/A</v>
      </c>
      <c r="AA149" s="181" t="str">
        <f t="shared" ref="AA149" si="196">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12.263576337420831</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7.8101738895395991</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7.8174467039558309</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7.8174467039558309</v>
      </c>
      <c r="AC152" s="72">
        <f ca="1">AC117/(Statement!AC49/Statement!AC75)</f>
        <v>7.4251710532020985</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1098051.3599999999</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1098051.3599999999</v>
      </c>
      <c r="AC153" s="145">
        <f ca="1">Statement!AC117*Statement!AC78</f>
        <v>1042951.6800000001</v>
      </c>
    </row>
    <row r="154" spans="2:29" x14ac:dyDescent="0.2">
      <c r="B154" s="20" t="s">
        <v>188</v>
      </c>
      <c r="L154" s="145">
        <f t="shared" ref="L154:Q154" si="197">L153+L108-L107+L48+L45</f>
        <v>91362.799999999988</v>
      </c>
      <c r="M154" s="145">
        <f t="shared" si="197"/>
        <v>58797.070000000007</v>
      </c>
      <c r="N154" s="145">
        <f t="shared" si="197"/>
        <v>77654.820000000007</v>
      </c>
      <c r="O154" s="145">
        <f t="shared" si="197"/>
        <v>111474.54</v>
      </c>
      <c r="P154" s="145">
        <f t="shared" si="197"/>
        <v>140623</v>
      </c>
      <c r="Q154" s="145">
        <f t="shared" si="197"/>
        <v>1029777.3599999999</v>
      </c>
      <c r="T154" s="145">
        <f t="shared" ref="T154:Z154" si="198">T153+T108-T107+T48+T45</f>
        <v>114953.5</v>
      </c>
      <c r="U154" s="145">
        <f t="shared" si="198"/>
        <v>108154.31999999999</v>
      </c>
      <c r="V154" s="145">
        <f t="shared" si="198"/>
        <v>112043.3</v>
      </c>
      <c r="W154" s="145">
        <f t="shared" si="198"/>
        <v>140623</v>
      </c>
      <c r="X154" s="145">
        <f t="shared" si="198"/>
        <v>262007.14</v>
      </c>
      <c r="Y154" s="145">
        <f t="shared" si="198"/>
        <v>468915.64</v>
      </c>
      <c r="Z154" s="145">
        <f t="shared" si="198"/>
        <v>1033947.9199999999</v>
      </c>
      <c r="AA154" s="145">
        <f t="shared" ref="AA154" si="199">AA153+AA108-AA107+AA48+AA45</f>
        <v>1029777.3599999999</v>
      </c>
      <c r="AC154" s="145">
        <f ca="1">AC153+AC108-AC107+AC48+AC45</f>
        <v>974677.68</v>
      </c>
    </row>
    <row r="155" spans="2:29" x14ac:dyDescent="0.2">
      <c r="B155" s="20" t="s">
        <v>260</v>
      </c>
      <c r="L155" s="183">
        <f t="shared" ref="L155:Q155" si="200">L154/L5</f>
        <v>3.2977007760332064</v>
      </c>
      <c r="M155" s="183">
        <f t="shared" si="200"/>
        <v>1.9116025099161196</v>
      </c>
      <c r="N155" s="183">
        <f t="shared" si="200"/>
        <v>4.9970926640926647</v>
      </c>
      <c r="O155" s="183">
        <f t="shared" si="200"/>
        <v>4.4392712357134325</v>
      </c>
      <c r="P155" s="183">
        <f t="shared" si="200"/>
        <v>3.7621863128043236</v>
      </c>
      <c r="Q155" s="183">
        <f t="shared" si="200"/>
        <v>7.73175781601946</v>
      </c>
      <c r="T155" s="49"/>
      <c r="U155" s="49"/>
      <c r="V155" s="49"/>
      <c r="W155" s="49"/>
      <c r="X155" s="49"/>
      <c r="Y155" s="49"/>
      <c r="Z155" s="49"/>
      <c r="AA155" s="49"/>
      <c r="AC155" s="183">
        <f ca="1">AC154/AC5</f>
        <v>7.3180592846202366</v>
      </c>
    </row>
    <row r="156" spans="2:29" x14ac:dyDescent="0.2">
      <c r="B156" s="20" t="s">
        <v>204</v>
      </c>
      <c r="L156" s="183">
        <f t="shared" ref="L156:Q156" si="201">L154/L12</f>
        <v>14.541270093904185</v>
      </c>
      <c r="M156" s="183">
        <f t="shared" si="201"/>
        <v>6.0603040610183472</v>
      </c>
      <c r="N156" s="183">
        <f t="shared" si="201"/>
        <v>-13.51693994778068</v>
      </c>
      <c r="O156" s="183">
        <f t="shared" si="201"/>
        <v>85.48661042944785</v>
      </c>
      <c r="P156" s="183">
        <f t="shared" si="201"/>
        <v>14.393346980552712</v>
      </c>
      <c r="Q156" s="183">
        <f t="shared" si="201"/>
        <v>10.366190457016307</v>
      </c>
      <c r="T156" s="49"/>
      <c r="U156" s="49"/>
      <c r="V156" s="49"/>
      <c r="W156" s="49"/>
      <c r="X156" s="49"/>
      <c r="Y156" s="49"/>
      <c r="Z156" s="49"/>
      <c r="AA156" s="49"/>
      <c r="AC156" s="183">
        <f ca="1">AC154/AC12</f>
        <v>9.8115329172538761</v>
      </c>
    </row>
    <row r="157" spans="2:29" x14ac:dyDescent="0.2">
      <c r="B157" s="20" t="s">
        <v>261</v>
      </c>
      <c r="L157" s="64">
        <f t="shared" ref="L157:Q157" si="202">L59-L54+L110+L65</f>
        <v>2060</v>
      </c>
      <c r="M157" s="64">
        <f t="shared" si="202"/>
        <v>2600</v>
      </c>
      <c r="N157" s="64">
        <f t="shared" si="202"/>
        <v>-6713</v>
      </c>
      <c r="O157" s="64">
        <f t="shared" si="202"/>
        <v>-712</v>
      </c>
      <c r="P157" s="64">
        <f t="shared" si="202"/>
        <v>696</v>
      </c>
      <c r="Q157" s="64">
        <f t="shared" si="202"/>
        <v>57630</v>
      </c>
      <c r="T157" s="64">
        <f t="shared" ref="T157:Z157" si="203">T59-T54+T110+T65</f>
        <v>-182</v>
      </c>
      <c r="U157" s="64">
        <f t="shared" si="203"/>
        <v>-362</v>
      </c>
      <c r="V157" s="64">
        <f t="shared" si="203"/>
        <v>1418</v>
      </c>
      <c r="W157" s="64">
        <f t="shared" si="203"/>
        <v>-178</v>
      </c>
      <c r="X157" s="64">
        <f t="shared" si="203"/>
        <v>2732</v>
      </c>
      <c r="Y157" s="64">
        <f t="shared" si="203"/>
        <v>5207</v>
      </c>
      <c r="Z157" s="64">
        <f t="shared" si="203"/>
        <v>17207</v>
      </c>
      <c r="AA157" s="64">
        <f t="shared" ref="AA157" si="204">AA59-AA54+AA110+AA65</f>
        <v>32484</v>
      </c>
      <c r="AC157" s="64">
        <f>AC59-AC54+AC110+AC65</f>
        <v>57630</v>
      </c>
    </row>
    <row r="158" spans="2:29" x14ac:dyDescent="0.2">
      <c r="B158" s="20" t="s">
        <v>262</v>
      </c>
      <c r="L158" s="64">
        <f t="shared" ref="L158:Q158" si="205">L109+L53+L110+L55+L57+L58+L56</f>
        <v>1698.8813123190739</v>
      </c>
      <c r="M158" s="64">
        <f t="shared" si="205"/>
        <v>2605.8457841395884</v>
      </c>
      <c r="N158" s="64">
        <f t="shared" si="205"/>
        <v>-8557</v>
      </c>
      <c r="O158" s="64">
        <f t="shared" si="205"/>
        <v>-660.27741935483937</v>
      </c>
      <c r="P158" s="64">
        <f t="shared" si="205"/>
        <v>789.49430287963332</v>
      </c>
      <c r="Q158" s="64">
        <f t="shared" si="205"/>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206">M153/M157</f>
        <v>24.180411538461538</v>
      </c>
      <c r="N159" s="72">
        <f t="shared" si="206"/>
        <v>-11.137020706092658</v>
      </c>
      <c r="O159" s="72">
        <f t="shared" si="206"/>
        <v>-150.60328651685393</v>
      </c>
      <c r="P159" s="72">
        <f t="shared" si="206"/>
        <v>198.25</v>
      </c>
      <c r="Q159" s="72">
        <f t="shared" ref="Q159" si="207">Q153/Q157</f>
        <v>19.053467985424255</v>
      </c>
      <c r="T159" s="49"/>
      <c r="U159" s="49"/>
      <c r="V159" s="49"/>
      <c r="W159" s="49"/>
      <c r="X159" s="49"/>
      <c r="Y159" s="49"/>
      <c r="Z159" s="49"/>
      <c r="AA159" s="49"/>
      <c r="AC159" s="72">
        <f t="shared" ref="AC159:AC160" ca="1" si="208">AC153/AC157</f>
        <v>18.097374284226966</v>
      </c>
    </row>
    <row r="160" spans="2:29" x14ac:dyDescent="0.2">
      <c r="B160" s="20" t="s">
        <v>264</v>
      </c>
      <c r="L160" s="72">
        <f>L154/L158</f>
        <v>53.778212366868843</v>
      </c>
      <c r="M160" s="72">
        <f t="shared" ref="M160:P160" si="209">M154/M158</f>
        <v>22.563526344447098</v>
      </c>
      <c r="N160" s="72">
        <f t="shared" si="209"/>
        <v>-9.0750052588524017</v>
      </c>
      <c r="O160" s="72">
        <f t="shared" si="209"/>
        <v>-168.8298535317509</v>
      </c>
      <c r="P160" s="72">
        <f t="shared" si="209"/>
        <v>178.11781476710598</v>
      </c>
      <c r="Q160" s="72">
        <f t="shared" ref="Q160" si="210">Q154/Q158</f>
        <v>17.854205308660855</v>
      </c>
      <c r="T160" s="49"/>
      <c r="U160" s="49"/>
      <c r="V160" s="49"/>
      <c r="W160" s="49"/>
      <c r="X160" s="49"/>
      <c r="Y160" s="49"/>
      <c r="Z160" s="49"/>
      <c r="AA160" s="49"/>
      <c r="AC160" s="72">
        <f t="shared" ca="1" si="208"/>
        <v>16.898891046205609</v>
      </c>
    </row>
    <row r="161" spans="2:29" x14ac:dyDescent="0.2">
      <c r="B161" s="20" t="s">
        <v>265</v>
      </c>
      <c r="L161" s="74">
        <f>L157/L153</f>
        <v>2.1687680555204626E-2</v>
      </c>
      <c r="M161" s="74">
        <f t="shared" ref="M161:P161" si="211">M157/M153</f>
        <v>4.1355789102654132E-2</v>
      </c>
      <c r="N161" s="74">
        <f t="shared" si="211"/>
        <v>-8.9790620525014964E-2</v>
      </c>
      <c r="O161" s="74">
        <f t="shared" si="211"/>
        <v>-6.6399613390116198E-3</v>
      </c>
      <c r="P161" s="74">
        <f t="shared" si="211"/>
        <v>5.0441361916771753E-3</v>
      </c>
      <c r="Q161" s="74">
        <f t="shared" ref="Q161" si="212">Q157/Q153</f>
        <v>5.2483883813959312E-2</v>
      </c>
      <c r="T161" s="49"/>
      <c r="U161" s="49"/>
      <c r="V161" s="49"/>
      <c r="W161" s="49"/>
      <c r="X161" s="49"/>
      <c r="Y161" s="49"/>
      <c r="Z161" s="49"/>
      <c r="AA161" s="49"/>
      <c r="AC161" s="74">
        <f t="shared" ref="AC161" ca="1" si="213">AC157/AC153</f>
        <v>5.5256634708139116E-2</v>
      </c>
    </row>
    <row r="162" spans="2:29" x14ac:dyDescent="0.2">
      <c r="B162" s="20" t="s">
        <v>266</v>
      </c>
      <c r="L162" s="74">
        <f t="shared" ref="L162:Q162" si="214">L26/L117</f>
        <v>6.1689870379260686E-2</v>
      </c>
      <c r="M162" s="74">
        <f t="shared" si="214"/>
        <v>0.13522945384749607</v>
      </c>
      <c r="N162" s="74">
        <f t="shared" si="214"/>
        <v>-7.8425613159054192E-2</v>
      </c>
      <c r="O162" s="74">
        <f t="shared" si="214"/>
        <v>7.3244742073872559E-3</v>
      </c>
      <c r="P162" s="74">
        <f t="shared" si="214"/>
        <v>6.221311475409836E-2</v>
      </c>
      <c r="Q162" s="74">
        <f t="shared" si="214"/>
        <v>7.7575770226267007E-2</v>
      </c>
      <c r="T162" s="49"/>
      <c r="U162" s="49"/>
      <c r="V162" s="49"/>
      <c r="W162" s="49"/>
      <c r="X162" s="49"/>
      <c r="Y162" s="49"/>
      <c r="Z162" s="49"/>
      <c r="AA162" s="49"/>
      <c r="AC162" s="74">
        <f ca="1">AC26/AC117</f>
        <v>8.1542281997187063E-2</v>
      </c>
    </row>
    <row r="163" spans="2:29" x14ac:dyDescent="0.2">
      <c r="B163" s="20" t="s">
        <v>267</v>
      </c>
      <c r="L163" s="156">
        <f t="shared" ref="L163:Q163" si="215">L82/L117</f>
        <v>1.2001920307249162E-3</v>
      </c>
      <c r="M163" s="156">
        <f t="shared" si="215"/>
        <v>5.4964229628337111E-3</v>
      </c>
      <c r="N163" s="156">
        <f t="shared" si="215"/>
        <v>6.7557644294316344E-3</v>
      </c>
      <c r="O163" s="156">
        <f t="shared" si="215"/>
        <v>4.8132259077116255E-3</v>
      </c>
      <c r="P163" s="156">
        <f t="shared" si="215"/>
        <v>3.7704918032786887E-3</v>
      </c>
      <c r="Q163" s="156">
        <f t="shared" si="215"/>
        <v>5.9489020622860477E-4</v>
      </c>
      <c r="T163" s="49"/>
      <c r="U163" s="49"/>
      <c r="V163" s="49"/>
      <c r="W163" s="49"/>
      <c r="X163" s="49"/>
      <c r="Y163" s="49"/>
      <c r="Z163" s="49"/>
      <c r="AA163" s="49"/>
      <c r="AC163" s="156">
        <f ca="1">AC82/AC117</f>
        <v>6.2082454289732775E-4</v>
      </c>
    </row>
    <row r="164" spans="2:29" x14ac:dyDescent="0.2">
      <c r="B164" s="20" t="s">
        <v>292</v>
      </c>
      <c r="L164" s="156">
        <f t="shared" ref="L164:Q164" si="216">-L63/L153</f>
        <v>1.362323234875475E-2</v>
      </c>
      <c r="M164" s="156">
        <f t="shared" si="216"/>
        <v>4.0671827975187161E-2</v>
      </c>
      <c r="N164" s="156">
        <f t="shared" si="216"/>
        <v>5.6846437841697245E-3</v>
      </c>
      <c r="O164" s="156">
        <f t="shared" si="216"/>
        <v>2.7977365192464691E-3</v>
      </c>
      <c r="P164" s="156">
        <f t="shared" si="216"/>
        <v>0</v>
      </c>
      <c r="Q164" s="156">
        <f t="shared" si="216"/>
        <v>5.9195773866169621E-4</v>
      </c>
      <c r="T164" s="49"/>
      <c r="U164" s="49"/>
      <c r="V164" s="49"/>
      <c r="W164" s="49"/>
      <c r="X164" s="49"/>
      <c r="Y164" s="49"/>
      <c r="Z164" s="49"/>
      <c r="AA164" s="49"/>
      <c r="AC164" s="156">
        <f ca="1">-AC63/AC153</f>
        <v>6.2323117404633737E-4</v>
      </c>
    </row>
    <row r="165" spans="2:29" x14ac:dyDescent="0.2">
      <c r="B165" s="20" t="s">
        <v>294</v>
      </c>
      <c r="L165" s="156">
        <f t="shared" ref="L165:Q165" si="217">-(L63+L64)/L153</f>
        <v>1.362323234875475E-2</v>
      </c>
      <c r="M165" s="156">
        <f t="shared" si="217"/>
        <v>4.8004527504542378E-2</v>
      </c>
      <c r="N165" s="156">
        <f t="shared" si="217"/>
        <v>1.2425962530573351E-2</v>
      </c>
      <c r="O165" s="156">
        <f t="shared" si="217"/>
        <v>7.5818659671579311E-3</v>
      </c>
      <c r="P165" s="156">
        <f t="shared" si="217"/>
        <v>3.7831021437578815E-3</v>
      </c>
      <c r="Q165" s="156">
        <f t="shared" si="217"/>
        <v>1.147487308790365E-3</v>
      </c>
      <c r="T165" s="49"/>
      <c r="U165" s="49"/>
      <c r="V165" s="49"/>
      <c r="W165" s="49"/>
      <c r="X165" s="49"/>
      <c r="Y165" s="49"/>
      <c r="Z165" s="49"/>
      <c r="AA165" s="49"/>
      <c r="AC165" s="156">
        <f ca="1">-(AC63+AC64)/AC153</f>
        <v>1.2081096604590539E-3</v>
      </c>
    </row>
    <row r="166" spans="2:29" x14ac:dyDescent="0.2">
      <c r="B166" s="20" t="s">
        <v>343</v>
      </c>
      <c r="L166" s="156">
        <f t="shared" ref="L166:Q166" si="218">L158/L5</f>
        <v>6.1320386656526761E-2</v>
      </c>
      <c r="M166" s="156">
        <f t="shared" si="218"/>
        <v>8.4720911117094358E-2</v>
      </c>
      <c r="N166" s="156">
        <f t="shared" si="218"/>
        <v>-0.55064350064350065</v>
      </c>
      <c r="O166" s="156">
        <f t="shared" si="218"/>
        <v>-2.6294349860811573E-2</v>
      </c>
      <c r="P166" s="156">
        <f t="shared" si="218"/>
        <v>2.1121897984901099E-2</v>
      </c>
      <c r="Q166" s="156">
        <f t="shared" si="218"/>
        <v>0.43304967554444329</v>
      </c>
      <c r="T166" s="49"/>
      <c r="U166" s="49"/>
      <c r="V166" s="49"/>
      <c r="W166" s="49"/>
      <c r="X166" s="49"/>
      <c r="Y166" s="49"/>
      <c r="Z166" s="49"/>
      <c r="AA166" s="49"/>
      <c r="AC166" s="156">
        <f>AC158/AC5</f>
        <v>0.43304967554444329</v>
      </c>
    </row>
    <row r="167" spans="2:29" x14ac:dyDescent="0.2">
      <c r="B167" s="20" t="s">
        <v>344</v>
      </c>
      <c r="L167" s="156">
        <f t="shared" ref="L167:Q167" si="219">L157/L5</f>
        <v>7.4354809601155022E-2</v>
      </c>
      <c r="M167" s="156">
        <f t="shared" si="219"/>
        <v>8.453085376162299E-2</v>
      </c>
      <c r="N167" s="156">
        <f t="shared" si="219"/>
        <v>-0.43198198198198196</v>
      </c>
      <c r="O167" s="156">
        <f t="shared" si="219"/>
        <v>-2.8354107761538769E-2</v>
      </c>
      <c r="P167" s="156">
        <f t="shared" si="219"/>
        <v>1.86205789501846E-2</v>
      </c>
      <c r="Q167" s="156">
        <f t="shared" si="219"/>
        <v>0.43269663933687719</v>
      </c>
      <c r="T167" s="49"/>
      <c r="U167" s="49"/>
      <c r="V167" s="49"/>
      <c r="W167" s="49"/>
      <c r="X167" s="49"/>
      <c r="Y167" s="49"/>
      <c r="Z167" s="49"/>
      <c r="AA167" s="49"/>
      <c r="AC167" s="156">
        <f>AC157/AC5</f>
        <v>0.43269663933687719</v>
      </c>
    </row>
    <row r="168" spans="2:29" x14ac:dyDescent="0.2">
      <c r="B168" s="20" t="s">
        <v>270</v>
      </c>
      <c r="L168" s="156">
        <f t="shared" ref="L168:Q168" si="220">-L64/L157</f>
        <v>0</v>
      </c>
      <c r="M168" s="156">
        <f t="shared" si="220"/>
        <v>0.17730769230769231</v>
      </c>
      <c r="N168" s="156">
        <f t="shared" si="220"/>
        <v>-7.5078206465067784E-2</v>
      </c>
      <c r="O168" s="156">
        <f t="shared" si="220"/>
        <v>-0.7205056179775281</v>
      </c>
      <c r="P168" s="156">
        <f t="shared" si="220"/>
        <v>0.75</v>
      </c>
      <c r="Q168" s="156">
        <f t="shared" si="220"/>
        <v>1.0584764879403089E-2</v>
      </c>
      <c r="T168" s="49"/>
      <c r="U168" s="49"/>
      <c r="V168" s="49"/>
      <c r="W168" s="49"/>
      <c r="X168" s="49"/>
      <c r="Y168" s="49"/>
      <c r="Z168" s="49"/>
      <c r="AA168" s="49"/>
      <c r="AC168" s="156">
        <f>-AC64/AC157</f>
        <v>1.0584764879403089E-2</v>
      </c>
    </row>
    <row r="169" spans="2:29" x14ac:dyDescent="0.2">
      <c r="B169" s="20" t="s">
        <v>272</v>
      </c>
      <c r="L169" s="156">
        <f t="shared" ref="L169:Q169" si="221">-L63/L157</f>
        <v>0.62815533980582527</v>
      </c>
      <c r="M169" s="156">
        <f t="shared" si="221"/>
        <v>0.9834615384615385</v>
      </c>
      <c r="N169" s="156">
        <f t="shared" si="221"/>
        <v>-6.3309995531059135E-2</v>
      </c>
      <c r="O169" s="156">
        <f t="shared" si="221"/>
        <v>-0.42134831460674155</v>
      </c>
      <c r="P169" s="156">
        <f t="shared" si="221"/>
        <v>0</v>
      </c>
      <c r="Q169" s="156">
        <f t="shared" si="221"/>
        <v>1.1278847822314766E-2</v>
      </c>
      <c r="T169" s="49"/>
      <c r="U169" s="49"/>
      <c r="V169" s="49"/>
      <c r="W169" s="49"/>
      <c r="X169" s="49"/>
      <c r="Y169" s="49"/>
      <c r="Z169" s="49"/>
      <c r="AA169" s="49"/>
      <c r="AC169" s="156">
        <f>-AC63/AC157</f>
        <v>1.1278847822314766E-2</v>
      </c>
    </row>
    <row r="170" spans="2:29" x14ac:dyDescent="0.2">
      <c r="B170" s="20" t="s">
        <v>283</v>
      </c>
      <c r="L170" s="156">
        <f t="shared" ref="L170:Q170" si="222">(-L64-L63)/L157</f>
        <v>0.62815533980582527</v>
      </c>
      <c r="M170" s="156">
        <f t="shared" si="222"/>
        <v>1.1607692307692308</v>
      </c>
      <c r="N170" s="156">
        <f t="shared" si="222"/>
        <v>-0.13838820199612692</v>
      </c>
      <c r="O170" s="156">
        <f t="shared" si="222"/>
        <v>-1.1418539325842696</v>
      </c>
      <c r="P170" s="156">
        <f t="shared" si="222"/>
        <v>0.75</v>
      </c>
      <c r="Q170" s="156">
        <f t="shared" si="222"/>
        <v>2.1863612701717855E-2</v>
      </c>
      <c r="T170" s="49"/>
      <c r="U170" s="49"/>
      <c r="V170" s="49"/>
      <c r="W170" s="49"/>
      <c r="X170" s="49"/>
      <c r="Y170" s="49"/>
      <c r="Z170" s="49"/>
      <c r="AA170" s="49"/>
      <c r="AC170" s="156">
        <f>(-AC64-AC63)/AC157</f>
        <v>2.1863612701717855E-2</v>
      </c>
    </row>
    <row r="171" spans="2:29" x14ac:dyDescent="0.2">
      <c r="B171" s="20" t="s">
        <v>277</v>
      </c>
      <c r="L171" s="156">
        <f t="shared" ref="L171:Q171" si="223">L80/L78</f>
        <v>3.5087719298245615E-3</v>
      </c>
      <c r="M171" s="156">
        <f t="shared" si="223"/>
        <v>3.6463081130355514E-3</v>
      </c>
      <c r="N171" s="156">
        <f t="shared" si="223"/>
        <v>3.6429872495446266E-3</v>
      </c>
      <c r="O171" s="156">
        <f t="shared" si="223"/>
        <v>2.6737967914438501E-3</v>
      </c>
      <c r="P171" s="156">
        <f t="shared" si="223"/>
        <v>2.6525198938992041E-3</v>
      </c>
      <c r="Q171" s="156">
        <f t="shared" si="223"/>
        <v>2.617801047120419E-3</v>
      </c>
      <c r="T171" s="49"/>
      <c r="U171" s="49"/>
      <c r="V171" s="49"/>
      <c r="W171" s="49"/>
      <c r="X171" s="49"/>
      <c r="Y171" s="49"/>
      <c r="Z171" s="49"/>
      <c r="AA171" s="49"/>
      <c r="AC171" s="156">
        <f>AC80/AC78</f>
        <v>2.617801047120419E-3</v>
      </c>
    </row>
    <row r="172" spans="2:29" x14ac:dyDescent="0.2">
      <c r="B172" s="20" t="s">
        <v>278</v>
      </c>
      <c r="L172" s="72">
        <f t="shared" ref="L172:Q172" si="224">L107/L75</f>
        <v>9.2922252010723856</v>
      </c>
      <c r="M172" s="72">
        <f t="shared" si="224"/>
        <v>10.09935602575897</v>
      </c>
      <c r="N172" s="72">
        <f t="shared" si="224"/>
        <v>9.5063752276867035</v>
      </c>
      <c r="O172" s="72">
        <f t="shared" si="224"/>
        <v>8.252479711451759</v>
      </c>
      <c r="P172" s="72">
        <f t="shared" si="224"/>
        <v>10.638146167557933</v>
      </c>
      <c r="Q172" s="72">
        <f t="shared" si="224"/>
        <v>65.060230292294065</v>
      </c>
      <c r="T172" s="72">
        <f t="shared" ref="T172:Z172" si="225">T107/T75</f>
        <v>7.8491921005386001</v>
      </c>
      <c r="U172" s="72">
        <f t="shared" si="225"/>
        <v>8.5778175313059037</v>
      </c>
      <c r="V172" s="72">
        <f t="shared" si="225"/>
        <v>10.914209115281501</v>
      </c>
      <c r="W172" s="72">
        <f t="shared" si="225"/>
        <v>10.638146167557933</v>
      </c>
      <c r="X172" s="72">
        <f t="shared" si="225"/>
        <v>10.670515097690942</v>
      </c>
      <c r="Y172" s="72">
        <f t="shared" si="225"/>
        <v>14.740248226950355</v>
      </c>
      <c r="Z172" s="72">
        <f t="shared" si="225"/>
        <v>26.685562444641274</v>
      </c>
      <c r="AA172" s="72">
        <f t="shared" ref="AA172" si="226">AA107/AA75</f>
        <v>65.060230292294065</v>
      </c>
      <c r="AC172" s="72">
        <f>AC107/AC75</f>
        <v>65.060230292294065</v>
      </c>
    </row>
    <row r="173" spans="2:29" x14ac:dyDescent="0.2">
      <c r="B173" s="20" t="s">
        <v>280</v>
      </c>
      <c r="L173" s="156">
        <f t="shared" ref="L173:Q173" si="227">L54/L59</f>
        <v>3.0317613089509143E-2</v>
      </c>
      <c r="M173" s="156">
        <f t="shared" si="227"/>
        <v>3.3858112113826493E-2</v>
      </c>
      <c r="N173" s="156">
        <f t="shared" si="227"/>
        <v>0.38229634381013472</v>
      </c>
      <c r="O173" s="156">
        <f t="shared" si="227"/>
        <v>9.7919360526625129E-2</v>
      </c>
      <c r="P173" s="156">
        <f t="shared" si="227"/>
        <v>5.5463623395149785E-2</v>
      </c>
      <c r="Q173" s="156">
        <f t="shared" si="227"/>
        <v>1.4864789517702816E-2</v>
      </c>
      <c r="T173" s="156">
        <f t="shared" ref="T173:Z173" si="228">T54/T59</f>
        <v>6.7817509247842175E-2</v>
      </c>
      <c r="U173" s="156">
        <f t="shared" si="228"/>
        <v>6.3165905631659053E-2</v>
      </c>
      <c r="V173" s="156">
        <f t="shared" si="228"/>
        <v>5.4892601431980909E-2</v>
      </c>
      <c r="W173" s="156">
        <f t="shared" si="228"/>
        <v>4.3630017452006981E-2</v>
      </c>
      <c r="X173" s="156">
        <f t="shared" si="228"/>
        <v>3.4478658899060752E-2</v>
      </c>
      <c r="Y173" s="156">
        <f t="shared" si="228"/>
        <v>2.5959842056624379E-2</v>
      </c>
      <c r="Z173" s="156">
        <f t="shared" si="228"/>
        <v>1.3982984086970221E-2</v>
      </c>
      <c r="AA173" s="156">
        <f t="shared" ref="AA173" si="229">AA54/AA59</f>
        <v>8.618925249584972E-3</v>
      </c>
      <c r="AC173" s="156">
        <f>AC54/AC59</f>
        <v>1.4864789517702816E-2</v>
      </c>
    </row>
    <row r="174" spans="2:29" x14ac:dyDescent="0.2">
      <c r="B174" s="20" t="s">
        <v>281</v>
      </c>
      <c r="L174" s="156">
        <f t="shared" ref="L174:Q174" si="230">L54/L5</f>
        <v>1.3643746616134272E-2</v>
      </c>
      <c r="M174" s="156">
        <f t="shared" si="230"/>
        <v>1.6711099551336237E-2</v>
      </c>
      <c r="N174" s="156">
        <f t="shared" si="230"/>
        <v>3.835263835263835E-2</v>
      </c>
      <c r="O174" s="156">
        <f t="shared" si="230"/>
        <v>3.3172713153598023E-2</v>
      </c>
      <c r="P174" s="156">
        <f t="shared" si="230"/>
        <v>2.600460163732677E-2</v>
      </c>
      <c r="Q174" s="156">
        <f t="shared" si="230"/>
        <v>1.000840916599093E-2</v>
      </c>
      <c r="T174" s="156">
        <f t="shared" ref="T174:Z174" si="231">T54/T5</f>
        <v>2.5261224021127571E-2</v>
      </c>
      <c r="U174" s="156">
        <f t="shared" si="231"/>
        <v>3.0920153979883274E-2</v>
      </c>
      <c r="V174" s="156">
        <f t="shared" si="231"/>
        <v>2.7201376196107945E-2</v>
      </c>
      <c r="W174" s="156">
        <f t="shared" si="231"/>
        <v>2.209456473707468E-2</v>
      </c>
      <c r="X174" s="156">
        <f t="shared" si="231"/>
        <v>2.1256321923330646E-2</v>
      </c>
      <c r="Y174" s="156">
        <f t="shared" si="231"/>
        <v>1.2950544844928752E-2</v>
      </c>
      <c r="Z174" s="156">
        <f t="shared" si="231"/>
        <v>8.5632960247008869E-3</v>
      </c>
      <c r="AA174" s="156">
        <f t="shared" ref="AA174" si="232">AA54/AA5</f>
        <v>6.988880488299618E-3</v>
      </c>
      <c r="AC174" s="156">
        <f>AC54/AC5</f>
        <v>1.000840916599093E-2</v>
      </c>
    </row>
    <row r="175" spans="2:29" x14ac:dyDescent="0.2">
      <c r="B175" s="20" t="s">
        <v>286</v>
      </c>
      <c r="L175" s="72">
        <f t="shared" ref="L175:Q175" si="233">(L107-L108)/L75</f>
        <v>3.2368185880250224</v>
      </c>
      <c r="M175" s="72">
        <f t="shared" si="233"/>
        <v>3.7460901563937443</v>
      </c>
      <c r="N175" s="72">
        <f t="shared" si="233"/>
        <v>-2.6338797814207648</v>
      </c>
      <c r="O175" s="72">
        <f t="shared" si="233"/>
        <v>-3.8277727682596936</v>
      </c>
      <c r="P175" s="72">
        <f t="shared" si="233"/>
        <v>-2.3538324420677363</v>
      </c>
      <c r="Q175" s="72">
        <f t="shared" si="233"/>
        <v>60.472984942426926</v>
      </c>
      <c r="T175" s="72">
        <f t="shared" ref="T175:Z175" si="234">(T107-T108)/T75</f>
        <v>-4.5251346499102336</v>
      </c>
      <c r="U175" s="72">
        <f t="shared" si="234"/>
        <v>-4.2620751341681578</v>
      </c>
      <c r="V175" s="72">
        <f t="shared" si="234"/>
        <v>-2.9740840035746201</v>
      </c>
      <c r="W175" s="72">
        <f t="shared" si="234"/>
        <v>-2.3538324420677363</v>
      </c>
      <c r="X175" s="72">
        <f t="shared" si="234"/>
        <v>0.23001776198934282</v>
      </c>
      <c r="Y175" s="72">
        <f t="shared" si="234"/>
        <v>5.749113475177305</v>
      </c>
      <c r="Z175" s="72">
        <f t="shared" si="234"/>
        <v>21.617360496014172</v>
      </c>
      <c r="AA175" s="72">
        <f t="shared" ref="AA175" si="235">(AA107-AA108)/AA75</f>
        <v>60.472984942426926</v>
      </c>
      <c r="AC175" s="72">
        <f>(AC107-AC108)/AC75</f>
        <v>60.472984942426926</v>
      </c>
    </row>
    <row r="176" spans="2:29" x14ac:dyDescent="0.2">
      <c r="B176" s="20" t="s">
        <v>291</v>
      </c>
      <c r="L176" s="156">
        <f t="shared" ref="L176:Q176" si="236">(L107-L108)/L153</f>
        <v>3.8132416976189881E-2</v>
      </c>
      <c r="M176" s="156">
        <f t="shared" si="236"/>
        <v>6.4769528163849094E-2</v>
      </c>
      <c r="N176" s="156">
        <f t="shared" si="236"/>
        <v>-3.8682328997220808E-2</v>
      </c>
      <c r="O176" s="156">
        <f t="shared" si="236"/>
        <v>-3.9587971747337539E-2</v>
      </c>
      <c r="P176" s="156">
        <f t="shared" si="236"/>
        <v>-1.9140177704338249E-2</v>
      </c>
      <c r="Q176" s="156">
        <f t="shared" si="236"/>
        <v>6.2177419460597919E-2</v>
      </c>
      <c r="T176" s="49"/>
      <c r="U176" s="49"/>
      <c r="V176" s="49"/>
      <c r="W176" s="49"/>
      <c r="X176" s="49"/>
      <c r="Y176" s="49"/>
      <c r="Z176" s="49"/>
      <c r="AA176" s="49"/>
      <c r="AC176" s="156">
        <f ca="1">(AC107-AC108)/AC153</f>
        <v>6.5462284887445599E-2</v>
      </c>
    </row>
    <row r="177" spans="1:31" x14ac:dyDescent="0.2">
      <c r="B177" s="20" t="s">
        <v>300</v>
      </c>
      <c r="L177" s="156">
        <f t="shared" ref="L177:Q177" si="237">-L110/L5</f>
        <v>0.36202851470853636</v>
      </c>
      <c r="M177" s="156">
        <f t="shared" si="237"/>
        <v>0.39232069705442485</v>
      </c>
      <c r="N177" s="156">
        <f t="shared" si="237"/>
        <v>0.49395109395109393</v>
      </c>
      <c r="O177" s="156">
        <f t="shared" si="237"/>
        <v>0.33395722989924737</v>
      </c>
      <c r="P177" s="156">
        <f t="shared" si="237"/>
        <v>0.42423350634062817</v>
      </c>
      <c r="Q177" s="156">
        <f t="shared" si="237"/>
        <v>0.23059134456557648</v>
      </c>
      <c r="T177" s="156">
        <f t="shared" ref="T177:Z177" si="238">-T110/T5</f>
        <v>0.36812492823515902</v>
      </c>
      <c r="U177" s="156">
        <f t="shared" si="238"/>
        <v>0.50353905376878183</v>
      </c>
      <c r="V177" s="156">
        <f t="shared" si="238"/>
        <v>0.31588001290183854</v>
      </c>
      <c r="W177" s="156">
        <f t="shared" si="238"/>
        <v>0.50004418912947413</v>
      </c>
      <c r="X177" s="156">
        <f t="shared" si="238"/>
        <v>0.39500109946492706</v>
      </c>
      <c r="Y177" s="156">
        <f t="shared" si="238"/>
        <v>0.26768650461022631</v>
      </c>
      <c r="Z177" s="156">
        <f t="shared" si="238"/>
        <v>0.18877846391354688</v>
      </c>
      <c r="AA177" s="156">
        <f t="shared" ref="AA177" si="239">-AA110/AA5</f>
        <v>0.20487193199210754</v>
      </c>
      <c r="AC177" s="156">
        <f>-AC110/AC5</f>
        <v>0.23059134456557648</v>
      </c>
    </row>
    <row r="178" spans="1:31" x14ac:dyDescent="0.2">
      <c r="B178" s="20" t="s">
        <v>301</v>
      </c>
      <c r="L178" s="156">
        <f t="shared" ref="L178:Q178" si="240">-(L110/L59)</f>
        <v>0.80445941610522942</v>
      </c>
      <c r="M178" s="156">
        <f t="shared" si="240"/>
        <v>0.79487517291351029</v>
      </c>
      <c r="N178" s="156">
        <f t="shared" si="240"/>
        <v>4.9236690186016681</v>
      </c>
      <c r="O178" s="156">
        <f t="shared" si="240"/>
        <v>0.98577641941930172</v>
      </c>
      <c r="P178" s="156">
        <f t="shared" si="240"/>
        <v>0.90482168330955781</v>
      </c>
      <c r="Q178" s="156">
        <f t="shared" si="240"/>
        <v>0.34248118204627825</v>
      </c>
      <c r="T178" s="156">
        <f t="shared" ref="T178:Z178" si="241">-(T110/T59)</f>
        <v>0.98828606658446361</v>
      </c>
      <c r="U178" s="156">
        <f t="shared" si="241"/>
        <v>1.0286656519533233</v>
      </c>
      <c r="V178" s="156">
        <f t="shared" si="241"/>
        <v>0.6374484703840313</v>
      </c>
      <c r="W178" s="156">
        <f t="shared" si="241"/>
        <v>0.98743455497382204</v>
      </c>
      <c r="X178" s="156">
        <f t="shared" si="241"/>
        <v>0.64070859588633933</v>
      </c>
      <c r="Y178" s="156">
        <f t="shared" si="241"/>
        <v>0.53658741493741069</v>
      </c>
      <c r="Z178" s="156">
        <f t="shared" si="241"/>
        <v>0.30825586891444778</v>
      </c>
      <c r="AA178" s="156">
        <f t="shared" ref="AA178" si="242">-(AA110/AA59)</f>
        <v>0.25265503831896846</v>
      </c>
      <c r="AC178" s="156">
        <f>-(AC110/AC59)</f>
        <v>0.34248118204627825</v>
      </c>
    </row>
    <row r="179" spans="1:31" x14ac:dyDescent="0.2">
      <c r="B179" s="20" t="s">
        <v>302</v>
      </c>
      <c r="L179" s="156">
        <f t="shared" ref="L179:Q179" si="243">-L110/L53</f>
        <v>1.6140971998712585</v>
      </c>
      <c r="M179" s="156">
        <f t="shared" si="243"/>
        <v>1.6957560427206295</v>
      </c>
      <c r="N179" s="156">
        <f t="shared" si="243"/>
        <v>0.98968540484785972</v>
      </c>
      <c r="O179" s="156">
        <f t="shared" si="243"/>
        <v>1.0778920308483291</v>
      </c>
      <c r="P179" s="156">
        <f t="shared" si="243"/>
        <v>1.8985871647509578</v>
      </c>
      <c r="Q179" s="156">
        <f t="shared" si="243"/>
        <v>3.2318215300431441</v>
      </c>
      <c r="T179" s="156">
        <f t="shared" ref="T179:Z179" si="244">-T110/T53</f>
        <v>1.5793103448275863</v>
      </c>
      <c r="U179" s="156">
        <f t="shared" si="244"/>
        <v>1.9504569504569504</v>
      </c>
      <c r="V179" s="156">
        <f t="shared" si="244"/>
        <v>1.4030563514804202</v>
      </c>
      <c r="W179" s="156">
        <f t="shared" si="244"/>
        <v>2.6328524895300141</v>
      </c>
      <c r="X179" s="156">
        <f t="shared" si="244"/>
        <v>2.4362567811934901</v>
      </c>
      <c r="Y179" s="156">
        <f t="shared" si="244"/>
        <v>2.7939632545931761</v>
      </c>
      <c r="Z179" s="156">
        <f t="shared" si="244"/>
        <v>3.3104906937394247</v>
      </c>
      <c r="AA179" s="156">
        <f t="shared" ref="AA179" si="245">-AA110/AA53</f>
        <v>4.2067398712608863</v>
      </c>
      <c r="AC179" s="156">
        <f>-AC110/AC53</f>
        <v>3.2318215300431441</v>
      </c>
    </row>
    <row r="180" spans="1:31" x14ac:dyDescent="0.2">
      <c r="B180" s="20" t="s">
        <v>356</v>
      </c>
      <c r="L180" s="224">
        <f>L5/L37</f>
        <v>0.47078115176128738</v>
      </c>
      <c r="M180" s="224">
        <f t="shared" ref="M180:P180" si="246">M5/M37</f>
        <v>0.4640405533847291</v>
      </c>
      <c r="N180" s="224">
        <f t="shared" si="246"/>
        <v>0.24185264730600431</v>
      </c>
      <c r="O180" s="224">
        <f t="shared" si="246"/>
        <v>0.36174657139564365</v>
      </c>
      <c r="P180" s="224">
        <f t="shared" si="246"/>
        <v>0.45143602502475905</v>
      </c>
      <c r="Q180" s="224">
        <f t="shared" ref="Q180" si="247">Q5/Q37</f>
        <v>0.67991913746630728</v>
      </c>
      <c r="T180" s="49"/>
      <c r="U180" s="49"/>
      <c r="V180" s="49"/>
      <c r="W180" s="49"/>
      <c r="X180" s="49"/>
      <c r="Y180" s="49"/>
      <c r="Z180" s="49"/>
      <c r="AA180" s="49"/>
      <c r="AC180" s="224">
        <f t="shared" ref="AC180" si="248">AC5/AC37</f>
        <v>0.67991913746630728</v>
      </c>
    </row>
    <row r="181" spans="1:31" x14ac:dyDescent="0.2">
      <c r="B181" s="20" t="s">
        <v>353</v>
      </c>
      <c r="L181" s="226">
        <f>IF(AND(L12&gt;0,L108&gt;0),L108/L12,"N/A")</f>
        <v>1.0784657010982015</v>
      </c>
      <c r="M181" s="226">
        <f t="shared" ref="M181:P181" si="249">IF(AND(M12&gt;0,M108&gt;0),M108/M12,"N/A")</f>
        <v>0.71181199752628321</v>
      </c>
      <c r="N181" s="226" t="str">
        <f t="shared" si="249"/>
        <v>N/A</v>
      </c>
      <c r="O181" s="226">
        <f t="shared" si="249"/>
        <v>10.27377300613497</v>
      </c>
      <c r="P181" s="226">
        <f t="shared" si="249"/>
        <v>1.4920163766632548</v>
      </c>
      <c r="Q181" s="226">
        <f t="shared" ref="Q181" si="250">IF(AND(Q12&gt;0,Q108&gt;0),Q108/Q12,"N/A")</f>
        <v>5.2134084960740887E-2</v>
      </c>
      <c r="T181" s="49"/>
      <c r="U181" s="49"/>
      <c r="V181" s="49"/>
      <c r="W181" s="49"/>
      <c r="X181" s="49"/>
      <c r="Y181" s="49"/>
      <c r="Z181" s="49"/>
      <c r="AA181" s="49"/>
      <c r="AC181" s="226">
        <f t="shared" ref="AC181" si="251">IF(AND(AC12&gt;0,AC108&gt;0),AC108/AC12,"N/A")</f>
        <v>5.2134084960740887E-2</v>
      </c>
    </row>
    <row r="182" spans="1:31" x14ac:dyDescent="0.2">
      <c r="B182" s="20" t="s">
        <v>354</v>
      </c>
      <c r="L182" s="226">
        <f>IF(AND(L12&gt;0,L108&gt;0),(L108-L107)/L12,"N/A")</f>
        <v>-0.57647620563425117</v>
      </c>
      <c r="M182" s="226">
        <f t="shared" ref="M182:P182" si="252">IF(AND(M12&gt;0,M108&gt;0),(M108-M107)/M12,"N/A")</f>
        <v>-0.41970727685013398</v>
      </c>
      <c r="N182" s="226" t="str">
        <f t="shared" si="252"/>
        <v>N/A</v>
      </c>
      <c r="O182" s="226">
        <f t="shared" si="252"/>
        <v>3.2553680981595092</v>
      </c>
      <c r="P182" s="226">
        <f t="shared" si="252"/>
        <v>0.27031729785056297</v>
      </c>
      <c r="Q182" s="226">
        <f t="shared" ref="Q182" si="253">IF(AND(Q12&gt;0,Q108&gt;0),(Q108-Q107)/Q12,"N/A")</f>
        <v>-0.6872760217435071</v>
      </c>
      <c r="T182" s="49"/>
      <c r="U182" s="49"/>
      <c r="V182" s="49"/>
      <c r="W182" s="49"/>
      <c r="X182" s="49"/>
      <c r="Y182" s="49"/>
      <c r="Z182" s="49"/>
      <c r="AA182" s="49"/>
      <c r="AC182" s="226">
        <f t="shared" ref="AC182" si="254">IF(AND(AC12&gt;0,AC108&gt;0),(AC108-AC107)/AC12,"N/A")</f>
        <v>-0.6872760217435071</v>
      </c>
    </row>
    <row r="183" spans="1:31" x14ac:dyDescent="0.2">
      <c r="B183" s="20" t="s">
        <v>355</v>
      </c>
      <c r="L183" s="226">
        <f>L5/(L108+L112-L107)</f>
        <v>0.68728138721440801</v>
      </c>
      <c r="M183" s="226">
        <f t="shared" ref="M183:P183" si="255">M5/(M108+M112-M107)</f>
        <v>0.67105923420966507</v>
      </c>
      <c r="N183" s="226">
        <f t="shared" si="255"/>
        <v>0.33055390113162597</v>
      </c>
      <c r="O183" s="226">
        <f t="shared" si="255"/>
        <v>0.50856691510045371</v>
      </c>
      <c r="P183" s="226">
        <f t="shared" si="255"/>
        <v>0.65799387388656128</v>
      </c>
      <c r="Q183" s="226">
        <f t="shared" ref="Q183" si="256">Q5/(Q108+Q112-Q107)</f>
        <v>1.8998630605956863</v>
      </c>
      <c r="T183" s="49"/>
      <c r="U183" s="49"/>
      <c r="V183" s="49"/>
      <c r="W183" s="49"/>
      <c r="X183" s="49"/>
      <c r="Y183" s="49"/>
      <c r="Z183" s="49"/>
      <c r="AA183" s="49"/>
      <c r="AC183" s="226">
        <f t="shared" ref="AC183" si="257">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58">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58"/>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58"/>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58"/>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58"/>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58"/>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58"/>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58"/>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58"/>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58"/>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59">IF(K187=0,
IF(L187=0,0,IF(L187&gt;0,1,-1)),
(L187-K187)/ABS(K187)
)</f>
        <v>1</v>
      </c>
      <c r="M203" s="81">
        <f t="shared" ref="M203:M205" si="260">IF(L187=0,
IF(M187=0,0,IF(M187&gt;0,1,-1)),
(M187-L187)/ABS(L187)
)</f>
        <v>0.11712161285493287</v>
      </c>
      <c r="N203" s="81">
        <f t="shared" ref="N203:N205" si="261">IF(M187=0,
IF(N187=0,0,IF(N187&gt;0,1,-1)),
(N187-M187)/ABS(M187)
)</f>
        <v>-0.5096042169212901</v>
      </c>
      <c r="O203" s="81">
        <f t="shared" ref="O203:O205" si="262">IF(N187=0,
IF(O187=0,0,IF(O187&gt;0,1,-1)),
(O187-N187)/ABS(N187)
)</f>
        <v>0.60347968664601936</v>
      </c>
      <c r="P203" s="81">
        <f t="shared" ref="P203:P205" si="263">IF(O187=0,
IF(P187=0,0,IF(P187&gt;0,1,-1)),
(P187-O187)/ABS(O187)
)</f>
        <v>0.62347327160143162</v>
      </c>
      <c r="Q203" s="81">
        <f t="shared" ref="Q203:Q205" si="264">IF(P187=0,
IF(Q187=0,0,IF(Q187&gt;0,1,-1)),
(Q187-P187)/ABS(P187)
)</f>
        <v>2.5229547204143046</v>
      </c>
      <c r="T203" s="81">
        <f t="shared" ref="T203:T205" si="265">IF(S187=0,
IF(T187=0,0,IF(T187&gt;0,1,-1)),
(T187-S187)/ABS(S187)
)</f>
        <v>1</v>
      </c>
      <c r="U203" s="81">
        <f t="shared" ref="U203:U205" si="266">IF(T187=0,
IF(U187=0,0,IF(U187&gt;0,1,-1)),
(U187-T187)/ABS(T187)
)</f>
        <v>-4.328125E-2</v>
      </c>
      <c r="V203" s="81">
        <f t="shared" ref="V203:V205" si="267">IF(U187=0,
IF(V187=0,0,IF(V187&gt;0,1,-1)),
(V187-U187)/ABS(U187)
)</f>
        <v>0.15482606565409113</v>
      </c>
      <c r="W203" s="81">
        <f t="shared" ref="W203:W205" si="268">IF(V187=0,
IF(W187=0,0,IF(W187&gt;0,1,-1)),
(W187-V187)/ABS(V187)
)</f>
        <v>2.1364729175505586</v>
      </c>
      <c r="X203" s="81">
        <f t="shared" ref="X203:X205" si="269">IF(W187=0,
IF(X187=0,0,IF(X187&gt;0,1,-1)),
(X187-W187)/ABS(W187)
)</f>
        <v>-0.51248985481107401</v>
      </c>
      <c r="Y203" s="81">
        <f t="shared" ref="Y203:Y205" si="270">IF(X187=0,
IF(Y187=0,0,IF(Y187&gt;0,1,-1)),
(Y187-X187)/ABS(X187)
)</f>
        <v>0.73584905660377353</v>
      </c>
      <c r="Z203" s="81">
        <f t="shared" ref="Z203:Z205" si="271">IF(Y187=0,
IF(Z187=0,0,IF(Z187&gt;0,1,-1)),
(Z187-Y187)/ABS(Y187)
)</f>
        <v>0.66922421142369992</v>
      </c>
      <c r="AA203" s="81">
        <f t="shared" ref="AA203:AA205" si="272">IF(Z187=0,
IF(AA187=0,0,IF(AA187&gt;0,1,-1)),
(AA187-Z187)/ABS(Z187)
)</f>
        <v>0.26950331971399388</v>
      </c>
      <c r="AC203" s="49"/>
    </row>
    <row r="204" spans="2:29" x14ac:dyDescent="0.2">
      <c r="B204" s="20" t="str">
        <f t="shared" ref="B204:B210" si="273">B188</f>
        <v>NAND</v>
      </c>
      <c r="L204" s="81">
        <f t="shared" si="259"/>
        <v>1</v>
      </c>
      <c r="M204" s="81">
        <f t="shared" si="260"/>
        <v>0.11474240045668617</v>
      </c>
      <c r="N204" s="81">
        <f t="shared" si="261"/>
        <v>-0.46152861349379082</v>
      </c>
      <c r="O204" s="81">
        <f t="shared" si="262"/>
        <v>0.71825962910128383</v>
      </c>
      <c r="P204" s="81">
        <f t="shared" si="263"/>
        <v>0.17656012176560121</v>
      </c>
      <c r="Q204" s="81">
        <f t="shared" si="264"/>
        <v>2.738092437963072</v>
      </c>
      <c r="T204" s="81">
        <f t="shared" si="265"/>
        <v>1</v>
      </c>
      <c r="U204" s="81">
        <f t="shared" si="266"/>
        <v>-0.17224453369031684</v>
      </c>
      <c r="V204" s="81">
        <f t="shared" si="267"/>
        <v>0.16172506738544473</v>
      </c>
      <c r="W204" s="81">
        <f t="shared" si="268"/>
        <v>1.9058004640371229</v>
      </c>
      <c r="X204" s="81">
        <f t="shared" si="269"/>
        <v>-0.56196103481315873</v>
      </c>
      <c r="Y204" s="81">
        <f t="shared" si="270"/>
        <v>0.82172803499817715</v>
      </c>
      <c r="Z204" s="81">
        <f t="shared" si="271"/>
        <v>0.98979387632579552</v>
      </c>
      <c r="AA204" s="81">
        <f t="shared" si="272"/>
        <v>0.41828422005430954</v>
      </c>
      <c r="AC204" s="49"/>
    </row>
    <row r="205" spans="2:29" x14ac:dyDescent="0.2">
      <c r="B205" s="20" t="str">
        <f t="shared" si="273"/>
        <v>Other</v>
      </c>
      <c r="L205" s="81">
        <f t="shared" si="259"/>
        <v>1</v>
      </c>
      <c r="M205" s="81">
        <f t="shared" si="260"/>
        <v>-0.14871016691957512</v>
      </c>
      <c r="N205" s="81">
        <f t="shared" si="261"/>
        <v>-0.36541889483065954</v>
      </c>
      <c r="O205" s="81">
        <f t="shared" si="262"/>
        <v>-0.21067415730337077</v>
      </c>
      <c r="P205" s="81">
        <f t="shared" si="263"/>
        <v>5.6939501779359428E-2</v>
      </c>
      <c r="Q205" s="81">
        <f t="shared" si="264"/>
        <v>1.4377104377104377</v>
      </c>
      <c r="T205" s="81">
        <f t="shared" si="265"/>
        <v>1</v>
      </c>
      <c r="U205" s="81">
        <f t="shared" si="266"/>
        <v>0.10294117647058823</v>
      </c>
      <c r="V205" s="81">
        <f t="shared" si="267"/>
        <v>0</v>
      </c>
      <c r="W205" s="81">
        <f t="shared" si="268"/>
        <v>2.0533333333333332</v>
      </c>
      <c r="X205" s="81">
        <f t="shared" si="269"/>
        <v>-0.61572052401746724</v>
      </c>
      <c r="Y205" s="81">
        <f t="shared" si="270"/>
        <v>7.9545454545454544E-2</v>
      </c>
      <c r="Z205" s="81">
        <f t="shared" si="271"/>
        <v>0.94736842105263153</v>
      </c>
      <c r="AA205" s="81">
        <f t="shared" si="272"/>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73"/>
        <v>Cloud Memory</v>
      </c>
      <c r="L207" s="81">
        <f t="shared" ref="L207:L210" si="274">IF(K191=0,
IF(L191=0,0,IF(L191&gt;0,1,-1)),
(L191-K191)/ABS(K191)
)</f>
        <v>0</v>
      </c>
      <c r="M207" s="81">
        <f t="shared" ref="M207:M210" si="275">IF(L191=0,
IF(M191=0,0,IF(M191&gt;0,1,-1)),
(M191-L191)/ABS(L191)
)</f>
        <v>0</v>
      </c>
      <c r="N207" s="81">
        <f t="shared" ref="N207:N210" si="276">IF(M191=0,
IF(N191=0,0,IF(N191&gt;0,1,-1)),
(N191-M191)/ABS(M191)
)</f>
        <v>1</v>
      </c>
      <c r="O207" s="81">
        <f t="shared" ref="O207:O210" si="277">IF(N191=0,
IF(O191=0,0,IF(O191&gt;0,1,-1)),
(O191-N191)/ABS(N191)
)</f>
        <v>1.0256410256410255</v>
      </c>
      <c r="P207" s="81">
        <f t="shared" ref="P207:P210" si="278">IF(O191=0,
IF(P191=0,0,IF(P191&gt;0,1,-1)),
(P191-O191)/ABS(O191)
)</f>
        <v>2.5664556962025316</v>
      </c>
      <c r="Q207" s="81">
        <f t="shared" ref="Q207:Q210" si="279">IF(P191=0,
IF(Q191=0,0,IF(Q191&gt;0,1,-1)),
(Q191-P191)/ABS(P191)
)</f>
        <v>2.1858178053830226</v>
      </c>
      <c r="T207" s="81">
        <f t="shared" ref="T207:T210" si="280">IF(S191=0,
IF(T191=0,0,IF(T191&gt;0,1,-1)),
(T191-S191)/ABS(S191)
)</f>
        <v>1</v>
      </c>
      <c r="U207" s="81">
        <f t="shared" ref="U207:U210" si="281">IF(T191=0,
IF(U191=0,0,IF(U191&gt;0,1,-1)),
(U191-T191)/ABS(T191)
)</f>
        <v>0.10872836719337849</v>
      </c>
      <c r="V207" s="81">
        <f t="shared" ref="V207:V210" si="282">IF(U191=0,
IF(V191=0,0,IF(V191&gt;0,1,-1)),
(V191-U191)/ABS(U191)
)</f>
        <v>0.14896504920257889</v>
      </c>
      <c r="W207" s="81">
        <f t="shared" ref="W207:W210" si="283">IF(V191=0,
IF(W191=0,0,IF(W191&gt;0,1,-1)),
(W191-V191)/ABS(V191)
)</f>
        <v>0.34170112226816302</v>
      </c>
      <c r="X207" s="81">
        <f t="shared" ref="X207:X210" si="284">IF(W191=0,
IF(X191=0,0,IF(X191&gt;0,1,-1)),
(X191-W191)/ABS(W191)
)</f>
        <v>0.16310807836231564</v>
      </c>
      <c r="Y207" s="81">
        <f t="shared" ref="Y207:Y210" si="285">IF(X191=0,
IF(Y191=0,0,IF(Y191&gt;0,1,-1)),
(Y191-X191)/ABS(X191)
)</f>
        <v>0.46650264950794851</v>
      </c>
      <c r="Z207" s="81">
        <f t="shared" ref="Z207:Z210" si="286">IF(Y191=0,
IF(Z191=0,0,IF(Z191&gt;0,1,-1)),
(Z191-Y191)/ABS(Y191)
)</f>
        <v>0.77687443541102075</v>
      </c>
      <c r="AA207" s="81">
        <f t="shared" ref="AA207:AA210" si="287">IF(Z191=0,
IF(AA191=0,0,IF(AA191&gt;0,1,-1)),
(AA191-Z191)/ABS(Z191)
)</f>
        <v>0.18258406565473165</v>
      </c>
      <c r="AC207" s="49"/>
    </row>
    <row r="208" spans="2:29" x14ac:dyDescent="0.2">
      <c r="B208" s="20" t="str">
        <f t="shared" si="273"/>
        <v>Core Data Center</v>
      </c>
      <c r="L208" s="81">
        <f t="shared" si="274"/>
        <v>0</v>
      </c>
      <c r="M208" s="81">
        <f t="shared" si="275"/>
        <v>0</v>
      </c>
      <c r="N208" s="81">
        <f t="shared" si="276"/>
        <v>1</v>
      </c>
      <c r="O208" s="81">
        <f t="shared" si="277"/>
        <v>1.3465160075329567</v>
      </c>
      <c r="P208" s="81">
        <f t="shared" si="278"/>
        <v>0.4504414125200642</v>
      </c>
      <c r="Q208" s="81">
        <f t="shared" si="279"/>
        <v>4.2001659980633557</v>
      </c>
      <c r="T208" s="81">
        <f t="shared" si="280"/>
        <v>1</v>
      </c>
      <c r="U208" s="81">
        <f t="shared" si="281"/>
        <v>-0.20157068062827224</v>
      </c>
      <c r="V208" s="81">
        <f t="shared" si="282"/>
        <v>-0.16393442622950818</v>
      </c>
      <c r="W208" s="81">
        <f t="shared" si="283"/>
        <v>3.0718954248366011E-2</v>
      </c>
      <c r="X208" s="81">
        <f t="shared" si="284"/>
        <v>0.50856055802155997</v>
      </c>
      <c r="Y208" s="81">
        <f t="shared" si="285"/>
        <v>1.3905002101723414</v>
      </c>
      <c r="Z208" s="81">
        <f t="shared" si="286"/>
        <v>1.0263759451380341</v>
      </c>
      <c r="AA208" s="81">
        <f t="shared" si="287"/>
        <v>0.56213120444290177</v>
      </c>
      <c r="AC208" s="49"/>
    </row>
    <row r="209" spans="1:31" x14ac:dyDescent="0.2">
      <c r="B209" s="20" t="str">
        <f t="shared" si="273"/>
        <v>Mobile and Client</v>
      </c>
      <c r="L209" s="81">
        <f t="shared" si="274"/>
        <v>0</v>
      </c>
      <c r="M209" s="81">
        <f t="shared" si="275"/>
        <v>0</v>
      </c>
      <c r="N209" s="81">
        <f t="shared" si="276"/>
        <v>1</v>
      </c>
      <c r="O209" s="81">
        <f t="shared" si="277"/>
        <v>0.57790100081146878</v>
      </c>
      <c r="P209" s="81">
        <f t="shared" si="278"/>
        <v>1.6456672666495243E-2</v>
      </c>
      <c r="Q209" s="81">
        <f t="shared" si="279"/>
        <v>2.0863479214098994</v>
      </c>
      <c r="T209" s="81">
        <f t="shared" si="280"/>
        <v>1</v>
      </c>
      <c r="U209" s="81">
        <f t="shared" si="281"/>
        <v>-0.14263803680981596</v>
      </c>
      <c r="V209" s="81">
        <f t="shared" si="282"/>
        <v>0.45572450805008946</v>
      </c>
      <c r="W209" s="81">
        <f t="shared" si="283"/>
        <v>0.15514592933947774</v>
      </c>
      <c r="X209" s="81">
        <f t="shared" si="284"/>
        <v>0.13164893617021275</v>
      </c>
      <c r="Y209" s="81">
        <f t="shared" si="285"/>
        <v>0.81222091656874262</v>
      </c>
      <c r="Z209" s="81">
        <f t="shared" si="286"/>
        <v>0.49409933860718452</v>
      </c>
      <c r="AA209" s="81">
        <f t="shared" si="287"/>
        <v>0.13826924746115787</v>
      </c>
      <c r="AC209" s="49"/>
    </row>
    <row r="210" spans="1:31" x14ac:dyDescent="0.2">
      <c r="B210" s="20" t="str">
        <f t="shared" si="273"/>
        <v>Automotive and Embedded</v>
      </c>
      <c r="L210" s="81">
        <f t="shared" si="274"/>
        <v>0</v>
      </c>
      <c r="M210" s="81">
        <f t="shared" si="275"/>
        <v>0</v>
      </c>
      <c r="N210" s="81">
        <f t="shared" si="276"/>
        <v>1</v>
      </c>
      <c r="O210" s="81">
        <f t="shared" si="277"/>
        <v>0.11886929209954095</v>
      </c>
      <c r="P210" s="81">
        <f t="shared" si="278"/>
        <v>2.6344202116173613E-2</v>
      </c>
      <c r="Q210" s="81">
        <f t="shared" si="279"/>
        <v>2.3423101199242584</v>
      </c>
      <c r="T210" s="81">
        <f t="shared" si="280"/>
        <v>1</v>
      </c>
      <c r="U210" s="81">
        <f t="shared" si="281"/>
        <v>-0.10708117443868739</v>
      </c>
      <c r="V210" s="81">
        <f t="shared" si="282"/>
        <v>8.994197292069632E-2</v>
      </c>
      <c r="W210" s="81">
        <f t="shared" si="283"/>
        <v>0.27240461401952087</v>
      </c>
      <c r="X210" s="81">
        <f t="shared" si="284"/>
        <v>0.19944211994421199</v>
      </c>
      <c r="Y210" s="81">
        <f t="shared" si="285"/>
        <v>0.57441860465116279</v>
      </c>
      <c r="Z210" s="81">
        <f t="shared" si="286"/>
        <v>0.71122599704579026</v>
      </c>
      <c r="AA210" s="81">
        <f t="shared" si="287"/>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 t="shared" ref="L214:Q214" si="288">IF(K64=0,
IF(L64=0,0,IF(L64&gt;0,1,-1)),
(L64-K64)/K64
)</f>
        <v>0</v>
      </c>
      <c r="M214" s="81">
        <f t="shared" si="288"/>
        <v>-1</v>
      </c>
      <c r="N214" s="81">
        <f t="shared" si="288"/>
        <v>9.3275488069414311E-2</v>
      </c>
      <c r="O214" s="81">
        <f t="shared" si="288"/>
        <v>1.7857142857142856E-2</v>
      </c>
      <c r="P214" s="81">
        <f t="shared" si="288"/>
        <v>1.7543859649122806E-2</v>
      </c>
      <c r="Q214" s="81">
        <f t="shared" si="288"/>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89">100*(1+((N117-$M117)/ABS($M117)))</f>
        <v>118.80998080614202</v>
      </c>
      <c r="O218" s="145">
        <f t="shared" si="289"/>
        <v>166.75972779619613</v>
      </c>
      <c r="P218" s="145">
        <f t="shared" si="289"/>
        <v>212.87733379863897</v>
      </c>
      <c r="Q218" s="145">
        <f t="shared" ref="Q218" si="290">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91">100*(1+((N5-$M5)/ABS($M5)))</f>
        <v>50.52344105598543</v>
      </c>
      <c r="O219" s="145">
        <f t="shared" si="291"/>
        <v>81.640548800312104</v>
      </c>
      <c r="P219" s="145">
        <f t="shared" si="291"/>
        <v>121.52285584238247</v>
      </c>
      <c r="Q219" s="145">
        <f t="shared" ref="Q219" si="292">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93">100*(1+((N26-$M26)/ABS($M26)))</f>
        <v>-68.903225806451601</v>
      </c>
      <c r="O220" s="145">
        <f t="shared" si="293"/>
        <v>9.0322580645161299</v>
      </c>
      <c r="P220" s="145">
        <f t="shared" si="293"/>
        <v>97.935483870967744</v>
      </c>
      <c r="Q220" s="145">
        <f t="shared" ref="Q220" si="294">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232</v>
      </c>
    </row>
  </sheetData>
  <hyperlinks>
    <hyperlink ref="H6" location="Overview!B3" display="Overview'!B3" xr:uid="{2D2E2E7A-1782-2E45-B2AF-6B92CD26F498}"/>
    <hyperlink ref="H8" location="'Analysis -&gt;'!B13" display="'Analysis -&gt;'!B13" xr:uid="{75461525-E62C-A846-8E25-6C7CD29F3D0E}"/>
    <hyperlink ref="H9" location="'Forecast -&gt;'!B13" display="'Forecast -&gt;'!B13" xr:uid="{16661906-4EE6-6C4F-BF37-F970A41507A5}"/>
    <hyperlink ref="H10" location="'Valuation -&gt;'!B13" display="'Valuation -&gt;'!B13" xr:uid="{83CB84D2-B751-C248-AB8A-2C5C6BF156DB}"/>
    <hyperlink ref="H7" location="'Financials -&gt;'!B13" display="'Financials -&gt;'!B13" xr:uid="{65D9E256-408A-9B48-8BD4-251AFFF46C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5"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6" t="s">
        <v>233</v>
      </c>
      <c r="C4" s="246"/>
      <c r="E4" s="246" t="s">
        <v>240</v>
      </c>
      <c r="F4" s="246"/>
      <c r="G4" s="246"/>
    </row>
    <row r="5" spans="2:7" x14ac:dyDescent="0.2">
      <c r="B5" s="20" t="s">
        <v>1</v>
      </c>
      <c r="C5" s="172">
        <f ca="1">Overview!C5</f>
        <v>910.08</v>
      </c>
      <c r="E5" s="12"/>
      <c r="F5" s="136" t="s">
        <v>241</v>
      </c>
      <c r="G5" s="136" t="s">
        <v>242</v>
      </c>
    </row>
    <row r="6" spans="2:7" x14ac:dyDescent="0.2">
      <c r="B6" s="20" t="s">
        <v>239</v>
      </c>
      <c r="C6" s="173">
        <f ca="1">Statement!AC153</f>
        <v>1042951.6800000001</v>
      </c>
      <c r="E6" s="20" t="s">
        <v>19</v>
      </c>
      <c r="F6" s="178">
        <f>IF(Statement!M5&lt;=0,"N/A",_xlfn.RRI(4,Statement!M5,Statement!Q5))</f>
        <v>0.44253630217364326</v>
      </c>
      <c r="G6" s="178" t="str">
        <f>IF(Statement!H5&lt;=0,"N/A",_xlfn.RRI(9,Statement!H5,Statement!Q5))</f>
        <v>N/A</v>
      </c>
    </row>
    <row r="7" spans="2:7" x14ac:dyDescent="0.2">
      <c r="B7" s="20" t="s">
        <v>188</v>
      </c>
      <c r="C7" s="173">
        <f ca="1">Statement!AC154</f>
        <v>974677.68</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12.263576337420831</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7.8101738895395991</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7.4251710532020985</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7.3180592846202366</v>
      </c>
    </row>
    <row r="12" spans="2:7" x14ac:dyDescent="0.2">
      <c r="B12" s="20" t="s">
        <v>204</v>
      </c>
      <c r="C12" s="174">
        <f ca="1">Statement!AC156</f>
        <v>9.8115329172538761</v>
      </c>
    </row>
    <row r="15" spans="2:7" x14ac:dyDescent="0.2">
      <c r="B15" s="246" t="s">
        <v>76</v>
      </c>
      <c r="C15" s="246"/>
      <c r="E15" s="246" t="s">
        <v>246</v>
      </c>
      <c r="F15" s="246"/>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6" t="s">
        <v>245</v>
      </c>
      <c r="C21" s="246"/>
      <c r="E21" s="246" t="s">
        <v>249</v>
      </c>
      <c r="F21" s="246"/>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6" t="s">
        <v>250</v>
      </c>
      <c r="C29" s="246"/>
      <c r="E29" s="246" t="s">
        <v>256</v>
      </c>
      <c r="F29" s="246"/>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6" t="s">
        <v>268</v>
      </c>
      <c r="C37" s="246"/>
      <c r="E37" s="246" t="s">
        <v>271</v>
      </c>
      <c r="F37" s="246"/>
    </row>
    <row r="38" spans="2:6" x14ac:dyDescent="0.2">
      <c r="B38" s="20" t="s">
        <v>266</v>
      </c>
      <c r="C38" s="175">
        <f ca="1">Statement!AC162</f>
        <v>8.1542281997187063E-2</v>
      </c>
      <c r="E38" s="20" t="s">
        <v>270</v>
      </c>
      <c r="F38" s="175">
        <f>Statement!AC168</f>
        <v>1.0584764879403089E-2</v>
      </c>
    </row>
    <row r="39" spans="2:6" x14ac:dyDescent="0.2">
      <c r="B39" s="54" t="s">
        <v>269</v>
      </c>
      <c r="C39" s="215">
        <f ca="1">Statement!AC161</f>
        <v>5.5256634708139116E-2</v>
      </c>
      <c r="E39" s="20" t="s">
        <v>272</v>
      </c>
      <c r="F39" s="175">
        <f>Statement!AC169</f>
        <v>1.1278847822314766E-2</v>
      </c>
    </row>
    <row r="40" spans="2:6" x14ac:dyDescent="0.2">
      <c r="B40" s="20" t="s">
        <v>267</v>
      </c>
      <c r="C40" s="175">
        <f ca="1">Statement!AC163</f>
        <v>6.2082454289732775E-4</v>
      </c>
      <c r="E40" s="20" t="s">
        <v>273</v>
      </c>
      <c r="F40" s="175">
        <f>Statement!AC170</f>
        <v>2.1863612701717855E-2</v>
      </c>
    </row>
    <row r="41" spans="2:6" x14ac:dyDescent="0.2">
      <c r="B41" s="20" t="s">
        <v>292</v>
      </c>
      <c r="C41" s="175">
        <f ca="1">Statement!AC164</f>
        <v>6.2323117404633737E-4</v>
      </c>
    </row>
    <row r="42" spans="2:6" x14ac:dyDescent="0.2">
      <c r="B42" s="20" t="s">
        <v>294</v>
      </c>
      <c r="C42" s="175">
        <f ca="1">Statement!AC165</f>
        <v>1.2081096604590539E-3</v>
      </c>
    </row>
    <row r="45" spans="2:6" x14ac:dyDescent="0.2">
      <c r="B45" s="246" t="s">
        <v>279</v>
      </c>
      <c r="C45" s="246"/>
      <c r="E45" s="246" t="s">
        <v>285</v>
      </c>
      <c r="F45" s="246"/>
    </row>
    <row r="46" spans="2:6" x14ac:dyDescent="0.2">
      <c r="B46" s="20" t="s">
        <v>277</v>
      </c>
      <c r="C46" s="175">
        <f>Statement!AC171</f>
        <v>2.617801047120419E-3</v>
      </c>
      <c r="E46" s="20" t="s">
        <v>278</v>
      </c>
      <c r="F46" s="174">
        <f>Statement!AC172</f>
        <v>65.060230292294065</v>
      </c>
    </row>
    <row r="47" spans="2:6" x14ac:dyDescent="0.2">
      <c r="E47" s="20" t="s">
        <v>286</v>
      </c>
      <c r="F47" s="174">
        <f>Statement!AC175</f>
        <v>60.472984942426926</v>
      </c>
    </row>
    <row r="48" spans="2:6" x14ac:dyDescent="0.2">
      <c r="E48" s="20" t="s">
        <v>291</v>
      </c>
      <c r="F48" s="175">
        <f ca="1">Statement!AC176</f>
        <v>6.5462284887445599E-2</v>
      </c>
    </row>
    <row r="51" spans="2:6" x14ac:dyDescent="0.2">
      <c r="B51" s="246" t="s">
        <v>282</v>
      </c>
      <c r="C51" s="246"/>
      <c r="E51" s="246" t="s">
        <v>303</v>
      </c>
      <c r="F51" s="246"/>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93"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910.08</v>
      </c>
    </row>
    <row r="7" spans="2:9" x14ac:dyDescent="0.2">
      <c r="B7" s="20" t="s">
        <v>239</v>
      </c>
      <c r="C7" s="173">
        <f>Statement!M153</f>
        <v>62869.07</v>
      </c>
      <c r="D7" s="173">
        <f>Statement!N153</f>
        <v>74762.820000000007</v>
      </c>
      <c r="E7" s="173">
        <f>Statement!O153</f>
        <v>107229.54</v>
      </c>
      <c r="F7" s="173">
        <f>Statement!P153</f>
        <v>137982</v>
      </c>
      <c r="G7" s="173">
        <f>Statement!Q153</f>
        <v>1098051.3599999999</v>
      </c>
      <c r="I7" s="173">
        <f ca="1">Statement!AC153</f>
        <v>1042951.6800000001</v>
      </c>
    </row>
    <row r="8" spans="2:9" x14ac:dyDescent="0.2">
      <c r="B8" s="20" t="s">
        <v>188</v>
      </c>
      <c r="C8" s="173">
        <f>Statement!M154</f>
        <v>58797.070000000007</v>
      </c>
      <c r="D8" s="173">
        <f>Statement!N154</f>
        <v>77654.820000000007</v>
      </c>
      <c r="E8" s="173">
        <f>Statement!O154</f>
        <v>111474.54</v>
      </c>
      <c r="F8" s="173">
        <f>Statement!P154</f>
        <v>140623</v>
      </c>
      <c r="G8" s="173">
        <f>Statement!Q154</f>
        <v>1029777.3599999999</v>
      </c>
      <c r="I8" s="173">
        <f ca="1">Statement!AC154</f>
        <v>974677.68</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12.263576337420831</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7.8101738895395991</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7.8174467039558309</v>
      </c>
      <c r="I11" s="174">
        <f ca="1">Statement!AC152</f>
        <v>7.4251710532020985</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7.73175781601946</v>
      </c>
      <c r="I12" s="174">
        <f ca="1">Statement!AC155</f>
        <v>7.3180592846202366</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10.366190457016307</v>
      </c>
      <c r="I13" s="174">
        <f ca="1">Statement!AC156</f>
        <v>9.8115329172538761</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8.1542281997187063E-2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5.2483883813959312E-2</v>
      </c>
      <c r="I52" s="175">
        <f ca="1">Statement!AC161</f>
        <v>5.5256634708139116E-2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6.2082454289732775E-4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5.9195773866169621E-4</v>
      </c>
      <c r="I54" s="175">
        <f ca="1">Statement!AC164</f>
        <v>6.2323117404633737E-4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1.147487308790365E-3</v>
      </c>
      <c r="I55" s="175">
        <f ca="1">Statement!AC165</f>
        <v>1.2081096604590539E-3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2.617801047120419E-3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65.060230292294065</v>
      </c>
      <c r="I66" s="174">
        <f>Statement!AC172</f>
        <v>65.060230292294065</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60.472984942426926</v>
      </c>
      <c r="I67" s="174">
        <f>Statement!AC175</f>
        <v>60.472984942426926</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6.2177419460597919E-2</v>
      </c>
      <c r="I68" s="196">
        <f ca="1">Statement!AC176</f>
        <v>6.5462284887445599E-2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8" spans="2:9" ht="17" thickBot="1" x14ac:dyDescent="0.25">
      <c r="B88" s="14" t="s">
        <v>310</v>
      </c>
      <c r="C88" s="14"/>
      <c r="D88" s="14"/>
      <c r="E88" s="14"/>
      <c r="F88" s="14"/>
      <c r="G88" s="14"/>
      <c r="I88" s="14"/>
    </row>
    <row r="89" spans="2:9" x14ac:dyDescent="0.2">
      <c r="B89" s="20" t="str">
        <f>Statement!B203</f>
        <v>DRAM</v>
      </c>
      <c r="C89" s="175">
        <f>Statement!M203</f>
        <v>0.11712161285493287</v>
      </c>
      <c r="D89" s="175">
        <f>Statement!N203</f>
        <v>-0.5096042169212901</v>
      </c>
      <c r="E89" s="175">
        <f>Statement!O203</f>
        <v>0.60347968664601936</v>
      </c>
      <c r="F89" s="175">
        <f>Statement!P203</f>
        <v>0.62347327160143162</v>
      </c>
      <c r="G89" s="175">
        <f>Statement!Q203</f>
        <v>2.5229547204143046</v>
      </c>
      <c r="I89" s="197"/>
    </row>
    <row r="90" spans="2:9" x14ac:dyDescent="0.2">
      <c r="B90" s="20" t="str">
        <f>Statement!B204</f>
        <v>NAND</v>
      </c>
      <c r="C90" s="175">
        <f>Statement!M204</f>
        <v>0.11474240045668617</v>
      </c>
      <c r="D90" s="175">
        <f>Statement!N204</f>
        <v>-0.46152861349379082</v>
      </c>
      <c r="E90" s="175">
        <f>Statement!O204</f>
        <v>0.71825962910128383</v>
      </c>
      <c r="F90" s="175">
        <f>Statement!P204</f>
        <v>0.17656012176560121</v>
      </c>
      <c r="G90" s="175">
        <f>Statement!Q204</f>
        <v>2.738092437963072</v>
      </c>
      <c r="I90" s="197"/>
    </row>
    <row r="91" spans="2:9" x14ac:dyDescent="0.2">
      <c r="B91" s="20" t="str">
        <f>Statement!B205</f>
        <v>Other</v>
      </c>
      <c r="C91" s="175">
        <f>Statement!M205</f>
        <v>-0.14871016691957512</v>
      </c>
      <c r="D91" s="175">
        <f>Statement!N205</f>
        <v>-0.36541889483065954</v>
      </c>
      <c r="E91" s="175">
        <f>Statement!O205</f>
        <v>-0.21067415730337077</v>
      </c>
      <c r="F91" s="175">
        <f>Statement!P205</f>
        <v>5.6939501779359428E-2</v>
      </c>
      <c r="G91" s="175">
        <f>Statement!Q205</f>
        <v>1.4377104377104377</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1</v>
      </c>
      <c r="E93" s="175">
        <f>Statement!O207</f>
        <v>1.0256410256410255</v>
      </c>
      <c r="F93" s="175">
        <f>Statement!P207</f>
        <v>2.5664556962025316</v>
      </c>
      <c r="G93" s="175">
        <f>Statement!Q207</f>
        <v>2.1858178053830226</v>
      </c>
      <c r="I93" s="197"/>
    </row>
    <row r="94" spans="2:9" x14ac:dyDescent="0.2">
      <c r="B94" s="20" t="str">
        <f>Statement!B208</f>
        <v>Core Data Center</v>
      </c>
      <c r="C94" s="175">
        <f>Statement!M208</f>
        <v>0</v>
      </c>
      <c r="D94" s="175">
        <f>Statement!N208</f>
        <v>1</v>
      </c>
      <c r="E94" s="175">
        <f>Statement!O208</f>
        <v>1.3465160075329567</v>
      </c>
      <c r="F94" s="175">
        <f>Statement!P208</f>
        <v>0.4504414125200642</v>
      </c>
      <c r="G94" s="175">
        <f>Statement!Q208</f>
        <v>4.2001659980633557</v>
      </c>
      <c r="I94" s="197"/>
    </row>
    <row r="95" spans="2:9" x14ac:dyDescent="0.2">
      <c r="B95" s="20" t="str">
        <f>Statement!B209</f>
        <v>Mobile and Client</v>
      </c>
      <c r="C95" s="175">
        <f>Statement!M209</f>
        <v>0</v>
      </c>
      <c r="D95" s="175">
        <f>Statement!N209</f>
        <v>1</v>
      </c>
      <c r="E95" s="175">
        <f>Statement!O209</f>
        <v>0.57790100081146878</v>
      </c>
      <c r="F95" s="175">
        <f>Statement!P209</f>
        <v>1.6456672666495243E-2</v>
      </c>
      <c r="G95" s="175">
        <f>Statement!Q209</f>
        <v>2.0863479214098994</v>
      </c>
      <c r="I95" s="197"/>
    </row>
    <row r="96" spans="2:9" x14ac:dyDescent="0.2">
      <c r="B96" s="20" t="str">
        <f>Statement!B210</f>
        <v>Automotive and Embedded</v>
      </c>
      <c r="C96" s="175">
        <f>Statement!M210</f>
        <v>0</v>
      </c>
      <c r="D96" s="175">
        <f>Statement!N210</f>
        <v>1</v>
      </c>
      <c r="E96" s="175">
        <f>Statement!O210</f>
        <v>0.11886929209954095</v>
      </c>
      <c r="F96" s="175">
        <f>Statement!P210</f>
        <v>2.6344202116173613E-2</v>
      </c>
      <c r="G96" s="175">
        <f>Statement!Q210</f>
        <v>2.3423101199242584</v>
      </c>
      <c r="I96" s="197"/>
    </row>
    <row r="98" spans="2:9" ht="17" thickBot="1" x14ac:dyDescent="0.25">
      <c r="B98" s="14" t="s">
        <v>312</v>
      </c>
      <c r="C98" s="14"/>
      <c r="D98" s="14"/>
      <c r="E98" s="14"/>
      <c r="F98" s="14"/>
      <c r="G98" s="14"/>
      <c r="I98" s="14"/>
    </row>
    <row r="99" spans="2:9" x14ac:dyDescent="0.2">
      <c r="B99" s="20" t="s">
        <v>284</v>
      </c>
      <c r="C99" s="175">
        <f>Statement!M214</f>
        <v>-1</v>
      </c>
      <c r="D99" s="175">
        <f>Statement!N214</f>
        <v>9.3275488069414311E-2</v>
      </c>
      <c r="E99" s="175">
        <f>Statement!O214</f>
        <v>1.7857142857142856E-2</v>
      </c>
      <c r="F99" s="175">
        <f>Statement!P214</f>
        <v>1.7543859649122806E-2</v>
      </c>
      <c r="G99" s="175">
        <f>Statement!Q214</f>
        <v>0.16858237547892721</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313</v>
      </c>
      <c r="D3" s="250"/>
      <c r="F3" s="251" t="s">
        <v>314</v>
      </c>
      <c r="G3" s="250"/>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47">
        <f>Statement!AA89</f>
        <v>0.30810980316480124</v>
      </c>
      <c r="D7" s="248"/>
      <c r="F7" s="247">
        <f>IF(F6=0,
IF(G6=0,0,IF(G6&gt;0,1,-1)),
(G6-F6)/ABS(F6)
)</f>
        <v>3.7926646045072911</v>
      </c>
      <c r="G7" s="248"/>
    </row>
    <row r="8" spans="2:7" x14ac:dyDescent="0.2">
      <c r="B8" s="207" t="s">
        <v>20</v>
      </c>
      <c r="C8" s="200">
        <f>Statement!Z6</f>
        <v>6400</v>
      </c>
      <c r="D8" s="198">
        <f>Statement!AA6</f>
        <v>7182</v>
      </c>
      <c r="F8" s="200">
        <f>Statement!W6</f>
        <v>6261</v>
      </c>
      <c r="G8" s="198">
        <f>Statement!AA6</f>
        <v>7182</v>
      </c>
    </row>
    <row r="9" spans="2:7" x14ac:dyDescent="0.2">
      <c r="B9" s="206" t="s">
        <v>315</v>
      </c>
      <c r="C9" s="247">
        <f>Statement!AA90</f>
        <v>0.1221875</v>
      </c>
      <c r="D9" s="248"/>
      <c r="F9" s="247">
        <f>IF(F8=0,
IF(G8=0,0,IF(G8&gt;0,1,-1)),
(G8-F8)/ABS(F8)
)</f>
        <v>0.14710110206037375</v>
      </c>
      <c r="G9" s="248"/>
    </row>
    <row r="10" spans="2:7" x14ac:dyDescent="0.2">
      <c r="B10" s="207" t="s">
        <v>21</v>
      </c>
      <c r="C10" s="200">
        <f>Statement!Z7</f>
        <v>35056</v>
      </c>
      <c r="D10" s="198">
        <f>Statement!AA7</f>
        <v>47047</v>
      </c>
      <c r="F10" s="200">
        <f>Statement!W7</f>
        <v>5054</v>
      </c>
      <c r="G10" s="198">
        <f>Statement!AA7</f>
        <v>47047</v>
      </c>
    </row>
    <row r="11" spans="2:7" x14ac:dyDescent="0.2">
      <c r="B11" s="206" t="s">
        <v>315</v>
      </c>
      <c r="C11" s="247">
        <f>Statement!AA91</f>
        <v>0.3420527156549521</v>
      </c>
      <c r="D11" s="248"/>
      <c r="F11" s="247">
        <f>IF(F10=0,
IF(G10=0,0,IF(G10&gt;0,1,-1)),
(G10-F10)/ABS(F10)
)</f>
        <v>8.3088642659279781</v>
      </c>
      <c r="G11" s="248"/>
    </row>
    <row r="12" spans="2:7" x14ac:dyDescent="0.2">
      <c r="B12" s="207" t="s">
        <v>24</v>
      </c>
      <c r="C12" s="200">
        <f>Statement!Z11</f>
        <v>1738</v>
      </c>
      <c r="D12" s="198">
        <f>Statement!AA11</f>
        <v>3296</v>
      </c>
      <c r="F12" s="200">
        <f>Statement!W11</f>
        <v>1400</v>
      </c>
      <c r="G12" s="198">
        <f>Statement!AA11</f>
        <v>3296</v>
      </c>
    </row>
    <row r="13" spans="2:7" x14ac:dyDescent="0.2">
      <c r="B13" s="206" t="s">
        <v>315</v>
      </c>
      <c r="C13" s="247">
        <f>Statement!AA95</f>
        <v>0.89643268124280784</v>
      </c>
      <c r="D13" s="248"/>
      <c r="F13" s="247">
        <f>IF(F12=0,
IF(G12=0,0,IF(G12&gt;0,1,-1)),
(G12-F12)/ABS(F12)
)</f>
        <v>1.3542857142857143</v>
      </c>
      <c r="G13" s="248"/>
    </row>
    <row r="14" spans="2:7" x14ac:dyDescent="0.2">
      <c r="B14" s="207" t="s">
        <v>316</v>
      </c>
      <c r="C14" s="200">
        <f>Statement!Z12</f>
        <v>33318</v>
      </c>
      <c r="D14" s="198">
        <f>Statement!AA12</f>
        <v>43751</v>
      </c>
      <c r="F14" s="200">
        <f>Statement!W12</f>
        <v>3654</v>
      </c>
      <c r="G14" s="198">
        <f>Statement!AA12</f>
        <v>43751</v>
      </c>
    </row>
    <row r="15" spans="2:7" x14ac:dyDescent="0.2">
      <c r="B15" s="206" t="s">
        <v>315</v>
      </c>
      <c r="C15" s="247">
        <f>Statement!AA96</f>
        <v>0.3131340416591632</v>
      </c>
      <c r="D15" s="248"/>
      <c r="F15" s="247">
        <f>IF(F14=0,
IF(G14=0,0,IF(G14&gt;0,1,-1)),
(G14-F14)/ABS(F14)
)</f>
        <v>10.973453749315818</v>
      </c>
      <c r="G15" s="248"/>
    </row>
    <row r="16" spans="2:7" x14ac:dyDescent="0.2">
      <c r="B16" s="207" t="s">
        <v>30</v>
      </c>
      <c r="C16" s="200">
        <f>Statement!Z18</f>
        <v>28243</v>
      </c>
      <c r="D16" s="198">
        <f>Statement!AA18</f>
        <v>37701</v>
      </c>
      <c r="F16" s="200">
        <f>Statement!W18</f>
        <v>3201</v>
      </c>
      <c r="G16" s="198">
        <f>Statement!AA18</f>
        <v>37701</v>
      </c>
    </row>
    <row r="17" spans="2:7" x14ac:dyDescent="0.2">
      <c r="B17" s="206" t="s">
        <v>315</v>
      </c>
      <c r="C17" s="247">
        <f>Statement!AA98</f>
        <v>0.33487943915306445</v>
      </c>
      <c r="D17" s="248"/>
      <c r="F17" s="247">
        <f>IF(F16=0,
IF(G16=0,0,IF(G16&gt;0,1,-1)),
(G16-F16)/ABS(F16)
)</f>
        <v>10.777881911902531</v>
      </c>
      <c r="G17" s="248"/>
    </row>
    <row r="18" spans="2:7" x14ac:dyDescent="0.2">
      <c r="B18" s="207" t="s">
        <v>317</v>
      </c>
      <c r="C18" s="200">
        <f>Statement!Z22</f>
        <v>1145</v>
      </c>
      <c r="D18" s="198">
        <f>Statement!AA22</f>
        <v>1147</v>
      </c>
      <c r="F18" s="200">
        <f>Statement!W22</f>
        <v>1131</v>
      </c>
      <c r="G18" s="198">
        <f>Statement!AA22</f>
        <v>1147</v>
      </c>
    </row>
    <row r="19" spans="2:7" x14ac:dyDescent="0.2">
      <c r="B19" s="206" t="s">
        <v>315</v>
      </c>
      <c r="C19" s="247">
        <f>IF(C18=0,
IF(D18=0,0,IF(D18&gt;0,1,-1)),
(D18-C18)/ABS(C18)
)</f>
        <v>1.7467248908296944E-3</v>
      </c>
      <c r="D19" s="248"/>
      <c r="F19" s="247">
        <f>IF(F18=0,
IF(G18=0,0,IF(G18&gt;0,1,-1)),
(G18-F18)/ABS(F18)
)</f>
        <v>1.4146772767462422E-2</v>
      </c>
      <c r="G19" s="248"/>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47">
        <f>IF(C20=0,
IF(D20=0,0,IF(D20&gt;0,1,-1)),
(D20-C20)/ABS(C20)
)</f>
        <v>0.33238751520064835</v>
      </c>
      <c r="D21" s="248"/>
      <c r="F21" s="247">
        <f>IF(F20=0,
IF(G20=0,0,IF(G20&gt;0,1,-1)),
(G20-F20)/ABS(F20)
)</f>
        <v>10.614840989399292</v>
      </c>
      <c r="G21" s="248"/>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47">
        <f>IF(C24=0,
IF(D24=0,0,IF(D24&gt;0,1,-1)),
(D24-C24)/ABS(C24)
)</f>
        <v>0.26950331971399388</v>
      </c>
      <c r="D25" s="248"/>
      <c r="F25" s="247">
        <f>IF(F24=0,
IF(G24=0,0,IF(G24&gt;0,1,-1)),
(G24-F24)/ABS(F24)
)</f>
        <v>0.79326359455316076</v>
      </c>
      <c r="G25" s="248"/>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47">
        <f>IF(C26=0,
IF(D26=0,0,IF(D26&gt;0,1,-1)),
(D26-C26)/ABS(C26)
)</f>
        <v>0.41828422005430954</v>
      </c>
      <c r="D27" s="248"/>
      <c r="F27" s="247">
        <f>IF(F26=0,
IF(G26=0,0,IF(G26&gt;0,1,-1)),
(G26-F26)/ABS(F26)
)</f>
        <v>1.2519961673586713</v>
      </c>
      <c r="G27" s="248"/>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47">
        <f>IF(C28=0,
IF(D28=0,0,IF(D28&gt;0,1,-1)),
(D28-C28)/ABS(C28)
)</f>
        <v>0.92432432432432432</v>
      </c>
      <c r="D29" s="248"/>
      <c r="F29" s="247">
        <f>IF(F28=0,
IF(G28=0,0,IF(G28&gt;0,1,-1)),
(G28-F28)/ABS(F28)
)</f>
        <v>0.55458515283842791</v>
      </c>
      <c r="G29" s="248"/>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47">
        <f>IF(C31=0,
IF(D31=0,0,IF(D31&gt;0,1,-1)),
(D31-C31)/ABS(C31)
)</f>
        <v>0.18258406565473165</v>
      </c>
      <c r="D32" s="248"/>
      <c r="F32" s="247">
        <f>IF(F31=0,
IF(G31=0,0,IF(G31&gt;0,1,-1)),
(G31-F31)/ABS(F31)
)</f>
        <v>2.5841954655513977</v>
      </c>
      <c r="G32" s="248"/>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47">
        <f>IF(C33=0,
IF(D33=0,0,IF(D33&gt;0,1,-1)),
(D33-C33)/ABS(C33)
)</f>
        <v>0.56213120444290177</v>
      </c>
      <c r="D34" s="248"/>
      <c r="F34" s="247">
        <f>IF(F33=0,
IF(G33=0,0,IF(G33&gt;0,1,-1)),
(G33-F33)/ABS(F33)
)</f>
        <v>10.415345592897907</v>
      </c>
      <c r="G34" s="248"/>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47">
        <f>IF(C35=0,
IF(D35=0,0,IF(D35&gt;0,1,-1)),
(D35-C35)/ABS(C35)
)</f>
        <v>0.13826924746115787</v>
      </c>
      <c r="D36" s="248"/>
      <c r="F36" s="247">
        <f>IF(F35=0,
IF(G35=0,0,IF(G35&gt;0,1,-1)),
(G35-F35)/ABS(F35)
)</f>
        <v>2.4877659574468085</v>
      </c>
      <c r="G36" s="248"/>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47">
        <f>IF(C37=0,
IF(D37=0,0,IF(D37&gt;0,1,-1)),
(D37-C37)/ABS(C37)
)</f>
        <v>0.47259387138541215</v>
      </c>
      <c r="D38" s="248"/>
      <c r="F38" s="247">
        <f>IF(F37=0,
IF(G37=0,0,IF(G37&gt;0,1,-1)),
(G37-F37)/ABS(F37)
)</f>
        <v>3.7587168758716878</v>
      </c>
      <c r="G38" s="248"/>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111</v>
      </c>
    </row>
  </sheetData>
  <hyperlinks>
    <hyperlink ref="H6" location="Overview!B3" display="Overview'!B3" xr:uid="{7873638F-C7CC-CC44-83D9-20F3C6CE307B}"/>
    <hyperlink ref="H8" location="'Analysis -&gt;'!B13" display="'Analysis -&gt;'!B13" xr:uid="{E45A0110-B3F9-104A-B761-6A88FFB7BD32}"/>
    <hyperlink ref="H9" location="'Forecast -&gt;'!B13" display="'Forecast -&gt;'!B13" xr:uid="{6CB7E4FF-E3B0-8646-8263-E1791C14848A}"/>
    <hyperlink ref="H10" location="'Valuation -&gt;'!B13" display="'Valuation -&gt;'!B13" xr:uid="{0BC2D033-0850-7447-A695-2D6A3F1C3B97}"/>
    <hyperlink ref="H7" location="'Financials -&gt;'!B13" display="'Financials -&gt;'!B13" xr:uid="{FA605B8D-7A34-7A4D-B373-0B8C7BA5655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A4"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6" t="s">
        <v>113</v>
      </c>
      <c r="D2" s="246"/>
      <c r="E2" s="246"/>
      <c r="F2" s="246"/>
      <c r="G2" s="255"/>
      <c r="H2" s="256" t="s">
        <v>114</v>
      </c>
      <c r="I2" s="246"/>
      <c r="J2" s="246"/>
      <c r="K2" s="246"/>
      <c r="L2" s="246"/>
      <c r="O2" s="5"/>
      <c r="S2" s="246" t="s">
        <v>113</v>
      </c>
      <c r="T2" s="246"/>
      <c r="U2" s="246"/>
      <c r="V2" s="246"/>
      <c r="W2" s="246"/>
      <c r="X2" s="246"/>
      <c r="Y2" s="246"/>
      <c r="Z2" s="246"/>
      <c r="AA2" s="246" t="s">
        <v>114</v>
      </c>
      <c r="AB2" s="246"/>
      <c r="AC2" s="246"/>
      <c r="AE2" s="85" t="s">
        <v>115</v>
      </c>
    </row>
    <row r="3" spans="1:31" ht="10" customHeight="1" x14ac:dyDescent="0.2">
      <c r="O3" s="5"/>
    </row>
    <row r="4" spans="1:31" ht="16" customHeight="1" x14ac:dyDescent="0.2">
      <c r="A4" s="86"/>
      <c r="B4" s="60"/>
      <c r="C4" s="252" t="s">
        <v>116</v>
      </c>
      <c r="D4" s="252"/>
      <c r="E4" s="252"/>
      <c r="F4" s="252"/>
      <c r="G4" s="252"/>
      <c r="H4" s="252"/>
      <c r="I4" s="252"/>
      <c r="J4" s="252"/>
      <c r="K4" s="252"/>
      <c r="L4" s="252"/>
      <c r="O4" s="5"/>
      <c r="S4" s="253" t="s">
        <v>116</v>
      </c>
      <c r="T4" s="254"/>
      <c r="U4" s="254"/>
      <c r="V4" s="254"/>
      <c r="W4" s="254"/>
      <c r="X4" s="254"/>
      <c r="Y4" s="254"/>
      <c r="Z4" s="254"/>
      <c r="AA4" s="254"/>
      <c r="AB4" s="254"/>
      <c r="AC4" s="254"/>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52" t="s">
        <v>122</v>
      </c>
      <c r="D12" s="252"/>
      <c r="E12" s="252"/>
      <c r="F12" s="252"/>
      <c r="G12" s="252"/>
      <c r="H12" s="252"/>
      <c r="I12" s="252"/>
      <c r="J12" s="252"/>
      <c r="K12" s="252"/>
      <c r="L12" s="252"/>
      <c r="O12" s="5"/>
      <c r="Q12" s="91"/>
      <c r="S12" s="253" t="s">
        <v>122</v>
      </c>
      <c r="T12" s="254"/>
      <c r="U12" s="254"/>
      <c r="V12" s="254"/>
      <c r="W12" s="254"/>
      <c r="X12" s="254"/>
      <c r="Y12" s="254"/>
      <c r="Z12" s="254"/>
      <c r="AA12" s="254"/>
      <c r="AB12" s="254"/>
      <c r="AC12" s="254"/>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29" sqref="H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6" t="s">
        <v>113</v>
      </c>
      <c r="D2" s="246"/>
      <c r="E2" s="246"/>
      <c r="F2" s="246"/>
      <c r="G2" s="255"/>
      <c r="H2" s="256" t="s">
        <v>114</v>
      </c>
      <c r="I2" s="246"/>
      <c r="J2" s="246"/>
      <c r="K2" s="246"/>
      <c r="L2" s="246"/>
      <c r="P2" s="246" t="s">
        <v>113</v>
      </c>
      <c r="Q2" s="246"/>
      <c r="R2" s="246"/>
      <c r="S2" s="246"/>
      <c r="T2" s="246"/>
      <c r="U2" s="246"/>
      <c r="V2" s="246"/>
      <c r="W2" s="246"/>
      <c r="X2" s="246" t="s">
        <v>114</v>
      </c>
      <c r="Y2" s="246"/>
      <c r="Z2" s="246"/>
      <c r="AB2" s="85" t="s">
        <v>115</v>
      </c>
    </row>
    <row r="3" spans="1:30" ht="10" customHeight="1" x14ac:dyDescent="0.2"/>
    <row r="4" spans="1:30" ht="16" customHeight="1" x14ac:dyDescent="0.2">
      <c r="A4" s="86"/>
      <c r="B4" s="60"/>
      <c r="C4" s="252" t="s">
        <v>116</v>
      </c>
      <c r="D4" s="252"/>
      <c r="E4" s="252"/>
      <c r="F4" s="252"/>
      <c r="G4" s="252"/>
      <c r="H4" s="252"/>
      <c r="I4" s="252"/>
      <c r="J4" s="252"/>
      <c r="K4" s="252"/>
      <c r="L4" s="252"/>
      <c r="P4" s="254" t="s">
        <v>116</v>
      </c>
      <c r="Q4" s="254"/>
      <c r="R4" s="254"/>
      <c r="S4" s="254"/>
      <c r="T4" s="254"/>
      <c r="U4" s="254"/>
      <c r="V4" s="254"/>
      <c r="W4" s="254"/>
      <c r="X4" s="254"/>
      <c r="Y4" s="254"/>
      <c r="Z4" s="254"/>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52" t="s">
        <v>125</v>
      </c>
      <c r="D9" s="252"/>
      <c r="E9" s="252"/>
      <c r="F9" s="252"/>
      <c r="G9" s="252"/>
      <c r="H9" s="252"/>
      <c r="I9" s="252"/>
      <c r="J9" s="252"/>
      <c r="K9" s="252"/>
      <c r="L9" s="252"/>
      <c r="N9" s="91"/>
      <c r="P9" s="254" t="s">
        <v>126</v>
      </c>
      <c r="Q9" s="254"/>
      <c r="R9" s="254"/>
      <c r="S9" s="254"/>
      <c r="T9" s="254"/>
      <c r="U9" s="254"/>
      <c r="V9" s="254"/>
      <c r="W9" s="254"/>
      <c r="X9" s="254"/>
      <c r="Y9" s="254"/>
      <c r="Z9" s="254"/>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3088.5425</v>
      </c>
      <c r="Y11" s="25"/>
      <c r="Z11" s="25"/>
      <c r="AB11" s="24">
        <f>SUM(U11:X11)</f>
        <v>10136.6525</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2161.97975</v>
      </c>
      <c r="Y12" s="25"/>
      <c r="Z12" s="25"/>
      <c r="AB12" s="24">
        <f>SUM(U12:X12)</f>
        <v>6960.1797499999993</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1853.1254999999999</v>
      </c>
      <c r="Y13" s="25"/>
      <c r="Z13" s="25"/>
      <c r="AB13" s="24">
        <f>SUM(U13:X13)</f>
        <v>6284.5254999999997</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1420.72955</v>
      </c>
      <c r="Y14" s="25"/>
      <c r="Z14" s="25"/>
      <c r="AB14" s="24">
        <f>SUM(U14:X14)</f>
        <v>4346.5695500000002</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8524.3773000000001</v>
      </c>
      <c r="Y15" s="110"/>
      <c r="Z15" s="110"/>
      <c r="AB15" s="110">
        <f>SUM(AB11:AB14)</f>
        <v>27727.927299999999</v>
      </c>
    </row>
    <row r="16" spans="1:30" x14ac:dyDescent="0.2">
      <c r="B16" s="1" t="str">
        <f>Statement!B8</f>
        <v>R&amp;D</v>
      </c>
      <c r="C16" s="98">
        <f>Statement!M8</f>
        <v>3116</v>
      </c>
      <c r="D16" s="98">
        <f>Statement!N8</f>
        <v>3114</v>
      </c>
      <c r="E16" s="98">
        <f>Statement!O8</f>
        <v>3430</v>
      </c>
      <c r="F16" s="98">
        <f>Statement!P8</f>
        <v>3798</v>
      </c>
      <c r="G16" s="99">
        <f>Statement!Q8</f>
        <v>5650</v>
      </c>
      <c r="H16" s="24">
        <f>H6*H29</f>
        <v>9716.8533000000007</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1482.5003999999999</v>
      </c>
      <c r="Y16" s="24"/>
      <c r="Z16" s="24"/>
      <c r="AB16" s="24">
        <f t="shared" ref="AB16:AB19" si="10">SUM(U16:X16)</f>
        <v>5961.5003999999999</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803.02104999999995</v>
      </c>
      <c r="Y17" s="24"/>
      <c r="Z17" s="24"/>
      <c r="AB17" s="24">
        <f t="shared" si="10"/>
        <v>2413.0210499999998</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13337.15805</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2435.5214499999997</v>
      </c>
      <c r="Y19" s="110"/>
      <c r="Z19" s="110"/>
      <c r="AB19" s="110">
        <f t="shared" si="10"/>
        <v>9089.5214500000002</v>
      </c>
    </row>
    <row r="22" spans="2:28" x14ac:dyDescent="0.2">
      <c r="C22" s="252" t="s">
        <v>128</v>
      </c>
      <c r="D22" s="252"/>
      <c r="E22" s="252"/>
      <c r="F22" s="252"/>
      <c r="G22" s="252"/>
      <c r="H22" s="252"/>
      <c r="I22" s="252"/>
      <c r="J22" s="252"/>
      <c r="K22" s="252"/>
      <c r="L22" s="252"/>
      <c r="P22" s="254" t="s">
        <v>128</v>
      </c>
      <c r="Q22" s="254"/>
      <c r="R22" s="254"/>
      <c r="S22" s="254"/>
      <c r="T22" s="254"/>
      <c r="U22" s="254"/>
      <c r="V22" s="254"/>
      <c r="W22" s="254"/>
      <c r="X22" s="254"/>
      <c r="Y22" s="254"/>
      <c r="Z22" s="254"/>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0.05</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3.5000000000000003E-2</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0.03</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2.3E-2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0.13800000000000001</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4.2000000000000003E-2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2.4E-2</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1.2999999999999999E-2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5.7648358044059392E-2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3.9428329867566982E-2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I21" sqref="I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116</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132</v>
      </c>
      <c r="D11" s="252"/>
      <c r="E11" s="252"/>
      <c r="F11" s="252"/>
      <c r="G11" s="252"/>
      <c r="H11" s="252"/>
      <c r="I11" s="252"/>
      <c r="J11" s="252"/>
      <c r="K11" s="252"/>
      <c r="L11" s="252"/>
      <c r="N11" s="91"/>
      <c r="P11" s="257"/>
      <c r="Q11" s="257"/>
      <c r="R11" s="257"/>
      <c r="S11" s="257"/>
      <c r="T11" s="257"/>
      <c r="U11" s="257"/>
      <c r="V11" s="257"/>
      <c r="W11" s="257"/>
      <c r="X11" s="257"/>
      <c r="Y11" s="257"/>
      <c r="Z11" s="257"/>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52" t="s">
        <v>137</v>
      </c>
      <c r="D18" s="252"/>
      <c r="E18" s="252"/>
      <c r="F18" s="252"/>
      <c r="G18" s="252"/>
      <c r="H18" s="252"/>
      <c r="I18" s="252"/>
      <c r="J18" s="252"/>
      <c r="K18" s="252"/>
      <c r="L18" s="252"/>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57"/>
      <c r="C25" s="257"/>
    </row>
    <row r="26" spans="2:12" x14ac:dyDescent="0.2">
      <c r="B26" s="113"/>
      <c r="C26" s="252" t="s">
        <v>143</v>
      </c>
      <c r="D26" s="252"/>
      <c r="E26" s="252"/>
      <c r="F26" s="252"/>
      <c r="G26" s="252"/>
      <c r="H26" s="252"/>
      <c r="I26" s="252"/>
      <c r="J26" s="252"/>
      <c r="K26" s="252"/>
      <c r="L26" s="252"/>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52" t="s">
        <v>147</v>
      </c>
      <c r="D33" s="252"/>
      <c r="E33" s="252"/>
      <c r="F33" s="252"/>
      <c r="G33" s="252"/>
      <c r="H33" s="252"/>
      <c r="I33" s="252"/>
      <c r="J33" s="252"/>
      <c r="K33" s="252"/>
      <c r="L33" s="252"/>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52" t="s">
        <v>150</v>
      </c>
      <c r="D40" s="252"/>
      <c r="E40" s="252"/>
      <c r="F40" s="252"/>
      <c r="G40" s="252"/>
      <c r="H40" s="252"/>
      <c r="I40" s="252"/>
      <c r="J40" s="252"/>
      <c r="K40" s="252"/>
      <c r="L40" s="252"/>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6" t="s">
        <v>113</v>
      </c>
      <c r="D2" s="246"/>
      <c r="E2" s="246"/>
      <c r="F2" s="246"/>
      <c r="G2" s="255"/>
      <c r="H2" s="256" t="s">
        <v>114</v>
      </c>
      <c r="I2" s="246"/>
      <c r="J2" s="246"/>
      <c r="K2" s="246"/>
      <c r="L2" s="246"/>
      <c r="S2" s="257"/>
      <c r="T2" s="257"/>
      <c r="U2" s="257"/>
      <c r="V2" s="257"/>
      <c r="W2" s="257"/>
      <c r="X2" s="257"/>
      <c r="Y2" s="257"/>
      <c r="Z2" s="257"/>
      <c r="AA2" s="257"/>
      <c r="AB2" s="257"/>
      <c r="AC2" s="257"/>
      <c r="AE2" s="113"/>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13337.15805</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180999.90794999999</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52" t="s">
        <v>158</v>
      </c>
      <c r="D13" s="252"/>
      <c r="E13" s="252"/>
      <c r="F13" s="252"/>
      <c r="G13" s="252"/>
      <c r="H13" s="252"/>
      <c r="I13" s="252"/>
      <c r="J13" s="252"/>
      <c r="K13" s="252"/>
      <c r="L13" s="25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52" t="s">
        <v>159</v>
      </c>
      <c r="D18" s="252"/>
      <c r="E18" s="252"/>
      <c r="F18" s="252"/>
      <c r="G18" s="252"/>
      <c r="H18" s="252"/>
      <c r="I18" s="252"/>
      <c r="J18" s="252"/>
      <c r="K18" s="252"/>
      <c r="L18" s="252"/>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52" t="s">
        <v>262</v>
      </c>
      <c r="D25" s="252"/>
      <c r="E25" s="252"/>
      <c r="F25" s="252"/>
      <c r="G25" s="252"/>
      <c r="H25" s="252"/>
      <c r="I25" s="252"/>
      <c r="J25" s="252"/>
      <c r="K25" s="252"/>
      <c r="L25" s="252"/>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142989.92728050001</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91969.990855842465</v>
      </c>
      <c r="I28" s="94">
        <f t="shared" si="7"/>
        <v>124064.76616155481</v>
      </c>
      <c r="J28" s="94">
        <f t="shared" si="7"/>
        <v>175525.57843428288</v>
      </c>
      <c r="K28" s="94">
        <f t="shared" si="7"/>
        <v>188625.14228390134</v>
      </c>
      <c r="L28" s="94">
        <f t="shared" si="7"/>
        <v>156823.0650703951</v>
      </c>
    </row>
    <row r="31" spans="2:14" x14ac:dyDescent="0.2">
      <c r="C31" s="252" t="s">
        <v>76</v>
      </c>
      <c r="D31" s="252"/>
      <c r="E31" s="252"/>
      <c r="F31" s="252"/>
      <c r="G31" s="252"/>
      <c r="H31" s="252"/>
      <c r="I31" s="252"/>
      <c r="J31" s="252"/>
      <c r="K31" s="252"/>
      <c r="L31" s="252"/>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0.78235164195594065</v>
      </c>
      <c r="I34" s="216">
        <f t="shared" ref="I34:L34" si="10">I10/I6</f>
        <v>0.81452756570639784</v>
      </c>
      <c r="J34" s="216">
        <f t="shared" si="10"/>
        <v>0.81459882900111036</v>
      </c>
      <c r="K34" s="216">
        <f t="shared" si="10"/>
        <v>0.79952891679303562</v>
      </c>
      <c r="L34" s="216">
        <f t="shared" si="10"/>
        <v>0.78931602536679157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164</v>
      </c>
    </row>
  </sheetData>
  <hyperlinks>
    <hyperlink ref="H6" location="Overview!B3" display="Overview'!B3" xr:uid="{FB08413C-2DC9-214F-A7A3-5EEBC25D4AEA}"/>
    <hyperlink ref="H8" location="'Analysis -&gt;'!B13" display="'Analysis -&gt;'!B13" xr:uid="{8781F548-F632-C24D-A095-8FAAFBFC1F9E}"/>
    <hyperlink ref="H9" location="'Forecast -&gt;'!B13" display="'Forecast -&gt;'!B13" xr:uid="{783E7A6F-FF22-AC4A-8256-5B348A6FE7F4}"/>
    <hyperlink ref="H10" location="'Valuation -&gt;'!B13" display="'Valuation -&gt;'!B13" xr:uid="{EDB7FD73-84D0-3E45-A3D1-4B7A600FF95D}"/>
    <hyperlink ref="H7" location="'Financials -&gt;'!B13" display="'Financials -&gt;'!B13" xr:uid="{6F3044C1-A65B-DE4E-A0D9-1565B33C281C}"/>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6" t="s">
        <v>166</v>
      </c>
      <c r="C4" s="246"/>
    </row>
    <row r="5" spans="1:3" ht="17" customHeight="1" x14ac:dyDescent="0.2">
      <c r="B5" s="1" t="s">
        <v>167</v>
      </c>
      <c r="C5" s="140">
        <f>Statement!AC78</f>
        <v>1146</v>
      </c>
    </row>
    <row r="6" spans="1:3" ht="17" customHeight="1" x14ac:dyDescent="0.2">
      <c r="B6" s="1" t="s">
        <v>1</v>
      </c>
      <c r="C6" s="137">
        <f ca="1">Overview!C5</f>
        <v>910.08</v>
      </c>
    </row>
    <row r="7" spans="1:3" ht="17" customHeight="1" x14ac:dyDescent="0.2">
      <c r="B7" s="1" t="s">
        <v>168</v>
      </c>
      <c r="C7" s="138">
        <f ca="1">C5*C6</f>
        <v>1042951.6800000001</v>
      </c>
    </row>
    <row r="8" spans="1:3" ht="17" customHeight="1" x14ac:dyDescent="0.2">
      <c r="B8" s="1" t="s">
        <v>169</v>
      </c>
      <c r="C8" s="116">
        <f>Statement!AC108</f>
        <v>5179</v>
      </c>
    </row>
    <row r="9" spans="1:3" ht="17" customHeight="1" x14ac:dyDescent="0.2">
      <c r="B9" s="1" t="s">
        <v>170</v>
      </c>
      <c r="C9" s="139">
        <f ca="1">Overview!F27</f>
        <v>5.1360000000000003E-2</v>
      </c>
    </row>
    <row r="10" spans="1:3" ht="17" customHeight="1" x14ac:dyDescent="0.2">
      <c r="B10" s="1" t="s">
        <v>9</v>
      </c>
      <c r="C10" s="137">
        <f ca="1">Overview!C13</f>
        <v>2.3460000000000001</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6" t="s">
        <v>173</v>
      </c>
      <c r="C15" s="246"/>
    </row>
    <row r="16" spans="1:3" ht="17" customHeight="1" x14ac:dyDescent="0.2">
      <c r="B16" s="1" t="s">
        <v>174</v>
      </c>
      <c r="C16" s="46">
        <f ca="1">C8/(C8+C7)</f>
        <v>4.941177754667004E-3</v>
      </c>
    </row>
    <row r="17" spans="2:3" ht="17" customHeight="1" x14ac:dyDescent="0.2">
      <c r="B17" s="1" t="s">
        <v>175</v>
      </c>
      <c r="C17" s="46">
        <f ca="1">C7/(C8+C7)</f>
        <v>0.99505882224533304</v>
      </c>
    </row>
    <row r="18" spans="2:3" ht="17" customHeight="1" x14ac:dyDescent="0.2">
      <c r="B18" s="1" t="s">
        <v>176</v>
      </c>
      <c r="C18" s="46">
        <f>C13*(1-C12)</f>
        <v>4.5030000000000001E-2</v>
      </c>
    </row>
    <row r="19" spans="2:3" ht="17" customHeight="1" x14ac:dyDescent="0.2">
      <c r="B19" s="1" t="s">
        <v>177</v>
      </c>
      <c r="C19" s="46">
        <f ca="1">C9+C10*C11</f>
        <v>0.15693000000000001</v>
      </c>
    </row>
    <row r="20" spans="2:3" ht="17" customHeight="1" x14ac:dyDescent="0.2">
      <c r="B20" s="1" t="s">
        <v>165</v>
      </c>
      <c r="C20" s="46">
        <f ca="1">(C17*C19)+(C16*C18)</f>
        <v>0.15637708220925278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180</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91969.990855842465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1082077.148488801</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79532.872339647423</v>
      </c>
      <c r="I10" s="130">
        <f t="shared" ref="I10:L10" ca="1" si="0">I7/(1+$C$15)^I9</f>
        <v>92778.962001288761</v>
      </c>
      <c r="J10" s="130">
        <f t="shared" ca="1" si="0"/>
        <v>113512.0547034003</v>
      </c>
      <c r="K10" s="130">
        <f t="shared" ca="1" si="0"/>
        <v>105487.66434484777</v>
      </c>
      <c r="L10" s="130">
        <f t="shared" ca="1" si="0"/>
        <v>75842.485628582188</v>
      </c>
      <c r="N10" s="91"/>
    </row>
    <row r="11" spans="1:28" x14ac:dyDescent="0.2">
      <c r="B11" s="1" t="s">
        <v>183</v>
      </c>
      <c r="C11" s="141"/>
      <c r="D11" s="141"/>
      <c r="E11" s="141"/>
      <c r="F11" s="141"/>
      <c r="G11" s="142"/>
      <c r="H11" s="141"/>
      <c r="I11" s="141"/>
      <c r="J11" s="141"/>
      <c r="K11" s="141"/>
      <c r="L11" s="130">
        <f ca="1">L8/(1+C15)^L9</f>
        <v>523312.18336053105</v>
      </c>
    </row>
    <row r="13" spans="1:28" x14ac:dyDescent="0.2">
      <c r="B13" s="246" t="s">
        <v>184</v>
      </c>
      <c r="C13" s="246"/>
    </row>
    <row r="14" spans="1:28" x14ac:dyDescent="0.2">
      <c r="B14" s="1" t="s">
        <v>185</v>
      </c>
      <c r="C14" s="144">
        <v>0.01</v>
      </c>
    </row>
    <row r="15" spans="1:28" x14ac:dyDescent="0.2">
      <c r="B15" s="1" t="s">
        <v>165</v>
      </c>
      <c r="C15" s="139">
        <f ca="1">IF(Overview!C28&gt;0,Overview!C28,WACC!C20)</f>
        <v>0.15637708220925278</v>
      </c>
    </row>
    <row r="18" spans="2:3" x14ac:dyDescent="0.2">
      <c r="B18" s="246" t="s">
        <v>186</v>
      </c>
      <c r="C18" s="246"/>
    </row>
    <row r="19" spans="2:3" x14ac:dyDescent="0.2">
      <c r="B19" s="1" t="s">
        <v>187</v>
      </c>
      <c r="C19" s="64">
        <f ca="1">SUM(H10:L10)</f>
        <v>467154.03901776648</v>
      </c>
    </row>
    <row r="20" spans="2:3" x14ac:dyDescent="0.2">
      <c r="B20" s="1" t="s">
        <v>183</v>
      </c>
      <c r="C20" s="64">
        <f ca="1">L11</f>
        <v>523312.18336053105</v>
      </c>
    </row>
    <row r="21" spans="2:3" x14ac:dyDescent="0.2">
      <c r="B21" s="16" t="s">
        <v>188</v>
      </c>
      <c r="C21" s="94">
        <f ca="1">C19+C20</f>
        <v>990466.22237829748</v>
      </c>
    </row>
    <row r="22" spans="2:3" x14ac:dyDescent="0.2">
      <c r="B22" s="1" t="s">
        <v>189</v>
      </c>
      <c r="C22" s="88">
        <f>Statement!AC107</f>
        <v>73453</v>
      </c>
    </row>
    <row r="23" spans="2:3" x14ac:dyDescent="0.2">
      <c r="B23" s="1" t="s">
        <v>190</v>
      </c>
      <c r="C23" s="88">
        <f>Statement!AC108</f>
        <v>5179</v>
      </c>
    </row>
    <row r="24" spans="2:3" x14ac:dyDescent="0.2">
      <c r="B24" s="16" t="s">
        <v>191</v>
      </c>
      <c r="C24" s="94">
        <f ca="1">C21+C22-C23</f>
        <v>1058740.2223782975</v>
      </c>
    </row>
    <row r="25" spans="2:3" x14ac:dyDescent="0.2">
      <c r="B25" s="1" t="s">
        <v>68</v>
      </c>
      <c r="C25" s="88">
        <f>Statement!AC78</f>
        <v>1146</v>
      </c>
    </row>
    <row r="26" spans="2:3" x14ac:dyDescent="0.2">
      <c r="B26" s="236" t="s">
        <v>192</v>
      </c>
      <c r="C26" s="237">
        <f ca="1">C24/C25</f>
        <v>923.85708759013744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6" t="s">
        <v>113</v>
      </c>
      <c r="D2" s="246"/>
      <c r="E2" s="246"/>
      <c r="F2" s="246"/>
      <c r="G2" s="255"/>
      <c r="H2" s="256" t="s">
        <v>114</v>
      </c>
      <c r="I2" s="246"/>
      <c r="J2" s="246"/>
      <c r="K2" s="246"/>
      <c r="L2" s="246"/>
    </row>
    <row r="3" spans="1:14" ht="10" customHeight="1" x14ac:dyDescent="0.2"/>
    <row r="4" spans="1:14" ht="16" customHeight="1" x14ac:dyDescent="0.2">
      <c r="A4" s="86"/>
      <c r="B4" s="60"/>
      <c r="C4" s="252" t="s">
        <v>194</v>
      </c>
      <c r="D4" s="252"/>
      <c r="E4" s="252"/>
      <c r="F4" s="252"/>
      <c r="G4" s="252"/>
      <c r="H4" s="252"/>
      <c r="I4" s="252"/>
      <c r="J4" s="252"/>
      <c r="K4" s="252"/>
      <c r="L4" s="252"/>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180999.90794999999</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91969.990855842465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 ca="1">DCF!H10</f>
        <v>79532.872339647423</v>
      </c>
      <c r="I9" s="92">
        <f ca="1">DCF!I10</f>
        <v>92778.962001288761</v>
      </c>
      <c r="J9" s="92">
        <f ca="1">DCF!J10</f>
        <v>113512.0547034003</v>
      </c>
      <c r="K9" s="92">
        <f ca="1">DCF!K10</f>
        <v>105487.66434484777</v>
      </c>
      <c r="L9" s="92">
        <f ca="1">DCF!L10</f>
        <v>75842.485628582188</v>
      </c>
      <c r="N9" s="91"/>
    </row>
    <row r="10" spans="1:14" x14ac:dyDescent="0.2">
      <c r="N10" s="91"/>
    </row>
    <row r="11" spans="1:14" x14ac:dyDescent="0.2">
      <c r="C11" s="252" t="s">
        <v>122</v>
      </c>
      <c r="D11" s="252"/>
      <c r="E11" s="252"/>
      <c r="F11" s="252"/>
      <c r="G11" s="252"/>
      <c r="H11" s="252"/>
      <c r="I11" s="252"/>
      <c r="J11" s="252"/>
      <c r="K11" s="252"/>
      <c r="L11" s="252"/>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0.82202444080934156</v>
      </c>
      <c r="I14" s="95">
        <f t="shared" si="2"/>
        <v>0.42881919653484568</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0.59456904255097731</v>
      </c>
      <c r="I15" s="95">
        <f t="shared" si="3"/>
        <v>0.34897008260030182</v>
      </c>
      <c r="J15" s="95">
        <f t="shared" si="3"/>
        <v>0.41478990260390902</v>
      </c>
      <c r="K15" s="95">
        <f t="shared" si="3"/>
        <v>7.4630512353064005E-2</v>
      </c>
      <c r="L15" s="95">
        <f t="shared" si="3"/>
        <v>-0.16859935440441265</v>
      </c>
      <c r="N15" s="91"/>
    </row>
    <row r="16" spans="1:14" x14ac:dyDescent="0.2">
      <c r="N16" s="91"/>
    </row>
    <row r="17" spans="2:14" x14ac:dyDescent="0.2">
      <c r="C17" s="252" t="s">
        <v>196</v>
      </c>
      <c r="D17" s="252"/>
      <c r="E17" s="252"/>
      <c r="F17" s="252"/>
      <c r="G17" s="252"/>
      <c r="H17" s="252"/>
      <c r="I17" s="252"/>
      <c r="J17" s="252"/>
      <c r="K17" s="252"/>
      <c r="L17" s="252"/>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52" t="s">
        <v>199</v>
      </c>
      <c r="D22" s="252"/>
      <c r="E22" s="252"/>
      <c r="F22" s="252"/>
      <c r="G22" s="252"/>
      <c r="H22" s="252"/>
      <c r="I22" s="252"/>
      <c r="J22" s="252"/>
      <c r="K22" s="252"/>
      <c r="L22" s="252"/>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52" t="s">
        <v>200</v>
      </c>
      <c r="D27" s="252"/>
      <c r="E27" s="252"/>
      <c r="F27" s="252"/>
      <c r="G27" s="252"/>
      <c r="H27" s="252"/>
      <c r="I27" s="252"/>
      <c r="J27" s="252"/>
      <c r="K27" s="252"/>
      <c r="L27" s="252"/>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6" t="s">
        <v>205</v>
      </c>
      <c r="C39" s="246"/>
      <c r="N39" s="91"/>
    </row>
    <row r="40" spans="2:14" x14ac:dyDescent="0.2">
      <c r="B40" s="1" t="s">
        <v>206</v>
      </c>
      <c r="C40" s="64">
        <f>L7</f>
        <v>173102.03925200002</v>
      </c>
    </row>
    <row r="41" spans="2:14" x14ac:dyDescent="0.2">
      <c r="B41" s="1" t="s">
        <v>165</v>
      </c>
      <c r="C41" s="139">
        <f ca="1">IF(Overview!C28&gt;0,Overview!C28,WACC!C20)</f>
        <v>0.15637708220925278</v>
      </c>
    </row>
    <row r="42" spans="2:14" x14ac:dyDescent="0.2">
      <c r="B42" s="39" t="s">
        <v>207</v>
      </c>
      <c r="C42" s="105">
        <v>12</v>
      </c>
    </row>
    <row r="43" spans="2:14" x14ac:dyDescent="0.2">
      <c r="B43" s="1" t="s">
        <v>422</v>
      </c>
      <c r="C43" s="24">
        <f>(C40*C42)</f>
        <v>2077224.4710240001</v>
      </c>
    </row>
    <row r="44" spans="2:14" x14ac:dyDescent="0.2">
      <c r="B44" s="1" t="s">
        <v>423</v>
      </c>
      <c r="C44" s="24">
        <f ca="1">C43/(1+C41)^5</f>
        <v>1004583.5223298258</v>
      </c>
    </row>
    <row r="45" spans="2:14" x14ac:dyDescent="0.2">
      <c r="B45" s="16" t="s">
        <v>424</v>
      </c>
      <c r="C45" s="110">
        <f ca="1">SUM(H9:K9)+C44</f>
        <v>1395895.0757190101</v>
      </c>
    </row>
    <row r="46" spans="2:14" x14ac:dyDescent="0.2">
      <c r="B46" s="1" t="s">
        <v>189</v>
      </c>
      <c r="C46" s="88">
        <f>Statement!AC107</f>
        <v>73453</v>
      </c>
    </row>
    <row r="47" spans="2:14" x14ac:dyDescent="0.2">
      <c r="B47" s="1" t="s">
        <v>190</v>
      </c>
      <c r="C47" s="88">
        <f>Statement!AC108</f>
        <v>5179</v>
      </c>
    </row>
    <row r="48" spans="2:14" x14ac:dyDescent="0.2">
      <c r="B48" s="16" t="s">
        <v>191</v>
      </c>
      <c r="C48" s="110">
        <f ca="1">C45+C46-C47</f>
        <v>1464169.0757190101</v>
      </c>
    </row>
    <row r="49" spans="2:3" x14ac:dyDescent="0.2">
      <c r="B49" s="1" t="s">
        <v>68</v>
      </c>
      <c r="C49" s="88">
        <f>Statement!AC78</f>
        <v>1146</v>
      </c>
    </row>
    <row r="50" spans="2:3" x14ac:dyDescent="0.2">
      <c r="B50" s="236" t="s">
        <v>209</v>
      </c>
      <c r="C50" s="237">
        <f ca="1">C48/C49</f>
        <v>1277.6344465261868</v>
      </c>
    </row>
    <row r="52" spans="2:3" x14ac:dyDescent="0.2">
      <c r="B52" s="246" t="s">
        <v>210</v>
      </c>
      <c r="C52" s="246"/>
    </row>
    <row r="53" spans="2:3" x14ac:dyDescent="0.2">
      <c r="B53" s="1" t="s">
        <v>211</v>
      </c>
      <c r="C53" s="64">
        <f>L6</f>
        <v>219306.37880000001</v>
      </c>
    </row>
    <row r="54" spans="2:3" x14ac:dyDescent="0.2">
      <c r="B54" s="1" t="s">
        <v>346</v>
      </c>
      <c r="C54" s="139">
        <f ca="1">IF(Overview!C29&gt;0,Overview!C29,WACC!C19)</f>
        <v>0.15693000000000001</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 ca="1">C57/(1+C54)^5</f>
        <v>565.53962081310044</v>
      </c>
    </row>
    <row r="60" spans="2:3" x14ac:dyDescent="0.2">
      <c r="B60" s="246" t="s">
        <v>322</v>
      </c>
      <c r="C60" s="246"/>
    </row>
    <row r="61" spans="2:3" x14ac:dyDescent="0.2">
      <c r="B61" s="1" t="s">
        <v>425</v>
      </c>
      <c r="C61" s="64">
        <f>L8</f>
        <v>156823.0650703951</v>
      </c>
    </row>
    <row r="62" spans="2:3" x14ac:dyDescent="0.2">
      <c r="B62" s="1" t="s">
        <v>165</v>
      </c>
      <c r="C62" s="139">
        <f ca="1">IF(Overview!C28&gt;0,Overview!C28,WACC!C20)</f>
        <v>0.15637708220925278</v>
      </c>
    </row>
    <row r="63" spans="2:3" x14ac:dyDescent="0.2">
      <c r="B63" s="39" t="s">
        <v>347</v>
      </c>
      <c r="C63" s="105">
        <v>20</v>
      </c>
    </row>
    <row r="64" spans="2:3" x14ac:dyDescent="0.2">
      <c r="B64" s="1" t="s">
        <v>422</v>
      </c>
      <c r="C64" s="24">
        <f>(C61*C63)</f>
        <v>3136461.301407902</v>
      </c>
    </row>
    <row r="65" spans="2:3" x14ac:dyDescent="0.2">
      <c r="B65" s="1" t="s">
        <v>423</v>
      </c>
      <c r="C65" s="24">
        <f ca="1">C64/(1+C62)^5</f>
        <v>1516849.712571644</v>
      </c>
    </row>
    <row r="66" spans="2:3" x14ac:dyDescent="0.2">
      <c r="B66" s="16" t="s">
        <v>424</v>
      </c>
      <c r="C66" s="110">
        <f ca="1">SUM(H9:K9)+C65</f>
        <v>1908161.2659608284</v>
      </c>
    </row>
    <row r="67" spans="2:3" x14ac:dyDescent="0.2">
      <c r="B67" s="1" t="s">
        <v>189</v>
      </c>
      <c r="C67" s="88">
        <f>Statement!AC107</f>
        <v>73453</v>
      </c>
    </row>
    <row r="68" spans="2:3" x14ac:dyDescent="0.2">
      <c r="B68" s="1" t="s">
        <v>190</v>
      </c>
      <c r="C68" s="88">
        <f>Statement!AC108</f>
        <v>5179</v>
      </c>
    </row>
    <row r="69" spans="2:3" x14ac:dyDescent="0.2">
      <c r="B69" s="16" t="s">
        <v>191</v>
      </c>
      <c r="C69" s="110">
        <f ca="1">C66+C67-C68</f>
        <v>1976435.2659608284</v>
      </c>
    </row>
    <row r="70" spans="2:3" x14ac:dyDescent="0.2">
      <c r="B70" s="1" t="s">
        <v>68</v>
      </c>
      <c r="C70" s="88">
        <f>Statement!AC78</f>
        <v>1146</v>
      </c>
    </row>
    <row r="71" spans="2:3" x14ac:dyDescent="0.2">
      <c r="B71" s="236" t="s">
        <v>209</v>
      </c>
      <c r="C71" s="237">
        <f ca="1">C69/C70</f>
        <v>1724.6381029326601</v>
      </c>
    </row>
    <row r="73" spans="2:3" x14ac:dyDescent="0.2">
      <c r="B73" s="246" t="s">
        <v>427</v>
      </c>
      <c r="C73" s="246"/>
    </row>
    <row r="74" spans="2:3" x14ac:dyDescent="0.2">
      <c r="B74" s="1" t="s">
        <v>428</v>
      </c>
      <c r="C74" s="64">
        <f>L6</f>
        <v>219306.37880000001</v>
      </c>
    </row>
    <row r="75" spans="2:3" x14ac:dyDescent="0.2">
      <c r="B75" s="1" t="s">
        <v>165</v>
      </c>
      <c r="C75" s="139">
        <f ca="1">IF(Overview!C28&gt;0,Overview!C28,WACC!C20)</f>
        <v>0.15637708220925278</v>
      </c>
    </row>
    <row r="76" spans="2:3" x14ac:dyDescent="0.2">
      <c r="B76" s="39" t="s">
        <v>429</v>
      </c>
      <c r="C76" s="105">
        <v>5.5</v>
      </c>
    </row>
    <row r="77" spans="2:3" x14ac:dyDescent="0.2">
      <c r="B77" s="1" t="s">
        <v>422</v>
      </c>
      <c r="C77" s="24">
        <f>(C74*C76)</f>
        <v>1206185.0834000001</v>
      </c>
    </row>
    <row r="78" spans="2:3" x14ac:dyDescent="0.2">
      <c r="B78" s="1" t="s">
        <v>423</v>
      </c>
      <c r="C78" s="24">
        <f ca="1">C77/(1+C75)^5</f>
        <v>583333.03721688478</v>
      </c>
    </row>
    <row r="79" spans="2:3" x14ac:dyDescent="0.2">
      <c r="B79" s="16" t="s">
        <v>424</v>
      </c>
      <c r="C79" s="110">
        <f ca="1">SUM(H9:K9)+C78</f>
        <v>974644.59060606908</v>
      </c>
    </row>
    <row r="80" spans="2:3" x14ac:dyDescent="0.2">
      <c r="B80" s="1" t="s">
        <v>189</v>
      </c>
      <c r="C80" s="88">
        <f>Statement!AC107</f>
        <v>73453</v>
      </c>
    </row>
    <row r="81" spans="2:3" x14ac:dyDescent="0.2">
      <c r="B81" s="1" t="s">
        <v>190</v>
      </c>
      <c r="C81" s="88">
        <f>Statement!AC108</f>
        <v>5179</v>
      </c>
    </row>
    <row r="82" spans="2:3" x14ac:dyDescent="0.2">
      <c r="B82" s="16" t="s">
        <v>191</v>
      </c>
      <c r="C82" s="110">
        <f ca="1">C79+C80-C81</f>
        <v>1042918.5906060691</v>
      </c>
    </row>
    <row r="83" spans="2:3" x14ac:dyDescent="0.2">
      <c r="B83" s="1" t="s">
        <v>68</v>
      </c>
      <c r="C83" s="88">
        <f>Statement!AC78</f>
        <v>1146</v>
      </c>
    </row>
    <row r="84" spans="2:3" x14ac:dyDescent="0.2">
      <c r="B84" s="236" t="s">
        <v>209</v>
      </c>
      <c r="C84" s="237">
        <f ca="1">C82/C83</f>
        <v>910.05112618330634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6" t="s">
        <v>214</v>
      </c>
      <c r="C4" s="246"/>
      <c r="N4" s="91"/>
    </row>
    <row r="5" spans="1:14" x14ac:dyDescent="0.2">
      <c r="B5" s="1" t="s">
        <v>215</v>
      </c>
      <c r="C5" s="137">
        <f ca="1">DCF!C26</f>
        <v>923.85708759013744</v>
      </c>
    </row>
    <row r="6" spans="1:14" x14ac:dyDescent="0.2">
      <c r="B6" s="1" t="s">
        <v>216</v>
      </c>
      <c r="C6" s="137">
        <f ca="1">Multiples!C50</f>
        <v>1277.6344465261868</v>
      </c>
    </row>
    <row r="7" spans="1:14" x14ac:dyDescent="0.2">
      <c r="B7" s="1" t="s">
        <v>217</v>
      </c>
      <c r="C7" s="137">
        <f ca="1">Multiples!C58</f>
        <v>565.53962081310044</v>
      </c>
    </row>
    <row r="8" spans="1:14" x14ac:dyDescent="0.2">
      <c r="B8" s="1" t="s">
        <v>323</v>
      </c>
      <c r="C8" s="137">
        <f ca="1">Multiples!C71</f>
        <v>1724.6381029326601</v>
      </c>
    </row>
    <row r="9" spans="1:14" x14ac:dyDescent="0.2">
      <c r="B9" s="1" t="s">
        <v>430</v>
      </c>
      <c r="C9" s="137">
        <f ca="1">Multiples!C84</f>
        <v>910.05112618330634</v>
      </c>
    </row>
    <row r="10" spans="1:14" x14ac:dyDescent="0.2">
      <c r="B10" s="236" t="s">
        <v>218</v>
      </c>
      <c r="C10" s="237">
        <f ca="1">AVERAGE(C5:C9)</f>
        <v>1080.3440768090782</v>
      </c>
    </row>
    <row r="11" spans="1:14" x14ac:dyDescent="0.2">
      <c r="B11" s="1" t="s">
        <v>219</v>
      </c>
      <c r="C11" s="137">
        <f ca="1">Overview!C5</f>
        <v>910.08</v>
      </c>
    </row>
    <row r="12" spans="1:14" x14ac:dyDescent="0.2">
      <c r="B12" s="1" t="s">
        <v>220</v>
      </c>
      <c r="C12" s="156">
        <f ca="1">(C10-C11)/C11</f>
        <v>0.18708693390589631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6" t="s">
        <v>113</v>
      </c>
      <c r="D2" s="246"/>
      <c r="E2" s="246"/>
      <c r="F2" s="246"/>
      <c r="G2" s="255"/>
      <c r="H2" s="256" t="s">
        <v>114</v>
      </c>
      <c r="I2" s="246"/>
      <c r="J2" s="246"/>
      <c r="K2" s="246"/>
      <c r="L2" s="246"/>
    </row>
    <row r="3" spans="1:14" ht="10" customHeight="1" x14ac:dyDescent="0.2"/>
    <row r="4" spans="1:14" ht="16" customHeight="1" x14ac:dyDescent="0.2">
      <c r="A4" s="86"/>
      <c r="B4" s="60"/>
      <c r="C4" s="252" t="s">
        <v>194</v>
      </c>
      <c r="D4" s="252"/>
      <c r="E4" s="252"/>
      <c r="F4" s="252"/>
      <c r="G4" s="252"/>
      <c r="H4" s="252"/>
      <c r="I4" s="252"/>
      <c r="J4" s="252"/>
      <c r="K4" s="252"/>
      <c r="L4" s="252"/>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52" t="s">
        <v>122</v>
      </c>
      <c r="D9" s="252"/>
      <c r="E9" s="252"/>
      <c r="F9" s="252"/>
      <c r="G9" s="252"/>
      <c r="H9" s="252"/>
      <c r="I9" s="252"/>
      <c r="J9" s="252"/>
      <c r="K9" s="252"/>
      <c r="L9" s="252"/>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52" t="s">
        <v>360</v>
      </c>
      <c r="D14" s="252"/>
      <c r="E14" s="252"/>
      <c r="F14" s="252"/>
      <c r="G14" s="252"/>
      <c r="H14" s="252"/>
      <c r="I14" s="252"/>
      <c r="J14" s="252"/>
      <c r="K14" s="252"/>
      <c r="L14" s="252"/>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6" t="s">
        <v>362</v>
      </c>
      <c r="C20" s="246"/>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 ca="1">IF(Overview!C29&gt;0,Overview!C29,WACC!C19)</f>
        <v>0.15693000000000001</v>
      </c>
    </row>
    <row r="25" spans="2:14" x14ac:dyDescent="0.2">
      <c r="B25" s="39" t="s">
        <v>366</v>
      </c>
      <c r="C25" s="230">
        <v>0.03</v>
      </c>
    </row>
    <row r="26" spans="2:14" x14ac:dyDescent="0.2">
      <c r="B26" s="236" t="s">
        <v>209</v>
      </c>
      <c r="C26" s="237">
        <f ca="1">C23/(C24-C25)</f>
        <v>5.1642637674308656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180</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74057.293919354692</v>
      </c>
      <c r="I7" s="130">
        <f t="shared" ref="I7:L7" si="0">H7*(1+$C$17)</f>
        <v>95089.565392451434</v>
      </c>
      <c r="J7" s="130">
        <f t="shared" si="0"/>
        <v>122095.00196390765</v>
      </c>
      <c r="K7" s="130">
        <f t="shared" si="0"/>
        <v>156769.98252165742</v>
      </c>
      <c r="L7" s="130">
        <f t="shared" si="0"/>
        <v>201292.65755780812</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1388916.7693802745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64042.512653284859</v>
      </c>
      <c r="I10" s="130">
        <f t="shared" ref="I10:L10" ca="1" si="1">I7/(1+$C$21)^I9</f>
        <v>71110.529179388992</v>
      </c>
      <c r="J10" s="130">
        <f t="shared" ca="1" si="1"/>
        <v>78958.60344438508</v>
      </c>
      <c r="K10" s="130">
        <f t="shared" ca="1" si="1"/>
        <v>87672.826089651484</v>
      </c>
      <c r="L10" s="130">
        <f t="shared" ca="1" si="1"/>
        <v>97348.789102638068</v>
      </c>
      <c r="N10" s="91"/>
    </row>
    <row r="11" spans="1:28" x14ac:dyDescent="0.2">
      <c r="B11" s="1" t="s">
        <v>183</v>
      </c>
      <c r="C11" s="141"/>
      <c r="D11" s="141"/>
      <c r="E11" s="141"/>
      <c r="F11" s="141"/>
      <c r="G11" s="142"/>
      <c r="H11" s="141"/>
      <c r="I11" s="141"/>
      <c r="J11" s="141"/>
      <c r="K11" s="141"/>
      <c r="L11" s="130">
        <f ca="1">L8/(1+C21)^L9</f>
        <v>671705.40298861975</v>
      </c>
    </row>
    <row r="13" spans="1:28" ht="17" thickBot="1" x14ac:dyDescent="0.25"/>
    <row r="14" spans="1:28" x14ac:dyDescent="0.2">
      <c r="B14" s="259" t="s">
        <v>222</v>
      </c>
      <c r="C14" s="260"/>
    </row>
    <row r="15" spans="1:28" x14ac:dyDescent="0.2">
      <c r="B15" s="157" t="s">
        <v>223</v>
      </c>
      <c r="C15" s="158">
        <f ca="1">Overview!C5</f>
        <v>910.08</v>
      </c>
    </row>
    <row r="16" spans="1:28" x14ac:dyDescent="0.2">
      <c r="B16" s="157" t="s">
        <v>224</v>
      </c>
      <c r="C16" s="158">
        <f ca="1">C36</f>
        <v>1008.957186410955</v>
      </c>
    </row>
    <row r="17" spans="2:9" ht="17" thickBot="1" x14ac:dyDescent="0.25">
      <c r="B17" s="159" t="s">
        <v>324</v>
      </c>
      <c r="C17" s="160">
        <v>0.28399999999999997</v>
      </c>
      <c r="E17" s="258" t="s">
        <v>225</v>
      </c>
      <c r="F17" s="258"/>
      <c r="G17" s="258"/>
      <c r="H17" s="258"/>
      <c r="I17" s="258"/>
    </row>
    <row r="18" spans="2:9" ht="17" thickBot="1" x14ac:dyDescent="0.25"/>
    <row r="19" spans="2:9" x14ac:dyDescent="0.2">
      <c r="B19" s="259" t="s">
        <v>184</v>
      </c>
      <c r="C19" s="260"/>
    </row>
    <row r="20" spans="2:9" x14ac:dyDescent="0.2">
      <c r="B20" s="161" t="s">
        <v>185</v>
      </c>
      <c r="C20" s="162">
        <v>0.01</v>
      </c>
    </row>
    <row r="21" spans="2:9" x14ac:dyDescent="0.2">
      <c r="B21" s="161" t="s">
        <v>165</v>
      </c>
      <c r="C21" s="222">
        <f ca="1">IF(Overview!C28&gt;0,Overview!C28,WACC!C20)</f>
        <v>0.15637708220925278</v>
      </c>
    </row>
    <row r="22" spans="2:9" x14ac:dyDescent="0.2">
      <c r="B22" s="161" t="s">
        <v>68</v>
      </c>
      <c r="C22" s="223">
        <f>Statement!AC75</f>
        <v>1129</v>
      </c>
    </row>
    <row r="23" spans="2:9" x14ac:dyDescent="0.2">
      <c r="B23" s="161" t="s">
        <v>226</v>
      </c>
      <c r="C23" s="163">
        <f ca="1">C15*C22</f>
        <v>1027480.3200000001</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959206.32000000007</v>
      </c>
    </row>
    <row r="27" spans="2:9" ht="17" thickBot="1" x14ac:dyDescent="0.25"/>
    <row r="28" spans="2:9" x14ac:dyDescent="0.2">
      <c r="B28" s="259" t="s">
        <v>186</v>
      </c>
      <c r="C28" s="260"/>
    </row>
    <row r="29" spans="2:9" x14ac:dyDescent="0.2">
      <c r="B29" s="161" t="s">
        <v>187</v>
      </c>
      <c r="C29" s="163">
        <f ca="1">SUM(H10:L10)</f>
        <v>399133.26046934852</v>
      </c>
    </row>
    <row r="30" spans="2:9" x14ac:dyDescent="0.2">
      <c r="B30" s="161" t="s">
        <v>183</v>
      </c>
      <c r="C30" s="163">
        <f ca="1">L11</f>
        <v>671705.40298861975</v>
      </c>
    </row>
    <row r="31" spans="2:9" x14ac:dyDescent="0.2">
      <c r="B31" s="165" t="s">
        <v>188</v>
      </c>
      <c r="C31" s="166">
        <f ca="1">C29+C30</f>
        <v>1070838.6634579683</v>
      </c>
    </row>
    <row r="32" spans="2:9" x14ac:dyDescent="0.2">
      <c r="B32" s="161" t="s">
        <v>189</v>
      </c>
      <c r="C32" s="167">
        <f>C24</f>
        <v>73453</v>
      </c>
    </row>
    <row r="33" spans="2:3" x14ac:dyDescent="0.2">
      <c r="B33" s="161" t="s">
        <v>190</v>
      </c>
      <c r="C33" s="167">
        <f>C25</f>
        <v>5179</v>
      </c>
    </row>
    <row r="34" spans="2:3" x14ac:dyDescent="0.2">
      <c r="B34" s="165" t="s">
        <v>191</v>
      </c>
      <c r="C34" s="166">
        <f ca="1">C31+C32-C33</f>
        <v>1139112.6634579683</v>
      </c>
    </row>
    <row r="35" spans="2:3" x14ac:dyDescent="0.2">
      <c r="B35" s="161" t="s">
        <v>68</v>
      </c>
      <c r="C35" s="163">
        <f>C22</f>
        <v>1129</v>
      </c>
    </row>
    <row r="36" spans="2:3" ht="17" thickBot="1" x14ac:dyDescent="0.25">
      <c r="B36" s="168" t="s">
        <v>192</v>
      </c>
      <c r="C36" s="169">
        <f ca="1">C34/C35</f>
        <v>1008.957186410955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2026-10-20T17:16:09Z</dcterms:modified>
</cp:coreProperties>
</file>