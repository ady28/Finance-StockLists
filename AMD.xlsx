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Volumes/KINGSTON/MyStockData/Finance-StockLists/"/>
    </mc:Choice>
  </mc:AlternateContent>
  <xr:revisionPtr revIDLastSave="0" documentId="13_ncr:1_{C72BD642-7E06-8F4E-8DD4-4454A9F7314A}" xr6:coauthVersionLast="47" xr6:coauthVersionMax="47" xr10:uidLastSave="{00000000-0000-0000-0000-000000000000}"/>
  <bookViews>
    <workbookView xWindow="0" yWindow="0" windowWidth="25600" windowHeight="14400" xr2:uid="{AEC0C047-6E16-294C-82BD-58123BA913A1}"/>
  </bookViews>
  <sheets>
    <sheet name="Overview" sheetId="2" r:id="rId1"/>
    <sheet name="Statement Y" sheetId="1" r:id="rId2"/>
    <sheet name="Statement Q" sheetId="3" r:id="rId3"/>
  </sheets>
  <externalReferences>
    <externalReference r:id="rId4"/>
  </externalReferenc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5" i="3" l="1"/>
  <c r="H145" i="3"/>
  <c r="G145" i="3"/>
  <c r="F145" i="3"/>
  <c r="E145" i="3"/>
  <c r="D145" i="3"/>
  <c r="C145" i="3"/>
  <c r="I144" i="3"/>
  <c r="H144" i="3"/>
  <c r="G144" i="3"/>
  <c r="F144" i="3"/>
  <c r="E144" i="3"/>
  <c r="D144" i="3"/>
  <c r="C144" i="3"/>
  <c r="I134" i="3"/>
  <c r="I135" i="3" s="1"/>
  <c r="H134" i="3"/>
  <c r="H135" i="3" s="1"/>
  <c r="G134" i="3"/>
  <c r="G135" i="3" s="1"/>
  <c r="F134" i="3"/>
  <c r="F135" i="3" s="1"/>
  <c r="E134" i="3"/>
  <c r="E135" i="3" s="1"/>
  <c r="D134" i="3"/>
  <c r="D135" i="3" s="1"/>
  <c r="C134" i="3"/>
  <c r="C135" i="3" s="1"/>
  <c r="I132" i="3"/>
  <c r="I133" i="3" s="1"/>
  <c r="H132" i="3"/>
  <c r="H133" i="3" s="1"/>
  <c r="G132" i="3"/>
  <c r="G133" i="3" s="1"/>
  <c r="F132" i="3"/>
  <c r="F133" i="3" s="1"/>
  <c r="E132" i="3"/>
  <c r="E133" i="3" s="1"/>
  <c r="D132" i="3"/>
  <c r="D133" i="3" s="1"/>
  <c r="C132" i="3"/>
  <c r="C133" i="3" s="1"/>
  <c r="I130" i="3"/>
  <c r="I131" i="3" s="1"/>
  <c r="H130" i="3"/>
  <c r="H131" i="3" s="1"/>
  <c r="G130" i="3"/>
  <c r="G131" i="3" s="1"/>
  <c r="F130" i="3"/>
  <c r="F131" i="3" s="1"/>
  <c r="E130" i="3"/>
  <c r="E131" i="3" s="1"/>
  <c r="D130" i="3"/>
  <c r="D131" i="3" s="1"/>
  <c r="C130" i="3"/>
  <c r="C131" i="3" s="1"/>
  <c r="I125" i="3"/>
  <c r="I126" i="3" s="1"/>
  <c r="H125" i="3"/>
  <c r="H126" i="3" s="1"/>
  <c r="G125" i="3"/>
  <c r="G126" i="3" s="1"/>
  <c r="F125" i="3"/>
  <c r="F126" i="3" s="1"/>
  <c r="E125" i="3"/>
  <c r="E126" i="3" s="1"/>
  <c r="D125" i="3"/>
  <c r="D126" i="3" s="1"/>
  <c r="C125" i="3"/>
  <c r="C126" i="3" s="1"/>
  <c r="I123" i="3"/>
  <c r="H123" i="3"/>
  <c r="G123" i="3"/>
  <c r="F123" i="3"/>
  <c r="E123" i="3"/>
  <c r="D123" i="3"/>
  <c r="C123" i="3"/>
  <c r="I121" i="3"/>
  <c r="I122" i="3" s="1"/>
  <c r="H121" i="3"/>
  <c r="H122" i="3" s="1"/>
  <c r="G121" i="3"/>
  <c r="G122" i="3" s="1"/>
  <c r="F121" i="3"/>
  <c r="F122" i="3" s="1"/>
  <c r="E121" i="3"/>
  <c r="E122" i="3" s="1"/>
  <c r="D121" i="3"/>
  <c r="D122" i="3" s="1"/>
  <c r="C121" i="3"/>
  <c r="C122" i="3" s="1"/>
  <c r="I76" i="3"/>
  <c r="I128" i="3" s="1"/>
  <c r="I129" i="3" s="1"/>
  <c r="H76" i="3"/>
  <c r="H128" i="3" s="1"/>
  <c r="H129" i="3" s="1"/>
  <c r="G76" i="3"/>
  <c r="G128" i="3" s="1"/>
  <c r="G129" i="3" s="1"/>
  <c r="F76" i="3"/>
  <c r="F128" i="3" s="1"/>
  <c r="F129" i="3" s="1"/>
  <c r="E76" i="3"/>
  <c r="E128" i="3" s="1"/>
  <c r="E129" i="3" s="1"/>
  <c r="D76" i="3"/>
  <c r="D128" i="3" s="1"/>
  <c r="D129" i="3" s="1"/>
  <c r="C76" i="3"/>
  <c r="C128" i="3" s="1"/>
  <c r="C129" i="3" s="1"/>
  <c r="I63" i="3"/>
  <c r="I64" i="3" s="1"/>
  <c r="H63" i="3"/>
  <c r="H64" i="3" s="1"/>
  <c r="G63" i="3"/>
  <c r="G64" i="3" s="1"/>
  <c r="F63" i="3"/>
  <c r="F64" i="3" s="1"/>
  <c r="E63" i="3"/>
  <c r="E64" i="3" s="1"/>
  <c r="D63" i="3"/>
  <c r="D64" i="3" s="1"/>
  <c r="C63" i="3"/>
  <c r="C64" i="3" s="1"/>
  <c r="I49" i="3"/>
  <c r="H49" i="3"/>
  <c r="G49" i="3"/>
  <c r="F49" i="3"/>
  <c r="E49" i="3"/>
  <c r="D49" i="3"/>
  <c r="C49" i="3"/>
  <c r="I15" i="3"/>
  <c r="I119" i="3" s="1"/>
  <c r="I120" i="3" s="1"/>
  <c r="H15" i="3"/>
  <c r="H119" i="3" s="1"/>
  <c r="H120" i="3" s="1"/>
  <c r="G15" i="3"/>
  <c r="G119" i="3" s="1"/>
  <c r="G120" i="3" s="1"/>
  <c r="F15" i="3"/>
  <c r="F119" i="3" s="1"/>
  <c r="F120" i="3" s="1"/>
  <c r="E15" i="3"/>
  <c r="E119" i="3" s="1"/>
  <c r="E120" i="3" s="1"/>
  <c r="D15" i="3"/>
  <c r="D119" i="3" s="1"/>
  <c r="D120" i="3" s="1"/>
  <c r="C15" i="3"/>
  <c r="C119" i="3" s="1"/>
  <c r="C120" i="3" s="1"/>
  <c r="I8" i="3"/>
  <c r="H8" i="3"/>
  <c r="G8" i="3"/>
  <c r="F8" i="3"/>
  <c r="E8" i="3"/>
  <c r="D8" i="3"/>
  <c r="C8" i="3"/>
  <c r="C3" i="2"/>
  <c r="C9" i="2" s="1"/>
  <c r="L170" i="1"/>
  <c r="L169" i="1"/>
  <c r="L165" i="1"/>
  <c r="L164" i="1"/>
  <c r="L163" i="1"/>
  <c r="L161" i="1"/>
  <c r="L160" i="1"/>
  <c r="L158" i="1"/>
  <c r="L157" i="1"/>
  <c r="L152" i="1"/>
  <c r="L144" i="1"/>
  <c r="L145" i="1" s="1"/>
  <c r="L142" i="1"/>
  <c r="L143" i="1" s="1"/>
  <c r="L140" i="1"/>
  <c r="L141" i="1" s="1"/>
  <c r="K140" i="1"/>
  <c r="L74" i="1"/>
  <c r="L138" i="1" s="1"/>
  <c r="L139" i="1" s="1"/>
  <c r="L15" i="1"/>
  <c r="L129" i="1" s="1"/>
  <c r="L130" i="1" s="1"/>
  <c r="L8" i="1"/>
  <c r="L168" i="1" s="1"/>
  <c r="L135" i="1"/>
  <c r="L136" i="1" s="1"/>
  <c r="L133" i="1"/>
  <c r="L131" i="1"/>
  <c r="L132" i="1" s="1"/>
  <c r="L61" i="1"/>
  <c r="L62" i="1" s="1"/>
  <c r="L48" i="1"/>
  <c r="K8" i="1"/>
  <c r="L159" i="1" s="1"/>
  <c r="K15" i="1"/>
  <c r="L162" i="1" s="1"/>
  <c r="K158" i="1"/>
  <c r="K170" i="1"/>
  <c r="P8" i="3"/>
  <c r="J76" i="3"/>
  <c r="J128" i="3" s="1"/>
  <c r="J129" i="3" s="1"/>
  <c r="Q6" i="3"/>
  <c r="R6" i="3"/>
  <c r="P6" i="3"/>
  <c r="N6" i="3"/>
  <c r="N21" i="3"/>
  <c r="Q21" i="3"/>
  <c r="P21" i="3"/>
  <c r="J8" i="3"/>
  <c r="Q8" i="3" s="1"/>
  <c r="N13" i="3"/>
  <c r="Q13" i="3"/>
  <c r="P13" i="3"/>
  <c r="R13" i="3" s="1"/>
  <c r="N12" i="3"/>
  <c r="Q12" i="3"/>
  <c r="P12" i="3"/>
  <c r="N11" i="3"/>
  <c r="Q11" i="3"/>
  <c r="P11" i="3"/>
  <c r="C74" i="1"/>
  <c r="C138" i="1"/>
  <c r="C139" i="1" s="1"/>
  <c r="D74" i="1"/>
  <c r="D138" i="1" s="1"/>
  <c r="D139" i="1" s="1"/>
  <c r="E74" i="1"/>
  <c r="E138" i="1" s="1"/>
  <c r="E139" i="1" s="1"/>
  <c r="F74" i="1"/>
  <c r="F138" i="1" s="1"/>
  <c r="F139" i="1" s="1"/>
  <c r="G74" i="1"/>
  <c r="G138" i="1" s="1"/>
  <c r="G139" i="1" s="1"/>
  <c r="H74" i="1"/>
  <c r="H138" i="1" s="1"/>
  <c r="H139" i="1" s="1"/>
  <c r="I74" i="1"/>
  <c r="I138" i="1"/>
  <c r="I139" i="1" s="1"/>
  <c r="J74" i="1"/>
  <c r="J138" i="1" s="1"/>
  <c r="J139" i="1" s="1"/>
  <c r="K74" i="1"/>
  <c r="K138" i="1" s="1"/>
  <c r="K139" i="1" s="1"/>
  <c r="E8" i="1"/>
  <c r="E168" i="1" s="1"/>
  <c r="F8" i="1"/>
  <c r="F168" i="1" s="1"/>
  <c r="G8" i="1"/>
  <c r="G168" i="1" s="1"/>
  <c r="H8" i="1"/>
  <c r="H168" i="1" s="1"/>
  <c r="I8" i="1"/>
  <c r="I168" i="1" s="1"/>
  <c r="J8" i="1"/>
  <c r="D8" i="1"/>
  <c r="D168" i="1" s="1"/>
  <c r="C8" i="1"/>
  <c r="E152" i="1"/>
  <c r="D152" i="1"/>
  <c r="C152" i="1"/>
  <c r="F152" i="1"/>
  <c r="G152" i="1"/>
  <c r="H152" i="1"/>
  <c r="I152" i="1"/>
  <c r="J152" i="1"/>
  <c r="K152" i="1"/>
  <c r="D170" i="1"/>
  <c r="E170" i="1"/>
  <c r="F170" i="1"/>
  <c r="G170" i="1"/>
  <c r="H170" i="1"/>
  <c r="I170" i="1"/>
  <c r="J170" i="1"/>
  <c r="C170" i="1"/>
  <c r="D169" i="1"/>
  <c r="E169" i="1"/>
  <c r="F169" i="1"/>
  <c r="G169" i="1"/>
  <c r="H169" i="1"/>
  <c r="I169" i="1"/>
  <c r="J169" i="1"/>
  <c r="K169" i="1"/>
  <c r="C169" i="1"/>
  <c r="E165" i="1"/>
  <c r="F165" i="1"/>
  <c r="G165" i="1"/>
  <c r="H165" i="1"/>
  <c r="I165" i="1"/>
  <c r="J165" i="1"/>
  <c r="D165" i="1"/>
  <c r="E164" i="1"/>
  <c r="F164" i="1"/>
  <c r="G164" i="1"/>
  <c r="H164" i="1"/>
  <c r="I164" i="1"/>
  <c r="J164" i="1"/>
  <c r="K164" i="1"/>
  <c r="D164" i="1"/>
  <c r="E163" i="1"/>
  <c r="F163" i="1"/>
  <c r="G163" i="1"/>
  <c r="H163" i="1"/>
  <c r="I163" i="1"/>
  <c r="J163" i="1"/>
  <c r="K163" i="1"/>
  <c r="D163" i="1"/>
  <c r="E161" i="1"/>
  <c r="F161" i="1"/>
  <c r="G161" i="1"/>
  <c r="H161" i="1"/>
  <c r="I161" i="1"/>
  <c r="J161" i="1"/>
  <c r="K161" i="1"/>
  <c r="E160" i="1"/>
  <c r="F160" i="1"/>
  <c r="G160" i="1"/>
  <c r="H160" i="1"/>
  <c r="I160" i="1"/>
  <c r="J160" i="1"/>
  <c r="K160" i="1"/>
  <c r="D160" i="1"/>
  <c r="D161" i="1"/>
  <c r="E158" i="1"/>
  <c r="F158" i="1"/>
  <c r="G158" i="1"/>
  <c r="H158" i="1"/>
  <c r="I158" i="1"/>
  <c r="J158" i="1"/>
  <c r="D158" i="1"/>
  <c r="E157" i="1"/>
  <c r="F157" i="1"/>
  <c r="G157" i="1"/>
  <c r="H157" i="1"/>
  <c r="I157" i="1"/>
  <c r="J157" i="1"/>
  <c r="K157" i="1"/>
  <c r="D157" i="1"/>
  <c r="P5" i="3"/>
  <c r="P7" i="3"/>
  <c r="P9" i="3"/>
  <c r="P10" i="3"/>
  <c r="P14" i="3"/>
  <c r="P16" i="3"/>
  <c r="P17" i="3"/>
  <c r="P18" i="3"/>
  <c r="P19" i="3"/>
  <c r="P20" i="3"/>
  <c r="P22" i="3"/>
  <c r="P23" i="3"/>
  <c r="P24" i="3"/>
  <c r="P25" i="3"/>
  <c r="P26" i="3"/>
  <c r="P27" i="3"/>
  <c r="P28" i="3"/>
  <c r="P29" i="3"/>
  <c r="P30" i="3"/>
  <c r="P3" i="3"/>
  <c r="J144" i="3"/>
  <c r="J145" i="3"/>
  <c r="Q5" i="3"/>
  <c r="Q7" i="3"/>
  <c r="Q9" i="3"/>
  <c r="Q10" i="3"/>
  <c r="R10" i="3" s="1"/>
  <c r="Q14" i="3"/>
  <c r="R14" i="3" s="1"/>
  <c r="Q16" i="3"/>
  <c r="Q17" i="3"/>
  <c r="Q18" i="3"/>
  <c r="Q19" i="3"/>
  <c r="Q20" i="3"/>
  <c r="Q22" i="3"/>
  <c r="Q23" i="3"/>
  <c r="Q24" i="3"/>
  <c r="Q25" i="3"/>
  <c r="R25" i="3" s="1"/>
  <c r="Q26" i="3"/>
  <c r="R26" i="3" s="1"/>
  <c r="Q27" i="3"/>
  <c r="Q28" i="3"/>
  <c r="Q29" i="3"/>
  <c r="Q30" i="3"/>
  <c r="Q3" i="3"/>
  <c r="N28" i="3"/>
  <c r="N27" i="3"/>
  <c r="N25" i="3"/>
  <c r="N26" i="3"/>
  <c r="N17" i="3"/>
  <c r="N18" i="3"/>
  <c r="N19" i="3"/>
  <c r="N20" i="3"/>
  <c r="N22" i="3"/>
  <c r="N23" i="3"/>
  <c r="N24" i="3"/>
  <c r="N9" i="3"/>
  <c r="N10" i="3"/>
  <c r="N14" i="3"/>
  <c r="N16" i="3"/>
  <c r="N7" i="3"/>
  <c r="N5" i="3"/>
  <c r="J132" i="3"/>
  <c r="J133" i="3" s="1"/>
  <c r="J134" i="3"/>
  <c r="J135" i="3" s="1"/>
  <c r="J125" i="3"/>
  <c r="J126" i="3" s="1"/>
  <c r="J123" i="3"/>
  <c r="J121" i="3"/>
  <c r="J122" i="3" s="1"/>
  <c r="J63" i="3"/>
  <c r="J64" i="3" s="1"/>
  <c r="J127" i="3" s="1"/>
  <c r="J49" i="3"/>
  <c r="J15" i="3"/>
  <c r="J119" i="3" s="1"/>
  <c r="J120" i="3" s="1"/>
  <c r="D135" i="1"/>
  <c r="D136" i="1" s="1"/>
  <c r="E135" i="1"/>
  <c r="E136" i="1" s="1"/>
  <c r="F135" i="1"/>
  <c r="F136" i="1" s="1"/>
  <c r="G135" i="1"/>
  <c r="G136" i="1" s="1"/>
  <c r="H135" i="1"/>
  <c r="H136" i="1" s="1"/>
  <c r="I135" i="1"/>
  <c r="I136" i="1" s="1"/>
  <c r="J135" i="1"/>
  <c r="J136" i="1" s="1"/>
  <c r="K135" i="1"/>
  <c r="K136" i="1" s="1"/>
  <c r="C135" i="1"/>
  <c r="C136" i="1" s="1"/>
  <c r="D144" i="1"/>
  <c r="D145" i="1" s="1"/>
  <c r="E144" i="1"/>
  <c r="E145" i="1" s="1"/>
  <c r="F144" i="1"/>
  <c r="F145" i="1" s="1"/>
  <c r="G144" i="1"/>
  <c r="G145" i="1" s="1"/>
  <c r="H144" i="1"/>
  <c r="H145" i="1" s="1"/>
  <c r="I144" i="1"/>
  <c r="I145" i="1" s="1"/>
  <c r="J144" i="1"/>
  <c r="J145" i="1" s="1"/>
  <c r="K144" i="1"/>
  <c r="K145" i="1" s="1"/>
  <c r="C144" i="1"/>
  <c r="C145" i="1" s="1"/>
  <c r="D142" i="1"/>
  <c r="D143" i="1" s="1"/>
  <c r="E142" i="1"/>
  <c r="E143" i="1" s="1"/>
  <c r="F142" i="1"/>
  <c r="F143" i="1" s="1"/>
  <c r="G142" i="1"/>
  <c r="G143" i="1" s="1"/>
  <c r="H142" i="1"/>
  <c r="H143" i="1" s="1"/>
  <c r="I142" i="1"/>
  <c r="I143" i="1" s="1"/>
  <c r="J142" i="1"/>
  <c r="J143" i="1" s="1"/>
  <c r="K142" i="1"/>
  <c r="K143" i="1" s="1"/>
  <c r="C142" i="1"/>
  <c r="C143" i="1" s="1"/>
  <c r="J140" i="1"/>
  <c r="J141" i="1" s="1"/>
  <c r="K141" i="1"/>
  <c r="D140" i="1"/>
  <c r="D141" i="1" s="1"/>
  <c r="E140" i="1"/>
  <c r="E141" i="1" s="1"/>
  <c r="F140" i="1"/>
  <c r="F141" i="1" s="1"/>
  <c r="G140" i="1"/>
  <c r="G141" i="1" s="1"/>
  <c r="H140" i="1"/>
  <c r="H141" i="1" s="1"/>
  <c r="I140" i="1"/>
  <c r="I141" i="1" s="1"/>
  <c r="C140" i="1"/>
  <c r="C141" i="1" s="1"/>
  <c r="D133" i="1"/>
  <c r="E133" i="1"/>
  <c r="F133" i="1"/>
  <c r="G133" i="1"/>
  <c r="H133" i="1"/>
  <c r="I133" i="1"/>
  <c r="J133" i="1"/>
  <c r="K133" i="1"/>
  <c r="C133" i="1"/>
  <c r="K131" i="1"/>
  <c r="K132" i="1" s="1"/>
  <c r="D131" i="1"/>
  <c r="D132" i="1" s="1"/>
  <c r="E131" i="1"/>
  <c r="E132" i="1" s="1"/>
  <c r="F131" i="1"/>
  <c r="F132" i="1"/>
  <c r="G131" i="1"/>
  <c r="G132" i="1" s="1"/>
  <c r="H131" i="1"/>
  <c r="H132" i="1" s="1"/>
  <c r="I131" i="1"/>
  <c r="I132" i="1"/>
  <c r="J131" i="1"/>
  <c r="J132" i="1" s="1"/>
  <c r="C131" i="1"/>
  <c r="C132" i="1" s="1"/>
  <c r="K61" i="1"/>
  <c r="K62" i="1" s="1"/>
  <c r="K137" i="1" s="1"/>
  <c r="K48" i="1"/>
  <c r="J61" i="1"/>
  <c r="J62" i="1" s="1"/>
  <c r="J48" i="1"/>
  <c r="I61" i="1"/>
  <c r="I62" i="1" s="1"/>
  <c r="I48" i="1"/>
  <c r="G61" i="1"/>
  <c r="G62" i="1" s="1"/>
  <c r="G137" i="1" s="1"/>
  <c r="H61" i="1"/>
  <c r="H62" i="1" s="1"/>
  <c r="H137" i="1" s="1"/>
  <c r="G48" i="1"/>
  <c r="H48" i="1"/>
  <c r="E61" i="1"/>
  <c r="E62" i="1" s="1"/>
  <c r="E137" i="1" s="1"/>
  <c r="F61" i="1"/>
  <c r="F62" i="1" s="1"/>
  <c r="F137" i="1" s="1"/>
  <c r="E48" i="1"/>
  <c r="F48" i="1"/>
  <c r="D61" i="1"/>
  <c r="D62" i="1" s="1"/>
  <c r="C61" i="1"/>
  <c r="C62" i="1" s="1"/>
  <c r="C137" i="1" s="1"/>
  <c r="D48" i="1"/>
  <c r="C48" i="1"/>
  <c r="J15" i="1"/>
  <c r="J129" i="1" s="1"/>
  <c r="J130" i="1" s="1"/>
  <c r="I15" i="1"/>
  <c r="I129" i="1" s="1"/>
  <c r="I130" i="1" s="1"/>
  <c r="H15" i="1"/>
  <c r="G15" i="1"/>
  <c r="G129" i="1" s="1"/>
  <c r="G130" i="1" s="1"/>
  <c r="F15" i="1"/>
  <c r="F129" i="1" s="1"/>
  <c r="F130" i="1" s="1"/>
  <c r="E15" i="1"/>
  <c r="E129" i="1" s="1"/>
  <c r="E130" i="1" s="1"/>
  <c r="D15" i="1"/>
  <c r="D129" i="1" s="1"/>
  <c r="D130" i="1" s="1"/>
  <c r="C15" i="1"/>
  <c r="C168" i="1"/>
  <c r="J159" i="1"/>
  <c r="K168" i="1"/>
  <c r="J130" i="3"/>
  <c r="J131" i="3" s="1"/>
  <c r="D3" i="1"/>
  <c r="E3" i="1" s="1"/>
  <c r="F3" i="1" s="1"/>
  <c r="G3" i="1" s="1"/>
  <c r="H3" i="1" s="1"/>
  <c r="I3" i="1" s="1"/>
  <c r="J3" i="1" s="1"/>
  <c r="K3" i="1" s="1"/>
  <c r="L3" i="1" s="1"/>
  <c r="R21" i="3" l="1"/>
  <c r="I124" i="3"/>
  <c r="I127" i="3"/>
  <c r="H124" i="3"/>
  <c r="H127" i="3"/>
  <c r="G124" i="3"/>
  <c r="G127" i="3"/>
  <c r="F124" i="3"/>
  <c r="F127" i="3"/>
  <c r="E124" i="3"/>
  <c r="E127" i="3"/>
  <c r="D124" i="3"/>
  <c r="D127" i="3"/>
  <c r="C124" i="3"/>
  <c r="C127" i="3"/>
  <c r="H159" i="1"/>
  <c r="I159" i="1"/>
  <c r="G159" i="1"/>
  <c r="F159" i="1"/>
  <c r="K159" i="1"/>
  <c r="D159" i="1"/>
  <c r="E159" i="1"/>
  <c r="E162" i="1"/>
  <c r="J168" i="1"/>
  <c r="D162" i="1"/>
  <c r="J162" i="1"/>
  <c r="G162" i="1"/>
  <c r="H162" i="1"/>
  <c r="L137" i="1"/>
  <c r="L134" i="1"/>
  <c r="D134" i="1"/>
  <c r="D137" i="1"/>
  <c r="J134" i="1"/>
  <c r="J137" i="1"/>
  <c r="G134" i="1"/>
  <c r="R24" i="3"/>
  <c r="R23" i="3"/>
  <c r="E134" i="1"/>
  <c r="K165" i="1"/>
  <c r="K129" i="1"/>
  <c r="K130" i="1" s="1"/>
  <c r="J124" i="3"/>
  <c r="R29" i="3"/>
  <c r="R18" i="3"/>
  <c r="R12" i="3"/>
  <c r="Q15" i="3"/>
  <c r="R22" i="3"/>
  <c r="R5" i="3"/>
  <c r="R20" i="3"/>
  <c r="R27" i="3"/>
  <c r="R30" i="3"/>
  <c r="R19" i="3"/>
  <c r="N8" i="3"/>
  <c r="R17" i="3"/>
  <c r="R9" i="3"/>
  <c r="R11" i="3"/>
  <c r="R16" i="3"/>
  <c r="R28" i="3"/>
  <c r="N15" i="3"/>
  <c r="R7" i="3"/>
  <c r="I162" i="1"/>
  <c r="F162" i="1"/>
  <c r="C129" i="1"/>
  <c r="C130" i="1" s="1"/>
  <c r="H129" i="1"/>
  <c r="H130" i="1" s="1"/>
  <c r="N29" i="3"/>
  <c r="N30" i="3"/>
  <c r="R8" i="3"/>
  <c r="P15" i="3"/>
  <c r="K162" i="1"/>
  <c r="K134" i="1"/>
  <c r="I137" i="1"/>
  <c r="I134" i="1"/>
  <c r="H134" i="1"/>
  <c r="F134" i="1"/>
  <c r="C134" i="1"/>
  <c r="R1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tc={C8D998A8-112A-D04B-B14F-DEEC16DDB179}</author>
    <author>tc={216A39BB-A738-BA49-A1E3-436A1064961B}</author>
    <author>tc={4D93E015-CA08-BD46-8221-6BA1278944C2}</author>
  </authors>
  <commentList>
    <comment ref="B151" authorId="0" shapeId="0" xr:uid="{C8D998A8-112A-D04B-B14F-DEEC16DDB179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as D&amp;A from Operating cashflow - Depreciation above</t>
      </text>
    </comment>
    <comment ref="C151" authorId="1" shapeId="0" xr:uid="{216A39BB-A738-BA49-A1E3-436A1064961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as total D&amp;A from the cashflow statement minus the depreciation of PP&amp;E. 
This amortization is special because it is for financial items, not intangible assets</t>
      </text>
    </comment>
    <comment ref="B153" authorId="2" shapeId="0" xr:uid="{4D93E015-CA08-BD46-8221-6BA1278944C2}">
      <text>
        <t>[Threaded comment]
Your version of Excel allows you to read this threaded comment; however, any edits to it will get removed if the file is opened in a newer version of Excel. Learn more: https://go.microsoft.com/fwlink/?linkid=870924
Comment:
    Search for Employees to find yearly value
Reply:
    Actual number (no zeroes removed)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tc={1A7309CD-02E8-154D-8120-7463F0769739}</author>
    <author>tc={0E2A1A28-89E4-C548-991B-0C55FBB9C0CA}</author>
  </authors>
  <commentList>
    <comment ref="B29" authorId="0" shapeId="0" xr:uid="{1A7309CD-02E8-154D-8120-7463F0769739}">
      <text>
        <t>[Threaded comment]
Your version of Excel allows you to read this threaded comment; however, any edits to it will get removed if the file is opened in a newer version of Excel. Learn more: https://go.microsoft.com/fwlink/?linkid=870924
Comment:
    We use the net income from continuing operations and discontinued operations</t>
      </text>
    </comment>
    <comment ref="B30" authorId="1" shapeId="0" xr:uid="{0E2A1A28-89E4-C548-991B-0C55FBB9C0CA}">
      <text>
        <t>[Threaded comment]
Your version of Excel allows you to read this threaded comment; however, any edits to it will get removed if the file is opened in a newer version of Excel. Learn more: https://go.microsoft.com/fwlink/?linkid=870924
Comment:
    We use the net income from continuing operations and discontinued operations</t>
      </text>
    </comment>
  </commentList>
</comments>
</file>

<file path=xl/sharedStrings.xml><?xml version="1.0" encoding="utf-8"?>
<sst xmlns="http://schemas.openxmlformats.org/spreadsheetml/2006/main" count="341" uniqueCount="199">
  <si>
    <t>Date</t>
  </si>
  <si>
    <t>FY</t>
  </si>
  <si>
    <t>Ticker</t>
  </si>
  <si>
    <t>Units</t>
  </si>
  <si>
    <t>Shares outstanding</t>
  </si>
  <si>
    <t>M</t>
  </si>
  <si>
    <t>Income statement</t>
  </si>
  <si>
    <t>Licensing</t>
  </si>
  <si>
    <t>Revenue</t>
  </si>
  <si>
    <t>COGS</t>
  </si>
  <si>
    <t>Gross Profit</t>
  </si>
  <si>
    <t>R&amp;D</t>
  </si>
  <si>
    <t>SG&amp;A</t>
  </si>
  <si>
    <t>Other</t>
  </si>
  <si>
    <t>OpEx</t>
  </si>
  <si>
    <t>Operating income</t>
  </si>
  <si>
    <t>Income before taxes</t>
  </si>
  <si>
    <t>Discontinued ops</t>
  </si>
  <si>
    <t>Net income</t>
  </si>
  <si>
    <t>Minority interest</t>
  </si>
  <si>
    <t>Total net income</t>
  </si>
  <si>
    <t>Basic Shares outstanding avg</t>
  </si>
  <si>
    <t>Diluted Shares outstanding avg</t>
  </si>
  <si>
    <t>Basic EPS</t>
  </si>
  <si>
    <t>Diluted EPS</t>
  </si>
  <si>
    <t>Investment &amp; other income</t>
  </si>
  <si>
    <t>Balance sheet</t>
  </si>
  <si>
    <t>Cash and cash equivalents</t>
  </si>
  <si>
    <t>Acc receivable</t>
  </si>
  <si>
    <t>Inventories</t>
  </si>
  <si>
    <t>Other current assets</t>
  </si>
  <si>
    <t>Current assets</t>
  </si>
  <si>
    <t>Deferred tax assets</t>
  </si>
  <si>
    <t>PP&amp;E</t>
  </si>
  <si>
    <t>Goodwill</t>
  </si>
  <si>
    <t>Other assets</t>
  </si>
  <si>
    <t>Long term assets</t>
  </si>
  <si>
    <t>Total assets</t>
  </si>
  <si>
    <t>Acc payable</t>
  </si>
  <si>
    <t>Short-term debt</t>
  </si>
  <si>
    <t>Other current liabilities</t>
  </si>
  <si>
    <t>Long-term debt</t>
  </si>
  <si>
    <t>Other liabilities</t>
  </si>
  <si>
    <t>Long term liabilities</t>
  </si>
  <si>
    <t>Total liabilities</t>
  </si>
  <si>
    <t>Current liabilities</t>
  </si>
  <si>
    <t>Common stock par value</t>
  </si>
  <si>
    <t>Retained earnings</t>
  </si>
  <si>
    <t>Other comprehensive income</t>
  </si>
  <si>
    <t>Stockholder equity</t>
  </si>
  <si>
    <t>Total equity</t>
  </si>
  <si>
    <t>Total liabilities and equity</t>
  </si>
  <si>
    <t>Interest income/expense</t>
  </si>
  <si>
    <t>Held for sale</t>
  </si>
  <si>
    <t>Cashflow statement</t>
  </si>
  <si>
    <t>D&amp;A</t>
  </si>
  <si>
    <t>Other items</t>
  </si>
  <si>
    <t>Change acc receivable</t>
  </si>
  <si>
    <t>Change inventories</t>
  </si>
  <si>
    <t>Change acc payable</t>
  </si>
  <si>
    <t>Operating cashflow</t>
  </si>
  <si>
    <t>CapEx</t>
  </si>
  <si>
    <t>Investing cashflow</t>
  </si>
  <si>
    <t>Repayment long term debt</t>
  </si>
  <si>
    <t>Financing cashflow</t>
  </si>
  <si>
    <t>Exchange rate change effect</t>
  </si>
  <si>
    <t>Net increase/decrease in cash</t>
  </si>
  <si>
    <t>Begin cash</t>
  </si>
  <si>
    <t>End cash</t>
  </si>
  <si>
    <t>Sanity checks</t>
  </si>
  <si>
    <t>Calculated Net Income</t>
  </si>
  <si>
    <t>Check Net Income</t>
  </si>
  <si>
    <t>Calculated Assets</t>
  </si>
  <si>
    <t>Check Assets</t>
  </si>
  <si>
    <t xml:space="preserve">Calculated Liabilities </t>
  </si>
  <si>
    <t>Check Liabilities</t>
  </si>
  <si>
    <t>Calculated Stockholder Equity</t>
  </si>
  <si>
    <t>Check Stockholder Equity</t>
  </si>
  <si>
    <t>Calculated Operating Cashflow</t>
  </si>
  <si>
    <t>Check Operating Cashflow</t>
  </si>
  <si>
    <t>Calculated Investing Cashflow</t>
  </si>
  <si>
    <t>Check Investing Cashflow</t>
  </si>
  <si>
    <t>Calculated Financing Cashflow</t>
  </si>
  <si>
    <t>Check Financing Cashflow</t>
  </si>
  <si>
    <t>Check End Cash</t>
  </si>
  <si>
    <t>Calculated End Cash</t>
  </si>
  <si>
    <t>Other data</t>
  </si>
  <si>
    <t>Check balance</t>
  </si>
  <si>
    <t>Q</t>
  </si>
  <si>
    <t>Q1 2025</t>
  </si>
  <si>
    <t>Q2 2024</t>
  </si>
  <si>
    <t>Q3 2024</t>
  </si>
  <si>
    <t>Q2 2025</t>
  </si>
  <si>
    <t>Q3 2025</t>
  </si>
  <si>
    <t>Dividends per share</t>
  </si>
  <si>
    <t>Net income with discontinued</t>
  </si>
  <si>
    <t>Income tax expense/benefit</t>
  </si>
  <si>
    <t>Q4 2024</t>
  </si>
  <si>
    <t>Price</t>
  </si>
  <si>
    <t>TTM</t>
  </si>
  <si>
    <t>Quarter compare</t>
  </si>
  <si>
    <t>Growth Rate</t>
  </si>
  <si>
    <t>Revenue Lower</t>
  </si>
  <si>
    <t>Revenue Upper</t>
  </si>
  <si>
    <t>Result</t>
  </si>
  <si>
    <t>EPS Lower</t>
  </si>
  <si>
    <t>EPS Upper</t>
  </si>
  <si>
    <t>Actual Revenue</t>
  </si>
  <si>
    <t>Actual EPS</t>
  </si>
  <si>
    <t>Company guidance next Quarter</t>
  </si>
  <si>
    <t>Depreciation</t>
  </si>
  <si>
    <t>Amortization</t>
  </si>
  <si>
    <t>Growth rates Income Statement</t>
  </si>
  <si>
    <t>Margins</t>
  </si>
  <si>
    <t>Gross margin</t>
  </si>
  <si>
    <t>Operating margin</t>
  </si>
  <si>
    <t>Net margin</t>
  </si>
  <si>
    <t>Tax rate</t>
  </si>
  <si>
    <t>Employees</t>
  </si>
  <si>
    <t>AMD</t>
  </si>
  <si>
    <t>28.12.2024</t>
  </si>
  <si>
    <t>30.12.2023</t>
  </si>
  <si>
    <t>31.12.2022</t>
  </si>
  <si>
    <t>25.12.2021</t>
  </si>
  <si>
    <t>26.12.2020</t>
  </si>
  <si>
    <t>28.12.2019</t>
  </si>
  <si>
    <t>31.12.2016</t>
  </si>
  <si>
    <t>30.12.2017</t>
  </si>
  <si>
    <t>29.12.2018</t>
  </si>
  <si>
    <t>Other income/expense</t>
  </si>
  <si>
    <t>Equity loss in investee</t>
  </si>
  <si>
    <t>Amortization acquisition intangibles</t>
  </si>
  <si>
    <t>Restructuring</t>
  </si>
  <si>
    <t>Prepaid and other recv related parties</t>
  </si>
  <si>
    <t>Prepaid expenses</t>
  </si>
  <si>
    <t>Investment equity method</t>
  </si>
  <si>
    <t>Payables to related parties</t>
  </si>
  <si>
    <t>Accrued liabilities</t>
  </si>
  <si>
    <t>Deferred income on shpiments</t>
  </si>
  <si>
    <t>Additional paid in capital</t>
  </si>
  <si>
    <t>Treasury stock</t>
  </si>
  <si>
    <t>Operating lease right of use</t>
  </si>
  <si>
    <t>Long term operating lease</t>
  </si>
  <si>
    <t>Acquisition related intangibles</t>
  </si>
  <si>
    <t>Deferred tax liabilities</t>
  </si>
  <si>
    <t>Net gain sale equity ATMP</t>
  </si>
  <si>
    <t>Net loss disposal property &amp; equipment</t>
  </si>
  <si>
    <t>Impairment technology licenses</t>
  </si>
  <si>
    <t>Deferred income taxes</t>
  </si>
  <si>
    <t>Stock-based compensation</t>
  </si>
  <si>
    <t>Amortization of debt discount</t>
  </si>
  <si>
    <t>Loss debt redemption</t>
  </si>
  <si>
    <t>Fair value warrant WSA</t>
  </si>
  <si>
    <t>Change prepaid expenses &amp; other</t>
  </si>
  <si>
    <t>Change payables related parties</t>
  </si>
  <si>
    <t>Proceeds from equity in ATMP</t>
  </si>
  <si>
    <t>Deferred proceeds sale receivables</t>
  </si>
  <si>
    <t>Issuance common stock</t>
  </si>
  <si>
    <t>Repayment/proceeds short term debt</t>
  </si>
  <si>
    <t>Amortizationof operating lease</t>
  </si>
  <si>
    <t>Loss sale property &amp; equipment</t>
  </si>
  <si>
    <t xml:space="preserve">Change receivables related parties </t>
  </si>
  <si>
    <t>Change accrued liabilities</t>
  </si>
  <si>
    <t>Issuance convertible senior notes</t>
  </si>
  <si>
    <t>Proceeds warrant exercise</t>
  </si>
  <si>
    <t>Issuance common stock employee</t>
  </si>
  <si>
    <t>Repurchase common stock</t>
  </si>
  <si>
    <t>Repurchase common stock employee</t>
  </si>
  <si>
    <t>Amortization inventory fair value</t>
  </si>
  <si>
    <t>Inventory loss</t>
  </si>
  <si>
    <t>Cash received acquisition Xilinx</t>
  </si>
  <si>
    <t>Acquisitions</t>
  </si>
  <si>
    <t>Related party equity investment</t>
  </si>
  <si>
    <t>Issuance loan related party</t>
  </si>
  <si>
    <t>27.09.2025</t>
  </si>
  <si>
    <t>28.06.2025</t>
  </si>
  <si>
    <t>29.03.2025</t>
  </si>
  <si>
    <t>28.09.2024</t>
  </si>
  <si>
    <t>29.06.2024</t>
  </si>
  <si>
    <t>Income from discontinued operations</t>
  </si>
  <si>
    <t>Discontinued operations</t>
  </si>
  <si>
    <t>Capex</t>
  </si>
  <si>
    <t>Discontinues operations</t>
  </si>
  <si>
    <t>Release uncertain tax positions</t>
  </si>
  <si>
    <t>Sale common stock employee</t>
  </si>
  <si>
    <t>27.12.2025</t>
  </si>
  <si>
    <t>Q4 2025</t>
  </si>
  <si>
    <t>Short term investments</t>
  </si>
  <si>
    <t>Gains on long term investments</t>
  </si>
  <si>
    <t>Purchase for short term investments</t>
  </si>
  <si>
    <t>Proceeds for short term investments</t>
  </si>
  <si>
    <t>Purchase long term investments</t>
  </si>
  <si>
    <t>Gain on long term investments</t>
  </si>
  <si>
    <t>Purchase short term investments</t>
  </si>
  <si>
    <t>Proceeds short term investments</t>
  </si>
  <si>
    <t>Market cap</t>
  </si>
  <si>
    <t>Net debt</t>
  </si>
  <si>
    <t>Q1 2026</t>
  </si>
  <si>
    <t>28.03.2026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</si>
</sst>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0_);[Red]\(0.00\)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 tint="-4.9989318521683403E-2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sz val="12"/>
      <color rgb="FF0070C0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color rgb="FF0070C0"/>
      <name val="Aptos Narrow"/>
      <scheme val="minor"/>
    </font>
    <font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AD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98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3" borderId="0" xfId="0" applyFont="1" applyFill="1"/>
    <xf numFmtId="0" fontId="3" fillId="2" borderId="0" xfId="0" applyFont="1" applyFill="1"/>
    <xf numFmtId="0" fontId="2" fillId="3" borderId="2" xfId="0" applyFont="1" applyFill="1" applyBorder="1"/>
    <xf numFmtId="0" fontId="1" fillId="3" borderId="0" xfId="0" applyFont="1" applyFill="1"/>
    <xf numFmtId="0" fontId="2" fillId="3" borderId="0" xfId="0" applyFont="1" applyFill="1"/>
    <xf numFmtId="0" fontId="0" fillId="4" borderId="0" xfId="0" applyFill="1"/>
    <xf numFmtId="0" fontId="2" fillId="4" borderId="2" xfId="0" applyFont="1" applyFill="1" applyBorder="1"/>
    <xf numFmtId="0" fontId="1" fillId="4" borderId="0" xfId="0" applyFont="1" applyFill="1"/>
    <xf numFmtId="0" fontId="2" fillId="4" borderId="0" xfId="0" applyFont="1" applyFill="1"/>
    <xf numFmtId="0" fontId="1" fillId="3" borderId="2" xfId="0" applyFont="1" applyFill="1" applyBorder="1"/>
    <xf numFmtId="0" fontId="3" fillId="5" borderId="2" xfId="0" applyFont="1" applyFill="1" applyBorder="1"/>
    <xf numFmtId="0" fontId="4" fillId="5" borderId="2" xfId="0" applyFont="1" applyFill="1" applyBorder="1"/>
    <xf numFmtId="0" fontId="0" fillId="3" borderId="2" xfId="0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4" borderId="2" xfId="0" applyFont="1" applyFill="1" applyBorder="1"/>
    <xf numFmtId="38" fontId="0" fillId="3" borderId="0" xfId="0" applyNumberFormat="1" applyFill="1"/>
    <xf numFmtId="38" fontId="1" fillId="3" borderId="0" xfId="0" applyNumberFormat="1" applyFont="1" applyFill="1"/>
    <xf numFmtId="41" fontId="1" fillId="6" borderId="1" xfId="0" applyNumberFormat="1" applyFont="1" applyFill="1" applyBorder="1"/>
    <xf numFmtId="41" fontId="1" fillId="6" borderId="0" xfId="0" applyNumberFormat="1" applyFont="1" applyFill="1"/>
    <xf numFmtId="41" fontId="1" fillId="7" borderId="1" xfId="0" applyNumberFormat="1" applyFont="1" applyFill="1" applyBorder="1"/>
    <xf numFmtId="164" fontId="2" fillId="3" borderId="0" xfId="0" applyNumberFormat="1" applyFont="1" applyFill="1"/>
    <xf numFmtId="41" fontId="1" fillId="3" borderId="0" xfId="0" applyNumberFormat="1" applyFont="1" applyFill="1"/>
    <xf numFmtId="38" fontId="6" fillId="3" borderId="0" xfId="0" applyNumberFormat="1" applyFont="1" applyFill="1"/>
    <xf numFmtId="0" fontId="6" fillId="3" borderId="0" xfId="0" applyFont="1" applyFill="1"/>
    <xf numFmtId="38" fontId="7" fillId="3" borderId="0" xfId="0" applyNumberFormat="1" applyFont="1" applyFill="1"/>
    <xf numFmtId="0" fontId="7" fillId="3" borderId="0" xfId="0" applyFont="1" applyFill="1"/>
    <xf numFmtId="164" fontId="6" fillId="3" borderId="0" xfId="0" applyNumberFormat="1" applyFont="1" applyFill="1"/>
    <xf numFmtId="164" fontId="6" fillId="3" borderId="2" xfId="0" applyNumberFormat="1" applyFont="1" applyFill="1" applyBorder="1"/>
    <xf numFmtId="38" fontId="8" fillId="3" borderId="0" xfId="0" applyNumberFormat="1" applyFont="1" applyFill="1"/>
    <xf numFmtId="0" fontId="2" fillId="4" borderId="1" xfId="0" applyFont="1" applyFill="1" applyBorder="1"/>
    <xf numFmtId="38" fontId="6" fillId="3" borderId="1" xfId="0" applyNumberFormat="1" applyFont="1" applyFill="1" applyBorder="1"/>
    <xf numFmtId="38" fontId="2" fillId="3" borderId="0" xfId="0" applyNumberFormat="1" applyFont="1" applyFill="1"/>
    <xf numFmtId="0" fontId="2" fillId="3" borderId="1" xfId="0" applyFont="1" applyFill="1" applyBorder="1"/>
    <xf numFmtId="4" fontId="0" fillId="3" borderId="0" xfId="0" applyNumberFormat="1" applyFill="1"/>
    <xf numFmtId="0" fontId="0" fillId="8" borderId="0" xfId="0" applyFill="1"/>
    <xf numFmtId="0" fontId="3" fillId="2" borderId="4" xfId="0" applyFont="1" applyFill="1" applyBorder="1" applyAlignment="1">
      <alignment horizontal="right"/>
    </xf>
    <xf numFmtId="0" fontId="3" fillId="5" borderId="6" xfId="0" applyFont="1" applyFill="1" applyBorder="1" applyAlignment="1">
      <alignment horizontal="center"/>
    </xf>
    <xf numFmtId="38" fontId="0" fillId="3" borderId="7" xfId="0" applyNumberFormat="1" applyFill="1" applyBorder="1"/>
    <xf numFmtId="38" fontId="0" fillId="3" borderId="8" xfId="0" applyNumberFormat="1" applyFill="1" applyBorder="1"/>
    <xf numFmtId="164" fontId="0" fillId="3" borderId="7" xfId="0" applyNumberFormat="1" applyFill="1" applyBorder="1"/>
    <xf numFmtId="164" fontId="0" fillId="3" borderId="6" xfId="0" applyNumberFormat="1" applyFill="1" applyBorder="1"/>
    <xf numFmtId="0" fontId="3" fillId="2" borderId="7" xfId="0" applyFont="1" applyFill="1" applyBorder="1" applyAlignment="1">
      <alignment horizontal="right"/>
    </xf>
    <xf numFmtId="0" fontId="3" fillId="2" borderId="7" xfId="0" applyFont="1" applyFill="1" applyBorder="1"/>
    <xf numFmtId="0" fontId="3" fillId="2" borderId="9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right"/>
    </xf>
    <xf numFmtId="0" fontId="3" fillId="2" borderId="12" xfId="0" applyFont="1" applyFill="1" applyBorder="1"/>
    <xf numFmtId="0" fontId="3" fillId="2" borderId="4" xfId="0" applyFont="1" applyFill="1" applyBorder="1"/>
    <xf numFmtId="38" fontId="0" fillId="3" borderId="12" xfId="0" applyNumberFormat="1" applyFill="1" applyBorder="1"/>
    <xf numFmtId="10" fontId="0" fillId="3" borderId="4" xfId="1" applyNumberFormat="1" applyFont="1" applyFill="1" applyBorder="1"/>
    <xf numFmtId="38" fontId="8" fillId="9" borderId="1" xfId="0" applyNumberFormat="1" applyFont="1" applyFill="1" applyBorder="1"/>
    <xf numFmtId="0" fontId="1" fillId="9" borderId="0" xfId="0" applyFont="1" applyFill="1"/>
    <xf numFmtId="0" fontId="1" fillId="9" borderId="1" xfId="0" applyFont="1" applyFill="1" applyBorder="1"/>
    <xf numFmtId="38" fontId="1" fillId="9" borderId="1" xfId="0" applyNumberFormat="1" applyFont="1" applyFill="1" applyBorder="1"/>
    <xf numFmtId="38" fontId="8" fillId="9" borderId="0" xfId="0" applyNumberFormat="1" applyFont="1" applyFill="1"/>
    <xf numFmtId="38" fontId="1" fillId="9" borderId="0" xfId="0" applyNumberFormat="1" applyFont="1" applyFill="1"/>
    <xf numFmtId="0" fontId="1" fillId="9" borderId="2" xfId="0" applyFont="1" applyFill="1" applyBorder="1"/>
    <xf numFmtId="38" fontId="8" fillId="9" borderId="2" xfId="0" applyNumberFormat="1" applyFont="1" applyFill="1" applyBorder="1"/>
    <xf numFmtId="38" fontId="1" fillId="9" borderId="8" xfId="0" applyNumberFormat="1" applyFont="1" applyFill="1" applyBorder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0" fillId="5" borderId="0" xfId="0" applyFill="1"/>
    <xf numFmtId="0" fontId="0" fillId="7" borderId="0" xfId="0" applyFill="1" applyAlignment="1">
      <alignment horizontal="left"/>
    </xf>
    <xf numFmtId="0" fontId="0" fillId="5" borderId="2" xfId="0" applyFill="1" applyBorder="1"/>
    <xf numFmtId="10" fontId="1" fillId="9" borderId="5" xfId="1" applyNumberFormat="1" applyFont="1" applyFill="1" applyBorder="1"/>
    <xf numFmtId="10" fontId="2" fillId="3" borderId="4" xfId="1" applyNumberFormat="1" applyFont="1" applyFill="1" applyBorder="1"/>
    <xf numFmtId="10" fontId="2" fillId="3" borderId="5" xfId="1" applyNumberFormat="1" applyFont="1" applyFill="1" applyBorder="1"/>
    <xf numFmtId="10" fontId="0" fillId="3" borderId="5" xfId="1" applyNumberFormat="1" applyFont="1" applyFill="1" applyBorder="1"/>
    <xf numFmtId="38" fontId="1" fillId="9" borderId="14" xfId="0" applyNumberFormat="1" applyFont="1" applyFill="1" applyBorder="1"/>
    <xf numFmtId="38" fontId="2" fillId="3" borderId="12" xfId="0" applyNumberFormat="1" applyFont="1" applyFill="1" applyBorder="1"/>
    <xf numFmtId="38" fontId="2" fillId="3" borderId="14" xfId="0" applyNumberFormat="1" applyFont="1" applyFill="1" applyBorder="1"/>
    <xf numFmtId="38" fontId="2" fillId="3" borderId="1" xfId="0" applyNumberFormat="1" applyFont="1" applyFill="1" applyBorder="1"/>
    <xf numFmtId="164" fontId="0" fillId="3" borderId="12" xfId="0" applyNumberFormat="1" applyFill="1" applyBorder="1"/>
    <xf numFmtId="164" fontId="0" fillId="3" borderId="0" xfId="0" applyNumberFormat="1" applyFill="1"/>
    <xf numFmtId="164" fontId="0" fillId="3" borderId="14" xfId="0" applyNumberFormat="1" applyFill="1" applyBorder="1"/>
    <xf numFmtId="164" fontId="0" fillId="3" borderId="1" xfId="0" applyNumberFormat="1" applyFill="1" applyBorder="1"/>
    <xf numFmtId="9" fontId="0" fillId="3" borderId="0" xfId="1" applyFont="1" applyFill="1"/>
    <xf numFmtId="9" fontId="1" fillId="3" borderId="1" xfId="1" applyFont="1" applyFill="1" applyBorder="1"/>
    <xf numFmtId="0" fontId="1" fillId="3" borderId="15" xfId="0" applyFont="1" applyFill="1" applyBorder="1"/>
    <xf numFmtId="0" fontId="1" fillId="4" borderId="15" xfId="0" applyFont="1" applyFill="1" applyBorder="1"/>
    <xf numFmtId="9" fontId="1" fillId="3" borderId="15" xfId="1" applyFont="1" applyFill="1" applyBorder="1"/>
    <xf numFmtId="0" fontId="0" fillId="10" borderId="0" xfId="0" applyFill="1"/>
    <xf numFmtId="0" fontId="1" fillId="10" borderId="0" xfId="0" applyFont="1" applyFill="1"/>
    <xf numFmtId="0" fontId="0" fillId="4" borderId="1" xfId="0" applyFill="1" applyBorder="1"/>
    <xf numFmtId="9" fontId="0" fillId="3" borderId="1" xfId="1" applyFont="1" applyFill="1" applyBorder="1"/>
    <xf numFmtId="0" fontId="0" fillId="3" borderId="1" xfId="0" applyFill="1" applyBorder="1"/>
    <xf numFmtId="10" fontId="2" fillId="3" borderId="0" xfId="0" applyNumberFormat="1" applyFont="1" applyFill="1"/>
    <xf numFmtId="38" fontId="6" fillId="11" borderId="0" xfId="0" applyNumberFormat="1" applyFont="1" applyFill="1"/>
    <xf numFmtId="0" fontId="0" fillId="7" borderId="0" xfId="0" applyFill="1" applyAlignment="1">
      <alignment horizontal="right"/>
    </xf>
    <xf numFmtId="3" fontId="0" fillId="3" borderId="0" xfId="0" applyNumberFormat="1" applyFill="1"/>
    <xf numFmtId="0" fontId="3" fillId="5" borderId="1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A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List_Automatic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1. List_AutomaticData"/>
    </sheetNames>
    <sheetDataSet>
      <sheetData sheetId="0">
        <row r="3">
          <cell r="C3">
            <v>405.47500000000002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di dumitras" id="{C1312E89-78DF-2C41-9F37-0481EBE70D1D}" userId="b24535bb88af1c4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1" dT="2026-02-04T21:51:09.17" personId="{C1312E89-78DF-2C41-9F37-0481EBE70D1D}" id="{C8D998A8-112A-D04B-B14F-DEEC16DDB179}">
    <text>Calculate as D&amp;A from Operating cashflow - Depreciation above</text>
  </threadedComment>
  <threadedComment ref="C151" dT="2025-12-11T22:37:40.67" personId="{C1312E89-78DF-2C41-9F37-0481EBE70D1D}" id="{216A39BB-A738-BA49-A1E3-436A1064961B}">
    <text>Calculated as total D&amp;A from the cashflow statement minus the depreciation of PP&amp;E. 
This amortization is special because it is for financial items, not intangible assets</text>
  </threadedComment>
  <threadedComment ref="B153" dT="2025-12-05T20:58:53.49" personId="{C1312E89-78DF-2C41-9F37-0481EBE70D1D}" id="{4D93E015-CA08-BD46-8221-6BA1278944C2}">
    <text>Search for Employees to find yearly value</text>
  </threadedComment>
  <threadedComment ref="B153" dT="2025-12-06T22:26:11.07" personId="{C1312E89-78DF-2C41-9F37-0481EBE70D1D}" id="{48C32011-7978-F04E-A470-AF32825265EE}" parentId="{4D93E015-CA08-BD46-8221-6BA1278944C2}">
    <text>Actual number (no zeroes removed)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9" dT="2025-12-17T15:15:51.89" personId="{C1312E89-78DF-2C41-9F37-0481EBE70D1D}" id="{1A7309CD-02E8-154D-8120-7463F0769739}">
    <text>We use the net income from continuing operations and discontinued operations</text>
  </threadedComment>
  <threadedComment ref="B30" dT="2025-12-17T15:16:11.70" personId="{C1312E89-78DF-2C41-9F37-0481EBE70D1D}" id="{0E2A1A28-89E4-C548-991B-0C55FBB9C0CA}">
    <text>We use the net income from continuing operations and discontinued operations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0442F6-B781-3744-BD57-82D74EB0F258}">
  <we:reference id="wa200001365" version="2.5.0.0" store="en-US" storeType="OMEX"/>
  <we:alternateReferences>
    <we:reference id="wa200001365" version="2.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_xldudf_ALPHAVANTAGE_EQUITYQUOTE</we:customFunctionIds>
        <we:customFunctionIds>_xldudf_ALPHAVANTAGE_EQUITYTIMESERIES</we:customFunctionIds>
        <we:customFunctionIds>_xldudf_ALPHAVANTAGE_INTRADAYEQUITYSERIESUPDATING</we:customFunctionIds>
        <we:customFunctionIds>_xldudf_ALPHAVANTAGE_EXCHANGERATE</we:customFunctionIds>
        <we:customFunctionIds>_xldudf_ALPHAVANTAGE_EXCHANGERATEUPDATING</we:customFunctionIds>
        <we:customFunctionIds>_xldudf_ALPHAVANTAGE_EXCHANGERATESERIES</we:customFunctionIds>
        <we:customFunctionIds>_xldudf_ALPHAVANTAGE_EXCHANGERATESERIESUPDATING</we:customFunctionIds>
        <we:customFunctionIds>_xldudf_ALPHAVANTAGE_TECHNICALINDICATOR</we:customFunctionIds>
        <we:customFunctionIds>_xldudf_ALPHAVANTAGE_SYMBOLSEARCH</we:customFunctionIds>
        <we:customFunctionIds>_xldudf_ALPHAVANTAGE_COMMODITYTIMESERIES</we:customFunctionIds>
        <we:customFunctionIds>_xldudf_ALPHAVANTAGE_AVAILABLECRYPTOCURRENCIES</we:customFunctionIds>
        <we:customFunctionIds>_xldudf_ALPHAVANTAGE_AVAILABLEPHYSICALCURRENCIES</we:customFunctionIds>
        <we:customFunctionIds>_xldudf_ALPHAVANTAGE_COMPANYOVERVIEW</we:customFunctionIds>
        <we:customFunctionIds>_xldudf_ALPHAVANTAGE_COMPANYEARNINGS</we:customFunctionIds>
        <we:customFunctionIds>_xldudf_ALPHAVANTAGE_COMPANYFILINGS</we:customFunctionIds>
        <we:customFunctionIds>_xldudf_ALPHAVANTAGE_LISTINGSTATUS</we:customFunctionIds>
        <we:customFunctionIds>_xldudf_ALPHAVANTAGE_EARNINGSCALENDAR</we:customFunctionIds>
        <we:customFunctionIds>_xldudf_ALPHAVANTAGE_ECONOMICINDICATOR</we:customFunctionIds>
        <we:customFunctionIds>_xldudf_ALPHAVANTAGE_TREASURYYIELD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889E-47F7-E641-9FC7-1CBF49DF9C8A}">
  <dimension ref="B2:E10"/>
  <sheetViews>
    <sheetView tabSelected="1" zoomScale="162" workbookViewId="0">
      <selection activeCell="C9" sqref="C9"/>
    </sheetView>
  </sheetViews>
  <sheetFormatPr baseColWidth="10" defaultColWidth="10.83203125" defaultRowHeight="16" x14ac:dyDescent="0.2"/>
  <cols>
    <col min="1" max="1" width="10.83203125" style="1"/>
    <col min="2" max="2" width="17.1640625" style="1" customWidth="1"/>
    <col min="3" max="16384" width="10.83203125" style="1"/>
  </cols>
  <sheetData>
    <row r="2" spans="2:5" x14ac:dyDescent="0.2">
      <c r="B2" s="1" t="s">
        <v>2</v>
      </c>
      <c r="C2" s="39" t="s">
        <v>119</v>
      </c>
    </row>
    <row r="3" spans="2:5" x14ac:dyDescent="0.2">
      <c r="B3" s="1" t="s">
        <v>98</v>
      </c>
      <c r="C3" s="38">
        <f>[1]Sheet1!$C$3</f>
        <v>405.47500000000002</v>
      </c>
    </row>
    <row r="6" spans="2:5" x14ac:dyDescent="0.2">
      <c r="E6" s="38"/>
    </row>
    <row r="7" spans="2:5" x14ac:dyDescent="0.2">
      <c r="B7" s="1" t="s">
        <v>3</v>
      </c>
      <c r="C7" s="1" t="s">
        <v>5</v>
      </c>
    </row>
    <row r="9" spans="2:5" x14ac:dyDescent="0.2">
      <c r="B9" s="1" t="s">
        <v>195</v>
      </c>
      <c r="C9" s="94">
        <f>C3*'Statement Q'!J138</f>
        <v>661329.72500000009</v>
      </c>
    </row>
    <row r="10" spans="2:5" x14ac:dyDescent="0.2">
      <c r="B10" s="1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172E-7ADE-4B4A-B533-F037BCFCDCB0}">
  <dimension ref="A1:V171"/>
  <sheetViews>
    <sheetView zoomScale="150" zoomScaleNormal="150" workbookViewId="0">
      <pane xSplit="2" ySplit="3" topLeftCell="H164" activePane="bottomRight" state="frozen"/>
      <selection pane="topRight" activeCell="C1" sqref="C1"/>
      <selection pane="bottomLeft" activeCell="A4" sqref="A4"/>
      <selection pane="bottomRight" activeCell="H168" sqref="H168"/>
    </sheetView>
  </sheetViews>
  <sheetFormatPr baseColWidth="10" defaultColWidth="10.83203125" defaultRowHeight="16" outlineLevelRow="2" outlineLevelCol="1" x14ac:dyDescent="0.2"/>
  <cols>
    <col min="1" max="1" width="3.6640625" style="1" customWidth="1"/>
    <col min="2" max="2" width="31.5" style="9" customWidth="1"/>
    <col min="3" max="4" width="12" style="1" customWidth="1" outlineLevel="1"/>
    <col min="5" max="5" width="10.83203125" style="1" customWidth="1" outlineLevel="1"/>
    <col min="6" max="6" width="12" style="1" customWidth="1" outlineLevel="1"/>
    <col min="7" max="7" width="10.83203125" style="1" customWidth="1" outlineLevel="1"/>
    <col min="8" max="10" width="10.83203125" style="1" customWidth="1"/>
    <col min="11" max="16384" width="10.83203125" style="1"/>
  </cols>
  <sheetData>
    <row r="1" spans="1:12" x14ac:dyDescent="0.2">
      <c r="B1" s="1"/>
    </row>
    <row r="2" spans="1:12" s="3" customFormat="1" x14ac:dyDescent="0.2">
      <c r="A2" s="2"/>
      <c r="B2" s="64" t="s">
        <v>0</v>
      </c>
      <c r="C2" s="3" t="s">
        <v>126</v>
      </c>
      <c r="D2" s="3" t="s">
        <v>127</v>
      </c>
      <c r="E2" s="3" t="s">
        <v>128</v>
      </c>
      <c r="F2" s="3" t="s">
        <v>125</v>
      </c>
      <c r="G2" s="3" t="s">
        <v>124</v>
      </c>
      <c r="H2" s="3" t="s">
        <v>123</v>
      </c>
      <c r="I2" s="3" t="s">
        <v>122</v>
      </c>
      <c r="J2" s="3" t="s">
        <v>121</v>
      </c>
      <c r="K2" s="3" t="s">
        <v>120</v>
      </c>
      <c r="L2" s="3" t="s">
        <v>185</v>
      </c>
    </row>
    <row r="3" spans="1:12" s="5" customFormat="1" x14ac:dyDescent="0.2">
      <c r="A3" s="4"/>
      <c r="B3" s="65" t="s">
        <v>1</v>
      </c>
      <c r="C3" s="5">
        <v>2016</v>
      </c>
      <c r="D3" s="5">
        <f>C3+1</f>
        <v>2017</v>
      </c>
      <c r="E3" s="5">
        <f t="shared" ref="E3:L3" si="0">D3+1</f>
        <v>2018</v>
      </c>
      <c r="F3" s="5">
        <f t="shared" si="0"/>
        <v>2019</v>
      </c>
      <c r="G3" s="5">
        <f t="shared" si="0"/>
        <v>2020</v>
      </c>
      <c r="H3" s="5">
        <f t="shared" si="0"/>
        <v>2021</v>
      </c>
      <c r="I3" s="5">
        <f t="shared" si="0"/>
        <v>2022</v>
      </c>
      <c r="J3" s="5">
        <f t="shared" si="0"/>
        <v>2023</v>
      </c>
      <c r="K3" s="5">
        <f t="shared" si="0"/>
        <v>2024</v>
      </c>
      <c r="L3" s="5">
        <f t="shared" si="0"/>
        <v>2025</v>
      </c>
    </row>
    <row r="4" spans="1:12" s="14" customFormat="1" ht="17" thickBot="1" x14ac:dyDescent="0.25">
      <c r="A4" s="4"/>
      <c r="B4" s="15" t="s">
        <v>6</v>
      </c>
    </row>
    <row r="5" spans="1:12" s="57" customFormat="1" outlineLevel="1" x14ac:dyDescent="0.2">
      <c r="A5" s="7"/>
      <c r="B5" s="17" t="s">
        <v>8</v>
      </c>
      <c r="C5" s="55">
        <v>4319</v>
      </c>
      <c r="D5" s="55">
        <v>5253</v>
      </c>
      <c r="E5" s="55">
        <v>6475</v>
      </c>
      <c r="F5" s="55">
        <v>6731</v>
      </c>
      <c r="G5" s="55">
        <v>9763</v>
      </c>
      <c r="H5" s="55">
        <v>16434</v>
      </c>
      <c r="I5" s="55">
        <v>23601</v>
      </c>
      <c r="J5" s="55">
        <v>22680</v>
      </c>
      <c r="K5" s="55">
        <v>25785</v>
      </c>
      <c r="L5" s="55">
        <v>34639</v>
      </c>
    </row>
    <row r="6" spans="1:12" outlineLevel="1" x14ac:dyDescent="0.2">
      <c r="B6" s="9" t="s">
        <v>9</v>
      </c>
      <c r="C6" s="27">
        <v>3316</v>
      </c>
      <c r="D6" s="27">
        <v>3466</v>
      </c>
      <c r="E6" s="27">
        <v>4028</v>
      </c>
      <c r="F6" s="27">
        <v>3863</v>
      </c>
      <c r="G6" s="27">
        <v>5416</v>
      </c>
      <c r="H6" s="27">
        <v>8505</v>
      </c>
      <c r="I6" s="27">
        <v>11550</v>
      </c>
      <c r="J6" s="27">
        <v>11278</v>
      </c>
      <c r="K6" s="27">
        <v>12114</v>
      </c>
      <c r="L6" s="27">
        <v>16456</v>
      </c>
    </row>
    <row r="7" spans="1:12" outlineLevel="1" x14ac:dyDescent="0.2">
      <c r="B7" s="9" t="s">
        <v>131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1448</v>
      </c>
      <c r="J7" s="27">
        <v>942</v>
      </c>
      <c r="K7" s="27">
        <v>946</v>
      </c>
      <c r="L7" s="27">
        <v>1031</v>
      </c>
    </row>
    <row r="8" spans="1:12" s="57" customFormat="1" outlineLevel="1" x14ac:dyDescent="0.2">
      <c r="A8" s="7"/>
      <c r="B8" s="17" t="s">
        <v>10</v>
      </c>
      <c r="C8" s="58">
        <f>C5-C6-C7</f>
        <v>1003</v>
      </c>
      <c r="D8" s="58">
        <f>D5-D6-D7</f>
        <v>1787</v>
      </c>
      <c r="E8" s="58">
        <f t="shared" ref="E8:L8" si="1">E5-E6-E7</f>
        <v>2447</v>
      </c>
      <c r="F8" s="58">
        <f t="shared" si="1"/>
        <v>2868</v>
      </c>
      <c r="G8" s="58">
        <f t="shared" si="1"/>
        <v>4347</v>
      </c>
      <c r="H8" s="58">
        <f t="shared" si="1"/>
        <v>7929</v>
      </c>
      <c r="I8" s="58">
        <f t="shared" si="1"/>
        <v>10603</v>
      </c>
      <c r="J8" s="58">
        <f t="shared" si="1"/>
        <v>10460</v>
      </c>
      <c r="K8" s="58">
        <f t="shared" si="1"/>
        <v>12725</v>
      </c>
      <c r="L8" s="58">
        <f t="shared" si="1"/>
        <v>17152</v>
      </c>
    </row>
    <row r="9" spans="1:12" outlineLevel="1" x14ac:dyDescent="0.2">
      <c r="B9" s="9" t="s">
        <v>11</v>
      </c>
      <c r="C9" s="27">
        <v>1008</v>
      </c>
      <c r="D9" s="27">
        <v>1196</v>
      </c>
      <c r="E9" s="27">
        <v>1434</v>
      </c>
      <c r="F9" s="27">
        <v>1547</v>
      </c>
      <c r="G9" s="27">
        <v>1983</v>
      </c>
      <c r="H9" s="27">
        <v>2845</v>
      </c>
      <c r="I9" s="27">
        <v>5005</v>
      </c>
      <c r="J9" s="27">
        <v>5872</v>
      </c>
      <c r="K9" s="27">
        <v>6456</v>
      </c>
      <c r="L9" s="27">
        <v>8091</v>
      </c>
    </row>
    <row r="10" spans="1:12" s="8" customFormat="1" outlineLevel="1" x14ac:dyDescent="0.2">
      <c r="B10" s="12" t="s">
        <v>12</v>
      </c>
      <c r="C10" s="27">
        <v>466</v>
      </c>
      <c r="D10" s="27">
        <v>516</v>
      </c>
      <c r="E10" s="27">
        <v>562</v>
      </c>
      <c r="F10" s="27">
        <v>750</v>
      </c>
      <c r="G10" s="27">
        <v>995</v>
      </c>
      <c r="H10" s="27">
        <v>1448</v>
      </c>
      <c r="I10" s="27">
        <v>2336</v>
      </c>
      <c r="J10" s="27">
        <v>2352</v>
      </c>
      <c r="K10" s="27">
        <v>2783</v>
      </c>
      <c r="L10" s="27">
        <v>4144</v>
      </c>
    </row>
    <row r="11" spans="1:12" s="8" customFormat="1" outlineLevel="1" x14ac:dyDescent="0.2">
      <c r="B11" s="12" t="s">
        <v>131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2100</v>
      </c>
      <c r="J11" s="27">
        <v>1869</v>
      </c>
      <c r="K11" s="27">
        <v>1448</v>
      </c>
      <c r="L11" s="27">
        <v>1223</v>
      </c>
    </row>
    <row r="12" spans="1:12" s="8" customFormat="1" outlineLevel="1" x14ac:dyDescent="0.2">
      <c r="B12" s="12" t="s">
        <v>132</v>
      </c>
      <c r="C12" s="27">
        <v>0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186</v>
      </c>
      <c r="L12" s="27">
        <v>0</v>
      </c>
    </row>
    <row r="13" spans="1:12" s="8" customFormat="1" outlineLevel="1" x14ac:dyDescent="0.2">
      <c r="B13" s="12" t="s">
        <v>13</v>
      </c>
      <c r="C13" s="27">
        <v>-10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</row>
    <row r="14" spans="1:12" outlineLevel="1" x14ac:dyDescent="0.2">
      <c r="B14" s="12" t="s">
        <v>7</v>
      </c>
      <c r="C14" s="27">
        <v>-88</v>
      </c>
      <c r="D14" s="27">
        <v>-52</v>
      </c>
      <c r="E14" s="27">
        <v>0</v>
      </c>
      <c r="F14" s="27">
        <v>-60</v>
      </c>
      <c r="G14" s="27">
        <v>0</v>
      </c>
      <c r="H14" s="27">
        <v>-12</v>
      </c>
      <c r="I14" s="27">
        <v>-102</v>
      </c>
      <c r="J14" s="27">
        <v>-34</v>
      </c>
      <c r="K14" s="27">
        <v>-48</v>
      </c>
      <c r="L14" s="27">
        <v>0</v>
      </c>
    </row>
    <row r="15" spans="1:12" outlineLevel="1" x14ac:dyDescent="0.2">
      <c r="B15" s="12" t="s">
        <v>14</v>
      </c>
      <c r="C15" s="20">
        <f t="shared" ref="C15:L15" si="2">SUM(C9:C14)</f>
        <v>1376</v>
      </c>
      <c r="D15" s="20">
        <f t="shared" si="2"/>
        <v>1660</v>
      </c>
      <c r="E15" s="20">
        <f t="shared" si="2"/>
        <v>1996</v>
      </c>
      <c r="F15" s="20">
        <f t="shared" si="2"/>
        <v>2237</v>
      </c>
      <c r="G15" s="20">
        <f t="shared" si="2"/>
        <v>2978</v>
      </c>
      <c r="H15" s="20">
        <f t="shared" si="2"/>
        <v>4281</v>
      </c>
      <c r="I15" s="20">
        <f t="shared" si="2"/>
        <v>9339</v>
      </c>
      <c r="J15" s="20">
        <f t="shared" si="2"/>
        <v>10059</v>
      </c>
      <c r="K15" s="20">
        <f t="shared" si="2"/>
        <v>10825</v>
      </c>
      <c r="L15" s="20">
        <f t="shared" si="2"/>
        <v>13458</v>
      </c>
    </row>
    <row r="16" spans="1:12" s="57" customFormat="1" outlineLevel="1" x14ac:dyDescent="0.2">
      <c r="A16" s="7"/>
      <c r="B16" s="17" t="s">
        <v>15</v>
      </c>
      <c r="C16" s="55">
        <v>-373</v>
      </c>
      <c r="D16" s="55">
        <v>127</v>
      </c>
      <c r="E16" s="55">
        <v>451</v>
      </c>
      <c r="F16" s="55">
        <v>631</v>
      </c>
      <c r="G16" s="55">
        <v>1369</v>
      </c>
      <c r="H16" s="55">
        <v>3648</v>
      </c>
      <c r="I16" s="55">
        <v>1264</v>
      </c>
      <c r="J16" s="55">
        <v>401</v>
      </c>
      <c r="K16" s="55">
        <v>1900</v>
      </c>
      <c r="L16" s="55">
        <v>3694</v>
      </c>
    </row>
    <row r="17" spans="1:22" outlineLevel="1" x14ac:dyDescent="0.2">
      <c r="B17" s="12" t="s">
        <v>52</v>
      </c>
      <c r="C17" s="27">
        <v>-156</v>
      </c>
      <c r="D17" s="27">
        <v>-126</v>
      </c>
      <c r="E17" s="27">
        <v>-121</v>
      </c>
      <c r="F17" s="27">
        <v>-94</v>
      </c>
      <c r="G17" s="27">
        <v>-47</v>
      </c>
      <c r="H17" s="27">
        <v>-34</v>
      </c>
      <c r="I17" s="27">
        <v>-88</v>
      </c>
      <c r="J17" s="27">
        <v>-106</v>
      </c>
      <c r="K17" s="27">
        <v>-92</v>
      </c>
      <c r="L17" s="27">
        <v>-131</v>
      </c>
    </row>
    <row r="18" spans="1:22" outlineLevel="1" x14ac:dyDescent="0.2">
      <c r="B18" s="12" t="s">
        <v>129</v>
      </c>
      <c r="C18" s="27">
        <v>80</v>
      </c>
      <c r="D18" s="27">
        <v>-9</v>
      </c>
      <c r="E18" s="27">
        <v>0</v>
      </c>
      <c r="F18" s="27">
        <v>-165</v>
      </c>
      <c r="G18" s="27">
        <v>-47</v>
      </c>
      <c r="H18" s="27">
        <v>55</v>
      </c>
      <c r="I18" s="27">
        <v>8</v>
      </c>
      <c r="J18" s="27">
        <v>197</v>
      </c>
      <c r="K18" s="27">
        <v>181</v>
      </c>
      <c r="L18" s="27">
        <v>577</v>
      </c>
    </row>
    <row r="19" spans="1:22" s="57" customFormat="1" outlineLevel="1" x14ac:dyDescent="0.2">
      <c r="A19" s="7"/>
      <c r="B19" s="17" t="s">
        <v>16</v>
      </c>
      <c r="C19" s="55">
        <v>-449</v>
      </c>
      <c r="D19" s="55">
        <v>-8</v>
      </c>
      <c r="E19" s="55">
        <v>330</v>
      </c>
      <c r="F19" s="55">
        <v>372</v>
      </c>
      <c r="G19" s="55">
        <v>1275</v>
      </c>
      <c r="H19" s="55">
        <v>3669</v>
      </c>
      <c r="I19" s="55">
        <v>1184</v>
      </c>
      <c r="J19" s="55">
        <v>492</v>
      </c>
      <c r="K19" s="55">
        <v>1989</v>
      </c>
      <c r="L19" s="55">
        <v>4140</v>
      </c>
    </row>
    <row r="20" spans="1:22" s="56" customFormat="1" outlineLevel="1" x14ac:dyDescent="0.2">
      <c r="A20" s="7"/>
      <c r="B20" s="12" t="s">
        <v>96</v>
      </c>
      <c r="C20" s="27">
        <v>-39</v>
      </c>
      <c r="D20" s="27">
        <v>-18</v>
      </c>
      <c r="E20" s="27">
        <v>9</v>
      </c>
      <c r="F20" s="27">
        <v>-31</v>
      </c>
      <c r="G20" s="27">
        <v>1210</v>
      </c>
      <c r="H20" s="27">
        <v>-513</v>
      </c>
      <c r="I20" s="27">
        <v>122</v>
      </c>
      <c r="J20" s="27">
        <v>346</v>
      </c>
      <c r="K20" s="27">
        <v>-381</v>
      </c>
      <c r="L20" s="27">
        <v>103</v>
      </c>
      <c r="M20" s="8"/>
      <c r="N20" s="8"/>
      <c r="O20" s="8"/>
      <c r="P20" s="8"/>
      <c r="Q20" s="8"/>
      <c r="R20" s="8"/>
      <c r="S20" s="7"/>
      <c r="T20" s="7"/>
      <c r="U20" s="7"/>
      <c r="V20" s="7"/>
    </row>
    <row r="21" spans="1:22" outlineLevel="1" x14ac:dyDescent="0.2">
      <c r="B21" s="12" t="s">
        <v>130</v>
      </c>
      <c r="C21" s="27">
        <v>-10</v>
      </c>
      <c r="D21" s="27">
        <v>-7</v>
      </c>
      <c r="E21" s="27">
        <v>-2</v>
      </c>
      <c r="F21" s="27">
        <v>0</v>
      </c>
      <c r="G21" s="27">
        <v>5</v>
      </c>
      <c r="H21" s="27">
        <v>6</v>
      </c>
      <c r="I21" s="27">
        <v>14</v>
      </c>
      <c r="J21" s="27">
        <v>16</v>
      </c>
      <c r="K21" s="27">
        <v>33</v>
      </c>
      <c r="L21" s="27">
        <v>26</v>
      </c>
    </row>
    <row r="22" spans="1:22" s="57" customFormat="1" outlineLevel="1" x14ac:dyDescent="0.2">
      <c r="A22" s="7"/>
      <c r="B22" s="17" t="s">
        <v>18</v>
      </c>
      <c r="C22" s="55">
        <v>-498</v>
      </c>
      <c r="D22" s="55">
        <v>-33</v>
      </c>
      <c r="E22" s="55">
        <v>337</v>
      </c>
      <c r="F22" s="55">
        <v>341</v>
      </c>
      <c r="G22" s="55">
        <v>2490</v>
      </c>
      <c r="H22" s="55">
        <v>3162</v>
      </c>
      <c r="I22" s="55">
        <v>1320</v>
      </c>
      <c r="J22" s="55">
        <v>854</v>
      </c>
      <c r="K22" s="55">
        <v>1641</v>
      </c>
      <c r="L22" s="55">
        <v>4269</v>
      </c>
    </row>
    <row r="23" spans="1:22" outlineLevel="1" x14ac:dyDescent="0.2">
      <c r="B23" s="12" t="s">
        <v>17</v>
      </c>
      <c r="C23" s="27">
        <v>0</v>
      </c>
      <c r="D23" s="27">
        <v>1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66</v>
      </c>
    </row>
    <row r="24" spans="1:22" s="37" customFormat="1" outlineLevel="1" x14ac:dyDescent="0.2">
      <c r="A24" s="8"/>
      <c r="B24" s="34" t="s">
        <v>95</v>
      </c>
      <c r="C24" s="35">
        <v>-498</v>
      </c>
      <c r="D24" s="35">
        <v>-33</v>
      </c>
      <c r="E24" s="35">
        <v>337</v>
      </c>
      <c r="F24" s="35">
        <v>341</v>
      </c>
      <c r="G24" s="35">
        <v>2490</v>
      </c>
      <c r="H24" s="35">
        <v>3162</v>
      </c>
      <c r="I24" s="35">
        <v>1320</v>
      </c>
      <c r="J24" s="35">
        <v>854</v>
      </c>
      <c r="K24" s="35">
        <v>1641</v>
      </c>
      <c r="L24" s="35">
        <v>4335</v>
      </c>
    </row>
    <row r="25" spans="1:22" outlineLevel="1" x14ac:dyDescent="0.2">
      <c r="B25" s="12" t="s">
        <v>19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</row>
    <row r="26" spans="1:22" outlineLevel="1" x14ac:dyDescent="0.2">
      <c r="B26" s="12" t="s">
        <v>20</v>
      </c>
      <c r="C26" s="27">
        <v>-498</v>
      </c>
      <c r="D26" s="27">
        <v>-33</v>
      </c>
      <c r="E26" s="27">
        <v>337</v>
      </c>
      <c r="F26" s="27">
        <v>341</v>
      </c>
      <c r="G26" s="27">
        <v>2490</v>
      </c>
      <c r="H26" s="27">
        <v>3162</v>
      </c>
      <c r="I26" s="27">
        <v>1320</v>
      </c>
      <c r="J26" s="27">
        <v>854</v>
      </c>
      <c r="K26" s="27">
        <v>1641</v>
      </c>
      <c r="L26" s="27">
        <v>4335</v>
      </c>
    </row>
    <row r="27" spans="1:22" outlineLevel="1" x14ac:dyDescent="0.2">
      <c r="B27" s="12" t="s">
        <v>21</v>
      </c>
      <c r="C27" s="27">
        <v>835</v>
      </c>
      <c r="D27" s="27">
        <v>952</v>
      </c>
      <c r="E27" s="27">
        <v>982</v>
      </c>
      <c r="F27" s="27">
        <v>1091</v>
      </c>
      <c r="G27" s="27">
        <v>1184</v>
      </c>
      <c r="H27" s="27">
        <v>1213</v>
      </c>
      <c r="I27" s="27">
        <v>1561</v>
      </c>
      <c r="J27" s="27">
        <v>1614</v>
      </c>
      <c r="K27" s="27">
        <v>1620</v>
      </c>
      <c r="L27" s="27">
        <v>1624</v>
      </c>
    </row>
    <row r="28" spans="1:22" outlineLevel="1" x14ac:dyDescent="0.2">
      <c r="B28" s="12" t="s">
        <v>22</v>
      </c>
      <c r="C28" s="27">
        <v>835</v>
      </c>
      <c r="D28" s="27">
        <v>952</v>
      </c>
      <c r="E28" s="27">
        <v>1064</v>
      </c>
      <c r="F28" s="27">
        <v>1120</v>
      </c>
      <c r="G28" s="27">
        <v>1207</v>
      </c>
      <c r="H28" s="27">
        <v>1229</v>
      </c>
      <c r="I28" s="27">
        <v>1571</v>
      </c>
      <c r="J28" s="27">
        <v>1625</v>
      </c>
      <c r="K28" s="27">
        <v>1637</v>
      </c>
      <c r="L28" s="27">
        <v>1636</v>
      </c>
    </row>
    <row r="29" spans="1:22" outlineLevel="1" x14ac:dyDescent="0.2">
      <c r="B29" s="12" t="s">
        <v>23</v>
      </c>
      <c r="C29" s="31">
        <v>-0.6</v>
      </c>
      <c r="D29" s="31">
        <v>-0.03</v>
      </c>
      <c r="E29" s="31">
        <v>0.34</v>
      </c>
      <c r="F29" s="31">
        <v>0.31</v>
      </c>
      <c r="G29" s="31">
        <v>2.1</v>
      </c>
      <c r="H29" s="31">
        <v>2.61</v>
      </c>
      <c r="I29" s="31">
        <v>0.85</v>
      </c>
      <c r="J29" s="31">
        <v>0.53</v>
      </c>
      <c r="K29" s="31">
        <v>1.01</v>
      </c>
      <c r="L29" s="31">
        <v>2.67</v>
      </c>
    </row>
    <row r="30" spans="1:22" s="16" customFormat="1" ht="17" outlineLevel="1" thickBot="1" x14ac:dyDescent="0.25">
      <c r="A30" s="1"/>
      <c r="B30" s="10" t="s">
        <v>24</v>
      </c>
      <c r="C30" s="32">
        <v>-0.6</v>
      </c>
      <c r="D30" s="32">
        <v>-0.03</v>
      </c>
      <c r="E30" s="32">
        <v>0.32</v>
      </c>
      <c r="F30" s="32">
        <v>0.3</v>
      </c>
      <c r="G30" s="32">
        <v>2.06</v>
      </c>
      <c r="H30" s="32">
        <v>2.57</v>
      </c>
      <c r="I30" s="32">
        <v>0.84</v>
      </c>
      <c r="J30" s="32">
        <v>0.53</v>
      </c>
      <c r="K30" s="32">
        <v>1</v>
      </c>
      <c r="L30" s="32">
        <v>2.65</v>
      </c>
    </row>
    <row r="31" spans="1:22" s="16" customFormat="1" ht="17" thickBot="1" x14ac:dyDescent="0.25">
      <c r="A31" s="1"/>
      <c r="B31" s="6"/>
      <c r="F31" s="6"/>
      <c r="G31" s="6"/>
      <c r="H31" s="6"/>
      <c r="I31" s="6"/>
      <c r="J31" s="6"/>
      <c r="K31" s="6"/>
    </row>
    <row r="32" spans="1:22" s="14" customFormat="1" ht="17" thickBot="1" x14ac:dyDescent="0.25">
      <c r="A32" s="4"/>
      <c r="B32" s="15" t="s">
        <v>26</v>
      </c>
    </row>
    <row r="33" spans="1:12" hidden="1" outlineLevel="1" x14ac:dyDescent="0.2">
      <c r="B33" s="9" t="s">
        <v>27</v>
      </c>
      <c r="C33" s="27">
        <v>1264</v>
      </c>
      <c r="D33" s="27">
        <v>1185</v>
      </c>
      <c r="E33" s="27">
        <v>1078</v>
      </c>
      <c r="F33" s="27">
        <v>1466</v>
      </c>
      <c r="G33" s="27">
        <v>1595</v>
      </c>
      <c r="H33" s="27">
        <v>2535</v>
      </c>
      <c r="I33" s="27">
        <v>4835</v>
      </c>
      <c r="J33" s="27">
        <v>3933</v>
      </c>
      <c r="K33" s="27">
        <v>3787</v>
      </c>
      <c r="L33" s="27">
        <v>5539</v>
      </c>
    </row>
    <row r="34" spans="1:12" hidden="1" outlineLevel="1" x14ac:dyDescent="0.2">
      <c r="B34" s="9" t="s">
        <v>187</v>
      </c>
      <c r="C34" s="27">
        <v>0</v>
      </c>
      <c r="D34" s="27">
        <v>0</v>
      </c>
      <c r="E34" s="27">
        <v>78</v>
      </c>
      <c r="F34" s="27">
        <v>37</v>
      </c>
      <c r="G34" s="27">
        <v>695</v>
      </c>
      <c r="H34" s="27">
        <v>1073</v>
      </c>
      <c r="I34" s="27">
        <v>1020</v>
      </c>
      <c r="J34" s="27">
        <v>1840</v>
      </c>
      <c r="K34" s="27">
        <v>1345</v>
      </c>
      <c r="L34" s="27">
        <v>5013</v>
      </c>
    </row>
    <row r="35" spans="1:12" hidden="1" outlineLevel="1" x14ac:dyDescent="0.2">
      <c r="B35" s="9" t="s">
        <v>28</v>
      </c>
      <c r="C35" s="27">
        <v>311</v>
      </c>
      <c r="D35" s="27">
        <v>400</v>
      </c>
      <c r="E35" s="27">
        <v>1235</v>
      </c>
      <c r="F35" s="27">
        <v>1859</v>
      </c>
      <c r="G35" s="27">
        <v>2066</v>
      </c>
      <c r="H35" s="27">
        <v>2706</v>
      </c>
      <c r="I35" s="27">
        <v>4126</v>
      </c>
      <c r="J35" s="27">
        <v>5376</v>
      </c>
      <c r="K35" s="27">
        <v>6192</v>
      </c>
      <c r="L35" s="27">
        <v>6315</v>
      </c>
    </row>
    <row r="36" spans="1:12" hidden="1" outlineLevel="1" x14ac:dyDescent="0.2">
      <c r="B36" s="9" t="s">
        <v>29</v>
      </c>
      <c r="C36" s="27">
        <v>751</v>
      </c>
      <c r="D36" s="27">
        <v>739</v>
      </c>
      <c r="E36" s="27">
        <v>845</v>
      </c>
      <c r="F36" s="27">
        <v>982</v>
      </c>
      <c r="G36" s="27">
        <v>1399</v>
      </c>
      <c r="H36" s="27">
        <v>1955</v>
      </c>
      <c r="I36" s="27">
        <v>3771</v>
      </c>
      <c r="J36" s="27">
        <v>4351</v>
      </c>
      <c r="K36" s="27">
        <v>5734</v>
      </c>
      <c r="L36" s="27">
        <v>7920</v>
      </c>
    </row>
    <row r="37" spans="1:12" hidden="1" outlineLevel="1" x14ac:dyDescent="0.2">
      <c r="B37" s="9" t="s">
        <v>133</v>
      </c>
      <c r="C37" s="27">
        <v>32</v>
      </c>
      <c r="D37" s="27">
        <v>33</v>
      </c>
      <c r="E37" s="27">
        <v>34</v>
      </c>
      <c r="F37" s="27">
        <v>20</v>
      </c>
      <c r="G37" s="27">
        <v>10</v>
      </c>
      <c r="H37" s="27">
        <v>2</v>
      </c>
      <c r="I37" s="27">
        <v>2</v>
      </c>
      <c r="J37" s="27">
        <v>9</v>
      </c>
      <c r="K37" s="27">
        <v>113</v>
      </c>
      <c r="L37" s="27">
        <v>0</v>
      </c>
    </row>
    <row r="38" spans="1:12" hidden="1" outlineLevel="1" x14ac:dyDescent="0.2">
      <c r="B38" s="9" t="s">
        <v>134</v>
      </c>
      <c r="C38" s="27">
        <v>63</v>
      </c>
      <c r="D38" s="27">
        <v>77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</row>
    <row r="39" spans="1:12" hidden="1" outlineLevel="1" x14ac:dyDescent="0.2">
      <c r="B39" s="9" t="s">
        <v>30</v>
      </c>
      <c r="C39" s="27">
        <v>109</v>
      </c>
      <c r="D39" s="27">
        <v>188</v>
      </c>
      <c r="E39" s="27">
        <v>270</v>
      </c>
      <c r="F39" s="27">
        <v>233</v>
      </c>
      <c r="G39" s="27">
        <v>378</v>
      </c>
      <c r="H39" s="27">
        <v>312</v>
      </c>
      <c r="I39" s="27">
        <v>1265</v>
      </c>
      <c r="J39" s="27">
        <v>1259</v>
      </c>
      <c r="K39" s="27">
        <v>1878</v>
      </c>
      <c r="L39" s="27">
        <v>2160</v>
      </c>
    </row>
    <row r="40" spans="1:12" s="56" customFormat="1" hidden="1" outlineLevel="1" x14ac:dyDescent="0.2">
      <c r="A40" s="7"/>
      <c r="B40" s="11" t="s">
        <v>31</v>
      </c>
      <c r="C40" s="59">
        <v>2530</v>
      </c>
      <c r="D40" s="59">
        <v>2622</v>
      </c>
      <c r="E40" s="59">
        <v>3540</v>
      </c>
      <c r="F40" s="59">
        <v>4597</v>
      </c>
      <c r="G40" s="59">
        <v>6143</v>
      </c>
      <c r="H40" s="59">
        <v>8583</v>
      </c>
      <c r="I40" s="59">
        <v>15019</v>
      </c>
      <c r="J40" s="59">
        <v>16768</v>
      </c>
      <c r="K40" s="59">
        <v>19049</v>
      </c>
      <c r="L40" s="59">
        <v>26947</v>
      </c>
    </row>
    <row r="41" spans="1:12" hidden="1" outlineLevel="1" x14ac:dyDescent="0.2">
      <c r="B41" s="9" t="s">
        <v>33</v>
      </c>
      <c r="C41" s="27">
        <v>164</v>
      </c>
      <c r="D41" s="27">
        <v>261</v>
      </c>
      <c r="E41" s="27">
        <v>348</v>
      </c>
      <c r="F41" s="27">
        <v>500</v>
      </c>
      <c r="G41" s="27">
        <v>641</v>
      </c>
      <c r="H41" s="27">
        <v>702</v>
      </c>
      <c r="I41" s="27">
        <v>1513</v>
      </c>
      <c r="J41" s="27">
        <v>1589</v>
      </c>
      <c r="K41" s="27">
        <v>1802</v>
      </c>
      <c r="L41" s="27">
        <v>2312</v>
      </c>
    </row>
    <row r="42" spans="1:12" hidden="1" outlineLevel="1" x14ac:dyDescent="0.2">
      <c r="B42" s="9" t="s">
        <v>141</v>
      </c>
      <c r="C42" s="27">
        <v>0</v>
      </c>
      <c r="D42" s="27">
        <v>0</v>
      </c>
      <c r="E42" s="27">
        <v>0</v>
      </c>
      <c r="F42" s="27">
        <v>205</v>
      </c>
      <c r="G42" s="27">
        <v>208</v>
      </c>
      <c r="H42" s="27">
        <v>367</v>
      </c>
      <c r="I42" s="27">
        <v>460</v>
      </c>
      <c r="J42" s="27">
        <v>633</v>
      </c>
      <c r="K42" s="27">
        <v>623</v>
      </c>
      <c r="L42" s="27">
        <v>0</v>
      </c>
    </row>
    <row r="43" spans="1:12" hidden="1" outlineLevel="1" x14ac:dyDescent="0.2">
      <c r="B43" s="9" t="s">
        <v>34</v>
      </c>
      <c r="C43" s="27">
        <v>289</v>
      </c>
      <c r="D43" s="27">
        <v>289</v>
      </c>
      <c r="E43" s="27">
        <v>289</v>
      </c>
      <c r="F43" s="27">
        <v>289</v>
      </c>
      <c r="G43" s="27">
        <v>289</v>
      </c>
      <c r="H43" s="27">
        <v>289</v>
      </c>
      <c r="I43" s="27">
        <v>24177</v>
      </c>
      <c r="J43" s="27">
        <v>24262</v>
      </c>
      <c r="K43" s="27">
        <v>24839</v>
      </c>
      <c r="L43" s="27">
        <v>25126</v>
      </c>
    </row>
    <row r="44" spans="1:12" hidden="1" outlineLevel="1" x14ac:dyDescent="0.2">
      <c r="B44" s="9" t="s">
        <v>143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24118</v>
      </c>
      <c r="J44" s="27">
        <v>21363</v>
      </c>
      <c r="K44" s="27">
        <v>18930</v>
      </c>
      <c r="L44" s="27">
        <v>16705</v>
      </c>
    </row>
    <row r="45" spans="1:12" hidden="1" outlineLevel="1" x14ac:dyDescent="0.2">
      <c r="B45" s="9" t="s">
        <v>135</v>
      </c>
      <c r="C45" s="27">
        <v>59</v>
      </c>
      <c r="D45" s="27">
        <v>58</v>
      </c>
      <c r="E45" s="27">
        <v>58</v>
      </c>
      <c r="F45" s="27">
        <v>58</v>
      </c>
      <c r="G45" s="27">
        <v>63</v>
      </c>
      <c r="H45" s="27">
        <v>69</v>
      </c>
      <c r="I45" s="27">
        <v>83</v>
      </c>
      <c r="J45" s="27">
        <v>99</v>
      </c>
      <c r="K45" s="27">
        <v>149</v>
      </c>
      <c r="L45" s="27">
        <v>0</v>
      </c>
    </row>
    <row r="46" spans="1:12" hidden="1" outlineLevel="1" x14ac:dyDescent="0.2">
      <c r="B46" s="9" t="s">
        <v>32</v>
      </c>
      <c r="C46" s="27">
        <v>0</v>
      </c>
      <c r="D46" s="27">
        <v>0</v>
      </c>
      <c r="E46" s="27">
        <v>0</v>
      </c>
      <c r="F46" s="27">
        <v>0</v>
      </c>
      <c r="G46" s="27">
        <v>1245</v>
      </c>
      <c r="H46" s="27">
        <v>931</v>
      </c>
      <c r="I46" s="27">
        <v>58</v>
      </c>
      <c r="J46" s="27">
        <v>366</v>
      </c>
      <c r="K46" s="27">
        <v>688</v>
      </c>
      <c r="L46" s="27">
        <v>384</v>
      </c>
    </row>
    <row r="47" spans="1:12" hidden="1" outlineLevel="1" x14ac:dyDescent="0.2">
      <c r="B47" s="9" t="s">
        <v>35</v>
      </c>
      <c r="C47" s="27">
        <v>279</v>
      </c>
      <c r="D47" s="27">
        <v>310</v>
      </c>
      <c r="E47" s="27">
        <v>321</v>
      </c>
      <c r="F47" s="27">
        <v>379</v>
      </c>
      <c r="G47" s="27">
        <v>373</v>
      </c>
      <c r="H47" s="27">
        <v>1478</v>
      </c>
      <c r="I47" s="27">
        <v>2152</v>
      </c>
      <c r="J47" s="27">
        <v>2805</v>
      </c>
      <c r="K47" s="27">
        <v>3146</v>
      </c>
      <c r="L47" s="27">
        <v>5452</v>
      </c>
    </row>
    <row r="48" spans="1:12" s="56" customFormat="1" hidden="1" outlineLevel="1" x14ac:dyDescent="0.2">
      <c r="A48" s="7"/>
      <c r="B48" s="11" t="s">
        <v>36</v>
      </c>
      <c r="C48" s="60">
        <f t="shared" ref="C48:L48" si="3">SUM(C41:C47)</f>
        <v>791</v>
      </c>
      <c r="D48" s="60">
        <f t="shared" si="3"/>
        <v>918</v>
      </c>
      <c r="E48" s="60">
        <f t="shared" si="3"/>
        <v>1016</v>
      </c>
      <c r="F48" s="60">
        <f t="shared" si="3"/>
        <v>1431</v>
      </c>
      <c r="G48" s="60">
        <f t="shared" si="3"/>
        <v>2819</v>
      </c>
      <c r="H48" s="60">
        <f t="shared" si="3"/>
        <v>3836</v>
      </c>
      <c r="I48" s="60">
        <f t="shared" si="3"/>
        <v>52561</v>
      </c>
      <c r="J48" s="60">
        <f t="shared" si="3"/>
        <v>51117</v>
      </c>
      <c r="K48" s="60">
        <f t="shared" si="3"/>
        <v>50177</v>
      </c>
      <c r="L48" s="60">
        <f t="shared" si="3"/>
        <v>49979</v>
      </c>
    </row>
    <row r="49" spans="1:12" s="57" customFormat="1" hidden="1" outlineLevel="1" x14ac:dyDescent="0.2">
      <c r="A49" s="7"/>
      <c r="B49" s="17" t="s">
        <v>37</v>
      </c>
      <c r="C49" s="55">
        <v>3321</v>
      </c>
      <c r="D49" s="55">
        <v>3540</v>
      </c>
      <c r="E49" s="55">
        <v>4556</v>
      </c>
      <c r="F49" s="55">
        <v>6028</v>
      </c>
      <c r="G49" s="55">
        <v>8962</v>
      </c>
      <c r="H49" s="55">
        <v>12419</v>
      </c>
      <c r="I49" s="55">
        <v>67580</v>
      </c>
      <c r="J49" s="55">
        <v>67885</v>
      </c>
      <c r="K49" s="55">
        <v>69226</v>
      </c>
      <c r="L49" s="55">
        <v>76926</v>
      </c>
    </row>
    <row r="50" spans="1:12" hidden="1" outlineLevel="1" x14ac:dyDescent="0.2">
      <c r="B50" s="9" t="s">
        <v>39</v>
      </c>
      <c r="C50" s="27">
        <v>0</v>
      </c>
      <c r="D50" s="27">
        <v>70</v>
      </c>
      <c r="E50" s="27">
        <v>136</v>
      </c>
      <c r="F50" s="27">
        <v>0</v>
      </c>
      <c r="G50" s="27">
        <v>0</v>
      </c>
      <c r="H50" s="27">
        <v>312</v>
      </c>
      <c r="I50" s="27">
        <v>0</v>
      </c>
      <c r="J50" s="27">
        <v>751</v>
      </c>
      <c r="K50" s="27">
        <v>0</v>
      </c>
      <c r="L50" s="27">
        <v>874</v>
      </c>
    </row>
    <row r="51" spans="1:12" hidden="1" outlineLevel="1" x14ac:dyDescent="0.2">
      <c r="B51" s="9" t="s">
        <v>38</v>
      </c>
      <c r="C51" s="27">
        <v>440</v>
      </c>
      <c r="D51" s="27">
        <v>384</v>
      </c>
      <c r="E51" s="27">
        <v>834</v>
      </c>
      <c r="F51" s="27">
        <v>988</v>
      </c>
      <c r="G51" s="27">
        <v>468</v>
      </c>
      <c r="H51" s="27">
        <v>1321</v>
      </c>
      <c r="I51" s="27">
        <v>2493</v>
      </c>
      <c r="J51" s="27">
        <v>2055</v>
      </c>
      <c r="K51" s="27">
        <v>1990</v>
      </c>
      <c r="L51" s="27">
        <v>2929</v>
      </c>
    </row>
    <row r="52" spans="1:12" hidden="1" outlineLevel="1" x14ac:dyDescent="0.2">
      <c r="B52" s="9" t="s">
        <v>136</v>
      </c>
      <c r="C52" s="27">
        <v>383</v>
      </c>
      <c r="D52" s="27">
        <v>412</v>
      </c>
      <c r="E52" s="27">
        <v>207</v>
      </c>
      <c r="F52" s="27">
        <v>213</v>
      </c>
      <c r="G52" s="27">
        <v>78</v>
      </c>
      <c r="H52" s="27">
        <v>85</v>
      </c>
      <c r="I52" s="27">
        <v>463</v>
      </c>
      <c r="J52" s="27">
        <v>363</v>
      </c>
      <c r="K52" s="27">
        <v>476</v>
      </c>
      <c r="L52" s="27">
        <v>0</v>
      </c>
    </row>
    <row r="53" spans="1:12" hidden="1" outlineLevel="1" x14ac:dyDescent="0.2">
      <c r="B53" s="9" t="s">
        <v>137</v>
      </c>
      <c r="C53" s="27">
        <v>391</v>
      </c>
      <c r="D53" s="27">
        <v>541</v>
      </c>
      <c r="E53" s="27">
        <v>783</v>
      </c>
      <c r="F53" s="27">
        <v>1084</v>
      </c>
      <c r="G53" s="27">
        <v>1796</v>
      </c>
      <c r="H53" s="27">
        <v>2424</v>
      </c>
      <c r="I53" s="27">
        <v>3077</v>
      </c>
      <c r="J53" s="27">
        <v>3082</v>
      </c>
      <c r="K53" s="27">
        <v>4260</v>
      </c>
      <c r="L53" s="27">
        <v>5250</v>
      </c>
    </row>
    <row r="54" spans="1:12" hidden="1" outlineLevel="1" x14ac:dyDescent="0.2">
      <c r="B54" s="9" t="s">
        <v>40</v>
      </c>
      <c r="C54" s="27">
        <v>69</v>
      </c>
      <c r="D54" s="27">
        <v>57</v>
      </c>
      <c r="E54" s="27">
        <v>24</v>
      </c>
      <c r="F54" s="27">
        <v>74</v>
      </c>
      <c r="G54" s="27">
        <v>75</v>
      </c>
      <c r="H54" s="27">
        <v>98</v>
      </c>
      <c r="I54" s="27">
        <v>336</v>
      </c>
      <c r="J54" s="27">
        <v>438</v>
      </c>
      <c r="K54" s="27">
        <v>555</v>
      </c>
      <c r="L54" s="27">
        <v>402</v>
      </c>
    </row>
    <row r="55" spans="1:12" hidden="1" outlineLevel="1" x14ac:dyDescent="0.2">
      <c r="B55" s="9" t="s">
        <v>138</v>
      </c>
      <c r="C55" s="27">
        <v>63</v>
      </c>
      <c r="D55" s="27">
        <v>22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</row>
    <row r="56" spans="1:12" s="56" customFormat="1" hidden="1" outlineLevel="1" x14ac:dyDescent="0.2">
      <c r="A56" s="7"/>
      <c r="B56" s="11" t="s">
        <v>45</v>
      </c>
      <c r="C56" s="59">
        <v>1346</v>
      </c>
      <c r="D56" s="59">
        <v>1486</v>
      </c>
      <c r="E56" s="59">
        <v>1984</v>
      </c>
      <c r="F56" s="59">
        <v>2359</v>
      </c>
      <c r="G56" s="59">
        <v>2417</v>
      </c>
      <c r="H56" s="59">
        <v>4240</v>
      </c>
      <c r="I56" s="59">
        <v>6369</v>
      </c>
      <c r="J56" s="59">
        <v>6689</v>
      </c>
      <c r="K56" s="59">
        <v>7281</v>
      </c>
      <c r="L56" s="59">
        <v>9455</v>
      </c>
    </row>
    <row r="57" spans="1:12" hidden="1" outlineLevel="1" x14ac:dyDescent="0.2">
      <c r="B57" s="9" t="s">
        <v>41</v>
      </c>
      <c r="C57" s="27">
        <v>1435</v>
      </c>
      <c r="D57" s="27">
        <v>1325</v>
      </c>
      <c r="E57" s="27">
        <v>1114</v>
      </c>
      <c r="F57" s="27">
        <v>486</v>
      </c>
      <c r="G57" s="27">
        <v>330</v>
      </c>
      <c r="H57" s="27">
        <v>1</v>
      </c>
      <c r="I57" s="27">
        <v>2467</v>
      </c>
      <c r="J57" s="27">
        <v>1717</v>
      </c>
      <c r="K57" s="27">
        <v>1721</v>
      </c>
      <c r="L57" s="27">
        <v>2348</v>
      </c>
    </row>
    <row r="58" spans="1:12" hidden="1" outlineLevel="1" x14ac:dyDescent="0.2">
      <c r="B58" s="9" t="s">
        <v>142</v>
      </c>
      <c r="C58" s="27">
        <v>0</v>
      </c>
      <c r="D58" s="27">
        <v>0</v>
      </c>
      <c r="E58" s="27">
        <v>0</v>
      </c>
      <c r="F58" s="27">
        <v>199</v>
      </c>
      <c r="G58" s="27">
        <v>201</v>
      </c>
      <c r="H58" s="27">
        <v>348</v>
      </c>
      <c r="I58" s="27">
        <v>396</v>
      </c>
      <c r="J58" s="27">
        <v>535</v>
      </c>
      <c r="K58" s="27">
        <v>491</v>
      </c>
      <c r="L58" s="27">
        <v>625</v>
      </c>
    </row>
    <row r="59" spans="1:12" hidden="1" outlineLevel="1" x14ac:dyDescent="0.2">
      <c r="B59" s="9" t="s">
        <v>144</v>
      </c>
      <c r="C59" s="27">
        <v>0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  <c r="I59" s="27">
        <v>1934</v>
      </c>
      <c r="J59" s="27">
        <v>1202</v>
      </c>
      <c r="K59" s="27">
        <v>349</v>
      </c>
      <c r="L59" s="27">
        <v>313</v>
      </c>
    </row>
    <row r="60" spans="1:12" hidden="1" outlineLevel="1" x14ac:dyDescent="0.2">
      <c r="B60" s="9" t="s">
        <v>42</v>
      </c>
      <c r="C60" s="27">
        <v>124</v>
      </c>
      <c r="D60" s="27">
        <v>118</v>
      </c>
      <c r="E60" s="27">
        <v>192</v>
      </c>
      <c r="F60" s="27">
        <v>157</v>
      </c>
      <c r="G60" s="27">
        <v>177</v>
      </c>
      <c r="H60" s="27">
        <v>333</v>
      </c>
      <c r="I60" s="27">
        <v>1664</v>
      </c>
      <c r="J60" s="27">
        <v>1850</v>
      </c>
      <c r="K60" s="27">
        <v>1816</v>
      </c>
      <c r="L60" s="27">
        <v>1186</v>
      </c>
    </row>
    <row r="61" spans="1:12" s="56" customFormat="1" hidden="1" outlineLevel="1" x14ac:dyDescent="0.2">
      <c r="A61" s="7"/>
      <c r="B61" s="11" t="s">
        <v>43</v>
      </c>
      <c r="C61" s="60">
        <f t="shared" ref="C61:L61" si="4">SUM(C57:C60)</f>
        <v>1559</v>
      </c>
      <c r="D61" s="60">
        <f t="shared" si="4"/>
        <v>1443</v>
      </c>
      <c r="E61" s="60">
        <f t="shared" si="4"/>
        <v>1306</v>
      </c>
      <c r="F61" s="60">
        <f t="shared" si="4"/>
        <v>842</v>
      </c>
      <c r="G61" s="60">
        <f t="shared" si="4"/>
        <v>708</v>
      </c>
      <c r="H61" s="60">
        <f t="shared" si="4"/>
        <v>682</v>
      </c>
      <c r="I61" s="60">
        <f t="shared" si="4"/>
        <v>6461</v>
      </c>
      <c r="J61" s="60">
        <f t="shared" si="4"/>
        <v>5304</v>
      </c>
      <c r="K61" s="60">
        <f t="shared" si="4"/>
        <v>4377</v>
      </c>
      <c r="L61" s="60">
        <f t="shared" si="4"/>
        <v>4472</v>
      </c>
    </row>
    <row r="62" spans="1:12" s="57" customFormat="1" hidden="1" outlineLevel="1" x14ac:dyDescent="0.2">
      <c r="A62" s="7"/>
      <c r="B62" s="17" t="s">
        <v>44</v>
      </c>
      <c r="C62" s="58">
        <f>C56+C61</f>
        <v>2905</v>
      </c>
      <c r="D62" s="58">
        <f t="shared" ref="D62:L62" si="5">D56+D61</f>
        <v>2929</v>
      </c>
      <c r="E62" s="58">
        <f t="shared" si="5"/>
        <v>3290</v>
      </c>
      <c r="F62" s="58">
        <f t="shared" si="5"/>
        <v>3201</v>
      </c>
      <c r="G62" s="58">
        <f t="shared" si="5"/>
        <v>3125</v>
      </c>
      <c r="H62" s="58">
        <f t="shared" si="5"/>
        <v>4922</v>
      </c>
      <c r="I62" s="58">
        <f t="shared" si="5"/>
        <v>12830</v>
      </c>
      <c r="J62" s="58">
        <f t="shared" si="5"/>
        <v>11993</v>
      </c>
      <c r="K62" s="58">
        <f t="shared" si="5"/>
        <v>11658</v>
      </c>
      <c r="L62" s="58">
        <f t="shared" si="5"/>
        <v>13927</v>
      </c>
    </row>
    <row r="63" spans="1:12" hidden="1" outlineLevel="1" x14ac:dyDescent="0.2">
      <c r="B63" s="9" t="s">
        <v>46</v>
      </c>
      <c r="C63" s="27">
        <v>9</v>
      </c>
      <c r="D63" s="27">
        <v>9</v>
      </c>
      <c r="E63" s="27">
        <v>10</v>
      </c>
      <c r="F63" s="27">
        <v>12</v>
      </c>
      <c r="G63" s="27">
        <v>12</v>
      </c>
      <c r="H63" s="27">
        <v>12</v>
      </c>
      <c r="I63" s="27">
        <v>16</v>
      </c>
      <c r="J63" s="27">
        <v>17</v>
      </c>
      <c r="K63" s="27">
        <v>17</v>
      </c>
      <c r="L63" s="27">
        <v>17</v>
      </c>
    </row>
    <row r="64" spans="1:12" hidden="1" outlineLevel="1" x14ac:dyDescent="0.2">
      <c r="B64" s="9" t="s">
        <v>139</v>
      </c>
      <c r="C64" s="27">
        <v>8334</v>
      </c>
      <c r="D64" s="27">
        <v>8464</v>
      </c>
      <c r="E64" s="27">
        <v>8750</v>
      </c>
      <c r="F64" s="27">
        <v>9963</v>
      </c>
      <c r="G64" s="27">
        <v>10544</v>
      </c>
      <c r="H64" s="27">
        <v>11069</v>
      </c>
      <c r="I64" s="27">
        <v>58005</v>
      </c>
      <c r="J64" s="27">
        <v>59676</v>
      </c>
      <c r="K64" s="27">
        <v>61362</v>
      </c>
      <c r="L64" s="27">
        <v>63365</v>
      </c>
    </row>
    <row r="65" spans="1:12" hidden="1" outlineLevel="1" x14ac:dyDescent="0.2">
      <c r="B65" s="9" t="s">
        <v>140</v>
      </c>
      <c r="C65" s="27">
        <v>-119</v>
      </c>
      <c r="D65" s="27">
        <v>-108</v>
      </c>
      <c r="E65" s="27">
        <v>-50</v>
      </c>
      <c r="F65" s="27">
        <v>-53</v>
      </c>
      <c r="G65" s="27">
        <v>-131</v>
      </c>
      <c r="H65" s="27">
        <v>-2130</v>
      </c>
      <c r="I65" s="27">
        <v>-3099</v>
      </c>
      <c r="J65" s="27">
        <v>-4514</v>
      </c>
      <c r="K65" s="27">
        <v>-6106</v>
      </c>
      <c r="L65" s="27">
        <v>-7079</v>
      </c>
    </row>
    <row r="66" spans="1:12" hidden="1" outlineLevel="1" x14ac:dyDescent="0.2">
      <c r="B66" s="9" t="s">
        <v>47</v>
      </c>
      <c r="C66" s="27">
        <v>-7803</v>
      </c>
      <c r="D66" s="27">
        <v>-7760</v>
      </c>
      <c r="E66" s="27">
        <v>-7436</v>
      </c>
      <c r="F66" s="27">
        <v>-7095</v>
      </c>
      <c r="G66" s="27">
        <v>-4605</v>
      </c>
      <c r="H66" s="27">
        <v>-1451</v>
      </c>
      <c r="I66" s="27">
        <v>-131</v>
      </c>
      <c r="J66" s="27">
        <v>723</v>
      </c>
      <c r="K66" s="27">
        <v>2364</v>
      </c>
      <c r="L66" s="27">
        <v>6699</v>
      </c>
    </row>
    <row r="67" spans="1:12" hidden="1" outlineLevel="1" x14ac:dyDescent="0.2">
      <c r="B67" s="9" t="s">
        <v>48</v>
      </c>
      <c r="C67" s="27">
        <v>-5</v>
      </c>
      <c r="D67" s="27">
        <v>6</v>
      </c>
      <c r="E67" s="27">
        <v>-8</v>
      </c>
      <c r="F67" s="27">
        <v>0</v>
      </c>
      <c r="G67" s="27">
        <v>17</v>
      </c>
      <c r="H67" s="27">
        <v>-3</v>
      </c>
      <c r="I67" s="27">
        <v>-41</v>
      </c>
      <c r="J67" s="27">
        <v>-10</v>
      </c>
      <c r="K67" s="27">
        <v>-69</v>
      </c>
      <c r="L67" s="27">
        <v>-3</v>
      </c>
    </row>
    <row r="68" spans="1:12" s="56" customFormat="1" hidden="1" outlineLevel="1" x14ac:dyDescent="0.2">
      <c r="A68" s="7"/>
      <c r="B68" s="11" t="s">
        <v>49</v>
      </c>
      <c r="C68" s="59">
        <v>416</v>
      </c>
      <c r="D68" s="59">
        <v>611</v>
      </c>
      <c r="E68" s="59">
        <v>1266</v>
      </c>
      <c r="F68" s="59">
        <v>2827</v>
      </c>
      <c r="G68" s="59">
        <v>5837</v>
      </c>
      <c r="H68" s="59">
        <v>7497</v>
      </c>
      <c r="I68" s="59">
        <v>54750</v>
      </c>
      <c r="J68" s="59">
        <v>55892</v>
      </c>
      <c r="K68" s="59">
        <v>57568</v>
      </c>
      <c r="L68" s="59">
        <v>62999</v>
      </c>
    </row>
    <row r="69" spans="1:12" hidden="1" outlineLevel="1" x14ac:dyDescent="0.2">
      <c r="B69" s="9" t="s">
        <v>19</v>
      </c>
      <c r="C69" s="27">
        <v>0</v>
      </c>
      <c r="D69" s="27">
        <v>0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</row>
    <row r="70" spans="1:12" s="8" customFormat="1" hidden="1" outlineLevel="1" x14ac:dyDescent="0.2">
      <c r="B70" s="12" t="s">
        <v>50</v>
      </c>
      <c r="C70" s="27">
        <v>416</v>
      </c>
      <c r="D70" s="27">
        <v>611</v>
      </c>
      <c r="E70" s="27">
        <v>1266</v>
      </c>
      <c r="F70" s="27">
        <v>2827</v>
      </c>
      <c r="G70" s="27">
        <v>5837</v>
      </c>
      <c r="H70" s="27">
        <v>7497</v>
      </c>
      <c r="I70" s="27">
        <v>54750</v>
      </c>
      <c r="J70" s="27">
        <v>55892</v>
      </c>
      <c r="K70" s="27">
        <v>57568</v>
      </c>
      <c r="L70" s="27">
        <v>62999</v>
      </c>
    </row>
    <row r="71" spans="1:12" s="61" customFormat="1" ht="17" hidden="1" outlineLevel="1" thickBot="1" x14ac:dyDescent="0.25">
      <c r="A71" s="7"/>
      <c r="B71" s="19" t="s">
        <v>51</v>
      </c>
      <c r="C71" s="62">
        <v>3321</v>
      </c>
      <c r="D71" s="62">
        <v>3540</v>
      </c>
      <c r="E71" s="62">
        <v>4556</v>
      </c>
      <c r="F71" s="62">
        <v>6028</v>
      </c>
      <c r="G71" s="62">
        <v>8962</v>
      </c>
      <c r="H71" s="62">
        <v>12419</v>
      </c>
      <c r="I71" s="62">
        <v>67580</v>
      </c>
      <c r="J71" s="62">
        <v>67885</v>
      </c>
      <c r="K71" s="62">
        <v>69226</v>
      </c>
      <c r="L71" s="62">
        <v>76926</v>
      </c>
    </row>
    <row r="72" spans="1:12" collapsed="1" x14ac:dyDescent="0.2">
      <c r="B72" s="1"/>
    </row>
    <row r="73" spans="1:12" s="14" customFormat="1" ht="17" thickBot="1" x14ac:dyDescent="0.25">
      <c r="A73" s="4"/>
      <c r="B73" s="15" t="s">
        <v>54</v>
      </c>
    </row>
    <row r="74" spans="1:12" hidden="1" outlineLevel="1" x14ac:dyDescent="0.2">
      <c r="B74" s="9" t="s">
        <v>18</v>
      </c>
      <c r="C74" s="20">
        <f t="shared" ref="C74:L74" si="6">C22</f>
        <v>-498</v>
      </c>
      <c r="D74" s="20">
        <f t="shared" si="6"/>
        <v>-33</v>
      </c>
      <c r="E74" s="20">
        <f t="shared" si="6"/>
        <v>337</v>
      </c>
      <c r="F74" s="20">
        <f t="shared" si="6"/>
        <v>341</v>
      </c>
      <c r="G74" s="20">
        <f t="shared" si="6"/>
        <v>2490</v>
      </c>
      <c r="H74" s="20">
        <f t="shared" si="6"/>
        <v>3162</v>
      </c>
      <c r="I74" s="20">
        <f t="shared" si="6"/>
        <v>1320</v>
      </c>
      <c r="J74" s="20">
        <f t="shared" si="6"/>
        <v>854</v>
      </c>
      <c r="K74" s="20">
        <f t="shared" si="6"/>
        <v>1641</v>
      </c>
      <c r="L74" s="20">
        <f t="shared" si="6"/>
        <v>4269</v>
      </c>
    </row>
    <row r="75" spans="1:12" hidden="1" outlineLevel="1" x14ac:dyDescent="0.2">
      <c r="B75" s="9" t="s">
        <v>145</v>
      </c>
      <c r="C75" s="27">
        <v>-146</v>
      </c>
      <c r="D75" s="27">
        <v>-3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</row>
    <row r="76" spans="1:12" hidden="1" outlineLevel="1" x14ac:dyDescent="0.2">
      <c r="B76" s="9" t="s">
        <v>146</v>
      </c>
      <c r="C76" s="27">
        <v>1</v>
      </c>
      <c r="D76" s="27">
        <v>0</v>
      </c>
      <c r="E76" s="27">
        <v>27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</row>
    <row r="77" spans="1:12" hidden="1" outlineLevel="1" x14ac:dyDescent="0.2">
      <c r="B77" s="12" t="s">
        <v>147</v>
      </c>
      <c r="C77" s="27">
        <v>0</v>
      </c>
      <c r="D77" s="27">
        <v>0</v>
      </c>
      <c r="E77" s="27">
        <v>45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</row>
    <row r="78" spans="1:12" hidden="1" outlineLevel="1" x14ac:dyDescent="0.2">
      <c r="B78" s="9" t="s">
        <v>55</v>
      </c>
      <c r="C78" s="27">
        <v>133</v>
      </c>
      <c r="D78" s="27">
        <v>144</v>
      </c>
      <c r="E78" s="27">
        <v>170</v>
      </c>
      <c r="F78" s="27">
        <v>222</v>
      </c>
      <c r="G78" s="27">
        <v>312</v>
      </c>
      <c r="H78" s="27">
        <v>407</v>
      </c>
      <c r="I78" s="27">
        <v>626</v>
      </c>
      <c r="J78" s="27">
        <v>642</v>
      </c>
      <c r="K78" s="27">
        <v>671</v>
      </c>
      <c r="L78" s="27">
        <v>750</v>
      </c>
    </row>
    <row r="79" spans="1:12" hidden="1" outlineLevel="1" x14ac:dyDescent="0.2">
      <c r="B79" s="9" t="s">
        <v>131</v>
      </c>
      <c r="C79" s="27">
        <v>0</v>
      </c>
      <c r="D79" s="27">
        <v>0</v>
      </c>
      <c r="E79" s="27">
        <v>0</v>
      </c>
      <c r="F79" s="27">
        <v>0</v>
      </c>
      <c r="G79" s="27">
        <v>0</v>
      </c>
      <c r="H79" s="27">
        <v>0</v>
      </c>
      <c r="I79" s="27">
        <v>3548</v>
      </c>
      <c r="J79" s="27">
        <v>2811</v>
      </c>
      <c r="K79" s="27">
        <v>2393</v>
      </c>
      <c r="L79" s="27">
        <v>2254</v>
      </c>
    </row>
    <row r="80" spans="1:12" hidden="1" outlineLevel="1" x14ac:dyDescent="0.2">
      <c r="B80" s="9" t="s">
        <v>148</v>
      </c>
      <c r="C80" s="27">
        <v>11</v>
      </c>
      <c r="D80" s="27">
        <v>0</v>
      </c>
      <c r="E80" s="27">
        <v>-4</v>
      </c>
      <c r="F80" s="27">
        <v>-7</v>
      </c>
      <c r="G80" s="27">
        <v>-1223</v>
      </c>
      <c r="H80" s="27">
        <v>308</v>
      </c>
      <c r="I80" s="27">
        <v>-1505</v>
      </c>
      <c r="J80" s="27">
        <v>-1019</v>
      </c>
      <c r="K80" s="27">
        <v>-1163</v>
      </c>
      <c r="L80" s="27">
        <v>248</v>
      </c>
    </row>
    <row r="81" spans="2:12" hidden="1" outlineLevel="1" x14ac:dyDescent="0.2">
      <c r="B81" s="9" t="s">
        <v>149</v>
      </c>
      <c r="C81" s="27">
        <v>86</v>
      </c>
      <c r="D81" s="27">
        <v>97</v>
      </c>
      <c r="E81" s="27">
        <v>137</v>
      </c>
      <c r="F81" s="27">
        <v>197</v>
      </c>
      <c r="G81" s="27">
        <v>274</v>
      </c>
      <c r="H81" s="27">
        <v>379</v>
      </c>
      <c r="I81" s="27">
        <v>1081</v>
      </c>
      <c r="J81" s="27">
        <v>1384</v>
      </c>
      <c r="K81" s="27">
        <v>1407</v>
      </c>
      <c r="L81" s="27">
        <v>1638</v>
      </c>
    </row>
    <row r="82" spans="2:12" hidden="1" outlineLevel="1" x14ac:dyDescent="0.2">
      <c r="B82" s="9" t="s">
        <v>150</v>
      </c>
      <c r="C82" s="27">
        <v>21</v>
      </c>
      <c r="D82" s="27">
        <v>36</v>
      </c>
      <c r="E82" s="27">
        <v>38</v>
      </c>
      <c r="F82" s="27">
        <v>30</v>
      </c>
      <c r="G82" s="27">
        <v>14</v>
      </c>
      <c r="H82" s="27">
        <v>5</v>
      </c>
      <c r="I82" s="27">
        <v>0</v>
      </c>
      <c r="J82" s="27">
        <v>0</v>
      </c>
      <c r="K82" s="27">
        <v>0</v>
      </c>
      <c r="L82" s="27">
        <v>0</v>
      </c>
    </row>
    <row r="83" spans="2:12" hidden="1" outlineLevel="1" x14ac:dyDescent="0.2">
      <c r="B83" s="9" t="s">
        <v>159</v>
      </c>
      <c r="C83" s="27">
        <v>0</v>
      </c>
      <c r="D83" s="27">
        <v>0</v>
      </c>
      <c r="E83" s="27">
        <v>0</v>
      </c>
      <c r="F83" s="27">
        <v>36</v>
      </c>
      <c r="G83" s="27">
        <v>42</v>
      </c>
      <c r="H83" s="27">
        <v>56</v>
      </c>
      <c r="I83" s="27">
        <v>88</v>
      </c>
      <c r="J83" s="27">
        <v>98</v>
      </c>
      <c r="K83" s="27">
        <v>113</v>
      </c>
      <c r="L83" s="27">
        <v>0</v>
      </c>
    </row>
    <row r="84" spans="2:12" hidden="1" outlineLevel="1" x14ac:dyDescent="0.2">
      <c r="B84" s="9" t="s">
        <v>168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189</v>
      </c>
      <c r="J84" s="27">
        <v>3</v>
      </c>
      <c r="K84" s="27">
        <v>0</v>
      </c>
      <c r="L84" s="27">
        <v>0</v>
      </c>
    </row>
    <row r="85" spans="2:12" hidden="1" outlineLevel="1" x14ac:dyDescent="0.2">
      <c r="B85" s="9" t="s">
        <v>151</v>
      </c>
      <c r="C85" s="27">
        <v>68</v>
      </c>
      <c r="D85" s="27">
        <v>12</v>
      </c>
      <c r="E85" s="27">
        <v>12</v>
      </c>
      <c r="F85" s="27">
        <v>176</v>
      </c>
      <c r="G85" s="27">
        <v>54</v>
      </c>
      <c r="H85" s="27">
        <v>7</v>
      </c>
      <c r="I85" s="27">
        <v>0</v>
      </c>
      <c r="J85" s="27">
        <v>0</v>
      </c>
      <c r="K85" s="27">
        <v>0</v>
      </c>
      <c r="L85" s="27">
        <v>0</v>
      </c>
    </row>
    <row r="86" spans="2:12" hidden="1" outlineLevel="1" x14ac:dyDescent="0.2">
      <c r="B86" s="9" t="s">
        <v>160</v>
      </c>
      <c r="C86" s="27">
        <v>0</v>
      </c>
      <c r="D86" s="27">
        <v>0</v>
      </c>
      <c r="E86" s="27">
        <v>0</v>
      </c>
      <c r="F86" s="27">
        <v>42</v>
      </c>
      <c r="G86" s="27">
        <v>33</v>
      </c>
      <c r="H86" s="27">
        <v>34</v>
      </c>
      <c r="I86" s="27">
        <v>0</v>
      </c>
      <c r="J86" s="27">
        <v>0</v>
      </c>
      <c r="K86" s="27">
        <v>0</v>
      </c>
      <c r="L86" s="27">
        <v>0</v>
      </c>
    </row>
    <row r="87" spans="2:12" hidden="1" outlineLevel="1" x14ac:dyDescent="0.2">
      <c r="B87" s="9" t="s">
        <v>152</v>
      </c>
      <c r="C87" s="27">
        <v>240</v>
      </c>
      <c r="D87" s="27">
        <v>0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</row>
    <row r="88" spans="2:12" hidden="1" outlineLevel="1" x14ac:dyDescent="0.2">
      <c r="B88" s="9" t="s">
        <v>192</v>
      </c>
      <c r="C88" s="27">
        <v>0</v>
      </c>
      <c r="D88" s="27">
        <v>0</v>
      </c>
      <c r="E88" s="27">
        <v>0</v>
      </c>
      <c r="F88" s="27">
        <v>-1</v>
      </c>
      <c r="G88" s="27">
        <v>-2</v>
      </c>
      <c r="H88" s="27">
        <v>-56</v>
      </c>
      <c r="I88" s="27">
        <v>0</v>
      </c>
      <c r="J88" s="27">
        <v>0</v>
      </c>
      <c r="K88" s="27">
        <v>0</v>
      </c>
      <c r="L88" s="27">
        <v>-341</v>
      </c>
    </row>
    <row r="89" spans="2:12" hidden="1" outlineLevel="1" x14ac:dyDescent="0.2">
      <c r="B89" s="9" t="s">
        <v>169</v>
      </c>
      <c r="C89" s="27">
        <v>0</v>
      </c>
      <c r="D89" s="27">
        <v>0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65</v>
      </c>
      <c r="L89" s="27">
        <v>-67</v>
      </c>
    </row>
    <row r="90" spans="2:12" hidden="1" outlineLevel="1" x14ac:dyDescent="0.2">
      <c r="B90" s="9" t="s">
        <v>56</v>
      </c>
      <c r="C90" s="27">
        <v>-7</v>
      </c>
      <c r="D90" s="27">
        <v>3</v>
      </c>
      <c r="E90" s="27">
        <v>-1</v>
      </c>
      <c r="F90" s="27">
        <v>-1</v>
      </c>
      <c r="G90" s="27">
        <v>8</v>
      </c>
      <c r="H90" s="27">
        <v>-7</v>
      </c>
      <c r="I90" s="27">
        <v>64</v>
      </c>
      <c r="J90" s="27">
        <v>-57</v>
      </c>
      <c r="K90" s="27">
        <v>12</v>
      </c>
      <c r="L90" s="27">
        <v>120</v>
      </c>
    </row>
    <row r="91" spans="2:12" hidden="1" outlineLevel="1" x14ac:dyDescent="0.2">
      <c r="B91" s="9" t="s">
        <v>17</v>
      </c>
      <c r="C91" s="27">
        <v>0</v>
      </c>
      <c r="D91" s="27">
        <v>0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1216</v>
      </c>
    </row>
    <row r="92" spans="2:12" hidden="1" outlineLevel="1" x14ac:dyDescent="0.2">
      <c r="B92" s="9" t="s">
        <v>57</v>
      </c>
      <c r="C92" s="27">
        <v>178</v>
      </c>
      <c r="D92" s="27">
        <v>-103</v>
      </c>
      <c r="E92" s="27">
        <v>-806</v>
      </c>
      <c r="F92" s="27">
        <v>-623</v>
      </c>
      <c r="G92" s="27">
        <v>-219</v>
      </c>
      <c r="H92" s="27">
        <v>-640</v>
      </c>
      <c r="I92" s="27">
        <v>-278</v>
      </c>
      <c r="J92" s="27">
        <v>-1339</v>
      </c>
      <c r="K92" s="27">
        <v>-1865</v>
      </c>
      <c r="L92" s="27">
        <v>-121</v>
      </c>
    </row>
    <row r="93" spans="2:12" hidden="1" outlineLevel="1" x14ac:dyDescent="0.2">
      <c r="B93" s="9" t="s">
        <v>58</v>
      </c>
      <c r="C93" s="27">
        <v>-48</v>
      </c>
      <c r="D93" s="27">
        <v>-3</v>
      </c>
      <c r="E93" s="27">
        <v>-151</v>
      </c>
      <c r="F93" s="27">
        <v>-137</v>
      </c>
      <c r="G93" s="27">
        <v>-417</v>
      </c>
      <c r="H93" s="27">
        <v>-556</v>
      </c>
      <c r="I93" s="27">
        <v>-1401</v>
      </c>
      <c r="J93" s="27">
        <v>-580</v>
      </c>
      <c r="K93" s="27">
        <v>-1458</v>
      </c>
      <c r="L93" s="27">
        <v>-2189</v>
      </c>
    </row>
    <row r="94" spans="2:12" hidden="1" outlineLevel="1" x14ac:dyDescent="0.2">
      <c r="B94" s="9" t="s">
        <v>161</v>
      </c>
      <c r="C94" s="27">
        <v>1</v>
      </c>
      <c r="D94" s="27">
        <v>-1</v>
      </c>
      <c r="E94" s="27">
        <v>-19</v>
      </c>
      <c r="F94" s="27">
        <v>14</v>
      </c>
      <c r="G94" s="27">
        <v>10</v>
      </c>
      <c r="H94" s="27">
        <v>8</v>
      </c>
      <c r="I94" s="27">
        <v>366</v>
      </c>
      <c r="J94" s="27">
        <v>-107</v>
      </c>
      <c r="K94" s="27">
        <v>108</v>
      </c>
      <c r="L94" s="27">
        <v>0</v>
      </c>
    </row>
    <row r="95" spans="2:12" hidden="1" outlineLevel="1" x14ac:dyDescent="0.2">
      <c r="B95" s="9" t="s">
        <v>153</v>
      </c>
      <c r="C95" s="27">
        <v>-163</v>
      </c>
      <c r="D95" s="27">
        <v>-172</v>
      </c>
      <c r="E95" s="27">
        <v>-79</v>
      </c>
      <c r="F95" s="27">
        <v>-176</v>
      </c>
      <c r="G95" s="27">
        <v>-231</v>
      </c>
      <c r="H95" s="27">
        <v>-920</v>
      </c>
      <c r="I95" s="27">
        <v>-2010</v>
      </c>
      <c r="J95" s="27">
        <v>-383</v>
      </c>
      <c r="K95" s="27">
        <v>343</v>
      </c>
      <c r="L95" s="27">
        <v>-11</v>
      </c>
    </row>
    <row r="96" spans="2:12" hidden="1" outlineLevel="1" x14ac:dyDescent="0.2">
      <c r="B96" s="9" t="s">
        <v>154</v>
      </c>
      <c r="C96" s="27">
        <v>138</v>
      </c>
      <c r="D96" s="27">
        <v>29</v>
      </c>
      <c r="E96" s="27">
        <v>121</v>
      </c>
      <c r="F96" s="27">
        <v>7</v>
      </c>
      <c r="G96" s="27">
        <v>-135</v>
      </c>
      <c r="H96" s="27">
        <v>7</v>
      </c>
      <c r="I96" s="27">
        <v>0</v>
      </c>
      <c r="J96" s="27">
        <v>0</v>
      </c>
      <c r="K96" s="27">
        <v>0</v>
      </c>
      <c r="L96" s="27">
        <v>0</v>
      </c>
    </row>
    <row r="97" spans="1:12" hidden="1" outlineLevel="1" x14ac:dyDescent="0.2">
      <c r="B97" s="9" t="s">
        <v>162</v>
      </c>
      <c r="C97" s="27">
        <v>0</v>
      </c>
      <c r="D97" s="27">
        <v>0</v>
      </c>
      <c r="E97" s="27">
        <v>0</v>
      </c>
      <c r="F97" s="27">
        <v>220</v>
      </c>
      <c r="G97" s="27">
        <v>574</v>
      </c>
      <c r="H97" s="27">
        <v>526</v>
      </c>
      <c r="I97" s="27">
        <v>546</v>
      </c>
      <c r="J97" s="27">
        <v>-221</v>
      </c>
      <c r="K97" s="27">
        <v>883</v>
      </c>
      <c r="L97" s="27">
        <v>-467</v>
      </c>
    </row>
    <row r="98" spans="1:12" hidden="1" outlineLevel="1" x14ac:dyDescent="0.2">
      <c r="B98" s="9" t="s">
        <v>59</v>
      </c>
      <c r="C98" s="27">
        <v>66</v>
      </c>
      <c r="D98" s="27">
        <v>6</v>
      </c>
      <c r="E98" s="27">
        <v>207</v>
      </c>
      <c r="F98" s="27">
        <v>153</v>
      </c>
      <c r="G98" s="27">
        <v>-513</v>
      </c>
      <c r="H98" s="27">
        <v>801</v>
      </c>
      <c r="I98" s="27">
        <v>931</v>
      </c>
      <c r="J98" s="27">
        <v>-419</v>
      </c>
      <c r="K98" s="27">
        <v>-109</v>
      </c>
      <c r="L98" s="27">
        <v>410</v>
      </c>
    </row>
    <row r="99" spans="1:12" s="57" customFormat="1" hidden="1" outlineLevel="1" x14ac:dyDescent="0.2">
      <c r="A99" s="7"/>
      <c r="B99" s="17" t="s">
        <v>60</v>
      </c>
      <c r="C99" s="55">
        <v>81</v>
      </c>
      <c r="D99" s="55">
        <v>12</v>
      </c>
      <c r="E99" s="55">
        <v>34</v>
      </c>
      <c r="F99" s="55">
        <v>493</v>
      </c>
      <c r="G99" s="55">
        <v>1071</v>
      </c>
      <c r="H99" s="55">
        <v>3521</v>
      </c>
      <c r="I99" s="55">
        <v>3565</v>
      </c>
      <c r="J99" s="55">
        <v>1667</v>
      </c>
      <c r="K99" s="55">
        <v>3041</v>
      </c>
      <c r="L99" s="55">
        <v>7709</v>
      </c>
    </row>
    <row r="100" spans="1:12" hidden="1" outlineLevel="1" x14ac:dyDescent="0.2">
      <c r="B100" s="9" t="s">
        <v>155</v>
      </c>
      <c r="C100" s="27">
        <v>342</v>
      </c>
      <c r="D100" s="27">
        <v>1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</row>
    <row r="101" spans="1:12" hidden="1" outlineLevel="1" x14ac:dyDescent="0.2">
      <c r="B101" s="9" t="s">
        <v>193</v>
      </c>
      <c r="C101" s="27">
        <v>0</v>
      </c>
      <c r="D101" s="27">
        <v>-222</v>
      </c>
      <c r="E101" s="27">
        <v>-123</v>
      </c>
      <c r="F101" s="27">
        <v>-284</v>
      </c>
      <c r="G101" s="27">
        <v>-850</v>
      </c>
      <c r="H101" s="27">
        <v>-2056</v>
      </c>
      <c r="I101" s="27">
        <v>-2667</v>
      </c>
      <c r="J101" s="27">
        <v>-3722</v>
      </c>
      <c r="K101" s="27">
        <v>-1493</v>
      </c>
      <c r="L101" s="27">
        <v>-5470</v>
      </c>
    </row>
    <row r="102" spans="1:12" hidden="1" outlineLevel="1" x14ac:dyDescent="0.2">
      <c r="B102" s="9" t="s">
        <v>61</v>
      </c>
      <c r="C102" s="27">
        <v>-77</v>
      </c>
      <c r="D102" s="27">
        <v>-113</v>
      </c>
      <c r="E102" s="27">
        <v>-163</v>
      </c>
      <c r="F102" s="27">
        <v>-217</v>
      </c>
      <c r="G102" s="27">
        <v>-294</v>
      </c>
      <c r="H102" s="27">
        <v>-301</v>
      </c>
      <c r="I102" s="27">
        <v>-450</v>
      </c>
      <c r="J102" s="27">
        <v>-546</v>
      </c>
      <c r="K102" s="27">
        <v>-636</v>
      </c>
      <c r="L102" s="27">
        <v>-974</v>
      </c>
    </row>
    <row r="103" spans="1:12" hidden="1" outlineLevel="1" x14ac:dyDescent="0.2">
      <c r="B103" s="9" t="s">
        <v>194</v>
      </c>
      <c r="C103" s="27">
        <v>0</v>
      </c>
      <c r="D103" s="27">
        <v>222</v>
      </c>
      <c r="E103" s="27">
        <v>45</v>
      </c>
      <c r="F103" s="27">
        <v>325</v>
      </c>
      <c r="G103" s="27">
        <v>192</v>
      </c>
      <c r="H103" s="27">
        <v>1678</v>
      </c>
      <c r="I103" s="27">
        <v>4310</v>
      </c>
      <c r="J103" s="27">
        <v>2987</v>
      </c>
      <c r="K103" s="27">
        <v>2032</v>
      </c>
      <c r="L103" s="27">
        <v>1845</v>
      </c>
    </row>
    <row r="104" spans="1:12" hidden="1" outlineLevel="1" x14ac:dyDescent="0.2">
      <c r="B104" s="9" t="s">
        <v>170</v>
      </c>
      <c r="C104" s="27">
        <v>0</v>
      </c>
      <c r="D104" s="27">
        <v>0</v>
      </c>
      <c r="E104" s="27">
        <v>0</v>
      </c>
      <c r="F104" s="27">
        <v>0</v>
      </c>
      <c r="G104" s="27">
        <v>0</v>
      </c>
      <c r="H104" s="27">
        <v>0</v>
      </c>
      <c r="I104" s="27">
        <v>2366</v>
      </c>
      <c r="J104" s="27">
        <v>0</v>
      </c>
      <c r="K104" s="27">
        <v>0</v>
      </c>
      <c r="L104" s="27">
        <v>0</v>
      </c>
    </row>
    <row r="105" spans="1:12" hidden="1" outlineLevel="1" x14ac:dyDescent="0.2">
      <c r="B105" s="9" t="s">
        <v>171</v>
      </c>
      <c r="C105" s="27">
        <v>0</v>
      </c>
      <c r="D105" s="27">
        <v>0</v>
      </c>
      <c r="E105" s="27">
        <v>0</v>
      </c>
      <c r="F105" s="27">
        <v>0</v>
      </c>
      <c r="G105" s="27">
        <v>0</v>
      </c>
      <c r="H105" s="27">
        <v>0</v>
      </c>
      <c r="I105" s="27">
        <v>-1544</v>
      </c>
      <c r="J105" s="27">
        <v>-131</v>
      </c>
      <c r="K105" s="27">
        <v>-548</v>
      </c>
      <c r="L105" s="27">
        <v>-1760</v>
      </c>
    </row>
    <row r="106" spans="1:12" hidden="1" outlineLevel="1" x14ac:dyDescent="0.2">
      <c r="B106" s="9" t="s">
        <v>172</v>
      </c>
      <c r="C106" s="27">
        <v>0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-17</v>
      </c>
      <c r="L106" s="27">
        <v>0</v>
      </c>
    </row>
    <row r="107" spans="1:12" hidden="1" outlineLevel="1" x14ac:dyDescent="0.2">
      <c r="B107" s="9" t="s">
        <v>173</v>
      </c>
      <c r="C107" s="27">
        <v>0</v>
      </c>
      <c r="D107" s="27">
        <v>0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-100</v>
      </c>
      <c r="L107" s="27">
        <v>0</v>
      </c>
    </row>
    <row r="108" spans="1:12" hidden="1" outlineLevel="1" x14ac:dyDescent="0.2">
      <c r="B108" s="9" t="s">
        <v>191</v>
      </c>
      <c r="C108" s="27">
        <v>0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-5</v>
      </c>
      <c r="J108" s="27">
        <v>-11</v>
      </c>
      <c r="K108" s="27">
        <v>-341</v>
      </c>
      <c r="L108" s="27">
        <v>-502</v>
      </c>
    </row>
    <row r="109" spans="1:12" hidden="1" outlineLevel="1" x14ac:dyDescent="0.2">
      <c r="B109" s="9" t="s">
        <v>156</v>
      </c>
      <c r="C109" s="27">
        <v>10</v>
      </c>
      <c r="D109" s="27">
        <v>60</v>
      </c>
      <c r="E109" s="27">
        <v>71</v>
      </c>
      <c r="F109" s="27">
        <v>25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</row>
    <row r="110" spans="1:12" hidden="1" outlineLevel="1" x14ac:dyDescent="0.2">
      <c r="B110" s="12" t="s">
        <v>56</v>
      </c>
      <c r="C110" s="27">
        <v>2</v>
      </c>
      <c r="D110" s="27">
        <v>-2</v>
      </c>
      <c r="E110" s="27">
        <v>0</v>
      </c>
      <c r="F110" s="27">
        <v>2</v>
      </c>
      <c r="G110" s="27">
        <v>0</v>
      </c>
      <c r="H110" s="27">
        <v>-7</v>
      </c>
      <c r="I110" s="27">
        <v>-11</v>
      </c>
      <c r="J110" s="27">
        <v>0</v>
      </c>
      <c r="K110" s="27">
        <v>2</v>
      </c>
      <c r="L110" s="27">
        <v>10</v>
      </c>
    </row>
    <row r="111" spans="1:12" hidden="1" outlineLevel="1" x14ac:dyDescent="0.2">
      <c r="B111" s="12" t="s">
        <v>17</v>
      </c>
      <c r="C111" s="27">
        <v>0</v>
      </c>
      <c r="D111" s="27">
        <v>0</v>
      </c>
      <c r="E111" s="27">
        <v>0</v>
      </c>
      <c r="F111" s="27">
        <v>0</v>
      </c>
      <c r="G111" s="27">
        <v>0</v>
      </c>
      <c r="H111" s="27">
        <v>0</v>
      </c>
      <c r="I111" s="27">
        <v>0</v>
      </c>
      <c r="J111" s="27">
        <v>0</v>
      </c>
      <c r="K111" s="27">
        <v>0</v>
      </c>
      <c r="L111" s="27">
        <v>1318</v>
      </c>
    </row>
    <row r="112" spans="1:12" s="57" customFormat="1" hidden="1" outlineLevel="1" x14ac:dyDescent="0.2">
      <c r="A112" s="7"/>
      <c r="B112" s="17" t="s">
        <v>62</v>
      </c>
      <c r="C112" s="55">
        <v>277</v>
      </c>
      <c r="D112" s="55">
        <v>-54</v>
      </c>
      <c r="E112" s="55">
        <v>-170</v>
      </c>
      <c r="F112" s="55">
        <v>-149</v>
      </c>
      <c r="G112" s="55">
        <v>-952</v>
      </c>
      <c r="H112" s="55">
        <v>-686</v>
      </c>
      <c r="I112" s="55">
        <v>1999</v>
      </c>
      <c r="J112" s="55">
        <v>-1423</v>
      </c>
      <c r="K112" s="55">
        <v>-1101</v>
      </c>
      <c r="L112" s="55">
        <v>-5533</v>
      </c>
    </row>
    <row r="113" spans="1:12" hidden="1" outlineLevel="1" x14ac:dyDescent="0.2">
      <c r="B113" s="9" t="s">
        <v>157</v>
      </c>
      <c r="C113" s="27">
        <v>667</v>
      </c>
      <c r="D113" s="27">
        <v>0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2441</v>
      </c>
    </row>
    <row r="114" spans="1:12" hidden="1" outlineLevel="1" x14ac:dyDescent="0.2">
      <c r="B114" s="9" t="s">
        <v>163</v>
      </c>
      <c r="C114" s="27">
        <v>782</v>
      </c>
      <c r="D114" s="27">
        <v>0</v>
      </c>
      <c r="E114" s="27">
        <v>0</v>
      </c>
      <c r="F114" s="27">
        <v>0</v>
      </c>
      <c r="G114" s="27">
        <v>0</v>
      </c>
      <c r="H114" s="27">
        <v>0</v>
      </c>
      <c r="I114" s="27">
        <v>0</v>
      </c>
      <c r="J114" s="27">
        <v>0</v>
      </c>
      <c r="K114" s="27">
        <v>0</v>
      </c>
      <c r="L114" s="27">
        <v>0</v>
      </c>
    </row>
    <row r="115" spans="1:12" hidden="1" outlineLevel="1" x14ac:dyDescent="0.2">
      <c r="B115" s="9" t="s">
        <v>165</v>
      </c>
      <c r="C115" s="27">
        <v>20</v>
      </c>
      <c r="D115" s="27">
        <v>20</v>
      </c>
      <c r="E115" s="27">
        <v>70</v>
      </c>
      <c r="F115" s="27">
        <v>74</v>
      </c>
      <c r="G115" s="27">
        <v>85</v>
      </c>
      <c r="H115" s="27">
        <v>104</v>
      </c>
      <c r="I115" s="27">
        <v>167</v>
      </c>
      <c r="J115" s="27">
        <v>268</v>
      </c>
      <c r="K115" s="27">
        <v>279</v>
      </c>
      <c r="L115" s="27">
        <v>285</v>
      </c>
    </row>
    <row r="116" spans="1:12" hidden="1" outlineLevel="1" x14ac:dyDescent="0.2">
      <c r="B116" s="9" t="s">
        <v>158</v>
      </c>
      <c r="C116" s="27">
        <v>-230</v>
      </c>
      <c r="D116" s="27">
        <v>70</v>
      </c>
      <c r="E116" s="27">
        <v>0</v>
      </c>
      <c r="F116" s="27">
        <v>0</v>
      </c>
      <c r="G116" s="27">
        <v>200</v>
      </c>
      <c r="H116" s="27">
        <v>0</v>
      </c>
      <c r="I116" s="27">
        <v>991</v>
      </c>
      <c r="J116" s="27">
        <v>0</v>
      </c>
      <c r="K116" s="27">
        <v>0</v>
      </c>
      <c r="L116" s="27">
        <v>-950</v>
      </c>
    </row>
    <row r="117" spans="1:12" hidden="1" outlineLevel="1" x14ac:dyDescent="0.2">
      <c r="B117" s="9" t="s">
        <v>63</v>
      </c>
      <c r="C117" s="27">
        <v>-1113</v>
      </c>
      <c r="D117" s="27">
        <v>-110</v>
      </c>
      <c r="E117" s="27">
        <v>-41</v>
      </c>
      <c r="F117" s="27">
        <v>-473</v>
      </c>
      <c r="G117" s="27">
        <v>-200</v>
      </c>
      <c r="H117" s="27">
        <v>0</v>
      </c>
      <c r="I117" s="27">
        <v>-312</v>
      </c>
      <c r="J117" s="27">
        <v>0</v>
      </c>
      <c r="K117" s="27">
        <v>-750</v>
      </c>
      <c r="L117" s="27">
        <v>0</v>
      </c>
    </row>
    <row r="118" spans="1:12" hidden="1" outlineLevel="1" x14ac:dyDescent="0.2">
      <c r="B118" s="9" t="s">
        <v>164</v>
      </c>
      <c r="C118" s="27">
        <v>0</v>
      </c>
      <c r="D118" s="27">
        <v>0</v>
      </c>
      <c r="E118" s="27">
        <v>0</v>
      </c>
      <c r="F118" s="27">
        <v>449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</row>
    <row r="119" spans="1:12" hidden="1" outlineLevel="1" x14ac:dyDescent="0.2">
      <c r="B119" s="9" t="s">
        <v>166</v>
      </c>
      <c r="C119" s="27">
        <v>0</v>
      </c>
      <c r="D119" s="27">
        <v>0</v>
      </c>
      <c r="E119" s="27">
        <v>0</v>
      </c>
      <c r="F119" s="27">
        <v>0</v>
      </c>
      <c r="G119" s="27">
        <v>0</v>
      </c>
      <c r="H119" s="27">
        <v>-1762</v>
      </c>
      <c r="I119" s="27">
        <v>-3702</v>
      </c>
      <c r="J119" s="27">
        <v>-985</v>
      </c>
      <c r="K119" s="27">
        <v>-862</v>
      </c>
      <c r="L119" s="27">
        <v>-1316</v>
      </c>
    </row>
    <row r="120" spans="1:12" hidden="1" outlineLevel="1" x14ac:dyDescent="0.2">
      <c r="B120" s="9" t="s">
        <v>167</v>
      </c>
      <c r="C120" s="27">
        <v>0</v>
      </c>
      <c r="D120" s="27">
        <v>0</v>
      </c>
      <c r="E120" s="27">
        <v>0</v>
      </c>
      <c r="F120" s="27">
        <v>-6</v>
      </c>
      <c r="G120" s="27">
        <v>-78</v>
      </c>
      <c r="H120" s="27">
        <v>-237</v>
      </c>
      <c r="I120" s="27">
        <v>-406</v>
      </c>
      <c r="J120" s="27">
        <v>-427</v>
      </c>
      <c r="K120" s="27">
        <v>-728</v>
      </c>
      <c r="L120" s="27">
        <v>-607</v>
      </c>
    </row>
    <row r="121" spans="1:12" hidden="1" outlineLevel="1" x14ac:dyDescent="0.2">
      <c r="B121" s="9" t="s">
        <v>56</v>
      </c>
      <c r="C121" s="27">
        <v>-4</v>
      </c>
      <c r="D121" s="27">
        <v>-13</v>
      </c>
      <c r="E121" s="27">
        <v>-1</v>
      </c>
      <c r="F121" s="27">
        <v>-1</v>
      </c>
      <c r="G121" s="27">
        <v>-1</v>
      </c>
      <c r="H121" s="27">
        <v>0</v>
      </c>
      <c r="I121" s="27">
        <v>-2</v>
      </c>
      <c r="J121" s="27">
        <v>-2</v>
      </c>
      <c r="K121" s="27">
        <v>-1</v>
      </c>
      <c r="L121" s="27">
        <v>-284</v>
      </c>
    </row>
    <row r="122" spans="1:12" s="57" customFormat="1" hidden="1" outlineLevel="1" x14ac:dyDescent="0.2">
      <c r="A122" s="7"/>
      <c r="B122" s="17" t="s">
        <v>64</v>
      </c>
      <c r="C122" s="55">
        <v>122</v>
      </c>
      <c r="D122" s="55">
        <v>-33</v>
      </c>
      <c r="E122" s="55">
        <v>28</v>
      </c>
      <c r="F122" s="55">
        <v>43</v>
      </c>
      <c r="G122" s="55">
        <v>6</v>
      </c>
      <c r="H122" s="55">
        <v>-1895</v>
      </c>
      <c r="I122" s="55">
        <v>-3264</v>
      </c>
      <c r="J122" s="55">
        <v>-1146</v>
      </c>
      <c r="K122" s="55">
        <v>-2062</v>
      </c>
      <c r="L122" s="55">
        <v>-431</v>
      </c>
    </row>
    <row r="123" spans="1:12" hidden="1" outlineLevel="1" x14ac:dyDescent="0.2">
      <c r="B123" s="9" t="s">
        <v>65</v>
      </c>
      <c r="C123" s="27">
        <v>0</v>
      </c>
      <c r="D123" s="27">
        <v>0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1">
        <v>0</v>
      </c>
    </row>
    <row r="124" spans="1:12" s="56" customFormat="1" hidden="1" outlineLevel="1" x14ac:dyDescent="0.2">
      <c r="A124" s="7"/>
      <c r="B124" s="11" t="s">
        <v>66</v>
      </c>
      <c r="C124" s="59">
        <v>480</v>
      </c>
      <c r="D124" s="59">
        <v>-75</v>
      </c>
      <c r="E124" s="59">
        <v>-108</v>
      </c>
      <c r="F124" s="59">
        <v>387</v>
      </c>
      <c r="G124" s="59">
        <v>125</v>
      </c>
      <c r="H124" s="59">
        <v>940</v>
      </c>
      <c r="I124" s="59">
        <v>2300</v>
      </c>
      <c r="J124" s="59">
        <v>-902</v>
      </c>
      <c r="K124" s="59">
        <v>-122</v>
      </c>
      <c r="L124" s="59">
        <v>1745</v>
      </c>
    </row>
    <row r="125" spans="1:12" s="56" customFormat="1" hidden="1" outlineLevel="1" x14ac:dyDescent="0.2">
      <c r="A125" s="7"/>
      <c r="B125" s="11" t="s">
        <v>67</v>
      </c>
      <c r="C125" s="59">
        <v>786</v>
      </c>
      <c r="D125" s="59">
        <v>1266</v>
      </c>
      <c r="E125" s="59">
        <v>1191</v>
      </c>
      <c r="F125" s="59">
        <v>1083</v>
      </c>
      <c r="G125" s="59">
        <v>1470</v>
      </c>
      <c r="H125" s="59">
        <v>1595</v>
      </c>
      <c r="I125" s="59">
        <v>2535</v>
      </c>
      <c r="J125" s="59">
        <v>4835</v>
      </c>
      <c r="K125" s="59">
        <v>3933</v>
      </c>
      <c r="L125" s="59">
        <v>3811</v>
      </c>
    </row>
    <row r="126" spans="1:12" s="61" customFormat="1" ht="17" hidden="1" outlineLevel="1" thickBot="1" x14ac:dyDescent="0.25">
      <c r="A126" s="7"/>
      <c r="B126" s="19" t="s">
        <v>68</v>
      </c>
      <c r="C126" s="55">
        <v>1266</v>
      </c>
      <c r="D126" s="55">
        <v>1191</v>
      </c>
      <c r="E126" s="55">
        <v>1083</v>
      </c>
      <c r="F126" s="55">
        <v>1470</v>
      </c>
      <c r="G126" s="55">
        <v>1595</v>
      </c>
      <c r="H126" s="55">
        <v>2535</v>
      </c>
      <c r="I126" s="55">
        <v>4835</v>
      </c>
      <c r="J126" s="55">
        <v>3933</v>
      </c>
      <c r="K126" s="55">
        <v>3811</v>
      </c>
      <c r="L126" s="55">
        <v>5556</v>
      </c>
    </row>
    <row r="127" spans="1:12" collapsed="1" x14ac:dyDescent="0.2">
      <c r="B127" s="1"/>
    </row>
    <row r="128" spans="1:12" s="14" customFormat="1" ht="17" thickBot="1" x14ac:dyDescent="0.25">
      <c r="A128" s="4"/>
      <c r="B128" s="15" t="s">
        <v>69</v>
      </c>
    </row>
    <row r="129" spans="1:12" hidden="1" outlineLevel="2" x14ac:dyDescent="0.2">
      <c r="B129" s="9" t="s">
        <v>70</v>
      </c>
      <c r="C129" s="20">
        <f t="shared" ref="C129:L129" si="7">C5-C6-C7-C15+C17+C18+C20+C21</f>
        <v>-498</v>
      </c>
      <c r="D129" s="20">
        <f t="shared" si="7"/>
        <v>-33</v>
      </c>
      <c r="E129" s="20">
        <f t="shared" si="7"/>
        <v>337</v>
      </c>
      <c r="F129" s="20">
        <f t="shared" si="7"/>
        <v>341</v>
      </c>
      <c r="G129" s="20">
        <f t="shared" si="7"/>
        <v>2490</v>
      </c>
      <c r="H129" s="20">
        <f t="shared" si="7"/>
        <v>3162</v>
      </c>
      <c r="I129" s="20">
        <f t="shared" si="7"/>
        <v>1320</v>
      </c>
      <c r="J129" s="20">
        <f t="shared" si="7"/>
        <v>854</v>
      </c>
      <c r="K129" s="20">
        <f t="shared" si="7"/>
        <v>1641</v>
      </c>
      <c r="L129" s="20">
        <f t="shared" si="7"/>
        <v>4269</v>
      </c>
    </row>
    <row r="130" spans="1:12" s="18" customFormat="1" hidden="1" outlineLevel="1" collapsed="1" x14ac:dyDescent="0.2">
      <c r="A130" s="7"/>
      <c r="B130" s="17" t="s">
        <v>71</v>
      </c>
      <c r="C130" s="24">
        <f t="shared" ref="C130:L130" si="8">C22-C129</f>
        <v>0</v>
      </c>
      <c r="D130" s="24">
        <f t="shared" si="8"/>
        <v>0</v>
      </c>
      <c r="E130" s="24">
        <f t="shared" si="8"/>
        <v>0</v>
      </c>
      <c r="F130" s="24">
        <f t="shared" si="8"/>
        <v>0</v>
      </c>
      <c r="G130" s="24">
        <f t="shared" si="8"/>
        <v>0</v>
      </c>
      <c r="H130" s="24">
        <f t="shared" si="8"/>
        <v>0</v>
      </c>
      <c r="I130" s="24">
        <f t="shared" si="8"/>
        <v>0</v>
      </c>
      <c r="J130" s="24">
        <f t="shared" si="8"/>
        <v>0</v>
      </c>
      <c r="K130" s="24">
        <f t="shared" si="8"/>
        <v>0</v>
      </c>
      <c r="L130" s="24">
        <f t="shared" si="8"/>
        <v>0</v>
      </c>
    </row>
    <row r="131" spans="1:12" hidden="1" outlineLevel="2" x14ac:dyDescent="0.2">
      <c r="B131" s="9" t="s">
        <v>72</v>
      </c>
      <c r="C131" s="20">
        <f t="shared" ref="C131:L131" si="9">SUM(C33:C39)+SUM(C41:C47)</f>
        <v>3321</v>
      </c>
      <c r="D131" s="20">
        <f t="shared" si="9"/>
        <v>3540</v>
      </c>
      <c r="E131" s="20">
        <f t="shared" si="9"/>
        <v>4556</v>
      </c>
      <c r="F131" s="20">
        <f t="shared" si="9"/>
        <v>6028</v>
      </c>
      <c r="G131" s="20">
        <f t="shared" si="9"/>
        <v>8962</v>
      </c>
      <c r="H131" s="20">
        <f t="shared" si="9"/>
        <v>12419</v>
      </c>
      <c r="I131" s="20">
        <f t="shared" si="9"/>
        <v>67580</v>
      </c>
      <c r="J131" s="20">
        <f t="shared" si="9"/>
        <v>67885</v>
      </c>
      <c r="K131" s="20">
        <f t="shared" si="9"/>
        <v>69226</v>
      </c>
      <c r="L131" s="20">
        <f t="shared" si="9"/>
        <v>76926</v>
      </c>
    </row>
    <row r="132" spans="1:12" s="7" customFormat="1" hidden="1" outlineLevel="1" collapsed="1" x14ac:dyDescent="0.2">
      <c r="B132" s="11" t="s">
        <v>73</v>
      </c>
      <c r="C132" s="23">
        <f t="shared" ref="C132:L132" si="10">C49-C131</f>
        <v>0</v>
      </c>
      <c r="D132" s="23">
        <f t="shared" si="10"/>
        <v>0</v>
      </c>
      <c r="E132" s="23">
        <f t="shared" si="10"/>
        <v>0</v>
      </c>
      <c r="F132" s="23">
        <f t="shared" si="10"/>
        <v>0</v>
      </c>
      <c r="G132" s="23">
        <f t="shared" si="10"/>
        <v>0</v>
      </c>
      <c r="H132" s="23">
        <f t="shared" si="10"/>
        <v>0</v>
      </c>
      <c r="I132" s="23">
        <f t="shared" si="10"/>
        <v>0</v>
      </c>
      <c r="J132" s="23">
        <f t="shared" si="10"/>
        <v>0</v>
      </c>
      <c r="K132" s="23">
        <f t="shared" si="10"/>
        <v>0</v>
      </c>
      <c r="L132" s="23">
        <f t="shared" si="10"/>
        <v>0</v>
      </c>
    </row>
    <row r="133" spans="1:12" hidden="1" outlineLevel="2" x14ac:dyDescent="0.2">
      <c r="B133" s="9" t="s">
        <v>74</v>
      </c>
      <c r="C133" s="20">
        <f t="shared" ref="C133:L133" si="11">SUM(C50:C55)+SUM(C57:C60)</f>
        <v>2905</v>
      </c>
      <c r="D133" s="20">
        <f t="shared" si="11"/>
        <v>2929</v>
      </c>
      <c r="E133" s="20">
        <f t="shared" si="11"/>
        <v>3290</v>
      </c>
      <c r="F133" s="20">
        <f t="shared" si="11"/>
        <v>3201</v>
      </c>
      <c r="G133" s="20">
        <f t="shared" si="11"/>
        <v>3125</v>
      </c>
      <c r="H133" s="20">
        <f t="shared" si="11"/>
        <v>4922</v>
      </c>
      <c r="I133" s="20">
        <f t="shared" si="11"/>
        <v>12830</v>
      </c>
      <c r="J133" s="20">
        <f t="shared" si="11"/>
        <v>11993</v>
      </c>
      <c r="K133" s="20">
        <f t="shared" si="11"/>
        <v>11658</v>
      </c>
      <c r="L133" s="20">
        <f t="shared" si="11"/>
        <v>13927</v>
      </c>
    </row>
    <row r="134" spans="1:12" s="7" customFormat="1" hidden="1" outlineLevel="1" collapsed="1" x14ac:dyDescent="0.2">
      <c r="B134" s="11" t="s">
        <v>75</v>
      </c>
      <c r="C134" s="23">
        <f t="shared" ref="C134:L134" si="12">C62-C133</f>
        <v>0</v>
      </c>
      <c r="D134" s="23">
        <f t="shared" si="12"/>
        <v>0</v>
      </c>
      <c r="E134" s="23">
        <f t="shared" si="12"/>
        <v>0</v>
      </c>
      <c r="F134" s="23">
        <f t="shared" si="12"/>
        <v>0</v>
      </c>
      <c r="G134" s="23">
        <f t="shared" si="12"/>
        <v>0</v>
      </c>
      <c r="H134" s="23">
        <f t="shared" si="12"/>
        <v>0</v>
      </c>
      <c r="I134" s="23">
        <f t="shared" si="12"/>
        <v>0</v>
      </c>
      <c r="J134" s="23">
        <f t="shared" si="12"/>
        <v>0</v>
      </c>
      <c r="K134" s="23">
        <f t="shared" si="12"/>
        <v>0</v>
      </c>
      <c r="L134" s="23">
        <f t="shared" si="12"/>
        <v>0</v>
      </c>
    </row>
    <row r="135" spans="1:12" hidden="1" outlineLevel="2" x14ac:dyDescent="0.2">
      <c r="B135" s="9" t="s">
        <v>76</v>
      </c>
      <c r="C135" s="20">
        <f t="shared" ref="C135:L135" si="13">SUM(C63:C67)+C69</f>
        <v>416</v>
      </c>
      <c r="D135" s="20">
        <f t="shared" si="13"/>
        <v>611</v>
      </c>
      <c r="E135" s="20">
        <f t="shared" si="13"/>
        <v>1266</v>
      </c>
      <c r="F135" s="20">
        <f t="shared" si="13"/>
        <v>2827</v>
      </c>
      <c r="G135" s="20">
        <f t="shared" si="13"/>
        <v>5837</v>
      </c>
      <c r="H135" s="20">
        <f t="shared" si="13"/>
        <v>7497</v>
      </c>
      <c r="I135" s="20">
        <f t="shared" si="13"/>
        <v>54750</v>
      </c>
      <c r="J135" s="20">
        <f t="shared" si="13"/>
        <v>55892</v>
      </c>
      <c r="K135" s="20">
        <f t="shared" si="13"/>
        <v>57568</v>
      </c>
      <c r="L135" s="20">
        <f t="shared" si="13"/>
        <v>62999</v>
      </c>
    </row>
    <row r="136" spans="1:12" s="7" customFormat="1" hidden="1" outlineLevel="1" collapsed="1" x14ac:dyDescent="0.2">
      <c r="B136" s="11" t="s">
        <v>77</v>
      </c>
      <c r="C136" s="23">
        <f t="shared" ref="C136:L136" si="14">C70-C135</f>
        <v>0</v>
      </c>
      <c r="D136" s="23">
        <f t="shared" si="14"/>
        <v>0</v>
      </c>
      <c r="E136" s="23">
        <f t="shared" si="14"/>
        <v>0</v>
      </c>
      <c r="F136" s="23">
        <f t="shared" si="14"/>
        <v>0</v>
      </c>
      <c r="G136" s="23">
        <f t="shared" si="14"/>
        <v>0</v>
      </c>
      <c r="H136" s="23">
        <f t="shared" si="14"/>
        <v>0</v>
      </c>
      <c r="I136" s="23">
        <f t="shared" si="14"/>
        <v>0</v>
      </c>
      <c r="J136" s="23">
        <f t="shared" si="14"/>
        <v>0</v>
      </c>
      <c r="K136" s="23">
        <f t="shared" si="14"/>
        <v>0</v>
      </c>
      <c r="L136" s="23">
        <f t="shared" si="14"/>
        <v>0</v>
      </c>
    </row>
    <row r="137" spans="1:12" s="18" customFormat="1" hidden="1" outlineLevel="1" x14ac:dyDescent="0.2">
      <c r="A137" s="7"/>
      <c r="B137" s="17" t="s">
        <v>87</v>
      </c>
      <c r="C137" s="22">
        <f t="shared" ref="C137:L137" si="15">C49-(C62+C70)</f>
        <v>0</v>
      </c>
      <c r="D137" s="22">
        <f t="shared" si="15"/>
        <v>0</v>
      </c>
      <c r="E137" s="22">
        <f t="shared" si="15"/>
        <v>0</v>
      </c>
      <c r="F137" s="22">
        <f t="shared" si="15"/>
        <v>0</v>
      </c>
      <c r="G137" s="22">
        <f t="shared" si="15"/>
        <v>0</v>
      </c>
      <c r="H137" s="22">
        <f t="shared" si="15"/>
        <v>0</v>
      </c>
      <c r="I137" s="22">
        <f t="shared" si="15"/>
        <v>0</v>
      </c>
      <c r="J137" s="22">
        <f t="shared" si="15"/>
        <v>0</v>
      </c>
      <c r="K137" s="22">
        <f t="shared" si="15"/>
        <v>0</v>
      </c>
      <c r="L137" s="22">
        <f t="shared" si="15"/>
        <v>0</v>
      </c>
    </row>
    <row r="138" spans="1:12" hidden="1" outlineLevel="2" x14ac:dyDescent="0.2">
      <c r="B138" s="9" t="s">
        <v>78</v>
      </c>
      <c r="C138" s="20">
        <f t="shared" ref="C138:L138" si="16">SUM(C74:C98)</f>
        <v>81</v>
      </c>
      <c r="D138" s="20">
        <f t="shared" si="16"/>
        <v>12</v>
      </c>
      <c r="E138" s="20">
        <f t="shared" si="16"/>
        <v>34</v>
      </c>
      <c r="F138" s="20">
        <f t="shared" si="16"/>
        <v>493</v>
      </c>
      <c r="G138" s="20">
        <f t="shared" si="16"/>
        <v>1071</v>
      </c>
      <c r="H138" s="20">
        <f t="shared" si="16"/>
        <v>3521</v>
      </c>
      <c r="I138" s="20">
        <f t="shared" si="16"/>
        <v>3565</v>
      </c>
      <c r="J138" s="20">
        <f t="shared" si="16"/>
        <v>1667</v>
      </c>
      <c r="K138" s="20">
        <f t="shared" si="16"/>
        <v>3041</v>
      </c>
      <c r="L138" s="20">
        <f t="shared" si="16"/>
        <v>7709</v>
      </c>
    </row>
    <row r="139" spans="1:12" s="7" customFormat="1" hidden="1" outlineLevel="1" collapsed="1" x14ac:dyDescent="0.2">
      <c r="B139" s="11" t="s">
        <v>79</v>
      </c>
      <c r="C139" s="23">
        <f t="shared" ref="C139:L139" si="17">C99-C138</f>
        <v>0</v>
      </c>
      <c r="D139" s="23">
        <f t="shared" si="17"/>
        <v>0</v>
      </c>
      <c r="E139" s="23">
        <f t="shared" si="17"/>
        <v>0</v>
      </c>
      <c r="F139" s="23">
        <f t="shared" si="17"/>
        <v>0</v>
      </c>
      <c r="G139" s="23">
        <f t="shared" si="17"/>
        <v>0</v>
      </c>
      <c r="H139" s="23">
        <f t="shared" si="17"/>
        <v>0</v>
      </c>
      <c r="I139" s="23">
        <f t="shared" si="17"/>
        <v>0</v>
      </c>
      <c r="J139" s="23">
        <f t="shared" si="17"/>
        <v>0</v>
      </c>
      <c r="K139" s="23">
        <f t="shared" si="17"/>
        <v>0</v>
      </c>
      <c r="L139" s="23">
        <f t="shared" si="17"/>
        <v>0</v>
      </c>
    </row>
    <row r="140" spans="1:12" hidden="1" outlineLevel="2" x14ac:dyDescent="0.2">
      <c r="B140" s="9" t="s">
        <v>80</v>
      </c>
      <c r="C140" s="20">
        <f t="shared" ref="C140:K140" si="18">SUM(C100:C110)</f>
        <v>277</v>
      </c>
      <c r="D140" s="20">
        <f t="shared" si="18"/>
        <v>-54</v>
      </c>
      <c r="E140" s="20">
        <f t="shared" si="18"/>
        <v>-170</v>
      </c>
      <c r="F140" s="20">
        <f t="shared" si="18"/>
        <v>-149</v>
      </c>
      <c r="G140" s="20">
        <f t="shared" si="18"/>
        <v>-952</v>
      </c>
      <c r="H140" s="20">
        <f t="shared" si="18"/>
        <v>-686</v>
      </c>
      <c r="I140" s="20">
        <f t="shared" si="18"/>
        <v>1999</v>
      </c>
      <c r="J140" s="20">
        <f t="shared" si="18"/>
        <v>-1423</v>
      </c>
      <c r="K140" s="20">
        <f t="shared" si="18"/>
        <v>-1101</v>
      </c>
      <c r="L140" s="20">
        <f>SUM(L100:L111)</f>
        <v>-5533</v>
      </c>
    </row>
    <row r="141" spans="1:12" s="7" customFormat="1" hidden="1" outlineLevel="1" collapsed="1" x14ac:dyDescent="0.2">
      <c r="B141" s="11" t="s">
        <v>81</v>
      </c>
      <c r="C141" s="23">
        <f t="shared" ref="C141:L141" si="19">C112-C140</f>
        <v>0</v>
      </c>
      <c r="D141" s="23">
        <f t="shared" si="19"/>
        <v>0</v>
      </c>
      <c r="E141" s="23">
        <f t="shared" si="19"/>
        <v>0</v>
      </c>
      <c r="F141" s="23">
        <f t="shared" si="19"/>
        <v>0</v>
      </c>
      <c r="G141" s="23">
        <f t="shared" si="19"/>
        <v>0</v>
      </c>
      <c r="H141" s="23">
        <f t="shared" si="19"/>
        <v>0</v>
      </c>
      <c r="I141" s="23">
        <f t="shared" si="19"/>
        <v>0</v>
      </c>
      <c r="J141" s="23">
        <f t="shared" si="19"/>
        <v>0</v>
      </c>
      <c r="K141" s="23">
        <f t="shared" si="19"/>
        <v>0</v>
      </c>
      <c r="L141" s="23">
        <f t="shared" si="19"/>
        <v>0</v>
      </c>
    </row>
    <row r="142" spans="1:12" hidden="1" outlineLevel="2" x14ac:dyDescent="0.2">
      <c r="B142" s="9" t="s">
        <v>82</v>
      </c>
      <c r="C142" s="20">
        <f t="shared" ref="C142:L142" si="20">SUM(C113:C121)</f>
        <v>122</v>
      </c>
      <c r="D142" s="20">
        <f t="shared" si="20"/>
        <v>-33</v>
      </c>
      <c r="E142" s="20">
        <f t="shared" si="20"/>
        <v>28</v>
      </c>
      <c r="F142" s="20">
        <f t="shared" si="20"/>
        <v>43</v>
      </c>
      <c r="G142" s="20">
        <f t="shared" si="20"/>
        <v>6</v>
      </c>
      <c r="H142" s="20">
        <f t="shared" si="20"/>
        <v>-1895</v>
      </c>
      <c r="I142" s="20">
        <f t="shared" si="20"/>
        <v>-3264</v>
      </c>
      <c r="J142" s="20">
        <f t="shared" si="20"/>
        <v>-1146</v>
      </c>
      <c r="K142" s="20">
        <f t="shared" si="20"/>
        <v>-2062</v>
      </c>
      <c r="L142" s="20">
        <f t="shared" si="20"/>
        <v>-431</v>
      </c>
    </row>
    <row r="143" spans="1:12" s="7" customFormat="1" hidden="1" outlineLevel="1" collapsed="1" x14ac:dyDescent="0.2">
      <c r="B143" s="11" t="s">
        <v>83</v>
      </c>
      <c r="C143" s="23">
        <f t="shared" ref="C143:L143" si="21">C122-C142</f>
        <v>0</v>
      </c>
      <c r="D143" s="23">
        <f t="shared" si="21"/>
        <v>0</v>
      </c>
      <c r="E143" s="23">
        <f t="shared" si="21"/>
        <v>0</v>
      </c>
      <c r="F143" s="23">
        <f t="shared" si="21"/>
        <v>0</v>
      </c>
      <c r="G143" s="23">
        <f t="shared" si="21"/>
        <v>0</v>
      </c>
      <c r="H143" s="23">
        <f t="shared" si="21"/>
        <v>0</v>
      </c>
      <c r="I143" s="23">
        <f t="shared" si="21"/>
        <v>0</v>
      </c>
      <c r="J143" s="23">
        <f t="shared" si="21"/>
        <v>0</v>
      </c>
      <c r="K143" s="23">
        <f t="shared" si="21"/>
        <v>0</v>
      </c>
      <c r="L143" s="23">
        <f t="shared" si="21"/>
        <v>0</v>
      </c>
    </row>
    <row r="144" spans="1:12" hidden="1" outlineLevel="2" x14ac:dyDescent="0.2">
      <c r="B144" s="9" t="s">
        <v>85</v>
      </c>
      <c r="C144" s="20">
        <f t="shared" ref="C144:L144" si="22">C99+C112+C122+C123+C125</f>
        <v>1266</v>
      </c>
      <c r="D144" s="20">
        <f t="shared" si="22"/>
        <v>1191</v>
      </c>
      <c r="E144" s="20">
        <f t="shared" si="22"/>
        <v>1083</v>
      </c>
      <c r="F144" s="20">
        <f t="shared" si="22"/>
        <v>1470</v>
      </c>
      <c r="G144" s="20">
        <f t="shared" si="22"/>
        <v>1595</v>
      </c>
      <c r="H144" s="20">
        <f t="shared" si="22"/>
        <v>2535</v>
      </c>
      <c r="I144" s="20">
        <f t="shared" si="22"/>
        <v>4835</v>
      </c>
      <c r="J144" s="20">
        <f t="shared" si="22"/>
        <v>3933</v>
      </c>
      <c r="K144" s="20">
        <f t="shared" si="22"/>
        <v>3811</v>
      </c>
      <c r="L144" s="20">
        <f t="shared" si="22"/>
        <v>5556</v>
      </c>
    </row>
    <row r="145" spans="1:12" s="18" customFormat="1" hidden="1" outlineLevel="1" collapsed="1" x14ac:dyDescent="0.2">
      <c r="A145" s="7"/>
      <c r="B145" s="17" t="s">
        <v>84</v>
      </c>
      <c r="C145" s="22">
        <f t="shared" ref="C145:L145" si="23">C126-C144</f>
        <v>0</v>
      </c>
      <c r="D145" s="22">
        <f t="shared" si="23"/>
        <v>0</v>
      </c>
      <c r="E145" s="22">
        <f t="shared" si="23"/>
        <v>0</v>
      </c>
      <c r="F145" s="22">
        <f t="shared" si="23"/>
        <v>0</v>
      </c>
      <c r="G145" s="22">
        <f t="shared" si="23"/>
        <v>0</v>
      </c>
      <c r="H145" s="22">
        <f t="shared" si="23"/>
        <v>0</v>
      </c>
      <c r="I145" s="22">
        <f t="shared" si="23"/>
        <v>0</v>
      </c>
      <c r="J145" s="22">
        <f t="shared" si="23"/>
        <v>0</v>
      </c>
      <c r="K145" s="22">
        <f t="shared" si="23"/>
        <v>0</v>
      </c>
      <c r="L145" s="22">
        <f t="shared" si="23"/>
        <v>0</v>
      </c>
    </row>
    <row r="146" spans="1:12" collapsed="1" x14ac:dyDescent="0.2">
      <c r="B146" s="8"/>
      <c r="F146" s="8"/>
      <c r="G146" s="8"/>
      <c r="H146" s="8"/>
      <c r="I146" s="8"/>
      <c r="J146" s="8"/>
      <c r="K146" s="8"/>
    </row>
    <row r="147" spans="1:12" s="14" customFormat="1" ht="17" thickBot="1" x14ac:dyDescent="0.25">
      <c r="A147" s="4"/>
      <c r="B147" s="15" t="s">
        <v>86</v>
      </c>
    </row>
    <row r="148" spans="1:12" hidden="1" outlineLevel="1" x14ac:dyDescent="0.2">
      <c r="B148" s="9" t="s">
        <v>4</v>
      </c>
      <c r="C148" s="29">
        <v>941</v>
      </c>
      <c r="D148" s="29">
        <v>969</v>
      </c>
      <c r="E148" s="29">
        <v>1005</v>
      </c>
      <c r="F148" s="27">
        <v>1170</v>
      </c>
      <c r="G148" s="27">
        <v>1211</v>
      </c>
      <c r="H148" s="27">
        <v>1199</v>
      </c>
      <c r="I148" s="27">
        <v>1611</v>
      </c>
      <c r="J148" s="27">
        <v>1616</v>
      </c>
      <c r="K148" s="27">
        <v>1620</v>
      </c>
      <c r="L148" s="27">
        <v>1630</v>
      </c>
    </row>
    <row r="149" spans="1:12" hidden="1" outlineLevel="1" x14ac:dyDescent="0.2">
      <c r="B149" s="12" t="s">
        <v>94</v>
      </c>
      <c r="C149" s="30">
        <v>0</v>
      </c>
      <c r="D149" s="30">
        <v>0</v>
      </c>
      <c r="E149" s="30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</row>
    <row r="150" spans="1:12" hidden="1" outlineLevel="1" x14ac:dyDescent="0.2">
      <c r="B150" s="9" t="s">
        <v>110</v>
      </c>
      <c r="C150" s="27">
        <v>71</v>
      </c>
      <c r="D150" s="27">
        <v>77</v>
      </c>
      <c r="E150" s="27">
        <v>94</v>
      </c>
      <c r="F150" s="27">
        <v>142</v>
      </c>
      <c r="G150" s="27">
        <v>217</v>
      </c>
      <c r="H150" s="27">
        <v>296</v>
      </c>
      <c r="I150" s="27">
        <v>439</v>
      </c>
      <c r="J150" s="27">
        <v>441</v>
      </c>
      <c r="K150" s="27">
        <v>454</v>
      </c>
      <c r="L150" s="27">
        <v>521</v>
      </c>
    </row>
    <row r="151" spans="1:12" hidden="1" outlineLevel="1" x14ac:dyDescent="0.2">
      <c r="B151" s="9" t="s">
        <v>111</v>
      </c>
      <c r="C151" s="27">
        <v>62</v>
      </c>
      <c r="D151" s="27">
        <v>67</v>
      </c>
      <c r="E151" s="27">
        <v>76</v>
      </c>
      <c r="F151" s="27">
        <v>80</v>
      </c>
      <c r="G151" s="27">
        <v>95</v>
      </c>
      <c r="H151" s="27">
        <v>111</v>
      </c>
      <c r="I151" s="27">
        <v>187</v>
      </c>
      <c r="J151" s="27">
        <v>201</v>
      </c>
      <c r="K151" s="27">
        <v>217</v>
      </c>
      <c r="L151" s="27">
        <v>229</v>
      </c>
    </row>
    <row r="152" spans="1:12" hidden="1" outlineLevel="1" x14ac:dyDescent="0.2">
      <c r="B152" s="9" t="s">
        <v>117</v>
      </c>
      <c r="C152" s="91">
        <f>(C20)/C19</f>
        <v>8.6859688195991089E-2</v>
      </c>
      <c r="D152" s="91">
        <f>(D20)/D19</f>
        <v>2.25</v>
      </c>
      <c r="E152" s="91">
        <f t="shared" ref="E152:L152" si="24">(-1*E20)/E19</f>
        <v>-2.7272727272727271E-2</v>
      </c>
      <c r="F152" s="91">
        <f t="shared" si="24"/>
        <v>8.3333333333333329E-2</v>
      </c>
      <c r="G152" s="91">
        <f t="shared" si="24"/>
        <v>-0.94901960784313721</v>
      </c>
      <c r="H152" s="91">
        <f t="shared" si="24"/>
        <v>0.13982011447260834</v>
      </c>
      <c r="I152" s="91">
        <f t="shared" si="24"/>
        <v>-0.10304054054054054</v>
      </c>
      <c r="J152" s="91">
        <f t="shared" si="24"/>
        <v>-0.7032520325203252</v>
      </c>
      <c r="K152" s="91">
        <f t="shared" si="24"/>
        <v>0.19155354449472098</v>
      </c>
      <c r="L152" s="91">
        <f t="shared" si="24"/>
        <v>-2.4879227053140097E-2</v>
      </c>
    </row>
    <row r="153" spans="1:12" hidden="1" outlineLevel="1" x14ac:dyDescent="0.2">
      <c r="B153" s="9" t="s">
        <v>118</v>
      </c>
      <c r="C153" s="27">
        <v>8200</v>
      </c>
      <c r="D153" s="27">
        <v>8900</v>
      </c>
      <c r="E153" s="27">
        <v>10100</v>
      </c>
      <c r="F153" s="27">
        <v>11400</v>
      </c>
      <c r="G153" s="27">
        <v>12600</v>
      </c>
      <c r="H153" s="27">
        <v>15500</v>
      </c>
      <c r="I153" s="27">
        <v>25000</v>
      </c>
      <c r="J153" s="27">
        <v>26000</v>
      </c>
      <c r="K153" s="27">
        <v>28000</v>
      </c>
      <c r="L153" s="27">
        <v>31000</v>
      </c>
    </row>
    <row r="154" spans="1:12" hidden="1" outlineLevel="1" x14ac:dyDescent="0.2"/>
    <row r="155" spans="1:12" collapsed="1" x14ac:dyDescent="0.2">
      <c r="B155" s="1"/>
    </row>
    <row r="156" spans="1:12" s="14" customFormat="1" ht="17" thickBot="1" x14ac:dyDescent="0.25">
      <c r="A156" s="4"/>
      <c r="B156" s="15" t="s">
        <v>112</v>
      </c>
    </row>
    <row r="157" spans="1:12" s="18" customFormat="1" outlineLevel="1" x14ac:dyDescent="0.2">
      <c r="A157" s="7"/>
      <c r="B157" s="17" t="s">
        <v>8</v>
      </c>
      <c r="C157" s="87"/>
      <c r="D157" s="82">
        <f t="shared" ref="D157:L158" si="25">IF(C5=0,
IF(D5=0,0,IF(D5&gt;0,1,-1)),
(D5-C5)/ABS(C5)
)</f>
        <v>0.21625376244501041</v>
      </c>
      <c r="E157" s="82">
        <f t="shared" si="25"/>
        <v>0.23262897391966494</v>
      </c>
      <c r="F157" s="82">
        <f t="shared" si="25"/>
        <v>3.9536679536679539E-2</v>
      </c>
      <c r="G157" s="82">
        <f t="shared" si="25"/>
        <v>0.45045312732134896</v>
      </c>
      <c r="H157" s="82">
        <f t="shared" si="25"/>
        <v>0.68329406944586701</v>
      </c>
      <c r="I157" s="82">
        <f t="shared" si="25"/>
        <v>0.43610806863818913</v>
      </c>
      <c r="J157" s="82">
        <f t="shared" si="25"/>
        <v>-3.9023770179229693E-2</v>
      </c>
      <c r="K157" s="82">
        <f t="shared" si="25"/>
        <v>0.13690476190476192</v>
      </c>
      <c r="L157" s="82">
        <f t="shared" si="25"/>
        <v>0.34337793290672874</v>
      </c>
    </row>
    <row r="158" spans="1:12" outlineLevel="1" x14ac:dyDescent="0.2">
      <c r="B158" s="9" t="s">
        <v>9</v>
      </c>
      <c r="C158" s="86"/>
      <c r="D158" s="81">
        <f t="shared" si="25"/>
        <v>4.5235223160434261E-2</v>
      </c>
      <c r="E158" s="81">
        <f t="shared" si="25"/>
        <v>0.16214656664743221</v>
      </c>
      <c r="F158" s="81">
        <f t="shared" si="25"/>
        <v>-4.0963257199602782E-2</v>
      </c>
      <c r="G158" s="81">
        <f t="shared" si="25"/>
        <v>0.40201915609629824</v>
      </c>
      <c r="H158" s="81">
        <f t="shared" si="25"/>
        <v>0.57034711964549478</v>
      </c>
      <c r="I158" s="81">
        <f t="shared" si="25"/>
        <v>0.35802469135802467</v>
      </c>
      <c r="J158" s="81">
        <f t="shared" si="25"/>
        <v>-2.354978354978355E-2</v>
      </c>
      <c r="K158" s="81">
        <f t="shared" si="25"/>
        <v>7.4126618194715374E-2</v>
      </c>
      <c r="L158" s="81">
        <f t="shared" si="25"/>
        <v>0.35842826481756646</v>
      </c>
    </row>
    <row r="159" spans="1:12" s="18" customFormat="1" outlineLevel="1" x14ac:dyDescent="0.2">
      <c r="A159" s="7"/>
      <c r="B159" s="17" t="s">
        <v>10</v>
      </c>
      <c r="C159" s="87"/>
      <c r="D159" s="82">
        <f t="shared" ref="D159:L161" si="26">IF(C8=0,
IF(D8=0,0,IF(D8&gt;0,1,-1)),
(D8-C8)/ABS(C8)
)</f>
        <v>0.78165503489531407</v>
      </c>
      <c r="E159" s="82">
        <f t="shared" si="26"/>
        <v>0.36933407946278679</v>
      </c>
      <c r="F159" s="82">
        <f t="shared" si="26"/>
        <v>0.17204740498569676</v>
      </c>
      <c r="G159" s="82">
        <f t="shared" si="26"/>
        <v>0.51569037656903771</v>
      </c>
      <c r="H159" s="82">
        <f t="shared" si="26"/>
        <v>0.82401656314699789</v>
      </c>
      <c r="I159" s="82">
        <f t="shared" si="26"/>
        <v>0.33724303190818516</v>
      </c>
      <c r="J159" s="82">
        <f t="shared" si="26"/>
        <v>-1.3486749033292464E-2</v>
      </c>
      <c r="K159" s="82">
        <f t="shared" si="26"/>
        <v>0.21653919694072657</v>
      </c>
      <c r="L159" s="82">
        <f t="shared" si="26"/>
        <v>0.34789783889980352</v>
      </c>
    </row>
    <row r="160" spans="1:12" outlineLevel="1" x14ac:dyDescent="0.2">
      <c r="B160" s="9" t="s">
        <v>11</v>
      </c>
      <c r="C160" s="86"/>
      <c r="D160" s="81">
        <f t="shared" si="26"/>
        <v>0.18650793650793651</v>
      </c>
      <c r="E160" s="81">
        <f t="shared" si="26"/>
        <v>0.19899665551839466</v>
      </c>
      <c r="F160" s="81">
        <f t="shared" si="26"/>
        <v>7.8800557880055785E-2</v>
      </c>
      <c r="G160" s="81">
        <f t="shared" si="26"/>
        <v>0.28183581124757595</v>
      </c>
      <c r="H160" s="81">
        <f t="shared" si="26"/>
        <v>0.43469490670700955</v>
      </c>
      <c r="I160" s="81">
        <f t="shared" si="26"/>
        <v>0.75922671353251314</v>
      </c>
      <c r="J160" s="81">
        <f t="shared" si="26"/>
        <v>0.17322677322677324</v>
      </c>
      <c r="K160" s="81">
        <f t="shared" si="26"/>
        <v>9.9455040871934602E-2</v>
      </c>
      <c r="L160" s="81">
        <f t="shared" si="26"/>
        <v>0.25325278810408924</v>
      </c>
    </row>
    <row r="161" spans="1:12" outlineLevel="1" x14ac:dyDescent="0.2">
      <c r="B161" s="12" t="s">
        <v>12</v>
      </c>
      <c r="C161" s="86"/>
      <c r="D161" s="81">
        <f t="shared" si="26"/>
        <v>0.1072961373390558</v>
      </c>
      <c r="E161" s="81">
        <f t="shared" si="26"/>
        <v>8.9147286821705432E-2</v>
      </c>
      <c r="F161" s="81">
        <f t="shared" si="26"/>
        <v>0.33451957295373663</v>
      </c>
      <c r="G161" s="81">
        <f t="shared" si="26"/>
        <v>0.32666666666666666</v>
      </c>
      <c r="H161" s="81">
        <f t="shared" si="26"/>
        <v>0.45527638190954772</v>
      </c>
      <c r="I161" s="81">
        <f t="shared" si="26"/>
        <v>0.61325966850828728</v>
      </c>
      <c r="J161" s="81">
        <f t="shared" si="26"/>
        <v>6.8493150684931503E-3</v>
      </c>
      <c r="K161" s="81">
        <f t="shared" si="26"/>
        <v>0.18324829931972789</v>
      </c>
      <c r="L161" s="81">
        <f t="shared" si="26"/>
        <v>0.4890406036651096</v>
      </c>
    </row>
    <row r="162" spans="1:12" outlineLevel="1" x14ac:dyDescent="0.2">
      <c r="B162" s="12" t="s">
        <v>14</v>
      </c>
      <c r="C162" s="86"/>
      <c r="D162" s="81">
        <f t="shared" ref="D162:L163" si="27">IF(C15=0,
IF(D15=0,0,IF(D15&gt;0,1,-1)),
(D15-C15)/ABS(C15)
)</f>
        <v>0.20639534883720931</v>
      </c>
      <c r="E162" s="81">
        <f t="shared" si="27"/>
        <v>0.20240963855421687</v>
      </c>
      <c r="F162" s="81">
        <f t="shared" si="27"/>
        <v>0.12074148296593186</v>
      </c>
      <c r="G162" s="81">
        <f t="shared" si="27"/>
        <v>0.33124720607957087</v>
      </c>
      <c r="H162" s="81">
        <f t="shared" si="27"/>
        <v>0.43754197447951643</v>
      </c>
      <c r="I162" s="81">
        <f t="shared" si="27"/>
        <v>1.181499649614576</v>
      </c>
      <c r="J162" s="81">
        <f t="shared" si="27"/>
        <v>7.7096048827497585E-2</v>
      </c>
      <c r="K162" s="81">
        <f t="shared" si="27"/>
        <v>7.6150710806243166E-2</v>
      </c>
      <c r="L162" s="81">
        <f t="shared" si="27"/>
        <v>0.24323325635103926</v>
      </c>
    </row>
    <row r="163" spans="1:12" s="18" customFormat="1" outlineLevel="1" x14ac:dyDescent="0.2">
      <c r="A163" s="7"/>
      <c r="B163" s="17" t="s">
        <v>15</v>
      </c>
      <c r="C163" s="87"/>
      <c r="D163" s="82">
        <f t="shared" si="27"/>
        <v>1.3404825737265416</v>
      </c>
      <c r="E163" s="82">
        <f t="shared" si="27"/>
        <v>2.5511811023622046</v>
      </c>
      <c r="F163" s="82">
        <f t="shared" si="27"/>
        <v>0.3991130820399113</v>
      </c>
      <c r="G163" s="82">
        <f t="shared" si="27"/>
        <v>1.1695721077654517</v>
      </c>
      <c r="H163" s="82">
        <f t="shared" si="27"/>
        <v>1.6647187728268809</v>
      </c>
      <c r="I163" s="82">
        <f t="shared" si="27"/>
        <v>-0.65350877192982459</v>
      </c>
      <c r="J163" s="82">
        <f t="shared" si="27"/>
        <v>-0.682753164556962</v>
      </c>
      <c r="K163" s="82">
        <f t="shared" si="27"/>
        <v>3.7381546134663344</v>
      </c>
      <c r="L163" s="82">
        <f t="shared" si="27"/>
        <v>0.9442105263157895</v>
      </c>
    </row>
    <row r="164" spans="1:12" s="83" customFormat="1" outlineLevel="1" x14ac:dyDescent="0.2">
      <c r="A164" s="7"/>
      <c r="B164" s="84" t="s">
        <v>16</v>
      </c>
      <c r="C164" s="87"/>
      <c r="D164" s="85">
        <f t="shared" ref="D164:L164" si="28">IF(C19=0,
IF(D19=0,0,IF(D19&gt;0,1,-1)),
(D19-C19)/ABS(C19)
)</f>
        <v>0.98218262806236079</v>
      </c>
      <c r="E164" s="85">
        <f t="shared" si="28"/>
        <v>42.25</v>
      </c>
      <c r="F164" s="85">
        <f t="shared" si="28"/>
        <v>0.12727272727272726</v>
      </c>
      <c r="G164" s="85">
        <f t="shared" si="28"/>
        <v>2.4274193548387095</v>
      </c>
      <c r="H164" s="85">
        <f t="shared" si="28"/>
        <v>1.8776470588235294</v>
      </c>
      <c r="I164" s="85">
        <f t="shared" si="28"/>
        <v>-0.67729626601253745</v>
      </c>
      <c r="J164" s="85">
        <f t="shared" si="28"/>
        <v>-0.58445945945945943</v>
      </c>
      <c r="K164" s="85">
        <f t="shared" si="28"/>
        <v>3.0426829268292681</v>
      </c>
      <c r="L164" s="85">
        <f t="shared" si="28"/>
        <v>1.0814479638009049</v>
      </c>
    </row>
    <row r="165" spans="1:12" s="83" customFormat="1" outlineLevel="1" x14ac:dyDescent="0.2">
      <c r="A165" s="7"/>
      <c r="B165" s="84" t="s">
        <v>18</v>
      </c>
      <c r="C165" s="87"/>
      <c r="D165" s="85">
        <f t="shared" ref="D165:L165" si="29">IF(C22=0,
IF(D22=0,0,IF(D22&gt;0,1,-1)),
(D22-C22)/ABS(C22)
)</f>
        <v>0.9337349397590361</v>
      </c>
      <c r="E165" s="85">
        <f t="shared" si="29"/>
        <v>11.212121212121213</v>
      </c>
      <c r="F165" s="85">
        <f t="shared" si="29"/>
        <v>1.1869436201780416E-2</v>
      </c>
      <c r="G165" s="85">
        <f t="shared" si="29"/>
        <v>6.3020527859237534</v>
      </c>
      <c r="H165" s="85">
        <f t="shared" si="29"/>
        <v>0.26987951807228916</v>
      </c>
      <c r="I165" s="85">
        <f t="shared" si="29"/>
        <v>-0.58254269449715368</v>
      </c>
      <c r="J165" s="85">
        <f t="shared" si="29"/>
        <v>-0.35303030303030303</v>
      </c>
      <c r="K165" s="85">
        <f t="shared" si="29"/>
        <v>0.92154566744730682</v>
      </c>
      <c r="L165" s="85">
        <f t="shared" si="29"/>
        <v>1.6014625228519195</v>
      </c>
    </row>
    <row r="166" spans="1:12" x14ac:dyDescent="0.2">
      <c r="B166" s="1"/>
    </row>
    <row r="167" spans="1:12" s="14" customFormat="1" ht="17" thickBot="1" x14ac:dyDescent="0.25">
      <c r="A167" s="4"/>
      <c r="B167" s="15" t="s">
        <v>113</v>
      </c>
    </row>
    <row r="168" spans="1:12" outlineLevel="1" x14ac:dyDescent="0.2">
      <c r="B168" s="9" t="s">
        <v>114</v>
      </c>
      <c r="C168" s="81">
        <f t="shared" ref="C168:L168" si="30">C8/C5</f>
        <v>0.23222968279694373</v>
      </c>
      <c r="D168" s="81">
        <f t="shared" si="30"/>
        <v>0.34018656006091758</v>
      </c>
      <c r="E168" s="81">
        <f t="shared" si="30"/>
        <v>0.37791505791505792</v>
      </c>
      <c r="F168" s="81">
        <f t="shared" si="30"/>
        <v>0.42608824840291187</v>
      </c>
      <c r="G168" s="81">
        <f t="shared" si="30"/>
        <v>0.44525248386766364</v>
      </c>
      <c r="H168" s="81">
        <f t="shared" si="30"/>
        <v>0.48247535596933189</v>
      </c>
      <c r="I168" s="81">
        <f t="shared" si="30"/>
        <v>0.4492606245498072</v>
      </c>
      <c r="J168" s="81">
        <f t="shared" si="30"/>
        <v>0.46119929453262787</v>
      </c>
      <c r="K168" s="81">
        <f t="shared" si="30"/>
        <v>0.49350397517936784</v>
      </c>
      <c r="L168" s="81">
        <f t="shared" si="30"/>
        <v>0.49516441005802708</v>
      </c>
    </row>
    <row r="169" spans="1:12" outlineLevel="1" x14ac:dyDescent="0.2">
      <c r="B169" s="9" t="s">
        <v>115</v>
      </c>
      <c r="C169" s="81">
        <f t="shared" ref="C169:L169" si="31">C16/C5</f>
        <v>-8.636258393146562E-2</v>
      </c>
      <c r="D169" s="81">
        <f t="shared" si="31"/>
        <v>2.4176660955644393E-2</v>
      </c>
      <c r="E169" s="81">
        <f t="shared" si="31"/>
        <v>6.9652509652509659E-2</v>
      </c>
      <c r="F169" s="81">
        <f t="shared" si="31"/>
        <v>9.3745357302035356E-2</v>
      </c>
      <c r="G169" s="81">
        <f t="shared" si="31"/>
        <v>0.14022329202089523</v>
      </c>
      <c r="H169" s="81">
        <f t="shared" si="31"/>
        <v>0.22197882438846295</v>
      </c>
      <c r="I169" s="81">
        <f t="shared" si="31"/>
        <v>5.3557052667259859E-2</v>
      </c>
      <c r="J169" s="81">
        <f t="shared" si="31"/>
        <v>1.7680776014109348E-2</v>
      </c>
      <c r="K169" s="81">
        <f t="shared" si="31"/>
        <v>7.3686251696722896E-2</v>
      </c>
      <c r="L169" s="81">
        <f t="shared" si="31"/>
        <v>0.10664280146655504</v>
      </c>
    </row>
    <row r="170" spans="1:12" s="90" customFormat="1" outlineLevel="1" x14ac:dyDescent="0.2">
      <c r="A170" s="1"/>
      <c r="B170" s="88" t="s">
        <v>116</v>
      </c>
      <c r="C170" s="89">
        <f t="shared" ref="C170:L170" si="32">C22/C5</f>
        <v>-0.11530446862699699</v>
      </c>
      <c r="D170" s="89">
        <f t="shared" si="32"/>
        <v>-6.2821245002855509E-3</v>
      </c>
      <c r="E170" s="89">
        <f t="shared" si="32"/>
        <v>5.2046332046332043E-2</v>
      </c>
      <c r="F170" s="89">
        <f t="shared" si="32"/>
        <v>5.0661120190164909E-2</v>
      </c>
      <c r="G170" s="89">
        <f t="shared" si="32"/>
        <v>0.25504455597664655</v>
      </c>
      <c r="H170" s="89">
        <f t="shared" si="32"/>
        <v>0.19240598758671049</v>
      </c>
      <c r="I170" s="89">
        <f t="shared" si="32"/>
        <v>5.5929833481632135E-2</v>
      </c>
      <c r="J170" s="89">
        <f t="shared" si="32"/>
        <v>3.7654320987654324E-2</v>
      </c>
      <c r="K170" s="89">
        <f t="shared" si="32"/>
        <v>6.3641652123327522E-2</v>
      </c>
      <c r="L170" s="89">
        <f t="shared" si="32"/>
        <v>0.12324258783452179</v>
      </c>
    </row>
    <row r="171" spans="1:12" x14ac:dyDescent="0.2">
      <c r="B171" s="1"/>
    </row>
  </sheetData>
  <phoneticPr fontId="5" type="noConversion"/>
  <pageMargins left="0.7" right="0.7" top="0.75" bottom="0.75" header="0.3" footer="0.3"/>
  <ignoredErrors>
    <ignoredError sqref="C48:F48 C61:D61 E61:F61 G48:L48 G61:L61 C140 D140:L140 C142:L142" formulaRange="1"/>
    <ignoredError sqref="D162 I129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1336-2E39-7442-9864-91E9B0A07818}">
  <dimension ref="A1:S149"/>
  <sheetViews>
    <sheetView zoomScale="150" zoomScaleNormal="100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J143" sqref="J143"/>
    </sheetView>
  </sheetViews>
  <sheetFormatPr baseColWidth="10" defaultColWidth="10.83203125" defaultRowHeight="16" outlineLevelRow="2" outlineLevelCol="1" x14ac:dyDescent="0.2"/>
  <cols>
    <col min="1" max="1" width="3.6640625" style="1" customWidth="1"/>
    <col min="2" max="2" width="31" style="9" customWidth="1"/>
    <col min="3" max="3" width="10.83203125" style="1" customWidth="1" outlineLevel="1"/>
    <col min="4" max="4" width="12" style="1" customWidth="1" outlineLevel="1"/>
    <col min="5" max="10" width="10.83203125" style="1" customWidth="1" outlineLevel="1"/>
    <col min="11" max="11" width="2" style="1" customWidth="1" outlineLevel="1"/>
    <col min="12" max="12" width="10.33203125" style="1" customWidth="1" outlineLevel="1"/>
    <col min="13" max="13" width="2.33203125" style="1" customWidth="1"/>
    <col min="14" max="14" width="10.83203125" style="1" customWidth="1"/>
    <col min="15" max="15" width="2.5" style="1" customWidth="1"/>
    <col min="16" max="17" width="10.83203125" style="1" customWidth="1"/>
    <col min="18" max="18" width="12" style="1" customWidth="1"/>
    <col min="19" max="19" width="2.33203125" style="1" customWidth="1"/>
    <col min="20" max="16384" width="10.83203125" style="1"/>
  </cols>
  <sheetData>
    <row r="1" spans="1:19" x14ac:dyDescent="0.2">
      <c r="B1" s="1"/>
    </row>
    <row r="2" spans="1:19" s="3" customFormat="1" x14ac:dyDescent="0.2">
      <c r="A2" s="2"/>
      <c r="B2" s="64" t="s">
        <v>0</v>
      </c>
      <c r="C2" s="3" t="s">
        <v>178</v>
      </c>
      <c r="D2" s="3" t="s">
        <v>177</v>
      </c>
      <c r="E2" s="3" t="s">
        <v>120</v>
      </c>
      <c r="F2" s="3" t="s">
        <v>176</v>
      </c>
      <c r="G2" s="3" t="s">
        <v>175</v>
      </c>
      <c r="H2" s="40" t="s">
        <v>174</v>
      </c>
      <c r="I2" s="40" t="s">
        <v>185</v>
      </c>
      <c r="J2" s="40" t="s">
        <v>198</v>
      </c>
      <c r="K2" s="2"/>
      <c r="L2" s="2"/>
      <c r="M2" s="2"/>
      <c r="N2" s="46"/>
      <c r="O2" s="2"/>
      <c r="P2" s="48"/>
      <c r="Q2" s="49"/>
      <c r="R2" s="50"/>
      <c r="S2" s="2"/>
    </row>
    <row r="3" spans="1:19" s="5" customFormat="1" x14ac:dyDescent="0.2">
      <c r="A3" s="4"/>
      <c r="B3" s="65" t="s">
        <v>88</v>
      </c>
      <c r="C3" s="3" t="s">
        <v>90</v>
      </c>
      <c r="D3" s="3" t="s">
        <v>91</v>
      </c>
      <c r="E3" s="3" t="s">
        <v>97</v>
      </c>
      <c r="F3" s="3" t="s">
        <v>89</v>
      </c>
      <c r="G3" s="3" t="s">
        <v>92</v>
      </c>
      <c r="H3" s="40" t="s">
        <v>93</v>
      </c>
      <c r="I3" s="40" t="s">
        <v>186</v>
      </c>
      <c r="J3" s="40" t="s">
        <v>197</v>
      </c>
      <c r="K3" s="4"/>
      <c r="L3" s="4"/>
      <c r="M3" s="4"/>
      <c r="N3" s="47"/>
      <c r="O3" s="4"/>
      <c r="P3" s="51" t="str">
        <f>I3</f>
        <v>Q4 2025</v>
      </c>
      <c r="Q3" s="5" t="str">
        <f>J3</f>
        <v>Q1 2026</v>
      </c>
      <c r="R3" s="52" t="s">
        <v>101</v>
      </c>
      <c r="S3" s="4"/>
    </row>
    <row r="4" spans="1:19" s="14" customFormat="1" ht="17" thickBot="1" x14ac:dyDescent="0.25">
      <c r="A4" s="4"/>
      <c r="B4" s="15" t="s">
        <v>6</v>
      </c>
      <c r="K4" s="4"/>
      <c r="L4" s="4"/>
      <c r="M4" s="4"/>
      <c r="N4" s="41" t="s">
        <v>99</v>
      </c>
      <c r="O4" s="4"/>
      <c r="P4" s="95" t="s">
        <v>100</v>
      </c>
      <c r="Q4" s="96"/>
      <c r="R4" s="97"/>
      <c r="S4" s="4"/>
    </row>
    <row r="5" spans="1:19" s="18" customFormat="1" outlineLevel="1" x14ac:dyDescent="0.2">
      <c r="A5" s="7"/>
      <c r="B5" s="17" t="s">
        <v>8</v>
      </c>
      <c r="C5" s="55">
        <v>5835</v>
      </c>
      <c r="D5" s="55">
        <v>6819</v>
      </c>
      <c r="E5" s="55">
        <v>7658</v>
      </c>
      <c r="F5" s="55">
        <v>7438</v>
      </c>
      <c r="G5" s="55">
        <v>7685</v>
      </c>
      <c r="H5" s="55">
        <v>9246</v>
      </c>
      <c r="I5" s="55">
        <v>10270</v>
      </c>
      <c r="J5" s="55">
        <v>10253</v>
      </c>
      <c r="K5" s="21"/>
      <c r="L5" s="21"/>
      <c r="M5" s="21"/>
      <c r="N5" s="63">
        <f t="shared" ref="N5:N26" si="0">SUM(G5:J5)</f>
        <v>37454</v>
      </c>
      <c r="O5" s="7"/>
      <c r="P5" s="73">
        <f t="shared" ref="P5:P30" si="1">I5</f>
        <v>10270</v>
      </c>
      <c r="Q5" s="58">
        <f t="shared" ref="Q5:Q30" si="2">J5</f>
        <v>10253</v>
      </c>
      <c r="R5" s="69">
        <f t="shared" ref="R5:R30" si="3">IF(P5=0,
IF(Q5=0,0,IF(Q5&gt;0,1,-1)),
(Q5-P5)/ABS(P5)
)</f>
        <v>-1.6553067185978579E-3</v>
      </c>
      <c r="S5" s="7"/>
    </row>
    <row r="6" spans="1:19" s="7" customFormat="1" outlineLevel="1" x14ac:dyDescent="0.2">
      <c r="B6" s="12" t="s">
        <v>9</v>
      </c>
      <c r="C6" s="27">
        <v>2740</v>
      </c>
      <c r="D6" s="27">
        <v>3167</v>
      </c>
      <c r="E6" s="27">
        <v>3524</v>
      </c>
      <c r="F6" s="27">
        <v>3451</v>
      </c>
      <c r="G6" s="27">
        <v>4366</v>
      </c>
      <c r="H6" s="27">
        <v>4206</v>
      </c>
      <c r="I6" s="27">
        <v>4433</v>
      </c>
      <c r="J6" s="27">
        <v>4576</v>
      </c>
      <c r="K6" s="36"/>
      <c r="L6" s="36"/>
      <c r="M6" s="36"/>
      <c r="N6" s="42">
        <f>SUM(G6:J6)</f>
        <v>17581</v>
      </c>
      <c r="O6" s="8"/>
      <c r="P6" s="74">
        <f t="shared" si="1"/>
        <v>4433</v>
      </c>
      <c r="Q6" s="36">
        <f t="shared" si="2"/>
        <v>4576</v>
      </c>
      <c r="R6" s="70">
        <f t="shared" ref="R6" si="4">K6</f>
        <v>0</v>
      </c>
    </row>
    <row r="7" spans="1:19" outlineLevel="1" x14ac:dyDescent="0.2">
      <c r="B7" s="9" t="s">
        <v>131</v>
      </c>
      <c r="C7" s="27">
        <v>231</v>
      </c>
      <c r="D7" s="27">
        <v>233</v>
      </c>
      <c r="E7" s="27">
        <v>252</v>
      </c>
      <c r="F7" s="27">
        <v>251</v>
      </c>
      <c r="G7" s="27">
        <v>260</v>
      </c>
      <c r="H7" s="27">
        <v>260</v>
      </c>
      <c r="I7" s="27">
        <v>260</v>
      </c>
      <c r="J7" s="27">
        <v>261</v>
      </c>
      <c r="K7" s="20"/>
      <c r="L7" s="20"/>
      <c r="M7" s="20"/>
      <c r="N7" s="42">
        <f>SUM(G7:J7)</f>
        <v>1041</v>
      </c>
      <c r="P7" s="53">
        <f t="shared" si="1"/>
        <v>260</v>
      </c>
      <c r="Q7" s="20">
        <f t="shared" si="2"/>
        <v>261</v>
      </c>
      <c r="R7" s="54">
        <f t="shared" si="3"/>
        <v>3.8461538461538464E-3</v>
      </c>
    </row>
    <row r="8" spans="1:19" s="18" customFormat="1" outlineLevel="1" x14ac:dyDescent="0.2">
      <c r="A8" s="7"/>
      <c r="B8" s="17" t="s">
        <v>10</v>
      </c>
      <c r="C8" s="58">
        <f t="shared" ref="C8" si="5">C5-C6-C7</f>
        <v>2864</v>
      </c>
      <c r="D8" s="58">
        <f>D5-D6-D7</f>
        <v>3419</v>
      </c>
      <c r="E8" s="58">
        <f t="shared" ref="E8:H8" si="6">E5-E6-E7</f>
        <v>3882</v>
      </c>
      <c r="F8" s="58">
        <f t="shared" si="6"/>
        <v>3736</v>
      </c>
      <c r="G8" s="58">
        <f t="shared" si="6"/>
        <v>3059</v>
      </c>
      <c r="H8" s="58">
        <f t="shared" si="6"/>
        <v>4780</v>
      </c>
      <c r="I8" s="58">
        <f t="shared" ref="I8:J8" si="7">I5-I6-I7</f>
        <v>5577</v>
      </c>
      <c r="J8" s="58">
        <f t="shared" si="7"/>
        <v>5416</v>
      </c>
      <c r="K8" s="21"/>
      <c r="L8" s="21"/>
      <c r="M8" s="21"/>
      <c r="N8" s="63">
        <f t="shared" si="0"/>
        <v>18832</v>
      </c>
      <c r="O8" s="7"/>
      <c r="P8" s="73">
        <f t="shared" si="1"/>
        <v>5577</v>
      </c>
      <c r="Q8" s="58">
        <f t="shared" si="2"/>
        <v>5416</v>
      </c>
      <c r="R8" s="69">
        <f t="shared" si="3"/>
        <v>-2.8868567330105791E-2</v>
      </c>
      <c r="S8" s="7"/>
    </row>
    <row r="9" spans="1:19" outlineLevel="1" x14ac:dyDescent="0.2">
      <c r="B9" s="9" t="s">
        <v>11</v>
      </c>
      <c r="C9" s="27">
        <v>1583</v>
      </c>
      <c r="D9" s="27">
        <v>1636</v>
      </c>
      <c r="E9" s="27">
        <v>1712</v>
      </c>
      <c r="F9" s="27">
        <v>1728</v>
      </c>
      <c r="G9" s="27">
        <v>1894</v>
      </c>
      <c r="H9" s="27">
        <v>2139</v>
      </c>
      <c r="I9" s="27">
        <v>2330</v>
      </c>
      <c r="J9" s="27">
        <v>2397</v>
      </c>
      <c r="K9" s="20"/>
      <c r="L9" s="20"/>
      <c r="M9" s="20"/>
      <c r="N9" s="42">
        <f t="shared" si="0"/>
        <v>8760</v>
      </c>
      <c r="P9" s="53">
        <f t="shared" si="1"/>
        <v>2330</v>
      </c>
      <c r="Q9" s="20">
        <f t="shared" si="2"/>
        <v>2397</v>
      </c>
      <c r="R9" s="54">
        <f t="shared" si="3"/>
        <v>2.8755364806866954E-2</v>
      </c>
    </row>
    <row r="10" spans="1:19" s="8" customFormat="1" outlineLevel="1" x14ac:dyDescent="0.2">
      <c r="B10" s="12" t="s">
        <v>12</v>
      </c>
      <c r="C10" s="27">
        <v>650</v>
      </c>
      <c r="D10" s="27">
        <v>707</v>
      </c>
      <c r="E10" s="27">
        <v>781</v>
      </c>
      <c r="F10" s="27">
        <v>886</v>
      </c>
      <c r="G10" s="27">
        <v>991</v>
      </c>
      <c r="H10" s="27">
        <v>1069</v>
      </c>
      <c r="I10" s="27">
        <v>1198</v>
      </c>
      <c r="J10" s="27">
        <v>1253</v>
      </c>
      <c r="K10" s="20"/>
      <c r="L10" s="20"/>
      <c r="M10" s="20"/>
      <c r="N10" s="42">
        <f t="shared" si="0"/>
        <v>4511</v>
      </c>
      <c r="P10" s="74">
        <f t="shared" si="1"/>
        <v>1198</v>
      </c>
      <c r="Q10" s="36">
        <f t="shared" si="2"/>
        <v>1253</v>
      </c>
      <c r="R10" s="70">
        <f t="shared" si="3"/>
        <v>4.5909849749582635E-2</v>
      </c>
    </row>
    <row r="11" spans="1:19" s="8" customFormat="1" outlineLevel="1" x14ac:dyDescent="0.2">
      <c r="B11" s="12" t="s">
        <v>131</v>
      </c>
      <c r="C11" s="27">
        <v>372</v>
      </c>
      <c r="D11" s="27">
        <v>352</v>
      </c>
      <c r="E11" s="27">
        <v>332</v>
      </c>
      <c r="F11" s="27">
        <v>316</v>
      </c>
      <c r="G11" s="27">
        <v>308</v>
      </c>
      <c r="H11" s="27">
        <v>302</v>
      </c>
      <c r="I11" s="27">
        <v>297</v>
      </c>
      <c r="J11" s="27">
        <v>290</v>
      </c>
      <c r="K11" s="20"/>
      <c r="L11" s="20"/>
      <c r="M11" s="20"/>
      <c r="N11" s="42">
        <f t="shared" si="0"/>
        <v>1197</v>
      </c>
      <c r="P11" s="74">
        <f t="shared" si="1"/>
        <v>297</v>
      </c>
      <c r="Q11" s="36">
        <f t="shared" si="2"/>
        <v>290</v>
      </c>
      <c r="R11" s="70">
        <f t="shared" si="3"/>
        <v>-2.3569023569023569E-2</v>
      </c>
    </row>
    <row r="12" spans="1:19" s="8" customFormat="1" outlineLevel="1" x14ac:dyDescent="0.2">
      <c r="B12" s="12" t="s">
        <v>132</v>
      </c>
      <c r="C12" s="27">
        <v>0</v>
      </c>
      <c r="D12" s="27">
        <v>0</v>
      </c>
      <c r="E12" s="27">
        <v>186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0"/>
      <c r="L12" s="20"/>
      <c r="M12" s="20"/>
      <c r="N12" s="42">
        <f t="shared" si="0"/>
        <v>0</v>
      </c>
      <c r="P12" s="74">
        <f t="shared" si="1"/>
        <v>0</v>
      </c>
      <c r="Q12" s="36">
        <f t="shared" si="2"/>
        <v>0</v>
      </c>
      <c r="R12" s="70">
        <f t="shared" si="3"/>
        <v>0</v>
      </c>
    </row>
    <row r="13" spans="1:19" s="8" customFormat="1" outlineLevel="1" x14ac:dyDescent="0.2">
      <c r="B13" s="12" t="s">
        <v>13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0"/>
      <c r="L13" s="20"/>
      <c r="M13" s="20"/>
      <c r="N13" s="42">
        <f t="shared" si="0"/>
        <v>0</v>
      </c>
      <c r="P13" s="74">
        <f t="shared" si="1"/>
        <v>0</v>
      </c>
      <c r="Q13" s="36">
        <f t="shared" si="2"/>
        <v>0</v>
      </c>
      <c r="R13" s="70">
        <f t="shared" si="3"/>
        <v>0</v>
      </c>
    </row>
    <row r="14" spans="1:19" outlineLevel="1" x14ac:dyDescent="0.2">
      <c r="B14" s="12" t="s">
        <v>7</v>
      </c>
      <c r="C14" s="27">
        <v>-10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0"/>
      <c r="L14" s="20"/>
      <c r="M14" s="20"/>
      <c r="N14" s="42">
        <f t="shared" si="0"/>
        <v>0</v>
      </c>
      <c r="P14" s="53">
        <f t="shared" si="1"/>
        <v>0</v>
      </c>
      <c r="Q14" s="20">
        <f t="shared" si="2"/>
        <v>0</v>
      </c>
      <c r="R14" s="54">
        <f t="shared" si="3"/>
        <v>0</v>
      </c>
    </row>
    <row r="15" spans="1:19" outlineLevel="1" x14ac:dyDescent="0.2">
      <c r="B15" s="12" t="s">
        <v>14</v>
      </c>
      <c r="C15" s="20">
        <f t="shared" ref="C15:H15" si="8">SUM(C9:C14)</f>
        <v>2595</v>
      </c>
      <c r="D15" s="20">
        <f t="shared" si="8"/>
        <v>2695</v>
      </c>
      <c r="E15" s="20">
        <f t="shared" si="8"/>
        <v>3011</v>
      </c>
      <c r="F15" s="20">
        <f t="shared" si="8"/>
        <v>2930</v>
      </c>
      <c r="G15" s="20">
        <f t="shared" si="8"/>
        <v>3193</v>
      </c>
      <c r="H15" s="20">
        <f t="shared" si="8"/>
        <v>3510</v>
      </c>
      <c r="I15" s="20">
        <f t="shared" ref="I15:J15" si="9">SUM(I9:I14)</f>
        <v>3825</v>
      </c>
      <c r="J15" s="20">
        <f t="shared" si="9"/>
        <v>3940</v>
      </c>
      <c r="K15" s="20"/>
      <c r="L15" s="20"/>
      <c r="M15" s="20"/>
      <c r="N15" s="42">
        <f t="shared" si="0"/>
        <v>14468</v>
      </c>
      <c r="P15" s="53">
        <f t="shared" si="1"/>
        <v>3825</v>
      </c>
      <c r="Q15" s="20">
        <f>J15</f>
        <v>3940</v>
      </c>
      <c r="R15" s="54">
        <f t="shared" si="3"/>
        <v>3.0065359477124184E-2</v>
      </c>
    </row>
    <row r="16" spans="1:19" s="18" customFormat="1" outlineLevel="1" x14ac:dyDescent="0.2">
      <c r="A16" s="7"/>
      <c r="B16" s="17" t="s">
        <v>15</v>
      </c>
      <c r="C16" s="55">
        <v>269</v>
      </c>
      <c r="D16" s="55">
        <v>724</v>
      </c>
      <c r="E16" s="55">
        <v>871</v>
      </c>
      <c r="F16" s="55">
        <v>806</v>
      </c>
      <c r="G16" s="55">
        <v>-134</v>
      </c>
      <c r="H16" s="55">
        <v>1270</v>
      </c>
      <c r="I16" s="55">
        <v>1752</v>
      </c>
      <c r="J16" s="55">
        <v>1476</v>
      </c>
      <c r="K16" s="21"/>
      <c r="L16" s="21"/>
      <c r="M16" s="21"/>
      <c r="N16" s="63">
        <f t="shared" si="0"/>
        <v>4364</v>
      </c>
      <c r="O16" s="7"/>
      <c r="P16" s="73">
        <f t="shared" si="1"/>
        <v>1752</v>
      </c>
      <c r="Q16" s="58">
        <f t="shared" si="2"/>
        <v>1476</v>
      </c>
      <c r="R16" s="69">
        <f t="shared" si="3"/>
        <v>-0.15753424657534246</v>
      </c>
      <c r="S16" s="7"/>
    </row>
    <row r="17" spans="1:19" outlineLevel="1" x14ac:dyDescent="0.2">
      <c r="B17" s="12" t="s">
        <v>52</v>
      </c>
      <c r="C17" s="27">
        <v>-25</v>
      </c>
      <c r="D17" s="27">
        <v>-23</v>
      </c>
      <c r="E17" s="27">
        <v>-19</v>
      </c>
      <c r="F17" s="27">
        <v>-20</v>
      </c>
      <c r="G17" s="27">
        <v>-38</v>
      </c>
      <c r="H17" s="27">
        <v>-37</v>
      </c>
      <c r="I17" s="27">
        <v>-36</v>
      </c>
      <c r="J17" s="27">
        <v>-37</v>
      </c>
      <c r="K17" s="20"/>
      <c r="L17" s="20"/>
      <c r="M17" s="20"/>
      <c r="N17" s="42">
        <f t="shared" si="0"/>
        <v>-148</v>
      </c>
      <c r="P17" s="53">
        <f t="shared" si="1"/>
        <v>-36</v>
      </c>
      <c r="Q17" s="20">
        <f t="shared" si="2"/>
        <v>-37</v>
      </c>
      <c r="R17" s="54">
        <f t="shared" si="3"/>
        <v>-2.7777777777777776E-2</v>
      </c>
    </row>
    <row r="18" spans="1:19" outlineLevel="1" x14ac:dyDescent="0.2">
      <c r="B18" s="12" t="s">
        <v>25</v>
      </c>
      <c r="C18" s="27">
        <v>55</v>
      </c>
      <c r="D18" s="27">
        <v>36</v>
      </c>
      <c r="E18" s="27">
        <v>37</v>
      </c>
      <c r="F18" s="27">
        <v>39</v>
      </c>
      <c r="G18" s="27">
        <v>98</v>
      </c>
      <c r="H18" s="27">
        <v>82</v>
      </c>
      <c r="I18" s="27">
        <v>358</v>
      </c>
      <c r="J18" s="27">
        <v>165</v>
      </c>
      <c r="K18" s="20"/>
      <c r="L18" s="20"/>
      <c r="M18" s="20"/>
      <c r="N18" s="42">
        <f t="shared" si="0"/>
        <v>703</v>
      </c>
      <c r="P18" s="53">
        <f t="shared" si="1"/>
        <v>358</v>
      </c>
      <c r="Q18" s="20">
        <f t="shared" si="2"/>
        <v>165</v>
      </c>
      <c r="R18" s="54">
        <f t="shared" si="3"/>
        <v>-0.53910614525139666</v>
      </c>
    </row>
    <row r="19" spans="1:19" s="18" customFormat="1" outlineLevel="1" x14ac:dyDescent="0.2">
      <c r="A19" s="7"/>
      <c r="B19" s="17" t="s">
        <v>16</v>
      </c>
      <c r="C19" s="55">
        <v>299</v>
      </c>
      <c r="D19" s="55">
        <v>737</v>
      </c>
      <c r="E19" s="55">
        <v>889</v>
      </c>
      <c r="F19" s="55">
        <v>825</v>
      </c>
      <c r="G19" s="55">
        <v>-74</v>
      </c>
      <c r="H19" s="55">
        <v>1315</v>
      </c>
      <c r="I19" s="55">
        <v>2074</v>
      </c>
      <c r="J19" s="55">
        <v>1604</v>
      </c>
      <c r="K19" s="21"/>
      <c r="L19" s="21"/>
      <c r="M19" s="21"/>
      <c r="N19" s="63">
        <f t="shared" si="0"/>
        <v>4919</v>
      </c>
      <c r="O19" s="7"/>
      <c r="P19" s="73">
        <f t="shared" si="1"/>
        <v>2074</v>
      </c>
      <c r="Q19" s="58">
        <f t="shared" si="2"/>
        <v>1604</v>
      </c>
      <c r="R19" s="69">
        <f t="shared" si="3"/>
        <v>-0.2266152362584378</v>
      </c>
      <c r="S19" s="7"/>
    </row>
    <row r="20" spans="1:19" outlineLevel="1" x14ac:dyDescent="0.2">
      <c r="B20" s="12" t="s">
        <v>96</v>
      </c>
      <c r="C20" s="27">
        <v>-41</v>
      </c>
      <c r="D20" s="27">
        <v>27</v>
      </c>
      <c r="E20" s="27">
        <v>-419</v>
      </c>
      <c r="F20" s="27">
        <v>-123</v>
      </c>
      <c r="G20" s="27">
        <v>834</v>
      </c>
      <c r="H20" s="27">
        <v>-153</v>
      </c>
      <c r="I20" s="27">
        <v>-455</v>
      </c>
      <c r="J20" s="27">
        <v>-238</v>
      </c>
      <c r="K20" s="20"/>
      <c r="L20" s="20"/>
      <c r="M20" s="20"/>
      <c r="N20" s="42">
        <f t="shared" si="0"/>
        <v>-12</v>
      </c>
      <c r="P20" s="53">
        <f t="shared" si="1"/>
        <v>-455</v>
      </c>
      <c r="Q20" s="20">
        <f t="shared" si="2"/>
        <v>-238</v>
      </c>
      <c r="R20" s="54">
        <f t="shared" si="3"/>
        <v>0.47692307692307695</v>
      </c>
    </row>
    <row r="21" spans="1:19" outlineLevel="1" x14ac:dyDescent="0.2">
      <c r="B21" s="12" t="s">
        <v>130</v>
      </c>
      <c r="C21" s="27">
        <v>7</v>
      </c>
      <c r="D21" s="27">
        <v>7</v>
      </c>
      <c r="E21" s="27">
        <v>12</v>
      </c>
      <c r="F21" s="27">
        <v>7</v>
      </c>
      <c r="G21" s="27">
        <v>8</v>
      </c>
      <c r="H21" s="27">
        <v>10</v>
      </c>
      <c r="I21" s="27">
        <v>1</v>
      </c>
      <c r="J21" s="27">
        <v>6</v>
      </c>
      <c r="K21" s="20"/>
      <c r="L21" s="20"/>
      <c r="M21" s="20"/>
      <c r="N21" s="42">
        <f t="shared" si="0"/>
        <v>25</v>
      </c>
      <c r="P21" s="53">
        <f t="shared" si="1"/>
        <v>1</v>
      </c>
      <c r="Q21" s="20">
        <f t="shared" si="2"/>
        <v>6</v>
      </c>
      <c r="R21" s="54">
        <f t="shared" si="3"/>
        <v>5</v>
      </c>
    </row>
    <row r="22" spans="1:19" s="18" customFormat="1" outlineLevel="1" x14ac:dyDescent="0.2">
      <c r="A22" s="7"/>
      <c r="B22" s="17" t="s">
        <v>18</v>
      </c>
      <c r="C22" s="55">
        <v>265</v>
      </c>
      <c r="D22" s="55">
        <v>771</v>
      </c>
      <c r="E22" s="55">
        <v>482</v>
      </c>
      <c r="F22" s="55">
        <v>709</v>
      </c>
      <c r="G22" s="55">
        <v>768</v>
      </c>
      <c r="H22" s="55">
        <v>1172</v>
      </c>
      <c r="I22" s="55">
        <v>1620</v>
      </c>
      <c r="J22" s="55">
        <v>1372</v>
      </c>
      <c r="K22" s="21"/>
      <c r="L22" s="21"/>
      <c r="M22" s="21"/>
      <c r="N22" s="63">
        <f t="shared" si="0"/>
        <v>4932</v>
      </c>
      <c r="O22" s="7"/>
      <c r="P22" s="73">
        <f t="shared" si="1"/>
        <v>1620</v>
      </c>
      <c r="Q22" s="58">
        <f t="shared" si="2"/>
        <v>1372</v>
      </c>
      <c r="R22" s="69">
        <f t="shared" si="3"/>
        <v>-0.15308641975308643</v>
      </c>
      <c r="S22" s="7"/>
    </row>
    <row r="23" spans="1:19" outlineLevel="1" x14ac:dyDescent="0.2">
      <c r="B23" s="12" t="s">
        <v>17</v>
      </c>
      <c r="C23" s="27">
        <v>0</v>
      </c>
      <c r="D23" s="27">
        <v>0</v>
      </c>
      <c r="E23" s="27">
        <v>0</v>
      </c>
      <c r="F23" s="27">
        <v>0</v>
      </c>
      <c r="G23" s="27">
        <v>104</v>
      </c>
      <c r="H23" s="27">
        <v>71</v>
      </c>
      <c r="I23" s="27">
        <v>-109</v>
      </c>
      <c r="J23" s="27">
        <v>11</v>
      </c>
      <c r="K23" s="20"/>
      <c r="L23" s="20"/>
      <c r="M23" s="20"/>
      <c r="N23" s="42">
        <f t="shared" si="0"/>
        <v>77</v>
      </c>
      <c r="P23" s="53">
        <f t="shared" si="1"/>
        <v>-109</v>
      </c>
      <c r="Q23" s="20">
        <f t="shared" si="2"/>
        <v>11</v>
      </c>
      <c r="R23" s="54">
        <f t="shared" si="3"/>
        <v>1.1009174311926606</v>
      </c>
    </row>
    <row r="24" spans="1:19" s="37" customFormat="1" outlineLevel="1" x14ac:dyDescent="0.2">
      <c r="A24" s="8"/>
      <c r="B24" s="34" t="s">
        <v>95</v>
      </c>
      <c r="C24" s="35">
        <v>265</v>
      </c>
      <c r="D24" s="35">
        <v>771</v>
      </c>
      <c r="E24" s="35">
        <v>482</v>
      </c>
      <c r="F24" s="35">
        <v>709</v>
      </c>
      <c r="G24" s="35">
        <v>872</v>
      </c>
      <c r="H24" s="35">
        <v>1243</v>
      </c>
      <c r="I24" s="35">
        <v>1511</v>
      </c>
      <c r="J24" s="35">
        <v>1383</v>
      </c>
      <c r="K24" s="36"/>
      <c r="L24" s="36"/>
      <c r="M24" s="36"/>
      <c r="N24" s="43">
        <f t="shared" si="0"/>
        <v>5009</v>
      </c>
      <c r="O24" s="8"/>
      <c r="P24" s="75">
        <f t="shared" si="1"/>
        <v>1511</v>
      </c>
      <c r="Q24" s="76">
        <f t="shared" si="2"/>
        <v>1383</v>
      </c>
      <c r="R24" s="71">
        <f t="shared" si="3"/>
        <v>-8.471211118464593E-2</v>
      </c>
      <c r="S24" s="8"/>
    </row>
    <row r="25" spans="1:19" outlineLevel="1" x14ac:dyDescent="0.2">
      <c r="B25" s="12" t="s">
        <v>19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0"/>
      <c r="L25" s="20"/>
      <c r="M25" s="20"/>
      <c r="N25" s="42">
        <f t="shared" si="0"/>
        <v>0</v>
      </c>
      <c r="P25" s="53">
        <f t="shared" si="1"/>
        <v>0</v>
      </c>
      <c r="Q25" s="20">
        <f t="shared" si="2"/>
        <v>0</v>
      </c>
      <c r="R25" s="54">
        <f t="shared" si="3"/>
        <v>0</v>
      </c>
    </row>
    <row r="26" spans="1:19" outlineLevel="1" x14ac:dyDescent="0.2">
      <c r="B26" s="12" t="s">
        <v>20</v>
      </c>
      <c r="C26" s="27">
        <v>265</v>
      </c>
      <c r="D26" s="27">
        <v>771</v>
      </c>
      <c r="E26" s="27">
        <v>482</v>
      </c>
      <c r="F26" s="27">
        <v>709</v>
      </c>
      <c r="G26" s="27">
        <v>872</v>
      </c>
      <c r="H26" s="27">
        <v>1243</v>
      </c>
      <c r="I26" s="27">
        <v>1511</v>
      </c>
      <c r="J26" s="27">
        <v>1383</v>
      </c>
      <c r="K26" s="20"/>
      <c r="L26" s="20"/>
      <c r="M26" s="20"/>
      <c r="N26" s="42">
        <f t="shared" si="0"/>
        <v>5009</v>
      </c>
      <c r="P26" s="53">
        <f t="shared" si="1"/>
        <v>1511</v>
      </c>
      <c r="Q26" s="20">
        <f t="shared" si="2"/>
        <v>1383</v>
      </c>
      <c r="R26" s="54">
        <f t="shared" si="3"/>
        <v>-8.471211118464593E-2</v>
      </c>
    </row>
    <row r="27" spans="1:19" outlineLevel="1" x14ac:dyDescent="0.2">
      <c r="B27" s="12" t="s">
        <v>21</v>
      </c>
      <c r="C27" s="27">
        <v>1618</v>
      </c>
      <c r="D27" s="27">
        <v>1620</v>
      </c>
      <c r="E27" s="27">
        <v>1623</v>
      </c>
      <c r="F27" s="27">
        <v>1620</v>
      </c>
      <c r="G27" s="27">
        <v>1623</v>
      </c>
      <c r="H27" s="27">
        <v>1626</v>
      </c>
      <c r="I27" s="27">
        <v>1630</v>
      </c>
      <c r="J27" s="27">
        <v>1631</v>
      </c>
      <c r="K27" s="20"/>
      <c r="L27" s="20"/>
      <c r="M27" s="20"/>
      <c r="N27" s="42">
        <f>AVERAGE(G27:J27)</f>
        <v>1627.5</v>
      </c>
      <c r="P27" s="53">
        <f t="shared" si="1"/>
        <v>1630</v>
      </c>
      <c r="Q27" s="20">
        <f t="shared" si="2"/>
        <v>1631</v>
      </c>
      <c r="R27" s="54">
        <f t="shared" si="3"/>
        <v>6.1349693251533746E-4</v>
      </c>
    </row>
    <row r="28" spans="1:19" outlineLevel="1" x14ac:dyDescent="0.2">
      <c r="B28" s="12" t="s">
        <v>22</v>
      </c>
      <c r="C28" s="27">
        <v>1637</v>
      </c>
      <c r="D28" s="27">
        <v>1636</v>
      </c>
      <c r="E28" s="27">
        <v>1634</v>
      </c>
      <c r="F28" s="27">
        <v>1626</v>
      </c>
      <c r="G28" s="27">
        <v>1630</v>
      </c>
      <c r="H28" s="27">
        <v>1641</v>
      </c>
      <c r="I28" s="27">
        <v>1649</v>
      </c>
      <c r="J28" s="27">
        <v>1650</v>
      </c>
      <c r="K28" s="20"/>
      <c r="L28" s="20"/>
      <c r="M28" s="20"/>
      <c r="N28" s="42">
        <f>AVERAGE((G28:J28))</f>
        <v>1642.5</v>
      </c>
      <c r="P28" s="53">
        <f t="shared" si="1"/>
        <v>1649</v>
      </c>
      <c r="Q28" s="20">
        <f t="shared" si="2"/>
        <v>1650</v>
      </c>
      <c r="R28" s="54">
        <f t="shared" si="3"/>
        <v>6.0642813826561554E-4</v>
      </c>
    </row>
    <row r="29" spans="1:19" outlineLevel="1" x14ac:dyDescent="0.2">
      <c r="B29" s="12" t="s">
        <v>23</v>
      </c>
      <c r="C29" s="31">
        <v>0.16</v>
      </c>
      <c r="D29" s="31">
        <v>0.48</v>
      </c>
      <c r="E29" s="31">
        <v>0.3</v>
      </c>
      <c r="F29" s="31">
        <v>0.44</v>
      </c>
      <c r="G29" s="31">
        <v>0.54</v>
      </c>
      <c r="H29" s="31">
        <v>0.76</v>
      </c>
      <c r="I29" s="31">
        <v>0.93</v>
      </c>
      <c r="J29" s="31">
        <v>0.85</v>
      </c>
      <c r="K29" s="25"/>
      <c r="L29" s="25"/>
      <c r="M29" s="25"/>
      <c r="N29" s="44">
        <f>N22/N27</f>
        <v>3.0304147465437787</v>
      </c>
      <c r="P29" s="77">
        <f t="shared" si="1"/>
        <v>0.93</v>
      </c>
      <c r="Q29" s="78">
        <f t="shared" si="2"/>
        <v>0.85</v>
      </c>
      <c r="R29" s="54">
        <f t="shared" si="3"/>
        <v>-8.6021505376344162E-2</v>
      </c>
    </row>
    <row r="30" spans="1:19" s="16" customFormat="1" ht="17" outlineLevel="1" thickBot="1" x14ac:dyDescent="0.25">
      <c r="A30" s="1"/>
      <c r="B30" s="10" t="s">
        <v>24</v>
      </c>
      <c r="C30" s="32">
        <v>0.16</v>
      </c>
      <c r="D30" s="32">
        <v>0.47</v>
      </c>
      <c r="E30" s="32">
        <v>0.28999999999999998</v>
      </c>
      <c r="F30" s="32">
        <v>0.44</v>
      </c>
      <c r="G30" s="32">
        <v>0.54</v>
      </c>
      <c r="H30" s="32">
        <v>0.75</v>
      </c>
      <c r="I30" s="32">
        <v>0.92</v>
      </c>
      <c r="J30" s="32">
        <v>0.84</v>
      </c>
      <c r="K30" s="25"/>
      <c r="L30" s="25"/>
      <c r="M30" s="25"/>
      <c r="N30" s="45">
        <f>N22/N28</f>
        <v>3.0027397260273974</v>
      </c>
      <c r="O30" s="1"/>
      <c r="P30" s="79">
        <f t="shared" si="1"/>
        <v>0.92</v>
      </c>
      <c r="Q30" s="80">
        <f t="shared" si="2"/>
        <v>0.84</v>
      </c>
      <c r="R30" s="72">
        <f t="shared" si="3"/>
        <v>-8.6956521739130502E-2</v>
      </c>
      <c r="S30" s="1"/>
    </row>
    <row r="31" spans="1:19" s="16" customFormat="1" ht="17" thickBot="1" x14ac:dyDescent="0.25">
      <c r="A31" s="1"/>
      <c r="B31" s="6"/>
      <c r="D31" s="6"/>
      <c r="E31" s="6"/>
      <c r="F31" s="6"/>
      <c r="G31" s="6"/>
      <c r="H31" s="6"/>
      <c r="I31" s="6"/>
      <c r="J31" s="6"/>
      <c r="K31" s="8"/>
      <c r="L31" s="8"/>
      <c r="M31" s="8"/>
      <c r="O31" s="1"/>
      <c r="S31" s="1"/>
    </row>
    <row r="32" spans="1:19" s="14" customFormat="1" ht="17" thickBot="1" x14ac:dyDescent="0.25">
      <c r="A32" s="4"/>
      <c r="B32" s="15" t="s">
        <v>26</v>
      </c>
      <c r="K32" s="4"/>
      <c r="L32" s="4"/>
      <c r="M32" s="4"/>
      <c r="O32" s="4"/>
      <c r="S32" s="4"/>
    </row>
    <row r="33" spans="2:13" outlineLevel="1" x14ac:dyDescent="0.2">
      <c r="B33" s="9" t="s">
        <v>27</v>
      </c>
      <c r="C33" s="27">
        <v>4113</v>
      </c>
      <c r="D33" s="27">
        <v>3897</v>
      </c>
      <c r="E33" s="27">
        <v>3787</v>
      </c>
      <c r="F33" s="27">
        <v>6049</v>
      </c>
      <c r="G33" s="27">
        <v>4442</v>
      </c>
      <c r="H33" s="27">
        <v>4808</v>
      </c>
      <c r="I33" s="27">
        <v>5539</v>
      </c>
      <c r="J33" s="27">
        <v>5585</v>
      </c>
      <c r="K33" s="20"/>
      <c r="L33" s="20"/>
      <c r="M33" s="20"/>
    </row>
    <row r="34" spans="2:13" outlineLevel="1" x14ac:dyDescent="0.2">
      <c r="B34" s="9" t="s">
        <v>187</v>
      </c>
      <c r="C34" s="27">
        <v>1227</v>
      </c>
      <c r="D34" s="27">
        <v>647</v>
      </c>
      <c r="E34" s="27">
        <v>1345</v>
      </c>
      <c r="F34" s="27">
        <v>1261</v>
      </c>
      <c r="G34" s="27">
        <v>1425</v>
      </c>
      <c r="H34" s="27">
        <v>2435</v>
      </c>
      <c r="I34" s="27">
        <v>5013</v>
      </c>
      <c r="J34" s="27">
        <v>6762</v>
      </c>
      <c r="K34" s="20"/>
      <c r="L34" s="20"/>
      <c r="M34" s="20"/>
    </row>
    <row r="35" spans="2:13" outlineLevel="1" x14ac:dyDescent="0.2">
      <c r="B35" s="9" t="s">
        <v>28</v>
      </c>
      <c r="C35" s="27">
        <v>5749</v>
      </c>
      <c r="D35" s="27">
        <v>7241</v>
      </c>
      <c r="E35" s="27">
        <v>6192</v>
      </c>
      <c r="F35" s="27">
        <v>5443</v>
      </c>
      <c r="G35" s="27">
        <v>5115</v>
      </c>
      <c r="H35" s="27">
        <v>6201</v>
      </c>
      <c r="I35" s="27">
        <v>6315</v>
      </c>
      <c r="J35" s="27">
        <v>6035</v>
      </c>
      <c r="K35" s="20"/>
      <c r="L35" s="20"/>
      <c r="M35" s="20"/>
    </row>
    <row r="36" spans="2:13" outlineLevel="1" x14ac:dyDescent="0.2">
      <c r="B36" s="9" t="s">
        <v>29</v>
      </c>
      <c r="C36" s="27">
        <v>4991</v>
      </c>
      <c r="D36" s="27">
        <v>5374</v>
      </c>
      <c r="E36" s="27">
        <v>5734</v>
      </c>
      <c r="F36" s="27">
        <v>6416</v>
      </c>
      <c r="G36" s="27">
        <v>6677</v>
      </c>
      <c r="H36" s="27">
        <v>7313</v>
      </c>
      <c r="I36" s="27">
        <v>7920</v>
      </c>
      <c r="J36" s="27">
        <v>8045</v>
      </c>
      <c r="K36" s="20"/>
      <c r="L36" s="20"/>
      <c r="M36" s="20"/>
    </row>
    <row r="37" spans="2:13" outlineLevel="1" x14ac:dyDescent="0.2">
      <c r="B37" s="9" t="s">
        <v>133</v>
      </c>
      <c r="C37" s="27">
        <v>24</v>
      </c>
      <c r="D37" s="27">
        <v>29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0"/>
      <c r="L37" s="20"/>
      <c r="M37" s="20"/>
    </row>
    <row r="38" spans="2:13" outlineLevel="1" x14ac:dyDescent="0.2">
      <c r="B38" s="9" t="s">
        <v>134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0"/>
      <c r="L38" s="20"/>
      <c r="M38" s="20"/>
    </row>
    <row r="39" spans="2:13" outlineLevel="1" x14ac:dyDescent="0.2">
      <c r="B39" s="9" t="s">
        <v>53</v>
      </c>
      <c r="C39" s="27">
        <v>0</v>
      </c>
      <c r="D39" s="27">
        <v>0</v>
      </c>
      <c r="E39" s="27">
        <v>0</v>
      </c>
      <c r="F39" s="27">
        <v>0</v>
      </c>
      <c r="G39" s="27">
        <v>4326</v>
      </c>
      <c r="H39" s="27">
        <v>3990</v>
      </c>
      <c r="I39" s="27">
        <v>0</v>
      </c>
      <c r="J39" s="27">
        <v>0</v>
      </c>
      <c r="K39" s="20"/>
      <c r="L39" s="20"/>
      <c r="M39" s="20"/>
    </row>
    <row r="40" spans="2:13" outlineLevel="1" x14ac:dyDescent="0.2">
      <c r="B40" s="9" t="s">
        <v>30</v>
      </c>
      <c r="C40" s="27">
        <v>1361</v>
      </c>
      <c r="D40" s="27">
        <v>1547</v>
      </c>
      <c r="E40" s="27">
        <v>1991</v>
      </c>
      <c r="F40" s="27">
        <v>2426</v>
      </c>
      <c r="G40" s="27">
        <v>2534</v>
      </c>
      <c r="H40" s="27">
        <v>2253</v>
      </c>
      <c r="I40" s="27">
        <v>2160</v>
      </c>
      <c r="J40" s="27">
        <v>2201</v>
      </c>
      <c r="K40" s="20"/>
      <c r="L40" s="20"/>
      <c r="M40" s="20"/>
    </row>
    <row r="41" spans="2:13" s="7" customFormat="1" outlineLevel="1" x14ac:dyDescent="0.2">
      <c r="B41" s="11" t="s">
        <v>31</v>
      </c>
      <c r="C41" s="59">
        <v>17465</v>
      </c>
      <c r="D41" s="59">
        <v>18735</v>
      </c>
      <c r="E41" s="59">
        <v>19049</v>
      </c>
      <c r="F41" s="59">
        <v>21595</v>
      </c>
      <c r="G41" s="59">
        <v>14519</v>
      </c>
      <c r="H41" s="59">
        <v>27000</v>
      </c>
      <c r="I41" s="59">
        <v>26947</v>
      </c>
      <c r="J41" s="59">
        <v>28628</v>
      </c>
      <c r="K41" s="21"/>
      <c r="L41" s="21"/>
      <c r="M41" s="21"/>
    </row>
    <row r="42" spans="2:13" outlineLevel="1" x14ac:dyDescent="0.2">
      <c r="B42" s="9" t="s">
        <v>33</v>
      </c>
      <c r="C42" s="27">
        <v>1666</v>
      </c>
      <c r="D42" s="27">
        <v>1669</v>
      </c>
      <c r="E42" s="27">
        <v>1802</v>
      </c>
      <c r="F42" s="27">
        <v>1921</v>
      </c>
      <c r="G42" s="27">
        <v>2128</v>
      </c>
      <c r="H42" s="27">
        <v>2205</v>
      </c>
      <c r="I42" s="27">
        <v>2312</v>
      </c>
      <c r="J42" s="27">
        <v>2723</v>
      </c>
      <c r="K42" s="20"/>
      <c r="L42" s="20"/>
      <c r="M42" s="20"/>
    </row>
    <row r="43" spans="2:13" outlineLevel="1" x14ac:dyDescent="0.2">
      <c r="B43" s="9" t="s">
        <v>141</v>
      </c>
      <c r="C43" s="27">
        <v>635</v>
      </c>
      <c r="D43" s="27">
        <v>647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0"/>
      <c r="L43" s="20"/>
      <c r="M43" s="20"/>
    </row>
    <row r="44" spans="2:13" outlineLevel="1" x14ac:dyDescent="0.2">
      <c r="B44" s="9" t="s">
        <v>34</v>
      </c>
      <c r="C44" s="27">
        <v>24262</v>
      </c>
      <c r="D44" s="27">
        <v>24839</v>
      </c>
      <c r="E44" s="27">
        <v>24839</v>
      </c>
      <c r="F44" s="27">
        <v>24839</v>
      </c>
      <c r="G44" s="27">
        <v>25083</v>
      </c>
      <c r="H44" s="27">
        <v>25083</v>
      </c>
      <c r="I44" s="27">
        <v>25126</v>
      </c>
      <c r="J44" s="27">
        <v>25344</v>
      </c>
      <c r="K44" s="20"/>
      <c r="L44" s="20"/>
      <c r="M44" s="20"/>
    </row>
    <row r="45" spans="2:13" outlineLevel="1" x14ac:dyDescent="0.2">
      <c r="B45" s="9" t="s">
        <v>143</v>
      </c>
      <c r="C45" s="27">
        <v>20138</v>
      </c>
      <c r="D45" s="27">
        <v>19572</v>
      </c>
      <c r="E45" s="27">
        <v>18930</v>
      </c>
      <c r="F45" s="27">
        <v>18363</v>
      </c>
      <c r="G45" s="27">
        <v>17812</v>
      </c>
      <c r="H45" s="27">
        <v>17250</v>
      </c>
      <c r="I45" s="27">
        <v>16705</v>
      </c>
      <c r="J45" s="27">
        <v>16154</v>
      </c>
      <c r="K45" s="20"/>
      <c r="L45" s="20"/>
      <c r="M45" s="20"/>
    </row>
    <row r="46" spans="2:13" outlineLevel="1" x14ac:dyDescent="0.2">
      <c r="B46" s="9" t="s">
        <v>135</v>
      </c>
      <c r="C46" s="27">
        <v>113</v>
      </c>
      <c r="D46" s="27">
        <v>137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0"/>
      <c r="L46" s="20"/>
      <c r="M46" s="20"/>
    </row>
    <row r="47" spans="2:13" outlineLevel="1" x14ac:dyDescent="0.2">
      <c r="B47" s="9" t="s">
        <v>32</v>
      </c>
      <c r="C47" s="27">
        <v>617</v>
      </c>
      <c r="D47" s="27">
        <v>1183</v>
      </c>
      <c r="E47" s="27">
        <v>688</v>
      </c>
      <c r="F47" s="27">
        <v>845</v>
      </c>
      <c r="G47" s="27">
        <v>860</v>
      </c>
      <c r="H47" s="27">
        <v>633</v>
      </c>
      <c r="I47" s="27">
        <v>384</v>
      </c>
      <c r="J47" s="27">
        <v>476</v>
      </c>
      <c r="K47" s="20"/>
      <c r="L47" s="20"/>
      <c r="M47" s="20"/>
    </row>
    <row r="48" spans="2:13" outlineLevel="1" x14ac:dyDescent="0.2">
      <c r="B48" s="9" t="s">
        <v>35</v>
      </c>
      <c r="C48" s="27">
        <v>2990</v>
      </c>
      <c r="D48" s="27">
        <v>2854</v>
      </c>
      <c r="E48" s="27">
        <v>3918</v>
      </c>
      <c r="F48" s="27">
        <v>3987</v>
      </c>
      <c r="G48" s="27">
        <v>4418</v>
      </c>
      <c r="H48" s="27">
        <v>4720</v>
      </c>
      <c r="I48" s="27">
        <v>5452</v>
      </c>
      <c r="J48" s="27">
        <v>6317</v>
      </c>
      <c r="K48" s="20"/>
      <c r="L48" s="20"/>
      <c r="M48" s="20"/>
    </row>
    <row r="49" spans="1:19" s="7" customFormat="1" outlineLevel="1" x14ac:dyDescent="0.2">
      <c r="B49" s="11" t="s">
        <v>36</v>
      </c>
      <c r="C49" s="60">
        <f t="shared" ref="C49:H49" si="10">SUM(C42:C48)</f>
        <v>50421</v>
      </c>
      <c r="D49" s="60">
        <f t="shared" si="10"/>
        <v>50901</v>
      </c>
      <c r="E49" s="60">
        <f t="shared" si="10"/>
        <v>50177</v>
      </c>
      <c r="F49" s="60">
        <f t="shared" si="10"/>
        <v>49955</v>
      </c>
      <c r="G49" s="60">
        <f t="shared" si="10"/>
        <v>50301</v>
      </c>
      <c r="H49" s="60">
        <f t="shared" si="10"/>
        <v>49891</v>
      </c>
      <c r="I49" s="60">
        <f t="shared" ref="I49:J49" si="11">SUM(I42:I48)</f>
        <v>49979</v>
      </c>
      <c r="J49" s="60">
        <f t="shared" si="11"/>
        <v>51014</v>
      </c>
      <c r="K49" s="21"/>
      <c r="L49" s="21"/>
      <c r="M49" s="21"/>
    </row>
    <row r="50" spans="1:19" s="18" customFormat="1" outlineLevel="1" x14ac:dyDescent="0.2">
      <c r="A50" s="7"/>
      <c r="B50" s="17" t="s">
        <v>37</v>
      </c>
      <c r="C50" s="55">
        <v>67886</v>
      </c>
      <c r="D50" s="55">
        <v>69636</v>
      </c>
      <c r="E50" s="55">
        <v>69226</v>
      </c>
      <c r="F50" s="55">
        <v>71550</v>
      </c>
      <c r="G50" s="55">
        <v>74820</v>
      </c>
      <c r="H50" s="55">
        <v>76891</v>
      </c>
      <c r="I50" s="55">
        <v>76926</v>
      </c>
      <c r="J50" s="55">
        <v>79642</v>
      </c>
      <c r="K50" s="21"/>
      <c r="L50" s="21"/>
      <c r="M50" s="21"/>
      <c r="O50" s="7"/>
      <c r="S50" s="7"/>
    </row>
    <row r="51" spans="1:19" outlineLevel="1" x14ac:dyDescent="0.2">
      <c r="B51" s="9" t="s">
        <v>39</v>
      </c>
      <c r="C51" s="27">
        <v>0</v>
      </c>
      <c r="D51" s="27">
        <v>0</v>
      </c>
      <c r="E51" s="27">
        <v>0</v>
      </c>
      <c r="F51" s="27">
        <v>947</v>
      </c>
      <c r="G51" s="27">
        <v>0</v>
      </c>
      <c r="H51" s="27">
        <v>873</v>
      </c>
      <c r="I51" s="27">
        <v>874</v>
      </c>
      <c r="J51" s="27">
        <v>874</v>
      </c>
      <c r="K51" s="20"/>
      <c r="L51" s="20"/>
      <c r="M51" s="20"/>
    </row>
    <row r="52" spans="1:19" outlineLevel="1" x14ac:dyDescent="0.2">
      <c r="B52" s="9" t="s">
        <v>38</v>
      </c>
      <c r="C52" s="27">
        <v>1699</v>
      </c>
      <c r="D52" s="27">
        <v>2530</v>
      </c>
      <c r="E52" s="27">
        <v>2466</v>
      </c>
      <c r="F52" s="27">
        <v>2206</v>
      </c>
      <c r="G52" s="27">
        <v>3080</v>
      </c>
      <c r="H52" s="27">
        <v>3483</v>
      </c>
      <c r="I52" s="27">
        <v>2929</v>
      </c>
      <c r="J52" s="27">
        <v>2997</v>
      </c>
      <c r="K52" s="20"/>
      <c r="L52" s="20"/>
      <c r="M52" s="20"/>
    </row>
    <row r="53" spans="1:19" outlineLevel="1" x14ac:dyDescent="0.2">
      <c r="B53" s="9" t="s">
        <v>136</v>
      </c>
      <c r="C53" s="27">
        <v>420</v>
      </c>
      <c r="D53" s="27">
        <v>461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0"/>
      <c r="L53" s="20"/>
      <c r="M53" s="20"/>
    </row>
    <row r="54" spans="1:19" outlineLevel="1" x14ac:dyDescent="0.2">
      <c r="B54" s="9" t="s">
        <v>137</v>
      </c>
      <c r="C54" s="27">
        <v>3629</v>
      </c>
      <c r="D54" s="27">
        <v>4120</v>
      </c>
      <c r="E54" s="27">
        <v>4260</v>
      </c>
      <c r="F54" s="27">
        <v>3876</v>
      </c>
      <c r="G54" s="27">
        <v>4479</v>
      </c>
      <c r="H54" s="27">
        <v>5112</v>
      </c>
      <c r="I54" s="27">
        <v>5250</v>
      </c>
      <c r="J54" s="27">
        <v>5785</v>
      </c>
      <c r="K54" s="20"/>
      <c r="L54" s="20"/>
      <c r="M54" s="20"/>
    </row>
    <row r="55" spans="1:19" outlineLevel="1" x14ac:dyDescent="0.2">
      <c r="B55" s="9" t="s">
        <v>53</v>
      </c>
      <c r="C55" s="27">
        <v>0</v>
      </c>
      <c r="D55" s="27">
        <v>0</v>
      </c>
      <c r="E55" s="27">
        <v>0</v>
      </c>
      <c r="F55" s="27">
        <v>0</v>
      </c>
      <c r="G55" s="27">
        <v>1968</v>
      </c>
      <c r="H55" s="27">
        <v>1908</v>
      </c>
      <c r="I55" s="27">
        <v>0</v>
      </c>
      <c r="J55" s="27">
        <v>0</v>
      </c>
      <c r="K55" s="20"/>
      <c r="L55" s="20"/>
      <c r="M55" s="20"/>
    </row>
    <row r="56" spans="1:19" outlineLevel="1" x14ac:dyDescent="0.2">
      <c r="B56" s="9" t="s">
        <v>40</v>
      </c>
      <c r="C56" s="27">
        <v>447</v>
      </c>
      <c r="D56" s="27">
        <v>389</v>
      </c>
      <c r="E56" s="27">
        <v>555</v>
      </c>
      <c r="F56" s="27">
        <v>674</v>
      </c>
      <c r="G56" s="27">
        <v>316</v>
      </c>
      <c r="H56" s="27">
        <v>324</v>
      </c>
      <c r="I56" s="27">
        <v>402</v>
      </c>
      <c r="J56" s="27">
        <v>850</v>
      </c>
      <c r="K56" s="20"/>
      <c r="L56" s="20"/>
      <c r="M56" s="20"/>
    </row>
    <row r="57" spans="1:19" outlineLevel="1" x14ac:dyDescent="0.2">
      <c r="B57" s="9" t="s">
        <v>138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0"/>
      <c r="L57" s="20"/>
      <c r="M57" s="20"/>
    </row>
    <row r="58" spans="1:19" s="7" customFormat="1" outlineLevel="1" x14ac:dyDescent="0.2">
      <c r="B58" s="11" t="s">
        <v>45</v>
      </c>
      <c r="C58" s="59">
        <v>6195</v>
      </c>
      <c r="D58" s="59">
        <v>7500</v>
      </c>
      <c r="E58" s="59">
        <v>7281</v>
      </c>
      <c r="F58" s="59">
        <v>7703</v>
      </c>
      <c r="G58" s="59">
        <v>9843</v>
      </c>
      <c r="H58" s="59">
        <v>11700</v>
      </c>
      <c r="I58" s="59">
        <v>9455</v>
      </c>
      <c r="J58" s="59">
        <v>10506</v>
      </c>
      <c r="K58" s="21"/>
      <c r="L58" s="21"/>
      <c r="M58" s="21"/>
    </row>
    <row r="59" spans="1:19" outlineLevel="1" x14ac:dyDescent="0.2">
      <c r="B59" s="9" t="s">
        <v>41</v>
      </c>
      <c r="C59" s="27">
        <v>1719</v>
      </c>
      <c r="D59" s="27">
        <v>1720</v>
      </c>
      <c r="E59" s="27">
        <v>1721</v>
      </c>
      <c r="F59" s="27">
        <v>3217</v>
      </c>
      <c r="G59" s="27">
        <v>3218</v>
      </c>
      <c r="H59" s="27">
        <v>2347</v>
      </c>
      <c r="I59" s="27">
        <v>2348</v>
      </c>
      <c r="J59" s="27">
        <v>2350</v>
      </c>
      <c r="K59" s="20"/>
      <c r="L59" s="20"/>
      <c r="M59" s="20"/>
    </row>
    <row r="60" spans="1:19" outlineLevel="1" x14ac:dyDescent="0.2">
      <c r="B60" s="9" t="s">
        <v>142</v>
      </c>
      <c r="C60" s="27">
        <v>526</v>
      </c>
      <c r="D60" s="27">
        <v>518</v>
      </c>
      <c r="E60" s="27">
        <v>491</v>
      </c>
      <c r="F60" s="27">
        <v>567</v>
      </c>
      <c r="G60" s="27">
        <v>668</v>
      </c>
      <c r="H60" s="27">
        <v>650</v>
      </c>
      <c r="I60" s="27">
        <v>625</v>
      </c>
      <c r="J60" s="27">
        <v>647</v>
      </c>
      <c r="K60" s="20"/>
      <c r="L60" s="20"/>
      <c r="M60" s="20"/>
    </row>
    <row r="61" spans="1:19" outlineLevel="1" x14ac:dyDescent="0.2">
      <c r="B61" s="9" t="s">
        <v>144</v>
      </c>
      <c r="C61" s="27">
        <v>1192</v>
      </c>
      <c r="D61" s="27">
        <v>1162</v>
      </c>
      <c r="E61" s="27">
        <v>349</v>
      </c>
      <c r="F61" s="27">
        <v>343</v>
      </c>
      <c r="G61" s="27">
        <v>341</v>
      </c>
      <c r="H61" s="27">
        <v>326</v>
      </c>
      <c r="I61" s="27">
        <v>313</v>
      </c>
      <c r="J61" s="27">
        <v>307</v>
      </c>
      <c r="K61" s="20"/>
      <c r="L61" s="20"/>
      <c r="M61" s="20"/>
    </row>
    <row r="62" spans="1:19" outlineLevel="1" x14ac:dyDescent="0.2">
      <c r="B62" s="9" t="s">
        <v>42</v>
      </c>
      <c r="C62" s="27">
        <v>1716</v>
      </c>
      <c r="D62" s="27">
        <v>1751</v>
      </c>
      <c r="E62" s="27">
        <v>1816</v>
      </c>
      <c r="F62" s="27">
        <v>1839</v>
      </c>
      <c r="G62" s="27">
        <v>1085</v>
      </c>
      <c r="H62" s="27">
        <v>1078</v>
      </c>
      <c r="I62" s="27">
        <v>1186</v>
      </c>
      <c r="J62" s="27">
        <v>1370</v>
      </c>
      <c r="K62" s="20"/>
      <c r="L62" s="20"/>
      <c r="M62" s="20"/>
    </row>
    <row r="63" spans="1:19" s="7" customFormat="1" outlineLevel="1" x14ac:dyDescent="0.2">
      <c r="B63" s="11" t="s">
        <v>43</v>
      </c>
      <c r="C63" s="60">
        <f t="shared" ref="C63:H63" si="12">SUM(C59:C62)</f>
        <v>5153</v>
      </c>
      <c r="D63" s="60">
        <f t="shared" si="12"/>
        <v>5151</v>
      </c>
      <c r="E63" s="60">
        <f t="shared" si="12"/>
        <v>4377</v>
      </c>
      <c r="F63" s="60">
        <f t="shared" si="12"/>
        <v>5966</v>
      </c>
      <c r="G63" s="60">
        <f t="shared" si="12"/>
        <v>5312</v>
      </c>
      <c r="H63" s="60">
        <f t="shared" si="12"/>
        <v>4401</v>
      </c>
      <c r="I63" s="60">
        <f t="shared" ref="I63:J63" si="13">SUM(I59:I62)</f>
        <v>4472</v>
      </c>
      <c r="J63" s="60">
        <f t="shared" si="13"/>
        <v>4674</v>
      </c>
      <c r="K63" s="21"/>
      <c r="L63" s="21"/>
      <c r="M63" s="21"/>
    </row>
    <row r="64" spans="1:19" s="18" customFormat="1" outlineLevel="1" x14ac:dyDescent="0.2">
      <c r="A64" s="7"/>
      <c r="B64" s="17" t="s">
        <v>44</v>
      </c>
      <c r="C64" s="58">
        <f t="shared" ref="C64:H64" si="14">C58+C63</f>
        <v>11348</v>
      </c>
      <c r="D64" s="58">
        <f t="shared" si="14"/>
        <v>12651</v>
      </c>
      <c r="E64" s="58">
        <f t="shared" si="14"/>
        <v>11658</v>
      </c>
      <c r="F64" s="58">
        <f t="shared" si="14"/>
        <v>13669</v>
      </c>
      <c r="G64" s="58">
        <f t="shared" si="14"/>
        <v>15155</v>
      </c>
      <c r="H64" s="58">
        <f t="shared" si="14"/>
        <v>16101</v>
      </c>
      <c r="I64" s="58">
        <f t="shared" ref="I64:J64" si="15">I58+I63</f>
        <v>13927</v>
      </c>
      <c r="J64" s="58">
        <f t="shared" si="15"/>
        <v>15180</v>
      </c>
      <c r="K64" s="21"/>
      <c r="L64" s="21"/>
      <c r="M64" s="21"/>
      <c r="O64" s="7"/>
      <c r="S64" s="7"/>
    </row>
    <row r="65" spans="1:19" outlineLevel="1" x14ac:dyDescent="0.2">
      <c r="B65" s="9" t="s">
        <v>46</v>
      </c>
      <c r="C65" s="27">
        <v>17</v>
      </c>
      <c r="D65" s="27">
        <v>17</v>
      </c>
      <c r="E65" s="27">
        <v>17</v>
      </c>
      <c r="F65" s="27">
        <v>17</v>
      </c>
      <c r="G65" s="27">
        <v>17</v>
      </c>
      <c r="H65" s="27">
        <v>17</v>
      </c>
      <c r="I65" s="27">
        <v>17</v>
      </c>
      <c r="J65" s="27">
        <v>17</v>
      </c>
      <c r="K65" s="20"/>
      <c r="L65" s="20"/>
      <c r="M65" s="20"/>
    </row>
    <row r="66" spans="1:19" outlineLevel="1" x14ac:dyDescent="0.2">
      <c r="B66" s="9" t="s">
        <v>139</v>
      </c>
      <c r="C66" s="27">
        <v>60542</v>
      </c>
      <c r="D66" s="27">
        <v>60896</v>
      </c>
      <c r="E66" s="27">
        <v>61362</v>
      </c>
      <c r="F66" s="27">
        <v>61730</v>
      </c>
      <c r="G66" s="27">
        <v>62228</v>
      </c>
      <c r="H66" s="27">
        <v>62657</v>
      </c>
      <c r="I66" s="27">
        <v>63365</v>
      </c>
      <c r="J66" s="27">
        <v>63856</v>
      </c>
      <c r="K66" s="20"/>
      <c r="L66" s="20"/>
      <c r="M66" s="20"/>
    </row>
    <row r="67" spans="1:19" outlineLevel="1" x14ac:dyDescent="0.2">
      <c r="B67" s="9" t="s">
        <v>140</v>
      </c>
      <c r="C67" s="27">
        <v>-5103</v>
      </c>
      <c r="D67" s="27">
        <v>-5812</v>
      </c>
      <c r="E67" s="27">
        <v>-6106</v>
      </c>
      <c r="F67" s="27">
        <v>-6899</v>
      </c>
      <c r="G67" s="27">
        <v>-6535</v>
      </c>
      <c r="H67" s="27">
        <v>-7059</v>
      </c>
      <c r="I67" s="27">
        <v>-7079</v>
      </c>
      <c r="J67" s="27">
        <v>-7421</v>
      </c>
      <c r="K67" s="20"/>
      <c r="L67" s="20"/>
      <c r="M67" s="20"/>
    </row>
    <row r="68" spans="1:19" outlineLevel="1" x14ac:dyDescent="0.2">
      <c r="B68" s="9" t="s">
        <v>47</v>
      </c>
      <c r="C68" s="27">
        <v>1111</v>
      </c>
      <c r="D68" s="27">
        <v>1882</v>
      </c>
      <c r="E68" s="27">
        <v>2364</v>
      </c>
      <c r="F68" s="27">
        <v>3073</v>
      </c>
      <c r="G68" s="27">
        <v>3945</v>
      </c>
      <c r="H68" s="27">
        <v>5188</v>
      </c>
      <c r="I68" s="27">
        <v>6699</v>
      </c>
      <c r="J68" s="27">
        <v>8082</v>
      </c>
      <c r="K68" s="20"/>
      <c r="L68" s="20"/>
      <c r="M68" s="20"/>
    </row>
    <row r="69" spans="1:19" outlineLevel="1" x14ac:dyDescent="0.2">
      <c r="B69" s="9" t="s">
        <v>48</v>
      </c>
      <c r="C69" s="27">
        <v>-29</v>
      </c>
      <c r="D69" s="27">
        <v>2</v>
      </c>
      <c r="E69" s="27">
        <v>-69</v>
      </c>
      <c r="F69" s="27">
        <v>-40</v>
      </c>
      <c r="G69" s="27">
        <v>10</v>
      </c>
      <c r="H69" s="27">
        <v>-13</v>
      </c>
      <c r="I69" s="27">
        <v>-3</v>
      </c>
      <c r="J69" s="27">
        <v>-72</v>
      </c>
      <c r="K69" s="20"/>
      <c r="L69" s="20"/>
      <c r="M69" s="20"/>
    </row>
    <row r="70" spans="1:19" s="7" customFormat="1" outlineLevel="1" x14ac:dyDescent="0.2">
      <c r="B70" s="11" t="s">
        <v>49</v>
      </c>
      <c r="C70" s="59">
        <v>56538</v>
      </c>
      <c r="D70" s="59">
        <v>56985</v>
      </c>
      <c r="E70" s="59">
        <v>57568</v>
      </c>
      <c r="F70" s="59">
        <v>57881</v>
      </c>
      <c r="G70" s="59">
        <v>59665</v>
      </c>
      <c r="H70" s="59">
        <v>60790</v>
      </c>
      <c r="I70" s="59">
        <v>62999</v>
      </c>
      <c r="J70" s="59">
        <v>64462</v>
      </c>
      <c r="K70" s="21"/>
      <c r="L70" s="21"/>
      <c r="M70" s="21"/>
    </row>
    <row r="71" spans="1:19" outlineLevel="1" x14ac:dyDescent="0.2">
      <c r="B71" s="9" t="s">
        <v>19</v>
      </c>
      <c r="C71" s="27">
        <v>0</v>
      </c>
      <c r="D71" s="27">
        <v>0</v>
      </c>
      <c r="E71" s="27">
        <v>0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  <c r="K71" s="20"/>
      <c r="L71" s="20"/>
      <c r="M71" s="20"/>
    </row>
    <row r="72" spans="1:19" s="8" customFormat="1" outlineLevel="1" x14ac:dyDescent="0.2">
      <c r="B72" s="12" t="s">
        <v>50</v>
      </c>
      <c r="C72" s="27">
        <v>56538</v>
      </c>
      <c r="D72" s="27">
        <v>56985</v>
      </c>
      <c r="E72" s="27">
        <v>57568</v>
      </c>
      <c r="F72" s="27">
        <v>57881</v>
      </c>
      <c r="G72" s="27">
        <v>59665</v>
      </c>
      <c r="H72" s="27">
        <v>60790</v>
      </c>
      <c r="I72" s="27">
        <v>62999</v>
      </c>
      <c r="J72" s="27">
        <v>64462</v>
      </c>
      <c r="K72" s="20"/>
      <c r="L72" s="20"/>
      <c r="M72" s="20"/>
    </row>
    <row r="73" spans="1:19" s="13" customFormat="1" ht="17" outlineLevel="1" thickBot="1" x14ac:dyDescent="0.25">
      <c r="A73" s="7"/>
      <c r="B73" s="19" t="s">
        <v>51</v>
      </c>
      <c r="C73" s="62">
        <v>67886</v>
      </c>
      <c r="D73" s="62">
        <v>69636</v>
      </c>
      <c r="E73" s="62">
        <v>69226</v>
      </c>
      <c r="F73" s="62">
        <v>71550</v>
      </c>
      <c r="G73" s="62">
        <v>74820</v>
      </c>
      <c r="H73" s="62">
        <v>76891</v>
      </c>
      <c r="I73" s="62">
        <v>76926</v>
      </c>
      <c r="J73" s="62">
        <v>79642</v>
      </c>
      <c r="K73" s="21"/>
      <c r="L73" s="21"/>
      <c r="M73" s="21"/>
      <c r="O73" s="7"/>
      <c r="S73" s="7"/>
    </row>
    <row r="74" spans="1:19" x14ac:dyDescent="0.2">
      <c r="B74" s="1"/>
    </row>
    <row r="75" spans="1:19" s="14" customFormat="1" ht="17" thickBot="1" x14ac:dyDescent="0.25">
      <c r="A75" s="4"/>
      <c r="B75" s="15" t="s">
        <v>54</v>
      </c>
      <c r="K75" s="4"/>
      <c r="L75" s="4"/>
      <c r="M75" s="4"/>
      <c r="O75" s="4"/>
      <c r="S75" s="4"/>
    </row>
    <row r="76" spans="1:19" outlineLevel="1" x14ac:dyDescent="0.2">
      <c r="B76" s="9" t="s">
        <v>18</v>
      </c>
      <c r="C76" s="20">
        <f t="shared" ref="C76:H76" si="16">C24</f>
        <v>265</v>
      </c>
      <c r="D76" s="20">
        <f t="shared" si="16"/>
        <v>771</v>
      </c>
      <c r="E76" s="20">
        <f t="shared" si="16"/>
        <v>482</v>
      </c>
      <c r="F76" s="20">
        <f t="shared" si="16"/>
        <v>709</v>
      </c>
      <c r="G76" s="20">
        <f t="shared" si="16"/>
        <v>872</v>
      </c>
      <c r="H76" s="20">
        <f t="shared" si="16"/>
        <v>1243</v>
      </c>
      <c r="I76" s="20">
        <f t="shared" ref="I76:J76" si="17">I24</f>
        <v>1511</v>
      </c>
      <c r="J76" s="20">
        <f t="shared" si="17"/>
        <v>1383</v>
      </c>
      <c r="K76" s="20"/>
      <c r="L76" s="20"/>
      <c r="M76" s="20"/>
    </row>
    <row r="77" spans="1:19" outlineLevel="1" x14ac:dyDescent="0.2">
      <c r="B77" s="9" t="s">
        <v>179</v>
      </c>
      <c r="C77" s="92">
        <v>0</v>
      </c>
      <c r="D77" s="92">
        <v>0</v>
      </c>
      <c r="E77" s="92">
        <v>0</v>
      </c>
      <c r="F77" s="92">
        <v>0</v>
      </c>
      <c r="G77" s="20">
        <v>-104</v>
      </c>
      <c r="H77" s="20">
        <v>-71</v>
      </c>
      <c r="I77" s="27">
        <v>109</v>
      </c>
      <c r="J77" s="27">
        <v>-11</v>
      </c>
      <c r="K77" s="20"/>
      <c r="L77" s="20"/>
      <c r="M77" s="20"/>
    </row>
    <row r="78" spans="1:19" outlineLevel="1" x14ac:dyDescent="0.2">
      <c r="B78" s="9" t="s">
        <v>55</v>
      </c>
      <c r="C78" s="27">
        <v>166</v>
      </c>
      <c r="D78" s="27">
        <v>171</v>
      </c>
      <c r="E78" s="27">
        <v>172</v>
      </c>
      <c r="F78" s="27">
        <v>175</v>
      </c>
      <c r="G78" s="27">
        <v>189</v>
      </c>
      <c r="H78" s="27">
        <v>192</v>
      </c>
      <c r="I78" s="27">
        <v>194</v>
      </c>
      <c r="J78" s="27">
        <v>206</v>
      </c>
      <c r="K78" s="27"/>
      <c r="L78" s="27"/>
      <c r="M78" s="20"/>
    </row>
    <row r="79" spans="1:19" outlineLevel="1" x14ac:dyDescent="0.2">
      <c r="B79" s="9" t="s">
        <v>131</v>
      </c>
      <c r="C79" s="27">
        <v>603</v>
      </c>
      <c r="D79" s="27">
        <v>585</v>
      </c>
      <c r="E79" s="27">
        <v>583</v>
      </c>
      <c r="F79" s="27">
        <v>567</v>
      </c>
      <c r="G79" s="27">
        <v>568</v>
      </c>
      <c r="H79" s="27">
        <v>562</v>
      </c>
      <c r="I79" s="27">
        <v>557</v>
      </c>
      <c r="J79" s="27">
        <v>551</v>
      </c>
      <c r="K79" s="27"/>
      <c r="L79" s="27"/>
      <c r="M79" s="20"/>
    </row>
    <row r="80" spans="1:19" outlineLevel="1" x14ac:dyDescent="0.2">
      <c r="B80" s="9" t="s">
        <v>148</v>
      </c>
      <c r="C80" s="27">
        <v>-190</v>
      </c>
      <c r="D80" s="27">
        <v>-607</v>
      </c>
      <c r="E80" s="27">
        <v>-300</v>
      </c>
      <c r="F80" s="27">
        <v>-167</v>
      </c>
      <c r="G80" s="27">
        <v>-33</v>
      </c>
      <c r="H80" s="27">
        <v>218</v>
      </c>
      <c r="I80" s="27">
        <v>230</v>
      </c>
      <c r="J80" s="27">
        <v>-79</v>
      </c>
      <c r="K80" s="27"/>
      <c r="L80" s="27"/>
      <c r="M80" s="20"/>
    </row>
    <row r="81" spans="1:19" outlineLevel="1" x14ac:dyDescent="0.2">
      <c r="B81" s="9" t="s">
        <v>149</v>
      </c>
      <c r="C81" s="27">
        <v>346</v>
      </c>
      <c r="D81" s="27">
        <v>351</v>
      </c>
      <c r="E81" s="27">
        <v>339</v>
      </c>
      <c r="F81" s="27">
        <v>364</v>
      </c>
      <c r="G81" s="27">
        <v>369</v>
      </c>
      <c r="H81" s="27">
        <v>419</v>
      </c>
      <c r="I81" s="27">
        <v>486</v>
      </c>
      <c r="J81" s="27">
        <v>487</v>
      </c>
      <c r="K81" s="27"/>
      <c r="L81" s="27"/>
      <c r="M81" s="20"/>
    </row>
    <row r="82" spans="1:19" outlineLevel="1" x14ac:dyDescent="0.2">
      <c r="B82" s="9" t="s">
        <v>188</v>
      </c>
      <c r="C82" s="27">
        <v>0</v>
      </c>
      <c r="D82" s="27">
        <v>0</v>
      </c>
      <c r="E82" s="27">
        <v>0</v>
      </c>
      <c r="F82" s="27">
        <v>0</v>
      </c>
      <c r="G82" s="27">
        <v>0</v>
      </c>
      <c r="H82" s="27">
        <v>0</v>
      </c>
      <c r="I82" s="27">
        <v>-280</v>
      </c>
      <c r="J82" s="27">
        <v>-66</v>
      </c>
      <c r="K82" s="27"/>
      <c r="L82" s="27"/>
      <c r="M82" s="20"/>
    </row>
    <row r="83" spans="1:19" outlineLevel="1" x14ac:dyDescent="0.2">
      <c r="B83" s="9" t="s">
        <v>159</v>
      </c>
      <c r="C83" s="27">
        <v>0</v>
      </c>
      <c r="D83" s="27">
        <v>0</v>
      </c>
      <c r="E83" s="27">
        <v>31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/>
      <c r="L83" s="27"/>
      <c r="M83" s="20"/>
    </row>
    <row r="84" spans="1:19" outlineLevel="1" x14ac:dyDescent="0.2">
      <c r="B84" s="9" t="s">
        <v>168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/>
      <c r="L84" s="27"/>
      <c r="M84" s="20"/>
    </row>
    <row r="85" spans="1:19" outlineLevel="1" x14ac:dyDescent="0.2">
      <c r="B85" s="9" t="s">
        <v>183</v>
      </c>
      <c r="C85" s="27">
        <v>0</v>
      </c>
      <c r="D85" s="27">
        <v>0</v>
      </c>
      <c r="E85" s="27">
        <v>0</v>
      </c>
      <c r="F85" s="27">
        <v>0</v>
      </c>
      <c r="G85" s="27">
        <v>-853</v>
      </c>
      <c r="H85" s="27">
        <v>0</v>
      </c>
      <c r="I85" s="27">
        <v>0</v>
      </c>
      <c r="J85" s="27">
        <v>0</v>
      </c>
      <c r="K85" s="27"/>
      <c r="L85" s="27"/>
      <c r="M85" s="20"/>
    </row>
    <row r="86" spans="1:19" outlineLevel="1" x14ac:dyDescent="0.2">
      <c r="B86" s="9" t="s">
        <v>169</v>
      </c>
      <c r="C86" s="27">
        <v>0</v>
      </c>
      <c r="D86" s="27">
        <v>0</v>
      </c>
      <c r="E86" s="27">
        <v>0</v>
      </c>
      <c r="F86" s="27">
        <v>0</v>
      </c>
      <c r="G86" s="27">
        <v>0</v>
      </c>
      <c r="H86" s="27">
        <v>-67</v>
      </c>
      <c r="I86" s="27">
        <v>0</v>
      </c>
      <c r="J86" s="27">
        <v>0</v>
      </c>
      <c r="K86" s="27"/>
      <c r="L86" s="27"/>
      <c r="M86" s="20"/>
    </row>
    <row r="87" spans="1:19" outlineLevel="1" x14ac:dyDescent="0.2">
      <c r="B87" s="9" t="s">
        <v>56</v>
      </c>
      <c r="C87" s="27">
        <v>11</v>
      </c>
      <c r="D87" s="27">
        <v>17</v>
      </c>
      <c r="E87" s="27">
        <v>62</v>
      </c>
      <c r="F87" s="27">
        <v>39</v>
      </c>
      <c r="G87" s="27">
        <v>-10</v>
      </c>
      <c r="H87" s="27">
        <v>0</v>
      </c>
      <c r="I87" s="27">
        <v>30</v>
      </c>
      <c r="J87" s="27">
        <v>28</v>
      </c>
      <c r="K87" s="27"/>
      <c r="L87" s="27"/>
      <c r="M87" s="20"/>
    </row>
    <row r="88" spans="1:19" outlineLevel="1" x14ac:dyDescent="0.2">
      <c r="B88" s="9" t="s">
        <v>57</v>
      </c>
      <c r="C88" s="27">
        <v>-661</v>
      </c>
      <c r="D88" s="27">
        <v>-2213</v>
      </c>
      <c r="E88" s="27">
        <v>96</v>
      </c>
      <c r="F88" s="27">
        <v>748</v>
      </c>
      <c r="G88" s="27">
        <v>330</v>
      </c>
      <c r="H88" s="27">
        <v>-1085</v>
      </c>
      <c r="I88" s="27">
        <v>-114</v>
      </c>
      <c r="J88" s="27">
        <v>280</v>
      </c>
      <c r="K88" s="27"/>
      <c r="L88" s="27"/>
      <c r="M88" s="20"/>
    </row>
    <row r="89" spans="1:19" outlineLevel="1" x14ac:dyDescent="0.2">
      <c r="B89" s="9" t="s">
        <v>58</v>
      </c>
      <c r="C89" s="27">
        <v>-342</v>
      </c>
      <c r="D89" s="27">
        <v>-386</v>
      </c>
      <c r="E89" s="27">
        <v>-362</v>
      </c>
      <c r="F89" s="27">
        <v>-682</v>
      </c>
      <c r="G89" s="27">
        <v>-261</v>
      </c>
      <c r="H89" s="27">
        <v>-636</v>
      </c>
      <c r="I89" s="27">
        <v>-610</v>
      </c>
      <c r="J89" s="27">
        <v>-125</v>
      </c>
      <c r="K89" s="27"/>
      <c r="L89" s="27"/>
      <c r="M89" s="20"/>
    </row>
    <row r="90" spans="1:19" outlineLevel="1" x14ac:dyDescent="0.2">
      <c r="B90" s="9" t="s">
        <v>161</v>
      </c>
      <c r="C90" s="27">
        <v>0</v>
      </c>
      <c r="D90" s="27">
        <v>0</v>
      </c>
      <c r="E90" s="27">
        <v>30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/>
      <c r="L90" s="27"/>
      <c r="M90" s="20"/>
    </row>
    <row r="91" spans="1:19" outlineLevel="1" x14ac:dyDescent="0.2">
      <c r="B91" s="9" t="s">
        <v>153</v>
      </c>
      <c r="C91" s="27">
        <v>45</v>
      </c>
      <c r="D91" s="27">
        <v>703</v>
      </c>
      <c r="E91" s="27">
        <v>494</v>
      </c>
      <c r="F91" s="27">
        <v>-237</v>
      </c>
      <c r="G91" s="27">
        <v>-140</v>
      </c>
      <c r="H91" s="27">
        <v>118</v>
      </c>
      <c r="I91" s="27">
        <v>248</v>
      </c>
      <c r="J91" s="27">
        <v>-308</v>
      </c>
      <c r="K91" s="27"/>
      <c r="L91" s="27"/>
      <c r="M91" s="20"/>
    </row>
    <row r="92" spans="1:19" outlineLevel="1" x14ac:dyDescent="0.2">
      <c r="B92" s="9" t="s">
        <v>162</v>
      </c>
      <c r="C92" s="27">
        <v>88</v>
      </c>
      <c r="D92" s="27">
        <v>363</v>
      </c>
      <c r="E92" s="27">
        <v>257</v>
      </c>
      <c r="F92" s="27">
        <v>-288</v>
      </c>
      <c r="G92" s="27">
        <v>-301</v>
      </c>
      <c r="H92" s="27">
        <v>444</v>
      </c>
      <c r="I92" s="27">
        <v>531</v>
      </c>
      <c r="J92" s="27">
        <v>0</v>
      </c>
      <c r="K92" s="27"/>
      <c r="L92" s="27"/>
      <c r="M92" s="20"/>
    </row>
    <row r="93" spans="1:19" outlineLevel="1" x14ac:dyDescent="0.2">
      <c r="B93" s="9" t="s">
        <v>59</v>
      </c>
      <c r="C93" s="27">
        <v>262</v>
      </c>
      <c r="D93" s="27">
        <v>873</v>
      </c>
      <c r="E93" s="27">
        <v>-585</v>
      </c>
      <c r="F93" s="27">
        <v>-289</v>
      </c>
      <c r="G93" s="27">
        <v>836</v>
      </c>
      <c r="H93" s="27">
        <v>451</v>
      </c>
      <c r="I93" s="27">
        <v>-588</v>
      </c>
      <c r="J93" s="27">
        <v>-104</v>
      </c>
      <c r="K93" s="27"/>
      <c r="L93" s="27"/>
      <c r="M93" s="20"/>
    </row>
    <row r="94" spans="1:19" outlineLevel="1" x14ac:dyDescent="0.2">
      <c r="B94" s="9" t="s">
        <v>180</v>
      </c>
      <c r="C94" s="27">
        <v>0</v>
      </c>
      <c r="D94" s="27">
        <v>0</v>
      </c>
      <c r="E94" s="27">
        <v>0</v>
      </c>
      <c r="F94" s="27">
        <v>0</v>
      </c>
      <c r="G94" s="27">
        <v>549</v>
      </c>
      <c r="H94" s="27">
        <v>371</v>
      </c>
      <c r="I94" s="27">
        <v>296</v>
      </c>
      <c r="J94" s="27">
        <v>713</v>
      </c>
      <c r="K94" s="27"/>
      <c r="L94" s="27"/>
      <c r="M94" s="20"/>
    </row>
    <row r="95" spans="1:19" s="18" customFormat="1" outlineLevel="1" x14ac:dyDescent="0.2">
      <c r="A95" s="7"/>
      <c r="B95" s="17" t="s">
        <v>60</v>
      </c>
      <c r="C95" s="55">
        <v>593</v>
      </c>
      <c r="D95" s="55">
        <v>628</v>
      </c>
      <c r="E95" s="55">
        <v>1299</v>
      </c>
      <c r="F95" s="55">
        <v>939</v>
      </c>
      <c r="G95" s="55">
        <v>2011</v>
      </c>
      <c r="H95" s="55">
        <v>2159</v>
      </c>
      <c r="I95" s="55">
        <v>2600</v>
      </c>
      <c r="J95" s="55">
        <v>2955</v>
      </c>
      <c r="K95" s="33"/>
      <c r="L95" s="33"/>
      <c r="M95" s="21"/>
      <c r="O95" s="7"/>
      <c r="S95" s="7"/>
    </row>
    <row r="96" spans="1:19" outlineLevel="1" x14ac:dyDescent="0.2">
      <c r="B96" s="9" t="s">
        <v>181</v>
      </c>
      <c r="C96" s="27">
        <v>-154</v>
      </c>
      <c r="D96" s="27">
        <v>-132</v>
      </c>
      <c r="E96" s="27">
        <v>-208</v>
      </c>
      <c r="F96" s="27">
        <v>-212</v>
      </c>
      <c r="G96" s="27">
        <v>-282</v>
      </c>
      <c r="H96" s="27">
        <v>-258</v>
      </c>
      <c r="I96" s="27">
        <v>-222</v>
      </c>
      <c r="J96" s="27">
        <v>-389</v>
      </c>
      <c r="K96" s="27"/>
      <c r="L96" s="27"/>
      <c r="M96" s="20"/>
    </row>
    <row r="97" spans="1:19" outlineLevel="1" x14ac:dyDescent="0.2">
      <c r="B97" s="9" t="s">
        <v>189</v>
      </c>
      <c r="C97" s="27">
        <v>-132</v>
      </c>
      <c r="D97" s="27">
        <v>-142</v>
      </c>
      <c r="E97" s="27">
        <v>-786</v>
      </c>
      <c r="F97" s="27">
        <v>-304</v>
      </c>
      <c r="G97" s="27">
        <v>-492</v>
      </c>
      <c r="H97" s="27">
        <v>-1314</v>
      </c>
      <c r="I97" s="27">
        <v>-3360</v>
      </c>
      <c r="J97" s="27">
        <v>-2545</v>
      </c>
      <c r="K97" s="27"/>
      <c r="L97" s="27"/>
      <c r="M97" s="20"/>
    </row>
    <row r="98" spans="1:19" outlineLevel="1" x14ac:dyDescent="0.2">
      <c r="B98" s="9" t="s">
        <v>190</v>
      </c>
      <c r="C98" s="27">
        <v>761</v>
      </c>
      <c r="D98" s="27">
        <v>738</v>
      </c>
      <c r="E98" s="27">
        <v>90</v>
      </c>
      <c r="F98" s="27">
        <v>398</v>
      </c>
      <c r="G98" s="27">
        <v>333</v>
      </c>
      <c r="H98" s="27">
        <v>317</v>
      </c>
      <c r="I98" s="27">
        <v>797</v>
      </c>
      <c r="J98" s="27">
        <v>778</v>
      </c>
      <c r="K98" s="27"/>
      <c r="L98" s="27"/>
      <c r="M98" s="20"/>
    </row>
    <row r="99" spans="1:19" outlineLevel="1" x14ac:dyDescent="0.2">
      <c r="B99" s="9" t="s">
        <v>171</v>
      </c>
      <c r="C99" s="27">
        <v>0</v>
      </c>
      <c r="D99" s="27">
        <v>-548</v>
      </c>
      <c r="E99" s="27">
        <v>0</v>
      </c>
      <c r="F99" s="27">
        <v>0</v>
      </c>
      <c r="G99" s="27">
        <v>-1716</v>
      </c>
      <c r="H99" s="27">
        <v>0</v>
      </c>
      <c r="I99" s="27">
        <v>-44</v>
      </c>
      <c r="J99" s="27">
        <v>0</v>
      </c>
      <c r="K99" s="27"/>
      <c r="L99" s="27"/>
      <c r="M99" s="20"/>
    </row>
    <row r="100" spans="1:19" outlineLevel="1" x14ac:dyDescent="0.2">
      <c r="B100" s="9" t="s">
        <v>172</v>
      </c>
      <c r="C100" s="27">
        <v>0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/>
      <c r="L100" s="27"/>
      <c r="M100" s="20"/>
    </row>
    <row r="101" spans="1:19" outlineLevel="1" x14ac:dyDescent="0.2">
      <c r="B101" s="9" t="s">
        <v>173</v>
      </c>
      <c r="C101" s="27">
        <v>0</v>
      </c>
      <c r="D101" s="27">
        <v>0</v>
      </c>
      <c r="E101" s="27">
        <v>-100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/>
      <c r="L101" s="27"/>
      <c r="M101" s="20"/>
    </row>
    <row r="102" spans="1:19" outlineLevel="1" x14ac:dyDescent="0.2">
      <c r="B102" s="9" t="s">
        <v>191</v>
      </c>
      <c r="C102" s="27">
        <v>-90</v>
      </c>
      <c r="D102" s="27">
        <v>-37</v>
      </c>
      <c r="E102" s="27">
        <v>-210</v>
      </c>
      <c r="F102" s="27">
        <v>-239</v>
      </c>
      <c r="G102" s="27">
        <v>-119</v>
      </c>
      <c r="H102" s="27">
        <v>-74</v>
      </c>
      <c r="I102" s="27">
        <v>-70</v>
      </c>
      <c r="J102" s="27">
        <v>-409</v>
      </c>
      <c r="K102" s="27"/>
      <c r="L102" s="27"/>
      <c r="M102" s="20"/>
    </row>
    <row r="103" spans="1:19" outlineLevel="1" x14ac:dyDescent="0.2">
      <c r="B103" s="9" t="s">
        <v>56</v>
      </c>
      <c r="C103" s="27">
        <v>1</v>
      </c>
      <c r="D103" s="27">
        <v>-17</v>
      </c>
      <c r="E103" s="27">
        <v>0</v>
      </c>
      <c r="F103" s="27">
        <v>0</v>
      </c>
      <c r="G103" s="27">
        <v>0</v>
      </c>
      <c r="H103" s="27">
        <v>0</v>
      </c>
      <c r="I103" s="27">
        <v>10</v>
      </c>
      <c r="J103" s="27">
        <v>0</v>
      </c>
      <c r="K103" s="27"/>
      <c r="L103" s="27"/>
      <c r="M103" s="20"/>
    </row>
    <row r="104" spans="1:19" outlineLevel="1" x14ac:dyDescent="0.2">
      <c r="B104" s="9" t="s">
        <v>182</v>
      </c>
      <c r="C104" s="27">
        <v>0</v>
      </c>
      <c r="D104" s="27">
        <v>0</v>
      </c>
      <c r="E104" s="27">
        <v>0</v>
      </c>
      <c r="F104" s="27">
        <v>0</v>
      </c>
      <c r="G104" s="27">
        <v>-22</v>
      </c>
      <c r="H104" s="27">
        <v>-8</v>
      </c>
      <c r="I104" s="27">
        <v>1348</v>
      </c>
      <c r="J104" s="27">
        <v>0</v>
      </c>
      <c r="K104" s="27"/>
      <c r="L104" s="27"/>
      <c r="M104" s="20"/>
    </row>
    <row r="105" spans="1:19" s="18" customFormat="1" outlineLevel="1" x14ac:dyDescent="0.2">
      <c r="A105" s="7"/>
      <c r="B105" s="17" t="s">
        <v>62</v>
      </c>
      <c r="C105" s="55">
        <v>386</v>
      </c>
      <c r="D105" s="55">
        <v>-138</v>
      </c>
      <c r="E105" s="55">
        <v>-1214</v>
      </c>
      <c r="F105" s="55">
        <v>-357</v>
      </c>
      <c r="G105" s="55">
        <v>-2298</v>
      </c>
      <c r="H105" s="55">
        <v>-1337</v>
      </c>
      <c r="I105" s="55">
        <v>-1541</v>
      </c>
      <c r="J105" s="55">
        <v>-2565</v>
      </c>
      <c r="K105" s="33"/>
      <c r="L105" s="33"/>
      <c r="M105" s="21"/>
      <c r="O105" s="7"/>
      <c r="S105" s="7"/>
    </row>
    <row r="106" spans="1:19" outlineLevel="1" x14ac:dyDescent="0.2">
      <c r="B106" s="9" t="s">
        <v>165</v>
      </c>
      <c r="C106" s="27">
        <v>143</v>
      </c>
      <c r="D106" s="27">
        <v>4</v>
      </c>
      <c r="E106" s="27">
        <v>127</v>
      </c>
      <c r="F106" s="27">
        <v>2441</v>
      </c>
      <c r="G106" s="27">
        <v>155</v>
      </c>
      <c r="H106" s="27">
        <v>10</v>
      </c>
      <c r="I106" s="27">
        <v>116</v>
      </c>
      <c r="J106" s="27">
        <v>5</v>
      </c>
      <c r="K106" s="27"/>
      <c r="L106" s="27"/>
      <c r="M106" s="20"/>
    </row>
    <row r="107" spans="1:19" outlineLevel="1" x14ac:dyDescent="0.2">
      <c r="B107" s="9" t="s">
        <v>63</v>
      </c>
      <c r="C107" s="27">
        <v>-750</v>
      </c>
      <c r="D107" s="27">
        <v>0</v>
      </c>
      <c r="E107" s="27">
        <v>0</v>
      </c>
      <c r="F107" s="27">
        <v>0</v>
      </c>
      <c r="G107" s="27">
        <v>-950</v>
      </c>
      <c r="H107" s="27">
        <v>0</v>
      </c>
      <c r="I107" s="27">
        <v>0</v>
      </c>
      <c r="J107" s="27">
        <v>0</v>
      </c>
      <c r="K107" s="27"/>
      <c r="L107" s="27"/>
      <c r="M107" s="20"/>
    </row>
    <row r="108" spans="1:19" outlineLevel="1" x14ac:dyDescent="0.2">
      <c r="B108" s="9" t="s">
        <v>166</v>
      </c>
      <c r="C108" s="27">
        <v>-352</v>
      </c>
      <c r="D108" s="27">
        <v>-250</v>
      </c>
      <c r="E108" s="27">
        <v>-256</v>
      </c>
      <c r="F108" s="27">
        <v>-749</v>
      </c>
      <c r="G108" s="27">
        <v>-478</v>
      </c>
      <c r="H108" s="27">
        <v>-89</v>
      </c>
      <c r="I108" s="27">
        <v>0</v>
      </c>
      <c r="J108" s="27">
        <v>-221</v>
      </c>
      <c r="K108" s="27"/>
      <c r="L108" s="27"/>
      <c r="M108" s="20"/>
    </row>
    <row r="109" spans="1:19" outlineLevel="1" x14ac:dyDescent="0.2">
      <c r="B109" s="9" t="s">
        <v>184</v>
      </c>
      <c r="C109" s="27">
        <v>0</v>
      </c>
      <c r="D109" s="27">
        <v>0</v>
      </c>
      <c r="E109" s="27">
        <v>0</v>
      </c>
      <c r="F109" s="27">
        <v>4</v>
      </c>
      <c r="G109" s="27">
        <v>0</v>
      </c>
      <c r="H109" s="27">
        <v>0</v>
      </c>
      <c r="I109" s="27">
        <v>0</v>
      </c>
      <c r="J109" s="27">
        <v>0</v>
      </c>
      <c r="K109" s="27"/>
      <c r="L109" s="27"/>
      <c r="M109" s="20"/>
    </row>
    <row r="110" spans="1:19" outlineLevel="1" x14ac:dyDescent="0.2">
      <c r="B110" s="9" t="s">
        <v>167</v>
      </c>
      <c r="C110" s="27">
        <v>-97</v>
      </c>
      <c r="D110" s="27">
        <v>-460</v>
      </c>
      <c r="E110" s="27">
        <v>-42</v>
      </c>
      <c r="F110" s="27">
        <v>-30</v>
      </c>
      <c r="G110" s="27">
        <v>-46</v>
      </c>
      <c r="H110" s="27">
        <v>-371</v>
      </c>
      <c r="I110" s="27">
        <v>-160</v>
      </c>
      <c r="J110" s="27">
        <v>-134</v>
      </c>
      <c r="K110" s="27"/>
      <c r="L110" s="27"/>
      <c r="M110" s="20"/>
    </row>
    <row r="111" spans="1:19" outlineLevel="1" x14ac:dyDescent="0.2">
      <c r="B111" s="9" t="s">
        <v>56</v>
      </c>
      <c r="C111" s="27">
        <v>0</v>
      </c>
      <c r="D111" s="27">
        <v>0</v>
      </c>
      <c r="E111" s="27">
        <v>0</v>
      </c>
      <c r="F111" s="27">
        <v>0</v>
      </c>
      <c r="G111" s="27">
        <v>0</v>
      </c>
      <c r="H111" s="27">
        <v>0</v>
      </c>
      <c r="I111" s="27">
        <v>-284</v>
      </c>
      <c r="J111" s="27">
        <v>0</v>
      </c>
      <c r="K111" s="27"/>
      <c r="L111" s="27"/>
      <c r="M111" s="20"/>
    </row>
    <row r="112" spans="1:19" s="18" customFormat="1" outlineLevel="1" x14ac:dyDescent="0.2">
      <c r="A112" s="7"/>
      <c r="B112" s="17" t="s">
        <v>64</v>
      </c>
      <c r="C112" s="55">
        <v>-1056</v>
      </c>
      <c r="D112" s="55">
        <v>-706</v>
      </c>
      <c r="E112" s="55">
        <v>-171</v>
      </c>
      <c r="F112" s="55">
        <v>1666</v>
      </c>
      <c r="G112" s="55">
        <v>-1319</v>
      </c>
      <c r="H112" s="55">
        <v>-450</v>
      </c>
      <c r="I112" s="55">
        <v>-328</v>
      </c>
      <c r="J112" s="55">
        <v>-350</v>
      </c>
      <c r="K112" s="33"/>
      <c r="L112" s="33"/>
      <c r="M112" s="21"/>
      <c r="O112" s="7"/>
      <c r="S112" s="7"/>
    </row>
    <row r="113" spans="1:19" outlineLevel="1" x14ac:dyDescent="0.2">
      <c r="B113" s="9" t="s">
        <v>65</v>
      </c>
      <c r="C113" s="27">
        <v>0</v>
      </c>
      <c r="D113" s="27">
        <v>0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/>
      <c r="L113" s="27"/>
      <c r="M113" s="20"/>
    </row>
    <row r="114" spans="1:19" s="7" customFormat="1" outlineLevel="1" x14ac:dyDescent="0.2">
      <c r="B114" s="11" t="s">
        <v>66</v>
      </c>
      <c r="C114" s="59">
        <v>-77</v>
      </c>
      <c r="D114" s="59">
        <v>-216</v>
      </c>
      <c r="E114" s="59">
        <v>-86</v>
      </c>
      <c r="F114" s="59">
        <v>2248</v>
      </c>
      <c r="G114" s="59">
        <v>-1606</v>
      </c>
      <c r="H114" s="59">
        <v>372</v>
      </c>
      <c r="I114" s="59">
        <v>731</v>
      </c>
      <c r="J114" s="59">
        <v>40</v>
      </c>
      <c r="K114" s="33"/>
      <c r="L114" s="33"/>
      <c r="M114" s="21"/>
    </row>
    <row r="115" spans="1:19" s="7" customFormat="1" outlineLevel="1" x14ac:dyDescent="0.2">
      <c r="B115" s="11" t="s">
        <v>67</v>
      </c>
      <c r="C115" s="59">
        <v>4190</v>
      </c>
      <c r="D115" s="59">
        <v>4113</v>
      </c>
      <c r="E115" s="59">
        <v>3897</v>
      </c>
      <c r="F115" s="59">
        <v>3811</v>
      </c>
      <c r="G115" s="59">
        <v>6059</v>
      </c>
      <c r="H115" s="59">
        <v>4453</v>
      </c>
      <c r="I115" s="59">
        <v>4825</v>
      </c>
      <c r="J115" s="59">
        <v>5556</v>
      </c>
      <c r="K115" s="21"/>
      <c r="L115" s="21"/>
      <c r="M115" s="21"/>
    </row>
    <row r="116" spans="1:19" s="13" customFormat="1" ht="17" outlineLevel="1" thickBot="1" x14ac:dyDescent="0.25">
      <c r="A116" s="7"/>
      <c r="B116" s="19" t="s">
        <v>68</v>
      </c>
      <c r="C116" s="55">
        <v>4113</v>
      </c>
      <c r="D116" s="55">
        <v>3897</v>
      </c>
      <c r="E116" s="55">
        <v>3811</v>
      </c>
      <c r="F116" s="55">
        <v>6059</v>
      </c>
      <c r="G116" s="55">
        <v>4453</v>
      </c>
      <c r="H116" s="55">
        <v>4825</v>
      </c>
      <c r="I116" s="55">
        <v>5556</v>
      </c>
      <c r="J116" s="55">
        <v>5596</v>
      </c>
      <c r="K116" s="21"/>
      <c r="L116" s="21"/>
      <c r="M116" s="21"/>
      <c r="O116" s="7"/>
      <c r="S116" s="7"/>
    </row>
    <row r="117" spans="1:19" x14ac:dyDescent="0.2">
      <c r="B117" s="1"/>
    </row>
    <row r="118" spans="1:19" s="14" customFormat="1" ht="17" thickBot="1" x14ac:dyDescent="0.25">
      <c r="A118" s="4"/>
      <c r="B118" s="15" t="s">
        <v>69</v>
      </c>
      <c r="K118" s="4"/>
      <c r="L118" s="4"/>
      <c r="M118" s="4"/>
      <c r="O118" s="4"/>
      <c r="S118" s="4"/>
    </row>
    <row r="119" spans="1:19" hidden="1" outlineLevel="2" x14ac:dyDescent="0.2">
      <c r="B119" s="9" t="s">
        <v>70</v>
      </c>
      <c r="C119" s="20">
        <f t="shared" ref="C119:H119" si="18">C5-C6-C7-C15+C17+C18+C20+C21</f>
        <v>265</v>
      </c>
      <c r="D119" s="20">
        <f t="shared" si="18"/>
        <v>771</v>
      </c>
      <c r="E119" s="20">
        <f t="shared" si="18"/>
        <v>482</v>
      </c>
      <c r="F119" s="20">
        <f t="shared" si="18"/>
        <v>709</v>
      </c>
      <c r="G119" s="20">
        <f t="shared" si="18"/>
        <v>768</v>
      </c>
      <c r="H119" s="20">
        <f t="shared" si="18"/>
        <v>1172</v>
      </c>
      <c r="I119" s="20">
        <f t="shared" ref="I119:J119" si="19">I5-I6-I7-I15+I17+I18+I20+I21</f>
        <v>1620</v>
      </c>
      <c r="J119" s="20">
        <f t="shared" si="19"/>
        <v>1372</v>
      </c>
      <c r="K119" s="20"/>
      <c r="L119" s="20"/>
      <c r="M119" s="20"/>
    </row>
    <row r="120" spans="1:19" s="18" customFormat="1" outlineLevel="1" collapsed="1" x14ac:dyDescent="0.2">
      <c r="A120" s="7"/>
      <c r="B120" s="17" t="s">
        <v>71</v>
      </c>
      <c r="C120" s="24">
        <f t="shared" ref="C120:H120" si="20">C22-C119</f>
        <v>0</v>
      </c>
      <c r="D120" s="24">
        <f t="shared" si="20"/>
        <v>0</v>
      </c>
      <c r="E120" s="24">
        <f t="shared" si="20"/>
        <v>0</v>
      </c>
      <c r="F120" s="24">
        <f t="shared" si="20"/>
        <v>0</v>
      </c>
      <c r="G120" s="24">
        <f t="shared" si="20"/>
        <v>0</v>
      </c>
      <c r="H120" s="24">
        <f t="shared" si="20"/>
        <v>0</v>
      </c>
      <c r="I120" s="24">
        <f t="shared" ref="I120:J120" si="21">I22-I119</f>
        <v>0</v>
      </c>
      <c r="J120" s="24">
        <f t="shared" si="21"/>
        <v>0</v>
      </c>
      <c r="K120" s="26"/>
      <c r="L120" s="26"/>
      <c r="M120" s="26"/>
      <c r="O120" s="7"/>
      <c r="S120" s="7"/>
    </row>
    <row r="121" spans="1:19" hidden="1" outlineLevel="2" x14ac:dyDescent="0.2">
      <c r="B121" s="9" t="s">
        <v>72</v>
      </c>
      <c r="C121" s="20">
        <f t="shared" ref="C121:H121" si="22">SUM(C33:C40)+SUM(C42:C48)</f>
        <v>67886</v>
      </c>
      <c r="D121" s="20">
        <f t="shared" si="22"/>
        <v>69636</v>
      </c>
      <c r="E121" s="20">
        <f t="shared" si="22"/>
        <v>69226</v>
      </c>
      <c r="F121" s="20">
        <f t="shared" si="22"/>
        <v>71550</v>
      </c>
      <c r="G121" s="20">
        <f t="shared" si="22"/>
        <v>74820</v>
      </c>
      <c r="H121" s="20">
        <f t="shared" si="22"/>
        <v>76891</v>
      </c>
      <c r="I121" s="20">
        <f t="shared" ref="I121:J121" si="23">SUM(I33:I40)+SUM(I42:I48)</f>
        <v>76926</v>
      </c>
      <c r="J121" s="20">
        <f t="shared" si="23"/>
        <v>79642</v>
      </c>
      <c r="K121" s="20"/>
      <c r="L121" s="20"/>
      <c r="M121" s="20"/>
    </row>
    <row r="122" spans="1:19" s="7" customFormat="1" outlineLevel="1" collapsed="1" x14ac:dyDescent="0.2">
      <c r="B122" s="11" t="s">
        <v>73</v>
      </c>
      <c r="C122" s="23">
        <f t="shared" ref="C122:H122" si="24">C50-C121</f>
        <v>0</v>
      </c>
      <c r="D122" s="23">
        <f t="shared" si="24"/>
        <v>0</v>
      </c>
      <c r="E122" s="23">
        <f t="shared" si="24"/>
        <v>0</v>
      </c>
      <c r="F122" s="23">
        <f t="shared" si="24"/>
        <v>0</v>
      </c>
      <c r="G122" s="23">
        <f t="shared" si="24"/>
        <v>0</v>
      </c>
      <c r="H122" s="23">
        <f t="shared" si="24"/>
        <v>0</v>
      </c>
      <c r="I122" s="23">
        <f t="shared" ref="I122:J122" si="25">I50-I121</f>
        <v>0</v>
      </c>
      <c r="J122" s="23">
        <f t="shared" si="25"/>
        <v>0</v>
      </c>
      <c r="K122" s="26"/>
      <c r="L122" s="26"/>
      <c r="M122" s="26"/>
    </row>
    <row r="123" spans="1:19" hidden="1" outlineLevel="2" x14ac:dyDescent="0.2">
      <c r="B123" s="9" t="s">
        <v>74</v>
      </c>
      <c r="C123" s="20">
        <f t="shared" ref="C123:H123" si="26">SUM(C51:C57)+SUM(C59:C62)</f>
        <v>11348</v>
      </c>
      <c r="D123" s="20">
        <f t="shared" si="26"/>
        <v>12651</v>
      </c>
      <c r="E123" s="20">
        <f t="shared" si="26"/>
        <v>11658</v>
      </c>
      <c r="F123" s="20">
        <f t="shared" si="26"/>
        <v>13669</v>
      </c>
      <c r="G123" s="20">
        <f t="shared" si="26"/>
        <v>15155</v>
      </c>
      <c r="H123" s="20">
        <f t="shared" si="26"/>
        <v>16101</v>
      </c>
      <c r="I123" s="20">
        <f t="shared" ref="I123:J123" si="27">SUM(I51:I57)+SUM(I59:I62)</f>
        <v>13927</v>
      </c>
      <c r="J123" s="20">
        <f t="shared" si="27"/>
        <v>15180</v>
      </c>
      <c r="K123" s="20"/>
      <c r="L123" s="20"/>
      <c r="M123" s="20"/>
    </row>
    <row r="124" spans="1:19" s="7" customFormat="1" outlineLevel="1" collapsed="1" x14ac:dyDescent="0.2">
      <c r="B124" s="11" t="s">
        <v>75</v>
      </c>
      <c r="C124" s="23">
        <f t="shared" ref="C124:H124" si="28">C64-C123</f>
        <v>0</v>
      </c>
      <c r="D124" s="23">
        <f t="shared" si="28"/>
        <v>0</v>
      </c>
      <c r="E124" s="23">
        <f t="shared" si="28"/>
        <v>0</v>
      </c>
      <c r="F124" s="23">
        <f t="shared" si="28"/>
        <v>0</v>
      </c>
      <c r="G124" s="23">
        <f t="shared" si="28"/>
        <v>0</v>
      </c>
      <c r="H124" s="23">
        <f t="shared" si="28"/>
        <v>0</v>
      </c>
      <c r="I124" s="23">
        <f t="shared" ref="I124:J124" si="29">I64-I123</f>
        <v>0</v>
      </c>
      <c r="J124" s="23">
        <f t="shared" si="29"/>
        <v>0</v>
      </c>
      <c r="K124" s="26"/>
      <c r="L124" s="26"/>
      <c r="M124" s="26"/>
    </row>
    <row r="125" spans="1:19" hidden="1" outlineLevel="2" x14ac:dyDescent="0.2">
      <c r="B125" s="9" t="s">
        <v>76</v>
      </c>
      <c r="C125" s="20">
        <f t="shared" ref="C125:H125" si="30">SUM(C65:C69)+C71</f>
        <v>56538</v>
      </c>
      <c r="D125" s="20">
        <f t="shared" si="30"/>
        <v>56985</v>
      </c>
      <c r="E125" s="20">
        <f t="shared" si="30"/>
        <v>57568</v>
      </c>
      <c r="F125" s="20">
        <f t="shared" si="30"/>
        <v>57881</v>
      </c>
      <c r="G125" s="20">
        <f t="shared" si="30"/>
        <v>59665</v>
      </c>
      <c r="H125" s="20">
        <f t="shared" si="30"/>
        <v>60790</v>
      </c>
      <c r="I125" s="20">
        <f t="shared" ref="I125:J125" si="31">SUM(I65:I69)+I71</f>
        <v>62999</v>
      </c>
      <c r="J125" s="20">
        <f t="shared" si="31"/>
        <v>64462</v>
      </c>
      <c r="K125" s="20"/>
      <c r="L125" s="20"/>
      <c r="M125" s="20"/>
    </row>
    <row r="126" spans="1:19" s="7" customFormat="1" outlineLevel="1" collapsed="1" x14ac:dyDescent="0.2">
      <c r="B126" s="11" t="s">
        <v>77</v>
      </c>
      <c r="C126" s="23">
        <f t="shared" ref="C126:H126" si="32">C72-C125</f>
        <v>0</v>
      </c>
      <c r="D126" s="23">
        <f t="shared" si="32"/>
        <v>0</v>
      </c>
      <c r="E126" s="23">
        <f t="shared" si="32"/>
        <v>0</v>
      </c>
      <c r="F126" s="23">
        <f t="shared" si="32"/>
        <v>0</v>
      </c>
      <c r="G126" s="23">
        <f t="shared" si="32"/>
        <v>0</v>
      </c>
      <c r="H126" s="23">
        <f t="shared" si="32"/>
        <v>0</v>
      </c>
      <c r="I126" s="23">
        <f t="shared" ref="I126:J126" si="33">I72-I125</f>
        <v>0</v>
      </c>
      <c r="J126" s="23">
        <f t="shared" si="33"/>
        <v>0</v>
      </c>
      <c r="K126" s="26"/>
      <c r="L126" s="26"/>
      <c r="M126" s="26"/>
    </row>
    <row r="127" spans="1:19" s="18" customFormat="1" outlineLevel="1" x14ac:dyDescent="0.2">
      <c r="A127" s="7"/>
      <c r="B127" s="17" t="s">
        <v>87</v>
      </c>
      <c r="C127" s="22">
        <f t="shared" ref="C127:H127" si="34">C50-(C64+C72)</f>
        <v>0</v>
      </c>
      <c r="D127" s="22">
        <f t="shared" si="34"/>
        <v>0</v>
      </c>
      <c r="E127" s="22">
        <f t="shared" si="34"/>
        <v>0</v>
      </c>
      <c r="F127" s="22">
        <f t="shared" si="34"/>
        <v>0</v>
      </c>
      <c r="G127" s="22">
        <f t="shared" si="34"/>
        <v>0</v>
      </c>
      <c r="H127" s="22">
        <f t="shared" si="34"/>
        <v>0</v>
      </c>
      <c r="I127" s="22">
        <f t="shared" ref="I127:J127" si="35">I50-(I64+I72)</f>
        <v>0</v>
      </c>
      <c r="J127" s="22">
        <f t="shared" si="35"/>
        <v>0</v>
      </c>
      <c r="K127" s="26"/>
      <c r="L127" s="26"/>
      <c r="M127" s="26"/>
      <c r="O127" s="7"/>
      <c r="S127" s="7"/>
    </row>
    <row r="128" spans="1:19" hidden="1" outlineLevel="2" x14ac:dyDescent="0.2">
      <c r="B128" s="9" t="s">
        <v>78</v>
      </c>
      <c r="C128" s="20">
        <f t="shared" ref="C128:H128" si="36">SUM(C76:C94)</f>
        <v>593</v>
      </c>
      <c r="D128" s="20">
        <f t="shared" si="36"/>
        <v>628</v>
      </c>
      <c r="E128" s="20">
        <f t="shared" si="36"/>
        <v>1299</v>
      </c>
      <c r="F128" s="20">
        <f t="shared" si="36"/>
        <v>939</v>
      </c>
      <c r="G128" s="20">
        <f t="shared" si="36"/>
        <v>2011</v>
      </c>
      <c r="H128" s="20">
        <f t="shared" si="36"/>
        <v>2159</v>
      </c>
      <c r="I128" s="20">
        <f t="shared" ref="I128:J128" si="37">SUM(I76:I94)</f>
        <v>2600</v>
      </c>
      <c r="J128" s="20">
        <f t="shared" si="37"/>
        <v>2955</v>
      </c>
      <c r="K128" s="20"/>
      <c r="L128" s="20"/>
      <c r="M128" s="20"/>
    </row>
    <row r="129" spans="1:19" s="7" customFormat="1" outlineLevel="1" collapsed="1" x14ac:dyDescent="0.2">
      <c r="B129" s="11" t="s">
        <v>79</v>
      </c>
      <c r="C129" s="23">
        <f t="shared" ref="C129:H129" si="38">C95-C128</f>
        <v>0</v>
      </c>
      <c r="D129" s="23">
        <f t="shared" si="38"/>
        <v>0</v>
      </c>
      <c r="E129" s="23">
        <f t="shared" si="38"/>
        <v>0</v>
      </c>
      <c r="F129" s="23">
        <f t="shared" si="38"/>
        <v>0</v>
      </c>
      <c r="G129" s="23">
        <f t="shared" si="38"/>
        <v>0</v>
      </c>
      <c r="H129" s="23">
        <f t="shared" si="38"/>
        <v>0</v>
      </c>
      <c r="I129" s="23">
        <f t="shared" ref="I129:J129" si="39">I95-I128</f>
        <v>0</v>
      </c>
      <c r="J129" s="23">
        <f t="shared" si="39"/>
        <v>0</v>
      </c>
      <c r="K129" s="26"/>
      <c r="L129" s="26"/>
      <c r="M129" s="26"/>
    </row>
    <row r="130" spans="1:19" hidden="1" outlineLevel="2" x14ac:dyDescent="0.2">
      <c r="B130" s="9" t="s">
        <v>80</v>
      </c>
      <c r="C130" s="20">
        <f t="shared" ref="C130:H130" si="40">SUM(C96:C104)</f>
        <v>386</v>
      </c>
      <c r="D130" s="20">
        <f t="shared" si="40"/>
        <v>-138</v>
      </c>
      <c r="E130" s="20">
        <f t="shared" si="40"/>
        <v>-1214</v>
      </c>
      <c r="F130" s="20">
        <f t="shared" si="40"/>
        <v>-357</v>
      </c>
      <c r="G130" s="20">
        <f t="shared" si="40"/>
        <v>-2298</v>
      </c>
      <c r="H130" s="20">
        <f t="shared" si="40"/>
        <v>-1337</v>
      </c>
      <c r="I130" s="20">
        <f t="shared" ref="I130:J130" si="41">SUM(I96:I104)</f>
        <v>-1541</v>
      </c>
      <c r="J130" s="20">
        <f t="shared" si="41"/>
        <v>-2565</v>
      </c>
      <c r="K130" s="20"/>
      <c r="L130" s="20"/>
      <c r="M130" s="20"/>
    </row>
    <row r="131" spans="1:19" s="7" customFormat="1" outlineLevel="1" collapsed="1" x14ac:dyDescent="0.2">
      <c r="B131" s="11" t="s">
        <v>81</v>
      </c>
      <c r="C131" s="23">
        <f t="shared" ref="C131:H131" si="42">C105-C130</f>
        <v>0</v>
      </c>
      <c r="D131" s="23">
        <f t="shared" si="42"/>
        <v>0</v>
      </c>
      <c r="E131" s="23">
        <f t="shared" si="42"/>
        <v>0</v>
      </c>
      <c r="F131" s="23">
        <f t="shared" si="42"/>
        <v>0</v>
      </c>
      <c r="G131" s="23">
        <f t="shared" si="42"/>
        <v>0</v>
      </c>
      <c r="H131" s="23">
        <f t="shared" si="42"/>
        <v>0</v>
      </c>
      <c r="I131" s="23">
        <f t="shared" ref="I131:J131" si="43">I105-I130</f>
        <v>0</v>
      </c>
      <c r="J131" s="23">
        <f t="shared" si="43"/>
        <v>0</v>
      </c>
      <c r="K131" s="26"/>
      <c r="L131" s="26"/>
      <c r="M131" s="26"/>
    </row>
    <row r="132" spans="1:19" hidden="1" outlineLevel="2" x14ac:dyDescent="0.2">
      <c r="B132" s="9" t="s">
        <v>82</v>
      </c>
      <c r="C132" s="20">
        <f t="shared" ref="C132:H132" si="44">SUM(C106:C111)</f>
        <v>-1056</v>
      </c>
      <c r="D132" s="20">
        <f t="shared" si="44"/>
        <v>-706</v>
      </c>
      <c r="E132" s="20">
        <f t="shared" si="44"/>
        <v>-171</v>
      </c>
      <c r="F132" s="20">
        <f t="shared" si="44"/>
        <v>1666</v>
      </c>
      <c r="G132" s="20">
        <f t="shared" si="44"/>
        <v>-1319</v>
      </c>
      <c r="H132" s="20">
        <f t="shared" si="44"/>
        <v>-450</v>
      </c>
      <c r="I132" s="20">
        <f t="shared" ref="I132:J132" si="45">SUM(I106:I111)</f>
        <v>-328</v>
      </c>
      <c r="J132" s="20">
        <f t="shared" si="45"/>
        <v>-350</v>
      </c>
      <c r="K132" s="20"/>
      <c r="L132" s="20"/>
      <c r="M132" s="20"/>
    </row>
    <row r="133" spans="1:19" s="7" customFormat="1" outlineLevel="1" collapsed="1" x14ac:dyDescent="0.2">
      <c r="B133" s="11" t="s">
        <v>83</v>
      </c>
      <c r="C133" s="23">
        <f t="shared" ref="C133:H133" si="46">C112-C132</f>
        <v>0</v>
      </c>
      <c r="D133" s="23">
        <f t="shared" si="46"/>
        <v>0</v>
      </c>
      <c r="E133" s="23">
        <f t="shared" si="46"/>
        <v>0</v>
      </c>
      <c r="F133" s="23">
        <f t="shared" si="46"/>
        <v>0</v>
      </c>
      <c r="G133" s="23">
        <f t="shared" si="46"/>
        <v>0</v>
      </c>
      <c r="H133" s="23">
        <f t="shared" si="46"/>
        <v>0</v>
      </c>
      <c r="I133" s="23">
        <f t="shared" ref="I133:J133" si="47">I112-I132</f>
        <v>0</v>
      </c>
      <c r="J133" s="23">
        <f t="shared" si="47"/>
        <v>0</v>
      </c>
      <c r="K133" s="26"/>
      <c r="L133" s="26"/>
      <c r="M133" s="26"/>
    </row>
    <row r="134" spans="1:19" hidden="1" outlineLevel="2" x14ac:dyDescent="0.2">
      <c r="B134" s="9" t="s">
        <v>85</v>
      </c>
      <c r="C134" s="20">
        <f t="shared" ref="C134:H134" si="48">C95+C105+C112+C113+C115</f>
        <v>4113</v>
      </c>
      <c r="D134" s="20">
        <f t="shared" si="48"/>
        <v>3897</v>
      </c>
      <c r="E134" s="20">
        <f t="shared" si="48"/>
        <v>3811</v>
      </c>
      <c r="F134" s="20">
        <f t="shared" si="48"/>
        <v>6059</v>
      </c>
      <c r="G134" s="20">
        <f t="shared" si="48"/>
        <v>4453</v>
      </c>
      <c r="H134" s="20">
        <f t="shared" si="48"/>
        <v>4825</v>
      </c>
      <c r="I134" s="20">
        <f t="shared" ref="I134:J134" si="49">I95+I105+I112+I113+I115</f>
        <v>5556</v>
      </c>
      <c r="J134" s="20">
        <f t="shared" si="49"/>
        <v>5596</v>
      </c>
      <c r="K134" s="20"/>
      <c r="L134" s="20"/>
      <c r="M134" s="20"/>
    </row>
    <row r="135" spans="1:19" s="18" customFormat="1" outlineLevel="1" collapsed="1" x14ac:dyDescent="0.2">
      <c r="A135" s="7"/>
      <c r="B135" s="17" t="s">
        <v>84</v>
      </c>
      <c r="C135" s="22">
        <f t="shared" ref="C135:H135" si="50">C116-C134</f>
        <v>0</v>
      </c>
      <c r="D135" s="22">
        <f t="shared" si="50"/>
        <v>0</v>
      </c>
      <c r="E135" s="22">
        <f t="shared" si="50"/>
        <v>0</v>
      </c>
      <c r="F135" s="22">
        <f t="shared" si="50"/>
        <v>0</v>
      </c>
      <c r="G135" s="22">
        <f t="shared" si="50"/>
        <v>0</v>
      </c>
      <c r="H135" s="22">
        <f t="shared" si="50"/>
        <v>0</v>
      </c>
      <c r="I135" s="22">
        <f t="shared" ref="I135:J135" si="51">I116-I134</f>
        <v>0</v>
      </c>
      <c r="J135" s="22">
        <f t="shared" si="51"/>
        <v>0</v>
      </c>
      <c r="K135" s="26"/>
      <c r="L135" s="26"/>
      <c r="M135" s="26"/>
      <c r="O135" s="7"/>
      <c r="S135" s="7"/>
    </row>
    <row r="136" spans="1:19" x14ac:dyDescent="0.2">
      <c r="B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spans="1:19" s="14" customFormat="1" ht="17" thickBot="1" x14ac:dyDescent="0.25">
      <c r="A137" s="4"/>
      <c r="B137" s="15" t="s">
        <v>86</v>
      </c>
      <c r="K137" s="4"/>
      <c r="L137" s="4"/>
      <c r="M137" s="4"/>
      <c r="O137" s="4"/>
      <c r="S137" s="4"/>
    </row>
    <row r="138" spans="1:19" outlineLevel="1" x14ac:dyDescent="0.2">
      <c r="B138" s="9" t="s">
        <v>4</v>
      </c>
      <c r="C138" s="27">
        <v>1618</v>
      </c>
      <c r="D138" s="27">
        <v>1623</v>
      </c>
      <c r="E138" s="27">
        <v>1620</v>
      </c>
      <c r="F138" s="27">
        <v>1621</v>
      </c>
      <c r="G138" s="27">
        <v>1623</v>
      </c>
      <c r="H138" s="27">
        <v>1628</v>
      </c>
      <c r="I138" s="27">
        <v>1630</v>
      </c>
      <c r="J138" s="27">
        <v>1631</v>
      </c>
      <c r="K138" s="20"/>
      <c r="L138" s="20"/>
      <c r="M138" s="20"/>
    </row>
    <row r="139" spans="1:19" outlineLevel="1" x14ac:dyDescent="0.2">
      <c r="B139" s="12" t="s">
        <v>94</v>
      </c>
      <c r="C139" s="28">
        <v>0</v>
      </c>
      <c r="D139" s="28">
        <v>0</v>
      </c>
      <c r="E139" s="28">
        <v>0</v>
      </c>
      <c r="F139" s="28">
        <v>0</v>
      </c>
      <c r="G139" s="28">
        <v>0</v>
      </c>
      <c r="H139" s="28">
        <v>0</v>
      </c>
      <c r="I139" s="28">
        <v>0</v>
      </c>
      <c r="J139" s="28">
        <v>0</v>
      </c>
      <c r="K139" s="8"/>
      <c r="L139" s="8"/>
      <c r="M139" s="8"/>
    </row>
    <row r="140" spans="1:19" x14ac:dyDescent="0.2">
      <c r="B140" s="1"/>
    </row>
    <row r="141" spans="1:19" s="66" customFormat="1" ht="17" thickBot="1" x14ac:dyDescent="0.25">
      <c r="A141" s="1"/>
      <c r="B141" s="15" t="s">
        <v>109</v>
      </c>
      <c r="C141" s="68"/>
      <c r="D141" s="68"/>
      <c r="E141" s="68"/>
      <c r="F141" s="68"/>
      <c r="G141" s="68"/>
      <c r="H141" s="68"/>
      <c r="I141" s="68"/>
      <c r="J141" s="68"/>
      <c r="K141" s="1"/>
      <c r="L141" s="1"/>
      <c r="M141" s="1"/>
      <c r="O141" s="4"/>
      <c r="S141" s="4"/>
    </row>
    <row r="142" spans="1:19" outlineLevel="1" x14ac:dyDescent="0.2">
      <c r="B142" s="9" t="s">
        <v>102</v>
      </c>
      <c r="C142" s="27">
        <v>6400</v>
      </c>
      <c r="D142" s="27">
        <v>7200</v>
      </c>
      <c r="E142" s="27">
        <v>6800</v>
      </c>
      <c r="F142" s="27">
        <v>7100</v>
      </c>
      <c r="G142" s="27">
        <v>8400</v>
      </c>
      <c r="H142" s="27">
        <v>9300</v>
      </c>
      <c r="I142" s="27">
        <v>9500</v>
      </c>
      <c r="J142" s="27">
        <v>10900</v>
      </c>
    </row>
    <row r="143" spans="1:19" outlineLevel="1" x14ac:dyDescent="0.2">
      <c r="B143" s="9" t="s">
        <v>103</v>
      </c>
      <c r="C143" s="27">
        <v>7000</v>
      </c>
      <c r="D143" s="27">
        <v>7800</v>
      </c>
      <c r="E143" s="27">
        <v>7400</v>
      </c>
      <c r="F143" s="27">
        <v>7700</v>
      </c>
      <c r="G143" s="27">
        <v>9000</v>
      </c>
      <c r="H143" s="27">
        <v>9900</v>
      </c>
      <c r="I143" s="27">
        <v>10100</v>
      </c>
      <c r="J143" s="27">
        <v>11500</v>
      </c>
    </row>
    <row r="144" spans="1:19" outlineLevel="1" x14ac:dyDescent="0.2">
      <c r="B144" s="9" t="s">
        <v>107</v>
      </c>
      <c r="C144" s="36">
        <f t="shared" ref="C144" si="52">D5</f>
        <v>6819</v>
      </c>
      <c r="D144" s="36">
        <f t="shared" ref="D144" si="53">E5</f>
        <v>7658</v>
      </c>
      <c r="E144" s="36">
        <f t="shared" ref="E144" si="54">F5</f>
        <v>7438</v>
      </c>
      <c r="F144" s="36">
        <f t="shared" ref="F144" si="55">G5</f>
        <v>7685</v>
      </c>
      <c r="G144" s="36">
        <f t="shared" ref="G144" si="56">H5</f>
        <v>9246</v>
      </c>
      <c r="H144" s="36">
        <f t="shared" ref="H144" si="57">I5</f>
        <v>10270</v>
      </c>
      <c r="I144" s="36">
        <f t="shared" ref="I144" si="58">J5</f>
        <v>10253</v>
      </c>
      <c r="J144" s="36">
        <f t="shared" ref="J144" si="59">K5</f>
        <v>0</v>
      </c>
    </row>
    <row r="145" spans="2:13" outlineLevel="1" x14ac:dyDescent="0.2">
      <c r="B145" s="9" t="s">
        <v>104</v>
      </c>
      <c r="C145" s="93" t="str">
        <f t="shared" ref="C145" si="60">IF(D5&gt;C143, "BEAT", IF(D5&lt;C142, "MISSED", "MET"))</f>
        <v>MET</v>
      </c>
      <c r="D145" s="93" t="str">
        <f t="shared" ref="D145" si="61">IF(E5&gt;D143, "BEAT", IF(E5&lt;D142, "MISSED", "MET"))</f>
        <v>MET</v>
      </c>
      <c r="E145" s="93" t="str">
        <f t="shared" ref="E145" si="62">IF(F5&gt;E143, "BEAT", IF(F5&lt;E142, "MISSED", "MET"))</f>
        <v>BEAT</v>
      </c>
      <c r="F145" s="93" t="str">
        <f t="shared" ref="F145" si="63">IF(G5&gt;F143, "BEAT", IF(G5&lt;F142, "MISSED", "MET"))</f>
        <v>MET</v>
      </c>
      <c r="G145" s="93" t="str">
        <f t="shared" ref="G145" si="64">IF(H5&gt;G143, "BEAT", IF(H5&lt;G142, "MISSED", "MET"))</f>
        <v>BEAT</v>
      </c>
      <c r="H145" s="93" t="str">
        <f t="shared" ref="H145" si="65">IF(I5&gt;H143, "BEAT", IF(I5&lt;H142, "MISSED", "MET"))</f>
        <v>BEAT</v>
      </c>
      <c r="I145" s="93" t="str">
        <f t="shared" ref="I145" si="66">IF(J5&gt;I143, "BEAT", IF(J5&lt;I142, "MISSED", "MET"))</f>
        <v>BEAT</v>
      </c>
      <c r="J145" s="93" t="str">
        <f t="shared" ref="J145" si="67">IF(K5&gt;J143, "BEAT", IF(K5&lt;J142, "MISSED", "MET"))</f>
        <v>MISSED</v>
      </c>
    </row>
    <row r="146" spans="2:13" outlineLevel="1" x14ac:dyDescent="0.2">
      <c r="B146" s="9" t="s">
        <v>105</v>
      </c>
      <c r="C146" s="31"/>
      <c r="D146" s="31"/>
      <c r="E146" s="31"/>
      <c r="F146" s="31"/>
      <c r="G146" s="31"/>
      <c r="H146" s="31"/>
      <c r="I146" s="31"/>
      <c r="J146" s="31"/>
    </row>
    <row r="147" spans="2:13" outlineLevel="1" x14ac:dyDescent="0.2">
      <c r="B147" s="9" t="s">
        <v>106</v>
      </c>
      <c r="C147" s="31"/>
      <c r="D147" s="31"/>
      <c r="E147" s="31"/>
      <c r="F147" s="31"/>
      <c r="G147" s="31"/>
      <c r="H147" s="31"/>
      <c r="I147" s="31"/>
      <c r="J147" s="31"/>
    </row>
    <row r="148" spans="2:13" outlineLevel="1" x14ac:dyDescent="0.2">
      <c r="B148" s="9" t="s">
        <v>108</v>
      </c>
      <c r="C148" s="25"/>
      <c r="D148" s="25"/>
      <c r="E148" s="25"/>
      <c r="F148" s="25"/>
      <c r="G148" s="25"/>
      <c r="H148" s="25"/>
      <c r="I148" s="25"/>
      <c r="J148" s="25"/>
      <c r="K148" s="20"/>
      <c r="L148" s="20"/>
      <c r="M148" s="20"/>
    </row>
    <row r="149" spans="2:13" outlineLevel="1" x14ac:dyDescent="0.2">
      <c r="B149" s="12" t="s">
        <v>104</v>
      </c>
      <c r="C149" s="67"/>
      <c r="D149" s="67"/>
      <c r="E149" s="67"/>
      <c r="F149" s="67"/>
      <c r="G149" s="67"/>
      <c r="H149" s="67"/>
      <c r="I149" s="67"/>
      <c r="J149" s="67"/>
      <c r="K149" s="8"/>
      <c r="L149" s="8"/>
      <c r="M149" s="8"/>
    </row>
  </sheetData>
  <mergeCells count="1">
    <mergeCell ref="P4:R4"/>
  </mergeCells>
  <phoneticPr fontId="5" type="noConversion"/>
  <pageMargins left="0.7" right="0.7" top="0.75" bottom="0.75" header="0.3" footer="0.3"/>
  <ignoredErrors>
    <ignoredError sqref="J63 J130 J132 J49 N7 N14 N22:N28 N5:N6 N9:N10 N16:N21 N11:N13" formulaRange="1"/>
    <ignoredError sqref="R6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Statement Y</vt:lpstr>
      <vt:lpstr>Statement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dumitras</dc:creator>
  <cp:lastModifiedBy>adi dumitras</cp:lastModifiedBy>
  <dcterms:created xsi:type="dcterms:W3CDTF">2025-11-16T22:36:04Z</dcterms:created>
  <dcterms:modified xsi:type="dcterms:W3CDTF">2026-05-07T21:54:31Z</dcterms:modified>
</cp:coreProperties>
</file>