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0"/>
  <workbookPr defaultThemeVersion="202300"/>
  <mc:AlternateContent xmlns:mc="http://schemas.openxmlformats.org/markup-compatibility/2006">
    <mc:Choice Requires="x15">
      <x15ac:absPath xmlns:x15ac="http://schemas.microsoft.com/office/spreadsheetml/2010/11/ac" url="/Volumes/KINGSTON/MyStockData/Finance-StockLists/"/>
    </mc:Choice>
  </mc:AlternateContent>
  <xr:revisionPtr revIDLastSave="0" documentId="13_ncr:1_{928B0207-7412-C94E-8707-3695DA1792EA}" xr6:coauthVersionLast="47" xr6:coauthVersionMax="47" xr10:uidLastSave="{00000000-0000-0000-0000-000000000000}"/>
  <bookViews>
    <workbookView xWindow="0" yWindow="0" windowWidth="25600" windowHeight="14400" xr2:uid="{AEC0C047-6E16-294C-82BD-58123BA913A1}"/>
  </bookViews>
  <sheets>
    <sheet name="Overview" sheetId="1" r:id="rId1"/>
    <sheet name="Financials -&gt;" sheetId="2" r:id="rId2"/>
    <sheet name="Statement" sheetId="3" r:id="rId3"/>
    <sheet name="Analysis -&gt;" sheetId="15" r:id="rId4"/>
    <sheet name="Basic" sheetId="16" r:id="rId5"/>
    <sheet name="Yearly Analysis" sheetId="17" r:id="rId6"/>
    <sheet name="Quarter analysis" sheetId="18" r:id="rId7"/>
    <sheet name="Graphs Year" sheetId="19" r:id="rId8"/>
    <sheet name="Graphs Quarter" sheetId="20" r:id="rId9"/>
    <sheet name="Forecast -&gt;" sheetId="4" r:id="rId10"/>
    <sheet name="Revenue" sheetId="5" r:id="rId11"/>
    <sheet name="COGS &amp; OpEx" sheetId="6" r:id="rId12"/>
    <sheet name="WC &amp; Investments" sheetId="7" r:id="rId13"/>
    <sheet name="FCF &amp; Other" sheetId="8" r:id="rId14"/>
    <sheet name="Valuation -&gt;" sheetId="9" r:id="rId15"/>
    <sheet name="WACC" sheetId="10" r:id="rId16"/>
    <sheet name="DCF" sheetId="11" r:id="rId17"/>
    <sheet name="Multiples" sheetId="12" r:id="rId18"/>
    <sheet name="AVG target price" sheetId="13" r:id="rId19"/>
    <sheet name="DDM" sheetId="21" r:id="rId20"/>
    <sheet name="Reverse DCF" sheetId="14" r:id="rId21"/>
  </sheets>
  <externalReferences>
    <externalReference r:id="rId22"/>
    <externalReference r:id="rId23"/>
  </externalReferenc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58" i="3" l="1"/>
  <c r="I13" i="1"/>
  <c r="H7" i="1"/>
  <c r="H6" i="1"/>
  <c r="C83" i="12"/>
  <c r="C81" i="12"/>
  <c r="C80" i="12"/>
  <c r="C74" i="12"/>
  <c r="C77" i="12" s="1"/>
  <c r="G36" i="12"/>
  <c r="F36" i="12"/>
  <c r="E36" i="12"/>
  <c r="D36" i="12"/>
  <c r="C36" i="12"/>
  <c r="G15" i="8"/>
  <c r="F15" i="8"/>
  <c r="E15" i="8"/>
  <c r="D15" i="8"/>
  <c r="C15" i="8"/>
  <c r="AC113" i="3"/>
  <c r="AA114" i="3"/>
  <c r="AA60" i="3"/>
  <c r="AA35" i="3"/>
  <c r="AC35" i="3" s="1"/>
  <c r="AA15" i="3"/>
  <c r="AA149" i="3" s="1"/>
  <c r="AA6" i="3"/>
  <c r="Z218" i="3"/>
  <c r="Y218" i="3"/>
  <c r="X218" i="3"/>
  <c r="W218" i="3"/>
  <c r="V218" i="3"/>
  <c r="U218" i="3"/>
  <c r="T218" i="3"/>
  <c r="Z217" i="3"/>
  <c r="Y217" i="3"/>
  <c r="X217" i="3"/>
  <c r="W217" i="3"/>
  <c r="V217" i="3"/>
  <c r="U217" i="3"/>
  <c r="T217" i="3"/>
  <c r="Y213" i="3"/>
  <c r="Z210" i="3"/>
  <c r="Y210" i="3"/>
  <c r="X210" i="3"/>
  <c r="W210" i="3"/>
  <c r="V210" i="3"/>
  <c r="U210" i="3"/>
  <c r="T210" i="3"/>
  <c r="Z195" i="3"/>
  <c r="Y195" i="3"/>
  <c r="X195" i="3"/>
  <c r="W195" i="3"/>
  <c r="V195" i="3"/>
  <c r="U195" i="3"/>
  <c r="T195" i="3"/>
  <c r="Z194" i="3"/>
  <c r="Y194" i="3"/>
  <c r="X194" i="3"/>
  <c r="W194" i="3"/>
  <c r="V194" i="3"/>
  <c r="U194" i="3"/>
  <c r="T194" i="3"/>
  <c r="Z193" i="3"/>
  <c r="Y193" i="3"/>
  <c r="X193" i="3"/>
  <c r="W193" i="3"/>
  <c r="V193" i="3"/>
  <c r="U193" i="3"/>
  <c r="T193" i="3"/>
  <c r="Z179" i="3"/>
  <c r="Y179" i="3"/>
  <c r="X179" i="3"/>
  <c r="W179" i="3"/>
  <c r="V179" i="3"/>
  <c r="U179" i="3"/>
  <c r="T179" i="3"/>
  <c r="Z178" i="3"/>
  <c r="Y178" i="3"/>
  <c r="X178" i="3"/>
  <c r="W178" i="3"/>
  <c r="V178" i="3"/>
  <c r="U178" i="3"/>
  <c r="T178" i="3"/>
  <c r="Z177" i="3"/>
  <c r="Y177" i="3"/>
  <c r="X177" i="3"/>
  <c r="W177" i="3"/>
  <c r="V177" i="3"/>
  <c r="U177" i="3"/>
  <c r="T177" i="3"/>
  <c r="Z174" i="3"/>
  <c r="Y174" i="3"/>
  <c r="X174" i="3"/>
  <c r="W174" i="3"/>
  <c r="V174" i="3"/>
  <c r="U174" i="3"/>
  <c r="T174" i="3"/>
  <c r="Z173" i="3"/>
  <c r="Y173" i="3"/>
  <c r="X173" i="3"/>
  <c r="W173" i="3"/>
  <c r="V173" i="3"/>
  <c r="U173" i="3"/>
  <c r="T173" i="3"/>
  <c r="Z157" i="3"/>
  <c r="Y157" i="3"/>
  <c r="X157" i="3"/>
  <c r="W157" i="3"/>
  <c r="V157" i="3"/>
  <c r="U157" i="3"/>
  <c r="T157" i="3"/>
  <c r="X149" i="3"/>
  <c r="W149" i="3"/>
  <c r="V149" i="3"/>
  <c r="U149" i="3"/>
  <c r="T149" i="3"/>
  <c r="Z148" i="3"/>
  <c r="Y148" i="3"/>
  <c r="X148" i="3"/>
  <c r="W148" i="3"/>
  <c r="V148" i="3"/>
  <c r="U148" i="3"/>
  <c r="T148" i="3"/>
  <c r="Y143" i="3"/>
  <c r="X143" i="3"/>
  <c r="W143" i="3"/>
  <c r="V143" i="3"/>
  <c r="U143" i="3"/>
  <c r="T143" i="3"/>
  <c r="Y142" i="3"/>
  <c r="X142" i="3"/>
  <c r="W142" i="3"/>
  <c r="V142" i="3"/>
  <c r="U142" i="3"/>
  <c r="T142" i="3"/>
  <c r="Z141" i="3"/>
  <c r="Y141" i="3"/>
  <c r="Y144" i="3" s="1"/>
  <c r="X141" i="3"/>
  <c r="X144" i="3" s="1"/>
  <c r="W141" i="3"/>
  <c r="W144" i="3" s="1"/>
  <c r="V141" i="3"/>
  <c r="V144" i="3" s="1"/>
  <c r="U141" i="3"/>
  <c r="U144" i="3" s="1"/>
  <c r="T141" i="3"/>
  <c r="T144" i="3" s="1"/>
  <c r="Z135" i="3"/>
  <c r="Z136" i="3" s="1"/>
  <c r="Y135" i="3"/>
  <c r="Y136" i="3" s="1"/>
  <c r="X135" i="3"/>
  <c r="X136" i="3" s="1"/>
  <c r="W135" i="3"/>
  <c r="W136" i="3" s="1"/>
  <c r="V135" i="3"/>
  <c r="V136" i="3" s="1"/>
  <c r="U135" i="3"/>
  <c r="U136" i="3" s="1"/>
  <c r="T135" i="3"/>
  <c r="T136" i="3" s="1"/>
  <c r="Z121" i="3"/>
  <c r="Y121" i="3"/>
  <c r="X121" i="3"/>
  <c r="W121" i="3"/>
  <c r="V121" i="3"/>
  <c r="U121" i="3"/>
  <c r="T121" i="3"/>
  <c r="Z116" i="3"/>
  <c r="Y116" i="3"/>
  <c r="X116" i="3"/>
  <c r="W116" i="3"/>
  <c r="V116" i="3"/>
  <c r="U116" i="3"/>
  <c r="T116" i="3"/>
  <c r="Z115" i="3"/>
  <c r="Y115" i="3"/>
  <c r="X115" i="3"/>
  <c r="W115" i="3"/>
  <c r="V115" i="3"/>
  <c r="U115" i="3"/>
  <c r="T115" i="3"/>
  <c r="Z114" i="3"/>
  <c r="Y114" i="3"/>
  <c r="X114" i="3"/>
  <c r="W114" i="3"/>
  <c r="V114" i="3"/>
  <c r="U114" i="3"/>
  <c r="T114" i="3"/>
  <c r="Z112" i="3"/>
  <c r="Y112" i="3"/>
  <c r="X112" i="3"/>
  <c r="W112" i="3"/>
  <c r="V112" i="3"/>
  <c r="U112" i="3"/>
  <c r="T112" i="3"/>
  <c r="Z111" i="3"/>
  <c r="Y111" i="3"/>
  <c r="X111" i="3"/>
  <c r="W111" i="3"/>
  <c r="V111" i="3"/>
  <c r="U111" i="3"/>
  <c r="T111" i="3"/>
  <c r="Z110" i="3"/>
  <c r="Y110" i="3"/>
  <c r="X110" i="3"/>
  <c r="W110" i="3"/>
  <c r="V110" i="3"/>
  <c r="U110" i="3"/>
  <c r="T110" i="3"/>
  <c r="Z107" i="3"/>
  <c r="Y107" i="3"/>
  <c r="X107" i="3"/>
  <c r="W107" i="3"/>
  <c r="V107" i="3"/>
  <c r="U107" i="3"/>
  <c r="T107" i="3"/>
  <c r="Z106" i="3"/>
  <c r="Y106" i="3"/>
  <c r="X106" i="3"/>
  <c r="W106" i="3"/>
  <c r="V106" i="3"/>
  <c r="U106" i="3"/>
  <c r="T106" i="3"/>
  <c r="Z102" i="3"/>
  <c r="Y102" i="3"/>
  <c r="X102" i="3"/>
  <c r="W102" i="3"/>
  <c r="V102" i="3"/>
  <c r="U102" i="3"/>
  <c r="T102" i="3"/>
  <c r="Z101" i="3"/>
  <c r="Y101" i="3"/>
  <c r="X101" i="3"/>
  <c r="W101" i="3"/>
  <c r="V101" i="3"/>
  <c r="U101" i="3"/>
  <c r="T101" i="3"/>
  <c r="Z100" i="3"/>
  <c r="Y100" i="3"/>
  <c r="X100" i="3"/>
  <c r="W100" i="3"/>
  <c r="V100" i="3"/>
  <c r="U100" i="3"/>
  <c r="T100" i="3"/>
  <c r="Z99" i="3"/>
  <c r="Y99" i="3"/>
  <c r="X99" i="3"/>
  <c r="W99" i="3"/>
  <c r="V99" i="3"/>
  <c r="U99" i="3"/>
  <c r="T99" i="3"/>
  <c r="Z98" i="3"/>
  <c r="Y98" i="3"/>
  <c r="X98" i="3"/>
  <c r="W98" i="3"/>
  <c r="V98" i="3"/>
  <c r="U98" i="3"/>
  <c r="T98" i="3"/>
  <c r="Z97" i="3"/>
  <c r="Y97" i="3"/>
  <c r="X97" i="3"/>
  <c r="W97" i="3"/>
  <c r="V97" i="3"/>
  <c r="U97" i="3"/>
  <c r="T97" i="3"/>
  <c r="Z96" i="3"/>
  <c r="Y96" i="3"/>
  <c r="X96" i="3"/>
  <c r="W96" i="3"/>
  <c r="V96" i="3"/>
  <c r="U96" i="3"/>
  <c r="T96" i="3"/>
  <c r="Z95" i="3"/>
  <c r="Y95" i="3"/>
  <c r="X95" i="3"/>
  <c r="W95" i="3"/>
  <c r="V95" i="3"/>
  <c r="U95" i="3"/>
  <c r="T95" i="3"/>
  <c r="Z94" i="3"/>
  <c r="Y94" i="3"/>
  <c r="X94" i="3"/>
  <c r="W94" i="3"/>
  <c r="V94" i="3"/>
  <c r="U94" i="3"/>
  <c r="T94" i="3"/>
  <c r="Y92" i="3"/>
  <c r="X92" i="3"/>
  <c r="W92" i="3"/>
  <c r="V92" i="3"/>
  <c r="U92" i="3"/>
  <c r="T92" i="3"/>
  <c r="Z91" i="3"/>
  <c r="Y91" i="3"/>
  <c r="X91" i="3"/>
  <c r="W91" i="3"/>
  <c r="V91" i="3"/>
  <c r="U91" i="3"/>
  <c r="T91" i="3"/>
  <c r="Z85" i="3"/>
  <c r="Y85" i="3"/>
  <c r="X85" i="3"/>
  <c r="W85" i="3"/>
  <c r="V85" i="3"/>
  <c r="U85" i="3"/>
  <c r="T85" i="3"/>
  <c r="Z84" i="3"/>
  <c r="Y84" i="3"/>
  <c r="X84" i="3"/>
  <c r="W84" i="3"/>
  <c r="V84" i="3"/>
  <c r="U84" i="3"/>
  <c r="T84" i="3"/>
  <c r="Y79" i="3"/>
  <c r="V79" i="3"/>
  <c r="U79" i="3"/>
  <c r="T79" i="3"/>
  <c r="Z78" i="3"/>
  <c r="Z79" i="3" s="1"/>
  <c r="X78" i="3"/>
  <c r="X79" i="3" s="1"/>
  <c r="W78" i="3"/>
  <c r="W79" i="3" s="1"/>
  <c r="Z77" i="3"/>
  <c r="Y77" i="3"/>
  <c r="X77" i="3"/>
  <c r="W77" i="3"/>
  <c r="V77" i="3"/>
  <c r="U77" i="3"/>
  <c r="T77" i="3"/>
  <c r="Z73" i="3"/>
  <c r="Y73" i="3"/>
  <c r="X73" i="3"/>
  <c r="W73" i="3"/>
  <c r="V73" i="3"/>
  <c r="U73" i="3"/>
  <c r="T73" i="3"/>
  <c r="Z60" i="3"/>
  <c r="Z44" i="3"/>
  <c r="Y44" i="3"/>
  <c r="X44" i="3"/>
  <c r="W44" i="3"/>
  <c r="V44" i="3"/>
  <c r="U44" i="3"/>
  <c r="T44" i="3"/>
  <c r="Z38" i="3"/>
  <c r="Y38" i="3"/>
  <c r="X38" i="3"/>
  <c r="W38" i="3"/>
  <c r="V38" i="3"/>
  <c r="U38" i="3"/>
  <c r="T38" i="3"/>
  <c r="Z35" i="3"/>
  <c r="Y35" i="3"/>
  <c r="X35" i="3"/>
  <c r="W35" i="3"/>
  <c r="V35" i="3"/>
  <c r="U35" i="3"/>
  <c r="T35" i="3"/>
  <c r="Z28" i="3"/>
  <c r="Y28" i="3"/>
  <c r="X28" i="3"/>
  <c r="W28" i="3"/>
  <c r="V28" i="3"/>
  <c r="U28" i="3"/>
  <c r="T28" i="3"/>
  <c r="Z26" i="3"/>
  <c r="Y26" i="3"/>
  <c r="X26" i="3"/>
  <c r="W26" i="3"/>
  <c r="V26" i="3"/>
  <c r="U26" i="3"/>
  <c r="T26" i="3"/>
  <c r="Z24" i="3"/>
  <c r="Y24" i="3"/>
  <c r="X24" i="3"/>
  <c r="W24" i="3"/>
  <c r="V24" i="3"/>
  <c r="U24" i="3"/>
  <c r="T24" i="3"/>
  <c r="Z22" i="3"/>
  <c r="Y22" i="3"/>
  <c r="X22" i="3"/>
  <c r="W22" i="3"/>
  <c r="V22" i="3"/>
  <c r="U22" i="3"/>
  <c r="T22" i="3"/>
  <c r="Y16" i="3"/>
  <c r="AC16" i="3" s="1"/>
  <c r="Z15" i="3"/>
  <c r="Z149" i="3" s="1"/>
  <c r="Y15" i="3"/>
  <c r="Z13" i="3"/>
  <c r="Y13" i="3"/>
  <c r="Y71" i="3" s="1"/>
  <c r="Y72" i="3" s="1"/>
  <c r="X13" i="3"/>
  <c r="X71" i="3" s="1"/>
  <c r="X72" i="3" s="1"/>
  <c r="W13" i="3"/>
  <c r="W71" i="3" s="1"/>
  <c r="W72" i="3" s="1"/>
  <c r="V13" i="3"/>
  <c r="V71" i="3" s="1"/>
  <c r="V72" i="3" s="1"/>
  <c r="U13" i="3"/>
  <c r="U71" i="3" s="1"/>
  <c r="U72" i="3" s="1"/>
  <c r="T13" i="3"/>
  <c r="T71" i="3" s="1"/>
  <c r="T72" i="3" s="1"/>
  <c r="Y7" i="3"/>
  <c r="X7" i="3"/>
  <c r="W7" i="3"/>
  <c r="V7" i="3"/>
  <c r="U7" i="3"/>
  <c r="T7" i="3"/>
  <c r="Z6" i="3"/>
  <c r="AA121" i="3"/>
  <c r="G7" i="21"/>
  <c r="F7" i="21"/>
  <c r="E7" i="21"/>
  <c r="D7" i="21"/>
  <c r="C7" i="21"/>
  <c r="G6" i="21"/>
  <c r="F6" i="21"/>
  <c r="E6" i="21"/>
  <c r="D6" i="21"/>
  <c r="E11" i="21"/>
  <c r="C6" i="21"/>
  <c r="G11" i="21"/>
  <c r="F11" i="21"/>
  <c r="L5" i="21"/>
  <c r="K5" i="21"/>
  <c r="J5" i="21"/>
  <c r="I5" i="21"/>
  <c r="H5" i="21"/>
  <c r="G5" i="21"/>
  <c r="F5" i="21"/>
  <c r="E5" i="21"/>
  <c r="D5" i="21"/>
  <c r="C5" i="21"/>
  <c r="AA218" i="3"/>
  <c r="Q218" i="3"/>
  <c r="P218" i="3"/>
  <c r="O218" i="3"/>
  <c r="N218" i="3"/>
  <c r="M218" i="3"/>
  <c r="G45" i="7"/>
  <c r="F45" i="7"/>
  <c r="E45" i="7"/>
  <c r="D45" i="7"/>
  <c r="C45" i="7"/>
  <c r="C21" i="8"/>
  <c r="W16" i="6"/>
  <c r="W15" i="6"/>
  <c r="V16" i="6"/>
  <c r="U16" i="6"/>
  <c r="T16" i="6"/>
  <c r="S16" i="6"/>
  <c r="R16" i="6"/>
  <c r="Q16" i="6"/>
  <c r="P16" i="6"/>
  <c r="V15" i="6"/>
  <c r="U15" i="6"/>
  <c r="T15" i="6"/>
  <c r="S15" i="6"/>
  <c r="R15" i="6"/>
  <c r="Q15" i="6"/>
  <c r="P15" i="6"/>
  <c r="V14" i="6"/>
  <c r="U14" i="6"/>
  <c r="T14" i="6"/>
  <c r="S14" i="6"/>
  <c r="R14" i="6"/>
  <c r="Q14" i="6"/>
  <c r="G16" i="6"/>
  <c r="G15" i="6"/>
  <c r="F16" i="6"/>
  <c r="E16" i="6"/>
  <c r="D16" i="6"/>
  <c r="F15" i="6"/>
  <c r="E15" i="6"/>
  <c r="D15" i="6"/>
  <c r="C16" i="6"/>
  <c r="C15" i="6"/>
  <c r="B16" i="6"/>
  <c r="B15" i="6"/>
  <c r="Y29" i="5"/>
  <c r="X29" i="5"/>
  <c r="W29" i="5"/>
  <c r="W30" i="5" s="1"/>
  <c r="V29" i="5"/>
  <c r="V30" i="5" s="1"/>
  <c r="U29" i="5"/>
  <c r="T29" i="5"/>
  <c r="T30" i="5" s="1"/>
  <c r="S29" i="5"/>
  <c r="Y27" i="5"/>
  <c r="X27" i="5"/>
  <c r="W27" i="5"/>
  <c r="V27" i="5"/>
  <c r="V28" i="5" s="1"/>
  <c r="U27" i="5"/>
  <c r="T27" i="5"/>
  <c r="T28" i="5" s="1"/>
  <c r="S27" i="5"/>
  <c r="Z25" i="5"/>
  <c r="AA25" i="5" s="1"/>
  <c r="Y25" i="5"/>
  <c r="X25" i="5"/>
  <c r="W25" i="5"/>
  <c r="V25" i="5"/>
  <c r="U25" i="5"/>
  <c r="T25" i="5"/>
  <c r="S25" i="5"/>
  <c r="Y24" i="5"/>
  <c r="X24" i="5"/>
  <c r="W24" i="5"/>
  <c r="V24" i="5"/>
  <c r="U24" i="5"/>
  <c r="T24" i="5"/>
  <c r="S24" i="5"/>
  <c r="AE23" i="5"/>
  <c r="Z23" i="5"/>
  <c r="Y23" i="5"/>
  <c r="X23" i="5"/>
  <c r="W23" i="5"/>
  <c r="V23" i="5"/>
  <c r="U23" i="5"/>
  <c r="T23" i="5"/>
  <c r="S23" i="5"/>
  <c r="Z21" i="5"/>
  <c r="Y21" i="5"/>
  <c r="X21" i="5"/>
  <c r="W21" i="5"/>
  <c r="V21" i="5"/>
  <c r="U21" i="5"/>
  <c r="T21" i="5"/>
  <c r="Y22" i="5"/>
  <c r="S21" i="5"/>
  <c r="X22" i="5"/>
  <c r="W22" i="5"/>
  <c r="V22" i="5"/>
  <c r="U22" i="5"/>
  <c r="G29" i="5"/>
  <c r="F29" i="5"/>
  <c r="E29" i="5"/>
  <c r="D29" i="5"/>
  <c r="G25" i="5"/>
  <c r="F25" i="5"/>
  <c r="E25" i="5"/>
  <c r="D25" i="5"/>
  <c r="C25" i="5"/>
  <c r="F24" i="5"/>
  <c r="E24" i="5"/>
  <c r="D24" i="5"/>
  <c r="C24" i="5"/>
  <c r="G23" i="5"/>
  <c r="F23" i="5"/>
  <c r="E23" i="5"/>
  <c r="D23" i="5"/>
  <c r="C23" i="5"/>
  <c r="G21" i="5"/>
  <c r="F21" i="5"/>
  <c r="E21" i="5"/>
  <c r="D21" i="5"/>
  <c r="C21" i="5"/>
  <c r="F34" i="18"/>
  <c r="C34" i="18"/>
  <c r="B34" i="18"/>
  <c r="B32" i="18"/>
  <c r="O217" i="3"/>
  <c r="N217" i="3"/>
  <c r="M217" i="3"/>
  <c r="P217" i="3"/>
  <c r="Q217" i="3"/>
  <c r="AA217" i="3"/>
  <c r="Q216" i="3"/>
  <c r="G33" i="5" s="1"/>
  <c r="P216" i="3"/>
  <c r="F33" i="5" s="1"/>
  <c r="F34" i="5" s="1"/>
  <c r="O216" i="3"/>
  <c r="E33" i="5" s="1"/>
  <c r="E34" i="5" s="1"/>
  <c r="N216" i="3"/>
  <c r="D33" i="5" s="1"/>
  <c r="Q215" i="3"/>
  <c r="G31" i="5" s="1"/>
  <c r="P215" i="3"/>
  <c r="F31" i="5" s="1"/>
  <c r="O215" i="3"/>
  <c r="E31" i="5" s="1"/>
  <c r="E32" i="5" s="1"/>
  <c r="N215" i="3"/>
  <c r="D31" i="5" s="1"/>
  <c r="Z24" i="5"/>
  <c r="Q213" i="3"/>
  <c r="G24" i="5" s="1"/>
  <c r="AC211" i="3"/>
  <c r="B195" i="3"/>
  <c r="B194" i="3"/>
  <c r="B193" i="3"/>
  <c r="AA210" i="3"/>
  <c r="Q210" i="3"/>
  <c r="G27" i="5" s="1"/>
  <c r="P210" i="3"/>
  <c r="F27" i="5" s="1"/>
  <c r="O210" i="3"/>
  <c r="E27" i="5" s="1"/>
  <c r="N210" i="3"/>
  <c r="D27" i="5" s="1"/>
  <c r="M210" i="3"/>
  <c r="C27" i="5" s="1"/>
  <c r="AA98" i="3"/>
  <c r="AA97" i="3"/>
  <c r="Q98" i="3"/>
  <c r="P98" i="3"/>
  <c r="O98" i="3"/>
  <c r="N98" i="3"/>
  <c r="Q97" i="3"/>
  <c r="P97" i="3"/>
  <c r="O97" i="3"/>
  <c r="N97" i="3"/>
  <c r="M98" i="3"/>
  <c r="M97" i="3"/>
  <c r="Q78" i="3"/>
  <c r="Q79" i="3" s="1"/>
  <c r="Q35" i="3"/>
  <c r="P35" i="3"/>
  <c r="O35" i="3"/>
  <c r="N35" i="3"/>
  <c r="M35" i="3"/>
  <c r="AC27" i="3"/>
  <c r="AC25" i="3"/>
  <c r="AA26" i="3"/>
  <c r="AC17" i="3"/>
  <c r="AC14" i="3"/>
  <c r="AC12" i="3"/>
  <c r="AC11" i="3"/>
  <c r="Q15" i="3"/>
  <c r="Q149" i="3" s="1"/>
  <c r="Q16" i="3"/>
  <c r="O16" i="3"/>
  <c r="AA13" i="3"/>
  <c r="Q13" i="3"/>
  <c r="P13" i="3"/>
  <c r="O13" i="3"/>
  <c r="N13" i="3"/>
  <c r="M13" i="3"/>
  <c r="L13" i="3"/>
  <c r="K13" i="3"/>
  <c r="J13" i="3"/>
  <c r="I13" i="3"/>
  <c r="H13" i="3"/>
  <c r="G13" i="3"/>
  <c r="F13" i="3"/>
  <c r="E13" i="3"/>
  <c r="D13" i="3"/>
  <c r="C13" i="3"/>
  <c r="C4" i="1" a="1"/>
  <c r="H73" i="19"/>
  <c r="G73" i="19"/>
  <c r="F73" i="19"/>
  <c r="E73" i="19"/>
  <c r="D73" i="19"/>
  <c r="C73" i="19"/>
  <c r="H72" i="19"/>
  <c r="G72" i="19"/>
  <c r="F72" i="19"/>
  <c r="E72" i="19"/>
  <c r="D72" i="19"/>
  <c r="C72" i="19"/>
  <c r="H71" i="19"/>
  <c r="G71" i="19"/>
  <c r="F71" i="19"/>
  <c r="E71" i="19"/>
  <c r="D71" i="19"/>
  <c r="C71" i="19"/>
  <c r="Q180" i="3"/>
  <c r="P180" i="3"/>
  <c r="O180" i="3"/>
  <c r="N180" i="3"/>
  <c r="M180" i="3"/>
  <c r="AC36" i="3"/>
  <c r="Q204" i="3"/>
  <c r="L72" i="19" s="1"/>
  <c r="P204" i="3"/>
  <c r="K72" i="19" s="1"/>
  <c r="O204" i="3"/>
  <c r="J72" i="19" s="1"/>
  <c r="N204" i="3"/>
  <c r="I72" i="19" s="1"/>
  <c r="G10" i="16"/>
  <c r="Q121" i="3"/>
  <c r="P121" i="3"/>
  <c r="O121" i="3"/>
  <c r="N121" i="3"/>
  <c r="M121" i="3"/>
  <c r="F26" i="1" a="1"/>
  <c r="J65" i="20"/>
  <c r="I65" i="20"/>
  <c r="H65" i="20"/>
  <c r="G65" i="20"/>
  <c r="F65" i="20"/>
  <c r="E65" i="20"/>
  <c r="D65" i="20"/>
  <c r="J64" i="20"/>
  <c r="I64" i="20"/>
  <c r="H64" i="20"/>
  <c r="G64" i="20"/>
  <c r="F64" i="20"/>
  <c r="E64" i="20"/>
  <c r="D64" i="20"/>
  <c r="J63" i="20"/>
  <c r="I63" i="20"/>
  <c r="H63" i="20"/>
  <c r="G63" i="20"/>
  <c r="F63" i="20"/>
  <c r="E63" i="20"/>
  <c r="D63" i="20"/>
  <c r="C65" i="20"/>
  <c r="C64" i="20"/>
  <c r="C63" i="20"/>
  <c r="J59" i="20"/>
  <c r="I59" i="20"/>
  <c r="H59" i="20"/>
  <c r="G59" i="20"/>
  <c r="F59" i="20"/>
  <c r="E59" i="20"/>
  <c r="D59" i="20"/>
  <c r="C59" i="20"/>
  <c r="J58" i="20"/>
  <c r="I58" i="20"/>
  <c r="H58" i="20"/>
  <c r="G58" i="20"/>
  <c r="F58" i="20"/>
  <c r="E58" i="20"/>
  <c r="D58" i="20"/>
  <c r="C58" i="20"/>
  <c r="J57" i="20"/>
  <c r="I57" i="20"/>
  <c r="H57" i="20"/>
  <c r="G57" i="20"/>
  <c r="F57" i="20"/>
  <c r="E57" i="20"/>
  <c r="D57" i="20"/>
  <c r="C57" i="20"/>
  <c r="J56" i="20"/>
  <c r="I56" i="20"/>
  <c r="H56" i="20"/>
  <c r="G56" i="20"/>
  <c r="F56" i="20"/>
  <c r="E56" i="20"/>
  <c r="D56" i="20"/>
  <c r="J55" i="20"/>
  <c r="I55" i="20"/>
  <c r="H55" i="20"/>
  <c r="G55" i="20"/>
  <c r="F55" i="20"/>
  <c r="E55" i="20"/>
  <c r="D55" i="20"/>
  <c r="C56" i="20"/>
  <c r="C55" i="20"/>
  <c r="G70" i="19"/>
  <c r="F70" i="19"/>
  <c r="E70" i="19"/>
  <c r="D70" i="19"/>
  <c r="C70" i="19"/>
  <c r="G69" i="19"/>
  <c r="F69" i="19"/>
  <c r="E69" i="19"/>
  <c r="D69" i="19"/>
  <c r="C69" i="19"/>
  <c r="G68" i="19"/>
  <c r="F68" i="19"/>
  <c r="E68" i="19"/>
  <c r="D68" i="19"/>
  <c r="C68" i="19"/>
  <c r="L67" i="19"/>
  <c r="K67" i="19"/>
  <c r="J67" i="19"/>
  <c r="I67" i="19"/>
  <c r="H67" i="19"/>
  <c r="G67" i="19"/>
  <c r="F67" i="19"/>
  <c r="E67" i="19"/>
  <c r="D67" i="19"/>
  <c r="C67" i="19"/>
  <c r="L66" i="19"/>
  <c r="K66" i="19"/>
  <c r="J66" i="19"/>
  <c r="I66" i="19"/>
  <c r="H66" i="19"/>
  <c r="G66" i="19"/>
  <c r="F66" i="19"/>
  <c r="E66" i="19"/>
  <c r="D66" i="19"/>
  <c r="C66" i="19"/>
  <c r="L65" i="19"/>
  <c r="K65" i="19"/>
  <c r="J65" i="19"/>
  <c r="I65" i="19"/>
  <c r="H65" i="19"/>
  <c r="G65" i="19"/>
  <c r="F65" i="19"/>
  <c r="E65" i="19"/>
  <c r="D65" i="19"/>
  <c r="C65" i="19"/>
  <c r="G64" i="19"/>
  <c r="F64" i="19"/>
  <c r="E64" i="19"/>
  <c r="D64" i="19"/>
  <c r="G63" i="19"/>
  <c r="F63" i="19"/>
  <c r="E63" i="19"/>
  <c r="D63" i="19"/>
  <c r="G62" i="19"/>
  <c r="F62" i="19"/>
  <c r="E62" i="19"/>
  <c r="D62" i="19"/>
  <c r="C64" i="19"/>
  <c r="C63" i="19"/>
  <c r="C62" i="19"/>
  <c r="G61" i="19"/>
  <c r="F61" i="19"/>
  <c r="E61" i="19"/>
  <c r="D61" i="19"/>
  <c r="G60" i="19"/>
  <c r="F60" i="19"/>
  <c r="E60" i="19"/>
  <c r="D60" i="19"/>
  <c r="C61" i="19"/>
  <c r="C60" i="19"/>
  <c r="L59" i="19"/>
  <c r="K59" i="19"/>
  <c r="J59" i="19"/>
  <c r="I59" i="19"/>
  <c r="H59" i="19"/>
  <c r="G59" i="19"/>
  <c r="F59" i="19"/>
  <c r="E59" i="19"/>
  <c r="D59" i="19"/>
  <c r="C59" i="19"/>
  <c r="L58" i="19"/>
  <c r="K58" i="19"/>
  <c r="J58" i="19"/>
  <c r="I58" i="19"/>
  <c r="H58" i="19"/>
  <c r="G58" i="19"/>
  <c r="F58" i="19"/>
  <c r="E58" i="19"/>
  <c r="D58" i="19"/>
  <c r="C58" i="19"/>
  <c r="L57" i="19"/>
  <c r="K57" i="19"/>
  <c r="J57" i="19"/>
  <c r="I57" i="19"/>
  <c r="H57" i="19"/>
  <c r="G57" i="19"/>
  <c r="F57" i="19"/>
  <c r="E57" i="19"/>
  <c r="D57" i="19"/>
  <c r="C57" i="19"/>
  <c r="L56" i="19"/>
  <c r="K56" i="19"/>
  <c r="J56" i="19"/>
  <c r="I56" i="19"/>
  <c r="H56" i="19"/>
  <c r="G56" i="19"/>
  <c r="F56" i="19"/>
  <c r="E56" i="19"/>
  <c r="D56" i="19"/>
  <c r="L55" i="19"/>
  <c r="K55" i="19"/>
  <c r="J55" i="19"/>
  <c r="I55" i="19"/>
  <c r="H55" i="19"/>
  <c r="G55" i="19"/>
  <c r="F55" i="19"/>
  <c r="E55" i="19"/>
  <c r="D55" i="19"/>
  <c r="C56" i="19"/>
  <c r="C55" i="19"/>
  <c r="G7" i="16"/>
  <c r="F7" i="16"/>
  <c r="L73" i="3"/>
  <c r="K73" i="3"/>
  <c r="J73" i="3"/>
  <c r="I73" i="3"/>
  <c r="H73" i="3"/>
  <c r="G73" i="3"/>
  <c r="F73" i="3"/>
  <c r="E73" i="3"/>
  <c r="D73" i="3"/>
  <c r="C73" i="3"/>
  <c r="Q199" i="3"/>
  <c r="P199" i="3"/>
  <c r="O199" i="3"/>
  <c r="N199" i="3"/>
  <c r="M199" i="3"/>
  <c r="AC86" i="3"/>
  <c r="AC47" i="3"/>
  <c r="AC67" i="3"/>
  <c r="AA116" i="3"/>
  <c r="Q116" i="3"/>
  <c r="P116" i="3"/>
  <c r="O116" i="3"/>
  <c r="N116" i="3"/>
  <c r="M116" i="3"/>
  <c r="AC50" i="3"/>
  <c r="AA115" i="3"/>
  <c r="Q115" i="3"/>
  <c r="P115" i="3"/>
  <c r="O115" i="3"/>
  <c r="N115" i="3"/>
  <c r="M115" i="3"/>
  <c r="AC19" i="3"/>
  <c r="C13" i="10"/>
  <c r="C12" i="10"/>
  <c r="C11" i="10"/>
  <c r="G29" i="7"/>
  <c r="F29" i="7"/>
  <c r="E29" i="7"/>
  <c r="D29" i="7"/>
  <c r="C29" i="7"/>
  <c r="AC58" i="3"/>
  <c r="G14" i="7"/>
  <c r="F14" i="7"/>
  <c r="E14" i="7"/>
  <c r="D14" i="7"/>
  <c r="C14" i="7"/>
  <c r="AA112" i="3"/>
  <c r="AC112" i="3" s="1"/>
  <c r="Q112" i="3"/>
  <c r="P112" i="3"/>
  <c r="O112" i="3"/>
  <c r="E31" i="12" s="1"/>
  <c r="N112" i="3"/>
  <c r="D31" i="12" s="1"/>
  <c r="M112" i="3"/>
  <c r="AC41" i="3"/>
  <c r="H9" i="1"/>
  <c r="H8" i="1"/>
  <c r="H5" i="1"/>
  <c r="H4" i="1"/>
  <c r="H3" i="1"/>
  <c r="G32" i="18"/>
  <c r="F32" i="18"/>
  <c r="D32" i="18"/>
  <c r="C32" i="18"/>
  <c r="G28" i="18"/>
  <c r="F28" i="18"/>
  <c r="D28" i="18"/>
  <c r="C28" i="18"/>
  <c r="G26" i="18"/>
  <c r="F26" i="18"/>
  <c r="D26" i="18"/>
  <c r="C26" i="18"/>
  <c r="G24" i="18"/>
  <c r="F24" i="18"/>
  <c r="D24" i="18"/>
  <c r="C24" i="18"/>
  <c r="AA195" i="3"/>
  <c r="AA194" i="3"/>
  <c r="AA193" i="3"/>
  <c r="G16" i="18"/>
  <c r="F16" i="18"/>
  <c r="D16" i="18"/>
  <c r="C16" i="18"/>
  <c r="G14" i="18"/>
  <c r="F14" i="18"/>
  <c r="D14" i="18"/>
  <c r="C14" i="18"/>
  <c r="F8" i="18"/>
  <c r="C8" i="18"/>
  <c r="G6" i="18"/>
  <c r="F6" i="18"/>
  <c r="D6" i="18"/>
  <c r="C6" i="18"/>
  <c r="G5" i="18"/>
  <c r="G4" i="18"/>
  <c r="F5" i="18"/>
  <c r="F4" i="18"/>
  <c r="D5" i="18"/>
  <c r="D4" i="18"/>
  <c r="C5" i="18"/>
  <c r="C4" i="18"/>
  <c r="Q195" i="3"/>
  <c r="P195" i="3"/>
  <c r="O195" i="3"/>
  <c r="N195" i="3"/>
  <c r="M195" i="3"/>
  <c r="Q194" i="3"/>
  <c r="P194" i="3"/>
  <c r="O194" i="3"/>
  <c r="N194" i="3"/>
  <c r="M194" i="3"/>
  <c r="Q193" i="3"/>
  <c r="P193" i="3"/>
  <c r="O193" i="3"/>
  <c r="N193" i="3"/>
  <c r="M193" i="3"/>
  <c r="G22" i="17"/>
  <c r="F22" i="17"/>
  <c r="E22" i="17"/>
  <c r="D22" i="17"/>
  <c r="C22" i="17"/>
  <c r="G21" i="17"/>
  <c r="F21" i="17"/>
  <c r="E21" i="17"/>
  <c r="D21" i="17"/>
  <c r="C21" i="17"/>
  <c r="G6" i="17"/>
  <c r="F6" i="17"/>
  <c r="E6" i="17"/>
  <c r="D6" i="17"/>
  <c r="C6" i="17"/>
  <c r="I3" i="17"/>
  <c r="G3" i="17"/>
  <c r="F3" i="17"/>
  <c r="E3" i="17"/>
  <c r="D3" i="17"/>
  <c r="C3" i="17"/>
  <c r="G2" i="17"/>
  <c r="F2" i="17"/>
  <c r="E2" i="17"/>
  <c r="D2" i="17"/>
  <c r="C2" i="17"/>
  <c r="Q114" i="3"/>
  <c r="P114" i="3"/>
  <c r="O114" i="3"/>
  <c r="N114" i="3"/>
  <c r="M114" i="3"/>
  <c r="AA142" i="3"/>
  <c r="Q142" i="3"/>
  <c r="P142" i="3"/>
  <c r="O142" i="3"/>
  <c r="N142" i="3"/>
  <c r="M142" i="3"/>
  <c r="AC33" i="3"/>
  <c r="AC66" i="3"/>
  <c r="AA174" i="3"/>
  <c r="Q174" i="3"/>
  <c r="P174" i="3"/>
  <c r="O174" i="3"/>
  <c r="N174" i="3"/>
  <c r="M174" i="3"/>
  <c r="AA173" i="3"/>
  <c r="Q173" i="3"/>
  <c r="P173" i="3"/>
  <c r="O173" i="3"/>
  <c r="N173" i="3"/>
  <c r="M173" i="3"/>
  <c r="P149" i="3"/>
  <c r="O149" i="3"/>
  <c r="N149" i="3"/>
  <c r="M149" i="3"/>
  <c r="AA148" i="3"/>
  <c r="Q148" i="3"/>
  <c r="P148" i="3"/>
  <c r="O148" i="3"/>
  <c r="N148" i="3"/>
  <c r="M148" i="3"/>
  <c r="AA143" i="3"/>
  <c r="Q143" i="3"/>
  <c r="P143" i="3"/>
  <c r="O143" i="3"/>
  <c r="N143" i="3"/>
  <c r="M143" i="3"/>
  <c r="G9" i="16"/>
  <c r="F6" i="16"/>
  <c r="G6" i="16"/>
  <c r="AC64" i="3"/>
  <c r="AC63" i="3"/>
  <c r="AC62" i="3"/>
  <c r="AC61" i="3"/>
  <c r="AC56" i="3"/>
  <c r="AC55" i="3"/>
  <c r="P79" i="3"/>
  <c r="O79" i="3"/>
  <c r="N79" i="3"/>
  <c r="M79" i="3"/>
  <c r="AA135" i="3"/>
  <c r="G24" i="12"/>
  <c r="F24" i="12"/>
  <c r="E24" i="12"/>
  <c r="D24" i="12"/>
  <c r="C24" i="12"/>
  <c r="L15" i="8"/>
  <c r="K15" i="8"/>
  <c r="J15" i="8"/>
  <c r="I15" i="8"/>
  <c r="H15" i="8"/>
  <c r="G42" i="7"/>
  <c r="F42" i="7"/>
  <c r="E42" i="7"/>
  <c r="D42" i="7"/>
  <c r="C42" i="7"/>
  <c r="G30" i="7"/>
  <c r="F30" i="7"/>
  <c r="E30" i="7"/>
  <c r="D30" i="7"/>
  <c r="C30" i="7"/>
  <c r="G28" i="7"/>
  <c r="F28" i="7"/>
  <c r="E28" i="7"/>
  <c r="D28" i="7"/>
  <c r="C28" i="7"/>
  <c r="G15" i="7"/>
  <c r="F15" i="7"/>
  <c r="E15" i="7"/>
  <c r="D15" i="7"/>
  <c r="C15" i="7"/>
  <c r="L23" i="7"/>
  <c r="K23" i="7"/>
  <c r="J23" i="7"/>
  <c r="I23" i="7"/>
  <c r="H23" i="7"/>
  <c r="AB5" i="6"/>
  <c r="W14" i="6"/>
  <c r="P14" i="6"/>
  <c r="W13" i="6"/>
  <c r="V13" i="6"/>
  <c r="U13" i="6"/>
  <c r="T13" i="6"/>
  <c r="S13" i="6"/>
  <c r="R13" i="6"/>
  <c r="Q13" i="6"/>
  <c r="P13" i="6"/>
  <c r="W12" i="6"/>
  <c r="V12" i="6"/>
  <c r="U12" i="6"/>
  <c r="T12" i="6"/>
  <c r="S12" i="6"/>
  <c r="R12" i="6"/>
  <c r="Q12" i="6"/>
  <c r="P12" i="6"/>
  <c r="W11" i="6"/>
  <c r="V11" i="6"/>
  <c r="U11" i="6"/>
  <c r="T11" i="6"/>
  <c r="S11" i="6"/>
  <c r="R11" i="6"/>
  <c r="Q11" i="6"/>
  <c r="P11" i="6"/>
  <c r="O17" i="6"/>
  <c r="O11" i="6"/>
  <c r="B28" i="6"/>
  <c r="B22" i="6"/>
  <c r="G14" i="6"/>
  <c r="F14" i="6"/>
  <c r="E14" i="6"/>
  <c r="D14" i="6"/>
  <c r="C14" i="6"/>
  <c r="G13" i="6"/>
  <c r="F13" i="6"/>
  <c r="E13" i="6"/>
  <c r="D13" i="6"/>
  <c r="C13" i="6"/>
  <c r="G12" i="6"/>
  <c r="F12" i="6"/>
  <c r="E12" i="6"/>
  <c r="D12" i="6"/>
  <c r="C12" i="6"/>
  <c r="B14" i="6"/>
  <c r="B13" i="6"/>
  <c r="B12" i="6"/>
  <c r="G11" i="6"/>
  <c r="F11" i="6"/>
  <c r="E11" i="6"/>
  <c r="D11" i="6"/>
  <c r="C11" i="6"/>
  <c r="B5" i="6"/>
  <c r="Z21" i="6"/>
  <c r="Y21" i="6"/>
  <c r="X21" i="6"/>
  <c r="Z10" i="6"/>
  <c r="Y10" i="6"/>
  <c r="X10" i="6"/>
  <c r="Z8" i="5"/>
  <c r="Y8" i="5"/>
  <c r="X8" i="5"/>
  <c r="W8" i="5"/>
  <c r="V8" i="5"/>
  <c r="U8" i="5"/>
  <c r="T8" i="5"/>
  <c r="S8" i="5"/>
  <c r="Z7" i="5"/>
  <c r="Y7" i="5"/>
  <c r="X7" i="5"/>
  <c r="W7" i="5"/>
  <c r="V7" i="5"/>
  <c r="U7" i="5"/>
  <c r="T7" i="5"/>
  <c r="S7" i="5"/>
  <c r="Z6" i="5"/>
  <c r="Y6" i="5"/>
  <c r="X6" i="5"/>
  <c r="W6" i="5"/>
  <c r="V6" i="5"/>
  <c r="U6" i="5"/>
  <c r="T6" i="5"/>
  <c r="S6" i="5"/>
  <c r="Z9" i="5"/>
  <c r="Y9" i="5"/>
  <c r="X9" i="5"/>
  <c r="W9" i="5"/>
  <c r="V9" i="5"/>
  <c r="U9" i="5"/>
  <c r="T9" i="5"/>
  <c r="S9" i="5"/>
  <c r="Z5" i="5"/>
  <c r="Y5" i="5"/>
  <c r="X5" i="5"/>
  <c r="W5" i="5"/>
  <c r="V5" i="5"/>
  <c r="U5" i="5"/>
  <c r="T5" i="5"/>
  <c r="S5" i="5"/>
  <c r="R5" i="5"/>
  <c r="G8" i="5"/>
  <c r="F8" i="5"/>
  <c r="E8" i="5"/>
  <c r="D8" i="5"/>
  <c r="C8" i="5"/>
  <c r="G7" i="5"/>
  <c r="F7" i="5"/>
  <c r="E7" i="5"/>
  <c r="D7" i="5"/>
  <c r="C7" i="5"/>
  <c r="G6" i="5"/>
  <c r="F6" i="5"/>
  <c r="E6" i="5"/>
  <c r="D6" i="5"/>
  <c r="C6" i="5"/>
  <c r="B8" i="5"/>
  <c r="B7" i="5"/>
  <c r="B6" i="5"/>
  <c r="G9" i="5"/>
  <c r="F9" i="5"/>
  <c r="E9" i="5"/>
  <c r="D9" i="5"/>
  <c r="C9" i="5"/>
  <c r="G5" i="5"/>
  <c r="F5" i="5"/>
  <c r="E5" i="5"/>
  <c r="D5" i="5"/>
  <c r="C5" i="5"/>
  <c r="AE20" i="5"/>
  <c r="AC20" i="5"/>
  <c r="AB20" i="5"/>
  <c r="AA20" i="5"/>
  <c r="AE19" i="5"/>
  <c r="R16" i="5"/>
  <c r="B16" i="5"/>
  <c r="AC12" i="5"/>
  <c r="AB12" i="5"/>
  <c r="AA12" i="5"/>
  <c r="AC210" i="3"/>
  <c r="AC209" i="3"/>
  <c r="AA85" i="3"/>
  <c r="O85" i="3"/>
  <c r="N85" i="3"/>
  <c r="M85" i="3"/>
  <c r="L85" i="3"/>
  <c r="K85" i="3"/>
  <c r="J85" i="3"/>
  <c r="I85" i="3"/>
  <c r="H85" i="3"/>
  <c r="G85" i="3"/>
  <c r="F85" i="3"/>
  <c r="E85" i="3"/>
  <c r="D85" i="3"/>
  <c r="C85" i="3"/>
  <c r="P85" i="3"/>
  <c r="Q85" i="3"/>
  <c r="P128" i="3"/>
  <c r="O128" i="3"/>
  <c r="N128" i="3"/>
  <c r="M128" i="3"/>
  <c r="Q128" i="3"/>
  <c r="P126" i="3"/>
  <c r="O126" i="3"/>
  <c r="N126" i="3"/>
  <c r="M126" i="3"/>
  <c r="Q126" i="3"/>
  <c r="AC189" i="3"/>
  <c r="AC188" i="3"/>
  <c r="AC187" i="3"/>
  <c r="AA106" i="3"/>
  <c r="AC83" i="3"/>
  <c r="AA84" i="3"/>
  <c r="Q84" i="3"/>
  <c r="P84" i="3"/>
  <c r="O84" i="3"/>
  <c r="N84" i="3"/>
  <c r="M84" i="3"/>
  <c r="AC52" i="3"/>
  <c r="AC51" i="3"/>
  <c r="AC49" i="3"/>
  <c r="AC48" i="3"/>
  <c r="AC46" i="3"/>
  <c r="AC45" i="3"/>
  <c r="AC43" i="3"/>
  <c r="AC42" i="3"/>
  <c r="AC40" i="3"/>
  <c r="AC39" i="3"/>
  <c r="AC37" i="3"/>
  <c r="AC34" i="3"/>
  <c r="AC32" i="3"/>
  <c r="AA44" i="3"/>
  <c r="AA38" i="3"/>
  <c r="O44" i="3"/>
  <c r="N44" i="3"/>
  <c r="M44" i="3"/>
  <c r="M38" i="3"/>
  <c r="O38" i="3"/>
  <c r="N38" i="3"/>
  <c r="P44" i="3"/>
  <c r="Q44" i="3"/>
  <c r="P38" i="3"/>
  <c r="Q38" i="3"/>
  <c r="AA102" i="3"/>
  <c r="AA101" i="3"/>
  <c r="AA100" i="3"/>
  <c r="AA96" i="3"/>
  <c r="AA95" i="3"/>
  <c r="AA94" i="3"/>
  <c r="AA91" i="3"/>
  <c r="AC23" i="3"/>
  <c r="AC21" i="3"/>
  <c r="AC20" i="3"/>
  <c r="AC18" i="3"/>
  <c r="AC10" i="3"/>
  <c r="AC9" i="3"/>
  <c r="AC8" i="3"/>
  <c r="AC5" i="3"/>
  <c r="AA28" i="3"/>
  <c r="AA24" i="3"/>
  <c r="AA22" i="3"/>
  <c r="AA7" i="3"/>
  <c r="Q106" i="3"/>
  <c r="P106" i="3"/>
  <c r="O106" i="3"/>
  <c r="N106" i="3"/>
  <c r="M106" i="3"/>
  <c r="Q102" i="3"/>
  <c r="P102" i="3"/>
  <c r="O102" i="3"/>
  <c r="N102" i="3"/>
  <c r="M102" i="3"/>
  <c r="Q101" i="3"/>
  <c r="P101" i="3"/>
  <c r="O101" i="3"/>
  <c r="N101" i="3"/>
  <c r="M101" i="3"/>
  <c r="Q100" i="3"/>
  <c r="P100" i="3"/>
  <c r="O100" i="3"/>
  <c r="N100" i="3"/>
  <c r="M100" i="3"/>
  <c r="Q96" i="3"/>
  <c r="P96" i="3"/>
  <c r="O96" i="3"/>
  <c r="N96" i="3"/>
  <c r="M96" i="3"/>
  <c r="Q95" i="3"/>
  <c r="P95" i="3"/>
  <c r="O95" i="3"/>
  <c r="N95" i="3"/>
  <c r="M95" i="3"/>
  <c r="Q94" i="3"/>
  <c r="P94" i="3"/>
  <c r="O94" i="3"/>
  <c r="N94" i="3"/>
  <c r="M94" i="3"/>
  <c r="Q92" i="3"/>
  <c r="P92" i="3"/>
  <c r="O92" i="3"/>
  <c r="N92" i="3"/>
  <c r="M92" i="3"/>
  <c r="Q91" i="3"/>
  <c r="P91" i="3"/>
  <c r="O91" i="3"/>
  <c r="N91" i="3"/>
  <c r="M91" i="3"/>
  <c r="M28" i="3"/>
  <c r="N28" i="3"/>
  <c r="O28" i="3"/>
  <c r="P28" i="3"/>
  <c r="Q28" i="3"/>
  <c r="Q26" i="3"/>
  <c r="P26" i="3"/>
  <c r="O26" i="3"/>
  <c r="N26" i="3"/>
  <c r="M26" i="3"/>
  <c r="Q24" i="3"/>
  <c r="P24" i="3"/>
  <c r="O24" i="3"/>
  <c r="N24" i="3"/>
  <c r="M24" i="3"/>
  <c r="Q22" i="3"/>
  <c r="P22" i="3"/>
  <c r="O22" i="3"/>
  <c r="N22" i="3"/>
  <c r="M22" i="3"/>
  <c r="Q7" i="3"/>
  <c r="L24" i="3"/>
  <c r="K24" i="3"/>
  <c r="J24" i="3"/>
  <c r="I24" i="3"/>
  <c r="H24" i="3"/>
  <c r="G24" i="3"/>
  <c r="F24" i="3"/>
  <c r="E24" i="3"/>
  <c r="D24" i="3"/>
  <c r="C24" i="3"/>
  <c r="L22" i="3"/>
  <c r="K22" i="3"/>
  <c r="J22" i="3"/>
  <c r="I22" i="3"/>
  <c r="H22" i="3"/>
  <c r="G22" i="3"/>
  <c r="F22" i="3"/>
  <c r="E22" i="3"/>
  <c r="D22" i="3"/>
  <c r="C22" i="3"/>
  <c r="P7" i="3"/>
  <c r="O7" i="3"/>
  <c r="N7" i="3"/>
  <c r="M7" i="3"/>
  <c r="L7" i="3"/>
  <c r="K7" i="3"/>
  <c r="J7" i="3"/>
  <c r="I7" i="3"/>
  <c r="H7" i="3"/>
  <c r="G7" i="3"/>
  <c r="F7" i="3"/>
  <c r="E7" i="3"/>
  <c r="D7" i="3"/>
  <c r="C7" i="3"/>
  <c r="C8" i="1" a="1"/>
  <c r="C9" i="1" a="1"/>
  <c r="C10" i="1" a="1"/>
  <c r="C14" i="1" a="1"/>
  <c r="C13" i="1" a="1"/>
  <c r="C12" i="1" a="1"/>
  <c r="C11" i="1" a="1"/>
  <c r="C7" i="1" a="1"/>
  <c r="C6" i="1" a="1"/>
  <c r="C5" i="1" a="1"/>
  <c r="AC218" i="3" l="1"/>
  <c r="C68" i="12"/>
  <c r="C47" i="12"/>
  <c r="X26" i="5"/>
  <c r="AC213" i="3"/>
  <c r="Z146" i="3"/>
  <c r="Z145" i="3"/>
  <c r="Y145" i="3"/>
  <c r="Y146" i="3"/>
  <c r="X145" i="3"/>
  <c r="X146" i="3"/>
  <c r="W145" i="3"/>
  <c r="W146" i="3"/>
  <c r="V145" i="3"/>
  <c r="V146" i="3"/>
  <c r="U145" i="3"/>
  <c r="U146" i="3"/>
  <c r="T145" i="3"/>
  <c r="T146" i="3"/>
  <c r="Z175" i="3"/>
  <c r="Z147" i="3"/>
  <c r="Z172" i="3"/>
  <c r="Y147" i="3"/>
  <c r="Y175" i="3"/>
  <c r="Y172" i="3"/>
  <c r="X147" i="3"/>
  <c r="X175" i="3"/>
  <c r="X172" i="3"/>
  <c r="W147" i="3"/>
  <c r="W175" i="3"/>
  <c r="W172" i="3"/>
  <c r="V147" i="3"/>
  <c r="V175" i="3"/>
  <c r="V172" i="3"/>
  <c r="U172" i="3"/>
  <c r="U147" i="3"/>
  <c r="U175" i="3"/>
  <c r="T147" i="3"/>
  <c r="T175" i="3"/>
  <c r="T172" i="3"/>
  <c r="Z152" i="3"/>
  <c r="Z80" i="3"/>
  <c r="Z153" i="3" s="1"/>
  <c r="Z154" i="3" s="1"/>
  <c r="Y152" i="3"/>
  <c r="Y80" i="3"/>
  <c r="Y153" i="3" s="1"/>
  <c r="Y154" i="3" s="1"/>
  <c r="X152" i="3"/>
  <c r="X80" i="3"/>
  <c r="X153" i="3" s="1"/>
  <c r="X154" i="3" s="1"/>
  <c r="W152" i="3"/>
  <c r="W80" i="3"/>
  <c r="W153" i="3" s="1"/>
  <c r="W154" i="3" s="1"/>
  <c r="V80" i="3"/>
  <c r="V153" i="3" s="1"/>
  <c r="V154" i="3" s="1"/>
  <c r="V152" i="3"/>
  <c r="U152" i="3"/>
  <c r="U80" i="3"/>
  <c r="U153" i="3" s="1"/>
  <c r="U154" i="3" s="1"/>
  <c r="T80" i="3"/>
  <c r="T153" i="3" s="1"/>
  <c r="T154" i="3" s="1"/>
  <c r="T152" i="3"/>
  <c r="AC15" i="3"/>
  <c r="AC149" i="3" s="1"/>
  <c r="Y149" i="3"/>
  <c r="Y105" i="3"/>
  <c r="X105" i="3"/>
  <c r="Y93" i="3"/>
  <c r="X93" i="3"/>
  <c r="W105" i="3"/>
  <c r="W93" i="3"/>
  <c r="V105" i="3"/>
  <c r="U105" i="3"/>
  <c r="V93" i="3"/>
  <c r="T93" i="3"/>
  <c r="U93" i="3"/>
  <c r="T105" i="3"/>
  <c r="Z71" i="3"/>
  <c r="Z72" i="3" s="1"/>
  <c r="Z7" i="3"/>
  <c r="AA92" i="3"/>
  <c r="C9" i="18" s="1"/>
  <c r="Z142" i="3"/>
  <c r="Z143" i="3"/>
  <c r="AC6" i="3"/>
  <c r="Z92" i="3"/>
  <c r="D11" i="21"/>
  <c r="G16" i="21"/>
  <c r="C21" i="21"/>
  <c r="C23" i="21" s="1"/>
  <c r="F16" i="21"/>
  <c r="G12" i="21"/>
  <c r="F12" i="21"/>
  <c r="E16" i="21"/>
  <c r="D16" i="21"/>
  <c r="E12" i="21"/>
  <c r="C16" i="21"/>
  <c r="D12" i="21"/>
  <c r="L10" i="21"/>
  <c r="L15" i="21"/>
  <c r="K15" i="21"/>
  <c r="K10" i="21"/>
  <c r="J15" i="21"/>
  <c r="J10" i="21"/>
  <c r="I15" i="21"/>
  <c r="I10" i="21"/>
  <c r="H10" i="21"/>
  <c r="H15" i="21"/>
  <c r="G15" i="21"/>
  <c r="G10" i="21"/>
  <c r="F15" i="21"/>
  <c r="F10" i="21"/>
  <c r="E15" i="21"/>
  <c r="E10" i="21"/>
  <c r="D15" i="21"/>
  <c r="D10" i="21"/>
  <c r="C15" i="21"/>
  <c r="C10" i="21"/>
  <c r="V26" i="5"/>
  <c r="T26" i="5"/>
  <c r="U30" i="5"/>
  <c r="W28" i="5"/>
  <c r="W26" i="5"/>
  <c r="U26" i="5"/>
  <c r="U28" i="5"/>
  <c r="O16" i="6"/>
  <c r="O27" i="6" s="1"/>
  <c r="B27" i="6"/>
  <c r="O15" i="6"/>
  <c r="O26" i="6" s="1"/>
  <c r="B26" i="6"/>
  <c r="G32" i="5"/>
  <c r="H31" i="5"/>
  <c r="I31" i="5" s="1"/>
  <c r="J31" i="5" s="1"/>
  <c r="K31" i="5" s="1"/>
  <c r="L31" i="5" s="1"/>
  <c r="B65" i="20"/>
  <c r="B67" i="19"/>
  <c r="B28" i="18"/>
  <c r="B91" i="17"/>
  <c r="B64" i="20"/>
  <c r="B66" i="19"/>
  <c r="B26" i="18"/>
  <c r="B90" i="17"/>
  <c r="B89" i="17"/>
  <c r="B63" i="20"/>
  <c r="B65" i="19"/>
  <c r="B24" i="18"/>
  <c r="F32" i="5"/>
  <c r="AE25" i="5"/>
  <c r="Z29" i="5"/>
  <c r="AC217" i="3"/>
  <c r="D34" i="18"/>
  <c r="C35" i="18" s="1"/>
  <c r="Z27" i="5"/>
  <c r="AA27" i="5" s="1"/>
  <c r="AA6" i="5" s="1"/>
  <c r="G34" i="18"/>
  <c r="F35" i="18" s="1"/>
  <c r="AC78" i="3"/>
  <c r="AA79" i="3"/>
  <c r="G8" i="18"/>
  <c r="F9" i="18" s="1"/>
  <c r="D8" i="18"/>
  <c r="Y30" i="5"/>
  <c r="X30" i="5"/>
  <c r="Z28" i="5"/>
  <c r="Y28" i="5"/>
  <c r="AE27" i="5"/>
  <c r="X28" i="5"/>
  <c r="Z26" i="5"/>
  <c r="Y26" i="5"/>
  <c r="T22" i="5"/>
  <c r="Z22" i="5"/>
  <c r="AA21" i="5"/>
  <c r="AA7" i="5" s="1"/>
  <c r="G30" i="5"/>
  <c r="F30" i="5"/>
  <c r="E30" i="5"/>
  <c r="H33" i="5"/>
  <c r="I33" i="5" s="1"/>
  <c r="J33" i="5" s="1"/>
  <c r="K33" i="5" s="1"/>
  <c r="L33" i="5" s="1"/>
  <c r="G34" i="5"/>
  <c r="F28" i="5"/>
  <c r="E28" i="5"/>
  <c r="D28" i="5"/>
  <c r="F26" i="5"/>
  <c r="E26" i="5"/>
  <c r="D26" i="5"/>
  <c r="F22" i="5"/>
  <c r="E22" i="5"/>
  <c r="D22" i="5"/>
  <c r="H27" i="5"/>
  <c r="I27" i="5" s="1"/>
  <c r="J27" i="5" s="1"/>
  <c r="K27" i="5" s="1"/>
  <c r="L27" i="5" s="1"/>
  <c r="G28" i="5"/>
  <c r="H25" i="5"/>
  <c r="H6" i="5" s="1"/>
  <c r="G26" i="5"/>
  <c r="H21" i="5"/>
  <c r="G22" i="5"/>
  <c r="G5" i="12"/>
  <c r="G6" i="11"/>
  <c r="F6" i="11"/>
  <c r="F5" i="12"/>
  <c r="E5" i="12"/>
  <c r="E6" i="11"/>
  <c r="D5" i="12"/>
  <c r="D6" i="11"/>
  <c r="C6" i="11"/>
  <c r="C5" i="12"/>
  <c r="AC180" i="3"/>
  <c r="AC181" i="3"/>
  <c r="Q182" i="3"/>
  <c r="P182" i="3"/>
  <c r="O182" i="3"/>
  <c r="N182" i="3"/>
  <c r="M182" i="3"/>
  <c r="Q181" i="3"/>
  <c r="P181" i="3"/>
  <c r="O181" i="3"/>
  <c r="N181" i="3"/>
  <c r="M181" i="3"/>
  <c r="AA111" i="3"/>
  <c r="Q111" i="3"/>
  <c r="Q183" i="3" s="1"/>
  <c r="P111" i="3"/>
  <c r="P183" i="3" s="1"/>
  <c r="O111" i="3"/>
  <c r="O183" i="3" s="1"/>
  <c r="N111" i="3"/>
  <c r="N183" i="3" s="1"/>
  <c r="M111" i="3"/>
  <c r="M183" i="3" s="1"/>
  <c r="Q205" i="3"/>
  <c r="L73" i="19" s="1"/>
  <c r="P205" i="3"/>
  <c r="K73" i="19" s="1"/>
  <c r="O205" i="3"/>
  <c r="J73" i="19" s="1"/>
  <c r="N205" i="3"/>
  <c r="I73" i="19" s="1"/>
  <c r="Q203" i="3"/>
  <c r="L71" i="19" s="1"/>
  <c r="P203" i="3"/>
  <c r="K71" i="19" s="1"/>
  <c r="O203" i="3"/>
  <c r="J71" i="19" s="1"/>
  <c r="N203" i="3"/>
  <c r="I71" i="19" s="1"/>
  <c r="F31" i="12"/>
  <c r="C23" i="11"/>
  <c r="C25" i="14"/>
  <c r="AA136" i="3"/>
  <c r="F10" i="16"/>
  <c r="Q163" i="3"/>
  <c r="P163" i="3"/>
  <c r="O163" i="3"/>
  <c r="N163" i="3"/>
  <c r="Q162" i="3"/>
  <c r="P162" i="3"/>
  <c r="O162" i="3"/>
  <c r="N162" i="3"/>
  <c r="M163" i="3"/>
  <c r="M162" i="3"/>
  <c r="Q151" i="3"/>
  <c r="P151" i="3"/>
  <c r="O151" i="3"/>
  <c r="N151" i="3"/>
  <c r="M151" i="3"/>
  <c r="Q150" i="3"/>
  <c r="P150" i="3"/>
  <c r="O150" i="3"/>
  <c r="N150" i="3"/>
  <c r="M150" i="3"/>
  <c r="AA157" i="3"/>
  <c r="J66" i="20" s="1"/>
  <c r="I66" i="20"/>
  <c r="H66" i="20"/>
  <c r="G66" i="20"/>
  <c r="F66" i="20"/>
  <c r="E66" i="20"/>
  <c r="D66" i="20"/>
  <c r="C66" i="20"/>
  <c r="J61" i="20"/>
  <c r="I61" i="20"/>
  <c r="H61" i="20"/>
  <c r="G61" i="20"/>
  <c r="F61" i="20"/>
  <c r="E61" i="20"/>
  <c r="D61" i="20"/>
  <c r="C61" i="20"/>
  <c r="F27" i="1" s="1"/>
  <c r="C9" i="10" s="1"/>
  <c r="L63" i="19"/>
  <c r="K63" i="19"/>
  <c r="J63" i="19"/>
  <c r="I63" i="19"/>
  <c r="H63" i="19"/>
  <c r="G34" i="8"/>
  <c r="F34" i="8"/>
  <c r="E34" i="8"/>
  <c r="D34" i="8"/>
  <c r="C34" i="8"/>
  <c r="G8" i="16"/>
  <c r="F8" i="16"/>
  <c r="AA73" i="3"/>
  <c r="O73" i="3"/>
  <c r="N73" i="3"/>
  <c r="M73" i="3"/>
  <c r="P73" i="3"/>
  <c r="Q73" i="3"/>
  <c r="Q71" i="3"/>
  <c r="P71" i="3"/>
  <c r="O71" i="3"/>
  <c r="N71" i="3"/>
  <c r="M71" i="3"/>
  <c r="L71" i="3"/>
  <c r="K71" i="3"/>
  <c r="J71" i="3"/>
  <c r="I71" i="3"/>
  <c r="H71" i="3"/>
  <c r="G71" i="3"/>
  <c r="F71" i="3"/>
  <c r="E71" i="3"/>
  <c r="D71" i="3"/>
  <c r="C71" i="3"/>
  <c r="AA71" i="3"/>
  <c r="Q157" i="3"/>
  <c r="Q167" i="3" s="1"/>
  <c r="P157" i="3"/>
  <c r="P167" i="3" s="1"/>
  <c r="O157" i="3"/>
  <c r="O167" i="3" s="1"/>
  <c r="N157" i="3"/>
  <c r="N167" i="3" s="1"/>
  <c r="M157" i="3"/>
  <c r="M167" i="3" s="1"/>
  <c r="AC116" i="3"/>
  <c r="Q125" i="3"/>
  <c r="P125" i="3"/>
  <c r="O125" i="3"/>
  <c r="N125" i="3"/>
  <c r="M125" i="3"/>
  <c r="AA107" i="3"/>
  <c r="J62" i="20" s="1"/>
  <c r="I62" i="20"/>
  <c r="H62" i="20"/>
  <c r="G62" i="20"/>
  <c r="F62" i="20"/>
  <c r="E62" i="20"/>
  <c r="D62" i="20"/>
  <c r="C62" i="20"/>
  <c r="Q107" i="3"/>
  <c r="L64" i="19" s="1"/>
  <c r="P107" i="3"/>
  <c r="K64" i="19" s="1"/>
  <c r="O107" i="3"/>
  <c r="J64" i="19" s="1"/>
  <c r="N107" i="3"/>
  <c r="I64" i="19" s="1"/>
  <c r="M107" i="3"/>
  <c r="H64" i="19" s="1"/>
  <c r="AC115" i="3"/>
  <c r="G35" i="7"/>
  <c r="AC65" i="3"/>
  <c r="G31" i="12"/>
  <c r="E35" i="7"/>
  <c r="F35" i="7"/>
  <c r="D35" i="7"/>
  <c r="C35" i="7"/>
  <c r="AC85" i="3"/>
  <c r="AC110" i="3" s="1"/>
  <c r="AA145" i="3"/>
  <c r="Q145" i="3"/>
  <c r="N145" i="3"/>
  <c r="P145" i="3"/>
  <c r="O145" i="3"/>
  <c r="M145" i="3"/>
  <c r="C31" i="12"/>
  <c r="G91" i="17"/>
  <c r="G90" i="17"/>
  <c r="D90" i="17"/>
  <c r="C90" i="17"/>
  <c r="G89" i="17"/>
  <c r="F20" i="18"/>
  <c r="C20" i="18"/>
  <c r="F18" i="18"/>
  <c r="C18" i="18"/>
  <c r="F12" i="18"/>
  <c r="C12" i="18"/>
  <c r="F10" i="18"/>
  <c r="C10" i="18"/>
  <c r="G94" i="17"/>
  <c r="F94" i="17"/>
  <c r="E94" i="17"/>
  <c r="D94" i="17"/>
  <c r="C94" i="17"/>
  <c r="F91" i="17"/>
  <c r="E91" i="17"/>
  <c r="D91" i="17"/>
  <c r="C91" i="17"/>
  <c r="F90" i="17"/>
  <c r="E90" i="17"/>
  <c r="F89" i="17"/>
  <c r="E89" i="17"/>
  <c r="D89" i="17"/>
  <c r="C89" i="17"/>
  <c r="AC31" i="3"/>
  <c r="G20" i="18"/>
  <c r="D20" i="18"/>
  <c r="G18" i="18"/>
  <c r="D18" i="18"/>
  <c r="C17" i="18"/>
  <c r="AA110" i="3"/>
  <c r="C15" i="18"/>
  <c r="G12" i="18"/>
  <c r="D12" i="18"/>
  <c r="G10" i="18"/>
  <c r="C7" i="18"/>
  <c r="D10" i="18"/>
  <c r="G31" i="18"/>
  <c r="D31" i="18"/>
  <c r="G23" i="18"/>
  <c r="F33" i="18"/>
  <c r="I60" i="20"/>
  <c r="H60" i="20"/>
  <c r="G60" i="20"/>
  <c r="F60" i="20"/>
  <c r="E60" i="20"/>
  <c r="D60" i="20"/>
  <c r="C60" i="20"/>
  <c r="C31" i="18"/>
  <c r="C33" i="18"/>
  <c r="F31" i="18"/>
  <c r="F23" i="18"/>
  <c r="C23" i="18"/>
  <c r="F27" i="18"/>
  <c r="C27" i="18"/>
  <c r="C25" i="18"/>
  <c r="F29" i="18"/>
  <c r="C29" i="18"/>
  <c r="F25" i="18"/>
  <c r="F17" i="18"/>
  <c r="F15" i="18"/>
  <c r="D23" i="18"/>
  <c r="F7" i="18"/>
  <c r="G85" i="17"/>
  <c r="F85" i="17"/>
  <c r="E85" i="17"/>
  <c r="D85" i="17"/>
  <c r="C85" i="17"/>
  <c r="G84" i="17"/>
  <c r="F84" i="17"/>
  <c r="E84" i="17"/>
  <c r="D84" i="17"/>
  <c r="C84" i="17"/>
  <c r="G81" i="17"/>
  <c r="F81" i="17"/>
  <c r="E81" i="17"/>
  <c r="D81" i="17"/>
  <c r="C81" i="17"/>
  <c r="G80" i="17"/>
  <c r="F80" i="17"/>
  <c r="E80" i="17"/>
  <c r="D80" i="17"/>
  <c r="C80" i="17"/>
  <c r="G72" i="17"/>
  <c r="F72" i="17"/>
  <c r="E72" i="17"/>
  <c r="D72" i="17"/>
  <c r="G71" i="17"/>
  <c r="F71" i="17"/>
  <c r="E71" i="17"/>
  <c r="D71" i="17"/>
  <c r="C72" i="17"/>
  <c r="C71" i="17"/>
  <c r="G48" i="17"/>
  <c r="F48" i="17"/>
  <c r="E48" i="17"/>
  <c r="D48" i="17"/>
  <c r="G47" i="17"/>
  <c r="F47" i="17"/>
  <c r="E47" i="17"/>
  <c r="D47" i="17"/>
  <c r="C48" i="17"/>
  <c r="C47" i="17"/>
  <c r="G40" i="17"/>
  <c r="F40" i="17"/>
  <c r="E40" i="17"/>
  <c r="D40" i="17"/>
  <c r="G39" i="17"/>
  <c r="F39" i="17"/>
  <c r="E39" i="17"/>
  <c r="D39" i="17"/>
  <c r="C40" i="17"/>
  <c r="C39" i="17"/>
  <c r="G29" i="17"/>
  <c r="F29" i="17"/>
  <c r="E29" i="17"/>
  <c r="D29" i="17"/>
  <c r="G27" i="17"/>
  <c r="F27" i="17"/>
  <c r="E27" i="17"/>
  <c r="D27" i="17"/>
  <c r="C29" i="17"/>
  <c r="C27" i="17"/>
  <c r="I22" i="17"/>
  <c r="I21" i="17"/>
  <c r="G17" i="17"/>
  <c r="F17" i="17"/>
  <c r="E17" i="17"/>
  <c r="D17" i="17"/>
  <c r="C17" i="17"/>
  <c r="AA179" i="3"/>
  <c r="Q179" i="3"/>
  <c r="G77" i="17" s="1"/>
  <c r="P179" i="3"/>
  <c r="F77" i="17" s="1"/>
  <c r="O179" i="3"/>
  <c r="E77" i="17" s="1"/>
  <c r="N179" i="3"/>
  <c r="D77" i="17" s="1"/>
  <c r="M179" i="3"/>
  <c r="C77" i="17" s="1"/>
  <c r="AA178" i="3"/>
  <c r="Q178" i="3"/>
  <c r="G76" i="17" s="1"/>
  <c r="P178" i="3"/>
  <c r="F76" i="17" s="1"/>
  <c r="O178" i="3"/>
  <c r="E76" i="17" s="1"/>
  <c r="N178" i="3"/>
  <c r="D76" i="17" s="1"/>
  <c r="M178" i="3"/>
  <c r="C76" i="17" s="1"/>
  <c r="AA177" i="3"/>
  <c r="Q177" i="3"/>
  <c r="G75" i="17" s="1"/>
  <c r="P177" i="3"/>
  <c r="F75" i="17" s="1"/>
  <c r="O177" i="3"/>
  <c r="E75" i="17" s="1"/>
  <c r="N177" i="3"/>
  <c r="D75" i="17" s="1"/>
  <c r="M177" i="3"/>
  <c r="C75" i="17" s="1"/>
  <c r="AC114" i="3"/>
  <c r="D23" i="17"/>
  <c r="E23" i="17"/>
  <c r="F23" i="17"/>
  <c r="G23" i="17"/>
  <c r="C23" i="17"/>
  <c r="AC173" i="3"/>
  <c r="I71" i="17" s="1"/>
  <c r="AC174" i="3"/>
  <c r="AC81" i="3"/>
  <c r="Q82" i="3"/>
  <c r="P82" i="3"/>
  <c r="N82" i="3"/>
  <c r="M82" i="3"/>
  <c r="O82" i="3"/>
  <c r="AC148" i="3"/>
  <c r="AC145" i="3"/>
  <c r="AA141" i="3"/>
  <c r="AC141" i="3"/>
  <c r="Q141" i="3"/>
  <c r="P141" i="3"/>
  <c r="O141" i="3"/>
  <c r="N141" i="3"/>
  <c r="M141" i="3"/>
  <c r="F9" i="16"/>
  <c r="F17" i="16"/>
  <c r="AC60" i="3"/>
  <c r="F16" i="16"/>
  <c r="F18" i="16" s="1"/>
  <c r="AC79" i="3"/>
  <c r="O28" i="6"/>
  <c r="O22" i="6"/>
  <c r="AC59" i="3"/>
  <c r="AC57" i="3"/>
  <c r="O110" i="3"/>
  <c r="O113" i="3" s="1"/>
  <c r="O158" i="3" s="1"/>
  <c r="N110" i="3"/>
  <c r="N113" i="3" s="1"/>
  <c r="N158" i="3" s="1"/>
  <c r="M110" i="3"/>
  <c r="M113" i="3" s="1"/>
  <c r="M158" i="3" s="1"/>
  <c r="L110" i="3"/>
  <c r="K110" i="3"/>
  <c r="J110" i="3"/>
  <c r="I110" i="3"/>
  <c r="H110" i="3"/>
  <c r="G110" i="3"/>
  <c r="F110" i="3"/>
  <c r="E110" i="3"/>
  <c r="D110" i="3"/>
  <c r="C110" i="3"/>
  <c r="G6" i="14"/>
  <c r="F6" i="14"/>
  <c r="E6" i="14"/>
  <c r="D6" i="14"/>
  <c r="C6" i="14"/>
  <c r="G19" i="12"/>
  <c r="F19" i="12"/>
  <c r="E19" i="12"/>
  <c r="D19" i="12"/>
  <c r="C19" i="12"/>
  <c r="G6" i="12"/>
  <c r="F6" i="12"/>
  <c r="E6" i="12"/>
  <c r="D6" i="12"/>
  <c r="C6" i="12"/>
  <c r="C8" i="10"/>
  <c r="H7" i="14"/>
  <c r="C18" i="10"/>
  <c r="E7" i="8"/>
  <c r="E6" i="8"/>
  <c r="F5" i="8"/>
  <c r="F32" i="8" s="1"/>
  <c r="E5" i="8"/>
  <c r="E32" i="8" s="1"/>
  <c r="C5" i="8"/>
  <c r="C32" i="8" s="1"/>
  <c r="E13" i="7"/>
  <c r="C13" i="7"/>
  <c r="D7" i="7"/>
  <c r="G6" i="7"/>
  <c r="H6" i="7" s="1"/>
  <c r="E6" i="7"/>
  <c r="U17" i="6"/>
  <c r="T17" i="6"/>
  <c r="P17" i="6"/>
  <c r="O13" i="6"/>
  <c r="O24" i="6" s="1"/>
  <c r="O12" i="6"/>
  <c r="O23" i="6" s="1"/>
  <c r="W6" i="6"/>
  <c r="T6" i="6"/>
  <c r="V5" i="6"/>
  <c r="S5" i="6"/>
  <c r="P5" i="6"/>
  <c r="B25" i="6"/>
  <c r="B23" i="6"/>
  <c r="E17" i="6"/>
  <c r="D17" i="6"/>
  <c r="G6" i="6"/>
  <c r="E6" i="6"/>
  <c r="C6" i="6"/>
  <c r="F5" i="6"/>
  <c r="R6" i="5"/>
  <c r="G21" i="8"/>
  <c r="E21" i="8"/>
  <c r="G20" i="8"/>
  <c r="F20" i="8"/>
  <c r="C20" i="8"/>
  <c r="F7" i="8"/>
  <c r="C7" i="8"/>
  <c r="F6" i="8"/>
  <c r="G5" i="8"/>
  <c r="D5" i="8"/>
  <c r="D32" i="8" s="1"/>
  <c r="F13" i="7"/>
  <c r="D13" i="7"/>
  <c r="F7" i="7"/>
  <c r="C6" i="7"/>
  <c r="V17" i="6"/>
  <c r="R17" i="6"/>
  <c r="U6" i="6"/>
  <c r="R6" i="6"/>
  <c r="P6" i="6"/>
  <c r="Q5" i="6"/>
  <c r="G17" i="6"/>
  <c r="C17" i="6"/>
  <c r="E5" i="6"/>
  <c r="C5" i="6"/>
  <c r="R7" i="5"/>
  <c r="F21" i="8"/>
  <c r="D21" i="8"/>
  <c r="E20" i="8"/>
  <c r="D20" i="8"/>
  <c r="G7" i="8"/>
  <c r="D7" i="8"/>
  <c r="G6" i="8"/>
  <c r="D6" i="8"/>
  <c r="C6" i="8"/>
  <c r="G13" i="7"/>
  <c r="G7" i="7"/>
  <c r="E7" i="7"/>
  <c r="C7" i="7"/>
  <c r="F6" i="7"/>
  <c r="D6" i="7"/>
  <c r="W17" i="6"/>
  <c r="S17" i="6"/>
  <c r="Q17" i="6"/>
  <c r="O14" i="6"/>
  <c r="O25" i="6" s="1"/>
  <c r="V6" i="6"/>
  <c r="S6" i="6"/>
  <c r="Q6" i="6"/>
  <c r="W5" i="6"/>
  <c r="U5" i="6"/>
  <c r="T5" i="6"/>
  <c r="R5" i="6"/>
  <c r="B24" i="6"/>
  <c r="F17" i="6"/>
  <c r="F6" i="6"/>
  <c r="D6" i="6"/>
  <c r="D5" i="6"/>
  <c r="R8" i="5"/>
  <c r="G5" i="6"/>
  <c r="G8" i="7"/>
  <c r="E8" i="7"/>
  <c r="F8" i="7"/>
  <c r="C8" i="7"/>
  <c r="D8" i="7"/>
  <c r="G44" i="7"/>
  <c r="F44" i="7"/>
  <c r="E44" i="7"/>
  <c r="D44" i="7"/>
  <c r="C44" i="7"/>
  <c r="AB9" i="6"/>
  <c r="AB10" i="6"/>
  <c r="E12" i="5"/>
  <c r="D12" i="5"/>
  <c r="F12" i="5"/>
  <c r="G12" i="5"/>
  <c r="S12" i="5"/>
  <c r="S20" i="5"/>
  <c r="C12" i="5"/>
  <c r="Z20" i="5"/>
  <c r="Y20" i="5"/>
  <c r="X20" i="5"/>
  <c r="W20" i="5"/>
  <c r="V20" i="5"/>
  <c r="U20" i="5"/>
  <c r="T20" i="5"/>
  <c r="G20" i="5"/>
  <c r="F20" i="5"/>
  <c r="E20" i="5"/>
  <c r="D20" i="5"/>
  <c r="C20" i="5"/>
  <c r="Z16" i="5"/>
  <c r="Y16" i="5"/>
  <c r="X16" i="5"/>
  <c r="W16" i="5"/>
  <c r="V16" i="5"/>
  <c r="U16" i="5"/>
  <c r="T16" i="5"/>
  <c r="G16" i="5"/>
  <c r="F16" i="5"/>
  <c r="E16" i="5"/>
  <c r="D16" i="5"/>
  <c r="Z15" i="5"/>
  <c r="Y15" i="5"/>
  <c r="X15" i="5"/>
  <c r="W15" i="5"/>
  <c r="V15" i="5"/>
  <c r="U15" i="5"/>
  <c r="T15" i="5"/>
  <c r="G15" i="5"/>
  <c r="F15" i="5"/>
  <c r="E15" i="5"/>
  <c r="D15" i="5"/>
  <c r="B15" i="5"/>
  <c r="Z14" i="5"/>
  <c r="Y14" i="5"/>
  <c r="X14" i="5"/>
  <c r="W14" i="5"/>
  <c r="V14" i="5"/>
  <c r="U14" i="5"/>
  <c r="T14" i="5"/>
  <c r="G14" i="5"/>
  <c r="F14" i="5"/>
  <c r="E14" i="5"/>
  <c r="D14" i="5"/>
  <c r="B14" i="5"/>
  <c r="Z13" i="5"/>
  <c r="Y13" i="5"/>
  <c r="X13" i="5"/>
  <c r="W13" i="5"/>
  <c r="V13" i="5"/>
  <c r="U13" i="5"/>
  <c r="T13" i="5"/>
  <c r="G13" i="5"/>
  <c r="F13" i="5"/>
  <c r="E13" i="5"/>
  <c r="D13" i="5"/>
  <c r="B13" i="5"/>
  <c r="Z12" i="5"/>
  <c r="Y12" i="5"/>
  <c r="X12" i="5"/>
  <c r="W12" i="5"/>
  <c r="V12" i="5"/>
  <c r="U12" i="5"/>
  <c r="T12" i="5"/>
  <c r="H5" i="5"/>
  <c r="P110" i="3"/>
  <c r="P113" i="3" s="1"/>
  <c r="P158" i="3" s="1"/>
  <c r="Q110" i="3"/>
  <c r="Q113" i="3" s="1"/>
  <c r="AC128" i="3"/>
  <c r="AC126" i="3"/>
  <c r="AC106" i="3"/>
  <c r="AA105" i="3"/>
  <c r="J60" i="20" s="1"/>
  <c r="AC84" i="3"/>
  <c r="AC76" i="3"/>
  <c r="AA77" i="3"/>
  <c r="M77" i="3"/>
  <c r="N77" i="3"/>
  <c r="O77" i="3"/>
  <c r="P77" i="3"/>
  <c r="Q77" i="3"/>
  <c r="AC44" i="3"/>
  <c r="AC38" i="3"/>
  <c r="AA93" i="3"/>
  <c r="C11" i="18" s="1"/>
  <c r="AA99" i="3"/>
  <c r="C13" i="18" s="1"/>
  <c r="AC13" i="3"/>
  <c r="AC7" i="3"/>
  <c r="AC105" i="3" s="1"/>
  <c r="Q105" i="3"/>
  <c r="P105" i="3"/>
  <c r="O105" i="3"/>
  <c r="N105" i="3"/>
  <c r="M105" i="3"/>
  <c r="Q99" i="3"/>
  <c r="G83" i="17" s="1"/>
  <c r="P99" i="3"/>
  <c r="F83" i="17" s="1"/>
  <c r="O99" i="3"/>
  <c r="E83" i="17" s="1"/>
  <c r="N99" i="3"/>
  <c r="D83" i="17" s="1"/>
  <c r="M99" i="3"/>
  <c r="C83" i="17" s="1"/>
  <c r="AC28" i="3"/>
  <c r="F5" i="1" s="1"/>
  <c r="AC26" i="3"/>
  <c r="AC24" i="3"/>
  <c r="AC22" i="3"/>
  <c r="Q93" i="3"/>
  <c r="G82" i="17" s="1"/>
  <c r="O93" i="3"/>
  <c r="E82" i="17" s="1"/>
  <c r="M93" i="3"/>
  <c r="C82" i="17" s="1"/>
  <c r="P93" i="3"/>
  <c r="F82" i="17" s="1"/>
  <c r="N93" i="3"/>
  <c r="D82" i="17" s="1"/>
  <c r="C10" i="10" s="1"/>
  <c r="C11" i="13" s="1"/>
  <c r="AA29" i="5" l="1"/>
  <c r="Z30" i="5"/>
  <c r="AC77" i="3"/>
  <c r="C22" i="14" s="1"/>
  <c r="AA152" i="3"/>
  <c r="AC142" i="3"/>
  <c r="I39" i="17" s="1"/>
  <c r="AC143" i="3"/>
  <c r="AC144" i="3" s="1"/>
  <c r="I41" i="17" s="1"/>
  <c r="Z144" i="3"/>
  <c r="Z105" i="3"/>
  <c r="Z93" i="3"/>
  <c r="G27" i="6"/>
  <c r="G26" i="6"/>
  <c r="E27" i="6"/>
  <c r="E26" i="6"/>
  <c r="C26" i="6"/>
  <c r="C27" i="6"/>
  <c r="F27" i="6"/>
  <c r="F26" i="6"/>
  <c r="D24" i="6"/>
  <c r="D27" i="6"/>
  <c r="D26" i="6"/>
  <c r="AE21" i="5"/>
  <c r="W27" i="6"/>
  <c r="W26" i="6"/>
  <c r="T26" i="6"/>
  <c r="T25" i="6"/>
  <c r="T27" i="6"/>
  <c r="U27" i="6"/>
  <c r="U26" i="6"/>
  <c r="U25" i="6"/>
  <c r="R27" i="6"/>
  <c r="R26" i="6"/>
  <c r="R25" i="6"/>
  <c r="P27" i="6"/>
  <c r="P26" i="6"/>
  <c r="V27" i="6"/>
  <c r="V26" i="6"/>
  <c r="V25" i="6"/>
  <c r="S27" i="6"/>
  <c r="S26" i="6"/>
  <c r="S25" i="6"/>
  <c r="Q27" i="6"/>
  <c r="Q26" i="6"/>
  <c r="Q25" i="6"/>
  <c r="I25" i="5"/>
  <c r="I6" i="5" s="1"/>
  <c r="H29" i="5"/>
  <c r="I21" i="5"/>
  <c r="H7" i="5"/>
  <c r="H6" i="14"/>
  <c r="H6" i="11"/>
  <c r="H5" i="12"/>
  <c r="C52" i="16"/>
  <c r="G53" i="17"/>
  <c r="F53" i="17"/>
  <c r="E53" i="17"/>
  <c r="D53" i="17"/>
  <c r="G51" i="17"/>
  <c r="F51" i="17"/>
  <c r="E51" i="17"/>
  <c r="D51" i="17"/>
  <c r="C51" i="17"/>
  <c r="C53" i="17"/>
  <c r="Q152" i="3"/>
  <c r="P152" i="3"/>
  <c r="O152" i="3"/>
  <c r="N152" i="3"/>
  <c r="M152" i="3"/>
  <c r="AC71" i="3"/>
  <c r="AC157" i="3"/>
  <c r="AC168" i="3" s="1"/>
  <c r="M80" i="3"/>
  <c r="M153" i="3" s="1"/>
  <c r="N80" i="3"/>
  <c r="N153" i="3" s="1"/>
  <c r="O80" i="3"/>
  <c r="O153" i="3" s="1"/>
  <c r="P80" i="3"/>
  <c r="P153" i="3" s="1"/>
  <c r="Q80" i="3"/>
  <c r="Q153" i="3" s="1"/>
  <c r="F22" i="8"/>
  <c r="AC73" i="3"/>
  <c r="Q168" i="3"/>
  <c r="L60" i="19"/>
  <c r="Q170" i="3"/>
  <c r="P168" i="3"/>
  <c r="K60" i="19"/>
  <c r="P170" i="3"/>
  <c r="O168" i="3"/>
  <c r="J60" i="19"/>
  <c r="O170" i="3"/>
  <c r="N168" i="3"/>
  <c r="I60" i="19"/>
  <c r="N170" i="3"/>
  <c r="M168" i="3"/>
  <c r="H60" i="19"/>
  <c r="M170" i="3"/>
  <c r="H5" i="8"/>
  <c r="H32" i="8" s="1"/>
  <c r="G32" i="8"/>
  <c r="G16" i="17"/>
  <c r="G33" i="8"/>
  <c r="L62" i="19"/>
  <c r="F16" i="17"/>
  <c r="F33" i="8"/>
  <c r="K62" i="19"/>
  <c r="E16" i="17"/>
  <c r="E33" i="8"/>
  <c r="J62" i="19"/>
  <c r="D16" i="17"/>
  <c r="D33" i="8"/>
  <c r="I62" i="19"/>
  <c r="C16" i="17"/>
  <c r="C33" i="8"/>
  <c r="H62" i="19"/>
  <c r="C19" i="10"/>
  <c r="E22" i="8"/>
  <c r="C22" i="8"/>
  <c r="G44" i="17"/>
  <c r="F44" i="17"/>
  <c r="E44" i="17"/>
  <c r="D44" i="17"/>
  <c r="C44" i="17"/>
  <c r="G26" i="17"/>
  <c r="F26" i="17"/>
  <c r="E26" i="17"/>
  <c r="D26" i="17"/>
  <c r="C26" i="17"/>
  <c r="G18" i="17"/>
  <c r="F18" i="17"/>
  <c r="E18" i="17"/>
  <c r="D18" i="17"/>
  <c r="C18" i="17"/>
  <c r="G22" i="8"/>
  <c r="D22" i="8"/>
  <c r="P127" i="3"/>
  <c r="K68" i="19" s="1"/>
  <c r="O127" i="3"/>
  <c r="J68" i="19" s="1"/>
  <c r="N127" i="3"/>
  <c r="I68" i="19" s="1"/>
  <c r="M127" i="3"/>
  <c r="H68" i="19" s="1"/>
  <c r="Q127" i="3"/>
  <c r="L68" i="19" s="1"/>
  <c r="Q72" i="3"/>
  <c r="O140" i="3"/>
  <c r="J70" i="19" s="1"/>
  <c r="N140" i="3"/>
  <c r="I70" i="19" s="1"/>
  <c r="M140" i="3"/>
  <c r="H70" i="19" s="1"/>
  <c r="K61" i="19"/>
  <c r="P140" i="3"/>
  <c r="K70" i="19" s="1"/>
  <c r="AC82" i="3"/>
  <c r="AC107" i="3"/>
  <c r="AC125" i="3"/>
  <c r="I26" i="17" s="1"/>
  <c r="C31" i="16"/>
  <c r="F21" i="18"/>
  <c r="C19" i="18"/>
  <c r="C21" i="18"/>
  <c r="F19" i="18"/>
  <c r="F11" i="18"/>
  <c r="F13" i="18"/>
  <c r="Q169" i="3"/>
  <c r="G59" i="17" s="1"/>
  <c r="P169" i="3"/>
  <c r="F59" i="17" s="1"/>
  <c r="O169" i="3"/>
  <c r="E59" i="17" s="1"/>
  <c r="N169" i="3"/>
  <c r="D59" i="17" s="1"/>
  <c r="M169" i="3"/>
  <c r="C59" i="17" s="1"/>
  <c r="AC177" i="3"/>
  <c r="AC178" i="3"/>
  <c r="AC179" i="3"/>
  <c r="I23" i="17"/>
  <c r="G22" i="7"/>
  <c r="D22" i="7"/>
  <c r="E21" i="7"/>
  <c r="C21" i="7"/>
  <c r="C53" i="16"/>
  <c r="I72" i="17"/>
  <c r="F34" i="16"/>
  <c r="I48" i="17"/>
  <c r="F32" i="16"/>
  <c r="I47" i="17"/>
  <c r="F30" i="16"/>
  <c r="I44" i="17"/>
  <c r="C32" i="16"/>
  <c r="I40" i="17"/>
  <c r="C30" i="16"/>
  <c r="I38" i="17"/>
  <c r="Q144" i="3"/>
  <c r="G41" i="17" s="1"/>
  <c r="G38" i="17"/>
  <c r="P144" i="3"/>
  <c r="F41" i="17" s="1"/>
  <c r="F38" i="17"/>
  <c r="O144" i="3"/>
  <c r="E41" i="17" s="1"/>
  <c r="E38" i="17"/>
  <c r="N144" i="3"/>
  <c r="D41" i="17" s="1"/>
  <c r="D38" i="17"/>
  <c r="M144" i="3"/>
  <c r="C41" i="17" s="1"/>
  <c r="C38" i="17"/>
  <c r="C25" i="16"/>
  <c r="I29" i="17"/>
  <c r="C23" i="16"/>
  <c r="I27" i="17"/>
  <c r="C17" i="16"/>
  <c r="I17" i="17"/>
  <c r="C16" i="16"/>
  <c r="I16" i="17"/>
  <c r="AA175" i="3"/>
  <c r="Q175" i="3"/>
  <c r="G67" i="17" s="1"/>
  <c r="P175" i="3"/>
  <c r="F67" i="17" s="1"/>
  <c r="O175" i="3"/>
  <c r="E67" i="17" s="1"/>
  <c r="N175" i="3"/>
  <c r="D67" i="17" s="1"/>
  <c r="M175" i="3"/>
  <c r="C67" i="17" s="1"/>
  <c r="AA144" i="3"/>
  <c r="C33" i="14"/>
  <c r="D30" i="12"/>
  <c r="F29" i="12"/>
  <c r="E20" i="12"/>
  <c r="H19" i="12"/>
  <c r="I19" i="12" s="1"/>
  <c r="J19" i="12" s="1"/>
  <c r="K19" i="12" s="1"/>
  <c r="L19" i="12" s="1"/>
  <c r="AA146" i="3"/>
  <c r="AA172" i="3"/>
  <c r="Q146" i="3"/>
  <c r="G45" i="17" s="1"/>
  <c r="Q172" i="3"/>
  <c r="G66" i="17" s="1"/>
  <c r="P146" i="3"/>
  <c r="F45" i="17" s="1"/>
  <c r="P172" i="3"/>
  <c r="F66" i="17" s="1"/>
  <c r="O146" i="3"/>
  <c r="E45" i="17" s="1"/>
  <c r="O172" i="3"/>
  <c r="E66" i="17" s="1"/>
  <c r="N146" i="3"/>
  <c r="D45" i="17" s="1"/>
  <c r="N172" i="3"/>
  <c r="D66" i="17" s="1"/>
  <c r="M146" i="3"/>
  <c r="C45" i="17" s="1"/>
  <c r="M172" i="3"/>
  <c r="C66" i="17" s="1"/>
  <c r="C9" i="17"/>
  <c r="D9" i="17"/>
  <c r="E9" i="17"/>
  <c r="G10" i="17"/>
  <c r="F10" i="17"/>
  <c r="E10" i="17"/>
  <c r="D10" i="17"/>
  <c r="C10" i="17"/>
  <c r="G9" i="17"/>
  <c r="F9" i="17"/>
  <c r="C5" i="16"/>
  <c r="H5" i="6"/>
  <c r="G21" i="6"/>
  <c r="G10" i="6"/>
  <c r="T24" i="6"/>
  <c r="T23" i="6"/>
  <c r="G25" i="6"/>
  <c r="G23" i="6"/>
  <c r="AC111" i="3"/>
  <c r="AA147" i="3"/>
  <c r="G32" i="12"/>
  <c r="Q147" i="3"/>
  <c r="G46" i="17" s="1"/>
  <c r="F32" i="12"/>
  <c r="P147" i="3"/>
  <c r="F46" i="17" s="1"/>
  <c r="E32" i="12"/>
  <c r="O147" i="3"/>
  <c r="E46" i="17" s="1"/>
  <c r="D32" i="12"/>
  <c r="N147" i="3"/>
  <c r="D46" i="17" s="1"/>
  <c r="C32" i="12"/>
  <c r="M147" i="3"/>
  <c r="C46" i="17" s="1"/>
  <c r="Q158" i="3"/>
  <c r="E46" i="7"/>
  <c r="D21" i="6"/>
  <c r="W10" i="6"/>
  <c r="U10" i="6"/>
  <c r="R10" i="6"/>
  <c r="AA80" i="3"/>
  <c r="F20" i="12"/>
  <c r="D20" i="12"/>
  <c r="G13" i="12"/>
  <c r="C30" i="12"/>
  <c r="E29" i="12"/>
  <c r="D29" i="12"/>
  <c r="G20" i="12"/>
  <c r="F13" i="12"/>
  <c r="E13" i="12"/>
  <c r="D13" i="12"/>
  <c r="G30" i="12"/>
  <c r="G8" i="8"/>
  <c r="D8" i="8"/>
  <c r="C46" i="7"/>
  <c r="G43" i="7"/>
  <c r="C43" i="7"/>
  <c r="F27" i="7"/>
  <c r="D12" i="7"/>
  <c r="D22" i="6"/>
  <c r="D36" i="7"/>
  <c r="D37" i="7" s="1"/>
  <c r="E27" i="7"/>
  <c r="V22" i="6"/>
  <c r="S22" i="6"/>
  <c r="Q22" i="6"/>
  <c r="R15" i="5"/>
  <c r="R13" i="5"/>
  <c r="Q23" i="6"/>
  <c r="F25" i="6"/>
  <c r="F24" i="6"/>
  <c r="F30" i="12"/>
  <c r="E30" i="12"/>
  <c r="G29" i="12"/>
  <c r="C29" i="12"/>
  <c r="D23" i="6"/>
  <c r="I6" i="7"/>
  <c r="S24" i="6"/>
  <c r="Q24" i="6"/>
  <c r="V28" i="6"/>
  <c r="D25" i="6"/>
  <c r="G46" i="7"/>
  <c r="C35" i="14"/>
  <c r="C15" i="14"/>
  <c r="I7" i="14"/>
  <c r="AC120" i="3"/>
  <c r="AC121" i="3" s="1"/>
  <c r="C6" i="10"/>
  <c r="E28" i="6"/>
  <c r="E9" i="8"/>
  <c r="D9" i="8"/>
  <c r="D28" i="6"/>
  <c r="G28" i="6"/>
  <c r="G9" i="8"/>
  <c r="C9" i="8"/>
  <c r="C28" i="6"/>
  <c r="F28" i="6"/>
  <c r="F9" i="8"/>
  <c r="U23" i="6"/>
  <c r="P23" i="6"/>
  <c r="U28" i="6"/>
  <c r="T28" i="6"/>
  <c r="P28" i="6"/>
  <c r="C25" i="6"/>
  <c r="G24" i="6"/>
  <c r="E23" i="6"/>
  <c r="C23" i="6"/>
  <c r="U24" i="6"/>
  <c r="P24" i="6"/>
  <c r="W24" i="6"/>
  <c r="V24" i="6"/>
  <c r="W23" i="6"/>
  <c r="V23" i="6"/>
  <c r="S23" i="6"/>
  <c r="W28" i="6"/>
  <c r="S28" i="6"/>
  <c r="Q28" i="6"/>
  <c r="E25" i="6"/>
  <c r="E24" i="6"/>
  <c r="C24" i="6"/>
  <c r="F23" i="6"/>
  <c r="H19" i="7"/>
  <c r="Q10" i="6"/>
  <c r="F21" i="6"/>
  <c r="G26" i="8"/>
  <c r="C19" i="8"/>
  <c r="F14" i="8"/>
  <c r="G14" i="8"/>
  <c r="C14" i="8"/>
  <c r="C8" i="8"/>
  <c r="F46" i="7"/>
  <c r="G41" i="7"/>
  <c r="H34" i="7"/>
  <c r="E34" i="7"/>
  <c r="S10" i="6"/>
  <c r="P10" i="6"/>
  <c r="F8" i="8"/>
  <c r="E26" i="8"/>
  <c r="D26" i="8"/>
  <c r="C26" i="8"/>
  <c r="G19" i="8"/>
  <c r="F19" i="8"/>
  <c r="E14" i="8"/>
  <c r="G36" i="7"/>
  <c r="G37" i="7" s="1"/>
  <c r="F20" i="7"/>
  <c r="H12" i="7"/>
  <c r="C12" i="7"/>
  <c r="R14" i="5"/>
  <c r="E19" i="8"/>
  <c r="D14" i="8"/>
  <c r="E8" i="8"/>
  <c r="F26" i="8"/>
  <c r="D19" i="8"/>
  <c r="F43" i="7"/>
  <c r="E41" i="7"/>
  <c r="D43" i="7"/>
  <c r="C41" i="7"/>
  <c r="C34" i="7"/>
  <c r="E22" i="6"/>
  <c r="C27" i="7"/>
  <c r="F22" i="7"/>
  <c r="F21" i="7"/>
  <c r="D21" i="7"/>
  <c r="G20" i="7"/>
  <c r="F12" i="7"/>
  <c r="E12" i="7"/>
  <c r="D46" i="7"/>
  <c r="E43" i="7"/>
  <c r="H41" i="7"/>
  <c r="F36" i="7"/>
  <c r="F37" i="7" s="1"/>
  <c r="G34" i="7"/>
  <c r="D34" i="7"/>
  <c r="G27" i="7"/>
  <c r="G21" i="7"/>
  <c r="C20" i="7"/>
  <c r="G19" i="7"/>
  <c r="F19" i="7"/>
  <c r="E19" i="7"/>
  <c r="D19" i="7"/>
  <c r="C19" i="7"/>
  <c r="F41" i="7"/>
  <c r="D41" i="7"/>
  <c r="E36" i="7"/>
  <c r="E37" i="7" s="1"/>
  <c r="C36" i="7"/>
  <c r="C37" i="7" s="1"/>
  <c r="F34" i="7"/>
  <c r="H27" i="7"/>
  <c r="D27" i="7"/>
  <c r="E22" i="7"/>
  <c r="C22" i="7"/>
  <c r="E20" i="7"/>
  <c r="D20" i="7"/>
  <c r="G12" i="7"/>
  <c r="W25" i="6"/>
  <c r="W22" i="6"/>
  <c r="T22" i="6"/>
  <c r="F22" i="6"/>
  <c r="R22" i="6"/>
  <c r="P22" i="6"/>
  <c r="P25" i="6"/>
  <c r="U22" i="6"/>
  <c r="G22" i="6"/>
  <c r="C22" i="6"/>
  <c r="E21" i="6"/>
  <c r="C21" i="6"/>
  <c r="F10" i="6"/>
  <c r="D10" i="6"/>
  <c r="C10" i="6"/>
  <c r="W21" i="6"/>
  <c r="V21" i="6"/>
  <c r="U21" i="6"/>
  <c r="T21" i="6"/>
  <c r="S21" i="6"/>
  <c r="R21" i="6"/>
  <c r="Q21" i="6"/>
  <c r="P21" i="6"/>
  <c r="V10" i="6"/>
  <c r="T10" i="6"/>
  <c r="E10" i="6"/>
  <c r="R24" i="6"/>
  <c r="R23" i="6"/>
  <c r="R28" i="6"/>
  <c r="I5" i="5"/>
  <c r="H12" i="5"/>
  <c r="H20" i="5"/>
  <c r="AA72" i="3"/>
  <c r="P72" i="3"/>
  <c r="M72" i="3"/>
  <c r="L72" i="3"/>
  <c r="O72" i="3"/>
  <c r="N72" i="3"/>
  <c r="K72" i="3"/>
  <c r="J72" i="3"/>
  <c r="I72" i="3"/>
  <c r="H72" i="3"/>
  <c r="G72" i="3"/>
  <c r="F72" i="3"/>
  <c r="E72" i="3"/>
  <c r="D72" i="3"/>
  <c r="C72" i="3"/>
  <c r="AE29" i="5" l="1"/>
  <c r="AA8" i="5"/>
  <c r="AA9" i="5" s="1"/>
  <c r="AC80" i="3"/>
  <c r="AA153" i="3"/>
  <c r="AA154" i="3" s="1"/>
  <c r="C67" i="12"/>
  <c r="C46" i="12"/>
  <c r="C54" i="12"/>
  <c r="I18" i="1" s="1"/>
  <c r="C24" i="21"/>
  <c r="C26" i="21" s="1"/>
  <c r="I11" i="1" s="1"/>
  <c r="AC183" i="3"/>
  <c r="AC182" i="3"/>
  <c r="H30" i="5"/>
  <c r="H8" i="5"/>
  <c r="I29" i="5"/>
  <c r="I8" i="5" s="1"/>
  <c r="J25" i="5"/>
  <c r="J6" i="5" s="1"/>
  <c r="I7" i="5"/>
  <c r="I9" i="5" s="1"/>
  <c r="J21" i="5"/>
  <c r="AC167" i="3"/>
  <c r="AC170" i="3"/>
  <c r="I6" i="14"/>
  <c r="I5" i="12"/>
  <c r="I6" i="11"/>
  <c r="Q171" i="3"/>
  <c r="G63" i="17" s="1"/>
  <c r="D11" i="17"/>
  <c r="G58" i="17"/>
  <c r="E60" i="17"/>
  <c r="D58" i="17"/>
  <c r="D60" i="17"/>
  <c r="C58" i="17"/>
  <c r="N171" i="3"/>
  <c r="D63" i="17" s="1"/>
  <c r="C11" i="17"/>
  <c r="C60" i="17"/>
  <c r="P171" i="3"/>
  <c r="F63" i="17" s="1"/>
  <c r="G11" i="17"/>
  <c r="E11" i="17"/>
  <c r="M171" i="3"/>
  <c r="C63" i="17" s="1"/>
  <c r="O171" i="3"/>
  <c r="E63" i="17" s="1"/>
  <c r="F11" i="17"/>
  <c r="H26" i="8"/>
  <c r="I5" i="8"/>
  <c r="I32" i="8" s="1"/>
  <c r="H14" i="8"/>
  <c r="H19" i="8"/>
  <c r="C22" i="11"/>
  <c r="C24" i="14"/>
  <c r="C25" i="11"/>
  <c r="C49" i="12"/>
  <c r="C70" i="12"/>
  <c r="AC72" i="3"/>
  <c r="M165" i="3"/>
  <c r="C55" i="17" s="1"/>
  <c r="M154" i="3"/>
  <c r="M176" i="3"/>
  <c r="C68" i="17" s="1"/>
  <c r="M159" i="3"/>
  <c r="M161" i="3"/>
  <c r="C52" i="17" s="1"/>
  <c r="M164" i="3"/>
  <c r="C54" i="17" s="1"/>
  <c r="C7" i="17"/>
  <c r="N154" i="3"/>
  <c r="N159" i="3"/>
  <c r="N176" i="3"/>
  <c r="D68" i="17" s="1"/>
  <c r="N164" i="3"/>
  <c r="D54" i="17" s="1"/>
  <c r="D7" i="17"/>
  <c r="N165" i="3"/>
  <c r="D55" i="17" s="1"/>
  <c r="N161" i="3"/>
  <c r="D52" i="17" s="1"/>
  <c r="O161" i="3"/>
  <c r="E52" i="17" s="1"/>
  <c r="O176" i="3"/>
  <c r="E68" i="17" s="1"/>
  <c r="O164" i="3"/>
  <c r="E54" i="17" s="1"/>
  <c r="E7" i="17"/>
  <c r="O154" i="3"/>
  <c r="O165" i="3"/>
  <c r="E55" i="17" s="1"/>
  <c r="O159" i="3"/>
  <c r="P159" i="3"/>
  <c r="P176" i="3"/>
  <c r="F68" i="17" s="1"/>
  <c r="P164" i="3"/>
  <c r="F54" i="17" s="1"/>
  <c r="P154" i="3"/>
  <c r="P161" i="3"/>
  <c r="F52" i="17" s="1"/>
  <c r="P165" i="3"/>
  <c r="F55" i="17" s="1"/>
  <c r="F7" i="17"/>
  <c r="Q176" i="3"/>
  <c r="G68" i="17" s="1"/>
  <c r="Q164" i="3"/>
  <c r="G54" i="17" s="1"/>
  <c r="G7" i="17"/>
  <c r="Q154" i="3"/>
  <c r="Q165" i="3"/>
  <c r="G55" i="17" s="1"/>
  <c r="Q159" i="3"/>
  <c r="Q161" i="3"/>
  <c r="G52" i="17" s="1"/>
  <c r="AC163" i="3"/>
  <c r="AC162" i="3"/>
  <c r="AC153" i="3"/>
  <c r="AC152" i="3"/>
  <c r="AC151" i="3"/>
  <c r="AC150" i="3"/>
  <c r="G60" i="17"/>
  <c r="F58" i="17"/>
  <c r="F60" i="17"/>
  <c r="E58" i="17"/>
  <c r="P129" i="3"/>
  <c r="F28" i="17"/>
  <c r="F33" i="17" s="1"/>
  <c r="O129" i="3"/>
  <c r="E28" i="17"/>
  <c r="E33" i="17" s="1"/>
  <c r="N129" i="3"/>
  <c r="D28" i="17"/>
  <c r="D33" i="17" s="1"/>
  <c r="M129" i="3"/>
  <c r="C28" i="17"/>
  <c r="C33" i="17" s="1"/>
  <c r="Q129" i="3"/>
  <c r="O166" i="3"/>
  <c r="J61" i="19"/>
  <c r="N166" i="3"/>
  <c r="I61" i="19"/>
  <c r="M166" i="3"/>
  <c r="H61" i="19"/>
  <c r="G28" i="17"/>
  <c r="G33" i="17" s="1"/>
  <c r="E35" i="17"/>
  <c r="D35" i="17"/>
  <c r="C35" i="17"/>
  <c r="F35" i="17"/>
  <c r="P166" i="3"/>
  <c r="AC171" i="3"/>
  <c r="I63" i="17" s="1"/>
  <c r="AC127" i="3"/>
  <c r="I28" i="17" s="1"/>
  <c r="I33" i="17" s="1"/>
  <c r="C22" i="16"/>
  <c r="AC140" i="3"/>
  <c r="L61" i="19"/>
  <c r="Q140" i="3"/>
  <c r="L70" i="19" s="1"/>
  <c r="C18" i="16"/>
  <c r="I18" i="17"/>
  <c r="F52" i="16"/>
  <c r="I75" i="17"/>
  <c r="F53" i="16"/>
  <c r="I76" i="17"/>
  <c r="F54" i="16"/>
  <c r="I77" i="17"/>
  <c r="AC169" i="3"/>
  <c r="I6" i="17"/>
  <c r="C23" i="14"/>
  <c r="C56" i="12"/>
  <c r="C33" i="16"/>
  <c r="F18" i="1"/>
  <c r="AC172" i="3"/>
  <c r="AC175" i="3"/>
  <c r="I67" i="17" s="1"/>
  <c r="C33" i="12"/>
  <c r="D33" i="12"/>
  <c r="F33" i="12"/>
  <c r="E33" i="12"/>
  <c r="G33" i="12"/>
  <c r="I5" i="6"/>
  <c r="H10" i="6"/>
  <c r="H21" i="6"/>
  <c r="AC147" i="3"/>
  <c r="I46" i="17" s="1"/>
  <c r="AC146" i="3"/>
  <c r="I45" i="17" s="1"/>
  <c r="D10" i="8"/>
  <c r="G10" i="8"/>
  <c r="C5" i="10"/>
  <c r="C7" i="10" s="1"/>
  <c r="C17" i="10" s="1"/>
  <c r="J6" i="7"/>
  <c r="I27" i="7"/>
  <c r="I19" i="7"/>
  <c r="I41" i="7"/>
  <c r="I34" i="7"/>
  <c r="G18" i="12"/>
  <c r="G23" i="12"/>
  <c r="G12" i="12"/>
  <c r="G28" i="12"/>
  <c r="F18" i="12"/>
  <c r="F23" i="12"/>
  <c r="F28" i="12"/>
  <c r="F12" i="12"/>
  <c r="E28" i="12"/>
  <c r="E12" i="12"/>
  <c r="E18" i="12"/>
  <c r="E23" i="12"/>
  <c r="D28" i="12"/>
  <c r="D12" i="12"/>
  <c r="D18" i="12"/>
  <c r="D23" i="12"/>
  <c r="C12" i="12"/>
  <c r="C23" i="12"/>
  <c r="C18" i="12"/>
  <c r="C28" i="12"/>
  <c r="C10" i="8"/>
  <c r="F10" i="8"/>
  <c r="E10" i="8"/>
  <c r="I12" i="7"/>
  <c r="J7" i="14"/>
  <c r="E23" i="7"/>
  <c r="D23" i="7"/>
  <c r="F23" i="7"/>
  <c r="G23" i="7"/>
  <c r="C23" i="7"/>
  <c r="J5" i="5"/>
  <c r="I12" i="5"/>
  <c r="I20" i="5"/>
  <c r="AE9" i="5" l="1"/>
  <c r="AB6" i="6" s="1"/>
  <c r="X6" i="6"/>
  <c r="AA15" i="5"/>
  <c r="AE8" i="5"/>
  <c r="H9" i="5"/>
  <c r="H15" i="5"/>
  <c r="I30" i="5"/>
  <c r="J29" i="5"/>
  <c r="K25" i="5"/>
  <c r="K6" i="5" s="1"/>
  <c r="J7" i="5"/>
  <c r="K21" i="5"/>
  <c r="I6" i="6"/>
  <c r="I6" i="8"/>
  <c r="I7" i="7"/>
  <c r="I6" i="12"/>
  <c r="I15" i="5"/>
  <c r="J6" i="14"/>
  <c r="J6" i="11"/>
  <c r="J5" i="12"/>
  <c r="Q155" i="3"/>
  <c r="G12" i="17" s="1"/>
  <c r="Q156" i="3"/>
  <c r="G13" i="17" s="1"/>
  <c r="I14" i="8"/>
  <c r="I19" i="8"/>
  <c r="I26" i="8"/>
  <c r="J5" i="8"/>
  <c r="J32" i="8" s="1"/>
  <c r="C8" i="17"/>
  <c r="D8" i="17"/>
  <c r="E8" i="17"/>
  <c r="F8" i="17"/>
  <c r="G8" i="17"/>
  <c r="C32" i="14"/>
  <c r="M155" i="3"/>
  <c r="C12" i="17" s="1"/>
  <c r="M156" i="3"/>
  <c r="C13" i="17" s="1"/>
  <c r="M160" i="3"/>
  <c r="N155" i="3"/>
  <c r="D12" i="17" s="1"/>
  <c r="N156" i="3"/>
  <c r="D13" i="17" s="1"/>
  <c r="N160" i="3"/>
  <c r="O155" i="3"/>
  <c r="E12" i="17" s="1"/>
  <c r="O156" i="3"/>
  <c r="E13" i="17" s="1"/>
  <c r="O160" i="3"/>
  <c r="P155" i="3"/>
  <c r="F12" i="17" s="1"/>
  <c r="P156" i="3"/>
  <c r="F13" i="17" s="1"/>
  <c r="P160" i="3"/>
  <c r="C46" i="16"/>
  <c r="F17" i="1"/>
  <c r="C24" i="16"/>
  <c r="F22" i="16" s="1"/>
  <c r="F12" i="1"/>
  <c r="AC129" i="3"/>
  <c r="I30" i="17" s="1"/>
  <c r="I34" i="17" s="1"/>
  <c r="I10" i="17"/>
  <c r="I9" i="17"/>
  <c r="I53" i="17"/>
  <c r="AC154" i="3"/>
  <c r="I51" i="17"/>
  <c r="F30" i="17"/>
  <c r="F34" i="17" s="1"/>
  <c r="K69" i="19"/>
  <c r="E30" i="17"/>
  <c r="E34" i="17" s="1"/>
  <c r="J69" i="19"/>
  <c r="D30" i="17"/>
  <c r="D34" i="17" s="1"/>
  <c r="I69" i="19"/>
  <c r="C30" i="17"/>
  <c r="C34" i="17" s="1"/>
  <c r="H69" i="19"/>
  <c r="G30" i="17"/>
  <c r="G34" i="17" s="1"/>
  <c r="L69" i="19"/>
  <c r="I35" i="17"/>
  <c r="AC166" i="3"/>
  <c r="G35" i="17"/>
  <c r="Q166" i="3"/>
  <c r="I7" i="17"/>
  <c r="I11" i="17"/>
  <c r="C10" i="16"/>
  <c r="F38" i="16"/>
  <c r="I58" i="17"/>
  <c r="F39" i="16"/>
  <c r="I59" i="17"/>
  <c r="F40" i="16"/>
  <c r="I60" i="17"/>
  <c r="F46" i="16"/>
  <c r="I66" i="17"/>
  <c r="C8" i="16"/>
  <c r="F6" i="1"/>
  <c r="C9" i="16"/>
  <c r="F7" i="1"/>
  <c r="C40" i="16"/>
  <c r="F11" i="1"/>
  <c r="F47" i="16"/>
  <c r="F16" i="1"/>
  <c r="F33" i="16"/>
  <c r="F20" i="1"/>
  <c r="F31" i="16"/>
  <c r="F19" i="1"/>
  <c r="AC164" i="3"/>
  <c r="I54" i="17" s="1"/>
  <c r="AC165" i="3"/>
  <c r="F24" i="16"/>
  <c r="F14" i="1"/>
  <c r="AC176" i="3"/>
  <c r="I68" i="17" s="1"/>
  <c r="F3" i="1"/>
  <c r="C38" i="16"/>
  <c r="F9" i="1"/>
  <c r="C26" i="14"/>
  <c r="J5" i="6"/>
  <c r="I10" i="6"/>
  <c r="I21" i="6"/>
  <c r="Q160" i="3"/>
  <c r="C6" i="16"/>
  <c r="AC161" i="3"/>
  <c r="I52" i="17" s="1"/>
  <c r="AC159" i="3"/>
  <c r="D27" i="8"/>
  <c r="D28" i="8" s="1"/>
  <c r="G27" i="8"/>
  <c r="G28" i="8" s="1"/>
  <c r="G7" i="12"/>
  <c r="D7" i="12"/>
  <c r="C16" i="10"/>
  <c r="C20" i="10" s="1"/>
  <c r="J34" i="7"/>
  <c r="J41" i="7"/>
  <c r="J12" i="7"/>
  <c r="J19" i="7"/>
  <c r="J27" i="7"/>
  <c r="K6" i="7"/>
  <c r="C7" i="12"/>
  <c r="C27" i="8"/>
  <c r="C28" i="8" s="1"/>
  <c r="F7" i="12"/>
  <c r="F27" i="8"/>
  <c r="F28" i="8" s="1"/>
  <c r="E7" i="12"/>
  <c r="E27" i="8"/>
  <c r="E28" i="8" s="1"/>
  <c r="H18" i="12"/>
  <c r="H12" i="12"/>
  <c r="H28" i="12"/>
  <c r="H23" i="12"/>
  <c r="K7" i="14"/>
  <c r="K5" i="5"/>
  <c r="J12" i="5"/>
  <c r="J20" i="5"/>
  <c r="H13" i="5"/>
  <c r="H14" i="5"/>
  <c r="AE6" i="5"/>
  <c r="AA13" i="5"/>
  <c r="C21" i="14" l="1"/>
  <c r="C75" i="12"/>
  <c r="C78" i="12" s="1"/>
  <c r="X13" i="6"/>
  <c r="AB13" i="6" s="1"/>
  <c r="X16" i="6"/>
  <c r="AB16" i="6" s="1"/>
  <c r="X12" i="6"/>
  <c r="X11" i="6"/>
  <c r="AB11" i="6" s="1"/>
  <c r="X14" i="6"/>
  <c r="AB14" i="6" s="1"/>
  <c r="X15" i="6"/>
  <c r="AB15" i="6" s="1"/>
  <c r="I15" i="6"/>
  <c r="I11" i="6"/>
  <c r="I16" i="6"/>
  <c r="I14" i="6"/>
  <c r="H7" i="7"/>
  <c r="H6" i="12"/>
  <c r="H6" i="8"/>
  <c r="H6" i="6"/>
  <c r="J30" i="5"/>
  <c r="J8" i="5"/>
  <c r="J9" i="5" s="1"/>
  <c r="J7" i="7"/>
  <c r="J6" i="8"/>
  <c r="K29" i="5"/>
  <c r="L25" i="5"/>
  <c r="K7" i="5"/>
  <c r="L21" i="5"/>
  <c r="I12" i="6"/>
  <c r="I17" i="6" s="1"/>
  <c r="I13" i="6"/>
  <c r="I13" i="7"/>
  <c r="I36" i="7"/>
  <c r="I45" i="7"/>
  <c r="K6" i="14"/>
  <c r="K6" i="11"/>
  <c r="K5" i="12"/>
  <c r="F14" i="12"/>
  <c r="J26" i="8"/>
  <c r="J19" i="8"/>
  <c r="J14" i="8"/>
  <c r="K5" i="8"/>
  <c r="K32" i="8" s="1"/>
  <c r="C62" i="12"/>
  <c r="C41" i="12"/>
  <c r="C15" i="11"/>
  <c r="I17" i="1" s="1"/>
  <c r="C26" i="16"/>
  <c r="F23" i="16" s="1"/>
  <c r="F13" i="1"/>
  <c r="G14" i="12"/>
  <c r="E14" i="12"/>
  <c r="C34" i="12"/>
  <c r="D14" i="12"/>
  <c r="J15" i="5"/>
  <c r="J13" i="7"/>
  <c r="J36" i="7"/>
  <c r="J45" i="7"/>
  <c r="J21" i="8" s="1"/>
  <c r="C42" i="16"/>
  <c r="I55" i="17"/>
  <c r="F4" i="1"/>
  <c r="I8" i="17"/>
  <c r="F10" i="1"/>
  <c r="C41" i="16"/>
  <c r="F48" i="16"/>
  <c r="F15" i="1"/>
  <c r="C39" i="16"/>
  <c r="F8" i="1"/>
  <c r="D7" i="11"/>
  <c r="D8" i="12"/>
  <c r="G7" i="11"/>
  <c r="G8" i="12"/>
  <c r="K5" i="6"/>
  <c r="J21" i="6"/>
  <c r="J10" i="6"/>
  <c r="G34" i="12"/>
  <c r="AC155" i="3"/>
  <c r="C7" i="16"/>
  <c r="AC156" i="3"/>
  <c r="AC160" i="3"/>
  <c r="D7" i="14"/>
  <c r="D34" i="12"/>
  <c r="K12" i="7"/>
  <c r="K19" i="7"/>
  <c r="K27" i="7"/>
  <c r="K34" i="7"/>
  <c r="K41" i="7"/>
  <c r="L6" i="7"/>
  <c r="C7" i="11"/>
  <c r="C8" i="12"/>
  <c r="C7" i="14"/>
  <c r="F34" i="12"/>
  <c r="F7" i="11"/>
  <c r="F8" i="12"/>
  <c r="F7" i="14"/>
  <c r="E34" i="12"/>
  <c r="E7" i="11"/>
  <c r="E8" i="12"/>
  <c r="E7" i="14"/>
  <c r="I18" i="12"/>
  <c r="I12" i="12"/>
  <c r="I28" i="12"/>
  <c r="I23" i="12"/>
  <c r="L7" i="14"/>
  <c r="L5" i="5"/>
  <c r="K12" i="5"/>
  <c r="K20" i="5"/>
  <c r="I13" i="5"/>
  <c r="AE7" i="5"/>
  <c r="AA14" i="5"/>
  <c r="H16" i="5"/>
  <c r="X17" i="6" l="1"/>
  <c r="AB12" i="6"/>
  <c r="I42" i="7"/>
  <c r="H16" i="6"/>
  <c r="H15" i="6"/>
  <c r="H42" i="7" s="1"/>
  <c r="H43" i="7" s="1"/>
  <c r="H11" i="6"/>
  <c r="J6" i="12"/>
  <c r="J13" i="12" s="1"/>
  <c r="J6" i="6"/>
  <c r="J13" i="6"/>
  <c r="J12" i="6"/>
  <c r="H36" i="7"/>
  <c r="H13" i="7"/>
  <c r="H45" i="7"/>
  <c r="H21" i="8" s="1"/>
  <c r="I13" i="12"/>
  <c r="H13" i="12"/>
  <c r="H13" i="6"/>
  <c r="H12" i="6"/>
  <c r="H17" i="6" s="1"/>
  <c r="H14" i="6"/>
  <c r="K30" i="5"/>
  <c r="K8" i="5"/>
  <c r="L29" i="5"/>
  <c r="L6" i="5"/>
  <c r="L7" i="5"/>
  <c r="J28" i="7"/>
  <c r="I21" i="8"/>
  <c r="I44" i="7"/>
  <c r="L6" i="14"/>
  <c r="L5" i="12"/>
  <c r="L6" i="11"/>
  <c r="F15" i="12"/>
  <c r="K26" i="8"/>
  <c r="L5" i="8"/>
  <c r="L32" i="8" s="1"/>
  <c r="K19" i="8"/>
  <c r="K14" i="8"/>
  <c r="E15" i="12"/>
  <c r="G15" i="12"/>
  <c r="C35" i="12"/>
  <c r="D15" i="12"/>
  <c r="C11" i="16"/>
  <c r="I12" i="17"/>
  <c r="C12" i="16"/>
  <c r="I13" i="17"/>
  <c r="D35" i="12"/>
  <c r="G35" i="12"/>
  <c r="L5" i="6"/>
  <c r="K21" i="6"/>
  <c r="K10" i="6"/>
  <c r="L12" i="7"/>
  <c r="L27" i="7"/>
  <c r="L19" i="7"/>
  <c r="L41" i="7"/>
  <c r="L34" i="7"/>
  <c r="K10" i="14"/>
  <c r="I10" i="14"/>
  <c r="H10" i="14"/>
  <c r="J10" i="14"/>
  <c r="F35" i="12"/>
  <c r="E35" i="12"/>
  <c r="J18" i="12"/>
  <c r="J23" i="12"/>
  <c r="J28" i="12"/>
  <c r="J12" i="12"/>
  <c r="L8" i="14"/>
  <c r="L11" i="14" s="1"/>
  <c r="C30" i="14" s="1"/>
  <c r="L10" i="14"/>
  <c r="I14" i="5"/>
  <c r="L12" i="5"/>
  <c r="L20" i="5"/>
  <c r="J13" i="5"/>
  <c r="J14" i="5"/>
  <c r="AA16" i="5"/>
  <c r="X28" i="6" l="1"/>
  <c r="AB17" i="6"/>
  <c r="I20" i="8"/>
  <c r="I43" i="7"/>
  <c r="J16" i="6"/>
  <c r="J11" i="6"/>
  <c r="J14" i="6"/>
  <c r="J15" i="6"/>
  <c r="J42" i="7" s="1"/>
  <c r="I28" i="7"/>
  <c r="H28" i="7"/>
  <c r="H44" i="7"/>
  <c r="H20" i="8"/>
  <c r="H8" i="7"/>
  <c r="H7" i="8"/>
  <c r="H8" i="8" s="1"/>
  <c r="L8" i="5"/>
  <c r="L15" i="5" s="1"/>
  <c r="L30" i="5"/>
  <c r="L9" i="5"/>
  <c r="K9" i="5"/>
  <c r="K15" i="5"/>
  <c r="I7" i="8"/>
  <c r="I8" i="8" s="1"/>
  <c r="I8" i="7"/>
  <c r="I28" i="6"/>
  <c r="I9" i="8"/>
  <c r="L14" i="8"/>
  <c r="L19" i="8"/>
  <c r="L26" i="8"/>
  <c r="J7" i="8"/>
  <c r="J8" i="8" s="1"/>
  <c r="J8" i="7"/>
  <c r="L10" i="6"/>
  <c r="L21" i="6"/>
  <c r="C29" i="14"/>
  <c r="K28" i="12"/>
  <c r="K12" i="12"/>
  <c r="K18" i="12"/>
  <c r="K23" i="12"/>
  <c r="I16" i="5"/>
  <c r="K13" i="5"/>
  <c r="J16" i="5"/>
  <c r="J44" i="7" l="1"/>
  <c r="J20" i="8"/>
  <c r="J43" i="7"/>
  <c r="J17" i="6"/>
  <c r="K6" i="12"/>
  <c r="K13" i="12" s="1"/>
  <c r="K7" i="7"/>
  <c r="K6" i="6"/>
  <c r="K6" i="8"/>
  <c r="I15" i="7"/>
  <c r="I14" i="7"/>
  <c r="H15" i="7"/>
  <c r="H14" i="7"/>
  <c r="H33" i="8"/>
  <c r="H9" i="8"/>
  <c r="H10" i="8" s="1"/>
  <c r="H28" i="6"/>
  <c r="L6" i="12"/>
  <c r="L6" i="8"/>
  <c r="L6" i="6"/>
  <c r="L7" i="7"/>
  <c r="I33" i="8"/>
  <c r="I10" i="8"/>
  <c r="J33" i="8"/>
  <c r="J15" i="7"/>
  <c r="J30" i="7" s="1"/>
  <c r="J14" i="7"/>
  <c r="J29" i="7" s="1"/>
  <c r="J35" i="7" s="1"/>
  <c r="J22" i="8" s="1"/>
  <c r="C31" i="14"/>
  <c r="C34" i="14" s="1"/>
  <c r="C36" i="14" s="1"/>
  <c r="C16" i="14" s="1"/>
  <c r="I14" i="1" s="1"/>
  <c r="L12" i="12"/>
  <c r="L18" i="12"/>
  <c r="L23" i="12"/>
  <c r="L28" i="12"/>
  <c r="K14" i="5"/>
  <c r="L13" i="5"/>
  <c r="J28" i="6" l="1"/>
  <c r="J9" i="8"/>
  <c r="J10" i="8" s="1"/>
  <c r="K45" i="7"/>
  <c r="K21" i="8" s="1"/>
  <c r="K36" i="7"/>
  <c r="K13" i="7"/>
  <c r="K28" i="7" s="1"/>
  <c r="K12" i="6"/>
  <c r="K17" i="6" s="1"/>
  <c r="K13" i="6"/>
  <c r="K11" i="6"/>
  <c r="K15" i="6"/>
  <c r="K14" i="6"/>
  <c r="K16" i="6"/>
  <c r="L15" i="6"/>
  <c r="L11" i="6"/>
  <c r="L16" i="6"/>
  <c r="L14" i="6"/>
  <c r="I30" i="7"/>
  <c r="H30" i="7"/>
  <c r="I29" i="7"/>
  <c r="I35" i="7" s="1"/>
  <c r="I22" i="8" s="1"/>
  <c r="H29" i="7"/>
  <c r="H35" i="7" s="1"/>
  <c r="H22" i="8" s="1"/>
  <c r="H7" i="12"/>
  <c r="H34" i="8"/>
  <c r="H27" i="8"/>
  <c r="C53" i="12"/>
  <c r="C57" i="12" s="1"/>
  <c r="C58" i="12" s="1"/>
  <c r="C7" i="13" s="1"/>
  <c r="I5" i="1" s="1"/>
  <c r="L13" i="12"/>
  <c r="L13" i="6"/>
  <c r="L12" i="6"/>
  <c r="L17" i="6" s="1"/>
  <c r="L45" i="7"/>
  <c r="L21" i="8" s="1"/>
  <c r="L13" i="7"/>
  <c r="L36" i="7"/>
  <c r="I34" i="8"/>
  <c r="I7" i="12"/>
  <c r="I27" i="8"/>
  <c r="K16" i="5"/>
  <c r="L14" i="5"/>
  <c r="K28" i="6" l="1"/>
  <c r="K9" i="8"/>
  <c r="K10" i="8" s="1"/>
  <c r="K8" i="7"/>
  <c r="K7" i="8"/>
  <c r="K8" i="8" s="1"/>
  <c r="K33" i="8" s="1"/>
  <c r="K42" i="7"/>
  <c r="L42" i="7"/>
  <c r="L28" i="7"/>
  <c r="J34" i="8"/>
  <c r="J27" i="8"/>
  <c r="J28" i="8" s="1"/>
  <c r="J8" i="12" s="1"/>
  <c r="J7" i="12"/>
  <c r="J14" i="12" s="1"/>
  <c r="I28" i="8"/>
  <c r="H28" i="8"/>
  <c r="H14" i="12"/>
  <c r="I14" i="12"/>
  <c r="L9" i="8"/>
  <c r="L28" i="6"/>
  <c r="J7" i="11"/>
  <c r="J10" i="11" s="1"/>
  <c r="J9" i="12" s="1"/>
  <c r="L16" i="5"/>
  <c r="K27" i="8" l="1"/>
  <c r="K7" i="12"/>
  <c r="K14" i="12" s="1"/>
  <c r="K34" i="8"/>
  <c r="K14" i="7"/>
  <c r="K29" i="7" s="1"/>
  <c r="K15" i="7"/>
  <c r="K30" i="7" s="1"/>
  <c r="K43" i="7"/>
  <c r="K20" i="8"/>
  <c r="K44" i="7"/>
  <c r="L43" i="7"/>
  <c r="L20" i="8"/>
  <c r="L44" i="7"/>
  <c r="I7" i="11"/>
  <c r="I10" i="11" s="1"/>
  <c r="I9" i="12" s="1"/>
  <c r="I8" i="12"/>
  <c r="J15" i="12" s="1"/>
  <c r="H8" i="12"/>
  <c r="H7" i="11"/>
  <c r="H10" i="11" s="1"/>
  <c r="H9" i="12" s="1"/>
  <c r="L8" i="7"/>
  <c r="L7" i="8"/>
  <c r="L8" i="8" s="1"/>
  <c r="AC68" i="3"/>
  <c r="K35" i="7" l="1"/>
  <c r="K22" i="8" s="1"/>
  <c r="K28" i="8" s="1"/>
  <c r="H15" i="12"/>
  <c r="I15" i="12"/>
  <c r="L14" i="7"/>
  <c r="L29" i="7" s="1"/>
  <c r="L15" i="7"/>
  <c r="L30" i="7" s="1"/>
  <c r="L10" i="8"/>
  <c r="L33" i="8"/>
  <c r="K8" i="12" l="1"/>
  <c r="K15" i="12" s="1"/>
  <c r="K7" i="11"/>
  <c r="K10" i="11" s="1"/>
  <c r="K9" i="12" s="1"/>
  <c r="C79" i="12" s="1"/>
  <c r="C82" i="12" s="1"/>
  <c r="C84" i="12" s="1"/>
  <c r="C9" i="13" s="1"/>
  <c r="I7" i="1" s="1"/>
  <c r="L35" i="7"/>
  <c r="L22" i="8" s="1"/>
  <c r="L27" i="8"/>
  <c r="L34" i="8"/>
  <c r="L7" i="12"/>
  <c r="L28" i="8" l="1"/>
  <c r="L7" i="11"/>
  <c r="L8" i="12"/>
  <c r="L14" i="12"/>
  <c r="C40" i="12"/>
  <c r="C43" i="12" s="1"/>
  <c r="C44" i="12" s="1"/>
  <c r="C45" i="12" s="1"/>
  <c r="C48" i="12" s="1"/>
  <c r="C50" i="12" s="1"/>
  <c r="C6" i="13" s="1"/>
  <c r="I4" i="1" s="1"/>
  <c r="L10" i="11" l="1"/>
  <c r="L8" i="11"/>
  <c r="L11" i="11" s="1"/>
  <c r="C20" i="11" s="1"/>
  <c r="C61" i="12"/>
  <c r="C64" i="12" s="1"/>
  <c r="C65" i="12" s="1"/>
  <c r="C66" i="12" s="1"/>
  <c r="C69" i="12" s="1"/>
  <c r="C71" i="12" s="1"/>
  <c r="C8" i="13" s="1"/>
  <c r="I6" i="1" s="1"/>
  <c r="L15" i="12"/>
  <c r="C19" i="11" l="1"/>
  <c r="C21" i="11" s="1"/>
  <c r="C24" i="11" s="1"/>
  <c r="C26" i="11" s="1"/>
  <c r="C5" i="13" s="1"/>
  <c r="C10" i="13" s="1"/>
  <c r="L9" i="12"/>
  <c r="I3" i="1" l="1"/>
  <c r="I8" i="1" l="1"/>
  <c r="C12" i="13"/>
  <c r="I9"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tc={22B2B3EF-EBF6-0D4F-BF74-BA371A77FD6F}</author>
    <author>tc={8A10573A-B1E5-5443-A272-E27CCC9C056F}</author>
    <author>tc={5BBC1251-89A4-4947-B16B-1A3517F3978F}</author>
    <author>tc={E6C552BA-8E42-8048-BA98-39C456CBD611}</author>
    <author>tc={6F985346-2770-364E-9653-7584125D2BA5}</author>
  </authors>
  <commentList>
    <comment ref="B86" authorId="0" shapeId="0" xr:uid="{22B2B3EF-EBF6-0D4F-BF74-BA371A77FD6F}">
      <text>
        <t>[Threaded comment]
Your version of Excel allows you to read this threaded comment; however, any edits to it will get removed if the file is opened in a newer version of Excel. Learn more: https://go.microsoft.com/fwlink/?linkid=870924
Comment:
    Actual number</t>
      </text>
    </comment>
    <comment ref="B120" authorId="1" shapeId="0" xr:uid="{8A10573A-B1E5-5443-A272-E27CCC9C056F}">
      <text>
        <t>[Threaded comment]
Your version of Excel allows you to read this threaded comment; however, any edits to it will get removed if the file is opened in a newer version of Excel. Learn more: https://go.microsoft.com/fwlink/?linkid=870924
Comment:
    Take the closing price of the last day of the period. In case the price has seen heavy fluctuations make an average of the last days. Info found at Yahoo Finance in the Historical Data section</t>
      </text>
    </comment>
    <comment ref="B209" authorId="2" shapeId="0" xr:uid="{5BBC1251-89A4-4947-B16B-1A3517F3978F}">
      <text>
        <t>[Threaded comment]
Your version of Excel allows you to read this threaded comment; however, any edits to it will get removed if the file is opened in a newer version of Excel. Learn more: https://go.microsoft.com/fwlink/?linkid=870924
Comment:
    Actual number (not K or M)</t>
      </text>
    </comment>
    <comment ref="B211" authorId="3" shapeId="0" xr:uid="{E6C552BA-8E42-8048-BA98-39C456CBD611}">
      <text>
        <t>[Threaded comment]
Your version of Excel allows you to read this threaded comment; however, any edits to it will get removed if the file is opened in a newer version of Excel. Learn more: https://go.microsoft.com/fwlink/?linkid=870924
Comment:
    Renamed to total managed payments</t>
      </text>
    </comment>
    <comment ref="B213" authorId="4" shapeId="0" xr:uid="{6F985346-2770-364E-9653-7584125D2BA5}">
      <text>
        <t>[Threaded comment]
Your version of Excel allows you to read this threaded comment; however, any edits to it will get removed if the file is opened in a newer version of Excel. Learn more: https://go.microsoft.com/fwlink/?linkid=870924
Comment:
    Renamed to payment solution revenue rate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tc={58911EC8-5C4A-EA44-9BF7-062498A18F6A}</author>
  </authors>
  <commentList>
    <comment ref="Q7" authorId="0" shapeId="0" xr:uid="{58911EC8-5C4A-EA44-9BF7-062498A18F6A}">
      <text>
        <t>[Threaded comment]
Your version of Excel allows you to read this threaded comment; however, any edits to it will get removed if the file is opened in a newer version of Excel. Learn more: https://go.microsoft.com/fwlink/?linkid=870924
Comment:
    Since Q1 2027 it is payment volume * take rate which also have been renamed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tc={87FCD2F5-1815-1140-9144-DCAA38F9CA74}</author>
  </authors>
  <commentList>
    <comment ref="B35" authorId="0" shapeId="0" xr:uid="{87FCD2F5-1815-1140-9144-DCAA38F9CA74}">
      <text>
        <t>[Threaded comment]
Your version of Excel allows you to read this threaded comment; however, any edits to it will get removed if the file is opened in a newer version of Excel. Learn more: https://go.microsoft.com/fwlink/?linkid=870924
Comment:
    We use here the inverted signg as are used in the CashFlow statement which means we will Add the change in NWC to the NOPAT instead of subtracting it</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2"/>
        </ext>
      </extLst>
    </bk>
    <bk>
      <extLst>
        <ext uri="{3e2802c4-a4d2-4d8b-9148-e3be6c30e623}">
          <xlrd:rvb i="5"/>
        </ext>
      </extLst>
    </bk>
  </futureMetadata>
  <cellMetadata count="1">
    <bk>
      <rc t="1" v="0"/>
    </bk>
  </cellMetadata>
  <valueMetadata count="2">
    <bk>
      <rc t="2" v="0"/>
    </bk>
    <bk>
      <rc t="2" v="1"/>
    </bk>
  </valueMetadata>
</metadata>
</file>

<file path=xl/sharedStrings.xml><?xml version="1.0" encoding="utf-8"?>
<sst xmlns="http://schemas.openxmlformats.org/spreadsheetml/2006/main" count="854" uniqueCount="450">
  <si>
    <t>Ticker</t>
  </si>
  <si>
    <t>Price</t>
  </si>
  <si>
    <t>Price Extended Hours</t>
  </si>
  <si>
    <t>Day change</t>
  </si>
  <si>
    <t>Day change extended</t>
  </si>
  <si>
    <t>Day change %</t>
  </si>
  <si>
    <t>Day change extended %</t>
  </si>
  <si>
    <t>52 week high</t>
  </si>
  <si>
    <t>52 week low</t>
  </si>
  <si>
    <t>Beta</t>
  </si>
  <si>
    <t>Avg volume</t>
  </si>
  <si>
    <t>Company</t>
  </si>
  <si>
    <t>Units</t>
  </si>
  <si>
    <t>Units conversion</t>
  </si>
  <si>
    <t>K</t>
  </si>
  <si>
    <t>Financials -&gt;</t>
  </si>
  <si>
    <t>Date</t>
  </si>
  <si>
    <t>FY</t>
  </si>
  <si>
    <t>Automatic Data</t>
  </si>
  <si>
    <t>Income statement</t>
  </si>
  <si>
    <t>Revenue</t>
  </si>
  <si>
    <t>COGS</t>
  </si>
  <si>
    <t>Gross Profit</t>
  </si>
  <si>
    <t>R&amp;D</t>
  </si>
  <si>
    <t>Sales and marketing</t>
  </si>
  <si>
    <t>General and administrative</t>
  </si>
  <si>
    <t>OpEx</t>
  </si>
  <si>
    <t>Operating income</t>
  </si>
  <si>
    <t>Interest income/expense</t>
  </si>
  <si>
    <t>Other income/expense</t>
  </si>
  <si>
    <t>Income before taxes</t>
  </si>
  <si>
    <t>Income tax expense/benefit</t>
  </si>
  <si>
    <t>Net income</t>
  </si>
  <si>
    <t>Basic Shares outstanding avg</t>
  </si>
  <si>
    <t>Basic Shares outstanding avg adjusted</t>
  </si>
  <si>
    <t>Diluted Shares outstanding avg</t>
  </si>
  <si>
    <t>Diluted Shares outstanding avg adjusted</t>
  </si>
  <si>
    <t>Basic EPS</t>
  </si>
  <si>
    <t>Basic EPS adjusted</t>
  </si>
  <si>
    <t>Diluted EPS</t>
  </si>
  <si>
    <t>Diluted EPS adjusted</t>
  </si>
  <si>
    <t>Balance sheet</t>
  </si>
  <si>
    <t>Cash and cash equivalents</t>
  </si>
  <si>
    <t>Acc receivable</t>
  </si>
  <si>
    <t>Current assets</t>
  </si>
  <si>
    <t>PP&amp;E</t>
  </si>
  <si>
    <t>Goodwill</t>
  </si>
  <si>
    <t>Long term assets</t>
  </si>
  <si>
    <t>Total assets</t>
  </si>
  <si>
    <t>Acc payable</t>
  </si>
  <si>
    <t>Current liabilities</t>
  </si>
  <si>
    <t>Long term liabilities</t>
  </si>
  <si>
    <t>Total liabilities</t>
  </si>
  <si>
    <t>Paid in capital</t>
  </si>
  <si>
    <t>Treasury stock</t>
  </si>
  <si>
    <t>Stockholder equity</t>
  </si>
  <si>
    <t>Total liabilities and equity</t>
  </si>
  <si>
    <t>Cashflow statement</t>
  </si>
  <si>
    <t>D&amp;A</t>
  </si>
  <si>
    <t>Stock-based compensation</t>
  </si>
  <si>
    <t>Operating cashflow</t>
  </si>
  <si>
    <t>CapEx</t>
  </si>
  <si>
    <t>Investing cashflow</t>
  </si>
  <si>
    <t>Repurchase stock</t>
  </si>
  <si>
    <t>Financing cashflow</t>
  </si>
  <si>
    <t>Sanity checks</t>
  </si>
  <si>
    <t>Calculated Net Income</t>
  </si>
  <si>
    <t>Check Net Income</t>
  </si>
  <si>
    <t>Check balance</t>
  </si>
  <si>
    <t>Other data</t>
  </si>
  <si>
    <t>Shares outstanding</t>
  </si>
  <si>
    <t>Split adjusted shares outstanding</t>
  </si>
  <si>
    <t>Dividends per share</t>
  </si>
  <si>
    <t>Split adjusted dividends per share</t>
  </si>
  <si>
    <t>Tax rate</t>
  </si>
  <si>
    <t>Employees</t>
  </si>
  <si>
    <t>Stock split factor</t>
  </si>
  <si>
    <t>Growth rates Income Statement</t>
  </si>
  <si>
    <t>Margins</t>
  </si>
  <si>
    <t>Gross margin</t>
  </si>
  <si>
    <t>Operating margin</t>
  </si>
  <si>
    <t>Net margin</t>
  </si>
  <si>
    <t>Revenue and Costs breakdown</t>
  </si>
  <si>
    <t>Market data</t>
  </si>
  <si>
    <t>Last market price for period</t>
  </si>
  <si>
    <t>TTM/YTD</t>
  </si>
  <si>
    <t>31.01.2026</t>
  </si>
  <si>
    <t>31.01.2025</t>
  </si>
  <si>
    <t>31.01.2024</t>
  </si>
  <si>
    <t>31.01.2023</t>
  </si>
  <si>
    <t>31.01.2022</t>
  </si>
  <si>
    <t>Q4 2026</t>
  </si>
  <si>
    <t>Q4 2025</t>
  </si>
  <si>
    <t>31.10.2025</t>
  </si>
  <si>
    <t>Q3 2026</t>
  </si>
  <si>
    <t>31.10.2024</t>
  </si>
  <si>
    <t>Q3 2025</t>
  </si>
  <si>
    <t>31.07.2025</t>
  </si>
  <si>
    <t>Q2 2026</t>
  </si>
  <si>
    <t>30.04.2025</t>
  </si>
  <si>
    <t>Q1 2026</t>
  </si>
  <si>
    <t>Unit data and other info</t>
  </si>
  <si>
    <t>Has operating lease</t>
  </si>
  <si>
    <t>Yes</t>
  </si>
  <si>
    <t>Has finance lease</t>
  </si>
  <si>
    <t>Has debt</t>
  </si>
  <si>
    <t>Change in accounts receivable</t>
  </si>
  <si>
    <t>Change in accounts payable</t>
  </si>
  <si>
    <t>Change in other operating NWC</t>
  </si>
  <si>
    <t>Capitalized software</t>
  </si>
  <si>
    <t>Profit Margin (Earnings/Revenue)</t>
  </si>
  <si>
    <t>Asset Turnover (Revenue/Total assets)</t>
  </si>
  <si>
    <t>ROA</t>
  </si>
  <si>
    <t>Equity Multiplier (Total assets/Equity)</t>
  </si>
  <si>
    <t>ROE</t>
  </si>
  <si>
    <t>ROIC</t>
  </si>
  <si>
    <t>DuPont Identity and performance</t>
  </si>
  <si>
    <t>Constants</t>
  </si>
  <si>
    <t>Default tax rate</t>
  </si>
  <si>
    <t>Adjustments</t>
  </si>
  <si>
    <t>Company metrics</t>
  </si>
  <si>
    <t>Forecast -&gt;</t>
  </si>
  <si>
    <t>Revenue forecast</t>
  </si>
  <si>
    <t>History</t>
  </si>
  <si>
    <t>Forecast</t>
  </si>
  <si>
    <t>TTM</t>
  </si>
  <si>
    <t>Revenues</t>
  </si>
  <si>
    <t>Revenues (thousand)</t>
  </si>
  <si>
    <t>FQ1</t>
  </si>
  <si>
    <t>FQ2</t>
  </si>
  <si>
    <t>FQ3</t>
  </si>
  <si>
    <t>Total</t>
  </si>
  <si>
    <t>Growth rates</t>
  </si>
  <si>
    <t>Revenue growth %</t>
  </si>
  <si>
    <t>Drivers and metrics</t>
  </si>
  <si>
    <t>Metric (thousand)</t>
  </si>
  <si>
    <t>COGS &amp; OpEx forecast</t>
  </si>
  <si>
    <t>COGS and OpEx</t>
  </si>
  <si>
    <t>COGS &amp; OpEx</t>
  </si>
  <si>
    <t>Expenses (thousand)</t>
  </si>
  <si>
    <t>Expenses % of Revenue</t>
  </si>
  <si>
    <t>% of revenue</t>
  </si>
  <si>
    <t>Expenses (tnousand)</t>
  </si>
  <si>
    <t>Working Capital, Capex, D&amp;A</t>
  </si>
  <si>
    <t>Working Capital</t>
  </si>
  <si>
    <t>$ (thousand)</t>
  </si>
  <si>
    <t>Accounts receivable</t>
  </si>
  <si>
    <t>Inventory</t>
  </si>
  <si>
    <t>Accounts payable</t>
  </si>
  <si>
    <t>WC metrics and drivers</t>
  </si>
  <si>
    <t>Days</t>
  </si>
  <si>
    <t>DSO</t>
  </si>
  <si>
    <t>DIO</t>
  </si>
  <si>
    <t>DPO</t>
  </si>
  <si>
    <t>Net trade cycle</t>
  </si>
  <si>
    <t>Change in SIP NWC</t>
  </si>
  <si>
    <t>Change in acc receivable</t>
  </si>
  <si>
    <t>Change in inventory</t>
  </si>
  <si>
    <t>Change in acc payable</t>
  </si>
  <si>
    <t>Total change in NWC and less SIP</t>
  </si>
  <si>
    <t>Total change in NWC</t>
  </si>
  <si>
    <t>Change in NWC less SIP</t>
  </si>
  <si>
    <t>Investments</t>
  </si>
  <si>
    <t>% of Revenue</t>
  </si>
  <si>
    <t>% of CapEx</t>
  </si>
  <si>
    <t>Results</t>
  </si>
  <si>
    <t>From Revenue Sheet</t>
  </si>
  <si>
    <t>From COGS and OpEx Sheet</t>
  </si>
  <si>
    <t>Gross profit</t>
  </si>
  <si>
    <t>EBIT</t>
  </si>
  <si>
    <t>Drivers</t>
  </si>
  <si>
    <t>Cash Flow Statement</t>
  </si>
  <si>
    <t>From WC &amp; Investments Sheet</t>
  </si>
  <si>
    <t>Change in NWC</t>
  </si>
  <si>
    <t>NOPAT</t>
  </si>
  <si>
    <t>From Statements and Overview sheet</t>
  </si>
  <si>
    <t>Valuation -&gt;</t>
  </si>
  <si>
    <t>WACC</t>
  </si>
  <si>
    <t>Inputs</t>
  </si>
  <si>
    <t>Shares Outstanding</t>
  </si>
  <si>
    <t>Equity</t>
  </si>
  <si>
    <t>Debt</t>
  </si>
  <si>
    <t>Risk free rate</t>
  </si>
  <si>
    <t>Market risk premium</t>
  </si>
  <si>
    <t>Cost of debt</t>
  </si>
  <si>
    <t>Calculations</t>
  </si>
  <si>
    <t>Debt/(Debt+Equity)</t>
  </si>
  <si>
    <t>Equity/(Debt+Equity)</t>
  </si>
  <si>
    <t>Cost of debt with tax</t>
  </si>
  <si>
    <t>Cost of equity</t>
  </si>
  <si>
    <t>Cash</t>
  </si>
  <si>
    <t>DCF</t>
  </si>
  <si>
    <t>PV of FCF</t>
  </si>
  <si>
    <t>Perpetual cashflow</t>
  </si>
  <si>
    <t>Period</t>
  </si>
  <si>
    <t>PV of Perpetual cashflow</t>
  </si>
  <si>
    <t>Input parameters</t>
  </si>
  <si>
    <t>Perpetual growth</t>
  </si>
  <si>
    <t>Result</t>
  </si>
  <si>
    <t>Total PV of Unlevered FCF</t>
  </si>
  <si>
    <t>Enterprise value</t>
  </si>
  <si>
    <t>(+) Cash</t>
  </si>
  <si>
    <t>(-) Debt</t>
  </si>
  <si>
    <t>Equity value</t>
  </si>
  <si>
    <t>Price per share</t>
  </si>
  <si>
    <t>Multiples valuations</t>
  </si>
  <si>
    <t>Revenues, earnings cash</t>
  </si>
  <si>
    <t>% Growth</t>
  </si>
  <si>
    <t>Shares</t>
  </si>
  <si>
    <t>Avg diluted shares</t>
  </si>
  <si>
    <t>Dilution rate</t>
  </si>
  <si>
    <t>Historical price</t>
  </si>
  <si>
    <t>Historical ratios</t>
  </si>
  <si>
    <t>PS</t>
  </si>
  <si>
    <t>Market Cap</t>
  </si>
  <si>
    <t>EV</t>
  </si>
  <si>
    <t>EV/EBIT</t>
  </si>
  <si>
    <t>EV/EBIT valuation</t>
  </si>
  <si>
    <t>Year 5 EBIT</t>
  </si>
  <si>
    <t>Applied EV/EBIT ratio</t>
  </si>
  <si>
    <t>Shares outstanding diluted</t>
  </si>
  <si>
    <t>PV of price per share</t>
  </si>
  <si>
    <t>PS valuation</t>
  </si>
  <si>
    <t>Year 5 sales</t>
  </si>
  <si>
    <t>Applied PS ratio</t>
  </si>
  <si>
    <t>AVG target price</t>
  </si>
  <si>
    <t>AVG  target price</t>
  </si>
  <si>
    <t>DCF price</t>
  </si>
  <si>
    <t>EV/EBIT price</t>
  </si>
  <si>
    <t>PS price</t>
  </si>
  <si>
    <t>AVG price</t>
  </si>
  <si>
    <t>Current price</t>
  </si>
  <si>
    <t>Upside/Downside</t>
  </si>
  <si>
    <t>Reverse DCF</t>
  </si>
  <si>
    <t>Growth adjustment</t>
  </si>
  <si>
    <t>Current Price</t>
  </si>
  <si>
    <t>Calculated Price</t>
  </si>
  <si>
    <t>Modify until Calculated Price is very close to Current Price</t>
  </si>
  <si>
    <t>Market cap</t>
  </si>
  <si>
    <t>Enterprise Value</t>
  </si>
  <si>
    <t>Company guidance next Quarter</t>
  </si>
  <si>
    <t>Revenue Lower</t>
  </si>
  <si>
    <t>Revenue Upper</t>
  </si>
  <si>
    <t>Actual Revenue</t>
  </si>
  <si>
    <t>Analysis -&gt;</t>
  </si>
  <si>
    <t>Overview</t>
  </si>
  <si>
    <t>Dilutive shares</t>
  </si>
  <si>
    <t>Split adjusted dilutive shares</t>
  </si>
  <si>
    <t>Split adjusted diluted shares</t>
  </si>
  <si>
    <t>PE</t>
  </si>
  <si>
    <t>PB</t>
  </si>
  <si>
    <t>Market capitalization</t>
  </si>
  <si>
    <t>CAGR</t>
  </si>
  <si>
    <t>5Y</t>
  </si>
  <si>
    <t>10Y</t>
  </si>
  <si>
    <t>EPS</t>
  </si>
  <si>
    <t>Dividend</t>
  </si>
  <si>
    <t>DuPont Identity</t>
  </si>
  <si>
    <t>Earnings quality</t>
  </si>
  <si>
    <t>Operating cash</t>
  </si>
  <si>
    <t>Metrics and ratios</t>
  </si>
  <si>
    <t>Performance indicators</t>
  </si>
  <si>
    <t>Cash conversion cycle</t>
  </si>
  <si>
    <t>Debt to Equity</t>
  </si>
  <si>
    <t>Quick ratio</t>
  </si>
  <si>
    <t>Current ratio</t>
  </si>
  <si>
    <t>Cash accruals</t>
  </si>
  <si>
    <t>Net debt to equity</t>
  </si>
  <si>
    <t>Liquidity ratios</t>
  </si>
  <si>
    <t>Debt/Equity</t>
  </si>
  <si>
    <t>Net Debt/Equity</t>
  </si>
  <si>
    <t>Interest coverage</t>
  </si>
  <si>
    <t>EV/Revenue</t>
  </si>
  <si>
    <t>FCFE</t>
  </si>
  <si>
    <t>FCFF</t>
  </si>
  <si>
    <t>P/FCF</t>
  </si>
  <si>
    <t>EV/FCF</t>
  </si>
  <si>
    <t>FCF Yield</t>
  </si>
  <si>
    <t>Earnings yield</t>
  </si>
  <si>
    <t>Dividend yield</t>
  </si>
  <si>
    <t>Earnings yields</t>
  </si>
  <si>
    <t>FCF yield</t>
  </si>
  <si>
    <t>Dividend payout ratio</t>
  </si>
  <si>
    <t>Payout ratios</t>
  </si>
  <si>
    <t>Buyback payout ratio</t>
  </si>
  <si>
    <t>Full payout ratio</t>
  </si>
  <si>
    <t>TTM/YTD data</t>
  </si>
  <si>
    <t>Shares held by insiders</t>
  </si>
  <si>
    <t>Split adjusted shares held by insiders</t>
  </si>
  <si>
    <t>Insider ownership</t>
  </si>
  <si>
    <t>Cash per share</t>
  </si>
  <si>
    <t>Ownership</t>
  </si>
  <si>
    <t>Stock based compensation % OCF</t>
  </si>
  <si>
    <t>Stock based compensation % Revenue</t>
  </si>
  <si>
    <t>Stock based compensation</t>
  </si>
  <si>
    <t>Total payout ratio</t>
  </si>
  <si>
    <t>Dividends</t>
  </si>
  <si>
    <t>Cash holdings</t>
  </si>
  <si>
    <t>Net cash per share</t>
  </si>
  <si>
    <t>At a glance</t>
  </si>
  <si>
    <t>Earnings Yield</t>
  </si>
  <si>
    <t>Dividend Yield</t>
  </si>
  <si>
    <t>Net Cash/Market Cap</t>
  </si>
  <si>
    <t>Net cash to market cap</t>
  </si>
  <si>
    <t>Buyback yield</t>
  </si>
  <si>
    <t>Buyback Yield</t>
  </si>
  <si>
    <t>Total shareholder yield</t>
  </si>
  <si>
    <t>Net Cash/Share</t>
  </si>
  <si>
    <t>Insider Ownership</t>
  </si>
  <si>
    <t>Net Trade Cycle</t>
  </si>
  <si>
    <t>Quick Ratio</t>
  </si>
  <si>
    <t>Capex</t>
  </si>
  <si>
    <t>CapEx to Revenue</t>
  </si>
  <si>
    <t>CapEx to OCF</t>
  </si>
  <si>
    <t>CapEx to D&amp;A</t>
  </si>
  <si>
    <t>CapEx usage</t>
  </si>
  <si>
    <t>Capex to Revenue</t>
  </si>
  <si>
    <t>Performance Indicators</t>
  </si>
  <si>
    <t>Stock Based Compensation</t>
  </si>
  <si>
    <t>CapEx Usage</t>
  </si>
  <si>
    <t>Operating Income</t>
  </si>
  <si>
    <t>Net Income</t>
  </si>
  <si>
    <t>Growth rates breakdown</t>
  </si>
  <si>
    <t>Growth rate breakdown</t>
  </si>
  <si>
    <t>Other growth rates</t>
  </si>
  <si>
    <t>Latest 2 quarters</t>
  </si>
  <si>
    <t>YoY</t>
  </si>
  <si>
    <t>Growth</t>
  </si>
  <si>
    <t>Operating profit</t>
  </si>
  <si>
    <t>Diluted shares outstanding</t>
  </si>
  <si>
    <t>Revenue breakdown</t>
  </si>
  <si>
    <t>Income statement growth</t>
  </si>
  <si>
    <t>Metrics growth</t>
  </si>
  <si>
    <t>PV of FCFF</t>
  </si>
  <si>
    <t>EV/FCFF</t>
  </si>
  <si>
    <t>EV/FCFF valuation</t>
  </si>
  <si>
    <t>EV/FCFF price</t>
  </si>
  <si>
    <t>FCFF Growth</t>
  </si>
  <si>
    <t>Valuation</t>
  </si>
  <si>
    <t>Non-controlling interest</t>
  </si>
  <si>
    <t>Net income with non-controlling</t>
  </si>
  <si>
    <t>Equity with non-controlling</t>
  </si>
  <si>
    <t>Dividends to minority interest</t>
  </si>
  <si>
    <t>Preferred stock</t>
  </si>
  <si>
    <t>Accumulated income/loss</t>
  </si>
  <si>
    <t>%</t>
  </si>
  <si>
    <t>Info</t>
  </si>
  <si>
    <t>Mission:</t>
  </si>
  <si>
    <t>Auditor:</t>
  </si>
  <si>
    <t>Notes</t>
  </si>
  <si>
    <t>Date:</t>
  </si>
  <si>
    <t>KPMG</t>
  </si>
  <si>
    <t>10 Year Bond Yield</t>
  </si>
  <si>
    <t>Percentage</t>
  </si>
  <si>
    <t>Last market price for period adjusted</t>
  </si>
  <si>
    <t>FCFF/Sales (FCFF Margin)</t>
  </si>
  <si>
    <t>FCFE/Sales (FCFE Margin)</t>
  </si>
  <si>
    <t>Manual WACC</t>
  </si>
  <si>
    <t>Discount rate</t>
  </si>
  <si>
    <t>Applied EV/FCFF ratio</t>
  </si>
  <si>
    <t>Common size growth rates</t>
  </si>
  <si>
    <t>Price 5y</t>
  </si>
  <si>
    <t>Revenue 5y</t>
  </si>
  <si>
    <t>EPS 5y</t>
  </si>
  <si>
    <t>Marketable securities and investments</t>
  </si>
  <si>
    <t>Debt/EBIT</t>
  </si>
  <si>
    <t>Net Debt/EBIT</t>
  </si>
  <si>
    <t>Sales/Invested Capital</t>
  </si>
  <si>
    <t>Sales/Assets</t>
  </si>
  <si>
    <t>Address 3 challenges in healthcare: access to care, affordability of care, health patient outcomes</t>
  </si>
  <si>
    <t>30.03.2026</t>
  </si>
  <si>
    <t>Depreciation</t>
  </si>
  <si>
    <t>Amortization</t>
  </si>
  <si>
    <t>-</t>
  </si>
  <si>
    <t>Tax expense/benefit + income</t>
  </si>
  <si>
    <t>Take out the 11618 tax benefit since it is a one time accounting adjustment and adjust all net incomes</t>
  </si>
  <si>
    <t>FY 2026</t>
  </si>
  <si>
    <t>Revenue outlook for FY 2027 will be in the range 510-520 million</t>
  </si>
  <si>
    <t>Network solution clients commiting lower spend levels for second half of fiscal 2027</t>
  </si>
  <si>
    <t>AccessOne will contribute about 37 million to the total revenue range</t>
  </si>
  <si>
    <t>Adjusted EBITDA in the range 125 to 135 million</t>
  </si>
  <si>
    <t>AHSC growth in the mid single digit percentage range</t>
  </si>
  <si>
    <t>Total revenue per AHSC in low single digit percentage range</t>
  </si>
  <si>
    <t>TAM of 24B</t>
  </si>
  <si>
    <t>It is expected that subscription growth will be slower than the other 2 revenue streams</t>
  </si>
  <si>
    <t>Got a $250k revolving credit maturing on 13.03.2031</t>
  </si>
  <si>
    <t>Subscription and related services</t>
  </si>
  <si>
    <t>Payment solutions</t>
  </si>
  <si>
    <t>Network solutions</t>
  </si>
  <si>
    <t>AHSC</t>
  </si>
  <si>
    <t>Avg subscription revenue per AHSC</t>
  </si>
  <si>
    <t>Patient payment volume</t>
  </si>
  <si>
    <t>Payment facilitator volume</t>
  </si>
  <si>
    <t>Take rate</t>
  </si>
  <si>
    <t>Annual patient visits</t>
  </si>
  <si>
    <t>Patient visit per AHSC</t>
  </si>
  <si>
    <t>Revenue per visit</t>
  </si>
  <si>
    <t>Network solutions revenue per AHSC</t>
  </si>
  <si>
    <t>AHSC * avg sub revenue per AHSC</t>
  </si>
  <si>
    <t>pacient payment volume * facilitator * take rate</t>
  </si>
  <si>
    <t xml:space="preserve">annual patient visits  * revenue per visit </t>
  </si>
  <si>
    <t>Patient payment volume growth</t>
  </si>
  <si>
    <t>AHSC growth</t>
  </si>
  <si>
    <t>AHSC Growth</t>
  </si>
  <si>
    <t>Avg revenue AHSC growth</t>
  </si>
  <si>
    <t>Annual patient visits growth</t>
  </si>
  <si>
    <t>Patient visits per AHSC</t>
  </si>
  <si>
    <t>Patient visit per AHSC growth</t>
  </si>
  <si>
    <t>AHSC * patient visit per AHSC</t>
  </si>
  <si>
    <t>Revenue per visit growth</t>
  </si>
  <si>
    <t>network solutions per AHSC * AHSC</t>
  </si>
  <si>
    <t>Avg revenue per AHSC growth</t>
  </si>
  <si>
    <t>Nw solutions revenue growth</t>
  </si>
  <si>
    <t>Network revenue per AHSC growth</t>
  </si>
  <si>
    <t>Q1 2027</t>
  </si>
  <si>
    <t>Total Revenue per AHSC</t>
  </si>
  <si>
    <t>Equity Value</t>
  </si>
  <si>
    <t>Dividend discount model</t>
  </si>
  <si>
    <t>Dividend per share</t>
  </si>
  <si>
    <t>Ratios</t>
  </si>
  <si>
    <t>Payout</t>
  </si>
  <si>
    <t>DDM valuation</t>
  </si>
  <si>
    <t>Latest dividend</t>
  </si>
  <si>
    <t>Year 1 growth rate</t>
  </si>
  <si>
    <t>Year 1 dividend</t>
  </si>
  <si>
    <t>Perpetual dividend growth</t>
  </si>
  <si>
    <t>Manual Cost of Equity</t>
  </si>
  <si>
    <t>DDM price</t>
  </si>
  <si>
    <t>30.04.2026</t>
  </si>
  <si>
    <t>Q2 2027</t>
  </si>
  <si>
    <t>31.07.2026</t>
  </si>
  <si>
    <t>Terminal EV</t>
  </si>
  <si>
    <t>PV of Terminal EV</t>
  </si>
  <si>
    <t>Total EV</t>
  </si>
  <si>
    <t>Year 5 FCFF</t>
  </si>
  <si>
    <t>EV/Sales</t>
  </si>
  <si>
    <t>EV/Sales valuation</t>
  </si>
  <si>
    <t>Year 5 Sales</t>
  </si>
  <si>
    <t>Applied EV/Sales ratio</t>
  </si>
  <si>
    <t>EV/Sales price</t>
  </si>
  <si>
    <t>Reverse DCF rate</t>
  </si>
  <si>
    <t>Discount rates used</t>
  </si>
  <si>
    <t>Cost of Equity</t>
  </si>
  <si>
    <t>Links</t>
  </si>
  <si>
    <t>Financials -&gt;'!B13</t>
  </si>
  <si>
    <t>Analysis -&gt;'!B13</t>
  </si>
  <si>
    <t>Forecast -&gt;'!B13</t>
  </si>
  <si>
    <t>Valuation -&gt;'!B13</t>
  </si>
  <si>
    <t>Overview'!B3</t>
  </si>
  <si>
    <t>Reverse DCF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</si>
</sst>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_(* \(#,##0\);_(* &quot;-&quot;_);_(@_)"/>
    <numFmt numFmtId="164" formatCode="_([$$-409]* #,##0.00_);_([$$-409]* \(#,##0.00\);_([$$-409]* &quot;-&quot;??_);_(@_)"/>
    <numFmt numFmtId="165" formatCode="0.00_);[Red]\(0.00\)"/>
    <numFmt numFmtId="166" formatCode="#,##0.0_);[Red]\(#,##0.0\)"/>
    <numFmt numFmtId="167" formatCode="0.00_);\(0.00\)"/>
    <numFmt numFmtId="168" formatCode="0.0%"/>
    <numFmt numFmtId="169" formatCode="#,##0.0_);\(#,##0.0\)"/>
    <numFmt numFmtId="170" formatCode="0.0"/>
  </numFmts>
  <fonts count="26" x14ac:knownFonts="1">
    <font>
      <sz val="12"/>
      <color theme="1"/>
      <name val="Aptos Narrow"/>
      <family val="2"/>
      <scheme val="minor"/>
    </font>
    <font>
      <sz val="12"/>
      <color theme="1"/>
      <name val="Aptos Narrow"/>
      <family val="2"/>
      <scheme val="minor"/>
    </font>
    <font>
      <sz val="12"/>
      <color rgb="FF000000"/>
      <name val="Aptos Narrow"/>
      <family val="2"/>
      <scheme val="minor"/>
    </font>
    <font>
      <b/>
      <sz val="40"/>
      <color rgb="FF002060"/>
      <name val="Arial"/>
      <family val="2"/>
      <charset val="204"/>
    </font>
    <font>
      <b/>
      <sz val="12"/>
      <color theme="0"/>
      <name val="Aptos Narrow"/>
      <scheme val="minor"/>
    </font>
    <font>
      <b/>
      <sz val="12"/>
      <color theme="0" tint="-4.9989318521683403E-2"/>
      <name val="Aptos Narrow"/>
      <scheme val="minor"/>
    </font>
    <font>
      <b/>
      <sz val="12"/>
      <color rgb="FFF2F2F2"/>
      <name val="Aptos Narrow"/>
      <scheme val="minor"/>
    </font>
    <font>
      <b/>
      <sz val="12"/>
      <color theme="1"/>
      <name val="Aptos Narrow"/>
      <scheme val="minor"/>
    </font>
    <font>
      <b/>
      <sz val="12"/>
      <color rgb="FF0070C0"/>
      <name val="Aptos Narrow"/>
      <scheme val="minor"/>
    </font>
    <font>
      <sz val="12"/>
      <color rgb="FF0070C0"/>
      <name val="Aptos Narrow"/>
      <scheme val="minor"/>
    </font>
    <font>
      <sz val="12"/>
      <color theme="1"/>
      <name val="Aptos Narrow"/>
      <scheme val="minor"/>
    </font>
    <font>
      <sz val="12"/>
      <color rgb="FF0070C0"/>
      <name val="Aptos Narrow"/>
      <family val="2"/>
      <scheme val="minor"/>
    </font>
    <font>
      <sz val="12"/>
      <color theme="9"/>
      <name val="Aptos Narrow"/>
      <scheme val="minor"/>
    </font>
    <font>
      <b/>
      <sz val="12"/>
      <color rgb="FF002060"/>
      <name val="Arial"/>
      <family val="2"/>
      <charset val="204"/>
    </font>
    <font>
      <sz val="9"/>
      <name val="Arial"/>
      <family val="2"/>
      <charset val="204"/>
    </font>
    <font>
      <b/>
      <sz val="12"/>
      <color rgb="FFFFFFFF"/>
      <name val="Aptos Narrow"/>
      <scheme val="minor"/>
    </font>
    <font>
      <sz val="12"/>
      <color theme="9"/>
      <name val="Aptos Narrow"/>
      <family val="2"/>
      <scheme val="minor"/>
    </font>
    <font>
      <b/>
      <sz val="12"/>
      <color theme="9"/>
      <name val="Aptos Narrow"/>
      <scheme val="minor"/>
    </font>
    <font>
      <i/>
      <sz val="12"/>
      <color theme="1"/>
      <name val="Aptos Narrow"/>
      <scheme val="minor"/>
    </font>
    <font>
      <sz val="12"/>
      <color rgb="FF4EA72E"/>
      <name val="Aptos Narrow"/>
      <family val="2"/>
      <scheme val="minor"/>
    </font>
    <font>
      <b/>
      <i/>
      <sz val="12"/>
      <color theme="1"/>
      <name val="Aptos Narrow"/>
      <scheme val="minor"/>
    </font>
    <font>
      <i/>
      <sz val="12"/>
      <color theme="9"/>
      <name val="Aptos Narrow"/>
      <scheme val="minor"/>
    </font>
    <font>
      <b/>
      <sz val="12"/>
      <color rgb="FF4EA72E"/>
      <name val="Aptos Narrow"/>
      <scheme val="minor"/>
    </font>
    <font>
      <b/>
      <sz val="12"/>
      <color rgb="FF000000"/>
      <name val="Aptos Narrow"/>
      <scheme val="minor"/>
    </font>
    <font>
      <i/>
      <sz val="12"/>
      <color rgb="FF000000"/>
      <name val="Aptos Narrow"/>
      <scheme val="minor"/>
    </font>
    <font>
      <u/>
      <sz val="12"/>
      <color theme="10"/>
      <name val="Aptos Narrow"/>
      <family val="2"/>
      <scheme val="minor"/>
    </font>
  </fonts>
  <fills count="20">
    <fill>
      <patternFill patternType="none"/>
    </fill>
    <fill>
      <patternFill patternType="gray125"/>
    </fill>
    <fill>
      <patternFill patternType="solid">
        <fgColor theme="0"/>
        <bgColor indexed="64"/>
      </patternFill>
    </fill>
    <fill>
      <patternFill patternType="solid">
        <fgColor rgb="FFFFFAD5"/>
        <bgColor indexed="64"/>
      </patternFill>
    </fill>
    <fill>
      <patternFill patternType="solid">
        <fgColor rgb="FF002060"/>
        <bgColor indexed="64"/>
      </patternFill>
    </fill>
    <fill>
      <patternFill patternType="solid">
        <fgColor rgb="FF002060"/>
        <bgColor rgb="FF000000"/>
      </patternFill>
    </fill>
    <fill>
      <patternFill patternType="solid">
        <fgColor theme="3" tint="0.499984740745262"/>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2" tint="-0.249977111117893"/>
        <bgColor indexed="64"/>
      </patternFill>
    </fill>
    <fill>
      <patternFill patternType="solid">
        <fgColor rgb="FFFFFFFF"/>
        <bgColor rgb="FF000000"/>
      </patternFill>
    </fill>
    <fill>
      <patternFill patternType="solid">
        <fgColor theme="0" tint="-0.249977111117893"/>
        <bgColor indexed="64"/>
      </patternFill>
    </fill>
    <fill>
      <patternFill patternType="solid">
        <fgColor theme="0"/>
        <bgColor rgb="FF000000"/>
      </patternFill>
    </fill>
    <fill>
      <patternFill patternType="solid">
        <fgColor rgb="FFADADAD"/>
        <bgColor rgb="FF000000"/>
      </patternFill>
    </fill>
    <fill>
      <patternFill patternType="solid">
        <fgColor rgb="FFFFFAD5"/>
        <bgColor rgb="FF000000"/>
      </patternFill>
    </fill>
    <fill>
      <patternFill patternType="solid">
        <fgColor theme="3" tint="0.89999084444715716"/>
        <bgColor indexed="64"/>
      </patternFill>
    </fill>
    <fill>
      <patternFill patternType="solid">
        <fgColor theme="3" tint="0.749992370372631"/>
        <bgColor indexed="64"/>
      </patternFill>
    </fill>
    <fill>
      <patternFill patternType="solid">
        <fgColor rgb="FFC1F0C8"/>
        <bgColor rgb="FF000000"/>
      </patternFill>
    </fill>
  </fills>
  <borders count="2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theme="0"/>
      </bottom>
      <diagonal/>
    </border>
    <border>
      <left/>
      <right/>
      <top/>
      <bottom style="thin">
        <color theme="2"/>
      </bottom>
      <diagonal/>
    </border>
    <border>
      <left style="thin">
        <color theme="0"/>
      </left>
      <right/>
      <top/>
      <bottom style="thin">
        <color theme="0"/>
      </bottom>
      <diagonal/>
    </border>
    <border>
      <left/>
      <right style="thick">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3">
    <xf numFmtId="0" fontId="0" fillId="0" borderId="0"/>
    <xf numFmtId="9" fontId="1" fillId="0" borderId="0" applyFont="0" applyFill="0" applyBorder="0" applyAlignment="0" applyProtection="0"/>
    <xf numFmtId="0" fontId="25" fillId="0" borderId="0" applyNumberFormat="0" applyFill="0" applyBorder="0" applyAlignment="0" applyProtection="0"/>
  </cellStyleXfs>
  <cellXfs count="283">
    <xf numFmtId="0" fontId="0" fillId="0" borderId="0" xfId="0"/>
    <xf numFmtId="0" fontId="0" fillId="2" borderId="0" xfId="0" applyFill="1"/>
    <xf numFmtId="164" fontId="0" fillId="2" borderId="0" xfId="0" applyNumberFormat="1" applyFill="1"/>
    <xf numFmtId="0" fontId="3" fillId="2" borderId="0" xfId="0" applyFont="1" applyFill="1" applyAlignment="1">
      <alignment vertical="top"/>
    </xf>
    <xf numFmtId="0" fontId="0" fillId="2" borderId="0" xfId="0" applyFill="1" applyAlignment="1">
      <alignment vertical="top"/>
    </xf>
    <xf numFmtId="0" fontId="0" fillId="2" borderId="4" xfId="0" applyFill="1" applyBorder="1"/>
    <xf numFmtId="39" fontId="0" fillId="2" borderId="4" xfId="0" applyNumberFormat="1" applyFill="1" applyBorder="1" applyAlignment="1">
      <alignment horizontal="left"/>
    </xf>
    <xf numFmtId="0" fontId="5" fillId="2" borderId="0" xfId="0" applyFont="1" applyFill="1" applyAlignment="1">
      <alignment horizontal="right"/>
    </xf>
    <xf numFmtId="0" fontId="4" fillId="4" borderId="0" xfId="0" applyFont="1" applyFill="1" applyAlignment="1">
      <alignment horizontal="left"/>
    </xf>
    <xf numFmtId="0" fontId="6" fillId="5" borderId="0" xfId="0" applyFont="1" applyFill="1" applyAlignment="1">
      <alignment horizontal="right"/>
    </xf>
    <xf numFmtId="0" fontId="5" fillId="4" borderId="0" xfId="0" applyFont="1" applyFill="1" applyAlignment="1">
      <alignment horizontal="right"/>
    </xf>
    <xf numFmtId="0" fontId="5" fillId="2" borderId="0" xfId="0" applyFont="1" applyFill="1"/>
    <xf numFmtId="0" fontId="4" fillId="4" borderId="0" xfId="0" applyFont="1" applyFill="1"/>
    <xf numFmtId="0" fontId="5" fillId="4" borderId="0" xfId="0" applyFont="1" applyFill="1"/>
    <xf numFmtId="0" fontId="4" fillId="6" borderId="7" xfId="0" applyFont="1" applyFill="1" applyBorder="1"/>
    <xf numFmtId="0" fontId="5" fillId="6" borderId="7" xfId="0" applyFont="1" applyFill="1" applyBorder="1"/>
    <xf numFmtId="0" fontId="7" fillId="2" borderId="0" xfId="0" applyFont="1" applyFill="1"/>
    <xf numFmtId="0" fontId="7" fillId="7" borderId="8" xfId="0" applyFont="1" applyFill="1" applyBorder="1"/>
    <xf numFmtId="38" fontId="8" fillId="8" borderId="8" xfId="0" applyNumberFormat="1" applyFont="1" applyFill="1" applyBorder="1"/>
    <xf numFmtId="0" fontId="7" fillId="8" borderId="8" xfId="0" applyFont="1" applyFill="1" applyBorder="1"/>
    <xf numFmtId="0" fontId="0" fillId="7" borderId="0" xfId="0" applyFill="1"/>
    <xf numFmtId="38" fontId="9" fillId="2" borderId="0" xfId="0" applyNumberFormat="1" applyFont="1" applyFill="1"/>
    <xf numFmtId="38" fontId="7" fillId="8" borderId="8" xfId="0" applyNumberFormat="1" applyFont="1" applyFill="1" applyBorder="1"/>
    <xf numFmtId="0" fontId="10" fillId="7" borderId="0" xfId="0" applyFont="1" applyFill="1"/>
    <xf numFmtId="38" fontId="0" fillId="2" borderId="0" xfId="0" applyNumberFormat="1" applyFill="1"/>
    <xf numFmtId="38" fontId="10" fillId="2" borderId="0" xfId="0" applyNumberFormat="1" applyFont="1" applyFill="1"/>
    <xf numFmtId="165" fontId="9" fillId="2" borderId="0" xfId="0" applyNumberFormat="1" applyFont="1" applyFill="1"/>
    <xf numFmtId="165" fontId="10" fillId="2" borderId="0" xfId="0" applyNumberFormat="1" applyFont="1" applyFill="1"/>
    <xf numFmtId="0" fontId="10" fillId="7" borderId="7" xfId="0" applyFont="1" applyFill="1" applyBorder="1"/>
    <xf numFmtId="165" fontId="10" fillId="2" borderId="7" xfId="0" applyNumberFormat="1" applyFont="1" applyFill="1" applyBorder="1"/>
    <xf numFmtId="0" fontId="0" fillId="2" borderId="7" xfId="0" applyFill="1" applyBorder="1"/>
    <xf numFmtId="0" fontId="10" fillId="2" borderId="7" xfId="0" applyFont="1" applyFill="1" applyBorder="1"/>
    <xf numFmtId="0" fontId="7" fillId="7" borderId="0" xfId="0" applyFont="1" applyFill="1"/>
    <xf numFmtId="38" fontId="8" fillId="8" borderId="0" xfId="0" applyNumberFormat="1" applyFont="1" applyFill="1"/>
    <xf numFmtId="0" fontId="7" fillId="8" borderId="0" xfId="0" applyFont="1" applyFill="1"/>
    <xf numFmtId="38" fontId="7" fillId="8" borderId="0" xfId="0" applyNumberFormat="1" applyFont="1" applyFill="1"/>
    <xf numFmtId="0" fontId="7" fillId="7" borderId="7" xfId="0" applyFont="1" applyFill="1" applyBorder="1"/>
    <xf numFmtId="38" fontId="8" fillId="8" borderId="7" xfId="0" applyNumberFormat="1" applyFont="1" applyFill="1" applyBorder="1"/>
    <xf numFmtId="0" fontId="7" fillId="8" borderId="7" xfId="0" applyFont="1" applyFill="1" applyBorder="1"/>
    <xf numFmtId="0" fontId="10" fillId="2" borderId="0" xfId="0" applyFont="1" applyFill="1"/>
    <xf numFmtId="41" fontId="7" fillId="9" borderId="8" xfId="0" applyNumberFormat="1" applyFont="1" applyFill="1" applyBorder="1"/>
    <xf numFmtId="0" fontId="7" fillId="2" borderId="8" xfId="0" applyFont="1" applyFill="1" applyBorder="1"/>
    <xf numFmtId="41" fontId="7" fillId="10" borderId="8" xfId="0" applyNumberFormat="1" applyFont="1" applyFill="1" applyBorder="1"/>
    <xf numFmtId="38" fontId="11" fillId="2" borderId="0" xfId="0" applyNumberFormat="1" applyFont="1" applyFill="1"/>
    <xf numFmtId="2" fontId="11" fillId="2" borderId="0" xfId="0" applyNumberFormat="1" applyFont="1" applyFill="1"/>
    <xf numFmtId="2" fontId="10" fillId="2" borderId="0" xfId="0" applyNumberFormat="1" applyFont="1" applyFill="1"/>
    <xf numFmtId="10" fontId="10" fillId="2" borderId="0" xfId="0" applyNumberFormat="1" applyFont="1" applyFill="1"/>
    <xf numFmtId="0" fontId="7" fillId="11" borderId="0" xfId="0" applyFont="1" applyFill="1"/>
    <xf numFmtId="9" fontId="7" fillId="2" borderId="8" xfId="1" applyFont="1" applyFill="1" applyBorder="1"/>
    <xf numFmtId="0" fontId="0" fillId="11" borderId="0" xfId="0" applyFill="1"/>
    <xf numFmtId="9" fontId="0" fillId="2" borderId="0" xfId="1" applyFont="1" applyFill="1"/>
    <xf numFmtId="0" fontId="7" fillId="7" borderId="9" xfId="0" applyFont="1" applyFill="1" applyBorder="1"/>
    <xf numFmtId="9" fontId="7" fillId="2" borderId="9" xfId="1" applyFont="1" applyFill="1" applyBorder="1"/>
    <xf numFmtId="0" fontId="7" fillId="2" borderId="9" xfId="0" applyFont="1" applyFill="1" applyBorder="1"/>
    <xf numFmtId="0" fontId="0" fillId="7" borderId="8" xfId="0" applyFill="1" applyBorder="1"/>
    <xf numFmtId="9" fontId="0" fillId="2" borderId="8" xfId="1" applyFont="1" applyFill="1" applyBorder="1"/>
    <xf numFmtId="0" fontId="0" fillId="2" borderId="8" xfId="0" applyFill="1" applyBorder="1"/>
    <xf numFmtId="166" fontId="10" fillId="2" borderId="0" xfId="0" applyNumberFormat="1" applyFont="1" applyFill="1"/>
    <xf numFmtId="9" fontId="0" fillId="2" borderId="0" xfId="0" applyNumberFormat="1" applyFill="1"/>
    <xf numFmtId="0" fontId="5" fillId="4" borderId="0" xfId="0" applyFont="1" applyFill="1" applyAlignment="1">
      <alignment horizontal="center"/>
    </xf>
    <xf numFmtId="0" fontId="2" fillId="12" borderId="0" xfId="0" applyFont="1" applyFill="1"/>
    <xf numFmtId="37" fontId="8" fillId="8" borderId="8" xfId="0" applyNumberFormat="1" applyFont="1" applyFill="1" applyBorder="1"/>
    <xf numFmtId="37" fontId="9" fillId="2" borderId="0" xfId="0" applyNumberFormat="1" applyFont="1" applyFill="1"/>
    <xf numFmtId="167" fontId="9" fillId="2" borderId="0" xfId="0" applyNumberFormat="1" applyFont="1" applyFill="1"/>
    <xf numFmtId="37" fontId="0" fillId="2" borderId="0" xfId="0" applyNumberFormat="1" applyFill="1"/>
    <xf numFmtId="167" fontId="10" fillId="2" borderId="0" xfId="0" applyNumberFormat="1" applyFont="1" applyFill="1"/>
    <xf numFmtId="167" fontId="10" fillId="2" borderId="7" xfId="0" applyNumberFormat="1" applyFont="1" applyFill="1" applyBorder="1"/>
    <xf numFmtId="0" fontId="7" fillId="13" borderId="0" xfId="0" applyFont="1" applyFill="1"/>
    <xf numFmtId="0" fontId="0" fillId="13" borderId="0" xfId="0" applyFill="1"/>
    <xf numFmtId="0" fontId="0" fillId="3" borderId="10" xfId="0" applyFill="1" applyBorder="1"/>
    <xf numFmtId="3" fontId="0" fillId="3" borderId="10" xfId="0" applyNumberFormat="1" applyFill="1" applyBorder="1" applyAlignment="1">
      <alignment horizontal="left"/>
    </xf>
    <xf numFmtId="37" fontId="8" fillId="8" borderId="7" xfId="0" applyNumberFormat="1" applyFont="1" applyFill="1" applyBorder="1"/>
    <xf numFmtId="2" fontId="0" fillId="2" borderId="0" xfId="0" applyNumberFormat="1" applyFill="1"/>
    <xf numFmtId="168" fontId="0" fillId="2" borderId="4" xfId="1" applyNumberFormat="1" applyFont="1" applyFill="1" applyBorder="1" applyAlignment="1">
      <alignment horizontal="left"/>
    </xf>
    <xf numFmtId="168" fontId="10" fillId="2" borderId="0" xfId="1" applyNumberFormat="1" applyFont="1" applyFill="1"/>
    <xf numFmtId="2" fontId="10" fillId="2" borderId="0" xfId="1" applyNumberFormat="1" applyFont="1" applyFill="1"/>
    <xf numFmtId="168" fontId="7" fillId="2" borderId="0" xfId="1" applyNumberFormat="1" applyFont="1" applyFill="1"/>
    <xf numFmtId="168" fontId="0" fillId="13" borderId="0" xfId="1" applyNumberFormat="1" applyFont="1" applyFill="1"/>
    <xf numFmtId="2" fontId="0" fillId="13" borderId="0" xfId="1" applyNumberFormat="1" applyFont="1" applyFill="1"/>
    <xf numFmtId="168" fontId="7" fillId="13" borderId="0" xfId="1" applyNumberFormat="1" applyFont="1" applyFill="1"/>
    <xf numFmtId="2" fontId="10" fillId="13" borderId="0" xfId="1" applyNumberFormat="1" applyFont="1" applyFill="1"/>
    <xf numFmtId="10" fontId="10" fillId="2" borderId="0" xfId="1" applyNumberFormat="1" applyFont="1" applyFill="1"/>
    <xf numFmtId="9" fontId="11" fillId="2" borderId="0" xfId="1" applyFont="1" applyFill="1"/>
    <xf numFmtId="0" fontId="13" fillId="2" borderId="0" xfId="0" applyFont="1" applyFill="1" applyAlignment="1">
      <alignment vertical="top"/>
    </xf>
    <xf numFmtId="0" fontId="14" fillId="2" borderId="0" xfId="0" applyFont="1" applyFill="1" applyAlignment="1">
      <alignment vertical="top"/>
    </xf>
    <xf numFmtId="0" fontId="14" fillId="2" borderId="4" xfId="0" applyFont="1" applyFill="1" applyBorder="1" applyAlignment="1">
      <alignment vertical="top"/>
    </xf>
    <xf numFmtId="0" fontId="4" fillId="4" borderId="11" xfId="0" applyFont="1" applyFill="1" applyBorder="1" applyAlignment="1">
      <alignment horizontal="center"/>
    </xf>
    <xf numFmtId="0" fontId="2" fillId="12" borderId="0" xfId="0" applyFont="1" applyFill="1" applyAlignment="1">
      <alignment vertical="top"/>
    </xf>
    <xf numFmtId="0" fontId="4" fillId="4" borderId="11" xfId="0" applyFont="1" applyFill="1" applyBorder="1" applyAlignment="1">
      <alignment horizontal="left"/>
    </xf>
    <xf numFmtId="37" fontId="16" fillId="2" borderId="0" xfId="0" applyNumberFormat="1" applyFont="1" applyFill="1"/>
    <xf numFmtId="37" fontId="16" fillId="2" borderId="14" xfId="0" applyNumberFormat="1" applyFont="1" applyFill="1" applyBorder="1"/>
    <xf numFmtId="0" fontId="0" fillId="2" borderId="0" xfId="0" applyFill="1" applyAlignment="1">
      <alignment horizontal="left"/>
    </xf>
    <xf numFmtId="0" fontId="0" fillId="2" borderId="0" xfId="0" applyFill="1" applyAlignment="1">
      <alignment horizontal="center"/>
    </xf>
    <xf numFmtId="37" fontId="17" fillId="2" borderId="0" xfId="0" applyNumberFormat="1" applyFont="1" applyFill="1"/>
    <xf numFmtId="37" fontId="17" fillId="2" borderId="14" xfId="0" applyNumberFormat="1" applyFont="1" applyFill="1" applyBorder="1"/>
    <xf numFmtId="37" fontId="7" fillId="2" borderId="0" xfId="0" applyNumberFormat="1" applyFont="1" applyFill="1"/>
    <xf numFmtId="168" fontId="18" fillId="2" borderId="0" xfId="1" applyNumberFormat="1" applyFont="1" applyFill="1"/>
    <xf numFmtId="168" fontId="18" fillId="2" borderId="14" xfId="1" applyNumberFormat="1" applyFont="1" applyFill="1" applyBorder="1"/>
    <xf numFmtId="168" fontId="18" fillId="3" borderId="0" xfId="1" applyNumberFormat="1" applyFont="1" applyFill="1"/>
    <xf numFmtId="38" fontId="19" fillId="12" borderId="0" xfId="0" applyNumberFormat="1" applyFont="1" applyFill="1"/>
    <xf numFmtId="38" fontId="19" fillId="12" borderId="14" xfId="0" applyNumberFormat="1" applyFont="1" applyFill="1" applyBorder="1"/>
    <xf numFmtId="38" fontId="16" fillId="2" borderId="0" xfId="0" applyNumberFormat="1" applyFont="1" applyFill="1"/>
    <xf numFmtId="38" fontId="16" fillId="2" borderId="14" xfId="0" applyNumberFormat="1" applyFont="1" applyFill="1" applyBorder="1"/>
    <xf numFmtId="170" fontId="0" fillId="3" borderId="0" xfId="0" applyNumberFormat="1" applyFill="1"/>
    <xf numFmtId="168" fontId="20" fillId="2" borderId="0" xfId="1" applyNumberFormat="1" applyFont="1" applyFill="1"/>
    <xf numFmtId="168" fontId="20" fillId="2" borderId="14" xfId="1" applyNumberFormat="1" applyFont="1" applyFill="1" applyBorder="1"/>
    <xf numFmtId="3" fontId="0" fillId="3" borderId="0" xfId="0" applyNumberFormat="1" applyFill="1"/>
    <xf numFmtId="2" fontId="0" fillId="3" borderId="0" xfId="0" applyNumberFormat="1" applyFill="1"/>
    <xf numFmtId="38" fontId="16" fillId="12" borderId="0" xfId="0" applyNumberFormat="1" applyFont="1" applyFill="1"/>
    <xf numFmtId="39" fontId="0" fillId="2" borderId="0" xfId="0" applyNumberFormat="1" applyFill="1"/>
    <xf numFmtId="38" fontId="22" fillId="12" borderId="0" xfId="0" applyNumberFormat="1" applyFont="1" applyFill="1"/>
    <xf numFmtId="38" fontId="22" fillId="12" borderId="14" xfId="0" applyNumberFormat="1" applyFont="1" applyFill="1" applyBorder="1"/>
    <xf numFmtId="38" fontId="7" fillId="2" borderId="0" xfId="0" applyNumberFormat="1" applyFont="1" applyFill="1"/>
    <xf numFmtId="0" fontId="4" fillId="2" borderId="0" xfId="0" applyFont="1" applyFill="1" applyAlignment="1">
      <alignment horizontal="center"/>
    </xf>
    <xf numFmtId="0" fontId="4" fillId="2" borderId="0" xfId="0" applyFont="1" applyFill="1" applyAlignment="1">
      <alignment horizontal="left"/>
    </xf>
    <xf numFmtId="0" fontId="4" fillId="2" borderId="0" xfId="0" applyFont="1" applyFill="1"/>
    <xf numFmtId="37" fontId="12" fillId="2" borderId="0" xfId="0" applyNumberFormat="1" applyFont="1" applyFill="1"/>
    <xf numFmtId="37" fontId="12" fillId="2" borderId="14" xfId="0" applyNumberFormat="1" applyFont="1" applyFill="1" applyBorder="1"/>
    <xf numFmtId="37" fontId="19" fillId="12" borderId="0" xfId="0" applyNumberFormat="1" applyFont="1" applyFill="1"/>
    <xf numFmtId="37" fontId="19" fillId="12" borderId="14" xfId="0" applyNumberFormat="1" applyFont="1" applyFill="1" applyBorder="1"/>
    <xf numFmtId="38" fontId="22" fillId="14" borderId="0" xfId="0" applyNumberFormat="1" applyFont="1" applyFill="1"/>
    <xf numFmtId="38" fontId="19" fillId="14" borderId="0" xfId="0" applyNumberFormat="1" applyFont="1" applyFill="1"/>
    <xf numFmtId="169" fontId="0" fillId="12" borderId="0" xfId="0" applyNumberFormat="1" applyFill="1"/>
    <xf numFmtId="169" fontId="0" fillId="12" borderId="14" xfId="0" applyNumberFormat="1" applyFill="1" applyBorder="1"/>
    <xf numFmtId="37" fontId="0" fillId="12" borderId="0" xfId="0" applyNumberFormat="1" applyFill="1"/>
    <xf numFmtId="37" fontId="0" fillId="12" borderId="14" xfId="0" applyNumberFormat="1" applyFill="1" applyBorder="1"/>
    <xf numFmtId="0" fontId="18" fillId="2" borderId="0" xfId="0" applyFont="1" applyFill="1"/>
    <xf numFmtId="168" fontId="18" fillId="12" borderId="0" xfId="1" applyNumberFormat="1" applyFont="1" applyFill="1"/>
    <xf numFmtId="168" fontId="18" fillId="12" borderId="14" xfId="1" applyNumberFormat="1" applyFont="1" applyFill="1" applyBorder="1"/>
    <xf numFmtId="169" fontId="0" fillId="14" borderId="0" xfId="0" applyNumberFormat="1" applyFill="1"/>
    <xf numFmtId="37" fontId="10" fillId="2" borderId="0" xfId="0" applyNumberFormat="1" applyFont="1" applyFill="1"/>
    <xf numFmtId="37" fontId="7" fillId="2" borderId="14" xfId="0" applyNumberFormat="1" applyFont="1" applyFill="1" applyBorder="1"/>
    <xf numFmtId="0" fontId="2" fillId="12" borderId="0" xfId="0" applyFont="1" applyFill="1" applyAlignment="1">
      <alignment horizontal="left"/>
    </xf>
    <xf numFmtId="10" fontId="16" fillId="2" borderId="0" xfId="0" applyNumberFormat="1" applyFont="1" applyFill="1"/>
    <xf numFmtId="10" fontId="16" fillId="2" borderId="14" xfId="0" applyNumberFormat="1" applyFont="1" applyFill="1" applyBorder="1"/>
    <xf numFmtId="37" fontId="10" fillId="2" borderId="14" xfId="0" applyNumberFormat="1" applyFont="1" applyFill="1" applyBorder="1"/>
    <xf numFmtId="0" fontId="4" fillId="4" borderId="0" xfId="0" applyFont="1" applyFill="1" applyAlignment="1">
      <alignment horizontal="center"/>
    </xf>
    <xf numFmtId="4" fontId="12" fillId="2" borderId="0" xfId="0" applyNumberFormat="1" applyFont="1" applyFill="1"/>
    <xf numFmtId="3" fontId="10" fillId="2" borderId="0" xfId="0" applyNumberFormat="1" applyFont="1" applyFill="1"/>
    <xf numFmtId="10" fontId="12" fillId="2" borderId="0" xfId="1" applyNumberFormat="1" applyFont="1" applyFill="1"/>
    <xf numFmtId="3" fontId="12" fillId="2" borderId="0" xfId="0" applyNumberFormat="1" applyFont="1" applyFill="1"/>
    <xf numFmtId="0" fontId="23" fillId="15" borderId="0" xfId="0" applyFont="1" applyFill="1"/>
    <xf numFmtId="37" fontId="10" fillId="11" borderId="14" xfId="0" applyNumberFormat="1" applyFont="1" applyFill="1" applyBorder="1"/>
    <xf numFmtId="0" fontId="0" fillId="3" borderId="0" xfId="0" applyFill="1"/>
    <xf numFmtId="10" fontId="10" fillId="3" borderId="0" xfId="1" applyNumberFormat="1" applyFont="1" applyFill="1"/>
    <xf numFmtId="3" fontId="0" fillId="2" borderId="0" xfId="0" applyNumberFormat="1" applyFill="1"/>
    <xf numFmtId="168" fontId="24" fillId="12" borderId="0" xfId="0" applyNumberFormat="1" applyFont="1" applyFill="1"/>
    <xf numFmtId="168" fontId="24" fillId="12" borderId="14" xfId="0" applyNumberFormat="1" applyFont="1" applyFill="1" applyBorder="1"/>
    <xf numFmtId="168" fontId="24" fillId="16" borderId="0" xfId="0" applyNumberFormat="1" applyFont="1" applyFill="1"/>
    <xf numFmtId="0" fontId="16" fillId="2" borderId="0" xfId="0" applyFont="1" applyFill="1"/>
    <xf numFmtId="0" fontId="16" fillId="2" borderId="14" xfId="0" applyFont="1" applyFill="1" applyBorder="1"/>
    <xf numFmtId="2" fontId="7" fillId="2" borderId="0" xfId="0" applyNumberFormat="1" applyFont="1" applyFill="1"/>
    <xf numFmtId="2" fontId="7" fillId="2" borderId="14" xfId="0" applyNumberFormat="1" applyFont="1" applyFill="1" applyBorder="1"/>
    <xf numFmtId="3" fontId="0" fillId="2" borderId="14" xfId="0" applyNumberFormat="1" applyFill="1" applyBorder="1"/>
    <xf numFmtId="3" fontId="16" fillId="2" borderId="0" xfId="0" applyNumberFormat="1" applyFont="1" applyFill="1"/>
    <xf numFmtId="3" fontId="16" fillId="2" borderId="14" xfId="0" applyNumberFormat="1" applyFont="1" applyFill="1" applyBorder="1"/>
    <xf numFmtId="168" fontId="0" fillId="2" borderId="0" xfId="1" applyNumberFormat="1" applyFont="1" applyFill="1"/>
    <xf numFmtId="0" fontId="0" fillId="9" borderId="19" xfId="0" applyFill="1" applyBorder="1"/>
    <xf numFmtId="167" fontId="0" fillId="9" borderId="20" xfId="0" applyNumberFormat="1" applyFill="1" applyBorder="1"/>
    <xf numFmtId="0" fontId="0" fillId="2" borderId="21" xfId="0" applyFill="1" applyBorder="1"/>
    <xf numFmtId="10" fontId="10" fillId="3" borderId="22" xfId="1" applyNumberFormat="1" applyFont="1" applyFill="1" applyBorder="1"/>
    <xf numFmtId="0" fontId="0" fillId="2" borderId="19" xfId="0" applyFill="1" applyBorder="1"/>
    <xf numFmtId="10" fontId="10" fillId="3" borderId="20" xfId="1" applyNumberFormat="1" applyFont="1" applyFill="1" applyBorder="1"/>
    <xf numFmtId="37" fontId="0" fillId="2" borderId="20" xfId="0" applyNumberFormat="1" applyFill="1" applyBorder="1"/>
    <xf numFmtId="37" fontId="10" fillId="2" borderId="22" xfId="0" applyNumberFormat="1" applyFont="1" applyFill="1" applyBorder="1"/>
    <xf numFmtId="0" fontId="7" fillId="2" borderId="19" xfId="0" applyFont="1" applyFill="1" applyBorder="1"/>
    <xf numFmtId="37" fontId="7" fillId="2" borderId="20" xfId="0" applyNumberFormat="1" applyFont="1" applyFill="1" applyBorder="1"/>
    <xf numFmtId="38" fontId="0" fillId="2" borderId="20" xfId="0" applyNumberFormat="1" applyFill="1" applyBorder="1"/>
    <xf numFmtId="0" fontId="0" fillId="9" borderId="23" xfId="0" applyFill="1" applyBorder="1"/>
    <xf numFmtId="167" fontId="0" fillId="9" borderId="24" xfId="0" applyNumberFormat="1" applyFill="1" applyBorder="1"/>
    <xf numFmtId="9" fontId="0" fillId="3" borderId="10" xfId="1" applyFont="1" applyFill="1" applyBorder="1" applyAlignment="1">
      <alignment horizontal="left"/>
    </xf>
    <xf numFmtId="0" fontId="0" fillId="6" borderId="7" xfId="0" applyFill="1" applyBorder="1"/>
    <xf numFmtId="2" fontId="10" fillId="17" borderId="0" xfId="0" applyNumberFormat="1" applyFont="1" applyFill="1"/>
    <xf numFmtId="3" fontId="0" fillId="17" borderId="0" xfId="0" applyNumberFormat="1" applyFill="1"/>
    <xf numFmtId="2" fontId="0" fillId="17" borderId="0" xfId="0" applyNumberFormat="1" applyFill="1"/>
    <xf numFmtId="168" fontId="10" fillId="17" borderId="0" xfId="1" applyNumberFormat="1" applyFont="1" applyFill="1"/>
    <xf numFmtId="168" fontId="7" fillId="17" borderId="0" xfId="1" applyNumberFormat="1" applyFont="1" applyFill="1"/>
    <xf numFmtId="37" fontId="0" fillId="17" borderId="0" xfId="0" applyNumberFormat="1" applyFill="1"/>
    <xf numFmtId="168" fontId="10" fillId="17" borderId="0" xfId="1" applyNumberFormat="1" applyFont="1" applyFill="1" applyAlignment="1">
      <alignment horizontal="right"/>
    </xf>
    <xf numFmtId="169" fontId="10" fillId="12" borderId="0" xfId="0" applyNumberFormat="1" applyFont="1" applyFill="1"/>
    <xf numFmtId="167" fontId="0" fillId="17" borderId="0" xfId="0" applyNumberFormat="1" applyFill="1"/>
    <xf numFmtId="2" fontId="0" fillId="2" borderId="0" xfId="0" applyNumberFormat="1" applyFill="1" applyAlignment="1">
      <alignment horizontal="right"/>
    </xf>
    <xf numFmtId="167" fontId="0" fillId="17" borderId="0" xfId="0" applyNumberFormat="1" applyFill="1" applyAlignment="1">
      <alignment horizontal="right"/>
    </xf>
    <xf numFmtId="170" fontId="0" fillId="2" borderId="0" xfId="0" applyNumberFormat="1" applyFill="1"/>
    <xf numFmtId="0" fontId="0" fillId="7" borderId="10" xfId="0" applyFill="1" applyBorder="1"/>
    <xf numFmtId="0" fontId="0" fillId="7" borderId="25" xfId="0" applyFill="1" applyBorder="1"/>
    <xf numFmtId="0" fontId="0" fillId="7" borderId="26" xfId="0" applyFill="1" applyBorder="1"/>
    <xf numFmtId="3" fontId="0" fillId="17" borderId="4" xfId="0" applyNumberFormat="1" applyFill="1" applyBorder="1"/>
    <xf numFmtId="3" fontId="0" fillId="17" borderId="6" xfId="0" applyNumberFormat="1" applyFill="1" applyBorder="1"/>
    <xf numFmtId="0" fontId="0" fillId="17" borderId="4" xfId="0" applyFill="1" applyBorder="1"/>
    <xf numFmtId="2" fontId="0" fillId="17" borderId="4" xfId="0" applyNumberFormat="1" applyFill="1" applyBorder="1"/>
    <xf numFmtId="2" fontId="0" fillId="17" borderId="6" xfId="0" applyNumberFormat="1" applyFill="1" applyBorder="1"/>
    <xf numFmtId="168" fontId="0" fillId="17" borderId="4" xfId="1" applyNumberFormat="1" applyFont="1" applyFill="1" applyBorder="1"/>
    <xf numFmtId="168" fontId="0" fillId="17" borderId="6" xfId="1" applyNumberFormat="1" applyFont="1" applyFill="1" applyBorder="1"/>
    <xf numFmtId="168" fontId="0" fillId="17" borderId="16" xfId="1" applyNumberFormat="1" applyFont="1" applyFill="1" applyBorder="1"/>
    <xf numFmtId="37" fontId="0" fillId="17" borderId="0" xfId="0" applyNumberFormat="1" applyFill="1" applyAlignment="1">
      <alignment horizontal="right"/>
    </xf>
    <xf numFmtId="168" fontId="0" fillId="17" borderId="0" xfId="1" applyNumberFormat="1" applyFont="1" applyFill="1"/>
    <xf numFmtId="0" fontId="2" fillId="15" borderId="0" xfId="0" applyFont="1" applyFill="1"/>
    <xf numFmtId="3" fontId="0" fillId="18" borderId="4" xfId="0" applyNumberFormat="1" applyFill="1" applyBorder="1"/>
    <xf numFmtId="3" fontId="0" fillId="18" borderId="25" xfId="0" applyNumberFormat="1" applyFill="1" applyBorder="1"/>
    <xf numFmtId="3" fontId="0" fillId="18" borderId="27" xfId="0" applyNumberFormat="1" applyFill="1" applyBorder="1"/>
    <xf numFmtId="2" fontId="0" fillId="18" borderId="27" xfId="0" applyNumberFormat="1" applyFill="1" applyBorder="1"/>
    <xf numFmtId="2" fontId="0" fillId="18" borderId="4" xfId="0" applyNumberFormat="1" applyFill="1" applyBorder="1"/>
    <xf numFmtId="0" fontId="5" fillId="4" borderId="4" xfId="0" applyFont="1" applyFill="1" applyBorder="1" applyAlignment="1">
      <alignment horizontal="right"/>
    </xf>
    <xf numFmtId="0" fontId="5" fillId="4" borderId="3" xfId="0" applyFont="1" applyFill="1" applyBorder="1" applyAlignment="1">
      <alignment horizontal="right"/>
    </xf>
    <xf numFmtId="0" fontId="0" fillId="7" borderId="6" xfId="0" applyFill="1" applyBorder="1"/>
    <xf numFmtId="0" fontId="18" fillId="7" borderId="16" xfId="0" applyFont="1" applyFill="1" applyBorder="1" applyAlignment="1">
      <alignment horizontal="left" indent="1"/>
    </xf>
    <xf numFmtId="0" fontId="0" fillId="7" borderId="16" xfId="0" applyFill="1" applyBorder="1"/>
    <xf numFmtId="39" fontId="0" fillId="17" borderId="4" xfId="0" applyNumberFormat="1" applyFill="1" applyBorder="1" applyAlignment="1">
      <alignment horizontal="left"/>
    </xf>
    <xf numFmtId="4" fontId="0" fillId="17" borderId="4" xfId="0" applyNumberFormat="1" applyFill="1" applyBorder="1" applyAlignment="1">
      <alignment horizontal="left"/>
    </xf>
    <xf numFmtId="3" fontId="0" fillId="17" borderId="6" xfId="0" applyNumberFormat="1" applyFill="1" applyBorder="1" applyAlignment="1">
      <alignment horizontal="left"/>
    </xf>
    <xf numFmtId="2" fontId="0" fillId="17" borderId="25" xfId="0" applyNumberFormat="1" applyFill="1" applyBorder="1"/>
    <xf numFmtId="2" fontId="0" fillId="17" borderId="10" xfId="0" applyNumberFormat="1" applyFill="1" applyBorder="1"/>
    <xf numFmtId="168" fontId="0" fillId="17" borderId="10" xfId="1" applyNumberFormat="1" applyFont="1" applyFill="1" applyBorder="1"/>
    <xf numFmtId="2" fontId="10" fillId="17" borderId="0" xfId="1" applyNumberFormat="1" applyFont="1" applyFill="1"/>
    <xf numFmtId="168" fontId="10" fillId="17" borderId="8" xfId="1" applyNumberFormat="1" applyFont="1" applyFill="1" applyBorder="1"/>
    <xf numFmtId="10" fontId="0" fillId="2" borderId="0" xfId="0" applyNumberFormat="1" applyFill="1"/>
    <xf numFmtId="0" fontId="0" fillId="17" borderId="4" xfId="0" applyFill="1" applyBorder="1" applyAlignment="1">
      <alignment shrinkToFit="1"/>
    </xf>
    <xf numFmtId="10" fontId="0" fillId="2" borderId="0" xfId="1" applyNumberFormat="1" applyFont="1" applyFill="1"/>
    <xf numFmtId="39" fontId="0" fillId="17" borderId="4" xfId="0" applyNumberFormat="1" applyFill="1" applyBorder="1" applyAlignment="1">
      <alignment horizontal="right"/>
    </xf>
    <xf numFmtId="10" fontId="0" fillId="17" borderId="6" xfId="1" applyNumberFormat="1" applyFont="1" applyFill="1" applyBorder="1"/>
    <xf numFmtId="10" fontId="0" fillId="3" borderId="10" xfId="1" applyNumberFormat="1" applyFont="1" applyFill="1" applyBorder="1" applyAlignment="1">
      <alignment horizontal="left"/>
    </xf>
    <xf numFmtId="10" fontId="12" fillId="2" borderId="20" xfId="1" applyNumberFormat="1" applyFont="1" applyFill="1" applyBorder="1"/>
    <xf numFmtId="3" fontId="12" fillId="2" borderId="20" xfId="0" applyNumberFormat="1" applyFont="1" applyFill="1" applyBorder="1"/>
    <xf numFmtId="2" fontId="0" fillId="2" borderId="0" xfId="1" applyNumberFormat="1" applyFont="1" applyFill="1"/>
    <xf numFmtId="0" fontId="0" fillId="9" borderId="0" xfId="0" applyFill="1" applyAlignment="1">
      <alignment horizontal="right"/>
    </xf>
    <xf numFmtId="2" fontId="0" fillId="2" borderId="0" xfId="1" applyNumberFormat="1" applyFont="1" applyFill="1" applyAlignment="1">
      <alignment horizontal="right"/>
    </xf>
    <xf numFmtId="1" fontId="0" fillId="2" borderId="0" xfId="0" applyNumberFormat="1" applyFill="1"/>
    <xf numFmtId="38" fontId="8" fillId="19" borderId="0" xfId="0" applyNumberFormat="1" applyFont="1" applyFill="1"/>
    <xf numFmtId="38" fontId="9" fillId="12" borderId="0" xfId="0" applyNumberFormat="1" applyFont="1" applyFill="1"/>
    <xf numFmtId="39" fontId="10" fillId="2" borderId="0" xfId="0" applyNumberFormat="1" applyFont="1" applyFill="1"/>
    <xf numFmtId="39" fontId="11" fillId="2" borderId="0" xfId="0" applyNumberFormat="1" applyFont="1" applyFill="1"/>
    <xf numFmtId="9" fontId="9" fillId="2" borderId="0" xfId="1" applyFont="1" applyFill="1"/>
    <xf numFmtId="10" fontId="9" fillId="2" borderId="0" xfId="1" applyNumberFormat="1" applyFont="1" applyFill="1"/>
    <xf numFmtId="40" fontId="10" fillId="2" borderId="0" xfId="0" applyNumberFormat="1" applyFont="1" applyFill="1"/>
    <xf numFmtId="39" fontId="0" fillId="7" borderId="0" xfId="0" applyNumberFormat="1" applyFill="1"/>
    <xf numFmtId="4" fontId="0" fillId="18" borderId="27" xfId="0" applyNumberFormat="1" applyFill="1" applyBorder="1"/>
    <xf numFmtId="4" fontId="0" fillId="18" borderId="4" xfId="0" applyNumberFormat="1" applyFill="1" applyBorder="1"/>
    <xf numFmtId="0" fontId="18" fillId="2" borderId="0" xfId="0" applyFont="1" applyFill="1" applyAlignment="1">
      <alignment horizontal="left"/>
    </xf>
    <xf numFmtId="9" fontId="16" fillId="2" borderId="0" xfId="1" applyFont="1" applyFill="1"/>
    <xf numFmtId="9" fontId="16" fillId="2" borderId="14" xfId="1" applyFont="1" applyFill="1" applyBorder="1"/>
    <xf numFmtId="168" fontId="0" fillId="3" borderId="0" xfId="1" applyNumberFormat="1" applyFont="1" applyFill="1"/>
    <xf numFmtId="10" fontId="16" fillId="2" borderId="0" xfId="1" applyNumberFormat="1" applyFont="1" applyFill="1"/>
    <xf numFmtId="10" fontId="16" fillId="2" borderId="14" xfId="1" applyNumberFormat="1" applyFont="1" applyFill="1" applyBorder="1"/>
    <xf numFmtId="10" fontId="0" fillId="3" borderId="0" xfId="1" applyNumberFormat="1" applyFont="1" applyFill="1"/>
    <xf numFmtId="2" fontId="16" fillId="2" borderId="0" xfId="0" applyNumberFormat="1" applyFont="1" applyFill="1"/>
    <xf numFmtId="2" fontId="12" fillId="2" borderId="14" xfId="1" applyNumberFormat="1" applyFont="1" applyFill="1" applyBorder="1"/>
    <xf numFmtId="3" fontId="12" fillId="2" borderId="14" xfId="1" applyNumberFormat="1" applyFont="1" applyFill="1" applyBorder="1"/>
    <xf numFmtId="168" fontId="18" fillId="2" borderId="0" xfId="1" applyNumberFormat="1" applyFont="1" applyFill="1" applyBorder="1"/>
    <xf numFmtId="3" fontId="21" fillId="2" borderId="14" xfId="1" applyNumberFormat="1" applyFont="1" applyFill="1" applyBorder="1"/>
    <xf numFmtId="10" fontId="12" fillId="2" borderId="14" xfId="1" applyNumberFormat="1" applyFont="1" applyFill="1" applyBorder="1"/>
    <xf numFmtId="9" fontId="19" fillId="12" borderId="0" xfId="0" applyNumberFormat="1" applyFont="1" applyFill="1"/>
    <xf numFmtId="9" fontId="12" fillId="2" borderId="14" xfId="1" applyFont="1" applyFill="1" applyBorder="1"/>
    <xf numFmtId="9" fontId="0" fillId="3" borderId="0" xfId="1" applyFont="1" applyFill="1"/>
    <xf numFmtId="39" fontId="17" fillId="2" borderId="0" xfId="0" applyNumberFormat="1" applyFont="1" applyFill="1"/>
    <xf numFmtId="39" fontId="17" fillId="2" borderId="14" xfId="0" applyNumberFormat="1" applyFont="1" applyFill="1" applyBorder="1"/>
    <xf numFmtId="0" fontId="7" fillId="9" borderId="15" xfId="0" applyFont="1" applyFill="1" applyBorder="1"/>
    <xf numFmtId="167" fontId="7" fillId="9" borderId="16" xfId="0" applyNumberFormat="1" applyFont="1" applyFill="1" applyBorder="1"/>
    <xf numFmtId="168" fontId="0" fillId="17" borderId="25" xfId="1" applyNumberFormat="1" applyFont="1" applyFill="1" applyBorder="1"/>
    <xf numFmtId="168" fontId="0" fillId="17" borderId="26" xfId="1" applyNumberFormat="1" applyFont="1" applyFill="1" applyBorder="1"/>
    <xf numFmtId="0" fontId="25" fillId="8" borderId="25" xfId="2" quotePrefix="1" applyFill="1" applyBorder="1" applyAlignment="1">
      <alignment horizontal="center"/>
    </xf>
    <xf numFmtId="0" fontId="25" fillId="8" borderId="26" xfId="2" quotePrefix="1" applyFill="1" applyBorder="1" applyAlignment="1">
      <alignment horizontal="center"/>
    </xf>
    <xf numFmtId="168" fontId="0" fillId="17" borderId="2" xfId="1" applyNumberFormat="1" applyFont="1" applyFill="1" applyBorder="1"/>
    <xf numFmtId="2" fontId="0" fillId="17" borderId="6" xfId="1" applyNumberFormat="1" applyFont="1" applyFill="1" applyBorder="1"/>
    <xf numFmtId="0" fontId="0" fillId="7" borderId="27" xfId="0" applyFill="1" applyBorder="1"/>
    <xf numFmtId="0" fontId="4" fillId="4" borderId="1" xfId="0" applyFont="1" applyFill="1" applyBorder="1" applyAlignment="1">
      <alignment horizontal="center"/>
    </xf>
    <xf numFmtId="0" fontId="4" fillId="4" borderId="2" xfId="0" applyFont="1" applyFill="1" applyBorder="1" applyAlignment="1">
      <alignment horizontal="center"/>
    </xf>
    <xf numFmtId="0" fontId="4" fillId="4" borderId="10" xfId="0" applyFont="1" applyFill="1" applyBorder="1" applyAlignment="1">
      <alignment horizontal="center"/>
    </xf>
    <xf numFmtId="0" fontId="4" fillId="4" borderId="0" xfId="0" applyFont="1" applyFill="1" applyAlignment="1">
      <alignment horizontal="center"/>
    </xf>
    <xf numFmtId="168" fontId="18" fillId="17" borderId="5" xfId="1" applyNumberFormat="1" applyFont="1" applyFill="1" applyBorder="1" applyAlignment="1">
      <alignment horizontal="center"/>
    </xf>
    <xf numFmtId="168" fontId="18" fillId="17" borderId="6" xfId="1" applyNumberFormat="1" applyFont="1" applyFill="1" applyBorder="1" applyAlignment="1">
      <alignment horizontal="center"/>
    </xf>
    <xf numFmtId="0" fontId="5" fillId="4" borderId="0" xfId="0" applyFont="1" applyFill="1" applyAlignment="1">
      <alignment horizontal="center"/>
    </xf>
    <xf numFmtId="0" fontId="5" fillId="4" borderId="4" xfId="0" applyFont="1" applyFill="1" applyBorder="1" applyAlignment="1">
      <alignment horizontal="center"/>
    </xf>
    <xf numFmtId="0" fontId="5" fillId="4" borderId="3" xfId="0" applyFont="1" applyFill="1" applyBorder="1" applyAlignment="1">
      <alignment horizontal="center"/>
    </xf>
    <xf numFmtId="0" fontId="15" fillId="5" borderId="12" xfId="0" applyFont="1" applyFill="1" applyBorder="1" applyAlignment="1">
      <alignment horizontal="center"/>
    </xf>
    <xf numFmtId="0" fontId="4" fillId="4" borderId="13" xfId="0" applyFont="1" applyFill="1" applyBorder="1" applyAlignment="1">
      <alignment horizontal="center"/>
    </xf>
    <xf numFmtId="0" fontId="4" fillId="4" borderId="11" xfId="0" applyFont="1" applyFill="1" applyBorder="1" applyAlignment="1">
      <alignment horizontal="center"/>
    </xf>
    <xf numFmtId="0" fontId="4" fillId="4" borderId="4" xfId="0" applyFont="1" applyFill="1" applyBorder="1" applyAlignment="1">
      <alignment horizontal="center"/>
    </xf>
    <xf numFmtId="0" fontId="4" fillId="4" borderId="3" xfId="0" applyFont="1" applyFill="1" applyBorder="1" applyAlignment="1">
      <alignment horizontal="center"/>
    </xf>
    <xf numFmtId="0" fontId="4" fillId="2" borderId="0" xfId="0" applyFont="1" applyFill="1" applyAlignment="1">
      <alignment horizontal="center"/>
    </xf>
    <xf numFmtId="0" fontId="0" fillId="2" borderId="0" xfId="0" applyFill="1" applyAlignment="1">
      <alignment horizontal="left"/>
    </xf>
    <xf numFmtId="0" fontId="4" fillId="4" borderId="17" xfId="0" applyFont="1" applyFill="1" applyBorder="1" applyAlignment="1">
      <alignment horizontal="center"/>
    </xf>
    <xf numFmtId="0" fontId="4" fillId="4" borderId="18" xfId="0" applyFont="1" applyFill="1" applyBorder="1" applyAlignment="1">
      <alignment horizontal="center"/>
    </xf>
  </cellXfs>
  <cellStyles count="3">
    <cellStyle name="Hyperlink" xfId="2" builtinId="8"/>
    <cellStyle name="Normal" xfId="0" builtinId="0"/>
    <cellStyle name="Percent" xfId="1" builtinId="5"/>
  </cellStyles>
  <dxfs count="3">
    <dxf>
      <fill>
        <patternFill>
          <bgColor theme="9" tint="0.59996337778862885"/>
        </patternFill>
      </fill>
    </dxf>
    <dxf>
      <fill>
        <patternFill>
          <bgColor theme="0"/>
        </patternFill>
      </fill>
    </dxf>
    <dxf>
      <fill>
        <patternFill>
          <bgColor theme="5"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34"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33"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microsoft.com/office/2017/06/relationships/rdSupportingPropertyBag" Target="richData/rdsupportingpropertybag.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06/relationships/rdSupportingPropertyBagStructure" Target="richData/rdsupportingpropertybag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sheetMetadata" Target="metadata.xml"/><Relationship Id="rId30" Type="http://schemas.microsoft.com/office/2017/06/relationships/richStyles" Target="richData/richStyles.xml"/><Relationship Id="rId35"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Revenue</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'Graphs Year'!$H$55:$L$55</c:f>
              <c:strCache>
                <c:ptCount val="5"/>
                <c:pt idx="0">
                  <c:v>31.01.2022</c:v>
                </c:pt>
                <c:pt idx="1">
                  <c:v>31.01.2023</c:v>
                </c:pt>
                <c:pt idx="2">
                  <c:v>31.01.2024</c:v>
                </c:pt>
                <c:pt idx="3">
                  <c:v>31.01.2025</c:v>
                </c:pt>
                <c:pt idx="4">
                  <c:v>31.01.2026</c:v>
                </c:pt>
              </c:strCache>
            </c:strRef>
          </c:cat>
          <c:val>
            <c:numRef>
              <c:f>'Graphs Year'!$H$57:$L$57</c:f>
              <c:numCache>
                <c:formatCode>#,##0_);[Red]\(#,##0\)</c:formatCode>
                <c:ptCount val="5"/>
                <c:pt idx="0">
                  <c:v>213233</c:v>
                </c:pt>
                <c:pt idx="1">
                  <c:v>280910</c:v>
                </c:pt>
                <c:pt idx="2">
                  <c:v>356299</c:v>
                </c:pt>
                <c:pt idx="3">
                  <c:v>419813</c:v>
                </c:pt>
                <c:pt idx="4">
                  <c:v>480591</c:v>
                </c:pt>
              </c:numCache>
            </c:numRef>
          </c:val>
          <c:extLst>
            <c:ext xmlns:c16="http://schemas.microsoft.com/office/drawing/2014/chart" uri="{C3380CC4-5D6E-409C-BE32-E72D297353CC}">
              <c16:uniqueId val="{00000000-FBD8-F544-8D7A-E766A179560A}"/>
            </c:ext>
          </c:extLst>
        </c:ser>
        <c:ser>
          <c:idx val="1"/>
          <c:order val="1"/>
          <c:tx>
            <c:v>EBIT</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'Graphs Year'!$H$55:$L$55</c:f>
              <c:strCache>
                <c:ptCount val="5"/>
                <c:pt idx="0">
                  <c:v>31.01.2022</c:v>
                </c:pt>
                <c:pt idx="1">
                  <c:v>31.01.2023</c:v>
                </c:pt>
                <c:pt idx="2">
                  <c:v>31.01.2024</c:v>
                </c:pt>
                <c:pt idx="3">
                  <c:v>31.01.2025</c:v>
                </c:pt>
                <c:pt idx="4">
                  <c:v>31.01.2026</c:v>
                </c:pt>
              </c:strCache>
            </c:strRef>
          </c:cat>
          <c:val>
            <c:numRef>
              <c:f>'Graphs Year'!$H$58:$L$58</c:f>
              <c:numCache>
                <c:formatCode>#,##0_);\(#,##0\)</c:formatCode>
                <c:ptCount val="5"/>
                <c:pt idx="0">
                  <c:v>-116817</c:v>
                </c:pt>
                <c:pt idx="1">
                  <c:v>-176552</c:v>
                </c:pt>
                <c:pt idx="2">
                  <c:v>-136479</c:v>
                </c:pt>
                <c:pt idx="3">
                  <c:v>-58097</c:v>
                </c:pt>
                <c:pt idx="4">
                  <c:v>-6612</c:v>
                </c:pt>
              </c:numCache>
            </c:numRef>
          </c:val>
          <c:extLst>
            <c:ext xmlns:c16="http://schemas.microsoft.com/office/drawing/2014/chart" uri="{C3380CC4-5D6E-409C-BE32-E72D297353CC}">
              <c16:uniqueId val="{00000001-FBD8-F544-8D7A-E766A179560A}"/>
            </c:ext>
          </c:extLst>
        </c:ser>
        <c:ser>
          <c:idx val="2"/>
          <c:order val="2"/>
          <c:tx>
            <c:v>Net income</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'Graphs Year'!$H$55:$L$55</c:f>
              <c:strCache>
                <c:ptCount val="5"/>
                <c:pt idx="0">
                  <c:v>31.01.2022</c:v>
                </c:pt>
                <c:pt idx="1">
                  <c:v>31.01.2023</c:v>
                </c:pt>
                <c:pt idx="2">
                  <c:v>31.01.2024</c:v>
                </c:pt>
                <c:pt idx="3">
                  <c:v>31.01.2025</c:v>
                </c:pt>
                <c:pt idx="4">
                  <c:v>31.01.2026</c:v>
                </c:pt>
              </c:strCache>
            </c:strRef>
          </c:cat>
          <c:val>
            <c:numRef>
              <c:f>'Graphs Year'!$H$59:$L$59</c:f>
              <c:numCache>
                <c:formatCode>#,##0_);\(#,##0\)</c:formatCode>
                <c:ptCount val="5"/>
                <c:pt idx="0">
                  <c:v>-118161</c:v>
                </c:pt>
                <c:pt idx="1">
                  <c:v>-176146</c:v>
                </c:pt>
                <c:pt idx="2">
                  <c:v>-136885</c:v>
                </c:pt>
                <c:pt idx="3">
                  <c:v>-58527</c:v>
                </c:pt>
                <c:pt idx="4">
                  <c:v>-9312</c:v>
                </c:pt>
              </c:numCache>
            </c:numRef>
          </c:val>
          <c:extLst>
            <c:ext xmlns:c16="http://schemas.microsoft.com/office/drawing/2014/chart" uri="{C3380CC4-5D6E-409C-BE32-E72D297353CC}">
              <c16:uniqueId val="{00000002-FBD8-F544-8D7A-E766A179560A}"/>
            </c:ext>
          </c:extLst>
        </c:ser>
        <c:dLbls>
          <c:showLegendKey val="0"/>
          <c:showVal val="0"/>
          <c:showCatName val="0"/>
          <c:showSerName val="0"/>
          <c:showPercent val="0"/>
          <c:showBubbleSize val="0"/>
        </c:dLbls>
        <c:gapWidth val="75"/>
        <c:overlap val="-25"/>
        <c:axId val="53038591"/>
        <c:axId val="53037247"/>
      </c:barChart>
      <c:catAx>
        <c:axId val="53038591"/>
        <c:scaling>
          <c:orientation val="minMax"/>
        </c:scaling>
        <c:delete val="1"/>
        <c:axPos val="b"/>
        <c:numFmt formatCode="General" sourceLinked="1"/>
        <c:majorTickMark val="none"/>
        <c:minorTickMark val="none"/>
        <c:tickLblPos val="nextTo"/>
        <c:crossAx val="53037247"/>
        <c:crosses val="autoZero"/>
        <c:auto val="1"/>
        <c:lblAlgn val="ctr"/>
        <c:lblOffset val="100"/>
        <c:noMultiLvlLbl val="0"/>
      </c:catAx>
      <c:valAx>
        <c:axId val="53037247"/>
        <c:scaling>
          <c:orientation val="minMax"/>
        </c:scaling>
        <c:delete val="0"/>
        <c:axPos val="l"/>
        <c:majorGridlines>
          <c:spPr>
            <a:ln w="9525" cap="flat" cmpd="sng" algn="ctr">
              <a:solidFill>
                <a:schemeClr val="lt1">
                  <a:lumMod val="95000"/>
                  <a:alpha val="10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0385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FCFE</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Year'!$H$60:$L$60</c:f>
              <c:numCache>
                <c:formatCode>#,##0_);\(#,##0\)</c:formatCode>
                <c:ptCount val="5"/>
                <c:pt idx="0">
                  <c:v>-141659</c:v>
                </c:pt>
                <c:pt idx="1">
                  <c:v>-175101</c:v>
                </c:pt>
                <c:pt idx="2">
                  <c:v>-129088</c:v>
                </c:pt>
                <c:pt idx="3">
                  <c:v>-58683</c:v>
                </c:pt>
                <c:pt idx="4">
                  <c:v>-13035</c:v>
                </c:pt>
              </c:numCache>
            </c:numRef>
          </c:val>
          <c:extLst>
            <c:ext xmlns:c16="http://schemas.microsoft.com/office/drawing/2014/chart" uri="{C3380CC4-5D6E-409C-BE32-E72D297353CC}">
              <c16:uniqueId val="{00000000-BB17-2F4C-8690-419106F20D70}"/>
            </c:ext>
          </c:extLst>
        </c:ser>
        <c:ser>
          <c:idx val="1"/>
          <c:order val="1"/>
          <c:tx>
            <c:v>FCFF</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Year'!$H$61:$L$61</c:f>
              <c:numCache>
                <c:formatCode>#,##0_);\(#,##0\)</c:formatCode>
                <c:ptCount val="5"/>
                <c:pt idx="0">
                  <c:v>-144891</c:v>
                </c:pt>
                <c:pt idx="1">
                  <c:v>-181313</c:v>
                </c:pt>
                <c:pt idx="2">
                  <c:v>-133726</c:v>
                </c:pt>
                <c:pt idx="3">
                  <c:v>-60793</c:v>
                </c:pt>
                <c:pt idx="4">
                  <c:v>-13646</c:v>
                </c:pt>
              </c:numCache>
            </c:numRef>
          </c:val>
          <c:extLst>
            <c:ext xmlns:c16="http://schemas.microsoft.com/office/drawing/2014/chart" uri="{C3380CC4-5D6E-409C-BE32-E72D297353CC}">
              <c16:uniqueId val="{00000001-BB17-2F4C-8690-419106F20D70}"/>
            </c:ext>
          </c:extLst>
        </c:ser>
        <c:dLbls>
          <c:showLegendKey val="0"/>
          <c:showVal val="0"/>
          <c:showCatName val="0"/>
          <c:showSerName val="0"/>
          <c:showPercent val="0"/>
          <c:showBubbleSize val="0"/>
        </c:dLbls>
        <c:gapWidth val="100"/>
        <c:overlap val="-24"/>
        <c:axId val="2187135"/>
        <c:axId val="58967807"/>
      </c:barChart>
      <c:catAx>
        <c:axId val="2187135"/>
        <c:scaling>
          <c:orientation val="minMax"/>
        </c:scaling>
        <c:delete val="1"/>
        <c:axPos val="b"/>
        <c:majorTickMark val="none"/>
        <c:minorTickMark val="none"/>
        <c:tickLblPos val="nextTo"/>
        <c:crossAx val="58967807"/>
        <c:crosses val="autoZero"/>
        <c:auto val="1"/>
        <c:lblAlgn val="ctr"/>
        <c:lblOffset val="100"/>
        <c:noMultiLvlLbl val="0"/>
      </c:catAx>
      <c:valAx>
        <c:axId val="58967807"/>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871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261592300962376E-2"/>
          <c:y val="2.5428331875182269E-2"/>
          <c:w val="0.87129396325459318"/>
          <c:h val="0.79224482356372117"/>
        </c:manualLayout>
      </c:layout>
      <c:barChart>
        <c:barDir val="col"/>
        <c:grouping val="clustered"/>
        <c:varyColors val="0"/>
        <c:ser>
          <c:idx val="0"/>
          <c:order val="0"/>
          <c:tx>
            <c:v>Gross margin</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Year'!$H$62:$L$62</c:f>
              <c:numCache>
                <c:formatCode>0%</c:formatCode>
                <c:ptCount val="5"/>
                <c:pt idx="0">
                  <c:v>0.61831423841525468</c:v>
                </c:pt>
                <c:pt idx="1">
                  <c:v>0.6110248834146168</c:v>
                </c:pt>
                <c:pt idx="2">
                  <c:v>0.65194681994616877</c:v>
                </c:pt>
                <c:pt idx="3">
                  <c:v>0.67858546543341913</c:v>
                </c:pt>
                <c:pt idx="4">
                  <c:v>0.67930527205045454</c:v>
                </c:pt>
              </c:numCache>
            </c:numRef>
          </c:val>
          <c:extLst>
            <c:ext xmlns:c16="http://schemas.microsoft.com/office/drawing/2014/chart" uri="{C3380CC4-5D6E-409C-BE32-E72D297353CC}">
              <c16:uniqueId val="{00000000-F190-BE4A-9FEF-2CC4F95DC82E}"/>
            </c:ext>
          </c:extLst>
        </c:ser>
        <c:ser>
          <c:idx val="1"/>
          <c:order val="1"/>
          <c:tx>
            <c:v>EBIT margin</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Year'!$H$63:$L$63</c:f>
              <c:numCache>
                <c:formatCode>0%</c:formatCode>
                <c:ptCount val="5"/>
                <c:pt idx="0">
                  <c:v>-0.547837342250027</c:v>
                </c:pt>
                <c:pt idx="1">
                  <c:v>-0.62850023139083688</c:v>
                </c:pt>
                <c:pt idx="2">
                  <c:v>-0.38304626170716166</c:v>
                </c:pt>
                <c:pt idx="3">
                  <c:v>-0.13838780599933781</c:v>
                </c:pt>
                <c:pt idx="4">
                  <c:v>-1.3758060388147093E-2</c:v>
                </c:pt>
              </c:numCache>
            </c:numRef>
          </c:val>
          <c:extLst>
            <c:ext xmlns:c16="http://schemas.microsoft.com/office/drawing/2014/chart" uri="{C3380CC4-5D6E-409C-BE32-E72D297353CC}">
              <c16:uniqueId val="{00000001-F190-BE4A-9FEF-2CC4F95DC82E}"/>
            </c:ext>
          </c:extLst>
        </c:ser>
        <c:ser>
          <c:idx val="2"/>
          <c:order val="2"/>
          <c:tx>
            <c:v>Net margin</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Year'!$H$64:$L$64</c:f>
              <c:numCache>
                <c:formatCode>0%</c:formatCode>
                <c:ptCount val="5"/>
                <c:pt idx="0">
                  <c:v>-0.55414030661295388</c:v>
                </c:pt>
                <c:pt idx="1">
                  <c:v>-0.62705492862482648</c:v>
                </c:pt>
                <c:pt idx="2">
                  <c:v>-0.384185754099787</c:v>
                </c:pt>
                <c:pt idx="3">
                  <c:v>-0.13941207156519689</c:v>
                </c:pt>
                <c:pt idx="4">
                  <c:v>-1.9376143123778847E-2</c:v>
                </c:pt>
              </c:numCache>
            </c:numRef>
          </c:val>
          <c:extLst>
            <c:ext xmlns:c16="http://schemas.microsoft.com/office/drawing/2014/chart" uri="{C3380CC4-5D6E-409C-BE32-E72D297353CC}">
              <c16:uniqueId val="{00000002-F190-BE4A-9FEF-2CC4F95DC82E}"/>
            </c:ext>
          </c:extLst>
        </c:ser>
        <c:dLbls>
          <c:showLegendKey val="0"/>
          <c:showVal val="0"/>
          <c:showCatName val="0"/>
          <c:showSerName val="0"/>
          <c:showPercent val="0"/>
          <c:showBubbleSize val="0"/>
        </c:dLbls>
        <c:gapWidth val="100"/>
        <c:overlap val="-24"/>
        <c:axId val="91790783"/>
        <c:axId val="91797055"/>
      </c:barChart>
      <c:catAx>
        <c:axId val="91790783"/>
        <c:scaling>
          <c:orientation val="minMax"/>
        </c:scaling>
        <c:delete val="1"/>
        <c:axPos val="b"/>
        <c:majorTickMark val="none"/>
        <c:minorTickMark val="none"/>
        <c:tickLblPos val="nextTo"/>
        <c:crossAx val="91797055"/>
        <c:crosses val="autoZero"/>
        <c:auto val="1"/>
        <c:lblAlgn val="ctr"/>
        <c:lblOffset val="100"/>
        <c:noMultiLvlLbl val="0"/>
      </c:catAx>
      <c:valAx>
        <c:axId val="91797055"/>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7907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breakdown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stacked"/>
        <c:varyColors val="0"/>
        <c:ser>
          <c:idx val="0"/>
          <c:order val="0"/>
          <c:tx>
            <c:v>Subscription</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Year'!$H$65:$L$65</c:f>
              <c:numCache>
                <c:formatCode>#,##0_);\(#,##0\)</c:formatCode>
                <c:ptCount val="5"/>
                <c:pt idx="0">
                  <c:v>95514</c:v>
                </c:pt>
                <c:pt idx="1">
                  <c:v>128975</c:v>
                </c:pt>
                <c:pt idx="2">
                  <c:v>165436</c:v>
                </c:pt>
                <c:pt idx="3">
                  <c:v>196510</c:v>
                </c:pt>
                <c:pt idx="4">
                  <c:v>219461</c:v>
                </c:pt>
              </c:numCache>
            </c:numRef>
          </c:val>
          <c:extLst>
            <c:ext xmlns:c16="http://schemas.microsoft.com/office/drawing/2014/chart" uri="{C3380CC4-5D6E-409C-BE32-E72D297353CC}">
              <c16:uniqueId val="{00000000-CDE5-154C-8153-319428CD8714}"/>
            </c:ext>
          </c:extLst>
        </c:ser>
        <c:ser>
          <c:idx val="1"/>
          <c:order val="1"/>
          <c:tx>
            <c:v>Payment</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Year'!$H$66:$L$66</c:f>
              <c:numCache>
                <c:formatCode>#,##0_);\(#,##0\)</c:formatCode>
                <c:ptCount val="5"/>
                <c:pt idx="0">
                  <c:v>65201</c:v>
                </c:pt>
                <c:pt idx="1">
                  <c:v>78368</c:v>
                </c:pt>
                <c:pt idx="2">
                  <c:v>94610</c:v>
                </c:pt>
                <c:pt idx="3">
                  <c:v>101740</c:v>
                </c:pt>
                <c:pt idx="4">
                  <c:v>121459</c:v>
                </c:pt>
              </c:numCache>
            </c:numRef>
          </c:val>
          <c:extLst>
            <c:ext xmlns:c16="http://schemas.microsoft.com/office/drawing/2014/chart" uri="{C3380CC4-5D6E-409C-BE32-E72D297353CC}">
              <c16:uniqueId val="{00000001-CDE5-154C-8153-319428CD8714}"/>
            </c:ext>
          </c:extLst>
        </c:ser>
        <c:ser>
          <c:idx val="2"/>
          <c:order val="2"/>
          <c:tx>
            <c:v>Network</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Year'!$H$67:$L$67</c:f>
              <c:numCache>
                <c:formatCode>#,##0_);\(#,##0\)</c:formatCode>
                <c:ptCount val="5"/>
                <c:pt idx="0">
                  <c:v>52518</c:v>
                </c:pt>
                <c:pt idx="1">
                  <c:v>73567</c:v>
                </c:pt>
                <c:pt idx="2">
                  <c:v>96253</c:v>
                </c:pt>
                <c:pt idx="3">
                  <c:v>121563</c:v>
                </c:pt>
                <c:pt idx="4">
                  <c:v>139671</c:v>
                </c:pt>
              </c:numCache>
            </c:numRef>
          </c:val>
          <c:extLst>
            <c:ext xmlns:c16="http://schemas.microsoft.com/office/drawing/2014/chart" uri="{C3380CC4-5D6E-409C-BE32-E72D297353CC}">
              <c16:uniqueId val="{00000002-CDE5-154C-8153-319428CD8714}"/>
            </c:ext>
          </c:extLst>
        </c:ser>
        <c:dLbls>
          <c:showLegendKey val="0"/>
          <c:showVal val="0"/>
          <c:showCatName val="0"/>
          <c:showSerName val="0"/>
          <c:showPercent val="0"/>
          <c:showBubbleSize val="0"/>
        </c:dLbls>
        <c:gapWidth val="150"/>
        <c:overlap val="100"/>
        <c:axId val="57928639"/>
        <c:axId val="57930431"/>
      </c:barChart>
      <c:catAx>
        <c:axId val="57928639"/>
        <c:scaling>
          <c:orientation val="minMax"/>
        </c:scaling>
        <c:delete val="0"/>
        <c:axPos val="b"/>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930431"/>
        <c:crosses val="autoZero"/>
        <c:auto val="1"/>
        <c:lblAlgn val="ctr"/>
        <c:lblOffset val="100"/>
        <c:noMultiLvlLbl val="0"/>
      </c:catAx>
      <c:valAx>
        <c:axId val="57930431"/>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9286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ROA</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Year'!$H$68:$L$68</c:f>
              <c:numCache>
                <c:formatCode>0.00%</c:formatCode>
                <c:ptCount val="5"/>
                <c:pt idx="0">
                  <c:v>-0.23896205275888008</c:v>
                </c:pt>
                <c:pt idx="1">
                  <c:v>-0.47599694101179013</c:v>
                </c:pt>
                <c:pt idx="2">
                  <c:v>-0.36963378212709885</c:v>
                </c:pt>
                <c:pt idx="3">
                  <c:v>-0.15068161631244933</c:v>
                </c:pt>
                <c:pt idx="4">
                  <c:v>-1.4028533120414589E-2</c:v>
                </c:pt>
              </c:numCache>
            </c:numRef>
          </c:val>
          <c:extLst>
            <c:ext xmlns:c16="http://schemas.microsoft.com/office/drawing/2014/chart" uri="{C3380CC4-5D6E-409C-BE32-E72D297353CC}">
              <c16:uniqueId val="{00000000-5130-D94B-93C9-EC406C04EEFA}"/>
            </c:ext>
          </c:extLst>
        </c:ser>
        <c:ser>
          <c:idx val="1"/>
          <c:order val="1"/>
          <c:tx>
            <c:v>ROE</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Year'!$H$69:$L$69</c:f>
              <c:numCache>
                <c:formatCode>0.00%</c:formatCode>
                <c:ptCount val="5"/>
                <c:pt idx="0">
                  <c:v>-0.28316957438650303</c:v>
                </c:pt>
                <c:pt idx="1">
                  <c:v>-0.61200268224126975</c:v>
                </c:pt>
                <c:pt idx="2">
                  <c:v>-0.54438474601211384</c:v>
                </c:pt>
                <c:pt idx="3">
                  <c:v>-0.22101673665448177</c:v>
                </c:pt>
                <c:pt idx="4">
                  <c:v>-2.7615085096098241E-2</c:v>
                </c:pt>
              </c:numCache>
            </c:numRef>
          </c:val>
          <c:extLst>
            <c:ext xmlns:c16="http://schemas.microsoft.com/office/drawing/2014/chart" uri="{C3380CC4-5D6E-409C-BE32-E72D297353CC}">
              <c16:uniqueId val="{00000001-5130-D94B-93C9-EC406C04EEFA}"/>
            </c:ext>
          </c:extLst>
        </c:ser>
        <c:ser>
          <c:idx val="2"/>
          <c:order val="2"/>
          <c:tx>
            <c:v>ROIC</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Year'!$H$70:$L$70</c:f>
              <c:numCache>
                <c:formatCode>0.00%</c:formatCode>
                <c:ptCount val="5"/>
                <c:pt idx="0">
                  <c:v>-1.0008996504215504</c:v>
                </c:pt>
                <c:pt idx="1">
                  <c:v>-1.4832189392857442</c:v>
                </c:pt>
                <c:pt idx="2">
                  <c:v>-0.77816803033326676</c:v>
                </c:pt>
                <c:pt idx="3">
                  <c:v>-0.29523683688974039</c:v>
                </c:pt>
                <c:pt idx="4">
                  <c:v>-1.8191572778671949E-2</c:v>
                </c:pt>
              </c:numCache>
            </c:numRef>
          </c:val>
          <c:extLst>
            <c:ext xmlns:c16="http://schemas.microsoft.com/office/drawing/2014/chart" uri="{C3380CC4-5D6E-409C-BE32-E72D297353CC}">
              <c16:uniqueId val="{00000002-5130-D94B-93C9-EC406C04EEFA}"/>
            </c:ext>
          </c:extLst>
        </c:ser>
        <c:dLbls>
          <c:showLegendKey val="0"/>
          <c:showVal val="0"/>
          <c:showCatName val="0"/>
          <c:showSerName val="0"/>
          <c:showPercent val="0"/>
          <c:showBubbleSize val="0"/>
        </c:dLbls>
        <c:gapWidth val="100"/>
        <c:overlap val="-24"/>
        <c:axId val="92276031"/>
        <c:axId val="92282303"/>
      </c:barChart>
      <c:catAx>
        <c:axId val="92276031"/>
        <c:scaling>
          <c:orientation val="minMax"/>
        </c:scaling>
        <c:delete val="1"/>
        <c:axPos val="b"/>
        <c:majorTickMark val="none"/>
        <c:minorTickMark val="none"/>
        <c:tickLblPos val="nextTo"/>
        <c:crossAx val="92282303"/>
        <c:crosses val="autoZero"/>
        <c:auto val="1"/>
        <c:lblAlgn val="ctr"/>
        <c:lblOffset val="100"/>
        <c:noMultiLvlLbl val="0"/>
      </c:catAx>
      <c:valAx>
        <c:axId val="92282303"/>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2760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Price 5y</c:v>
          </c:tx>
          <c:spPr>
            <a:ln w="34925" cap="rnd">
              <a:solidFill>
                <a:schemeClr val="accent1"/>
              </a:solidFill>
              <a:round/>
            </a:ln>
            <a:effectLst>
              <a:outerShdw blurRad="57150" dist="19050" dir="5400000" algn="ctr" rotWithShape="0">
                <a:srgbClr val="000000">
                  <a:alpha val="63000"/>
                </a:srgbClr>
              </a:outerShdw>
            </a:effectLst>
          </c:spPr>
          <c:marker>
            <c:symbol val="none"/>
          </c:marker>
          <c:val>
            <c:numRef>
              <c:f>'Graphs Year'!$H$71:$L$71</c:f>
              <c:numCache>
                <c:formatCode>0</c:formatCode>
                <c:ptCount val="5"/>
                <c:pt idx="0">
                  <c:v>100</c:v>
                </c:pt>
                <c:pt idx="1">
                  <c:v>127.2503516174402</c:v>
                </c:pt>
                <c:pt idx="2">
                  <c:v>90.049226441631504</c:v>
                </c:pt>
                <c:pt idx="3">
                  <c:v>101.96905766526018</c:v>
                </c:pt>
                <c:pt idx="4">
                  <c:v>47.222222222222221</c:v>
                </c:pt>
              </c:numCache>
            </c:numRef>
          </c:val>
          <c:smooth val="0"/>
          <c:extLst>
            <c:ext xmlns:c16="http://schemas.microsoft.com/office/drawing/2014/chart" uri="{C3380CC4-5D6E-409C-BE32-E72D297353CC}">
              <c16:uniqueId val="{00000000-E1C7-E644-B67E-BC4064FDD059}"/>
            </c:ext>
          </c:extLst>
        </c:ser>
        <c:ser>
          <c:idx val="1"/>
          <c:order val="1"/>
          <c:tx>
            <c:v>Revenue 5y</c:v>
          </c:tx>
          <c:spPr>
            <a:ln w="34925" cap="rnd">
              <a:solidFill>
                <a:schemeClr val="accent2"/>
              </a:solidFill>
              <a:round/>
            </a:ln>
            <a:effectLst>
              <a:outerShdw blurRad="57150" dist="19050" dir="5400000" algn="ctr" rotWithShape="0">
                <a:srgbClr val="000000">
                  <a:alpha val="63000"/>
                </a:srgbClr>
              </a:outerShdw>
            </a:effectLst>
          </c:spPr>
          <c:marker>
            <c:symbol val="none"/>
          </c:marker>
          <c:val>
            <c:numRef>
              <c:f>'Graphs Year'!$H$72:$L$72</c:f>
              <c:numCache>
                <c:formatCode>0</c:formatCode>
                <c:ptCount val="5"/>
                <c:pt idx="0">
                  <c:v>100</c:v>
                </c:pt>
                <c:pt idx="1">
                  <c:v>131.73852077305108</c:v>
                </c:pt>
                <c:pt idx="2">
                  <c:v>167.09374252578164</c:v>
                </c:pt>
                <c:pt idx="3">
                  <c:v>196.87993884623862</c:v>
                </c:pt>
                <c:pt idx="4">
                  <c:v>225.38303170709978</c:v>
                </c:pt>
              </c:numCache>
            </c:numRef>
          </c:val>
          <c:smooth val="0"/>
          <c:extLst>
            <c:ext xmlns:c16="http://schemas.microsoft.com/office/drawing/2014/chart" uri="{C3380CC4-5D6E-409C-BE32-E72D297353CC}">
              <c16:uniqueId val="{00000001-E1C7-E644-B67E-BC4064FDD059}"/>
            </c:ext>
          </c:extLst>
        </c:ser>
        <c:ser>
          <c:idx val="2"/>
          <c:order val="2"/>
          <c:tx>
            <c:v>EPS 5y</c:v>
          </c:tx>
          <c:spPr>
            <a:ln w="34925" cap="rnd">
              <a:solidFill>
                <a:schemeClr val="accent3"/>
              </a:solidFill>
              <a:round/>
            </a:ln>
            <a:effectLst>
              <a:outerShdw blurRad="57150" dist="19050" dir="5400000" algn="ctr" rotWithShape="0">
                <a:srgbClr val="000000">
                  <a:alpha val="63000"/>
                </a:srgbClr>
              </a:outerShdw>
            </a:effectLst>
          </c:spPr>
          <c:marker>
            <c:symbol val="none"/>
          </c:marker>
          <c:val>
            <c:numRef>
              <c:f>'Graphs Year'!$H$73:$L$73</c:f>
              <c:numCache>
                <c:formatCode>0</c:formatCode>
                <c:ptCount val="5"/>
                <c:pt idx="0">
                  <c:v>100</c:v>
                </c:pt>
                <c:pt idx="1">
                  <c:v>58.227848101265835</c:v>
                </c:pt>
                <c:pt idx="2">
                  <c:v>94.09282700421943</c:v>
                </c:pt>
                <c:pt idx="3">
                  <c:v>156.96202531645568</c:v>
                </c:pt>
                <c:pt idx="4">
                  <c:v>193.24894514767931</c:v>
                </c:pt>
              </c:numCache>
            </c:numRef>
          </c:val>
          <c:smooth val="0"/>
          <c:extLst>
            <c:ext xmlns:c16="http://schemas.microsoft.com/office/drawing/2014/chart" uri="{C3380CC4-5D6E-409C-BE32-E72D297353CC}">
              <c16:uniqueId val="{00000002-E1C7-E644-B67E-BC4064FDD059}"/>
            </c:ext>
          </c:extLst>
        </c:ser>
        <c:dLbls>
          <c:showLegendKey val="0"/>
          <c:showVal val="0"/>
          <c:showCatName val="0"/>
          <c:showSerName val="0"/>
          <c:showPercent val="0"/>
          <c:showBubbleSize val="0"/>
        </c:dLbls>
        <c:smooth val="0"/>
        <c:axId val="1656736831"/>
        <c:axId val="1848533759"/>
      </c:lineChart>
      <c:catAx>
        <c:axId val="1656736831"/>
        <c:scaling>
          <c:orientation val="minMax"/>
        </c:scaling>
        <c:delete val="1"/>
        <c:axPos val="b"/>
        <c:majorTickMark val="none"/>
        <c:minorTickMark val="none"/>
        <c:tickLblPos val="nextTo"/>
        <c:crossAx val="1848533759"/>
        <c:crosses val="autoZero"/>
        <c:auto val="1"/>
        <c:lblAlgn val="ctr"/>
        <c:lblOffset val="100"/>
        <c:noMultiLvlLbl val="0"/>
      </c:catAx>
      <c:valAx>
        <c:axId val="1848533759"/>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67368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Revenue</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Quarter'!$C$57:$J$57</c:f>
              <c:numCache>
                <c:formatCode>#,##0_);\(#,##0\)</c:formatCode>
                <c:ptCount val="8"/>
                <c:pt idx="0">
                  <c:v>106800</c:v>
                </c:pt>
                <c:pt idx="1">
                  <c:v>109681</c:v>
                </c:pt>
                <c:pt idx="2">
                  <c:v>115936</c:v>
                </c:pt>
                <c:pt idx="3">
                  <c:v>117255</c:v>
                </c:pt>
                <c:pt idx="4">
                  <c:v>120333</c:v>
                </c:pt>
                <c:pt idx="5">
                  <c:v>127067</c:v>
                </c:pt>
                <c:pt idx="6">
                  <c:v>130935</c:v>
                </c:pt>
                <c:pt idx="7">
                  <c:v>129458</c:v>
                </c:pt>
              </c:numCache>
            </c:numRef>
          </c:val>
          <c:extLst>
            <c:ext xmlns:c16="http://schemas.microsoft.com/office/drawing/2014/chart" uri="{C3380CC4-5D6E-409C-BE32-E72D297353CC}">
              <c16:uniqueId val="{00000000-A52F-B540-A9D4-A0F6D2821008}"/>
            </c:ext>
          </c:extLst>
        </c:ser>
        <c:ser>
          <c:idx val="1"/>
          <c:order val="1"/>
          <c:tx>
            <c:v>EBIT</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Quarter'!$C$58:$J$58</c:f>
              <c:numCache>
                <c:formatCode>#,##0_);\(#,##0\)</c:formatCode>
                <c:ptCount val="8"/>
                <c:pt idx="0">
                  <c:v>-13843</c:v>
                </c:pt>
                <c:pt idx="1">
                  <c:v>-7612</c:v>
                </c:pt>
                <c:pt idx="2">
                  <c:v>-3287</c:v>
                </c:pt>
                <c:pt idx="3">
                  <c:v>-1507</c:v>
                </c:pt>
                <c:pt idx="4">
                  <c:v>3739</c:v>
                </c:pt>
                <c:pt idx="5">
                  <c:v>-5557</c:v>
                </c:pt>
                <c:pt idx="6">
                  <c:v>6749</c:v>
                </c:pt>
                <c:pt idx="7">
                  <c:v>7608</c:v>
                </c:pt>
              </c:numCache>
            </c:numRef>
          </c:val>
          <c:extLst>
            <c:ext xmlns:c16="http://schemas.microsoft.com/office/drawing/2014/chart" uri="{C3380CC4-5D6E-409C-BE32-E72D297353CC}">
              <c16:uniqueId val="{00000001-A52F-B540-A9D4-A0F6D2821008}"/>
            </c:ext>
          </c:extLst>
        </c:ser>
        <c:ser>
          <c:idx val="2"/>
          <c:order val="2"/>
          <c:tx>
            <c:v>Net income</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Quarter'!$C$59:$J$59</c:f>
              <c:numCache>
                <c:formatCode>#,##0_);\(#,##0\)</c:formatCode>
                <c:ptCount val="8"/>
                <c:pt idx="0">
                  <c:v>-14403</c:v>
                </c:pt>
                <c:pt idx="1">
                  <c:v>-6390</c:v>
                </c:pt>
                <c:pt idx="2">
                  <c:v>-3914</c:v>
                </c:pt>
                <c:pt idx="3">
                  <c:v>654</c:v>
                </c:pt>
                <c:pt idx="4">
                  <c:v>4271</c:v>
                </c:pt>
                <c:pt idx="5">
                  <c:v>-10323</c:v>
                </c:pt>
                <c:pt idx="6">
                  <c:v>2963</c:v>
                </c:pt>
                <c:pt idx="7">
                  <c:v>1918</c:v>
                </c:pt>
              </c:numCache>
            </c:numRef>
          </c:val>
          <c:extLst>
            <c:ext xmlns:c16="http://schemas.microsoft.com/office/drawing/2014/chart" uri="{C3380CC4-5D6E-409C-BE32-E72D297353CC}">
              <c16:uniqueId val="{00000002-A52F-B540-A9D4-A0F6D2821008}"/>
            </c:ext>
          </c:extLst>
        </c:ser>
        <c:dLbls>
          <c:showLegendKey val="0"/>
          <c:showVal val="0"/>
          <c:showCatName val="0"/>
          <c:showSerName val="0"/>
          <c:showPercent val="0"/>
          <c:showBubbleSize val="0"/>
        </c:dLbls>
        <c:gapWidth val="100"/>
        <c:overlap val="-24"/>
        <c:axId val="1076387263"/>
        <c:axId val="1076391295"/>
      </c:barChart>
      <c:catAx>
        <c:axId val="1076387263"/>
        <c:scaling>
          <c:orientation val="minMax"/>
        </c:scaling>
        <c:delete val="1"/>
        <c:axPos val="b"/>
        <c:majorTickMark val="none"/>
        <c:minorTickMark val="none"/>
        <c:tickLblPos val="nextTo"/>
        <c:crossAx val="1076391295"/>
        <c:crosses val="autoZero"/>
        <c:auto val="1"/>
        <c:lblAlgn val="ctr"/>
        <c:lblOffset val="100"/>
        <c:noMultiLvlLbl val="0"/>
      </c:catAx>
      <c:valAx>
        <c:axId val="1076391295"/>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63872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Gross margin</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Quarter'!$C$60:$J$60</c:f>
              <c:numCache>
                <c:formatCode>0%</c:formatCode>
                <c:ptCount val="8"/>
                <c:pt idx="0">
                  <c:v>0.67661985018726589</c:v>
                </c:pt>
                <c:pt idx="1">
                  <c:v>0.69396704989925329</c:v>
                </c:pt>
                <c:pt idx="2">
                  <c:v>0.67167230195970196</c:v>
                </c:pt>
                <c:pt idx="3">
                  <c:v>0.67898170653703471</c:v>
                </c:pt>
                <c:pt idx="4">
                  <c:v>0.68398527419743549</c:v>
                </c:pt>
                <c:pt idx="5">
                  <c:v>0.68213619586517349</c:v>
                </c:pt>
                <c:pt idx="6">
                  <c:v>0.66904189101462552</c:v>
                </c:pt>
                <c:pt idx="7">
                  <c:v>0.66641690741398751</c:v>
                </c:pt>
              </c:numCache>
            </c:numRef>
          </c:val>
          <c:extLst>
            <c:ext xmlns:c16="http://schemas.microsoft.com/office/drawing/2014/chart" uri="{C3380CC4-5D6E-409C-BE32-E72D297353CC}">
              <c16:uniqueId val="{00000000-A048-6D48-B3EA-D7065FE0E79C}"/>
            </c:ext>
          </c:extLst>
        </c:ser>
        <c:ser>
          <c:idx val="1"/>
          <c:order val="1"/>
          <c:tx>
            <c:v>EBIT margin</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Quarter'!$C$61:$J$61</c:f>
              <c:numCache>
                <c:formatCode>0%</c:formatCode>
                <c:ptCount val="8"/>
                <c:pt idx="0">
                  <c:v>-0.12961610486891387</c:v>
                </c:pt>
                <c:pt idx="1">
                  <c:v>-6.9401263664627413E-2</c:v>
                </c:pt>
                <c:pt idx="2">
                  <c:v>-2.8351849296163401E-2</c:v>
                </c:pt>
                <c:pt idx="3">
                  <c:v>-1.2852330391028101E-2</c:v>
                </c:pt>
                <c:pt idx="4">
                  <c:v>3.1072108232986794E-2</c:v>
                </c:pt>
                <c:pt idx="5">
                  <c:v>-4.3732833859302572E-2</c:v>
                </c:pt>
                <c:pt idx="6">
                  <c:v>5.1544659563905755E-2</c:v>
                </c:pt>
                <c:pt idx="7">
                  <c:v>5.8768094671630952E-2</c:v>
                </c:pt>
              </c:numCache>
            </c:numRef>
          </c:val>
          <c:extLst>
            <c:ext xmlns:c16="http://schemas.microsoft.com/office/drawing/2014/chart" uri="{C3380CC4-5D6E-409C-BE32-E72D297353CC}">
              <c16:uniqueId val="{00000001-A048-6D48-B3EA-D7065FE0E79C}"/>
            </c:ext>
          </c:extLst>
        </c:ser>
        <c:ser>
          <c:idx val="2"/>
          <c:order val="2"/>
          <c:tx>
            <c:v>Net margin</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Quarter'!$C$62:$J$62</c:f>
              <c:numCache>
                <c:formatCode>0%</c:formatCode>
                <c:ptCount val="8"/>
                <c:pt idx="0">
                  <c:v>-0.13485955056179774</c:v>
                </c:pt>
                <c:pt idx="1">
                  <c:v>-5.8259862692717976E-2</c:v>
                </c:pt>
                <c:pt idx="2">
                  <c:v>-3.3760005520287052E-2</c:v>
                </c:pt>
                <c:pt idx="3">
                  <c:v>5.5775873097096071E-3</c:v>
                </c:pt>
                <c:pt idx="4">
                  <c:v>3.5493173111282854E-2</c:v>
                </c:pt>
                <c:pt idx="5">
                  <c:v>-8.1240605349933506E-2</c:v>
                </c:pt>
                <c:pt idx="6">
                  <c:v>2.2629549012868982E-2</c:v>
                </c:pt>
                <c:pt idx="7">
                  <c:v>1.4815615875419056E-2</c:v>
                </c:pt>
              </c:numCache>
            </c:numRef>
          </c:val>
          <c:extLst>
            <c:ext xmlns:c16="http://schemas.microsoft.com/office/drawing/2014/chart" uri="{C3380CC4-5D6E-409C-BE32-E72D297353CC}">
              <c16:uniqueId val="{00000002-A048-6D48-B3EA-D7065FE0E79C}"/>
            </c:ext>
          </c:extLst>
        </c:ser>
        <c:dLbls>
          <c:showLegendKey val="0"/>
          <c:showVal val="0"/>
          <c:showCatName val="0"/>
          <c:showSerName val="0"/>
          <c:showPercent val="0"/>
          <c:showBubbleSize val="0"/>
        </c:dLbls>
        <c:gapWidth val="100"/>
        <c:overlap val="-24"/>
        <c:axId val="1157457983"/>
        <c:axId val="1157451711"/>
      </c:barChart>
      <c:catAx>
        <c:axId val="1157457983"/>
        <c:scaling>
          <c:orientation val="minMax"/>
        </c:scaling>
        <c:delete val="1"/>
        <c:axPos val="b"/>
        <c:majorTickMark val="none"/>
        <c:minorTickMark val="none"/>
        <c:tickLblPos val="nextTo"/>
        <c:crossAx val="1157451711"/>
        <c:crosses val="autoZero"/>
        <c:auto val="1"/>
        <c:lblAlgn val="ctr"/>
        <c:lblOffset val="100"/>
        <c:noMultiLvlLbl val="0"/>
      </c:catAx>
      <c:valAx>
        <c:axId val="1157451711"/>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74579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breakdown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stacked"/>
        <c:varyColors val="0"/>
        <c:ser>
          <c:idx val="0"/>
          <c:order val="0"/>
          <c:tx>
            <c:v>Subscription</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Quarter'!$C$63:$J$63</c:f>
              <c:numCache>
                <c:formatCode>#,##0_);\(#,##0\)</c:formatCode>
                <c:ptCount val="8"/>
                <c:pt idx="0">
                  <c:v>49363</c:v>
                </c:pt>
                <c:pt idx="1">
                  <c:v>51793</c:v>
                </c:pt>
                <c:pt idx="2">
                  <c:v>54355</c:v>
                </c:pt>
                <c:pt idx="3">
                  <c:v>53702</c:v>
                </c:pt>
                <c:pt idx="4">
                  <c:v>55480</c:v>
                </c:pt>
                <c:pt idx="5">
                  <c:v>55924</c:v>
                </c:pt>
                <c:pt idx="6">
                  <c:v>52721</c:v>
                </c:pt>
                <c:pt idx="7">
                  <c:v>52695</c:v>
                </c:pt>
              </c:numCache>
            </c:numRef>
          </c:val>
          <c:extLst>
            <c:ext xmlns:c16="http://schemas.microsoft.com/office/drawing/2014/chart" uri="{C3380CC4-5D6E-409C-BE32-E72D297353CC}">
              <c16:uniqueId val="{00000000-2E19-FD44-9C5E-C1716B02A7E3}"/>
            </c:ext>
          </c:extLst>
        </c:ser>
        <c:ser>
          <c:idx val="1"/>
          <c:order val="1"/>
          <c:tx>
            <c:v>Payment</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Quarter'!$C$64:$J$64</c:f>
              <c:numCache>
                <c:formatCode>#,##0_);\(#,##0\)</c:formatCode>
                <c:ptCount val="8"/>
                <c:pt idx="0">
                  <c:v>24704</c:v>
                </c:pt>
                <c:pt idx="1">
                  <c:v>24676</c:v>
                </c:pt>
                <c:pt idx="2">
                  <c:v>29925</c:v>
                </c:pt>
                <c:pt idx="3">
                  <c:v>28392</c:v>
                </c:pt>
                <c:pt idx="4">
                  <c:v>27422</c:v>
                </c:pt>
                <c:pt idx="5">
                  <c:v>35720</c:v>
                </c:pt>
                <c:pt idx="6">
                  <c:v>41941</c:v>
                </c:pt>
                <c:pt idx="7">
                  <c:v>38489</c:v>
                </c:pt>
              </c:numCache>
            </c:numRef>
          </c:val>
          <c:extLst>
            <c:ext xmlns:c16="http://schemas.microsoft.com/office/drawing/2014/chart" uri="{C3380CC4-5D6E-409C-BE32-E72D297353CC}">
              <c16:uniqueId val="{00000001-2E19-FD44-9C5E-C1716B02A7E3}"/>
            </c:ext>
          </c:extLst>
        </c:ser>
        <c:ser>
          <c:idx val="2"/>
          <c:order val="2"/>
          <c:tx>
            <c:v>Network</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Quarter'!$C$65:$J$65</c:f>
              <c:numCache>
                <c:formatCode>#,##0_);\(#,##0\)</c:formatCode>
                <c:ptCount val="8"/>
                <c:pt idx="0">
                  <c:v>32733</c:v>
                </c:pt>
                <c:pt idx="1">
                  <c:v>33212</c:v>
                </c:pt>
                <c:pt idx="2">
                  <c:v>31656</c:v>
                </c:pt>
                <c:pt idx="3">
                  <c:v>35161</c:v>
                </c:pt>
                <c:pt idx="4">
                  <c:v>37431</c:v>
                </c:pt>
                <c:pt idx="5">
                  <c:v>35423</c:v>
                </c:pt>
                <c:pt idx="6">
                  <c:v>36273</c:v>
                </c:pt>
                <c:pt idx="7">
                  <c:v>38274</c:v>
                </c:pt>
              </c:numCache>
            </c:numRef>
          </c:val>
          <c:extLst>
            <c:ext xmlns:c16="http://schemas.microsoft.com/office/drawing/2014/chart" uri="{C3380CC4-5D6E-409C-BE32-E72D297353CC}">
              <c16:uniqueId val="{00000002-2E19-FD44-9C5E-C1716B02A7E3}"/>
            </c:ext>
          </c:extLst>
        </c:ser>
        <c:dLbls>
          <c:showLegendKey val="0"/>
          <c:showVal val="0"/>
          <c:showCatName val="0"/>
          <c:showSerName val="0"/>
          <c:showPercent val="0"/>
          <c:showBubbleSize val="0"/>
        </c:dLbls>
        <c:gapWidth val="100"/>
        <c:overlap val="100"/>
        <c:axId val="1156718463"/>
        <c:axId val="1156723391"/>
      </c:barChart>
      <c:catAx>
        <c:axId val="1156718463"/>
        <c:scaling>
          <c:orientation val="minMax"/>
        </c:scaling>
        <c:delete val="0"/>
        <c:axPos val="b"/>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6723391"/>
        <c:crosses val="autoZero"/>
        <c:auto val="1"/>
        <c:lblAlgn val="ctr"/>
        <c:lblOffset val="100"/>
        <c:noMultiLvlLbl val="0"/>
      </c:catAx>
      <c:valAx>
        <c:axId val="1156723391"/>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67184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FCFE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spPr>
            <a:ln w="34925" cap="rnd">
              <a:solidFill>
                <a:schemeClr val="accent1"/>
              </a:solidFill>
              <a:round/>
            </a:ln>
            <a:effectLst>
              <a:outerShdw blurRad="57150" dist="19050" dir="5400000" algn="ctr" rotWithShape="0">
                <a:srgbClr val="000000">
                  <a:alpha val="63000"/>
                </a:srgbClr>
              </a:outerShdw>
            </a:effectLst>
          </c:spPr>
          <c:marker>
            <c:symbol val="none"/>
          </c:marker>
          <c:val>
            <c:numRef>
              <c:f>'Graphs Quarter'!$C$66:$J$66</c:f>
              <c:numCache>
                <c:formatCode>#,##0_);\(#,##0\)</c:formatCode>
                <c:ptCount val="8"/>
                <c:pt idx="0">
                  <c:v>-14922</c:v>
                </c:pt>
                <c:pt idx="1">
                  <c:v>-7964</c:v>
                </c:pt>
                <c:pt idx="2">
                  <c:v>-9767</c:v>
                </c:pt>
                <c:pt idx="3">
                  <c:v>-6597</c:v>
                </c:pt>
                <c:pt idx="4">
                  <c:v>-7158</c:v>
                </c:pt>
                <c:pt idx="5">
                  <c:v>10487</c:v>
                </c:pt>
                <c:pt idx="6">
                  <c:v>2818</c:v>
                </c:pt>
                <c:pt idx="7">
                  <c:v>1949</c:v>
                </c:pt>
              </c:numCache>
            </c:numRef>
          </c:val>
          <c:smooth val="0"/>
          <c:extLst>
            <c:ext xmlns:c16="http://schemas.microsoft.com/office/drawing/2014/chart" uri="{C3380CC4-5D6E-409C-BE32-E72D297353CC}">
              <c16:uniqueId val="{00000000-2537-A641-96D5-AEFA40A2B2D6}"/>
            </c:ext>
          </c:extLst>
        </c:ser>
        <c:dLbls>
          <c:showLegendKey val="0"/>
          <c:showVal val="0"/>
          <c:showCatName val="0"/>
          <c:showSerName val="0"/>
          <c:showPercent val="0"/>
          <c:showBubbleSize val="0"/>
        </c:dLbls>
        <c:smooth val="0"/>
        <c:axId val="1163393471"/>
        <c:axId val="1163381375"/>
      </c:lineChart>
      <c:catAx>
        <c:axId val="1163393471"/>
        <c:scaling>
          <c:orientation val="minMax"/>
        </c:scaling>
        <c:delete val="1"/>
        <c:axPos val="b"/>
        <c:majorTickMark val="none"/>
        <c:minorTickMark val="none"/>
        <c:tickLblPos val="nextTo"/>
        <c:crossAx val="1163381375"/>
        <c:crosses val="autoZero"/>
        <c:auto val="1"/>
        <c:lblAlgn val="ctr"/>
        <c:lblOffset val="100"/>
        <c:noMultiLvlLbl val="0"/>
      </c:catAx>
      <c:valAx>
        <c:axId val="1163381375"/>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3393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22364</xdr:colOff>
      <xdr:row>2</xdr:row>
      <xdr:rowOff>10227</xdr:rowOff>
    </xdr:from>
    <xdr:to>
      <xdr:col>5</xdr:col>
      <xdr:colOff>528767</xdr:colOff>
      <xdr:row>15</xdr:row>
      <xdr:rowOff>157515</xdr:rowOff>
    </xdr:to>
    <xdr:graphicFrame macro="">
      <xdr:nvGraphicFramePr>
        <xdr:cNvPr id="2" name="Chart 1">
          <a:extLst>
            <a:ext uri="{FF2B5EF4-FFF2-40B4-BE49-F238E27FC236}">
              <a16:creationId xmlns:a16="http://schemas.microsoft.com/office/drawing/2014/main" id="{9AAB82B6-E718-1553-9A8A-71AB1CB30C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717270</xdr:colOff>
      <xdr:row>2</xdr:row>
      <xdr:rowOff>10221</xdr:rowOff>
    </xdr:from>
    <xdr:to>
      <xdr:col>11</xdr:col>
      <xdr:colOff>353043</xdr:colOff>
      <xdr:row>15</xdr:row>
      <xdr:rowOff>157509</xdr:rowOff>
    </xdr:to>
    <xdr:graphicFrame macro="">
      <xdr:nvGraphicFramePr>
        <xdr:cNvPr id="3" name="Chart 2">
          <a:extLst>
            <a:ext uri="{FF2B5EF4-FFF2-40B4-BE49-F238E27FC236}">
              <a16:creationId xmlns:a16="http://schemas.microsoft.com/office/drawing/2014/main" id="{C193E931-8DC7-D7CC-D47C-6903365BAA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22365</xdr:colOff>
      <xdr:row>16</xdr:row>
      <xdr:rowOff>177959</xdr:rowOff>
    </xdr:from>
    <xdr:to>
      <xdr:col>5</xdr:col>
      <xdr:colOff>528768</xdr:colOff>
      <xdr:row>30</xdr:row>
      <xdr:rowOff>125562</xdr:rowOff>
    </xdr:to>
    <xdr:graphicFrame macro="">
      <xdr:nvGraphicFramePr>
        <xdr:cNvPr id="4" name="Chart 3">
          <a:extLst>
            <a:ext uri="{FF2B5EF4-FFF2-40B4-BE49-F238E27FC236}">
              <a16:creationId xmlns:a16="http://schemas.microsoft.com/office/drawing/2014/main" id="{7C1A4ED0-7A66-D55A-012D-14A8004B48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725258</xdr:colOff>
      <xdr:row>16</xdr:row>
      <xdr:rowOff>169971</xdr:rowOff>
    </xdr:from>
    <xdr:to>
      <xdr:col>11</xdr:col>
      <xdr:colOff>361031</xdr:colOff>
      <xdr:row>30</xdr:row>
      <xdr:rowOff>117574</xdr:rowOff>
    </xdr:to>
    <xdr:graphicFrame macro="">
      <xdr:nvGraphicFramePr>
        <xdr:cNvPr id="5" name="Chart 4">
          <a:extLst>
            <a:ext uri="{FF2B5EF4-FFF2-40B4-BE49-F238E27FC236}">
              <a16:creationId xmlns:a16="http://schemas.microsoft.com/office/drawing/2014/main" id="{BF106170-16E4-9CE8-051D-B7F6A8CA0E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14378</xdr:colOff>
      <xdr:row>31</xdr:row>
      <xdr:rowOff>50160</xdr:rowOff>
    </xdr:from>
    <xdr:to>
      <xdr:col>5</xdr:col>
      <xdr:colOff>520781</xdr:colOff>
      <xdr:row>44</xdr:row>
      <xdr:rowOff>197448</xdr:rowOff>
    </xdr:to>
    <xdr:graphicFrame macro="">
      <xdr:nvGraphicFramePr>
        <xdr:cNvPr id="6" name="Chart 5">
          <a:extLst>
            <a:ext uri="{FF2B5EF4-FFF2-40B4-BE49-F238E27FC236}">
              <a16:creationId xmlns:a16="http://schemas.microsoft.com/office/drawing/2014/main" id="{1D0A5BEF-EF3A-9CEE-94C8-768A2579A7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709282</xdr:colOff>
      <xdr:row>31</xdr:row>
      <xdr:rowOff>54154</xdr:rowOff>
    </xdr:from>
    <xdr:to>
      <xdr:col>11</xdr:col>
      <xdr:colOff>345056</xdr:colOff>
      <xdr:row>45</xdr:row>
      <xdr:rowOff>1757</xdr:rowOff>
    </xdr:to>
    <xdr:graphicFrame macro="">
      <xdr:nvGraphicFramePr>
        <xdr:cNvPr id="7" name="Chart 6">
          <a:extLst>
            <a:ext uri="{FF2B5EF4-FFF2-40B4-BE49-F238E27FC236}">
              <a16:creationId xmlns:a16="http://schemas.microsoft.com/office/drawing/2014/main" id="{F0680505-B7C9-318D-14CF-8CEACBFA96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1578</xdr:colOff>
      <xdr:row>1</xdr:row>
      <xdr:rowOff>174488</xdr:rowOff>
    </xdr:from>
    <xdr:to>
      <xdr:col>5</xdr:col>
      <xdr:colOff>629478</xdr:colOff>
      <xdr:row>15</xdr:row>
      <xdr:rowOff>46383</xdr:rowOff>
    </xdr:to>
    <xdr:graphicFrame macro="">
      <xdr:nvGraphicFramePr>
        <xdr:cNvPr id="2" name="Chart 1">
          <a:extLst>
            <a:ext uri="{FF2B5EF4-FFF2-40B4-BE49-F238E27FC236}">
              <a16:creationId xmlns:a16="http://schemas.microsoft.com/office/drawing/2014/main" id="{71232299-7FA9-0039-D056-D8E3B85351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814063</xdr:colOff>
      <xdr:row>1</xdr:row>
      <xdr:rowOff>174486</xdr:rowOff>
    </xdr:from>
    <xdr:to>
      <xdr:col>11</xdr:col>
      <xdr:colOff>416498</xdr:colOff>
      <xdr:row>15</xdr:row>
      <xdr:rowOff>46381</xdr:rowOff>
    </xdr:to>
    <xdr:graphicFrame macro="">
      <xdr:nvGraphicFramePr>
        <xdr:cNvPr id="3" name="Chart 2">
          <a:extLst>
            <a:ext uri="{FF2B5EF4-FFF2-40B4-BE49-F238E27FC236}">
              <a16:creationId xmlns:a16="http://schemas.microsoft.com/office/drawing/2014/main" id="{596D588C-4223-6A47-5C25-B5CE03A951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9465</xdr:colOff>
      <xdr:row>16</xdr:row>
      <xdr:rowOff>947</xdr:rowOff>
    </xdr:from>
    <xdr:to>
      <xdr:col>5</xdr:col>
      <xdr:colOff>646831</xdr:colOff>
      <xdr:row>29</xdr:row>
      <xdr:rowOff>77936</xdr:rowOff>
    </xdr:to>
    <xdr:graphicFrame macro="">
      <xdr:nvGraphicFramePr>
        <xdr:cNvPr id="4" name="Chart 3">
          <a:extLst>
            <a:ext uri="{FF2B5EF4-FFF2-40B4-BE49-F238E27FC236}">
              <a16:creationId xmlns:a16="http://schemas.microsoft.com/office/drawing/2014/main" id="{3C7CD02C-4465-C3A2-3510-E1D80F1973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814063</xdr:colOff>
      <xdr:row>16</xdr:row>
      <xdr:rowOff>8838</xdr:rowOff>
    </xdr:from>
    <xdr:to>
      <xdr:col>11</xdr:col>
      <xdr:colOff>416498</xdr:colOff>
      <xdr:row>29</xdr:row>
      <xdr:rowOff>85827</xdr:rowOff>
    </xdr:to>
    <xdr:graphicFrame macro="">
      <xdr:nvGraphicFramePr>
        <xdr:cNvPr id="5" name="Chart 4">
          <a:extLst>
            <a:ext uri="{FF2B5EF4-FFF2-40B4-BE49-F238E27FC236}">
              <a16:creationId xmlns:a16="http://schemas.microsoft.com/office/drawing/2014/main" id="{7B2EB754-366B-7BD3-2DC6-930FE8A3D6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128348</xdr:colOff>
      <xdr:row>16</xdr:row>
      <xdr:rowOff>20266</xdr:rowOff>
    </xdr:from>
    <xdr:to>
      <xdr:col>3</xdr:col>
      <xdr:colOff>716064</xdr:colOff>
      <xdr:row>16</xdr:row>
      <xdr:rowOff>216170</xdr:rowOff>
    </xdr:to>
    <xdr:sp macro="" textlink="">
      <xdr:nvSpPr>
        <xdr:cNvPr id="2" name="Right Arrow 1">
          <a:extLst>
            <a:ext uri="{FF2B5EF4-FFF2-40B4-BE49-F238E27FC236}">
              <a16:creationId xmlns:a16="http://schemas.microsoft.com/office/drawing/2014/main" id="{02CDC1E2-04C0-0B4F-AADE-DCF6B72A8310}"/>
            </a:ext>
          </a:extLst>
        </xdr:cNvPr>
        <xdr:cNvSpPr/>
      </xdr:nvSpPr>
      <xdr:spPr>
        <a:xfrm rot="10800000">
          <a:off x="3544648" y="3258766"/>
          <a:ext cx="587716" cy="195904"/>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Volumes/KINGSTON/MyStockData/Finance-StockLists/1.%20List_ManualData.xlsx" TargetMode="External"/><Relationship Id="rId1" Type="http://schemas.openxmlformats.org/officeDocument/2006/relationships/externalLinkPath" Target="1.%20List_ManualData.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Volumes/KINGSTON/MyStockData/Finance-StockLists/QCOM.xlsx" TargetMode="External"/><Relationship Id="rId1" Type="http://schemas.openxmlformats.org/officeDocument/2006/relationships/externalLinkPath" Target="QCO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12">
          <cell r="C12">
            <v>4.4999999999999998E-2</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verview"/>
      <sheetName val="Financials -&gt;"/>
      <sheetName val="Statement"/>
      <sheetName val="Analysis -&gt;"/>
      <sheetName val="Basic"/>
      <sheetName val="Yearly Analysis"/>
      <sheetName val="Quarter analysis"/>
      <sheetName val="Graphs Year"/>
      <sheetName val="Graphs Quarter"/>
      <sheetName val="Forecast -&gt;"/>
      <sheetName val="Revenue"/>
      <sheetName val="COGS &amp; OpEx"/>
      <sheetName val="WC &amp; Investments"/>
      <sheetName val="FCF &amp; Other"/>
      <sheetName val="Valuation -&gt;"/>
      <sheetName val="WACC"/>
      <sheetName val="DCF"/>
      <sheetName val="Multiples"/>
      <sheetName val="AVG target price"/>
      <sheetName val="DDM"/>
      <sheetName val="Reverse DCF"/>
    </sheetNames>
    <sheetDataSet>
      <sheetData sheetId="0"/>
      <sheetData sheetId="1"/>
      <sheetData sheetId="2"/>
      <sheetData sheetId="3"/>
      <sheetData sheetId="4"/>
      <sheetData sheetId="5"/>
      <sheetData sheetId="6"/>
      <sheetData sheetId="7"/>
      <sheetData sheetId="8"/>
      <sheetData sheetId="9"/>
      <sheetData sheetId="10">
        <row r="5">
          <cell r="C5">
            <v>2021</v>
          </cell>
          <cell r="D5">
            <v>2022</v>
          </cell>
          <cell r="E5">
            <v>2023</v>
          </cell>
          <cell r="F5">
            <v>2024</v>
          </cell>
          <cell r="G5">
            <v>2025</v>
          </cell>
          <cell r="H5">
            <v>2026</v>
          </cell>
          <cell r="I5">
            <v>2027</v>
          </cell>
          <cell r="J5">
            <v>2028</v>
          </cell>
          <cell r="K5">
            <v>2029</v>
          </cell>
          <cell r="L5">
            <v>2030</v>
          </cell>
        </row>
      </sheetData>
      <sheetData sheetId="11"/>
      <sheetData sheetId="12"/>
      <sheetData sheetId="13"/>
      <sheetData sheetId="14"/>
      <sheetData sheetId="15"/>
      <sheetData sheetId="16"/>
      <sheetData sheetId="17"/>
      <sheetData sheetId="18"/>
      <sheetData sheetId="19"/>
      <sheetData sheetId="20"/>
    </sheetDataSet>
  </externalBook>
</externalLink>
</file>

<file path=xl/persons/person.xml><?xml version="1.0" encoding="utf-8"?>
<personList xmlns="http://schemas.microsoft.com/office/spreadsheetml/2018/threadedcomments" xmlns:x="http://schemas.openxmlformats.org/spreadsheetml/2006/main">
  <person displayName="adi dumitras" id="{A0F62302-F8D3-B346-B5DF-839B413AE710}" userId="b24535bb88af1c42" providerId="Windows Live"/>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6">
  <rv s="0">
    <v>https://www.bing.com/financeapi/forcetrigger?t=bqw82w&amp;q=XNYS%3aPHR&amp;form=skydnc</v>
    <v>Learn more on Bing</v>
  </rv>
  <rv s="1">
    <v>0</v>
    <v>PHREESIA, INC. (XNYS:PHR)</v>
    <v>2</v>
    <v>3</v>
    <v>Finance</v>
    <v>4</v>
    <v>en-US</v>
    <v>bqw82w</v>
    <v>268435456</v>
    <v>1</v>
    <v>Powered by Refinitiv</v>
    <v>23.865100000000002</v>
    <v>7.77</v>
    <v>0.75829999999999997</v>
    <v>-0.09</v>
    <v>-7.0869999999999995E-3</v>
    <v>-0.02</v>
    <v>-1.586E-3</v>
    <v>USD</v>
    <v>Phreesia, Inc. is a provider of comprehensive software solutions that improve the operational and financial performance of healthcare organizations. The Company's solutions include software-as-a-service (SaaS)-based integrated tools that manage patient access, registration, and payments. In addition, its solutions include clinical assessments to screen patients for a variety of physical, behavioral and mental health conditions, helping providers to understand their patients and connect them to needed services, resulting in improved health outcomes. Its Technology solutions segment provides life sciences companies, health plans and other payer organizations (payers), patient advocacy, public interest and other not-for-profit organizations with a channel for direct communication with patients. The Company's solutions also include additional products and services, such as the MediFind provider directory, which helps patients find care based on providers' specific clinical expertise.</v>
    <v>1789</v>
    <v>New York Stock Exchange</v>
    <v>XNYS</v>
    <v>XNYS</v>
    <v>1521 Concord Pike, Suite 301 Pmb 221, WILMINGTON, DE, 19803 US</v>
    <v>12.85</v>
    <v>Software &amp; IT Services</v>
    <v>Stock</v>
    <v>46321.843751260938</v>
    <v>0</v>
    <v>12.56</v>
    <v>782714553</v>
    <v>PHREESIA, INC.</v>
    <v>PHREESIA, INC.</v>
    <v>12.69</v>
    <v>74.659599999999998</v>
    <v>12.7</v>
    <v>12.61</v>
    <v>12.59</v>
    <v>62070940</v>
    <v>PHR</v>
    <v>PHREESIA, INC. (XNYS:PHR)</v>
    <v>574947</v>
    <v>679066</v>
    <v>2005</v>
  </rv>
  <rv s="2">
    <v>1</v>
  </rv>
  <rv s="0">
    <v>https://www.bing.com/financeapi/forcetrigger?t=a33knm&amp;q=10+Y+TSY+YLD+NDX&amp;form=skydnc</v>
    <v>Learn more on Bing</v>
  </rv>
  <rv s="3">
    <v>5</v>
    <v>10 Y TSY YLD NDX</v>
    <v>6</v>
    <v>7</v>
    <v>Finance</v>
    <v>8</v>
    <v>en-US</v>
    <v>a33knm</v>
    <v>268435456</v>
    <v>1</v>
    <v>Powered by Refinitiv</v>
    <v>53.64</v>
    <v>39.47</v>
    <v>0.35</v>
    <v>7.0660000000000002E-3</v>
    <v>US</v>
    <v>50.03</v>
    <v>Index</v>
    <v>3</v>
    <v>49.55</v>
    <v>10 Y TSY YLD NDX</v>
    <v>49.92</v>
    <v>49.53</v>
    <v>49.88</v>
    <v>TNX</v>
    <v>10 Y TSY YLD NDX</v>
  </rv>
  <rv s="2">
    <v>4</v>
  </rv>
</rvData>
</file>

<file path=xl/richData/rdrichvaluestructure.xml><?xml version="1.0" encoding="utf-8"?>
<rvStructures xmlns="http://schemas.microsoft.com/office/spreadsheetml/2017/richdata" count="4">
  <s t="_hyperlink">
    <k n="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s t="_linkedentitycore">
    <k n="_Display" t="spb"/>
    <k n="_DisplayString" t="s"/>
    <k n="_Flags" t="spb"/>
    <k n="_Format" t="spb"/>
    <k n="_Icon" t="s"/>
    <k n="_SubLabel" t="spb"/>
    <k n="%EntityCulture" t="s"/>
    <k n="%EntityId" t="s"/>
    <k n="%EntityServiceId"/>
    <k n="%IsRefreshable" t="b"/>
    <k n="%ProviderInfo" t="s"/>
    <k n="52 week high"/>
    <k n="52 week low"/>
    <k n="Change"/>
    <k n="Change (%)"/>
    <k n="Country/region" t="s"/>
    <k n="High"/>
    <k n="Instrument type" t="s"/>
    <k n="LearnMoreOnLink" t="r"/>
    <k n="Low"/>
    <k n="Name" t="s"/>
    <k n="Open"/>
    <k n="Previous close"/>
    <k n="Price"/>
    <k n="Ticker symbol" t="s"/>
    <k n="UniqueName" t="s"/>
  </s>
</rvStructures>
</file>

<file path=xl/richData/rdsupportingpropertybag.xml><?xml version="1.0" encoding="utf-8"?>
<supportingPropertyBags xmlns="http://schemas.microsoft.com/office/spreadsheetml/2017/richdata2">
  <spbArrays count="2">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26">
      <v t="s">%EntityServiceId</v>
      <v t="s">_Format</v>
      <v t="s">%IsRefreshable</v>
      <v t="s">%EntityCulture</v>
      <v t="s">%EntityId</v>
      <v t="s">_Icon</v>
      <v t="s">_Display</v>
      <v t="s">Name</v>
      <v t="s">Price</v>
      <v t="s">Ticker symbol</v>
      <v t="s">_SubLabel</v>
      <v t="s">Change</v>
      <v t="s">Change (%)</v>
      <v t="s">Country/region</v>
      <v t="s">Previous close</v>
      <v t="s">Open</v>
      <v t="s">High</v>
      <v t="s">Low</v>
      <v t="s">52 week high</v>
      <v t="s">52 week low</v>
      <v t="s">Instrument type</v>
      <v t="s">_Flags</v>
      <v t="s">UniqueName</v>
      <v t="s">_DisplayString</v>
      <v t="s">LearnMoreOnLink</v>
      <v t="s">%ProviderInfo</v>
    </a>
  </spbArrays>
  <spbData count="9">
    <spb s="0">
      <v>0</v>
      <v>Name</v>
      <v>LearnMoreOnLink</v>
    </spb>
    <spb s="1">
      <v>0</v>
      <v>0</v>
      <v>0</v>
    </spb>
    <spb s="2">
      <v>1</v>
      <v>1</v>
      <v>1</v>
      <v>1</v>
    </spb>
    <spb s="3">
      <v>1</v>
      <v>2</v>
      <v>2</v>
      <v>1</v>
      <v>3</v>
      <v>1</v>
      <v>1</v>
      <v>1</v>
      <v>4</v>
      <v>4</v>
      <v>5</v>
      <v>6</v>
      <v>1</v>
      <v>1</v>
      <v>1</v>
      <v>4</v>
      <v>7</v>
      <v>8</v>
      <v>9</v>
      <v>4</v>
      <v>1</v>
      <v>1</v>
      <v>5</v>
    </spb>
    <spb s="4">
      <v>at close</v>
      <v>from previous close</v>
      <v>from previous close</v>
      <v>Source: Nasdaq</v>
      <v>GMT</v>
      <v>Delayed 15 minutes</v>
      <v>from close</v>
      <v>from close</v>
    </spb>
    <spb s="0">
      <v>1</v>
      <v>Name</v>
      <v>LearnMoreOnLink</v>
    </spb>
    <spb s="5">
      <v>1</v>
      <v>1</v>
      <v>1</v>
    </spb>
    <spb s="6">
      <v>1</v>
      <v>1</v>
      <v>3</v>
      <v>1</v>
      <v>1</v>
      <v>1</v>
      <v>5</v>
      <v>1</v>
      <v>1</v>
      <v>1</v>
      <v>9</v>
    </spb>
    <spb s="7">
      <v>from previous close</v>
      <v>from previous close</v>
    </spb>
  </spbData>
</supportingPropertyBags>
</file>

<file path=xl/richData/rdsupportingpropertybagstructure.xml><?xml version="1.0" encoding="utf-8"?>
<spbStructures xmlns="http://schemas.microsoft.com/office/spreadsheetml/2017/richdata2" count="8">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UniqueName" t="spb"/>
    <k n="`%ProviderInfo" t="spb"/>
    <k n="LearnMoreOnLink" t="spb"/>
  </s>
  <s>
    <k n="Low" t="i"/>
    <k n="High" t="i"/>
    <k n="Name" t="i"/>
    <k n="Open" t="i"/>
    <k n="Price" t="i"/>
    <k n="Change" t="i"/>
    <k n="Change (%)" t="i"/>
    <k n="52 week low" t="i"/>
    <k n="52 week high" t="i"/>
    <k n="Previous close" t="i"/>
    <k n="`%EntityServiceId" t="i"/>
  </s>
  <s>
    <k n="Change" t="s"/>
    <k n="Change (%)"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 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86" dT="2026-02-17T21:45:28.65" personId="{A0F62302-F8D3-B346-B5DF-839B413AE710}" id="{22B2B3EF-EBF6-0D4F-BF74-BA371A77FD6F}">
    <text>Actual number</text>
  </threadedComment>
  <threadedComment ref="B120" dT="2026-04-25T21:52:20.00" personId="{A0F62302-F8D3-B346-B5DF-839B413AE710}" id="{8A10573A-B1E5-5443-A272-E27CCC9C056F}">
    <text>Take the closing price of the last day of the period. In case the price has seen heavy fluctuations make an average of the last days. Info found at Yahoo Finance in the Historical Data section</text>
  </threadedComment>
  <threadedComment ref="B209" dT="2026-01-31T00:39:50.80" personId="{A0F62302-F8D3-B346-B5DF-839B413AE710}" id="{5BBC1251-89A4-4947-B16B-1A3517F3978F}">
    <text>Actual number (not K or M)</text>
  </threadedComment>
  <threadedComment ref="B211" dT="2026-07-06T00:07:53.29" personId="{A0F62302-F8D3-B346-B5DF-839B413AE710}" id="{E6C552BA-8E42-8048-BA98-39C456CBD611}">
    <text>Renamed to total managed payments</text>
  </threadedComment>
  <threadedComment ref="B213" dT="2026-07-06T00:08:11.53" personId="{A0F62302-F8D3-B346-B5DF-839B413AE710}" id="{6F985346-2770-364E-9653-7584125D2BA5}">
    <text>Renamed to payment solution revenue rate</text>
  </threadedComment>
</ThreadedComments>
</file>

<file path=xl/threadedComments/threadedComment2.xml><?xml version="1.0" encoding="utf-8"?>
<ThreadedComments xmlns="http://schemas.microsoft.com/office/spreadsheetml/2018/threadedcomments" xmlns:x="http://schemas.openxmlformats.org/spreadsheetml/2006/main">
  <threadedComment ref="Q7" dT="2026-07-06T00:12:32.69" personId="{A0F62302-F8D3-B346-B5DF-839B413AE710}" id="{58911EC8-5C4A-EA44-9BF7-062498A18F6A}">
    <text>Since Q1 2027 it is payment volume * take rate which also have been renamed</text>
  </threadedComment>
</ThreadedComments>
</file>

<file path=xl/threadedComments/threadedComment3.xml><?xml version="1.0" encoding="utf-8"?>
<ThreadedComments xmlns="http://schemas.microsoft.com/office/spreadsheetml/2018/threadedcomments" xmlns:x="http://schemas.openxmlformats.org/spreadsheetml/2006/main">
  <threadedComment ref="B35" dT="2026-04-25T20:40:52.15" personId="{A0F62302-F8D3-B346-B5DF-839B413AE710}" id="{87FCD2F5-1815-1140-9144-DCAA38F9CA74}">
    <text>We use here the inverted signg as are used in the CashFlow statement which means we will Add the change in NWC to the NOPAT instead of subtracting it</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6044FD4-8F6D-C44C-A931-2F82C76276B7}">
  <we:reference id="wa200001365" version="2.5.0.0" store="en-US" storeType="OMEX"/>
  <we:alternateReferences>
    <we:reference id="wa200001365" version="2.5.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_xldudf_ALPHAVANTAGE_EQUITYQUOTE</we:customFunctionIds>
        <we:customFunctionIds>_xldudf_ALPHAVANTAGE_EQUITYTIMESERIES</we:customFunctionIds>
        <we:customFunctionIds>_xldudf_ALPHAVANTAGE_INTRADAYEQUITYSERIESUPDATING</we:customFunctionIds>
        <we:customFunctionIds>_xldudf_ALPHAVANTAGE_EXCHANGERATE</we:customFunctionIds>
        <we:customFunctionIds>_xldudf_ALPHAVANTAGE_EXCHANGERATEUPDATING</we:customFunctionIds>
        <we:customFunctionIds>_xldudf_ALPHAVANTAGE_EXCHANGERATESERIES</we:customFunctionIds>
        <we:customFunctionIds>_xldudf_ALPHAVANTAGE_EXCHANGERATESERIESUPDATING</we:customFunctionIds>
        <we:customFunctionIds>_xldudf_ALPHAVANTAGE_TECHNICALINDICATOR</we:customFunctionIds>
        <we:customFunctionIds>_xldudf_ALPHAVANTAGE_SYMBOLSEARCH</we:customFunctionIds>
        <we:customFunctionIds>_xldudf_ALPHAVANTAGE_COMMODITYTIMESERIES</we:customFunctionIds>
        <we:customFunctionIds>_xldudf_ALPHAVANTAGE_AVAILABLECRYPTOCURRENCIES</we:customFunctionIds>
        <we:customFunctionIds>_xldudf_ALPHAVANTAGE_AVAILABLEPHYSICALCURRENCIES</we:customFunctionIds>
        <we:customFunctionIds>_xldudf_ALPHAVANTAGE_COMPANYOVERVIEW</we:customFunctionIds>
        <we:customFunctionIds>_xldudf_ALPHAVANTAGE_COMPANYEARNINGS</we:customFunctionIds>
        <we:customFunctionIds>_xldudf_ALPHAVANTAGE_COMPANYFILINGS</we:customFunctionIds>
        <we:customFunctionIds>_xldudf_ALPHAVANTAGE_LISTINGSTATUS</we:customFunctionIds>
        <we:customFunctionIds>_xldudf_ALPHAVANTAGE_EARNINGSCALENDAR</we:customFunctionIds>
        <we:customFunctionIds>_xldudf_ALPHAVANTAGE_ECONOMICINDICATOR</we:customFunctionIds>
        <we:customFunctionIds>_xldudf_ALPHAVANTAGE_TREASURYYIELD</we:customFunctionIds>
      </we:customFunctionIdList>
    </a:ext>
  </we:extLst>
</we:webextension>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B172E-7ADE-4B4A-B533-F037BCFCDCB0}">
  <dimension ref="B1:K68"/>
  <sheetViews>
    <sheetView tabSelected="1" zoomScale="160" zoomScaleNormal="160" workbookViewId="0">
      <selection activeCell="I9" sqref="I9"/>
    </sheetView>
  </sheetViews>
  <sheetFormatPr baseColWidth="10" defaultRowHeight="16" x14ac:dyDescent="0.2"/>
  <cols>
    <col min="1" max="1" width="2" style="1" customWidth="1"/>
    <col min="2" max="2" width="20.6640625" style="1" customWidth="1"/>
    <col min="3" max="3" width="25.83203125" style="1" customWidth="1"/>
    <col min="4" max="4" width="2" style="1" customWidth="1"/>
    <col min="5" max="5" width="19.1640625" style="1" customWidth="1"/>
    <col min="6" max="6" width="14.5" style="1" customWidth="1"/>
    <col min="7" max="7" width="1.6640625" style="1" customWidth="1"/>
    <col min="8" max="8" width="15.83203125" style="1" customWidth="1"/>
    <col min="9" max="9" width="8.6640625" style="1" customWidth="1"/>
    <col min="10" max="10" width="2" style="1" customWidth="1"/>
    <col min="11" max="11" width="16.5" style="1" customWidth="1"/>
    <col min="12" max="16384" width="10.83203125" style="1"/>
  </cols>
  <sheetData>
    <row r="1" spans="2:11" ht="11" customHeight="1" x14ac:dyDescent="0.2"/>
    <row r="2" spans="2:11" x14ac:dyDescent="0.2">
      <c r="B2" s="265" t="s">
        <v>18</v>
      </c>
      <c r="C2" s="266"/>
      <c r="E2" s="265" t="s">
        <v>299</v>
      </c>
      <c r="F2" s="266"/>
      <c r="H2" s="265" t="s">
        <v>338</v>
      </c>
      <c r="I2" s="266"/>
      <c r="K2" s="136" t="s">
        <v>443</v>
      </c>
    </row>
    <row r="3" spans="2:11" x14ac:dyDescent="0.2">
      <c r="B3" s="185" t="s">
        <v>11</v>
      </c>
      <c r="C3" s="217" t="e" vm="1">
        <v>#VALUE!</v>
      </c>
      <c r="D3" s="2"/>
      <c r="E3" s="185" t="s">
        <v>251</v>
      </c>
      <c r="F3" s="187">
        <f ca="1">Statement!AC153</f>
        <v>816194.86</v>
      </c>
      <c r="H3" s="185" t="str">
        <f>'AVG target price'!B5</f>
        <v>DCF price</v>
      </c>
      <c r="I3" s="211">
        <f ca="1">'AVG target price'!C5</f>
        <v>11.213353487232084</v>
      </c>
      <c r="K3" s="260" t="s">
        <v>444</v>
      </c>
    </row>
    <row r="4" spans="2:11" x14ac:dyDescent="0.2">
      <c r="B4" s="185" t="s">
        <v>0</v>
      </c>
      <c r="C4" s="189" t="str" cm="1">
        <f t="array" aca="1" ref="C4" ca="1">_FV(C3,"Ticker symbol",TRUE)</f>
        <v>PHR</v>
      </c>
      <c r="E4" s="186" t="s">
        <v>200</v>
      </c>
      <c r="F4" s="188">
        <f ca="1">Statement!AC154</f>
        <v>809695.86</v>
      </c>
      <c r="H4" s="185" t="str">
        <f>'AVG target price'!B6</f>
        <v>EV/EBIT price</v>
      </c>
      <c r="I4" s="211">
        <f ca="1">'AVG target price'!C6</f>
        <v>17.829749171595605</v>
      </c>
      <c r="K4" s="260" t="s">
        <v>445</v>
      </c>
    </row>
    <row r="5" spans="2:11" x14ac:dyDescent="0.2">
      <c r="B5" s="185" t="s">
        <v>1</v>
      </c>
      <c r="C5" s="208" cm="1">
        <f t="array" aca="1" ref="C5" ca="1">_FV(C3,"Price",TRUE)</f>
        <v>12.61</v>
      </c>
      <c r="E5" s="185" t="s">
        <v>255</v>
      </c>
      <c r="F5" s="190">
        <f>Statement!AC28</f>
        <v>-1.7861846919361921E-2</v>
      </c>
      <c r="H5" s="185" t="str">
        <f>'AVG target price'!B7</f>
        <v>PS price</v>
      </c>
      <c r="I5" s="211">
        <f ca="1">'AVG target price'!C7</f>
        <v>17.048123816270984</v>
      </c>
      <c r="K5" s="260" t="s">
        <v>446</v>
      </c>
    </row>
    <row r="6" spans="2:11" x14ac:dyDescent="0.2">
      <c r="B6" s="185" t="s">
        <v>2</v>
      </c>
      <c r="C6" s="208" cm="1">
        <f t="array" aca="1" ref="C6" ca="1">_FV(C3,"Price (Extended hours)",TRUE)</f>
        <v>12.59</v>
      </c>
      <c r="E6" s="185" t="s">
        <v>249</v>
      </c>
      <c r="F6" s="190">
        <f ca="1">Statement!AC150</f>
        <v>-705.97402703809905</v>
      </c>
      <c r="H6" s="185" t="str">
        <f>'AVG target price'!B8</f>
        <v>EV/FCFF price</v>
      </c>
      <c r="I6" s="211">
        <f ca="1">'AVG target price'!C8</f>
        <v>14.291730446868652</v>
      </c>
      <c r="K6" s="261" t="s">
        <v>447</v>
      </c>
    </row>
    <row r="7" spans="2:11" x14ac:dyDescent="0.2">
      <c r="B7" s="185" t="s">
        <v>3</v>
      </c>
      <c r="C7" s="6" cm="1">
        <f t="array" aca="1" ref="C7" ca="1">_FV(C3,"Change")</f>
        <v>-0.09</v>
      </c>
      <c r="E7" s="186" t="s">
        <v>213</v>
      </c>
      <c r="F7" s="191">
        <f ca="1">Statement!AC151</f>
        <v>1.5369177056398964</v>
      </c>
      <c r="H7" s="185" t="str">
        <f>'AVG target price'!B9</f>
        <v>EV/Sales price</v>
      </c>
      <c r="I7" s="211">
        <f ca="1">'AVG target price'!C9</f>
        <v>25.875822430644842</v>
      </c>
    </row>
    <row r="8" spans="2:11" x14ac:dyDescent="0.2">
      <c r="B8" s="185" t="s">
        <v>4</v>
      </c>
      <c r="C8" s="6" cm="1">
        <f t="array" aca="1" ref="C8" ca="1">_FV(C3,"Change (extended hours)",TRUE)</f>
        <v>-0.02</v>
      </c>
      <c r="E8" s="185" t="s">
        <v>277</v>
      </c>
      <c r="F8" s="192">
        <f ca="1">Statement!AC161</f>
        <v>9.9191999322318699E-3</v>
      </c>
      <c r="H8" s="184" t="str">
        <f>'AVG target price'!B10</f>
        <v>AVG price</v>
      </c>
      <c r="I8" s="212">
        <f ca="1">'AVG target price'!C10</f>
        <v>17.251755870522434</v>
      </c>
    </row>
    <row r="9" spans="2:11" x14ac:dyDescent="0.2">
      <c r="B9" s="185" t="s">
        <v>5</v>
      </c>
      <c r="C9" s="73" cm="1">
        <f t="array" aca="1" ref="C9" ca="1">_FV(C3,"Change (%)",TRUE)</f>
        <v>-7.0869999999999995E-3</v>
      </c>
      <c r="E9" s="185" t="s">
        <v>300</v>
      </c>
      <c r="F9" s="192">
        <f ca="1">Statement!AC162</f>
        <v>-1.4164827057384552E-3</v>
      </c>
      <c r="H9" s="184" t="str">
        <f>'AVG target price'!B12</f>
        <v>Upside/Downside</v>
      </c>
      <c r="I9" s="213">
        <f ca="1">'AVG target price'!C12</f>
        <v>0.36810117926426922</v>
      </c>
    </row>
    <row r="10" spans="2:11" x14ac:dyDescent="0.2">
      <c r="B10" s="185" t="s">
        <v>6</v>
      </c>
      <c r="C10" s="73" cm="1">
        <f t="array" aca="1" ref="C10" ca="1">_FV(C3,"Change % (extended hours)",TRUE)</f>
        <v>-1.586E-3</v>
      </c>
      <c r="E10" s="185" t="s">
        <v>305</v>
      </c>
      <c r="F10" s="192">
        <f ca="1">Statement!AC164</f>
        <v>0</v>
      </c>
    </row>
    <row r="11" spans="2:11" x14ac:dyDescent="0.2">
      <c r="B11" s="185" t="s">
        <v>7</v>
      </c>
      <c r="C11" s="209" cm="1">
        <f t="array" aca="1" ref="C11" ca="1">_FV(C3,"52 week high",TRUE)</f>
        <v>23.865100000000002</v>
      </c>
      <c r="E11" s="186" t="s">
        <v>301</v>
      </c>
      <c r="F11" s="193">
        <f ca="1">Statement!AC163</f>
        <v>0</v>
      </c>
      <c r="H11" s="184" t="s">
        <v>427</v>
      </c>
      <c r="I11" s="212">
        <f ca="1">DDM!C26</f>
        <v>0</v>
      </c>
    </row>
    <row r="12" spans="2:11" x14ac:dyDescent="0.2">
      <c r="B12" s="185" t="s">
        <v>8</v>
      </c>
      <c r="C12" s="209" cm="1">
        <f t="array" aca="1" ref="C12" ca="1">_FV(C3,"52 week low",TRUE)</f>
        <v>7.77</v>
      </c>
      <c r="E12" s="185" t="s">
        <v>112</v>
      </c>
      <c r="F12" s="192">
        <f>Statement!AC127</f>
        <v>-1.8099561499095023E-3</v>
      </c>
    </row>
    <row r="13" spans="2:11" x14ac:dyDescent="0.2">
      <c r="B13" s="185" t="s">
        <v>9</v>
      </c>
      <c r="C13" s="209" cm="1">
        <f t="array" aca="1" ref="C13" ca="1">_FV(C3,"Beta")</f>
        <v>0.75829999999999997</v>
      </c>
      <c r="E13" s="185" t="s">
        <v>114</v>
      </c>
      <c r="F13" s="192">
        <f>Statement!AC129</f>
        <v>-3.1491107997558164E-3</v>
      </c>
      <c r="H13" s="264" t="s">
        <v>440</v>
      </c>
      <c r="I13" s="262">
        <f>'Reverse DCF'!C17</f>
        <v>0.45</v>
      </c>
    </row>
    <row r="14" spans="2:11" x14ac:dyDescent="0.2">
      <c r="B14" s="186" t="s">
        <v>10</v>
      </c>
      <c r="C14" s="210" cm="1">
        <f t="array" aca="1" ref="C14" ca="1">_FV(C3,"Volume average",TRUE)</f>
        <v>679066</v>
      </c>
      <c r="E14" s="186" t="s">
        <v>115</v>
      </c>
      <c r="F14" s="193">
        <f>Statement!AC140</f>
        <v>-1.4540196296708597E-2</v>
      </c>
      <c r="H14" s="186" t="s">
        <v>449</v>
      </c>
      <c r="I14" s="263">
        <f ca="1">'Reverse DCF'!C16</f>
        <v>11.046079044331362</v>
      </c>
    </row>
    <row r="15" spans="2:11" x14ac:dyDescent="0.2">
      <c r="E15" s="185" t="s">
        <v>302</v>
      </c>
      <c r="F15" s="192">
        <f ca="1">Statement!AC176</f>
        <v>7.9625593329514469E-3</v>
      </c>
    </row>
    <row r="16" spans="2:11" x14ac:dyDescent="0.2">
      <c r="E16" s="186" t="s">
        <v>307</v>
      </c>
      <c r="F16" s="191">
        <f>Statement!AC175</f>
        <v>0.10470267918995989</v>
      </c>
      <c r="H16" s="265" t="s">
        <v>441</v>
      </c>
      <c r="I16" s="266"/>
    </row>
    <row r="17" spans="2:9" x14ac:dyDescent="0.2">
      <c r="B17" s="267" t="s">
        <v>101</v>
      </c>
      <c r="C17" s="267"/>
      <c r="E17" s="184" t="s">
        <v>308</v>
      </c>
      <c r="F17" s="194">
        <f>Statement!AC171</f>
        <v>5.0026264561381824E-2</v>
      </c>
      <c r="H17" s="185" t="s">
        <v>177</v>
      </c>
      <c r="I17" s="258">
        <f ca="1">DCF!C15</f>
        <v>8.1545315069608271E-2</v>
      </c>
    </row>
    <row r="18" spans="2:9" x14ac:dyDescent="0.2">
      <c r="B18" s="184" t="s">
        <v>12</v>
      </c>
      <c r="C18" s="69" t="s">
        <v>14</v>
      </c>
      <c r="E18" s="185" t="s">
        <v>309</v>
      </c>
      <c r="F18" s="190">
        <f>Statement!AC144</f>
        <v>37.184518492589405</v>
      </c>
      <c r="H18" s="186" t="s">
        <v>442</v>
      </c>
      <c r="I18" s="259">
        <f ca="1">Multiples!C54</f>
        <v>8.4003499999999995E-2</v>
      </c>
    </row>
    <row r="19" spans="2:9" x14ac:dyDescent="0.2">
      <c r="B19" s="184" t="s">
        <v>13</v>
      </c>
      <c r="C19" s="70">
        <v>1000</v>
      </c>
      <c r="E19" s="185" t="s">
        <v>270</v>
      </c>
      <c r="F19" s="190">
        <f>Statement!AC146</f>
        <v>-1.7477430476185354E-2</v>
      </c>
    </row>
    <row r="20" spans="2:9" x14ac:dyDescent="0.2">
      <c r="B20" s="184" t="s">
        <v>102</v>
      </c>
      <c r="C20" s="69" t="s">
        <v>103</v>
      </c>
      <c r="E20" s="186" t="s">
        <v>310</v>
      </c>
      <c r="F20" s="191">
        <f>Statement!AC147</f>
        <v>1.1287308374178746</v>
      </c>
    </row>
    <row r="21" spans="2:9" x14ac:dyDescent="0.2">
      <c r="B21" s="184" t="s">
        <v>104</v>
      </c>
      <c r="C21" s="69" t="s">
        <v>103</v>
      </c>
      <c r="I21" s="50"/>
    </row>
    <row r="22" spans="2:9" x14ac:dyDescent="0.2">
      <c r="B22" s="184" t="s">
        <v>105</v>
      </c>
      <c r="C22" s="69" t="s">
        <v>103</v>
      </c>
    </row>
    <row r="25" spans="2:9" x14ac:dyDescent="0.2">
      <c r="B25" s="267" t="s">
        <v>117</v>
      </c>
      <c r="C25" s="267"/>
      <c r="E25" s="265" t="s">
        <v>352</v>
      </c>
      <c r="F25" s="266"/>
    </row>
    <row r="26" spans="2:9" x14ac:dyDescent="0.2">
      <c r="B26" s="184" t="s">
        <v>118</v>
      </c>
      <c r="C26" s="170">
        <v>0.21</v>
      </c>
      <c r="E26" s="185" t="e" vm="2">
        <v>#VALUE!</v>
      </c>
      <c r="F26" s="219" cm="1">
        <f t="array" aca="1" ref="F26" ca="1">_FV(E26,"Price")</f>
        <v>49.88</v>
      </c>
    </row>
    <row r="27" spans="2:9" x14ac:dyDescent="0.2">
      <c r="B27" s="184" t="s">
        <v>184</v>
      </c>
      <c r="C27" s="221">
        <v>6.5000000000000002E-2</v>
      </c>
      <c r="E27" s="186" t="s">
        <v>353</v>
      </c>
      <c r="F27" s="220">
        <f ca="1">F26/1000</f>
        <v>4.9880000000000001E-2</v>
      </c>
    </row>
    <row r="28" spans="2:9" x14ac:dyDescent="0.2">
      <c r="B28" s="184" t="s">
        <v>357</v>
      </c>
      <c r="C28" s="221">
        <v>0</v>
      </c>
    </row>
    <row r="29" spans="2:9" x14ac:dyDescent="0.2">
      <c r="B29" s="184" t="s">
        <v>426</v>
      </c>
      <c r="C29" s="221">
        <v>0</v>
      </c>
    </row>
    <row r="33" spans="2:8" x14ac:dyDescent="0.2">
      <c r="B33" s="136" t="s">
        <v>346</v>
      </c>
      <c r="C33" s="136"/>
      <c r="D33" s="136"/>
      <c r="E33" s="136"/>
      <c r="F33" s="136"/>
      <c r="G33" s="136"/>
      <c r="H33" s="136"/>
    </row>
    <row r="35" spans="2:8" x14ac:dyDescent="0.2">
      <c r="B35" s="16" t="s">
        <v>347</v>
      </c>
      <c r="C35" s="1" t="s">
        <v>369</v>
      </c>
    </row>
    <row r="36" spans="2:8" x14ac:dyDescent="0.2">
      <c r="B36" s="16" t="s">
        <v>348</v>
      </c>
      <c r="C36" s="1" t="s">
        <v>351</v>
      </c>
    </row>
    <row r="39" spans="2:8" ht="6" customHeight="1" x14ac:dyDescent="0.2">
      <c r="B39" s="136"/>
      <c r="C39" s="136"/>
      <c r="D39" s="136"/>
      <c r="E39" s="136"/>
      <c r="F39" s="136"/>
      <c r="G39" s="136"/>
      <c r="H39" s="136"/>
    </row>
    <row r="42" spans="2:8" x14ac:dyDescent="0.2">
      <c r="B42" s="136" t="s">
        <v>349</v>
      </c>
      <c r="C42" s="136"/>
      <c r="D42" s="136"/>
      <c r="E42" s="136"/>
      <c r="F42" s="136"/>
      <c r="G42" s="136"/>
      <c r="H42" s="136"/>
    </row>
    <row r="44" spans="2:8" x14ac:dyDescent="0.2">
      <c r="B44" s="41" t="s">
        <v>350</v>
      </c>
      <c r="C44" s="41" t="s">
        <v>370</v>
      </c>
      <c r="D44" s="41"/>
      <c r="E44" s="41" t="s">
        <v>91</v>
      </c>
    </row>
    <row r="45" spans="2:8" x14ac:dyDescent="0.2">
      <c r="B45" s="1" t="s">
        <v>373</v>
      </c>
      <c r="C45" s="1" t="s">
        <v>377</v>
      </c>
    </row>
    <row r="46" spans="2:8" x14ac:dyDescent="0.2">
      <c r="B46" s="1" t="s">
        <v>373</v>
      </c>
      <c r="C46" s="1" t="s">
        <v>378</v>
      </c>
    </row>
    <row r="47" spans="2:8" x14ac:dyDescent="0.2">
      <c r="B47" s="1" t="s">
        <v>373</v>
      </c>
      <c r="C47" s="1" t="s">
        <v>379</v>
      </c>
    </row>
    <row r="48" spans="2:8" x14ac:dyDescent="0.2">
      <c r="B48" s="1" t="s">
        <v>373</v>
      </c>
      <c r="C48" s="1" t="s">
        <v>380</v>
      </c>
    </row>
    <row r="49" spans="2:8" x14ac:dyDescent="0.2">
      <c r="B49" s="1" t="s">
        <v>373</v>
      </c>
      <c r="C49" s="1" t="s">
        <v>381</v>
      </c>
    </row>
    <row r="50" spans="2:8" x14ac:dyDescent="0.2">
      <c r="B50" s="1" t="s">
        <v>373</v>
      </c>
      <c r="C50" s="1" t="s">
        <v>382</v>
      </c>
    </row>
    <row r="51" spans="2:8" x14ac:dyDescent="0.2">
      <c r="B51" s="1" t="s">
        <v>373</v>
      </c>
      <c r="C51" s="1" t="s">
        <v>383</v>
      </c>
    </row>
    <row r="52" spans="2:8" x14ac:dyDescent="0.2">
      <c r="B52" s="1" t="s">
        <v>373</v>
      </c>
      <c r="C52" s="1" t="s">
        <v>384</v>
      </c>
    </row>
    <row r="53" spans="2:8" x14ac:dyDescent="0.2">
      <c r="B53" s="1" t="s">
        <v>373</v>
      </c>
      <c r="C53" s="1" t="s">
        <v>385</v>
      </c>
    </row>
    <row r="55" spans="2:8" ht="5" customHeight="1" x14ac:dyDescent="0.2">
      <c r="B55" s="136"/>
      <c r="C55" s="136"/>
      <c r="D55" s="136"/>
      <c r="E55" s="136"/>
      <c r="F55" s="136"/>
      <c r="G55" s="136"/>
      <c r="H55" s="136"/>
    </row>
    <row r="58" spans="2:8" x14ac:dyDescent="0.2">
      <c r="B58" s="136" t="s">
        <v>119</v>
      </c>
      <c r="C58" s="136"/>
      <c r="D58" s="136"/>
      <c r="E58" s="136"/>
      <c r="F58" s="136"/>
      <c r="G58" s="136"/>
      <c r="H58" s="136"/>
    </row>
    <row r="60" spans="2:8" x14ac:dyDescent="0.2">
      <c r="B60" s="41" t="s">
        <v>350</v>
      </c>
      <c r="C60" s="41" t="s">
        <v>86</v>
      </c>
      <c r="D60" s="41"/>
      <c r="E60" s="41" t="s">
        <v>376</v>
      </c>
    </row>
    <row r="61" spans="2:8" x14ac:dyDescent="0.2">
      <c r="B61" s="1" t="s">
        <v>373</v>
      </c>
      <c r="C61" s="1" t="s">
        <v>374</v>
      </c>
      <c r="E61" s="1" t="s">
        <v>375</v>
      </c>
    </row>
    <row r="63" spans="2:8" x14ac:dyDescent="0.2">
      <c r="B63" s="41" t="s">
        <v>350</v>
      </c>
      <c r="C63" s="41" t="s">
        <v>86</v>
      </c>
      <c r="D63" s="41"/>
      <c r="E63" s="41" t="s">
        <v>91</v>
      </c>
    </row>
    <row r="64" spans="2:8" x14ac:dyDescent="0.2">
      <c r="B64" s="1" t="s">
        <v>373</v>
      </c>
      <c r="C64" s="1" t="s">
        <v>374</v>
      </c>
      <c r="E64" s="1" t="s">
        <v>375</v>
      </c>
    </row>
    <row r="68" spans="2:8" ht="5" customHeight="1" x14ac:dyDescent="0.2">
      <c r="B68" s="136"/>
      <c r="C68" s="136"/>
      <c r="D68" s="136"/>
      <c r="E68" s="136"/>
      <c r="F68" s="136"/>
      <c r="G68" s="136"/>
      <c r="H68" s="136"/>
    </row>
  </sheetData>
  <mergeCells count="7">
    <mergeCell ref="B2:C2"/>
    <mergeCell ref="B17:C17"/>
    <mergeCell ref="B25:C25"/>
    <mergeCell ref="E2:F2"/>
    <mergeCell ref="H2:I2"/>
    <mergeCell ref="E25:F25"/>
    <mergeCell ref="H16:I16"/>
  </mergeCells>
  <conditionalFormatting sqref="C7:C10">
    <cfRule type="cellIs" dxfId="2" priority="4" operator="lessThan">
      <formula>0</formula>
    </cfRule>
    <cfRule type="cellIs" dxfId="1" priority="5" operator="equal">
      <formula>0</formula>
    </cfRule>
    <cfRule type="cellIs" dxfId="0" priority="6" operator="greaterThan">
      <formula>0</formula>
    </cfRule>
  </conditionalFormatting>
  <hyperlinks>
    <hyperlink ref="K3" location="'Financials -&gt;'!B13" display="'Financials -&gt;'!B13" xr:uid="{E408AF42-F5FB-7443-88AB-0DF109BF0CF5}"/>
    <hyperlink ref="K4" location="'Analysis -&gt;'!B13" display="'Analysis -&gt;'!B13" xr:uid="{07364BB6-8036-5D4B-B404-C4AC7ACB15AC}"/>
    <hyperlink ref="K5" location="'Forecast -&gt;'!B13" display="'Forecast -&gt;'!B13" xr:uid="{E62C4688-86EB-9642-B23D-66F9D6FE8A6B}"/>
    <hyperlink ref="K6" location="'Valuation -&gt;'!B13" display="'Valuation -&gt;'!B13" xr:uid="{135A1967-42BC-E545-BC4E-C3CE29C5586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35612-A5F6-ED42-8E7B-33A97D1D2D90}">
  <sheetPr>
    <tabColor theme="6" tint="0.59999389629810485"/>
  </sheetPr>
  <dimension ref="B5:H13"/>
  <sheetViews>
    <sheetView workbookViewId="0">
      <selection activeCell="H5" sqref="H5:H10"/>
    </sheetView>
  </sheetViews>
  <sheetFormatPr baseColWidth="10" defaultRowHeight="16" x14ac:dyDescent="0.2"/>
  <cols>
    <col min="1" max="7" width="10.83203125" style="1"/>
    <col min="8" max="8" width="16.6640625" style="1" customWidth="1"/>
    <col min="9" max="16384" width="10.83203125" style="1"/>
  </cols>
  <sheetData>
    <row r="5" spans="2:8" x14ac:dyDescent="0.2">
      <c r="H5" s="136" t="s">
        <v>443</v>
      </c>
    </row>
    <row r="6" spans="2:8" x14ac:dyDescent="0.2">
      <c r="H6" s="260" t="s">
        <v>448</v>
      </c>
    </row>
    <row r="7" spans="2:8" x14ac:dyDescent="0.2">
      <c r="H7" s="260" t="s">
        <v>444</v>
      </c>
    </row>
    <row r="8" spans="2:8" x14ac:dyDescent="0.2">
      <c r="H8" s="260" t="s">
        <v>445</v>
      </c>
    </row>
    <row r="9" spans="2:8" x14ac:dyDescent="0.2">
      <c r="H9" s="260" t="s">
        <v>446</v>
      </c>
    </row>
    <row r="10" spans="2:8" x14ac:dyDescent="0.2">
      <c r="H10" s="261" t="s">
        <v>447</v>
      </c>
    </row>
    <row r="13" spans="2:8" s="4" customFormat="1" ht="49" x14ac:dyDescent="0.2">
      <c r="B13" s="3" t="s">
        <v>15</v>
      </c>
    </row>
  </sheetData>
  <hyperlinks>
    <hyperlink ref="H6" location="Overview!B3" display="Overview'!B3" xr:uid="{863A7BEB-FD2C-B043-8721-5908661C55DE}"/>
    <hyperlink ref="H8" location="'Analysis -&gt;'!B13" display="'Analysis -&gt;'!B13" xr:uid="{733756E3-5812-AA41-A85C-6AA8941813B1}"/>
    <hyperlink ref="H9" location="'Forecast -&gt;'!B13" display="'Forecast -&gt;'!B13" xr:uid="{3B1AE0AD-58C8-9247-B3DC-FB2F2F72A726}"/>
    <hyperlink ref="H10" location="'Valuation -&gt;'!B13" display="'Valuation -&gt;'!B13" xr:uid="{86638A7D-42ED-6B41-9FA7-A6BCAF75C46B}"/>
    <hyperlink ref="H7" location="'Financials -&gt;'!B13" display="'Financials -&gt;'!B13" xr:uid="{CD7B5495-9110-C04A-B821-DDA21F557B53}"/>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8B83C-60BF-4548-84AB-1D4A73B251A4}">
  <dimension ref="A1:AE220"/>
  <sheetViews>
    <sheetView zoomScale="200" zoomScaleNormal="150" workbookViewId="0">
      <pane xSplit="2" ySplit="3" topLeftCell="AA154" activePane="bottomRight" state="frozen"/>
      <selection pane="topRight" activeCell="C1" sqref="C1"/>
      <selection pane="bottomLeft" activeCell="A4" sqref="A4"/>
      <selection pane="bottomRight" activeCell="AC158" sqref="AC158"/>
    </sheetView>
  </sheetViews>
  <sheetFormatPr baseColWidth="10" defaultRowHeight="16" x14ac:dyDescent="0.2"/>
  <cols>
    <col min="1" max="1" width="3.6640625" style="1" customWidth="1"/>
    <col min="2" max="2" width="33.83203125" style="20" customWidth="1"/>
    <col min="3" max="8" width="12" style="1" customWidth="1"/>
    <col min="9" max="9" width="10.83203125" style="1" customWidth="1"/>
    <col min="10" max="10" width="12" style="1" customWidth="1"/>
    <col min="11" max="12" width="10.83203125" style="1" customWidth="1"/>
    <col min="13" max="13" width="10.6640625" style="1" customWidth="1"/>
    <col min="14" max="14" width="10.83203125" style="1" customWidth="1"/>
    <col min="15" max="16" width="12" style="1" bestFit="1" customWidth="1"/>
    <col min="17" max="17" width="11.33203125" style="1" bestFit="1" customWidth="1"/>
    <col min="18" max="18" width="2.83203125" style="1" customWidth="1"/>
    <col min="19" max="19" width="3.5" style="1" customWidth="1"/>
    <col min="20" max="27" width="10.83203125" style="1"/>
    <col min="28" max="28" width="9" style="1" customWidth="1"/>
    <col min="29" max="29" width="11.33203125" style="1" customWidth="1"/>
    <col min="30" max="16384" width="10.83203125" style="1"/>
  </cols>
  <sheetData>
    <row r="1" spans="1:31" x14ac:dyDescent="0.2">
      <c r="B1" s="1"/>
    </row>
    <row r="2" spans="1:31" s="10" customFormat="1" x14ac:dyDescent="0.2">
      <c r="A2" s="7"/>
      <c r="B2" s="8" t="s">
        <v>16</v>
      </c>
      <c r="C2" s="9"/>
      <c r="D2" s="9"/>
      <c r="E2" s="9"/>
      <c r="F2" s="9"/>
      <c r="G2" s="9"/>
      <c r="H2" s="9"/>
      <c r="I2" s="9"/>
      <c r="M2" s="10" t="s">
        <v>90</v>
      </c>
      <c r="N2" s="10" t="s">
        <v>89</v>
      </c>
      <c r="O2" s="10" t="s">
        <v>88</v>
      </c>
      <c r="P2" s="10" t="s">
        <v>87</v>
      </c>
      <c r="Q2" s="10" t="s">
        <v>86</v>
      </c>
      <c r="R2" s="7"/>
      <c r="S2" s="7"/>
      <c r="T2" s="10" t="s">
        <v>95</v>
      </c>
      <c r="U2" s="10" t="s">
        <v>87</v>
      </c>
      <c r="V2" s="10" t="s">
        <v>99</v>
      </c>
      <c r="W2" s="10" t="s">
        <v>97</v>
      </c>
      <c r="X2" s="203" t="s">
        <v>93</v>
      </c>
      <c r="Y2" s="203" t="s">
        <v>86</v>
      </c>
      <c r="Z2" s="203" t="s">
        <v>428</v>
      </c>
      <c r="AA2" s="203" t="s">
        <v>430</v>
      </c>
      <c r="AB2" s="7"/>
      <c r="AD2" s="7"/>
      <c r="AE2" s="7"/>
    </row>
    <row r="3" spans="1:31" s="13" customFormat="1" x14ac:dyDescent="0.2">
      <c r="A3" s="11"/>
      <c r="B3" s="12" t="s">
        <v>17</v>
      </c>
      <c r="M3" s="13">
        <v>2022</v>
      </c>
      <c r="N3" s="13">
        <v>2023</v>
      </c>
      <c r="O3" s="13">
        <v>2024</v>
      </c>
      <c r="P3" s="13">
        <v>2025</v>
      </c>
      <c r="Q3" s="13">
        <v>2026</v>
      </c>
      <c r="R3" s="11"/>
      <c r="S3" s="11"/>
      <c r="T3" s="10" t="s">
        <v>96</v>
      </c>
      <c r="U3" s="10" t="s">
        <v>92</v>
      </c>
      <c r="V3" s="10" t="s">
        <v>100</v>
      </c>
      <c r="W3" s="10" t="s">
        <v>98</v>
      </c>
      <c r="X3" s="203" t="s">
        <v>94</v>
      </c>
      <c r="Y3" s="203" t="s">
        <v>91</v>
      </c>
      <c r="Z3" s="203" t="s">
        <v>414</v>
      </c>
      <c r="AA3" s="203" t="s">
        <v>429</v>
      </c>
      <c r="AB3" s="11"/>
      <c r="AC3" s="59" t="s">
        <v>85</v>
      </c>
      <c r="AD3" s="11"/>
      <c r="AE3" s="11"/>
    </row>
    <row r="4" spans="1:31" s="15" customFormat="1" ht="17" thickBot="1" x14ac:dyDescent="0.25">
      <c r="A4" s="11"/>
      <c r="B4" s="14" t="s">
        <v>19</v>
      </c>
      <c r="R4" s="11"/>
      <c r="S4" s="11"/>
      <c r="AB4" s="11"/>
      <c r="AD4" s="11"/>
      <c r="AE4" s="11"/>
    </row>
    <row r="5" spans="1:31" s="19" customFormat="1" x14ac:dyDescent="0.2">
      <c r="A5" s="16"/>
      <c r="B5" s="17" t="s">
        <v>20</v>
      </c>
      <c r="C5" s="18"/>
      <c r="D5" s="18"/>
      <c r="E5" s="18"/>
      <c r="F5" s="18"/>
      <c r="G5" s="18"/>
      <c r="H5" s="18"/>
      <c r="I5" s="18"/>
      <c r="J5" s="18"/>
      <c r="K5" s="18"/>
      <c r="L5" s="18"/>
      <c r="M5" s="18">
        <v>213233</v>
      </c>
      <c r="N5" s="18">
        <v>280910</v>
      </c>
      <c r="O5" s="18">
        <v>356299</v>
      </c>
      <c r="P5" s="18">
        <v>419813</v>
      </c>
      <c r="Q5" s="18">
        <v>480591</v>
      </c>
      <c r="R5" s="16"/>
      <c r="S5" s="16"/>
      <c r="T5" s="18">
        <v>106800</v>
      </c>
      <c r="U5" s="18">
        <v>109681</v>
      </c>
      <c r="V5" s="18">
        <v>115936</v>
      </c>
      <c r="W5" s="18">
        <v>117255</v>
      </c>
      <c r="X5" s="18">
        <v>120333</v>
      </c>
      <c r="Y5" s="18">
        <v>127067</v>
      </c>
      <c r="Z5" s="18">
        <v>130935</v>
      </c>
      <c r="AA5" s="18">
        <v>129458</v>
      </c>
      <c r="AB5" s="16"/>
      <c r="AC5" s="18">
        <f>SUM(X5:AA5)</f>
        <v>507793</v>
      </c>
      <c r="AD5" s="16"/>
      <c r="AE5" s="16"/>
    </row>
    <row r="6" spans="1:31" x14ac:dyDescent="0.2">
      <c r="B6" s="20" t="s">
        <v>21</v>
      </c>
      <c r="C6" s="21"/>
      <c r="D6" s="21"/>
      <c r="E6" s="21"/>
      <c r="F6" s="21"/>
      <c r="G6" s="21"/>
      <c r="H6" s="21"/>
      <c r="I6" s="21"/>
      <c r="J6" s="21"/>
      <c r="K6" s="21"/>
      <c r="L6" s="21"/>
      <c r="M6" s="21">
        <v>81388</v>
      </c>
      <c r="N6" s="21">
        <v>109267</v>
      </c>
      <c r="O6" s="21">
        <v>124011</v>
      </c>
      <c r="P6" s="21">
        <v>134934</v>
      </c>
      <c r="Q6" s="21">
        <v>154123</v>
      </c>
      <c r="T6" s="21">
        <v>34537</v>
      </c>
      <c r="U6" s="21">
        <v>33566</v>
      </c>
      <c r="V6" s="21">
        <v>38065</v>
      </c>
      <c r="W6" s="21">
        <v>37641</v>
      </c>
      <c r="X6" s="21">
        <v>38027</v>
      </c>
      <c r="Y6" s="21">
        <v>40390</v>
      </c>
      <c r="Z6" s="21">
        <f>17659+25675</f>
        <v>43334</v>
      </c>
      <c r="AA6" s="21">
        <f>19271+23914</f>
        <v>43185</v>
      </c>
      <c r="AC6" s="21">
        <f t="shared" ref="AC6:AC20" si="0">SUM(X6:AA6)</f>
        <v>164936</v>
      </c>
    </row>
    <row r="7" spans="1:31" s="19" customFormat="1" x14ac:dyDescent="0.2">
      <c r="A7" s="16"/>
      <c r="B7" s="17" t="s">
        <v>22</v>
      </c>
      <c r="C7" s="22">
        <f t="shared" ref="C7:Q7" si="1">C5-C6</f>
        <v>0</v>
      </c>
      <c r="D7" s="22">
        <f t="shared" si="1"/>
        <v>0</v>
      </c>
      <c r="E7" s="22">
        <f t="shared" si="1"/>
        <v>0</v>
      </c>
      <c r="F7" s="22">
        <f t="shared" si="1"/>
        <v>0</v>
      </c>
      <c r="G7" s="22">
        <f t="shared" si="1"/>
        <v>0</v>
      </c>
      <c r="H7" s="22">
        <f t="shared" si="1"/>
        <v>0</v>
      </c>
      <c r="I7" s="22">
        <f t="shared" si="1"/>
        <v>0</v>
      </c>
      <c r="J7" s="22">
        <f t="shared" si="1"/>
        <v>0</v>
      </c>
      <c r="K7" s="22">
        <f t="shared" si="1"/>
        <v>0</v>
      </c>
      <c r="L7" s="22">
        <f t="shared" si="1"/>
        <v>0</v>
      </c>
      <c r="M7" s="22">
        <f t="shared" si="1"/>
        <v>131845</v>
      </c>
      <c r="N7" s="22">
        <f t="shared" si="1"/>
        <v>171643</v>
      </c>
      <c r="O7" s="22">
        <f t="shared" si="1"/>
        <v>232288</v>
      </c>
      <c r="P7" s="22">
        <f t="shared" si="1"/>
        <v>284879</v>
      </c>
      <c r="Q7" s="22">
        <f t="shared" si="1"/>
        <v>326468</v>
      </c>
      <c r="R7" s="16"/>
      <c r="S7" s="16"/>
      <c r="T7" s="22">
        <f t="shared" ref="T7:Z7" si="2">T5-T6</f>
        <v>72263</v>
      </c>
      <c r="U7" s="22">
        <f t="shared" si="2"/>
        <v>76115</v>
      </c>
      <c r="V7" s="22">
        <f t="shared" si="2"/>
        <v>77871</v>
      </c>
      <c r="W7" s="22">
        <f t="shared" si="2"/>
        <v>79614</v>
      </c>
      <c r="X7" s="22">
        <f t="shared" si="2"/>
        <v>82306</v>
      </c>
      <c r="Y7" s="22">
        <f t="shared" si="2"/>
        <v>86677</v>
      </c>
      <c r="Z7" s="22">
        <f t="shared" si="2"/>
        <v>87601</v>
      </c>
      <c r="AA7" s="22">
        <f t="shared" ref="AA7" si="3">AA5-AA6</f>
        <v>86273</v>
      </c>
      <c r="AB7" s="16"/>
      <c r="AC7" s="22">
        <f t="shared" si="0"/>
        <v>342857</v>
      </c>
      <c r="AD7" s="16"/>
      <c r="AE7" s="16"/>
    </row>
    <row r="8" spans="1:31" x14ac:dyDescent="0.2">
      <c r="B8" s="23" t="s">
        <v>24</v>
      </c>
      <c r="C8" s="21"/>
      <c r="D8" s="21"/>
      <c r="E8" s="21"/>
      <c r="F8" s="21"/>
      <c r="G8" s="21"/>
      <c r="H8" s="21"/>
      <c r="I8" s="21"/>
      <c r="J8" s="21"/>
      <c r="K8" s="21"/>
      <c r="L8" s="21"/>
      <c r="M8" s="21">
        <v>106421</v>
      </c>
      <c r="N8" s="21">
        <v>151263</v>
      </c>
      <c r="O8" s="21">
        <v>147008</v>
      </c>
      <c r="P8" s="21">
        <v>121129</v>
      </c>
      <c r="Q8" s="21">
        <v>100243</v>
      </c>
      <c r="T8" s="21">
        <v>30071</v>
      </c>
      <c r="U8" s="21">
        <v>28863</v>
      </c>
      <c r="V8" s="21">
        <v>26043</v>
      </c>
      <c r="W8" s="21">
        <v>25396</v>
      </c>
      <c r="X8" s="21">
        <v>24148</v>
      </c>
      <c r="Y8" s="21">
        <v>24656</v>
      </c>
      <c r="Z8" s="21">
        <v>24209</v>
      </c>
      <c r="AA8" s="21">
        <v>24587</v>
      </c>
      <c r="AC8" s="21">
        <f t="shared" si="0"/>
        <v>97600</v>
      </c>
    </row>
    <row r="9" spans="1:31" x14ac:dyDescent="0.2">
      <c r="B9" s="23" t="s">
        <v>23</v>
      </c>
      <c r="C9" s="21"/>
      <c r="D9" s="21"/>
      <c r="E9" s="21"/>
      <c r="F9" s="21"/>
      <c r="G9" s="21"/>
      <c r="H9" s="21"/>
      <c r="I9" s="21"/>
      <c r="J9" s="21"/>
      <c r="K9" s="21"/>
      <c r="L9" s="21"/>
      <c r="M9" s="21">
        <v>52265</v>
      </c>
      <c r="N9" s="21">
        <v>91244</v>
      </c>
      <c r="O9" s="21">
        <v>112346</v>
      </c>
      <c r="P9" s="21">
        <v>117364</v>
      </c>
      <c r="Q9" s="21">
        <v>121481</v>
      </c>
      <c r="T9" s="21">
        <v>29315</v>
      </c>
      <c r="U9" s="21">
        <v>29626</v>
      </c>
      <c r="V9" s="21">
        <v>31829</v>
      </c>
      <c r="W9" s="21">
        <v>29274</v>
      </c>
      <c r="X9" s="21">
        <v>29453</v>
      </c>
      <c r="Y9" s="21">
        <v>30925</v>
      </c>
      <c r="Z9" s="21">
        <v>28328</v>
      </c>
      <c r="AA9" s="21">
        <v>27571</v>
      </c>
      <c r="AC9" s="21">
        <f t="shared" si="0"/>
        <v>116277</v>
      </c>
    </row>
    <row r="10" spans="1:31" x14ac:dyDescent="0.2">
      <c r="B10" s="23" t="s">
        <v>25</v>
      </c>
      <c r="C10" s="21"/>
      <c r="D10" s="21"/>
      <c r="E10" s="21"/>
      <c r="F10" s="21"/>
      <c r="G10" s="21"/>
      <c r="H10" s="21"/>
      <c r="I10" s="21"/>
      <c r="J10" s="21"/>
      <c r="K10" s="21"/>
      <c r="L10" s="21"/>
      <c r="M10" s="21">
        <v>68674</v>
      </c>
      <c r="N10" s="21">
        <v>80384</v>
      </c>
      <c r="O10" s="21">
        <v>79926</v>
      </c>
      <c r="P10" s="21">
        <v>76597</v>
      </c>
      <c r="Q10" s="21">
        <v>79903</v>
      </c>
      <c r="T10" s="21">
        <v>19633</v>
      </c>
      <c r="U10" s="21">
        <v>18415</v>
      </c>
      <c r="V10" s="21">
        <v>16408</v>
      </c>
      <c r="W10" s="21">
        <v>19042</v>
      </c>
      <c r="X10" s="21">
        <v>17488</v>
      </c>
      <c r="Y10" s="21">
        <v>26965</v>
      </c>
      <c r="Z10" s="21">
        <v>18361</v>
      </c>
      <c r="AA10" s="21">
        <v>16512</v>
      </c>
      <c r="AC10" s="21">
        <f t="shared" si="0"/>
        <v>79326</v>
      </c>
    </row>
    <row r="11" spans="1:31" x14ac:dyDescent="0.2">
      <c r="B11" s="23" t="s">
        <v>371</v>
      </c>
      <c r="C11" s="21"/>
      <c r="D11" s="21"/>
      <c r="E11" s="21"/>
      <c r="F11" s="21"/>
      <c r="G11" s="21"/>
      <c r="H11" s="21"/>
      <c r="I11" s="21"/>
      <c r="J11" s="21"/>
      <c r="K11" s="21"/>
      <c r="L11" s="21"/>
      <c r="M11" s="21">
        <v>14985</v>
      </c>
      <c r="N11" s="21">
        <v>17988</v>
      </c>
      <c r="O11" s="21">
        <v>17584</v>
      </c>
      <c r="P11" s="21">
        <v>14183</v>
      </c>
      <c r="Q11" s="21">
        <v>12972</v>
      </c>
      <c r="T11" s="21">
        <v>3566</v>
      </c>
      <c r="U11" s="21">
        <v>3172</v>
      </c>
      <c r="V11" s="21">
        <v>2986</v>
      </c>
      <c r="W11" s="21">
        <v>3279</v>
      </c>
      <c r="X11" s="21">
        <v>3199</v>
      </c>
      <c r="Y11" s="21">
        <v>3508</v>
      </c>
      <c r="Z11" s="21">
        <v>3371</v>
      </c>
      <c r="AA11" s="21">
        <v>3340</v>
      </c>
      <c r="AC11" s="21">
        <f t="shared" si="0"/>
        <v>13418</v>
      </c>
    </row>
    <row r="12" spans="1:31" x14ac:dyDescent="0.2">
      <c r="B12" s="23" t="s">
        <v>372</v>
      </c>
      <c r="C12" s="21"/>
      <c r="D12" s="21"/>
      <c r="E12" s="21"/>
      <c r="F12" s="21"/>
      <c r="G12" s="21"/>
      <c r="H12" s="21"/>
      <c r="I12" s="21"/>
      <c r="J12" s="21"/>
      <c r="K12" s="21"/>
      <c r="L12" s="21"/>
      <c r="M12" s="21">
        <v>6317</v>
      </c>
      <c r="N12" s="21">
        <v>7316</v>
      </c>
      <c r="O12" s="21">
        <v>11903</v>
      </c>
      <c r="P12" s="21">
        <v>13703</v>
      </c>
      <c r="Q12" s="21">
        <v>18481</v>
      </c>
      <c r="T12" s="21">
        <v>3521</v>
      </c>
      <c r="U12" s="21">
        <v>3651</v>
      </c>
      <c r="V12" s="21">
        <v>3892</v>
      </c>
      <c r="W12" s="21">
        <v>4130</v>
      </c>
      <c r="X12" s="21">
        <v>4279</v>
      </c>
      <c r="Y12" s="21">
        <v>6180</v>
      </c>
      <c r="Z12" s="21">
        <v>6583</v>
      </c>
      <c r="AA12" s="21">
        <v>6655</v>
      </c>
      <c r="AC12" s="21">
        <f t="shared" si="0"/>
        <v>23697</v>
      </c>
    </row>
    <row r="13" spans="1:31" x14ac:dyDescent="0.2">
      <c r="B13" s="23" t="s">
        <v>26</v>
      </c>
      <c r="C13" s="24">
        <f>SUM(C8:C12)</f>
        <v>0</v>
      </c>
      <c r="D13" s="24">
        <f t="shared" ref="D13:Q13" si="4">SUM(D8:D12)</f>
        <v>0</v>
      </c>
      <c r="E13" s="24">
        <f t="shared" si="4"/>
        <v>0</v>
      </c>
      <c r="F13" s="24">
        <f t="shared" si="4"/>
        <v>0</v>
      </c>
      <c r="G13" s="24">
        <f t="shared" si="4"/>
        <v>0</v>
      </c>
      <c r="H13" s="24">
        <f t="shared" si="4"/>
        <v>0</v>
      </c>
      <c r="I13" s="24">
        <f t="shared" si="4"/>
        <v>0</v>
      </c>
      <c r="J13" s="24">
        <f t="shared" si="4"/>
        <v>0</v>
      </c>
      <c r="K13" s="24">
        <f t="shared" si="4"/>
        <v>0</v>
      </c>
      <c r="L13" s="24">
        <f t="shared" si="4"/>
        <v>0</v>
      </c>
      <c r="M13" s="24">
        <f t="shared" si="4"/>
        <v>248662</v>
      </c>
      <c r="N13" s="24">
        <f t="shared" si="4"/>
        <v>348195</v>
      </c>
      <c r="O13" s="24">
        <f t="shared" si="4"/>
        <v>368767</v>
      </c>
      <c r="P13" s="24">
        <f t="shared" si="4"/>
        <v>342976</v>
      </c>
      <c r="Q13" s="24">
        <f t="shared" si="4"/>
        <v>333080</v>
      </c>
      <c r="T13" s="24">
        <f t="shared" ref="T13" si="5">SUM(T8:T12)</f>
        <v>86106</v>
      </c>
      <c r="U13" s="24">
        <f t="shared" ref="U13" si="6">SUM(U8:U12)</f>
        <v>83727</v>
      </c>
      <c r="V13" s="24">
        <f t="shared" ref="V13" si="7">SUM(V8:V12)</f>
        <v>81158</v>
      </c>
      <c r="W13" s="24">
        <f t="shared" ref="W13" si="8">SUM(W8:W12)</f>
        <v>81121</v>
      </c>
      <c r="X13" s="24">
        <f t="shared" ref="X13:Z13" si="9">SUM(X8:X12)</f>
        <v>78567</v>
      </c>
      <c r="Y13" s="24">
        <f t="shared" si="9"/>
        <v>92234</v>
      </c>
      <c r="Z13" s="24">
        <f t="shared" si="9"/>
        <v>80852</v>
      </c>
      <c r="AA13" s="24">
        <f t="shared" ref="AA13" si="10">SUM(AA8:AA12)</f>
        <v>78665</v>
      </c>
      <c r="AC13" s="24">
        <f t="shared" si="0"/>
        <v>330318</v>
      </c>
    </row>
    <row r="14" spans="1:31" s="19" customFormat="1" x14ac:dyDescent="0.2">
      <c r="A14" s="16"/>
      <c r="B14" s="17" t="s">
        <v>27</v>
      </c>
      <c r="C14" s="18"/>
      <c r="D14" s="18"/>
      <c r="E14" s="18"/>
      <c r="F14" s="18"/>
      <c r="G14" s="18"/>
      <c r="H14" s="18"/>
      <c r="I14" s="18"/>
      <c r="J14" s="18"/>
      <c r="K14" s="18"/>
      <c r="L14" s="18"/>
      <c r="M14" s="61">
        <v>-116817</v>
      </c>
      <c r="N14" s="61">
        <v>-176552</v>
      </c>
      <c r="O14" s="61">
        <v>-136479</v>
      </c>
      <c r="P14" s="61">
        <v>-58097</v>
      </c>
      <c r="Q14" s="61">
        <v>-6612</v>
      </c>
      <c r="R14" s="16"/>
      <c r="S14" s="16"/>
      <c r="T14" s="61">
        <v>-13843</v>
      </c>
      <c r="U14" s="61">
        <v>-7612</v>
      </c>
      <c r="V14" s="61">
        <v>-3287</v>
      </c>
      <c r="W14" s="61">
        <v>-1507</v>
      </c>
      <c r="X14" s="61">
        <v>3739</v>
      </c>
      <c r="Y14" s="61">
        <v>-5557</v>
      </c>
      <c r="Z14" s="61">
        <v>6749</v>
      </c>
      <c r="AA14" s="61">
        <v>7608</v>
      </c>
      <c r="AB14" s="1"/>
      <c r="AC14" s="61">
        <f t="shared" si="0"/>
        <v>12539</v>
      </c>
      <c r="AD14" s="1"/>
      <c r="AE14" s="1"/>
    </row>
    <row r="15" spans="1:31" x14ac:dyDescent="0.2">
      <c r="B15" s="23" t="s">
        <v>28</v>
      </c>
      <c r="C15" s="21"/>
      <c r="D15" s="21"/>
      <c r="E15" s="21"/>
      <c r="F15" s="21"/>
      <c r="G15" s="21"/>
      <c r="H15" s="21"/>
      <c r="I15" s="21"/>
      <c r="J15" s="21"/>
      <c r="K15" s="21"/>
      <c r="L15" s="21"/>
      <c r="M15" s="62">
        <v>-1084</v>
      </c>
      <c r="N15" s="21">
        <v>1064</v>
      </c>
      <c r="O15" s="62">
        <v>2211</v>
      </c>
      <c r="P15" s="62">
        <v>330</v>
      </c>
      <c r="Q15" s="62">
        <f>2173-6953</f>
        <v>-4780</v>
      </c>
      <c r="T15" s="62">
        <v>26</v>
      </c>
      <c r="U15" s="62">
        <v>19</v>
      </c>
      <c r="V15" s="62">
        <v>-230</v>
      </c>
      <c r="W15" s="62">
        <v>608</v>
      </c>
      <c r="X15" s="62">
        <v>380</v>
      </c>
      <c r="Y15" s="62">
        <f>269-5807</f>
        <v>-5538</v>
      </c>
      <c r="Z15" s="62">
        <f>-2299+297</f>
        <v>-2002</v>
      </c>
      <c r="AA15" s="62">
        <f>-1729+248</f>
        <v>-1481</v>
      </c>
      <c r="AC15" s="62">
        <f t="shared" si="0"/>
        <v>-8641</v>
      </c>
    </row>
    <row r="16" spans="1:31" x14ac:dyDescent="0.2">
      <c r="B16" s="23" t="s">
        <v>29</v>
      </c>
      <c r="C16" s="21"/>
      <c r="D16" s="21"/>
      <c r="E16" s="21"/>
      <c r="F16" s="21"/>
      <c r="G16" s="21"/>
      <c r="H16" s="21"/>
      <c r="I16" s="21"/>
      <c r="J16" s="21"/>
      <c r="K16" s="21"/>
      <c r="L16" s="21"/>
      <c r="M16" s="62">
        <v>-78</v>
      </c>
      <c r="N16" s="62">
        <v>-175</v>
      </c>
      <c r="O16" s="62">
        <f>44-1118</f>
        <v>-1074</v>
      </c>
      <c r="P16" s="62">
        <v>1956</v>
      </c>
      <c r="Q16" s="62">
        <f>2953-501</f>
        <v>2452</v>
      </c>
      <c r="T16" s="62">
        <v>-144</v>
      </c>
      <c r="U16" s="62">
        <v>2217</v>
      </c>
      <c r="V16" s="62">
        <v>338</v>
      </c>
      <c r="W16" s="62">
        <v>336</v>
      </c>
      <c r="X16" s="62">
        <v>1006</v>
      </c>
      <c r="Y16" s="62">
        <f>1273-501</f>
        <v>772</v>
      </c>
      <c r="Z16" s="62">
        <v>-24</v>
      </c>
      <c r="AA16" s="62">
        <v>-2888</v>
      </c>
      <c r="AC16" s="62">
        <f t="shared" si="0"/>
        <v>-1134</v>
      </c>
    </row>
    <row r="17" spans="1:31" s="19" customFormat="1" x14ac:dyDescent="0.2">
      <c r="A17" s="16"/>
      <c r="B17" s="17" t="s">
        <v>30</v>
      </c>
      <c r="C17" s="18"/>
      <c r="D17" s="18"/>
      <c r="E17" s="18"/>
      <c r="F17" s="18"/>
      <c r="G17" s="18"/>
      <c r="H17" s="18"/>
      <c r="I17" s="18"/>
      <c r="J17" s="18"/>
      <c r="K17" s="18"/>
      <c r="L17" s="18"/>
      <c r="M17" s="61">
        <v>-117979</v>
      </c>
      <c r="N17" s="61">
        <v>-175663</v>
      </c>
      <c r="O17" s="61">
        <v>-135342</v>
      </c>
      <c r="P17" s="61">
        <v>-55811</v>
      </c>
      <c r="Q17" s="61">
        <v>-8940</v>
      </c>
      <c r="R17" s="1"/>
      <c r="S17" s="1"/>
      <c r="T17" s="61">
        <v>-13961</v>
      </c>
      <c r="U17" s="61">
        <v>-5376</v>
      </c>
      <c r="V17" s="61">
        <v>-3179</v>
      </c>
      <c r="W17" s="61">
        <v>-563</v>
      </c>
      <c r="X17" s="61">
        <v>5125</v>
      </c>
      <c r="Y17" s="61">
        <v>-10323</v>
      </c>
      <c r="Z17" s="61">
        <v>4723</v>
      </c>
      <c r="AA17" s="61">
        <v>3239</v>
      </c>
      <c r="AB17" s="1"/>
      <c r="AC17" s="61">
        <f t="shared" si="0"/>
        <v>2764</v>
      </c>
      <c r="AD17" s="1"/>
      <c r="AE17" s="1"/>
    </row>
    <row r="18" spans="1:31" x14ac:dyDescent="0.2">
      <c r="B18" s="23" t="s">
        <v>31</v>
      </c>
      <c r="C18" s="21"/>
      <c r="D18" s="21"/>
      <c r="E18" s="21"/>
      <c r="F18" s="21"/>
      <c r="G18" s="21"/>
      <c r="H18" s="21"/>
      <c r="I18" s="21"/>
      <c r="J18" s="21"/>
      <c r="K18" s="21"/>
      <c r="L18" s="21"/>
      <c r="M18" s="62">
        <v>-182</v>
      </c>
      <c r="N18" s="62">
        <v>-483</v>
      </c>
      <c r="O18" s="62">
        <v>-1543</v>
      </c>
      <c r="P18" s="62">
        <v>-2716</v>
      </c>
      <c r="Q18" s="62">
        <v>-372</v>
      </c>
      <c r="T18" s="62">
        <v>-442</v>
      </c>
      <c r="U18" s="62">
        <v>-1014</v>
      </c>
      <c r="V18" s="62">
        <v>-735</v>
      </c>
      <c r="W18" s="62">
        <v>1217</v>
      </c>
      <c r="X18" s="62">
        <v>-854</v>
      </c>
      <c r="Y18" s="62">
        <v>0</v>
      </c>
      <c r="Z18" s="62">
        <v>-1760</v>
      </c>
      <c r="AA18" s="62">
        <v>-1321</v>
      </c>
      <c r="AC18" s="62">
        <f t="shared" si="0"/>
        <v>-3935</v>
      </c>
    </row>
    <row r="19" spans="1:31" x14ac:dyDescent="0.2">
      <c r="B19" s="23" t="s">
        <v>339</v>
      </c>
      <c r="C19" s="21"/>
      <c r="D19" s="21"/>
      <c r="E19" s="21"/>
      <c r="F19" s="21"/>
      <c r="G19" s="21"/>
      <c r="H19" s="21"/>
      <c r="I19" s="21"/>
      <c r="J19" s="21"/>
      <c r="K19" s="21"/>
      <c r="L19" s="21"/>
      <c r="M19" s="62">
        <v>0</v>
      </c>
      <c r="N19" s="62">
        <v>0</v>
      </c>
      <c r="O19" s="62">
        <v>0</v>
      </c>
      <c r="P19" s="62">
        <v>0</v>
      </c>
      <c r="Q19" s="62">
        <v>0</v>
      </c>
      <c r="T19" s="62">
        <v>0</v>
      </c>
      <c r="U19" s="62">
        <v>0</v>
      </c>
      <c r="V19" s="62">
        <v>0</v>
      </c>
      <c r="W19" s="62">
        <v>0</v>
      </c>
      <c r="X19" s="62">
        <v>0</v>
      </c>
      <c r="Y19" s="62">
        <v>0</v>
      </c>
      <c r="Z19" s="62">
        <v>0</v>
      </c>
      <c r="AA19" s="62">
        <v>0</v>
      </c>
      <c r="AC19" s="62">
        <f t="shared" si="0"/>
        <v>0</v>
      </c>
    </row>
    <row r="20" spans="1:31" s="19" customFormat="1" x14ac:dyDescent="0.2">
      <c r="A20" s="16"/>
      <c r="B20" s="17" t="s">
        <v>32</v>
      </c>
      <c r="C20" s="18"/>
      <c r="D20" s="18"/>
      <c r="E20" s="18"/>
      <c r="F20" s="18"/>
      <c r="G20" s="18"/>
      <c r="H20" s="18"/>
      <c r="I20" s="18"/>
      <c r="J20" s="18"/>
      <c r="K20" s="18"/>
      <c r="L20" s="18"/>
      <c r="M20" s="61">
        <v>-118161</v>
      </c>
      <c r="N20" s="61">
        <v>-176146</v>
      </c>
      <c r="O20" s="61">
        <v>-136885</v>
      </c>
      <c r="P20" s="61">
        <v>-58527</v>
      </c>
      <c r="Q20" s="61">
        <v>-9312</v>
      </c>
      <c r="R20" s="60"/>
      <c r="S20" s="60"/>
      <c r="T20" s="61">
        <v>-14403</v>
      </c>
      <c r="U20" s="61">
        <v>-6390</v>
      </c>
      <c r="V20" s="61">
        <v>-3914</v>
      </c>
      <c r="W20" s="61">
        <v>654</v>
      </c>
      <c r="X20" s="61">
        <v>4271</v>
      </c>
      <c r="Y20" s="61">
        <v>-10323</v>
      </c>
      <c r="Z20" s="61">
        <v>2963</v>
      </c>
      <c r="AA20" s="61">
        <v>1918</v>
      </c>
      <c r="AB20" s="1"/>
      <c r="AC20" s="61">
        <f t="shared" si="0"/>
        <v>-1171</v>
      </c>
      <c r="AD20" s="1"/>
      <c r="AE20" s="1"/>
    </row>
    <row r="21" spans="1:31" x14ac:dyDescent="0.2">
      <c r="B21" s="23" t="s">
        <v>33</v>
      </c>
      <c r="C21" s="21"/>
      <c r="D21" s="21"/>
      <c r="E21" s="21"/>
      <c r="F21" s="21"/>
      <c r="G21" s="21"/>
      <c r="H21" s="21"/>
      <c r="I21" s="21"/>
      <c r="J21" s="21"/>
      <c r="K21" s="21"/>
      <c r="L21" s="21"/>
      <c r="M21" s="21">
        <v>49888</v>
      </c>
      <c r="N21" s="21">
        <v>52440</v>
      </c>
      <c r="O21" s="21">
        <v>54561</v>
      </c>
      <c r="P21" s="21">
        <v>57590</v>
      </c>
      <c r="Q21" s="21">
        <v>59738</v>
      </c>
      <c r="R21" s="60"/>
      <c r="S21" s="60"/>
      <c r="T21" s="21">
        <v>57892</v>
      </c>
      <c r="U21" s="21">
        <v>58278</v>
      </c>
      <c r="V21" s="21">
        <v>58921</v>
      </c>
      <c r="W21" s="21">
        <v>59592</v>
      </c>
      <c r="X21" s="21">
        <v>60009</v>
      </c>
      <c r="Y21" s="21">
        <v>60404</v>
      </c>
      <c r="Z21" s="21">
        <v>60945</v>
      </c>
      <c r="AA21" s="21">
        <v>61878</v>
      </c>
      <c r="AC21" s="62">
        <f>AVERAGE(X21:AA21)</f>
        <v>60809</v>
      </c>
    </row>
    <row r="22" spans="1:31" x14ac:dyDescent="0.2">
      <c r="B22" s="23" t="s">
        <v>34</v>
      </c>
      <c r="C22" s="25">
        <f t="shared" ref="C22:Q22" si="11">C21*C$87</f>
        <v>0</v>
      </c>
      <c r="D22" s="25">
        <f t="shared" si="11"/>
        <v>0</v>
      </c>
      <c r="E22" s="25">
        <f t="shared" si="11"/>
        <v>0</v>
      </c>
      <c r="F22" s="25">
        <f t="shared" si="11"/>
        <v>0</v>
      </c>
      <c r="G22" s="25">
        <f t="shared" si="11"/>
        <v>0</v>
      </c>
      <c r="H22" s="25">
        <f t="shared" si="11"/>
        <v>0</v>
      </c>
      <c r="I22" s="25">
        <f t="shared" si="11"/>
        <v>0</v>
      </c>
      <c r="J22" s="25">
        <f t="shared" si="11"/>
        <v>0</v>
      </c>
      <c r="K22" s="25">
        <f t="shared" si="11"/>
        <v>0</v>
      </c>
      <c r="L22" s="25">
        <f t="shared" si="11"/>
        <v>0</v>
      </c>
      <c r="M22" s="25">
        <f t="shared" si="11"/>
        <v>49888</v>
      </c>
      <c r="N22" s="25">
        <f t="shared" si="11"/>
        <v>52440</v>
      </c>
      <c r="O22" s="25">
        <f t="shared" si="11"/>
        <v>54561</v>
      </c>
      <c r="P22" s="25">
        <f t="shared" si="11"/>
        <v>57590</v>
      </c>
      <c r="Q22" s="25">
        <f t="shared" si="11"/>
        <v>59738</v>
      </c>
      <c r="T22" s="25">
        <f t="shared" ref="T22:Y22" si="12">T21*T$87</f>
        <v>57892</v>
      </c>
      <c r="U22" s="25">
        <f t="shared" si="12"/>
        <v>58278</v>
      </c>
      <c r="V22" s="25">
        <f t="shared" si="12"/>
        <v>58921</v>
      </c>
      <c r="W22" s="25">
        <f t="shared" si="12"/>
        <v>59592</v>
      </c>
      <c r="X22" s="25">
        <f t="shared" si="12"/>
        <v>60009</v>
      </c>
      <c r="Y22" s="25">
        <f t="shared" si="12"/>
        <v>60404</v>
      </c>
      <c r="Z22" s="25">
        <f t="shared" ref="Z22:AA22" si="13">Z21*Z$87</f>
        <v>60945</v>
      </c>
      <c r="AA22" s="25">
        <f t="shared" si="13"/>
        <v>61878</v>
      </c>
      <c r="AC22" s="25">
        <f>AC21*AC$87</f>
        <v>60809</v>
      </c>
    </row>
    <row r="23" spans="1:31" x14ac:dyDescent="0.2">
      <c r="B23" s="23" t="s">
        <v>35</v>
      </c>
      <c r="C23" s="21"/>
      <c r="D23" s="21"/>
      <c r="E23" s="21"/>
      <c r="F23" s="21"/>
      <c r="G23" s="21"/>
      <c r="H23" s="21"/>
      <c r="I23" s="21"/>
      <c r="J23" s="21"/>
      <c r="K23" s="21"/>
      <c r="L23" s="21"/>
      <c r="M23" s="21">
        <v>49888</v>
      </c>
      <c r="N23" s="21">
        <v>52440</v>
      </c>
      <c r="O23" s="21">
        <v>54561</v>
      </c>
      <c r="P23" s="21">
        <v>57590</v>
      </c>
      <c r="Q23" s="21">
        <v>61495</v>
      </c>
      <c r="T23" s="21">
        <v>57892</v>
      </c>
      <c r="U23" s="21">
        <v>58278</v>
      </c>
      <c r="V23" s="21">
        <v>58921</v>
      </c>
      <c r="W23" s="21">
        <v>61686</v>
      </c>
      <c r="X23" s="21">
        <v>61560</v>
      </c>
      <c r="Y23" s="21">
        <v>61497</v>
      </c>
      <c r="Z23" s="21">
        <v>62041</v>
      </c>
      <c r="AA23" s="21">
        <v>62463</v>
      </c>
      <c r="AC23" s="62">
        <f>AVERAGE(X23:AA23)</f>
        <v>61890.25</v>
      </c>
    </row>
    <row r="24" spans="1:31" x14ac:dyDescent="0.2">
      <c r="B24" s="23" t="s">
        <v>36</v>
      </c>
      <c r="C24" s="25">
        <f t="shared" ref="C24:Q24" si="14">C23*C$87</f>
        <v>0</v>
      </c>
      <c r="D24" s="25">
        <f t="shared" si="14"/>
        <v>0</v>
      </c>
      <c r="E24" s="25">
        <f t="shared" si="14"/>
        <v>0</v>
      </c>
      <c r="F24" s="25">
        <f t="shared" si="14"/>
        <v>0</v>
      </c>
      <c r="G24" s="25">
        <f t="shared" si="14"/>
        <v>0</v>
      </c>
      <c r="H24" s="25">
        <f t="shared" si="14"/>
        <v>0</v>
      </c>
      <c r="I24" s="25">
        <f t="shared" si="14"/>
        <v>0</v>
      </c>
      <c r="J24" s="25">
        <f t="shared" si="14"/>
        <v>0</v>
      </c>
      <c r="K24" s="25">
        <f t="shared" si="14"/>
        <v>0</v>
      </c>
      <c r="L24" s="25">
        <f t="shared" si="14"/>
        <v>0</v>
      </c>
      <c r="M24" s="25">
        <f t="shared" si="14"/>
        <v>49888</v>
      </c>
      <c r="N24" s="25">
        <f t="shared" si="14"/>
        <v>52440</v>
      </c>
      <c r="O24" s="25">
        <f t="shared" si="14"/>
        <v>54561</v>
      </c>
      <c r="P24" s="25">
        <f t="shared" si="14"/>
        <v>57590</v>
      </c>
      <c r="Q24" s="25">
        <f t="shared" si="14"/>
        <v>61495</v>
      </c>
      <c r="T24" s="25">
        <f t="shared" ref="T24:Y24" si="15">T23*T$87</f>
        <v>57892</v>
      </c>
      <c r="U24" s="25">
        <f t="shared" si="15"/>
        <v>58278</v>
      </c>
      <c r="V24" s="25">
        <f t="shared" si="15"/>
        <v>58921</v>
      </c>
      <c r="W24" s="25">
        <f t="shared" si="15"/>
        <v>61686</v>
      </c>
      <c r="X24" s="25">
        <f t="shared" si="15"/>
        <v>61560</v>
      </c>
      <c r="Y24" s="25">
        <f t="shared" si="15"/>
        <v>61497</v>
      </c>
      <c r="Z24" s="25">
        <f t="shared" ref="Z24:AA24" si="16">Z23*Z$87</f>
        <v>62041</v>
      </c>
      <c r="AA24" s="25">
        <f t="shared" si="16"/>
        <v>62463</v>
      </c>
      <c r="AC24" s="25">
        <f>AC23*AC$87</f>
        <v>61890.25</v>
      </c>
    </row>
    <row r="25" spans="1:31" x14ac:dyDescent="0.2">
      <c r="B25" s="23" t="s">
        <v>37</v>
      </c>
      <c r="C25" s="26"/>
      <c r="D25" s="26"/>
      <c r="E25" s="26"/>
      <c r="F25" s="26"/>
      <c r="G25" s="26"/>
      <c r="H25" s="26"/>
      <c r="I25" s="26"/>
      <c r="J25" s="26"/>
      <c r="K25" s="26"/>
      <c r="L25" s="26"/>
      <c r="M25" s="63">
        <v>-2.37</v>
      </c>
      <c r="N25" s="63">
        <v>-3.36</v>
      </c>
      <c r="O25" s="63">
        <v>-2.5099999999999998</v>
      </c>
      <c r="P25" s="63">
        <v>-1.02</v>
      </c>
      <c r="Q25" s="63">
        <v>-0.16</v>
      </c>
      <c r="T25" s="63">
        <v>-0.25</v>
      </c>
      <c r="U25" s="63">
        <v>-0.11</v>
      </c>
      <c r="V25" s="63">
        <v>-7.0000000000000007E-2</v>
      </c>
      <c r="W25" s="63">
        <v>0.01</v>
      </c>
      <c r="X25" s="63">
        <v>7.0000000000000007E-2</v>
      </c>
      <c r="Y25" s="63">
        <v>-0.17089927819349712</v>
      </c>
      <c r="Z25" s="63">
        <v>0.05</v>
      </c>
      <c r="AA25" s="63">
        <v>0.03</v>
      </c>
      <c r="AC25" s="63">
        <f>SUM(X25:AA25)</f>
        <v>-2.0899278193497114E-2</v>
      </c>
    </row>
    <row r="26" spans="1:31" x14ac:dyDescent="0.2">
      <c r="B26" s="23" t="s">
        <v>38</v>
      </c>
      <c r="C26" s="27"/>
      <c r="D26" s="27"/>
      <c r="E26" s="27"/>
      <c r="F26" s="27"/>
      <c r="G26" s="27"/>
      <c r="H26" s="27"/>
      <c r="I26" s="27"/>
      <c r="J26" s="27"/>
      <c r="K26" s="27"/>
      <c r="L26" s="27"/>
      <c r="M26" s="65">
        <f>M25/M$87</f>
        <v>-2.37</v>
      </c>
      <c r="N26" s="65">
        <f>N25/N$87</f>
        <v>-3.36</v>
      </c>
      <c r="O26" s="65">
        <f>O25/O$87</f>
        <v>-2.5099999999999998</v>
      </c>
      <c r="P26" s="65">
        <f>P25/P$87</f>
        <v>-1.02</v>
      </c>
      <c r="Q26" s="65">
        <f>Q25/Q$87</f>
        <v>-0.16</v>
      </c>
      <c r="T26" s="65">
        <f t="shared" ref="T26:Y26" si="17">T25/T$87</f>
        <v>-0.25</v>
      </c>
      <c r="U26" s="65">
        <f t="shared" si="17"/>
        <v>-0.11</v>
      </c>
      <c r="V26" s="65">
        <f t="shared" si="17"/>
        <v>-7.0000000000000007E-2</v>
      </c>
      <c r="W26" s="65">
        <f t="shared" si="17"/>
        <v>0.01</v>
      </c>
      <c r="X26" s="65">
        <f t="shared" si="17"/>
        <v>7.0000000000000007E-2</v>
      </c>
      <c r="Y26" s="65">
        <f t="shared" si="17"/>
        <v>-0.17089927819349712</v>
      </c>
      <c r="Z26" s="65">
        <f t="shared" ref="Z26:AA26" si="18">Z25/Z$87</f>
        <v>0.05</v>
      </c>
      <c r="AA26" s="65">
        <f t="shared" si="18"/>
        <v>0.03</v>
      </c>
      <c r="AC26" s="65">
        <f>AC25/AC$87</f>
        <v>-2.0899278193497114E-2</v>
      </c>
    </row>
    <row r="27" spans="1:31" x14ac:dyDescent="0.2">
      <c r="B27" s="23" t="s">
        <v>39</v>
      </c>
      <c r="C27" s="26"/>
      <c r="D27" s="26"/>
      <c r="E27" s="26"/>
      <c r="F27" s="26"/>
      <c r="G27" s="26"/>
      <c r="H27" s="26"/>
      <c r="I27" s="26"/>
      <c r="J27" s="26"/>
      <c r="K27" s="26"/>
      <c r="L27" s="26"/>
      <c r="M27" s="63">
        <v>-2.37</v>
      </c>
      <c r="N27" s="63">
        <v>-3.36</v>
      </c>
      <c r="O27" s="63">
        <v>-2.5099999999999998</v>
      </c>
      <c r="P27" s="63">
        <v>-1.02</v>
      </c>
      <c r="Q27" s="63">
        <v>-0.16</v>
      </c>
      <c r="T27" s="63">
        <v>-0.25</v>
      </c>
      <c r="U27" s="63">
        <v>-0.11</v>
      </c>
      <c r="V27" s="63">
        <v>-7.0000000000000007E-2</v>
      </c>
      <c r="W27" s="63">
        <v>0.01</v>
      </c>
      <c r="X27" s="63">
        <v>7.0000000000000007E-2</v>
      </c>
      <c r="Y27" s="63">
        <v>-0.16786184691936193</v>
      </c>
      <c r="Z27" s="63">
        <v>0.05</v>
      </c>
      <c r="AA27" s="63">
        <v>0.03</v>
      </c>
      <c r="AC27" s="63">
        <f>SUM(X27:AA27)</f>
        <v>-1.7861846919361921E-2</v>
      </c>
    </row>
    <row r="28" spans="1:31" s="30" customFormat="1" ht="17" thickBot="1" x14ac:dyDescent="0.25">
      <c r="A28" s="1"/>
      <c r="B28" s="28" t="s">
        <v>40</v>
      </c>
      <c r="C28" s="29"/>
      <c r="D28" s="29"/>
      <c r="E28" s="29"/>
      <c r="F28" s="29"/>
      <c r="G28" s="29"/>
      <c r="H28" s="29"/>
      <c r="I28" s="29"/>
      <c r="J28" s="29"/>
      <c r="K28" s="29"/>
      <c r="L28" s="29"/>
      <c r="M28" s="66">
        <f>M27/M$87</f>
        <v>-2.37</v>
      </c>
      <c r="N28" s="66">
        <f>N27/N$87</f>
        <v>-3.36</v>
      </c>
      <c r="O28" s="66">
        <f>O27/O$87</f>
        <v>-2.5099999999999998</v>
      </c>
      <c r="P28" s="66">
        <f>P27/P$87</f>
        <v>-1.02</v>
      </c>
      <c r="Q28" s="66">
        <f>Q27/Q$87</f>
        <v>-0.16</v>
      </c>
      <c r="R28" s="1"/>
      <c r="S28" s="1"/>
      <c r="T28" s="66">
        <f t="shared" ref="T28:Y28" si="19">T27/T$87</f>
        <v>-0.25</v>
      </c>
      <c r="U28" s="66">
        <f t="shared" si="19"/>
        <v>-0.11</v>
      </c>
      <c r="V28" s="66">
        <f t="shared" si="19"/>
        <v>-7.0000000000000007E-2</v>
      </c>
      <c r="W28" s="66">
        <f t="shared" si="19"/>
        <v>0.01</v>
      </c>
      <c r="X28" s="66">
        <f t="shared" si="19"/>
        <v>7.0000000000000007E-2</v>
      </c>
      <c r="Y28" s="66">
        <f t="shared" si="19"/>
        <v>-0.16786184691936193</v>
      </c>
      <c r="Z28" s="66">
        <f t="shared" ref="Z28:AA28" si="20">Z27/Z$87</f>
        <v>0.05</v>
      </c>
      <c r="AA28" s="66">
        <f t="shared" si="20"/>
        <v>0.03</v>
      </c>
      <c r="AB28" s="1"/>
      <c r="AC28" s="66">
        <f>AC27/AC$87</f>
        <v>-1.7861846919361921E-2</v>
      </c>
      <c r="AD28" s="1"/>
      <c r="AE28" s="1"/>
    </row>
    <row r="29" spans="1:31" s="30" customFormat="1" ht="17" thickBot="1" x14ac:dyDescent="0.25">
      <c r="A29" s="1"/>
      <c r="B29" s="31"/>
      <c r="J29" s="31"/>
      <c r="K29" s="31"/>
      <c r="L29" s="31"/>
      <c r="M29" s="31"/>
      <c r="N29" s="31"/>
      <c r="O29" s="31"/>
      <c r="P29" s="31"/>
      <c r="R29" s="1"/>
      <c r="S29" s="1"/>
      <c r="AB29" s="1"/>
      <c r="AD29" s="1"/>
      <c r="AE29" s="1"/>
    </row>
    <row r="30" spans="1:31" s="15" customFormat="1" ht="17" thickBot="1" x14ac:dyDescent="0.25">
      <c r="A30" s="11"/>
      <c r="B30" s="14" t="s">
        <v>41</v>
      </c>
      <c r="R30" s="1"/>
      <c r="S30" s="1"/>
      <c r="AB30" s="1"/>
      <c r="AD30" s="1"/>
      <c r="AE30" s="1"/>
    </row>
    <row r="31" spans="1:31" x14ac:dyDescent="0.2">
      <c r="B31" s="20" t="s">
        <v>42</v>
      </c>
      <c r="C31" s="21"/>
      <c r="D31" s="21"/>
      <c r="E31" s="21"/>
      <c r="F31" s="21"/>
      <c r="G31" s="21"/>
      <c r="H31" s="21"/>
      <c r="I31" s="21"/>
      <c r="J31" s="21"/>
      <c r="K31" s="21"/>
      <c r="L31" s="21"/>
      <c r="M31" s="21">
        <v>313812</v>
      </c>
      <c r="N31" s="21">
        <v>176683</v>
      </c>
      <c r="O31" s="21">
        <v>87520</v>
      </c>
      <c r="P31" s="21">
        <v>84220</v>
      </c>
      <c r="Q31" s="21">
        <v>73830</v>
      </c>
      <c r="T31" s="21">
        <v>81740</v>
      </c>
      <c r="U31" s="21">
        <v>84220</v>
      </c>
      <c r="V31" s="21">
        <v>90871</v>
      </c>
      <c r="W31" s="21">
        <v>98266</v>
      </c>
      <c r="X31" s="21">
        <v>106371</v>
      </c>
      <c r="Y31" s="21">
        <v>73830</v>
      </c>
      <c r="Z31" s="21">
        <v>74706</v>
      </c>
      <c r="AA31" s="21">
        <v>72945</v>
      </c>
      <c r="AC31" s="21">
        <f>AA31</f>
        <v>72945</v>
      </c>
    </row>
    <row r="32" spans="1:31" x14ac:dyDescent="0.2">
      <c r="B32" s="20" t="s">
        <v>43</v>
      </c>
      <c r="C32" s="21"/>
      <c r="D32" s="21"/>
      <c r="E32" s="21"/>
      <c r="F32" s="21"/>
      <c r="G32" s="21"/>
      <c r="H32" s="21"/>
      <c r="I32" s="21"/>
      <c r="J32" s="21"/>
      <c r="K32" s="21"/>
      <c r="L32" s="21"/>
      <c r="M32" s="21">
        <v>40262</v>
      </c>
      <c r="N32" s="21">
        <v>51394</v>
      </c>
      <c r="O32" s="21">
        <v>64863</v>
      </c>
      <c r="P32" s="21">
        <v>73617</v>
      </c>
      <c r="Q32" s="21">
        <v>97453</v>
      </c>
      <c r="T32" s="21">
        <v>71408</v>
      </c>
      <c r="U32" s="21">
        <v>73617</v>
      </c>
      <c r="V32" s="21">
        <v>75099</v>
      </c>
      <c r="W32" s="21">
        <v>76842</v>
      </c>
      <c r="X32" s="21">
        <v>88257</v>
      </c>
      <c r="Y32" s="21">
        <v>97453</v>
      </c>
      <c r="Z32" s="21">
        <v>89607</v>
      </c>
      <c r="AA32" s="21">
        <v>89406</v>
      </c>
      <c r="AC32" s="21">
        <f t="shared" ref="AC32:AC52" si="21">AA32</f>
        <v>89406</v>
      </c>
    </row>
    <row r="33" spans="1:31" x14ac:dyDescent="0.2">
      <c r="B33" s="20" t="s">
        <v>147</v>
      </c>
      <c r="C33" s="21"/>
      <c r="D33" s="21"/>
      <c r="E33" s="21"/>
      <c r="F33" s="21"/>
      <c r="G33" s="21"/>
      <c r="H33" s="21"/>
      <c r="I33" s="21"/>
      <c r="J33" s="21"/>
      <c r="K33" s="21"/>
      <c r="L33" s="21"/>
      <c r="M33" s="21">
        <v>0</v>
      </c>
      <c r="N33" s="21">
        <v>0</v>
      </c>
      <c r="O33" s="21">
        <v>0</v>
      </c>
      <c r="P33" s="21">
        <v>0</v>
      </c>
      <c r="Q33" s="21">
        <v>0</v>
      </c>
      <c r="T33" s="21">
        <v>0</v>
      </c>
      <c r="U33" s="21">
        <v>0</v>
      </c>
      <c r="V33" s="21">
        <v>0</v>
      </c>
      <c r="W33" s="21">
        <v>0</v>
      </c>
      <c r="X33" s="21">
        <v>0</v>
      </c>
      <c r="Y33" s="21">
        <v>0</v>
      </c>
      <c r="Z33" s="21">
        <v>0</v>
      </c>
      <c r="AA33" s="21">
        <v>0</v>
      </c>
      <c r="AC33" s="21">
        <f>AA33</f>
        <v>0</v>
      </c>
    </row>
    <row r="34" spans="1:31" s="34" customFormat="1" x14ac:dyDescent="0.2">
      <c r="A34" s="16"/>
      <c r="B34" s="32" t="s">
        <v>44</v>
      </c>
      <c r="C34" s="33"/>
      <c r="D34" s="33"/>
      <c r="E34" s="33"/>
      <c r="F34" s="33"/>
      <c r="G34" s="33"/>
      <c r="H34" s="33"/>
      <c r="I34" s="33"/>
      <c r="J34" s="33"/>
      <c r="K34" s="33"/>
      <c r="L34" s="33"/>
      <c r="M34" s="228">
        <v>386349</v>
      </c>
      <c r="N34" s="228">
        <v>262441</v>
      </c>
      <c r="O34" s="228">
        <v>195684</v>
      </c>
      <c r="P34" s="228">
        <v>203285</v>
      </c>
      <c r="Q34" s="228">
        <v>279843</v>
      </c>
      <c r="R34" s="1"/>
      <c r="S34" s="1"/>
      <c r="T34" s="33">
        <v>189573</v>
      </c>
      <c r="U34" s="228">
        <v>203285</v>
      </c>
      <c r="V34" s="33">
        <v>215409</v>
      </c>
      <c r="W34" s="33">
        <v>222641</v>
      </c>
      <c r="X34" s="33">
        <v>240906</v>
      </c>
      <c r="Y34" s="33">
        <v>279843</v>
      </c>
      <c r="Z34" s="33">
        <v>267251</v>
      </c>
      <c r="AA34" s="33">
        <v>253503</v>
      </c>
      <c r="AB34" s="1"/>
      <c r="AC34" s="33">
        <f t="shared" si="21"/>
        <v>253503</v>
      </c>
      <c r="AD34" s="1"/>
      <c r="AE34" s="1"/>
    </row>
    <row r="35" spans="1:31" x14ac:dyDescent="0.2">
      <c r="B35" s="20" t="s">
        <v>45</v>
      </c>
      <c r="C35" s="21"/>
      <c r="D35" s="21"/>
      <c r="E35" s="21"/>
      <c r="F35" s="21"/>
      <c r="G35" s="21"/>
      <c r="H35" s="21"/>
      <c r="I35" s="21"/>
      <c r="J35" s="21"/>
      <c r="K35" s="21"/>
      <c r="L35" s="21"/>
      <c r="M35" s="21">
        <f>34645+17643</f>
        <v>52288</v>
      </c>
      <c r="N35" s="21">
        <f>21670+35150</f>
        <v>56820</v>
      </c>
      <c r="O35" s="21">
        <f>16902+46139</f>
        <v>63041</v>
      </c>
      <c r="P35" s="21">
        <f>23651+52763</f>
        <v>76414</v>
      </c>
      <c r="Q35" s="21">
        <f>20332+54270</f>
        <v>74602</v>
      </c>
      <c r="T35" s="21">
        <f>25973+51322</f>
        <v>77295</v>
      </c>
      <c r="U35" s="21">
        <f>23651+52763</f>
        <v>76414</v>
      </c>
      <c r="V35" s="21">
        <f>23492+53531</f>
        <v>77023</v>
      </c>
      <c r="W35" s="21">
        <f>22769+53881</f>
        <v>76650</v>
      </c>
      <c r="X35" s="21">
        <f>21111+54093</f>
        <v>75204</v>
      </c>
      <c r="Y35" s="21">
        <f>20332+54270</f>
        <v>74602</v>
      </c>
      <c r="Z35" s="21">
        <f>20568+54624</f>
        <v>75192</v>
      </c>
      <c r="AA35" s="21">
        <f>18122+54127</f>
        <v>72249</v>
      </c>
      <c r="AC35" s="21">
        <f t="shared" si="21"/>
        <v>72249</v>
      </c>
    </row>
    <row r="36" spans="1:31" x14ac:dyDescent="0.2">
      <c r="B36" s="20" t="s">
        <v>364</v>
      </c>
      <c r="C36" s="21"/>
      <c r="D36" s="21"/>
      <c r="E36" s="21"/>
      <c r="F36" s="21"/>
      <c r="G36" s="21"/>
      <c r="H36" s="21"/>
      <c r="I36" s="21"/>
      <c r="J36" s="21"/>
      <c r="K36" s="21"/>
      <c r="L36" s="21"/>
      <c r="M36" s="21">
        <v>0</v>
      </c>
      <c r="N36" s="21">
        <v>0</v>
      </c>
      <c r="O36" s="21">
        <v>0</v>
      </c>
      <c r="P36" s="21">
        <v>0</v>
      </c>
      <c r="Q36" s="21">
        <v>0</v>
      </c>
      <c r="T36" s="21">
        <v>0</v>
      </c>
      <c r="U36" s="21">
        <v>0</v>
      </c>
      <c r="V36" s="21">
        <v>0</v>
      </c>
      <c r="W36" s="21">
        <v>0</v>
      </c>
      <c r="X36" s="21">
        <v>0</v>
      </c>
      <c r="Y36" s="21">
        <v>0</v>
      </c>
      <c r="Z36" s="21">
        <v>0</v>
      </c>
      <c r="AA36" s="21">
        <v>0</v>
      </c>
      <c r="AC36" s="21">
        <f t="shared" si="21"/>
        <v>0</v>
      </c>
    </row>
    <row r="37" spans="1:31" x14ac:dyDescent="0.2">
      <c r="B37" s="20" t="s">
        <v>46</v>
      </c>
      <c r="C37" s="21"/>
      <c r="D37" s="21"/>
      <c r="E37" s="21"/>
      <c r="F37" s="21"/>
      <c r="G37" s="21"/>
      <c r="H37" s="21"/>
      <c r="I37" s="21"/>
      <c r="J37" s="21"/>
      <c r="K37" s="21"/>
      <c r="L37" s="21"/>
      <c r="M37" s="21">
        <v>33621</v>
      </c>
      <c r="N37" s="21">
        <v>33736</v>
      </c>
      <c r="O37" s="21">
        <v>75845</v>
      </c>
      <c r="P37" s="21">
        <v>75845</v>
      </c>
      <c r="Q37" s="21">
        <v>170064</v>
      </c>
      <c r="T37" s="21">
        <v>75845</v>
      </c>
      <c r="U37" s="21">
        <v>75845</v>
      </c>
      <c r="V37" s="21">
        <v>75845</v>
      </c>
      <c r="W37" s="21">
        <v>75845</v>
      </c>
      <c r="X37" s="21">
        <v>75845</v>
      </c>
      <c r="Y37" s="21">
        <v>170064</v>
      </c>
      <c r="Z37" s="21">
        <v>169513</v>
      </c>
      <c r="AA37" s="21">
        <v>171468</v>
      </c>
      <c r="AC37" s="21">
        <f t="shared" si="21"/>
        <v>171468</v>
      </c>
    </row>
    <row r="38" spans="1:31" s="34" customFormat="1" x14ac:dyDescent="0.2">
      <c r="A38" s="16"/>
      <c r="B38" s="32" t="s">
        <v>47</v>
      </c>
      <c r="C38" s="35"/>
      <c r="D38" s="35"/>
      <c r="E38" s="35"/>
      <c r="F38" s="35"/>
      <c r="G38" s="35"/>
      <c r="H38" s="35"/>
      <c r="I38" s="35"/>
      <c r="J38" s="35"/>
      <c r="K38" s="35"/>
      <c r="L38" s="35"/>
      <c r="M38" s="35">
        <f t="shared" ref="M38:O38" si="22">M39-M34</f>
        <v>108127</v>
      </c>
      <c r="N38" s="35">
        <f t="shared" si="22"/>
        <v>107616</v>
      </c>
      <c r="O38" s="35">
        <f t="shared" si="22"/>
        <v>174642</v>
      </c>
      <c r="P38" s="35">
        <f>P39-P34</f>
        <v>185130</v>
      </c>
      <c r="Q38" s="35">
        <f>Q39-Q34</f>
        <v>383947</v>
      </c>
      <c r="R38" s="1"/>
      <c r="S38" s="1"/>
      <c r="T38" s="35">
        <f t="shared" ref="T38:Z38" si="23">T39-T34</f>
        <v>186130</v>
      </c>
      <c r="U38" s="35">
        <f t="shared" si="23"/>
        <v>185130</v>
      </c>
      <c r="V38" s="35">
        <f t="shared" si="23"/>
        <v>184986</v>
      </c>
      <c r="W38" s="35">
        <f t="shared" si="23"/>
        <v>185988</v>
      </c>
      <c r="X38" s="35">
        <f t="shared" si="23"/>
        <v>182566</v>
      </c>
      <c r="Y38" s="35">
        <f t="shared" si="23"/>
        <v>383947</v>
      </c>
      <c r="Z38" s="35">
        <f t="shared" si="23"/>
        <v>398890</v>
      </c>
      <c r="AA38" s="35">
        <f t="shared" ref="AA38" si="24">AA39-AA34</f>
        <v>393474</v>
      </c>
      <c r="AB38" s="1"/>
      <c r="AC38" s="35">
        <f t="shared" si="21"/>
        <v>393474</v>
      </c>
      <c r="AD38" s="1"/>
      <c r="AE38" s="1"/>
    </row>
    <row r="39" spans="1:31" s="19" customFormat="1" x14ac:dyDescent="0.2">
      <c r="A39" s="16"/>
      <c r="B39" s="17" t="s">
        <v>48</v>
      </c>
      <c r="C39" s="18"/>
      <c r="D39" s="18"/>
      <c r="E39" s="18"/>
      <c r="F39" s="18"/>
      <c r="G39" s="18"/>
      <c r="H39" s="18"/>
      <c r="I39" s="18"/>
      <c r="J39" s="18"/>
      <c r="K39" s="18"/>
      <c r="L39" s="18"/>
      <c r="M39" s="18">
        <v>494476</v>
      </c>
      <c r="N39" s="18">
        <v>370057</v>
      </c>
      <c r="O39" s="18">
        <v>370326</v>
      </c>
      <c r="P39" s="18">
        <v>388415</v>
      </c>
      <c r="Q39" s="18">
        <v>663790</v>
      </c>
      <c r="R39" s="1"/>
      <c r="S39" s="1"/>
      <c r="T39" s="18">
        <v>375703</v>
      </c>
      <c r="U39" s="18">
        <v>388415</v>
      </c>
      <c r="V39" s="18">
        <v>400395</v>
      </c>
      <c r="W39" s="18">
        <v>408629</v>
      </c>
      <c r="X39" s="18">
        <v>423472</v>
      </c>
      <c r="Y39" s="18">
        <v>663790</v>
      </c>
      <c r="Z39" s="18">
        <v>666141</v>
      </c>
      <c r="AA39" s="18">
        <v>646977</v>
      </c>
      <c r="AB39" s="1"/>
      <c r="AC39" s="18">
        <f t="shared" si="21"/>
        <v>646977</v>
      </c>
      <c r="AD39" s="1"/>
      <c r="AE39" s="1"/>
    </row>
    <row r="40" spans="1:31" x14ac:dyDescent="0.2">
      <c r="B40" s="20" t="s">
        <v>49</v>
      </c>
      <c r="C40" s="21"/>
      <c r="D40" s="21"/>
      <c r="E40" s="21"/>
      <c r="F40" s="21"/>
      <c r="G40" s="21"/>
      <c r="H40" s="21"/>
      <c r="I40" s="21"/>
      <c r="J40" s="21"/>
      <c r="K40" s="21"/>
      <c r="L40" s="21"/>
      <c r="M40" s="21">
        <v>5119</v>
      </c>
      <c r="N40" s="21">
        <v>10836</v>
      </c>
      <c r="O40" s="21">
        <v>8480</v>
      </c>
      <c r="P40" s="21">
        <v>5622</v>
      </c>
      <c r="Q40" s="21">
        <v>11477</v>
      </c>
      <c r="T40" s="21">
        <v>15870</v>
      </c>
      <c r="U40" s="21">
        <v>5622</v>
      </c>
      <c r="V40" s="21">
        <v>3204</v>
      </c>
      <c r="W40" s="21">
        <v>6527</v>
      </c>
      <c r="X40" s="21">
        <v>6218</v>
      </c>
      <c r="Y40" s="21">
        <v>11477</v>
      </c>
      <c r="Z40" s="21">
        <v>11891</v>
      </c>
      <c r="AA40" s="21">
        <v>12237</v>
      </c>
      <c r="AC40" s="21">
        <f t="shared" si="21"/>
        <v>12237</v>
      </c>
    </row>
    <row r="41" spans="1:31" x14ac:dyDescent="0.2">
      <c r="B41" s="20" t="s">
        <v>181</v>
      </c>
      <c r="C41" s="21"/>
      <c r="D41" s="21"/>
      <c r="E41" s="21"/>
      <c r="F41" s="21"/>
      <c r="G41" s="21"/>
      <c r="H41" s="21"/>
      <c r="I41" s="21"/>
      <c r="J41" s="21"/>
      <c r="K41" s="21"/>
      <c r="L41" s="21"/>
      <c r="M41" s="21">
        <v>5821</v>
      </c>
      <c r="N41" s="21">
        <v>5172</v>
      </c>
      <c r="O41" s="21">
        <v>6056</v>
      </c>
      <c r="P41" s="21">
        <v>8043</v>
      </c>
      <c r="Q41" s="21">
        <v>7971</v>
      </c>
      <c r="T41" s="21">
        <v>8866</v>
      </c>
      <c r="U41" s="21">
        <v>8043</v>
      </c>
      <c r="V41" s="21">
        <v>8348</v>
      </c>
      <c r="W41" s="21">
        <v>7096</v>
      </c>
      <c r="X41" s="21">
        <v>6199</v>
      </c>
      <c r="Y41" s="21">
        <v>7971</v>
      </c>
      <c r="Z41" s="21">
        <v>5301</v>
      </c>
      <c r="AA41" s="21">
        <v>5281</v>
      </c>
      <c r="AC41" s="21">
        <f t="shared" si="21"/>
        <v>5281</v>
      </c>
    </row>
    <row r="42" spans="1:31" s="34" customFormat="1" x14ac:dyDescent="0.2">
      <c r="A42" s="16"/>
      <c r="B42" s="32" t="s">
        <v>50</v>
      </c>
      <c r="C42" s="33"/>
      <c r="D42" s="33"/>
      <c r="E42" s="33"/>
      <c r="F42" s="33"/>
      <c r="G42" s="33"/>
      <c r="H42" s="33"/>
      <c r="I42" s="33"/>
      <c r="J42" s="33"/>
      <c r="K42" s="33"/>
      <c r="L42" s="33"/>
      <c r="M42" s="33">
        <v>68432</v>
      </c>
      <c r="N42" s="33">
        <v>79039</v>
      </c>
      <c r="O42" s="33">
        <v>110119</v>
      </c>
      <c r="P42" s="33">
        <v>114023</v>
      </c>
      <c r="Q42" s="33">
        <v>183241</v>
      </c>
      <c r="R42" s="60"/>
      <c r="S42" s="60"/>
      <c r="T42" s="33">
        <v>109201</v>
      </c>
      <c r="U42" s="33">
        <v>114023</v>
      </c>
      <c r="V42" s="33">
        <v>110720</v>
      </c>
      <c r="W42" s="33">
        <v>105135</v>
      </c>
      <c r="X42" s="33">
        <v>98783</v>
      </c>
      <c r="Y42" s="33">
        <v>183241</v>
      </c>
      <c r="Z42" s="33">
        <v>152109</v>
      </c>
      <c r="AA42" s="33">
        <v>143835</v>
      </c>
      <c r="AB42" s="1"/>
      <c r="AC42" s="33">
        <f t="shared" si="21"/>
        <v>143835</v>
      </c>
      <c r="AD42" s="1"/>
      <c r="AE42" s="1"/>
    </row>
    <row r="43" spans="1:31" x14ac:dyDescent="0.2">
      <c r="B43" s="20" t="s">
        <v>181</v>
      </c>
      <c r="C43" s="21"/>
      <c r="D43" s="21"/>
      <c r="E43" s="21"/>
      <c r="F43" s="21"/>
      <c r="G43" s="21"/>
      <c r="H43" s="21"/>
      <c r="I43" s="21"/>
      <c r="J43" s="21"/>
      <c r="K43" s="21"/>
      <c r="L43" s="21"/>
      <c r="M43" s="21">
        <v>7423</v>
      </c>
      <c r="N43" s="21">
        <v>2725</v>
      </c>
      <c r="O43" s="21">
        <v>5400</v>
      </c>
      <c r="P43" s="21">
        <v>8150</v>
      </c>
      <c r="Q43" s="21">
        <v>92117</v>
      </c>
      <c r="T43" s="21">
        <v>10292</v>
      </c>
      <c r="U43" s="21">
        <v>8150</v>
      </c>
      <c r="V43" s="21">
        <v>6162</v>
      </c>
      <c r="W43" s="21">
        <v>4576</v>
      </c>
      <c r="X43" s="21">
        <v>3353</v>
      </c>
      <c r="Y43" s="21">
        <v>92117</v>
      </c>
      <c r="Z43" s="21">
        <v>85303</v>
      </c>
      <c r="AA43" s="21">
        <v>61165</v>
      </c>
      <c r="AC43" s="21">
        <f t="shared" si="21"/>
        <v>61165</v>
      </c>
    </row>
    <row r="44" spans="1:31" s="34" customFormat="1" x14ac:dyDescent="0.2">
      <c r="A44" s="16"/>
      <c r="B44" s="32" t="s">
        <v>51</v>
      </c>
      <c r="C44" s="35"/>
      <c r="D44" s="35"/>
      <c r="E44" s="35"/>
      <c r="F44" s="35"/>
      <c r="G44" s="35"/>
      <c r="H44" s="35"/>
      <c r="I44" s="35"/>
      <c r="J44" s="35"/>
      <c r="K44" s="35"/>
      <c r="L44" s="35"/>
      <c r="M44" s="35">
        <f t="shared" ref="M44:O44" si="25">M45-M42</f>
        <v>8764</v>
      </c>
      <c r="N44" s="35">
        <f t="shared" si="25"/>
        <v>3199</v>
      </c>
      <c r="O44" s="35">
        <f t="shared" si="25"/>
        <v>8758</v>
      </c>
      <c r="P44" s="35">
        <f>P45-P42</f>
        <v>9584</v>
      </c>
      <c r="Q44" s="35">
        <f>Q45-Q42</f>
        <v>143342</v>
      </c>
      <c r="R44" s="1"/>
      <c r="S44" s="1"/>
      <c r="T44" s="35">
        <f t="shared" ref="T44:Z44" si="26">T45-T42</f>
        <v>11910</v>
      </c>
      <c r="U44" s="35">
        <f t="shared" si="26"/>
        <v>9584</v>
      </c>
      <c r="V44" s="35">
        <f t="shared" si="26"/>
        <v>7489</v>
      </c>
      <c r="W44" s="35">
        <f t="shared" si="26"/>
        <v>5507</v>
      </c>
      <c r="X44" s="35">
        <f t="shared" si="26"/>
        <v>4360</v>
      </c>
      <c r="Y44" s="35">
        <f t="shared" si="26"/>
        <v>143342</v>
      </c>
      <c r="Z44" s="35">
        <f t="shared" si="26"/>
        <v>154942</v>
      </c>
      <c r="AA44" s="35">
        <f t="shared" ref="AA44" si="27">AA45-AA42</f>
        <v>131291</v>
      </c>
      <c r="AB44" s="1"/>
      <c r="AC44" s="35">
        <f t="shared" si="21"/>
        <v>131291</v>
      </c>
      <c r="AD44" s="1"/>
      <c r="AE44" s="1"/>
    </row>
    <row r="45" spans="1:31" s="19" customFormat="1" x14ac:dyDescent="0.2">
      <c r="A45" s="16"/>
      <c r="B45" s="17" t="s">
        <v>52</v>
      </c>
      <c r="C45" s="18"/>
      <c r="D45" s="18"/>
      <c r="E45" s="18"/>
      <c r="F45" s="18"/>
      <c r="G45" s="18"/>
      <c r="H45" s="18"/>
      <c r="I45" s="18"/>
      <c r="J45" s="18"/>
      <c r="K45" s="18"/>
      <c r="L45" s="18"/>
      <c r="M45" s="18">
        <v>77196</v>
      </c>
      <c r="N45" s="18">
        <v>82238</v>
      </c>
      <c r="O45" s="18">
        <v>118877</v>
      </c>
      <c r="P45" s="18">
        <v>123607</v>
      </c>
      <c r="Q45" s="18">
        <v>326583</v>
      </c>
      <c r="R45" s="1"/>
      <c r="S45" s="1"/>
      <c r="T45" s="18">
        <v>121111</v>
      </c>
      <c r="U45" s="18">
        <v>123607</v>
      </c>
      <c r="V45" s="18">
        <v>118209</v>
      </c>
      <c r="W45" s="18">
        <v>110642</v>
      </c>
      <c r="X45" s="18">
        <v>103143</v>
      </c>
      <c r="Y45" s="18">
        <v>326583</v>
      </c>
      <c r="Z45" s="18">
        <v>307051</v>
      </c>
      <c r="AA45" s="18">
        <v>275126</v>
      </c>
      <c r="AB45" s="1"/>
      <c r="AC45" s="18">
        <f t="shared" si="21"/>
        <v>275126</v>
      </c>
      <c r="AD45" s="1"/>
      <c r="AE45" s="1"/>
    </row>
    <row r="46" spans="1:31" x14ac:dyDescent="0.2">
      <c r="B46" s="20" t="s">
        <v>54</v>
      </c>
      <c r="C46" s="21"/>
      <c r="D46" s="21"/>
      <c r="E46" s="21"/>
      <c r="F46" s="21"/>
      <c r="G46" s="21"/>
      <c r="H46" s="21"/>
      <c r="I46" s="21"/>
      <c r="J46" s="21"/>
      <c r="K46" s="21"/>
      <c r="L46" s="21"/>
      <c r="M46" s="62">
        <v>-13960</v>
      </c>
      <c r="N46" s="62">
        <v>-33596</v>
      </c>
      <c r="O46" s="62">
        <v>-45520</v>
      </c>
      <c r="P46" s="62">
        <v>-45520</v>
      </c>
      <c r="Q46" s="62">
        <v>-45520</v>
      </c>
      <c r="T46" s="62">
        <v>-45520</v>
      </c>
      <c r="U46" s="62">
        <v>-45520</v>
      </c>
      <c r="V46" s="62">
        <v>-45520</v>
      </c>
      <c r="W46" s="62">
        <v>-45520</v>
      </c>
      <c r="X46" s="62">
        <v>-45520</v>
      </c>
      <c r="Y46" s="62">
        <v>-45520</v>
      </c>
      <c r="Z46" s="62">
        <v>-46615</v>
      </c>
      <c r="AA46" s="62">
        <v>-46629</v>
      </c>
      <c r="AC46" s="62">
        <f t="shared" si="21"/>
        <v>-46629</v>
      </c>
    </row>
    <row r="47" spans="1:31" x14ac:dyDescent="0.2">
      <c r="B47" s="20" t="s">
        <v>343</v>
      </c>
      <c r="C47" s="21"/>
      <c r="D47" s="21"/>
      <c r="E47" s="21"/>
      <c r="F47" s="21"/>
      <c r="G47" s="21"/>
      <c r="H47" s="21"/>
      <c r="I47" s="21"/>
      <c r="J47" s="21"/>
      <c r="K47" s="21"/>
      <c r="L47" s="21"/>
      <c r="M47" s="62">
        <v>0</v>
      </c>
      <c r="N47" s="62">
        <v>0</v>
      </c>
      <c r="O47" s="62">
        <v>0</v>
      </c>
      <c r="P47" s="62">
        <v>0</v>
      </c>
      <c r="Q47" s="62">
        <v>0</v>
      </c>
      <c r="T47" s="62">
        <v>0</v>
      </c>
      <c r="U47" s="62">
        <v>0</v>
      </c>
      <c r="V47" s="21">
        <v>0</v>
      </c>
      <c r="W47" s="21">
        <v>0</v>
      </c>
      <c r="X47" s="21">
        <v>0</v>
      </c>
      <c r="Y47" s="21">
        <v>0</v>
      </c>
      <c r="Z47" s="21">
        <v>0</v>
      </c>
      <c r="AA47" s="21">
        <v>0</v>
      </c>
      <c r="AC47" s="62">
        <f t="shared" si="21"/>
        <v>0</v>
      </c>
    </row>
    <row r="48" spans="1:31" x14ac:dyDescent="0.2">
      <c r="B48" s="20" t="s">
        <v>53</v>
      </c>
      <c r="C48" s="21"/>
      <c r="D48" s="21"/>
      <c r="E48" s="21"/>
      <c r="F48" s="21"/>
      <c r="G48" s="21"/>
      <c r="H48" s="21"/>
      <c r="I48" s="21"/>
      <c r="J48" s="21"/>
      <c r="K48" s="21"/>
      <c r="L48" s="21"/>
      <c r="M48" s="229">
        <v>860657</v>
      </c>
      <c r="N48" s="229">
        <v>926957</v>
      </c>
      <c r="O48" s="229">
        <v>1039361</v>
      </c>
      <c r="P48" s="229">
        <v>1111274</v>
      </c>
      <c r="Q48" s="229">
        <v>1181679</v>
      </c>
      <c r="T48" s="62">
        <v>1094629</v>
      </c>
      <c r="U48" s="229">
        <v>1111274</v>
      </c>
      <c r="V48" s="21">
        <v>1132124</v>
      </c>
      <c r="W48" s="21">
        <v>1147540</v>
      </c>
      <c r="X48" s="21">
        <v>1166078</v>
      </c>
      <c r="Y48" s="21">
        <v>1181679</v>
      </c>
      <c r="Z48" s="21">
        <v>1201871</v>
      </c>
      <c r="AA48" s="21">
        <v>1212775</v>
      </c>
      <c r="AC48" s="62">
        <f t="shared" si="21"/>
        <v>1212775</v>
      </c>
    </row>
    <row r="49" spans="1:31" x14ac:dyDescent="0.2">
      <c r="B49" s="20" t="s">
        <v>344</v>
      </c>
      <c r="C49" s="21"/>
      <c r="D49" s="21"/>
      <c r="E49" s="21"/>
      <c r="F49" s="21"/>
      <c r="G49" s="21"/>
      <c r="H49" s="21"/>
      <c r="I49" s="21"/>
      <c r="J49" s="21"/>
      <c r="K49" s="21"/>
      <c r="L49" s="21"/>
      <c r="M49" s="62">
        <v>-429938</v>
      </c>
      <c r="N49" s="62">
        <v>-606084</v>
      </c>
      <c r="O49" s="62">
        <v>-742969</v>
      </c>
      <c r="P49" s="62">
        <v>-801496</v>
      </c>
      <c r="Q49" s="62">
        <v>-799190</v>
      </c>
      <c r="T49" s="62">
        <v>-795106</v>
      </c>
      <c r="U49" s="62">
        <v>-801496</v>
      </c>
      <c r="V49" s="62">
        <v>-805410</v>
      </c>
      <c r="W49" s="62">
        <v>-804756</v>
      </c>
      <c r="X49" s="62">
        <v>-800485</v>
      </c>
      <c r="Y49" s="62">
        <v>-799190</v>
      </c>
      <c r="Z49" s="62">
        <v>-796227</v>
      </c>
      <c r="AA49" s="62">
        <v>-794309</v>
      </c>
      <c r="AC49" s="62">
        <f t="shared" si="21"/>
        <v>-794309</v>
      </c>
    </row>
    <row r="50" spans="1:31" x14ac:dyDescent="0.2">
      <c r="B50" s="20" t="s">
        <v>339</v>
      </c>
      <c r="C50" s="21"/>
      <c r="D50" s="21"/>
      <c r="E50" s="21"/>
      <c r="F50" s="21"/>
      <c r="G50" s="21"/>
      <c r="H50" s="21"/>
      <c r="I50" s="21"/>
      <c r="J50" s="21"/>
      <c r="K50" s="21"/>
      <c r="L50" s="21"/>
      <c r="M50" s="62">
        <v>0</v>
      </c>
      <c r="N50" s="62">
        <v>0</v>
      </c>
      <c r="O50" s="62">
        <v>0</v>
      </c>
      <c r="P50" s="62">
        <v>0</v>
      </c>
      <c r="Q50" s="62">
        <v>0</v>
      </c>
      <c r="T50" s="62">
        <v>0</v>
      </c>
      <c r="U50" s="62">
        <v>0</v>
      </c>
      <c r="V50" s="21">
        <v>0</v>
      </c>
      <c r="W50" s="21">
        <v>0</v>
      </c>
      <c r="X50" s="21">
        <v>0</v>
      </c>
      <c r="Y50" s="21">
        <v>0</v>
      </c>
      <c r="Z50" s="21">
        <v>0</v>
      </c>
      <c r="AA50" s="21">
        <v>0</v>
      </c>
      <c r="AC50" s="62">
        <f t="shared" si="21"/>
        <v>0</v>
      </c>
    </row>
    <row r="51" spans="1:31" s="34" customFormat="1" x14ac:dyDescent="0.2">
      <c r="A51" s="16"/>
      <c r="B51" s="32" t="s">
        <v>55</v>
      </c>
      <c r="C51" s="33"/>
      <c r="D51" s="33"/>
      <c r="E51" s="33"/>
      <c r="F51" s="33"/>
      <c r="G51" s="33"/>
      <c r="H51" s="33"/>
      <c r="I51" s="33"/>
      <c r="J51" s="33"/>
      <c r="K51" s="33"/>
      <c r="L51" s="33"/>
      <c r="M51" s="33">
        <v>417280</v>
      </c>
      <c r="N51" s="33">
        <v>287819</v>
      </c>
      <c r="O51" s="33">
        <v>251449</v>
      </c>
      <c r="P51" s="33">
        <v>264808</v>
      </c>
      <c r="Q51" s="33">
        <v>337207</v>
      </c>
      <c r="R51" s="1"/>
      <c r="S51" s="1"/>
      <c r="T51" s="33">
        <v>254592</v>
      </c>
      <c r="U51" s="33">
        <v>264808</v>
      </c>
      <c r="V51" s="33">
        <v>282186</v>
      </c>
      <c r="W51" s="33">
        <v>297987</v>
      </c>
      <c r="X51" s="33">
        <v>320329</v>
      </c>
      <c r="Y51" s="33">
        <v>337207</v>
      </c>
      <c r="Z51" s="33">
        <v>359090</v>
      </c>
      <c r="AA51" s="33">
        <v>371851</v>
      </c>
      <c r="AB51" s="1"/>
      <c r="AC51" s="33">
        <f t="shared" si="21"/>
        <v>371851</v>
      </c>
      <c r="AD51" s="1"/>
      <c r="AE51" s="1"/>
    </row>
    <row r="52" spans="1:31" s="38" customFormat="1" ht="17" thickBot="1" x14ac:dyDescent="0.25">
      <c r="A52" s="16"/>
      <c r="B52" s="36" t="s">
        <v>56</v>
      </c>
      <c r="C52" s="37"/>
      <c r="D52" s="37"/>
      <c r="E52" s="37"/>
      <c r="F52" s="37"/>
      <c r="G52" s="37"/>
      <c r="H52" s="37"/>
      <c r="I52" s="37"/>
      <c r="J52" s="37"/>
      <c r="K52" s="37"/>
      <c r="L52" s="37"/>
      <c r="M52" s="37">
        <v>494476</v>
      </c>
      <c r="N52" s="37">
        <v>370057</v>
      </c>
      <c r="O52" s="37">
        <v>370326</v>
      </c>
      <c r="P52" s="37">
        <v>388415</v>
      </c>
      <c r="Q52" s="37">
        <v>663790</v>
      </c>
      <c r="R52" s="1"/>
      <c r="S52" s="1"/>
      <c r="T52" s="37">
        <v>375703</v>
      </c>
      <c r="U52" s="37">
        <v>388415</v>
      </c>
      <c r="V52" s="37">
        <v>400395</v>
      </c>
      <c r="W52" s="37">
        <v>408629</v>
      </c>
      <c r="X52" s="37">
        <v>423472</v>
      </c>
      <c r="Y52" s="37">
        <v>663790</v>
      </c>
      <c r="Z52" s="37">
        <v>666141</v>
      </c>
      <c r="AA52" s="37">
        <v>646977</v>
      </c>
      <c r="AB52" s="1"/>
      <c r="AC52" s="37">
        <f t="shared" si="21"/>
        <v>646977</v>
      </c>
      <c r="AD52" s="1"/>
      <c r="AE52" s="1"/>
    </row>
    <row r="53" spans="1:31" x14ac:dyDescent="0.2">
      <c r="B53" s="1"/>
    </row>
    <row r="54" spans="1:31" s="15" customFormat="1" ht="17" thickBot="1" x14ac:dyDescent="0.25">
      <c r="A54" s="11"/>
      <c r="B54" s="14" t="s">
        <v>57</v>
      </c>
      <c r="R54" s="1"/>
      <c r="S54" s="1"/>
      <c r="AB54" s="1"/>
      <c r="AD54" s="1"/>
      <c r="AE54" s="1"/>
    </row>
    <row r="55" spans="1:31" x14ac:dyDescent="0.2">
      <c r="B55" s="20" t="s">
        <v>58</v>
      </c>
      <c r="C55" s="62"/>
      <c r="D55" s="62"/>
      <c r="E55" s="62"/>
      <c r="F55" s="62"/>
      <c r="G55" s="62"/>
      <c r="H55" s="62"/>
      <c r="I55" s="62"/>
      <c r="J55" s="62"/>
      <c r="K55" s="62"/>
      <c r="L55" s="62"/>
      <c r="M55" s="21">
        <v>21302</v>
      </c>
      <c r="N55" s="21">
        <v>25304</v>
      </c>
      <c r="O55" s="21">
        <v>29487</v>
      </c>
      <c r="P55" s="21">
        <v>27886</v>
      </c>
      <c r="Q55" s="21">
        <v>31453</v>
      </c>
      <c r="T55" s="21">
        <v>7087</v>
      </c>
      <c r="U55" s="21">
        <v>6823</v>
      </c>
      <c r="V55" s="21">
        <v>6878</v>
      </c>
      <c r="W55" s="229">
        <v>7409</v>
      </c>
      <c r="X55" s="229">
        <v>7478</v>
      </c>
      <c r="Y55" s="21">
        <v>9688</v>
      </c>
      <c r="Z55" s="21">
        <v>9954</v>
      </c>
      <c r="AA55" s="21">
        <v>9995</v>
      </c>
      <c r="AC55" s="62">
        <f>SUM(X55:AA55)</f>
        <v>37115</v>
      </c>
    </row>
    <row r="56" spans="1:31" x14ac:dyDescent="0.2">
      <c r="B56" s="23" t="s">
        <v>59</v>
      </c>
      <c r="C56" s="62"/>
      <c r="D56" s="62"/>
      <c r="E56" s="62"/>
      <c r="F56" s="62"/>
      <c r="G56" s="62"/>
      <c r="H56" s="62"/>
      <c r="I56" s="62"/>
      <c r="J56" s="62"/>
      <c r="K56" s="62"/>
      <c r="L56" s="62"/>
      <c r="M56" s="21">
        <v>36144</v>
      </c>
      <c r="N56" s="21">
        <v>58775</v>
      </c>
      <c r="O56" s="21">
        <v>71613</v>
      </c>
      <c r="P56" s="21">
        <v>66975</v>
      </c>
      <c r="Q56" s="21">
        <v>67452</v>
      </c>
      <c r="T56" s="21">
        <v>16525</v>
      </c>
      <c r="U56" s="21">
        <v>17162</v>
      </c>
      <c r="V56" s="21">
        <v>17225</v>
      </c>
      <c r="W56" s="229">
        <v>16230</v>
      </c>
      <c r="X56" s="229">
        <v>15959</v>
      </c>
      <c r="Y56" s="21">
        <v>18038</v>
      </c>
      <c r="Z56" s="21">
        <v>13554</v>
      </c>
      <c r="AA56" s="21">
        <v>11875</v>
      </c>
      <c r="AC56" s="62">
        <f t="shared" ref="AC56:AC60" si="28">SUM(X56:AA56)</f>
        <v>59426</v>
      </c>
    </row>
    <row r="57" spans="1:31" x14ac:dyDescent="0.2">
      <c r="B57" s="23" t="s">
        <v>106</v>
      </c>
      <c r="C57" s="62"/>
      <c r="D57" s="62"/>
      <c r="E57" s="62"/>
      <c r="F57" s="62"/>
      <c r="G57" s="62"/>
      <c r="H57" s="62"/>
      <c r="I57" s="62"/>
      <c r="J57" s="62"/>
      <c r="K57" s="62"/>
      <c r="L57" s="62"/>
      <c r="M57" s="62">
        <v>-10216</v>
      </c>
      <c r="N57" s="62">
        <v>-11132</v>
      </c>
      <c r="O57" s="62">
        <v>-11205</v>
      </c>
      <c r="P57" s="62">
        <v>-8812</v>
      </c>
      <c r="Q57" s="62">
        <v>-23397</v>
      </c>
      <c r="T57" s="62">
        <v>-10141</v>
      </c>
      <c r="U57" s="62">
        <v>-2254</v>
      </c>
      <c r="V57" s="62">
        <v>-1490</v>
      </c>
      <c r="W57" s="62">
        <v>-1820</v>
      </c>
      <c r="X57" s="62">
        <v>-11455</v>
      </c>
      <c r="Y57" s="62">
        <v>-8632</v>
      </c>
      <c r="Z57" s="62">
        <v>7731</v>
      </c>
      <c r="AA57" s="62">
        <v>185</v>
      </c>
      <c r="AC57" s="62">
        <f t="shared" si="28"/>
        <v>-12171</v>
      </c>
    </row>
    <row r="58" spans="1:31" x14ac:dyDescent="0.2">
      <c r="B58" s="23" t="s">
        <v>157</v>
      </c>
      <c r="C58" s="62"/>
      <c r="D58" s="62"/>
      <c r="E58" s="62"/>
      <c r="F58" s="62"/>
      <c r="G58" s="62"/>
      <c r="H58" s="62"/>
      <c r="I58" s="62"/>
      <c r="J58" s="62"/>
      <c r="K58" s="62"/>
      <c r="L58" s="62"/>
      <c r="M58" s="62">
        <v>0</v>
      </c>
      <c r="N58" s="62">
        <v>0</v>
      </c>
      <c r="O58" s="62">
        <v>0</v>
      </c>
      <c r="P58" s="62">
        <v>0</v>
      </c>
      <c r="Q58" s="62">
        <v>0</v>
      </c>
      <c r="T58" s="62">
        <v>0</v>
      </c>
      <c r="U58" s="62">
        <v>0</v>
      </c>
      <c r="V58" s="62">
        <v>0</v>
      </c>
      <c r="W58" s="62">
        <v>0</v>
      </c>
      <c r="X58" s="62">
        <v>0</v>
      </c>
      <c r="Y58" s="62">
        <v>0</v>
      </c>
      <c r="Z58" s="62">
        <v>0</v>
      </c>
      <c r="AA58" s="62">
        <v>0</v>
      </c>
      <c r="AC58" s="62">
        <f>SUM(X58:AA58)</f>
        <v>0</v>
      </c>
    </row>
    <row r="59" spans="1:31" x14ac:dyDescent="0.2">
      <c r="B59" s="23" t="s">
        <v>107</v>
      </c>
      <c r="C59" s="62"/>
      <c r="D59" s="62"/>
      <c r="E59" s="62"/>
      <c r="F59" s="62"/>
      <c r="G59" s="62"/>
      <c r="H59" s="62"/>
      <c r="I59" s="62"/>
      <c r="J59" s="62"/>
      <c r="K59" s="62"/>
      <c r="L59" s="62"/>
      <c r="M59" s="62">
        <v>2881</v>
      </c>
      <c r="N59" s="62">
        <v>4774</v>
      </c>
      <c r="O59" s="62">
        <v>-1993</v>
      </c>
      <c r="P59" s="62">
        <v>-3234</v>
      </c>
      <c r="Q59" s="62">
        <v>5261</v>
      </c>
      <c r="T59" s="62">
        <v>6948</v>
      </c>
      <c r="U59" s="62">
        <v>-8432</v>
      </c>
      <c r="V59" s="62">
        <v>-1739</v>
      </c>
      <c r="W59" s="62">
        <v>2068</v>
      </c>
      <c r="X59" s="62">
        <v>1303</v>
      </c>
      <c r="Y59" s="62">
        <v>3629</v>
      </c>
      <c r="Z59" s="62">
        <v>159</v>
      </c>
      <c r="AA59" s="62">
        <v>489</v>
      </c>
      <c r="AC59" s="62">
        <f t="shared" si="28"/>
        <v>5580</v>
      </c>
    </row>
    <row r="60" spans="1:31" x14ac:dyDescent="0.2">
      <c r="B60" s="23" t="s">
        <v>108</v>
      </c>
      <c r="C60" s="62"/>
      <c r="D60" s="62"/>
      <c r="E60" s="62"/>
      <c r="F60" s="62"/>
      <c r="G60" s="62"/>
      <c r="H60" s="62"/>
      <c r="I60" s="62"/>
      <c r="J60" s="62"/>
      <c r="K60" s="62"/>
      <c r="L60" s="62"/>
      <c r="M60" s="62">
        <v>-11236</v>
      </c>
      <c r="N60" s="62">
        <v>2496</v>
      </c>
      <c r="O60" s="62">
        <v>11561</v>
      </c>
      <c r="P60" s="62">
        <v>5553</v>
      </c>
      <c r="Q60" s="62">
        <v>4046</v>
      </c>
      <c r="T60" s="62">
        <v>-2450</v>
      </c>
      <c r="U60" s="62">
        <v>10679</v>
      </c>
      <c r="V60" s="62">
        <v>-3018</v>
      </c>
      <c r="W60" s="62">
        <v>-8802</v>
      </c>
      <c r="X60" s="62">
        <v>-2777</v>
      </c>
      <c r="Y60" s="62">
        <v>18643</v>
      </c>
      <c r="Z60" s="62">
        <f>7711+129+828-6985-5060-410-8317</f>
        <v>-12104</v>
      </c>
      <c r="AA60" s="62">
        <f>995-12-2640+4982-8480-452-5524</f>
        <v>-11131</v>
      </c>
      <c r="AC60" s="62">
        <f t="shared" si="28"/>
        <v>-7369</v>
      </c>
    </row>
    <row r="61" spans="1:31" s="19" customFormat="1" x14ac:dyDescent="0.2">
      <c r="A61" s="16"/>
      <c r="B61" s="17" t="s">
        <v>60</v>
      </c>
      <c r="C61" s="61"/>
      <c r="D61" s="61"/>
      <c r="E61" s="61"/>
      <c r="F61" s="61"/>
      <c r="G61" s="61"/>
      <c r="H61" s="61"/>
      <c r="I61" s="61"/>
      <c r="J61" s="61"/>
      <c r="K61" s="61"/>
      <c r="L61" s="61"/>
      <c r="M61" s="61">
        <v>-74710</v>
      </c>
      <c r="N61" s="61">
        <v>-90123</v>
      </c>
      <c r="O61" s="61">
        <v>-32378</v>
      </c>
      <c r="P61" s="61">
        <v>32381</v>
      </c>
      <c r="Q61" s="61">
        <v>78814</v>
      </c>
      <c r="R61" s="1"/>
      <c r="S61" s="1"/>
      <c r="T61" s="61">
        <v>5785</v>
      </c>
      <c r="U61" s="61">
        <v>16256</v>
      </c>
      <c r="V61" s="61">
        <v>14850</v>
      </c>
      <c r="W61" s="61">
        <v>14835</v>
      </c>
      <c r="X61" s="61">
        <v>15467</v>
      </c>
      <c r="Y61" s="61">
        <v>33662</v>
      </c>
      <c r="Z61" s="61">
        <v>23922</v>
      </c>
      <c r="AA61" s="61">
        <v>18328</v>
      </c>
      <c r="AB61" s="1"/>
      <c r="AC61" s="61">
        <f>SUM(X61:AA61)</f>
        <v>91379</v>
      </c>
      <c r="AD61" s="1"/>
      <c r="AE61" s="1"/>
    </row>
    <row r="62" spans="1:31" x14ac:dyDescent="0.2">
      <c r="B62" s="20" t="s">
        <v>61</v>
      </c>
      <c r="C62" s="62"/>
      <c r="D62" s="62"/>
      <c r="E62" s="62"/>
      <c r="F62" s="62"/>
      <c r="G62" s="62"/>
      <c r="H62" s="62"/>
      <c r="I62" s="62"/>
      <c r="J62" s="62"/>
      <c r="K62" s="62"/>
      <c r="L62" s="62"/>
      <c r="M62" s="62">
        <v>-18420</v>
      </c>
      <c r="N62" s="62">
        <v>-4732</v>
      </c>
      <c r="O62" s="62">
        <v>-5806</v>
      </c>
      <c r="P62" s="62">
        <v>-8709</v>
      </c>
      <c r="Q62" s="62">
        <v>-11101</v>
      </c>
      <c r="T62" s="62">
        <v>-616</v>
      </c>
      <c r="U62" s="62">
        <v>-2790</v>
      </c>
      <c r="V62" s="62">
        <v>-3504</v>
      </c>
      <c r="W62" s="62">
        <v>-1767</v>
      </c>
      <c r="X62" s="62">
        <v>-3271</v>
      </c>
      <c r="Y62" s="62">
        <v>-2559</v>
      </c>
      <c r="Z62" s="62">
        <v>-4310</v>
      </c>
      <c r="AA62" s="62">
        <v>-492</v>
      </c>
      <c r="AC62" s="62">
        <f>SUM(X62:AA62)</f>
        <v>-10632</v>
      </c>
    </row>
    <row r="63" spans="1:31" x14ac:dyDescent="0.2">
      <c r="B63" s="20" t="s">
        <v>109</v>
      </c>
      <c r="C63" s="62"/>
      <c r="D63" s="62"/>
      <c r="E63" s="62"/>
      <c r="F63" s="62"/>
      <c r="G63" s="62"/>
      <c r="H63" s="62"/>
      <c r="I63" s="62"/>
      <c r="J63" s="62"/>
      <c r="K63" s="62"/>
      <c r="L63" s="62"/>
      <c r="M63" s="62">
        <v>-12385</v>
      </c>
      <c r="N63" s="62">
        <v>-21471</v>
      </c>
      <c r="O63" s="62">
        <v>-19291</v>
      </c>
      <c r="P63" s="62">
        <v>-15380</v>
      </c>
      <c r="Q63" s="62">
        <v>-13296</v>
      </c>
      <c r="T63" s="62">
        <v>-3566</v>
      </c>
      <c r="U63" s="62">
        <v>-4268</v>
      </c>
      <c r="V63" s="62">
        <v>-3888</v>
      </c>
      <c r="W63" s="62">
        <v>-3435</v>
      </c>
      <c r="X63" s="62">
        <v>-3395</v>
      </c>
      <c r="Y63" s="62">
        <v>-2578</v>
      </c>
      <c r="Z63" s="62">
        <v>-3240</v>
      </c>
      <c r="AA63" s="62">
        <v>-4012</v>
      </c>
      <c r="AC63" s="62">
        <f t="shared" ref="AC63:AC68" si="29">SUM(X63:AA63)</f>
        <v>-13225</v>
      </c>
    </row>
    <row r="64" spans="1:31" s="19" customFormat="1" x14ac:dyDescent="0.2">
      <c r="A64" s="16"/>
      <c r="B64" s="17" t="s">
        <v>62</v>
      </c>
      <c r="C64" s="61"/>
      <c r="D64" s="61"/>
      <c r="E64" s="61"/>
      <c r="F64" s="61"/>
      <c r="G64" s="61"/>
      <c r="H64" s="61"/>
      <c r="I64" s="61"/>
      <c r="J64" s="61"/>
      <c r="K64" s="61"/>
      <c r="L64" s="61"/>
      <c r="M64" s="61">
        <v>-65228</v>
      </c>
      <c r="N64" s="61">
        <v>-26203</v>
      </c>
      <c r="O64" s="61">
        <v>-39670</v>
      </c>
      <c r="P64" s="61">
        <v>-24089</v>
      </c>
      <c r="Q64" s="61">
        <v>-161879</v>
      </c>
      <c r="R64" s="1"/>
      <c r="S64" s="1"/>
      <c r="T64" s="61">
        <v>-4182</v>
      </c>
      <c r="U64" s="61">
        <v>-7058</v>
      </c>
      <c r="V64" s="61">
        <v>-7392</v>
      </c>
      <c r="W64" s="61">
        <v>-5202</v>
      </c>
      <c r="X64" s="61">
        <v>-6666</v>
      </c>
      <c r="Y64" s="61">
        <v>-142619</v>
      </c>
      <c r="Z64" s="61">
        <v>4802</v>
      </c>
      <c r="AA64" s="61">
        <v>22168</v>
      </c>
      <c r="AB64" s="1"/>
      <c r="AC64" s="61">
        <f t="shared" si="29"/>
        <v>-122315</v>
      </c>
      <c r="AD64" s="1"/>
      <c r="AE64" s="1"/>
    </row>
    <row r="65" spans="1:31" x14ac:dyDescent="0.2">
      <c r="B65" s="20" t="s">
        <v>63</v>
      </c>
      <c r="C65" s="62"/>
      <c r="D65" s="62"/>
      <c r="E65" s="62"/>
      <c r="F65" s="62"/>
      <c r="G65" s="62"/>
      <c r="H65" s="62"/>
      <c r="I65" s="62"/>
      <c r="J65" s="62"/>
      <c r="K65" s="62"/>
      <c r="L65" s="62"/>
      <c r="M65" s="62">
        <v>0</v>
      </c>
      <c r="N65" s="62">
        <v>0</v>
      </c>
      <c r="O65" s="62">
        <v>0</v>
      </c>
      <c r="P65" s="62">
        <v>0</v>
      </c>
      <c r="Q65" s="62">
        <v>0</v>
      </c>
      <c r="T65" s="62">
        <v>0</v>
      </c>
      <c r="U65" s="62">
        <v>0</v>
      </c>
      <c r="V65" s="62">
        <v>0</v>
      </c>
      <c r="W65" s="62">
        <v>0</v>
      </c>
      <c r="X65" s="62">
        <v>0</v>
      </c>
      <c r="Y65" s="62">
        <v>0</v>
      </c>
      <c r="Z65" s="62">
        <v>0</v>
      </c>
      <c r="AA65" s="62">
        <v>0</v>
      </c>
      <c r="AC65" s="62">
        <f t="shared" si="29"/>
        <v>0</v>
      </c>
    </row>
    <row r="66" spans="1:31" x14ac:dyDescent="0.2">
      <c r="B66" s="20" t="s">
        <v>296</v>
      </c>
      <c r="C66" s="62"/>
      <c r="D66" s="62"/>
      <c r="E66" s="62"/>
      <c r="F66" s="62"/>
      <c r="G66" s="62"/>
      <c r="H66" s="62"/>
      <c r="I66" s="62"/>
      <c r="J66" s="62"/>
      <c r="K66" s="62"/>
      <c r="L66" s="62"/>
      <c r="M66" s="62">
        <v>0</v>
      </c>
      <c r="N66" s="62">
        <v>0</v>
      </c>
      <c r="O66" s="62">
        <v>0</v>
      </c>
      <c r="P66" s="62">
        <v>0</v>
      </c>
      <c r="Q66" s="62">
        <v>0</v>
      </c>
      <c r="T66" s="62">
        <v>0</v>
      </c>
      <c r="U66" s="62">
        <v>0</v>
      </c>
      <c r="V66" s="62">
        <v>0</v>
      </c>
      <c r="W66" s="62">
        <v>0</v>
      </c>
      <c r="X66" s="62">
        <v>0</v>
      </c>
      <c r="Y66" s="62">
        <v>0</v>
      </c>
      <c r="Z66" s="62">
        <v>0</v>
      </c>
      <c r="AA66" s="62">
        <v>0</v>
      </c>
      <c r="AC66" s="62">
        <f>SUM(X66:AA66)</f>
        <v>0</v>
      </c>
    </row>
    <row r="67" spans="1:31" x14ac:dyDescent="0.2">
      <c r="B67" s="20" t="s">
        <v>342</v>
      </c>
      <c r="C67" s="62"/>
      <c r="D67" s="62"/>
      <c r="E67" s="62"/>
      <c r="F67" s="62"/>
      <c r="G67" s="62"/>
      <c r="H67" s="62"/>
      <c r="I67" s="62"/>
      <c r="J67" s="62"/>
      <c r="K67" s="62"/>
      <c r="L67" s="62"/>
      <c r="M67" s="62">
        <v>0</v>
      </c>
      <c r="N67" s="62">
        <v>0</v>
      </c>
      <c r="O67" s="62">
        <v>0</v>
      </c>
      <c r="P67" s="62">
        <v>0</v>
      </c>
      <c r="Q67" s="62">
        <v>0</v>
      </c>
      <c r="T67" s="62">
        <v>0</v>
      </c>
      <c r="U67" s="62">
        <v>0</v>
      </c>
      <c r="V67" s="62">
        <v>0</v>
      </c>
      <c r="W67" s="62">
        <v>0</v>
      </c>
      <c r="X67" s="62">
        <v>0</v>
      </c>
      <c r="Y67" s="62">
        <v>0</v>
      </c>
      <c r="Z67" s="62">
        <v>0</v>
      </c>
      <c r="AA67" s="62">
        <v>0</v>
      </c>
      <c r="AC67" s="62">
        <f>SUM(X67:AA67)</f>
        <v>0</v>
      </c>
    </row>
    <row r="68" spans="1:31" s="19" customFormat="1" ht="17" thickBot="1" x14ac:dyDescent="0.25">
      <c r="A68" s="16"/>
      <c r="B68" s="36" t="s">
        <v>64</v>
      </c>
      <c r="C68" s="71"/>
      <c r="D68" s="71"/>
      <c r="E68" s="71"/>
      <c r="F68" s="71"/>
      <c r="G68" s="71"/>
      <c r="H68" s="71"/>
      <c r="I68" s="71"/>
      <c r="J68" s="71"/>
      <c r="K68" s="71"/>
      <c r="L68" s="71"/>
      <c r="M68" s="71">
        <v>234969</v>
      </c>
      <c r="N68" s="71">
        <v>-20803</v>
      </c>
      <c r="O68" s="71">
        <v>-17115</v>
      </c>
      <c r="P68" s="71">
        <v>-11486</v>
      </c>
      <c r="Q68" s="71">
        <v>72851</v>
      </c>
      <c r="R68" s="1"/>
      <c r="S68" s="1"/>
      <c r="T68" s="71">
        <v>-1651</v>
      </c>
      <c r="U68" s="71">
        <v>-6629</v>
      </c>
      <c r="V68" s="71">
        <v>-838</v>
      </c>
      <c r="W68" s="71">
        <v>-2149</v>
      </c>
      <c r="X68" s="71">
        <v>-667</v>
      </c>
      <c r="Y68" s="71">
        <v>76505</v>
      </c>
      <c r="Z68" s="71">
        <v>-26093</v>
      </c>
      <c r="AA68" s="71">
        <v>-42282</v>
      </c>
      <c r="AB68" s="1"/>
      <c r="AC68" s="71">
        <f t="shared" si="29"/>
        <v>7463</v>
      </c>
      <c r="AD68" s="1"/>
      <c r="AE68" s="1"/>
    </row>
    <row r="69" spans="1:31" x14ac:dyDescent="0.2">
      <c r="B69" s="1"/>
    </row>
    <row r="70" spans="1:31" s="15" customFormat="1" ht="17" thickBot="1" x14ac:dyDescent="0.25">
      <c r="A70" s="11"/>
      <c r="B70" s="14" t="s">
        <v>65</v>
      </c>
      <c r="R70" s="1"/>
      <c r="S70" s="1"/>
      <c r="AB70" s="1"/>
      <c r="AD70" s="1"/>
      <c r="AE70" s="1"/>
    </row>
    <row r="71" spans="1:31" x14ac:dyDescent="0.2">
      <c r="B71" s="20" t="s">
        <v>66</v>
      </c>
      <c r="C71" s="64">
        <f t="shared" ref="C71:Q71" si="30">C5-C6-C13+C15+C16+C18-C19</f>
        <v>0</v>
      </c>
      <c r="D71" s="64">
        <f t="shared" si="30"/>
        <v>0</v>
      </c>
      <c r="E71" s="64">
        <f t="shared" si="30"/>
        <v>0</v>
      </c>
      <c r="F71" s="64">
        <f t="shared" si="30"/>
        <v>0</v>
      </c>
      <c r="G71" s="64">
        <f t="shared" si="30"/>
        <v>0</v>
      </c>
      <c r="H71" s="64">
        <f t="shared" si="30"/>
        <v>0</v>
      </c>
      <c r="I71" s="64">
        <f t="shared" si="30"/>
        <v>0</v>
      </c>
      <c r="J71" s="64">
        <f t="shared" si="30"/>
        <v>0</v>
      </c>
      <c r="K71" s="64">
        <f t="shared" si="30"/>
        <v>0</v>
      </c>
      <c r="L71" s="64">
        <f t="shared" si="30"/>
        <v>0</v>
      </c>
      <c r="M71" s="64">
        <f t="shared" si="30"/>
        <v>-118161</v>
      </c>
      <c r="N71" s="64">
        <f t="shared" si="30"/>
        <v>-176146</v>
      </c>
      <c r="O71" s="64">
        <f t="shared" si="30"/>
        <v>-136885</v>
      </c>
      <c r="P71" s="64">
        <f t="shared" si="30"/>
        <v>-58527</v>
      </c>
      <c r="Q71" s="64">
        <f t="shared" si="30"/>
        <v>-9312</v>
      </c>
      <c r="T71" s="64">
        <f t="shared" ref="T71:Y71" si="31">T5-T6-T13+T15+T16+T18-T19</f>
        <v>-14403</v>
      </c>
      <c r="U71" s="64">
        <f t="shared" si="31"/>
        <v>-6390</v>
      </c>
      <c r="V71" s="64">
        <f t="shared" si="31"/>
        <v>-3914</v>
      </c>
      <c r="W71" s="64">
        <f t="shared" si="31"/>
        <v>654</v>
      </c>
      <c r="X71" s="64">
        <f t="shared" si="31"/>
        <v>4271</v>
      </c>
      <c r="Y71" s="64">
        <f t="shared" si="31"/>
        <v>-10323</v>
      </c>
      <c r="Z71" s="64">
        <f t="shared" ref="Z71:AA71" si="32">Z5-Z6-Z13+Z15+Z16+Z18-Z19</f>
        <v>2963</v>
      </c>
      <c r="AA71" s="64">
        <f t="shared" si="32"/>
        <v>1918</v>
      </c>
      <c r="AC71" s="64">
        <f>AC5-AC6-AC13+AC15+AC16+AC18-AC19</f>
        <v>-1171</v>
      </c>
    </row>
    <row r="72" spans="1:31" s="41" customFormat="1" x14ac:dyDescent="0.2">
      <c r="A72" s="16"/>
      <c r="B72" s="17" t="s">
        <v>67</v>
      </c>
      <c r="C72" s="40">
        <f t="shared" ref="C72:Q72" si="33">C20-C71</f>
        <v>0</v>
      </c>
      <c r="D72" s="40">
        <f t="shared" si="33"/>
        <v>0</v>
      </c>
      <c r="E72" s="40">
        <f t="shared" si="33"/>
        <v>0</v>
      </c>
      <c r="F72" s="40">
        <f t="shared" si="33"/>
        <v>0</v>
      </c>
      <c r="G72" s="40">
        <f t="shared" si="33"/>
        <v>0</v>
      </c>
      <c r="H72" s="40">
        <f t="shared" si="33"/>
        <v>0</v>
      </c>
      <c r="I72" s="40">
        <f t="shared" si="33"/>
        <v>0</v>
      </c>
      <c r="J72" s="40">
        <f t="shared" si="33"/>
        <v>0</v>
      </c>
      <c r="K72" s="40">
        <f t="shared" si="33"/>
        <v>0</v>
      </c>
      <c r="L72" s="40">
        <f t="shared" si="33"/>
        <v>0</v>
      </c>
      <c r="M72" s="40">
        <f t="shared" si="33"/>
        <v>0</v>
      </c>
      <c r="N72" s="40">
        <f t="shared" si="33"/>
        <v>0</v>
      </c>
      <c r="O72" s="40">
        <f t="shared" si="33"/>
        <v>0</v>
      </c>
      <c r="P72" s="40">
        <f t="shared" si="33"/>
        <v>0</v>
      </c>
      <c r="Q72" s="40">
        <f t="shared" si="33"/>
        <v>0</v>
      </c>
      <c r="R72" s="1"/>
      <c r="S72" s="1"/>
      <c r="T72" s="40">
        <f t="shared" ref="T72:Z72" si="34">T20-T71</f>
        <v>0</v>
      </c>
      <c r="U72" s="40">
        <f t="shared" si="34"/>
        <v>0</v>
      </c>
      <c r="V72" s="40">
        <f t="shared" si="34"/>
        <v>0</v>
      </c>
      <c r="W72" s="40">
        <f t="shared" si="34"/>
        <v>0</v>
      </c>
      <c r="X72" s="40">
        <f t="shared" si="34"/>
        <v>0</v>
      </c>
      <c r="Y72" s="40">
        <f t="shared" si="34"/>
        <v>0</v>
      </c>
      <c r="Z72" s="40">
        <f t="shared" si="34"/>
        <v>0</v>
      </c>
      <c r="AA72" s="40">
        <f t="shared" ref="AA72" si="35">AA20-AA71</f>
        <v>0</v>
      </c>
      <c r="AB72" s="16"/>
      <c r="AC72" s="40">
        <f>AC20-AC71</f>
        <v>0</v>
      </c>
      <c r="AD72" s="1"/>
      <c r="AE72" s="1"/>
    </row>
    <row r="73" spans="1:31" s="41" customFormat="1" x14ac:dyDescent="0.2">
      <c r="A73" s="16"/>
      <c r="B73" s="17" t="s">
        <v>68</v>
      </c>
      <c r="C73" s="42">
        <f t="shared" ref="C73:Q73" si="36">C39-(C45+C116)</f>
        <v>0</v>
      </c>
      <c r="D73" s="42">
        <f t="shared" si="36"/>
        <v>0</v>
      </c>
      <c r="E73" s="42">
        <f t="shared" si="36"/>
        <v>0</v>
      </c>
      <c r="F73" s="42">
        <f t="shared" si="36"/>
        <v>0</v>
      </c>
      <c r="G73" s="42">
        <f t="shared" si="36"/>
        <v>0</v>
      </c>
      <c r="H73" s="42">
        <f t="shared" si="36"/>
        <v>0</v>
      </c>
      <c r="I73" s="42">
        <f t="shared" si="36"/>
        <v>0</v>
      </c>
      <c r="J73" s="42">
        <f t="shared" si="36"/>
        <v>0</v>
      </c>
      <c r="K73" s="42">
        <f t="shared" si="36"/>
        <v>0</v>
      </c>
      <c r="L73" s="42">
        <f t="shared" si="36"/>
        <v>0</v>
      </c>
      <c r="M73" s="42">
        <f t="shared" si="36"/>
        <v>0</v>
      </c>
      <c r="N73" s="42">
        <f t="shared" si="36"/>
        <v>0</v>
      </c>
      <c r="O73" s="42">
        <f t="shared" si="36"/>
        <v>0</v>
      </c>
      <c r="P73" s="42">
        <f t="shared" si="36"/>
        <v>0</v>
      </c>
      <c r="Q73" s="42">
        <f t="shared" si="36"/>
        <v>0</v>
      </c>
      <c r="R73" s="1"/>
      <c r="S73" s="1"/>
      <c r="T73" s="42">
        <f t="shared" ref="T73:Y73" si="37">T39-(T45+T116)</f>
        <v>0</v>
      </c>
      <c r="U73" s="42">
        <f t="shared" si="37"/>
        <v>0</v>
      </c>
      <c r="V73" s="42">
        <f t="shared" si="37"/>
        <v>0</v>
      </c>
      <c r="W73" s="42">
        <f t="shared" si="37"/>
        <v>0</v>
      </c>
      <c r="X73" s="42">
        <f t="shared" si="37"/>
        <v>0</v>
      </c>
      <c r="Y73" s="42">
        <f t="shared" si="37"/>
        <v>0</v>
      </c>
      <c r="Z73" s="42">
        <f t="shared" ref="Z73:AA73" si="38">Z39-(Z45+Z116)</f>
        <v>0</v>
      </c>
      <c r="AA73" s="42">
        <f t="shared" si="38"/>
        <v>0</v>
      </c>
      <c r="AB73" s="16"/>
      <c r="AC73" s="42">
        <f>AC39-(AC45+AC116)</f>
        <v>0</v>
      </c>
      <c r="AD73" s="1"/>
      <c r="AE73" s="1"/>
    </row>
    <row r="74" spans="1:31" x14ac:dyDescent="0.2">
      <c r="B74" s="39"/>
      <c r="J74" s="39"/>
      <c r="K74" s="39"/>
      <c r="L74" s="39"/>
      <c r="M74" s="39"/>
      <c r="N74" s="39"/>
      <c r="O74" s="39"/>
      <c r="P74" s="39"/>
    </row>
    <row r="75" spans="1:31" s="15" customFormat="1" ht="17" thickBot="1" x14ac:dyDescent="0.25">
      <c r="A75" s="11"/>
      <c r="B75" s="14" t="s">
        <v>69</v>
      </c>
      <c r="R75" s="1"/>
      <c r="S75" s="1"/>
      <c r="AB75" s="1"/>
      <c r="AD75" s="1"/>
      <c r="AE75" s="1"/>
    </row>
    <row r="76" spans="1:31" x14ac:dyDescent="0.2">
      <c r="B76" s="20" t="s">
        <v>70</v>
      </c>
      <c r="C76" s="43"/>
      <c r="D76" s="43"/>
      <c r="E76" s="43"/>
      <c r="F76" s="43"/>
      <c r="G76" s="43"/>
      <c r="H76" s="43"/>
      <c r="I76" s="43"/>
      <c r="J76" s="21"/>
      <c r="K76" s="21"/>
      <c r="L76" s="21"/>
      <c r="M76" s="43">
        <v>51946</v>
      </c>
      <c r="N76" s="21">
        <v>53355</v>
      </c>
      <c r="O76" s="21">
        <v>56387</v>
      </c>
      <c r="P76" s="21">
        <v>58772</v>
      </c>
      <c r="Q76" s="21">
        <v>60763</v>
      </c>
      <c r="T76" s="21">
        <v>58124</v>
      </c>
      <c r="U76" s="21">
        <v>58772</v>
      </c>
      <c r="V76" s="21">
        <v>59504</v>
      </c>
      <c r="W76" s="21">
        <v>59914</v>
      </c>
      <c r="X76" s="21">
        <v>60287</v>
      </c>
      <c r="Y76" s="21">
        <v>60763</v>
      </c>
      <c r="Z76" s="21">
        <v>61812</v>
      </c>
      <c r="AA76" s="21">
        <v>62071</v>
      </c>
      <c r="AC76" s="24">
        <f>AA76</f>
        <v>62071</v>
      </c>
    </row>
    <row r="77" spans="1:31" x14ac:dyDescent="0.2">
      <c r="B77" s="20" t="s">
        <v>71</v>
      </c>
      <c r="C77" s="25"/>
      <c r="D77" s="25"/>
      <c r="E77" s="25"/>
      <c r="F77" s="25"/>
      <c r="G77" s="25"/>
      <c r="H77" s="25"/>
      <c r="I77" s="25"/>
      <c r="J77" s="25"/>
      <c r="K77" s="25"/>
      <c r="L77" s="25"/>
      <c r="M77" s="25">
        <f t="shared" ref="M77:Q77" si="39">M76*M87</f>
        <v>51946</v>
      </c>
      <c r="N77" s="25">
        <f t="shared" si="39"/>
        <v>53355</v>
      </c>
      <c r="O77" s="25">
        <f t="shared" si="39"/>
        <v>56387</v>
      </c>
      <c r="P77" s="25">
        <f t="shared" si="39"/>
        <v>58772</v>
      </c>
      <c r="Q77" s="25">
        <f t="shared" si="39"/>
        <v>60763</v>
      </c>
      <c r="T77" s="25">
        <f t="shared" ref="T77" si="40">T76*T87</f>
        <v>58124</v>
      </c>
      <c r="U77" s="25">
        <f t="shared" ref="U77" si="41">U76*U87</f>
        <v>58772</v>
      </c>
      <c r="V77" s="25">
        <f t="shared" ref="V77:Y77" si="42">V76*V87</f>
        <v>59504</v>
      </c>
      <c r="W77" s="25">
        <f t="shared" si="42"/>
        <v>59914</v>
      </c>
      <c r="X77" s="25">
        <f t="shared" si="42"/>
        <v>60287</v>
      </c>
      <c r="Y77" s="25">
        <f t="shared" si="42"/>
        <v>60763</v>
      </c>
      <c r="Z77" s="25">
        <f t="shared" ref="Z77:AA77" si="43">Z76*Z87</f>
        <v>61812</v>
      </c>
      <c r="AA77" s="25">
        <f t="shared" si="43"/>
        <v>62071</v>
      </c>
      <c r="AC77" s="24">
        <f>AA77</f>
        <v>62071</v>
      </c>
    </row>
    <row r="78" spans="1:31" x14ac:dyDescent="0.2">
      <c r="B78" s="20" t="s">
        <v>246</v>
      </c>
      <c r="C78" s="25"/>
      <c r="D78" s="25"/>
      <c r="E78" s="25"/>
      <c r="F78" s="25"/>
      <c r="G78" s="25"/>
      <c r="H78" s="25"/>
      <c r="I78" s="25"/>
      <c r="J78" s="25"/>
      <c r="K78" s="25"/>
      <c r="L78" s="25"/>
      <c r="M78" s="21">
        <v>0</v>
      </c>
      <c r="N78" s="21">
        <v>0</v>
      </c>
      <c r="O78" s="21">
        <v>0</v>
      </c>
      <c r="P78" s="21">
        <v>0</v>
      </c>
      <c r="Q78" s="21">
        <f>698+556+335+148+19</f>
        <v>1756</v>
      </c>
      <c r="T78" s="21">
        <v>0</v>
      </c>
      <c r="U78" s="21">
        <v>0</v>
      </c>
      <c r="V78" s="21">
        <v>0</v>
      </c>
      <c r="W78" s="21">
        <f>764+625+575+93+37</f>
        <v>2094</v>
      </c>
      <c r="X78" s="21">
        <f>756+549+189+57</f>
        <v>1551</v>
      </c>
      <c r="Y78" s="21">
        <v>1756</v>
      </c>
      <c r="Z78" s="21">
        <f>293+197+606</f>
        <v>1096</v>
      </c>
      <c r="AA78" s="21">
        <v>2655</v>
      </c>
      <c r="AC78" s="21">
        <f>AA78</f>
        <v>2655</v>
      </c>
    </row>
    <row r="79" spans="1:31" x14ac:dyDescent="0.2">
      <c r="B79" s="20" t="s">
        <v>247</v>
      </c>
      <c r="C79" s="25"/>
      <c r="D79" s="25"/>
      <c r="E79" s="25"/>
      <c r="F79" s="25"/>
      <c r="G79" s="25"/>
      <c r="H79" s="25"/>
      <c r="I79" s="25"/>
      <c r="J79" s="25"/>
      <c r="K79" s="25"/>
      <c r="L79" s="25"/>
      <c r="M79" s="25">
        <f t="shared" ref="M79:P79" si="44">M78*M87</f>
        <v>0</v>
      </c>
      <c r="N79" s="25">
        <f t="shared" si="44"/>
        <v>0</v>
      </c>
      <c r="O79" s="25">
        <f t="shared" si="44"/>
        <v>0</v>
      </c>
      <c r="P79" s="25">
        <f t="shared" si="44"/>
        <v>0</v>
      </c>
      <c r="Q79" s="25">
        <f>Q78*Q87</f>
        <v>1756</v>
      </c>
      <c r="T79" s="25">
        <f t="shared" ref="T79:Z79" si="45">T78*T87</f>
        <v>0</v>
      </c>
      <c r="U79" s="25">
        <f t="shared" si="45"/>
        <v>0</v>
      </c>
      <c r="V79" s="25">
        <f t="shared" si="45"/>
        <v>0</v>
      </c>
      <c r="W79" s="25">
        <f t="shared" si="45"/>
        <v>2094</v>
      </c>
      <c r="X79" s="25">
        <f t="shared" si="45"/>
        <v>1551</v>
      </c>
      <c r="Y79" s="25">
        <f t="shared" si="45"/>
        <v>1756</v>
      </c>
      <c r="Z79" s="25">
        <f t="shared" si="45"/>
        <v>1096</v>
      </c>
      <c r="AA79" s="25">
        <f t="shared" ref="AA79" si="46">AA78*AA87</f>
        <v>2655</v>
      </c>
      <c r="AC79" s="24">
        <f>AA79</f>
        <v>2655</v>
      </c>
    </row>
    <row r="80" spans="1:31" x14ac:dyDescent="0.2">
      <c r="B80" s="20" t="s">
        <v>248</v>
      </c>
      <c r="C80" s="25"/>
      <c r="D80" s="25"/>
      <c r="E80" s="25"/>
      <c r="F80" s="25"/>
      <c r="G80" s="25"/>
      <c r="H80" s="25"/>
      <c r="I80" s="25"/>
      <c r="J80" s="25"/>
      <c r="K80" s="25"/>
      <c r="L80" s="25"/>
      <c r="M80" s="25">
        <f t="shared" ref="M80:P80" si="47">M77+M79</f>
        <v>51946</v>
      </c>
      <c r="N80" s="25">
        <f t="shared" si="47"/>
        <v>53355</v>
      </c>
      <c r="O80" s="25">
        <f t="shared" si="47"/>
        <v>56387</v>
      </c>
      <c r="P80" s="25">
        <f t="shared" si="47"/>
        <v>58772</v>
      </c>
      <c r="Q80" s="25">
        <f>Q77+Q79</f>
        <v>62519</v>
      </c>
      <c r="T80" s="25">
        <f t="shared" ref="T80:Z80" si="48">T77+T79</f>
        <v>58124</v>
      </c>
      <c r="U80" s="25">
        <f t="shared" si="48"/>
        <v>58772</v>
      </c>
      <c r="V80" s="25">
        <f t="shared" si="48"/>
        <v>59504</v>
      </c>
      <c r="W80" s="25">
        <f t="shared" si="48"/>
        <v>62008</v>
      </c>
      <c r="X80" s="25">
        <f t="shared" si="48"/>
        <v>61838</v>
      </c>
      <c r="Y80" s="25">
        <f t="shared" si="48"/>
        <v>62519</v>
      </c>
      <c r="Z80" s="25">
        <f t="shared" si="48"/>
        <v>62908</v>
      </c>
      <c r="AA80" s="25">
        <f t="shared" ref="AA80" si="49">AA77+AA79</f>
        <v>64726</v>
      </c>
      <c r="AC80" s="24">
        <f>AA80</f>
        <v>64726</v>
      </c>
    </row>
    <row r="81" spans="1:31" x14ac:dyDescent="0.2">
      <c r="B81" s="20" t="s">
        <v>287</v>
      </c>
      <c r="C81" s="25"/>
      <c r="D81" s="25"/>
      <c r="E81" s="25"/>
      <c r="F81" s="25"/>
      <c r="G81" s="25"/>
      <c r="H81" s="25"/>
      <c r="I81" s="25"/>
      <c r="J81" s="25"/>
      <c r="K81" s="25"/>
      <c r="L81" s="25"/>
      <c r="M81" s="21">
        <v>2892</v>
      </c>
      <c r="N81" s="21">
        <v>3116</v>
      </c>
      <c r="O81" s="21">
        <v>3332</v>
      </c>
      <c r="P81" s="21">
        <v>3302</v>
      </c>
      <c r="Q81" s="21">
        <v>3238</v>
      </c>
      <c r="T81" s="68"/>
      <c r="U81" s="68"/>
      <c r="V81" s="68"/>
      <c r="W81" s="68"/>
      <c r="X81" s="68"/>
      <c r="Y81" s="68"/>
      <c r="Z81" s="68"/>
      <c r="AA81" s="68"/>
      <c r="AC81" s="24">
        <f>Q81</f>
        <v>3238</v>
      </c>
    </row>
    <row r="82" spans="1:31" x14ac:dyDescent="0.2">
      <c r="B82" s="20" t="s">
        <v>288</v>
      </c>
      <c r="C82" s="25"/>
      <c r="D82" s="25"/>
      <c r="E82" s="25"/>
      <c r="F82" s="25"/>
      <c r="G82" s="25"/>
      <c r="H82" s="25"/>
      <c r="I82" s="25"/>
      <c r="J82" s="25"/>
      <c r="K82" s="25"/>
      <c r="L82" s="25"/>
      <c r="M82" s="25">
        <f t="shared" ref="M82:P82" si="50">M81*M87</f>
        <v>2892</v>
      </c>
      <c r="N82" s="25">
        <f t="shared" si="50"/>
        <v>3116</v>
      </c>
      <c r="O82" s="25">
        <f t="shared" si="50"/>
        <v>3332</v>
      </c>
      <c r="P82" s="25">
        <f t="shared" si="50"/>
        <v>3302</v>
      </c>
      <c r="Q82" s="25">
        <f>Q81*Q87</f>
        <v>3238</v>
      </c>
      <c r="T82" s="68"/>
      <c r="U82" s="68"/>
      <c r="V82" s="68"/>
      <c r="W82" s="68"/>
      <c r="X82" s="68"/>
      <c r="Y82" s="68"/>
      <c r="Z82" s="68"/>
      <c r="AA82" s="68"/>
      <c r="AC82" s="24">
        <f>Q82</f>
        <v>3238</v>
      </c>
    </row>
    <row r="83" spans="1:31" x14ac:dyDescent="0.2">
      <c r="B83" s="23" t="s">
        <v>72</v>
      </c>
      <c r="C83" s="44"/>
      <c r="D83" s="44"/>
      <c r="E83" s="44"/>
      <c r="F83" s="44"/>
      <c r="G83" s="44"/>
      <c r="H83" s="44"/>
      <c r="I83" s="44"/>
      <c r="J83" s="44"/>
      <c r="K83" s="44"/>
      <c r="L83" s="44"/>
      <c r="M83" s="44">
        <v>0</v>
      </c>
      <c r="N83" s="44">
        <v>0</v>
      </c>
      <c r="O83" s="44">
        <v>0</v>
      </c>
      <c r="P83" s="44">
        <v>0</v>
      </c>
      <c r="Q83" s="44">
        <v>0</v>
      </c>
      <c r="T83" s="44">
        <v>0</v>
      </c>
      <c r="U83" s="44">
        <v>0</v>
      </c>
      <c r="V83" s="44">
        <v>0</v>
      </c>
      <c r="W83" s="44">
        <v>0</v>
      </c>
      <c r="X83" s="44">
        <v>0</v>
      </c>
      <c r="Y83" s="44">
        <v>0</v>
      </c>
      <c r="Z83" s="44">
        <v>0</v>
      </c>
      <c r="AA83" s="44">
        <v>0</v>
      </c>
      <c r="AC83" s="72">
        <f>SUM(X83:AA83)</f>
        <v>0</v>
      </c>
    </row>
    <row r="84" spans="1:31" x14ac:dyDescent="0.2">
      <c r="B84" s="23" t="s">
        <v>73</v>
      </c>
      <c r="C84" s="39"/>
      <c r="D84" s="45"/>
      <c r="E84" s="45"/>
      <c r="F84" s="45"/>
      <c r="G84" s="45"/>
      <c r="H84" s="45"/>
      <c r="I84" s="45"/>
      <c r="J84" s="45"/>
      <c r="K84" s="45"/>
      <c r="L84" s="45"/>
      <c r="M84" s="45">
        <f t="shared" ref="M84:Q84" si="51">M83/M87</f>
        <v>0</v>
      </c>
      <c r="N84" s="45">
        <f t="shared" si="51"/>
        <v>0</v>
      </c>
      <c r="O84" s="45">
        <f t="shared" si="51"/>
        <v>0</v>
      </c>
      <c r="P84" s="45">
        <f t="shared" si="51"/>
        <v>0</v>
      </c>
      <c r="Q84" s="45">
        <f t="shared" si="51"/>
        <v>0</v>
      </c>
      <c r="T84" s="45">
        <f t="shared" ref="T84" si="52">T83/T87</f>
        <v>0</v>
      </c>
      <c r="U84" s="45">
        <f t="shared" ref="U84" si="53">U83/U87</f>
        <v>0</v>
      </c>
      <c r="V84" s="45">
        <f t="shared" ref="V84:Y84" si="54">V83/V87</f>
        <v>0</v>
      </c>
      <c r="W84" s="45">
        <f t="shared" si="54"/>
        <v>0</v>
      </c>
      <c r="X84" s="45">
        <f t="shared" si="54"/>
        <v>0</v>
      </c>
      <c r="Y84" s="45">
        <f t="shared" si="54"/>
        <v>0</v>
      </c>
      <c r="Z84" s="45">
        <f t="shared" ref="Z84:AA84" si="55">Z83/Z87</f>
        <v>0</v>
      </c>
      <c r="AA84" s="45">
        <f t="shared" si="55"/>
        <v>0</v>
      </c>
      <c r="AC84" s="72">
        <f>SUM(X84:AA84)</f>
        <v>0</v>
      </c>
    </row>
    <row r="85" spans="1:31" x14ac:dyDescent="0.2">
      <c r="B85" s="20" t="s">
        <v>74</v>
      </c>
      <c r="C85" s="46">
        <f t="shared" ref="C85:Q85" si="56">IF(AND(C17&gt;0,C18&lt;0),-(C18)/C17,0)</f>
        <v>0</v>
      </c>
      <c r="D85" s="46">
        <f t="shared" si="56"/>
        <v>0</v>
      </c>
      <c r="E85" s="46">
        <f t="shared" si="56"/>
        <v>0</v>
      </c>
      <c r="F85" s="46">
        <f t="shared" si="56"/>
        <v>0</v>
      </c>
      <c r="G85" s="46">
        <f t="shared" si="56"/>
        <v>0</v>
      </c>
      <c r="H85" s="46">
        <f t="shared" si="56"/>
        <v>0</v>
      </c>
      <c r="I85" s="46">
        <f t="shared" si="56"/>
        <v>0</v>
      </c>
      <c r="J85" s="46">
        <f t="shared" si="56"/>
        <v>0</v>
      </c>
      <c r="K85" s="46">
        <f t="shared" si="56"/>
        <v>0</v>
      </c>
      <c r="L85" s="46">
        <f t="shared" si="56"/>
        <v>0</v>
      </c>
      <c r="M85" s="46">
        <f t="shared" si="56"/>
        <v>0</v>
      </c>
      <c r="N85" s="46">
        <f t="shared" si="56"/>
        <v>0</v>
      </c>
      <c r="O85" s="46">
        <f t="shared" si="56"/>
        <v>0</v>
      </c>
      <c r="P85" s="46">
        <f t="shared" si="56"/>
        <v>0</v>
      </c>
      <c r="Q85" s="46">
        <f t="shared" si="56"/>
        <v>0</v>
      </c>
      <c r="T85" s="46">
        <f t="shared" ref="T85:Y85" si="57">IF(AND(T17&gt;0,T18&lt;0),-(T18)/T17,0)</f>
        <v>0</v>
      </c>
      <c r="U85" s="46">
        <f t="shared" si="57"/>
        <v>0</v>
      </c>
      <c r="V85" s="46">
        <f t="shared" si="57"/>
        <v>0</v>
      </c>
      <c r="W85" s="46">
        <f t="shared" si="57"/>
        <v>0</v>
      </c>
      <c r="X85" s="46">
        <f t="shared" si="57"/>
        <v>0.16663414634146342</v>
      </c>
      <c r="Y85" s="46">
        <f t="shared" si="57"/>
        <v>0</v>
      </c>
      <c r="Z85" s="46">
        <f t="shared" ref="Z85:AA85" si="58">IF(AND(Z17&gt;0,Z18&lt;0),-(Z18)/Z17,0)</f>
        <v>0.37264450561084056</v>
      </c>
      <c r="AA85" s="46">
        <f t="shared" si="58"/>
        <v>0.40784192652053103</v>
      </c>
      <c r="AC85" s="46">
        <f>IF(AND(AC17&gt;0,AC18&lt;0),-(AC18)/AC17,0)</f>
        <v>1.4236613603473227</v>
      </c>
    </row>
    <row r="86" spans="1:31" x14ac:dyDescent="0.2">
      <c r="B86" s="20" t="s">
        <v>75</v>
      </c>
      <c r="C86" s="21"/>
      <c r="D86" s="21"/>
      <c r="E86" s="21"/>
      <c r="F86" s="21"/>
      <c r="G86" s="21"/>
      <c r="H86" s="21"/>
      <c r="I86" s="21"/>
      <c r="J86" s="21"/>
      <c r="K86" s="21"/>
      <c r="L86" s="21"/>
      <c r="M86" s="21">
        <v>1701</v>
      </c>
      <c r="N86" s="21">
        <v>1546</v>
      </c>
      <c r="O86" s="21">
        <v>1438</v>
      </c>
      <c r="P86" s="21">
        <v>2082</v>
      </c>
      <c r="Q86" s="21">
        <v>1789</v>
      </c>
      <c r="T86" s="68"/>
      <c r="U86" s="68"/>
      <c r="V86" s="68"/>
      <c r="W86" s="68"/>
      <c r="X86" s="68"/>
      <c r="Y86" s="68"/>
      <c r="Z86" s="68"/>
      <c r="AA86" s="68"/>
      <c r="AC86" s="21">
        <f>Q86</f>
        <v>1789</v>
      </c>
    </row>
    <row r="87" spans="1:31" x14ac:dyDescent="0.2">
      <c r="B87" s="20" t="s">
        <v>76</v>
      </c>
      <c r="C87" s="21"/>
      <c r="D87" s="21"/>
      <c r="E87" s="21"/>
      <c r="F87" s="21"/>
      <c r="G87" s="21"/>
      <c r="H87" s="21"/>
      <c r="I87" s="21"/>
      <c r="J87" s="21"/>
      <c r="K87" s="21"/>
      <c r="L87" s="21"/>
      <c r="M87" s="21">
        <v>1</v>
      </c>
      <c r="N87" s="21">
        <v>1</v>
      </c>
      <c r="O87" s="21">
        <v>1</v>
      </c>
      <c r="P87" s="21">
        <v>1</v>
      </c>
      <c r="Q87" s="21">
        <v>1</v>
      </c>
      <c r="T87" s="21">
        <v>1</v>
      </c>
      <c r="U87" s="21">
        <v>1</v>
      </c>
      <c r="V87" s="21">
        <v>1</v>
      </c>
      <c r="W87" s="21">
        <v>1</v>
      </c>
      <c r="X87" s="21">
        <v>1</v>
      </c>
      <c r="Y87" s="21">
        <v>1</v>
      </c>
      <c r="Z87" s="21">
        <v>1</v>
      </c>
      <c r="AA87" s="21">
        <v>1</v>
      </c>
      <c r="AC87" s="21">
        <v>1</v>
      </c>
    </row>
    <row r="89" spans="1:31" x14ac:dyDescent="0.2">
      <c r="B89" s="1"/>
    </row>
    <row r="90" spans="1:31" s="15" customFormat="1" ht="17" thickBot="1" x14ac:dyDescent="0.25">
      <c r="A90" s="11"/>
      <c r="B90" s="14" t="s">
        <v>77</v>
      </c>
      <c r="R90" s="1"/>
      <c r="S90" s="1"/>
      <c r="AB90" s="1"/>
      <c r="AD90" s="1"/>
      <c r="AE90" s="1"/>
    </row>
    <row r="91" spans="1:31" s="41" customFormat="1" x14ac:dyDescent="0.2">
      <c r="A91" s="16"/>
      <c r="B91" s="17" t="s">
        <v>20</v>
      </c>
      <c r="C91" s="47"/>
      <c r="D91" s="48"/>
      <c r="E91" s="48"/>
      <c r="F91" s="48"/>
      <c r="G91" s="48"/>
      <c r="H91" s="48"/>
      <c r="I91" s="48"/>
      <c r="J91" s="48"/>
      <c r="K91" s="48"/>
      <c r="L91" s="48"/>
      <c r="M91" s="48">
        <f t="shared" ref="M91:Q96" si="59">IF(L5=0,
IF(M5=0,0,IF(M5&gt;0,1,-1)),
(M5-L5)/ABS(L5)
)</f>
        <v>1</v>
      </c>
      <c r="N91" s="48">
        <f t="shared" si="59"/>
        <v>0.31738520773051077</v>
      </c>
      <c r="O91" s="48">
        <f t="shared" si="59"/>
        <v>0.26837421238118969</v>
      </c>
      <c r="P91" s="48">
        <f t="shared" si="59"/>
        <v>0.17826039365813545</v>
      </c>
      <c r="Q91" s="48">
        <f t="shared" si="59"/>
        <v>0.14477398270182201</v>
      </c>
      <c r="R91" s="1"/>
      <c r="S91" s="1"/>
      <c r="T91" s="48">
        <f t="shared" ref="T91:T100" si="60">IF(S5=0,
IF(T5=0,0,IF(T5&gt;0,1,-1)),
(T5-S5)/ABS(S5)
)</f>
        <v>1</v>
      </c>
      <c r="U91" s="48">
        <f t="shared" ref="U91:U100" si="61">IF(T5=0,
IF(U5=0,0,IF(U5&gt;0,1,-1)),
(U5-T5)/ABS(T5)
)</f>
        <v>2.697565543071161E-2</v>
      </c>
      <c r="V91" s="48">
        <f t="shared" ref="V91:V100" si="62">IF(U5=0,
IF(V5=0,0,IF(V5&gt;0,1,-1)),
(V5-U5)/ABS(U5)
)</f>
        <v>5.7029020523153506E-2</v>
      </c>
      <c r="W91" s="48">
        <f t="shared" ref="W91:W100" si="63">IF(V5=0,
IF(W5=0,0,IF(W5&gt;0,1,-1)),
(W5-V5)/ABS(V5)
)</f>
        <v>1.1376966602263318E-2</v>
      </c>
      <c r="X91" s="48">
        <f t="shared" ref="X91:X100" si="64">IF(W5=0,
IF(X5=0,0,IF(X5&gt;0,1,-1)),
(X5-W5)/ABS(W5)
)</f>
        <v>2.6250479723679162E-2</v>
      </c>
      <c r="Y91" s="48">
        <f t="shared" ref="Y91:Y100" si="65">IF(X5=0,
IF(Y5=0,0,IF(Y5&gt;0,1,-1)),
(Y5-X5)/ABS(X5)
)</f>
        <v>5.5961373854221202E-2</v>
      </c>
      <c r="Z91" s="48">
        <f t="shared" ref="Z91:Z100" si="66">IF(Y5=0,
IF(Z5=0,0,IF(Z5&gt;0,1,-1)),
(Z5-Y5)/ABS(Y5)
)</f>
        <v>3.0440633681443646E-2</v>
      </c>
      <c r="AA91" s="48">
        <f t="shared" ref="AA91:AA96" si="67">IF(Z5=0,
IF(AA5=0,0,IF(AA5&gt;0,1,-1)),
(AA5-Z5)/ABS(Z5)
)</f>
        <v>-1.128040630847367E-2</v>
      </c>
      <c r="AB91" s="1"/>
      <c r="AC91" s="67"/>
      <c r="AD91" s="1"/>
      <c r="AE91" s="1"/>
    </row>
    <row r="92" spans="1:31" x14ac:dyDescent="0.2">
      <c r="B92" s="20" t="s">
        <v>21</v>
      </c>
      <c r="C92" s="49"/>
      <c r="D92" s="50"/>
      <c r="E92" s="50"/>
      <c r="F92" s="50"/>
      <c r="G92" s="50"/>
      <c r="H92" s="50"/>
      <c r="I92" s="50"/>
      <c r="J92" s="50"/>
      <c r="K92" s="50"/>
      <c r="L92" s="50"/>
      <c r="M92" s="50">
        <f t="shared" si="59"/>
        <v>1</v>
      </c>
      <c r="N92" s="50">
        <f t="shared" si="59"/>
        <v>0.34254435543323342</v>
      </c>
      <c r="O92" s="50">
        <f t="shared" si="59"/>
        <v>0.13493552490687949</v>
      </c>
      <c r="P92" s="50">
        <f t="shared" si="59"/>
        <v>8.8080896049543986E-2</v>
      </c>
      <c r="Q92" s="50">
        <f t="shared" si="59"/>
        <v>0.14221026575955653</v>
      </c>
      <c r="T92" s="50">
        <f t="shared" si="60"/>
        <v>1</v>
      </c>
      <c r="U92" s="50">
        <f t="shared" si="61"/>
        <v>-2.8114775458204243E-2</v>
      </c>
      <c r="V92" s="50">
        <f t="shared" si="62"/>
        <v>0.13403443961151165</v>
      </c>
      <c r="W92" s="50">
        <f t="shared" si="63"/>
        <v>-1.1138841455405227E-2</v>
      </c>
      <c r="X92" s="50">
        <f t="shared" si="64"/>
        <v>1.0254775377912383E-2</v>
      </c>
      <c r="Y92" s="50">
        <f t="shared" si="65"/>
        <v>6.2140058379572406E-2</v>
      </c>
      <c r="Z92" s="50">
        <f t="shared" si="66"/>
        <v>7.2889329041842046E-2</v>
      </c>
      <c r="AA92" s="50">
        <f t="shared" si="67"/>
        <v>-3.438408639867079E-3</v>
      </c>
      <c r="AC92" s="68"/>
    </row>
    <row r="93" spans="1:31" s="41" customFormat="1" x14ac:dyDescent="0.2">
      <c r="A93" s="16"/>
      <c r="B93" s="17" t="s">
        <v>22</v>
      </c>
      <c r="C93" s="47"/>
      <c r="D93" s="48"/>
      <c r="E93" s="48"/>
      <c r="F93" s="48"/>
      <c r="G93" s="48"/>
      <c r="H93" s="48"/>
      <c r="I93" s="48"/>
      <c r="J93" s="48"/>
      <c r="K93" s="48"/>
      <c r="L93" s="48"/>
      <c r="M93" s="48">
        <f t="shared" si="59"/>
        <v>1</v>
      </c>
      <c r="N93" s="48">
        <f t="shared" si="59"/>
        <v>0.30185445030149038</v>
      </c>
      <c r="O93" s="48">
        <f t="shared" si="59"/>
        <v>0.35332055487261349</v>
      </c>
      <c r="P93" s="48">
        <f t="shared" si="59"/>
        <v>0.22640429122468658</v>
      </c>
      <c r="Q93" s="48">
        <f t="shared" si="59"/>
        <v>0.14598829678565287</v>
      </c>
      <c r="R93" s="1"/>
      <c r="S93" s="1"/>
      <c r="T93" s="48">
        <f t="shared" si="60"/>
        <v>1</v>
      </c>
      <c r="U93" s="48">
        <f t="shared" si="61"/>
        <v>5.3305287629907425E-2</v>
      </c>
      <c r="V93" s="48">
        <f t="shared" si="62"/>
        <v>2.3070354069500098E-2</v>
      </c>
      <c r="W93" s="48">
        <f t="shared" si="63"/>
        <v>2.2383172169357014E-2</v>
      </c>
      <c r="X93" s="48">
        <f t="shared" si="64"/>
        <v>3.381314844122893E-2</v>
      </c>
      <c r="Y93" s="48">
        <f t="shared" si="65"/>
        <v>5.3106699390080919E-2</v>
      </c>
      <c r="Z93" s="48">
        <f t="shared" si="66"/>
        <v>1.0660267429652618E-2</v>
      </c>
      <c r="AA93" s="48">
        <f t="shared" si="67"/>
        <v>-1.5159644296297988E-2</v>
      </c>
      <c r="AB93" s="1"/>
      <c r="AC93" s="67"/>
      <c r="AD93" s="1"/>
      <c r="AE93" s="1"/>
    </row>
    <row r="94" spans="1:31" x14ac:dyDescent="0.2">
      <c r="B94" s="20" t="s">
        <v>24</v>
      </c>
      <c r="C94" s="49"/>
      <c r="D94" s="50"/>
      <c r="E94" s="50"/>
      <c r="F94" s="50"/>
      <c r="G94" s="50"/>
      <c r="H94" s="50"/>
      <c r="I94" s="50"/>
      <c r="J94" s="50"/>
      <c r="K94" s="50"/>
      <c r="L94" s="50"/>
      <c r="M94" s="50">
        <f t="shared" si="59"/>
        <v>1</v>
      </c>
      <c r="N94" s="50">
        <f t="shared" si="59"/>
        <v>0.4213642044333355</v>
      </c>
      <c r="O94" s="50">
        <f t="shared" si="59"/>
        <v>-2.8129813635852787E-2</v>
      </c>
      <c r="P94" s="50">
        <f t="shared" si="59"/>
        <v>-0.17603803874619067</v>
      </c>
      <c r="Q94" s="50">
        <f t="shared" si="59"/>
        <v>-0.17242774232429889</v>
      </c>
      <c r="T94" s="50">
        <f t="shared" si="60"/>
        <v>1</v>
      </c>
      <c r="U94" s="50">
        <f t="shared" si="61"/>
        <v>-4.0171593894449804E-2</v>
      </c>
      <c r="V94" s="50">
        <f t="shared" si="62"/>
        <v>-9.7702941482174413E-2</v>
      </c>
      <c r="W94" s="50">
        <f t="shared" si="63"/>
        <v>-2.4843528011365818E-2</v>
      </c>
      <c r="X94" s="50">
        <f t="shared" si="64"/>
        <v>-4.9141597101905812E-2</v>
      </c>
      <c r="Y94" s="50">
        <f t="shared" si="65"/>
        <v>2.1036938876925624E-2</v>
      </c>
      <c r="Z94" s="50">
        <f t="shared" si="66"/>
        <v>-1.8129461388708631E-2</v>
      </c>
      <c r="AA94" s="50">
        <f t="shared" si="67"/>
        <v>1.5614027840885621E-2</v>
      </c>
      <c r="AC94" s="68"/>
    </row>
    <row r="95" spans="1:31" x14ac:dyDescent="0.2">
      <c r="B95" s="20" t="s">
        <v>23</v>
      </c>
      <c r="C95" s="49"/>
      <c r="D95" s="50"/>
      <c r="E95" s="50"/>
      <c r="F95" s="50"/>
      <c r="G95" s="50"/>
      <c r="H95" s="50"/>
      <c r="I95" s="50"/>
      <c r="J95" s="50"/>
      <c r="K95" s="50"/>
      <c r="L95" s="50"/>
      <c r="M95" s="50">
        <f t="shared" si="59"/>
        <v>1</v>
      </c>
      <c r="N95" s="50">
        <f t="shared" si="59"/>
        <v>0.74579546541662678</v>
      </c>
      <c r="O95" s="50">
        <f t="shared" si="59"/>
        <v>0.23127000131515496</v>
      </c>
      <c r="P95" s="50">
        <f t="shared" si="59"/>
        <v>4.4665586669752372E-2</v>
      </c>
      <c r="Q95" s="50">
        <f t="shared" si="59"/>
        <v>3.5078899832998195E-2</v>
      </c>
      <c r="T95" s="50">
        <f t="shared" si="60"/>
        <v>1</v>
      </c>
      <c r="U95" s="50">
        <f t="shared" si="61"/>
        <v>1.0608903291830122E-2</v>
      </c>
      <c r="V95" s="50">
        <f t="shared" si="62"/>
        <v>7.4360359143995136E-2</v>
      </c>
      <c r="W95" s="50">
        <f t="shared" si="63"/>
        <v>-8.0272707279524957E-2</v>
      </c>
      <c r="X95" s="50">
        <f t="shared" si="64"/>
        <v>6.1146409783425565E-3</v>
      </c>
      <c r="Y95" s="50">
        <f t="shared" si="65"/>
        <v>4.9977930940820967E-2</v>
      </c>
      <c r="Z95" s="50">
        <f t="shared" si="66"/>
        <v>-8.3977364591754242E-2</v>
      </c>
      <c r="AA95" s="50">
        <f t="shared" si="67"/>
        <v>-2.6722677209827732E-2</v>
      </c>
      <c r="AC95" s="68"/>
    </row>
    <row r="96" spans="1:31" x14ac:dyDescent="0.2">
      <c r="B96" s="23" t="s">
        <v>25</v>
      </c>
      <c r="C96" s="49"/>
      <c r="D96" s="50"/>
      <c r="E96" s="50"/>
      <c r="F96" s="50"/>
      <c r="G96" s="50"/>
      <c r="H96" s="50"/>
      <c r="I96" s="50"/>
      <c r="J96" s="50"/>
      <c r="K96" s="50"/>
      <c r="L96" s="50"/>
      <c r="M96" s="50">
        <f t="shared" si="59"/>
        <v>1</v>
      </c>
      <c r="N96" s="50">
        <f t="shared" si="59"/>
        <v>0.17051577016046829</v>
      </c>
      <c r="O96" s="50">
        <f t="shared" si="59"/>
        <v>-5.6976512738853499E-3</v>
      </c>
      <c r="P96" s="50">
        <f t="shared" si="59"/>
        <v>-4.1651027200160146E-2</v>
      </c>
      <c r="Q96" s="50">
        <f t="shared" si="59"/>
        <v>4.3160959306500254E-2</v>
      </c>
      <c r="T96" s="50">
        <f t="shared" si="60"/>
        <v>1</v>
      </c>
      <c r="U96" s="50">
        <f t="shared" si="61"/>
        <v>-6.2038404726735601E-2</v>
      </c>
      <c r="V96" s="50">
        <f t="shared" si="62"/>
        <v>-0.1089872386641325</v>
      </c>
      <c r="W96" s="50">
        <f t="shared" si="63"/>
        <v>0.16053144807411018</v>
      </c>
      <c r="X96" s="50">
        <f t="shared" si="64"/>
        <v>-8.1609074677029728E-2</v>
      </c>
      <c r="Y96" s="50">
        <f t="shared" si="65"/>
        <v>0.54191445562671547</v>
      </c>
      <c r="Z96" s="50">
        <f t="shared" si="66"/>
        <v>-0.31908028926386056</v>
      </c>
      <c r="AA96" s="50">
        <f t="shared" si="67"/>
        <v>-0.10070257611241218</v>
      </c>
      <c r="AC96" s="68"/>
    </row>
    <row r="97" spans="1:31" x14ac:dyDescent="0.2">
      <c r="B97" s="23" t="s">
        <v>371</v>
      </c>
      <c r="C97" s="49"/>
      <c r="D97" s="50"/>
      <c r="E97" s="50"/>
      <c r="F97" s="50"/>
      <c r="G97" s="50"/>
      <c r="H97" s="50"/>
      <c r="I97" s="50"/>
      <c r="J97" s="50"/>
      <c r="K97" s="50"/>
      <c r="L97" s="50"/>
      <c r="M97" s="50">
        <f t="shared" ref="M97:Q98" si="68">IF(L11=0,
IF(M11=0,0,IF(M11&gt;0,1,-1)),
(M11-L11)/ABS(L11)
)</f>
        <v>1</v>
      </c>
      <c r="N97" s="50">
        <f t="shared" si="68"/>
        <v>0.20040040040040041</v>
      </c>
      <c r="O97" s="50">
        <f t="shared" si="68"/>
        <v>-2.2459417389370691E-2</v>
      </c>
      <c r="P97" s="50">
        <f t="shared" si="68"/>
        <v>-0.19341446769790718</v>
      </c>
      <c r="Q97" s="50">
        <f t="shared" si="68"/>
        <v>-8.5383910315166039E-2</v>
      </c>
      <c r="T97" s="50">
        <f t="shared" si="60"/>
        <v>1</v>
      </c>
      <c r="U97" s="50">
        <f t="shared" si="61"/>
        <v>-0.11048794167134043</v>
      </c>
      <c r="V97" s="50">
        <f t="shared" si="62"/>
        <v>-5.8638083228247165E-2</v>
      </c>
      <c r="W97" s="50">
        <f t="shared" si="63"/>
        <v>9.8124581379772272E-2</v>
      </c>
      <c r="X97" s="50">
        <f t="shared" si="64"/>
        <v>-2.4397682220189083E-2</v>
      </c>
      <c r="Y97" s="50">
        <f t="shared" si="65"/>
        <v>9.659268521412942E-2</v>
      </c>
      <c r="Z97" s="50">
        <f t="shared" si="66"/>
        <v>-3.905359179019384E-2</v>
      </c>
      <c r="AA97" s="50">
        <f t="shared" ref="AA97" si="69">IF(Z11=0,
IF(AA11=0,0,IF(AA11&gt;0,1,-1)),
(AA11-Z11)/ABS(Z11)
)</f>
        <v>-9.1960842479976261E-3</v>
      </c>
      <c r="AC97" s="68"/>
    </row>
    <row r="98" spans="1:31" x14ac:dyDescent="0.2">
      <c r="B98" s="23" t="s">
        <v>372</v>
      </c>
      <c r="C98" s="49"/>
      <c r="D98" s="50"/>
      <c r="E98" s="50"/>
      <c r="F98" s="50"/>
      <c r="G98" s="50"/>
      <c r="H98" s="50"/>
      <c r="I98" s="50"/>
      <c r="J98" s="50"/>
      <c r="K98" s="50"/>
      <c r="L98" s="50"/>
      <c r="M98" s="50">
        <f t="shared" si="68"/>
        <v>1</v>
      </c>
      <c r="N98" s="50">
        <f t="shared" si="68"/>
        <v>0.15814468893462086</v>
      </c>
      <c r="O98" s="50">
        <f t="shared" si="68"/>
        <v>0.62698195735374518</v>
      </c>
      <c r="P98" s="50">
        <f t="shared" si="68"/>
        <v>0.15122238091237503</v>
      </c>
      <c r="Q98" s="50">
        <f t="shared" si="68"/>
        <v>0.34868277019630739</v>
      </c>
      <c r="T98" s="50">
        <f t="shared" si="60"/>
        <v>1</v>
      </c>
      <c r="U98" s="50">
        <f t="shared" si="61"/>
        <v>3.6921329167850042E-2</v>
      </c>
      <c r="V98" s="50">
        <f t="shared" si="62"/>
        <v>6.6009312517118598E-2</v>
      </c>
      <c r="W98" s="50">
        <f t="shared" si="63"/>
        <v>6.1151079136690649E-2</v>
      </c>
      <c r="X98" s="50">
        <f t="shared" si="64"/>
        <v>3.6077481840193708E-2</v>
      </c>
      <c r="Y98" s="50">
        <f t="shared" si="65"/>
        <v>0.44426267819584014</v>
      </c>
      <c r="Z98" s="50">
        <f t="shared" si="66"/>
        <v>6.5210355987055019E-2</v>
      </c>
      <c r="AA98" s="50">
        <f t="shared" ref="AA98" si="70">IF(Z12=0,
IF(AA12=0,0,IF(AA12&gt;0,1,-1)),
(AA12-Z12)/ABS(Z12)
)</f>
        <v>1.0937262646209934E-2</v>
      </c>
      <c r="AC98" s="68"/>
    </row>
    <row r="99" spans="1:31" x14ac:dyDescent="0.2">
      <c r="B99" s="23" t="s">
        <v>26</v>
      </c>
      <c r="C99" s="49"/>
      <c r="D99" s="50"/>
      <c r="E99" s="50"/>
      <c r="F99" s="50"/>
      <c r="G99" s="50"/>
      <c r="H99" s="50"/>
      <c r="I99" s="50"/>
      <c r="J99" s="50"/>
      <c r="K99" s="50"/>
      <c r="L99" s="50"/>
      <c r="M99" s="50">
        <f t="shared" ref="M99:Q100" si="71">IF(L13=0,
IF(M13=0,0,IF(M13&gt;0,1,-1)),
(M13-L13)/ABS(L13)
)</f>
        <v>1</v>
      </c>
      <c r="N99" s="50">
        <f t="shared" si="71"/>
        <v>0.40027426788170289</v>
      </c>
      <c r="O99" s="50">
        <f t="shared" si="71"/>
        <v>5.9081836327345309E-2</v>
      </c>
      <c r="P99" s="50">
        <f t="shared" si="71"/>
        <v>-6.9938470633218272E-2</v>
      </c>
      <c r="Q99" s="50">
        <f t="shared" si="71"/>
        <v>-2.885333084530696E-2</v>
      </c>
      <c r="T99" s="50">
        <f t="shared" si="60"/>
        <v>1</v>
      </c>
      <c r="U99" s="50">
        <f t="shared" si="61"/>
        <v>-2.762873667340255E-2</v>
      </c>
      <c r="V99" s="50">
        <f t="shared" si="62"/>
        <v>-3.0683053256416688E-2</v>
      </c>
      <c r="W99" s="50">
        <f t="shared" si="63"/>
        <v>-4.5590083540747678E-4</v>
      </c>
      <c r="X99" s="50">
        <f t="shared" si="64"/>
        <v>-3.1483832792988255E-2</v>
      </c>
      <c r="Y99" s="50">
        <f t="shared" si="65"/>
        <v>0.17395344101212978</v>
      </c>
      <c r="Z99" s="50">
        <f t="shared" si="66"/>
        <v>-0.12340351714118437</v>
      </c>
      <c r="AA99" s="50">
        <f t="shared" ref="AA99:AA100" si="72">IF(Z13=0,
IF(AA13=0,0,IF(AA13&gt;0,1,-1)),
(AA13-Z13)/ABS(Z13)
)</f>
        <v>-2.704942363825261E-2</v>
      </c>
      <c r="AC99" s="68"/>
    </row>
    <row r="100" spans="1:31" s="41" customFormat="1" x14ac:dyDescent="0.2">
      <c r="A100" s="16"/>
      <c r="B100" s="17" t="s">
        <v>27</v>
      </c>
      <c r="C100" s="47"/>
      <c r="D100" s="48"/>
      <c r="E100" s="48"/>
      <c r="F100" s="48"/>
      <c r="G100" s="48"/>
      <c r="H100" s="48"/>
      <c r="I100" s="48"/>
      <c r="J100" s="48"/>
      <c r="K100" s="48"/>
      <c r="L100" s="48"/>
      <c r="M100" s="48">
        <f t="shared" si="71"/>
        <v>-1</v>
      </c>
      <c r="N100" s="48">
        <f t="shared" si="71"/>
        <v>-0.51135536779749524</v>
      </c>
      <c r="O100" s="48">
        <f t="shared" si="71"/>
        <v>0.22697562191309076</v>
      </c>
      <c r="P100" s="48">
        <f t="shared" si="71"/>
        <v>0.57431546245209886</v>
      </c>
      <c r="Q100" s="48">
        <f t="shared" si="71"/>
        <v>0.8861903368504398</v>
      </c>
      <c r="R100" s="1"/>
      <c r="S100" s="1"/>
      <c r="T100" s="48">
        <f t="shared" si="60"/>
        <v>-1</v>
      </c>
      <c r="U100" s="48">
        <f t="shared" si="61"/>
        <v>0.45011919381636928</v>
      </c>
      <c r="V100" s="48">
        <f t="shared" si="62"/>
        <v>0.56818181818181823</v>
      </c>
      <c r="W100" s="48">
        <f t="shared" si="63"/>
        <v>0.5415272284758138</v>
      </c>
      <c r="X100" s="48">
        <f t="shared" si="64"/>
        <v>3.4810882548108824</v>
      </c>
      <c r="Y100" s="48">
        <f t="shared" si="65"/>
        <v>-2.4862262637068735</v>
      </c>
      <c r="Z100" s="48">
        <f t="shared" si="66"/>
        <v>2.2145042289004859</v>
      </c>
      <c r="AA100" s="48">
        <f t="shared" si="72"/>
        <v>0.12727811527633723</v>
      </c>
      <c r="AB100" s="1"/>
      <c r="AC100" s="67"/>
      <c r="AD100" s="1"/>
      <c r="AE100" s="1"/>
    </row>
    <row r="101" spans="1:31" s="53" customFormat="1" x14ac:dyDescent="0.2">
      <c r="A101" s="16"/>
      <c r="B101" s="51" t="s">
        <v>30</v>
      </c>
      <c r="C101" s="47"/>
      <c r="D101" s="52"/>
      <c r="E101" s="52"/>
      <c r="F101" s="52"/>
      <c r="G101" s="52"/>
      <c r="H101" s="52"/>
      <c r="I101" s="52"/>
      <c r="J101" s="52"/>
      <c r="K101" s="52"/>
      <c r="L101" s="52"/>
      <c r="M101" s="52">
        <f>IF(L17=0,
IF(M17=0,0,IF(M17&gt;0,1,-1)),
(M17-L17)/ABS(L17)
)</f>
        <v>-1</v>
      </c>
      <c r="N101" s="52">
        <f>IF(M17=0,
IF(N17=0,0,IF(N17&gt;0,1,-1)),
(N17-M17)/ABS(M17)
)</f>
        <v>-0.488934471388976</v>
      </c>
      <c r="O101" s="52">
        <f>IF(N17=0,
IF(O17=0,0,IF(O17&gt;0,1,-1)),
(O17-N17)/ABS(N17)
)</f>
        <v>0.22953610037401159</v>
      </c>
      <c r="P101" s="52">
        <f>IF(O17=0,
IF(P17=0,0,IF(P17&gt;0,1,-1)),
(P17-O17)/ABS(O17)
)</f>
        <v>0.58762985621610442</v>
      </c>
      <c r="Q101" s="52">
        <f>IF(P17=0,
IF(Q17=0,0,IF(Q17&gt;0,1,-1)),
(Q17-P17)/ABS(P17)
)</f>
        <v>0.83981652362437509</v>
      </c>
      <c r="R101" s="1"/>
      <c r="S101" s="1"/>
      <c r="T101" s="52">
        <f t="shared" ref="T101" si="73">IF(S17=0,
IF(T17=0,0,IF(T17&gt;0,1,-1)),
(T17-S17)/ABS(S17)
)</f>
        <v>-1</v>
      </c>
      <c r="U101" s="52">
        <f t="shared" ref="U101" si="74">IF(T17=0,
IF(U17=0,0,IF(U17&gt;0,1,-1)),
(U17-T17)/ABS(T17)
)</f>
        <v>0.61492729747152786</v>
      </c>
      <c r="V101" s="52">
        <f t="shared" ref="V101" si="75">IF(U17=0,
IF(V17=0,0,IF(V17&gt;0,1,-1)),
(V17-U17)/ABS(U17)
)</f>
        <v>0.40866815476190477</v>
      </c>
      <c r="W101" s="52">
        <f t="shared" ref="W101" si="76">IF(V17=0,
IF(W17=0,0,IF(W17&gt;0,1,-1)),
(W17-V17)/ABS(V17)
)</f>
        <v>0.82290028310789554</v>
      </c>
      <c r="X101" s="52">
        <f t="shared" ref="X101" si="77">IF(W17=0,
IF(X17=0,0,IF(X17&gt;0,1,-1)),
(X17-W17)/ABS(W17)
)</f>
        <v>10.103019538188278</v>
      </c>
      <c r="Y101" s="52">
        <f t="shared" ref="Y101" si="78">IF(X17=0,
IF(Y17=0,0,IF(Y17&gt;0,1,-1)),
(Y17-X17)/ABS(X17)
)</f>
        <v>-3.0142439024390244</v>
      </c>
      <c r="Z101" s="52">
        <f t="shared" ref="Z101" si="79">IF(Y17=0,
IF(Z17=0,0,IF(Z17&gt;0,1,-1)),
(Z17-Y17)/ABS(Y17)
)</f>
        <v>1.4575220381671994</v>
      </c>
      <c r="AA101" s="52">
        <f t="shared" ref="AA101" si="80">IF(Z17=0,
IF(AA17=0,0,IF(AA17&gt;0,1,-1)),
(AA17-Z17)/ABS(Z17)
)</f>
        <v>-0.31420707177641327</v>
      </c>
      <c r="AB101" s="1"/>
      <c r="AC101" s="67"/>
      <c r="AD101" s="1"/>
      <c r="AE101" s="1"/>
    </row>
    <row r="102" spans="1:31" s="53" customFormat="1" x14ac:dyDescent="0.2">
      <c r="A102" s="16"/>
      <c r="B102" s="51" t="s">
        <v>32</v>
      </c>
      <c r="C102" s="47"/>
      <c r="D102" s="52"/>
      <c r="E102" s="52"/>
      <c r="F102" s="52"/>
      <c r="G102" s="52"/>
      <c r="H102" s="52"/>
      <c r="I102" s="52"/>
      <c r="J102" s="52"/>
      <c r="K102" s="52"/>
      <c r="L102" s="52"/>
      <c r="M102" s="52">
        <f>IF(L20=0,
IF(M20=0,0,IF(M20&gt;0,1,-1)),
(M20-L20)/ABS(L20)
)</f>
        <v>-1</v>
      </c>
      <c r="N102" s="52">
        <f>IF(M20=0,
IF(N20=0,0,IF(N20&gt;0,1,-1)),
(N20-M20)/ABS(M20)
)</f>
        <v>-0.49072875144929379</v>
      </c>
      <c r="O102" s="52">
        <f>IF(N20=0,
IF(O20=0,0,IF(O20&gt;0,1,-1)),
(O20-N20)/ABS(N20)
)</f>
        <v>0.22288896710683184</v>
      </c>
      <c r="P102" s="52">
        <f>IF(O20=0,
IF(P20=0,0,IF(P20&gt;0,1,-1)),
(P20-O20)/ABS(O20)
)</f>
        <v>0.57243671695218612</v>
      </c>
      <c r="Q102" s="52">
        <f>IF(P20=0,
IF(Q20=0,0,IF(Q20&gt;0,1,-1)),
(Q20-P20)/ABS(P20)
)</f>
        <v>0.84089394638372028</v>
      </c>
      <c r="R102" s="1"/>
      <c r="S102" s="1"/>
      <c r="T102" s="52">
        <f t="shared" ref="T102" si="81">IF(S20=0,
IF(T20=0,0,IF(T20&gt;0,1,-1)),
(T20-S20)/ABS(S20)
)</f>
        <v>-1</v>
      </c>
      <c r="U102" s="52">
        <f t="shared" ref="U102" si="82">IF(T20=0,
IF(U20=0,0,IF(U20&gt;0,1,-1)),
(U20-T20)/ABS(T20)
)</f>
        <v>0.55634242866069572</v>
      </c>
      <c r="V102" s="52">
        <f t="shared" ref="V102" si="83">IF(U20=0,
IF(V20=0,0,IF(V20&gt;0,1,-1)),
(V20-U20)/ABS(U20)
)</f>
        <v>0.38748043818466354</v>
      </c>
      <c r="W102" s="52">
        <f t="shared" ref="W102" si="84">IF(V20=0,
IF(W20=0,0,IF(W20&gt;0,1,-1)),
(W20-V20)/ABS(V20)
)</f>
        <v>1.1670924885028104</v>
      </c>
      <c r="X102" s="52">
        <f t="shared" ref="X102" si="85">IF(W20=0,
IF(X20=0,0,IF(X20&gt;0,1,-1)),
(X20-W20)/ABS(W20)
)</f>
        <v>5.5305810397553516</v>
      </c>
      <c r="Y102" s="52">
        <f t="shared" ref="Y102" si="86">IF(X20=0,
IF(Y20=0,0,IF(Y20&gt;0,1,-1)),
(Y20-X20)/ABS(X20)
)</f>
        <v>-3.4169983610395693</v>
      </c>
      <c r="Z102" s="52">
        <f t="shared" ref="Z102" si="87">IF(Y20=0,
IF(Z20=0,0,IF(Z20&gt;0,1,-1)),
(Z20-Y20)/ABS(Y20)
)</f>
        <v>1.2870289644483193</v>
      </c>
      <c r="AA102" s="52">
        <f t="shared" ref="AA102" si="88">IF(Z20=0,
IF(AA20=0,0,IF(AA20&gt;0,1,-1)),
(AA20-Z20)/ABS(Z20)
)</f>
        <v>-0.35268309146135673</v>
      </c>
      <c r="AB102" s="1"/>
      <c r="AC102" s="67"/>
      <c r="AD102" s="1"/>
      <c r="AE102" s="1"/>
    </row>
    <row r="103" spans="1:31" x14ac:dyDescent="0.2">
      <c r="B103" s="1"/>
    </row>
    <row r="104" spans="1:31" s="15" customFormat="1" ht="17" thickBot="1" x14ac:dyDescent="0.25">
      <c r="A104" s="11"/>
      <c r="B104" s="14" t="s">
        <v>78</v>
      </c>
      <c r="R104" s="1"/>
      <c r="S104" s="1"/>
      <c r="AB104" s="1"/>
      <c r="AD104" s="1"/>
      <c r="AE104" s="1"/>
    </row>
    <row r="105" spans="1:31" x14ac:dyDescent="0.2">
      <c r="B105" s="20" t="s">
        <v>79</v>
      </c>
      <c r="C105" s="50"/>
      <c r="D105" s="50"/>
      <c r="E105" s="50"/>
      <c r="F105" s="50"/>
      <c r="G105" s="50"/>
      <c r="H105" s="50"/>
      <c r="I105" s="50"/>
      <c r="J105" s="50"/>
      <c r="K105" s="50"/>
      <c r="L105" s="50"/>
      <c r="M105" s="50">
        <f>M7/M5</f>
        <v>0.61831423841525468</v>
      </c>
      <c r="N105" s="50">
        <f>N7/N5</f>
        <v>0.6110248834146168</v>
      </c>
      <c r="O105" s="50">
        <f>O7/O5</f>
        <v>0.65194681994616877</v>
      </c>
      <c r="P105" s="50">
        <f>P7/P5</f>
        <v>0.67858546543341913</v>
      </c>
      <c r="Q105" s="50">
        <f>Q7/Q5</f>
        <v>0.67930527205045454</v>
      </c>
      <c r="T105" s="50">
        <f t="shared" ref="T105:Y105" si="89">T7/T5</f>
        <v>0.67661985018726589</v>
      </c>
      <c r="U105" s="50">
        <f t="shared" si="89"/>
        <v>0.69396704989925329</v>
      </c>
      <c r="V105" s="50">
        <f t="shared" si="89"/>
        <v>0.67167230195970196</v>
      </c>
      <c r="W105" s="50">
        <f t="shared" si="89"/>
        <v>0.67898170653703471</v>
      </c>
      <c r="X105" s="50">
        <f t="shared" si="89"/>
        <v>0.68398527419743549</v>
      </c>
      <c r="Y105" s="50">
        <f t="shared" si="89"/>
        <v>0.68213619586517349</v>
      </c>
      <c r="Z105" s="50">
        <f t="shared" ref="Z105:AA105" si="90">Z7/Z5</f>
        <v>0.66904189101462552</v>
      </c>
      <c r="AA105" s="50">
        <f t="shared" si="90"/>
        <v>0.66641690741398751</v>
      </c>
      <c r="AC105" s="50">
        <f>AC7/AC5</f>
        <v>0.67519048116063041</v>
      </c>
    </row>
    <row r="106" spans="1:31" x14ac:dyDescent="0.2">
      <c r="B106" s="20" t="s">
        <v>80</v>
      </c>
      <c r="C106" s="50"/>
      <c r="D106" s="50"/>
      <c r="E106" s="50"/>
      <c r="F106" s="50"/>
      <c r="G106" s="50"/>
      <c r="H106" s="50"/>
      <c r="I106" s="50"/>
      <c r="J106" s="50"/>
      <c r="K106" s="50"/>
      <c r="L106" s="50"/>
      <c r="M106" s="50">
        <f>M14/M5</f>
        <v>-0.547837342250027</v>
      </c>
      <c r="N106" s="50">
        <f>N14/N5</f>
        <v>-0.62850023139083688</v>
      </c>
      <c r="O106" s="50">
        <f>O14/O5</f>
        <v>-0.38304626170716166</v>
      </c>
      <c r="P106" s="50">
        <f>P14/P5</f>
        <v>-0.13838780599933781</v>
      </c>
      <c r="Q106" s="50">
        <f>Q14/Q5</f>
        <v>-1.3758060388147093E-2</v>
      </c>
      <c r="T106" s="50">
        <f t="shared" ref="T106:Y106" si="91">T14/T5</f>
        <v>-0.12961610486891387</v>
      </c>
      <c r="U106" s="50">
        <f t="shared" si="91"/>
        <v>-6.9401263664627413E-2</v>
      </c>
      <c r="V106" s="50">
        <f t="shared" si="91"/>
        <v>-2.8351849296163401E-2</v>
      </c>
      <c r="W106" s="50">
        <f t="shared" si="91"/>
        <v>-1.2852330391028101E-2</v>
      </c>
      <c r="X106" s="50">
        <f t="shared" si="91"/>
        <v>3.1072108232986794E-2</v>
      </c>
      <c r="Y106" s="50">
        <f t="shared" si="91"/>
        <v>-4.3732833859302572E-2</v>
      </c>
      <c r="Z106" s="50">
        <f t="shared" ref="Z106:AA106" si="92">Z14/Z5</f>
        <v>5.1544659563905755E-2</v>
      </c>
      <c r="AA106" s="50">
        <f t="shared" si="92"/>
        <v>5.8768094671630952E-2</v>
      </c>
      <c r="AC106" s="50">
        <f>AC14/AC5</f>
        <v>2.4693132831685352E-2</v>
      </c>
    </row>
    <row r="107" spans="1:31" s="56" customFormat="1" x14ac:dyDescent="0.2">
      <c r="A107" s="1"/>
      <c r="B107" s="54" t="s">
        <v>81</v>
      </c>
      <c r="C107" s="55"/>
      <c r="D107" s="55"/>
      <c r="E107" s="55"/>
      <c r="F107" s="55"/>
      <c r="G107" s="55"/>
      <c r="H107" s="55"/>
      <c r="I107" s="55"/>
      <c r="J107" s="55"/>
      <c r="K107" s="55"/>
      <c r="L107" s="55"/>
      <c r="M107" s="55">
        <f>M115/M5</f>
        <v>-0.55414030661295388</v>
      </c>
      <c r="N107" s="55">
        <f>N115/N5</f>
        <v>-0.62705492862482648</v>
      </c>
      <c r="O107" s="55">
        <f>O115/O5</f>
        <v>-0.384185754099787</v>
      </c>
      <c r="P107" s="55">
        <f>P115/P5</f>
        <v>-0.13941207156519689</v>
      </c>
      <c r="Q107" s="55">
        <f>Q115/Q5</f>
        <v>-1.9376143123778847E-2</v>
      </c>
      <c r="R107" s="1"/>
      <c r="S107" s="1"/>
      <c r="T107" s="55">
        <f t="shared" ref="T107:Y107" si="93">T115/T5</f>
        <v>-0.13485955056179774</v>
      </c>
      <c r="U107" s="55">
        <f t="shared" si="93"/>
        <v>-5.8259862692717976E-2</v>
      </c>
      <c r="V107" s="55">
        <f t="shared" si="93"/>
        <v>-3.3760005520287052E-2</v>
      </c>
      <c r="W107" s="55">
        <f t="shared" si="93"/>
        <v>5.5775873097096071E-3</v>
      </c>
      <c r="X107" s="55">
        <f t="shared" si="93"/>
        <v>3.5493173111282854E-2</v>
      </c>
      <c r="Y107" s="55">
        <f t="shared" si="93"/>
        <v>-8.1240605349933506E-2</v>
      </c>
      <c r="Z107" s="55">
        <f t="shared" ref="Z107:AA107" si="94">Z115/Z5</f>
        <v>2.2629549012868982E-2</v>
      </c>
      <c r="AA107" s="55">
        <f t="shared" si="94"/>
        <v>1.4815615875419056E-2</v>
      </c>
      <c r="AB107" s="1"/>
      <c r="AC107" s="55">
        <f>AC115/AC5</f>
        <v>-2.3060577833881129E-3</v>
      </c>
      <c r="AD107" s="1"/>
      <c r="AE107" s="1"/>
    </row>
    <row r="108" spans="1:31" x14ac:dyDescent="0.2">
      <c r="B108" s="1"/>
    </row>
    <row r="109" spans="1:31" s="15" customFormat="1" ht="17" thickBot="1" x14ac:dyDescent="0.25">
      <c r="A109" s="11"/>
      <c r="B109" s="14" t="s">
        <v>119</v>
      </c>
      <c r="R109" s="1"/>
      <c r="S109" s="1"/>
      <c r="AB109" s="1"/>
      <c r="AD109" s="1"/>
      <c r="AE109" s="1"/>
    </row>
    <row r="110" spans="1:31" x14ac:dyDescent="0.2">
      <c r="B110" s="20" t="s">
        <v>74</v>
      </c>
      <c r="C110" s="81">
        <f t="shared" ref="C110:Q110" si="95">IF(AND(C85&gt;=0,C14&gt;=0),C85,0)</f>
        <v>0</v>
      </c>
      <c r="D110" s="81">
        <f t="shared" si="95"/>
        <v>0</v>
      </c>
      <c r="E110" s="81">
        <f t="shared" si="95"/>
        <v>0</v>
      </c>
      <c r="F110" s="81">
        <f t="shared" si="95"/>
        <v>0</v>
      </c>
      <c r="G110" s="81">
        <f t="shared" si="95"/>
        <v>0</v>
      </c>
      <c r="H110" s="81">
        <f t="shared" si="95"/>
        <v>0</v>
      </c>
      <c r="I110" s="81">
        <f t="shared" si="95"/>
        <v>0</v>
      </c>
      <c r="J110" s="81">
        <f t="shared" si="95"/>
        <v>0</v>
      </c>
      <c r="K110" s="81">
        <f t="shared" si="95"/>
        <v>0</v>
      </c>
      <c r="L110" s="81">
        <f t="shared" si="95"/>
        <v>0</v>
      </c>
      <c r="M110" s="81">
        <f t="shared" si="95"/>
        <v>0</v>
      </c>
      <c r="N110" s="81">
        <f t="shared" si="95"/>
        <v>0</v>
      </c>
      <c r="O110" s="81">
        <f t="shared" si="95"/>
        <v>0</v>
      </c>
      <c r="P110" s="81">
        <f t="shared" si="95"/>
        <v>0</v>
      </c>
      <c r="Q110" s="81">
        <f t="shared" si="95"/>
        <v>0</v>
      </c>
      <c r="T110" s="81">
        <f t="shared" ref="T110:Y110" si="96">IF(AND(T85&gt;=0,T14&gt;=0),T85,0)</f>
        <v>0</v>
      </c>
      <c r="U110" s="81">
        <f t="shared" si="96"/>
        <v>0</v>
      </c>
      <c r="V110" s="81">
        <f t="shared" si="96"/>
        <v>0</v>
      </c>
      <c r="W110" s="81">
        <f t="shared" si="96"/>
        <v>0</v>
      </c>
      <c r="X110" s="81">
        <f t="shared" si="96"/>
        <v>0.16663414634146342</v>
      </c>
      <c r="Y110" s="81">
        <f t="shared" si="96"/>
        <v>0</v>
      </c>
      <c r="Z110" s="81">
        <f t="shared" ref="Z110:AA110" si="97">IF(AND(Z85&gt;=0,Z14&gt;=0),Z85,0)</f>
        <v>0.37264450561084056</v>
      </c>
      <c r="AA110" s="81">
        <f t="shared" si="97"/>
        <v>0.40784192652053103</v>
      </c>
      <c r="AC110" s="81">
        <f>IF(AND(AC85&gt;=0,AC14&gt;=0),AC85,0)</f>
        <v>1.4236613603473227</v>
      </c>
    </row>
    <row r="111" spans="1:31" x14ac:dyDescent="0.2">
      <c r="B111" s="20" t="s">
        <v>190</v>
      </c>
      <c r="C111" s="25"/>
      <c r="D111" s="25"/>
      <c r="E111" s="25"/>
      <c r="F111" s="25"/>
      <c r="G111" s="25"/>
      <c r="H111" s="25"/>
      <c r="I111" s="25"/>
      <c r="J111" s="25"/>
      <c r="K111" s="25"/>
      <c r="L111" s="25"/>
      <c r="M111" s="25">
        <f>M31+M36</f>
        <v>313812</v>
      </c>
      <c r="N111" s="25">
        <f t="shared" ref="N111:Q111" si="98">N31+N36</f>
        <v>176683</v>
      </c>
      <c r="O111" s="25">
        <f t="shared" si="98"/>
        <v>87520</v>
      </c>
      <c r="P111" s="25">
        <f t="shared" si="98"/>
        <v>84220</v>
      </c>
      <c r="Q111" s="25">
        <f t="shared" si="98"/>
        <v>73830</v>
      </c>
      <c r="T111" s="25">
        <f t="shared" ref="T111:Y111" si="99">T31+T36</f>
        <v>81740</v>
      </c>
      <c r="U111" s="25">
        <f t="shared" si="99"/>
        <v>84220</v>
      </c>
      <c r="V111" s="25">
        <f t="shared" si="99"/>
        <v>90871</v>
      </c>
      <c r="W111" s="25">
        <f t="shared" si="99"/>
        <v>98266</v>
      </c>
      <c r="X111" s="25">
        <f t="shared" si="99"/>
        <v>106371</v>
      </c>
      <c r="Y111" s="25">
        <f t="shared" si="99"/>
        <v>73830</v>
      </c>
      <c r="Z111" s="25">
        <f t="shared" ref="Z111:AA111" si="100">Z31+Z36</f>
        <v>74706</v>
      </c>
      <c r="AA111" s="25">
        <f t="shared" si="100"/>
        <v>72945</v>
      </c>
      <c r="AC111" s="25">
        <f>AA111</f>
        <v>72945</v>
      </c>
    </row>
    <row r="112" spans="1:31" x14ac:dyDescent="0.2">
      <c r="B112" s="20" t="s">
        <v>181</v>
      </c>
      <c r="C112" s="25">
        <v>0</v>
      </c>
      <c r="D112" s="25">
        <v>0</v>
      </c>
      <c r="E112" s="25">
        <v>0</v>
      </c>
      <c r="F112" s="25">
        <v>0</v>
      </c>
      <c r="G112" s="25">
        <v>0</v>
      </c>
      <c r="H112" s="25">
        <v>0</v>
      </c>
      <c r="I112" s="25">
        <v>0</v>
      </c>
      <c r="J112" s="25">
        <v>0</v>
      </c>
      <c r="K112" s="25">
        <v>0</v>
      </c>
      <c r="L112" s="25">
        <v>0</v>
      </c>
      <c r="M112" s="25">
        <f>M41+M43</f>
        <v>13244</v>
      </c>
      <c r="N112" s="25">
        <f>N41+N43</f>
        <v>7897</v>
      </c>
      <c r="O112" s="25">
        <f>O41+O43</f>
        <v>11456</v>
      </c>
      <c r="P112" s="25">
        <f>P41+P43</f>
        <v>16193</v>
      </c>
      <c r="Q112" s="25">
        <f>Q41+Q43</f>
        <v>100088</v>
      </c>
      <c r="T112" s="25">
        <f t="shared" ref="T112:Y112" si="101">T41+T43</f>
        <v>19158</v>
      </c>
      <c r="U112" s="25">
        <f t="shared" si="101"/>
        <v>16193</v>
      </c>
      <c r="V112" s="25">
        <f t="shared" si="101"/>
        <v>14510</v>
      </c>
      <c r="W112" s="25">
        <f t="shared" si="101"/>
        <v>11672</v>
      </c>
      <c r="X112" s="25">
        <f t="shared" si="101"/>
        <v>9552</v>
      </c>
      <c r="Y112" s="25">
        <f t="shared" si="101"/>
        <v>100088</v>
      </c>
      <c r="Z112" s="25">
        <f t="shared" ref="Z112:AA112" si="102">Z41+Z43</f>
        <v>90604</v>
      </c>
      <c r="AA112" s="25">
        <f t="shared" si="102"/>
        <v>66446</v>
      </c>
      <c r="AC112" s="25">
        <f>AA112</f>
        <v>66446</v>
      </c>
    </row>
    <row r="113" spans="1:31" x14ac:dyDescent="0.2">
      <c r="B113" s="20" t="s">
        <v>174</v>
      </c>
      <c r="C113" s="25"/>
      <c r="D113" s="25"/>
      <c r="E113" s="25"/>
      <c r="F113" s="25"/>
      <c r="G113" s="25"/>
      <c r="H113" s="25"/>
      <c r="I113" s="25"/>
      <c r="J113" s="25"/>
      <c r="K113" s="25"/>
      <c r="L113" s="25"/>
      <c r="M113" s="130">
        <f>M14*(1-M110)</f>
        <v>-116817</v>
      </c>
      <c r="N113" s="130">
        <f>N14*(1-N110)</f>
        <v>-176552</v>
      </c>
      <c r="O113" s="130">
        <f>O14*(1-O110)</f>
        <v>-136479</v>
      </c>
      <c r="P113" s="130">
        <f>P14*(1-P110)</f>
        <v>-58097</v>
      </c>
      <c r="Q113" s="130">
        <f>Q14*(1-Q110)</f>
        <v>-6612</v>
      </c>
      <c r="T113" s="67"/>
      <c r="U113" s="67"/>
      <c r="V113" s="67"/>
      <c r="W113" s="67"/>
      <c r="X113" s="67"/>
      <c r="Y113" s="67"/>
      <c r="Z113" s="67"/>
      <c r="AA113" s="67"/>
      <c r="AC113" s="130">
        <f>AC14*(1-AC110)</f>
        <v>-5312.2897973950794</v>
      </c>
    </row>
    <row r="114" spans="1:31" x14ac:dyDescent="0.2">
      <c r="B114" s="20" t="s">
        <v>311</v>
      </c>
      <c r="C114" s="25"/>
      <c r="D114" s="25"/>
      <c r="E114" s="25"/>
      <c r="F114" s="25"/>
      <c r="G114" s="25"/>
      <c r="H114" s="25"/>
      <c r="I114" s="25"/>
      <c r="J114" s="25"/>
      <c r="K114" s="25"/>
      <c r="L114" s="25"/>
      <c r="M114" s="130">
        <f>M62+M63</f>
        <v>-30805</v>
      </c>
      <c r="N114" s="130">
        <f>N62+N63</f>
        <v>-26203</v>
      </c>
      <c r="O114" s="130">
        <f>O62+O63</f>
        <v>-25097</v>
      </c>
      <c r="P114" s="130">
        <f>P62+P63</f>
        <v>-24089</v>
      </c>
      <c r="Q114" s="130">
        <f>Q62+Q63</f>
        <v>-24397</v>
      </c>
      <c r="T114" s="130">
        <f t="shared" ref="T114:Y114" si="103">T62+T63</f>
        <v>-4182</v>
      </c>
      <c r="U114" s="130">
        <f t="shared" si="103"/>
        <v>-7058</v>
      </c>
      <c r="V114" s="130">
        <f t="shared" si="103"/>
        <v>-7392</v>
      </c>
      <c r="W114" s="130">
        <f t="shared" si="103"/>
        <v>-5202</v>
      </c>
      <c r="X114" s="130">
        <f t="shared" si="103"/>
        <v>-6666</v>
      </c>
      <c r="Y114" s="130">
        <f t="shared" si="103"/>
        <v>-5137</v>
      </c>
      <c r="Z114" s="130">
        <f t="shared" ref="Z114:AA114" si="104">Z62+Z63</f>
        <v>-7550</v>
      </c>
      <c r="AA114" s="130">
        <f t="shared" si="104"/>
        <v>-4504</v>
      </c>
      <c r="AC114" s="130">
        <f>AC62+AC63</f>
        <v>-23857</v>
      </c>
    </row>
    <row r="115" spans="1:31" x14ac:dyDescent="0.2">
      <c r="B115" s="20" t="s">
        <v>340</v>
      </c>
      <c r="C115" s="25"/>
      <c r="D115" s="25"/>
      <c r="E115" s="25"/>
      <c r="F115" s="25"/>
      <c r="G115" s="25"/>
      <c r="H115" s="25"/>
      <c r="I115" s="25"/>
      <c r="J115" s="25"/>
      <c r="K115" s="25"/>
      <c r="L115" s="25"/>
      <c r="M115" s="130">
        <f>M19+M20</f>
        <v>-118161</v>
      </c>
      <c r="N115" s="130">
        <f>N19+N20</f>
        <v>-176146</v>
      </c>
      <c r="O115" s="130">
        <f>O19+O20</f>
        <v>-136885</v>
      </c>
      <c r="P115" s="130">
        <f>P19+P20</f>
        <v>-58527</v>
      </c>
      <c r="Q115" s="130">
        <f>Q19+Q20</f>
        <v>-9312</v>
      </c>
      <c r="T115" s="130">
        <f t="shared" ref="T115:Y115" si="105">T19+T20</f>
        <v>-14403</v>
      </c>
      <c r="U115" s="130">
        <f t="shared" si="105"/>
        <v>-6390</v>
      </c>
      <c r="V115" s="130">
        <f t="shared" si="105"/>
        <v>-3914</v>
      </c>
      <c r="W115" s="130">
        <f t="shared" si="105"/>
        <v>654</v>
      </c>
      <c r="X115" s="130">
        <f t="shared" si="105"/>
        <v>4271</v>
      </c>
      <c r="Y115" s="130">
        <f t="shared" si="105"/>
        <v>-10323</v>
      </c>
      <c r="Z115" s="130">
        <f t="shared" ref="Z115:AA115" si="106">Z19+Z20</f>
        <v>2963</v>
      </c>
      <c r="AA115" s="130">
        <f t="shared" si="106"/>
        <v>1918</v>
      </c>
      <c r="AC115" s="130">
        <f>AC19+AC20</f>
        <v>-1171</v>
      </c>
    </row>
    <row r="116" spans="1:31" x14ac:dyDescent="0.2">
      <c r="B116" s="20" t="s">
        <v>341</v>
      </c>
      <c r="C116" s="25"/>
      <c r="D116" s="25"/>
      <c r="E116" s="25"/>
      <c r="F116" s="25"/>
      <c r="G116" s="25"/>
      <c r="H116" s="25"/>
      <c r="I116" s="25"/>
      <c r="J116" s="25"/>
      <c r="K116" s="25"/>
      <c r="L116" s="25"/>
      <c r="M116" s="130">
        <f>M51+M50</f>
        <v>417280</v>
      </c>
      <c r="N116" s="130">
        <f>N51+N50</f>
        <v>287819</v>
      </c>
      <c r="O116" s="130">
        <f>O51+O50</f>
        <v>251449</v>
      </c>
      <c r="P116" s="130">
        <f>P51+P50</f>
        <v>264808</v>
      </c>
      <c r="Q116" s="130">
        <f>Q51+Q50</f>
        <v>337207</v>
      </c>
      <c r="T116" s="130">
        <f t="shared" ref="T116:Y116" si="107">T51+T50</f>
        <v>254592</v>
      </c>
      <c r="U116" s="130">
        <f t="shared" si="107"/>
        <v>264808</v>
      </c>
      <c r="V116" s="130">
        <f t="shared" si="107"/>
        <v>282186</v>
      </c>
      <c r="W116" s="130">
        <f t="shared" si="107"/>
        <v>297987</v>
      </c>
      <c r="X116" s="130">
        <f t="shared" si="107"/>
        <v>320329</v>
      </c>
      <c r="Y116" s="130">
        <f t="shared" si="107"/>
        <v>337207</v>
      </c>
      <c r="Z116" s="130">
        <f t="shared" ref="Z116:AA116" si="108">Z51+Z50</f>
        <v>359090</v>
      </c>
      <c r="AA116" s="130">
        <f t="shared" si="108"/>
        <v>371851</v>
      </c>
      <c r="AC116" s="130">
        <f>AC51+AC50</f>
        <v>371851</v>
      </c>
    </row>
    <row r="117" spans="1:31" x14ac:dyDescent="0.2">
      <c r="C117" s="57"/>
      <c r="D117" s="57"/>
      <c r="E117" s="57"/>
      <c r="F117" s="57"/>
      <c r="G117" s="57"/>
      <c r="H117" s="57"/>
      <c r="I117" s="57"/>
      <c r="J117" s="57"/>
      <c r="K117" s="57"/>
    </row>
    <row r="118" spans="1:31" x14ac:dyDescent="0.2">
      <c r="B118" s="1"/>
    </row>
    <row r="119" spans="1:31" s="15" customFormat="1" ht="17" thickBot="1" x14ac:dyDescent="0.25">
      <c r="A119" s="11"/>
      <c r="B119" s="14" t="s">
        <v>83</v>
      </c>
      <c r="R119" s="1"/>
      <c r="S119" s="1"/>
      <c r="AB119" s="1"/>
      <c r="AD119" s="1"/>
      <c r="AE119" s="1"/>
    </row>
    <row r="120" spans="1:31" x14ac:dyDescent="0.2">
      <c r="B120" s="20" t="s">
        <v>84</v>
      </c>
      <c r="C120" s="26"/>
      <c r="D120" s="26"/>
      <c r="E120" s="26"/>
      <c r="F120" s="26"/>
      <c r="G120" s="26"/>
      <c r="H120" s="26"/>
      <c r="I120" s="26"/>
      <c r="J120" s="26"/>
      <c r="K120" s="26"/>
      <c r="L120" s="26"/>
      <c r="M120" s="26">
        <v>28.44</v>
      </c>
      <c r="N120" s="26">
        <v>36.19</v>
      </c>
      <c r="O120" s="26">
        <v>25.61</v>
      </c>
      <c r="P120" s="26">
        <v>29</v>
      </c>
      <c r="Q120" s="26">
        <v>13.43</v>
      </c>
      <c r="T120" s="26">
        <v>18.29</v>
      </c>
      <c r="U120" s="26">
        <v>29</v>
      </c>
      <c r="V120" s="26">
        <v>24.96</v>
      </c>
      <c r="W120" s="26">
        <v>26.96</v>
      </c>
      <c r="X120" s="26">
        <v>22.64</v>
      </c>
      <c r="Y120" s="26">
        <v>13.43</v>
      </c>
      <c r="Z120" s="26">
        <v>9.2100000000000009</v>
      </c>
      <c r="AA120" s="26">
        <v>10.73</v>
      </c>
      <c r="AC120" s="63">
        <f ca="1">Overview!C5</f>
        <v>12.61</v>
      </c>
    </row>
    <row r="121" spans="1:31" x14ac:dyDescent="0.2">
      <c r="B121" s="20" t="s">
        <v>354</v>
      </c>
      <c r="C121" s="26"/>
      <c r="D121" s="26"/>
      <c r="E121" s="26"/>
      <c r="F121" s="26"/>
      <c r="G121" s="26"/>
      <c r="H121" s="26"/>
      <c r="I121" s="26"/>
      <c r="J121" s="26"/>
      <c r="K121" s="26"/>
      <c r="L121" s="26"/>
      <c r="M121" s="65">
        <f>M120/M87</f>
        <v>28.44</v>
      </c>
      <c r="N121" s="65">
        <f>N120/N87</f>
        <v>36.19</v>
      </c>
      <c r="O121" s="65">
        <f>O120/O87</f>
        <v>25.61</v>
      </c>
      <c r="P121" s="65">
        <f>P120/P87</f>
        <v>29</v>
      </c>
      <c r="Q121" s="65">
        <f>Q120/Q87</f>
        <v>13.43</v>
      </c>
      <c r="T121" s="65">
        <f t="shared" ref="T121:Z121" si="109">T120/T87</f>
        <v>18.29</v>
      </c>
      <c r="U121" s="65">
        <f t="shared" si="109"/>
        <v>29</v>
      </c>
      <c r="V121" s="65">
        <f t="shared" si="109"/>
        <v>24.96</v>
      </c>
      <c r="W121" s="65">
        <f t="shared" si="109"/>
        <v>26.96</v>
      </c>
      <c r="X121" s="65">
        <f t="shared" si="109"/>
        <v>22.64</v>
      </c>
      <c r="Y121" s="65">
        <f t="shared" si="109"/>
        <v>13.43</v>
      </c>
      <c r="Z121" s="65">
        <f t="shared" si="109"/>
        <v>9.2100000000000009</v>
      </c>
      <c r="AA121" s="65">
        <f t="shared" ref="AA121" si="110">AA120/AA87</f>
        <v>10.73</v>
      </c>
      <c r="AC121" s="65">
        <f ca="1">AC120/AC87</f>
        <v>12.61</v>
      </c>
    </row>
    <row r="123" spans="1:31" x14ac:dyDescent="0.2">
      <c r="B123" s="1"/>
    </row>
    <row r="124" spans="1:31" ht="17" thickBot="1" x14ac:dyDescent="0.25">
      <c r="B124" s="14" t="s">
        <v>116</v>
      </c>
      <c r="C124" s="15"/>
      <c r="D124" s="15"/>
      <c r="E124" s="15"/>
      <c r="F124" s="15"/>
      <c r="G124" s="15"/>
      <c r="H124" s="15"/>
      <c r="I124" s="15"/>
      <c r="J124" s="15"/>
      <c r="K124" s="15"/>
      <c r="L124" s="15"/>
      <c r="M124" s="15"/>
      <c r="N124" s="15"/>
      <c r="O124" s="15"/>
      <c r="P124" s="15"/>
      <c r="Q124" s="15"/>
      <c r="T124" s="15"/>
      <c r="U124" s="15"/>
      <c r="V124" s="15"/>
      <c r="W124" s="15"/>
      <c r="X124" s="15"/>
      <c r="Y124" s="15"/>
      <c r="Z124" s="15"/>
      <c r="AA124" s="15"/>
      <c r="AC124" s="15"/>
    </row>
    <row r="125" spans="1:31" x14ac:dyDescent="0.2">
      <c r="B125" s="20" t="s">
        <v>110</v>
      </c>
      <c r="M125" s="74">
        <f>M115/M5</f>
        <v>-0.55414030661295388</v>
      </c>
      <c r="N125" s="74">
        <f>N115/N5</f>
        <v>-0.62705492862482648</v>
      </c>
      <c r="O125" s="74">
        <f>O115/O5</f>
        <v>-0.384185754099787</v>
      </c>
      <c r="P125" s="74">
        <f>P115/P5</f>
        <v>-0.13941207156519689</v>
      </c>
      <c r="Q125" s="74">
        <f>Q115/Q5</f>
        <v>-1.9376143123778847E-2</v>
      </c>
      <c r="T125" s="77"/>
      <c r="U125" s="77"/>
      <c r="V125" s="77"/>
      <c r="W125" s="77"/>
      <c r="X125" s="77"/>
      <c r="Y125" s="77"/>
      <c r="Z125" s="77"/>
      <c r="AA125" s="77"/>
      <c r="AC125" s="74">
        <f>AC115/AC5</f>
        <v>-2.3060577833881129E-3</v>
      </c>
    </row>
    <row r="126" spans="1:31" x14ac:dyDescent="0.2">
      <c r="B126" s="20" t="s">
        <v>111</v>
      </c>
      <c r="M126" s="75">
        <f>M5/M39</f>
        <v>0.43123023159870244</v>
      </c>
      <c r="N126" s="75">
        <f>N5/N39</f>
        <v>0.75909927389564313</v>
      </c>
      <c r="O126" s="75">
        <f>O5/O39</f>
        <v>0.96212256228296145</v>
      </c>
      <c r="P126" s="75">
        <f>P5/P39</f>
        <v>1.0808362189925724</v>
      </c>
      <c r="Q126" s="75">
        <f>Q5/Q39</f>
        <v>0.72401060576387111</v>
      </c>
      <c r="T126" s="78"/>
      <c r="U126" s="78"/>
      <c r="V126" s="78"/>
      <c r="W126" s="78"/>
      <c r="X126" s="78"/>
      <c r="Y126" s="78"/>
      <c r="Z126" s="78"/>
      <c r="AA126" s="78"/>
      <c r="AC126" s="75">
        <f>AC5/AC39</f>
        <v>0.78487025041075653</v>
      </c>
    </row>
    <row r="127" spans="1:31" x14ac:dyDescent="0.2">
      <c r="B127" s="32" t="s">
        <v>112</v>
      </c>
      <c r="M127" s="76">
        <f t="shared" ref="M127:P127" si="111">M125*M126</f>
        <v>-0.23896205275888008</v>
      </c>
      <c r="N127" s="76">
        <f t="shared" si="111"/>
        <v>-0.47599694101179013</v>
      </c>
      <c r="O127" s="76">
        <f t="shared" si="111"/>
        <v>-0.36963378212709885</v>
      </c>
      <c r="P127" s="76">
        <f t="shared" si="111"/>
        <v>-0.15068161631244933</v>
      </c>
      <c r="Q127" s="76">
        <f>Q125*Q126</f>
        <v>-1.4028533120414589E-2</v>
      </c>
      <c r="T127" s="79"/>
      <c r="U127" s="79"/>
      <c r="V127" s="79"/>
      <c r="W127" s="79"/>
      <c r="X127" s="79"/>
      <c r="Y127" s="79"/>
      <c r="Z127" s="79"/>
      <c r="AA127" s="79"/>
      <c r="AC127" s="76">
        <f>AC125*AC126</f>
        <v>-1.8099561499095023E-3</v>
      </c>
    </row>
    <row r="128" spans="1:31" x14ac:dyDescent="0.2">
      <c r="B128" s="20" t="s">
        <v>113</v>
      </c>
      <c r="M128" s="75">
        <f>M39/M51</f>
        <v>1.1849980828220859</v>
      </c>
      <c r="N128" s="75">
        <f>N39/N51</f>
        <v>1.2857281833374448</v>
      </c>
      <c r="O128" s="75">
        <f>O39/O51</f>
        <v>1.4727678376131939</v>
      </c>
      <c r="P128" s="75">
        <f>P39/P51</f>
        <v>1.4667797045406483</v>
      </c>
      <c r="Q128" s="75">
        <f>Q39/Q51</f>
        <v>1.9684941297185408</v>
      </c>
      <c r="T128" s="80"/>
      <c r="U128" s="80"/>
      <c r="V128" s="80"/>
      <c r="W128" s="80"/>
      <c r="X128" s="80"/>
      <c r="Y128" s="80"/>
      <c r="Z128" s="80"/>
      <c r="AA128" s="80"/>
      <c r="AC128" s="75">
        <f>AC39/AC51</f>
        <v>1.7398823722404941</v>
      </c>
    </row>
    <row r="129" spans="2:29" x14ac:dyDescent="0.2">
      <c r="B129" s="32" t="s">
        <v>114</v>
      </c>
      <c r="M129" s="76">
        <f t="shared" ref="M129:P129" si="112">M127*M128</f>
        <v>-0.28316957438650303</v>
      </c>
      <c r="N129" s="76">
        <f t="shared" si="112"/>
        <v>-0.61200268224126975</v>
      </c>
      <c r="O129" s="76">
        <f t="shared" si="112"/>
        <v>-0.54438474601211384</v>
      </c>
      <c r="P129" s="76">
        <f t="shared" si="112"/>
        <v>-0.22101673665448177</v>
      </c>
      <c r="Q129" s="76">
        <f>Q127*Q128</f>
        <v>-2.7615085096098241E-2</v>
      </c>
      <c r="T129" s="79"/>
      <c r="U129" s="79"/>
      <c r="V129" s="79"/>
      <c r="W129" s="79"/>
      <c r="X129" s="79"/>
      <c r="Y129" s="79"/>
      <c r="Z129" s="79"/>
      <c r="AA129" s="79"/>
      <c r="AC129" s="76">
        <f>AC127*AC128</f>
        <v>-3.1491107997558164E-3</v>
      </c>
    </row>
    <row r="131" spans="2:29" x14ac:dyDescent="0.2">
      <c r="B131" s="1"/>
    </row>
    <row r="132" spans="2:29" ht="17" thickBot="1" x14ac:dyDescent="0.25">
      <c r="B132" s="14" t="s">
        <v>240</v>
      </c>
      <c r="C132" s="171"/>
      <c r="D132" s="171"/>
      <c r="E132" s="171"/>
      <c r="F132" s="171"/>
      <c r="G132" s="171"/>
      <c r="H132" s="171"/>
      <c r="I132" s="171"/>
      <c r="J132" s="171"/>
      <c r="K132" s="171"/>
      <c r="L132" s="171"/>
      <c r="M132" s="171"/>
      <c r="N132" s="171"/>
      <c r="O132" s="171"/>
      <c r="P132" s="171"/>
      <c r="Q132" s="171"/>
      <c r="T132" s="171"/>
      <c r="U132" s="171"/>
      <c r="V132" s="171"/>
      <c r="W132" s="171"/>
      <c r="X132" s="171"/>
      <c r="Y132" s="171"/>
      <c r="Z132" s="171"/>
      <c r="AA132" s="171"/>
      <c r="AC132" s="171"/>
    </row>
    <row r="133" spans="2:29" x14ac:dyDescent="0.2">
      <c r="B133" s="20" t="s">
        <v>241</v>
      </c>
      <c r="C133" s="49"/>
      <c r="D133" s="49"/>
      <c r="E133" s="49"/>
      <c r="F133" s="49"/>
      <c r="G133" s="49"/>
      <c r="H133" s="49"/>
      <c r="I133" s="49"/>
      <c r="J133" s="49"/>
      <c r="K133" s="49"/>
      <c r="L133" s="49"/>
      <c r="M133" s="49"/>
      <c r="N133" s="49"/>
      <c r="O133" s="49"/>
      <c r="P133" s="49"/>
      <c r="Q133" s="49"/>
      <c r="T133" s="21"/>
      <c r="U133" s="21"/>
      <c r="V133" s="21"/>
      <c r="W133" s="21"/>
      <c r="X133" s="21"/>
      <c r="Y133" s="21"/>
      <c r="Z133" s="21"/>
      <c r="AA133" s="21"/>
      <c r="AC133" s="49"/>
    </row>
    <row r="134" spans="2:29" x14ac:dyDescent="0.2">
      <c r="B134" s="20" t="s">
        <v>242</v>
      </c>
      <c r="C134" s="49"/>
      <c r="D134" s="49"/>
      <c r="E134" s="49"/>
      <c r="F134" s="49"/>
      <c r="G134" s="49"/>
      <c r="H134" s="49"/>
      <c r="I134" s="49"/>
      <c r="J134" s="49"/>
      <c r="K134" s="49"/>
      <c r="L134" s="49"/>
      <c r="M134" s="49"/>
      <c r="N134" s="49"/>
      <c r="O134" s="49"/>
      <c r="P134" s="49"/>
      <c r="Q134" s="49"/>
      <c r="T134" s="21"/>
      <c r="U134" s="21"/>
      <c r="V134" s="21"/>
      <c r="W134" s="21"/>
      <c r="X134" s="21"/>
      <c r="Y134" s="21"/>
      <c r="Z134" s="21"/>
      <c r="AA134" s="21"/>
      <c r="AC134" s="49"/>
    </row>
    <row r="135" spans="2:29" x14ac:dyDescent="0.2">
      <c r="B135" s="20" t="s">
        <v>243</v>
      </c>
      <c r="C135" s="49"/>
      <c r="D135" s="49"/>
      <c r="E135" s="49"/>
      <c r="F135" s="49"/>
      <c r="G135" s="49"/>
      <c r="H135" s="49"/>
      <c r="I135" s="49"/>
      <c r="J135" s="49"/>
      <c r="K135" s="49"/>
      <c r="L135" s="49"/>
      <c r="M135" s="49"/>
      <c r="N135" s="49"/>
      <c r="O135" s="49"/>
      <c r="P135" s="49"/>
      <c r="Q135" s="49"/>
      <c r="T135" s="25">
        <f t="shared" ref="T135" si="113">U5</f>
        <v>109681</v>
      </c>
      <c r="U135" s="25">
        <f t="shared" ref="U135" si="114">V5</f>
        <v>115936</v>
      </c>
      <c r="V135" s="25">
        <f t="shared" ref="V135" si="115">W5</f>
        <v>117255</v>
      </c>
      <c r="W135" s="25">
        <f t="shared" ref="W135" si="116">X5</f>
        <v>120333</v>
      </c>
      <c r="X135" s="25">
        <f t="shared" ref="X135" si="117">Y5</f>
        <v>127067</v>
      </c>
      <c r="Y135" s="25">
        <f t="shared" ref="Y135" si="118">Z5</f>
        <v>130935</v>
      </c>
      <c r="Z135" s="25">
        <f t="shared" ref="Z135" si="119">AA5</f>
        <v>129458</v>
      </c>
      <c r="AA135" s="25">
        <f t="shared" ref="AA135" si="120">AB5</f>
        <v>0</v>
      </c>
      <c r="AC135" s="49"/>
    </row>
    <row r="136" spans="2:29" x14ac:dyDescent="0.2">
      <c r="B136" s="20" t="s">
        <v>198</v>
      </c>
      <c r="C136" s="49"/>
      <c r="D136" s="49"/>
      <c r="E136" s="49"/>
      <c r="F136" s="49"/>
      <c r="G136" s="49"/>
      <c r="H136" s="49"/>
      <c r="I136" s="49"/>
      <c r="J136" s="49"/>
      <c r="K136" s="49"/>
      <c r="L136" s="49"/>
      <c r="M136" s="49"/>
      <c r="N136" s="49"/>
      <c r="O136" s="49"/>
      <c r="P136" s="49"/>
      <c r="Q136" s="49"/>
      <c r="T136" s="225" t="str">
        <f t="shared" ref="T136:X136" si="121">IF(T135&gt;T134, "BEAT", IF(T135&lt;T133, "MISSED", "MET"))</f>
        <v>BEAT</v>
      </c>
      <c r="U136" s="225" t="str">
        <f t="shared" si="121"/>
        <v>BEAT</v>
      </c>
      <c r="V136" s="225" t="str">
        <f t="shared" si="121"/>
        <v>BEAT</v>
      </c>
      <c r="W136" s="225" t="str">
        <f t="shared" si="121"/>
        <v>BEAT</v>
      </c>
      <c r="X136" s="225" t="str">
        <f t="shared" si="121"/>
        <v>BEAT</v>
      </c>
      <c r="Y136" s="225" t="str">
        <f>IF(Y135&gt;Y134, "BEAT", IF(Y135&lt;Y133, "MISSED", "MET"))</f>
        <v>BEAT</v>
      </c>
      <c r="Z136" s="225" t="str">
        <f>IF(Z135&gt;Z134, "BEAT", IF(Z135&lt;Z133, "MISSED", "MET"))</f>
        <v>BEAT</v>
      </c>
      <c r="AA136" s="225" t="str">
        <f>IF(AA135&gt;AA134, "BEAT", IF(AA135&lt;AA133, "MISSED", "MET"))</f>
        <v>MET</v>
      </c>
      <c r="AC136" s="49"/>
    </row>
    <row r="138" spans="2:29" x14ac:dyDescent="0.2">
      <c r="B138" s="1"/>
    </row>
    <row r="139" spans="2:29" ht="17" thickBot="1" x14ac:dyDescent="0.25">
      <c r="B139" s="14" t="s">
        <v>260</v>
      </c>
      <c r="C139" s="171"/>
      <c r="D139" s="171"/>
      <c r="E139" s="171"/>
      <c r="F139" s="171"/>
      <c r="G139" s="171"/>
      <c r="H139" s="171"/>
      <c r="I139" s="171"/>
      <c r="J139" s="171"/>
      <c r="K139" s="171"/>
      <c r="L139" s="171"/>
      <c r="M139" s="171"/>
      <c r="N139" s="171"/>
      <c r="O139" s="171"/>
      <c r="P139" s="171"/>
      <c r="Q139" s="171"/>
      <c r="T139" s="171"/>
      <c r="U139" s="171"/>
      <c r="V139" s="171"/>
      <c r="W139" s="171"/>
      <c r="X139" s="171"/>
      <c r="Y139" s="171"/>
      <c r="Z139" s="171"/>
      <c r="AA139" s="171"/>
      <c r="AC139" s="171"/>
    </row>
    <row r="140" spans="2:29" x14ac:dyDescent="0.2">
      <c r="B140" s="20" t="s">
        <v>115</v>
      </c>
      <c r="C140" s="81"/>
      <c r="D140" s="81"/>
      <c r="E140" s="81"/>
      <c r="F140" s="81"/>
      <c r="G140" s="81"/>
      <c r="H140" s="81"/>
      <c r="I140" s="81"/>
      <c r="J140" s="81"/>
      <c r="K140" s="81"/>
      <c r="L140" s="81"/>
      <c r="M140" s="81">
        <f>M113/(M112+M116-M111)</f>
        <v>-1.0008996504215504</v>
      </c>
      <c r="N140" s="81">
        <f>N113/(N112+N116-N111)</f>
        <v>-1.4832189392857442</v>
      </c>
      <c r="O140" s="81">
        <f>O113/(O112+O116-O111)</f>
        <v>-0.77816803033326676</v>
      </c>
      <c r="P140" s="81">
        <f>P113/(P112+P116-P111)</f>
        <v>-0.29523683688974039</v>
      </c>
      <c r="Q140" s="81">
        <f>Q113/(Q112+Q116-Q111)</f>
        <v>-1.8191572778671949E-2</v>
      </c>
      <c r="T140" s="49"/>
      <c r="U140" s="49"/>
      <c r="V140" s="49"/>
      <c r="W140" s="49"/>
      <c r="X140" s="49"/>
      <c r="Y140" s="49"/>
      <c r="Z140" s="49"/>
      <c r="AA140" s="49"/>
      <c r="AC140" s="81">
        <f>AC113/(AC112+AC116-AC111)</f>
        <v>-1.4540196296708597E-2</v>
      </c>
    </row>
    <row r="141" spans="2:29" x14ac:dyDescent="0.2">
      <c r="B141" s="20" t="s">
        <v>151</v>
      </c>
      <c r="M141" s="122">
        <f t="shared" ref="M141:Q142" si="122">M32/M5*365</f>
        <v>68.918178705922628</v>
      </c>
      <c r="N141" s="122">
        <f t="shared" si="122"/>
        <v>66.778719162721146</v>
      </c>
      <c r="O141" s="122">
        <f t="shared" si="122"/>
        <v>66.446986940743585</v>
      </c>
      <c r="P141" s="122">
        <f t="shared" si="122"/>
        <v>64.005176114127011</v>
      </c>
      <c r="Q141" s="122">
        <f t="shared" si="122"/>
        <v>74.013755979616761</v>
      </c>
      <c r="T141" s="122">
        <f t="shared" ref="T141:Y141" si="123">T32/T5*90</f>
        <v>60.175280898876402</v>
      </c>
      <c r="U141" s="122">
        <f t="shared" si="123"/>
        <v>60.40727199788477</v>
      </c>
      <c r="V141" s="122">
        <f t="shared" si="123"/>
        <v>58.298630278774496</v>
      </c>
      <c r="W141" s="122">
        <f t="shared" si="123"/>
        <v>58.980683126519118</v>
      </c>
      <c r="X141" s="122">
        <f t="shared" si="123"/>
        <v>66.009573433721428</v>
      </c>
      <c r="Y141" s="122">
        <f t="shared" si="123"/>
        <v>69.024766461787877</v>
      </c>
      <c r="Z141" s="122">
        <f t="shared" ref="Z141:AA141" si="124">Z32/Z5*90</f>
        <v>61.592622293504412</v>
      </c>
      <c r="AA141" s="122">
        <f t="shared" si="124"/>
        <v>62.155602589256752</v>
      </c>
      <c r="AC141" s="122">
        <f>AC32/AC5*365</f>
        <v>64.264749612538964</v>
      </c>
    </row>
    <row r="142" spans="2:29" x14ac:dyDescent="0.2">
      <c r="B142" s="20" t="s">
        <v>152</v>
      </c>
      <c r="M142" s="122">
        <f t="shared" si="122"/>
        <v>0</v>
      </c>
      <c r="N142" s="122">
        <f t="shared" si="122"/>
        <v>0</v>
      </c>
      <c r="O142" s="122">
        <f t="shared" si="122"/>
        <v>0</v>
      </c>
      <c r="P142" s="122">
        <f t="shared" si="122"/>
        <v>0</v>
      </c>
      <c r="Q142" s="122">
        <f t="shared" si="122"/>
        <v>0</v>
      </c>
      <c r="T142" s="122">
        <f t="shared" ref="T142:Y142" si="125">T33/T6*365</f>
        <v>0</v>
      </c>
      <c r="U142" s="122">
        <f t="shared" si="125"/>
        <v>0</v>
      </c>
      <c r="V142" s="122">
        <f t="shared" si="125"/>
        <v>0</v>
      </c>
      <c r="W142" s="122">
        <f t="shared" si="125"/>
        <v>0</v>
      </c>
      <c r="X142" s="122">
        <f t="shared" si="125"/>
        <v>0</v>
      </c>
      <c r="Y142" s="122">
        <f t="shared" si="125"/>
        <v>0</v>
      </c>
      <c r="Z142" s="122">
        <f t="shared" ref="Z142:AA142" si="126">Z33/Z6*365</f>
        <v>0</v>
      </c>
      <c r="AA142" s="122">
        <f t="shared" si="126"/>
        <v>0</v>
      </c>
      <c r="AC142" s="122">
        <f>AC33/AC6*365</f>
        <v>0</v>
      </c>
    </row>
    <row r="143" spans="2:29" x14ac:dyDescent="0.2">
      <c r="B143" s="20" t="s">
        <v>153</v>
      </c>
      <c r="M143" s="122">
        <f>M40/M6*365</f>
        <v>22.957131272423453</v>
      </c>
      <c r="N143" s="122">
        <f>N40/N6*365</f>
        <v>36.197021973697453</v>
      </c>
      <c r="O143" s="122">
        <f>O40/O6*365</f>
        <v>24.959076210981287</v>
      </c>
      <c r="P143" s="122">
        <f>P40/P6*365</f>
        <v>15.207657076793097</v>
      </c>
      <c r="Q143" s="122">
        <f>Q40/Q6*365</f>
        <v>27.180271601253548</v>
      </c>
      <c r="T143" s="122">
        <f t="shared" ref="T143:Y143" si="127">T40/T6*90</f>
        <v>41.355647566378089</v>
      </c>
      <c r="U143" s="122">
        <f t="shared" si="127"/>
        <v>15.074182208186855</v>
      </c>
      <c r="V143" s="122">
        <f t="shared" si="127"/>
        <v>7.5754630237751215</v>
      </c>
      <c r="W143" s="122">
        <f t="shared" si="127"/>
        <v>15.606120985096039</v>
      </c>
      <c r="X143" s="122">
        <f t="shared" si="127"/>
        <v>14.716385725931575</v>
      </c>
      <c r="Y143" s="122">
        <f t="shared" si="127"/>
        <v>25.573904431790048</v>
      </c>
      <c r="Z143" s="122">
        <f t="shared" ref="Z143:AA143" si="128">Z40/Z6*90</f>
        <v>24.696312364425165</v>
      </c>
      <c r="AA143" s="122">
        <f t="shared" si="128"/>
        <v>25.502605071205281</v>
      </c>
      <c r="AC143" s="122">
        <f>AC40/AC6*365</f>
        <v>27.080231119949556</v>
      </c>
    </row>
    <row r="144" spans="2:29" x14ac:dyDescent="0.2">
      <c r="B144" s="20" t="s">
        <v>154</v>
      </c>
      <c r="M144" s="122">
        <f>M141+M142-M143</f>
        <v>45.961047433499175</v>
      </c>
      <c r="N144" s="122">
        <f t="shared" ref="N144:Q144" si="129">N141+N142-N143</f>
        <v>30.581697189023693</v>
      </c>
      <c r="O144" s="122">
        <f t="shared" si="129"/>
        <v>41.487910729762298</v>
      </c>
      <c r="P144" s="122">
        <f t="shared" si="129"/>
        <v>48.797519037333913</v>
      </c>
      <c r="Q144" s="122">
        <f t="shared" si="129"/>
        <v>46.83348437836321</v>
      </c>
      <c r="T144" s="122">
        <f t="shared" ref="T144" si="130">T141+T142-T143</f>
        <v>18.819633332498313</v>
      </c>
      <c r="U144" s="122">
        <f t="shared" ref="U144" si="131">U141+U142-U143</f>
        <v>45.333089789697915</v>
      </c>
      <c r="V144" s="122">
        <f t="shared" ref="V144:Y144" si="132">V141+V142-V143</f>
        <v>50.723167254999375</v>
      </c>
      <c r="W144" s="122">
        <f t="shared" si="132"/>
        <v>43.374562141423077</v>
      </c>
      <c r="X144" s="122">
        <f t="shared" si="132"/>
        <v>51.293187707789855</v>
      </c>
      <c r="Y144" s="122">
        <f t="shared" si="132"/>
        <v>43.450862029997829</v>
      </c>
      <c r="Z144" s="122">
        <f t="shared" ref="Z144:AA144" si="133">Z141+Z142-Z143</f>
        <v>36.896309929079251</v>
      </c>
      <c r="AA144" s="122">
        <f t="shared" si="133"/>
        <v>36.652997518051471</v>
      </c>
      <c r="AC144" s="122">
        <f t="shared" ref="AC144" si="134">AC141+AC142-AC143</f>
        <v>37.184518492589405</v>
      </c>
    </row>
    <row r="145" spans="2:29" x14ac:dyDescent="0.2">
      <c r="B145" s="20" t="s">
        <v>263</v>
      </c>
      <c r="M145" s="122">
        <f>M112/M51</f>
        <v>3.173888036809816E-2</v>
      </c>
      <c r="N145" s="122">
        <f>N112/N51</f>
        <v>2.7437382521654233E-2</v>
      </c>
      <c r="O145" s="122">
        <f>O112/O51</f>
        <v>4.5559934618948576E-2</v>
      </c>
      <c r="P145" s="122">
        <f>P112/P51</f>
        <v>6.1149965257847196E-2</v>
      </c>
      <c r="Q145" s="122">
        <f>Q112/Q51</f>
        <v>0.29681471618323463</v>
      </c>
      <c r="T145" s="122">
        <f t="shared" ref="T145:Y145" si="135">T112/T51</f>
        <v>7.5249811463046754E-2</v>
      </c>
      <c r="U145" s="122">
        <f t="shared" si="135"/>
        <v>6.1149965257847196E-2</v>
      </c>
      <c r="V145" s="122">
        <f t="shared" si="135"/>
        <v>5.1419985399700906E-2</v>
      </c>
      <c r="W145" s="122">
        <f t="shared" si="135"/>
        <v>3.9169493971213512E-2</v>
      </c>
      <c r="X145" s="122">
        <f t="shared" si="135"/>
        <v>2.9819341989017541E-2</v>
      </c>
      <c r="Y145" s="122">
        <f t="shared" si="135"/>
        <v>0.29681471618323463</v>
      </c>
      <c r="Z145" s="122">
        <f t="shared" ref="Z145:AA145" si="136">Z112/Z51</f>
        <v>0.25231557548246958</v>
      </c>
      <c r="AA145" s="122">
        <f t="shared" si="136"/>
        <v>0.17868985158033729</v>
      </c>
      <c r="AC145" s="122">
        <f>AC112/AC51</f>
        <v>0.17868985158033729</v>
      </c>
    </row>
    <row r="146" spans="2:29" x14ac:dyDescent="0.2">
      <c r="B146" s="20" t="s">
        <v>267</v>
      </c>
      <c r="M146" s="179">
        <f>(M112-M111)/M51</f>
        <v>-0.72030291411042946</v>
      </c>
      <c r="N146" s="179">
        <f>(N112-N111)/N51</f>
        <v>-0.58643105562871112</v>
      </c>
      <c r="O146" s="179">
        <f>(O112-O111)/O51</f>
        <v>-0.30250269438335409</v>
      </c>
      <c r="P146" s="179">
        <f>(P112-P111)/P51</f>
        <v>-0.25689178574665417</v>
      </c>
      <c r="Q146" s="179">
        <f>(Q112-Q111)/Q51</f>
        <v>7.7869083382017576E-2</v>
      </c>
      <c r="T146" s="179">
        <f t="shared" ref="T146:Y146" si="137">(T112-T111)/T51</f>
        <v>-0.24581290849673201</v>
      </c>
      <c r="U146" s="179">
        <f t="shared" si="137"/>
        <v>-0.25689178574665417</v>
      </c>
      <c r="V146" s="179">
        <f t="shared" si="137"/>
        <v>-0.2706052036599973</v>
      </c>
      <c r="W146" s="179">
        <f t="shared" si="137"/>
        <v>-0.29059656964901154</v>
      </c>
      <c r="X146" s="179">
        <f t="shared" si="137"/>
        <v>-0.30224862563177235</v>
      </c>
      <c r="Y146" s="179">
        <f t="shared" si="137"/>
        <v>7.7869083382017576E-2</v>
      </c>
      <c r="Z146" s="179">
        <f t="shared" ref="Z146:AA146" si="138">(Z112-Z111)/Z51</f>
        <v>4.4273023476008803E-2</v>
      </c>
      <c r="AA146" s="179">
        <f t="shared" si="138"/>
        <v>-1.7477430476185354E-2</v>
      </c>
      <c r="AC146" s="179">
        <f>(AC112-AC111)/AC51</f>
        <v>-1.7477430476185354E-2</v>
      </c>
    </row>
    <row r="147" spans="2:29" x14ac:dyDescent="0.2">
      <c r="B147" s="20" t="s">
        <v>264</v>
      </c>
      <c r="M147" s="122">
        <f>(M111+M32)/M42</f>
        <v>5.1740998363338786</v>
      </c>
      <c r="N147" s="122">
        <f>(N111+N32)/N42</f>
        <v>2.8856260833259531</v>
      </c>
      <c r="O147" s="122">
        <f>(O111+O32)/O42</f>
        <v>1.3838029767796656</v>
      </c>
      <c r="P147" s="122">
        <f>(P111+P32)/P42</f>
        <v>1.3842558080387291</v>
      </c>
      <c r="Q147" s="122">
        <f>(Q111+Q32)/Q42</f>
        <v>0.93474167899105554</v>
      </c>
      <c r="T147" s="122">
        <f t="shared" ref="T147:Y147" si="139">(T111+T32)/T42</f>
        <v>1.4024413695845277</v>
      </c>
      <c r="U147" s="122">
        <f t="shared" si="139"/>
        <v>1.3842558080387291</v>
      </c>
      <c r="V147" s="122">
        <f t="shared" si="139"/>
        <v>1.4990065028901733</v>
      </c>
      <c r="W147" s="122">
        <f t="shared" si="139"/>
        <v>1.6655538117658248</v>
      </c>
      <c r="X147" s="122">
        <f t="shared" si="139"/>
        <v>1.9702580403510725</v>
      </c>
      <c r="Y147" s="122">
        <f t="shared" si="139"/>
        <v>0.93474167899105554</v>
      </c>
      <c r="Z147" s="122">
        <f t="shared" ref="Z147:AA147" si="140">(Z111+Z32)/Z42</f>
        <v>1.0802319389385244</v>
      </c>
      <c r="AA147" s="122">
        <f t="shared" si="140"/>
        <v>1.1287308374178746</v>
      </c>
      <c r="AC147" s="122">
        <f>(AC111+AC32)/AC42</f>
        <v>1.1287308374178746</v>
      </c>
    </row>
    <row r="148" spans="2:29" x14ac:dyDescent="0.2">
      <c r="B148" s="20" t="s">
        <v>265</v>
      </c>
      <c r="M148" s="122">
        <f>M34/M42</f>
        <v>5.645735913023147</v>
      </c>
      <c r="N148" s="122">
        <f>N34/N42</f>
        <v>3.3203987904705272</v>
      </c>
      <c r="O148" s="122">
        <f>O34/O42</f>
        <v>1.7770230387126653</v>
      </c>
      <c r="P148" s="122">
        <f>P34/P42</f>
        <v>1.7828420581812441</v>
      </c>
      <c r="Q148" s="122">
        <f>Q34/Q42</f>
        <v>1.527185509793114</v>
      </c>
      <c r="T148" s="122">
        <f t="shared" ref="T148:Y148" si="141">T34/T42</f>
        <v>1.736000586075219</v>
      </c>
      <c r="U148" s="122">
        <f t="shared" si="141"/>
        <v>1.7828420581812441</v>
      </c>
      <c r="V148" s="122">
        <f t="shared" si="141"/>
        <v>1.9455292630057803</v>
      </c>
      <c r="W148" s="122">
        <f t="shared" si="141"/>
        <v>2.1176677604984069</v>
      </c>
      <c r="X148" s="122">
        <f t="shared" si="141"/>
        <v>2.4387394592186915</v>
      </c>
      <c r="Y148" s="122">
        <f t="shared" si="141"/>
        <v>1.527185509793114</v>
      </c>
      <c r="Z148" s="122">
        <f t="shared" ref="Z148:AA148" si="142">Z34/Z42</f>
        <v>1.7569703304866904</v>
      </c>
      <c r="AA148" s="122">
        <f t="shared" si="142"/>
        <v>1.7624569819584941</v>
      </c>
      <c r="AC148" s="122">
        <f>AC34/AC42</f>
        <v>1.7624569819584941</v>
      </c>
    </row>
    <row r="149" spans="2:29" x14ac:dyDescent="0.2">
      <c r="B149" s="20" t="s">
        <v>271</v>
      </c>
      <c r="M149" s="181" t="str">
        <f>IF(M15&gt;=0,"N/A",IF(M14&lt;=0,"N/A",M14/-M15))</f>
        <v>N/A</v>
      </c>
      <c r="N149" s="181" t="str">
        <f>IF(N15&gt;=0,"N/A",IF(N14&lt;=0,"N/A",N14/-N15))</f>
        <v>N/A</v>
      </c>
      <c r="O149" s="181" t="str">
        <f>IF(O15&gt;=0,"N/A",IF(O14&lt;=0,"N/A",O14/-O15))</f>
        <v>N/A</v>
      </c>
      <c r="P149" s="181" t="str">
        <f>IF(P15&gt;=0,"N/A",IF(P14&lt;=0,"N/A",P14/-P15))</f>
        <v>N/A</v>
      </c>
      <c r="Q149" s="181" t="str">
        <f>IF(Q15&gt;=0,"N/A",IF(Q14&lt;=0,"N/A",Q14/-Q15))</f>
        <v>N/A</v>
      </c>
      <c r="T149" s="181" t="str">
        <f t="shared" ref="T149:Y149" si="143">IF(T15&gt;=0,"N/A",IF(T14&lt;=0,"N/A",T14/-T15))</f>
        <v>N/A</v>
      </c>
      <c r="U149" s="181" t="str">
        <f t="shared" si="143"/>
        <v>N/A</v>
      </c>
      <c r="V149" s="181" t="str">
        <f t="shared" si="143"/>
        <v>N/A</v>
      </c>
      <c r="W149" s="181" t="str">
        <f t="shared" si="143"/>
        <v>N/A</v>
      </c>
      <c r="X149" s="181" t="str">
        <f t="shared" si="143"/>
        <v>N/A</v>
      </c>
      <c r="Y149" s="181" t="str">
        <f t="shared" si="143"/>
        <v>N/A</v>
      </c>
      <c r="Z149" s="181">
        <f t="shared" ref="Z149:AA149" si="144">IF(Z15&gt;=0,"N/A",IF(Z14&lt;=0,"N/A",Z14/-Z15))</f>
        <v>3.3711288711288709</v>
      </c>
      <c r="AA149" s="181">
        <f t="shared" si="144"/>
        <v>5.1370695476029713</v>
      </c>
      <c r="AC149" s="181">
        <f>IF(AC15&gt;=0,"N/A",IF(AC14&lt;=0,"N/A",AC14/-AC15))</f>
        <v>1.4511051961578521</v>
      </c>
    </row>
    <row r="150" spans="2:29" x14ac:dyDescent="0.2">
      <c r="B150" s="20" t="s">
        <v>249</v>
      </c>
      <c r="M150" s="72">
        <f>M121/Statement!M28</f>
        <v>-12</v>
      </c>
      <c r="N150" s="72">
        <f>N121/Statement!N28</f>
        <v>-10.770833333333334</v>
      </c>
      <c r="O150" s="72">
        <f>O121/Statement!O28</f>
        <v>-10.203187250996017</v>
      </c>
      <c r="P150" s="72">
        <f>P121/Statement!P28</f>
        <v>-28.431372549019606</v>
      </c>
      <c r="Q150" s="72">
        <f>Q121/Statement!Q28</f>
        <v>-83.9375</v>
      </c>
      <c r="T150" s="49"/>
      <c r="U150" s="49"/>
      <c r="V150" s="49"/>
      <c r="W150" s="49"/>
      <c r="X150" s="49"/>
      <c r="Y150" s="49"/>
      <c r="Z150" s="49"/>
      <c r="AA150" s="49"/>
      <c r="AC150" s="72">
        <f ca="1">AC121/Statement!AC28</f>
        <v>-705.97402703809905</v>
      </c>
    </row>
    <row r="151" spans="2:29" x14ac:dyDescent="0.2">
      <c r="B151" s="20" t="s">
        <v>213</v>
      </c>
      <c r="M151" s="72">
        <f>M121/(Statement!M5/Statement!M24)</f>
        <v>6.6538233763066685</v>
      </c>
      <c r="N151" s="72">
        <f>N121/(Statement!N5/Statement!N24)</f>
        <v>6.7559132818340384</v>
      </c>
      <c r="O151" s="72">
        <f>O121/(Statement!O5/Statement!O24)</f>
        <v>3.9217264432400873</v>
      </c>
      <c r="P151" s="72">
        <f>P121/(Statement!P5/Statement!P24)</f>
        <v>3.9782236376672473</v>
      </c>
      <c r="Q151" s="72">
        <f>Q121/(Statement!Q5/Statement!Q24)</f>
        <v>1.7184629966021001</v>
      </c>
      <c r="T151" s="49"/>
      <c r="U151" s="49"/>
      <c r="V151" s="49"/>
      <c r="W151" s="49"/>
      <c r="X151" s="49"/>
      <c r="Y151" s="49"/>
      <c r="Z151" s="49"/>
      <c r="AA151" s="49"/>
      <c r="AC151" s="72">
        <f ca="1">AC121/(Statement!AC5/Statement!AC24)</f>
        <v>1.5369177056398964</v>
      </c>
    </row>
    <row r="152" spans="2:29" x14ac:dyDescent="0.2">
      <c r="B152" s="20" t="s">
        <v>250</v>
      </c>
      <c r="M152" s="72">
        <f>M121/(Statement!M51/Statement!M77)</f>
        <v>3.5404146855828222</v>
      </c>
      <c r="N152" s="72">
        <f>N121/(Statement!N51/Statement!N77)</f>
        <v>6.7087907678089342</v>
      </c>
      <c r="O152" s="72">
        <f>O121/(Statement!O51/Statement!O77)</f>
        <v>5.7429978643780641</v>
      </c>
      <c r="P152" s="72">
        <f>P121/(Statement!P51/Statement!P77)</f>
        <v>6.4363161233799575</v>
      </c>
      <c r="Q152" s="72">
        <f>Q121/(Statement!Q51/Statement!Q77)</f>
        <v>2.4200182380555564</v>
      </c>
      <c r="T152" s="72">
        <f>T121/(Statement!T51/Statement!T77)</f>
        <v>4.1756534376571146</v>
      </c>
      <c r="U152" s="72">
        <f>U121/(Statement!U51/Statement!U77)</f>
        <v>6.4363161233799575</v>
      </c>
      <c r="V152" s="72">
        <f>V121/(Statement!V51/Statement!V77)</f>
        <v>5.2632655057302635</v>
      </c>
      <c r="W152" s="72">
        <f>W121/(Statement!W51/Statement!W77)</f>
        <v>5.4206439878249721</v>
      </c>
      <c r="X152" s="72">
        <f>X121/(Statement!X51/Statement!X77)</f>
        <v>4.2609244870117911</v>
      </c>
      <c r="Y152" s="72">
        <f>Y121/(Statement!Y51/Statement!Y77)</f>
        <v>2.4200182380555564</v>
      </c>
      <c r="Z152" s="72">
        <f>Z121/(Statement!Z51/Statement!Z77)</f>
        <v>1.5853644490239216</v>
      </c>
      <c r="AA152" s="72">
        <f>AA121/(Statement!AA51/Statement!AA77)</f>
        <v>1.7910986658634778</v>
      </c>
      <c r="AC152" s="72">
        <f ca="1">AC121/(Statement!AC51/Statement!AC77)</f>
        <v>2.1049165122589422</v>
      </c>
    </row>
    <row r="153" spans="2:29" x14ac:dyDescent="0.2">
      <c r="B153" s="20" t="s">
        <v>251</v>
      </c>
      <c r="M153" s="145">
        <f>Statement!M121*Statement!M80</f>
        <v>1477344.24</v>
      </c>
      <c r="N153" s="145">
        <f>Statement!N121*Statement!N80</f>
        <v>1930917.45</v>
      </c>
      <c r="O153" s="145">
        <f>Statement!O121*Statement!O80</f>
        <v>1444071.07</v>
      </c>
      <c r="P153" s="145">
        <f>Statement!P121*Statement!P80</f>
        <v>1704388</v>
      </c>
      <c r="Q153" s="145">
        <f>Statement!Q121*Statement!Q80</f>
        <v>839630.16999999993</v>
      </c>
      <c r="T153" s="145">
        <f>Statement!T121*Statement!T80</f>
        <v>1063087.96</v>
      </c>
      <c r="U153" s="145">
        <f>Statement!U121*Statement!U80</f>
        <v>1704388</v>
      </c>
      <c r="V153" s="145">
        <f>Statement!V121*Statement!V80</f>
        <v>1485219.8400000001</v>
      </c>
      <c r="W153" s="145">
        <f>Statement!W121*Statement!W80</f>
        <v>1671735.6800000002</v>
      </c>
      <c r="X153" s="145">
        <f>Statement!X121*Statement!X80</f>
        <v>1400012.32</v>
      </c>
      <c r="Y153" s="145">
        <f>Statement!Y121*Statement!Y80</f>
        <v>839630.16999999993</v>
      </c>
      <c r="Z153" s="145">
        <f>Statement!Z121*Statement!Z80</f>
        <v>579382.68000000005</v>
      </c>
      <c r="AA153" s="145">
        <f>Statement!AA121*Statement!AA80</f>
        <v>694509.98</v>
      </c>
      <c r="AC153" s="145">
        <f ca="1">Statement!AC121*Statement!AC80</f>
        <v>816194.86</v>
      </c>
    </row>
    <row r="154" spans="2:29" x14ac:dyDescent="0.2">
      <c r="B154" s="20" t="s">
        <v>200</v>
      </c>
      <c r="M154" s="145">
        <f>M153+M112-M111+M50+M47</f>
        <v>1176776.24</v>
      </c>
      <c r="N154" s="145">
        <f>N153+N112-N111+N50+N47</f>
        <v>1762131.45</v>
      </c>
      <c r="O154" s="145">
        <f>O153+O112-O111+O50+O47</f>
        <v>1368007.07</v>
      </c>
      <c r="P154" s="145">
        <f>P153+P112-P111+P50+P47</f>
        <v>1636361</v>
      </c>
      <c r="Q154" s="145">
        <f>Q153+Q112-Q111+Q50+Q47</f>
        <v>865888.16999999993</v>
      </c>
      <c r="T154" s="145">
        <f t="shared" ref="T154:Z154" si="145">T153+T112-T111+T50+T47</f>
        <v>1000505.96</v>
      </c>
      <c r="U154" s="145">
        <f t="shared" si="145"/>
        <v>1636361</v>
      </c>
      <c r="V154" s="145">
        <f t="shared" si="145"/>
        <v>1408858.84</v>
      </c>
      <c r="W154" s="145">
        <f t="shared" si="145"/>
        <v>1585141.6800000002</v>
      </c>
      <c r="X154" s="145">
        <f t="shared" si="145"/>
        <v>1303193.32</v>
      </c>
      <c r="Y154" s="145">
        <f t="shared" si="145"/>
        <v>865888.16999999993</v>
      </c>
      <c r="Z154" s="145">
        <f t="shared" si="145"/>
        <v>595280.68000000005</v>
      </c>
      <c r="AA154" s="145">
        <f t="shared" ref="AA154" si="146">AA153+AA112-AA111+AA50+AA47</f>
        <v>688010.98</v>
      </c>
      <c r="AC154" s="145">
        <f ca="1">AC153+AC112-AC111+AC50+AC47</f>
        <v>809695.86</v>
      </c>
    </row>
    <row r="155" spans="2:29" x14ac:dyDescent="0.2">
      <c r="B155" s="20" t="s">
        <v>272</v>
      </c>
      <c r="M155" s="183">
        <f>M154/M5</f>
        <v>5.5187341546571123</v>
      </c>
      <c r="N155" s="183">
        <f>N154/N5</f>
        <v>6.2729395535936776</v>
      </c>
      <c r="O155" s="183">
        <f>O154/O5</f>
        <v>3.8394917471000483</v>
      </c>
      <c r="P155" s="183">
        <f>P154/P5</f>
        <v>3.8978330828249721</v>
      </c>
      <c r="Q155" s="183">
        <f>Q154/Q5</f>
        <v>1.8017153255054712</v>
      </c>
      <c r="T155" s="49"/>
      <c r="U155" s="49"/>
      <c r="V155" s="49"/>
      <c r="W155" s="49"/>
      <c r="X155" s="49"/>
      <c r="Y155" s="49"/>
      <c r="Z155" s="49"/>
      <c r="AA155" s="49"/>
      <c r="AC155" s="183">
        <f ca="1">AC154/AC5</f>
        <v>1.5945392315372602</v>
      </c>
    </row>
    <row r="156" spans="2:29" x14ac:dyDescent="0.2">
      <c r="B156" s="20" t="s">
        <v>216</v>
      </c>
      <c r="M156" s="183">
        <f>M154/M14</f>
        <v>-10.073672838713543</v>
      </c>
      <c r="N156" s="183">
        <f>N154/N14</f>
        <v>-9.9808070710045769</v>
      </c>
      <c r="O156" s="183">
        <f>O154/O14</f>
        <v>-10.023571904835176</v>
      </c>
      <c r="P156" s="183">
        <f>P154/P14</f>
        <v>-28.166015456908273</v>
      </c>
      <c r="Q156" s="183">
        <f>Q154/Q14</f>
        <v>-130.95707350272232</v>
      </c>
      <c r="T156" s="49"/>
      <c r="U156" s="49"/>
      <c r="V156" s="49"/>
      <c r="W156" s="49"/>
      <c r="X156" s="49"/>
      <c r="Y156" s="49"/>
      <c r="Z156" s="49"/>
      <c r="AA156" s="49"/>
      <c r="AC156" s="183">
        <f ca="1">AC154/AC14</f>
        <v>64.574197304410234</v>
      </c>
    </row>
    <row r="157" spans="2:29" x14ac:dyDescent="0.2">
      <c r="B157" s="20" t="s">
        <v>273</v>
      </c>
      <c r="M157" s="64">
        <f>M61-M56+M114+M67</f>
        <v>-141659</v>
      </c>
      <c r="N157" s="64">
        <f>N61-N56+N114+N67</f>
        <v>-175101</v>
      </c>
      <c r="O157" s="64">
        <f>O61-O56+O114+O67</f>
        <v>-129088</v>
      </c>
      <c r="P157" s="64">
        <f>P61-P56+P114+P67</f>
        <v>-58683</v>
      </c>
      <c r="Q157" s="64">
        <f>Q61-Q56+Q114+Q67</f>
        <v>-13035</v>
      </c>
      <c r="T157" s="64">
        <f t="shared" ref="T157:Y157" si="147">T61-T56+T114+T67</f>
        <v>-14922</v>
      </c>
      <c r="U157" s="64">
        <f t="shared" si="147"/>
        <v>-7964</v>
      </c>
      <c r="V157" s="64">
        <f t="shared" si="147"/>
        <v>-9767</v>
      </c>
      <c r="W157" s="64">
        <f t="shared" si="147"/>
        <v>-6597</v>
      </c>
      <c r="X157" s="64">
        <f t="shared" si="147"/>
        <v>-7158</v>
      </c>
      <c r="Y157" s="64">
        <f t="shared" si="147"/>
        <v>10487</v>
      </c>
      <c r="Z157" s="64">
        <f t="shared" ref="Z157:AA157" si="148">Z61-Z56+Z114+Z67</f>
        <v>2818</v>
      </c>
      <c r="AA157" s="64">
        <f t="shared" si="148"/>
        <v>1949</v>
      </c>
      <c r="AC157" s="64">
        <f>AC61-AC56+AC114+AC67</f>
        <v>8096</v>
      </c>
    </row>
    <row r="158" spans="2:29" x14ac:dyDescent="0.2">
      <c r="B158" s="20" t="s">
        <v>274</v>
      </c>
      <c r="M158" s="64">
        <f>M113+M55+M114+M57+M59+M60+M58</f>
        <v>-144891</v>
      </c>
      <c r="N158" s="64">
        <f>N113+N55+N114+N57+N59+N60+N58</f>
        <v>-181313</v>
      </c>
      <c r="O158" s="64">
        <f>O113+O55+O114+O57+O59+O60+O58</f>
        <v>-133726</v>
      </c>
      <c r="P158" s="64">
        <f>P113+P55+P114+P57+P59+P60+P58</f>
        <v>-60793</v>
      </c>
      <c r="Q158" s="64">
        <f>Q113+Q55+Q114+Q57+Q59+Q60+Q58</f>
        <v>-13646</v>
      </c>
      <c r="T158" s="49"/>
      <c r="U158" s="49"/>
      <c r="V158" s="49"/>
      <c r="W158" s="49"/>
      <c r="X158" s="49"/>
      <c r="Y158" s="49"/>
      <c r="Z158" s="49"/>
      <c r="AA158" s="49"/>
      <c r="AC158" s="64">
        <f>AC113+AC55+AC114+AC57+AC59+AC60+AC58</f>
        <v>-6014.2897973950785</v>
      </c>
    </row>
    <row r="159" spans="2:29" x14ac:dyDescent="0.2">
      <c r="B159" s="20" t="s">
        <v>275</v>
      </c>
      <c r="M159" s="72">
        <f>M153/M157</f>
        <v>-10.428876668619713</v>
      </c>
      <c r="N159" s="72">
        <f t="shared" ref="N159:Q159" si="149">N153/N157</f>
        <v>-11.027449586238799</v>
      </c>
      <c r="O159" s="72">
        <f t="shared" si="149"/>
        <v>-11.186718130267725</v>
      </c>
      <c r="P159" s="72">
        <f t="shared" si="149"/>
        <v>-29.04398207317281</v>
      </c>
      <c r="Q159" s="72">
        <f t="shared" si="149"/>
        <v>-64.413515151515142</v>
      </c>
      <c r="T159" s="49"/>
      <c r="U159" s="49"/>
      <c r="V159" s="49"/>
      <c r="W159" s="49"/>
      <c r="X159" s="49"/>
      <c r="Y159" s="49"/>
      <c r="Z159" s="49"/>
      <c r="AA159" s="49"/>
      <c r="AC159" s="72">
        <f t="shared" ref="AC159:AC160" ca="1" si="150">AC153/AC157</f>
        <v>100.81458250988142</v>
      </c>
    </row>
    <row r="160" spans="2:29" x14ac:dyDescent="0.2">
      <c r="B160" s="20" t="s">
        <v>276</v>
      </c>
      <c r="M160" s="72">
        <f>M154/M158</f>
        <v>-8.1218035626781511</v>
      </c>
      <c r="N160" s="72">
        <f t="shared" ref="N160:Q160" si="151">N154/N158</f>
        <v>-9.7187264564592724</v>
      </c>
      <c r="O160" s="72">
        <f t="shared" si="151"/>
        <v>-10.229925893244395</v>
      </c>
      <c r="P160" s="72">
        <f t="shared" si="151"/>
        <v>-26.916931225634531</v>
      </c>
      <c r="Q160" s="72">
        <f t="shared" si="151"/>
        <v>-63.453625238165024</v>
      </c>
      <c r="T160" s="49"/>
      <c r="U160" s="49"/>
      <c r="V160" s="49"/>
      <c r="W160" s="49"/>
      <c r="X160" s="49"/>
      <c r="Y160" s="49"/>
      <c r="Z160" s="49"/>
      <c r="AA160" s="49"/>
      <c r="AC160" s="72">
        <f t="shared" ca="1" si="150"/>
        <v>-134.62867392101677</v>
      </c>
    </row>
    <row r="161" spans="2:29" x14ac:dyDescent="0.2">
      <c r="B161" s="20" t="s">
        <v>277</v>
      </c>
      <c r="M161" s="74">
        <f>M157/M153</f>
        <v>-9.5887604367686161E-2</v>
      </c>
      <c r="N161" s="74">
        <f t="shared" ref="N161:Q161" si="152">N157/N153</f>
        <v>-9.0682799515846735E-2</v>
      </c>
      <c r="O161" s="74">
        <f t="shared" si="152"/>
        <v>-8.9391722250900016E-2</v>
      </c>
      <c r="P161" s="74">
        <f t="shared" si="152"/>
        <v>-3.4430540463791105E-2</v>
      </c>
      <c r="Q161" s="74">
        <f t="shared" si="152"/>
        <v>-1.5524692258259374E-2</v>
      </c>
      <c r="T161" s="49"/>
      <c r="U161" s="49"/>
      <c r="V161" s="49"/>
      <c r="W161" s="49"/>
      <c r="X161" s="49"/>
      <c r="Y161" s="49"/>
      <c r="Z161" s="49"/>
      <c r="AA161" s="49"/>
      <c r="AC161" s="74">
        <f t="shared" ref="AC161" ca="1" si="153">AC157/AC153</f>
        <v>9.9191999322318699E-3</v>
      </c>
    </row>
    <row r="162" spans="2:29" x14ac:dyDescent="0.2">
      <c r="B162" s="20" t="s">
        <v>278</v>
      </c>
      <c r="M162" s="74">
        <f>M28/M121</f>
        <v>-8.3333333333333329E-2</v>
      </c>
      <c r="N162" s="74">
        <f>N28/N121</f>
        <v>-9.2843326885880081E-2</v>
      </c>
      <c r="O162" s="74">
        <f>O28/O121</f>
        <v>-9.800859039437719E-2</v>
      </c>
      <c r="P162" s="74">
        <f>P28/P121</f>
        <v>-3.5172413793103451E-2</v>
      </c>
      <c r="Q162" s="74">
        <f>Q28/Q121</f>
        <v>-1.1913626209977662E-2</v>
      </c>
      <c r="T162" s="49"/>
      <c r="U162" s="49"/>
      <c r="V162" s="49"/>
      <c r="W162" s="49"/>
      <c r="X162" s="49"/>
      <c r="Y162" s="49"/>
      <c r="Z162" s="49"/>
      <c r="AA162" s="49"/>
      <c r="AC162" s="74">
        <f ca="1">AC28/AC121</f>
        <v>-1.4164827057384552E-3</v>
      </c>
    </row>
    <row r="163" spans="2:29" x14ac:dyDescent="0.2">
      <c r="B163" s="20" t="s">
        <v>279</v>
      </c>
      <c r="M163" s="156">
        <f>M84/M121</f>
        <v>0</v>
      </c>
      <c r="N163" s="156">
        <f>N84/N121</f>
        <v>0</v>
      </c>
      <c r="O163" s="156">
        <f>O84/O121</f>
        <v>0</v>
      </c>
      <c r="P163" s="156">
        <f>P84/P121</f>
        <v>0</v>
      </c>
      <c r="Q163" s="156">
        <f>Q84/Q121</f>
        <v>0</v>
      </c>
      <c r="T163" s="49"/>
      <c r="U163" s="49"/>
      <c r="V163" s="49"/>
      <c r="W163" s="49"/>
      <c r="X163" s="49"/>
      <c r="Y163" s="49"/>
      <c r="Z163" s="49"/>
      <c r="AA163" s="49"/>
      <c r="AC163" s="156">
        <f ca="1">AC84/AC121</f>
        <v>0</v>
      </c>
    </row>
    <row r="164" spans="2:29" x14ac:dyDescent="0.2">
      <c r="B164" s="20" t="s">
        <v>304</v>
      </c>
      <c r="M164" s="156">
        <f>-M65/M153</f>
        <v>0</v>
      </c>
      <c r="N164" s="156">
        <f>-N65/N153</f>
        <v>0</v>
      </c>
      <c r="O164" s="156">
        <f>-O65/O153</f>
        <v>0</v>
      </c>
      <c r="P164" s="156">
        <f>-P65/P153</f>
        <v>0</v>
      </c>
      <c r="Q164" s="156">
        <f>-Q65/Q153</f>
        <v>0</v>
      </c>
      <c r="T164" s="49"/>
      <c r="U164" s="49"/>
      <c r="V164" s="49"/>
      <c r="W164" s="49"/>
      <c r="X164" s="49"/>
      <c r="Y164" s="49"/>
      <c r="Z164" s="49"/>
      <c r="AA164" s="49"/>
      <c r="AC164" s="156">
        <f ca="1">-AC65/AC153</f>
        <v>0</v>
      </c>
    </row>
    <row r="165" spans="2:29" x14ac:dyDescent="0.2">
      <c r="B165" s="20" t="s">
        <v>306</v>
      </c>
      <c r="M165" s="156">
        <f>-(M65+M66)/M153</f>
        <v>0</v>
      </c>
      <c r="N165" s="156">
        <f>-(N65+N66)/N153</f>
        <v>0</v>
      </c>
      <c r="O165" s="156">
        <f>-(O65+O66)/O153</f>
        <v>0</v>
      </c>
      <c r="P165" s="156">
        <f>-(P65+P66)/P153</f>
        <v>0</v>
      </c>
      <c r="Q165" s="156">
        <f>-(Q65+Q66)/Q153</f>
        <v>0</v>
      </c>
      <c r="T165" s="49"/>
      <c r="U165" s="49"/>
      <c r="V165" s="49"/>
      <c r="W165" s="49"/>
      <c r="X165" s="49"/>
      <c r="Y165" s="49"/>
      <c r="Z165" s="49"/>
      <c r="AA165" s="49"/>
      <c r="AC165" s="156">
        <f ca="1">-(AC65+AC66)/AC153</f>
        <v>0</v>
      </c>
    </row>
    <row r="166" spans="2:29" x14ac:dyDescent="0.2">
      <c r="B166" s="20" t="s">
        <v>355</v>
      </c>
      <c r="M166" s="156">
        <f>M158/M5</f>
        <v>-0.67949613802741604</v>
      </c>
      <c r="N166" s="156">
        <f>N158/N5</f>
        <v>-0.6454487202306789</v>
      </c>
      <c r="O166" s="156">
        <f>O158/O5</f>
        <v>-0.37531960516307933</v>
      </c>
      <c r="P166" s="156">
        <f>P158/P5</f>
        <v>-0.14480971289597988</v>
      </c>
      <c r="Q166" s="156">
        <f>Q158/Q5</f>
        <v>-2.8394206300159597E-2</v>
      </c>
      <c r="T166" s="49"/>
      <c r="U166" s="49"/>
      <c r="V166" s="49"/>
      <c r="W166" s="49"/>
      <c r="X166" s="49"/>
      <c r="Y166" s="49"/>
      <c r="Z166" s="49"/>
      <c r="AA166" s="49"/>
      <c r="AC166" s="156">
        <f>AC158/AC5</f>
        <v>-1.1843979332907461E-2</v>
      </c>
    </row>
    <row r="167" spans="2:29" x14ac:dyDescent="0.2">
      <c r="B167" s="20" t="s">
        <v>356</v>
      </c>
      <c r="M167" s="156">
        <f>M157/M5</f>
        <v>-0.66433900944037738</v>
      </c>
      <c r="N167" s="156">
        <f>N157/N5</f>
        <v>-0.62333487593891279</v>
      </c>
      <c r="O167" s="156">
        <f>O157/O5</f>
        <v>-0.36230244822466523</v>
      </c>
      <c r="P167" s="156">
        <f>P157/P5</f>
        <v>-0.13978366558443878</v>
      </c>
      <c r="Q167" s="156">
        <f>Q157/Q5</f>
        <v>-2.7122854984799966E-2</v>
      </c>
      <c r="T167" s="49"/>
      <c r="U167" s="49"/>
      <c r="V167" s="49"/>
      <c r="W167" s="49"/>
      <c r="X167" s="49"/>
      <c r="Y167" s="49"/>
      <c r="Z167" s="49"/>
      <c r="AA167" s="49"/>
      <c r="AC167" s="156">
        <f>AC157/AC5</f>
        <v>1.5943504538266578E-2</v>
      </c>
    </row>
    <row r="168" spans="2:29" x14ac:dyDescent="0.2">
      <c r="B168" s="20" t="s">
        <v>282</v>
      </c>
      <c r="M168" s="156">
        <f>-M66/M157</f>
        <v>0</v>
      </c>
      <c r="N168" s="156">
        <f>-N66/N157</f>
        <v>0</v>
      </c>
      <c r="O168" s="156">
        <f>-O66/O157</f>
        <v>0</v>
      </c>
      <c r="P168" s="156">
        <f>-P66/P157</f>
        <v>0</v>
      </c>
      <c r="Q168" s="156">
        <f>-Q66/Q157</f>
        <v>0</v>
      </c>
      <c r="T168" s="49"/>
      <c r="U168" s="49"/>
      <c r="V168" s="49"/>
      <c r="W168" s="49"/>
      <c r="X168" s="49"/>
      <c r="Y168" s="49"/>
      <c r="Z168" s="49"/>
      <c r="AA168" s="49"/>
      <c r="AC168" s="156">
        <f>-AC66/AC157</f>
        <v>0</v>
      </c>
    </row>
    <row r="169" spans="2:29" x14ac:dyDescent="0.2">
      <c r="B169" s="20" t="s">
        <v>284</v>
      </c>
      <c r="M169" s="156">
        <f>-M65/M157</f>
        <v>0</v>
      </c>
      <c r="N169" s="156">
        <f>-N65/N157</f>
        <v>0</v>
      </c>
      <c r="O169" s="156">
        <f>-O65/O157</f>
        <v>0</v>
      </c>
      <c r="P169" s="156">
        <f>-P65/P157</f>
        <v>0</v>
      </c>
      <c r="Q169" s="156">
        <f>-Q65/Q157</f>
        <v>0</v>
      </c>
      <c r="T169" s="49"/>
      <c r="U169" s="49"/>
      <c r="V169" s="49"/>
      <c r="W169" s="49"/>
      <c r="X169" s="49"/>
      <c r="Y169" s="49"/>
      <c r="Z169" s="49"/>
      <c r="AA169" s="49"/>
      <c r="AC169" s="156">
        <f>-AC65/AC157</f>
        <v>0</v>
      </c>
    </row>
    <row r="170" spans="2:29" x14ac:dyDescent="0.2">
      <c r="B170" s="20" t="s">
        <v>295</v>
      </c>
      <c r="M170" s="156">
        <f>(-M66-M65)/M157</f>
        <v>0</v>
      </c>
      <c r="N170" s="156">
        <f>(-N66-N65)/N157</f>
        <v>0</v>
      </c>
      <c r="O170" s="156">
        <f>(-O66-O65)/O157</f>
        <v>0</v>
      </c>
      <c r="P170" s="156">
        <f>(-P66-P65)/P157</f>
        <v>0</v>
      </c>
      <c r="Q170" s="156">
        <f>(-Q66-Q65)/Q157</f>
        <v>0</v>
      </c>
      <c r="T170" s="49"/>
      <c r="U170" s="49"/>
      <c r="V170" s="49"/>
      <c r="W170" s="49"/>
      <c r="X170" s="49"/>
      <c r="Y170" s="49"/>
      <c r="Z170" s="49"/>
      <c r="AA170" s="49"/>
      <c r="AC170" s="156">
        <f>(-AC66-AC65)/AC157</f>
        <v>0</v>
      </c>
    </row>
    <row r="171" spans="2:29" x14ac:dyDescent="0.2">
      <c r="B171" s="20" t="s">
        <v>289</v>
      </c>
      <c r="M171" s="156">
        <f>M82/M80</f>
        <v>5.567319909136411E-2</v>
      </c>
      <c r="N171" s="156">
        <f>N82/N80</f>
        <v>5.840127448224159E-2</v>
      </c>
      <c r="O171" s="156">
        <f>O82/O80</f>
        <v>5.9091634596626884E-2</v>
      </c>
      <c r="P171" s="156">
        <f>P82/P80</f>
        <v>5.6183216497651942E-2</v>
      </c>
      <c r="Q171" s="156">
        <f>Q82/Q80</f>
        <v>5.1792255154433052E-2</v>
      </c>
      <c r="T171" s="49"/>
      <c r="U171" s="49"/>
      <c r="V171" s="49"/>
      <c r="W171" s="49"/>
      <c r="X171" s="49"/>
      <c r="Y171" s="49"/>
      <c r="Z171" s="49"/>
      <c r="AA171" s="49"/>
      <c r="AC171" s="156">
        <f>AC82/AC80</f>
        <v>5.0026264561381824E-2</v>
      </c>
    </row>
    <row r="172" spans="2:29" x14ac:dyDescent="0.2">
      <c r="B172" s="20" t="s">
        <v>290</v>
      </c>
      <c r="M172" s="72">
        <f>M111/M77</f>
        <v>6.041119624225157</v>
      </c>
      <c r="N172" s="72">
        <f>N111/N77</f>
        <v>3.3114609689813514</v>
      </c>
      <c r="O172" s="72">
        <f>O111/O77</f>
        <v>1.5521308102931526</v>
      </c>
      <c r="P172" s="72">
        <f>P111/P77</f>
        <v>1.4329953038862042</v>
      </c>
      <c r="Q172" s="72">
        <f>Q111/Q77</f>
        <v>1.2150486315685531</v>
      </c>
      <c r="T172" s="72">
        <f t="shared" ref="T172:Y172" si="154">T111/T77</f>
        <v>1.4063037643658385</v>
      </c>
      <c r="U172" s="72">
        <f t="shared" si="154"/>
        <v>1.4329953038862042</v>
      </c>
      <c r="V172" s="72">
        <f t="shared" si="154"/>
        <v>1.5271410325356278</v>
      </c>
      <c r="W172" s="72">
        <f t="shared" si="154"/>
        <v>1.640117501752512</v>
      </c>
      <c r="X172" s="72">
        <f t="shared" si="154"/>
        <v>1.7644102376963524</v>
      </c>
      <c r="Y172" s="72">
        <f t="shared" si="154"/>
        <v>1.2150486315685531</v>
      </c>
      <c r="Z172" s="72">
        <f t="shared" ref="Z172:AA172" si="155">Z111/Z77</f>
        <v>1.2086002717918851</v>
      </c>
      <c r="AA172" s="72">
        <f t="shared" si="155"/>
        <v>1.1751864799987111</v>
      </c>
      <c r="AC172" s="72">
        <f>AC111/AC77</f>
        <v>1.1751864799987111</v>
      </c>
    </row>
    <row r="173" spans="2:29" x14ac:dyDescent="0.2">
      <c r="B173" s="20" t="s">
        <v>292</v>
      </c>
      <c r="M173" s="156">
        <f>M56/M61</f>
        <v>-0.48379065720787046</v>
      </c>
      <c r="N173" s="156">
        <f>N56/N61</f>
        <v>-0.65216426439421682</v>
      </c>
      <c r="O173" s="156">
        <f>O56/O61</f>
        <v>-2.2117796034344308</v>
      </c>
      <c r="P173" s="156">
        <f>P56/P61</f>
        <v>2.0683425465550784</v>
      </c>
      <c r="Q173" s="156">
        <f>Q56/Q61</f>
        <v>0.85583779531555304</v>
      </c>
      <c r="T173" s="156">
        <f t="shared" ref="T173:Y173" si="156">T56/T61</f>
        <v>2.856525496974935</v>
      </c>
      <c r="U173" s="156">
        <f t="shared" si="156"/>
        <v>1.0557332677165354</v>
      </c>
      <c r="V173" s="156">
        <f t="shared" si="156"/>
        <v>1.15993265993266</v>
      </c>
      <c r="W173" s="156">
        <f t="shared" si="156"/>
        <v>1.0940343781597572</v>
      </c>
      <c r="X173" s="156">
        <f t="shared" si="156"/>
        <v>1.0318096592745847</v>
      </c>
      <c r="Y173" s="156">
        <f t="shared" si="156"/>
        <v>0.53585645535024662</v>
      </c>
      <c r="Z173" s="156">
        <f t="shared" ref="Z173:AA173" si="157">Z56/Z61</f>
        <v>0.56659142212189617</v>
      </c>
      <c r="AA173" s="156">
        <f t="shared" si="157"/>
        <v>0.64791575731121775</v>
      </c>
      <c r="AC173" s="156">
        <f>AC56/AC61</f>
        <v>0.65032447280009631</v>
      </c>
    </row>
    <row r="174" spans="2:29" x14ac:dyDescent="0.2">
      <c r="B174" s="20" t="s">
        <v>293</v>
      </c>
      <c r="M174" s="156">
        <f>M56/M5</f>
        <v>0.16950472018871376</v>
      </c>
      <c r="N174" s="156">
        <f>N56/N5</f>
        <v>0.20923071446370722</v>
      </c>
      <c r="O174" s="156">
        <f>O56/O5</f>
        <v>0.20099130224895384</v>
      </c>
      <c r="P174" s="156">
        <f>P56/P5</f>
        <v>0.15953531691491213</v>
      </c>
      <c r="Q174" s="156">
        <f>Q56/Q5</f>
        <v>0.14035219136438259</v>
      </c>
      <c r="T174" s="156">
        <f t="shared" ref="T174:Y174" si="158">T56/T5</f>
        <v>0.15472846441947566</v>
      </c>
      <c r="U174" s="156">
        <f t="shared" si="158"/>
        <v>0.15647195047455803</v>
      </c>
      <c r="V174" s="156">
        <f t="shared" si="158"/>
        <v>0.14857335081424233</v>
      </c>
      <c r="W174" s="156">
        <f t="shared" si="158"/>
        <v>0.13841627222719713</v>
      </c>
      <c r="X174" s="156">
        <f t="shared" si="158"/>
        <v>0.13262363607655422</v>
      </c>
      <c r="Y174" s="156">
        <f t="shared" si="158"/>
        <v>0.14195660557028969</v>
      </c>
      <c r="Z174" s="156">
        <f t="shared" ref="Z174:AA174" si="159">Z56/Z5</f>
        <v>0.10351701225799061</v>
      </c>
      <c r="AA174" s="156">
        <f t="shared" si="159"/>
        <v>9.1728591512305155E-2</v>
      </c>
      <c r="AC174" s="156">
        <f>AC56/AC5</f>
        <v>0.11702800156756789</v>
      </c>
    </row>
    <row r="175" spans="2:29" x14ac:dyDescent="0.2">
      <c r="B175" s="20" t="s">
        <v>298</v>
      </c>
      <c r="M175" s="72">
        <f>(M111-M112)/M77</f>
        <v>5.7861625534208603</v>
      </c>
      <c r="N175" s="72">
        <f>(N111-N112)/N77</f>
        <v>3.1634523474838345</v>
      </c>
      <c r="O175" s="72">
        <f>(O111-O112)/O77</f>
        <v>1.3489634135527693</v>
      </c>
      <c r="P175" s="72">
        <f>(P111-P112)/P77</f>
        <v>1.1574729463009596</v>
      </c>
      <c r="Q175" s="72">
        <f>(Q111-Q112)/Q77</f>
        <v>-0.43213797870414561</v>
      </c>
      <c r="T175" s="72">
        <f t="shared" ref="T175:Y175" si="160">(T111-T112)/T77</f>
        <v>1.0766980937306447</v>
      </c>
      <c r="U175" s="72">
        <f t="shared" si="160"/>
        <v>1.1574729463009596</v>
      </c>
      <c r="V175" s="72">
        <f t="shared" si="160"/>
        <v>1.2832918795375101</v>
      </c>
      <c r="W175" s="72">
        <f t="shared" si="160"/>
        <v>1.4453049370764763</v>
      </c>
      <c r="X175" s="72">
        <f t="shared" si="160"/>
        <v>1.6059681191633355</v>
      </c>
      <c r="Y175" s="72">
        <f t="shared" si="160"/>
        <v>-0.43213797870414561</v>
      </c>
      <c r="Z175" s="72">
        <f t="shared" ref="Z175:AA175" si="161">(Z111-Z112)/Z77</f>
        <v>-0.25719924933669835</v>
      </c>
      <c r="AA175" s="72">
        <f t="shared" si="161"/>
        <v>0.10470267918995989</v>
      </c>
      <c r="AC175" s="72">
        <f>(AC111-AC112)/AC77</f>
        <v>0.10470267918995989</v>
      </c>
    </row>
    <row r="176" spans="2:29" x14ac:dyDescent="0.2">
      <c r="B176" s="20" t="s">
        <v>303</v>
      </c>
      <c r="M176" s="156">
        <f>(M111-M112)/M153</f>
        <v>0.20345156657597963</v>
      </c>
      <c r="N176" s="156">
        <f>(N111-N112)/N153</f>
        <v>8.7412333448019755E-2</v>
      </c>
      <c r="O176" s="156">
        <f>(O111-O112)/O153</f>
        <v>5.267330783103355E-2</v>
      </c>
      <c r="P176" s="156">
        <f>(P111-P112)/P153</f>
        <v>3.9912860217274471E-2</v>
      </c>
      <c r="Q176" s="156">
        <f>(Q111-Q112)/Q153</f>
        <v>-3.12732926212025E-2</v>
      </c>
      <c r="T176" s="49"/>
      <c r="U176" s="49"/>
      <c r="V176" s="49"/>
      <c r="W176" s="49"/>
      <c r="X176" s="49"/>
      <c r="Y176" s="49"/>
      <c r="Z176" s="49"/>
      <c r="AA176" s="49"/>
      <c r="AC176" s="156">
        <f ca="1">(AC111-AC112)/AC153</f>
        <v>7.9625593329514469E-3</v>
      </c>
    </row>
    <row r="177" spans="1:31" x14ac:dyDescent="0.2">
      <c r="B177" s="20" t="s">
        <v>312</v>
      </c>
      <c r="M177" s="156">
        <f>-M114/M5</f>
        <v>0.14446638184521157</v>
      </c>
      <c r="N177" s="156">
        <f>-N114/N5</f>
        <v>9.3278986152148372E-2</v>
      </c>
      <c r="O177" s="156">
        <f>-O114/O5</f>
        <v>7.0438030979598595E-2</v>
      </c>
      <c r="P177" s="156">
        <f>-P114/P5</f>
        <v>5.7380309804603478E-2</v>
      </c>
      <c r="Q177" s="156">
        <f>-Q114/Q5</f>
        <v>5.0764579444891808E-2</v>
      </c>
      <c r="T177" s="156">
        <f t="shared" ref="T177:Y177" si="162">-T114/T5</f>
        <v>3.9157303370786517E-2</v>
      </c>
      <c r="U177" s="156">
        <f t="shared" si="162"/>
        <v>6.4350252094711027E-2</v>
      </c>
      <c r="V177" s="156">
        <f t="shared" si="162"/>
        <v>6.3759315484405193E-2</v>
      </c>
      <c r="W177" s="156">
        <f t="shared" si="162"/>
        <v>4.4364845848791093E-2</v>
      </c>
      <c r="X177" s="156">
        <f t="shared" si="162"/>
        <v>5.5396275335942761E-2</v>
      </c>
      <c r="Y177" s="156">
        <f t="shared" si="162"/>
        <v>4.0427491008680462E-2</v>
      </c>
      <c r="Z177" s="156">
        <f t="shared" ref="Z177:AA177" si="163">-Z114/Z5</f>
        <v>5.7662198800931763E-2</v>
      </c>
      <c r="AA177" s="156">
        <f t="shared" si="163"/>
        <v>3.4791206414435567E-2</v>
      </c>
      <c r="AC177" s="156">
        <f>-AC114/AC5</f>
        <v>4.6981742560452781E-2</v>
      </c>
    </row>
    <row r="178" spans="1:31" x14ac:dyDescent="0.2">
      <c r="B178" s="20" t="s">
        <v>313</v>
      </c>
      <c r="M178" s="156">
        <f>-(M114/M61)</f>
        <v>-0.41232766697898543</v>
      </c>
      <c r="N178" s="156">
        <f>-(N114/N61)</f>
        <v>-0.29074709008799088</v>
      </c>
      <c r="O178" s="156">
        <f>-(O114/O61)</f>
        <v>-0.77512508493421461</v>
      </c>
      <c r="P178" s="156">
        <f>-(P114/P61)</f>
        <v>0.74392390599425584</v>
      </c>
      <c r="Q178" s="156">
        <f>-(Q114/Q61)</f>
        <v>0.30955160250716879</v>
      </c>
      <c r="T178" s="156">
        <f t="shared" ref="T178:Y178" si="164">-(T114/T61)</f>
        <v>0.72290406222990489</v>
      </c>
      <c r="U178" s="156">
        <f t="shared" si="164"/>
        <v>0.43417814960629919</v>
      </c>
      <c r="V178" s="156">
        <f t="shared" si="164"/>
        <v>0.49777777777777776</v>
      </c>
      <c r="W178" s="156">
        <f t="shared" si="164"/>
        <v>0.35065722952477252</v>
      </c>
      <c r="X178" s="156">
        <f t="shared" si="164"/>
        <v>0.43098209090321327</v>
      </c>
      <c r="Y178" s="156">
        <f t="shared" si="164"/>
        <v>0.15260531162735427</v>
      </c>
      <c r="Z178" s="156">
        <f t="shared" ref="Z178:AA178" si="165">-(Z114/Z61)</f>
        <v>0.31560906278739237</v>
      </c>
      <c r="AA178" s="156">
        <f t="shared" si="165"/>
        <v>0.24574421649934527</v>
      </c>
      <c r="AC178" s="156">
        <f>-(AC114/AC61)</f>
        <v>0.26107749045185435</v>
      </c>
    </row>
    <row r="179" spans="1:31" x14ac:dyDescent="0.2">
      <c r="B179" s="20" t="s">
        <v>314</v>
      </c>
      <c r="M179" s="156">
        <f>-M114/M55</f>
        <v>1.4461083466341189</v>
      </c>
      <c r="N179" s="156">
        <f>-N114/N55</f>
        <v>1.0355279797660448</v>
      </c>
      <c r="O179" s="156">
        <f>-O114/O55</f>
        <v>0.85112083290941776</v>
      </c>
      <c r="P179" s="156">
        <f>-P114/P55</f>
        <v>0.86383848526142148</v>
      </c>
      <c r="Q179" s="156">
        <f>-Q114/Q55</f>
        <v>0.77566527835182653</v>
      </c>
      <c r="T179" s="156">
        <f t="shared" ref="T179:Y179" si="166">-T114/T55</f>
        <v>0.59009453929730493</v>
      </c>
      <c r="U179" s="156">
        <f t="shared" si="166"/>
        <v>1.0344423274219552</v>
      </c>
      <c r="V179" s="156">
        <f t="shared" si="166"/>
        <v>1.0747310264611807</v>
      </c>
      <c r="W179" s="156">
        <f t="shared" si="166"/>
        <v>0.70211904440545281</v>
      </c>
      <c r="X179" s="156">
        <f t="shared" si="166"/>
        <v>0.89141481679593471</v>
      </c>
      <c r="Y179" s="156">
        <f t="shared" si="166"/>
        <v>0.53024360033030549</v>
      </c>
      <c r="Z179" s="156">
        <f t="shared" ref="Z179:AA179" si="167">-Z114/Z55</f>
        <v>0.75848904962829011</v>
      </c>
      <c r="AA179" s="156">
        <f t="shared" si="167"/>
        <v>0.45062531265632816</v>
      </c>
      <c r="AC179" s="156">
        <f>-AC114/AC55</f>
        <v>0.64278593560555031</v>
      </c>
    </row>
    <row r="180" spans="1:31" x14ac:dyDescent="0.2">
      <c r="B180" s="20" t="s">
        <v>368</v>
      </c>
      <c r="M180" s="224">
        <f>M5/M39</f>
        <v>0.43123023159870244</v>
      </c>
      <c r="N180" s="224">
        <f>N5/N39</f>
        <v>0.75909927389564313</v>
      </c>
      <c r="O180" s="224">
        <f>O5/O39</f>
        <v>0.96212256228296145</v>
      </c>
      <c r="P180" s="224">
        <f>P5/P39</f>
        <v>1.0808362189925724</v>
      </c>
      <c r="Q180" s="224">
        <f>Q5/Q39</f>
        <v>0.72401060576387111</v>
      </c>
      <c r="T180" s="49"/>
      <c r="U180" s="49"/>
      <c r="V180" s="49"/>
      <c r="W180" s="49"/>
      <c r="X180" s="49"/>
      <c r="Y180" s="49"/>
      <c r="Z180" s="49"/>
      <c r="AA180" s="49"/>
      <c r="AC180" s="224">
        <f>AC5/AC39</f>
        <v>0.78487025041075653</v>
      </c>
    </row>
    <row r="181" spans="1:31" x14ac:dyDescent="0.2">
      <c r="B181" s="20" t="s">
        <v>365</v>
      </c>
      <c r="M181" s="226" t="str">
        <f>IF(AND(M14&gt;0,M112&gt;0),M112/M14,"N/A")</f>
        <v>N/A</v>
      </c>
      <c r="N181" s="226" t="str">
        <f>IF(AND(N14&gt;0,N112&gt;0),N112/N14,"N/A")</f>
        <v>N/A</v>
      </c>
      <c r="O181" s="226" t="str">
        <f>IF(AND(O14&gt;0,O112&gt;0),O112/O14,"N/A")</f>
        <v>N/A</v>
      </c>
      <c r="P181" s="226" t="str">
        <f>IF(AND(P14&gt;0,P112&gt;0),P112/P14,"N/A")</f>
        <v>N/A</v>
      </c>
      <c r="Q181" s="226" t="str">
        <f>IF(AND(Q14&gt;0,Q112&gt;0),Q112/Q14,"N/A")</f>
        <v>N/A</v>
      </c>
      <c r="T181" s="49"/>
      <c r="U181" s="49"/>
      <c r="V181" s="49"/>
      <c r="W181" s="49"/>
      <c r="X181" s="49"/>
      <c r="Y181" s="49"/>
      <c r="Z181" s="49"/>
      <c r="AA181" s="49"/>
      <c r="AC181" s="226">
        <f>IF(AND(AC14&gt;0,AC112&gt;0),AC112/AC14,"N/A")</f>
        <v>5.2991466624132704</v>
      </c>
    </row>
    <row r="182" spans="1:31" x14ac:dyDescent="0.2">
      <c r="B182" s="20" t="s">
        <v>366</v>
      </c>
      <c r="M182" s="226" t="str">
        <f>IF(AND(M14&gt;0,M112&gt;0),(M112-M111)/M14,"N/A")</f>
        <v>N/A</v>
      </c>
      <c r="N182" s="226" t="str">
        <f>IF(AND(N14&gt;0,N112&gt;0),(N112-N111)/N14,"N/A")</f>
        <v>N/A</v>
      </c>
      <c r="O182" s="226" t="str">
        <f>IF(AND(O14&gt;0,O112&gt;0),(O112-O111)/O14,"N/A")</f>
        <v>N/A</v>
      </c>
      <c r="P182" s="226" t="str">
        <f>IF(AND(P14&gt;0,P112&gt;0),(P112-P111)/P14,"N/A")</f>
        <v>N/A</v>
      </c>
      <c r="Q182" s="226" t="str">
        <f>IF(AND(Q14&gt;0,Q112&gt;0),(Q112-Q111)/Q14,"N/A")</f>
        <v>N/A</v>
      </c>
      <c r="T182" s="49"/>
      <c r="U182" s="49"/>
      <c r="V182" s="49"/>
      <c r="W182" s="49"/>
      <c r="X182" s="49"/>
      <c r="Y182" s="49"/>
      <c r="Z182" s="49"/>
      <c r="AA182" s="49"/>
      <c r="AC182" s="226">
        <f>IF(AND(AC14&gt;0,AC112&gt;0),(AC112-AC111)/AC14,"N/A")</f>
        <v>-0.51830289496770077</v>
      </c>
    </row>
    <row r="183" spans="1:31" x14ac:dyDescent="0.2">
      <c r="B183" s="20" t="s">
        <v>367</v>
      </c>
      <c r="M183" s="226">
        <f>M5/(M112+M116-M111)</f>
        <v>1.8270015079854685</v>
      </c>
      <c r="N183" s="226">
        <f>N5/(N112+N116-N111)</f>
        <v>2.3599337998706242</v>
      </c>
      <c r="O183" s="226">
        <f>O5/(O112+O116-O111)</f>
        <v>2.0315249308663796</v>
      </c>
      <c r="P183" s="226">
        <f>P5/(P112+P116-P111)</f>
        <v>2.1334021069107281</v>
      </c>
      <c r="Q183" s="226">
        <f>Q5/(Q112+Q116-Q111)</f>
        <v>1.322248359539433</v>
      </c>
      <c r="T183" s="49"/>
      <c r="U183" s="49"/>
      <c r="V183" s="49"/>
      <c r="W183" s="49"/>
      <c r="X183" s="49"/>
      <c r="Y183" s="49"/>
      <c r="Z183" s="49"/>
      <c r="AA183" s="49"/>
      <c r="AC183" s="226">
        <f>AC5/(AC112+AC116-AC111)</f>
        <v>1.3898733276401936</v>
      </c>
    </row>
    <row r="185" spans="1:31" x14ac:dyDescent="0.2">
      <c r="B185" s="1"/>
    </row>
    <row r="186" spans="1:31" s="15" customFormat="1" ht="17" thickBot="1" x14ac:dyDescent="0.25">
      <c r="A186" s="11"/>
      <c r="B186" s="14" t="s">
        <v>82</v>
      </c>
      <c r="R186" s="1"/>
      <c r="S186" s="1"/>
      <c r="AB186" s="1"/>
      <c r="AD186" s="1"/>
      <c r="AE186" s="1"/>
    </row>
    <row r="187" spans="1:31" x14ac:dyDescent="0.2">
      <c r="B187" s="20" t="s">
        <v>386</v>
      </c>
      <c r="C187" s="62"/>
      <c r="D187" s="62"/>
      <c r="E187" s="62"/>
      <c r="F187" s="62"/>
      <c r="G187" s="62"/>
      <c r="H187" s="62"/>
      <c r="I187" s="62"/>
      <c r="J187" s="62"/>
      <c r="K187" s="62"/>
      <c r="L187" s="62"/>
      <c r="M187" s="21">
        <v>95514</v>
      </c>
      <c r="N187" s="21">
        <v>128975</v>
      </c>
      <c r="O187" s="21">
        <v>165436</v>
      </c>
      <c r="P187" s="21">
        <v>196510</v>
      </c>
      <c r="Q187" s="21">
        <v>219461</v>
      </c>
      <c r="T187" s="21">
        <v>49363</v>
      </c>
      <c r="U187" s="21">
        <v>51793</v>
      </c>
      <c r="V187" s="21">
        <v>54355</v>
      </c>
      <c r="W187" s="21">
        <v>53702</v>
      </c>
      <c r="X187" s="21">
        <v>55480</v>
      </c>
      <c r="Y187" s="21">
        <v>55924</v>
      </c>
      <c r="Z187" s="21">
        <v>52721</v>
      </c>
      <c r="AA187" s="21">
        <v>52695</v>
      </c>
      <c r="AC187" s="62">
        <f>SUM(X187:AA187)</f>
        <v>216820</v>
      </c>
    </row>
    <row r="188" spans="1:31" x14ac:dyDescent="0.2">
      <c r="B188" s="20" t="s">
        <v>387</v>
      </c>
      <c r="C188" s="62"/>
      <c r="D188" s="62"/>
      <c r="E188" s="62"/>
      <c r="F188" s="62"/>
      <c r="G188" s="62"/>
      <c r="H188" s="62"/>
      <c r="I188" s="62"/>
      <c r="J188" s="62"/>
      <c r="K188" s="62"/>
      <c r="L188" s="62"/>
      <c r="M188" s="21">
        <v>65201</v>
      </c>
      <c r="N188" s="21">
        <v>78368</v>
      </c>
      <c r="O188" s="21">
        <v>94610</v>
      </c>
      <c r="P188" s="21">
        <v>101740</v>
      </c>
      <c r="Q188" s="21">
        <v>121459</v>
      </c>
      <c r="T188" s="21">
        <v>24704</v>
      </c>
      <c r="U188" s="21">
        <v>24676</v>
      </c>
      <c r="V188" s="21">
        <v>29925</v>
      </c>
      <c r="W188" s="21">
        <v>28392</v>
      </c>
      <c r="X188" s="21">
        <v>27422</v>
      </c>
      <c r="Y188" s="21">
        <v>35720</v>
      </c>
      <c r="Z188" s="21">
        <v>41941</v>
      </c>
      <c r="AA188" s="21">
        <v>38489</v>
      </c>
      <c r="AC188" s="62">
        <f t="shared" ref="AC188:AC189" si="168">SUM(X188:AA188)</f>
        <v>143572</v>
      </c>
    </row>
    <row r="189" spans="1:31" x14ac:dyDescent="0.2">
      <c r="B189" s="20" t="s">
        <v>388</v>
      </c>
      <c r="C189" s="62"/>
      <c r="D189" s="62"/>
      <c r="E189" s="62"/>
      <c r="F189" s="62"/>
      <c r="G189" s="62"/>
      <c r="H189" s="62"/>
      <c r="I189" s="62"/>
      <c r="J189" s="62"/>
      <c r="K189" s="62"/>
      <c r="L189" s="62"/>
      <c r="M189" s="21">
        <v>52518</v>
      </c>
      <c r="N189" s="21">
        <v>73567</v>
      </c>
      <c r="O189" s="21">
        <v>96253</v>
      </c>
      <c r="P189" s="21">
        <v>121563</v>
      </c>
      <c r="Q189" s="21">
        <v>139671</v>
      </c>
      <c r="T189" s="21">
        <v>32733</v>
      </c>
      <c r="U189" s="21">
        <v>33212</v>
      </c>
      <c r="V189" s="21">
        <v>31656</v>
      </c>
      <c r="W189" s="21">
        <v>35161</v>
      </c>
      <c r="X189" s="21">
        <v>37431</v>
      </c>
      <c r="Y189" s="21">
        <v>35423</v>
      </c>
      <c r="Z189" s="21">
        <v>36273</v>
      </c>
      <c r="AA189" s="21">
        <v>38274</v>
      </c>
      <c r="AC189" s="62">
        <f t="shared" si="168"/>
        <v>147401</v>
      </c>
    </row>
    <row r="190" spans="1:31" x14ac:dyDescent="0.2">
      <c r="C190" s="21"/>
      <c r="D190" s="21"/>
      <c r="E190" s="21"/>
      <c r="F190" s="21"/>
      <c r="G190" s="21"/>
      <c r="H190" s="21"/>
      <c r="I190" s="21"/>
      <c r="J190" s="21"/>
      <c r="K190" s="21"/>
      <c r="L190" s="21"/>
      <c r="M190" s="21"/>
    </row>
    <row r="191" spans="1:31" x14ac:dyDescent="0.2">
      <c r="B191" s="1"/>
    </row>
    <row r="192" spans="1:31" ht="17" thickBot="1" x14ac:dyDescent="0.25">
      <c r="B192" s="14" t="s">
        <v>323</v>
      </c>
      <c r="C192" s="171"/>
      <c r="D192" s="171"/>
      <c r="E192" s="171"/>
      <c r="F192" s="171"/>
      <c r="G192" s="171"/>
      <c r="H192" s="171"/>
      <c r="I192" s="171"/>
      <c r="J192" s="171"/>
      <c r="K192" s="171"/>
      <c r="L192" s="171"/>
      <c r="M192" s="171"/>
      <c r="N192" s="171"/>
      <c r="O192" s="171"/>
      <c r="P192" s="171"/>
      <c r="Q192" s="171"/>
      <c r="T192" s="171"/>
      <c r="U192" s="171"/>
      <c r="V192" s="171"/>
      <c r="W192" s="171"/>
      <c r="X192" s="171"/>
      <c r="Y192" s="171"/>
      <c r="Z192" s="171"/>
      <c r="AA192" s="171"/>
      <c r="AC192" s="171"/>
    </row>
    <row r="193" spans="1:31" x14ac:dyDescent="0.2">
      <c r="B193" s="20" t="str">
        <f>B187</f>
        <v>Subscription and related services</v>
      </c>
      <c r="C193" s="81"/>
      <c r="D193" s="81"/>
      <c r="E193" s="81"/>
      <c r="F193" s="81"/>
      <c r="G193" s="81"/>
      <c r="H193" s="81"/>
      <c r="I193" s="81"/>
      <c r="J193" s="81"/>
      <c r="K193" s="81"/>
      <c r="L193" s="81"/>
      <c r="M193" s="81">
        <f t="shared" ref="M193:Q195" si="169">IF(L187=0,
IF(M187=0,0,IF(M187&gt;0,1,-1)),
(M187-L187)/ABS(L187)
)</f>
        <v>1</v>
      </c>
      <c r="N193" s="81">
        <f t="shared" si="169"/>
        <v>0.35032560671733987</v>
      </c>
      <c r="O193" s="81">
        <f t="shared" si="169"/>
        <v>0.28269819732506302</v>
      </c>
      <c r="P193" s="81">
        <f t="shared" si="169"/>
        <v>0.18783094368819361</v>
      </c>
      <c r="Q193" s="81">
        <f t="shared" si="169"/>
        <v>0.11679303852221261</v>
      </c>
      <c r="T193" s="81">
        <f t="shared" ref="T193:T195" si="170">IF(S187=0,
IF(T187=0,0,IF(T187&gt;0,1,-1)),
(T187-S187)/ABS(S187)
)</f>
        <v>1</v>
      </c>
      <c r="U193" s="81">
        <f t="shared" ref="U193:U195" si="171">IF(T187=0,
IF(U187=0,0,IF(U187&gt;0,1,-1)),
(U187-T187)/ABS(T187)
)</f>
        <v>4.9227153941211028E-2</v>
      </c>
      <c r="V193" s="81">
        <f t="shared" ref="V193:V195" si="172">IF(U187=0,
IF(V187=0,0,IF(V187&gt;0,1,-1)),
(V187-U187)/ABS(U187)
)</f>
        <v>4.9466144073523448E-2</v>
      </c>
      <c r="W193" s="81">
        <f t="shared" ref="W193:W195" si="173">IF(V187=0,
IF(W187=0,0,IF(W187&gt;0,1,-1)),
(W187-V187)/ABS(V187)
)</f>
        <v>-1.2013614202925214E-2</v>
      </c>
      <c r="X193" s="81">
        <f t="shared" ref="X193:X195" si="174">IF(W187=0,
IF(X187=0,0,IF(X187&gt;0,1,-1)),
(X187-W187)/ABS(W187)
)</f>
        <v>3.310863654984917E-2</v>
      </c>
      <c r="Y193" s="81">
        <f t="shared" ref="Y193:Y195" si="175">IF(X187=0,
IF(Y187=0,0,IF(Y187&gt;0,1,-1)),
(Y187-X187)/ABS(X187)
)</f>
        <v>8.0028839221341023E-3</v>
      </c>
      <c r="Z193" s="81">
        <f t="shared" ref="Z193:Z195" si="176">IF(Y187=0,
IF(Z187=0,0,IF(Z187&gt;0,1,-1)),
(Z187-Y187)/ABS(Y187)
)</f>
        <v>-5.7274157785566125E-2</v>
      </c>
      <c r="AA193" s="81">
        <f t="shared" ref="AA193:AA195" si="177">IF(Z187=0,
IF(AA187=0,0,IF(AA187&gt;0,1,-1)),
(AA187-Z187)/ABS(Z187)
)</f>
        <v>-4.9316211756226169E-4</v>
      </c>
      <c r="AC193" s="49"/>
    </row>
    <row r="194" spans="1:31" x14ac:dyDescent="0.2">
      <c r="B194" s="20" t="str">
        <f t="shared" ref="B194:B195" si="178">B188</f>
        <v>Payment solutions</v>
      </c>
      <c r="M194" s="81">
        <f t="shared" si="169"/>
        <v>1</v>
      </c>
      <c r="N194" s="81">
        <f t="shared" si="169"/>
        <v>0.20194475544853607</v>
      </c>
      <c r="O194" s="81">
        <f t="shared" si="169"/>
        <v>0.20725296039199673</v>
      </c>
      <c r="P194" s="81">
        <f t="shared" si="169"/>
        <v>7.5362012472254519E-2</v>
      </c>
      <c r="Q194" s="81">
        <f t="shared" si="169"/>
        <v>0.19381757420876744</v>
      </c>
      <c r="T194" s="81">
        <f t="shared" si="170"/>
        <v>1</v>
      </c>
      <c r="U194" s="81">
        <f t="shared" si="171"/>
        <v>-1.1334196891191709E-3</v>
      </c>
      <c r="V194" s="81">
        <f t="shared" si="172"/>
        <v>0.21271680985573027</v>
      </c>
      <c r="W194" s="81">
        <f t="shared" si="173"/>
        <v>-5.1228070175438595E-2</v>
      </c>
      <c r="X194" s="81">
        <f t="shared" si="174"/>
        <v>-3.4164553395322629E-2</v>
      </c>
      <c r="Y194" s="81">
        <f t="shared" si="175"/>
        <v>0.30260374881482022</v>
      </c>
      <c r="Z194" s="81">
        <f t="shared" si="176"/>
        <v>0.17416013437849945</v>
      </c>
      <c r="AA194" s="81">
        <f t="shared" si="177"/>
        <v>-8.2306096659593236E-2</v>
      </c>
      <c r="AC194" s="49"/>
    </row>
    <row r="195" spans="1:31" x14ac:dyDescent="0.2">
      <c r="B195" s="20" t="str">
        <f t="shared" si="178"/>
        <v>Network solutions</v>
      </c>
      <c r="M195" s="81">
        <f t="shared" si="169"/>
        <v>1</v>
      </c>
      <c r="N195" s="81">
        <f t="shared" si="169"/>
        <v>0.40079591759015959</v>
      </c>
      <c r="O195" s="81">
        <f t="shared" si="169"/>
        <v>0.30837196025391822</v>
      </c>
      <c r="P195" s="81">
        <f t="shared" si="169"/>
        <v>0.26295284302826927</v>
      </c>
      <c r="Q195" s="81">
        <f t="shared" si="169"/>
        <v>0.14895979862293626</v>
      </c>
      <c r="T195" s="81">
        <f t="shared" si="170"/>
        <v>1</v>
      </c>
      <c r="U195" s="81">
        <f t="shared" si="171"/>
        <v>1.4633550239819142E-2</v>
      </c>
      <c r="V195" s="81">
        <f t="shared" si="172"/>
        <v>-4.6850535950861132E-2</v>
      </c>
      <c r="W195" s="81">
        <f t="shared" si="173"/>
        <v>0.11072150619155927</v>
      </c>
      <c r="X195" s="81">
        <f t="shared" si="174"/>
        <v>6.4560166093114532E-2</v>
      </c>
      <c r="Y195" s="81">
        <f t="shared" si="175"/>
        <v>-5.3645374155112072E-2</v>
      </c>
      <c r="Z195" s="81">
        <f t="shared" si="176"/>
        <v>2.3995709002625414E-2</v>
      </c>
      <c r="AA195" s="81">
        <f t="shared" si="177"/>
        <v>5.5164998759407821E-2</v>
      </c>
      <c r="AC195" s="49"/>
    </row>
    <row r="197" spans="1:31" x14ac:dyDescent="0.2">
      <c r="B197" s="1"/>
    </row>
    <row r="198" spans="1:31" ht="17" thickBot="1" x14ac:dyDescent="0.25">
      <c r="B198" s="14" t="s">
        <v>324</v>
      </c>
      <c r="C198" s="171"/>
      <c r="D198" s="171"/>
      <c r="E198" s="171"/>
      <c r="F198" s="171"/>
      <c r="G198" s="171"/>
      <c r="H198" s="171"/>
      <c r="I198" s="171"/>
      <c r="J198" s="171"/>
      <c r="K198" s="171"/>
      <c r="L198" s="171"/>
      <c r="M198" s="171"/>
      <c r="N198" s="171"/>
      <c r="O198" s="171"/>
      <c r="P198" s="171"/>
      <c r="Q198" s="171"/>
      <c r="T198" s="171"/>
      <c r="U198" s="171"/>
      <c r="V198" s="171"/>
      <c r="W198" s="171"/>
      <c r="X198" s="171"/>
      <c r="Y198" s="171"/>
      <c r="Z198" s="171"/>
      <c r="AA198" s="171"/>
      <c r="AC198" s="171"/>
    </row>
    <row r="199" spans="1:31" x14ac:dyDescent="0.2">
      <c r="B199" s="20" t="s">
        <v>296</v>
      </c>
      <c r="C199" s="81"/>
      <c r="D199" s="81"/>
      <c r="E199" s="81"/>
      <c r="F199" s="81"/>
      <c r="G199" s="81"/>
      <c r="H199" s="81"/>
      <c r="I199" s="81"/>
      <c r="J199" s="81"/>
      <c r="K199" s="81"/>
      <c r="L199" s="81"/>
      <c r="M199" s="81">
        <f>IF(L66=0,
IF(M66=0,0,IF(M66&gt;0,1,-1)),
(M66-L66)/L66
)</f>
        <v>0</v>
      </c>
      <c r="N199" s="81">
        <f>IF(M66=0,
IF(N66=0,0,IF(N66&gt;0,1,-1)),
(N66-M66)/M66
)</f>
        <v>0</v>
      </c>
      <c r="O199" s="81">
        <f>IF(N66=0,
IF(O66=0,0,IF(O66&gt;0,1,-1)),
(O66-N66)/N66
)</f>
        <v>0</v>
      </c>
      <c r="P199" s="81">
        <f>IF(O66=0,
IF(P66=0,0,IF(P66&gt;0,1,-1)),
(P66-O66)/O66
)</f>
        <v>0</v>
      </c>
      <c r="Q199" s="81">
        <f>IF(P66=0,
IF(Q66=0,0,IF(Q66&gt;0,1,-1)),
(Q66-P66)/P66
)</f>
        <v>0</v>
      </c>
      <c r="T199" s="49"/>
      <c r="U199" s="49"/>
      <c r="V199" s="49"/>
      <c r="W199" s="49"/>
      <c r="X199" s="49"/>
      <c r="Y199" s="49"/>
      <c r="Z199" s="49"/>
      <c r="AA199" s="49"/>
      <c r="AC199" s="49"/>
    </row>
    <row r="201" spans="1:31" x14ac:dyDescent="0.2">
      <c r="B201" s="1"/>
    </row>
    <row r="202" spans="1:31" ht="17" thickBot="1" x14ac:dyDescent="0.25">
      <c r="B202" s="14" t="s">
        <v>360</v>
      </c>
      <c r="C202" s="171"/>
      <c r="D202" s="171"/>
      <c r="E202" s="171"/>
      <c r="F202" s="171"/>
      <c r="G202" s="171"/>
      <c r="H202" s="171"/>
      <c r="I202" s="171"/>
      <c r="J202" s="171"/>
      <c r="K202" s="171"/>
      <c r="L202" s="171"/>
      <c r="M202" s="171"/>
      <c r="N202" s="171"/>
      <c r="O202" s="171"/>
      <c r="P202" s="171"/>
      <c r="Q202" s="171"/>
      <c r="T202" s="171"/>
      <c r="U202" s="171"/>
      <c r="V202" s="171"/>
      <c r="W202" s="171"/>
      <c r="X202" s="171"/>
      <c r="Y202" s="171"/>
      <c r="Z202" s="171"/>
      <c r="AA202" s="171"/>
      <c r="AC202" s="171"/>
    </row>
    <row r="203" spans="1:31" x14ac:dyDescent="0.2">
      <c r="B203" s="20" t="s">
        <v>361</v>
      </c>
      <c r="M203" s="145">
        <v>100</v>
      </c>
      <c r="N203" s="145">
        <f>100*(1+((N121-$M121)/ABS($M121)))</f>
        <v>127.2503516174402</v>
      </c>
      <c r="O203" s="145">
        <f t="shared" ref="O203:Q203" si="179">100*(1+((O121-$M121)/ABS($M121)))</f>
        <v>90.049226441631504</v>
      </c>
      <c r="P203" s="145">
        <f t="shared" si="179"/>
        <v>101.96905766526018</v>
      </c>
      <c r="Q203" s="145">
        <f t="shared" si="179"/>
        <v>47.222222222222221</v>
      </c>
      <c r="T203" s="49"/>
      <c r="U203" s="49"/>
      <c r="V203" s="49"/>
      <c r="W203" s="49"/>
      <c r="X203" s="49"/>
      <c r="Y203" s="49"/>
      <c r="Z203" s="49"/>
      <c r="AA203" s="49"/>
      <c r="AC203" s="49"/>
    </row>
    <row r="204" spans="1:31" x14ac:dyDescent="0.2">
      <c r="B204" s="20" t="s">
        <v>362</v>
      </c>
      <c r="M204" s="145">
        <v>100</v>
      </c>
      <c r="N204" s="145">
        <f>100*(1+((N5-$M5)/ABS($M5)))</f>
        <v>131.73852077305108</v>
      </c>
      <c r="O204" s="145">
        <f t="shared" ref="O204:Q204" si="180">100*(1+((O5-$M5)/ABS($M5)))</f>
        <v>167.09374252578164</v>
      </c>
      <c r="P204" s="145">
        <f t="shared" si="180"/>
        <v>196.87993884623862</v>
      </c>
      <c r="Q204" s="145">
        <f t="shared" si="180"/>
        <v>225.38303170709978</v>
      </c>
      <c r="T204" s="49"/>
      <c r="U204" s="49"/>
      <c r="V204" s="49"/>
      <c r="W204" s="49"/>
      <c r="X204" s="49"/>
      <c r="Y204" s="49"/>
      <c r="Z204" s="49"/>
      <c r="AA204" s="49"/>
      <c r="AC204" s="49"/>
    </row>
    <row r="205" spans="1:31" x14ac:dyDescent="0.2">
      <c r="B205" s="20" t="s">
        <v>363</v>
      </c>
      <c r="M205" s="145">
        <v>100</v>
      </c>
      <c r="N205" s="145">
        <f>100*(1+((N28-$M28)/ABS($M28)))</f>
        <v>58.227848101265835</v>
      </c>
      <c r="O205" s="145">
        <f t="shared" ref="O205:Q205" si="181">100*(1+((O28-$M28)/ABS($M28)))</f>
        <v>94.09282700421943</v>
      </c>
      <c r="P205" s="145">
        <f t="shared" si="181"/>
        <v>156.96202531645568</v>
      </c>
      <c r="Q205" s="145">
        <f t="shared" si="181"/>
        <v>193.24894514767931</v>
      </c>
      <c r="T205" s="49"/>
      <c r="U205" s="49"/>
      <c r="V205" s="49"/>
      <c r="W205" s="49"/>
      <c r="X205" s="49"/>
      <c r="Y205" s="49"/>
      <c r="Z205" s="49"/>
      <c r="AA205" s="49"/>
      <c r="AC205" s="49"/>
    </row>
    <row r="207" spans="1:31" x14ac:dyDescent="0.2">
      <c r="B207" s="1"/>
    </row>
    <row r="208" spans="1:31" s="15" customFormat="1" ht="17" thickBot="1" x14ac:dyDescent="0.25">
      <c r="A208" s="11"/>
      <c r="B208" s="14" t="s">
        <v>120</v>
      </c>
      <c r="R208" s="1"/>
      <c r="S208" s="1"/>
      <c r="AB208" s="1"/>
      <c r="AD208" s="1"/>
      <c r="AE208" s="1"/>
    </row>
    <row r="209" spans="2:29" x14ac:dyDescent="0.2">
      <c r="B209" s="20" t="s">
        <v>389</v>
      </c>
      <c r="C209" s="62"/>
      <c r="D209" s="62"/>
      <c r="E209" s="62"/>
      <c r="F209" s="62"/>
      <c r="G209" s="62"/>
      <c r="H209" s="62"/>
      <c r="I209" s="62"/>
      <c r="J209" s="62"/>
      <c r="K209" s="62"/>
      <c r="L209" s="62"/>
      <c r="M209" s="21">
        <v>2074</v>
      </c>
      <c r="N209" s="21">
        <v>2856</v>
      </c>
      <c r="O209" s="21">
        <v>3601</v>
      </c>
      <c r="P209" s="21">
        <v>4203</v>
      </c>
      <c r="Q209" s="21">
        <v>4514</v>
      </c>
      <c r="T209" s="21">
        <v>4237</v>
      </c>
      <c r="U209" s="21">
        <v>4341</v>
      </c>
      <c r="V209" s="21">
        <v>4411</v>
      </c>
      <c r="W209" s="21">
        <v>4467</v>
      </c>
      <c r="X209" s="21">
        <v>4520</v>
      </c>
      <c r="Y209" s="21">
        <v>4658</v>
      </c>
      <c r="Z209" s="21">
        <v>4708</v>
      </c>
      <c r="AA209" s="21">
        <v>4744</v>
      </c>
      <c r="AC209" s="62">
        <f>AA209</f>
        <v>4744</v>
      </c>
    </row>
    <row r="210" spans="2:29" x14ac:dyDescent="0.2">
      <c r="B210" s="20" t="s">
        <v>390</v>
      </c>
      <c r="C210" s="62"/>
      <c r="D210" s="62"/>
      <c r="E210" s="62"/>
      <c r="F210" s="62"/>
      <c r="G210" s="62"/>
      <c r="H210" s="62"/>
      <c r="I210" s="62"/>
      <c r="J210" s="62"/>
      <c r="K210" s="62"/>
      <c r="L210" s="62"/>
      <c r="M210" s="230">
        <f>M187/M209</f>
        <v>46.053037608486015</v>
      </c>
      <c r="N210" s="230">
        <f t="shared" ref="N210:Q210" si="182">N187/N209</f>
        <v>45.159313725490193</v>
      </c>
      <c r="O210" s="230">
        <f t="shared" si="182"/>
        <v>45.94168286587059</v>
      </c>
      <c r="P210" s="230">
        <f t="shared" si="182"/>
        <v>46.754699024506309</v>
      </c>
      <c r="Q210" s="230">
        <f t="shared" si="182"/>
        <v>48.61785556047851</v>
      </c>
      <c r="T210" s="230">
        <f t="shared" ref="T210" si="183">T187/T209</f>
        <v>11.650460231295728</v>
      </c>
      <c r="U210" s="230">
        <f t="shared" ref="U210" si="184">U187/U209</f>
        <v>11.931121861322277</v>
      </c>
      <c r="V210" s="230">
        <f t="shared" ref="V210" si="185">V187/V209</f>
        <v>12.322602584447971</v>
      </c>
      <c r="W210" s="230">
        <f t="shared" ref="W210" si="186">W187/W209</f>
        <v>12.021938661293934</v>
      </c>
      <c r="X210" s="230">
        <f t="shared" ref="X210:Z210" si="187">X187/X209</f>
        <v>12.274336283185841</v>
      </c>
      <c r="Y210" s="230">
        <f t="shared" si="187"/>
        <v>12.006011163589523</v>
      </c>
      <c r="Z210" s="230">
        <f t="shared" si="187"/>
        <v>11.198173322005097</v>
      </c>
      <c r="AA210" s="230">
        <f t="shared" ref="AA210" si="188">AA187/AA209</f>
        <v>11.107715008431704</v>
      </c>
      <c r="AC210" s="231">
        <f>SUM(X210:AA210)</f>
        <v>46.586235777212167</v>
      </c>
    </row>
    <row r="211" spans="2:29" x14ac:dyDescent="0.2">
      <c r="B211" s="20" t="s">
        <v>391</v>
      </c>
      <c r="C211" s="57"/>
      <c r="D211" s="57"/>
      <c r="E211" s="57"/>
      <c r="F211" s="57"/>
      <c r="G211" s="57"/>
      <c r="H211" s="57"/>
      <c r="I211" s="57"/>
      <c r="J211" s="57"/>
      <c r="K211" s="57"/>
      <c r="L211" s="82"/>
      <c r="M211" s="21">
        <v>2768000</v>
      </c>
      <c r="N211" s="21">
        <v>3284000</v>
      </c>
      <c r="O211" s="21">
        <v>3947000</v>
      </c>
      <c r="P211" s="21">
        <v>4420000</v>
      </c>
      <c r="Q211" s="21">
        <v>4873000</v>
      </c>
      <c r="T211" s="21">
        <v>1081000</v>
      </c>
      <c r="U211" s="21">
        <v>1080000</v>
      </c>
      <c r="V211" s="21">
        <v>1314000</v>
      </c>
      <c r="W211" s="21">
        <v>1250000</v>
      </c>
      <c r="X211" s="21">
        <v>1181000</v>
      </c>
      <c r="Y211" s="21">
        <v>1128000</v>
      </c>
      <c r="Z211" s="21">
        <v>1786000</v>
      </c>
      <c r="AA211" s="21">
        <v>1626000</v>
      </c>
      <c r="AC211" s="21">
        <f>SUM(X211:AA211)</f>
        <v>5721000</v>
      </c>
    </row>
    <row r="212" spans="2:29" x14ac:dyDescent="0.2">
      <c r="B212" s="20" t="s">
        <v>392</v>
      </c>
      <c r="M212" s="232">
        <v>0.79</v>
      </c>
      <c r="N212" s="232">
        <v>0.8</v>
      </c>
      <c r="O212" s="232">
        <v>0.82</v>
      </c>
      <c r="P212" s="232">
        <v>0.81</v>
      </c>
      <c r="Q212" s="232">
        <v>0.83</v>
      </c>
      <c r="T212" s="232">
        <v>0.81</v>
      </c>
      <c r="U212" s="232">
        <v>0.82</v>
      </c>
      <c r="V212" s="232">
        <v>0.82</v>
      </c>
      <c r="W212" s="232">
        <v>0.82</v>
      </c>
      <c r="X212" s="232">
        <v>0.85</v>
      </c>
      <c r="Y212" s="232">
        <v>0.84</v>
      </c>
      <c r="Z212" s="49"/>
      <c r="AA212" s="49"/>
      <c r="AC212" s="49"/>
    </row>
    <row r="213" spans="2:29" x14ac:dyDescent="0.2">
      <c r="B213" s="20" t="s">
        <v>393</v>
      </c>
      <c r="M213" s="233">
        <v>2.98E-2</v>
      </c>
      <c r="N213" s="233">
        <v>2.98E-2</v>
      </c>
      <c r="O213" s="233">
        <v>2.92E-2</v>
      </c>
      <c r="P213" s="233">
        <v>2.8299999999999999E-2</v>
      </c>
      <c r="Q213" s="81">
        <f>Q188/(Q211*Q212)</f>
        <v>3.0029990678906885E-2</v>
      </c>
      <c r="T213" s="233">
        <v>2.8000000000000001E-2</v>
      </c>
      <c r="U213" s="233">
        <v>2.8000000000000001E-2</v>
      </c>
      <c r="V213" s="233">
        <v>2.8000000000000001E-2</v>
      </c>
      <c r="W213" s="233">
        <v>2.8000000000000001E-2</v>
      </c>
      <c r="X213" s="233">
        <v>2.7E-2</v>
      </c>
      <c r="Y213" s="81">
        <f>Y188/(Y211*Y212)</f>
        <v>3.7698412698412696E-2</v>
      </c>
      <c r="Z213" s="233">
        <v>2.3E-2</v>
      </c>
      <c r="AA213" s="233">
        <v>2.4E-2</v>
      </c>
      <c r="AC213" s="81">
        <f>AC188/AC211</f>
        <v>2.5095612655130221E-2</v>
      </c>
    </row>
    <row r="214" spans="2:29" x14ac:dyDescent="0.2">
      <c r="B214" s="20" t="s">
        <v>394</v>
      </c>
      <c r="M214" s="62"/>
      <c r="N214" s="21">
        <v>120000</v>
      </c>
      <c r="O214" s="21">
        <v>150000</v>
      </c>
      <c r="P214" s="21">
        <v>170000</v>
      </c>
      <c r="Q214" s="21">
        <v>180000</v>
      </c>
      <c r="T214" s="49"/>
      <c r="U214" s="49"/>
      <c r="V214" s="49"/>
      <c r="W214" s="49"/>
      <c r="X214" s="49"/>
      <c r="Y214" s="49"/>
      <c r="Z214" s="49"/>
      <c r="AA214" s="49"/>
      <c r="AC214" s="49"/>
    </row>
    <row r="215" spans="2:29" x14ac:dyDescent="0.2">
      <c r="B215" s="20" t="s">
        <v>395</v>
      </c>
      <c r="M215" s="62"/>
      <c r="N215" s="57">
        <f>N214/N209</f>
        <v>42.016806722689076</v>
      </c>
      <c r="O215" s="57">
        <f t="shared" ref="O215:Q215" si="189">O214/O209</f>
        <v>41.655095806720354</v>
      </c>
      <c r="P215" s="57">
        <f t="shared" si="189"/>
        <v>40.447299547941945</v>
      </c>
      <c r="Q215" s="57">
        <f t="shared" si="189"/>
        <v>39.875941515285774</v>
      </c>
      <c r="T215" s="49"/>
      <c r="U215" s="49"/>
      <c r="V215" s="49"/>
      <c r="W215" s="49"/>
      <c r="X215" s="49"/>
      <c r="Y215" s="49"/>
      <c r="Z215" s="49"/>
      <c r="AA215" s="49"/>
      <c r="AC215" s="49"/>
    </row>
    <row r="216" spans="2:29" x14ac:dyDescent="0.2">
      <c r="B216" s="20" t="s">
        <v>396</v>
      </c>
      <c r="M216" s="62"/>
      <c r="N216" s="234">
        <f>N189/N214</f>
        <v>0.61305833333333337</v>
      </c>
      <c r="O216" s="234">
        <f t="shared" ref="O216:Q216" si="190">O189/O214</f>
        <v>0.64168666666666663</v>
      </c>
      <c r="P216" s="234">
        <f t="shared" si="190"/>
        <v>0.71507647058823531</v>
      </c>
      <c r="Q216" s="234">
        <f t="shared" si="190"/>
        <v>0.77595000000000003</v>
      </c>
      <c r="T216" s="49"/>
      <c r="U216" s="49"/>
      <c r="V216" s="49"/>
      <c r="W216" s="49"/>
      <c r="X216" s="49"/>
      <c r="Y216" s="49"/>
      <c r="Z216" s="49"/>
      <c r="AA216" s="49"/>
      <c r="AC216" s="49"/>
    </row>
    <row r="217" spans="2:29" x14ac:dyDescent="0.2">
      <c r="B217" s="20" t="s">
        <v>397</v>
      </c>
      <c r="C217" s="230"/>
      <c r="D217" s="230"/>
      <c r="E217" s="230"/>
      <c r="F217" s="230"/>
      <c r="G217" s="230"/>
      <c r="H217" s="230"/>
      <c r="I217" s="230"/>
      <c r="J217" s="230"/>
      <c r="K217" s="230"/>
      <c r="L217" s="230"/>
      <c r="M217" s="230">
        <f t="shared" ref="M217:O217" si="191">M189/M209</f>
        <v>25.32208293153327</v>
      </c>
      <c r="N217" s="230">
        <f t="shared" si="191"/>
        <v>25.758753501400559</v>
      </c>
      <c r="O217" s="230">
        <f t="shared" si="191"/>
        <v>26.729519577895029</v>
      </c>
      <c r="P217" s="230">
        <f>P189/P209</f>
        <v>28.922912205567453</v>
      </c>
      <c r="Q217" s="230">
        <f>Q189/Q209</f>
        <v>30.941736818785998</v>
      </c>
      <c r="T217" s="230">
        <f t="shared" ref="T217:Y217" si="192">T189/T209</f>
        <v>7.7255133349067737</v>
      </c>
      <c r="U217" s="230">
        <f t="shared" si="192"/>
        <v>7.6507717115871916</v>
      </c>
      <c r="V217" s="230">
        <f t="shared" si="192"/>
        <v>7.1766039446837455</v>
      </c>
      <c r="W217" s="230">
        <f t="shared" si="192"/>
        <v>7.8712782628162081</v>
      </c>
      <c r="X217" s="230">
        <f t="shared" si="192"/>
        <v>8.2811946902654867</v>
      </c>
      <c r="Y217" s="230">
        <f t="shared" si="192"/>
        <v>7.6047659939888366</v>
      </c>
      <c r="Z217" s="230">
        <f t="shared" ref="Z217:AA217" si="193">Z189/Z209</f>
        <v>7.7045454545454541</v>
      </c>
      <c r="AA217" s="230">
        <f t="shared" si="193"/>
        <v>8.0678752107925806</v>
      </c>
      <c r="AC217" s="109">
        <f>SUM(X217:AA217)</f>
        <v>31.658381349592361</v>
      </c>
    </row>
    <row r="218" spans="2:29" x14ac:dyDescent="0.2">
      <c r="B218" s="20" t="s">
        <v>415</v>
      </c>
      <c r="C218" s="230"/>
      <c r="D218" s="230"/>
      <c r="E218" s="230"/>
      <c r="F218" s="230"/>
      <c r="G218" s="230"/>
      <c r="H218" s="230"/>
      <c r="I218" s="230"/>
      <c r="J218" s="230"/>
      <c r="K218" s="230"/>
      <c r="L218" s="230"/>
      <c r="M218" s="230">
        <f>M5/M209</f>
        <v>102.81243972999036</v>
      </c>
      <c r="N218" s="230">
        <f t="shared" ref="N218:Q218" si="194">N5/N209</f>
        <v>98.357843137254903</v>
      </c>
      <c r="O218" s="230">
        <f t="shared" si="194"/>
        <v>98.94445987225771</v>
      </c>
      <c r="P218" s="230">
        <f t="shared" si="194"/>
        <v>99.884130383059713</v>
      </c>
      <c r="Q218" s="230">
        <f t="shared" si="194"/>
        <v>106.46677004873726</v>
      </c>
      <c r="T218" s="230">
        <f t="shared" ref="T218:Z218" si="195">T5/T209</f>
        <v>25.206514042954922</v>
      </c>
      <c r="U218" s="230">
        <f t="shared" si="195"/>
        <v>25.266298087998155</v>
      </c>
      <c r="V218" s="230">
        <f t="shared" si="195"/>
        <v>26.283382452958513</v>
      </c>
      <c r="W218" s="230">
        <f t="shared" si="195"/>
        <v>26.24916051040967</v>
      </c>
      <c r="X218" s="230">
        <f t="shared" si="195"/>
        <v>26.622345132743362</v>
      </c>
      <c r="Y218" s="230">
        <f t="shared" si="195"/>
        <v>27.279304422498928</v>
      </c>
      <c r="Z218" s="230">
        <f t="shared" si="195"/>
        <v>27.811172472387426</v>
      </c>
      <c r="AA218" s="230">
        <f t="shared" ref="AA218:AC218" si="196">AA5/AA209</f>
        <v>27.288785834738619</v>
      </c>
      <c r="AC218" s="230">
        <f t="shared" si="196"/>
        <v>107.03899662731872</v>
      </c>
    </row>
    <row r="219" spans="2:29" x14ac:dyDescent="0.2">
      <c r="M219" s="62"/>
      <c r="N219" s="62"/>
      <c r="O219" s="62"/>
      <c r="P219" s="62"/>
      <c r="Q219" s="62"/>
      <c r="T219" s="62"/>
      <c r="U219" s="62"/>
      <c r="V219" s="62"/>
      <c r="W219" s="62"/>
      <c r="X219" s="62"/>
      <c r="Y219" s="62"/>
      <c r="Z219" s="62"/>
      <c r="AA219" s="62"/>
      <c r="AC219" s="62"/>
    </row>
    <row r="220" spans="2:29" x14ac:dyDescent="0.2">
      <c r="B220" s="1"/>
    </row>
  </sheetData>
  <pageMargins left="0.7" right="0.7" top="0.75" bottom="0.75" header="0.3" footer="0.3"/>
  <ignoredErrors>
    <ignoredError sqref="AC25 AC83 AC55:AC64 AC13:AC21 AC66:AC68 AC5:AC9 AC10:AC12 AC211" formulaRange="1"/>
    <ignoredError sqref="AC22:AC23 AC26:AC27" formula="1" formulaRange="1"/>
    <ignoredError sqref="M128:Q128 AC210" formula="1"/>
  </ignoredErrors>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210FB-34E3-D04A-8896-321D81878D88}">
  <sheetPr>
    <tabColor theme="6" tint="0.59999389629810485"/>
  </sheetPr>
  <dimension ref="B5:H13"/>
  <sheetViews>
    <sheetView workbookViewId="0">
      <selection activeCell="H5" sqref="H5:H10"/>
    </sheetView>
  </sheetViews>
  <sheetFormatPr baseColWidth="10" defaultRowHeight="16" x14ac:dyDescent="0.2"/>
  <cols>
    <col min="1" max="7" width="10.83203125" style="1"/>
    <col min="8" max="8" width="17.1640625" style="1" customWidth="1"/>
    <col min="9" max="16384" width="10.83203125" style="1"/>
  </cols>
  <sheetData>
    <row r="5" spans="2:8" x14ac:dyDescent="0.2">
      <c r="H5" s="136" t="s">
        <v>443</v>
      </c>
    </row>
    <row r="6" spans="2:8" x14ac:dyDescent="0.2">
      <c r="H6" s="260" t="s">
        <v>448</v>
      </c>
    </row>
    <row r="7" spans="2:8" x14ac:dyDescent="0.2">
      <c r="H7" s="260" t="s">
        <v>444</v>
      </c>
    </row>
    <row r="8" spans="2:8" x14ac:dyDescent="0.2">
      <c r="H8" s="260" t="s">
        <v>445</v>
      </c>
    </row>
    <row r="9" spans="2:8" x14ac:dyDescent="0.2">
      <c r="H9" s="260" t="s">
        <v>446</v>
      </c>
    </row>
    <row r="10" spans="2:8" x14ac:dyDescent="0.2">
      <c r="H10" s="261" t="s">
        <v>447</v>
      </c>
    </row>
    <row r="13" spans="2:8" s="4" customFormat="1" ht="49" x14ac:dyDescent="0.2">
      <c r="B13" s="3" t="s">
        <v>244</v>
      </c>
    </row>
  </sheetData>
  <hyperlinks>
    <hyperlink ref="H6" location="Overview!B3" display="Overview'!B3" xr:uid="{CDB7A626-333F-8342-BD4B-A3B9160B7157}"/>
    <hyperlink ref="H8" location="'Analysis -&gt;'!B13" display="'Analysis -&gt;'!B13" xr:uid="{3AF10922-796E-8E40-8D44-E5A7B05EBBF9}"/>
    <hyperlink ref="H9" location="'Forecast -&gt;'!B13" display="'Forecast -&gt;'!B13" xr:uid="{966D1CAF-4424-8C4F-BF25-B68FCF9B9AB5}"/>
    <hyperlink ref="H10" location="'Valuation -&gt;'!B13" display="'Valuation -&gt;'!B13" xr:uid="{06FDE9BB-1407-9A49-A17E-63D96A84C01F}"/>
    <hyperlink ref="H7" location="'Financials -&gt;'!B13" display="'Financials -&gt;'!B13" xr:uid="{980564A1-B3B5-C042-B75F-FABE4DFE62B9}"/>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0C07F-23F5-F443-9A67-3073516055F8}">
  <dimension ref="B1:G54"/>
  <sheetViews>
    <sheetView topLeftCell="B44" zoomScale="173" workbookViewId="0">
      <selection activeCell="F47" sqref="F47"/>
    </sheetView>
  </sheetViews>
  <sheetFormatPr baseColWidth="10" defaultRowHeight="16" x14ac:dyDescent="0.2"/>
  <cols>
    <col min="1" max="1" width="3.1640625" style="1" customWidth="1"/>
    <col min="2" max="2" width="32.5" style="1" customWidth="1"/>
    <col min="3" max="3" width="10.83203125" style="1"/>
    <col min="4" max="4" width="5" style="1" customWidth="1"/>
    <col min="5" max="5" width="22.83203125" style="1" customWidth="1"/>
    <col min="6" max="16384" width="10.83203125" style="1"/>
  </cols>
  <sheetData>
    <row r="1" spans="2:7" x14ac:dyDescent="0.2">
      <c r="B1" s="83" t="s">
        <v>286</v>
      </c>
    </row>
    <row r="4" spans="2:7" x14ac:dyDescent="0.2">
      <c r="B4" s="268" t="s">
        <v>245</v>
      </c>
      <c r="C4" s="268"/>
      <c r="E4" s="268" t="s">
        <v>252</v>
      </c>
      <c r="F4" s="268"/>
      <c r="G4" s="268"/>
    </row>
    <row r="5" spans="2:7" x14ac:dyDescent="0.2">
      <c r="B5" s="20" t="s">
        <v>1</v>
      </c>
      <c r="C5" s="172">
        <f ca="1">Overview!C5</f>
        <v>12.61</v>
      </c>
      <c r="E5" s="12"/>
      <c r="F5" s="136" t="s">
        <v>253</v>
      </c>
      <c r="G5" s="136" t="s">
        <v>254</v>
      </c>
    </row>
    <row r="6" spans="2:7" x14ac:dyDescent="0.2">
      <c r="B6" s="20" t="s">
        <v>251</v>
      </c>
      <c r="C6" s="173">
        <f ca="1">Statement!AC153</f>
        <v>816194.86</v>
      </c>
      <c r="E6" s="20" t="s">
        <v>20</v>
      </c>
      <c r="F6" s="178">
        <f>IF(Statement!M5&lt;=0,"N/A",_xlfn.RRI(4,Statement!M5,Statement!Q5))</f>
        <v>0.22526577910120138</v>
      </c>
      <c r="G6" s="178" t="str">
        <f>IF(Statement!H5&lt;=0,"N/A",_xlfn.RRI(9,Statement!H5,Statement!Q5))</f>
        <v>N/A</v>
      </c>
    </row>
    <row r="7" spans="2:7" x14ac:dyDescent="0.2">
      <c r="B7" s="20" t="s">
        <v>200</v>
      </c>
      <c r="C7" s="173">
        <f ca="1">Statement!AC154</f>
        <v>809695.86</v>
      </c>
      <c r="E7" s="20" t="s">
        <v>32</v>
      </c>
      <c r="F7" s="178" t="str">
        <f>IF(OR(Statement!M20&lt;=0, Statement!Q20&lt;=0), "N/A", _xlfn.RRI(4, Statement!M20, Statement!Q20))</f>
        <v>N/A</v>
      </c>
      <c r="G7" s="178" t="str">
        <f>IF(OR(Statement!H20&lt;=0, Statement!Q20&lt;=0), "N/A", _xlfn.RRI(9, Statement!H20, Statement!Q20))</f>
        <v>N/A</v>
      </c>
    </row>
    <row r="8" spans="2:7" x14ac:dyDescent="0.2">
      <c r="B8" s="20" t="s">
        <v>249</v>
      </c>
      <c r="C8" s="174">
        <f ca="1">Statement!AC150</f>
        <v>-705.97402703809905</v>
      </c>
      <c r="E8" s="20" t="s">
        <v>255</v>
      </c>
      <c r="F8" s="178" t="str">
        <f>IF(OR(Statement!M28&lt;=0, Statement!Q28&lt;=0), "N/A", _xlfn.RRI(4, Statement!M28, Statement!Q28))</f>
        <v>N/A</v>
      </c>
      <c r="G8" s="178" t="str">
        <f>IF(OR(Statement!H28&lt;=0, Statement!Q28&lt;=0), "N/A", _xlfn.RRI(9, Statement!H28, Statement!Q28))</f>
        <v>N/A</v>
      </c>
    </row>
    <row r="9" spans="2:7" x14ac:dyDescent="0.2">
      <c r="B9" s="20" t="s">
        <v>213</v>
      </c>
      <c r="C9" s="174">
        <f ca="1">Statement!AC151</f>
        <v>1.5369177056398964</v>
      </c>
      <c r="E9" s="20" t="s">
        <v>256</v>
      </c>
      <c r="F9" s="178" t="str">
        <f>IF(Statement!M84&lt;=0,"N/A",_xlfn.RRI(4,Statement!M84,Statement!Q84))</f>
        <v>N/A</v>
      </c>
      <c r="G9" s="178" t="str">
        <f>IF(Statement!H84&lt;=0,"N/A",_xlfn.RRI(9,Statement!H84,Statement!Q84))</f>
        <v>N/A</v>
      </c>
    </row>
    <row r="10" spans="2:7" x14ac:dyDescent="0.2">
      <c r="B10" s="20" t="s">
        <v>250</v>
      </c>
      <c r="C10" s="174">
        <f ca="1">Statement!AC152</f>
        <v>2.1049165122589422</v>
      </c>
      <c r="E10" s="20" t="s">
        <v>1</v>
      </c>
      <c r="F10" s="178">
        <f>IF(Statement!M121&lt;=0,"N/A",_xlfn.RRI(4,Statement!M121,Statement!Q121))</f>
        <v>-0.17103421606421132</v>
      </c>
      <c r="G10" s="178" t="str">
        <f>IF(Statement!H121&lt;=0,"N/A",_xlfn.RRI(9,Statement!H121,Statement!Q121))</f>
        <v>N/A</v>
      </c>
    </row>
    <row r="11" spans="2:7" x14ac:dyDescent="0.2">
      <c r="B11" s="20" t="s">
        <v>272</v>
      </c>
      <c r="C11" s="174">
        <f ca="1">Statement!AC155</f>
        <v>1.5945392315372602</v>
      </c>
    </row>
    <row r="12" spans="2:7" x14ac:dyDescent="0.2">
      <c r="B12" s="20" t="s">
        <v>216</v>
      </c>
      <c r="C12" s="174">
        <f ca="1">Statement!AC156</f>
        <v>64.574197304410234</v>
      </c>
    </row>
    <row r="15" spans="2:7" x14ac:dyDescent="0.2">
      <c r="B15" s="268" t="s">
        <v>78</v>
      </c>
      <c r="C15" s="268"/>
      <c r="E15" s="268" t="s">
        <v>258</v>
      </c>
      <c r="F15" s="268"/>
    </row>
    <row r="16" spans="2:7" x14ac:dyDescent="0.2">
      <c r="B16" s="20" t="s">
        <v>79</v>
      </c>
      <c r="C16" s="175">
        <f>Statement!AC105</f>
        <v>0.67519048116063041</v>
      </c>
      <c r="E16" s="20" t="s">
        <v>32</v>
      </c>
      <c r="F16" s="173">
        <f>Statement!AC20</f>
        <v>-1171</v>
      </c>
    </row>
    <row r="17" spans="2:6" x14ac:dyDescent="0.2">
      <c r="B17" s="20" t="s">
        <v>80</v>
      </c>
      <c r="C17" s="175">
        <f>Statement!AC106</f>
        <v>2.4693132831685352E-2</v>
      </c>
      <c r="E17" s="20" t="s">
        <v>259</v>
      </c>
      <c r="F17" s="173">
        <f>Statement!AC61</f>
        <v>91379</v>
      </c>
    </row>
    <row r="18" spans="2:6" x14ac:dyDescent="0.2">
      <c r="B18" s="20" t="s">
        <v>81</v>
      </c>
      <c r="C18" s="175">
        <f>Statement!AC107</f>
        <v>-2.3060577833881129E-3</v>
      </c>
      <c r="E18" s="20" t="s">
        <v>266</v>
      </c>
      <c r="F18" s="177" t="str">
        <f>IF(OR(F16&lt;=0, F17&lt;=0),"N/A",F16-F17)</f>
        <v>N/A</v>
      </c>
    </row>
    <row r="21" spans="2:6" x14ac:dyDescent="0.2">
      <c r="B21" s="268" t="s">
        <v>257</v>
      </c>
      <c r="C21" s="268"/>
      <c r="E21" s="268" t="s">
        <v>261</v>
      </c>
      <c r="F21" s="268"/>
    </row>
    <row r="22" spans="2:6" x14ac:dyDescent="0.2">
      <c r="B22" s="20" t="s">
        <v>110</v>
      </c>
      <c r="C22" s="175">
        <f>Statement!AC125</f>
        <v>-2.3060577833881129E-3</v>
      </c>
      <c r="E22" s="20" t="s">
        <v>112</v>
      </c>
      <c r="F22" s="175">
        <f>C24</f>
        <v>-1.8099561499095023E-3</v>
      </c>
    </row>
    <row r="23" spans="2:6" x14ac:dyDescent="0.2">
      <c r="B23" s="20" t="s">
        <v>111</v>
      </c>
      <c r="C23" s="174">
        <f>Statement!AC126</f>
        <v>0.78487025041075653</v>
      </c>
      <c r="E23" s="20" t="s">
        <v>114</v>
      </c>
      <c r="F23" s="175">
        <f>C26</f>
        <v>-3.1491107997558164E-3</v>
      </c>
    </row>
    <row r="24" spans="2:6" x14ac:dyDescent="0.2">
      <c r="B24" s="32" t="s">
        <v>112</v>
      </c>
      <c r="C24" s="176">
        <f>Statement!AC127</f>
        <v>-1.8099561499095023E-3</v>
      </c>
      <c r="E24" s="20" t="s">
        <v>115</v>
      </c>
      <c r="F24" s="175">
        <f>Statement!AC140</f>
        <v>-1.4540196296708597E-2</v>
      </c>
    </row>
    <row r="25" spans="2:6" x14ac:dyDescent="0.2">
      <c r="B25" s="20" t="s">
        <v>113</v>
      </c>
      <c r="C25" s="174">
        <f>Statement!AC128</f>
        <v>1.7398823722404941</v>
      </c>
    </row>
    <row r="26" spans="2:6" x14ac:dyDescent="0.2">
      <c r="B26" s="32" t="s">
        <v>114</v>
      </c>
      <c r="C26" s="176">
        <f>Statement!AC129</f>
        <v>-3.1491107997558164E-3</v>
      </c>
    </row>
    <row r="29" spans="2:6" x14ac:dyDescent="0.2">
      <c r="B29" s="268" t="s">
        <v>262</v>
      </c>
      <c r="C29" s="268"/>
      <c r="E29" s="268" t="s">
        <v>268</v>
      </c>
      <c r="F29" s="268"/>
    </row>
    <row r="30" spans="2:6" x14ac:dyDescent="0.2">
      <c r="B30" s="20" t="s">
        <v>151</v>
      </c>
      <c r="C30" s="174">
        <f>Statement!AC141</f>
        <v>64.264749612538964</v>
      </c>
      <c r="E30" s="20" t="s">
        <v>269</v>
      </c>
      <c r="F30" s="180">
        <f>Statement!AC145</f>
        <v>0.17868985158033729</v>
      </c>
    </row>
    <row r="31" spans="2:6" x14ac:dyDescent="0.2">
      <c r="B31" s="20" t="s">
        <v>152</v>
      </c>
      <c r="C31" s="174">
        <f>Statement!AC142</f>
        <v>0</v>
      </c>
      <c r="E31" s="20" t="s">
        <v>270</v>
      </c>
      <c r="F31" s="180">
        <f>Statement!AC146</f>
        <v>-1.7477430476185354E-2</v>
      </c>
    </row>
    <row r="32" spans="2:6" x14ac:dyDescent="0.2">
      <c r="B32" s="20" t="s">
        <v>153</v>
      </c>
      <c r="C32" s="174">
        <f>Statement!AC143</f>
        <v>27.080231119949556</v>
      </c>
      <c r="E32" s="20" t="s">
        <v>265</v>
      </c>
      <c r="F32" s="180">
        <f>Statement!AC148</f>
        <v>1.7624569819584941</v>
      </c>
    </row>
    <row r="33" spans="2:6" x14ac:dyDescent="0.2">
      <c r="B33" s="20" t="s">
        <v>154</v>
      </c>
      <c r="C33" s="174">
        <f>Statement!AC144</f>
        <v>37.184518492589405</v>
      </c>
      <c r="E33" s="20" t="s">
        <v>264</v>
      </c>
      <c r="F33" s="180">
        <f>Statement!AC147</f>
        <v>1.1287308374178746</v>
      </c>
    </row>
    <row r="34" spans="2:6" x14ac:dyDescent="0.2">
      <c r="E34" s="20" t="s">
        <v>271</v>
      </c>
      <c r="F34" s="182">
        <f>Statement!AC149</f>
        <v>1.4511051961578521</v>
      </c>
    </row>
    <row r="37" spans="2:6" x14ac:dyDescent="0.2">
      <c r="B37" s="268" t="s">
        <v>280</v>
      </c>
      <c r="C37" s="268"/>
      <c r="E37" s="268" t="s">
        <v>283</v>
      </c>
      <c r="F37" s="268"/>
    </row>
    <row r="38" spans="2:6" x14ac:dyDescent="0.2">
      <c r="B38" s="20" t="s">
        <v>278</v>
      </c>
      <c r="C38" s="175">
        <f ca="1">Statement!AC162</f>
        <v>-1.4164827057384552E-3</v>
      </c>
      <c r="E38" s="20" t="s">
        <v>282</v>
      </c>
      <c r="F38" s="175">
        <f>Statement!AC168</f>
        <v>0</v>
      </c>
    </row>
    <row r="39" spans="2:6" x14ac:dyDescent="0.2">
      <c r="B39" s="54" t="s">
        <v>281</v>
      </c>
      <c r="C39" s="215">
        <f ca="1">Statement!AC161</f>
        <v>9.9191999322318699E-3</v>
      </c>
      <c r="E39" s="20" t="s">
        <v>284</v>
      </c>
      <c r="F39" s="175">
        <f>Statement!AC169</f>
        <v>0</v>
      </c>
    </row>
    <row r="40" spans="2:6" x14ac:dyDescent="0.2">
      <c r="B40" s="20" t="s">
        <v>279</v>
      </c>
      <c r="C40" s="175">
        <f ca="1">Statement!AC163</f>
        <v>0</v>
      </c>
      <c r="E40" s="20" t="s">
        <v>285</v>
      </c>
      <c r="F40" s="175">
        <f>Statement!AC170</f>
        <v>0</v>
      </c>
    </row>
    <row r="41" spans="2:6" x14ac:dyDescent="0.2">
      <c r="B41" s="20" t="s">
        <v>304</v>
      </c>
      <c r="C41" s="175">
        <f ca="1">Statement!AC164</f>
        <v>0</v>
      </c>
    </row>
    <row r="42" spans="2:6" x14ac:dyDescent="0.2">
      <c r="B42" s="20" t="s">
        <v>306</v>
      </c>
      <c r="C42" s="175">
        <f ca="1">Statement!AC165</f>
        <v>0</v>
      </c>
    </row>
    <row r="45" spans="2:6" x14ac:dyDescent="0.2">
      <c r="B45" s="268" t="s">
        <v>291</v>
      </c>
      <c r="C45" s="268"/>
      <c r="E45" s="268" t="s">
        <v>297</v>
      </c>
      <c r="F45" s="268"/>
    </row>
    <row r="46" spans="2:6" x14ac:dyDescent="0.2">
      <c r="B46" s="20" t="s">
        <v>289</v>
      </c>
      <c r="C46" s="175">
        <f>Statement!AC171</f>
        <v>5.0026264561381824E-2</v>
      </c>
      <c r="E46" s="20" t="s">
        <v>290</v>
      </c>
      <c r="F46" s="174">
        <f>Statement!AC172</f>
        <v>1.1751864799987111</v>
      </c>
    </row>
    <row r="47" spans="2:6" x14ac:dyDescent="0.2">
      <c r="E47" s="20" t="s">
        <v>298</v>
      </c>
      <c r="F47" s="174">
        <f>Statement!AC175</f>
        <v>0.10470267918995989</v>
      </c>
    </row>
    <row r="48" spans="2:6" x14ac:dyDescent="0.2">
      <c r="E48" s="20" t="s">
        <v>303</v>
      </c>
      <c r="F48" s="175">
        <f ca="1">Statement!AC176</f>
        <v>7.9625593329514469E-3</v>
      </c>
    </row>
    <row r="51" spans="2:6" x14ac:dyDescent="0.2">
      <c r="B51" s="268" t="s">
        <v>294</v>
      </c>
      <c r="C51" s="268"/>
      <c r="E51" s="268" t="s">
        <v>315</v>
      </c>
      <c r="F51" s="268"/>
    </row>
    <row r="52" spans="2:6" x14ac:dyDescent="0.2">
      <c r="B52" s="20" t="s">
        <v>292</v>
      </c>
      <c r="C52" s="175">
        <f>Statement!AC173</f>
        <v>0.65032447280009631</v>
      </c>
      <c r="E52" s="20" t="s">
        <v>316</v>
      </c>
      <c r="F52" s="175">
        <f>Statement!AC177</f>
        <v>4.6981742560452781E-2</v>
      </c>
    </row>
    <row r="53" spans="2:6" x14ac:dyDescent="0.2">
      <c r="B53" s="20" t="s">
        <v>293</v>
      </c>
      <c r="C53" s="175">
        <f>Statement!AC174</f>
        <v>0.11702800156756789</v>
      </c>
      <c r="E53" s="20" t="s">
        <v>313</v>
      </c>
      <c r="F53" s="175">
        <f>Statement!AC178</f>
        <v>0.26107749045185435</v>
      </c>
    </row>
    <row r="54" spans="2:6" x14ac:dyDescent="0.2">
      <c r="E54" s="20" t="s">
        <v>314</v>
      </c>
      <c r="F54" s="175">
        <f>Statement!AC179</f>
        <v>0.64278593560555031</v>
      </c>
    </row>
  </sheetData>
  <mergeCells count="14">
    <mergeCell ref="B51:C51"/>
    <mergeCell ref="B4:C4"/>
    <mergeCell ref="E4:G4"/>
    <mergeCell ref="B15:C15"/>
    <mergeCell ref="B21:C21"/>
    <mergeCell ref="E15:F15"/>
    <mergeCell ref="E21:F21"/>
    <mergeCell ref="B37:C37"/>
    <mergeCell ref="E37:F37"/>
    <mergeCell ref="B45:C45"/>
    <mergeCell ref="E45:F45"/>
    <mergeCell ref="B29:C29"/>
    <mergeCell ref="E29:F29"/>
    <mergeCell ref="E51:F51"/>
  </mergeCells>
  <pageMargins left="0.7" right="0.7" top="0.75" bottom="0.75" header="0.3" footer="0.3"/>
  <ignoredErrors>
    <ignoredError sqref="F33"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EC990-97E1-EA42-B427-9F214546EBED}">
  <dimension ref="B1:I94"/>
  <sheetViews>
    <sheetView zoomScale="159" zoomScaleNormal="230" workbookViewId="0">
      <pane xSplit="2" ySplit="3" topLeftCell="C84" activePane="bottomRight" state="frozen"/>
      <selection pane="topRight" activeCell="C1" sqref="C1"/>
      <selection pane="bottomLeft" activeCell="A4" sqref="A4"/>
      <selection pane="bottomRight" activeCell="B94" sqref="B94"/>
    </sheetView>
  </sheetViews>
  <sheetFormatPr baseColWidth="10" defaultRowHeight="16" x14ac:dyDescent="0.2"/>
  <cols>
    <col min="1" max="1" width="3.33203125" style="1" customWidth="1"/>
    <col min="2" max="2" width="31.1640625" style="1" customWidth="1"/>
    <col min="3" max="7" width="10.83203125" style="1"/>
    <col min="8" max="8" width="2.5" style="1" customWidth="1"/>
    <col min="9" max="16384" width="10.83203125" style="1"/>
  </cols>
  <sheetData>
    <row r="1" spans="2:9" ht="11" customHeight="1" x14ac:dyDescent="0.2"/>
    <row r="2" spans="2:9" x14ac:dyDescent="0.2">
      <c r="B2" s="10"/>
      <c r="C2" s="10" t="str">
        <f>Statement!M2</f>
        <v>31.01.2022</v>
      </c>
      <c r="D2" s="10" t="str">
        <f>Statement!N2</f>
        <v>31.01.2023</v>
      </c>
      <c r="E2" s="10" t="str">
        <f>Statement!O2</f>
        <v>31.01.2024</v>
      </c>
      <c r="F2" s="10" t="str">
        <f>Statement!P2</f>
        <v>31.01.2025</v>
      </c>
      <c r="G2" s="10" t="str">
        <f>Statement!Q2</f>
        <v>31.01.2026</v>
      </c>
      <c r="I2" s="10"/>
    </row>
    <row r="3" spans="2:9" x14ac:dyDescent="0.2">
      <c r="B3" s="10"/>
      <c r="C3" s="10">
        <f>Statement!M3</f>
        <v>2022</v>
      </c>
      <c r="D3" s="10">
        <f>Statement!N3</f>
        <v>2023</v>
      </c>
      <c r="E3" s="10">
        <f>Statement!O3</f>
        <v>2024</v>
      </c>
      <c r="F3" s="10">
        <f>Statement!P3</f>
        <v>2025</v>
      </c>
      <c r="G3" s="10">
        <f>Statement!Q3</f>
        <v>2026</v>
      </c>
      <c r="I3" s="10" t="str">
        <f>Statement!AC3</f>
        <v>TTM/YTD</v>
      </c>
    </row>
    <row r="5" spans="2:9" ht="17" thickBot="1" x14ac:dyDescent="0.25">
      <c r="B5" s="14" t="s">
        <v>245</v>
      </c>
      <c r="C5" s="14"/>
      <c r="D5" s="14"/>
      <c r="E5" s="14"/>
      <c r="F5" s="14"/>
      <c r="G5" s="14"/>
      <c r="I5" s="14"/>
    </row>
    <row r="6" spans="2:9" x14ac:dyDescent="0.2">
      <c r="B6" s="20" t="s">
        <v>1</v>
      </c>
      <c r="C6" s="172">
        <f>Statement!M120</f>
        <v>28.44</v>
      </c>
      <c r="D6" s="172">
        <f>Statement!N120</f>
        <v>36.19</v>
      </c>
      <c r="E6" s="172">
        <f>Statement!O120</f>
        <v>25.61</v>
      </c>
      <c r="F6" s="172">
        <f>Statement!P120</f>
        <v>29</v>
      </c>
      <c r="G6" s="172">
        <f>Statement!Q120</f>
        <v>13.43</v>
      </c>
      <c r="I6" s="172">
        <f ca="1">Statement!AC120</f>
        <v>12.61</v>
      </c>
    </row>
    <row r="7" spans="2:9" x14ac:dyDescent="0.2">
      <c r="B7" s="20" t="s">
        <v>251</v>
      </c>
      <c r="C7" s="173">
        <f>Statement!M153</f>
        <v>1477344.24</v>
      </c>
      <c r="D7" s="173">
        <f>Statement!N153</f>
        <v>1930917.45</v>
      </c>
      <c r="E7" s="173">
        <f>Statement!O153</f>
        <v>1444071.07</v>
      </c>
      <c r="F7" s="173">
        <f>Statement!P153</f>
        <v>1704388</v>
      </c>
      <c r="G7" s="173">
        <f>Statement!Q153</f>
        <v>839630.16999999993</v>
      </c>
      <c r="I7" s="173">
        <f ca="1">Statement!AC153</f>
        <v>816194.86</v>
      </c>
    </row>
    <row r="8" spans="2:9" x14ac:dyDescent="0.2">
      <c r="B8" s="20" t="s">
        <v>200</v>
      </c>
      <c r="C8" s="173">
        <f>Statement!M154</f>
        <v>1176776.24</v>
      </c>
      <c r="D8" s="173">
        <f>Statement!N154</f>
        <v>1762131.45</v>
      </c>
      <c r="E8" s="173">
        <f>Statement!O154</f>
        <v>1368007.07</v>
      </c>
      <c r="F8" s="173">
        <f>Statement!P154</f>
        <v>1636361</v>
      </c>
      <c r="G8" s="173">
        <f>Statement!Q154</f>
        <v>865888.16999999993</v>
      </c>
      <c r="I8" s="173">
        <f ca="1">Statement!AC154</f>
        <v>809695.86</v>
      </c>
    </row>
    <row r="9" spans="2:9" x14ac:dyDescent="0.2">
      <c r="B9" s="20" t="s">
        <v>249</v>
      </c>
      <c r="C9" s="174">
        <f>Statement!M150</f>
        <v>-12</v>
      </c>
      <c r="D9" s="174">
        <f>Statement!N150</f>
        <v>-10.770833333333334</v>
      </c>
      <c r="E9" s="174">
        <f>Statement!O150</f>
        <v>-10.203187250996017</v>
      </c>
      <c r="F9" s="174">
        <f>Statement!P150</f>
        <v>-28.431372549019606</v>
      </c>
      <c r="G9" s="174">
        <f>Statement!Q150</f>
        <v>-83.9375</v>
      </c>
      <c r="I9" s="174">
        <f ca="1">Statement!AC150</f>
        <v>-705.97402703809905</v>
      </c>
    </row>
    <row r="10" spans="2:9" x14ac:dyDescent="0.2">
      <c r="B10" s="20" t="s">
        <v>213</v>
      </c>
      <c r="C10" s="174">
        <f>Statement!M151</f>
        <v>6.6538233763066685</v>
      </c>
      <c r="D10" s="174">
        <f>Statement!N151</f>
        <v>6.7559132818340384</v>
      </c>
      <c r="E10" s="174">
        <f>Statement!O151</f>
        <v>3.9217264432400873</v>
      </c>
      <c r="F10" s="174">
        <f>Statement!P151</f>
        <v>3.9782236376672473</v>
      </c>
      <c r="G10" s="174">
        <f>Statement!Q151</f>
        <v>1.7184629966021001</v>
      </c>
      <c r="I10" s="174">
        <f ca="1">Statement!AC151</f>
        <v>1.5369177056398964</v>
      </c>
    </row>
    <row r="11" spans="2:9" x14ac:dyDescent="0.2">
      <c r="B11" s="20" t="s">
        <v>250</v>
      </c>
      <c r="C11" s="174">
        <f>Statement!M152</f>
        <v>3.5404146855828222</v>
      </c>
      <c r="D11" s="174">
        <f>Statement!N152</f>
        <v>6.7087907678089342</v>
      </c>
      <c r="E11" s="174">
        <f>Statement!O152</f>
        <v>5.7429978643780641</v>
      </c>
      <c r="F11" s="174">
        <f>Statement!P152</f>
        <v>6.4363161233799575</v>
      </c>
      <c r="G11" s="174">
        <f>Statement!Q152</f>
        <v>2.4200182380555564</v>
      </c>
      <c r="I11" s="174">
        <f ca="1">Statement!AC152</f>
        <v>2.1049165122589422</v>
      </c>
    </row>
    <row r="12" spans="2:9" x14ac:dyDescent="0.2">
      <c r="B12" s="20" t="s">
        <v>272</v>
      </c>
      <c r="C12" s="174">
        <f>Statement!M155</f>
        <v>5.5187341546571123</v>
      </c>
      <c r="D12" s="174">
        <f>Statement!N155</f>
        <v>6.2729395535936776</v>
      </c>
      <c r="E12" s="174">
        <f>Statement!O155</f>
        <v>3.8394917471000483</v>
      </c>
      <c r="F12" s="174">
        <f>Statement!P155</f>
        <v>3.8978330828249721</v>
      </c>
      <c r="G12" s="174">
        <f>Statement!Q155</f>
        <v>1.8017153255054712</v>
      </c>
      <c r="I12" s="174">
        <f ca="1">Statement!AC155</f>
        <v>1.5945392315372602</v>
      </c>
    </row>
    <row r="13" spans="2:9" x14ac:dyDescent="0.2">
      <c r="B13" s="20" t="s">
        <v>216</v>
      </c>
      <c r="C13" s="174">
        <f>Statement!M156</f>
        <v>-10.073672838713543</v>
      </c>
      <c r="D13" s="174">
        <f>Statement!N156</f>
        <v>-9.9808070710045769</v>
      </c>
      <c r="E13" s="174">
        <f>Statement!O156</f>
        <v>-10.023571904835176</v>
      </c>
      <c r="F13" s="174">
        <f>Statement!P156</f>
        <v>-28.166015456908273</v>
      </c>
      <c r="G13" s="174">
        <f>Statement!Q156</f>
        <v>-130.95707350272232</v>
      </c>
      <c r="I13" s="174">
        <f ca="1">Statement!AC156</f>
        <v>64.574197304410234</v>
      </c>
    </row>
    <row r="15" spans="2:9" ht="17" thickBot="1" x14ac:dyDescent="0.25">
      <c r="B15" s="14" t="s">
        <v>78</v>
      </c>
      <c r="C15" s="14"/>
      <c r="D15" s="14"/>
      <c r="E15" s="14"/>
      <c r="F15" s="14"/>
      <c r="G15" s="14"/>
      <c r="I15" s="14"/>
    </row>
    <row r="16" spans="2:9" x14ac:dyDescent="0.2">
      <c r="B16" s="20" t="s">
        <v>79</v>
      </c>
      <c r="C16" s="175">
        <f>Statement!M105</f>
        <v>0.61831423841525468</v>
      </c>
      <c r="D16" s="175">
        <f>Statement!N105</f>
        <v>0.6110248834146168</v>
      </c>
      <c r="E16" s="175">
        <f>Statement!O105</f>
        <v>0.65194681994616877</v>
      </c>
      <c r="F16" s="175">
        <f>Statement!P105</f>
        <v>0.67858546543341913</v>
      </c>
      <c r="G16" s="175">
        <f>Statement!Q105</f>
        <v>0.67930527205045454</v>
      </c>
      <c r="I16" s="175">
        <f>Statement!AC105</f>
        <v>0.67519048116063041</v>
      </c>
    </row>
    <row r="17" spans="2:9" x14ac:dyDescent="0.2">
      <c r="B17" s="20" t="s">
        <v>80</v>
      </c>
      <c r="C17" s="175">
        <f>Statement!M106</f>
        <v>-0.547837342250027</v>
      </c>
      <c r="D17" s="175">
        <f>Statement!N106</f>
        <v>-0.62850023139083688</v>
      </c>
      <c r="E17" s="175">
        <f>Statement!O106</f>
        <v>-0.38304626170716166</v>
      </c>
      <c r="F17" s="175">
        <f>Statement!P106</f>
        <v>-0.13838780599933781</v>
      </c>
      <c r="G17" s="175">
        <f>Statement!Q106</f>
        <v>-1.3758060388147093E-2</v>
      </c>
      <c r="I17" s="175">
        <f>Statement!AC106</f>
        <v>2.4693132831685352E-2</v>
      </c>
    </row>
    <row r="18" spans="2:9" x14ac:dyDescent="0.2">
      <c r="B18" s="20" t="s">
        <v>81</v>
      </c>
      <c r="C18" s="175">
        <f>Statement!M107</f>
        <v>-0.55414030661295388</v>
      </c>
      <c r="D18" s="175">
        <f>Statement!N107</f>
        <v>-0.62705492862482648</v>
      </c>
      <c r="E18" s="175">
        <f>Statement!O107</f>
        <v>-0.384185754099787</v>
      </c>
      <c r="F18" s="175">
        <f>Statement!P107</f>
        <v>-0.13941207156519689</v>
      </c>
      <c r="G18" s="175">
        <f>Statement!Q107</f>
        <v>-1.9376143123778847E-2</v>
      </c>
      <c r="I18" s="175">
        <f>Statement!AC107</f>
        <v>-2.3060577833881129E-3</v>
      </c>
    </row>
    <row r="20" spans="2:9" ht="17" thickBot="1" x14ac:dyDescent="0.25">
      <c r="B20" s="14" t="s">
        <v>258</v>
      </c>
      <c r="C20" s="14"/>
      <c r="D20" s="14"/>
      <c r="E20" s="14"/>
      <c r="F20" s="14"/>
      <c r="G20" s="14"/>
      <c r="I20" s="14"/>
    </row>
    <row r="21" spans="2:9" x14ac:dyDescent="0.2">
      <c r="B21" s="20" t="s">
        <v>32</v>
      </c>
      <c r="C21" s="177">
        <f>Statement!M20</f>
        <v>-118161</v>
      </c>
      <c r="D21" s="177">
        <f>Statement!N20</f>
        <v>-176146</v>
      </c>
      <c r="E21" s="177">
        <f>Statement!O20</f>
        <v>-136885</v>
      </c>
      <c r="F21" s="177">
        <f>Statement!P20</f>
        <v>-58527</v>
      </c>
      <c r="G21" s="177">
        <f>Statement!Q20</f>
        <v>-9312</v>
      </c>
      <c r="I21" s="177">
        <f>Statement!AC20</f>
        <v>-1171</v>
      </c>
    </row>
    <row r="22" spans="2:9" x14ac:dyDescent="0.2">
      <c r="B22" s="20" t="s">
        <v>259</v>
      </c>
      <c r="C22" s="177">
        <f>Statement!M61</f>
        <v>-74710</v>
      </c>
      <c r="D22" s="177">
        <f>Statement!N61</f>
        <v>-90123</v>
      </c>
      <c r="E22" s="177">
        <f>Statement!O61</f>
        <v>-32378</v>
      </c>
      <c r="F22" s="177">
        <f>Statement!P61</f>
        <v>32381</v>
      </c>
      <c r="G22" s="177">
        <f>Statement!Q61</f>
        <v>78814</v>
      </c>
      <c r="I22" s="177">
        <f>Statement!AC61</f>
        <v>91379</v>
      </c>
    </row>
    <row r="23" spans="2:9" x14ac:dyDescent="0.2">
      <c r="B23" s="20" t="s">
        <v>266</v>
      </c>
      <c r="C23" s="195" t="str">
        <f>IF(OR(C21&lt;=0, C22&lt;=0),"N/A",C21-C22)</f>
        <v>N/A</v>
      </c>
      <c r="D23" s="195" t="str">
        <f t="shared" ref="D23:I23" si="0">IF(OR(D21&lt;=0, D22&lt;=0),"N/A",D21-D22)</f>
        <v>N/A</v>
      </c>
      <c r="E23" s="195" t="str">
        <f t="shared" si="0"/>
        <v>N/A</v>
      </c>
      <c r="F23" s="195" t="str">
        <f t="shared" si="0"/>
        <v>N/A</v>
      </c>
      <c r="G23" s="195" t="str">
        <f t="shared" si="0"/>
        <v>N/A</v>
      </c>
      <c r="I23" s="195" t="str">
        <f t="shared" si="0"/>
        <v>N/A</v>
      </c>
    </row>
    <row r="25" spans="2:9" ht="17" thickBot="1" x14ac:dyDescent="0.25">
      <c r="B25" s="14" t="s">
        <v>257</v>
      </c>
      <c r="C25" s="14"/>
      <c r="D25" s="14"/>
      <c r="E25" s="14"/>
      <c r="F25" s="14"/>
      <c r="G25" s="14"/>
      <c r="I25" s="14"/>
    </row>
    <row r="26" spans="2:9" x14ac:dyDescent="0.2">
      <c r="B26" s="20" t="s">
        <v>110</v>
      </c>
      <c r="C26" s="175">
        <f>Statement!M125</f>
        <v>-0.55414030661295388</v>
      </c>
      <c r="D26" s="175">
        <f>Statement!N125</f>
        <v>-0.62705492862482648</v>
      </c>
      <c r="E26" s="175">
        <f>Statement!O125</f>
        <v>-0.384185754099787</v>
      </c>
      <c r="F26" s="175">
        <f>Statement!P125</f>
        <v>-0.13941207156519689</v>
      </c>
      <c r="G26" s="175">
        <f>Statement!Q125</f>
        <v>-1.9376143123778847E-2</v>
      </c>
      <c r="I26" s="175">
        <f>Statement!AC125</f>
        <v>-2.3060577833881129E-3</v>
      </c>
    </row>
    <row r="27" spans="2:9" x14ac:dyDescent="0.2">
      <c r="B27" s="20" t="s">
        <v>111</v>
      </c>
      <c r="C27" s="214">
        <f>Statement!M126</f>
        <v>0.43123023159870244</v>
      </c>
      <c r="D27" s="214">
        <f>Statement!N126</f>
        <v>0.75909927389564313</v>
      </c>
      <c r="E27" s="214">
        <f>Statement!O126</f>
        <v>0.96212256228296145</v>
      </c>
      <c r="F27" s="214">
        <f>Statement!P126</f>
        <v>1.0808362189925724</v>
      </c>
      <c r="G27" s="214">
        <f>Statement!Q126</f>
        <v>0.72401060576387111</v>
      </c>
      <c r="I27" s="214">
        <f>Statement!AC126</f>
        <v>0.78487025041075653</v>
      </c>
    </row>
    <row r="28" spans="2:9" x14ac:dyDescent="0.2">
      <c r="B28" s="32" t="s">
        <v>112</v>
      </c>
      <c r="C28" s="176">
        <f>Statement!M127</f>
        <v>-0.23896205275888008</v>
      </c>
      <c r="D28" s="176">
        <f>Statement!N127</f>
        <v>-0.47599694101179013</v>
      </c>
      <c r="E28" s="176">
        <f>Statement!O127</f>
        <v>-0.36963378212709885</v>
      </c>
      <c r="F28" s="176">
        <f>Statement!P127</f>
        <v>-0.15068161631244933</v>
      </c>
      <c r="G28" s="176">
        <f>Statement!Q127</f>
        <v>-1.4028533120414589E-2</v>
      </c>
      <c r="I28" s="176">
        <f>Statement!AC127</f>
        <v>-1.8099561499095023E-3</v>
      </c>
    </row>
    <row r="29" spans="2:9" x14ac:dyDescent="0.2">
      <c r="B29" s="20" t="s">
        <v>113</v>
      </c>
      <c r="C29" s="214">
        <f>Statement!M128</f>
        <v>1.1849980828220859</v>
      </c>
      <c r="D29" s="214">
        <f>Statement!N128</f>
        <v>1.2857281833374448</v>
      </c>
      <c r="E29" s="214">
        <f>Statement!O128</f>
        <v>1.4727678376131939</v>
      </c>
      <c r="F29" s="214">
        <f>Statement!P128</f>
        <v>1.4667797045406483</v>
      </c>
      <c r="G29" s="214">
        <f>Statement!Q128</f>
        <v>1.9684941297185408</v>
      </c>
      <c r="I29" s="214">
        <f>Statement!AC128</f>
        <v>1.7398823722404941</v>
      </c>
    </row>
    <row r="30" spans="2:9" x14ac:dyDescent="0.2">
      <c r="B30" s="32" t="s">
        <v>114</v>
      </c>
      <c r="C30" s="176">
        <f>Statement!M129</f>
        <v>-0.28316957438650303</v>
      </c>
      <c r="D30" s="176">
        <f>Statement!N129</f>
        <v>-0.61200268224126975</v>
      </c>
      <c r="E30" s="176">
        <f>Statement!O129</f>
        <v>-0.54438474601211384</v>
      </c>
      <c r="F30" s="176">
        <f>Statement!P129</f>
        <v>-0.22101673665448177</v>
      </c>
      <c r="G30" s="176">
        <f>Statement!Q129</f>
        <v>-2.7615085096098241E-2</v>
      </c>
      <c r="I30" s="176">
        <f>Statement!AC129</f>
        <v>-3.1491107997558164E-3</v>
      </c>
    </row>
    <row r="32" spans="2:9" ht="17" thickBot="1" x14ac:dyDescent="0.25">
      <c r="B32" s="14" t="s">
        <v>317</v>
      </c>
      <c r="C32" s="14"/>
      <c r="D32" s="14"/>
      <c r="E32" s="14"/>
      <c r="F32" s="14"/>
      <c r="G32" s="14"/>
      <c r="I32" s="14"/>
    </row>
    <row r="33" spans="2:9" x14ac:dyDescent="0.2">
      <c r="B33" s="20" t="s">
        <v>112</v>
      </c>
      <c r="C33" s="175">
        <f>C28</f>
        <v>-0.23896205275888008</v>
      </c>
      <c r="D33" s="175">
        <f t="shared" ref="D33:G33" si="1">D28</f>
        <v>-0.47599694101179013</v>
      </c>
      <c r="E33" s="175">
        <f t="shared" si="1"/>
        <v>-0.36963378212709885</v>
      </c>
      <c r="F33" s="175">
        <f t="shared" si="1"/>
        <v>-0.15068161631244933</v>
      </c>
      <c r="G33" s="175">
        <f t="shared" si="1"/>
        <v>-1.4028533120414589E-2</v>
      </c>
      <c r="I33" s="175">
        <f>I28</f>
        <v>-1.8099561499095023E-3</v>
      </c>
    </row>
    <row r="34" spans="2:9" x14ac:dyDescent="0.2">
      <c r="B34" s="20" t="s">
        <v>114</v>
      </c>
      <c r="C34" s="175">
        <f>C30</f>
        <v>-0.28316957438650303</v>
      </c>
      <c r="D34" s="175">
        <f t="shared" ref="D34:G34" si="2">D30</f>
        <v>-0.61200268224126975</v>
      </c>
      <c r="E34" s="175">
        <f t="shared" si="2"/>
        <v>-0.54438474601211384</v>
      </c>
      <c r="F34" s="175">
        <f t="shared" si="2"/>
        <v>-0.22101673665448177</v>
      </c>
      <c r="G34" s="175">
        <f t="shared" si="2"/>
        <v>-2.7615085096098241E-2</v>
      </c>
      <c r="I34" s="175">
        <f>I30</f>
        <v>-3.1491107997558164E-3</v>
      </c>
    </row>
    <row r="35" spans="2:9" x14ac:dyDescent="0.2">
      <c r="B35" s="20" t="s">
        <v>115</v>
      </c>
      <c r="C35" s="175">
        <f>Statement!M140</f>
        <v>-1.0008996504215504</v>
      </c>
      <c r="D35" s="175">
        <f>Statement!N140</f>
        <v>-1.4832189392857442</v>
      </c>
      <c r="E35" s="175">
        <f>Statement!O140</f>
        <v>-0.77816803033326676</v>
      </c>
      <c r="F35" s="175">
        <f>Statement!P140</f>
        <v>-0.29523683688974039</v>
      </c>
      <c r="G35" s="175">
        <f>Statement!Q140</f>
        <v>-1.8191572778671949E-2</v>
      </c>
      <c r="I35" s="175">
        <f>Statement!AC140</f>
        <v>-1.4540196296708597E-2</v>
      </c>
    </row>
    <row r="37" spans="2:9" ht="17" thickBot="1" x14ac:dyDescent="0.25">
      <c r="B37" s="14" t="s">
        <v>262</v>
      </c>
      <c r="C37" s="14"/>
      <c r="D37" s="14"/>
      <c r="E37" s="14"/>
      <c r="F37" s="14"/>
      <c r="G37" s="14"/>
      <c r="I37" s="14"/>
    </row>
    <row r="38" spans="2:9" x14ac:dyDescent="0.2">
      <c r="B38" s="20" t="s">
        <v>151</v>
      </c>
      <c r="C38" s="174">
        <f>Statement!M141</f>
        <v>68.918178705922628</v>
      </c>
      <c r="D38" s="174">
        <f>Statement!N141</f>
        <v>66.778719162721146</v>
      </c>
      <c r="E38" s="174">
        <f>Statement!O141</f>
        <v>66.446986940743585</v>
      </c>
      <c r="F38" s="174">
        <f>Statement!P141</f>
        <v>64.005176114127011</v>
      </c>
      <c r="G38" s="174">
        <f>Statement!Q141</f>
        <v>74.013755979616761</v>
      </c>
      <c r="I38" s="174">
        <f>Statement!AC141</f>
        <v>64.264749612538964</v>
      </c>
    </row>
    <row r="39" spans="2:9" x14ac:dyDescent="0.2">
      <c r="B39" s="20" t="s">
        <v>152</v>
      </c>
      <c r="C39" s="174">
        <f>Statement!M142</f>
        <v>0</v>
      </c>
      <c r="D39" s="174">
        <f>Statement!N142</f>
        <v>0</v>
      </c>
      <c r="E39" s="174">
        <f>Statement!O142</f>
        <v>0</v>
      </c>
      <c r="F39" s="174">
        <f>Statement!P142</f>
        <v>0</v>
      </c>
      <c r="G39" s="174">
        <f>Statement!Q142</f>
        <v>0</v>
      </c>
      <c r="I39" s="174">
        <f>Statement!AC142</f>
        <v>0</v>
      </c>
    </row>
    <row r="40" spans="2:9" x14ac:dyDescent="0.2">
      <c r="B40" s="20" t="s">
        <v>153</v>
      </c>
      <c r="C40" s="174">
        <f>Statement!M143</f>
        <v>22.957131272423453</v>
      </c>
      <c r="D40" s="174">
        <f>Statement!N143</f>
        <v>36.197021973697453</v>
      </c>
      <c r="E40" s="174">
        <f>Statement!O143</f>
        <v>24.959076210981287</v>
      </c>
      <c r="F40" s="174">
        <f>Statement!P143</f>
        <v>15.207657076793097</v>
      </c>
      <c r="G40" s="174">
        <f>Statement!Q143</f>
        <v>27.180271601253548</v>
      </c>
      <c r="I40" s="174">
        <f>Statement!AC143</f>
        <v>27.080231119949556</v>
      </c>
    </row>
    <row r="41" spans="2:9" x14ac:dyDescent="0.2">
      <c r="B41" s="20" t="s">
        <v>154</v>
      </c>
      <c r="C41" s="174">
        <f>Statement!M144</f>
        <v>45.961047433499175</v>
      </c>
      <c r="D41" s="174">
        <f>Statement!N144</f>
        <v>30.581697189023693</v>
      </c>
      <c r="E41" s="174">
        <f>Statement!O144</f>
        <v>41.487910729762298</v>
      </c>
      <c r="F41" s="174">
        <f>Statement!P144</f>
        <v>48.797519037333913</v>
      </c>
      <c r="G41" s="174">
        <f>Statement!Q144</f>
        <v>46.83348437836321</v>
      </c>
      <c r="I41" s="174">
        <f>Statement!AC144</f>
        <v>37.184518492589405</v>
      </c>
    </row>
    <row r="43" spans="2:9" ht="17" thickBot="1" x14ac:dyDescent="0.25">
      <c r="B43" s="14" t="s">
        <v>268</v>
      </c>
      <c r="C43" s="14"/>
      <c r="D43" s="14"/>
      <c r="E43" s="14"/>
      <c r="F43" s="14"/>
      <c r="G43" s="14"/>
      <c r="I43" s="14"/>
    </row>
    <row r="44" spans="2:9" x14ac:dyDescent="0.2">
      <c r="B44" s="20" t="s">
        <v>269</v>
      </c>
      <c r="C44" s="180">
        <f>Statement!M145</f>
        <v>3.173888036809816E-2</v>
      </c>
      <c r="D44" s="180">
        <f>Statement!N145</f>
        <v>2.7437382521654233E-2</v>
      </c>
      <c r="E44" s="180">
        <f>Statement!O145</f>
        <v>4.5559934618948576E-2</v>
      </c>
      <c r="F44" s="180">
        <f>Statement!P145</f>
        <v>6.1149965257847196E-2</v>
      </c>
      <c r="G44" s="180">
        <f>Statement!Q145</f>
        <v>0.29681471618323463</v>
      </c>
      <c r="I44" s="180">
        <f>Statement!AC145</f>
        <v>0.17868985158033729</v>
      </c>
    </row>
    <row r="45" spans="2:9" x14ac:dyDescent="0.2">
      <c r="B45" s="20" t="s">
        <v>270</v>
      </c>
      <c r="C45" s="180">
        <f>Statement!M146</f>
        <v>-0.72030291411042946</v>
      </c>
      <c r="D45" s="180">
        <f>Statement!N146</f>
        <v>-0.58643105562871112</v>
      </c>
      <c r="E45" s="180">
        <f>Statement!O146</f>
        <v>-0.30250269438335409</v>
      </c>
      <c r="F45" s="180">
        <f>Statement!P146</f>
        <v>-0.25689178574665417</v>
      </c>
      <c r="G45" s="180">
        <f>Statement!Q146</f>
        <v>7.7869083382017576E-2</v>
      </c>
      <c r="I45" s="180">
        <f>Statement!AC146</f>
        <v>-1.7477430476185354E-2</v>
      </c>
    </row>
    <row r="46" spans="2:9" x14ac:dyDescent="0.2">
      <c r="B46" s="20" t="s">
        <v>264</v>
      </c>
      <c r="C46" s="180">
        <f>Statement!M147</f>
        <v>5.1740998363338786</v>
      </c>
      <c r="D46" s="180">
        <f>Statement!N147</f>
        <v>2.8856260833259531</v>
      </c>
      <c r="E46" s="180">
        <f>Statement!O147</f>
        <v>1.3838029767796656</v>
      </c>
      <c r="F46" s="180">
        <f>Statement!P147</f>
        <v>1.3842558080387291</v>
      </c>
      <c r="G46" s="180">
        <f>Statement!Q147</f>
        <v>0.93474167899105554</v>
      </c>
      <c r="I46" s="180">
        <f>Statement!AC147</f>
        <v>1.1287308374178746</v>
      </c>
    </row>
    <row r="47" spans="2:9" x14ac:dyDescent="0.2">
      <c r="B47" s="20" t="s">
        <v>265</v>
      </c>
      <c r="C47" s="180">
        <f>Statement!M148</f>
        <v>5.645735913023147</v>
      </c>
      <c r="D47" s="180">
        <f>Statement!N148</f>
        <v>3.3203987904705272</v>
      </c>
      <c r="E47" s="180">
        <f>Statement!O148</f>
        <v>1.7770230387126653</v>
      </c>
      <c r="F47" s="180">
        <f>Statement!P148</f>
        <v>1.7828420581812441</v>
      </c>
      <c r="G47" s="180">
        <f>Statement!Q148</f>
        <v>1.527185509793114</v>
      </c>
      <c r="I47" s="180">
        <f>Statement!AC148</f>
        <v>1.7624569819584941</v>
      </c>
    </row>
    <row r="48" spans="2:9" x14ac:dyDescent="0.2">
      <c r="B48" s="20" t="s">
        <v>271</v>
      </c>
      <c r="C48" s="182" t="str">
        <f>Statement!M149</f>
        <v>N/A</v>
      </c>
      <c r="D48" s="182" t="str">
        <f>Statement!N149</f>
        <v>N/A</v>
      </c>
      <c r="E48" s="182" t="str">
        <f>Statement!O149</f>
        <v>N/A</v>
      </c>
      <c r="F48" s="182" t="str">
        <f>Statement!P149</f>
        <v>N/A</v>
      </c>
      <c r="G48" s="182" t="str">
        <f>Statement!Q149</f>
        <v>N/A</v>
      </c>
      <c r="I48" s="182">
        <f>Statement!AC149</f>
        <v>1.4511051961578521</v>
      </c>
    </row>
    <row r="50" spans="2:9" ht="17" thickBot="1" x14ac:dyDescent="0.25">
      <c r="B50" s="14" t="s">
        <v>280</v>
      </c>
      <c r="C50" s="14"/>
      <c r="D50" s="14"/>
      <c r="E50" s="14"/>
      <c r="F50" s="14"/>
      <c r="G50" s="14"/>
      <c r="I50" s="14"/>
    </row>
    <row r="51" spans="2:9" x14ac:dyDescent="0.2">
      <c r="B51" s="20" t="s">
        <v>278</v>
      </c>
      <c r="C51" s="175">
        <f>Statement!M162</f>
        <v>-8.3333333333333329E-2</v>
      </c>
      <c r="D51" s="175">
        <f>Statement!N162</f>
        <v>-9.2843326885880081E-2</v>
      </c>
      <c r="E51" s="175">
        <f>Statement!O162</f>
        <v>-9.800859039437719E-2</v>
      </c>
      <c r="F51" s="175">
        <f>Statement!P162</f>
        <v>-3.5172413793103451E-2</v>
      </c>
      <c r="G51" s="175">
        <f>Statement!Q162</f>
        <v>-1.1913626209977662E-2</v>
      </c>
      <c r="I51" s="175">
        <f ca="1">Statement!AC162</f>
        <v>-1.4164827057384552E-3</v>
      </c>
    </row>
    <row r="52" spans="2:9" x14ac:dyDescent="0.2">
      <c r="B52" s="20" t="s">
        <v>281</v>
      </c>
      <c r="C52" s="175">
        <f>Statement!M161</f>
        <v>-9.5887604367686161E-2</v>
      </c>
      <c r="D52" s="175">
        <f>Statement!N161</f>
        <v>-9.0682799515846735E-2</v>
      </c>
      <c r="E52" s="175">
        <f>Statement!O161</f>
        <v>-8.9391722250900016E-2</v>
      </c>
      <c r="F52" s="175">
        <f>Statement!P161</f>
        <v>-3.4430540463791105E-2</v>
      </c>
      <c r="G52" s="175">
        <f>Statement!Q161</f>
        <v>-1.5524692258259374E-2</v>
      </c>
      <c r="I52" s="175">
        <f ca="1">Statement!AC161</f>
        <v>9.9191999322318699E-3</v>
      </c>
    </row>
    <row r="53" spans="2:9" x14ac:dyDescent="0.2">
      <c r="B53" s="20" t="s">
        <v>279</v>
      </c>
      <c r="C53" s="175">
        <f>Statement!M163</f>
        <v>0</v>
      </c>
      <c r="D53" s="175">
        <f>Statement!N163</f>
        <v>0</v>
      </c>
      <c r="E53" s="175">
        <f>Statement!O163</f>
        <v>0</v>
      </c>
      <c r="F53" s="175">
        <f>Statement!P163</f>
        <v>0</v>
      </c>
      <c r="G53" s="175">
        <f>Statement!Q163</f>
        <v>0</v>
      </c>
      <c r="I53" s="175">
        <f ca="1">Statement!AC163</f>
        <v>0</v>
      </c>
    </row>
    <row r="54" spans="2:9" x14ac:dyDescent="0.2">
      <c r="B54" s="20" t="s">
        <v>304</v>
      </c>
      <c r="C54" s="175">
        <f>Statement!M164</f>
        <v>0</v>
      </c>
      <c r="D54" s="175">
        <f>Statement!N164</f>
        <v>0</v>
      </c>
      <c r="E54" s="175">
        <f>Statement!O164</f>
        <v>0</v>
      </c>
      <c r="F54" s="175">
        <f>Statement!P164</f>
        <v>0</v>
      </c>
      <c r="G54" s="175">
        <f>Statement!Q164</f>
        <v>0</v>
      </c>
      <c r="I54" s="175">
        <f ca="1">Statement!AC164</f>
        <v>0</v>
      </c>
    </row>
    <row r="55" spans="2:9" x14ac:dyDescent="0.2">
      <c r="B55" s="20" t="s">
        <v>306</v>
      </c>
      <c r="C55" s="175">
        <f>Statement!M165</f>
        <v>0</v>
      </c>
      <c r="D55" s="175">
        <f>Statement!N165</f>
        <v>0</v>
      </c>
      <c r="E55" s="175">
        <f>Statement!O165</f>
        <v>0</v>
      </c>
      <c r="F55" s="175">
        <f>Statement!P165</f>
        <v>0</v>
      </c>
      <c r="G55" s="175">
        <f>Statement!Q165</f>
        <v>0</v>
      </c>
      <c r="I55" s="175">
        <f ca="1">Statement!AC165</f>
        <v>0</v>
      </c>
    </row>
    <row r="57" spans="2:9" ht="17" thickBot="1" x14ac:dyDescent="0.25">
      <c r="B57" s="14" t="s">
        <v>283</v>
      </c>
      <c r="C57" s="14"/>
      <c r="D57" s="14"/>
      <c r="E57" s="14"/>
      <c r="F57" s="14"/>
      <c r="G57" s="14"/>
      <c r="I57" s="14"/>
    </row>
    <row r="58" spans="2:9" x14ac:dyDescent="0.2">
      <c r="B58" s="20" t="s">
        <v>282</v>
      </c>
      <c r="C58" s="175">
        <f>Statement!M168</f>
        <v>0</v>
      </c>
      <c r="D58" s="175">
        <f>Statement!N168</f>
        <v>0</v>
      </c>
      <c r="E58" s="175">
        <f>Statement!O168</f>
        <v>0</v>
      </c>
      <c r="F58" s="175">
        <f>Statement!P168</f>
        <v>0</v>
      </c>
      <c r="G58" s="175">
        <f>Statement!Q168</f>
        <v>0</v>
      </c>
      <c r="I58" s="175">
        <f>Statement!AC168</f>
        <v>0</v>
      </c>
    </row>
    <row r="59" spans="2:9" x14ac:dyDescent="0.2">
      <c r="B59" s="20" t="s">
        <v>284</v>
      </c>
      <c r="C59" s="175">
        <f>Statement!M169</f>
        <v>0</v>
      </c>
      <c r="D59" s="175">
        <f>Statement!N169</f>
        <v>0</v>
      </c>
      <c r="E59" s="175">
        <f>Statement!O169</f>
        <v>0</v>
      </c>
      <c r="F59" s="175">
        <f>Statement!P169</f>
        <v>0</v>
      </c>
      <c r="G59" s="175">
        <f>Statement!Q169</f>
        <v>0</v>
      </c>
      <c r="I59" s="175">
        <f>Statement!AC169</f>
        <v>0</v>
      </c>
    </row>
    <row r="60" spans="2:9" x14ac:dyDescent="0.2">
      <c r="B60" s="20" t="s">
        <v>285</v>
      </c>
      <c r="C60" s="175">
        <f>Statement!M170</f>
        <v>0</v>
      </c>
      <c r="D60" s="175">
        <f>Statement!N170</f>
        <v>0</v>
      </c>
      <c r="E60" s="175">
        <f>Statement!O170</f>
        <v>0</v>
      </c>
      <c r="F60" s="175">
        <f>Statement!P170</f>
        <v>0</v>
      </c>
      <c r="G60" s="175">
        <f>Statement!Q170</f>
        <v>0</v>
      </c>
      <c r="I60" s="175">
        <f>Statement!AC170</f>
        <v>0</v>
      </c>
    </row>
    <row r="62" spans="2:9" ht="17" thickBot="1" x14ac:dyDescent="0.25">
      <c r="B62" s="14" t="s">
        <v>291</v>
      </c>
      <c r="C62" s="14"/>
      <c r="D62" s="14"/>
      <c r="E62" s="14"/>
      <c r="F62" s="14"/>
      <c r="G62" s="14"/>
      <c r="I62" s="14"/>
    </row>
    <row r="63" spans="2:9" x14ac:dyDescent="0.2">
      <c r="B63" s="20" t="s">
        <v>289</v>
      </c>
      <c r="C63" s="175">
        <f>Statement!M171</f>
        <v>5.567319909136411E-2</v>
      </c>
      <c r="D63" s="175">
        <f>Statement!N171</f>
        <v>5.840127448224159E-2</v>
      </c>
      <c r="E63" s="175">
        <f>Statement!O171</f>
        <v>5.9091634596626884E-2</v>
      </c>
      <c r="F63" s="175">
        <f>Statement!P171</f>
        <v>5.6183216497651942E-2</v>
      </c>
      <c r="G63" s="175">
        <f>Statement!Q171</f>
        <v>5.1792255154433052E-2</v>
      </c>
      <c r="I63" s="175">
        <f>Statement!AC171</f>
        <v>5.0026264561381824E-2</v>
      </c>
    </row>
    <row r="65" spans="2:9" ht="17" thickBot="1" x14ac:dyDescent="0.25">
      <c r="B65" s="14" t="s">
        <v>297</v>
      </c>
      <c r="C65" s="14"/>
      <c r="D65" s="14"/>
      <c r="E65" s="14"/>
      <c r="F65" s="14"/>
      <c r="G65" s="14"/>
      <c r="I65" s="14"/>
    </row>
    <row r="66" spans="2:9" x14ac:dyDescent="0.2">
      <c r="B66" s="20" t="s">
        <v>290</v>
      </c>
      <c r="C66" s="174">
        <f>Statement!M172</f>
        <v>6.041119624225157</v>
      </c>
      <c r="D66" s="174">
        <f>Statement!N172</f>
        <v>3.3114609689813514</v>
      </c>
      <c r="E66" s="174">
        <f>Statement!O172</f>
        <v>1.5521308102931526</v>
      </c>
      <c r="F66" s="174">
        <f>Statement!P172</f>
        <v>1.4329953038862042</v>
      </c>
      <c r="G66" s="174">
        <f>Statement!Q172</f>
        <v>1.2150486315685531</v>
      </c>
      <c r="I66" s="174">
        <f>Statement!AC172</f>
        <v>1.1751864799987111</v>
      </c>
    </row>
    <row r="67" spans="2:9" x14ac:dyDescent="0.2">
      <c r="B67" s="20" t="s">
        <v>298</v>
      </c>
      <c r="C67" s="174">
        <f>Statement!M175</f>
        <v>5.7861625534208603</v>
      </c>
      <c r="D67" s="174">
        <f>Statement!N175</f>
        <v>3.1634523474838345</v>
      </c>
      <c r="E67" s="174">
        <f>Statement!O175</f>
        <v>1.3489634135527693</v>
      </c>
      <c r="F67" s="174">
        <f>Statement!P175</f>
        <v>1.1574729463009596</v>
      </c>
      <c r="G67" s="174">
        <f>Statement!Q175</f>
        <v>-0.43213797870414561</v>
      </c>
      <c r="I67" s="174">
        <f>Statement!AC175</f>
        <v>0.10470267918995989</v>
      </c>
    </row>
    <row r="68" spans="2:9" x14ac:dyDescent="0.2">
      <c r="B68" s="20" t="s">
        <v>303</v>
      </c>
      <c r="C68" s="196">
        <f>Statement!M176</f>
        <v>0.20345156657597963</v>
      </c>
      <c r="D68" s="196">
        <f>Statement!N176</f>
        <v>8.7412333448019755E-2</v>
      </c>
      <c r="E68" s="196">
        <f>Statement!O176</f>
        <v>5.267330783103355E-2</v>
      </c>
      <c r="F68" s="196">
        <f>Statement!P176</f>
        <v>3.9912860217274471E-2</v>
      </c>
      <c r="G68" s="196">
        <f>Statement!Q176</f>
        <v>-3.12732926212025E-2</v>
      </c>
      <c r="I68" s="196">
        <f ca="1">Statement!AC176</f>
        <v>7.9625593329514469E-3</v>
      </c>
    </row>
    <row r="70" spans="2:9" ht="17" thickBot="1" x14ac:dyDescent="0.25">
      <c r="B70" s="14" t="s">
        <v>318</v>
      </c>
      <c r="C70" s="14"/>
      <c r="D70" s="14"/>
      <c r="E70" s="14"/>
      <c r="F70" s="14"/>
      <c r="G70" s="14"/>
      <c r="I70" s="14"/>
    </row>
    <row r="71" spans="2:9" x14ac:dyDescent="0.2">
      <c r="B71" s="20" t="s">
        <v>292</v>
      </c>
      <c r="C71" s="175">
        <f>Statement!M173</f>
        <v>-0.48379065720787046</v>
      </c>
      <c r="D71" s="175">
        <f>Statement!N173</f>
        <v>-0.65216426439421682</v>
      </c>
      <c r="E71" s="175">
        <f>Statement!O173</f>
        <v>-2.2117796034344308</v>
      </c>
      <c r="F71" s="175">
        <f>Statement!P173</f>
        <v>2.0683425465550784</v>
      </c>
      <c r="G71" s="175">
        <f>Statement!Q173</f>
        <v>0.85583779531555304</v>
      </c>
      <c r="I71" s="175">
        <f>Statement!AC173</f>
        <v>0.65032447280009631</v>
      </c>
    </row>
    <row r="72" spans="2:9" x14ac:dyDescent="0.2">
      <c r="B72" s="20" t="s">
        <v>293</v>
      </c>
      <c r="C72" s="175">
        <f>Statement!M174</f>
        <v>0.16950472018871376</v>
      </c>
      <c r="D72" s="175">
        <f>Statement!N174</f>
        <v>0.20923071446370722</v>
      </c>
      <c r="E72" s="175">
        <f>Statement!O174</f>
        <v>0.20099130224895384</v>
      </c>
      <c r="F72" s="175">
        <f>Statement!P174</f>
        <v>0.15953531691491213</v>
      </c>
      <c r="G72" s="175">
        <f>Statement!Q174</f>
        <v>0.14035219136438259</v>
      </c>
      <c r="I72" s="175">
        <f>Statement!AC174</f>
        <v>0.11702800156756789</v>
      </c>
    </row>
    <row r="74" spans="2:9" ht="17" thickBot="1" x14ac:dyDescent="0.25">
      <c r="B74" s="14" t="s">
        <v>319</v>
      </c>
      <c r="C74" s="14"/>
      <c r="D74" s="14"/>
      <c r="E74" s="14"/>
      <c r="F74" s="14"/>
      <c r="G74" s="14"/>
      <c r="I74" s="14"/>
    </row>
    <row r="75" spans="2:9" x14ac:dyDescent="0.2">
      <c r="B75" s="20" t="s">
        <v>316</v>
      </c>
      <c r="C75" s="175">
        <f>Statement!M177</f>
        <v>0.14446638184521157</v>
      </c>
      <c r="D75" s="175">
        <f>Statement!N177</f>
        <v>9.3278986152148372E-2</v>
      </c>
      <c r="E75" s="175">
        <f>Statement!O177</f>
        <v>7.0438030979598595E-2</v>
      </c>
      <c r="F75" s="175">
        <f>Statement!P177</f>
        <v>5.7380309804603478E-2</v>
      </c>
      <c r="G75" s="175">
        <f>Statement!Q177</f>
        <v>5.0764579444891808E-2</v>
      </c>
      <c r="I75" s="175">
        <f>Statement!AC177</f>
        <v>4.6981742560452781E-2</v>
      </c>
    </row>
    <row r="76" spans="2:9" x14ac:dyDescent="0.2">
      <c r="B76" s="20" t="s">
        <v>313</v>
      </c>
      <c r="C76" s="175">
        <f>Statement!M178</f>
        <v>-0.41232766697898543</v>
      </c>
      <c r="D76" s="175">
        <f>Statement!N178</f>
        <v>-0.29074709008799088</v>
      </c>
      <c r="E76" s="175">
        <f>Statement!O178</f>
        <v>-0.77512508493421461</v>
      </c>
      <c r="F76" s="175">
        <f>Statement!P178</f>
        <v>0.74392390599425584</v>
      </c>
      <c r="G76" s="175">
        <f>Statement!Q178</f>
        <v>0.30955160250716879</v>
      </c>
      <c r="I76" s="175">
        <f>Statement!AC178</f>
        <v>0.26107749045185435</v>
      </c>
    </row>
    <row r="77" spans="2:9" x14ac:dyDescent="0.2">
      <c r="B77" s="20" t="s">
        <v>314</v>
      </c>
      <c r="C77" s="175">
        <f>Statement!M179</f>
        <v>1.4461083466341189</v>
      </c>
      <c r="D77" s="175">
        <f>Statement!N179</f>
        <v>1.0355279797660448</v>
      </c>
      <c r="E77" s="175">
        <f>Statement!O179</f>
        <v>0.85112083290941776</v>
      </c>
      <c r="F77" s="175">
        <f>Statement!P179</f>
        <v>0.86383848526142148</v>
      </c>
      <c r="G77" s="175">
        <f>Statement!Q179</f>
        <v>0.77566527835182653</v>
      </c>
      <c r="I77" s="175">
        <f>Statement!AC179</f>
        <v>0.64278593560555031</v>
      </c>
    </row>
    <row r="79" spans="2:9" ht="17" thickBot="1" x14ac:dyDescent="0.25">
      <c r="B79" s="14" t="s">
        <v>132</v>
      </c>
      <c r="C79" s="14"/>
      <c r="D79" s="14"/>
      <c r="E79" s="14"/>
      <c r="F79" s="14"/>
      <c r="G79" s="14"/>
      <c r="I79" s="14"/>
    </row>
    <row r="80" spans="2:9" x14ac:dyDescent="0.2">
      <c r="B80" s="20" t="s">
        <v>20</v>
      </c>
      <c r="C80" s="175">
        <f>Statement!M91</f>
        <v>1</v>
      </c>
      <c r="D80" s="175">
        <f>Statement!N91</f>
        <v>0.31738520773051077</v>
      </c>
      <c r="E80" s="175">
        <f>Statement!O91</f>
        <v>0.26837421238118969</v>
      </c>
      <c r="F80" s="175">
        <f>Statement!P91</f>
        <v>0.17826039365813545</v>
      </c>
      <c r="G80" s="175">
        <f>Statement!Q91</f>
        <v>0.14477398270182201</v>
      </c>
      <c r="I80" s="197"/>
    </row>
    <row r="81" spans="2:9" x14ac:dyDescent="0.2">
      <c r="B81" s="20" t="s">
        <v>21</v>
      </c>
      <c r="C81" s="175">
        <f>Statement!M92</f>
        <v>1</v>
      </c>
      <c r="D81" s="175">
        <f>Statement!N92</f>
        <v>0.34254435543323342</v>
      </c>
      <c r="E81" s="175">
        <f>Statement!O92</f>
        <v>0.13493552490687949</v>
      </c>
      <c r="F81" s="175">
        <f>Statement!P92</f>
        <v>8.8080896049543986E-2</v>
      </c>
      <c r="G81" s="175">
        <f>Statement!Q92</f>
        <v>0.14221026575955653</v>
      </c>
      <c r="I81" s="197"/>
    </row>
    <row r="82" spans="2:9" x14ac:dyDescent="0.2">
      <c r="B82" s="20" t="s">
        <v>22</v>
      </c>
      <c r="C82" s="175">
        <f>Statement!M93</f>
        <v>1</v>
      </c>
      <c r="D82" s="175">
        <f>Statement!N93</f>
        <v>0.30185445030149038</v>
      </c>
      <c r="E82" s="175">
        <f>Statement!O93</f>
        <v>0.35332055487261349</v>
      </c>
      <c r="F82" s="175">
        <f>Statement!P93</f>
        <v>0.22640429122468658</v>
      </c>
      <c r="G82" s="175">
        <f>Statement!Q93</f>
        <v>0.14598829678565287</v>
      </c>
      <c r="I82" s="197"/>
    </row>
    <row r="83" spans="2:9" x14ac:dyDescent="0.2">
      <c r="B83" s="20" t="s">
        <v>26</v>
      </c>
      <c r="C83" s="175">
        <f>Statement!M99</f>
        <v>1</v>
      </c>
      <c r="D83" s="175">
        <f>Statement!N99</f>
        <v>0.40027426788170289</v>
      </c>
      <c r="E83" s="175">
        <f>Statement!O99</f>
        <v>5.9081836327345309E-2</v>
      </c>
      <c r="F83" s="175">
        <f>Statement!P99</f>
        <v>-6.9938470633218272E-2</v>
      </c>
      <c r="G83" s="175">
        <f>Statement!Q99</f>
        <v>-2.885333084530696E-2</v>
      </c>
      <c r="I83" s="197"/>
    </row>
    <row r="84" spans="2:9" x14ac:dyDescent="0.2">
      <c r="B84" s="20" t="s">
        <v>320</v>
      </c>
      <c r="C84" s="175">
        <f>Statement!M100</f>
        <v>-1</v>
      </c>
      <c r="D84" s="175">
        <f>Statement!N100</f>
        <v>-0.51135536779749524</v>
      </c>
      <c r="E84" s="175">
        <f>Statement!O100</f>
        <v>0.22697562191309076</v>
      </c>
      <c r="F84" s="175">
        <f>Statement!P100</f>
        <v>0.57431546245209886</v>
      </c>
      <c r="G84" s="175">
        <f>Statement!Q100</f>
        <v>0.8861903368504398</v>
      </c>
      <c r="I84" s="197"/>
    </row>
    <row r="85" spans="2:9" x14ac:dyDescent="0.2">
      <c r="B85" s="20" t="s">
        <v>321</v>
      </c>
      <c r="C85" s="175">
        <f>Statement!M102</f>
        <v>-1</v>
      </c>
      <c r="D85" s="175">
        <f>Statement!N102</f>
        <v>-0.49072875144929379</v>
      </c>
      <c r="E85" s="175">
        <f>Statement!O102</f>
        <v>0.22288896710683184</v>
      </c>
      <c r="F85" s="175">
        <f>Statement!P102</f>
        <v>0.57243671695218612</v>
      </c>
      <c r="G85" s="175">
        <f>Statement!Q102</f>
        <v>0.84089394638372028</v>
      </c>
      <c r="I85" s="197"/>
    </row>
    <row r="88" spans="2:9" ht="17" thickBot="1" x14ac:dyDescent="0.25">
      <c r="B88" s="14" t="s">
        <v>322</v>
      </c>
      <c r="C88" s="14"/>
      <c r="D88" s="14"/>
      <c r="E88" s="14"/>
      <c r="F88" s="14"/>
      <c r="G88" s="14"/>
      <c r="I88" s="14"/>
    </row>
    <row r="89" spans="2:9" x14ac:dyDescent="0.2">
      <c r="B89" s="20" t="str">
        <f>Statement!B193</f>
        <v>Subscription and related services</v>
      </c>
      <c r="C89" s="175">
        <f>Statement!M193</f>
        <v>1</v>
      </c>
      <c r="D89" s="175">
        <f>Statement!N193</f>
        <v>0.35032560671733987</v>
      </c>
      <c r="E89" s="175">
        <f>Statement!O193</f>
        <v>0.28269819732506302</v>
      </c>
      <c r="F89" s="175">
        <f>Statement!P193</f>
        <v>0.18783094368819361</v>
      </c>
      <c r="G89" s="175">
        <f>Statement!Q193</f>
        <v>0.11679303852221261</v>
      </c>
      <c r="I89" s="197"/>
    </row>
    <row r="90" spans="2:9" x14ac:dyDescent="0.2">
      <c r="B90" s="20" t="str">
        <f>Statement!B194</f>
        <v>Payment solutions</v>
      </c>
      <c r="C90" s="175">
        <f>Statement!M194</f>
        <v>1</v>
      </c>
      <c r="D90" s="175">
        <f>Statement!N194</f>
        <v>0.20194475544853607</v>
      </c>
      <c r="E90" s="175">
        <f>Statement!O194</f>
        <v>0.20725296039199673</v>
      </c>
      <c r="F90" s="175">
        <f>Statement!P194</f>
        <v>7.5362012472254519E-2</v>
      </c>
      <c r="G90" s="175">
        <f>Statement!Q194</f>
        <v>0.19381757420876744</v>
      </c>
      <c r="I90" s="197"/>
    </row>
    <row r="91" spans="2:9" x14ac:dyDescent="0.2">
      <c r="B91" s="20" t="str">
        <f>Statement!B195</f>
        <v>Network solutions</v>
      </c>
      <c r="C91" s="175">
        <f>Statement!M195</f>
        <v>1</v>
      </c>
      <c r="D91" s="175">
        <f>Statement!N195</f>
        <v>0.40079591759015959</v>
      </c>
      <c r="E91" s="175">
        <f>Statement!O195</f>
        <v>0.30837196025391822</v>
      </c>
      <c r="F91" s="175">
        <f>Statement!P195</f>
        <v>0.26295284302826927</v>
      </c>
      <c r="G91" s="175">
        <f>Statement!Q195</f>
        <v>0.14895979862293626</v>
      </c>
      <c r="I91" s="197"/>
    </row>
    <row r="93" spans="2:9" ht="17" thickBot="1" x14ac:dyDescent="0.25">
      <c r="B93" s="14" t="s">
        <v>324</v>
      </c>
      <c r="C93" s="14"/>
      <c r="D93" s="14"/>
      <c r="E93" s="14"/>
      <c r="F93" s="14"/>
      <c r="G93" s="14"/>
      <c r="I93" s="14"/>
    </row>
    <row r="94" spans="2:9" x14ac:dyDescent="0.2">
      <c r="B94" s="20" t="s">
        <v>296</v>
      </c>
      <c r="C94" s="175">
        <f>Statement!M199</f>
        <v>0</v>
      </c>
      <c r="D94" s="175">
        <f>Statement!N199</f>
        <v>0</v>
      </c>
      <c r="E94" s="175">
        <f>Statement!O199</f>
        <v>0</v>
      </c>
      <c r="F94" s="175">
        <f>Statement!P199</f>
        <v>0</v>
      </c>
      <c r="G94" s="175">
        <f>Statement!Q199</f>
        <v>0</v>
      </c>
      <c r="I94" s="19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93F86-70CC-F54A-91FC-45975067BFCE}">
  <dimension ref="B1:G35"/>
  <sheetViews>
    <sheetView topLeftCell="A21" zoomScale="180" workbookViewId="0">
      <selection activeCell="D34" sqref="D34"/>
    </sheetView>
  </sheetViews>
  <sheetFormatPr baseColWidth="10" defaultRowHeight="16" x14ac:dyDescent="0.2"/>
  <cols>
    <col min="1" max="1" width="3.6640625" style="1" customWidth="1"/>
    <col min="2" max="2" width="29.33203125" style="1" customWidth="1"/>
    <col min="3" max="3" width="11.33203125" style="1" customWidth="1"/>
    <col min="4" max="4" width="11.83203125" style="1" customWidth="1"/>
    <col min="5" max="5" width="2.83203125" style="1" customWidth="1"/>
    <col min="6" max="6" width="11.6640625" style="1" customWidth="1"/>
    <col min="7" max="7" width="11.83203125" style="1" customWidth="1"/>
    <col min="8" max="16384" width="10.83203125" style="1"/>
  </cols>
  <sheetData>
    <row r="1" spans="2:7" ht="12" customHeight="1" x14ac:dyDescent="0.2"/>
    <row r="3" spans="2:7" x14ac:dyDescent="0.2">
      <c r="B3" s="8"/>
      <c r="C3" s="271" t="s">
        <v>325</v>
      </c>
      <c r="D3" s="272"/>
      <c r="F3" s="273" t="s">
        <v>326</v>
      </c>
      <c r="G3" s="272"/>
    </row>
    <row r="4" spans="2:7" x14ac:dyDescent="0.2">
      <c r="B4" s="8"/>
      <c r="C4" s="10" t="str">
        <f>Statement!Z2</f>
        <v>30.04.2026</v>
      </c>
      <c r="D4" s="203" t="str">
        <f>Statement!AA2</f>
        <v>31.07.2026</v>
      </c>
      <c r="F4" s="204" t="str">
        <f>Statement!W2</f>
        <v>31.07.2025</v>
      </c>
      <c r="G4" s="203" t="str">
        <f>Statement!AA2</f>
        <v>31.07.2026</v>
      </c>
    </row>
    <row r="5" spans="2:7" x14ac:dyDescent="0.2">
      <c r="B5" s="8" t="s">
        <v>331</v>
      </c>
      <c r="C5" s="10" t="str">
        <f>Statement!Z3</f>
        <v>Q1 2027</v>
      </c>
      <c r="D5" s="203" t="str">
        <f>Statement!AA3</f>
        <v>Q2 2027</v>
      </c>
      <c r="F5" s="204" t="str">
        <f>Statement!W3</f>
        <v>Q2 2026</v>
      </c>
      <c r="G5" s="203" t="str">
        <f>Statement!AA3</f>
        <v>Q2 2027</v>
      </c>
    </row>
    <row r="6" spans="2:7" x14ac:dyDescent="0.2">
      <c r="B6" s="205" t="s">
        <v>20</v>
      </c>
      <c r="C6" s="199">
        <f>Statement!Z5</f>
        <v>130935</v>
      </c>
      <c r="D6" s="198">
        <f>Statement!AA5</f>
        <v>129458</v>
      </c>
      <c r="F6" s="199">
        <f>Statement!W5</f>
        <v>117255</v>
      </c>
      <c r="G6" s="198">
        <f>Statement!AA5</f>
        <v>129458</v>
      </c>
    </row>
    <row r="7" spans="2:7" x14ac:dyDescent="0.2">
      <c r="B7" s="206" t="s">
        <v>327</v>
      </c>
      <c r="C7" s="269">
        <f>Statement!AA91</f>
        <v>-1.128040630847367E-2</v>
      </c>
      <c r="D7" s="270"/>
      <c r="F7" s="269">
        <f>IF(F6=0,
IF(G6=0,0,IF(G6&gt;0,1,-1)),
(G6-F6)/ABS(F6)
)</f>
        <v>0.10407232100976505</v>
      </c>
      <c r="G7" s="270"/>
    </row>
    <row r="8" spans="2:7" x14ac:dyDescent="0.2">
      <c r="B8" s="207" t="s">
        <v>21</v>
      </c>
      <c r="C8" s="200">
        <f>Statement!Z6</f>
        <v>43334</v>
      </c>
      <c r="D8" s="198">
        <f>Statement!AA6</f>
        <v>43185</v>
      </c>
      <c r="F8" s="200">
        <f>Statement!W6</f>
        <v>37641</v>
      </c>
      <c r="G8" s="198">
        <f>Statement!AA6</f>
        <v>43185</v>
      </c>
    </row>
    <row r="9" spans="2:7" x14ac:dyDescent="0.2">
      <c r="B9" s="206" t="s">
        <v>327</v>
      </c>
      <c r="C9" s="269">
        <f>Statement!AA92</f>
        <v>-3.438408639867079E-3</v>
      </c>
      <c r="D9" s="270"/>
      <c r="F9" s="269">
        <f>IF(F8=0,
IF(G8=0,0,IF(G8&gt;0,1,-1)),
(G8-F8)/ABS(F8)
)</f>
        <v>0.14728620387343588</v>
      </c>
      <c r="G9" s="270"/>
    </row>
    <row r="10" spans="2:7" x14ac:dyDescent="0.2">
      <c r="B10" s="207" t="s">
        <v>22</v>
      </c>
      <c r="C10" s="200">
        <f>Statement!Z7</f>
        <v>87601</v>
      </c>
      <c r="D10" s="198">
        <f>Statement!AA7</f>
        <v>86273</v>
      </c>
      <c r="F10" s="200">
        <f>Statement!W7</f>
        <v>79614</v>
      </c>
      <c r="G10" s="198">
        <f>Statement!AA7</f>
        <v>86273</v>
      </c>
    </row>
    <row r="11" spans="2:7" x14ac:dyDescent="0.2">
      <c r="B11" s="206" t="s">
        <v>327</v>
      </c>
      <c r="C11" s="269">
        <f>Statement!AA93</f>
        <v>-1.5159644296297988E-2</v>
      </c>
      <c r="D11" s="270"/>
      <c r="F11" s="269">
        <f>IF(F10=0,
IF(G10=0,0,IF(G10&gt;0,1,-1)),
(G10-F10)/ABS(F10)
)</f>
        <v>8.3641068153842285E-2</v>
      </c>
      <c r="G11" s="270"/>
    </row>
    <row r="12" spans="2:7" x14ac:dyDescent="0.2">
      <c r="B12" s="207" t="s">
        <v>26</v>
      </c>
      <c r="C12" s="200">
        <f>Statement!Z13</f>
        <v>80852</v>
      </c>
      <c r="D12" s="198">
        <f>Statement!AA13</f>
        <v>78665</v>
      </c>
      <c r="F12" s="200">
        <f>Statement!W13</f>
        <v>81121</v>
      </c>
      <c r="G12" s="198">
        <f>Statement!AA13</f>
        <v>78665</v>
      </c>
    </row>
    <row r="13" spans="2:7" x14ac:dyDescent="0.2">
      <c r="B13" s="206" t="s">
        <v>327</v>
      </c>
      <c r="C13" s="269">
        <f>Statement!AA99</f>
        <v>-2.704942363825261E-2</v>
      </c>
      <c r="D13" s="270"/>
      <c r="F13" s="269">
        <f>IF(F12=0,
IF(G12=0,0,IF(G12&gt;0,1,-1)),
(G12-F12)/ABS(F12)
)</f>
        <v>-3.0275760900383378E-2</v>
      </c>
      <c r="G13" s="270"/>
    </row>
    <row r="14" spans="2:7" x14ac:dyDescent="0.2">
      <c r="B14" s="207" t="s">
        <v>328</v>
      </c>
      <c r="C14" s="200">
        <f>Statement!Z14</f>
        <v>6749</v>
      </c>
      <c r="D14" s="198">
        <f>Statement!AA14</f>
        <v>7608</v>
      </c>
      <c r="F14" s="200">
        <f>Statement!W14</f>
        <v>-1507</v>
      </c>
      <c r="G14" s="198">
        <f>Statement!AA14</f>
        <v>7608</v>
      </c>
    </row>
    <row r="15" spans="2:7" x14ac:dyDescent="0.2">
      <c r="B15" s="206" t="s">
        <v>327</v>
      </c>
      <c r="C15" s="269">
        <f>Statement!AA100</f>
        <v>0.12727811527633723</v>
      </c>
      <c r="D15" s="270"/>
      <c r="F15" s="269">
        <f>IF(F14=0,
IF(G14=0,0,IF(G14&gt;0,1,-1)),
(G14-F14)/ABS(F14)
)</f>
        <v>6.0484406104844064</v>
      </c>
      <c r="G15" s="270"/>
    </row>
    <row r="16" spans="2:7" x14ac:dyDescent="0.2">
      <c r="B16" s="207" t="s">
        <v>32</v>
      </c>
      <c r="C16" s="200">
        <f>Statement!Z20</f>
        <v>2963</v>
      </c>
      <c r="D16" s="198">
        <f>Statement!AA20</f>
        <v>1918</v>
      </c>
      <c r="F16" s="200">
        <f>Statement!W20</f>
        <v>654</v>
      </c>
      <c r="G16" s="198">
        <f>Statement!AA20</f>
        <v>1918</v>
      </c>
    </row>
    <row r="17" spans="2:7" x14ac:dyDescent="0.2">
      <c r="B17" s="206" t="s">
        <v>327</v>
      </c>
      <c r="C17" s="269">
        <f>Statement!AA102</f>
        <v>-0.35268309146135673</v>
      </c>
      <c r="D17" s="270"/>
      <c r="F17" s="269">
        <f>IF(F16=0,
IF(G16=0,0,IF(G16&gt;0,1,-1)),
(G16-F16)/ABS(F16)
)</f>
        <v>1.9327217125382263</v>
      </c>
      <c r="G17" s="270"/>
    </row>
    <row r="18" spans="2:7" x14ac:dyDescent="0.2">
      <c r="B18" s="207" t="s">
        <v>329</v>
      </c>
      <c r="C18" s="200">
        <f>Statement!Z24</f>
        <v>62041</v>
      </c>
      <c r="D18" s="198">
        <f>Statement!AA24</f>
        <v>62463</v>
      </c>
      <c r="F18" s="200">
        <f>Statement!W24</f>
        <v>61686</v>
      </c>
      <c r="G18" s="198">
        <f>Statement!AA24</f>
        <v>62463</v>
      </c>
    </row>
    <row r="19" spans="2:7" x14ac:dyDescent="0.2">
      <c r="B19" s="206" t="s">
        <v>327</v>
      </c>
      <c r="C19" s="269">
        <f>IF(C18=0,
IF(D18=0,0,IF(D18&gt;0,1,-1)),
(D18-C18)/ABS(C18)
)</f>
        <v>6.8019535468480524E-3</v>
      </c>
      <c r="D19" s="270"/>
      <c r="F19" s="269">
        <f>IF(F18=0,
IF(G18=0,0,IF(G18&gt;0,1,-1)),
(G18-F18)/ABS(F18)
)</f>
        <v>1.2596050967804688E-2</v>
      </c>
      <c r="G19" s="270"/>
    </row>
    <row r="20" spans="2:7" x14ac:dyDescent="0.2">
      <c r="B20" s="207" t="s">
        <v>39</v>
      </c>
      <c r="C20" s="201">
        <f>Statement!Z28</f>
        <v>0.05</v>
      </c>
      <c r="D20" s="202">
        <f>Statement!AA28</f>
        <v>0.03</v>
      </c>
      <c r="F20" s="201">
        <f>Statement!W28</f>
        <v>0.01</v>
      </c>
      <c r="G20" s="202">
        <f>Statement!AA28</f>
        <v>0.03</v>
      </c>
    </row>
    <row r="21" spans="2:7" x14ac:dyDescent="0.2">
      <c r="B21" s="206" t="s">
        <v>327</v>
      </c>
      <c r="C21" s="269">
        <f>IF(C20=0,
IF(D20=0,0,IF(D20&gt;0,1,-1)),
(D20-C20)/ABS(C20)
)</f>
        <v>-0.40000000000000008</v>
      </c>
      <c r="D21" s="270"/>
      <c r="F21" s="269">
        <f>IF(F20=0,
IF(G20=0,0,IF(G20&gt;0,1,-1)),
(G20-F20)/ABS(F20)
)</f>
        <v>1.9999999999999996</v>
      </c>
      <c r="G21" s="270"/>
    </row>
    <row r="23" spans="2:7" x14ac:dyDescent="0.2">
      <c r="B23" s="8" t="s">
        <v>330</v>
      </c>
      <c r="C23" s="10" t="str">
        <f>C5</f>
        <v>Q1 2027</v>
      </c>
      <c r="D23" s="203" t="str">
        <f>D5</f>
        <v>Q2 2027</v>
      </c>
      <c r="F23" s="204" t="str">
        <f>F5</f>
        <v>Q2 2026</v>
      </c>
      <c r="G23" s="203" t="str">
        <f>G5</f>
        <v>Q2 2027</v>
      </c>
    </row>
    <row r="24" spans="2:7" x14ac:dyDescent="0.2">
      <c r="B24" s="20" t="str">
        <f>Statement!B193</f>
        <v>Subscription and related services</v>
      </c>
      <c r="C24" s="200">
        <f>Statement!Z187</f>
        <v>52721</v>
      </c>
      <c r="D24" s="198">
        <f>Statement!AA187</f>
        <v>52695</v>
      </c>
      <c r="F24" s="200">
        <f>Statement!W187</f>
        <v>53702</v>
      </c>
      <c r="G24" s="198">
        <f>Statement!AA187</f>
        <v>52695</v>
      </c>
    </row>
    <row r="25" spans="2:7" x14ac:dyDescent="0.2">
      <c r="B25" s="206" t="s">
        <v>327</v>
      </c>
      <c r="C25" s="269">
        <f>IF(C24=0,
IF(D24=0,0,IF(D24&gt;0,1,-1)),
(D24-C24)/ABS(C24)
)</f>
        <v>-4.9316211756226169E-4</v>
      </c>
      <c r="D25" s="270"/>
      <c r="F25" s="269">
        <f>IF(F24=0,
IF(G24=0,0,IF(G24&gt;0,1,-1)),
(G24-F24)/ABS(F24)
)</f>
        <v>-1.8751629362034932E-2</v>
      </c>
      <c r="G25" s="270"/>
    </row>
    <row r="26" spans="2:7" x14ac:dyDescent="0.2">
      <c r="B26" s="20" t="str">
        <f>Statement!B194</f>
        <v>Payment solutions</v>
      </c>
      <c r="C26" s="200">
        <f>Statement!Z188</f>
        <v>41941</v>
      </c>
      <c r="D26" s="198">
        <f>Statement!AA188</f>
        <v>38489</v>
      </c>
      <c r="F26" s="200">
        <f>Statement!W188</f>
        <v>28392</v>
      </c>
      <c r="G26" s="198">
        <f>Statement!AA188</f>
        <v>38489</v>
      </c>
    </row>
    <row r="27" spans="2:7" x14ac:dyDescent="0.2">
      <c r="B27" s="206" t="s">
        <v>327</v>
      </c>
      <c r="C27" s="269">
        <f>IF(C26=0,
IF(D26=0,0,IF(D26&gt;0,1,-1)),
(D26-C26)/ABS(C26)
)</f>
        <v>-8.2306096659593236E-2</v>
      </c>
      <c r="D27" s="270"/>
      <c r="F27" s="269">
        <f>IF(F26=0,
IF(G26=0,0,IF(G26&gt;0,1,-1)),
(G26-F26)/ABS(F26)
)</f>
        <v>0.35562834601296139</v>
      </c>
      <c r="G27" s="270"/>
    </row>
    <row r="28" spans="2:7" x14ac:dyDescent="0.2">
      <c r="B28" s="20" t="str">
        <f>Statement!B195</f>
        <v>Network solutions</v>
      </c>
      <c r="C28" s="200">
        <f>Statement!Z189</f>
        <v>36273</v>
      </c>
      <c r="D28" s="198">
        <f>Statement!AA189</f>
        <v>38274</v>
      </c>
      <c r="F28" s="200">
        <f>Statement!W189</f>
        <v>35161</v>
      </c>
      <c r="G28" s="198">
        <f>Statement!AA189</f>
        <v>38274</v>
      </c>
    </row>
    <row r="29" spans="2:7" x14ac:dyDescent="0.2">
      <c r="B29" s="206" t="s">
        <v>327</v>
      </c>
      <c r="C29" s="269">
        <f>IF(C28=0,
IF(D28=0,0,IF(D28&gt;0,1,-1)),
(D28-C28)/ABS(C28)
)</f>
        <v>5.5164998759407821E-2</v>
      </c>
      <c r="D29" s="270"/>
      <c r="F29" s="269">
        <f>IF(F28=0,
IF(G28=0,0,IF(G28&gt;0,1,-1)),
(G28-F28)/ABS(F28)
)</f>
        <v>8.8535593413156616E-2</v>
      </c>
      <c r="G29" s="270"/>
    </row>
    <row r="31" spans="2:7" x14ac:dyDescent="0.2">
      <c r="B31" s="8" t="s">
        <v>332</v>
      </c>
      <c r="C31" s="10" t="str">
        <f>C5</f>
        <v>Q1 2027</v>
      </c>
      <c r="D31" s="10" t="str">
        <f>D5</f>
        <v>Q2 2027</v>
      </c>
      <c r="F31" s="10" t="str">
        <f>F5</f>
        <v>Q2 2026</v>
      </c>
      <c r="G31" s="10" t="str">
        <f>G5</f>
        <v>Q2 2027</v>
      </c>
    </row>
    <row r="32" spans="2:7" x14ac:dyDescent="0.2">
      <c r="B32" s="20" t="str">
        <f>Statement!B209</f>
        <v>AHSC</v>
      </c>
      <c r="C32" s="200">
        <f>Statement!Z209</f>
        <v>4708</v>
      </c>
      <c r="D32" s="200">
        <f>Statement!AA209</f>
        <v>4744</v>
      </c>
      <c r="F32" s="200">
        <f>Statement!W209</f>
        <v>4467</v>
      </c>
      <c r="G32" s="198">
        <f>Statement!AA209</f>
        <v>4744</v>
      </c>
    </row>
    <row r="33" spans="2:7" x14ac:dyDescent="0.2">
      <c r="B33" s="206" t="s">
        <v>327</v>
      </c>
      <c r="C33" s="269">
        <f>IF(C32=0,
IF(D32=0,0,IF(D32&gt;0,1,-1)),
(D32-C32)/ABS(C32)
)</f>
        <v>7.6465590484282074E-3</v>
      </c>
      <c r="D33" s="270"/>
      <c r="F33" s="269">
        <f>IF(F32=0,
IF(G32=0,0,IF(G32&gt;0,1,-1)),
(G32-F32)/ABS(F32)
)</f>
        <v>6.2010297738974707E-2</v>
      </c>
      <c r="G33" s="270"/>
    </row>
    <row r="34" spans="2:7" x14ac:dyDescent="0.2">
      <c r="B34" s="235" t="str">
        <f>Statement!B210</f>
        <v>Avg subscription revenue per AHSC</v>
      </c>
      <c r="C34" s="236">
        <f>Statement!Z210</f>
        <v>11.198173322005097</v>
      </c>
      <c r="D34" s="236">
        <f>Statement!AA210</f>
        <v>11.107715008431704</v>
      </c>
      <c r="F34" s="236">
        <f>Statement!W210</f>
        <v>12.021938661293934</v>
      </c>
      <c r="G34" s="237">
        <f>Statement!AA210</f>
        <v>11.107715008431704</v>
      </c>
    </row>
    <row r="35" spans="2:7" x14ac:dyDescent="0.2">
      <c r="B35" s="206" t="s">
        <v>327</v>
      </c>
      <c r="C35" s="269">
        <f>IF(C34=0,
IF(D34=0,0,IF(D34&gt;0,1,-1)),
(D34-C34)/ABS(C34)
)</f>
        <v>-8.0779526242585314E-3</v>
      </c>
      <c r="D35" s="270"/>
      <c r="F35" s="269">
        <f>IF(F34=0,
IF(G34=0,0,IF(G34&gt;0,1,-1)),
(G34-F34)/ABS(F34)
)</f>
        <v>-7.604627494945404E-2</v>
      </c>
      <c r="G35" s="270"/>
    </row>
  </sheetData>
  <mergeCells count="28">
    <mergeCell ref="C3:D3"/>
    <mergeCell ref="F3:G3"/>
    <mergeCell ref="C7:D7"/>
    <mergeCell ref="F7:G7"/>
    <mergeCell ref="C9:D9"/>
    <mergeCell ref="F9:G9"/>
    <mergeCell ref="C11:D11"/>
    <mergeCell ref="F11:G11"/>
    <mergeCell ref="C13:D13"/>
    <mergeCell ref="F13:G13"/>
    <mergeCell ref="C15:D15"/>
    <mergeCell ref="F15:G15"/>
    <mergeCell ref="C17:D17"/>
    <mergeCell ref="F17:G17"/>
    <mergeCell ref="F19:G19"/>
    <mergeCell ref="C19:D19"/>
    <mergeCell ref="C21:D21"/>
    <mergeCell ref="F21:G21"/>
    <mergeCell ref="C33:D33"/>
    <mergeCell ref="F33:G33"/>
    <mergeCell ref="C35:D35"/>
    <mergeCell ref="F35:G35"/>
    <mergeCell ref="C25:D25"/>
    <mergeCell ref="F25:G25"/>
    <mergeCell ref="C27:D27"/>
    <mergeCell ref="F27:G27"/>
    <mergeCell ref="C29:D29"/>
    <mergeCell ref="F29:G29"/>
  </mergeCells>
  <pageMargins left="0.7" right="0.7" top="0.75" bottom="0.75" header="0.3" footer="0.3"/>
  <ignoredErrors>
    <ignoredError sqref="F8 F10 F12 F14 F16 F18 C20 F20 C26 F26 C28 F28"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D4CD5-3D15-DF4B-A135-ED758F2E1A8D}">
  <dimension ref="B55:L73"/>
  <sheetViews>
    <sheetView topLeftCell="E60" zoomScale="159" workbookViewId="0">
      <selection activeCell="B65" sqref="B65"/>
    </sheetView>
  </sheetViews>
  <sheetFormatPr baseColWidth="10" defaultRowHeight="16" x14ac:dyDescent="0.2"/>
  <cols>
    <col min="1" max="1" width="2.6640625" style="1" customWidth="1"/>
    <col min="2" max="2" width="21" style="1" customWidth="1"/>
    <col min="3" max="16384" width="10.83203125" style="1"/>
  </cols>
  <sheetData>
    <row r="55" spans="2:12" x14ac:dyDescent="0.2">
      <c r="B55" s="10"/>
      <c r="C55" s="10">
        <f>Statement!H2</f>
        <v>0</v>
      </c>
      <c r="D55" s="10">
        <f>Statement!I2</f>
        <v>0</v>
      </c>
      <c r="E55" s="10">
        <f>Statement!J2</f>
        <v>0</v>
      </c>
      <c r="F55" s="10">
        <f>Statement!K2</f>
        <v>0</v>
      </c>
      <c r="G55" s="10">
        <f>Statement!L2</f>
        <v>0</v>
      </c>
      <c r="H55" s="10" t="str">
        <f>Statement!M2</f>
        <v>31.01.2022</v>
      </c>
      <c r="I55" s="10" t="str">
        <f>Statement!N2</f>
        <v>31.01.2023</v>
      </c>
      <c r="J55" s="10" t="str">
        <f>Statement!O2</f>
        <v>31.01.2024</v>
      </c>
      <c r="K55" s="10" t="str">
        <f>Statement!P2</f>
        <v>31.01.2025</v>
      </c>
      <c r="L55" s="10" t="str">
        <f>Statement!Q2</f>
        <v>31.01.2026</v>
      </c>
    </row>
    <row r="56" spans="2:12" x14ac:dyDescent="0.2">
      <c r="B56" s="10"/>
      <c r="C56" s="10">
        <f>Statement!H3</f>
        <v>0</v>
      </c>
      <c r="D56" s="10">
        <f>Statement!I3</f>
        <v>0</v>
      </c>
      <c r="E56" s="10">
        <f>Statement!J3</f>
        <v>0</v>
      </c>
      <c r="F56" s="10">
        <f>Statement!K3</f>
        <v>0</v>
      </c>
      <c r="G56" s="10">
        <f>Statement!L3</f>
        <v>0</v>
      </c>
      <c r="H56" s="10">
        <f>Statement!M3</f>
        <v>2022</v>
      </c>
      <c r="I56" s="10">
        <f>Statement!N3</f>
        <v>2023</v>
      </c>
      <c r="J56" s="10">
        <f>Statement!O3</f>
        <v>2024</v>
      </c>
      <c r="K56" s="10">
        <f>Statement!P3</f>
        <v>2025</v>
      </c>
      <c r="L56" s="10">
        <f>Statement!Q3</f>
        <v>2026</v>
      </c>
    </row>
    <row r="57" spans="2:12" x14ac:dyDescent="0.2">
      <c r="B57" s="20" t="s">
        <v>20</v>
      </c>
      <c r="C57" s="64">
        <f>Statement!H5</f>
        <v>0</v>
      </c>
      <c r="D57" s="64">
        <f>Statement!I5</f>
        <v>0</v>
      </c>
      <c r="E57" s="64">
        <f>Statement!J5</f>
        <v>0</v>
      </c>
      <c r="F57" s="64">
        <f>Statement!K5</f>
        <v>0</v>
      </c>
      <c r="G57" s="64">
        <f>Statement!L5</f>
        <v>0</v>
      </c>
      <c r="H57" s="24">
        <f>Statement!M5</f>
        <v>213233</v>
      </c>
      <c r="I57" s="24">
        <f>Statement!N5</f>
        <v>280910</v>
      </c>
      <c r="J57" s="24">
        <f>Statement!O5</f>
        <v>356299</v>
      </c>
      <c r="K57" s="24">
        <f>Statement!P5</f>
        <v>419813</v>
      </c>
      <c r="L57" s="24">
        <f>Statement!Q5</f>
        <v>480591</v>
      </c>
    </row>
    <row r="58" spans="2:12" x14ac:dyDescent="0.2">
      <c r="B58" s="20" t="s">
        <v>27</v>
      </c>
      <c r="C58" s="64">
        <f>Statement!H14</f>
        <v>0</v>
      </c>
      <c r="D58" s="64">
        <f>Statement!I14</f>
        <v>0</v>
      </c>
      <c r="E58" s="64">
        <f>Statement!J14</f>
        <v>0</v>
      </c>
      <c r="F58" s="64">
        <f>Statement!K14</f>
        <v>0</v>
      </c>
      <c r="G58" s="64">
        <f>Statement!L14</f>
        <v>0</v>
      </c>
      <c r="H58" s="64">
        <f>Statement!M14</f>
        <v>-116817</v>
      </c>
      <c r="I58" s="64">
        <f>Statement!N14</f>
        <v>-176552</v>
      </c>
      <c r="J58" s="64">
        <f>Statement!O14</f>
        <v>-136479</v>
      </c>
      <c r="K58" s="64">
        <f>Statement!P14</f>
        <v>-58097</v>
      </c>
      <c r="L58" s="64">
        <f>Statement!Q14</f>
        <v>-6612</v>
      </c>
    </row>
    <row r="59" spans="2:12" x14ac:dyDescent="0.2">
      <c r="B59" s="20" t="s">
        <v>32</v>
      </c>
      <c r="C59" s="64">
        <f>Statement!H20</f>
        <v>0</v>
      </c>
      <c r="D59" s="64">
        <f>Statement!I20</f>
        <v>0</v>
      </c>
      <c r="E59" s="64">
        <f>Statement!J20</f>
        <v>0</v>
      </c>
      <c r="F59" s="64">
        <f>Statement!K20</f>
        <v>0</v>
      </c>
      <c r="G59" s="64">
        <f>Statement!L20</f>
        <v>0</v>
      </c>
      <c r="H59" s="64">
        <f>Statement!M20</f>
        <v>-118161</v>
      </c>
      <c r="I59" s="64">
        <f>Statement!N20</f>
        <v>-176146</v>
      </c>
      <c r="J59" s="64">
        <f>Statement!O20</f>
        <v>-136885</v>
      </c>
      <c r="K59" s="64">
        <f>Statement!P20</f>
        <v>-58527</v>
      </c>
      <c r="L59" s="64">
        <f>Statement!Q20</f>
        <v>-9312</v>
      </c>
    </row>
    <row r="60" spans="2:12" x14ac:dyDescent="0.2">
      <c r="B60" s="20" t="s">
        <v>273</v>
      </c>
      <c r="C60" s="64">
        <f>Statement!H157</f>
        <v>0</v>
      </c>
      <c r="D60" s="64">
        <f>Statement!I157</f>
        <v>0</v>
      </c>
      <c r="E60" s="64">
        <f>Statement!J157</f>
        <v>0</v>
      </c>
      <c r="F60" s="64">
        <f>Statement!K157</f>
        <v>0</v>
      </c>
      <c r="G60" s="64">
        <f>Statement!L157</f>
        <v>0</v>
      </c>
      <c r="H60" s="64">
        <f>Statement!M157</f>
        <v>-141659</v>
      </c>
      <c r="I60" s="64">
        <f>Statement!N157</f>
        <v>-175101</v>
      </c>
      <c r="J60" s="64">
        <f>Statement!O157</f>
        <v>-129088</v>
      </c>
      <c r="K60" s="64">
        <f>Statement!P157</f>
        <v>-58683</v>
      </c>
      <c r="L60" s="64">
        <f>Statement!Q157</f>
        <v>-13035</v>
      </c>
    </row>
    <row r="61" spans="2:12" x14ac:dyDescent="0.2">
      <c r="B61" s="20" t="s">
        <v>274</v>
      </c>
      <c r="C61" s="64">
        <f>Statement!H158</f>
        <v>0</v>
      </c>
      <c r="D61" s="64">
        <f>Statement!I158</f>
        <v>0</v>
      </c>
      <c r="E61" s="64">
        <f>Statement!J158</f>
        <v>0</v>
      </c>
      <c r="F61" s="64">
        <f>Statement!K158</f>
        <v>0</v>
      </c>
      <c r="G61" s="64">
        <f>Statement!L158</f>
        <v>0</v>
      </c>
      <c r="H61" s="64">
        <f>Statement!M158</f>
        <v>-144891</v>
      </c>
      <c r="I61" s="64">
        <f>Statement!N158</f>
        <v>-181313</v>
      </c>
      <c r="J61" s="64">
        <f>Statement!O158</f>
        <v>-133726</v>
      </c>
      <c r="K61" s="64">
        <f>Statement!P158</f>
        <v>-60793</v>
      </c>
      <c r="L61" s="64">
        <f>Statement!Q158</f>
        <v>-13646</v>
      </c>
    </row>
    <row r="62" spans="2:12" x14ac:dyDescent="0.2">
      <c r="B62" s="20" t="s">
        <v>79</v>
      </c>
      <c r="C62" s="58">
        <f>Statement!H105</f>
        <v>0</v>
      </c>
      <c r="D62" s="58">
        <f>Statement!I105</f>
        <v>0</v>
      </c>
      <c r="E62" s="58">
        <f>Statement!J105</f>
        <v>0</v>
      </c>
      <c r="F62" s="58">
        <f>Statement!K105</f>
        <v>0</v>
      </c>
      <c r="G62" s="58">
        <f>Statement!L105</f>
        <v>0</v>
      </c>
      <c r="H62" s="58">
        <f>Statement!M105</f>
        <v>0.61831423841525468</v>
      </c>
      <c r="I62" s="58">
        <f>Statement!N105</f>
        <v>0.6110248834146168</v>
      </c>
      <c r="J62" s="58">
        <f>Statement!O105</f>
        <v>0.65194681994616877</v>
      </c>
      <c r="K62" s="58">
        <f>Statement!P105</f>
        <v>0.67858546543341913</v>
      </c>
      <c r="L62" s="58">
        <f>Statement!Q105</f>
        <v>0.67930527205045454</v>
      </c>
    </row>
    <row r="63" spans="2:12" x14ac:dyDescent="0.2">
      <c r="B63" s="20" t="s">
        <v>80</v>
      </c>
      <c r="C63" s="58">
        <f>Statement!H106</f>
        <v>0</v>
      </c>
      <c r="D63" s="58">
        <f>Statement!I106</f>
        <v>0</v>
      </c>
      <c r="E63" s="58">
        <f>Statement!J106</f>
        <v>0</v>
      </c>
      <c r="F63" s="58">
        <f>Statement!K106</f>
        <v>0</v>
      </c>
      <c r="G63" s="58">
        <f>Statement!L106</f>
        <v>0</v>
      </c>
      <c r="H63" s="58">
        <f>Statement!M106</f>
        <v>-0.547837342250027</v>
      </c>
      <c r="I63" s="58">
        <f>Statement!N106</f>
        <v>-0.62850023139083688</v>
      </c>
      <c r="J63" s="58">
        <f>Statement!O106</f>
        <v>-0.38304626170716166</v>
      </c>
      <c r="K63" s="58">
        <f>Statement!P106</f>
        <v>-0.13838780599933781</v>
      </c>
      <c r="L63" s="58">
        <f>Statement!Q106</f>
        <v>-1.3758060388147093E-2</v>
      </c>
    </row>
    <row r="64" spans="2:12" x14ac:dyDescent="0.2">
      <c r="B64" s="20" t="s">
        <v>81</v>
      </c>
      <c r="C64" s="58">
        <f>Statement!H107</f>
        <v>0</v>
      </c>
      <c r="D64" s="58">
        <f>Statement!I107</f>
        <v>0</v>
      </c>
      <c r="E64" s="58">
        <f>Statement!J107</f>
        <v>0</v>
      </c>
      <c r="F64" s="58">
        <f>Statement!K107</f>
        <v>0</v>
      </c>
      <c r="G64" s="58">
        <f>Statement!L107</f>
        <v>0</v>
      </c>
      <c r="H64" s="58">
        <f>Statement!M107</f>
        <v>-0.55414030661295388</v>
      </c>
      <c r="I64" s="58">
        <f>Statement!N107</f>
        <v>-0.62705492862482648</v>
      </c>
      <c r="J64" s="58">
        <f>Statement!O107</f>
        <v>-0.384185754099787</v>
      </c>
      <c r="K64" s="58">
        <f>Statement!P107</f>
        <v>-0.13941207156519689</v>
      </c>
      <c r="L64" s="58">
        <f>Statement!Q107</f>
        <v>-1.9376143123778847E-2</v>
      </c>
    </row>
    <row r="65" spans="2:12" x14ac:dyDescent="0.2">
      <c r="B65" s="20" t="str">
        <f>"Revenue "&amp;Statement!B193</f>
        <v>Revenue Subscription and related services</v>
      </c>
      <c r="C65" s="64">
        <f>Statement!H187</f>
        <v>0</v>
      </c>
      <c r="D65" s="64">
        <f>Statement!I187</f>
        <v>0</v>
      </c>
      <c r="E65" s="64">
        <f>Statement!J187</f>
        <v>0</v>
      </c>
      <c r="F65" s="64">
        <f>Statement!K187</f>
        <v>0</v>
      </c>
      <c r="G65" s="64">
        <f>Statement!L187</f>
        <v>0</v>
      </c>
      <c r="H65" s="64">
        <f>Statement!M187</f>
        <v>95514</v>
      </c>
      <c r="I65" s="64">
        <f>Statement!N187</f>
        <v>128975</v>
      </c>
      <c r="J65" s="64">
        <f>Statement!O187</f>
        <v>165436</v>
      </c>
      <c r="K65" s="64">
        <f>Statement!P187</f>
        <v>196510</v>
      </c>
      <c r="L65" s="64">
        <f>Statement!Q187</f>
        <v>219461</v>
      </c>
    </row>
    <row r="66" spans="2:12" x14ac:dyDescent="0.2">
      <c r="B66" s="20" t="str">
        <f>"Revenue "&amp;Statement!B194</f>
        <v>Revenue Payment solutions</v>
      </c>
      <c r="C66" s="64">
        <f>Statement!H188</f>
        <v>0</v>
      </c>
      <c r="D66" s="64">
        <f>Statement!I188</f>
        <v>0</v>
      </c>
      <c r="E66" s="64">
        <f>Statement!J188</f>
        <v>0</v>
      </c>
      <c r="F66" s="64">
        <f>Statement!K188</f>
        <v>0</v>
      </c>
      <c r="G66" s="64">
        <f>Statement!L188</f>
        <v>0</v>
      </c>
      <c r="H66" s="64">
        <f>Statement!M188</f>
        <v>65201</v>
      </c>
      <c r="I66" s="64">
        <f>Statement!N188</f>
        <v>78368</v>
      </c>
      <c r="J66" s="64">
        <f>Statement!O188</f>
        <v>94610</v>
      </c>
      <c r="K66" s="64">
        <f>Statement!P188</f>
        <v>101740</v>
      </c>
      <c r="L66" s="64">
        <f>Statement!Q188</f>
        <v>121459</v>
      </c>
    </row>
    <row r="67" spans="2:12" x14ac:dyDescent="0.2">
      <c r="B67" s="20" t="str">
        <f>"Revenue "&amp;Statement!B195</f>
        <v>Revenue Network solutions</v>
      </c>
      <c r="C67" s="64">
        <f>Statement!H189</f>
        <v>0</v>
      </c>
      <c r="D67" s="64">
        <f>Statement!I189</f>
        <v>0</v>
      </c>
      <c r="E67" s="64">
        <f>Statement!J189</f>
        <v>0</v>
      </c>
      <c r="F67" s="64">
        <f>Statement!K189</f>
        <v>0</v>
      </c>
      <c r="G67" s="64">
        <f>Statement!L189</f>
        <v>0</v>
      </c>
      <c r="H67" s="64">
        <f>Statement!M189</f>
        <v>52518</v>
      </c>
      <c r="I67" s="64">
        <f>Statement!N189</f>
        <v>73567</v>
      </c>
      <c r="J67" s="64">
        <f>Statement!O189</f>
        <v>96253</v>
      </c>
      <c r="K67" s="64">
        <f>Statement!P189</f>
        <v>121563</v>
      </c>
      <c r="L67" s="64">
        <f>Statement!Q189</f>
        <v>139671</v>
      </c>
    </row>
    <row r="68" spans="2:12" x14ac:dyDescent="0.2">
      <c r="B68" s="20" t="s">
        <v>112</v>
      </c>
      <c r="C68" s="218">
        <f>Statement!H127</f>
        <v>0</v>
      </c>
      <c r="D68" s="218">
        <f>Statement!I127</f>
        <v>0</v>
      </c>
      <c r="E68" s="218">
        <f>Statement!J127</f>
        <v>0</v>
      </c>
      <c r="F68" s="218">
        <f>Statement!K127</f>
        <v>0</v>
      </c>
      <c r="G68" s="218">
        <f>Statement!L127</f>
        <v>0</v>
      </c>
      <c r="H68" s="218">
        <f>Statement!M127</f>
        <v>-0.23896205275888008</v>
      </c>
      <c r="I68" s="218">
        <f>Statement!N127</f>
        <v>-0.47599694101179013</v>
      </c>
      <c r="J68" s="218">
        <f>Statement!O127</f>
        <v>-0.36963378212709885</v>
      </c>
      <c r="K68" s="218">
        <f>Statement!P127</f>
        <v>-0.15068161631244933</v>
      </c>
      <c r="L68" s="218">
        <f>Statement!Q127</f>
        <v>-1.4028533120414589E-2</v>
      </c>
    </row>
    <row r="69" spans="2:12" x14ac:dyDescent="0.2">
      <c r="B69" s="20" t="s">
        <v>114</v>
      </c>
      <c r="C69" s="218">
        <f>Statement!H129</f>
        <v>0</v>
      </c>
      <c r="D69" s="218">
        <f>Statement!I129</f>
        <v>0</v>
      </c>
      <c r="E69" s="218">
        <f>Statement!J129</f>
        <v>0</v>
      </c>
      <c r="F69" s="218">
        <f>Statement!K129</f>
        <v>0</v>
      </c>
      <c r="G69" s="218">
        <f>Statement!L129</f>
        <v>0</v>
      </c>
      <c r="H69" s="218">
        <f>Statement!M129</f>
        <v>-0.28316957438650303</v>
      </c>
      <c r="I69" s="218">
        <f>Statement!N129</f>
        <v>-0.61200268224126975</v>
      </c>
      <c r="J69" s="218">
        <f>Statement!O129</f>
        <v>-0.54438474601211384</v>
      </c>
      <c r="K69" s="218">
        <f>Statement!P129</f>
        <v>-0.22101673665448177</v>
      </c>
      <c r="L69" s="218">
        <f>Statement!Q129</f>
        <v>-2.7615085096098241E-2</v>
      </c>
    </row>
    <row r="70" spans="2:12" x14ac:dyDescent="0.2">
      <c r="B70" s="20" t="s">
        <v>115</v>
      </c>
      <c r="C70" s="218">
        <f>Statement!H140</f>
        <v>0</v>
      </c>
      <c r="D70" s="218">
        <f>Statement!I140</f>
        <v>0</v>
      </c>
      <c r="E70" s="218">
        <f>Statement!J140</f>
        <v>0</v>
      </c>
      <c r="F70" s="218">
        <f>Statement!K140</f>
        <v>0</v>
      </c>
      <c r="G70" s="218">
        <f>Statement!L140</f>
        <v>0</v>
      </c>
      <c r="H70" s="218">
        <f>Statement!M140</f>
        <v>-1.0008996504215504</v>
      </c>
      <c r="I70" s="218">
        <f>Statement!N140</f>
        <v>-1.4832189392857442</v>
      </c>
      <c r="J70" s="218">
        <f>Statement!O140</f>
        <v>-0.77816803033326676</v>
      </c>
      <c r="K70" s="218">
        <f>Statement!P140</f>
        <v>-0.29523683688974039</v>
      </c>
      <c r="L70" s="218">
        <f>Statement!Q140</f>
        <v>-1.8191572778671949E-2</v>
      </c>
    </row>
    <row r="71" spans="2:12" x14ac:dyDescent="0.2">
      <c r="B71" s="20" t="s">
        <v>361</v>
      </c>
      <c r="C71" s="227">
        <f>Statement!H203</f>
        <v>0</v>
      </c>
      <c r="D71" s="227">
        <f>Statement!I203</f>
        <v>0</v>
      </c>
      <c r="E71" s="227">
        <f>Statement!J203</f>
        <v>0</v>
      </c>
      <c r="F71" s="227">
        <f>Statement!K203</f>
        <v>0</v>
      </c>
      <c r="G71" s="227">
        <f>Statement!L203</f>
        <v>0</v>
      </c>
      <c r="H71" s="227">
        <f>Statement!M203</f>
        <v>100</v>
      </c>
      <c r="I71" s="227">
        <f>Statement!N203</f>
        <v>127.2503516174402</v>
      </c>
      <c r="J71" s="227">
        <f>Statement!O203</f>
        <v>90.049226441631504</v>
      </c>
      <c r="K71" s="227">
        <f>Statement!P203</f>
        <v>101.96905766526018</v>
      </c>
      <c r="L71" s="227">
        <f>Statement!Q203</f>
        <v>47.222222222222221</v>
      </c>
    </row>
    <row r="72" spans="2:12" x14ac:dyDescent="0.2">
      <c r="B72" s="20" t="s">
        <v>362</v>
      </c>
      <c r="C72" s="227">
        <f>Statement!H204</f>
        <v>0</v>
      </c>
      <c r="D72" s="227">
        <f>Statement!I204</f>
        <v>0</v>
      </c>
      <c r="E72" s="227">
        <f>Statement!J204</f>
        <v>0</v>
      </c>
      <c r="F72" s="227">
        <f>Statement!K204</f>
        <v>0</v>
      </c>
      <c r="G72" s="227">
        <f>Statement!L204</f>
        <v>0</v>
      </c>
      <c r="H72" s="227">
        <f>Statement!M204</f>
        <v>100</v>
      </c>
      <c r="I72" s="227">
        <f>Statement!N204</f>
        <v>131.73852077305108</v>
      </c>
      <c r="J72" s="227">
        <f>Statement!O204</f>
        <v>167.09374252578164</v>
      </c>
      <c r="K72" s="227">
        <f>Statement!P204</f>
        <v>196.87993884623862</v>
      </c>
      <c r="L72" s="227">
        <f>Statement!Q204</f>
        <v>225.38303170709978</v>
      </c>
    </row>
    <row r="73" spans="2:12" x14ac:dyDescent="0.2">
      <c r="B73" s="20" t="s">
        <v>363</v>
      </c>
      <c r="C73" s="227">
        <f>Statement!H205</f>
        <v>0</v>
      </c>
      <c r="D73" s="227">
        <f>Statement!I205</f>
        <v>0</v>
      </c>
      <c r="E73" s="227">
        <f>Statement!J205</f>
        <v>0</v>
      </c>
      <c r="F73" s="227">
        <f>Statement!K205</f>
        <v>0</v>
      </c>
      <c r="G73" s="227">
        <f>Statement!L205</f>
        <v>0</v>
      </c>
      <c r="H73" s="227">
        <f>Statement!M205</f>
        <v>100</v>
      </c>
      <c r="I73" s="227">
        <f>Statement!N205</f>
        <v>58.227848101265835</v>
      </c>
      <c r="J73" s="227">
        <f>Statement!O205</f>
        <v>94.09282700421943</v>
      </c>
      <c r="K73" s="227">
        <f>Statement!P205</f>
        <v>156.96202531645568</v>
      </c>
      <c r="L73" s="227">
        <f>Statement!Q205</f>
        <v>193.24894514767931</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C9119-3B3B-094C-BA34-9489CF595CBC}">
  <dimension ref="B55:J66"/>
  <sheetViews>
    <sheetView topLeftCell="A13" zoomScale="161" workbookViewId="0">
      <selection activeCell="C52" sqref="C52"/>
    </sheetView>
  </sheetViews>
  <sheetFormatPr baseColWidth="10" defaultRowHeight="16" x14ac:dyDescent="0.2"/>
  <cols>
    <col min="1" max="1" width="2.6640625" style="1" customWidth="1"/>
    <col min="2" max="2" width="20" style="1" customWidth="1"/>
    <col min="3" max="16384" width="10.83203125" style="1"/>
  </cols>
  <sheetData>
    <row r="55" spans="2:10" x14ac:dyDescent="0.2">
      <c r="B55" s="10"/>
      <c r="C55" s="10" t="str">
        <f>Statement!T2</f>
        <v>31.10.2024</v>
      </c>
      <c r="D55" s="10" t="str">
        <f>Statement!U2</f>
        <v>31.01.2025</v>
      </c>
      <c r="E55" s="10" t="str">
        <f>Statement!V2</f>
        <v>30.04.2025</v>
      </c>
      <c r="F55" s="10" t="str">
        <f>Statement!W2</f>
        <v>31.07.2025</v>
      </c>
      <c r="G55" s="10" t="str">
        <f>Statement!X2</f>
        <v>31.10.2025</v>
      </c>
      <c r="H55" s="10" t="str">
        <f>Statement!Y2</f>
        <v>31.01.2026</v>
      </c>
      <c r="I55" s="10" t="str">
        <f>Statement!Z2</f>
        <v>30.04.2026</v>
      </c>
      <c r="J55" s="10" t="str">
        <f>Statement!AA2</f>
        <v>31.07.2026</v>
      </c>
    </row>
    <row r="56" spans="2:10" x14ac:dyDescent="0.2">
      <c r="B56" s="10"/>
      <c r="C56" s="10" t="str">
        <f>Statement!T3</f>
        <v>Q3 2025</v>
      </c>
      <c r="D56" s="10" t="str">
        <f>Statement!U3</f>
        <v>Q4 2025</v>
      </c>
      <c r="E56" s="10" t="str">
        <f>Statement!V3</f>
        <v>Q1 2026</v>
      </c>
      <c r="F56" s="10" t="str">
        <f>Statement!W3</f>
        <v>Q2 2026</v>
      </c>
      <c r="G56" s="10" t="str">
        <f>Statement!X3</f>
        <v>Q3 2026</v>
      </c>
      <c r="H56" s="10" t="str">
        <f>Statement!Y3</f>
        <v>Q4 2026</v>
      </c>
      <c r="I56" s="10" t="str">
        <f>Statement!Z3</f>
        <v>Q1 2027</v>
      </c>
      <c r="J56" s="10" t="str">
        <f>Statement!AA3</f>
        <v>Q2 2027</v>
      </c>
    </row>
    <row r="57" spans="2:10" x14ac:dyDescent="0.2">
      <c r="B57" s="20" t="s">
        <v>20</v>
      </c>
      <c r="C57" s="64">
        <f>Statement!T5</f>
        <v>106800</v>
      </c>
      <c r="D57" s="64">
        <f>Statement!U5</f>
        <v>109681</v>
      </c>
      <c r="E57" s="64">
        <f>Statement!V5</f>
        <v>115936</v>
      </c>
      <c r="F57" s="64">
        <f>Statement!W5</f>
        <v>117255</v>
      </c>
      <c r="G57" s="64">
        <f>Statement!X5</f>
        <v>120333</v>
      </c>
      <c r="H57" s="64">
        <f>Statement!Y5</f>
        <v>127067</v>
      </c>
      <c r="I57" s="64">
        <f>Statement!Z5</f>
        <v>130935</v>
      </c>
      <c r="J57" s="64">
        <f>Statement!AA5</f>
        <v>129458</v>
      </c>
    </row>
    <row r="58" spans="2:10" x14ac:dyDescent="0.2">
      <c r="B58" s="20" t="s">
        <v>27</v>
      </c>
      <c r="C58" s="64">
        <f>Statement!T14</f>
        <v>-13843</v>
      </c>
      <c r="D58" s="64">
        <f>Statement!U14</f>
        <v>-7612</v>
      </c>
      <c r="E58" s="64">
        <f>Statement!V14</f>
        <v>-3287</v>
      </c>
      <c r="F58" s="64">
        <f>Statement!W14</f>
        <v>-1507</v>
      </c>
      <c r="G58" s="64">
        <f>Statement!X14</f>
        <v>3739</v>
      </c>
      <c r="H58" s="64">
        <f>Statement!Y14</f>
        <v>-5557</v>
      </c>
      <c r="I58" s="64">
        <f>Statement!Z14</f>
        <v>6749</v>
      </c>
      <c r="J58" s="64">
        <f>Statement!AA14</f>
        <v>7608</v>
      </c>
    </row>
    <row r="59" spans="2:10" x14ac:dyDescent="0.2">
      <c r="B59" s="20" t="s">
        <v>32</v>
      </c>
      <c r="C59" s="64">
        <f>Statement!T20</f>
        <v>-14403</v>
      </c>
      <c r="D59" s="64">
        <f>Statement!U20</f>
        <v>-6390</v>
      </c>
      <c r="E59" s="64">
        <f>Statement!V20</f>
        <v>-3914</v>
      </c>
      <c r="F59" s="64">
        <f>Statement!W20</f>
        <v>654</v>
      </c>
      <c r="G59" s="64">
        <f>Statement!X20</f>
        <v>4271</v>
      </c>
      <c r="H59" s="64">
        <f>Statement!Y20</f>
        <v>-10323</v>
      </c>
      <c r="I59" s="64">
        <f>Statement!Z20</f>
        <v>2963</v>
      </c>
      <c r="J59" s="64">
        <f>Statement!AA20</f>
        <v>1918</v>
      </c>
    </row>
    <row r="60" spans="2:10" x14ac:dyDescent="0.2">
      <c r="B60" s="20" t="s">
        <v>79</v>
      </c>
      <c r="C60" s="58">
        <f>Statement!T105</f>
        <v>0.67661985018726589</v>
      </c>
      <c r="D60" s="58">
        <f>Statement!U105</f>
        <v>0.69396704989925329</v>
      </c>
      <c r="E60" s="58">
        <f>Statement!V105</f>
        <v>0.67167230195970196</v>
      </c>
      <c r="F60" s="58">
        <f>Statement!W105</f>
        <v>0.67898170653703471</v>
      </c>
      <c r="G60" s="58">
        <f>Statement!X105</f>
        <v>0.68398527419743549</v>
      </c>
      <c r="H60" s="58">
        <f>Statement!Y105</f>
        <v>0.68213619586517349</v>
      </c>
      <c r="I60" s="58">
        <f>Statement!Z105</f>
        <v>0.66904189101462552</v>
      </c>
      <c r="J60" s="58">
        <f>Statement!AA105</f>
        <v>0.66641690741398751</v>
      </c>
    </row>
    <row r="61" spans="2:10" x14ac:dyDescent="0.2">
      <c r="B61" s="20" t="s">
        <v>80</v>
      </c>
      <c r="C61" s="58">
        <f>Statement!T106</f>
        <v>-0.12961610486891387</v>
      </c>
      <c r="D61" s="58">
        <f>Statement!U106</f>
        <v>-6.9401263664627413E-2</v>
      </c>
      <c r="E61" s="58">
        <f>Statement!V106</f>
        <v>-2.8351849296163401E-2</v>
      </c>
      <c r="F61" s="58">
        <f>Statement!W106</f>
        <v>-1.2852330391028101E-2</v>
      </c>
      <c r="G61" s="58">
        <f>Statement!X106</f>
        <v>3.1072108232986794E-2</v>
      </c>
      <c r="H61" s="58">
        <f>Statement!Y106</f>
        <v>-4.3732833859302572E-2</v>
      </c>
      <c r="I61" s="58">
        <f>Statement!Z106</f>
        <v>5.1544659563905755E-2</v>
      </c>
      <c r="J61" s="58">
        <f>Statement!AA106</f>
        <v>5.8768094671630952E-2</v>
      </c>
    </row>
    <row r="62" spans="2:10" x14ac:dyDescent="0.2">
      <c r="B62" s="20" t="s">
        <v>81</v>
      </c>
      <c r="C62" s="58">
        <f>Statement!T107</f>
        <v>-0.13485955056179774</v>
      </c>
      <c r="D62" s="58">
        <f>Statement!U107</f>
        <v>-5.8259862692717976E-2</v>
      </c>
      <c r="E62" s="58">
        <f>Statement!V107</f>
        <v>-3.3760005520287052E-2</v>
      </c>
      <c r="F62" s="58">
        <f>Statement!W107</f>
        <v>5.5775873097096071E-3</v>
      </c>
      <c r="G62" s="58">
        <f>Statement!X107</f>
        <v>3.5493173111282854E-2</v>
      </c>
      <c r="H62" s="58">
        <f>Statement!Y107</f>
        <v>-8.1240605349933506E-2</v>
      </c>
      <c r="I62" s="58">
        <f>Statement!Z107</f>
        <v>2.2629549012868982E-2</v>
      </c>
      <c r="J62" s="58">
        <f>Statement!AA107</f>
        <v>1.4815615875419056E-2</v>
      </c>
    </row>
    <row r="63" spans="2:10" x14ac:dyDescent="0.2">
      <c r="B63" s="20" t="str">
        <f>"Revenue "&amp;Statement!B193</f>
        <v>Revenue Subscription and related services</v>
      </c>
      <c r="C63" s="64">
        <f>Statement!T187</f>
        <v>49363</v>
      </c>
      <c r="D63" s="64">
        <f>Statement!U187</f>
        <v>51793</v>
      </c>
      <c r="E63" s="64">
        <f>Statement!V187</f>
        <v>54355</v>
      </c>
      <c r="F63" s="64">
        <f>Statement!W187</f>
        <v>53702</v>
      </c>
      <c r="G63" s="64">
        <f>Statement!X187</f>
        <v>55480</v>
      </c>
      <c r="H63" s="64">
        <f>Statement!Y187</f>
        <v>55924</v>
      </c>
      <c r="I63" s="64">
        <f>Statement!Z187</f>
        <v>52721</v>
      </c>
      <c r="J63" s="64">
        <f>Statement!AA187</f>
        <v>52695</v>
      </c>
    </row>
    <row r="64" spans="2:10" x14ac:dyDescent="0.2">
      <c r="B64" s="20" t="str">
        <f>"Revenue "&amp;Statement!B194</f>
        <v>Revenue Payment solutions</v>
      </c>
      <c r="C64" s="64">
        <f>Statement!T188</f>
        <v>24704</v>
      </c>
      <c r="D64" s="64">
        <f>Statement!U188</f>
        <v>24676</v>
      </c>
      <c r="E64" s="64">
        <f>Statement!V188</f>
        <v>29925</v>
      </c>
      <c r="F64" s="64">
        <f>Statement!W188</f>
        <v>28392</v>
      </c>
      <c r="G64" s="64">
        <f>Statement!X188</f>
        <v>27422</v>
      </c>
      <c r="H64" s="64">
        <f>Statement!Y188</f>
        <v>35720</v>
      </c>
      <c r="I64" s="64">
        <f>Statement!Z188</f>
        <v>41941</v>
      </c>
      <c r="J64" s="64">
        <f>Statement!AA188</f>
        <v>38489</v>
      </c>
    </row>
    <row r="65" spans="2:10" x14ac:dyDescent="0.2">
      <c r="B65" s="20" t="str">
        <f>"Revenue "&amp;Statement!B195</f>
        <v>Revenue Network solutions</v>
      </c>
      <c r="C65" s="64">
        <f>Statement!T189</f>
        <v>32733</v>
      </c>
      <c r="D65" s="64">
        <f>Statement!U189</f>
        <v>33212</v>
      </c>
      <c r="E65" s="64">
        <f>Statement!V189</f>
        <v>31656</v>
      </c>
      <c r="F65" s="64">
        <f>Statement!W189</f>
        <v>35161</v>
      </c>
      <c r="G65" s="64">
        <f>Statement!X189</f>
        <v>37431</v>
      </c>
      <c r="H65" s="64">
        <f>Statement!Y189</f>
        <v>35423</v>
      </c>
      <c r="I65" s="64">
        <f>Statement!Z189</f>
        <v>36273</v>
      </c>
      <c r="J65" s="64">
        <f>Statement!AA189</f>
        <v>38274</v>
      </c>
    </row>
    <row r="66" spans="2:10" x14ac:dyDescent="0.2">
      <c r="B66" s="20" t="s">
        <v>273</v>
      </c>
      <c r="C66" s="64">
        <f>Statement!T157</f>
        <v>-14922</v>
      </c>
      <c r="D66" s="64">
        <f>Statement!U157</f>
        <v>-7964</v>
      </c>
      <c r="E66" s="64">
        <f>Statement!V157</f>
        <v>-9767</v>
      </c>
      <c r="F66" s="64">
        <f>Statement!W157</f>
        <v>-6597</v>
      </c>
      <c r="G66" s="64">
        <f>Statement!X157</f>
        <v>-7158</v>
      </c>
      <c r="H66" s="64">
        <f>Statement!Y157</f>
        <v>10487</v>
      </c>
      <c r="I66" s="64">
        <f>Statement!Z157</f>
        <v>2818</v>
      </c>
      <c r="J66" s="64">
        <f>Statement!AA157</f>
        <v>1949</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4B610-4F16-C34E-B8D9-992F7812B5AD}">
  <sheetPr>
    <tabColor theme="6" tint="0.59999389629810485"/>
  </sheetPr>
  <dimension ref="B5:H13"/>
  <sheetViews>
    <sheetView workbookViewId="0">
      <selection activeCell="H10" sqref="H10"/>
    </sheetView>
  </sheetViews>
  <sheetFormatPr baseColWidth="10" defaultRowHeight="16" x14ac:dyDescent="0.2"/>
  <cols>
    <col min="1" max="7" width="10.83203125" style="1"/>
    <col min="8" max="8" width="21" style="1" customWidth="1"/>
    <col min="9" max="16384" width="10.83203125" style="1"/>
  </cols>
  <sheetData>
    <row r="5" spans="2:8" x14ac:dyDescent="0.2">
      <c r="H5" s="136" t="s">
        <v>443</v>
      </c>
    </row>
    <row r="6" spans="2:8" x14ac:dyDescent="0.2">
      <c r="H6" s="260" t="s">
        <v>448</v>
      </c>
    </row>
    <row r="7" spans="2:8" x14ac:dyDescent="0.2">
      <c r="H7" s="260" t="s">
        <v>444</v>
      </c>
    </row>
    <row r="8" spans="2:8" x14ac:dyDescent="0.2">
      <c r="H8" s="260" t="s">
        <v>445</v>
      </c>
    </row>
    <row r="9" spans="2:8" x14ac:dyDescent="0.2">
      <c r="H9" s="260" t="s">
        <v>446</v>
      </c>
    </row>
    <row r="10" spans="2:8" x14ac:dyDescent="0.2">
      <c r="H10" s="261" t="s">
        <v>447</v>
      </c>
    </row>
    <row r="13" spans="2:8" s="4" customFormat="1" ht="49" x14ac:dyDescent="0.2">
      <c r="B13" s="3" t="s">
        <v>121</v>
      </c>
    </row>
  </sheetData>
  <hyperlinks>
    <hyperlink ref="H6" location="Overview!B3" display="Overview'!B3" xr:uid="{BBA00E0F-1BD9-9C42-98C2-07BCDFC4AC57}"/>
    <hyperlink ref="H8" location="'Analysis -&gt;'!B13" display="'Analysis -&gt;'!B13" xr:uid="{13C161E0-B9F1-F947-94E5-CC9E17A8DEF7}"/>
    <hyperlink ref="H9" location="'Forecast -&gt;'!B13" display="'Forecast -&gt;'!B13" xr:uid="{2E444A28-14E6-8546-95CF-0DC745980C0A}"/>
    <hyperlink ref="H10" location="'Valuation -&gt;'!B13" display="'Valuation -&gt;'!B13" xr:uid="{667C2DD7-2AD6-8A40-83E8-5E681275FB39}"/>
    <hyperlink ref="H7" location="'Financials -&gt;'!B13" display="'Financials -&gt;'!B13" xr:uid="{696FB99B-A30D-C948-ADFD-0194F4E14885}"/>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282D1-ADA2-D843-8696-3FC058E17FA6}">
  <dimension ref="A1:AE35"/>
  <sheetViews>
    <sheetView topLeftCell="A18" zoomScale="184" zoomScaleNormal="75" workbookViewId="0">
      <selection activeCell="AA30" sqref="AA30"/>
    </sheetView>
  </sheetViews>
  <sheetFormatPr baseColWidth="10" defaultRowHeight="16" x14ac:dyDescent="0.2"/>
  <cols>
    <col min="1" max="1" width="2" style="84" customWidth="1"/>
    <col min="2" max="2" width="29.1640625" style="1" customWidth="1"/>
    <col min="3" max="3" width="10.83203125" style="1"/>
    <col min="4" max="4" width="10.83203125" style="1" customWidth="1"/>
    <col min="5" max="7" width="10.83203125" style="1"/>
    <col min="8" max="8" width="10.83203125" style="1" customWidth="1"/>
    <col min="9" max="12" width="10.83203125" style="1"/>
    <col min="13" max="13" width="2" style="1" customWidth="1"/>
    <col min="14" max="14" width="36.83203125" style="1" customWidth="1"/>
    <col min="15" max="16" width="2" style="1" customWidth="1"/>
    <col min="17" max="17" width="41.33203125" style="1" customWidth="1"/>
    <col min="18" max="18" width="29.33203125" style="1" customWidth="1"/>
    <col min="19" max="29" width="10.83203125" style="1"/>
    <col min="30" max="30" width="2" style="1" customWidth="1"/>
    <col min="31" max="31" width="12.33203125" style="1" customWidth="1"/>
    <col min="32" max="16384" width="10.83203125" style="1"/>
  </cols>
  <sheetData>
    <row r="1" spans="1:31" s="84" customFormat="1" ht="18" customHeight="1" x14ac:dyDescent="0.2">
      <c r="A1" s="4"/>
      <c r="B1" s="83" t="s">
        <v>122</v>
      </c>
      <c r="O1" s="85"/>
    </row>
    <row r="2" spans="1:31" x14ac:dyDescent="0.2">
      <c r="A2" s="4"/>
      <c r="C2" s="268" t="s">
        <v>123</v>
      </c>
      <c r="D2" s="268"/>
      <c r="E2" s="268"/>
      <c r="F2" s="268"/>
      <c r="G2" s="277"/>
      <c r="H2" s="278" t="s">
        <v>124</v>
      </c>
      <c r="I2" s="268"/>
      <c r="J2" s="268"/>
      <c r="K2" s="268"/>
      <c r="L2" s="268"/>
      <c r="O2" s="5"/>
      <c r="S2" s="268" t="s">
        <v>123</v>
      </c>
      <c r="T2" s="268"/>
      <c r="U2" s="268"/>
      <c r="V2" s="268"/>
      <c r="W2" s="268"/>
      <c r="X2" s="268"/>
      <c r="Y2" s="268"/>
      <c r="Z2" s="268"/>
      <c r="AA2" s="268" t="s">
        <v>124</v>
      </c>
      <c r="AB2" s="268"/>
      <c r="AC2" s="268"/>
      <c r="AE2" s="86" t="s">
        <v>125</v>
      </c>
    </row>
    <row r="3" spans="1:31" ht="10" customHeight="1" x14ac:dyDescent="0.2">
      <c r="O3" s="5"/>
    </row>
    <row r="4" spans="1:31" ht="16" customHeight="1" x14ac:dyDescent="0.2">
      <c r="A4" s="87"/>
      <c r="B4" s="60"/>
      <c r="C4" s="274" t="s">
        <v>126</v>
      </c>
      <c r="D4" s="274"/>
      <c r="E4" s="274"/>
      <c r="F4" s="274"/>
      <c r="G4" s="274"/>
      <c r="H4" s="274"/>
      <c r="I4" s="274"/>
      <c r="J4" s="274"/>
      <c r="K4" s="274"/>
      <c r="L4" s="274"/>
      <c r="O4" s="5"/>
      <c r="S4" s="275" t="s">
        <v>126</v>
      </c>
      <c r="T4" s="276"/>
      <c r="U4" s="276"/>
      <c r="V4" s="276"/>
      <c r="W4" s="276"/>
      <c r="X4" s="276"/>
      <c r="Y4" s="276"/>
      <c r="Z4" s="276"/>
      <c r="AA4" s="276"/>
      <c r="AB4" s="276"/>
      <c r="AC4" s="276"/>
      <c r="AE4" s="88"/>
    </row>
    <row r="5" spans="1:31" x14ac:dyDescent="0.2">
      <c r="B5" s="16" t="s">
        <v>127</v>
      </c>
      <c r="C5" s="12">
        <f>Statement!M3</f>
        <v>2022</v>
      </c>
      <c r="D5" s="12">
        <f>Statement!N3</f>
        <v>2023</v>
      </c>
      <c r="E5" s="12">
        <f>Statement!O3</f>
        <v>2024</v>
      </c>
      <c r="F5" s="12">
        <f>Statement!P3</f>
        <v>2025</v>
      </c>
      <c r="G5" s="12">
        <f>Statement!Q3</f>
        <v>2026</v>
      </c>
      <c r="H5" s="12">
        <f>G5+1</f>
        <v>2027</v>
      </c>
      <c r="I5" s="12">
        <f t="shared" ref="I5:L5" si="0">H5+1</f>
        <v>2028</v>
      </c>
      <c r="J5" s="12">
        <f t="shared" si="0"/>
        <v>2029</v>
      </c>
      <c r="K5" s="12">
        <f t="shared" si="0"/>
        <v>2030</v>
      </c>
      <c r="L5" s="12">
        <f t="shared" si="0"/>
        <v>2031</v>
      </c>
      <c r="O5" s="5"/>
      <c r="R5" s="16" t="str">
        <f>B5</f>
        <v>Revenues (thousand)</v>
      </c>
      <c r="S5" s="12" t="str">
        <f>Statement!T3</f>
        <v>Q3 2025</v>
      </c>
      <c r="T5" s="12" t="str">
        <f>Statement!U3</f>
        <v>Q4 2025</v>
      </c>
      <c r="U5" s="12" t="str">
        <f>Statement!V3</f>
        <v>Q1 2026</v>
      </c>
      <c r="V5" s="12" t="str">
        <f>Statement!W3</f>
        <v>Q2 2026</v>
      </c>
      <c r="W5" s="12" t="str">
        <f>Statement!X3</f>
        <v>Q3 2026</v>
      </c>
      <c r="X5" s="12" t="str">
        <f>Statement!Y3</f>
        <v>Q4 2026</v>
      </c>
      <c r="Y5" s="12" t="str">
        <f>Statement!Z3</f>
        <v>Q1 2027</v>
      </c>
      <c r="Z5" s="12" t="str">
        <f>Statement!AA3</f>
        <v>Q2 2027</v>
      </c>
      <c r="AA5" s="12" t="s">
        <v>128</v>
      </c>
      <c r="AB5" s="12" t="s">
        <v>129</v>
      </c>
      <c r="AC5" s="12" t="s">
        <v>130</v>
      </c>
      <c r="AE5" s="8" t="s">
        <v>128</v>
      </c>
    </row>
    <row r="6" spans="1:31" x14ac:dyDescent="0.2">
      <c r="B6" s="1" t="str">
        <f>Statement!B187</f>
        <v>Subscription and related services</v>
      </c>
      <c r="C6" s="89">
        <f>Statement!M187</f>
        <v>95514</v>
      </c>
      <c r="D6" s="89">
        <f>Statement!N187</f>
        <v>128975</v>
      </c>
      <c r="E6" s="89">
        <f>Statement!O187</f>
        <v>165436</v>
      </c>
      <c r="F6" s="89">
        <f>Statement!P187</f>
        <v>196510</v>
      </c>
      <c r="G6" s="90">
        <f>Statement!Q187</f>
        <v>219461</v>
      </c>
      <c r="H6" s="64">
        <f>H25*H27</f>
        <v>236161.98209999996</v>
      </c>
      <c r="I6" s="64">
        <f t="shared" ref="I6:L6" si="1">I25*I27</f>
        <v>255285.19860054739</v>
      </c>
      <c r="J6" s="64">
        <f t="shared" si="1"/>
        <v>274214.59607677796</v>
      </c>
      <c r="K6" s="64">
        <f t="shared" si="1"/>
        <v>304652.41624130035</v>
      </c>
      <c r="L6" s="64">
        <f t="shared" si="1"/>
        <v>346328.86678311031</v>
      </c>
      <c r="N6" s="91" t="s">
        <v>398</v>
      </c>
      <c r="O6" s="5"/>
      <c r="Q6" s="91" t="s">
        <v>398</v>
      </c>
      <c r="R6" s="1" t="str">
        <f>B6</f>
        <v>Subscription and related services</v>
      </c>
      <c r="S6" s="89">
        <f>Statement!T187</f>
        <v>49363</v>
      </c>
      <c r="T6" s="89">
        <f>Statement!U187</f>
        <v>51793</v>
      </c>
      <c r="U6" s="89">
        <f>Statement!V187</f>
        <v>54355</v>
      </c>
      <c r="V6" s="89">
        <f>Statement!W187</f>
        <v>53702</v>
      </c>
      <c r="W6" s="89">
        <f>Statement!X187</f>
        <v>55480</v>
      </c>
      <c r="X6" s="89">
        <f>Statement!Y187</f>
        <v>55924</v>
      </c>
      <c r="Y6" s="89">
        <f>Statement!Z187</f>
        <v>52721</v>
      </c>
      <c r="Z6" s="90">
        <f>Statement!AA187</f>
        <v>52695</v>
      </c>
      <c r="AA6" s="64">
        <f>AA25*AA27</f>
        <v>52689.730500000005</v>
      </c>
      <c r="AB6" s="64"/>
      <c r="AC6" s="64"/>
      <c r="AE6" s="64">
        <f>SUM(X6:AA6)</f>
        <v>214029.73050000001</v>
      </c>
    </row>
    <row r="7" spans="1:31" x14ac:dyDescent="0.2">
      <c r="B7" s="1" t="str">
        <f>Statement!B188</f>
        <v>Payment solutions</v>
      </c>
      <c r="C7" s="89">
        <f>Statement!M188</f>
        <v>65201</v>
      </c>
      <c r="D7" s="89">
        <f>Statement!N188</f>
        <v>78368</v>
      </c>
      <c r="E7" s="89">
        <f>Statement!O188</f>
        <v>94610</v>
      </c>
      <c r="F7" s="89">
        <f>Statement!P188</f>
        <v>101740</v>
      </c>
      <c r="G7" s="90">
        <f>Statement!Q188</f>
        <v>121459</v>
      </c>
      <c r="H7" s="64">
        <f>H21*H23*H24</f>
        <v>132935.44</v>
      </c>
      <c r="I7" s="64">
        <f t="shared" ref="I7:L7" si="2">I21*I23*I24</f>
        <v>139763.92617000005</v>
      </c>
      <c r="J7" s="64">
        <f t="shared" si="2"/>
        <v>148905.40323120003</v>
      </c>
      <c r="K7" s="64">
        <f t="shared" si="2"/>
        <v>159800.92054080006</v>
      </c>
      <c r="L7" s="64">
        <f t="shared" si="2"/>
        <v>171621.90827901906</v>
      </c>
      <c r="N7" s="91" t="s">
        <v>399</v>
      </c>
      <c r="O7" s="5"/>
      <c r="Q7" s="91" t="s">
        <v>399</v>
      </c>
      <c r="R7" s="1" t="str">
        <f t="shared" ref="R7:R8" si="3">B7</f>
        <v>Payment solutions</v>
      </c>
      <c r="S7" s="89">
        <f>Statement!T188</f>
        <v>24704</v>
      </c>
      <c r="T7" s="89">
        <f>Statement!U188</f>
        <v>24676</v>
      </c>
      <c r="U7" s="89">
        <f>Statement!V188</f>
        <v>29925</v>
      </c>
      <c r="V7" s="89">
        <f>Statement!W188</f>
        <v>28392</v>
      </c>
      <c r="W7" s="89">
        <f>Statement!X188</f>
        <v>27422</v>
      </c>
      <c r="X7" s="89">
        <f>Statement!Y188</f>
        <v>35720</v>
      </c>
      <c r="Y7" s="89">
        <f>Statement!Z188</f>
        <v>41941</v>
      </c>
      <c r="Z7" s="90">
        <f>Statement!AA188</f>
        <v>38489</v>
      </c>
      <c r="AA7" s="64">
        <f>AA21*AA24</f>
        <v>37398</v>
      </c>
      <c r="AB7" s="64"/>
      <c r="AC7" s="64"/>
      <c r="AE7" s="64">
        <f t="shared" ref="AE7:AE8" si="4">SUM(X7:AA7)</f>
        <v>153548</v>
      </c>
    </row>
    <row r="8" spans="1:31" x14ac:dyDescent="0.2">
      <c r="B8" s="1" t="str">
        <f>Statement!B189</f>
        <v>Network solutions</v>
      </c>
      <c r="C8" s="89">
        <f>Statement!M189</f>
        <v>52518</v>
      </c>
      <c r="D8" s="89">
        <f>Statement!N189</f>
        <v>73567</v>
      </c>
      <c r="E8" s="89">
        <f>Statement!O189</f>
        <v>96253</v>
      </c>
      <c r="F8" s="89">
        <f>Statement!P189</f>
        <v>121563</v>
      </c>
      <c r="G8" s="90">
        <f>Statement!Q189</f>
        <v>139671</v>
      </c>
      <c r="H8" s="64">
        <f>H29*H33</f>
        <v>142906.53109162496</v>
      </c>
      <c r="I8" s="64">
        <f t="shared" ref="I8:L8" si="5">I29*I33</f>
        <v>149029.79013583888</v>
      </c>
      <c r="J8" s="64">
        <f t="shared" si="5"/>
        <v>168084.36652813188</v>
      </c>
      <c r="K8" s="64">
        <f t="shared" si="5"/>
        <v>205674.75425848336</v>
      </c>
      <c r="L8" s="64">
        <f t="shared" si="5"/>
        <v>268479.59721885389</v>
      </c>
      <c r="N8" s="91" t="s">
        <v>400</v>
      </c>
      <c r="O8" s="5"/>
      <c r="Q8" s="91" t="s">
        <v>410</v>
      </c>
      <c r="R8" s="1" t="str">
        <f t="shared" si="3"/>
        <v>Network solutions</v>
      </c>
      <c r="S8" s="89">
        <f>Statement!T189</f>
        <v>32733</v>
      </c>
      <c r="T8" s="89">
        <f>Statement!U189</f>
        <v>33212</v>
      </c>
      <c r="U8" s="89">
        <f>Statement!V189</f>
        <v>31656</v>
      </c>
      <c r="V8" s="89">
        <f>Statement!W189</f>
        <v>35161</v>
      </c>
      <c r="W8" s="89">
        <f>Statement!X189</f>
        <v>37431</v>
      </c>
      <c r="X8" s="89">
        <f>Statement!Y189</f>
        <v>35423</v>
      </c>
      <c r="Y8" s="89">
        <f>Statement!Z189</f>
        <v>36273</v>
      </c>
      <c r="Z8" s="90">
        <f>Statement!AA189</f>
        <v>38274</v>
      </c>
      <c r="AA8" s="64">
        <f>AA25*AA29</f>
        <v>37497.037799999998</v>
      </c>
      <c r="AB8" s="64"/>
      <c r="AC8" s="64"/>
      <c r="AE8" s="64">
        <f t="shared" si="4"/>
        <v>147467.03779999999</v>
      </c>
    </row>
    <row r="9" spans="1:31" x14ac:dyDescent="0.2">
      <c r="B9" s="16" t="s">
        <v>131</v>
      </c>
      <c r="C9" s="93">
        <f>Statement!M5</f>
        <v>213233</v>
      </c>
      <c r="D9" s="93">
        <f>Statement!N5</f>
        <v>280910</v>
      </c>
      <c r="E9" s="93">
        <f>Statement!O5</f>
        <v>356299</v>
      </c>
      <c r="F9" s="93">
        <f>Statement!P5</f>
        <v>419813</v>
      </c>
      <c r="G9" s="94">
        <f>Statement!Q5</f>
        <v>480591</v>
      </c>
      <c r="H9" s="95">
        <f>SUM(H6:H8)</f>
        <v>512003.95319162495</v>
      </c>
      <c r="I9" s="95">
        <f t="shared" ref="I9:L9" si="6">SUM(I6:I8)</f>
        <v>544078.91490638629</v>
      </c>
      <c r="J9" s="95">
        <f t="shared" si="6"/>
        <v>591204.36583610985</v>
      </c>
      <c r="K9" s="95">
        <f t="shared" si="6"/>
        <v>670128.09104058379</v>
      </c>
      <c r="L9" s="95">
        <f t="shared" si="6"/>
        <v>786430.37228098325</v>
      </c>
      <c r="N9" s="238"/>
      <c r="O9" s="5"/>
      <c r="R9" s="16" t="s">
        <v>131</v>
      </c>
      <c r="S9" s="93">
        <f>Statement!T5</f>
        <v>106800</v>
      </c>
      <c r="T9" s="93">
        <f>Statement!U5</f>
        <v>109681</v>
      </c>
      <c r="U9" s="93">
        <f>Statement!V5</f>
        <v>115936</v>
      </c>
      <c r="V9" s="93">
        <f>Statement!W5</f>
        <v>117255</v>
      </c>
      <c r="W9" s="93">
        <f>Statement!X5</f>
        <v>120333</v>
      </c>
      <c r="X9" s="93">
        <f>Statement!Y5</f>
        <v>127067</v>
      </c>
      <c r="Y9" s="93">
        <f>Statement!Z5</f>
        <v>130935</v>
      </c>
      <c r="Z9" s="94">
        <f>Statement!AA5</f>
        <v>129458</v>
      </c>
      <c r="AA9" s="95">
        <f>SUM(AA6:AA8)</f>
        <v>127584.7683</v>
      </c>
      <c r="AB9" s="95"/>
      <c r="AC9" s="95"/>
      <c r="AE9" s="95">
        <f>SUM(X9:AA9)</f>
        <v>515044.7683</v>
      </c>
    </row>
    <row r="10" spans="1:31" x14ac:dyDescent="0.2">
      <c r="O10" s="5"/>
      <c r="Q10" s="92"/>
    </row>
    <row r="11" spans="1:31" x14ac:dyDescent="0.2">
      <c r="C11" s="274" t="s">
        <v>132</v>
      </c>
      <c r="D11" s="274"/>
      <c r="E11" s="274"/>
      <c r="F11" s="274"/>
      <c r="G11" s="274"/>
      <c r="H11" s="274"/>
      <c r="I11" s="274"/>
      <c r="J11" s="274"/>
      <c r="K11" s="274"/>
      <c r="L11" s="274"/>
      <c r="O11" s="5"/>
      <c r="Q11" s="92"/>
      <c r="S11" s="275" t="s">
        <v>132</v>
      </c>
      <c r="T11" s="276"/>
      <c r="U11" s="276"/>
      <c r="V11" s="276"/>
      <c r="W11" s="276"/>
      <c r="X11" s="276"/>
      <c r="Y11" s="276"/>
      <c r="Z11" s="276"/>
      <c r="AA11" s="276"/>
      <c r="AB11" s="276"/>
      <c r="AC11" s="276"/>
    </row>
    <row r="12" spans="1:31" x14ac:dyDescent="0.2">
      <c r="B12" s="16" t="s">
        <v>133</v>
      </c>
      <c r="C12" s="12">
        <f t="shared" ref="C12:L12" si="7">C5</f>
        <v>2022</v>
      </c>
      <c r="D12" s="12">
        <f t="shared" si="7"/>
        <v>2023</v>
      </c>
      <c r="E12" s="12">
        <f t="shared" si="7"/>
        <v>2024</v>
      </c>
      <c r="F12" s="12">
        <f t="shared" si="7"/>
        <v>2025</v>
      </c>
      <c r="G12" s="12">
        <f t="shared" si="7"/>
        <v>2026</v>
      </c>
      <c r="H12" s="12">
        <f t="shared" si="7"/>
        <v>2027</v>
      </c>
      <c r="I12" s="12">
        <f t="shared" si="7"/>
        <v>2028</v>
      </c>
      <c r="J12" s="12">
        <f t="shared" si="7"/>
        <v>2029</v>
      </c>
      <c r="K12" s="12">
        <f t="shared" si="7"/>
        <v>2030</v>
      </c>
      <c r="L12" s="12">
        <f t="shared" si="7"/>
        <v>2031</v>
      </c>
      <c r="O12" s="5"/>
      <c r="Q12" s="92"/>
      <c r="R12" s="16" t="s">
        <v>133</v>
      </c>
      <c r="S12" s="12" t="str">
        <f t="shared" ref="S12:AC12" si="8">S5</f>
        <v>Q3 2025</v>
      </c>
      <c r="T12" s="12" t="str">
        <f t="shared" si="8"/>
        <v>Q4 2025</v>
      </c>
      <c r="U12" s="12" t="str">
        <f t="shared" si="8"/>
        <v>Q1 2026</v>
      </c>
      <c r="V12" s="12" t="str">
        <f t="shared" si="8"/>
        <v>Q2 2026</v>
      </c>
      <c r="W12" s="12" t="str">
        <f t="shared" si="8"/>
        <v>Q3 2026</v>
      </c>
      <c r="X12" s="12" t="str">
        <f t="shared" si="8"/>
        <v>Q4 2026</v>
      </c>
      <c r="Y12" s="12" t="str">
        <f t="shared" si="8"/>
        <v>Q1 2027</v>
      </c>
      <c r="Z12" s="12" t="str">
        <f t="shared" si="8"/>
        <v>Q2 2027</v>
      </c>
      <c r="AA12" s="12" t="str">
        <f t="shared" si="8"/>
        <v>FQ1</v>
      </c>
      <c r="AB12" s="12" t="str">
        <f t="shared" si="8"/>
        <v>FQ2</v>
      </c>
      <c r="AC12" s="12" t="str">
        <f t="shared" si="8"/>
        <v>FQ3</v>
      </c>
    </row>
    <row r="13" spans="1:31" x14ac:dyDescent="0.2">
      <c r="B13" s="1" t="str">
        <f>B6</f>
        <v>Subscription and related services</v>
      </c>
      <c r="C13" s="47"/>
      <c r="D13" s="96">
        <f t="shared" ref="D13:L13" si="9">D6/C6-1</f>
        <v>0.35032560671733992</v>
      </c>
      <c r="E13" s="96">
        <f t="shared" si="9"/>
        <v>0.28269819732506307</v>
      </c>
      <c r="F13" s="96">
        <f t="shared" si="9"/>
        <v>0.18783094368819353</v>
      </c>
      <c r="G13" s="97">
        <f t="shared" si="9"/>
        <v>0.11679303852221268</v>
      </c>
      <c r="H13" s="96">
        <f t="shared" si="9"/>
        <v>7.6099999999999834E-2</v>
      </c>
      <c r="I13" s="96">
        <f t="shared" si="9"/>
        <v>8.0974999999999797E-2</v>
      </c>
      <c r="J13" s="96">
        <f t="shared" si="9"/>
        <v>7.4149999999999938E-2</v>
      </c>
      <c r="K13" s="96">
        <f t="shared" si="9"/>
        <v>0.11100000000000021</v>
      </c>
      <c r="L13" s="96">
        <f t="shared" si="9"/>
        <v>0.13680000000000025</v>
      </c>
      <c r="O13" s="5"/>
      <c r="Q13" s="92"/>
      <c r="R13" s="1" t="str">
        <f>R6</f>
        <v>Subscription and related services</v>
      </c>
      <c r="S13" s="47"/>
      <c r="T13" s="96">
        <f t="shared" ref="T13:AA16" si="10">T6/S6-1</f>
        <v>4.9227153941211022E-2</v>
      </c>
      <c r="U13" s="96">
        <f t="shared" si="10"/>
        <v>4.9466144073523344E-2</v>
      </c>
      <c r="V13" s="96">
        <f t="shared" si="10"/>
        <v>-1.2013614202925238E-2</v>
      </c>
      <c r="W13" s="96">
        <f t="shared" si="10"/>
        <v>3.3108636549849191E-2</v>
      </c>
      <c r="X13" s="96">
        <f t="shared" si="10"/>
        <v>8.0028839221339965E-3</v>
      </c>
      <c r="Y13" s="96">
        <f t="shared" si="10"/>
        <v>-5.7274157785566104E-2</v>
      </c>
      <c r="Z13" s="97">
        <f t="shared" si="10"/>
        <v>-4.9316211756222916E-4</v>
      </c>
      <c r="AA13" s="96">
        <f t="shared" si="10"/>
        <v>-9.9999999999877964E-5</v>
      </c>
      <c r="AB13" s="96"/>
      <c r="AC13" s="96"/>
    </row>
    <row r="14" spans="1:31" x14ac:dyDescent="0.2">
      <c r="B14" s="1" t="str">
        <f>B7</f>
        <v>Payment solutions</v>
      </c>
      <c r="C14" s="47"/>
      <c r="D14" s="96">
        <f t="shared" ref="D14:L14" si="11">D7/C7-1</f>
        <v>0.20194475544853607</v>
      </c>
      <c r="E14" s="96">
        <f t="shared" si="11"/>
        <v>0.20725296039199681</v>
      </c>
      <c r="F14" s="96">
        <f t="shared" si="11"/>
        <v>7.5362012472254492E-2</v>
      </c>
      <c r="G14" s="97">
        <f t="shared" si="11"/>
        <v>0.19381757420876755</v>
      </c>
      <c r="H14" s="96">
        <f t="shared" si="11"/>
        <v>9.448818119694713E-2</v>
      </c>
      <c r="I14" s="96">
        <f t="shared" si="11"/>
        <v>5.1366935483871279E-2</v>
      </c>
      <c r="J14" s="96">
        <f t="shared" si="11"/>
        <v>6.5406555981268433E-2</v>
      </c>
      <c r="K14" s="96">
        <f t="shared" si="11"/>
        <v>7.3170731707317138E-2</v>
      </c>
      <c r="L14" s="96">
        <f t="shared" si="11"/>
        <v>7.397321428571435E-2</v>
      </c>
      <c r="O14" s="5"/>
      <c r="Q14" s="92"/>
      <c r="R14" s="1" t="str">
        <f>R7</f>
        <v>Payment solutions</v>
      </c>
      <c r="S14" s="47"/>
      <c r="T14" s="96">
        <f t="shared" si="10"/>
        <v>-1.133419689119175E-3</v>
      </c>
      <c r="U14" s="96">
        <f t="shared" si="10"/>
        <v>0.21271680985573016</v>
      </c>
      <c r="V14" s="96">
        <f t="shared" si="10"/>
        <v>-5.1228070175438623E-2</v>
      </c>
      <c r="W14" s="96">
        <f t="shared" si="10"/>
        <v>-3.416455339532265E-2</v>
      </c>
      <c r="X14" s="96">
        <f t="shared" si="10"/>
        <v>0.30260374881482033</v>
      </c>
      <c r="Y14" s="96">
        <f t="shared" si="10"/>
        <v>0.17416013437849953</v>
      </c>
      <c r="Z14" s="97">
        <f t="shared" si="10"/>
        <v>-8.2306096659593209E-2</v>
      </c>
      <c r="AA14" s="96">
        <f t="shared" si="10"/>
        <v>-2.8345761126555624E-2</v>
      </c>
      <c r="AB14" s="96"/>
      <c r="AC14" s="96"/>
    </row>
    <row r="15" spans="1:31" x14ac:dyDescent="0.2">
      <c r="B15" s="1" t="str">
        <f>B8</f>
        <v>Network solutions</v>
      </c>
      <c r="C15" s="47"/>
      <c r="D15" s="96">
        <f t="shared" ref="D15:L15" si="12">D8/C8-1</f>
        <v>0.40079591759015964</v>
      </c>
      <c r="E15" s="96">
        <f t="shared" si="12"/>
        <v>0.30837196025391811</v>
      </c>
      <c r="F15" s="96">
        <f t="shared" si="12"/>
        <v>0.26295284302826927</v>
      </c>
      <c r="G15" s="97">
        <f t="shared" si="12"/>
        <v>0.14895979862293629</v>
      </c>
      <c r="H15" s="96">
        <f t="shared" si="12"/>
        <v>2.3165374999999599E-2</v>
      </c>
      <c r="I15" s="96">
        <f t="shared" si="12"/>
        <v>4.2847999999999775E-2</v>
      </c>
      <c r="J15" s="96">
        <f t="shared" si="12"/>
        <v>0.12785749999999996</v>
      </c>
      <c r="K15" s="96">
        <f t="shared" si="12"/>
        <v>0.22364000000000028</v>
      </c>
      <c r="L15" s="96">
        <f t="shared" si="12"/>
        <v>0.3053600000000003</v>
      </c>
      <c r="O15" s="5"/>
      <c r="Q15" s="92"/>
      <c r="R15" s="1" t="str">
        <f>R8</f>
        <v>Network solutions</v>
      </c>
      <c r="S15" s="47"/>
      <c r="T15" s="96">
        <f t="shared" si="10"/>
        <v>1.463355023981916E-2</v>
      </c>
      <c r="U15" s="96">
        <f t="shared" si="10"/>
        <v>-4.6850535950861083E-2</v>
      </c>
      <c r="V15" s="96">
        <f t="shared" si="10"/>
        <v>0.11072150619155918</v>
      </c>
      <c r="W15" s="96">
        <f t="shared" si="10"/>
        <v>6.4560166093114546E-2</v>
      </c>
      <c r="X15" s="96">
        <f t="shared" si="10"/>
        <v>-5.3645374155112058E-2</v>
      </c>
      <c r="Y15" s="96">
        <f t="shared" si="10"/>
        <v>2.3995709002625487E-2</v>
      </c>
      <c r="Z15" s="97">
        <f t="shared" si="10"/>
        <v>5.5164998759407835E-2</v>
      </c>
      <c r="AA15" s="96">
        <f t="shared" si="10"/>
        <v>-2.0300000000000096E-2</v>
      </c>
      <c r="AB15" s="96"/>
      <c r="AC15" s="96"/>
    </row>
    <row r="16" spans="1:31" x14ac:dyDescent="0.2">
      <c r="B16" s="16" t="str">
        <f>B9</f>
        <v>Total</v>
      </c>
      <c r="C16" s="47"/>
      <c r="D16" s="104">
        <f t="shared" ref="D16:L16" si="13">D9/C9-1</f>
        <v>0.31738520773051082</v>
      </c>
      <c r="E16" s="104">
        <f t="shared" si="13"/>
        <v>0.26837421238118964</v>
      </c>
      <c r="F16" s="104">
        <f t="shared" si="13"/>
        <v>0.17826039365813551</v>
      </c>
      <c r="G16" s="105">
        <f t="shared" si="13"/>
        <v>0.14477398270182196</v>
      </c>
      <c r="H16" s="104">
        <f t="shared" si="13"/>
        <v>6.5363174074472896E-2</v>
      </c>
      <c r="I16" s="104">
        <f t="shared" si="13"/>
        <v>6.2645925905101096E-2</v>
      </c>
      <c r="J16" s="104">
        <f t="shared" si="13"/>
        <v>8.6615102402620936E-2</v>
      </c>
      <c r="K16" s="104">
        <f t="shared" si="13"/>
        <v>0.13349651958820741</v>
      </c>
      <c r="L16" s="104">
        <f t="shared" si="13"/>
        <v>0.17355231454303577</v>
      </c>
      <c r="O16" s="5"/>
      <c r="Q16" s="92"/>
      <c r="R16" s="16" t="str">
        <f>R9</f>
        <v>Total</v>
      </c>
      <c r="S16" s="47"/>
      <c r="T16" s="104">
        <f t="shared" si="10"/>
        <v>2.6975655430711676E-2</v>
      </c>
      <c r="U16" s="104">
        <f t="shared" si="10"/>
        <v>5.7029020523153617E-2</v>
      </c>
      <c r="V16" s="104">
        <f t="shared" si="10"/>
        <v>1.1376966602263394E-2</v>
      </c>
      <c r="W16" s="104">
        <f t="shared" si="10"/>
        <v>2.625047972367911E-2</v>
      </c>
      <c r="X16" s="104">
        <f t="shared" si="10"/>
        <v>5.5961373854221286E-2</v>
      </c>
      <c r="Y16" s="104">
        <f t="shared" si="10"/>
        <v>3.0440633681443563E-2</v>
      </c>
      <c r="Z16" s="105">
        <f t="shared" si="10"/>
        <v>-1.1280406308473712E-2</v>
      </c>
      <c r="AA16" s="104">
        <f t="shared" si="10"/>
        <v>-1.4469802561448586E-2</v>
      </c>
      <c r="AB16" s="104"/>
      <c r="AC16" s="104"/>
    </row>
    <row r="17" spans="2:31" x14ac:dyDescent="0.2">
      <c r="O17" s="5"/>
      <c r="Q17" s="92"/>
    </row>
    <row r="18" spans="2:31" x14ac:dyDescent="0.2">
      <c r="O18" s="5"/>
      <c r="Q18" s="92"/>
    </row>
    <row r="19" spans="2:31" x14ac:dyDescent="0.2">
      <c r="C19" s="274" t="s">
        <v>134</v>
      </c>
      <c r="D19" s="274"/>
      <c r="E19" s="274"/>
      <c r="F19" s="274"/>
      <c r="G19" s="274"/>
      <c r="H19" s="274"/>
      <c r="I19" s="274"/>
      <c r="J19" s="274"/>
      <c r="K19" s="274"/>
      <c r="L19" s="274"/>
      <c r="O19" s="5"/>
      <c r="Q19" s="92"/>
      <c r="S19" s="275" t="s">
        <v>134</v>
      </c>
      <c r="T19" s="276"/>
      <c r="U19" s="276"/>
      <c r="V19" s="276"/>
      <c r="W19" s="276"/>
      <c r="X19" s="276"/>
      <c r="Y19" s="276"/>
      <c r="Z19" s="276"/>
      <c r="AA19" s="276"/>
      <c r="AB19" s="276"/>
      <c r="AC19" s="276"/>
      <c r="AE19" s="88">
        <f>AE4</f>
        <v>0</v>
      </c>
    </row>
    <row r="20" spans="2:31" x14ac:dyDescent="0.2">
      <c r="B20" s="16" t="s">
        <v>135</v>
      </c>
      <c r="C20" s="12">
        <f t="shared" ref="C20:L20" si="14">C5</f>
        <v>2022</v>
      </c>
      <c r="D20" s="12">
        <f t="shared" si="14"/>
        <v>2023</v>
      </c>
      <c r="E20" s="12">
        <f t="shared" si="14"/>
        <v>2024</v>
      </c>
      <c r="F20" s="12">
        <f t="shared" si="14"/>
        <v>2025</v>
      </c>
      <c r="G20" s="12">
        <f t="shared" si="14"/>
        <v>2026</v>
      </c>
      <c r="H20" s="12">
        <f t="shared" si="14"/>
        <v>2027</v>
      </c>
      <c r="I20" s="12">
        <f t="shared" si="14"/>
        <v>2028</v>
      </c>
      <c r="J20" s="12">
        <f t="shared" si="14"/>
        <v>2029</v>
      </c>
      <c r="K20" s="12">
        <f t="shared" si="14"/>
        <v>2030</v>
      </c>
      <c r="L20" s="12">
        <f t="shared" si="14"/>
        <v>2031</v>
      </c>
      <c r="O20" s="5"/>
      <c r="Q20" s="92"/>
      <c r="R20" s="16" t="s">
        <v>135</v>
      </c>
      <c r="S20" s="12" t="str">
        <f t="shared" ref="S20:AC20" si="15">S5</f>
        <v>Q3 2025</v>
      </c>
      <c r="T20" s="12" t="str">
        <f t="shared" si="15"/>
        <v>Q4 2025</v>
      </c>
      <c r="U20" s="12" t="str">
        <f t="shared" si="15"/>
        <v>Q1 2026</v>
      </c>
      <c r="V20" s="12" t="str">
        <f t="shared" si="15"/>
        <v>Q2 2026</v>
      </c>
      <c r="W20" s="12" t="str">
        <f t="shared" si="15"/>
        <v>Q3 2026</v>
      </c>
      <c r="X20" s="12" t="str">
        <f t="shared" si="15"/>
        <v>Q4 2026</v>
      </c>
      <c r="Y20" s="12" t="str">
        <f t="shared" si="15"/>
        <v>Q1 2027</v>
      </c>
      <c r="Z20" s="12" t="str">
        <f t="shared" si="15"/>
        <v>Q2 2027</v>
      </c>
      <c r="AA20" s="12" t="str">
        <f t="shared" si="15"/>
        <v>FQ1</v>
      </c>
      <c r="AB20" s="12" t="str">
        <f t="shared" si="15"/>
        <v>FQ2</v>
      </c>
      <c r="AC20" s="12" t="str">
        <f t="shared" si="15"/>
        <v>FQ3</v>
      </c>
      <c r="AE20" s="8" t="str">
        <f>AE5</f>
        <v>FQ1</v>
      </c>
    </row>
    <row r="21" spans="2:31" x14ac:dyDescent="0.2">
      <c r="B21" s="1" t="s">
        <v>391</v>
      </c>
      <c r="C21" s="108">
        <f>Statement!M211</f>
        <v>2768000</v>
      </c>
      <c r="D21" s="99">
        <f>Statement!N211</f>
        <v>3284000</v>
      </c>
      <c r="E21" s="99">
        <f>Statement!O211</f>
        <v>3947000</v>
      </c>
      <c r="F21" s="99">
        <f>Statement!P211</f>
        <v>4420000</v>
      </c>
      <c r="G21" s="100">
        <f>Statement!Q211</f>
        <v>4873000</v>
      </c>
      <c r="H21" s="64">
        <f>G21*(1+H22)</f>
        <v>5360300</v>
      </c>
      <c r="I21" s="64">
        <f t="shared" ref="I21:L21" si="16">H21*(1+I22)</f>
        <v>5949933.0000000009</v>
      </c>
      <c r="J21" s="64">
        <f t="shared" si="16"/>
        <v>6485426.9700000016</v>
      </c>
      <c r="K21" s="64">
        <f t="shared" si="16"/>
        <v>7133969.6670000022</v>
      </c>
      <c r="L21" s="64">
        <f t="shared" si="16"/>
        <v>7847366.6337000029</v>
      </c>
      <c r="N21" s="91" t="s">
        <v>401</v>
      </c>
      <c r="O21" s="5"/>
      <c r="Q21" s="91" t="s">
        <v>401</v>
      </c>
      <c r="R21" s="1" t="s">
        <v>391</v>
      </c>
      <c r="S21" s="154">
        <f>Statement!T211</f>
        <v>1081000</v>
      </c>
      <c r="T21" s="154">
        <f>Statement!U211</f>
        <v>1080000</v>
      </c>
      <c r="U21" s="154">
        <f>Statement!V211</f>
        <v>1314000</v>
      </c>
      <c r="V21" s="154">
        <f>Statement!W211</f>
        <v>1250000</v>
      </c>
      <c r="W21" s="154">
        <f>Statement!X211</f>
        <v>1181000</v>
      </c>
      <c r="X21" s="154">
        <f>Statement!Y211</f>
        <v>1128000</v>
      </c>
      <c r="Y21" s="154">
        <f>Statement!Z211</f>
        <v>1786000</v>
      </c>
      <c r="Z21" s="249">
        <f>Statement!AA211</f>
        <v>1626000</v>
      </c>
      <c r="AA21" s="145">
        <f>Z21*(1+AA22)</f>
        <v>1626000</v>
      </c>
      <c r="AB21" s="145"/>
      <c r="AC21" s="145"/>
      <c r="AE21" s="24">
        <f>SUM(X21:AA21)</f>
        <v>6166000</v>
      </c>
    </row>
    <row r="22" spans="2:31" x14ac:dyDescent="0.2">
      <c r="B22" s="126" t="s">
        <v>401</v>
      </c>
      <c r="C22" s="47"/>
      <c r="D22" s="96">
        <f>(D21-C21)/C21</f>
        <v>0.18641618497109827</v>
      </c>
      <c r="E22" s="96">
        <f t="shared" ref="E22:G22" si="17">(E21-D21)/D21</f>
        <v>0.20188794153471376</v>
      </c>
      <c r="F22" s="96">
        <f t="shared" si="17"/>
        <v>0.11983785153280972</v>
      </c>
      <c r="G22" s="97">
        <f t="shared" si="17"/>
        <v>0.10248868778280543</v>
      </c>
      <c r="H22" s="98">
        <v>0.1</v>
      </c>
      <c r="I22" s="98">
        <v>0.11</v>
      </c>
      <c r="J22" s="98">
        <v>0.09</v>
      </c>
      <c r="K22" s="98">
        <v>0.1</v>
      </c>
      <c r="L22" s="98">
        <v>0.1</v>
      </c>
      <c r="N22" s="91"/>
      <c r="O22" s="5"/>
      <c r="Q22" s="91"/>
      <c r="R22" s="126" t="s">
        <v>401</v>
      </c>
      <c r="S22" s="47"/>
      <c r="T22" s="96">
        <f>(T21-S21)/S21</f>
        <v>-9.2506938020351531E-4</v>
      </c>
      <c r="U22" s="96">
        <f t="shared" ref="U22:Z22" si="18">(U21-T21)/T21</f>
        <v>0.21666666666666667</v>
      </c>
      <c r="V22" s="96">
        <f t="shared" si="18"/>
        <v>-4.8706240487062402E-2</v>
      </c>
      <c r="W22" s="96">
        <f t="shared" si="18"/>
        <v>-5.5199999999999999E-2</v>
      </c>
      <c r="X22" s="96">
        <f t="shared" si="18"/>
        <v>-4.4877222692633362E-2</v>
      </c>
      <c r="Y22" s="96">
        <f t="shared" si="18"/>
        <v>0.58333333333333337</v>
      </c>
      <c r="Z22" s="97">
        <f t="shared" si="18"/>
        <v>-8.9585666293393054E-2</v>
      </c>
      <c r="AA22" s="98">
        <v>0</v>
      </c>
      <c r="AB22" s="98"/>
      <c r="AC22" s="98"/>
      <c r="AE22" s="47"/>
    </row>
    <row r="23" spans="2:31" x14ac:dyDescent="0.2">
      <c r="B23" s="91" t="s">
        <v>392</v>
      </c>
      <c r="C23" s="239">
        <f>Statement!M212</f>
        <v>0.79</v>
      </c>
      <c r="D23" s="239">
        <f>Statement!N212</f>
        <v>0.8</v>
      </c>
      <c r="E23" s="239">
        <f>Statement!O212</f>
        <v>0.82</v>
      </c>
      <c r="F23" s="239">
        <f>Statement!P212</f>
        <v>0.81</v>
      </c>
      <c r="G23" s="240">
        <f>Statement!Q212</f>
        <v>0.83</v>
      </c>
      <c r="H23" s="241">
        <v>0.8</v>
      </c>
      <c r="I23" s="241">
        <v>0.81</v>
      </c>
      <c r="J23" s="241">
        <v>0.82</v>
      </c>
      <c r="K23" s="241">
        <v>0.8</v>
      </c>
      <c r="L23" s="241">
        <v>0.81</v>
      </c>
      <c r="N23" s="91"/>
      <c r="O23" s="5"/>
      <c r="Q23" s="91"/>
      <c r="R23" s="91" t="s">
        <v>392</v>
      </c>
      <c r="S23" s="251">
        <f>Statement!T212</f>
        <v>0.81</v>
      </c>
      <c r="T23" s="251">
        <f>Statement!U212</f>
        <v>0.82</v>
      </c>
      <c r="U23" s="251">
        <f>Statement!V212</f>
        <v>0.82</v>
      </c>
      <c r="V23" s="251">
        <f>Statement!W212</f>
        <v>0.82</v>
      </c>
      <c r="W23" s="251">
        <f>Statement!X212</f>
        <v>0.85</v>
      </c>
      <c r="X23" s="251">
        <f>Statement!Y212</f>
        <v>0.84</v>
      </c>
      <c r="Y23" s="251">
        <f>Statement!Z212</f>
        <v>0</v>
      </c>
      <c r="Z23" s="252">
        <f>Statement!AA212</f>
        <v>0</v>
      </c>
      <c r="AA23" s="253">
        <v>0</v>
      </c>
      <c r="AB23" s="241"/>
      <c r="AC23" s="241"/>
      <c r="AE23" s="50">
        <f>AA23</f>
        <v>0</v>
      </c>
    </row>
    <row r="24" spans="2:31" x14ac:dyDescent="0.2">
      <c r="B24" s="1" t="s">
        <v>393</v>
      </c>
      <c r="C24" s="242">
        <f>Statement!M213</f>
        <v>2.98E-2</v>
      </c>
      <c r="D24" s="242">
        <f>Statement!N213</f>
        <v>2.98E-2</v>
      </c>
      <c r="E24" s="242">
        <f>Statement!O213</f>
        <v>2.92E-2</v>
      </c>
      <c r="F24" s="242">
        <f>Statement!P213</f>
        <v>2.8299999999999999E-2</v>
      </c>
      <c r="G24" s="243">
        <f>Statement!Q213</f>
        <v>3.0029990678906885E-2</v>
      </c>
      <c r="H24" s="244">
        <v>3.1E-2</v>
      </c>
      <c r="I24" s="244">
        <v>2.9000000000000001E-2</v>
      </c>
      <c r="J24" s="244">
        <v>2.8000000000000001E-2</v>
      </c>
      <c r="K24" s="244">
        <v>2.8000000000000001E-2</v>
      </c>
      <c r="L24" s="244">
        <v>2.7E-2</v>
      </c>
      <c r="N24" s="91"/>
      <c r="O24" s="5"/>
      <c r="Q24" s="91"/>
      <c r="R24" s="1" t="s">
        <v>393</v>
      </c>
      <c r="S24" s="133">
        <f>Statement!T213</f>
        <v>2.8000000000000001E-2</v>
      </c>
      <c r="T24" s="133">
        <f>Statement!U213</f>
        <v>2.8000000000000001E-2</v>
      </c>
      <c r="U24" s="133">
        <f>Statement!V213</f>
        <v>2.8000000000000001E-2</v>
      </c>
      <c r="V24" s="133">
        <f>Statement!W213</f>
        <v>2.8000000000000001E-2</v>
      </c>
      <c r="W24" s="133">
        <f>Statement!X213</f>
        <v>2.7E-2</v>
      </c>
      <c r="X24" s="133">
        <f>Statement!Y213</f>
        <v>3.7698412698412696E-2</v>
      </c>
      <c r="Y24" s="133">
        <f>Statement!Z213</f>
        <v>2.3E-2</v>
      </c>
      <c r="Z24" s="250">
        <f>Statement!AA213</f>
        <v>2.4E-2</v>
      </c>
      <c r="AA24" s="244">
        <v>2.3E-2</v>
      </c>
      <c r="AB24" s="244"/>
      <c r="AC24" s="244"/>
      <c r="AE24" s="47"/>
    </row>
    <row r="25" spans="2:31" x14ac:dyDescent="0.2">
      <c r="B25" s="1" t="s">
        <v>389</v>
      </c>
      <c r="C25" s="99">
        <f>Statement!M209</f>
        <v>2074</v>
      </c>
      <c r="D25" s="99">
        <f>Statement!N209</f>
        <v>2856</v>
      </c>
      <c r="E25" s="99">
        <f>Statement!O209</f>
        <v>3601</v>
      </c>
      <c r="F25" s="99">
        <f>Statement!P209</f>
        <v>4203</v>
      </c>
      <c r="G25" s="100">
        <f>Statement!Q209</f>
        <v>4514</v>
      </c>
      <c r="H25" s="145">
        <f>G25*(1+H26)</f>
        <v>4762.2699999999995</v>
      </c>
      <c r="I25" s="145">
        <f t="shared" ref="I25:L25" si="19">H25*(1+I26)</f>
        <v>5071.8175499999988</v>
      </c>
      <c r="J25" s="145">
        <f t="shared" si="19"/>
        <v>5502.9220417499982</v>
      </c>
      <c r="K25" s="145">
        <f t="shared" si="19"/>
        <v>6053.214245924999</v>
      </c>
      <c r="L25" s="145">
        <f t="shared" si="19"/>
        <v>6779.5999554359996</v>
      </c>
      <c r="N25" s="91" t="s">
        <v>402</v>
      </c>
      <c r="O25" s="5"/>
      <c r="Q25" s="91" t="s">
        <v>402</v>
      </c>
      <c r="R25" s="1" t="s">
        <v>389</v>
      </c>
      <c r="S25" s="154">
        <f>Statement!T209</f>
        <v>4237</v>
      </c>
      <c r="T25" s="154">
        <f>Statement!U209</f>
        <v>4341</v>
      </c>
      <c r="U25" s="154">
        <f>Statement!V209</f>
        <v>4411</v>
      </c>
      <c r="V25" s="154">
        <f>Statement!W209</f>
        <v>4467</v>
      </c>
      <c r="W25" s="154">
        <f>Statement!X209</f>
        <v>4520</v>
      </c>
      <c r="X25" s="154">
        <f>Statement!Y209</f>
        <v>4658</v>
      </c>
      <c r="Y25" s="154">
        <f>Statement!Z209</f>
        <v>4708</v>
      </c>
      <c r="Z25" s="247">
        <f>Statement!AA209</f>
        <v>4744</v>
      </c>
      <c r="AA25" s="145">
        <f>Z25*(1+AA26)</f>
        <v>4791.4399999999996</v>
      </c>
      <c r="AB25" s="183"/>
      <c r="AC25" s="183"/>
      <c r="AE25" s="64">
        <f>AA25</f>
        <v>4791.4399999999996</v>
      </c>
    </row>
    <row r="26" spans="2:31" x14ac:dyDescent="0.2">
      <c r="B26" s="126" t="s">
        <v>403</v>
      </c>
      <c r="C26" s="47"/>
      <c r="D26" s="96">
        <f>(D25-C25)/C25</f>
        <v>0.37704918032786883</v>
      </c>
      <c r="E26" s="96">
        <f t="shared" ref="E26:G26" si="20">(E25-D25)/D25</f>
        <v>0.26085434173669469</v>
      </c>
      <c r="F26" s="96">
        <f t="shared" si="20"/>
        <v>0.16717578450430437</v>
      </c>
      <c r="G26" s="97">
        <f t="shared" si="20"/>
        <v>7.3994765643587909E-2</v>
      </c>
      <c r="H26" s="98">
        <v>5.5E-2</v>
      </c>
      <c r="I26" s="98">
        <v>6.5000000000000002E-2</v>
      </c>
      <c r="J26" s="98">
        <v>8.5000000000000006E-2</v>
      </c>
      <c r="K26" s="98">
        <v>0.1</v>
      </c>
      <c r="L26" s="98">
        <v>0.12</v>
      </c>
      <c r="N26" s="91"/>
      <c r="O26" s="5"/>
      <c r="R26" s="126" t="s">
        <v>403</v>
      </c>
      <c r="S26" s="47"/>
      <c r="T26" s="96">
        <f>(T25-S25)/S25</f>
        <v>2.4545669105499174E-2</v>
      </c>
      <c r="U26" s="96">
        <f t="shared" ref="U26:Z26" si="21">(U25-T25)/T25</f>
        <v>1.6125316747293249E-2</v>
      </c>
      <c r="V26" s="96">
        <f t="shared" si="21"/>
        <v>1.2695533892541374E-2</v>
      </c>
      <c r="W26" s="96">
        <f t="shared" si="21"/>
        <v>1.1864786209984329E-2</v>
      </c>
      <c r="X26" s="96">
        <f t="shared" si="21"/>
        <v>3.0530973451327433E-2</v>
      </c>
      <c r="Y26" s="96">
        <f t="shared" si="21"/>
        <v>1.0734220695577501E-2</v>
      </c>
      <c r="Z26" s="97">
        <f t="shared" si="21"/>
        <v>7.6465590484282074E-3</v>
      </c>
      <c r="AA26" s="98">
        <v>0.01</v>
      </c>
      <c r="AB26" s="106"/>
      <c r="AC26" s="106"/>
      <c r="AE26" s="47"/>
    </row>
    <row r="27" spans="2:31" x14ac:dyDescent="0.2">
      <c r="B27" s="1" t="s">
        <v>390</v>
      </c>
      <c r="C27" s="245">
        <f>Statement!M210</f>
        <v>46.053037608486015</v>
      </c>
      <c r="D27" s="245">
        <f>Statement!N210</f>
        <v>45.159313725490193</v>
      </c>
      <c r="E27" s="245">
        <f>Statement!O210</f>
        <v>45.94168286587059</v>
      </c>
      <c r="F27" s="245">
        <f>Statement!P210</f>
        <v>46.754699024506309</v>
      </c>
      <c r="G27" s="246">
        <f>Statement!Q210</f>
        <v>48.61785556047851</v>
      </c>
      <c r="H27" s="72">
        <f>G27*(1+H28)</f>
        <v>49.590212671688079</v>
      </c>
      <c r="I27" s="72">
        <f t="shared" ref="I27:L27" si="22">H27*(1+I28)</f>
        <v>50.334065861763392</v>
      </c>
      <c r="J27" s="72">
        <f t="shared" si="22"/>
        <v>49.830725203145761</v>
      </c>
      <c r="K27" s="72">
        <f t="shared" si="22"/>
        <v>50.32903245517722</v>
      </c>
      <c r="L27" s="72">
        <f t="shared" si="22"/>
        <v>51.083967942004875</v>
      </c>
      <c r="N27" s="91" t="s">
        <v>411</v>
      </c>
      <c r="O27" s="5"/>
      <c r="Q27" s="91" t="s">
        <v>411</v>
      </c>
      <c r="R27" s="1" t="s">
        <v>390</v>
      </c>
      <c r="S27" s="245">
        <f>Statement!T210</f>
        <v>11.650460231295728</v>
      </c>
      <c r="T27" s="245">
        <f>Statement!U210</f>
        <v>11.931121861322277</v>
      </c>
      <c r="U27" s="245">
        <f>Statement!V210</f>
        <v>12.322602584447971</v>
      </c>
      <c r="V27" s="245">
        <f>Statement!W210</f>
        <v>12.021938661293934</v>
      </c>
      <c r="W27" s="245">
        <f>Statement!X210</f>
        <v>12.274336283185841</v>
      </c>
      <c r="X27" s="245">
        <f>Statement!Y210</f>
        <v>12.006011163589523</v>
      </c>
      <c r="Y27" s="245">
        <f>Statement!Z210</f>
        <v>11.198173322005097</v>
      </c>
      <c r="Z27" s="246">
        <f>Statement!AA210</f>
        <v>11.107715008431704</v>
      </c>
      <c r="AA27" s="72">
        <f>Z27*(1+AA28)</f>
        <v>10.996637858347388</v>
      </c>
      <c r="AB27" s="183"/>
      <c r="AC27" s="183"/>
      <c r="AE27" s="72">
        <f>SUM(X27:AA27)</f>
        <v>45.308537352373705</v>
      </c>
    </row>
    <row r="28" spans="2:31" x14ac:dyDescent="0.2">
      <c r="B28" s="126" t="s">
        <v>404</v>
      </c>
      <c r="C28" s="47"/>
      <c r="D28" s="96">
        <f>(D27-C27)/C27</f>
        <v>-1.9406404645741299E-2</v>
      </c>
      <c r="E28" s="96">
        <f t="shared" ref="E28:G28" si="23">(E27-D27)/D27</f>
        <v>1.7324646365004161E-2</v>
      </c>
      <c r="F28" s="96">
        <f t="shared" si="23"/>
        <v>1.7696699552982569E-2</v>
      </c>
      <c r="G28" s="97">
        <f t="shared" si="23"/>
        <v>3.9849610303247483E-2</v>
      </c>
      <c r="H28" s="98">
        <v>0.02</v>
      </c>
      <c r="I28" s="98">
        <v>1.4999999999999999E-2</v>
      </c>
      <c r="J28" s="98">
        <v>-0.01</v>
      </c>
      <c r="K28" s="98">
        <v>0.01</v>
      </c>
      <c r="L28" s="98">
        <v>1.4999999999999999E-2</v>
      </c>
      <c r="N28" s="91"/>
      <c r="O28" s="5"/>
      <c r="R28" s="126" t="s">
        <v>404</v>
      </c>
      <c r="S28" s="47"/>
      <c r="T28" s="96">
        <f>(T27-S27)/S27</f>
        <v>2.4090175362568848E-2</v>
      </c>
      <c r="U28" s="96">
        <f t="shared" ref="U28:Z28" si="24">(U27-T27)/T27</f>
        <v>3.2811727822073207E-2</v>
      </c>
      <c r="V28" s="96">
        <f t="shared" si="24"/>
        <v>-2.4399384877793334E-2</v>
      </c>
      <c r="W28" s="96">
        <f t="shared" si="24"/>
        <v>2.0994752094729223E-2</v>
      </c>
      <c r="X28" s="96">
        <f t="shared" si="24"/>
        <v>-2.1860662230990553E-2</v>
      </c>
      <c r="Y28" s="96">
        <f t="shared" si="24"/>
        <v>-6.7286114478582681E-2</v>
      </c>
      <c r="Z28" s="97">
        <f t="shared" si="24"/>
        <v>-8.0779526242585314E-3</v>
      </c>
      <c r="AA28" s="98">
        <v>-0.01</v>
      </c>
      <c r="AB28" s="98"/>
      <c r="AC28" s="98"/>
      <c r="AE28" s="47"/>
    </row>
    <row r="29" spans="2:31" x14ac:dyDescent="0.2">
      <c r="B29" s="1" t="s">
        <v>394</v>
      </c>
      <c r="C29" s="47"/>
      <c r="D29" s="154">
        <f>Statement!N214</f>
        <v>120000</v>
      </c>
      <c r="E29" s="154">
        <f>Statement!O214</f>
        <v>150000</v>
      </c>
      <c r="F29" s="154">
        <f>Statement!P214</f>
        <v>170000</v>
      </c>
      <c r="G29" s="247">
        <f>Statement!Q214</f>
        <v>180000</v>
      </c>
      <c r="H29" s="145">
        <f>H25*H31</f>
        <v>183253.49999999994</v>
      </c>
      <c r="I29" s="145">
        <f t="shared" ref="I29:L29" si="25">I25*I31</f>
        <v>187358.3783999999</v>
      </c>
      <c r="J29" s="145">
        <f t="shared" si="25"/>
        <v>201251.00215835989</v>
      </c>
      <c r="K29" s="145">
        <f t="shared" si="25"/>
        <v>228017.38544542179</v>
      </c>
      <c r="L29" s="145">
        <f t="shared" si="25"/>
        <v>268148.44528381608</v>
      </c>
      <c r="N29" s="91" t="s">
        <v>408</v>
      </c>
      <c r="O29" s="5"/>
      <c r="Q29" s="91" t="s">
        <v>413</v>
      </c>
      <c r="R29" s="1" t="s">
        <v>397</v>
      </c>
      <c r="S29" s="245">
        <f>Statement!T217</f>
        <v>7.7255133349067737</v>
      </c>
      <c r="T29" s="245">
        <f>Statement!U217</f>
        <v>7.6507717115871916</v>
      </c>
      <c r="U29" s="245">
        <f>Statement!V217</f>
        <v>7.1766039446837455</v>
      </c>
      <c r="V29" s="245">
        <f>Statement!W217</f>
        <v>7.8712782628162081</v>
      </c>
      <c r="W29" s="245">
        <f>Statement!X217</f>
        <v>8.2811946902654867</v>
      </c>
      <c r="X29" s="245">
        <f>Statement!Y217</f>
        <v>7.6047659939888366</v>
      </c>
      <c r="Y29" s="245">
        <f>Statement!Z217</f>
        <v>7.7045454545454541</v>
      </c>
      <c r="Z29" s="246">
        <f>Statement!AA217</f>
        <v>8.0678752107925806</v>
      </c>
      <c r="AA29" s="72">
        <f>Z29*(1+AA30)</f>
        <v>7.8258389544688027</v>
      </c>
      <c r="AB29" s="96"/>
      <c r="AC29" s="96"/>
      <c r="AE29" s="72">
        <f>SUM(X29:AA29)</f>
        <v>31.203025613795678</v>
      </c>
    </row>
    <row r="30" spans="2:31" x14ac:dyDescent="0.2">
      <c r="B30" s="126" t="s">
        <v>405</v>
      </c>
      <c r="C30" s="47"/>
      <c r="D30" s="47"/>
      <c r="E30" s="96">
        <f>(E29-D29)/D29</f>
        <v>0.25</v>
      </c>
      <c r="F30" s="96">
        <f t="shared" ref="F30:G30" si="26">(F29-E29)/E29</f>
        <v>0.13333333333333333</v>
      </c>
      <c r="G30" s="97">
        <f t="shared" si="26"/>
        <v>5.8823529411764705E-2</v>
      </c>
      <c r="H30" s="96">
        <f>(H29-G29)/G29</f>
        <v>1.8074999999999678E-2</v>
      </c>
      <c r="I30" s="96">
        <f t="shared" ref="I30:L30" si="27">(I29-H29)/H29</f>
        <v>2.2399999999999778E-2</v>
      </c>
      <c r="J30" s="96">
        <f t="shared" si="27"/>
        <v>7.4149999999999966E-2</v>
      </c>
      <c r="K30" s="96">
        <f t="shared" si="27"/>
        <v>0.1330000000000002</v>
      </c>
      <c r="L30" s="96">
        <f t="shared" si="27"/>
        <v>0.17600000000000021</v>
      </c>
      <c r="N30" s="91"/>
      <c r="O30" s="5"/>
      <c r="R30" s="126" t="s">
        <v>412</v>
      </c>
      <c r="S30" s="47"/>
      <c r="T30" s="96">
        <f>(T29-S29)/S29</f>
        <v>-9.6746481533947215E-3</v>
      </c>
      <c r="U30" s="96">
        <f t="shared" ref="U30:Z30" si="28">(U29-T29)/T29</f>
        <v>-6.1976462607727913E-2</v>
      </c>
      <c r="V30" s="96">
        <f t="shared" si="28"/>
        <v>9.679708166800266E-2</v>
      </c>
      <c r="W30" s="96">
        <f t="shared" si="28"/>
        <v>5.2077491579190789E-2</v>
      </c>
      <c r="X30" s="96">
        <f t="shared" si="28"/>
        <v>-8.168250132698722E-2</v>
      </c>
      <c r="Y30" s="96">
        <f t="shared" si="28"/>
        <v>1.3120648371756334E-2</v>
      </c>
      <c r="Z30" s="97">
        <f t="shared" si="28"/>
        <v>4.7157844468653586E-2</v>
      </c>
      <c r="AA30" s="98">
        <v>-0.03</v>
      </c>
      <c r="AB30" s="98"/>
      <c r="AC30" s="98"/>
      <c r="AE30" s="47"/>
    </row>
    <row r="31" spans="2:31" x14ac:dyDescent="0.2">
      <c r="B31" s="1" t="s">
        <v>406</v>
      </c>
      <c r="C31" s="47"/>
      <c r="D31" s="245">
        <f>Statement!N215</f>
        <v>42.016806722689076</v>
      </c>
      <c r="E31" s="245">
        <f>Statement!O215</f>
        <v>41.655095806720354</v>
      </c>
      <c r="F31" s="245">
        <f>Statement!P215</f>
        <v>40.447299547941945</v>
      </c>
      <c r="G31" s="246">
        <f>Statement!Q215</f>
        <v>39.875941515285774</v>
      </c>
      <c r="H31" s="72">
        <f>G31*(1+H32)</f>
        <v>38.480283562250769</v>
      </c>
      <c r="I31" s="72">
        <f t="shared" ref="I31:L31" si="29">H31*(1+I32)</f>
        <v>36.941072219760734</v>
      </c>
      <c r="J31" s="72">
        <f t="shared" si="29"/>
        <v>36.571661497563127</v>
      </c>
      <c r="K31" s="72">
        <f t="shared" si="29"/>
        <v>37.668811342490024</v>
      </c>
      <c r="L31" s="72">
        <f t="shared" si="29"/>
        <v>39.552251909614526</v>
      </c>
      <c r="M31" s="72"/>
      <c r="N31" s="91" t="s">
        <v>407</v>
      </c>
      <c r="O31" s="5"/>
      <c r="S31" s="96"/>
      <c r="T31" s="96"/>
      <c r="U31" s="96"/>
      <c r="V31" s="96"/>
      <c r="W31" s="96"/>
      <c r="X31" s="96"/>
      <c r="Y31" s="96"/>
      <c r="Z31" s="248"/>
      <c r="AA31" s="96"/>
      <c r="AB31" s="96"/>
      <c r="AC31" s="96"/>
      <c r="AE31" s="16"/>
    </row>
    <row r="32" spans="2:31" x14ac:dyDescent="0.2">
      <c r="B32" s="126" t="s">
        <v>407</v>
      </c>
      <c r="C32" s="47"/>
      <c r="D32" s="47"/>
      <c r="E32" s="96">
        <f t="shared" ref="E32:G32" si="30">(E31-D31)/D31</f>
        <v>-8.6087198000555781E-3</v>
      </c>
      <c r="F32" s="96">
        <f t="shared" si="30"/>
        <v>-2.8995162185740331E-2</v>
      </c>
      <c r="G32" s="97">
        <f t="shared" si="30"/>
        <v>-1.4125987125022867E-2</v>
      </c>
      <c r="H32" s="98">
        <v>-3.5000000000000003E-2</v>
      </c>
      <c r="I32" s="98">
        <v>-0.04</v>
      </c>
      <c r="J32" s="98">
        <v>-0.01</v>
      </c>
      <c r="K32" s="98">
        <v>0.03</v>
      </c>
      <c r="L32" s="98">
        <v>0.05</v>
      </c>
      <c r="N32" s="91"/>
      <c r="O32" s="5"/>
      <c r="S32" s="96"/>
      <c r="T32" s="96"/>
      <c r="U32" s="96"/>
      <c r="V32" s="96"/>
      <c r="W32" s="96"/>
      <c r="X32" s="96"/>
      <c r="Y32" s="96"/>
      <c r="Z32" s="248"/>
      <c r="AA32" s="96"/>
      <c r="AB32" s="96"/>
      <c r="AC32" s="96"/>
      <c r="AE32" s="16"/>
    </row>
    <row r="33" spans="2:31" x14ac:dyDescent="0.2">
      <c r="B33" s="1" t="s">
        <v>396</v>
      </c>
      <c r="C33" s="47"/>
      <c r="D33" s="245">
        <f>Statement!N216</f>
        <v>0.61305833333333337</v>
      </c>
      <c r="E33" s="245">
        <f>Statement!O216</f>
        <v>0.64168666666666663</v>
      </c>
      <c r="F33" s="245">
        <f>Statement!P216</f>
        <v>0.71507647058823531</v>
      </c>
      <c r="G33" s="246">
        <f>Statement!Q216</f>
        <v>0.77595000000000003</v>
      </c>
      <c r="H33" s="72">
        <f>G33*(1+H34)</f>
        <v>0.77982974999999999</v>
      </c>
      <c r="I33" s="72">
        <f t="shared" ref="I33:L33" si="31">H33*(1+I34)</f>
        <v>0.79542634499999998</v>
      </c>
      <c r="J33" s="72">
        <f t="shared" si="31"/>
        <v>0.83519766225000003</v>
      </c>
      <c r="K33" s="72">
        <f t="shared" si="31"/>
        <v>0.90201347523000008</v>
      </c>
      <c r="L33" s="72">
        <f t="shared" si="31"/>
        <v>1.0012349575053001</v>
      </c>
      <c r="N33" s="91" t="s">
        <v>409</v>
      </c>
      <c r="O33" s="5"/>
      <c r="S33" s="96"/>
      <c r="T33" s="96"/>
      <c r="U33" s="96"/>
      <c r="V33" s="96"/>
      <c r="W33" s="96"/>
      <c r="X33" s="96"/>
      <c r="Y33" s="96"/>
      <c r="Z33" s="248"/>
      <c r="AA33" s="96"/>
      <c r="AB33" s="96"/>
      <c r="AC33" s="96"/>
      <c r="AE33" s="16"/>
    </row>
    <row r="34" spans="2:31" x14ac:dyDescent="0.2">
      <c r="B34" s="126" t="s">
        <v>409</v>
      </c>
      <c r="C34" s="47"/>
      <c r="D34" s="47"/>
      <c r="E34" s="96">
        <f>(E33-D33)/D33</f>
        <v>4.6697568203134428E-2</v>
      </c>
      <c r="F34" s="96">
        <f t="shared" ref="F34:G34" si="32">(F33-E33)/E33</f>
        <v>0.11437015561317884</v>
      </c>
      <c r="G34" s="97">
        <f t="shared" si="32"/>
        <v>8.5128698699439814E-2</v>
      </c>
      <c r="H34" s="98">
        <v>5.0000000000000001E-3</v>
      </c>
      <c r="I34" s="98">
        <v>0.02</v>
      </c>
      <c r="J34" s="98">
        <v>0.05</v>
      </c>
      <c r="K34" s="98">
        <v>0.08</v>
      </c>
      <c r="L34" s="98">
        <v>0.11</v>
      </c>
      <c r="N34" s="91"/>
      <c r="O34" s="5"/>
      <c r="S34" s="96"/>
      <c r="T34" s="96"/>
      <c r="U34" s="96"/>
      <c r="V34" s="96"/>
      <c r="W34" s="96"/>
      <c r="X34" s="96"/>
      <c r="Y34" s="96"/>
      <c r="Z34" s="248"/>
      <c r="AA34" s="96"/>
      <c r="AB34" s="96"/>
      <c r="AC34" s="96"/>
      <c r="AE34" s="16"/>
    </row>
    <row r="35" spans="2:31" x14ac:dyDescent="0.2">
      <c r="O35" s="5"/>
    </row>
  </sheetData>
  <mergeCells count="10">
    <mergeCell ref="C11:L11"/>
    <mergeCell ref="S11:AC11"/>
    <mergeCell ref="C19:L19"/>
    <mergeCell ref="S19:AC19"/>
    <mergeCell ref="C2:G2"/>
    <mergeCell ref="H2:L2"/>
    <mergeCell ref="S2:Z2"/>
    <mergeCell ref="AA2:AC2"/>
    <mergeCell ref="C4:L4"/>
    <mergeCell ref="S4:AC4"/>
  </mergeCells>
  <pageMargins left="0.7" right="0.7" top="0.75" bottom="0.75" header="0.3" footer="0.3"/>
  <ignoredErrors>
    <ignoredError sqref="AE8" evalError="1"/>
    <ignoredError sqref="D27:G27 E29:G29 E31:G31 E33:G33" formula="1"/>
  </ignoredErrors>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DC400-6556-6848-BEEB-E2541EF30223}">
  <dimension ref="A1:AB28"/>
  <sheetViews>
    <sheetView topLeftCell="A5" zoomScale="178" zoomScaleNormal="100" workbookViewId="0">
      <selection activeCell="X26" sqref="X26"/>
    </sheetView>
  </sheetViews>
  <sheetFormatPr baseColWidth="10" defaultRowHeight="16" x14ac:dyDescent="0.2"/>
  <cols>
    <col min="1" max="1" width="2" style="84" customWidth="1"/>
    <col min="2" max="2" width="24.6640625" style="1" customWidth="1"/>
    <col min="3" max="3" width="10.83203125" style="1"/>
    <col min="4" max="4" width="10.83203125" style="1" customWidth="1"/>
    <col min="5" max="7" width="10.83203125" style="1"/>
    <col min="8" max="8" width="10.83203125" style="1" customWidth="1"/>
    <col min="9" max="12" width="10.83203125" style="1"/>
    <col min="13"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28" s="84" customFormat="1" ht="18" customHeight="1" x14ac:dyDescent="0.2">
      <c r="A1" s="4"/>
      <c r="B1" s="83" t="s">
        <v>136</v>
      </c>
    </row>
    <row r="2" spans="1:28" x14ac:dyDescent="0.2">
      <c r="A2" s="4"/>
      <c r="C2" s="268" t="s">
        <v>123</v>
      </c>
      <c r="D2" s="268"/>
      <c r="E2" s="268"/>
      <c r="F2" s="268"/>
      <c r="G2" s="277"/>
      <c r="H2" s="278" t="s">
        <v>124</v>
      </c>
      <c r="I2" s="268"/>
      <c r="J2" s="268"/>
      <c r="K2" s="268"/>
      <c r="L2" s="268"/>
      <c r="P2" s="268" t="s">
        <v>123</v>
      </c>
      <c r="Q2" s="268"/>
      <c r="R2" s="268"/>
      <c r="S2" s="268"/>
      <c r="T2" s="268"/>
      <c r="U2" s="268"/>
      <c r="V2" s="268"/>
      <c r="W2" s="268"/>
      <c r="X2" s="268" t="s">
        <v>124</v>
      </c>
      <c r="Y2" s="268"/>
      <c r="Z2" s="268"/>
      <c r="AB2" s="86" t="s">
        <v>125</v>
      </c>
    </row>
    <row r="3" spans="1:28" ht="10" customHeight="1" x14ac:dyDescent="0.2"/>
    <row r="4" spans="1:28" ht="16" customHeight="1" x14ac:dyDescent="0.2">
      <c r="A4" s="87"/>
      <c r="B4" s="60"/>
      <c r="C4" s="274" t="s">
        <v>126</v>
      </c>
      <c r="D4" s="274"/>
      <c r="E4" s="274"/>
      <c r="F4" s="274"/>
      <c r="G4" s="274"/>
      <c r="H4" s="274"/>
      <c r="I4" s="274"/>
      <c r="J4" s="274"/>
      <c r="K4" s="274"/>
      <c r="L4" s="274"/>
      <c r="P4" s="276" t="s">
        <v>126</v>
      </c>
      <c r="Q4" s="276"/>
      <c r="R4" s="276"/>
      <c r="S4" s="276"/>
      <c r="T4" s="276"/>
      <c r="U4" s="276"/>
      <c r="V4" s="276"/>
      <c r="W4" s="276"/>
      <c r="X4" s="276"/>
      <c r="Y4" s="276"/>
      <c r="Z4" s="276"/>
      <c r="AB4" s="88"/>
    </row>
    <row r="5" spans="1:28" x14ac:dyDescent="0.2">
      <c r="B5" s="16" t="str">
        <f>Revenue!B5</f>
        <v>Revenues (thousand)</v>
      </c>
      <c r="C5" s="12">
        <f>Revenue!C5</f>
        <v>2022</v>
      </c>
      <c r="D5" s="12">
        <f>Revenue!D5</f>
        <v>2023</v>
      </c>
      <c r="E5" s="12">
        <f>Revenue!E5</f>
        <v>2024</v>
      </c>
      <c r="F5" s="12">
        <f>Revenue!F5</f>
        <v>2025</v>
      </c>
      <c r="G5" s="12">
        <f>Revenue!G5</f>
        <v>2026</v>
      </c>
      <c r="H5" s="12">
        <f>G5+1</f>
        <v>2027</v>
      </c>
      <c r="I5" s="12">
        <f t="shared" ref="I5:L5" si="0">H5+1</f>
        <v>2028</v>
      </c>
      <c r="J5" s="12">
        <f t="shared" si="0"/>
        <v>2029</v>
      </c>
      <c r="K5" s="12">
        <f t="shared" si="0"/>
        <v>2030</v>
      </c>
      <c r="L5" s="12">
        <f t="shared" si="0"/>
        <v>2031</v>
      </c>
      <c r="O5" s="16" t="s">
        <v>127</v>
      </c>
      <c r="P5" s="12" t="str">
        <f>Revenue!S5</f>
        <v>Q3 2025</v>
      </c>
      <c r="Q5" s="12" t="str">
        <f>Revenue!T5</f>
        <v>Q4 2025</v>
      </c>
      <c r="R5" s="12" t="str">
        <f>Revenue!U5</f>
        <v>Q1 2026</v>
      </c>
      <c r="S5" s="12" t="str">
        <f>Revenue!V5</f>
        <v>Q2 2026</v>
      </c>
      <c r="T5" s="12" t="str">
        <f>Revenue!W5</f>
        <v>Q3 2026</v>
      </c>
      <c r="U5" s="12" t="str">
        <f>Revenue!X5</f>
        <v>Q4 2026</v>
      </c>
      <c r="V5" s="12" t="str">
        <f>Revenue!Y5</f>
        <v>Q1 2027</v>
      </c>
      <c r="W5" s="12" t="str">
        <f>Revenue!Z5</f>
        <v>Q2 2027</v>
      </c>
      <c r="X5" s="12" t="s">
        <v>128</v>
      </c>
      <c r="Y5" s="12" t="s">
        <v>129</v>
      </c>
      <c r="Z5" s="12" t="s">
        <v>130</v>
      </c>
      <c r="AB5" s="88" t="str">
        <f>Revenue!AE5</f>
        <v>FQ1</v>
      </c>
    </row>
    <row r="6" spans="1:28" x14ac:dyDescent="0.2">
      <c r="B6" s="16" t="s">
        <v>20</v>
      </c>
      <c r="C6" s="93">
        <f>Revenue!C9</f>
        <v>213233</v>
      </c>
      <c r="D6" s="93">
        <f>Revenue!D9</f>
        <v>280910</v>
      </c>
      <c r="E6" s="93">
        <f>Revenue!E9</f>
        <v>356299</v>
      </c>
      <c r="F6" s="93">
        <f>Revenue!F9</f>
        <v>419813</v>
      </c>
      <c r="G6" s="94">
        <f>Revenue!G9</f>
        <v>480591</v>
      </c>
      <c r="H6" s="93">
        <f>Revenue!H9</f>
        <v>512003.95319162495</v>
      </c>
      <c r="I6" s="93">
        <f>Revenue!I9</f>
        <v>544078.91490638629</v>
      </c>
      <c r="J6" s="93">
        <f>Revenue!J9</f>
        <v>591204.36583610985</v>
      </c>
      <c r="K6" s="93">
        <f>Revenue!K9</f>
        <v>670128.09104058379</v>
      </c>
      <c r="L6" s="93">
        <f>Revenue!L9</f>
        <v>786430.37228098325</v>
      </c>
      <c r="N6" s="92"/>
      <c r="O6" s="16" t="s">
        <v>20</v>
      </c>
      <c r="P6" s="93">
        <f>Revenue!S9</f>
        <v>106800</v>
      </c>
      <c r="Q6" s="93">
        <f>Revenue!T9</f>
        <v>109681</v>
      </c>
      <c r="R6" s="93">
        <f>Revenue!U9</f>
        <v>115936</v>
      </c>
      <c r="S6" s="93">
        <f>Revenue!V9</f>
        <v>117255</v>
      </c>
      <c r="T6" s="93">
        <f>Revenue!W9</f>
        <v>120333</v>
      </c>
      <c r="U6" s="93">
        <f>Revenue!X9</f>
        <v>127067</v>
      </c>
      <c r="V6" s="93">
        <f>Revenue!Y9</f>
        <v>130935</v>
      </c>
      <c r="W6" s="94">
        <f>Revenue!Z9</f>
        <v>129458</v>
      </c>
      <c r="X6" s="93">
        <f>Revenue!AA9</f>
        <v>127584.7683</v>
      </c>
      <c r="Y6" s="95"/>
      <c r="Z6" s="95"/>
      <c r="AB6" s="93">
        <f>Revenue!AE9</f>
        <v>515044.7683</v>
      </c>
    </row>
    <row r="7" spans="1:28" x14ac:dyDescent="0.2">
      <c r="N7" s="92"/>
    </row>
    <row r="8" spans="1:28" x14ac:dyDescent="0.2">
      <c r="N8" s="92"/>
    </row>
    <row r="9" spans="1:28" x14ac:dyDescent="0.2">
      <c r="C9" s="274" t="s">
        <v>137</v>
      </c>
      <c r="D9" s="274"/>
      <c r="E9" s="274"/>
      <c r="F9" s="274"/>
      <c r="G9" s="274"/>
      <c r="H9" s="274"/>
      <c r="I9" s="274"/>
      <c r="J9" s="274"/>
      <c r="K9" s="274"/>
      <c r="L9" s="274"/>
      <c r="N9" s="92"/>
      <c r="P9" s="276" t="s">
        <v>138</v>
      </c>
      <c r="Q9" s="276"/>
      <c r="R9" s="276"/>
      <c r="S9" s="276"/>
      <c r="T9" s="276"/>
      <c r="U9" s="276"/>
      <c r="V9" s="276"/>
      <c r="W9" s="276"/>
      <c r="X9" s="276"/>
      <c r="Y9" s="276"/>
      <c r="Z9" s="276"/>
      <c r="AB9" s="88">
        <f>AB4</f>
        <v>0</v>
      </c>
    </row>
    <row r="10" spans="1:28" x14ac:dyDescent="0.2">
      <c r="B10" s="16" t="s">
        <v>142</v>
      </c>
      <c r="C10" s="12">
        <f t="shared" ref="C10:L10" si="1">C5</f>
        <v>2022</v>
      </c>
      <c r="D10" s="12">
        <f t="shared" si="1"/>
        <v>2023</v>
      </c>
      <c r="E10" s="12">
        <f t="shared" si="1"/>
        <v>2024</v>
      </c>
      <c r="F10" s="12">
        <f t="shared" si="1"/>
        <v>2025</v>
      </c>
      <c r="G10" s="12">
        <f t="shared" si="1"/>
        <v>2026</v>
      </c>
      <c r="H10" s="12">
        <f t="shared" si="1"/>
        <v>2027</v>
      </c>
      <c r="I10" s="12">
        <f t="shared" si="1"/>
        <v>2028</v>
      </c>
      <c r="J10" s="12">
        <f t="shared" si="1"/>
        <v>2029</v>
      </c>
      <c r="K10" s="12">
        <f t="shared" si="1"/>
        <v>2030</v>
      </c>
      <c r="L10" s="12">
        <f t="shared" si="1"/>
        <v>2031</v>
      </c>
      <c r="N10" s="92"/>
      <c r="O10" s="16" t="s">
        <v>139</v>
      </c>
      <c r="P10" s="12" t="str">
        <f t="shared" ref="P10:Z10" si="2">P5</f>
        <v>Q3 2025</v>
      </c>
      <c r="Q10" s="12" t="str">
        <f t="shared" si="2"/>
        <v>Q4 2025</v>
      </c>
      <c r="R10" s="12" t="str">
        <f t="shared" si="2"/>
        <v>Q1 2026</v>
      </c>
      <c r="S10" s="12" t="str">
        <f t="shared" si="2"/>
        <v>Q2 2026</v>
      </c>
      <c r="T10" s="12" t="str">
        <f t="shared" si="2"/>
        <v>Q3 2026</v>
      </c>
      <c r="U10" s="12" t="str">
        <f t="shared" si="2"/>
        <v>Q4 2026</v>
      </c>
      <c r="V10" s="12" t="str">
        <f t="shared" si="2"/>
        <v>Q1 2027</v>
      </c>
      <c r="W10" s="12" t="str">
        <f t="shared" si="2"/>
        <v>Q2 2027</v>
      </c>
      <c r="X10" s="12" t="str">
        <f t="shared" si="2"/>
        <v>FQ1</v>
      </c>
      <c r="Y10" s="12" t="str">
        <f t="shared" si="2"/>
        <v>FQ2</v>
      </c>
      <c r="Z10" s="12" t="str">
        <f t="shared" si="2"/>
        <v>FQ3</v>
      </c>
      <c r="AB10" s="8" t="str">
        <f>AB5</f>
        <v>FQ1</v>
      </c>
    </row>
    <row r="11" spans="1:28" x14ac:dyDescent="0.2">
      <c r="B11" s="16" t="s">
        <v>21</v>
      </c>
      <c r="C11" s="110">
        <f>Statement!M6</f>
        <v>81388</v>
      </c>
      <c r="D11" s="110">
        <f>Statement!N6</f>
        <v>109267</v>
      </c>
      <c r="E11" s="110">
        <f>Statement!O6</f>
        <v>124011</v>
      </c>
      <c r="F11" s="110">
        <f>Statement!P6</f>
        <v>134934</v>
      </c>
      <c r="G11" s="111">
        <f>Statement!Q6</f>
        <v>154123</v>
      </c>
      <c r="H11" s="112">
        <f>H6*H22</f>
        <v>158721.22548940373</v>
      </c>
      <c r="I11" s="112">
        <f t="shared" ref="I11:L11" si="3">I6*I22</f>
        <v>157782.885322852</v>
      </c>
      <c r="J11" s="112">
        <f t="shared" si="3"/>
        <v>165537.22243411076</v>
      </c>
      <c r="K11" s="112">
        <f t="shared" si="3"/>
        <v>187635.86549136348</v>
      </c>
      <c r="L11" s="112">
        <f t="shared" si="3"/>
        <v>228064.80796148512</v>
      </c>
      <c r="N11" s="92"/>
      <c r="O11" s="16" t="str">
        <f t="shared" ref="O11:O17" si="4">B11</f>
        <v>COGS</v>
      </c>
      <c r="P11" s="110">
        <f>Statement!T6</f>
        <v>34537</v>
      </c>
      <c r="Q11" s="110">
        <f>Statement!U6</f>
        <v>33566</v>
      </c>
      <c r="R11" s="110">
        <f>Statement!V6</f>
        <v>38065</v>
      </c>
      <c r="S11" s="110">
        <f>Statement!W6</f>
        <v>37641</v>
      </c>
      <c r="T11" s="110">
        <f>Statement!X6</f>
        <v>38027</v>
      </c>
      <c r="U11" s="110">
        <f>Statement!Y6</f>
        <v>40390</v>
      </c>
      <c r="V11" s="110">
        <f>Statement!Z6</f>
        <v>43334</v>
      </c>
      <c r="W11" s="111">
        <f>Statement!AA6</f>
        <v>43185</v>
      </c>
      <c r="X11" s="112">
        <f>X6*X22</f>
        <v>40827.125855999999</v>
      </c>
      <c r="Y11" s="112"/>
      <c r="Z11" s="112"/>
      <c r="AB11" s="112">
        <f>SUM(U11:X11)</f>
        <v>167736.125856</v>
      </c>
    </row>
    <row r="12" spans="1:28" x14ac:dyDescent="0.2">
      <c r="B12" s="1" t="str">
        <f>Statement!B8</f>
        <v>Sales and marketing</v>
      </c>
      <c r="C12" s="99">
        <f>Statement!M8</f>
        <v>106421</v>
      </c>
      <c r="D12" s="99">
        <f>Statement!N8</f>
        <v>151263</v>
      </c>
      <c r="E12" s="99">
        <f>Statement!O8</f>
        <v>147008</v>
      </c>
      <c r="F12" s="99">
        <f>Statement!P8</f>
        <v>121129</v>
      </c>
      <c r="G12" s="100">
        <f>Statement!Q8</f>
        <v>100243</v>
      </c>
      <c r="H12" s="24">
        <f>H6*H23</f>
        <v>107520.83017024124</v>
      </c>
      <c r="I12" s="24">
        <f>I6*I23</f>
        <v>119697.36127940498</v>
      </c>
      <c r="J12" s="24">
        <f>J6*J23</f>
        <v>124152.91682558306</v>
      </c>
      <c r="K12" s="24">
        <f>K6*K23</f>
        <v>134025.61820811676</v>
      </c>
      <c r="L12" s="24">
        <f>L6*L23</f>
        <v>157286.07445619666</v>
      </c>
      <c r="N12" s="92"/>
      <c r="O12" s="39" t="str">
        <f t="shared" si="4"/>
        <v>Sales and marketing</v>
      </c>
      <c r="P12" s="99">
        <f>Statement!T8</f>
        <v>30071</v>
      </c>
      <c r="Q12" s="99">
        <f>Statement!U8</f>
        <v>28863</v>
      </c>
      <c r="R12" s="99">
        <f>Statement!V8</f>
        <v>26043</v>
      </c>
      <c r="S12" s="99">
        <f>Statement!W8</f>
        <v>25396</v>
      </c>
      <c r="T12" s="99">
        <f>Statement!X8</f>
        <v>24148</v>
      </c>
      <c r="U12" s="99">
        <f>Statement!Y8</f>
        <v>24656</v>
      </c>
      <c r="V12" s="99">
        <f>Statement!Z8</f>
        <v>24209</v>
      </c>
      <c r="W12" s="100">
        <f>Statement!AA8</f>
        <v>24587</v>
      </c>
      <c r="X12" s="25">
        <f>X23*X$6</f>
        <v>24241.105976999999</v>
      </c>
      <c r="Y12" s="24"/>
      <c r="Z12" s="24"/>
      <c r="AB12" s="24">
        <f t="shared" ref="AB12:AB17" si="5">SUM(U12:X12)</f>
        <v>97693.105976999999</v>
      </c>
    </row>
    <row r="13" spans="1:28" x14ac:dyDescent="0.2">
      <c r="B13" s="1" t="str">
        <f>Statement!B9</f>
        <v>R&amp;D</v>
      </c>
      <c r="C13" s="99">
        <f>Statement!M9</f>
        <v>52265</v>
      </c>
      <c r="D13" s="99">
        <f>Statement!N9</f>
        <v>91244</v>
      </c>
      <c r="E13" s="99">
        <f>Statement!O9</f>
        <v>112346</v>
      </c>
      <c r="F13" s="99">
        <f>Statement!P9</f>
        <v>117364</v>
      </c>
      <c r="G13" s="100">
        <f>Statement!Q9</f>
        <v>121481</v>
      </c>
      <c r="H13" s="24">
        <f>H6*H24</f>
        <v>133121.0278298225</v>
      </c>
      <c r="I13" s="24">
        <f>I6*I24</f>
        <v>141460.51787566044</v>
      </c>
      <c r="J13" s="24">
        <f>J6*J24</f>
        <v>147801.09145902746</v>
      </c>
      <c r="K13" s="24">
        <f>K6*K24</f>
        <v>147428.18002892844</v>
      </c>
      <c r="L13" s="24">
        <f>L6*L24</f>
        <v>165150.37817900648</v>
      </c>
      <c r="M13" s="91"/>
      <c r="N13" s="91"/>
      <c r="O13" s="39" t="str">
        <f t="shared" si="4"/>
        <v>R&amp;D</v>
      </c>
      <c r="P13" s="99">
        <f>Statement!T9</f>
        <v>29315</v>
      </c>
      <c r="Q13" s="99">
        <f>Statement!U9</f>
        <v>29626</v>
      </c>
      <c r="R13" s="99">
        <f>Statement!V9</f>
        <v>31829</v>
      </c>
      <c r="S13" s="99">
        <f>Statement!W9</f>
        <v>29274</v>
      </c>
      <c r="T13" s="99">
        <f>Statement!X9</f>
        <v>29453</v>
      </c>
      <c r="U13" s="99">
        <f>Statement!Y9</f>
        <v>30925</v>
      </c>
      <c r="V13" s="99">
        <f>Statement!Z9</f>
        <v>28328</v>
      </c>
      <c r="W13" s="100">
        <f>Statement!AA9</f>
        <v>27571</v>
      </c>
      <c r="X13" s="25">
        <f>X24*X$6</f>
        <v>29344.496708999999</v>
      </c>
      <c r="Y13" s="24"/>
      <c r="Z13" s="24"/>
      <c r="AB13" s="24">
        <f t="shared" si="5"/>
        <v>116168.496709</v>
      </c>
    </row>
    <row r="14" spans="1:28" x14ac:dyDescent="0.2">
      <c r="B14" s="1" t="str">
        <f>Statement!B10</f>
        <v>General and administrative</v>
      </c>
      <c r="C14" s="99">
        <f>Statement!M10</f>
        <v>68674</v>
      </c>
      <c r="D14" s="99">
        <f>Statement!N10</f>
        <v>80384</v>
      </c>
      <c r="E14" s="99">
        <f>Statement!O10</f>
        <v>79926</v>
      </c>
      <c r="F14" s="99">
        <f>Statement!P10</f>
        <v>76597</v>
      </c>
      <c r="G14" s="100">
        <f>Statement!Q10</f>
        <v>79903</v>
      </c>
      <c r="H14" s="24">
        <f>H6*H25</f>
        <v>79360.612744701866</v>
      </c>
      <c r="I14" s="24">
        <f t="shared" ref="I14:L14" si="6">I6*I25</f>
        <v>89228.942044647352</v>
      </c>
      <c r="J14" s="24">
        <f t="shared" si="6"/>
        <v>94592.698533777584</v>
      </c>
      <c r="K14" s="24">
        <f t="shared" si="6"/>
        <v>113921.77547689926</v>
      </c>
      <c r="L14" s="24">
        <f t="shared" si="6"/>
        <v>125828.85956495733</v>
      </c>
      <c r="M14" s="91"/>
      <c r="N14" s="91"/>
      <c r="O14" s="39" t="str">
        <f t="shared" si="4"/>
        <v>General and administrative</v>
      </c>
      <c r="P14" s="99">
        <f>Statement!T10</f>
        <v>19633</v>
      </c>
      <c r="Q14" s="99">
        <f>Statement!U10</f>
        <v>18415</v>
      </c>
      <c r="R14" s="99">
        <f>Statement!V10</f>
        <v>16408</v>
      </c>
      <c r="S14" s="99">
        <f>Statement!W10</f>
        <v>19042</v>
      </c>
      <c r="T14" s="99">
        <f>Statement!X10</f>
        <v>17488</v>
      </c>
      <c r="U14" s="99">
        <f>Statement!Y10</f>
        <v>26965</v>
      </c>
      <c r="V14" s="99">
        <f>Statement!Z10</f>
        <v>18361</v>
      </c>
      <c r="W14" s="100">
        <f>Statement!AA10</f>
        <v>16512</v>
      </c>
      <c r="X14" s="25">
        <f>X25*X$6</f>
        <v>21689.410610999999</v>
      </c>
      <c r="Y14" s="24"/>
      <c r="Z14" s="24"/>
      <c r="AB14" s="24">
        <f t="shared" si="5"/>
        <v>83527.410610999999</v>
      </c>
    </row>
    <row r="15" spans="1:28" x14ac:dyDescent="0.2">
      <c r="B15" s="1" t="str">
        <f>Statement!B11</f>
        <v>Depreciation</v>
      </c>
      <c r="C15" s="99">
        <f>Statement!M11</f>
        <v>14985</v>
      </c>
      <c r="D15" s="99">
        <f>Statement!N11</f>
        <v>17988</v>
      </c>
      <c r="E15" s="99">
        <f>Statement!O11</f>
        <v>17584</v>
      </c>
      <c r="F15" s="99">
        <f>Statement!P11</f>
        <v>14183</v>
      </c>
      <c r="G15" s="100">
        <f>Statement!Q11</f>
        <v>12972</v>
      </c>
      <c r="H15" s="24">
        <f>H6*H26</f>
        <v>12288.094876599</v>
      </c>
      <c r="I15" s="24">
        <f t="shared" ref="I15:L15" si="7">I6*I26</f>
        <v>13601.972872659659</v>
      </c>
      <c r="J15" s="24">
        <f t="shared" si="7"/>
        <v>13597.700414230527</v>
      </c>
      <c r="K15" s="24">
        <f t="shared" si="7"/>
        <v>13402.561820811676</v>
      </c>
      <c r="L15" s="24">
        <f t="shared" si="7"/>
        <v>13369.316328776717</v>
      </c>
      <c r="M15" s="91"/>
      <c r="N15" s="91"/>
      <c r="O15" s="39" t="str">
        <f t="shared" si="4"/>
        <v>Depreciation</v>
      </c>
      <c r="P15" s="99">
        <f>Statement!T11</f>
        <v>3566</v>
      </c>
      <c r="Q15" s="99">
        <f>Statement!U11</f>
        <v>3172</v>
      </c>
      <c r="R15" s="99">
        <f>Statement!V11</f>
        <v>2986</v>
      </c>
      <c r="S15" s="99">
        <f>Statement!W11</f>
        <v>3279</v>
      </c>
      <c r="T15" s="99">
        <f>Statement!X11</f>
        <v>3199</v>
      </c>
      <c r="U15" s="99">
        <f>Statement!Y11</f>
        <v>3508</v>
      </c>
      <c r="V15" s="99">
        <f>Statement!Z11</f>
        <v>3371</v>
      </c>
      <c r="W15" s="100">
        <f>Statement!AA11</f>
        <v>3340</v>
      </c>
      <c r="X15" s="25">
        <f>X6*X26</f>
        <v>3827.5430489999999</v>
      </c>
      <c r="Y15" s="24"/>
      <c r="Z15" s="24"/>
      <c r="AB15" s="24">
        <f t="shared" si="5"/>
        <v>14046.543049</v>
      </c>
    </row>
    <row r="16" spans="1:28" x14ac:dyDescent="0.2">
      <c r="B16" s="1" t="str">
        <f>Statement!B12</f>
        <v>Amortization</v>
      </c>
      <c r="C16" s="99">
        <f>Statement!M12</f>
        <v>6317</v>
      </c>
      <c r="D16" s="99">
        <f>Statement!N12</f>
        <v>7316</v>
      </c>
      <c r="E16" s="99">
        <f>Statement!O12</f>
        <v>11903</v>
      </c>
      <c r="F16" s="99">
        <f>Statement!P12</f>
        <v>13703</v>
      </c>
      <c r="G16" s="100">
        <f>Statement!Q12</f>
        <v>18481</v>
      </c>
      <c r="H16" s="24">
        <f>H6*H27</f>
        <v>20480.158127664999</v>
      </c>
      <c r="I16" s="24">
        <f t="shared" ref="I16:L16" si="8">I6*I27</f>
        <v>20674.998766442677</v>
      </c>
      <c r="J16" s="24">
        <f t="shared" si="8"/>
        <v>18918.539706755517</v>
      </c>
      <c r="K16" s="24">
        <f t="shared" si="8"/>
        <v>17423.33036705518</v>
      </c>
      <c r="L16" s="24">
        <f t="shared" si="8"/>
        <v>17301.468190181629</v>
      </c>
      <c r="M16" s="91"/>
      <c r="N16" s="91"/>
      <c r="O16" s="39" t="str">
        <f t="shared" si="4"/>
        <v>Amortization</v>
      </c>
      <c r="P16" s="99">
        <f>Statement!T12</f>
        <v>3521</v>
      </c>
      <c r="Q16" s="99">
        <f>Statement!U12</f>
        <v>3651</v>
      </c>
      <c r="R16" s="99">
        <f>Statement!V12</f>
        <v>3892</v>
      </c>
      <c r="S16" s="99">
        <f>Statement!W12</f>
        <v>4130</v>
      </c>
      <c r="T16" s="99">
        <f>Statement!X12</f>
        <v>4279</v>
      </c>
      <c r="U16" s="99">
        <f>Statement!Y12</f>
        <v>6180</v>
      </c>
      <c r="V16" s="99">
        <f>Statement!Z12</f>
        <v>6583</v>
      </c>
      <c r="W16" s="100">
        <f>Statement!AA12</f>
        <v>6655</v>
      </c>
      <c r="X16" s="25">
        <f>X6*X27</f>
        <v>6379.2384149999998</v>
      </c>
      <c r="Y16" s="24"/>
      <c r="Z16" s="24"/>
      <c r="AB16" s="24">
        <f t="shared" si="5"/>
        <v>25797.238415</v>
      </c>
    </row>
    <row r="17" spans="2:28" x14ac:dyDescent="0.2">
      <c r="B17" s="16" t="s">
        <v>26</v>
      </c>
      <c r="C17" s="110">
        <f>Statement!M13</f>
        <v>248662</v>
      </c>
      <c r="D17" s="110">
        <f>Statement!N13</f>
        <v>348195</v>
      </c>
      <c r="E17" s="110">
        <f>Statement!O13</f>
        <v>368767</v>
      </c>
      <c r="F17" s="110">
        <f>Statement!P13</f>
        <v>342976</v>
      </c>
      <c r="G17" s="111">
        <f>Statement!Q13</f>
        <v>333080</v>
      </c>
      <c r="H17" s="112">
        <f>SUM(H12:H16)</f>
        <v>352770.72374902957</v>
      </c>
      <c r="I17" s="112">
        <f t="shared" ref="I17:L17" si="9">SUM(I12:I16)</f>
        <v>384663.79283881519</v>
      </c>
      <c r="J17" s="112">
        <f t="shared" si="9"/>
        <v>399062.94693937409</v>
      </c>
      <c r="K17" s="112">
        <f t="shared" si="9"/>
        <v>426201.46590181126</v>
      </c>
      <c r="L17" s="112">
        <f t="shared" si="9"/>
        <v>478936.09671911882</v>
      </c>
      <c r="M17" s="91"/>
      <c r="N17" s="91"/>
      <c r="O17" s="16" t="str">
        <f t="shared" si="4"/>
        <v>OpEx</v>
      </c>
      <c r="P17" s="110">
        <f>Statement!T13</f>
        <v>86106</v>
      </c>
      <c r="Q17" s="110">
        <f>Statement!U13</f>
        <v>83727</v>
      </c>
      <c r="R17" s="110">
        <f>Statement!V13</f>
        <v>81158</v>
      </c>
      <c r="S17" s="110">
        <f>Statement!W13</f>
        <v>81121</v>
      </c>
      <c r="T17" s="110">
        <f>Statement!X13</f>
        <v>78567</v>
      </c>
      <c r="U17" s="110">
        <f>Statement!Y13</f>
        <v>92234</v>
      </c>
      <c r="V17" s="110">
        <f>Statement!Z13</f>
        <v>80852</v>
      </c>
      <c r="W17" s="111">
        <f>Statement!AA13</f>
        <v>78665</v>
      </c>
      <c r="X17" s="112">
        <f>SUM(X12:X16)</f>
        <v>85481.794760999997</v>
      </c>
      <c r="Y17" s="112"/>
      <c r="Z17" s="112"/>
      <c r="AB17" s="112">
        <f t="shared" si="5"/>
        <v>337232.79476099997</v>
      </c>
    </row>
    <row r="20" spans="2:28" x14ac:dyDescent="0.2">
      <c r="C20" s="274" t="s">
        <v>140</v>
      </c>
      <c r="D20" s="274"/>
      <c r="E20" s="274"/>
      <c r="F20" s="274"/>
      <c r="G20" s="274"/>
      <c r="H20" s="274"/>
      <c r="I20" s="274"/>
      <c r="J20" s="274"/>
      <c r="K20" s="274"/>
      <c r="L20" s="274"/>
      <c r="P20" s="276" t="s">
        <v>140</v>
      </c>
      <c r="Q20" s="276"/>
      <c r="R20" s="276"/>
      <c r="S20" s="276"/>
      <c r="T20" s="276"/>
      <c r="U20" s="276"/>
      <c r="V20" s="276"/>
      <c r="W20" s="276"/>
      <c r="X20" s="276"/>
      <c r="Y20" s="276"/>
      <c r="Z20" s="276"/>
    </row>
    <row r="21" spans="2:28" x14ac:dyDescent="0.2">
      <c r="B21" s="16" t="s">
        <v>141</v>
      </c>
      <c r="C21" s="12">
        <f t="shared" ref="C21:L21" si="10">C5</f>
        <v>2022</v>
      </c>
      <c r="D21" s="12">
        <f t="shared" si="10"/>
        <v>2023</v>
      </c>
      <c r="E21" s="12">
        <f t="shared" si="10"/>
        <v>2024</v>
      </c>
      <c r="F21" s="12">
        <f t="shared" si="10"/>
        <v>2025</v>
      </c>
      <c r="G21" s="12">
        <f t="shared" si="10"/>
        <v>2026</v>
      </c>
      <c r="H21" s="12">
        <f t="shared" si="10"/>
        <v>2027</v>
      </c>
      <c r="I21" s="12">
        <f t="shared" si="10"/>
        <v>2028</v>
      </c>
      <c r="J21" s="12">
        <f t="shared" si="10"/>
        <v>2029</v>
      </c>
      <c r="K21" s="12">
        <f t="shared" si="10"/>
        <v>2030</v>
      </c>
      <c r="L21" s="12">
        <f t="shared" si="10"/>
        <v>2031</v>
      </c>
      <c r="O21" s="16" t="s">
        <v>141</v>
      </c>
      <c r="P21" s="12" t="str">
        <f t="shared" ref="P21:Z21" si="11">P5</f>
        <v>Q3 2025</v>
      </c>
      <c r="Q21" s="12" t="str">
        <f t="shared" si="11"/>
        <v>Q4 2025</v>
      </c>
      <c r="R21" s="12" t="str">
        <f t="shared" si="11"/>
        <v>Q1 2026</v>
      </c>
      <c r="S21" s="12" t="str">
        <f t="shared" si="11"/>
        <v>Q2 2026</v>
      </c>
      <c r="T21" s="12" t="str">
        <f t="shared" si="11"/>
        <v>Q3 2026</v>
      </c>
      <c r="U21" s="12" t="str">
        <f t="shared" si="11"/>
        <v>Q4 2026</v>
      </c>
      <c r="V21" s="12" t="str">
        <f t="shared" si="11"/>
        <v>Q1 2027</v>
      </c>
      <c r="W21" s="12" t="str">
        <f t="shared" si="11"/>
        <v>Q2 2027</v>
      </c>
      <c r="X21" s="12" t="str">
        <f t="shared" si="11"/>
        <v>FQ1</v>
      </c>
      <c r="Y21" s="12" t="str">
        <f t="shared" si="11"/>
        <v>FQ2</v>
      </c>
      <c r="Z21" s="12" t="str">
        <f t="shared" si="11"/>
        <v>FQ3</v>
      </c>
    </row>
    <row r="22" spans="2:28" x14ac:dyDescent="0.2">
      <c r="B22" s="16" t="str">
        <f t="shared" ref="B22" si="12">B11</f>
        <v>COGS</v>
      </c>
      <c r="C22" s="104">
        <f>C11/C$6</f>
        <v>0.38168576158474532</v>
      </c>
      <c r="D22" s="104">
        <f t="shared" ref="D22:G22" si="13">D11/D$6</f>
        <v>0.3889751165853832</v>
      </c>
      <c r="E22" s="104">
        <f t="shared" si="13"/>
        <v>0.34805318005383118</v>
      </c>
      <c r="F22" s="104">
        <f t="shared" si="13"/>
        <v>0.32141453456658081</v>
      </c>
      <c r="G22" s="105">
        <f t="shared" si="13"/>
        <v>0.32069472794954546</v>
      </c>
      <c r="H22" s="98">
        <v>0.31</v>
      </c>
      <c r="I22" s="98">
        <v>0.28999999999999998</v>
      </c>
      <c r="J22" s="98">
        <v>0.28000000000000003</v>
      </c>
      <c r="K22" s="98">
        <v>0.28000000000000003</v>
      </c>
      <c r="L22" s="98">
        <v>0.28999999999999998</v>
      </c>
      <c r="O22" s="16" t="str">
        <f>O11</f>
        <v>COGS</v>
      </c>
      <c r="P22" s="104">
        <f>P11/P$6</f>
        <v>0.32338014981273411</v>
      </c>
      <c r="Q22" s="104">
        <f t="shared" ref="Q22:V22" si="14">Q11/Q$6</f>
        <v>0.30603295010074671</v>
      </c>
      <c r="R22" s="104">
        <f t="shared" si="14"/>
        <v>0.3283276980402981</v>
      </c>
      <c r="S22" s="104">
        <f t="shared" si="14"/>
        <v>0.32101829346296534</v>
      </c>
      <c r="T22" s="104">
        <f t="shared" si="14"/>
        <v>0.31601472580256457</v>
      </c>
      <c r="U22" s="104">
        <f t="shared" si="14"/>
        <v>0.31786380413482651</v>
      </c>
      <c r="V22" s="104">
        <f t="shared" si="14"/>
        <v>0.33095810898537442</v>
      </c>
      <c r="W22" s="105">
        <f>W11/W$6</f>
        <v>0.33358309258601243</v>
      </c>
      <c r="X22" s="98">
        <v>0.32</v>
      </c>
      <c r="Y22" s="98"/>
      <c r="Z22" s="98"/>
    </row>
    <row r="23" spans="2:28" x14ac:dyDescent="0.2">
      <c r="B23" s="1" t="str">
        <f>B12</f>
        <v>Sales and marketing</v>
      </c>
      <c r="C23" s="96">
        <f t="shared" ref="C23:G23" si="15">C12/C$6</f>
        <v>0.49908316254988672</v>
      </c>
      <c r="D23" s="96">
        <f t="shared" si="15"/>
        <v>0.53847495639172693</v>
      </c>
      <c r="E23" s="96">
        <f t="shared" si="15"/>
        <v>0.41259728486467828</v>
      </c>
      <c r="F23" s="96">
        <f t="shared" si="15"/>
        <v>0.28853084587661648</v>
      </c>
      <c r="G23" s="97">
        <f t="shared" si="15"/>
        <v>0.20858276580293847</v>
      </c>
      <c r="H23" s="98">
        <v>0.21</v>
      </c>
      <c r="I23" s="98">
        <v>0.22</v>
      </c>
      <c r="J23" s="98">
        <v>0.21</v>
      </c>
      <c r="K23" s="98">
        <v>0.2</v>
      </c>
      <c r="L23" s="98">
        <v>0.2</v>
      </c>
      <c r="O23" s="1" t="str">
        <f>O12</f>
        <v>Sales and marketing</v>
      </c>
      <c r="P23" s="96">
        <f>P12/P$6</f>
        <v>0.28156367041198505</v>
      </c>
      <c r="Q23" s="96">
        <f t="shared" ref="Q23:V23" si="16">Q12/Q$6</f>
        <v>0.26315405585288243</v>
      </c>
      <c r="R23" s="96">
        <f t="shared" si="16"/>
        <v>0.22463255589290643</v>
      </c>
      <c r="S23" s="96">
        <f t="shared" si="16"/>
        <v>0.21658777877276023</v>
      </c>
      <c r="T23" s="96">
        <f t="shared" si="16"/>
        <v>0.2006764561674686</v>
      </c>
      <c r="U23" s="96">
        <f t="shared" si="16"/>
        <v>0.19403936505937813</v>
      </c>
      <c r="V23" s="96">
        <f t="shared" si="16"/>
        <v>0.18489326765188835</v>
      </c>
      <c r="W23" s="97">
        <f>W12/W$6</f>
        <v>0.18992260038004605</v>
      </c>
      <c r="X23" s="98">
        <v>0.19</v>
      </c>
      <c r="Y23" s="98"/>
      <c r="Z23" s="98"/>
    </row>
    <row r="24" spans="2:28" x14ac:dyDescent="0.2">
      <c r="B24" s="1" t="str">
        <f>B13</f>
        <v>R&amp;D</v>
      </c>
      <c r="C24" s="96">
        <f t="shared" ref="C24:G24" si="17">C13/C$6</f>
        <v>0.24510746460444677</v>
      </c>
      <c r="D24" s="96">
        <f t="shared" si="17"/>
        <v>0.3248157772952191</v>
      </c>
      <c r="E24" s="96">
        <f t="shared" si="17"/>
        <v>0.31531382350217091</v>
      </c>
      <c r="F24" s="96">
        <f t="shared" si="17"/>
        <v>0.27956256714298988</v>
      </c>
      <c r="G24" s="97">
        <f t="shared" si="17"/>
        <v>0.25277418844714111</v>
      </c>
      <c r="H24" s="98">
        <v>0.26</v>
      </c>
      <c r="I24" s="98">
        <v>0.26</v>
      </c>
      <c r="J24" s="98">
        <v>0.25</v>
      </c>
      <c r="K24" s="98">
        <v>0.22</v>
      </c>
      <c r="L24" s="98">
        <v>0.21</v>
      </c>
      <c r="O24" s="1" t="str">
        <f>O13</f>
        <v>R&amp;D</v>
      </c>
      <c r="P24" s="96">
        <f>P13/P$6</f>
        <v>0.27448501872659176</v>
      </c>
      <c r="Q24" s="96">
        <f t="shared" ref="Q24:V24" si="18">Q13/Q$6</f>
        <v>0.27011059344827271</v>
      </c>
      <c r="R24" s="96">
        <f t="shared" si="18"/>
        <v>0.27453940104885455</v>
      </c>
      <c r="S24" s="96">
        <f t="shared" si="18"/>
        <v>0.24966099526672636</v>
      </c>
      <c r="T24" s="96">
        <f t="shared" si="18"/>
        <v>0.24476245086551487</v>
      </c>
      <c r="U24" s="96">
        <f t="shared" si="18"/>
        <v>0.2433755420368782</v>
      </c>
      <c r="V24" s="96">
        <f t="shared" si="18"/>
        <v>0.2163516248520258</v>
      </c>
      <c r="W24" s="97">
        <f>W13/W$6</f>
        <v>0.21297254708090654</v>
      </c>
      <c r="X24" s="98">
        <v>0.23</v>
      </c>
      <c r="Y24" s="98"/>
      <c r="Z24" s="98"/>
    </row>
    <row r="25" spans="2:28" x14ac:dyDescent="0.2">
      <c r="B25" s="1" t="str">
        <f>B14</f>
        <v>General and administrative</v>
      </c>
      <c r="C25" s="96">
        <f t="shared" ref="C25:G25" si="19">C14/C$6</f>
        <v>0.322060844240807</v>
      </c>
      <c r="D25" s="96">
        <f t="shared" si="19"/>
        <v>0.28615570823395392</v>
      </c>
      <c r="E25" s="96">
        <f t="shared" si="19"/>
        <v>0.22432282998268308</v>
      </c>
      <c r="F25" s="96">
        <f t="shared" si="19"/>
        <v>0.18245504546071703</v>
      </c>
      <c r="G25" s="97">
        <f t="shared" si="19"/>
        <v>0.16625987586117927</v>
      </c>
      <c r="H25" s="98">
        <v>0.155</v>
      </c>
      <c r="I25" s="98">
        <v>0.16400000000000001</v>
      </c>
      <c r="J25" s="98">
        <v>0.16</v>
      </c>
      <c r="K25" s="98">
        <v>0.17</v>
      </c>
      <c r="L25" s="98">
        <v>0.16</v>
      </c>
      <c r="O25" s="1" t="str">
        <f>O14</f>
        <v>General and administrative</v>
      </c>
      <c r="P25" s="96">
        <f>P14/P$6</f>
        <v>0.18382958801498128</v>
      </c>
      <c r="Q25" s="96">
        <f t="shared" ref="Q25:V25" si="20">Q14/Q$6</f>
        <v>0.16789598927799709</v>
      </c>
      <c r="R25" s="96">
        <f t="shared" si="20"/>
        <v>0.14152635937068728</v>
      </c>
      <c r="S25" s="96">
        <f t="shared" si="20"/>
        <v>0.16239819197475588</v>
      </c>
      <c r="T25" s="96">
        <f t="shared" si="20"/>
        <v>0.14533004246549158</v>
      </c>
      <c r="U25" s="96">
        <f t="shared" si="20"/>
        <v>0.21221088087386969</v>
      </c>
      <c r="V25" s="96">
        <f t="shared" si="20"/>
        <v>0.14022988505747128</v>
      </c>
      <c r="W25" s="97">
        <f>W14/W$6</f>
        <v>0.12754715815167852</v>
      </c>
      <c r="X25" s="98">
        <v>0.17</v>
      </c>
      <c r="Y25" s="98"/>
      <c r="Z25" s="98"/>
    </row>
    <row r="26" spans="2:28" x14ac:dyDescent="0.2">
      <c r="B26" s="1" t="str">
        <f t="shared" ref="B26:B27" si="21">B15</f>
        <v>Depreciation</v>
      </c>
      <c r="C26" s="96">
        <f t="shared" ref="C26:G26" si="22">C15/C$6</f>
        <v>7.0275238823259062E-2</v>
      </c>
      <c r="D26" s="96">
        <f t="shared" si="22"/>
        <v>6.403474422412872E-2</v>
      </c>
      <c r="E26" s="96">
        <f t="shared" si="22"/>
        <v>4.9351808453012777E-2</v>
      </c>
      <c r="F26" s="96">
        <f t="shared" si="22"/>
        <v>3.3784089582742795E-2</v>
      </c>
      <c r="G26" s="97">
        <f t="shared" si="22"/>
        <v>2.6991766387635223E-2</v>
      </c>
      <c r="H26" s="98">
        <v>2.4E-2</v>
      </c>
      <c r="I26" s="98">
        <v>2.5000000000000001E-2</v>
      </c>
      <c r="J26" s="98">
        <v>2.3E-2</v>
      </c>
      <c r="K26" s="98">
        <v>0.02</v>
      </c>
      <c r="L26" s="98">
        <v>1.7000000000000001E-2</v>
      </c>
      <c r="O26" s="1" t="str">
        <f t="shared" ref="O26:O27" si="23">O15</f>
        <v>Depreciation</v>
      </c>
      <c r="P26" s="96">
        <f t="shared" ref="P26:W26" si="24">P15/P$6</f>
        <v>3.3389513108614231E-2</v>
      </c>
      <c r="Q26" s="96">
        <f t="shared" si="24"/>
        <v>2.892023231006282E-2</v>
      </c>
      <c r="R26" s="96">
        <f t="shared" si="24"/>
        <v>2.5755589290643113E-2</v>
      </c>
      <c r="S26" s="96">
        <f t="shared" si="24"/>
        <v>2.7964692337213763E-2</v>
      </c>
      <c r="T26" s="96">
        <f t="shared" si="24"/>
        <v>2.6584561176069738E-2</v>
      </c>
      <c r="U26" s="96">
        <f t="shared" si="24"/>
        <v>2.7607482666624696E-2</v>
      </c>
      <c r="V26" s="96">
        <f t="shared" si="24"/>
        <v>2.5745598961316684E-2</v>
      </c>
      <c r="W26" s="97">
        <f t="shared" si="24"/>
        <v>2.5799873317987301E-2</v>
      </c>
      <c r="X26" s="98">
        <v>0.03</v>
      </c>
      <c r="Y26" s="98"/>
      <c r="Z26" s="98"/>
    </row>
    <row r="27" spans="2:28" x14ac:dyDescent="0.2">
      <c r="B27" s="1" t="str">
        <f t="shared" si="21"/>
        <v>Amortization</v>
      </c>
      <c r="C27" s="96">
        <f t="shared" ref="C27:G27" si="25">C16/C$6</f>
        <v>2.962487044688205E-2</v>
      </c>
      <c r="D27" s="96">
        <f t="shared" si="25"/>
        <v>2.6043928660425049E-2</v>
      </c>
      <c r="E27" s="96">
        <f t="shared" si="25"/>
        <v>3.3407334850785439E-2</v>
      </c>
      <c r="F27" s="96">
        <f t="shared" si="25"/>
        <v>3.2640723369690788E-2</v>
      </c>
      <c r="G27" s="97">
        <f t="shared" si="25"/>
        <v>3.8454735939707566E-2</v>
      </c>
      <c r="H27" s="98">
        <v>0.04</v>
      </c>
      <c r="I27" s="98">
        <v>3.7999999999999999E-2</v>
      </c>
      <c r="J27" s="98">
        <v>3.2000000000000001E-2</v>
      </c>
      <c r="K27" s="98">
        <v>2.5999999999999999E-2</v>
      </c>
      <c r="L27" s="98">
        <v>2.1999999999999999E-2</v>
      </c>
      <c r="O27" s="1" t="str">
        <f t="shared" si="23"/>
        <v>Amortization</v>
      </c>
      <c r="P27" s="96">
        <f t="shared" ref="P27:W27" si="26">P16/P$6</f>
        <v>3.2968164794007493E-2</v>
      </c>
      <c r="Q27" s="96">
        <f t="shared" si="26"/>
        <v>3.3287442674665622E-2</v>
      </c>
      <c r="R27" s="96">
        <f t="shared" si="26"/>
        <v>3.3570245652773945E-2</v>
      </c>
      <c r="S27" s="96">
        <f t="shared" si="26"/>
        <v>3.5222378576606539E-2</v>
      </c>
      <c r="T27" s="96">
        <f t="shared" si="26"/>
        <v>3.5559655289903853E-2</v>
      </c>
      <c r="U27" s="96">
        <f t="shared" si="26"/>
        <v>4.8635759087725376E-2</v>
      </c>
      <c r="V27" s="96">
        <f t="shared" si="26"/>
        <v>5.0276854928017721E-2</v>
      </c>
      <c r="W27" s="97">
        <f t="shared" si="26"/>
        <v>5.140663381173817E-2</v>
      </c>
      <c r="X27" s="98">
        <v>0.05</v>
      </c>
      <c r="Y27" s="98"/>
      <c r="Z27" s="98"/>
    </row>
    <row r="28" spans="2:28" x14ac:dyDescent="0.2">
      <c r="B28" s="16" t="str">
        <f t="shared" ref="B28" si="27">B17</f>
        <v>OpEx</v>
      </c>
      <c r="C28" s="104">
        <f>C17/C$6</f>
        <v>1.1661515806652816</v>
      </c>
      <c r="D28" s="104">
        <f t="shared" ref="D28:L28" si="28">D17/D$6</f>
        <v>1.2395251148054538</v>
      </c>
      <c r="E28" s="104">
        <f t="shared" si="28"/>
        <v>1.0349930816533306</v>
      </c>
      <c r="F28" s="104">
        <f t="shared" si="28"/>
        <v>0.816973271432757</v>
      </c>
      <c r="G28" s="105">
        <f t="shared" si="28"/>
        <v>0.69306333243860163</v>
      </c>
      <c r="H28" s="104">
        <f t="shared" si="28"/>
        <v>0.68899999999999995</v>
      </c>
      <c r="I28" s="104">
        <f t="shared" si="28"/>
        <v>0.70700000000000018</v>
      </c>
      <c r="J28" s="104">
        <f t="shared" si="28"/>
        <v>0.67499999999999993</v>
      </c>
      <c r="K28" s="104">
        <f t="shared" si="28"/>
        <v>0.6359999999999999</v>
      </c>
      <c r="L28" s="104">
        <f t="shared" si="28"/>
        <v>0.60899999999999999</v>
      </c>
      <c r="O28" s="16" t="str">
        <f t="shared" ref="O28" si="29">O17</f>
        <v>OpEx</v>
      </c>
      <c r="P28" s="104">
        <f t="shared" ref="P28:V28" si="30">P17/P$6</f>
        <v>0.80623595505617973</v>
      </c>
      <c r="Q28" s="104">
        <f t="shared" si="30"/>
        <v>0.76336831356388068</v>
      </c>
      <c r="R28" s="104">
        <f t="shared" si="30"/>
        <v>0.70002415125586526</v>
      </c>
      <c r="S28" s="104">
        <f t="shared" si="30"/>
        <v>0.69183403692806278</v>
      </c>
      <c r="T28" s="104">
        <f t="shared" si="30"/>
        <v>0.65291316596444871</v>
      </c>
      <c r="U28" s="104">
        <f t="shared" si="30"/>
        <v>0.72586902972447609</v>
      </c>
      <c r="V28" s="104">
        <f t="shared" si="30"/>
        <v>0.61749723145071977</v>
      </c>
      <c r="W28" s="105">
        <f t="shared" ref="W28:X28" si="31">W17/W$6</f>
        <v>0.6076488127423566</v>
      </c>
      <c r="X28" s="104">
        <f t="shared" si="31"/>
        <v>0.67</v>
      </c>
      <c r="Y28" s="16"/>
      <c r="Z28" s="16"/>
    </row>
  </sheetData>
  <mergeCells count="10">
    <mergeCell ref="C9:L9"/>
    <mergeCell ref="P9:Z9"/>
    <mergeCell ref="C20:L20"/>
    <mergeCell ref="P20:Z20"/>
    <mergeCell ref="C2:G2"/>
    <mergeCell ref="H2:L2"/>
    <mergeCell ref="P2:W2"/>
    <mergeCell ref="X2:Z2"/>
    <mergeCell ref="C4:L4"/>
    <mergeCell ref="P4:Z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A4AF9-34CA-DC41-86C9-B346AEC194A1}">
  <dimension ref="A1:AB46"/>
  <sheetViews>
    <sheetView topLeftCell="D35" zoomScale="189" zoomScaleNormal="100" workbookViewId="0">
      <selection activeCell="C45" sqref="C45:G45"/>
    </sheetView>
  </sheetViews>
  <sheetFormatPr baseColWidth="10" defaultRowHeight="16" x14ac:dyDescent="0.2"/>
  <cols>
    <col min="1" max="1" width="2" style="84" customWidth="1"/>
    <col min="2" max="2" width="34.6640625" style="1" customWidth="1"/>
    <col min="3" max="3" width="10.83203125" style="1"/>
    <col min="4" max="4" width="10.83203125" style="1" customWidth="1"/>
    <col min="5" max="7" width="10.83203125" style="1"/>
    <col min="8" max="8" width="10.83203125" style="1" customWidth="1"/>
    <col min="9" max="12" width="10.83203125" style="1"/>
    <col min="13" max="13" width="28" style="1" customWidth="1"/>
    <col min="14"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28" s="84" customFormat="1" ht="18" customHeight="1" x14ac:dyDescent="0.2">
      <c r="A1" s="4"/>
      <c r="B1" s="83" t="s">
        <v>143</v>
      </c>
    </row>
    <row r="2" spans="1:28" s="84" customFormat="1" ht="18" customHeight="1" x14ac:dyDescent="0.2">
      <c r="A2" s="4"/>
      <c r="B2" s="83"/>
    </row>
    <row r="3" spans="1:28" x14ac:dyDescent="0.2">
      <c r="A3" s="4"/>
      <c r="C3" s="268" t="s">
        <v>123</v>
      </c>
      <c r="D3" s="268"/>
      <c r="E3" s="268"/>
      <c r="F3" s="268"/>
      <c r="G3" s="277"/>
      <c r="H3" s="278" t="s">
        <v>124</v>
      </c>
      <c r="I3" s="268"/>
      <c r="J3" s="268"/>
      <c r="K3" s="268"/>
      <c r="L3" s="268"/>
      <c r="P3" s="279"/>
      <c r="Q3" s="279"/>
      <c r="R3" s="279"/>
      <c r="S3" s="279"/>
      <c r="T3" s="279"/>
      <c r="U3" s="279"/>
      <c r="V3" s="279"/>
      <c r="W3" s="279"/>
      <c r="X3" s="279"/>
      <c r="Y3" s="279"/>
      <c r="Z3" s="279"/>
      <c r="AB3" s="113"/>
    </row>
    <row r="4" spans="1:28" ht="10" customHeight="1" x14ac:dyDescent="0.2"/>
    <row r="5" spans="1:28" ht="16" customHeight="1" x14ac:dyDescent="0.2">
      <c r="A5" s="87"/>
      <c r="B5" s="60"/>
      <c r="C5" s="274" t="s">
        <v>126</v>
      </c>
      <c r="D5" s="274"/>
      <c r="E5" s="274"/>
      <c r="F5" s="274"/>
      <c r="G5" s="274"/>
      <c r="H5" s="274"/>
      <c r="I5" s="274"/>
      <c r="J5" s="274"/>
      <c r="K5" s="274"/>
      <c r="L5" s="274"/>
      <c r="P5" s="279"/>
      <c r="Q5" s="279"/>
      <c r="R5" s="279"/>
      <c r="S5" s="279"/>
      <c r="T5" s="279"/>
      <c r="U5" s="279"/>
      <c r="V5" s="279"/>
      <c r="W5" s="279"/>
      <c r="X5" s="279"/>
      <c r="Y5" s="279"/>
      <c r="Z5" s="279"/>
      <c r="AB5" s="114"/>
    </row>
    <row r="6" spans="1:28" x14ac:dyDescent="0.2">
      <c r="B6" s="16" t="s">
        <v>127</v>
      </c>
      <c r="C6" s="12">
        <f>Revenue!C5</f>
        <v>2022</v>
      </c>
      <c r="D6" s="12">
        <f>Revenue!D5</f>
        <v>2023</v>
      </c>
      <c r="E6" s="12">
        <f>Revenue!E5</f>
        <v>2024</v>
      </c>
      <c r="F6" s="12">
        <f>Revenue!F5</f>
        <v>2025</v>
      </c>
      <c r="G6" s="12">
        <f>Revenue!G5</f>
        <v>2026</v>
      </c>
      <c r="H6" s="12">
        <f>G6+1</f>
        <v>2027</v>
      </c>
      <c r="I6" s="12">
        <f t="shared" ref="I6:L6" si="0">H6+1</f>
        <v>2028</v>
      </c>
      <c r="J6" s="12">
        <f t="shared" si="0"/>
        <v>2029</v>
      </c>
      <c r="K6" s="12">
        <f t="shared" si="0"/>
        <v>2030</v>
      </c>
      <c r="L6" s="12">
        <f t="shared" si="0"/>
        <v>2031</v>
      </c>
      <c r="O6" s="16"/>
      <c r="P6" s="115"/>
      <c r="Q6" s="115"/>
      <c r="R6" s="115"/>
      <c r="S6" s="115"/>
      <c r="T6" s="115"/>
      <c r="U6" s="115"/>
      <c r="V6" s="115"/>
      <c r="W6" s="115"/>
      <c r="X6" s="115"/>
      <c r="Y6" s="115"/>
      <c r="Z6" s="115"/>
      <c r="AB6" s="114"/>
    </row>
    <row r="7" spans="1:28" x14ac:dyDescent="0.2">
      <c r="B7" s="16" t="s">
        <v>20</v>
      </c>
      <c r="C7" s="93">
        <f>Revenue!C9</f>
        <v>213233</v>
      </c>
      <c r="D7" s="93">
        <f>Revenue!D9</f>
        <v>280910</v>
      </c>
      <c r="E7" s="93">
        <f>Revenue!E9</f>
        <v>356299</v>
      </c>
      <c r="F7" s="93">
        <f>Revenue!F9</f>
        <v>419813</v>
      </c>
      <c r="G7" s="94">
        <f>Revenue!G9</f>
        <v>480591</v>
      </c>
      <c r="H7" s="93">
        <f>Revenue!H9</f>
        <v>512003.95319162495</v>
      </c>
      <c r="I7" s="93">
        <f>Revenue!I9</f>
        <v>544078.91490638629</v>
      </c>
      <c r="J7" s="93">
        <f>Revenue!J9</f>
        <v>591204.36583610985</v>
      </c>
      <c r="K7" s="93">
        <f>Revenue!K9</f>
        <v>670128.09104058379</v>
      </c>
      <c r="L7" s="93">
        <f>Revenue!L9</f>
        <v>786430.37228098325</v>
      </c>
      <c r="N7" s="92"/>
      <c r="O7" s="16"/>
      <c r="P7" s="93"/>
      <c r="Q7" s="93"/>
      <c r="R7" s="93"/>
      <c r="S7" s="93"/>
      <c r="T7" s="93"/>
      <c r="U7" s="93"/>
      <c r="V7" s="93"/>
      <c r="W7" s="93"/>
      <c r="X7" s="95"/>
      <c r="Y7" s="95"/>
      <c r="Z7" s="95"/>
      <c r="AB7" s="95"/>
    </row>
    <row r="8" spans="1:28" x14ac:dyDescent="0.2">
      <c r="B8" s="39" t="s">
        <v>21</v>
      </c>
      <c r="C8" s="116">
        <f>'COGS &amp; OpEx'!C11</f>
        <v>81388</v>
      </c>
      <c r="D8" s="116">
        <f>'COGS &amp; OpEx'!D11</f>
        <v>109267</v>
      </c>
      <c r="E8" s="116">
        <f>'COGS &amp; OpEx'!E11</f>
        <v>124011</v>
      </c>
      <c r="F8" s="116">
        <f>'COGS &amp; OpEx'!F11</f>
        <v>134934</v>
      </c>
      <c r="G8" s="117">
        <f>'COGS &amp; OpEx'!G11</f>
        <v>154123</v>
      </c>
      <c r="H8" s="116">
        <f>'COGS &amp; OpEx'!H11</f>
        <v>158721.22548940373</v>
      </c>
      <c r="I8" s="116">
        <f>'COGS &amp; OpEx'!I11</f>
        <v>157782.885322852</v>
      </c>
      <c r="J8" s="116">
        <f>'COGS &amp; OpEx'!J11</f>
        <v>165537.22243411076</v>
      </c>
      <c r="K8" s="116">
        <f>'COGS &amp; OpEx'!K11</f>
        <v>187635.86549136348</v>
      </c>
      <c r="L8" s="116">
        <f>'COGS &amp; OpEx'!L11</f>
        <v>228064.80796148512</v>
      </c>
      <c r="N8" s="92"/>
      <c r="O8" s="16"/>
      <c r="P8" s="93"/>
      <c r="Q8" s="93"/>
      <c r="R8" s="93"/>
      <c r="S8" s="93"/>
      <c r="T8" s="93"/>
      <c r="U8" s="93"/>
      <c r="V8" s="93"/>
      <c r="W8" s="93"/>
      <c r="X8" s="95"/>
      <c r="Y8" s="95"/>
      <c r="Z8" s="95"/>
      <c r="AB8" s="95"/>
    </row>
    <row r="9" spans="1:28" x14ac:dyDescent="0.2">
      <c r="N9" s="92"/>
    </row>
    <row r="10" spans="1:28" x14ac:dyDescent="0.2">
      <c r="N10" s="92"/>
    </row>
    <row r="11" spans="1:28" x14ac:dyDescent="0.2">
      <c r="C11" s="274" t="s">
        <v>144</v>
      </c>
      <c r="D11" s="274"/>
      <c r="E11" s="274"/>
      <c r="F11" s="274"/>
      <c r="G11" s="274"/>
      <c r="H11" s="274"/>
      <c r="I11" s="274"/>
      <c r="J11" s="274"/>
      <c r="K11" s="274"/>
      <c r="L11" s="274"/>
      <c r="N11" s="92"/>
      <c r="P11" s="279"/>
      <c r="Q11" s="279"/>
      <c r="R11" s="279"/>
      <c r="S11" s="279"/>
      <c r="T11" s="279"/>
      <c r="U11" s="279"/>
      <c r="V11" s="279"/>
      <c r="W11" s="279"/>
      <c r="X11" s="279"/>
      <c r="Y11" s="279"/>
      <c r="Z11" s="279"/>
      <c r="AB11" s="114"/>
    </row>
    <row r="12" spans="1:28" x14ac:dyDescent="0.2">
      <c r="B12" s="16" t="s">
        <v>145</v>
      </c>
      <c r="C12" s="12">
        <f t="shared" ref="C12:L12" si="1">C6</f>
        <v>2022</v>
      </c>
      <c r="D12" s="12">
        <f t="shared" si="1"/>
        <v>2023</v>
      </c>
      <c r="E12" s="12">
        <f t="shared" si="1"/>
        <v>2024</v>
      </c>
      <c r="F12" s="12">
        <f t="shared" si="1"/>
        <v>2025</v>
      </c>
      <c r="G12" s="12">
        <f t="shared" si="1"/>
        <v>2026</v>
      </c>
      <c r="H12" s="12">
        <f t="shared" si="1"/>
        <v>2027</v>
      </c>
      <c r="I12" s="12">
        <f t="shared" si="1"/>
        <v>2028</v>
      </c>
      <c r="J12" s="12">
        <f t="shared" si="1"/>
        <v>2029</v>
      </c>
      <c r="K12" s="12">
        <f t="shared" si="1"/>
        <v>2030</v>
      </c>
      <c r="L12" s="12">
        <f t="shared" si="1"/>
        <v>2031</v>
      </c>
      <c r="N12" s="92"/>
      <c r="O12" s="16"/>
      <c r="P12" s="115"/>
      <c r="Q12" s="115"/>
      <c r="R12" s="115"/>
      <c r="S12" s="115"/>
      <c r="T12" s="115"/>
      <c r="U12" s="115"/>
      <c r="V12" s="115"/>
      <c r="W12" s="115"/>
      <c r="X12" s="115"/>
      <c r="Y12" s="115"/>
      <c r="Z12" s="115"/>
      <c r="AB12" s="114"/>
    </row>
    <row r="13" spans="1:28" x14ac:dyDescent="0.2">
      <c r="B13" s="39" t="s">
        <v>146</v>
      </c>
      <c r="C13" s="118">
        <f>Statement!M32</f>
        <v>40262</v>
      </c>
      <c r="D13" s="118">
        <f>Statement!N32</f>
        <v>51394</v>
      </c>
      <c r="E13" s="118">
        <f>Statement!O32</f>
        <v>64863</v>
      </c>
      <c r="F13" s="118">
        <f>Statement!P32</f>
        <v>73617</v>
      </c>
      <c r="G13" s="119">
        <f>Statement!Q32</f>
        <v>97453</v>
      </c>
      <c r="H13" s="25">
        <f>H20*H7/365</f>
        <v>98192.538968256849</v>
      </c>
      <c r="I13" s="25">
        <f>I20*I7/365</f>
        <v>104343.90148889599</v>
      </c>
      <c r="J13" s="25">
        <f>J20*J7/365</f>
        <v>113381.65920144573</v>
      </c>
      <c r="K13" s="25">
        <f>K20*K7/365</f>
        <v>128517.71608997497</v>
      </c>
      <c r="L13" s="25">
        <f>L20*L7/365</f>
        <v>150822.26317717487</v>
      </c>
      <c r="N13" s="92"/>
      <c r="O13" s="16"/>
      <c r="P13" s="120"/>
      <c r="Q13" s="120"/>
      <c r="R13" s="120"/>
      <c r="S13" s="120"/>
      <c r="T13" s="120"/>
      <c r="U13" s="120"/>
      <c r="V13" s="120"/>
      <c r="W13" s="120"/>
      <c r="X13" s="112"/>
      <c r="Y13" s="112"/>
      <c r="Z13" s="112"/>
      <c r="AB13" s="24"/>
    </row>
    <row r="14" spans="1:28" x14ac:dyDescent="0.2">
      <c r="B14" s="39" t="s">
        <v>147</v>
      </c>
      <c r="C14" s="118">
        <f>Statement!M33</f>
        <v>0</v>
      </c>
      <c r="D14" s="118">
        <f>Statement!N33</f>
        <v>0</v>
      </c>
      <c r="E14" s="118">
        <f>Statement!O33</f>
        <v>0</v>
      </c>
      <c r="F14" s="118">
        <f>Statement!P33</f>
        <v>0</v>
      </c>
      <c r="G14" s="119">
        <f>Statement!Q33</f>
        <v>0</v>
      </c>
      <c r="H14" s="130">
        <f>H21*H8/365</f>
        <v>0</v>
      </c>
      <c r="I14" s="130">
        <f t="shared" ref="I14:L14" si="2">I21*I8/365</f>
        <v>0</v>
      </c>
      <c r="J14" s="130">
        <f t="shared" si="2"/>
        <v>0</v>
      </c>
      <c r="K14" s="130">
        <f t="shared" si="2"/>
        <v>0</v>
      </c>
      <c r="L14" s="130">
        <f t="shared" si="2"/>
        <v>0</v>
      </c>
      <c r="N14" s="92"/>
      <c r="O14" s="16"/>
      <c r="P14" s="120"/>
      <c r="Q14" s="120"/>
      <c r="R14" s="120"/>
      <c r="S14" s="120"/>
      <c r="T14" s="120"/>
      <c r="U14" s="120"/>
      <c r="V14" s="120"/>
      <c r="W14" s="120"/>
      <c r="X14" s="112"/>
      <c r="Y14" s="112"/>
      <c r="Z14" s="112"/>
      <c r="AB14" s="24"/>
    </row>
    <row r="15" spans="1:28" x14ac:dyDescent="0.2">
      <c r="B15" s="1" t="s">
        <v>148</v>
      </c>
      <c r="C15" s="118">
        <f>Statement!M40</f>
        <v>5119</v>
      </c>
      <c r="D15" s="118">
        <f>Statement!N40</f>
        <v>10836</v>
      </c>
      <c r="E15" s="118">
        <f>Statement!O40</f>
        <v>8480</v>
      </c>
      <c r="F15" s="118">
        <f>Statement!P40</f>
        <v>5622</v>
      </c>
      <c r="G15" s="119">
        <f>Statement!Q40</f>
        <v>11477</v>
      </c>
      <c r="H15" s="24">
        <f>H22*H8/365</f>
        <v>11306.169486916429</v>
      </c>
      <c r="I15" s="24">
        <f>I22*I8/365</f>
        <v>11239.328817518224</v>
      </c>
      <c r="J15" s="24">
        <f>J22*J8/365</f>
        <v>11791.692556950355</v>
      </c>
      <c r="K15" s="24">
        <f>K22*K8/365</f>
        <v>13365.842473357397</v>
      </c>
      <c r="L15" s="24">
        <f>L22*L8/365</f>
        <v>16245.712347941408</v>
      </c>
      <c r="N15" s="92"/>
      <c r="P15" s="121"/>
      <c r="Q15" s="121"/>
      <c r="R15" s="121"/>
      <c r="S15" s="121"/>
      <c r="T15" s="121"/>
      <c r="U15" s="121"/>
      <c r="V15" s="121"/>
      <c r="W15" s="121"/>
      <c r="X15" s="25"/>
      <c r="Y15" s="24"/>
      <c r="Z15" s="24"/>
      <c r="AB15" s="24"/>
    </row>
    <row r="16" spans="1:28" x14ac:dyDescent="0.2">
      <c r="D16" s="24"/>
    </row>
    <row r="18" spans="2:12" x14ac:dyDescent="0.2">
      <c r="C18" s="274" t="s">
        <v>149</v>
      </c>
      <c r="D18" s="274"/>
      <c r="E18" s="274"/>
      <c r="F18" s="274"/>
      <c r="G18" s="274"/>
      <c r="H18" s="274"/>
      <c r="I18" s="274"/>
      <c r="J18" s="274"/>
      <c r="K18" s="274"/>
      <c r="L18" s="274"/>
    </row>
    <row r="19" spans="2:12" x14ac:dyDescent="0.2">
      <c r="B19" s="16" t="s">
        <v>150</v>
      </c>
      <c r="C19" s="12">
        <f t="shared" ref="C19:L19" si="3">C6</f>
        <v>2022</v>
      </c>
      <c r="D19" s="12">
        <f t="shared" si="3"/>
        <v>2023</v>
      </c>
      <c r="E19" s="12">
        <f t="shared" si="3"/>
        <v>2024</v>
      </c>
      <c r="F19" s="12">
        <f t="shared" si="3"/>
        <v>2025</v>
      </c>
      <c r="G19" s="12">
        <f t="shared" si="3"/>
        <v>2026</v>
      </c>
      <c r="H19" s="12">
        <f t="shared" si="3"/>
        <v>2027</v>
      </c>
      <c r="I19" s="12">
        <f t="shared" si="3"/>
        <v>2028</v>
      </c>
      <c r="J19" s="12">
        <f t="shared" si="3"/>
        <v>2029</v>
      </c>
      <c r="K19" s="12">
        <f t="shared" si="3"/>
        <v>2030</v>
      </c>
      <c r="L19" s="12">
        <f t="shared" si="3"/>
        <v>2031</v>
      </c>
    </row>
    <row r="20" spans="2:12" x14ac:dyDescent="0.2">
      <c r="B20" s="1" t="s">
        <v>151</v>
      </c>
      <c r="C20" s="122">
        <f>C13/C7*365</f>
        <v>68.918178705922628</v>
      </c>
      <c r="D20" s="122">
        <f>D13/D7*365</f>
        <v>66.778719162721146</v>
      </c>
      <c r="E20" s="122">
        <f>E13/E7*365</f>
        <v>66.446986940743585</v>
      </c>
      <c r="F20" s="122">
        <f>F13/F7*365</f>
        <v>64.005176114127011</v>
      </c>
      <c r="G20" s="123">
        <f>G13/G7*365</f>
        <v>74.013755979616761</v>
      </c>
      <c r="H20" s="103">
        <v>70</v>
      </c>
      <c r="I20" s="103">
        <v>70</v>
      </c>
      <c r="J20" s="103">
        <v>70</v>
      </c>
      <c r="K20" s="103">
        <v>70</v>
      </c>
      <c r="L20" s="103">
        <v>70</v>
      </c>
    </row>
    <row r="21" spans="2:12" x14ac:dyDescent="0.2">
      <c r="B21" s="1" t="s">
        <v>152</v>
      </c>
      <c r="C21" s="122">
        <f>C14/C8*365</f>
        <v>0</v>
      </c>
      <c r="D21" s="122">
        <f t="shared" ref="D21:G21" si="4">D14/D8*365</f>
        <v>0</v>
      </c>
      <c r="E21" s="122">
        <f t="shared" si="4"/>
        <v>0</v>
      </c>
      <c r="F21" s="122">
        <f t="shared" si="4"/>
        <v>0</v>
      </c>
      <c r="G21" s="123">
        <f t="shared" si="4"/>
        <v>0</v>
      </c>
      <c r="H21" s="103">
        <v>0</v>
      </c>
      <c r="I21" s="103">
        <v>0</v>
      </c>
      <c r="J21" s="103">
        <v>0</v>
      </c>
      <c r="K21" s="103">
        <v>0</v>
      </c>
      <c r="L21" s="103">
        <v>0</v>
      </c>
    </row>
    <row r="22" spans="2:12" x14ac:dyDescent="0.2">
      <c r="B22" s="1" t="s">
        <v>153</v>
      </c>
      <c r="C22" s="122">
        <f>C15/C8*365</f>
        <v>22.957131272423453</v>
      </c>
      <c r="D22" s="122">
        <f>D15/D8*365</f>
        <v>36.197021973697453</v>
      </c>
      <c r="E22" s="122">
        <f>E15/E8*365</f>
        <v>24.959076210981287</v>
      </c>
      <c r="F22" s="122">
        <f>F15/F8*365</f>
        <v>15.207657076793097</v>
      </c>
      <c r="G22" s="123">
        <f>G15/G8*365</f>
        <v>27.180271601253548</v>
      </c>
      <c r="H22" s="103">
        <v>26</v>
      </c>
      <c r="I22" s="103">
        <v>26</v>
      </c>
      <c r="J22" s="103">
        <v>26</v>
      </c>
      <c r="K22" s="103">
        <v>26</v>
      </c>
      <c r="L22" s="103">
        <v>26</v>
      </c>
    </row>
    <row r="23" spans="2:12" x14ac:dyDescent="0.2">
      <c r="B23" s="1" t="s">
        <v>154</v>
      </c>
      <c r="C23" s="122">
        <f>C20+C21-C22</f>
        <v>45.961047433499175</v>
      </c>
      <c r="D23" s="122">
        <f t="shared" ref="D23:L23" si="5">D20+D21-D22</f>
        <v>30.581697189023693</v>
      </c>
      <c r="E23" s="122">
        <f t="shared" si="5"/>
        <v>41.487910729762298</v>
      </c>
      <c r="F23" s="122">
        <f t="shared" si="5"/>
        <v>48.797519037333913</v>
      </c>
      <c r="G23" s="123">
        <f t="shared" si="5"/>
        <v>46.83348437836321</v>
      </c>
      <c r="H23" s="122">
        <f t="shared" si="5"/>
        <v>44</v>
      </c>
      <c r="I23" s="122">
        <f t="shared" si="5"/>
        <v>44</v>
      </c>
      <c r="J23" s="122">
        <f t="shared" si="5"/>
        <v>44</v>
      </c>
      <c r="K23" s="122">
        <f t="shared" si="5"/>
        <v>44</v>
      </c>
      <c r="L23" s="122">
        <f t="shared" si="5"/>
        <v>44</v>
      </c>
    </row>
    <row r="25" spans="2:12" x14ac:dyDescent="0.2">
      <c r="B25" s="279"/>
      <c r="C25" s="279"/>
    </row>
    <row r="26" spans="2:12" x14ac:dyDescent="0.2">
      <c r="B26" s="113"/>
      <c r="C26" s="274" t="s">
        <v>155</v>
      </c>
      <c r="D26" s="274"/>
      <c r="E26" s="274"/>
      <c r="F26" s="274"/>
      <c r="G26" s="274"/>
      <c r="H26" s="274"/>
      <c r="I26" s="274"/>
      <c r="J26" s="274"/>
      <c r="K26" s="274"/>
      <c r="L26" s="274"/>
    </row>
    <row r="27" spans="2:12" x14ac:dyDescent="0.2">
      <c r="B27" s="16" t="s">
        <v>145</v>
      </c>
      <c r="C27" s="12">
        <f t="shared" ref="C27:L27" si="6">C6</f>
        <v>2022</v>
      </c>
      <c r="D27" s="12">
        <f t="shared" si="6"/>
        <v>2023</v>
      </c>
      <c r="E27" s="12">
        <f t="shared" si="6"/>
        <v>2024</v>
      </c>
      <c r="F27" s="12">
        <f t="shared" si="6"/>
        <v>2025</v>
      </c>
      <c r="G27" s="12">
        <f t="shared" si="6"/>
        <v>2026</v>
      </c>
      <c r="H27" s="12">
        <f t="shared" si="6"/>
        <v>2027</v>
      </c>
      <c r="I27" s="12">
        <f t="shared" si="6"/>
        <v>2028</v>
      </c>
      <c r="J27" s="12">
        <f t="shared" si="6"/>
        <v>2029</v>
      </c>
      <c r="K27" s="12">
        <f t="shared" si="6"/>
        <v>2030</v>
      </c>
      <c r="L27" s="12">
        <f t="shared" si="6"/>
        <v>2031</v>
      </c>
    </row>
    <row r="28" spans="2:12" x14ac:dyDescent="0.2">
      <c r="B28" s="1" t="s">
        <v>156</v>
      </c>
      <c r="C28" s="118">
        <f>Statement!M57</f>
        <v>-10216</v>
      </c>
      <c r="D28" s="118">
        <f>Statement!N57</f>
        <v>-11132</v>
      </c>
      <c r="E28" s="118">
        <f>Statement!O57</f>
        <v>-11205</v>
      </c>
      <c r="F28" s="118">
        <f>Statement!P57</f>
        <v>-8812</v>
      </c>
      <c r="G28" s="119">
        <f>Statement!Q57</f>
        <v>-23397</v>
      </c>
      <c r="H28" s="130">
        <f>-(H13-G13)</f>
        <v>-739.53896825684933</v>
      </c>
      <c r="I28" s="130">
        <f t="shared" ref="I28:L29" si="7">-(I13-H13)</f>
        <v>-6151.3625206391443</v>
      </c>
      <c r="J28" s="130">
        <f t="shared" si="7"/>
        <v>-9037.7577125497337</v>
      </c>
      <c r="K28" s="130">
        <f t="shared" si="7"/>
        <v>-15136.056888529245</v>
      </c>
      <c r="L28" s="130">
        <f t="shared" si="7"/>
        <v>-22304.547087199899</v>
      </c>
    </row>
    <row r="29" spans="2:12" x14ac:dyDescent="0.2">
      <c r="B29" s="1" t="s">
        <v>157</v>
      </c>
      <c r="C29" s="118">
        <f>Statement!M58</f>
        <v>0</v>
      </c>
      <c r="D29" s="118">
        <f>Statement!N58</f>
        <v>0</v>
      </c>
      <c r="E29" s="118">
        <f>Statement!O58</f>
        <v>0</v>
      </c>
      <c r="F29" s="118">
        <f>Statement!P58</f>
        <v>0</v>
      </c>
      <c r="G29" s="119">
        <f>Statement!Q58</f>
        <v>0</v>
      </c>
      <c r="H29" s="130">
        <f>-(H14-G14)</f>
        <v>0</v>
      </c>
      <c r="I29" s="130">
        <f t="shared" si="7"/>
        <v>0</v>
      </c>
      <c r="J29" s="130">
        <f t="shared" si="7"/>
        <v>0</v>
      </c>
      <c r="K29" s="130">
        <f t="shared" si="7"/>
        <v>0</v>
      </c>
      <c r="L29" s="130">
        <f t="shared" si="7"/>
        <v>0</v>
      </c>
    </row>
    <row r="30" spans="2:12" x14ac:dyDescent="0.2">
      <c r="B30" s="1" t="s">
        <v>158</v>
      </c>
      <c r="C30" s="118">
        <f>Statement!M59</f>
        <v>2881</v>
      </c>
      <c r="D30" s="118">
        <f>Statement!N59</f>
        <v>4774</v>
      </c>
      <c r="E30" s="118">
        <f>Statement!O59</f>
        <v>-1993</v>
      </c>
      <c r="F30" s="118">
        <f>Statement!P59</f>
        <v>-3234</v>
      </c>
      <c r="G30" s="119">
        <f>Statement!Q59</f>
        <v>5261</v>
      </c>
      <c r="H30" s="64">
        <f>H15-G15</f>
        <v>-170.83051308357062</v>
      </c>
      <c r="I30" s="64">
        <f t="shared" ref="I30:L30" si="8">I15-H15</f>
        <v>-66.840669398205137</v>
      </c>
      <c r="J30" s="64">
        <f t="shared" si="8"/>
        <v>552.36373943213039</v>
      </c>
      <c r="K30" s="64">
        <f t="shared" si="8"/>
        <v>1574.1499164070428</v>
      </c>
      <c r="L30" s="64">
        <f t="shared" si="8"/>
        <v>2879.8698745840102</v>
      </c>
    </row>
    <row r="31" spans="2:12" x14ac:dyDescent="0.2">
      <c r="B31" s="113"/>
      <c r="C31" s="113"/>
    </row>
    <row r="32" spans="2:12" x14ac:dyDescent="0.2">
      <c r="B32" s="113"/>
      <c r="C32" s="113"/>
    </row>
    <row r="33" spans="2:12" x14ac:dyDescent="0.2">
      <c r="B33" s="113"/>
      <c r="C33" s="274" t="s">
        <v>159</v>
      </c>
      <c r="D33" s="274"/>
      <c r="E33" s="274"/>
      <c r="F33" s="274"/>
      <c r="G33" s="274"/>
      <c r="H33" s="274"/>
      <c r="I33" s="274"/>
      <c r="J33" s="274"/>
      <c r="K33" s="274"/>
      <c r="L33" s="274"/>
    </row>
    <row r="34" spans="2:12" x14ac:dyDescent="0.2">
      <c r="B34" s="16" t="s">
        <v>145</v>
      </c>
      <c r="C34" s="12">
        <f t="shared" ref="C34:L34" si="9">C6</f>
        <v>2022</v>
      </c>
      <c r="D34" s="12">
        <f t="shared" si="9"/>
        <v>2023</v>
      </c>
      <c r="E34" s="12">
        <f t="shared" si="9"/>
        <v>2024</v>
      </c>
      <c r="F34" s="12">
        <f t="shared" si="9"/>
        <v>2025</v>
      </c>
      <c r="G34" s="12">
        <f t="shared" si="9"/>
        <v>2026</v>
      </c>
      <c r="H34" s="12">
        <f t="shared" si="9"/>
        <v>2027</v>
      </c>
      <c r="I34" s="12">
        <f t="shared" si="9"/>
        <v>2028</v>
      </c>
      <c r="J34" s="12">
        <f t="shared" si="9"/>
        <v>2029</v>
      </c>
      <c r="K34" s="12">
        <f t="shared" si="9"/>
        <v>2030</v>
      </c>
      <c r="L34" s="12">
        <f t="shared" si="9"/>
        <v>2031</v>
      </c>
    </row>
    <row r="35" spans="2:12" x14ac:dyDescent="0.2">
      <c r="B35" s="1" t="s">
        <v>160</v>
      </c>
      <c r="C35" s="118">
        <f>Statement!M57+Statement!M58+Statement!M59+Statement!M60</f>
        <v>-18571</v>
      </c>
      <c r="D35" s="118">
        <f>Statement!N57+Statement!N58+Statement!N59+Statement!N60</f>
        <v>-3862</v>
      </c>
      <c r="E35" s="118">
        <f>Statement!O57+Statement!O58+Statement!O59+Statement!O60</f>
        <v>-1637</v>
      </c>
      <c r="F35" s="118">
        <f>Statement!P57+Statement!P58+Statement!P59+Statement!P60</f>
        <v>-6493</v>
      </c>
      <c r="G35" s="119">
        <f>Statement!Q57+Statement!Q58+Statement!Q59+Statement!Q60</f>
        <v>-14090</v>
      </c>
      <c r="H35" s="130">
        <f>H36+H28+H29+H30</f>
        <v>6769.6898165339544</v>
      </c>
      <c r="I35" s="130">
        <f t="shared" ref="I35:L35" si="10">I36+I28+I29+I30</f>
        <v>1942.9805335584442</v>
      </c>
      <c r="J35" s="130">
        <f t="shared" si="10"/>
        <v>382.67151442404429</v>
      </c>
      <c r="K35" s="130">
        <f t="shared" si="10"/>
        <v>-3509.9856065134463</v>
      </c>
      <c r="L35" s="130">
        <f t="shared" si="10"/>
        <v>-7628.2216284011392</v>
      </c>
    </row>
    <row r="36" spans="2:12" x14ac:dyDescent="0.2">
      <c r="B36" s="1" t="s">
        <v>161</v>
      </c>
      <c r="C36" s="124">
        <f>C35-C28-C29-C30</f>
        <v>-11236</v>
      </c>
      <c r="D36" s="124">
        <f t="shared" ref="D36:G36" si="11">D35-D28-D29-D30</f>
        <v>2496</v>
      </c>
      <c r="E36" s="124">
        <f t="shared" si="11"/>
        <v>11561</v>
      </c>
      <c r="F36" s="124">
        <f t="shared" si="11"/>
        <v>5553</v>
      </c>
      <c r="G36" s="125">
        <f t="shared" si="11"/>
        <v>4046</v>
      </c>
      <c r="H36" s="64">
        <f>H7*H37</f>
        <v>7680.0592978743744</v>
      </c>
      <c r="I36" s="64">
        <f>I7*I37</f>
        <v>8161.1837235957937</v>
      </c>
      <c r="J36" s="64">
        <f>J7*J37</f>
        <v>8868.0654875416476</v>
      </c>
      <c r="K36" s="64">
        <f>K7*K37</f>
        <v>10051.921365608756</v>
      </c>
      <c r="L36" s="64">
        <f>L7*L37</f>
        <v>11796.455584214749</v>
      </c>
    </row>
    <row r="37" spans="2:12" x14ac:dyDescent="0.2">
      <c r="B37" s="126" t="s">
        <v>141</v>
      </c>
      <c r="C37" s="127">
        <f>C36/C7</f>
        <v>-5.2693532426969558E-2</v>
      </c>
      <c r="D37" s="127">
        <f>D36/D7</f>
        <v>8.8854081378377421E-3</v>
      </c>
      <c r="E37" s="127">
        <f>E36/E7</f>
        <v>3.2447466874731615E-2</v>
      </c>
      <c r="F37" s="127">
        <f>F36/F7</f>
        <v>1.3227317877245345E-2</v>
      </c>
      <c r="G37" s="128">
        <f>G36/G7</f>
        <v>8.4188010179133601E-3</v>
      </c>
      <c r="H37" s="98">
        <v>1.4999999999999999E-2</v>
      </c>
      <c r="I37" s="98">
        <v>1.4999999999999999E-2</v>
      </c>
      <c r="J37" s="98">
        <v>1.4999999999999999E-2</v>
      </c>
      <c r="K37" s="98">
        <v>1.4999999999999999E-2</v>
      </c>
      <c r="L37" s="98">
        <v>1.4999999999999999E-2</v>
      </c>
    </row>
    <row r="38" spans="2:12" x14ac:dyDescent="0.2">
      <c r="C38" s="64"/>
    </row>
    <row r="39" spans="2:12" x14ac:dyDescent="0.2">
      <c r="C39" s="129"/>
    </row>
    <row r="40" spans="2:12" x14ac:dyDescent="0.2">
      <c r="C40" s="274" t="s">
        <v>162</v>
      </c>
      <c r="D40" s="274"/>
      <c r="E40" s="274"/>
      <c r="F40" s="274"/>
      <c r="G40" s="274"/>
      <c r="H40" s="274"/>
      <c r="I40" s="274"/>
      <c r="J40" s="274"/>
      <c r="K40" s="274"/>
      <c r="L40" s="274"/>
    </row>
    <row r="41" spans="2:12" x14ac:dyDescent="0.2">
      <c r="B41" s="16" t="s">
        <v>145</v>
      </c>
      <c r="C41" s="12">
        <f t="shared" ref="C41:L41" si="12">C6</f>
        <v>2022</v>
      </c>
      <c r="D41" s="12">
        <f t="shared" si="12"/>
        <v>2023</v>
      </c>
      <c r="E41" s="12">
        <f t="shared" si="12"/>
        <v>2024</v>
      </c>
      <c r="F41" s="12">
        <f t="shared" si="12"/>
        <v>2025</v>
      </c>
      <c r="G41" s="12">
        <f t="shared" si="12"/>
        <v>2026</v>
      </c>
      <c r="H41" s="12">
        <f t="shared" si="12"/>
        <v>2027</v>
      </c>
      <c r="I41" s="12">
        <f t="shared" si="12"/>
        <v>2028</v>
      </c>
      <c r="J41" s="12">
        <f t="shared" si="12"/>
        <v>2029</v>
      </c>
      <c r="K41" s="12">
        <f t="shared" si="12"/>
        <v>2030</v>
      </c>
      <c r="L41" s="12">
        <f t="shared" si="12"/>
        <v>2031</v>
      </c>
    </row>
    <row r="42" spans="2:12" x14ac:dyDescent="0.2">
      <c r="B42" s="1" t="s">
        <v>58</v>
      </c>
      <c r="C42" s="118">
        <f>Statement!M55</f>
        <v>21302</v>
      </c>
      <c r="D42" s="118">
        <f>Statement!N55</f>
        <v>25304</v>
      </c>
      <c r="E42" s="118">
        <f>Statement!O55</f>
        <v>29487</v>
      </c>
      <c r="F42" s="118">
        <f>Statement!P55</f>
        <v>27886</v>
      </c>
      <c r="G42" s="119">
        <f>Statement!Q55</f>
        <v>31453</v>
      </c>
      <c r="H42" s="118">
        <f>'COGS &amp; OpEx'!H15+'COGS &amp; OpEx'!H16</f>
        <v>32768.253004263999</v>
      </c>
      <c r="I42" s="118">
        <f>'COGS &amp; OpEx'!I15+'COGS &amp; OpEx'!I16</f>
        <v>34276.971639102339</v>
      </c>
      <c r="J42" s="118">
        <f>'COGS &amp; OpEx'!J15+'COGS &amp; OpEx'!J16</f>
        <v>32516.240120986044</v>
      </c>
      <c r="K42" s="118">
        <f>'COGS &amp; OpEx'!K15+'COGS &amp; OpEx'!K16</f>
        <v>30825.892187866855</v>
      </c>
      <c r="L42" s="118">
        <f>'COGS &amp; OpEx'!L15+'COGS &amp; OpEx'!L16</f>
        <v>30670.784518958346</v>
      </c>
    </row>
    <row r="43" spans="2:12" x14ac:dyDescent="0.2">
      <c r="B43" s="126" t="s">
        <v>163</v>
      </c>
      <c r="C43" s="127">
        <f>C42/C7</f>
        <v>9.9900109270141119E-2</v>
      </c>
      <c r="D43" s="127">
        <f>D42/D7</f>
        <v>9.0078672884553776E-2</v>
      </c>
      <c r="E43" s="127">
        <f>E42/E7</f>
        <v>8.2759143303798216E-2</v>
      </c>
      <c r="F43" s="127">
        <f>F42/F7</f>
        <v>6.642481295243359E-2</v>
      </c>
      <c r="G43" s="128">
        <f>G42/G7</f>
        <v>6.5446502327342795E-2</v>
      </c>
      <c r="H43" s="96">
        <f t="shared" ref="H43:L43" si="13">H42/H7</f>
        <v>6.4000000000000001E-2</v>
      </c>
      <c r="I43" s="96">
        <f t="shared" si="13"/>
        <v>6.3E-2</v>
      </c>
      <c r="J43" s="96">
        <f t="shared" si="13"/>
        <v>5.5E-2</v>
      </c>
      <c r="K43" s="96">
        <f t="shared" si="13"/>
        <v>4.5999999999999999E-2</v>
      </c>
      <c r="L43" s="96">
        <f t="shared" si="13"/>
        <v>3.9E-2</v>
      </c>
    </row>
    <row r="44" spans="2:12" x14ac:dyDescent="0.2">
      <c r="B44" s="126" t="s">
        <v>164</v>
      </c>
      <c r="C44" s="127">
        <f>C42/C45</f>
        <v>0.69151111832494727</v>
      </c>
      <c r="D44" s="127">
        <f t="shared" ref="D44:L44" si="14">D42/D45</f>
        <v>0.96569095141777661</v>
      </c>
      <c r="E44" s="127">
        <f t="shared" si="14"/>
        <v>1.1749213053352991</v>
      </c>
      <c r="F44" s="127">
        <f t="shared" si="14"/>
        <v>1.1576238116982855</v>
      </c>
      <c r="G44" s="128">
        <f t="shared" si="14"/>
        <v>1.2892158871992458</v>
      </c>
      <c r="H44" s="127">
        <f t="shared" si="14"/>
        <v>1.28</v>
      </c>
      <c r="I44" s="127">
        <f t="shared" si="14"/>
        <v>1.26</v>
      </c>
      <c r="J44" s="127">
        <f t="shared" si="14"/>
        <v>1.2222222222222223</v>
      </c>
      <c r="K44" s="127">
        <f t="shared" si="14"/>
        <v>1.0222222222222221</v>
      </c>
      <c r="L44" s="127">
        <f t="shared" si="14"/>
        <v>0.97499999999999998</v>
      </c>
    </row>
    <row r="45" spans="2:12" x14ac:dyDescent="0.2">
      <c r="B45" s="1" t="s">
        <v>61</v>
      </c>
      <c r="C45" s="118">
        <f>-Statement!M114</f>
        <v>30805</v>
      </c>
      <c r="D45" s="118">
        <f>-Statement!N114</f>
        <v>26203</v>
      </c>
      <c r="E45" s="118">
        <f>-Statement!O114</f>
        <v>25097</v>
      </c>
      <c r="F45" s="118">
        <f>-Statement!P114</f>
        <v>24089</v>
      </c>
      <c r="G45" s="119">
        <f>-Statement!Q114</f>
        <v>24397</v>
      </c>
      <c r="H45" s="25">
        <f>H7*H46</f>
        <v>25600.197659581248</v>
      </c>
      <c r="I45" s="25">
        <f>I7*I46</f>
        <v>27203.945745319317</v>
      </c>
      <c r="J45" s="25">
        <f>J7*J46</f>
        <v>26604.196462624943</v>
      </c>
      <c r="K45" s="25">
        <f>K7*K46</f>
        <v>30155.764096826271</v>
      </c>
      <c r="L45" s="25">
        <f>L7*L46</f>
        <v>31457.214891239331</v>
      </c>
    </row>
    <row r="46" spans="2:12" x14ac:dyDescent="0.2">
      <c r="B46" s="126" t="s">
        <v>163</v>
      </c>
      <c r="C46" s="127">
        <f>C45/C7</f>
        <v>0.14446638184521157</v>
      </c>
      <c r="D46" s="127">
        <f>D45/D7</f>
        <v>9.3278986152148372E-2</v>
      </c>
      <c r="E46" s="127">
        <f>E45/E7</f>
        <v>7.0438030979598595E-2</v>
      </c>
      <c r="F46" s="127">
        <f>F45/F7</f>
        <v>5.7380309804603478E-2</v>
      </c>
      <c r="G46" s="128">
        <f>G45/G7</f>
        <v>5.0764579444891808E-2</v>
      </c>
      <c r="H46" s="98">
        <v>0.05</v>
      </c>
      <c r="I46" s="98">
        <v>0.05</v>
      </c>
      <c r="J46" s="98">
        <v>4.4999999999999998E-2</v>
      </c>
      <c r="K46" s="98">
        <v>4.4999999999999998E-2</v>
      </c>
      <c r="L46" s="98">
        <v>0.04</v>
      </c>
    </row>
  </sheetData>
  <mergeCells count="13">
    <mergeCell ref="C3:G3"/>
    <mergeCell ref="H3:L3"/>
    <mergeCell ref="P3:W3"/>
    <mergeCell ref="X3:Z3"/>
    <mergeCell ref="C5:L5"/>
    <mergeCell ref="P5:Z5"/>
    <mergeCell ref="C40:L40"/>
    <mergeCell ref="C11:L11"/>
    <mergeCell ref="P11:Z11"/>
    <mergeCell ref="C18:L18"/>
    <mergeCell ref="B25:C25"/>
    <mergeCell ref="C26:L26"/>
    <mergeCell ref="C33:L33"/>
  </mergeCell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D0CC1-03C8-8940-8079-159588699646}">
  <dimension ref="A1:AE34"/>
  <sheetViews>
    <sheetView topLeftCell="A10" zoomScale="183" workbookViewId="0">
      <selection activeCell="G16" sqref="G16"/>
    </sheetView>
  </sheetViews>
  <sheetFormatPr baseColWidth="10" defaultRowHeight="16" x14ac:dyDescent="0.2"/>
  <cols>
    <col min="1" max="1" width="2" style="84" customWidth="1"/>
    <col min="2" max="2" width="24.6640625" style="1" customWidth="1"/>
    <col min="3" max="3" width="10.83203125" style="1"/>
    <col min="4" max="4" width="10.83203125" style="1" customWidth="1"/>
    <col min="5" max="7" width="10.83203125" style="1"/>
    <col min="8" max="8" width="10.83203125" style="1" customWidth="1"/>
    <col min="9" max="12" width="10.83203125" style="1"/>
    <col min="13" max="13" width="2" style="1" customWidth="1"/>
    <col min="14" max="14" width="36.83203125" style="1" customWidth="1"/>
    <col min="15" max="16" width="2" style="1" customWidth="1"/>
    <col min="17" max="17" width="36.83203125" style="1" customWidth="1"/>
    <col min="18" max="18" width="24.6640625" style="1" customWidth="1"/>
    <col min="19" max="29" width="10.83203125" style="1"/>
    <col min="30" max="30" width="2" style="1" customWidth="1"/>
    <col min="31" max="31" width="12.33203125" style="1" customWidth="1"/>
    <col min="32" max="16384" width="10.83203125" style="1"/>
  </cols>
  <sheetData>
    <row r="1" spans="1:31" s="84" customFormat="1" ht="18" customHeight="1" x14ac:dyDescent="0.2">
      <c r="A1" s="4"/>
      <c r="B1" s="83" t="s">
        <v>165</v>
      </c>
    </row>
    <row r="2" spans="1:31" x14ac:dyDescent="0.2">
      <c r="A2" s="4"/>
      <c r="C2" s="268" t="s">
        <v>123</v>
      </c>
      <c r="D2" s="268"/>
      <c r="E2" s="268"/>
      <c r="F2" s="268"/>
      <c r="G2" s="277"/>
      <c r="H2" s="278" t="s">
        <v>124</v>
      </c>
      <c r="I2" s="268"/>
      <c r="J2" s="268"/>
      <c r="K2" s="268"/>
      <c r="L2" s="268"/>
      <c r="S2" s="279"/>
      <c r="T2" s="279"/>
      <c r="U2" s="279"/>
      <c r="V2" s="279"/>
      <c r="W2" s="279"/>
      <c r="X2" s="279"/>
      <c r="Y2" s="279"/>
      <c r="Z2" s="279"/>
      <c r="AA2" s="279"/>
      <c r="AB2" s="279"/>
      <c r="AC2" s="279"/>
      <c r="AE2" s="113"/>
    </row>
    <row r="3" spans="1:31" ht="10" customHeight="1" x14ac:dyDescent="0.2"/>
    <row r="4" spans="1:31" ht="16" customHeight="1" x14ac:dyDescent="0.2">
      <c r="A4" s="87"/>
      <c r="B4" s="60"/>
      <c r="C4" s="274" t="s">
        <v>19</v>
      </c>
      <c r="D4" s="274"/>
      <c r="E4" s="274"/>
      <c r="F4" s="274"/>
      <c r="G4" s="274"/>
      <c r="H4" s="274"/>
      <c r="I4" s="274"/>
      <c r="J4" s="274"/>
      <c r="K4" s="274"/>
      <c r="L4" s="274"/>
      <c r="S4" s="279"/>
      <c r="T4" s="279"/>
      <c r="U4" s="279"/>
      <c r="V4" s="279"/>
      <c r="W4" s="279"/>
      <c r="X4" s="279"/>
      <c r="Y4" s="279"/>
      <c r="Z4" s="279"/>
      <c r="AA4" s="279"/>
      <c r="AB4" s="279"/>
      <c r="AC4" s="279"/>
      <c r="AE4" s="114"/>
    </row>
    <row r="5" spans="1:31" x14ac:dyDescent="0.2">
      <c r="B5" s="16" t="s">
        <v>145</v>
      </c>
      <c r="C5" s="12">
        <f>Revenue!C5</f>
        <v>2022</v>
      </c>
      <c r="D5" s="12">
        <f>Revenue!D5</f>
        <v>2023</v>
      </c>
      <c r="E5" s="12">
        <f>Revenue!E5</f>
        <v>2024</v>
      </c>
      <c r="F5" s="12">
        <f>Revenue!F5</f>
        <v>2025</v>
      </c>
      <c r="G5" s="12">
        <f>Revenue!G5</f>
        <v>2026</v>
      </c>
      <c r="H5" s="12">
        <f>G5+1</f>
        <v>2027</v>
      </c>
      <c r="I5" s="12">
        <f t="shared" ref="I5:L5" si="0">H5+1</f>
        <v>2028</v>
      </c>
      <c r="J5" s="12">
        <f t="shared" si="0"/>
        <v>2029</v>
      </c>
      <c r="K5" s="12">
        <f t="shared" si="0"/>
        <v>2030</v>
      </c>
      <c r="L5" s="12">
        <f t="shared" si="0"/>
        <v>2031</v>
      </c>
      <c r="R5" s="16"/>
      <c r="S5" s="115"/>
      <c r="T5" s="115"/>
      <c r="U5" s="115"/>
      <c r="V5" s="115"/>
      <c r="W5" s="115"/>
      <c r="X5" s="115"/>
      <c r="Y5" s="115"/>
      <c r="Z5" s="115"/>
      <c r="AA5" s="115"/>
      <c r="AB5" s="115"/>
      <c r="AC5" s="115"/>
      <c r="AE5" s="114"/>
    </row>
    <row r="6" spans="1:31" x14ac:dyDescent="0.2">
      <c r="B6" s="16" t="s">
        <v>20</v>
      </c>
      <c r="C6" s="93">
        <f>Revenue!C9</f>
        <v>213233</v>
      </c>
      <c r="D6" s="93">
        <f>Revenue!D9</f>
        <v>280910</v>
      </c>
      <c r="E6" s="93">
        <f>Revenue!E9</f>
        <v>356299</v>
      </c>
      <c r="F6" s="93">
        <f>Revenue!F9</f>
        <v>419813</v>
      </c>
      <c r="G6" s="94">
        <f>Revenue!G9</f>
        <v>480591</v>
      </c>
      <c r="H6" s="93">
        <f>Revenue!H9</f>
        <v>512003.95319162495</v>
      </c>
      <c r="I6" s="93">
        <f>Revenue!I9</f>
        <v>544078.91490638629</v>
      </c>
      <c r="J6" s="93">
        <f>Revenue!J9</f>
        <v>591204.36583610985</v>
      </c>
      <c r="K6" s="93">
        <f>Revenue!K9</f>
        <v>670128.09104058379</v>
      </c>
      <c r="L6" s="93">
        <f>Revenue!L9</f>
        <v>786430.37228098325</v>
      </c>
      <c r="N6" s="91" t="s">
        <v>166</v>
      </c>
      <c r="Q6" s="91"/>
      <c r="S6" s="89"/>
      <c r="T6" s="89"/>
      <c r="U6" s="89"/>
      <c r="V6" s="89"/>
      <c r="W6" s="89"/>
      <c r="X6" s="89"/>
      <c r="Y6" s="89"/>
      <c r="Z6" s="89"/>
      <c r="AA6" s="64"/>
      <c r="AB6" s="64"/>
      <c r="AC6" s="64"/>
      <c r="AE6" s="64"/>
    </row>
    <row r="7" spans="1:31" x14ac:dyDescent="0.2">
      <c r="B7" s="1" t="s">
        <v>21</v>
      </c>
      <c r="C7" s="89">
        <f>'COGS &amp; OpEx'!C11</f>
        <v>81388</v>
      </c>
      <c r="D7" s="89">
        <f>'COGS &amp; OpEx'!D11</f>
        <v>109267</v>
      </c>
      <c r="E7" s="89">
        <f>'COGS &amp; OpEx'!E11</f>
        <v>124011</v>
      </c>
      <c r="F7" s="89">
        <f>'COGS &amp; OpEx'!F11</f>
        <v>134934</v>
      </c>
      <c r="G7" s="90">
        <f>'COGS &amp; OpEx'!G11</f>
        <v>154123</v>
      </c>
      <c r="H7" s="116">
        <f>'COGS &amp; OpEx'!H11</f>
        <v>158721.22548940373</v>
      </c>
      <c r="I7" s="116">
        <f>'COGS &amp; OpEx'!I11</f>
        <v>157782.885322852</v>
      </c>
      <c r="J7" s="116">
        <f>'COGS &amp; OpEx'!J11</f>
        <v>165537.22243411076</v>
      </c>
      <c r="K7" s="116">
        <f>'COGS &amp; OpEx'!K11</f>
        <v>187635.86549136348</v>
      </c>
      <c r="L7" s="116">
        <f>'COGS &amp; OpEx'!L11</f>
        <v>228064.80796148512</v>
      </c>
      <c r="N7" s="91" t="s">
        <v>167</v>
      </c>
      <c r="Q7" s="91"/>
      <c r="S7" s="89"/>
      <c r="T7" s="89"/>
      <c r="U7" s="89"/>
      <c r="V7" s="89"/>
      <c r="W7" s="89"/>
      <c r="X7" s="89"/>
      <c r="Y7" s="89"/>
      <c r="Z7" s="89"/>
      <c r="AA7" s="64"/>
      <c r="AB7" s="64"/>
      <c r="AC7" s="64"/>
      <c r="AE7" s="64"/>
    </row>
    <row r="8" spans="1:31" x14ac:dyDescent="0.2">
      <c r="B8" s="16" t="s">
        <v>168</v>
      </c>
      <c r="C8" s="95">
        <f>C6-C7</f>
        <v>131845</v>
      </c>
      <c r="D8" s="95">
        <f t="shared" ref="D8:L8" si="1">D6-D7</f>
        <v>171643</v>
      </c>
      <c r="E8" s="95">
        <f t="shared" si="1"/>
        <v>232288</v>
      </c>
      <c r="F8" s="95">
        <f t="shared" si="1"/>
        <v>284879</v>
      </c>
      <c r="G8" s="131">
        <f t="shared" si="1"/>
        <v>326468</v>
      </c>
      <c r="H8" s="95">
        <f t="shared" si="1"/>
        <v>353282.72770222125</v>
      </c>
      <c r="I8" s="95">
        <f t="shared" si="1"/>
        <v>386296.02958353428</v>
      </c>
      <c r="J8" s="95">
        <f t="shared" si="1"/>
        <v>425667.14340199908</v>
      </c>
      <c r="K8" s="95">
        <f t="shared" si="1"/>
        <v>482492.22554922034</v>
      </c>
      <c r="L8" s="95">
        <f t="shared" si="1"/>
        <v>558365.56431949814</v>
      </c>
      <c r="N8" s="91"/>
      <c r="Q8" s="91"/>
      <c r="S8" s="89"/>
      <c r="T8" s="89"/>
      <c r="U8" s="89"/>
      <c r="V8" s="89"/>
      <c r="W8" s="89"/>
      <c r="X8" s="89"/>
      <c r="Y8" s="89"/>
      <c r="Z8" s="89"/>
      <c r="AA8" s="64"/>
      <c r="AB8" s="64"/>
      <c r="AC8" s="64"/>
      <c r="AE8" s="64"/>
    </row>
    <row r="9" spans="1:31" x14ac:dyDescent="0.2">
      <c r="B9" s="1" t="s">
        <v>26</v>
      </c>
      <c r="C9" s="89">
        <f>'COGS &amp; OpEx'!C17</f>
        <v>248662</v>
      </c>
      <c r="D9" s="89">
        <f>'COGS &amp; OpEx'!D17</f>
        <v>348195</v>
      </c>
      <c r="E9" s="89">
        <f>'COGS &amp; OpEx'!E17</f>
        <v>368767</v>
      </c>
      <c r="F9" s="89">
        <f>'COGS &amp; OpEx'!F17</f>
        <v>342976</v>
      </c>
      <c r="G9" s="90">
        <f>'COGS &amp; OpEx'!G17</f>
        <v>333080</v>
      </c>
      <c r="H9" s="116">
        <f>'COGS &amp; OpEx'!H17</f>
        <v>352770.72374902957</v>
      </c>
      <c r="I9" s="116">
        <f>'COGS &amp; OpEx'!I17</f>
        <v>384663.79283881519</v>
      </c>
      <c r="J9" s="116">
        <f>'COGS &amp; OpEx'!J17</f>
        <v>399062.94693937409</v>
      </c>
      <c r="K9" s="116">
        <f>'COGS &amp; OpEx'!K17</f>
        <v>426201.46590181126</v>
      </c>
      <c r="L9" s="116">
        <f>'COGS &amp; OpEx'!L17</f>
        <v>478936.09671911882</v>
      </c>
      <c r="N9" s="132" t="s">
        <v>167</v>
      </c>
      <c r="Q9" s="91"/>
      <c r="S9" s="89"/>
      <c r="T9" s="89"/>
      <c r="U9" s="89"/>
      <c r="V9" s="89"/>
      <c r="W9" s="89"/>
      <c r="X9" s="89"/>
      <c r="Y9" s="89"/>
      <c r="Z9" s="89"/>
      <c r="AA9" s="64"/>
      <c r="AB9" s="64"/>
      <c r="AC9" s="64"/>
      <c r="AE9" s="64"/>
    </row>
    <row r="10" spans="1:31" x14ac:dyDescent="0.2">
      <c r="B10" s="16" t="s">
        <v>169</v>
      </c>
      <c r="C10" s="95">
        <f t="shared" ref="C10:L10" si="2">C8-C9</f>
        <v>-116817</v>
      </c>
      <c r="D10" s="95">
        <f t="shared" si="2"/>
        <v>-176552</v>
      </c>
      <c r="E10" s="95">
        <f t="shared" si="2"/>
        <v>-136479</v>
      </c>
      <c r="F10" s="95">
        <f t="shared" si="2"/>
        <v>-58097</v>
      </c>
      <c r="G10" s="131">
        <f t="shared" si="2"/>
        <v>-6612</v>
      </c>
      <c r="H10" s="95">
        <f t="shared" si="2"/>
        <v>512.00395319168456</v>
      </c>
      <c r="I10" s="95">
        <f t="shared" si="2"/>
        <v>1632.2367447190918</v>
      </c>
      <c r="J10" s="95">
        <f t="shared" si="2"/>
        <v>26604.196462624997</v>
      </c>
      <c r="K10" s="95">
        <f t="shared" si="2"/>
        <v>56290.759647409082</v>
      </c>
      <c r="L10" s="95">
        <f t="shared" si="2"/>
        <v>79429.467600379314</v>
      </c>
      <c r="N10" s="91"/>
      <c r="Q10" s="91"/>
      <c r="S10" s="89"/>
      <c r="T10" s="89"/>
      <c r="U10" s="89"/>
      <c r="V10" s="89"/>
      <c r="W10" s="89"/>
      <c r="X10" s="89"/>
      <c r="Y10" s="89"/>
      <c r="Z10" s="89"/>
      <c r="AA10" s="64"/>
      <c r="AB10" s="64"/>
      <c r="AC10" s="64"/>
      <c r="AE10" s="64"/>
    </row>
    <row r="13" spans="1:31" x14ac:dyDescent="0.2">
      <c r="C13" s="274" t="s">
        <v>170</v>
      </c>
      <c r="D13" s="274"/>
      <c r="E13" s="274"/>
      <c r="F13" s="274"/>
      <c r="G13" s="274"/>
      <c r="H13" s="274"/>
      <c r="I13" s="274"/>
      <c r="J13" s="274"/>
      <c r="K13" s="274"/>
      <c r="L13" s="274"/>
    </row>
    <row r="14" spans="1:31" x14ac:dyDescent="0.2">
      <c r="C14" s="12">
        <f t="shared" ref="C14:L14" si="3">C5</f>
        <v>2022</v>
      </c>
      <c r="D14" s="12">
        <f t="shared" si="3"/>
        <v>2023</v>
      </c>
      <c r="E14" s="12">
        <f t="shared" si="3"/>
        <v>2024</v>
      </c>
      <c r="F14" s="12">
        <f t="shared" si="3"/>
        <v>2025</v>
      </c>
      <c r="G14" s="12">
        <f t="shared" si="3"/>
        <v>2026</v>
      </c>
      <c r="H14" s="12">
        <f t="shared" si="3"/>
        <v>2027</v>
      </c>
      <c r="I14" s="12">
        <f t="shared" si="3"/>
        <v>2028</v>
      </c>
      <c r="J14" s="12">
        <f t="shared" si="3"/>
        <v>2029</v>
      </c>
      <c r="K14" s="12">
        <f t="shared" si="3"/>
        <v>2030</v>
      </c>
      <c r="L14" s="12">
        <f t="shared" si="3"/>
        <v>2031</v>
      </c>
    </row>
    <row r="15" spans="1:31" x14ac:dyDescent="0.2">
      <c r="B15" s="1" t="s">
        <v>74</v>
      </c>
      <c r="C15" s="133">
        <f>Statement!M85</f>
        <v>0</v>
      </c>
      <c r="D15" s="133">
        <f>Statement!N85</f>
        <v>0</v>
      </c>
      <c r="E15" s="133">
        <f>Statement!O85</f>
        <v>0</v>
      </c>
      <c r="F15" s="133">
        <f>Statement!P85</f>
        <v>0</v>
      </c>
      <c r="G15" s="134">
        <f>Statement!Q85</f>
        <v>0</v>
      </c>
      <c r="H15" s="133">
        <f>Overview!$C$26</f>
        <v>0.21</v>
      </c>
      <c r="I15" s="133">
        <f>Overview!$C$26</f>
        <v>0.21</v>
      </c>
      <c r="J15" s="133">
        <f>Overview!$C$26</f>
        <v>0.21</v>
      </c>
      <c r="K15" s="133">
        <f>Overview!$C$26</f>
        <v>0.21</v>
      </c>
      <c r="L15" s="133">
        <f>Overview!$C$26</f>
        <v>0.21</v>
      </c>
      <c r="N15" s="1" t="s">
        <v>175</v>
      </c>
    </row>
    <row r="18" spans="2:14" x14ac:dyDescent="0.2">
      <c r="C18" s="274" t="s">
        <v>171</v>
      </c>
      <c r="D18" s="274"/>
      <c r="E18" s="274"/>
      <c r="F18" s="274"/>
      <c r="G18" s="274"/>
      <c r="H18" s="274"/>
      <c r="I18" s="274"/>
      <c r="J18" s="274"/>
      <c r="K18" s="274"/>
      <c r="L18" s="274"/>
    </row>
    <row r="19" spans="2:14" x14ac:dyDescent="0.2">
      <c r="B19" s="16" t="s">
        <v>145</v>
      </c>
      <c r="C19" s="12">
        <f t="shared" ref="C19:L19" si="4">C5</f>
        <v>2022</v>
      </c>
      <c r="D19" s="12">
        <f t="shared" si="4"/>
        <v>2023</v>
      </c>
      <c r="E19" s="12">
        <f t="shared" si="4"/>
        <v>2024</v>
      </c>
      <c r="F19" s="12">
        <f t="shared" si="4"/>
        <v>2025</v>
      </c>
      <c r="G19" s="12">
        <f t="shared" si="4"/>
        <v>2026</v>
      </c>
      <c r="H19" s="12">
        <f t="shared" si="4"/>
        <v>2027</v>
      </c>
      <c r="I19" s="12">
        <f t="shared" si="4"/>
        <v>2028</v>
      </c>
      <c r="J19" s="12">
        <f t="shared" si="4"/>
        <v>2029</v>
      </c>
      <c r="K19" s="12">
        <f t="shared" si="4"/>
        <v>2030</v>
      </c>
      <c r="L19" s="12">
        <f t="shared" si="4"/>
        <v>2031</v>
      </c>
    </row>
    <row r="20" spans="2:14" x14ac:dyDescent="0.2">
      <c r="B20" s="1" t="s">
        <v>58</v>
      </c>
      <c r="C20" s="89">
        <f>'WC &amp; Investments'!C42</f>
        <v>21302</v>
      </c>
      <c r="D20" s="89">
        <f>'WC &amp; Investments'!D42</f>
        <v>25304</v>
      </c>
      <c r="E20" s="89">
        <f>'WC &amp; Investments'!E42</f>
        <v>29487</v>
      </c>
      <c r="F20" s="89">
        <f>'WC &amp; Investments'!F42</f>
        <v>27886</v>
      </c>
      <c r="G20" s="90">
        <f>'WC &amp; Investments'!G42</f>
        <v>31453</v>
      </c>
      <c r="H20" s="89">
        <f>'WC &amp; Investments'!H42</f>
        <v>32768.253004263999</v>
      </c>
      <c r="I20" s="89">
        <f>'WC &amp; Investments'!I42</f>
        <v>34276.971639102339</v>
      </c>
      <c r="J20" s="89">
        <f>'WC &amp; Investments'!J42</f>
        <v>32516.240120986044</v>
      </c>
      <c r="K20" s="89">
        <f>'WC &amp; Investments'!K42</f>
        <v>30825.892187866855</v>
      </c>
      <c r="L20" s="89">
        <f>'WC &amp; Investments'!L42</f>
        <v>30670.784518958346</v>
      </c>
      <c r="N20" s="1" t="s">
        <v>172</v>
      </c>
    </row>
    <row r="21" spans="2:14" x14ac:dyDescent="0.2">
      <c r="B21" s="1" t="s">
        <v>61</v>
      </c>
      <c r="C21" s="89">
        <f>'WC &amp; Investments'!C45</f>
        <v>30805</v>
      </c>
      <c r="D21" s="89">
        <f>'WC &amp; Investments'!D45</f>
        <v>26203</v>
      </c>
      <c r="E21" s="89">
        <f>'WC &amp; Investments'!E45</f>
        <v>25097</v>
      </c>
      <c r="F21" s="89">
        <f>'WC &amp; Investments'!F45</f>
        <v>24089</v>
      </c>
      <c r="G21" s="90">
        <f>'WC &amp; Investments'!G45</f>
        <v>24397</v>
      </c>
      <c r="H21" s="89">
        <f>'WC &amp; Investments'!H45</f>
        <v>25600.197659581248</v>
      </c>
      <c r="I21" s="89">
        <f>'WC &amp; Investments'!I45</f>
        <v>27203.945745319317</v>
      </c>
      <c r="J21" s="89">
        <f>'WC &amp; Investments'!J45</f>
        <v>26604.196462624943</v>
      </c>
      <c r="K21" s="89">
        <f>'WC &amp; Investments'!K45</f>
        <v>30155.764096826271</v>
      </c>
      <c r="L21" s="89">
        <f>'WC &amp; Investments'!L45</f>
        <v>31457.214891239331</v>
      </c>
      <c r="N21" s="1" t="s">
        <v>172</v>
      </c>
    </row>
    <row r="22" spans="2:14" x14ac:dyDescent="0.2">
      <c r="B22" s="1" t="s">
        <v>173</v>
      </c>
      <c r="C22" s="89">
        <f>'WC &amp; Investments'!C35</f>
        <v>-18571</v>
      </c>
      <c r="D22" s="89">
        <f>'WC &amp; Investments'!D35</f>
        <v>-3862</v>
      </c>
      <c r="E22" s="89">
        <f>'WC &amp; Investments'!E35</f>
        <v>-1637</v>
      </c>
      <c r="F22" s="89">
        <f>'WC &amp; Investments'!F35</f>
        <v>-6493</v>
      </c>
      <c r="G22" s="90">
        <f>'WC &amp; Investments'!G35</f>
        <v>-14090</v>
      </c>
      <c r="H22" s="89">
        <f>'WC &amp; Investments'!H35</f>
        <v>6769.6898165339544</v>
      </c>
      <c r="I22" s="89">
        <f>'WC &amp; Investments'!I35</f>
        <v>1942.9805335584442</v>
      </c>
      <c r="J22" s="89">
        <f>'WC &amp; Investments'!J35</f>
        <v>382.67151442404429</v>
      </c>
      <c r="K22" s="89">
        <f>'WC &amp; Investments'!K35</f>
        <v>-3509.9856065134463</v>
      </c>
      <c r="L22" s="89">
        <f>'WC &amp; Investments'!L35</f>
        <v>-7628.2216284011392</v>
      </c>
      <c r="N22" s="1" t="s">
        <v>172</v>
      </c>
    </row>
    <row r="25" spans="2:14" x14ac:dyDescent="0.2">
      <c r="C25" s="274" t="s">
        <v>274</v>
      </c>
      <c r="D25" s="274"/>
      <c r="E25" s="274"/>
      <c r="F25" s="274"/>
      <c r="G25" s="274"/>
      <c r="H25" s="274"/>
      <c r="I25" s="274"/>
      <c r="J25" s="274"/>
      <c r="K25" s="274"/>
      <c r="L25" s="274"/>
    </row>
    <row r="26" spans="2:14" x14ac:dyDescent="0.2">
      <c r="B26" s="16" t="s">
        <v>145</v>
      </c>
      <c r="C26" s="12">
        <f t="shared" ref="C26:L26" si="5">C5</f>
        <v>2022</v>
      </c>
      <c r="D26" s="12">
        <f t="shared" si="5"/>
        <v>2023</v>
      </c>
      <c r="E26" s="12">
        <f t="shared" si="5"/>
        <v>2024</v>
      </c>
      <c r="F26" s="12">
        <f t="shared" si="5"/>
        <v>2025</v>
      </c>
      <c r="G26" s="12">
        <f t="shared" si="5"/>
        <v>2026</v>
      </c>
      <c r="H26" s="12">
        <f t="shared" si="5"/>
        <v>2027</v>
      </c>
      <c r="I26" s="12">
        <f t="shared" si="5"/>
        <v>2028</v>
      </c>
      <c r="J26" s="12">
        <f t="shared" si="5"/>
        <v>2029</v>
      </c>
      <c r="K26" s="12">
        <f t="shared" si="5"/>
        <v>2030</v>
      </c>
      <c r="L26" s="12">
        <f t="shared" si="5"/>
        <v>2031</v>
      </c>
    </row>
    <row r="27" spans="2:14" x14ac:dyDescent="0.2">
      <c r="B27" s="1" t="s">
        <v>174</v>
      </c>
      <c r="C27" s="130">
        <f>C10*(1-C15)</f>
        <v>-116817</v>
      </c>
      <c r="D27" s="130">
        <f t="shared" ref="D27:L27" si="6">D10*(1-D15)</f>
        <v>-176552</v>
      </c>
      <c r="E27" s="130">
        <f t="shared" si="6"/>
        <v>-136479</v>
      </c>
      <c r="F27" s="130">
        <f t="shared" si="6"/>
        <v>-58097</v>
      </c>
      <c r="G27" s="135">
        <f t="shared" si="6"/>
        <v>-6612</v>
      </c>
      <c r="H27" s="130">
        <f t="shared" si="6"/>
        <v>404.4831230214308</v>
      </c>
      <c r="I27" s="130">
        <f t="shared" si="6"/>
        <v>1289.4670283280825</v>
      </c>
      <c r="J27" s="130">
        <f t="shared" si="6"/>
        <v>21017.315205473747</v>
      </c>
      <c r="K27" s="130">
        <f t="shared" si="6"/>
        <v>44469.700121453177</v>
      </c>
      <c r="L27" s="130">
        <f t="shared" si="6"/>
        <v>62749.279404299661</v>
      </c>
    </row>
    <row r="28" spans="2:14" x14ac:dyDescent="0.2">
      <c r="B28" s="16" t="s">
        <v>274</v>
      </c>
      <c r="C28" s="95">
        <f>C27+C20-C21+C22</f>
        <v>-144891</v>
      </c>
      <c r="D28" s="95">
        <f t="shared" ref="D28:L28" si="7">D27+D20-D21+D22</f>
        <v>-181313</v>
      </c>
      <c r="E28" s="95">
        <f t="shared" si="7"/>
        <v>-133726</v>
      </c>
      <c r="F28" s="95">
        <f t="shared" si="7"/>
        <v>-60793</v>
      </c>
      <c r="G28" s="131">
        <f t="shared" si="7"/>
        <v>-13646</v>
      </c>
      <c r="H28" s="95">
        <f t="shared" si="7"/>
        <v>14342.228284238139</v>
      </c>
      <c r="I28" s="95">
        <f t="shared" si="7"/>
        <v>10305.473455669546</v>
      </c>
      <c r="J28" s="95">
        <f t="shared" si="7"/>
        <v>27312.030378258893</v>
      </c>
      <c r="K28" s="95">
        <f t="shared" si="7"/>
        <v>41629.84260598031</v>
      </c>
      <c r="L28" s="95">
        <f t="shared" si="7"/>
        <v>54334.627403617545</v>
      </c>
    </row>
    <row r="31" spans="2:14" x14ac:dyDescent="0.2">
      <c r="C31" s="274" t="s">
        <v>78</v>
      </c>
      <c r="D31" s="274"/>
      <c r="E31" s="274"/>
      <c r="F31" s="274"/>
      <c r="G31" s="274"/>
      <c r="H31" s="274"/>
      <c r="I31" s="274"/>
      <c r="J31" s="274"/>
      <c r="K31" s="274"/>
      <c r="L31" s="274"/>
    </row>
    <row r="32" spans="2:14" x14ac:dyDescent="0.2">
      <c r="B32" s="16" t="s">
        <v>345</v>
      </c>
      <c r="C32" s="12">
        <f>C5</f>
        <v>2022</v>
      </c>
      <c r="D32" s="12">
        <f t="shared" ref="D32:L32" si="8">D5</f>
        <v>2023</v>
      </c>
      <c r="E32" s="12">
        <f t="shared" si="8"/>
        <v>2024</v>
      </c>
      <c r="F32" s="12">
        <f t="shared" si="8"/>
        <v>2025</v>
      </c>
      <c r="G32" s="12">
        <f t="shared" si="8"/>
        <v>2026</v>
      </c>
      <c r="H32" s="12">
        <f t="shared" si="8"/>
        <v>2027</v>
      </c>
      <c r="I32" s="12">
        <f t="shared" si="8"/>
        <v>2028</v>
      </c>
      <c r="J32" s="12">
        <f t="shared" si="8"/>
        <v>2029</v>
      </c>
      <c r="K32" s="12">
        <f t="shared" si="8"/>
        <v>2030</v>
      </c>
      <c r="L32" s="12">
        <f t="shared" si="8"/>
        <v>2031</v>
      </c>
    </row>
    <row r="33" spans="2:12" x14ac:dyDescent="0.2">
      <c r="B33" s="1" t="s">
        <v>79</v>
      </c>
      <c r="C33" s="133">
        <f>Statement!M105</f>
        <v>0.61831423841525468</v>
      </c>
      <c r="D33" s="133">
        <f>Statement!N105</f>
        <v>0.6110248834146168</v>
      </c>
      <c r="E33" s="133">
        <f>Statement!O105</f>
        <v>0.65194681994616877</v>
      </c>
      <c r="F33" s="133">
        <f>Statement!P105</f>
        <v>0.67858546543341913</v>
      </c>
      <c r="G33" s="134">
        <f>Statement!Q105</f>
        <v>0.67930527205045454</v>
      </c>
      <c r="H33" s="216">
        <f>H8/H6</f>
        <v>0.69000000000000006</v>
      </c>
      <c r="I33" s="216">
        <f t="shared" ref="I33:L33" si="9">I8/I6</f>
        <v>0.71000000000000008</v>
      </c>
      <c r="J33" s="216">
        <f t="shared" si="9"/>
        <v>0.72</v>
      </c>
      <c r="K33" s="216">
        <f t="shared" si="9"/>
        <v>0.72</v>
      </c>
      <c r="L33" s="216">
        <f t="shared" si="9"/>
        <v>0.71000000000000008</v>
      </c>
    </row>
    <row r="34" spans="2:12" x14ac:dyDescent="0.2">
      <c r="B34" s="1" t="s">
        <v>80</v>
      </c>
      <c r="C34" s="133">
        <f>Statement!M106</f>
        <v>-0.547837342250027</v>
      </c>
      <c r="D34" s="133">
        <f>Statement!N106</f>
        <v>-0.62850023139083688</v>
      </c>
      <c r="E34" s="133">
        <f>Statement!O106</f>
        <v>-0.38304626170716166</v>
      </c>
      <c r="F34" s="133">
        <f>Statement!P106</f>
        <v>-0.13838780599933781</v>
      </c>
      <c r="G34" s="134">
        <f>Statement!Q106</f>
        <v>-1.3758060388147093E-2</v>
      </c>
      <c r="H34" s="216">
        <f>H10/H6</f>
        <v>1.0000000000001165E-3</v>
      </c>
      <c r="I34" s="216">
        <f t="shared" ref="I34:L34" si="10">I10/I6</f>
        <v>2.9999999999998769E-3</v>
      </c>
      <c r="J34" s="216">
        <f t="shared" si="10"/>
        <v>4.5000000000000089E-2</v>
      </c>
      <c r="K34" s="216">
        <f t="shared" si="10"/>
        <v>8.4000000000000061E-2</v>
      </c>
      <c r="L34" s="216">
        <f t="shared" si="10"/>
        <v>0.10100000000000001</v>
      </c>
    </row>
  </sheetData>
  <mergeCells count="10">
    <mergeCell ref="AA2:AC2"/>
    <mergeCell ref="C4:L4"/>
    <mergeCell ref="S4:AC4"/>
    <mergeCell ref="C13:L13"/>
    <mergeCell ref="C18:L18"/>
    <mergeCell ref="C31:L31"/>
    <mergeCell ref="C25:L25"/>
    <mergeCell ref="C2:G2"/>
    <mergeCell ref="H2:L2"/>
    <mergeCell ref="S2:Z2"/>
  </mergeCells>
  <pageMargins left="0.7" right="0.7" top="0.75" bottom="0.75" header="0.3" footer="0.3"/>
  <ignoredErrors>
    <ignoredError sqref="C9:L9" formula="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FB80D-D3C0-DD46-8304-4441946EF9E3}">
  <sheetPr>
    <tabColor theme="6" tint="0.59999389629810485"/>
  </sheetPr>
  <dimension ref="B5:H13"/>
  <sheetViews>
    <sheetView workbookViewId="0">
      <selection activeCell="H6" sqref="H6"/>
    </sheetView>
  </sheetViews>
  <sheetFormatPr baseColWidth="10" defaultRowHeight="16" x14ac:dyDescent="0.2"/>
  <cols>
    <col min="1" max="7" width="10.83203125" style="1"/>
    <col min="8" max="8" width="16.6640625" style="1" customWidth="1"/>
    <col min="9" max="16384" width="10.83203125" style="1"/>
  </cols>
  <sheetData>
    <row r="5" spans="2:8" x14ac:dyDescent="0.2">
      <c r="H5" s="136" t="s">
        <v>443</v>
      </c>
    </row>
    <row r="6" spans="2:8" x14ac:dyDescent="0.2">
      <c r="H6" s="260" t="s">
        <v>448</v>
      </c>
    </row>
    <row r="7" spans="2:8" x14ac:dyDescent="0.2">
      <c r="H7" s="260" t="s">
        <v>444</v>
      </c>
    </row>
    <row r="8" spans="2:8" x14ac:dyDescent="0.2">
      <c r="H8" s="260" t="s">
        <v>445</v>
      </c>
    </row>
    <row r="9" spans="2:8" x14ac:dyDescent="0.2">
      <c r="H9" s="260" t="s">
        <v>446</v>
      </c>
    </row>
    <row r="10" spans="2:8" x14ac:dyDescent="0.2">
      <c r="H10" s="261" t="s">
        <v>447</v>
      </c>
    </row>
    <row r="13" spans="2:8" s="4" customFormat="1" ht="49" x14ac:dyDescent="0.2">
      <c r="B13" s="3" t="s">
        <v>176</v>
      </c>
    </row>
  </sheetData>
  <hyperlinks>
    <hyperlink ref="H6" location="Overview!B3" display="Overview'!B3" xr:uid="{BF5FA49C-A360-2C46-9AC4-087B9A82BD62}"/>
    <hyperlink ref="H8" location="'Analysis -&gt;'!B13" display="'Analysis -&gt;'!B13" xr:uid="{E1B31D47-80A1-5640-A51B-BFBFEC3F7165}"/>
    <hyperlink ref="H9" location="'Forecast -&gt;'!B13" display="'Forecast -&gt;'!B13" xr:uid="{A545C11B-5F75-214F-AA44-B65738F09815}"/>
    <hyperlink ref="H10" location="'Valuation -&gt;'!B13" display="'Valuation -&gt;'!B13" xr:uid="{0E82C950-DB55-C84F-9FE3-AE3ABCC4D70E}"/>
    <hyperlink ref="H7" location="'Financials -&gt;'!B13" display="'Financials -&gt;'!B13" xr:uid="{ED292B1E-744B-4542-9A0B-87AC248E4C0B}"/>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6FE7C-2B1B-7C49-B055-001352253955}">
  <dimension ref="A1:C20"/>
  <sheetViews>
    <sheetView topLeftCell="A8" zoomScale="171" zoomScaleNormal="65" workbookViewId="0">
      <selection activeCell="C13" sqref="C13"/>
    </sheetView>
  </sheetViews>
  <sheetFormatPr baseColWidth="10" defaultRowHeight="16" x14ac:dyDescent="0.2"/>
  <cols>
    <col min="1" max="1" width="2" style="84" customWidth="1"/>
    <col min="2" max="2" width="34.6640625" style="1" customWidth="1"/>
    <col min="3" max="3" width="11.6640625" style="1" bestFit="1" customWidth="1"/>
    <col min="4" max="4" width="10.83203125" style="1" customWidth="1"/>
    <col min="5" max="7" width="10.83203125" style="1"/>
    <col min="8" max="8" width="10.83203125" style="1" customWidth="1"/>
    <col min="9" max="12" width="10.83203125" style="1"/>
    <col min="13" max="13" width="28" style="1" customWidth="1"/>
    <col min="14"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3" s="84" customFormat="1" ht="18" customHeight="1" x14ac:dyDescent="0.2">
      <c r="A1" s="4"/>
      <c r="B1" s="83" t="s">
        <v>177</v>
      </c>
    </row>
    <row r="2" spans="1:3" s="84" customFormat="1" ht="18" customHeight="1" x14ac:dyDescent="0.2">
      <c r="A2" s="4"/>
      <c r="B2" s="83"/>
    </row>
    <row r="3" spans="1:3" ht="17" customHeight="1" x14ac:dyDescent="0.2"/>
    <row r="4" spans="1:3" ht="17" customHeight="1" x14ac:dyDescent="0.2">
      <c r="B4" s="268" t="s">
        <v>178</v>
      </c>
      <c r="C4" s="268"/>
    </row>
    <row r="5" spans="1:3" ht="17" customHeight="1" x14ac:dyDescent="0.2">
      <c r="B5" s="1" t="s">
        <v>179</v>
      </c>
      <c r="C5" s="140">
        <f>Statement!AC80</f>
        <v>64726</v>
      </c>
    </row>
    <row r="6" spans="1:3" ht="17" customHeight="1" x14ac:dyDescent="0.2">
      <c r="B6" s="1" t="s">
        <v>1</v>
      </c>
      <c r="C6" s="137">
        <f ca="1">Overview!C5</f>
        <v>12.61</v>
      </c>
    </row>
    <row r="7" spans="1:3" ht="17" customHeight="1" x14ac:dyDescent="0.2">
      <c r="B7" s="1" t="s">
        <v>180</v>
      </c>
      <c r="C7" s="138">
        <f ca="1">C5*C6</f>
        <v>816194.86</v>
      </c>
    </row>
    <row r="8" spans="1:3" ht="17" customHeight="1" x14ac:dyDescent="0.2">
      <c r="B8" s="1" t="s">
        <v>181</v>
      </c>
      <c r="C8" s="116">
        <f>Statement!AC112</f>
        <v>66446</v>
      </c>
    </row>
    <row r="9" spans="1:3" ht="17" customHeight="1" x14ac:dyDescent="0.2">
      <c r="B9" s="1" t="s">
        <v>182</v>
      </c>
      <c r="C9" s="139">
        <f ca="1">Overview!F27</f>
        <v>4.9880000000000001E-2</v>
      </c>
    </row>
    <row r="10" spans="1:3" ht="17" customHeight="1" x14ac:dyDescent="0.2">
      <c r="B10" s="1" t="s">
        <v>9</v>
      </c>
      <c r="C10" s="137">
        <f ca="1">Overview!C13</f>
        <v>0.75829999999999997</v>
      </c>
    </row>
    <row r="11" spans="1:3" ht="17" customHeight="1" x14ac:dyDescent="0.2">
      <c r="B11" s="1" t="s">
        <v>183</v>
      </c>
      <c r="C11" s="139">
        <f>[1]Sheet1!$C$12</f>
        <v>4.4999999999999998E-2</v>
      </c>
    </row>
    <row r="12" spans="1:3" ht="17" customHeight="1" x14ac:dyDescent="0.2">
      <c r="B12" s="1" t="s">
        <v>74</v>
      </c>
      <c r="C12" s="139">
        <f>Overview!C26</f>
        <v>0.21</v>
      </c>
    </row>
    <row r="13" spans="1:3" ht="17" customHeight="1" x14ac:dyDescent="0.2">
      <c r="B13" s="1" t="s">
        <v>184</v>
      </c>
      <c r="C13" s="139">
        <f>Overview!C27</f>
        <v>6.5000000000000002E-2</v>
      </c>
    </row>
    <row r="14" spans="1:3" ht="17" customHeight="1" x14ac:dyDescent="0.2"/>
    <row r="15" spans="1:3" ht="17" customHeight="1" x14ac:dyDescent="0.2">
      <c r="B15" s="268" t="s">
        <v>185</v>
      </c>
      <c r="C15" s="268"/>
    </row>
    <row r="16" spans="1:3" ht="17" customHeight="1" x14ac:dyDescent="0.2">
      <c r="B16" s="1" t="s">
        <v>186</v>
      </c>
      <c r="C16" s="46">
        <f ca="1">C8/(C8+C7)</f>
        <v>7.528090190612749E-2</v>
      </c>
    </row>
    <row r="17" spans="2:3" ht="17" customHeight="1" x14ac:dyDescent="0.2">
      <c r="B17" s="1" t="s">
        <v>187</v>
      </c>
      <c r="C17" s="46">
        <f ca="1">C7/(C8+C7)</f>
        <v>0.92471909809387254</v>
      </c>
    </row>
    <row r="18" spans="2:3" ht="17" customHeight="1" x14ac:dyDescent="0.2">
      <c r="B18" s="1" t="s">
        <v>188</v>
      </c>
      <c r="C18" s="46">
        <f>C13*(1-C12)</f>
        <v>5.1350000000000007E-2</v>
      </c>
    </row>
    <row r="19" spans="2:3" ht="17" customHeight="1" x14ac:dyDescent="0.2">
      <c r="B19" s="1" t="s">
        <v>189</v>
      </c>
      <c r="C19" s="46">
        <f ca="1">C9+C10*C11</f>
        <v>8.4003499999999995E-2</v>
      </c>
    </row>
    <row r="20" spans="2:3" ht="17" customHeight="1" x14ac:dyDescent="0.2">
      <c r="B20" s="1" t="s">
        <v>177</v>
      </c>
      <c r="C20" s="46">
        <f ca="1">(C17*C19)+(C16*C18)</f>
        <v>8.1545315069608271E-2</v>
      </c>
    </row>
  </sheetData>
  <mergeCells count="2">
    <mergeCell ref="B4:C4"/>
    <mergeCell ref="B15:C1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76C87-6799-634E-8DEB-EF0E693AF74F}">
  <dimension ref="A1:AB26"/>
  <sheetViews>
    <sheetView topLeftCell="C1" zoomScale="188" zoomScaleNormal="100" workbookViewId="0">
      <selection activeCell="B24" sqref="B24"/>
    </sheetView>
  </sheetViews>
  <sheetFormatPr baseColWidth="10" defaultRowHeight="16" x14ac:dyDescent="0.2"/>
  <cols>
    <col min="1" max="1" width="2" style="84" customWidth="1"/>
    <col min="2" max="2" width="34.6640625" style="1" customWidth="1"/>
    <col min="3" max="3" width="10.83203125" style="1"/>
    <col min="4" max="4" width="10.83203125" style="1" customWidth="1"/>
    <col min="5" max="7" width="10.83203125" style="1"/>
    <col min="8" max="8" width="10.83203125" style="1" customWidth="1"/>
    <col min="9" max="12" width="10.83203125" style="1"/>
    <col min="13" max="13" width="28" style="1" customWidth="1"/>
    <col min="14"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28" s="84" customFormat="1" ht="18" customHeight="1" x14ac:dyDescent="0.2">
      <c r="A1" s="4"/>
      <c r="B1" s="83" t="s">
        <v>191</v>
      </c>
    </row>
    <row r="2" spans="1:28" s="84" customFormat="1" ht="18" customHeight="1" x14ac:dyDescent="0.2">
      <c r="A2" s="4"/>
      <c r="B2" s="83"/>
    </row>
    <row r="3" spans="1:28" x14ac:dyDescent="0.2">
      <c r="A3" s="4"/>
      <c r="C3" s="268" t="s">
        <v>123</v>
      </c>
      <c r="D3" s="268"/>
      <c r="E3" s="268"/>
      <c r="F3" s="268"/>
      <c r="G3" s="277"/>
      <c r="H3" s="278" t="s">
        <v>124</v>
      </c>
      <c r="I3" s="268"/>
      <c r="J3" s="268"/>
      <c r="K3" s="268"/>
      <c r="L3" s="268"/>
      <c r="P3" s="279"/>
      <c r="Q3" s="279"/>
      <c r="R3" s="279"/>
      <c r="S3" s="279"/>
      <c r="T3" s="279"/>
      <c r="U3" s="279"/>
      <c r="V3" s="279"/>
      <c r="W3" s="279"/>
      <c r="X3" s="279"/>
      <c r="Y3" s="279"/>
      <c r="Z3" s="279"/>
      <c r="AB3" s="113"/>
    </row>
    <row r="4" spans="1:28" ht="10" customHeight="1" x14ac:dyDescent="0.2"/>
    <row r="5" spans="1:28" ht="16" customHeight="1" x14ac:dyDescent="0.2">
      <c r="A5" s="87"/>
      <c r="B5" s="60"/>
      <c r="C5" s="274" t="s">
        <v>192</v>
      </c>
      <c r="D5" s="274"/>
      <c r="E5" s="274"/>
      <c r="F5" s="274"/>
      <c r="G5" s="274"/>
      <c r="H5" s="274"/>
      <c r="I5" s="274"/>
      <c r="J5" s="274"/>
      <c r="K5" s="274"/>
      <c r="L5" s="274"/>
      <c r="P5" s="279"/>
      <c r="Q5" s="279"/>
      <c r="R5" s="279"/>
      <c r="S5" s="279"/>
      <c r="T5" s="279"/>
      <c r="U5" s="279"/>
      <c r="V5" s="279"/>
      <c r="W5" s="279"/>
      <c r="X5" s="279"/>
      <c r="Y5" s="279"/>
      <c r="Z5" s="279"/>
      <c r="AB5" s="114"/>
    </row>
    <row r="6" spans="1:28" x14ac:dyDescent="0.2">
      <c r="B6" s="16" t="s">
        <v>145</v>
      </c>
      <c r="C6" s="12">
        <f>Revenue!C5</f>
        <v>2022</v>
      </c>
      <c r="D6" s="12">
        <f>Revenue!D5</f>
        <v>2023</v>
      </c>
      <c r="E6" s="12">
        <f>Revenue!E5</f>
        <v>2024</v>
      </c>
      <c r="F6" s="12">
        <f>Revenue!F5</f>
        <v>2025</v>
      </c>
      <c r="G6" s="12">
        <f>Revenue!G5</f>
        <v>2026</v>
      </c>
      <c r="H6" s="12">
        <f>Revenue!H5</f>
        <v>2027</v>
      </c>
      <c r="I6" s="12">
        <f>Revenue!I5</f>
        <v>2028</v>
      </c>
      <c r="J6" s="12">
        <f>Revenue!J5</f>
        <v>2029</v>
      </c>
      <c r="K6" s="12">
        <f>Revenue!K5</f>
        <v>2030</v>
      </c>
      <c r="L6" s="12">
        <f>Revenue!L5</f>
        <v>2031</v>
      </c>
      <c r="O6" s="16"/>
      <c r="P6" s="115"/>
      <c r="Q6" s="115"/>
      <c r="R6" s="115"/>
      <c r="S6" s="115"/>
      <c r="T6" s="115"/>
      <c r="U6" s="115"/>
      <c r="V6" s="115"/>
      <c r="W6" s="115"/>
      <c r="X6" s="115"/>
      <c r="Y6" s="115"/>
      <c r="Z6" s="115"/>
      <c r="AB6" s="114"/>
    </row>
    <row r="7" spans="1:28" x14ac:dyDescent="0.2">
      <c r="B7" s="39" t="s">
        <v>274</v>
      </c>
      <c r="C7" s="116">
        <f>'FCF &amp; Other'!C28</f>
        <v>-144891</v>
      </c>
      <c r="D7" s="116">
        <f>'FCF &amp; Other'!D28</f>
        <v>-181313</v>
      </c>
      <c r="E7" s="116">
        <f>'FCF &amp; Other'!E28</f>
        <v>-133726</v>
      </c>
      <c r="F7" s="116">
        <f>'FCF &amp; Other'!F28</f>
        <v>-60793</v>
      </c>
      <c r="G7" s="117">
        <f>'FCF &amp; Other'!G28</f>
        <v>-13646</v>
      </c>
      <c r="H7" s="116">
        <f>'FCF &amp; Other'!H28</f>
        <v>14342.228284238139</v>
      </c>
      <c r="I7" s="116">
        <f>'FCF &amp; Other'!I28</f>
        <v>10305.473455669546</v>
      </c>
      <c r="J7" s="116">
        <f>'FCF &amp; Other'!J28</f>
        <v>27312.030378258893</v>
      </c>
      <c r="K7" s="116">
        <f>'FCF &amp; Other'!K28</f>
        <v>41629.84260598031</v>
      </c>
      <c r="L7" s="116">
        <f>'FCF &amp; Other'!L28</f>
        <v>54334.627403617545</v>
      </c>
      <c r="N7" s="92"/>
      <c r="O7" s="16"/>
      <c r="P7" s="93"/>
      <c r="Q7" s="93"/>
      <c r="R7" s="93"/>
      <c r="S7" s="93"/>
      <c r="T7" s="93"/>
      <c r="U7" s="93"/>
      <c r="V7" s="93"/>
      <c r="W7" s="93"/>
      <c r="X7" s="95"/>
      <c r="Y7" s="95"/>
      <c r="Z7" s="95"/>
      <c r="AB7" s="95"/>
    </row>
    <row r="8" spans="1:28" x14ac:dyDescent="0.2">
      <c r="B8" s="39" t="s">
        <v>193</v>
      </c>
      <c r="C8" s="130">
        <v>0</v>
      </c>
      <c r="D8" s="130">
        <v>0</v>
      </c>
      <c r="E8" s="130">
        <v>0</v>
      </c>
      <c r="F8" s="130">
        <v>0</v>
      </c>
      <c r="G8" s="135">
        <v>0</v>
      </c>
      <c r="H8" s="130">
        <v>0</v>
      </c>
      <c r="I8" s="130">
        <v>0</v>
      </c>
      <c r="J8" s="130">
        <v>0</v>
      </c>
      <c r="K8" s="130">
        <v>0</v>
      </c>
      <c r="L8" s="130">
        <f ca="1">L7*(1+C14)/(C15-C14)</f>
        <v>900496.16106454108</v>
      </c>
      <c r="N8" s="92"/>
      <c r="O8" s="16"/>
      <c r="P8" s="93"/>
      <c r="Q8" s="93"/>
      <c r="R8" s="93"/>
      <c r="S8" s="93"/>
      <c r="T8" s="93"/>
      <c r="U8" s="93"/>
      <c r="V8" s="93"/>
      <c r="W8" s="93"/>
      <c r="X8" s="95"/>
      <c r="Y8" s="95"/>
      <c r="Z8" s="95"/>
      <c r="AB8" s="95"/>
    </row>
    <row r="9" spans="1:28" x14ac:dyDescent="0.2">
      <c r="B9" s="1" t="s">
        <v>194</v>
      </c>
      <c r="C9" s="141"/>
      <c r="D9" s="141"/>
      <c r="E9" s="141"/>
      <c r="F9" s="141"/>
      <c r="G9" s="142"/>
      <c r="H9" s="143">
        <v>1</v>
      </c>
      <c r="I9" s="143">
        <v>2</v>
      </c>
      <c r="J9" s="143">
        <v>3</v>
      </c>
      <c r="K9" s="143">
        <v>4</v>
      </c>
      <c r="L9" s="143">
        <v>5</v>
      </c>
      <c r="N9" s="92"/>
    </row>
    <row r="10" spans="1:28" x14ac:dyDescent="0.2">
      <c r="B10" s="1" t="s">
        <v>333</v>
      </c>
      <c r="C10" s="141"/>
      <c r="D10" s="141"/>
      <c r="E10" s="141"/>
      <c r="F10" s="141"/>
      <c r="G10" s="142"/>
      <c r="H10" s="130">
        <f ca="1">H7/(1+$C$15)^H9</f>
        <v>13260.866728746425</v>
      </c>
      <c r="I10" s="130">
        <f t="shared" ref="I10:L10" ca="1" si="0">I7/(1+$C$15)^I9</f>
        <v>8810.0527379918021</v>
      </c>
      <c r="J10" s="130">
        <f t="shared" ca="1" si="0"/>
        <v>21588.368647481122</v>
      </c>
      <c r="K10" s="130">
        <f t="shared" ca="1" si="0"/>
        <v>30424.670760613342</v>
      </c>
      <c r="L10" s="130">
        <f t="shared" ca="1" si="0"/>
        <v>36715.808088225553</v>
      </c>
      <c r="N10" s="92"/>
    </row>
    <row r="11" spans="1:28" x14ac:dyDescent="0.2">
      <c r="B11" s="1" t="s">
        <v>195</v>
      </c>
      <c r="C11" s="141"/>
      <c r="D11" s="141"/>
      <c r="E11" s="141"/>
      <c r="F11" s="141"/>
      <c r="G11" s="142"/>
      <c r="H11" s="141"/>
      <c r="I11" s="141"/>
      <c r="J11" s="141"/>
      <c r="K11" s="141"/>
      <c r="L11" s="130">
        <f ca="1">L8/(1+C15)^L9</f>
        <v>608496.75085152558</v>
      </c>
    </row>
    <row r="13" spans="1:28" x14ac:dyDescent="0.2">
      <c r="B13" s="268" t="s">
        <v>196</v>
      </c>
      <c r="C13" s="268"/>
    </row>
    <row r="14" spans="1:28" x14ac:dyDescent="0.2">
      <c r="B14" s="1" t="s">
        <v>197</v>
      </c>
      <c r="C14" s="144">
        <v>0.02</v>
      </c>
    </row>
    <row r="15" spans="1:28" x14ac:dyDescent="0.2">
      <c r="B15" s="1" t="s">
        <v>177</v>
      </c>
      <c r="C15" s="139">
        <f ca="1">IF(Overview!C28&gt;0,Overview!C28,WACC!C20)</f>
        <v>8.1545315069608271E-2</v>
      </c>
    </row>
    <row r="18" spans="2:3" x14ac:dyDescent="0.2">
      <c r="B18" s="268" t="s">
        <v>198</v>
      </c>
      <c r="C18" s="268"/>
    </row>
    <row r="19" spans="2:3" x14ac:dyDescent="0.2">
      <c r="B19" s="1" t="s">
        <v>199</v>
      </c>
      <c r="C19" s="64">
        <f ca="1">SUM(H10:L10)</f>
        <v>110799.76696305824</v>
      </c>
    </row>
    <row r="20" spans="2:3" x14ac:dyDescent="0.2">
      <c r="B20" s="1" t="s">
        <v>195</v>
      </c>
      <c r="C20" s="64">
        <f ca="1">L11</f>
        <v>608496.75085152558</v>
      </c>
    </row>
    <row r="21" spans="2:3" x14ac:dyDescent="0.2">
      <c r="B21" s="16" t="s">
        <v>200</v>
      </c>
      <c r="C21" s="95">
        <f ca="1">C19+C20</f>
        <v>719296.51781458384</v>
      </c>
    </row>
    <row r="22" spans="2:3" x14ac:dyDescent="0.2">
      <c r="B22" s="1" t="s">
        <v>201</v>
      </c>
      <c r="C22" s="89">
        <f>Statement!AC111</f>
        <v>72945</v>
      </c>
    </row>
    <row r="23" spans="2:3" x14ac:dyDescent="0.2">
      <c r="B23" s="1" t="s">
        <v>202</v>
      </c>
      <c r="C23" s="89">
        <f>Statement!AC112</f>
        <v>66446</v>
      </c>
    </row>
    <row r="24" spans="2:3" x14ac:dyDescent="0.2">
      <c r="B24" s="16" t="s">
        <v>203</v>
      </c>
      <c r="C24" s="95">
        <f ca="1">C21+C22-C23</f>
        <v>725795.51781458384</v>
      </c>
    </row>
    <row r="25" spans="2:3" x14ac:dyDescent="0.2">
      <c r="B25" s="1" t="s">
        <v>70</v>
      </c>
      <c r="C25" s="89">
        <f>Statement!AC80</f>
        <v>64726</v>
      </c>
    </row>
    <row r="26" spans="2:3" x14ac:dyDescent="0.2">
      <c r="B26" s="256" t="s">
        <v>204</v>
      </c>
      <c r="C26" s="257">
        <f ca="1">C24/C25</f>
        <v>11.213353487232084</v>
      </c>
    </row>
  </sheetData>
  <mergeCells count="8">
    <mergeCell ref="X3:Z3"/>
    <mergeCell ref="C5:L5"/>
    <mergeCell ref="P5:Z5"/>
    <mergeCell ref="B13:C13"/>
    <mergeCell ref="B18:C18"/>
    <mergeCell ref="C3:G3"/>
    <mergeCell ref="H3:L3"/>
    <mergeCell ref="P3:W3"/>
  </mergeCells>
  <pageMargins left="0.7" right="0.7" top="0.75" bottom="0.75" header="0.3" footer="0.3"/>
  <pageSetup paperSize="9" orientation="portrait" horizontalDpi="0" verticalDpi="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33819-10E3-B843-9B8A-30FFCAB234A7}">
  <dimension ref="A1:N84"/>
  <sheetViews>
    <sheetView topLeftCell="A72" zoomScale="192" zoomScaleNormal="100" workbookViewId="0">
      <selection activeCell="B76" sqref="B76"/>
    </sheetView>
  </sheetViews>
  <sheetFormatPr baseColWidth="10" defaultRowHeight="16" x14ac:dyDescent="0.2"/>
  <cols>
    <col min="1" max="1" width="2" style="84" customWidth="1"/>
    <col min="2" max="2" width="25.6640625" style="1" customWidth="1"/>
    <col min="3" max="3" width="10.83203125" style="1"/>
    <col min="4" max="4" width="10.83203125" style="1" customWidth="1"/>
    <col min="5" max="7" width="10.83203125" style="1"/>
    <col min="8" max="8" width="10.83203125" style="1" customWidth="1"/>
    <col min="9" max="12" width="10.83203125" style="1"/>
    <col min="13" max="14" width="9.5" style="1" customWidth="1"/>
    <col min="15" max="16384" width="10.83203125" style="1"/>
  </cols>
  <sheetData>
    <row r="1" spans="1:14" s="84" customFormat="1" ht="18" customHeight="1" x14ac:dyDescent="0.2">
      <c r="A1" s="4"/>
      <c r="B1" s="83" t="s">
        <v>205</v>
      </c>
    </row>
    <row r="2" spans="1:14" x14ac:dyDescent="0.2">
      <c r="A2" s="4"/>
      <c r="C2" s="268" t="s">
        <v>123</v>
      </c>
      <c r="D2" s="268"/>
      <c r="E2" s="268"/>
      <c r="F2" s="268"/>
      <c r="G2" s="277"/>
      <c r="H2" s="278" t="s">
        <v>124</v>
      </c>
      <c r="I2" s="268"/>
      <c r="J2" s="268"/>
      <c r="K2" s="268"/>
      <c r="L2" s="268"/>
    </row>
    <row r="3" spans="1:14" ht="10" customHeight="1" x14ac:dyDescent="0.2"/>
    <row r="4" spans="1:14" ht="16" customHeight="1" x14ac:dyDescent="0.2">
      <c r="A4" s="87"/>
      <c r="B4" s="60"/>
      <c r="C4" s="274" t="s">
        <v>206</v>
      </c>
      <c r="D4" s="274"/>
      <c r="E4" s="274"/>
      <c r="F4" s="274"/>
      <c r="G4" s="274"/>
      <c r="H4" s="274"/>
      <c r="I4" s="274"/>
      <c r="J4" s="274"/>
      <c r="K4" s="274"/>
      <c r="L4" s="274"/>
    </row>
    <row r="5" spans="1:14" x14ac:dyDescent="0.2">
      <c r="B5" s="16" t="s">
        <v>127</v>
      </c>
      <c r="C5" s="12">
        <f>Revenue!C5</f>
        <v>2022</v>
      </c>
      <c r="D5" s="12">
        <f>Revenue!D5</f>
        <v>2023</v>
      </c>
      <c r="E5" s="12">
        <f>Revenue!E5</f>
        <v>2024</v>
      </c>
      <c r="F5" s="12">
        <f>Revenue!F5</f>
        <v>2025</v>
      </c>
      <c r="G5" s="12">
        <f>Revenue!G5</f>
        <v>2026</v>
      </c>
      <c r="H5" s="12">
        <f>Revenue!H5</f>
        <v>2027</v>
      </c>
      <c r="I5" s="12">
        <f>Revenue!I5</f>
        <v>2028</v>
      </c>
      <c r="J5" s="12">
        <f>Revenue!J5</f>
        <v>2029</v>
      </c>
      <c r="K5" s="12">
        <f>Revenue!K5</f>
        <v>2030</v>
      </c>
      <c r="L5" s="12">
        <f>Revenue!L5</f>
        <v>2031</v>
      </c>
    </row>
    <row r="6" spans="1:14" x14ac:dyDescent="0.2">
      <c r="B6" s="16" t="s">
        <v>20</v>
      </c>
      <c r="C6" s="93">
        <f>Revenue!C9</f>
        <v>213233</v>
      </c>
      <c r="D6" s="93">
        <f>Revenue!D9</f>
        <v>280910</v>
      </c>
      <c r="E6" s="93">
        <f>Revenue!E9</f>
        <v>356299</v>
      </c>
      <c r="F6" s="93">
        <f>Revenue!F9</f>
        <v>419813</v>
      </c>
      <c r="G6" s="94">
        <f>Revenue!G9</f>
        <v>480591</v>
      </c>
      <c r="H6" s="93">
        <f>Revenue!H9</f>
        <v>512003.95319162495</v>
      </c>
      <c r="I6" s="93">
        <f>Revenue!I9</f>
        <v>544078.91490638629</v>
      </c>
      <c r="J6" s="93">
        <f>Revenue!J9</f>
        <v>591204.36583610985</v>
      </c>
      <c r="K6" s="93">
        <f>Revenue!K9</f>
        <v>670128.09104058379</v>
      </c>
      <c r="L6" s="93">
        <f>Revenue!L9</f>
        <v>786430.37228098325</v>
      </c>
      <c r="N6" s="92"/>
    </row>
    <row r="7" spans="1:14" x14ac:dyDescent="0.2">
      <c r="B7" s="16" t="s">
        <v>169</v>
      </c>
      <c r="C7" s="93">
        <f>'FCF &amp; Other'!C10</f>
        <v>-116817</v>
      </c>
      <c r="D7" s="93">
        <f>'FCF &amp; Other'!D10</f>
        <v>-176552</v>
      </c>
      <c r="E7" s="93">
        <f>'FCF &amp; Other'!E10</f>
        <v>-136479</v>
      </c>
      <c r="F7" s="93">
        <f>'FCF &amp; Other'!F10</f>
        <v>-58097</v>
      </c>
      <c r="G7" s="94">
        <f>'FCF &amp; Other'!G10</f>
        <v>-6612</v>
      </c>
      <c r="H7" s="93">
        <f>'FCF &amp; Other'!H10</f>
        <v>512.00395319168456</v>
      </c>
      <c r="I7" s="93">
        <f>'FCF &amp; Other'!I10</f>
        <v>1632.2367447190918</v>
      </c>
      <c r="J7" s="93">
        <f>'FCF &amp; Other'!J10</f>
        <v>26604.196462624997</v>
      </c>
      <c r="K7" s="93">
        <f>'FCF &amp; Other'!K10</f>
        <v>56290.759647409082</v>
      </c>
      <c r="L7" s="93">
        <f>'FCF &amp; Other'!L10</f>
        <v>79429.467600379314</v>
      </c>
      <c r="N7" s="92"/>
    </row>
    <row r="8" spans="1:14" x14ac:dyDescent="0.2">
      <c r="B8" s="16" t="s">
        <v>274</v>
      </c>
      <c r="C8" s="93">
        <f>'FCF &amp; Other'!C28</f>
        <v>-144891</v>
      </c>
      <c r="D8" s="93">
        <f>'FCF &amp; Other'!D28</f>
        <v>-181313</v>
      </c>
      <c r="E8" s="93">
        <f>'FCF &amp; Other'!E28</f>
        <v>-133726</v>
      </c>
      <c r="F8" s="93">
        <f>'FCF &amp; Other'!F28</f>
        <v>-60793</v>
      </c>
      <c r="G8" s="94">
        <f>'FCF &amp; Other'!G28</f>
        <v>-13646</v>
      </c>
      <c r="H8" s="93">
        <f>'FCF &amp; Other'!H28</f>
        <v>14342.228284238139</v>
      </c>
      <c r="I8" s="93">
        <f>'FCF &amp; Other'!I28</f>
        <v>10305.473455669546</v>
      </c>
      <c r="J8" s="93">
        <f>'FCF &amp; Other'!J28</f>
        <v>27312.030378258893</v>
      </c>
      <c r="K8" s="93">
        <f>'FCF &amp; Other'!K28</f>
        <v>41629.84260598031</v>
      </c>
      <c r="L8" s="93">
        <f>'FCF &amp; Other'!L28</f>
        <v>54334.627403617545</v>
      </c>
      <c r="N8" s="92"/>
    </row>
    <row r="9" spans="1:14" x14ac:dyDescent="0.2">
      <c r="B9" s="16" t="s">
        <v>333</v>
      </c>
      <c r="C9" s="141"/>
      <c r="D9" s="141"/>
      <c r="E9" s="141"/>
      <c r="F9" s="141"/>
      <c r="G9" s="142"/>
      <c r="H9" s="93">
        <f ca="1">DCF!H10</f>
        <v>13260.866728746425</v>
      </c>
      <c r="I9" s="93">
        <f ca="1">DCF!I10</f>
        <v>8810.0527379918021</v>
      </c>
      <c r="J9" s="93">
        <f ca="1">DCF!J10</f>
        <v>21588.368647481122</v>
      </c>
      <c r="K9" s="93">
        <f ca="1">DCF!K10</f>
        <v>30424.670760613342</v>
      </c>
      <c r="L9" s="93">
        <f ca="1">DCF!L10</f>
        <v>36715.808088225553</v>
      </c>
      <c r="N9" s="92"/>
    </row>
    <row r="10" spans="1:14" x14ac:dyDescent="0.2">
      <c r="N10" s="92"/>
    </row>
    <row r="11" spans="1:14" x14ac:dyDescent="0.2">
      <c r="C11" s="274" t="s">
        <v>132</v>
      </c>
      <c r="D11" s="274"/>
      <c r="E11" s="274"/>
      <c r="F11" s="274"/>
      <c r="G11" s="274"/>
      <c r="H11" s="274"/>
      <c r="I11" s="274"/>
      <c r="J11" s="274"/>
      <c r="K11" s="274"/>
      <c r="L11" s="274"/>
      <c r="N11" s="92"/>
    </row>
    <row r="12" spans="1:14" x14ac:dyDescent="0.2">
      <c r="B12" s="16" t="s">
        <v>207</v>
      </c>
      <c r="C12" s="12">
        <f>C5</f>
        <v>2022</v>
      </c>
      <c r="D12" s="12">
        <f t="shared" ref="D12:L12" si="0">D5</f>
        <v>2023</v>
      </c>
      <c r="E12" s="12">
        <f t="shared" si="0"/>
        <v>2024</v>
      </c>
      <c r="F12" s="12">
        <f t="shared" si="0"/>
        <v>2025</v>
      </c>
      <c r="G12" s="12">
        <f t="shared" si="0"/>
        <v>2026</v>
      </c>
      <c r="H12" s="12">
        <f t="shared" si="0"/>
        <v>2027</v>
      </c>
      <c r="I12" s="12">
        <f t="shared" si="0"/>
        <v>2028</v>
      </c>
      <c r="J12" s="12">
        <f t="shared" si="0"/>
        <v>2029</v>
      </c>
      <c r="K12" s="12">
        <f t="shared" si="0"/>
        <v>2030</v>
      </c>
      <c r="L12" s="12">
        <f t="shared" si="0"/>
        <v>2031</v>
      </c>
      <c r="N12" s="92"/>
    </row>
    <row r="13" spans="1:14" x14ac:dyDescent="0.2">
      <c r="B13" s="1" t="s">
        <v>20</v>
      </c>
      <c r="C13" s="141"/>
      <c r="D13" s="96">
        <f>(D6-C6)/C6</f>
        <v>0.31738520773051077</v>
      </c>
      <c r="E13" s="96">
        <f t="shared" ref="E13:L13" si="1">(E6-D6)/D6</f>
        <v>0.26837421238118969</v>
      </c>
      <c r="F13" s="96">
        <f t="shared" si="1"/>
        <v>0.17826039365813545</v>
      </c>
      <c r="G13" s="97">
        <f t="shared" si="1"/>
        <v>0.14477398270182201</v>
      </c>
      <c r="H13" s="96">
        <f t="shared" si="1"/>
        <v>6.5363174074472799E-2</v>
      </c>
      <c r="I13" s="96">
        <f t="shared" si="1"/>
        <v>6.2645925905100985E-2</v>
      </c>
      <c r="J13" s="96">
        <f t="shared" si="1"/>
        <v>8.6615102402620991E-2</v>
      </c>
      <c r="K13" s="96">
        <f t="shared" si="1"/>
        <v>0.13349651958820735</v>
      </c>
      <c r="L13" s="96">
        <f t="shared" si="1"/>
        <v>0.17355231454303569</v>
      </c>
      <c r="N13" s="92"/>
    </row>
    <row r="14" spans="1:14" x14ac:dyDescent="0.2">
      <c r="B14" s="1" t="s">
        <v>169</v>
      </c>
      <c r="C14" s="141"/>
      <c r="D14" s="96">
        <f>IF(C7=0,
IF(D7=0,0,IF(D7&gt;0,1,-1)),
(D7-C7)/ABS(C7)
)</f>
        <v>-0.51135536779749524</v>
      </c>
      <c r="E14" s="96">
        <f t="shared" ref="E14:L14" si="2">IF(D7=0,
IF(E7=0,0,IF(E7&gt;0,1,-1)),
(E7-D7)/ABS(D7)
)</f>
        <v>0.22697562191309076</v>
      </c>
      <c r="F14" s="96">
        <f t="shared" si="2"/>
        <v>0.57431546245209886</v>
      </c>
      <c r="G14" s="97">
        <f t="shared" si="2"/>
        <v>0.8861903368504398</v>
      </c>
      <c r="H14" s="96">
        <f t="shared" si="2"/>
        <v>1.0774355646085427</v>
      </c>
      <c r="I14" s="96">
        <f t="shared" si="2"/>
        <v>2.1879377777148008</v>
      </c>
      <c r="J14" s="96">
        <f t="shared" si="2"/>
        <v>15.299226536040019</v>
      </c>
      <c r="K14" s="96">
        <f t="shared" si="2"/>
        <v>1.1158601698979844</v>
      </c>
      <c r="L14" s="96">
        <f t="shared" si="2"/>
        <v>0.41105694962912526</v>
      </c>
      <c r="N14" s="92"/>
    </row>
    <row r="15" spans="1:14" x14ac:dyDescent="0.2">
      <c r="B15" s="1" t="s">
        <v>274</v>
      </c>
      <c r="C15" s="141"/>
      <c r="D15" s="96">
        <f>IF(C8=0,
IF(D8=0,0,IF(D8&gt;0,1,-1)),
(D8-C8)/ABS(C8)
)</f>
        <v>-0.25137517168078072</v>
      </c>
      <c r="E15" s="96">
        <f t="shared" ref="E15:L15" si="3">IF(D8=0,
IF(E8=0,0,IF(E8&gt;0,1,-1)),
(E8-D8)/ABS(D8)
)</f>
        <v>0.26245773882733175</v>
      </c>
      <c r="F15" s="96">
        <f t="shared" si="3"/>
        <v>0.54539132255507528</v>
      </c>
      <c r="G15" s="97">
        <f t="shared" si="3"/>
        <v>0.77553336732847533</v>
      </c>
      <c r="H15" s="96">
        <f t="shared" si="3"/>
        <v>2.051020686225864</v>
      </c>
      <c r="I15" s="96">
        <f t="shared" si="3"/>
        <v>-0.28145939031000622</v>
      </c>
      <c r="J15" s="96">
        <f t="shared" si="3"/>
        <v>1.6502450853660886</v>
      </c>
      <c r="K15" s="96">
        <f t="shared" si="3"/>
        <v>0.52423097182546996</v>
      </c>
      <c r="L15" s="96">
        <f t="shared" si="3"/>
        <v>0.30518455036897346</v>
      </c>
      <c r="N15" s="92"/>
    </row>
    <row r="16" spans="1:14" x14ac:dyDescent="0.2">
      <c r="N16" s="92"/>
    </row>
    <row r="17" spans="2:14" x14ac:dyDescent="0.2">
      <c r="C17" s="274" t="s">
        <v>208</v>
      </c>
      <c r="D17" s="274"/>
      <c r="E17" s="274"/>
      <c r="F17" s="274"/>
      <c r="G17" s="274"/>
      <c r="H17" s="274"/>
      <c r="I17" s="274"/>
      <c r="J17" s="274"/>
      <c r="K17" s="274"/>
      <c r="L17" s="274"/>
      <c r="N17" s="92"/>
    </row>
    <row r="18" spans="2:14" x14ac:dyDescent="0.2">
      <c r="C18" s="12">
        <f t="shared" ref="C18:L18" si="4">C5</f>
        <v>2022</v>
      </c>
      <c r="D18" s="12">
        <f t="shared" si="4"/>
        <v>2023</v>
      </c>
      <c r="E18" s="12">
        <f t="shared" si="4"/>
        <v>2024</v>
      </c>
      <c r="F18" s="12">
        <f t="shared" si="4"/>
        <v>2025</v>
      </c>
      <c r="G18" s="12">
        <f t="shared" si="4"/>
        <v>2026</v>
      </c>
      <c r="H18" s="12">
        <f t="shared" si="4"/>
        <v>2027</v>
      </c>
      <c r="I18" s="12">
        <f t="shared" si="4"/>
        <v>2028</v>
      </c>
      <c r="J18" s="12">
        <f t="shared" si="4"/>
        <v>2029</v>
      </c>
      <c r="K18" s="12">
        <f t="shared" si="4"/>
        <v>2030</v>
      </c>
      <c r="L18" s="12">
        <f t="shared" si="4"/>
        <v>2031</v>
      </c>
      <c r="N18" s="92"/>
    </row>
    <row r="19" spans="2:14" x14ac:dyDescent="0.2">
      <c r="B19" s="1" t="s">
        <v>209</v>
      </c>
      <c r="C19" s="101">
        <f>Statement!M24</f>
        <v>49888</v>
      </c>
      <c r="D19" s="101">
        <f>Statement!N24</f>
        <v>52440</v>
      </c>
      <c r="E19" s="101">
        <f>Statement!O24</f>
        <v>54561</v>
      </c>
      <c r="F19" s="101">
        <f>Statement!P24</f>
        <v>57590</v>
      </c>
      <c r="G19" s="102">
        <f>Statement!Q24</f>
        <v>61495</v>
      </c>
      <c r="H19" s="145">
        <f>G19*(1+H20)</f>
        <v>66107.125</v>
      </c>
      <c r="I19" s="145">
        <f t="shared" ref="I19:L19" si="5">H19*(1+I20)</f>
        <v>71395.695000000007</v>
      </c>
      <c r="J19" s="145">
        <f t="shared" si="5"/>
        <v>77821.307550000012</v>
      </c>
      <c r="K19" s="145">
        <f t="shared" si="5"/>
        <v>84825.225229500022</v>
      </c>
      <c r="L19" s="145">
        <f t="shared" si="5"/>
        <v>92459.495500155026</v>
      </c>
      <c r="N19" s="92"/>
    </row>
    <row r="20" spans="2:14" x14ac:dyDescent="0.2">
      <c r="B20" s="1" t="s">
        <v>210</v>
      </c>
      <c r="C20" s="141"/>
      <c r="D20" s="146">
        <f>D19/C19-1</f>
        <v>5.115458627325209E-2</v>
      </c>
      <c r="E20" s="146">
        <f t="shared" ref="E20:G20" si="6">E19/D19-1</f>
        <v>4.0446224256292851E-2</v>
      </c>
      <c r="F20" s="146">
        <f t="shared" si="6"/>
        <v>5.5515844650941171E-2</v>
      </c>
      <c r="G20" s="147">
        <f t="shared" si="6"/>
        <v>6.7806910922035168E-2</v>
      </c>
      <c r="H20" s="148">
        <v>7.4999999999999997E-2</v>
      </c>
      <c r="I20" s="98">
        <v>0.08</v>
      </c>
      <c r="J20" s="98">
        <v>0.09</v>
      </c>
      <c r="K20" s="98">
        <v>0.09</v>
      </c>
      <c r="L20" s="98">
        <v>0.09</v>
      </c>
      <c r="N20" s="92"/>
    </row>
    <row r="21" spans="2:14" x14ac:dyDescent="0.2">
      <c r="N21" s="92"/>
    </row>
    <row r="22" spans="2:14" x14ac:dyDescent="0.2">
      <c r="C22" s="274" t="s">
        <v>211</v>
      </c>
      <c r="D22" s="274"/>
      <c r="E22" s="274"/>
      <c r="F22" s="274"/>
      <c r="G22" s="274"/>
      <c r="H22" s="274"/>
      <c r="I22" s="274"/>
      <c r="J22" s="274"/>
      <c r="K22" s="274"/>
      <c r="L22" s="274"/>
      <c r="N22" s="92"/>
    </row>
    <row r="23" spans="2:14" x14ac:dyDescent="0.2">
      <c r="C23" s="12">
        <f>C5</f>
        <v>2022</v>
      </c>
      <c r="D23" s="12">
        <f t="shared" ref="D23:L23" si="7">D5</f>
        <v>2023</v>
      </c>
      <c r="E23" s="12">
        <f t="shared" si="7"/>
        <v>2024</v>
      </c>
      <c r="F23" s="12">
        <f t="shared" si="7"/>
        <v>2025</v>
      </c>
      <c r="G23" s="12">
        <f t="shared" si="7"/>
        <v>2026</v>
      </c>
      <c r="H23" s="12">
        <f t="shared" si="7"/>
        <v>2027</v>
      </c>
      <c r="I23" s="12">
        <f t="shared" si="7"/>
        <v>2028</v>
      </c>
      <c r="J23" s="12">
        <f t="shared" si="7"/>
        <v>2029</v>
      </c>
      <c r="K23" s="12">
        <f t="shared" si="7"/>
        <v>2030</v>
      </c>
      <c r="L23" s="12">
        <f t="shared" si="7"/>
        <v>2031</v>
      </c>
      <c r="N23" s="92"/>
    </row>
    <row r="24" spans="2:14" x14ac:dyDescent="0.2">
      <c r="B24" s="1" t="s">
        <v>1</v>
      </c>
      <c r="C24" s="149">
        <f>Statement!M120</f>
        <v>28.44</v>
      </c>
      <c r="D24" s="149">
        <f>Statement!N120</f>
        <v>36.19</v>
      </c>
      <c r="E24" s="149">
        <f>Statement!O120</f>
        <v>25.61</v>
      </c>
      <c r="F24" s="149">
        <f>Statement!P120</f>
        <v>29</v>
      </c>
      <c r="G24" s="150">
        <f>Statement!Q120</f>
        <v>13.43</v>
      </c>
      <c r="H24" s="141"/>
      <c r="I24" s="141"/>
      <c r="J24" s="141"/>
      <c r="K24" s="141"/>
      <c r="L24" s="141"/>
      <c r="N24" s="92"/>
    </row>
    <row r="25" spans="2:14" x14ac:dyDescent="0.2">
      <c r="N25" s="92"/>
    </row>
    <row r="26" spans="2:14" x14ac:dyDescent="0.2">
      <c r="N26" s="92"/>
    </row>
    <row r="27" spans="2:14" x14ac:dyDescent="0.2">
      <c r="C27" s="274" t="s">
        <v>212</v>
      </c>
      <c r="D27" s="274"/>
      <c r="E27" s="274"/>
      <c r="F27" s="274"/>
      <c r="G27" s="274"/>
      <c r="H27" s="274"/>
      <c r="I27" s="274"/>
      <c r="J27" s="274"/>
      <c r="K27" s="274"/>
      <c r="L27" s="274"/>
      <c r="N27" s="92"/>
    </row>
    <row r="28" spans="2:14" x14ac:dyDescent="0.2">
      <c r="C28" s="12">
        <f>C5</f>
        <v>2022</v>
      </c>
      <c r="D28" s="12">
        <f t="shared" ref="D28:L28" si="8">D5</f>
        <v>2023</v>
      </c>
      <c r="E28" s="12">
        <f t="shared" si="8"/>
        <v>2024</v>
      </c>
      <c r="F28" s="12">
        <f t="shared" si="8"/>
        <v>2025</v>
      </c>
      <c r="G28" s="12">
        <f t="shared" si="8"/>
        <v>2026</v>
      </c>
      <c r="H28" s="12">
        <f t="shared" si="8"/>
        <v>2027</v>
      </c>
      <c r="I28" s="12">
        <f t="shared" si="8"/>
        <v>2028</v>
      </c>
      <c r="J28" s="12">
        <f t="shared" si="8"/>
        <v>2029</v>
      </c>
      <c r="K28" s="12">
        <f t="shared" si="8"/>
        <v>2030</v>
      </c>
      <c r="L28" s="12">
        <f t="shared" si="8"/>
        <v>2031</v>
      </c>
      <c r="N28" s="92"/>
    </row>
    <row r="29" spans="2:14" x14ac:dyDescent="0.2">
      <c r="B29" s="16" t="s">
        <v>213</v>
      </c>
      <c r="C29" s="151">
        <f>C24/(C6/C19)</f>
        <v>6.6538233763066685</v>
      </c>
      <c r="D29" s="151">
        <f t="shared" ref="D29:G29" si="9">D24/(D6/D19)</f>
        <v>6.7559132818340384</v>
      </c>
      <c r="E29" s="151">
        <f t="shared" si="9"/>
        <v>3.9217264432400873</v>
      </c>
      <c r="F29" s="151">
        <f t="shared" si="9"/>
        <v>3.9782236376672473</v>
      </c>
      <c r="G29" s="152">
        <f t="shared" si="9"/>
        <v>1.7184629966021001</v>
      </c>
      <c r="H29" s="141"/>
      <c r="I29" s="141"/>
      <c r="J29" s="141"/>
      <c r="K29" s="141"/>
      <c r="L29" s="141"/>
      <c r="N29" s="92"/>
    </row>
    <row r="30" spans="2:14" x14ac:dyDescent="0.2">
      <c r="B30" s="1" t="s">
        <v>214</v>
      </c>
      <c r="C30" s="145">
        <f>C24*C19</f>
        <v>1418814.72</v>
      </c>
      <c r="D30" s="145">
        <f t="shared" ref="D30:G30" si="10">D24*D19</f>
        <v>1897803.5999999999</v>
      </c>
      <c r="E30" s="145">
        <f t="shared" si="10"/>
        <v>1397307.21</v>
      </c>
      <c r="F30" s="145">
        <f t="shared" si="10"/>
        <v>1670110</v>
      </c>
      <c r="G30" s="153">
        <f t="shared" si="10"/>
        <v>825877.85</v>
      </c>
      <c r="H30" s="141"/>
      <c r="I30" s="141"/>
      <c r="J30" s="141"/>
      <c r="K30" s="141"/>
      <c r="L30" s="141"/>
      <c r="N30" s="92"/>
    </row>
    <row r="31" spans="2:14" x14ac:dyDescent="0.2">
      <c r="B31" s="1" t="s">
        <v>181</v>
      </c>
      <c r="C31" s="89">
        <f>Statement!M112</f>
        <v>13244</v>
      </c>
      <c r="D31" s="154">
        <f>Statement!N112</f>
        <v>7897</v>
      </c>
      <c r="E31" s="154">
        <f>Statement!O112</f>
        <v>11456</v>
      </c>
      <c r="F31" s="154">
        <f>Statement!P112</f>
        <v>16193</v>
      </c>
      <c r="G31" s="155">
        <f>Statement!Q112</f>
        <v>100088</v>
      </c>
      <c r="H31" s="141"/>
      <c r="I31" s="141"/>
      <c r="J31" s="141"/>
      <c r="K31" s="141"/>
      <c r="L31" s="141"/>
      <c r="N31" s="92"/>
    </row>
    <row r="32" spans="2:14" x14ac:dyDescent="0.2">
      <c r="B32" s="1" t="s">
        <v>190</v>
      </c>
      <c r="C32" s="154">
        <f>Statement!M111</f>
        <v>313812</v>
      </c>
      <c r="D32" s="154">
        <f>Statement!N111</f>
        <v>176683</v>
      </c>
      <c r="E32" s="154">
        <f>Statement!O111</f>
        <v>87520</v>
      </c>
      <c r="F32" s="154">
        <f>Statement!P111</f>
        <v>84220</v>
      </c>
      <c r="G32" s="155">
        <f>Statement!Q111</f>
        <v>73830</v>
      </c>
      <c r="H32" s="141"/>
      <c r="I32" s="141"/>
      <c r="J32" s="141"/>
      <c r="K32" s="141"/>
      <c r="L32" s="141"/>
      <c r="N32" s="92"/>
    </row>
    <row r="33" spans="2:14" x14ac:dyDescent="0.2">
      <c r="B33" s="1" t="s">
        <v>215</v>
      </c>
      <c r="C33" s="145">
        <f>C30+C31-C32</f>
        <v>1118246.72</v>
      </c>
      <c r="D33" s="145">
        <f t="shared" ref="D33:G33" si="11">D30+D31-D32</f>
        <v>1729017.5999999999</v>
      </c>
      <c r="E33" s="145">
        <f t="shared" si="11"/>
        <v>1321243.21</v>
      </c>
      <c r="F33" s="145">
        <f t="shared" si="11"/>
        <v>1602083</v>
      </c>
      <c r="G33" s="153">
        <f t="shared" si="11"/>
        <v>852135.85</v>
      </c>
      <c r="H33" s="141"/>
      <c r="I33" s="141"/>
      <c r="J33" s="141"/>
      <c r="K33" s="141"/>
      <c r="L33" s="141"/>
      <c r="N33" s="92"/>
    </row>
    <row r="34" spans="2:14" x14ac:dyDescent="0.2">
      <c r="B34" s="16" t="s">
        <v>216</v>
      </c>
      <c r="C34" s="151">
        <f>C33/C7</f>
        <v>-9.5726368593612232</v>
      </c>
      <c r="D34" s="151">
        <f t="shared" ref="D34:G34" si="12">D33/D7</f>
        <v>-9.7932484480492992</v>
      </c>
      <c r="E34" s="151">
        <f t="shared" si="12"/>
        <v>-9.6809268092527052</v>
      </c>
      <c r="F34" s="151">
        <f t="shared" si="12"/>
        <v>-27.576002203211871</v>
      </c>
      <c r="G34" s="152">
        <f t="shared" si="12"/>
        <v>-128.87717029643073</v>
      </c>
      <c r="H34" s="141"/>
      <c r="I34" s="141"/>
      <c r="J34" s="141"/>
      <c r="K34" s="141"/>
      <c r="L34" s="141"/>
      <c r="N34" s="92"/>
    </row>
    <row r="35" spans="2:14" x14ac:dyDescent="0.2">
      <c r="B35" s="16" t="s">
        <v>334</v>
      </c>
      <c r="C35" s="151">
        <f>C33/C8</f>
        <v>-7.7178480374902509</v>
      </c>
      <c r="D35" s="151">
        <f t="shared" ref="D35:G35" si="13">D33/D8</f>
        <v>-9.5360928339390991</v>
      </c>
      <c r="E35" s="151">
        <f t="shared" si="13"/>
        <v>-9.8802268070532282</v>
      </c>
      <c r="F35" s="151">
        <f t="shared" si="13"/>
        <v>-26.353083414208871</v>
      </c>
      <c r="G35" s="152">
        <f t="shared" si="13"/>
        <v>-62.445833944012897</v>
      </c>
      <c r="H35" s="141"/>
      <c r="I35" s="141"/>
      <c r="J35" s="141"/>
      <c r="K35" s="141"/>
      <c r="L35" s="141"/>
      <c r="N35" s="92"/>
    </row>
    <row r="36" spans="2:14" x14ac:dyDescent="0.2">
      <c r="B36" s="16" t="s">
        <v>435</v>
      </c>
      <c r="C36" s="151">
        <f>C33/C6</f>
        <v>5.2442479353570972</v>
      </c>
      <c r="D36" s="151">
        <f t="shared" ref="D36:G36" si="14">D33/D6</f>
        <v>6.1550589156669391</v>
      </c>
      <c r="E36" s="151">
        <f t="shared" si="14"/>
        <v>3.7082428241448895</v>
      </c>
      <c r="F36" s="151">
        <f t="shared" si="14"/>
        <v>3.8161824431353959</v>
      </c>
      <c r="G36" s="152">
        <f t="shared" si="14"/>
        <v>1.7730998915918108</v>
      </c>
      <c r="H36" s="141"/>
      <c r="I36" s="141"/>
      <c r="J36" s="141"/>
      <c r="K36" s="141"/>
      <c r="L36" s="141"/>
      <c r="N36" s="92"/>
    </row>
    <row r="37" spans="2:14" x14ac:dyDescent="0.2">
      <c r="N37" s="92"/>
    </row>
    <row r="38" spans="2:14" x14ac:dyDescent="0.2">
      <c r="N38" s="92"/>
    </row>
    <row r="39" spans="2:14" x14ac:dyDescent="0.2">
      <c r="B39" s="268" t="s">
        <v>217</v>
      </c>
      <c r="C39" s="268"/>
      <c r="N39" s="92"/>
    </row>
    <row r="40" spans="2:14" x14ac:dyDescent="0.2">
      <c r="B40" s="1" t="s">
        <v>218</v>
      </c>
      <c r="C40" s="64">
        <f>L7</f>
        <v>79429.467600379314</v>
      </c>
    </row>
    <row r="41" spans="2:14" x14ac:dyDescent="0.2">
      <c r="B41" s="1" t="s">
        <v>177</v>
      </c>
      <c r="C41" s="139">
        <f ca="1">IF(Overview!C28&gt;0,Overview!C28,WACC!C20)</f>
        <v>8.1545315069608271E-2</v>
      </c>
    </row>
    <row r="42" spans="2:14" x14ac:dyDescent="0.2">
      <c r="B42" s="39" t="s">
        <v>219</v>
      </c>
      <c r="C42" s="107">
        <v>20</v>
      </c>
    </row>
    <row r="43" spans="2:14" x14ac:dyDescent="0.2">
      <c r="B43" s="1" t="s">
        <v>431</v>
      </c>
      <c r="C43" s="24">
        <f>(C40*C42)</f>
        <v>1588589.3520075863</v>
      </c>
    </row>
    <row r="44" spans="2:14" x14ac:dyDescent="0.2">
      <c r="B44" s="1" t="s">
        <v>432</v>
      </c>
      <c r="C44" s="24">
        <f ca="1">C43/(1+C41)^5</f>
        <v>1073465.3860058645</v>
      </c>
    </row>
    <row r="45" spans="2:14" x14ac:dyDescent="0.2">
      <c r="B45" s="16" t="s">
        <v>433</v>
      </c>
      <c r="C45" s="112">
        <f ca="1">SUM(H9:K9)+C44</f>
        <v>1147549.3448806971</v>
      </c>
    </row>
    <row r="46" spans="2:14" x14ac:dyDescent="0.2">
      <c r="B46" s="1" t="s">
        <v>201</v>
      </c>
      <c r="C46" s="89">
        <f>Statement!AC111</f>
        <v>72945</v>
      </c>
    </row>
    <row r="47" spans="2:14" x14ac:dyDescent="0.2">
      <c r="B47" s="1" t="s">
        <v>202</v>
      </c>
      <c r="C47" s="89">
        <f>Statement!AC112</f>
        <v>66446</v>
      </c>
    </row>
    <row r="48" spans="2:14" x14ac:dyDescent="0.2">
      <c r="B48" s="16" t="s">
        <v>416</v>
      </c>
      <c r="C48" s="112">
        <f ca="1">C45+C46-C47</f>
        <v>1154048.3448806971</v>
      </c>
    </row>
    <row r="49" spans="2:3" x14ac:dyDescent="0.2">
      <c r="B49" s="1" t="s">
        <v>70</v>
      </c>
      <c r="C49" s="89">
        <f>Statement!AC80</f>
        <v>64726</v>
      </c>
    </row>
    <row r="50" spans="2:3" x14ac:dyDescent="0.2">
      <c r="B50" s="256" t="s">
        <v>221</v>
      </c>
      <c r="C50" s="257">
        <f ca="1">C48/C49</f>
        <v>17.829749171595605</v>
      </c>
    </row>
    <row r="52" spans="2:3" x14ac:dyDescent="0.2">
      <c r="B52" s="268" t="s">
        <v>222</v>
      </c>
      <c r="C52" s="268"/>
    </row>
    <row r="53" spans="2:3" x14ac:dyDescent="0.2">
      <c r="B53" s="1" t="s">
        <v>223</v>
      </c>
      <c r="C53" s="64">
        <f>L6</f>
        <v>786430.37228098325</v>
      </c>
    </row>
    <row r="54" spans="2:3" x14ac:dyDescent="0.2">
      <c r="B54" s="1" t="s">
        <v>358</v>
      </c>
      <c r="C54" s="139">
        <f ca="1">IF(Overview!C29&gt;0,Overview!C29,WACC!C19)</f>
        <v>8.4003499999999995E-2</v>
      </c>
    </row>
    <row r="55" spans="2:3" x14ac:dyDescent="0.2">
      <c r="B55" s="39" t="s">
        <v>224</v>
      </c>
      <c r="C55" s="107">
        <v>3</v>
      </c>
    </row>
    <row r="56" spans="2:3" x14ac:dyDescent="0.2">
      <c r="B56" s="1" t="s">
        <v>220</v>
      </c>
      <c r="C56" s="24">
        <f>L19</f>
        <v>92459.495500155026</v>
      </c>
    </row>
    <row r="57" spans="2:3" x14ac:dyDescent="0.2">
      <c r="B57" s="1" t="s">
        <v>204</v>
      </c>
      <c r="C57" s="24">
        <f>(C53*C55)/C56</f>
        <v>25.517023471526446</v>
      </c>
    </row>
    <row r="58" spans="2:3" x14ac:dyDescent="0.2">
      <c r="B58" s="256" t="s">
        <v>221</v>
      </c>
      <c r="C58" s="257">
        <f ca="1">C57/(1+C54)^5</f>
        <v>17.048123816270984</v>
      </c>
    </row>
    <row r="60" spans="2:3" x14ac:dyDescent="0.2">
      <c r="B60" s="268" t="s">
        <v>335</v>
      </c>
      <c r="C60" s="268"/>
    </row>
    <row r="61" spans="2:3" x14ac:dyDescent="0.2">
      <c r="B61" s="1" t="s">
        <v>434</v>
      </c>
      <c r="C61" s="64">
        <f>L8</f>
        <v>54334.627403617545</v>
      </c>
    </row>
    <row r="62" spans="2:3" x14ac:dyDescent="0.2">
      <c r="B62" s="1" t="s">
        <v>177</v>
      </c>
      <c r="C62" s="139">
        <f ca="1">IF(Overview!C28&gt;0,Overview!C28,WACC!C20)</f>
        <v>8.1545315069608271E-2</v>
      </c>
    </row>
    <row r="63" spans="2:3" x14ac:dyDescent="0.2">
      <c r="B63" s="39" t="s">
        <v>359</v>
      </c>
      <c r="C63" s="107">
        <v>23</v>
      </c>
    </row>
    <row r="64" spans="2:3" x14ac:dyDescent="0.2">
      <c r="B64" s="1" t="s">
        <v>431</v>
      </c>
      <c r="C64" s="24">
        <f>(C61*C63)</f>
        <v>1249696.4302832035</v>
      </c>
    </row>
    <row r="65" spans="2:3" x14ac:dyDescent="0.2">
      <c r="B65" s="1" t="s">
        <v>432</v>
      </c>
      <c r="C65" s="24">
        <f ca="1">C64/(1+C62)^5</f>
        <v>844463.58602918766</v>
      </c>
    </row>
    <row r="66" spans="2:3" x14ac:dyDescent="0.2">
      <c r="B66" s="16" t="s">
        <v>433</v>
      </c>
      <c r="C66" s="112">
        <f ca="1">SUM(H9:K9)+C65</f>
        <v>918547.54490402038</v>
      </c>
    </row>
    <row r="67" spans="2:3" x14ac:dyDescent="0.2">
      <c r="B67" s="1" t="s">
        <v>201</v>
      </c>
      <c r="C67" s="89">
        <f>Statement!AC111</f>
        <v>72945</v>
      </c>
    </row>
    <row r="68" spans="2:3" x14ac:dyDescent="0.2">
      <c r="B68" s="1" t="s">
        <v>202</v>
      </c>
      <c r="C68" s="89">
        <f>Statement!AC112</f>
        <v>66446</v>
      </c>
    </row>
    <row r="69" spans="2:3" x14ac:dyDescent="0.2">
      <c r="B69" s="16" t="s">
        <v>416</v>
      </c>
      <c r="C69" s="112">
        <f ca="1">C66+C67-C68</f>
        <v>925046.54490402038</v>
      </c>
    </row>
    <row r="70" spans="2:3" x14ac:dyDescent="0.2">
      <c r="B70" s="1" t="s">
        <v>70</v>
      </c>
      <c r="C70" s="89">
        <f>Statement!AC80</f>
        <v>64726</v>
      </c>
    </row>
    <row r="71" spans="2:3" x14ac:dyDescent="0.2">
      <c r="B71" s="256" t="s">
        <v>221</v>
      </c>
      <c r="C71" s="257">
        <f ca="1">C69/C70</f>
        <v>14.291730446868652</v>
      </c>
    </row>
    <row r="73" spans="2:3" x14ac:dyDescent="0.2">
      <c r="B73" s="268" t="s">
        <v>436</v>
      </c>
      <c r="C73" s="268"/>
    </row>
    <row r="74" spans="2:3" x14ac:dyDescent="0.2">
      <c r="B74" s="1" t="s">
        <v>437</v>
      </c>
      <c r="C74" s="64">
        <f>L6</f>
        <v>786430.37228098325</v>
      </c>
    </row>
    <row r="75" spans="2:3" x14ac:dyDescent="0.2">
      <c r="B75" s="1" t="s">
        <v>177</v>
      </c>
      <c r="C75" s="139">
        <f ca="1">IF(Overview!C28&gt;0,Overview!C28,WACC!C20)</f>
        <v>8.1545315069608271E-2</v>
      </c>
    </row>
    <row r="76" spans="2:3" x14ac:dyDescent="0.2">
      <c r="B76" s="39" t="s">
        <v>438</v>
      </c>
      <c r="C76" s="107">
        <v>3</v>
      </c>
    </row>
    <row r="77" spans="2:3" x14ac:dyDescent="0.2">
      <c r="B77" s="1" t="s">
        <v>431</v>
      </c>
      <c r="C77" s="24">
        <f>(C74*C76)</f>
        <v>2359291.1168429498</v>
      </c>
    </row>
    <row r="78" spans="2:3" x14ac:dyDescent="0.2">
      <c r="B78" s="1" t="s">
        <v>432</v>
      </c>
      <c r="C78" s="24">
        <f ca="1">C77/(1+C75)^5</f>
        <v>1594255.5237710855</v>
      </c>
    </row>
    <row r="79" spans="2:3" x14ac:dyDescent="0.2">
      <c r="B79" s="16" t="s">
        <v>433</v>
      </c>
      <c r="C79" s="112">
        <f ca="1">SUM(H9:K9)+C78</f>
        <v>1668339.4826459181</v>
      </c>
    </row>
    <row r="80" spans="2:3" x14ac:dyDescent="0.2">
      <c r="B80" s="1" t="s">
        <v>201</v>
      </c>
      <c r="C80" s="89">
        <f>Statement!AC111</f>
        <v>72945</v>
      </c>
    </row>
    <row r="81" spans="2:3" x14ac:dyDescent="0.2">
      <c r="B81" s="1" t="s">
        <v>202</v>
      </c>
      <c r="C81" s="89">
        <f>Statement!AC112</f>
        <v>66446</v>
      </c>
    </row>
    <row r="82" spans="2:3" x14ac:dyDescent="0.2">
      <c r="B82" s="16" t="s">
        <v>416</v>
      </c>
      <c r="C82" s="112">
        <f ca="1">C79+C80-C81</f>
        <v>1674838.4826459181</v>
      </c>
    </row>
    <row r="83" spans="2:3" x14ac:dyDescent="0.2">
      <c r="B83" s="1" t="s">
        <v>70</v>
      </c>
      <c r="C83" s="89">
        <f>Statement!AC80</f>
        <v>64726</v>
      </c>
    </row>
    <row r="84" spans="2:3" x14ac:dyDescent="0.2">
      <c r="B84" s="256" t="s">
        <v>221</v>
      </c>
      <c r="C84" s="257">
        <f ca="1">C82/C83</f>
        <v>25.875822430644842</v>
      </c>
    </row>
  </sheetData>
  <mergeCells count="11">
    <mergeCell ref="B73:C73"/>
    <mergeCell ref="C27:L27"/>
    <mergeCell ref="B39:C39"/>
    <mergeCell ref="B52:C52"/>
    <mergeCell ref="B60:C60"/>
    <mergeCell ref="C22:L22"/>
    <mergeCell ref="C2:G2"/>
    <mergeCell ref="H2:L2"/>
    <mergeCell ref="C4:L4"/>
    <mergeCell ref="C11:L11"/>
    <mergeCell ref="C17:L17"/>
  </mergeCells>
  <pageMargins left="0.7" right="0.7" top="0.75" bottom="0.75" header="0.3" footer="0.3"/>
  <ignoredErrors>
    <ignoredError sqref="D14:L14"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06138-34BE-DB43-85EE-BFBB58F201B2}">
  <dimension ref="A1:N12"/>
  <sheetViews>
    <sheetView zoomScale="168" zoomScaleNormal="100" workbookViewId="0">
      <selection activeCell="C10" sqref="C10"/>
    </sheetView>
  </sheetViews>
  <sheetFormatPr baseColWidth="10" defaultRowHeight="16" x14ac:dyDescent="0.2"/>
  <cols>
    <col min="1" max="1" width="2" style="84" customWidth="1"/>
    <col min="2" max="2" width="25.6640625" style="1" customWidth="1"/>
    <col min="3" max="3" width="10.83203125" style="1"/>
    <col min="4" max="4" width="10.83203125" style="1" customWidth="1"/>
    <col min="5" max="7" width="10.83203125" style="1"/>
    <col min="8" max="8" width="10.83203125" style="1" customWidth="1"/>
    <col min="9" max="12" width="10.83203125" style="1"/>
    <col min="13" max="14" width="9.5" style="1" customWidth="1"/>
    <col min="15" max="16384" width="10.83203125" style="1"/>
  </cols>
  <sheetData>
    <row r="1" spans="1:14" s="84" customFormat="1" ht="18" customHeight="1" x14ac:dyDescent="0.2">
      <c r="A1" s="4"/>
      <c r="B1" s="83" t="s">
        <v>225</v>
      </c>
    </row>
    <row r="2" spans="1:14" x14ac:dyDescent="0.2">
      <c r="N2" s="92"/>
    </row>
    <row r="3" spans="1:14" x14ac:dyDescent="0.2">
      <c r="N3" s="92"/>
    </row>
    <row r="4" spans="1:14" x14ac:dyDescent="0.2">
      <c r="B4" s="268" t="s">
        <v>226</v>
      </c>
      <c r="C4" s="268"/>
      <c r="N4" s="92"/>
    </row>
    <row r="5" spans="1:14" x14ac:dyDescent="0.2">
      <c r="B5" s="1" t="s">
        <v>227</v>
      </c>
      <c r="C5" s="137">
        <f ca="1">DCF!C26</f>
        <v>11.213353487232084</v>
      </c>
    </row>
    <row r="6" spans="1:14" x14ac:dyDescent="0.2">
      <c r="B6" s="1" t="s">
        <v>228</v>
      </c>
      <c r="C6" s="137">
        <f ca="1">Multiples!C50</f>
        <v>17.829749171595605</v>
      </c>
    </row>
    <row r="7" spans="1:14" x14ac:dyDescent="0.2">
      <c r="B7" s="1" t="s">
        <v>229</v>
      </c>
      <c r="C7" s="137">
        <f ca="1">Multiples!C58</f>
        <v>17.048123816270984</v>
      </c>
    </row>
    <row r="8" spans="1:14" x14ac:dyDescent="0.2">
      <c r="B8" s="1" t="s">
        <v>336</v>
      </c>
      <c r="C8" s="137">
        <f ca="1">Multiples!C71</f>
        <v>14.291730446868652</v>
      </c>
    </row>
    <row r="9" spans="1:14" x14ac:dyDescent="0.2">
      <c r="B9" s="1" t="s">
        <v>439</v>
      </c>
      <c r="C9" s="137">
        <f ca="1">Multiples!C84</f>
        <v>25.875822430644842</v>
      </c>
    </row>
    <row r="10" spans="1:14" x14ac:dyDescent="0.2">
      <c r="B10" s="256" t="s">
        <v>230</v>
      </c>
      <c r="C10" s="257">
        <f ca="1">AVERAGE(C5:C9)</f>
        <v>17.251755870522434</v>
      </c>
    </row>
    <row r="11" spans="1:14" x14ac:dyDescent="0.2">
      <c r="B11" s="1" t="s">
        <v>231</v>
      </c>
      <c r="C11" s="137">
        <f ca="1">Overview!C5</f>
        <v>12.61</v>
      </c>
    </row>
    <row r="12" spans="1:14" x14ac:dyDescent="0.2">
      <c r="B12" s="1" t="s">
        <v>232</v>
      </c>
      <c r="C12" s="156">
        <f ca="1">(C10-C11)/C11</f>
        <v>0.36810117926426922</v>
      </c>
    </row>
  </sheetData>
  <mergeCells count="1">
    <mergeCell ref="B4:C4"/>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9C3BA-B275-8F4D-B6D7-EF7BE0F858BB}">
  <dimension ref="A1:N26"/>
  <sheetViews>
    <sheetView topLeftCell="A16" zoomScale="192" zoomScaleNormal="100" workbookViewId="0">
      <selection activeCell="C26" sqref="B26:C26"/>
    </sheetView>
  </sheetViews>
  <sheetFormatPr baseColWidth="10" defaultRowHeight="16" x14ac:dyDescent="0.2"/>
  <cols>
    <col min="1" max="1" width="2" style="84" customWidth="1"/>
    <col min="2" max="2" width="25.6640625" style="1" customWidth="1"/>
    <col min="3" max="3" width="10.83203125" style="1"/>
    <col min="4" max="4" width="10.83203125" style="1" customWidth="1"/>
    <col min="5" max="7" width="10.83203125" style="1"/>
    <col min="8" max="8" width="10.83203125" style="1" customWidth="1"/>
    <col min="9" max="12" width="10.83203125" style="1"/>
    <col min="13" max="14" width="9.5" style="1" customWidth="1"/>
    <col min="15" max="16384" width="10.83203125" style="1"/>
  </cols>
  <sheetData>
    <row r="1" spans="1:14" s="84" customFormat="1" ht="18" customHeight="1" x14ac:dyDescent="0.2">
      <c r="A1" s="4"/>
      <c r="B1" s="83" t="s">
        <v>417</v>
      </c>
    </row>
    <row r="2" spans="1:14" x14ac:dyDescent="0.2">
      <c r="A2" s="4"/>
      <c r="C2" s="268" t="s">
        <v>123</v>
      </c>
      <c r="D2" s="268"/>
      <c r="E2" s="268"/>
      <c r="F2" s="268"/>
      <c r="G2" s="277"/>
      <c r="H2" s="278" t="s">
        <v>124</v>
      </c>
      <c r="I2" s="268"/>
      <c r="J2" s="268"/>
      <c r="K2" s="268"/>
      <c r="L2" s="268"/>
    </row>
    <row r="3" spans="1:14" ht="10" customHeight="1" x14ac:dyDescent="0.2"/>
    <row r="4" spans="1:14" ht="16" customHeight="1" x14ac:dyDescent="0.2">
      <c r="A4" s="87"/>
      <c r="B4" s="60"/>
      <c r="C4" s="274" t="s">
        <v>206</v>
      </c>
      <c r="D4" s="274"/>
      <c r="E4" s="274"/>
      <c r="F4" s="274"/>
      <c r="G4" s="274"/>
      <c r="H4" s="274"/>
      <c r="I4" s="274"/>
      <c r="J4" s="274"/>
      <c r="K4" s="274"/>
      <c r="L4" s="274"/>
    </row>
    <row r="5" spans="1:14" x14ac:dyDescent="0.2">
      <c r="B5" s="16" t="s">
        <v>127</v>
      </c>
      <c r="C5" s="12">
        <f>[2]Revenue!C5</f>
        <v>2021</v>
      </c>
      <c r="D5" s="12">
        <f>[2]Revenue!D5</f>
        <v>2022</v>
      </c>
      <c r="E5" s="12">
        <f>[2]Revenue!E5</f>
        <v>2023</v>
      </c>
      <c r="F5" s="12">
        <f>[2]Revenue!F5</f>
        <v>2024</v>
      </c>
      <c r="G5" s="12">
        <f>[2]Revenue!G5</f>
        <v>2025</v>
      </c>
      <c r="H5" s="12">
        <f>[2]Revenue!H5</f>
        <v>2026</v>
      </c>
      <c r="I5" s="12">
        <f>[2]Revenue!I5</f>
        <v>2027</v>
      </c>
      <c r="J5" s="12">
        <f>[2]Revenue!J5</f>
        <v>2028</v>
      </c>
      <c r="K5" s="12">
        <f>[2]Revenue!K5</f>
        <v>2029</v>
      </c>
      <c r="L5" s="12">
        <f>[2]Revenue!L5</f>
        <v>2030</v>
      </c>
    </row>
    <row r="6" spans="1:14" x14ac:dyDescent="0.2">
      <c r="B6" s="16" t="s">
        <v>255</v>
      </c>
      <c r="C6" s="254">
        <f>Statement!M28</f>
        <v>-2.37</v>
      </c>
      <c r="D6" s="254">
        <f>Statement!N28</f>
        <v>-3.36</v>
      </c>
      <c r="E6" s="254">
        <f>Statement!O28</f>
        <v>-2.5099999999999998</v>
      </c>
      <c r="F6" s="254">
        <f>Statement!P28</f>
        <v>-1.02</v>
      </c>
      <c r="G6" s="255">
        <f>Statement!Q28</f>
        <v>-0.16</v>
      </c>
      <c r="H6" s="141"/>
      <c r="I6" s="141"/>
      <c r="J6" s="141"/>
      <c r="K6" s="141"/>
      <c r="L6" s="141"/>
      <c r="N6" s="92"/>
    </row>
    <row r="7" spans="1:14" x14ac:dyDescent="0.2">
      <c r="B7" s="16" t="s">
        <v>418</v>
      </c>
      <c r="C7" s="254">
        <f>Statement!M84</f>
        <v>0</v>
      </c>
      <c r="D7" s="254">
        <f>Statement!N84</f>
        <v>0</v>
      </c>
      <c r="E7" s="254">
        <f>Statement!O84</f>
        <v>0</v>
      </c>
      <c r="F7" s="254">
        <f>Statement!P84</f>
        <v>0</v>
      </c>
      <c r="G7" s="255">
        <f>Statement!Q84</f>
        <v>0</v>
      </c>
      <c r="H7" s="141"/>
      <c r="I7" s="141"/>
      <c r="J7" s="141"/>
      <c r="K7" s="141"/>
      <c r="L7" s="141"/>
      <c r="N7" s="92"/>
    </row>
    <row r="8" spans="1:14" x14ac:dyDescent="0.2">
      <c r="N8" s="92"/>
    </row>
    <row r="9" spans="1:14" x14ac:dyDescent="0.2">
      <c r="C9" s="274" t="s">
        <v>132</v>
      </c>
      <c r="D9" s="274"/>
      <c r="E9" s="274"/>
      <c r="F9" s="274"/>
      <c r="G9" s="274"/>
      <c r="H9" s="274"/>
      <c r="I9" s="274"/>
      <c r="J9" s="274"/>
      <c r="K9" s="274"/>
      <c r="L9" s="274"/>
      <c r="N9" s="92"/>
    </row>
    <row r="10" spans="1:14" x14ac:dyDescent="0.2">
      <c r="B10" s="16" t="s">
        <v>207</v>
      </c>
      <c r="C10" s="12">
        <f t="shared" ref="C10:L10" si="0">C5</f>
        <v>2021</v>
      </c>
      <c r="D10" s="12">
        <f t="shared" si="0"/>
        <v>2022</v>
      </c>
      <c r="E10" s="12">
        <f t="shared" si="0"/>
        <v>2023</v>
      </c>
      <c r="F10" s="12">
        <f t="shared" si="0"/>
        <v>2024</v>
      </c>
      <c r="G10" s="12">
        <f t="shared" si="0"/>
        <v>2025</v>
      </c>
      <c r="H10" s="12">
        <f t="shared" si="0"/>
        <v>2026</v>
      </c>
      <c r="I10" s="12">
        <f t="shared" si="0"/>
        <v>2027</v>
      </c>
      <c r="J10" s="12">
        <f t="shared" si="0"/>
        <v>2028</v>
      </c>
      <c r="K10" s="12">
        <f t="shared" si="0"/>
        <v>2029</v>
      </c>
      <c r="L10" s="12">
        <f t="shared" si="0"/>
        <v>2030</v>
      </c>
      <c r="N10" s="92"/>
    </row>
    <row r="11" spans="1:14" x14ac:dyDescent="0.2">
      <c r="B11" s="1" t="s">
        <v>255</v>
      </c>
      <c r="C11" s="141"/>
      <c r="D11" s="96">
        <f>(D6-C6)/C6</f>
        <v>0.41772151898734167</v>
      </c>
      <c r="E11" s="96">
        <f>(E6-D6)/D6</f>
        <v>-0.25297619047619052</v>
      </c>
      <c r="F11" s="96">
        <f>(F6-E6)/E6</f>
        <v>-0.59362549800796804</v>
      </c>
      <c r="G11" s="97">
        <f>(G6-F6)/F6</f>
        <v>-0.84313725490196079</v>
      </c>
      <c r="H11" s="141"/>
      <c r="I11" s="141"/>
      <c r="J11" s="141"/>
      <c r="K11" s="141"/>
      <c r="L11" s="141"/>
      <c r="N11" s="92"/>
    </row>
    <row r="12" spans="1:14" x14ac:dyDescent="0.2">
      <c r="B12" s="1" t="s">
        <v>256</v>
      </c>
      <c r="C12" s="141"/>
      <c r="D12" s="96">
        <f>IF(C7=0,
IF(D7=0,0,IF(D7&gt;0,1,-1)),
(D7-C7)/ABS(C7)
)</f>
        <v>0</v>
      </c>
      <c r="E12" s="96">
        <f>IF(D7=0,
IF(E7=0,0,IF(E7&gt;0,1,-1)),
(E7-D7)/ABS(D7)
)</f>
        <v>0</v>
      </c>
      <c r="F12" s="96">
        <f>IF(E7=0,
IF(F7=0,0,IF(F7&gt;0,1,-1)),
(F7-E7)/ABS(E7)
)</f>
        <v>0</v>
      </c>
      <c r="G12" s="97">
        <f>IF(F7=0,
IF(G7=0,0,IF(G7&gt;0,1,-1)),
(G7-F7)/ABS(F7)
)</f>
        <v>0</v>
      </c>
      <c r="H12" s="141"/>
      <c r="I12" s="141"/>
      <c r="J12" s="141"/>
      <c r="K12" s="141"/>
      <c r="L12" s="141"/>
      <c r="N12" s="92"/>
    </row>
    <row r="13" spans="1:14" x14ac:dyDescent="0.2">
      <c r="N13" s="92"/>
    </row>
    <row r="14" spans="1:14" x14ac:dyDescent="0.2">
      <c r="C14" s="274" t="s">
        <v>419</v>
      </c>
      <c r="D14" s="274"/>
      <c r="E14" s="274"/>
      <c r="F14" s="274"/>
      <c r="G14" s="274"/>
      <c r="H14" s="274"/>
      <c r="I14" s="274"/>
      <c r="J14" s="274"/>
      <c r="K14" s="274"/>
      <c r="L14" s="274"/>
      <c r="N14" s="92"/>
    </row>
    <row r="15" spans="1:14" x14ac:dyDescent="0.2">
      <c r="B15" s="16" t="s">
        <v>345</v>
      </c>
      <c r="C15" s="12">
        <f>C5</f>
        <v>2021</v>
      </c>
      <c r="D15" s="12">
        <f t="shared" ref="D15:L15" si="1">D5</f>
        <v>2022</v>
      </c>
      <c r="E15" s="12">
        <f t="shared" si="1"/>
        <v>2023</v>
      </c>
      <c r="F15" s="12">
        <f t="shared" si="1"/>
        <v>2024</v>
      </c>
      <c r="G15" s="12">
        <f t="shared" si="1"/>
        <v>2025</v>
      </c>
      <c r="H15" s="12">
        <f t="shared" si="1"/>
        <v>2026</v>
      </c>
      <c r="I15" s="12">
        <f t="shared" si="1"/>
        <v>2027</v>
      </c>
      <c r="J15" s="12">
        <f t="shared" si="1"/>
        <v>2028</v>
      </c>
      <c r="K15" s="12">
        <f t="shared" si="1"/>
        <v>2029</v>
      </c>
      <c r="L15" s="12">
        <f t="shared" si="1"/>
        <v>2030</v>
      </c>
      <c r="N15" s="92"/>
    </row>
    <row r="16" spans="1:14" x14ac:dyDescent="0.2">
      <c r="B16" s="1" t="s">
        <v>420</v>
      </c>
      <c r="C16" s="96">
        <f>C7/C6</f>
        <v>0</v>
      </c>
      <c r="D16" s="96">
        <f t="shared" ref="D16:G16" si="2">D7/D6</f>
        <v>0</v>
      </c>
      <c r="E16" s="96">
        <f t="shared" si="2"/>
        <v>0</v>
      </c>
      <c r="F16" s="96">
        <f t="shared" si="2"/>
        <v>0</v>
      </c>
      <c r="G16" s="97">
        <f t="shared" si="2"/>
        <v>0</v>
      </c>
      <c r="H16" s="141"/>
      <c r="I16" s="141"/>
      <c r="J16" s="141"/>
      <c r="K16" s="141"/>
      <c r="L16" s="141"/>
      <c r="N16" s="92"/>
    </row>
    <row r="17" spans="2:14" x14ac:dyDescent="0.2">
      <c r="N17" s="92"/>
    </row>
    <row r="18" spans="2:14" x14ac:dyDescent="0.2">
      <c r="N18" s="92"/>
    </row>
    <row r="19" spans="2:14" x14ac:dyDescent="0.2">
      <c r="N19" s="92"/>
    </row>
    <row r="20" spans="2:14" x14ac:dyDescent="0.2">
      <c r="B20" s="268" t="s">
        <v>421</v>
      </c>
      <c r="C20" s="268"/>
      <c r="N20" s="92"/>
    </row>
    <row r="21" spans="2:14" x14ac:dyDescent="0.2">
      <c r="B21" s="1" t="s">
        <v>422</v>
      </c>
      <c r="C21" s="109">
        <f>G7</f>
        <v>0</v>
      </c>
    </row>
    <row r="22" spans="2:14" x14ac:dyDescent="0.2">
      <c r="B22" s="1" t="s">
        <v>423</v>
      </c>
      <c r="C22" s="244">
        <v>0</v>
      </c>
    </row>
    <row r="23" spans="2:14" x14ac:dyDescent="0.2">
      <c r="B23" s="39" t="s">
        <v>424</v>
      </c>
      <c r="C23" s="230">
        <f>C21*(1+C22)</f>
        <v>0</v>
      </c>
    </row>
    <row r="24" spans="2:14" x14ac:dyDescent="0.2">
      <c r="B24" s="1" t="s">
        <v>358</v>
      </c>
      <c r="C24" s="139">
        <f ca="1">IF(Overview!C29&gt;0,Overview!C29,WACC!C19)</f>
        <v>8.4003499999999995E-2</v>
      </c>
    </row>
    <row r="25" spans="2:14" x14ac:dyDescent="0.2">
      <c r="B25" s="39" t="s">
        <v>425</v>
      </c>
      <c r="C25" s="244">
        <v>0</v>
      </c>
    </row>
    <row r="26" spans="2:14" x14ac:dyDescent="0.2">
      <c r="B26" s="256" t="s">
        <v>221</v>
      </c>
      <c r="C26" s="257">
        <f ca="1">C23/(C24-C25)</f>
        <v>0</v>
      </c>
    </row>
  </sheetData>
  <mergeCells count="6">
    <mergeCell ref="B20:C20"/>
    <mergeCell ref="C2:G2"/>
    <mergeCell ref="H2:L2"/>
    <mergeCell ref="C4:L4"/>
    <mergeCell ref="C9:L9"/>
    <mergeCell ref="C14:L14"/>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6CE1A-CCEC-514B-9208-A0DCC7740441}">
  <dimension ref="A1:AB36"/>
  <sheetViews>
    <sheetView topLeftCell="A9" zoomScale="209" zoomScaleNormal="100" workbookViewId="0">
      <selection activeCell="C17" sqref="C17"/>
    </sheetView>
  </sheetViews>
  <sheetFormatPr baseColWidth="10" defaultRowHeight="16" x14ac:dyDescent="0.2"/>
  <cols>
    <col min="1" max="1" width="2" style="84" customWidth="1"/>
    <col min="2" max="2" width="32" style="1" customWidth="1"/>
    <col min="3" max="3" width="12.6640625" style="1" customWidth="1"/>
    <col min="4" max="4" width="10.83203125" style="1" customWidth="1"/>
    <col min="5" max="7" width="10.83203125" style="1"/>
    <col min="8" max="8" width="10.83203125" style="1" customWidth="1"/>
    <col min="9" max="12" width="10.83203125" style="1"/>
    <col min="13" max="13" width="28" style="1" customWidth="1"/>
    <col min="14"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28" s="84" customFormat="1" ht="18" customHeight="1" x14ac:dyDescent="0.2">
      <c r="A1" s="4"/>
      <c r="B1" s="83" t="s">
        <v>233</v>
      </c>
    </row>
    <row r="2" spans="1:28" s="84" customFormat="1" ht="18" customHeight="1" x14ac:dyDescent="0.2">
      <c r="A2" s="4"/>
      <c r="B2" s="83"/>
    </row>
    <row r="3" spans="1:28" x14ac:dyDescent="0.2">
      <c r="A3" s="4"/>
      <c r="C3" s="268" t="s">
        <v>123</v>
      </c>
      <c r="D3" s="268"/>
      <c r="E3" s="268"/>
      <c r="F3" s="268"/>
      <c r="G3" s="277"/>
      <c r="H3" s="278" t="s">
        <v>124</v>
      </c>
      <c r="I3" s="268"/>
      <c r="J3" s="268"/>
      <c r="K3" s="268"/>
      <c r="L3" s="268"/>
      <c r="P3" s="279"/>
      <c r="Q3" s="279"/>
      <c r="R3" s="279"/>
      <c r="S3" s="279"/>
      <c r="T3" s="279"/>
      <c r="U3" s="279"/>
      <c r="V3" s="279"/>
      <c r="W3" s="279"/>
      <c r="X3" s="279"/>
      <c r="Y3" s="279"/>
      <c r="Z3" s="279"/>
      <c r="AB3" s="113"/>
    </row>
    <row r="4" spans="1:28" ht="10" customHeight="1" x14ac:dyDescent="0.2"/>
    <row r="5" spans="1:28" ht="16" customHeight="1" x14ac:dyDescent="0.2">
      <c r="A5" s="87"/>
      <c r="B5" s="60"/>
      <c r="C5" s="274" t="s">
        <v>192</v>
      </c>
      <c r="D5" s="274"/>
      <c r="E5" s="274"/>
      <c r="F5" s="274"/>
      <c r="G5" s="274"/>
      <c r="H5" s="274"/>
      <c r="I5" s="274"/>
      <c r="J5" s="274"/>
      <c r="K5" s="274"/>
      <c r="L5" s="274"/>
      <c r="P5" s="279"/>
      <c r="Q5" s="279"/>
      <c r="R5" s="279"/>
      <c r="S5" s="279"/>
      <c r="T5" s="279"/>
      <c r="U5" s="279"/>
      <c r="V5" s="279"/>
      <c r="W5" s="279"/>
      <c r="X5" s="279"/>
      <c r="Y5" s="279"/>
      <c r="Z5" s="279"/>
      <c r="AB5" s="114"/>
    </row>
    <row r="6" spans="1:28" x14ac:dyDescent="0.2">
      <c r="B6" s="16" t="s">
        <v>145</v>
      </c>
      <c r="C6" s="12">
        <f>Revenue!C5</f>
        <v>2022</v>
      </c>
      <c r="D6" s="12">
        <f>Revenue!D5</f>
        <v>2023</v>
      </c>
      <c r="E6" s="12">
        <f>Revenue!E5</f>
        <v>2024</v>
      </c>
      <c r="F6" s="12">
        <f>Revenue!F5</f>
        <v>2025</v>
      </c>
      <c r="G6" s="12">
        <f>Revenue!G5</f>
        <v>2026</v>
      </c>
      <c r="H6" s="12">
        <f>Revenue!H5</f>
        <v>2027</v>
      </c>
      <c r="I6" s="12">
        <f>Revenue!I5</f>
        <v>2028</v>
      </c>
      <c r="J6" s="12">
        <f>Revenue!J5</f>
        <v>2029</v>
      </c>
      <c r="K6" s="12">
        <f>Revenue!K5</f>
        <v>2030</v>
      </c>
      <c r="L6" s="12">
        <f>Revenue!L5</f>
        <v>2031</v>
      </c>
      <c r="O6" s="16"/>
      <c r="P6" s="115"/>
      <c r="Q6" s="115"/>
      <c r="R6" s="115"/>
      <c r="S6" s="115"/>
      <c r="T6" s="115"/>
      <c r="U6" s="115"/>
      <c r="V6" s="115"/>
      <c r="W6" s="115"/>
      <c r="X6" s="115"/>
      <c r="Y6" s="115"/>
      <c r="Z6" s="115"/>
      <c r="AB6" s="114"/>
    </row>
    <row r="7" spans="1:28" x14ac:dyDescent="0.2">
      <c r="B7" s="39" t="s">
        <v>274</v>
      </c>
      <c r="C7" s="116">
        <f>'FCF &amp; Other'!C28</f>
        <v>-144891</v>
      </c>
      <c r="D7" s="116">
        <f>'FCF &amp; Other'!D28</f>
        <v>-181313</v>
      </c>
      <c r="E7" s="116">
        <f>'FCF &amp; Other'!E28</f>
        <v>-133726</v>
      </c>
      <c r="F7" s="116">
        <f>'FCF &amp; Other'!F28</f>
        <v>-60793</v>
      </c>
      <c r="G7" s="117">
        <v>8000</v>
      </c>
      <c r="H7" s="130">
        <f>G7*(1+$C$17)</f>
        <v>11600</v>
      </c>
      <c r="I7" s="130">
        <f t="shared" ref="I7:L7" si="0">H7*(1+$C$17)</f>
        <v>16820</v>
      </c>
      <c r="J7" s="130">
        <f t="shared" si="0"/>
        <v>24389</v>
      </c>
      <c r="K7" s="130">
        <f t="shared" si="0"/>
        <v>35364.049999999996</v>
      </c>
      <c r="L7" s="130">
        <f t="shared" si="0"/>
        <v>51277.87249999999</v>
      </c>
      <c r="N7" s="92"/>
      <c r="O7" s="16"/>
      <c r="P7" s="93"/>
      <c r="Q7" s="93"/>
      <c r="R7" s="93"/>
      <c r="S7" s="93"/>
      <c r="T7" s="93"/>
      <c r="U7" s="93"/>
      <c r="V7" s="93"/>
      <c r="W7" s="93"/>
      <c r="X7" s="95"/>
      <c r="Y7" s="95"/>
      <c r="Z7" s="95"/>
      <c r="AB7" s="95"/>
    </row>
    <row r="8" spans="1:28" x14ac:dyDescent="0.2">
      <c r="B8" s="39" t="s">
        <v>193</v>
      </c>
      <c r="C8" s="141"/>
      <c r="D8" s="141"/>
      <c r="E8" s="141"/>
      <c r="F8" s="141"/>
      <c r="G8" s="142"/>
      <c r="H8" s="141"/>
      <c r="I8" s="141"/>
      <c r="J8" s="141"/>
      <c r="K8" s="141"/>
      <c r="L8" s="130">
        <f ca="1">L7*(1+C20)/(C21-C20)</f>
        <v>849836.09054311237</v>
      </c>
      <c r="N8" s="92"/>
      <c r="O8" s="16"/>
      <c r="P8" s="93"/>
      <c r="Q8" s="93"/>
      <c r="R8" s="93"/>
      <c r="S8" s="93"/>
      <c r="T8" s="93"/>
      <c r="U8" s="93"/>
      <c r="V8" s="93"/>
      <c r="W8" s="93"/>
      <c r="X8" s="95"/>
      <c r="Y8" s="95"/>
      <c r="Z8" s="95"/>
      <c r="AB8" s="95"/>
    </row>
    <row r="9" spans="1:28" x14ac:dyDescent="0.2">
      <c r="B9" s="1" t="s">
        <v>194</v>
      </c>
      <c r="C9" s="141"/>
      <c r="D9" s="141"/>
      <c r="E9" s="141"/>
      <c r="F9" s="141"/>
      <c r="G9" s="142"/>
      <c r="H9" s="143">
        <v>1</v>
      </c>
      <c r="I9" s="143">
        <v>2</v>
      </c>
      <c r="J9" s="143">
        <v>3</v>
      </c>
      <c r="K9" s="143">
        <v>4</v>
      </c>
      <c r="L9" s="143">
        <v>5</v>
      </c>
      <c r="N9" s="92"/>
    </row>
    <row r="10" spans="1:28" x14ac:dyDescent="0.2">
      <c r="B10" s="1" t="s">
        <v>333</v>
      </c>
      <c r="C10" s="141"/>
      <c r="D10" s="141"/>
      <c r="E10" s="141"/>
      <c r="F10" s="141"/>
      <c r="G10" s="142"/>
      <c r="H10" s="130">
        <f ca="1">H7/(1+$C$21)^H9</f>
        <v>10725.394339351766</v>
      </c>
      <c r="I10" s="130">
        <f t="shared" ref="I10:L10" ca="1" si="1">I7/(1+$C$21)^I9</f>
        <v>14379.260466824864</v>
      </c>
      <c r="J10" s="130">
        <f t="shared" ca="1" si="1"/>
        <v>19277.904851868505</v>
      </c>
      <c r="K10" s="130">
        <f t="shared" ca="1" si="1"/>
        <v>25845.391446599049</v>
      </c>
      <c r="L10" s="130">
        <f t="shared" ca="1" si="1"/>
        <v>34650.251889960498</v>
      </c>
      <c r="N10" s="92"/>
    </row>
    <row r="11" spans="1:28" x14ac:dyDescent="0.2">
      <c r="B11" s="1" t="s">
        <v>195</v>
      </c>
      <c r="C11" s="141"/>
      <c r="D11" s="141"/>
      <c r="E11" s="141"/>
      <c r="F11" s="141"/>
      <c r="G11" s="142"/>
      <c r="H11" s="141"/>
      <c r="I11" s="141"/>
      <c r="J11" s="141"/>
      <c r="K11" s="141"/>
      <c r="L11" s="130">
        <f ca="1">L8/(1+C21)^L9</f>
        <v>574263.96936608723</v>
      </c>
    </row>
    <row r="13" spans="1:28" ht="17" thickBot="1" x14ac:dyDescent="0.25"/>
    <row r="14" spans="1:28" x14ac:dyDescent="0.2">
      <c r="B14" s="281" t="s">
        <v>234</v>
      </c>
      <c r="C14" s="282"/>
    </row>
    <row r="15" spans="1:28" x14ac:dyDescent="0.2">
      <c r="B15" s="157" t="s">
        <v>235</v>
      </c>
      <c r="C15" s="158">
        <f ca="1">Overview!C5</f>
        <v>12.61</v>
      </c>
    </row>
    <row r="16" spans="1:28" x14ac:dyDescent="0.2">
      <c r="B16" s="157" t="s">
        <v>236</v>
      </c>
      <c r="C16" s="158">
        <f ca="1">C36</f>
        <v>11.046079044331362</v>
      </c>
    </row>
    <row r="17" spans="2:9" ht="17" thickBot="1" x14ac:dyDescent="0.25">
      <c r="B17" s="159" t="s">
        <v>337</v>
      </c>
      <c r="C17" s="160">
        <v>0.45</v>
      </c>
      <c r="E17" s="280" t="s">
        <v>237</v>
      </c>
      <c r="F17" s="280"/>
      <c r="G17" s="280"/>
      <c r="H17" s="280"/>
      <c r="I17" s="280"/>
    </row>
    <row r="18" spans="2:9" ht="17" thickBot="1" x14ac:dyDescent="0.25"/>
    <row r="19" spans="2:9" x14ac:dyDescent="0.2">
      <c r="B19" s="281" t="s">
        <v>196</v>
      </c>
      <c r="C19" s="282"/>
    </row>
    <row r="20" spans="2:9" x14ac:dyDescent="0.2">
      <c r="B20" s="161" t="s">
        <v>197</v>
      </c>
      <c r="C20" s="162">
        <v>0.02</v>
      </c>
    </row>
    <row r="21" spans="2:9" x14ac:dyDescent="0.2">
      <c r="B21" s="161" t="s">
        <v>177</v>
      </c>
      <c r="C21" s="222">
        <f ca="1">IF(Overview!C28&gt;0,Overview!C28,WACC!C20)</f>
        <v>8.1545315069608271E-2</v>
      </c>
    </row>
    <row r="22" spans="2:9" x14ac:dyDescent="0.2">
      <c r="B22" s="161" t="s">
        <v>70</v>
      </c>
      <c r="C22" s="223">
        <f>Statement!AC77</f>
        <v>62071</v>
      </c>
    </row>
    <row r="23" spans="2:9" x14ac:dyDescent="0.2">
      <c r="B23" s="161" t="s">
        <v>238</v>
      </c>
      <c r="C23" s="163">
        <f ca="1">C15*C22</f>
        <v>782715.30999999994</v>
      </c>
    </row>
    <row r="24" spans="2:9" x14ac:dyDescent="0.2">
      <c r="B24" s="161" t="s">
        <v>190</v>
      </c>
      <c r="C24" s="223">
        <f>Statement!AC111</f>
        <v>72945</v>
      </c>
    </row>
    <row r="25" spans="2:9" x14ac:dyDescent="0.2">
      <c r="B25" s="161" t="s">
        <v>181</v>
      </c>
      <c r="C25" s="223">
        <f>Statement!AC112</f>
        <v>66446</v>
      </c>
    </row>
    <row r="26" spans="2:9" ht="17" thickBot="1" x14ac:dyDescent="0.25">
      <c r="B26" s="159" t="s">
        <v>239</v>
      </c>
      <c r="C26" s="164">
        <f ca="1">C23+C25-C24</f>
        <v>776216.30999999994</v>
      </c>
    </row>
    <row r="27" spans="2:9" ht="17" thickBot="1" x14ac:dyDescent="0.25"/>
    <row r="28" spans="2:9" x14ac:dyDescent="0.2">
      <c r="B28" s="281" t="s">
        <v>198</v>
      </c>
      <c r="C28" s="282"/>
    </row>
    <row r="29" spans="2:9" x14ac:dyDescent="0.2">
      <c r="B29" s="161" t="s">
        <v>199</v>
      </c>
      <c r="C29" s="163">
        <f ca="1">SUM(H10:L10)</f>
        <v>104878.20299460468</v>
      </c>
    </row>
    <row r="30" spans="2:9" x14ac:dyDescent="0.2">
      <c r="B30" s="161" t="s">
        <v>195</v>
      </c>
      <c r="C30" s="163">
        <f ca="1">L11</f>
        <v>574263.96936608723</v>
      </c>
    </row>
    <row r="31" spans="2:9" x14ac:dyDescent="0.2">
      <c r="B31" s="165" t="s">
        <v>200</v>
      </c>
      <c r="C31" s="166">
        <f ca="1">C29+C30</f>
        <v>679142.17236069194</v>
      </c>
    </row>
    <row r="32" spans="2:9" x14ac:dyDescent="0.2">
      <c r="B32" s="161" t="s">
        <v>201</v>
      </c>
      <c r="C32" s="167">
        <f>C24</f>
        <v>72945</v>
      </c>
    </row>
    <row r="33" spans="2:3" x14ac:dyDescent="0.2">
      <c r="B33" s="161" t="s">
        <v>202</v>
      </c>
      <c r="C33" s="167">
        <f>C25</f>
        <v>66446</v>
      </c>
    </row>
    <row r="34" spans="2:3" x14ac:dyDescent="0.2">
      <c r="B34" s="165" t="s">
        <v>203</v>
      </c>
      <c r="C34" s="166">
        <f ca="1">C31+C32-C33</f>
        <v>685641.17236069194</v>
      </c>
    </row>
    <row r="35" spans="2:3" x14ac:dyDescent="0.2">
      <c r="B35" s="161" t="s">
        <v>70</v>
      </c>
      <c r="C35" s="163">
        <f>C22</f>
        <v>62071</v>
      </c>
    </row>
    <row r="36" spans="2:3" ht="17" thickBot="1" x14ac:dyDescent="0.25">
      <c r="B36" s="168" t="s">
        <v>204</v>
      </c>
      <c r="C36" s="169">
        <f ca="1">C34/C35</f>
        <v>11.046079044331362</v>
      </c>
    </row>
  </sheetData>
  <mergeCells count="10">
    <mergeCell ref="P3:W3"/>
    <mergeCell ref="X3:Z3"/>
    <mergeCell ref="C5:L5"/>
    <mergeCell ref="P5:Z5"/>
    <mergeCell ref="B14:C14"/>
    <mergeCell ref="E17:I17"/>
    <mergeCell ref="B19:C19"/>
    <mergeCell ref="B28:C28"/>
    <mergeCell ref="C3:G3"/>
    <mergeCell ref="H3:L3"/>
  </mergeCells>
  <pageMargins left="0.7" right="0.7" top="0.75" bottom="0.75" header="0.3" footer="0.3"/>
  <pageSetup paperSize="9"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21</vt:i4>
      </vt:variant>
    </vt:vector>
  </HeadingPairs>
  <TitlesOfParts>
    <vt:vector size="21" baseType="lpstr">
      <vt:lpstr>Overview</vt:lpstr>
      <vt:lpstr>Financials -&gt;</vt:lpstr>
      <vt:lpstr>Statement</vt:lpstr>
      <vt:lpstr>Analysis -&gt;</vt:lpstr>
      <vt:lpstr>Basic</vt:lpstr>
      <vt:lpstr>Yearly Analysis</vt:lpstr>
      <vt:lpstr>Quarter analysis</vt:lpstr>
      <vt:lpstr>Graphs Year</vt:lpstr>
      <vt:lpstr>Graphs Quarter</vt:lpstr>
      <vt:lpstr>Forecast -&gt;</vt:lpstr>
      <vt:lpstr>Revenue</vt:lpstr>
      <vt:lpstr>COGS &amp; OpEx</vt:lpstr>
      <vt:lpstr>WC &amp; Investments</vt:lpstr>
      <vt:lpstr>FCF &amp; Other</vt:lpstr>
      <vt:lpstr>Valuation -&gt;</vt:lpstr>
      <vt:lpstr>WACC</vt:lpstr>
      <vt:lpstr>DCF</vt:lpstr>
      <vt:lpstr>Multiples</vt:lpstr>
      <vt:lpstr>AVG target price</vt:lpstr>
      <vt:lpstr>DDM</vt:lpstr>
      <vt:lpstr>Reverse DCF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 dumitras</dc:creator>
  <cp:lastModifiedBy>adi dumitras</cp:lastModifiedBy>
  <dcterms:created xsi:type="dcterms:W3CDTF">2025-11-16T22:36:04Z</dcterms:created>
  <dcterms:modified xsi:type="dcterms:W3CDTF">2026-10-26T20:30:23Z</dcterms:modified>
</cp:coreProperties>
</file>