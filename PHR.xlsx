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3751FBE-4C3F-D54B-B2F4-D78F63C4F71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13" i="3" l="1"/>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4" i="12"/>
  <c r="C44"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Q158" i="3"/>
  <c r="E46" i="7"/>
  <c r="D21" i="6"/>
  <c r="W10" i="6"/>
  <c r="U10" i="6"/>
  <c r="R10" i="6"/>
  <c r="AA80" i="3"/>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3" i="12"/>
  <c r="C43" i="12"/>
  <c r="C51" i="12"/>
  <c r="C24" i="21"/>
  <c r="C26" i="21" s="1"/>
  <c r="I10" i="1" s="1"/>
  <c r="AC183" i="3"/>
  <c r="AC182" i="3"/>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AE9" i="5" l="1"/>
  <c r="AB6" i="6" s="1"/>
  <c r="X6"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X13" i="6" l="1"/>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X17" i="6" l="1"/>
  <c r="AB12" i="6"/>
  <c r="I42" i="7"/>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<sst xmlns="http://schemas.openxmlformats.org/spreadsheetml/2006/main" count="813" uniqueCount="440">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</sst>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25</v>
    <v>7.77</v>
    <v>0.85060000000000002</v>
    <v>0.14000000000000001</v>
    <v>1.3766E-2</v>
    <v>-0.06</v>
    <v>-5.8199999999999997E-3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10.34</v>
    <v>Software &amp; IT Services</v>
    <v>Stock</v>
    <v>46276.979267025003</v>
    <v>0</v>
    <v>10.02</v>
    <v>639951391</v>
    <v>PHREESIA, INC.</v>
    <v>PHREESIA, INC.</v>
    <v>10.119999999999999</v>
    <v>60.209600000000002</v>
    <v>10.17</v>
    <v>10.31</v>
    <v>10.25</v>
    <v>62070940</v>
    <v>PHR</v>
    <v>PHREESIA, INC. (XNYS:PHR)</v>
    <v>526878</v>
    <v>792150</v>
    <v>2005</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C6" sqref="C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1" t="s">
        <v>18</v>
      </c>
      <c r="C2" s="262"/>
      <c r="E2" s="261" t="s">
        <v>304</v>
      </c>
      <c r="F2" s="262"/>
      <c r="H2" s="261" t="s">
        <v>346</v>
      </c>
      <c r="I2" s="262"/>
    </row>
    <row r="3" spans="2:9" x14ac:dyDescent="0.2">
      <c r="B3" s="189" t="s">
        <v>11</v>
      </c>
      <c r="C3" s="221" t="e" vm="1">
        <v>#VALUE!</v>
      </c>
      <c r="D3" s="2"/>
      <c r="E3" s="189" t="s">
        <v>256</v>
      </c>
      <c r="F3" s="191">
        <f ca="1">Statement!AC153</f>
        <v>667325.06000000006</v>
      </c>
      <c r="H3" s="189" t="str">
        <f>'AVG target price'!B5</f>
        <v>DCF price</v>
      </c>
      <c r="I3" s="215">
        <f ca="1">'AVG target price'!C5</f>
        <v>11.083518153090505</v>
      </c>
    </row>
    <row r="4" spans="2:9" x14ac:dyDescent="0.2">
      <c r="B4" s="189" t="s">
        <v>0</v>
      </c>
      <c r="C4" s="193" t="str" cm="1">
        <f t="array" aca="1" ref="C4" ca="1">_FV(C3,"Ticker symbol",TRUE)</f>
        <v>PHR</v>
      </c>
      <c r="E4" s="190" t="s">
        <v>200</v>
      </c>
      <c r="F4" s="192">
        <f ca="1">Statement!AC154</f>
        <v>660826.06000000006</v>
      </c>
      <c r="H4" s="189" t="str">
        <f>'AVG target price'!B6</f>
        <v>EV/EBIT price</v>
      </c>
      <c r="I4" s="215">
        <f ca="1">'AVG target price'!C6</f>
        <v>16.229759126541744</v>
      </c>
    </row>
    <row r="5" spans="2:9" x14ac:dyDescent="0.2">
      <c r="B5" s="189" t="s">
        <v>1</v>
      </c>
      <c r="C5" s="212" cm="1">
        <f t="array" aca="1" ref="C5" ca="1">_FV(C3,"Price",TRUE)</f>
        <v>10.31</v>
      </c>
      <c r="E5" s="189" t="s">
        <v>260</v>
      </c>
      <c r="F5" s="194">
        <f>Statement!AC28</f>
        <v>-1.7861846919361921E-2</v>
      </c>
      <c r="H5" s="189" t="str">
        <f>'AVG target price'!B7</f>
        <v>PS price</v>
      </c>
      <c r="I5" s="215">
        <f ca="1">'AVG target price'!C7</f>
        <v>16.949161820774108</v>
      </c>
    </row>
    <row r="6" spans="2:9" x14ac:dyDescent="0.2">
      <c r="B6" s="189" t="s">
        <v>2</v>
      </c>
      <c r="C6" s="212" cm="1">
        <f t="array" aca="1" ref="C6" ca="1">_FV(C3,"Price (Extended hours)",TRUE)</f>
        <v>10.25</v>
      </c>
      <c r="E6" s="189" t="s">
        <v>254</v>
      </c>
      <c r="F6" s="194">
        <f ca="1">Statement!AC150</f>
        <v>-577.20794756247437</v>
      </c>
      <c r="H6" s="189" t="str">
        <f>'AVG target price'!B8</f>
        <v>EV/FCFF price</v>
      </c>
      <c r="I6" s="215">
        <f ca="1">'AVG target price'!C8</f>
        <v>9.8746060854190354</v>
      </c>
    </row>
    <row r="7" spans="2:9" x14ac:dyDescent="0.2">
      <c r="B7" s="189" t="s">
        <v>3</v>
      </c>
      <c r="C7" s="6" cm="1">
        <f t="array" aca="1" ref="C7" ca="1">_FV(C3,"Change")</f>
        <v>0.14000000000000001</v>
      </c>
      <c r="E7" s="190" t="s">
        <v>213</v>
      </c>
      <c r="F7" s="195">
        <f ca="1">Statement!AC151</f>
        <v>1.2565917165065292</v>
      </c>
      <c r="H7" s="188" t="str">
        <f>'AVG target price'!B9</f>
        <v>AVG price</v>
      </c>
      <c r="I7" s="216">
        <f ca="1">'AVG target price'!C9</f>
        <v>13.534261296456346</v>
      </c>
    </row>
    <row r="8" spans="2:9" x14ac:dyDescent="0.2">
      <c r="B8" s="189" t="s">
        <v>4</v>
      </c>
      <c r="C8" s="6" cm="1">
        <f t="array" aca="1" ref="C8" ca="1">_FV(C3,"Change (extended hours)",TRUE)</f>
        <v>-0.06</v>
      </c>
      <c r="E8" s="189" t="s">
        <v>282</v>
      </c>
      <c r="F8" s="196">
        <f ca="1">Statement!AC161</f>
        <v>1.2132018539810267E-2</v>
      </c>
      <c r="H8" s="188" t="str">
        <f>'AVG target price'!B11</f>
        <v>Upside/Downside</v>
      </c>
      <c r="I8" s="217">
        <f ca="1">'AVG target price'!C11</f>
        <v>0.31273145455444673</v>
      </c>
    </row>
    <row r="9" spans="2:9" x14ac:dyDescent="0.2">
      <c r="B9" s="189" t="s">
        <v>5</v>
      </c>
      <c r="C9" s="73" cm="1">
        <f t="array" aca="1" ref="C9" ca="1">_FV(C3,"Change (%)",TRUE)</f>
        <v>1.3766E-2</v>
      </c>
      <c r="E9" s="189" t="s">
        <v>305</v>
      </c>
      <c r="F9" s="196">
        <f ca="1">Statement!AC162</f>
        <v>-1.7324778777266653E-3</v>
      </c>
    </row>
    <row r="10" spans="2:9" x14ac:dyDescent="0.2">
      <c r="B10" s="189" t="s">
        <v>6</v>
      </c>
      <c r="C10" s="73" cm="1">
        <f t="array" aca="1" ref="C10" ca="1">_FV(C3,"Change % (extended hours)",TRUE)</f>
        <v>-5.8199999999999997E-3</v>
      </c>
      <c r="E10" s="189" t="s">
        <v>310</v>
      </c>
      <c r="F10" s="196">
        <f ca="1">Statement!AC164</f>
        <v>0</v>
      </c>
      <c r="H10" s="188" t="s">
        <v>436</v>
      </c>
      <c r="I10" s="216">
        <f ca="1">DDM!C26</f>
        <v>0</v>
      </c>
    </row>
    <row r="11" spans="2:9" x14ac:dyDescent="0.2">
      <c r="B11" s="189" t="s">
        <v>7</v>
      </c>
      <c r="C11" s="213" cm="1">
        <f t="array" aca="1" ref="C11" ca="1">_FV(C3,"52 week high",TRUE)</f>
        <v>25</v>
      </c>
      <c r="E11" s="190" t="s">
        <v>306</v>
      </c>
      <c r="F11" s="197">
        <f ca="1">Statement!AC163</f>
        <v>0</v>
      </c>
    </row>
    <row r="12" spans="2:9" x14ac:dyDescent="0.2">
      <c r="B12" s="189" t="s">
        <v>8</v>
      </c>
      <c r="C12" s="213" cm="1">
        <f t="array" aca="1" ref="C12" ca="1">_FV(C3,"52 week low",TRUE)</f>
        <v>7.77</v>
      </c>
      <c r="E12" s="189" t="s">
        <v>112</v>
      </c>
      <c r="F12" s="196">
        <f>Statement!AC127</f>
        <v>-1.8099561499095023E-3</v>
      </c>
    </row>
    <row r="13" spans="2:9" x14ac:dyDescent="0.2">
      <c r="B13" s="189" t="s">
        <v>9</v>
      </c>
      <c r="C13" s="213" cm="1">
        <f t="array" aca="1" ref="C13" ca="1">_FV(C3,"Beta")</f>
        <v>0.85060000000000002</v>
      </c>
      <c r="E13" s="189" t="s">
        <v>114</v>
      </c>
      <c r="F13" s="196">
        <f>Statement!AC129</f>
        <v>-3.1491107997558164E-3</v>
      </c>
    </row>
    <row r="14" spans="2:9" x14ac:dyDescent="0.2">
      <c r="B14" s="190" t="s">
        <v>10</v>
      </c>
      <c r="C14" s="214" cm="1">
        <f t="array" aca="1" ref="C14" ca="1">_FV(C3,"Volume average",TRUE)</f>
        <v>792150</v>
      </c>
      <c r="E14" s="190" t="s">
        <v>115</v>
      </c>
      <c r="F14" s="197">
        <f>Statement!AC140</f>
        <v>-1.4540196296708597E-2</v>
      </c>
    </row>
    <row r="15" spans="2:9" x14ac:dyDescent="0.2">
      <c r="E15" s="189" t="s">
        <v>307</v>
      </c>
      <c r="F15" s="196">
        <f ca="1">Statement!AC176</f>
        <v>9.7388819775477923E-3</v>
      </c>
    </row>
    <row r="16" spans="2:9" x14ac:dyDescent="0.2">
      <c r="E16" s="190" t="s">
        <v>312</v>
      </c>
      <c r="F16" s="195">
        <f>Statement!AC175</f>
        <v>0.10470267918995989</v>
      </c>
    </row>
    <row r="17" spans="2:9" x14ac:dyDescent="0.2">
      <c r="B17" s="263" t="s">
        <v>101</v>
      </c>
      <c r="C17" s="263"/>
      <c r="E17" s="188" t="s">
        <v>313</v>
      </c>
      <c r="F17" s="198">
        <f>Statement!AC171</f>
        <v>5.0026264561381824E-2</v>
      </c>
    </row>
    <row r="18" spans="2:9" x14ac:dyDescent="0.2">
      <c r="B18" s="188" t="s">
        <v>12</v>
      </c>
      <c r="C18" s="69" t="s">
        <v>14</v>
      </c>
      <c r="E18" s="189" t="s">
        <v>314</v>
      </c>
      <c r="F18" s="194">
        <f>Statement!AC144</f>
        <v>37.184518492589405</v>
      </c>
      <c r="I18" s="50"/>
    </row>
    <row r="19" spans="2:9" x14ac:dyDescent="0.2">
      <c r="B19" s="188" t="s">
        <v>13</v>
      </c>
      <c r="C19" s="70">
        <v>1000</v>
      </c>
      <c r="E19" s="189" t="s">
        <v>275</v>
      </c>
      <c r="F19" s="194">
        <f>Statement!AC146</f>
        <v>-1.7477430476185354E-2</v>
      </c>
    </row>
    <row r="20" spans="2:9" x14ac:dyDescent="0.2">
      <c r="B20" s="188" t="s">
        <v>102</v>
      </c>
      <c r="C20" s="69" t="s">
        <v>103</v>
      </c>
      <c r="E20" s="190" t="s">
        <v>315</v>
      </c>
      <c r="F20" s="195">
        <f>Statement!AC147</f>
        <v>1.1287308374178746</v>
      </c>
    </row>
    <row r="21" spans="2:9" x14ac:dyDescent="0.2">
      <c r="B21" s="188" t="s">
        <v>104</v>
      </c>
      <c r="C21" s="69" t="s">
        <v>103</v>
      </c>
      <c r="I21" s="50"/>
    </row>
    <row r="22" spans="2:9" x14ac:dyDescent="0.2">
      <c r="B22" s="188" t="s">
        <v>105</v>
      </c>
      <c r="C22" s="69" t="s">
        <v>103</v>
      </c>
    </row>
    <row r="25" spans="2:9" x14ac:dyDescent="0.2">
      <c r="B25" s="263" t="s">
        <v>117</v>
      </c>
      <c r="C25" s="263"/>
      <c r="E25" s="261" t="s">
        <v>360</v>
      </c>
      <c r="F25" s="262"/>
    </row>
    <row r="26" spans="2:9" x14ac:dyDescent="0.2">
      <c r="B26" s="188" t="s">
        <v>118</v>
      </c>
      <c r="C26" s="174">
        <v>0.21</v>
      </c>
      <c r="E26" s="189" t="e" vm="2">
        <v>#VALUE!</v>
      </c>
      <c r="F26" s="223" cm="1">
        <f t="array" aca="1" ref="F26" ca="1">_FV(E26,"Price")</f>
        <v>47.84</v>
      </c>
    </row>
    <row r="27" spans="2:9" x14ac:dyDescent="0.2">
      <c r="B27" s="188" t="s">
        <v>184</v>
      </c>
      <c r="C27" s="225">
        <v>6.5000000000000002E-2</v>
      </c>
      <c r="E27" s="190" t="s">
        <v>361</v>
      </c>
      <c r="F27" s="224">
        <f ca="1">F26/1000</f>
        <v>4.7840000000000001E-2</v>
      </c>
    </row>
    <row r="28" spans="2:9" x14ac:dyDescent="0.2">
      <c r="B28" s="188" t="s">
        <v>365</v>
      </c>
      <c r="C28" s="225">
        <v>0</v>
      </c>
    </row>
    <row r="29" spans="2:9" x14ac:dyDescent="0.2">
      <c r="B29" s="188" t="s">
        <v>435</v>
      </c>
      <c r="C29" s="225">
        <v>0</v>
      </c>
    </row>
    <row r="33" spans="2:8" x14ac:dyDescent="0.2">
      <c r="B33" s="260" t="s">
        <v>354</v>
      </c>
      <c r="C33" s="260"/>
      <c r="D33" s="260"/>
      <c r="E33" s="260"/>
      <c r="F33" s="260"/>
      <c r="G33" s="260"/>
      <c r="H33" s="260"/>
    </row>
    <row r="35" spans="2:8" x14ac:dyDescent="0.2">
      <c r="B35" s="16" t="s">
        <v>355</v>
      </c>
      <c r="C35" s="1" t="s">
        <v>378</v>
      </c>
    </row>
    <row r="36" spans="2:8" x14ac:dyDescent="0.2">
      <c r="B36" s="16" t="s">
        <v>356</v>
      </c>
      <c r="C36" s="1" t="s">
        <v>359</v>
      </c>
    </row>
    <row r="39" spans="2:8" ht="6" customHeight="1" x14ac:dyDescent="0.2">
      <c r="B39" s="260"/>
      <c r="C39" s="260"/>
      <c r="D39" s="260"/>
      <c r="E39" s="260"/>
      <c r="F39" s="260"/>
      <c r="G39" s="260"/>
      <c r="H39" s="260"/>
    </row>
    <row r="42" spans="2:8" x14ac:dyDescent="0.2">
      <c r="B42" s="260" t="s">
        <v>357</v>
      </c>
      <c r="C42" s="260"/>
      <c r="D42" s="260"/>
      <c r="E42" s="260"/>
      <c r="F42" s="260"/>
      <c r="G42" s="260"/>
      <c r="H42" s="260"/>
    </row>
    <row r="44" spans="2:8" x14ac:dyDescent="0.2">
      <c r="B44" s="41" t="s">
        <v>358</v>
      </c>
      <c r="C44" s="41" t="s">
        <v>379</v>
      </c>
      <c r="D44" s="41"/>
      <c r="E44" s="41" t="s">
        <v>91</v>
      </c>
    </row>
    <row r="45" spans="2:8" x14ac:dyDescent="0.2">
      <c r="B45" s="1" t="s">
        <v>382</v>
      </c>
      <c r="C45" s="1" t="s">
        <v>386</v>
      </c>
    </row>
    <row r="46" spans="2:8" x14ac:dyDescent="0.2">
      <c r="B46" s="1" t="s">
        <v>382</v>
      </c>
      <c r="C46" s="1" t="s">
        <v>387</v>
      </c>
    </row>
    <row r="47" spans="2:8" x14ac:dyDescent="0.2">
      <c r="B47" s="1" t="s">
        <v>382</v>
      </c>
      <c r="C47" s="1" t="s">
        <v>388</v>
      </c>
    </row>
    <row r="48" spans="2:8" x14ac:dyDescent="0.2">
      <c r="B48" s="1" t="s">
        <v>382</v>
      </c>
      <c r="C48" s="1" t="s">
        <v>389</v>
      </c>
    </row>
    <row r="49" spans="2:8" x14ac:dyDescent="0.2">
      <c r="B49" s="1" t="s">
        <v>382</v>
      </c>
      <c r="C49" s="1" t="s">
        <v>390</v>
      </c>
    </row>
    <row r="50" spans="2:8" x14ac:dyDescent="0.2">
      <c r="B50" s="1" t="s">
        <v>382</v>
      </c>
      <c r="C50" s="1" t="s">
        <v>391</v>
      </c>
    </row>
    <row r="51" spans="2:8" x14ac:dyDescent="0.2">
      <c r="B51" s="1" t="s">
        <v>382</v>
      </c>
      <c r="C51" s="1" t="s">
        <v>392</v>
      </c>
    </row>
    <row r="52" spans="2:8" x14ac:dyDescent="0.2">
      <c r="B52" s="1" t="s">
        <v>382</v>
      </c>
      <c r="C52" s="1" t="s">
        <v>393</v>
      </c>
    </row>
    <row r="53" spans="2:8" x14ac:dyDescent="0.2">
      <c r="B53" s="1" t="s">
        <v>382</v>
      </c>
      <c r="C53" s="1" t="s">
        <v>394</v>
      </c>
    </row>
    <row r="55" spans="2:8" ht="5" customHeight="1" x14ac:dyDescent="0.2">
      <c r="B55" s="260"/>
      <c r="C55" s="260"/>
      <c r="D55" s="260"/>
      <c r="E55" s="260"/>
      <c r="F55" s="260"/>
      <c r="G55" s="260"/>
      <c r="H55" s="260"/>
    </row>
    <row r="58" spans="2:8" x14ac:dyDescent="0.2">
      <c r="B58" s="260" t="s">
        <v>119</v>
      </c>
      <c r="C58" s="260"/>
      <c r="D58" s="260"/>
      <c r="E58" s="260"/>
      <c r="F58" s="260"/>
      <c r="G58" s="260"/>
      <c r="H58" s="260"/>
    </row>
    <row r="60" spans="2:8" x14ac:dyDescent="0.2">
      <c r="B60" s="41" t="s">
        <v>358</v>
      </c>
      <c r="C60" s="41" t="s">
        <v>86</v>
      </c>
      <c r="D60" s="41"/>
      <c r="E60" s="41" t="s">
        <v>385</v>
      </c>
    </row>
    <row r="61" spans="2:8" x14ac:dyDescent="0.2">
      <c r="B61" s="1" t="s">
        <v>382</v>
      </c>
      <c r="C61" s="1" t="s">
        <v>383</v>
      </c>
      <c r="E61" s="1" t="s">
        <v>384</v>
      </c>
    </row>
    <row r="63" spans="2:8" x14ac:dyDescent="0.2">
      <c r="B63" s="41" t="s">
        <v>358</v>
      </c>
      <c r="C63" s="41" t="s">
        <v>86</v>
      </c>
      <c r="D63" s="41"/>
      <c r="E63" s="41" t="s">
        <v>91</v>
      </c>
    </row>
    <row r="64" spans="2:8" x14ac:dyDescent="0.2">
      <c r="B64" s="1" t="s">
        <v>382</v>
      </c>
      <c r="C64" s="1" t="s">
        <v>383</v>
      </c>
      <c r="E64" s="1" t="s">
        <v>384</v>
      </c>
    </row>
    <row r="68" spans="2:8" ht="5" customHeight="1" x14ac:dyDescent="0.2">
      <c r="B68" s="260"/>
      <c r="C68" s="260"/>
      <c r="D68" s="260"/>
      <c r="E68" s="260"/>
      <c r="F68" s="260"/>
      <c r="G68" s="260"/>
      <c r="H68" s="260"/>
    </row>
  </sheetData>
  <mergeCells count="12">
    <mergeCell ref="B2:C2"/>
    <mergeCell ref="B17:C17"/>
    <mergeCell ref="B25:C25"/>
    <mergeCell ref="E2:F2"/>
    <mergeCell ref="H2:I2"/>
    <mergeCell ref="E25:F25"/>
    <mergeCell ref="B58:H58"/>
    <mergeCell ref="B68:H68"/>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7" t="s">
        <v>93</v>
      </c>
      <c r="Y2" s="207" t="s">
        <v>86</v>
      </c>
      <c r="Z2" s="207" t="s">
        <v>437</v>
      </c>
      <c r="AA2" s="207" t="s">
        <v>439</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7" t="s">
        <v>94</v>
      </c>
      <c r="Y3" s="207" t="s">
        <v>91</v>
      </c>
      <c r="Z3" s="207" t="s">
        <v>423</v>
      </c>
      <c r="AA3" s="207" t="s">
        <v>438</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380</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381</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347</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189573</v>
      </c>
      <c r="U34" s="232">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373</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351</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1094629</v>
      </c>
      <c r="U48" s="233">
        <v>1111274</v>
      </c>
      <c r="V48" s="21">
        <v>1132124</v>
      </c>
      <c r="W48" s="21">
        <v>1147540</v>
      </c>
      <c r="X48" s="21">
        <v>1166078</v>
      </c>
      <c r="Y48" s="21">
        <v>1181679</v>
      </c>
      <c r="Z48" s="21">
        <v>1201871</v>
      </c>
      <c r="AA48" s="21">
        <v>1212775</v>
      </c>
      <c r="AC48" s="62">
        <f t="shared" si="21"/>
        <v>1212775</v>
      </c>
    </row>
    <row r="49" spans="1:31" x14ac:dyDescent="0.2">
      <c r="B49" s="20" t="s">
        <v>352</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347</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33">
        <v>7409</v>
      </c>
      <c r="X55" s="233">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33">
        <v>16230</v>
      </c>
      <c r="X56" s="233">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301</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350</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251</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252</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253</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292</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293</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380</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381</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316</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348</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349</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10.31</v>
      </c>
    </row>
    <row r="121" spans="1:31" x14ac:dyDescent="0.2">
      <c r="B121" s="20" t="s">
        <v>362</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10.31</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245</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246</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247</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248</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9" t="str">
        <f t="shared" ref="T136:X136" si="121">IF(T135&gt;T134, "BEAT", IF(T135&lt;T133, "MISSED", "MET"))</f>
        <v>BEAT</v>
      </c>
      <c r="U136" s="229" t="str">
        <f t="shared" si="121"/>
        <v>BEAT</v>
      </c>
      <c r="V136" s="229" t="str">
        <f t="shared" si="121"/>
        <v>BEAT</v>
      </c>
      <c r="W136" s="229" t="str">
        <f t="shared" si="121"/>
        <v>BEAT</v>
      </c>
      <c r="X136" s="229" t="str">
        <f t="shared" si="121"/>
        <v>BEAT</v>
      </c>
      <c r="Y136" s="229" t="str">
        <f>IF(Y135&gt;Y134, "BEAT", IF(Y135&lt;Y133, "MISSED", "MET"))</f>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265</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268</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272</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Y146" si="137">(T112-T111)/T51</f>
        <v>-0.24581290849673201</v>
      </c>
      <c r="U146" s="183">
        <f t="shared" si="137"/>
        <v>-0.25689178574665417</v>
      </c>
      <c r="V146" s="183">
        <f t="shared" si="137"/>
        <v>-0.2706052036599973</v>
      </c>
      <c r="W146" s="183">
        <f t="shared" si="137"/>
        <v>-0.29059656964901154</v>
      </c>
      <c r="X146" s="183">
        <f t="shared" si="137"/>
        <v>-0.30224862563177235</v>
      </c>
      <c r="Y146" s="183">
        <f t="shared" si="137"/>
        <v>7.7869083382017576E-2</v>
      </c>
      <c r="Z146" s="183">
        <f t="shared" ref="Z146:AA146" si="138">(Z112-Z111)/Z51</f>
        <v>4.4273023476008803E-2</v>
      </c>
      <c r="AA146" s="183">
        <f t="shared" si="138"/>
        <v>-1.7477430476185354E-2</v>
      </c>
      <c r="AC146" s="183">
        <f>(AC112-AC111)/AC51</f>
        <v>-1.7477430476185354E-2</v>
      </c>
    </row>
    <row r="147" spans="2:29" x14ac:dyDescent="0.2">
      <c r="B147" s="20" t="s">
        <v>269</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270</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276</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Y149" si="143">IF(T15&gt;=0,"N/A",IF(T14&lt;=0,"N/A",T14/-T15))</f>
        <v>N/A</v>
      </c>
      <c r="U149" s="185" t="str">
        <f t="shared" si="143"/>
        <v>N/A</v>
      </c>
      <c r="V149" s="185" t="str">
        <f t="shared" si="143"/>
        <v>N/A</v>
      </c>
      <c r="W149" s="185" t="str">
        <f t="shared" si="143"/>
        <v>N/A</v>
      </c>
      <c r="X149" s="185" t="str">
        <f t="shared" si="143"/>
        <v>N/A</v>
      </c>
      <c r="Y149" s="185" t="str">
        <f t="shared" si="143"/>
        <v>N/A</v>
      </c>
      <c r="Z149" s="185">
        <f t="shared" ref="Z149:AA149" si="144">IF(Z15&gt;=0,"N/A",IF(Z14&lt;=0,"N/A",Z14/-Z15))</f>
        <v>3.3711288711288709</v>
      </c>
      <c r="AA149" s="185">
        <f t="shared" si="144"/>
        <v>5.1370695476029713</v>
      </c>
      <c r="AC149" s="185">
        <f>IF(AC15&gt;=0,"N/A",IF(AC14&lt;=0,"N/A",AC14/-AC15))</f>
        <v>1.4511051961578521</v>
      </c>
    </row>
    <row r="150" spans="2:29" x14ac:dyDescent="0.2">
      <c r="B150" s="20" t="s">
        <v>254</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-577.20794756247437</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1.2565917165065292</v>
      </c>
    </row>
    <row r="152" spans="2:29" x14ac:dyDescent="0.2">
      <c r="B152" s="20" t="s">
        <v>255</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1.7209904235836397</v>
      </c>
    </row>
    <row r="153" spans="2:29" x14ac:dyDescent="0.2">
      <c r="B153" s="20" t="s">
        <v>256</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147">
        <f>Statement!T121*Statement!T80</f>
        <v>1063087.96</v>
      </c>
      <c r="U153" s="147">
        <f>Statement!U121*Statement!U80</f>
        <v>1704388</v>
      </c>
      <c r="V153" s="147">
        <f>Statement!V121*Statement!V80</f>
        <v>1485219.8400000001</v>
      </c>
      <c r="W153" s="147">
        <f>Statement!W121*Statement!W80</f>
        <v>1671735.6800000002</v>
      </c>
      <c r="X153" s="147">
        <f>Statement!X121*Statement!X80</f>
        <v>1400012.32</v>
      </c>
      <c r="Y153" s="147">
        <f>Statement!Y121*Statement!Y80</f>
        <v>839630.16999999993</v>
      </c>
      <c r="Z153" s="147">
        <f>Statement!Z121*Statement!Z80</f>
        <v>579382.68000000005</v>
      </c>
      <c r="AA153" s="147">
        <f>Statement!AA121*Statement!AA80</f>
        <v>694509.98</v>
      </c>
      <c r="AC153" s="147">
        <f ca="1">Statement!AC121*Statement!AC80</f>
        <v>667325.06000000006</v>
      </c>
    </row>
    <row r="154" spans="2:29" x14ac:dyDescent="0.2">
      <c r="B154" s="20" t="s">
        <v>200</v>
      </c>
      <c r="M154" s="147">
        <f>M153+M112-M111+M50+M47</f>
        <v>1176776.24</v>
      </c>
      <c r="N154" s="147">
        <f>N153+N112-N111+N50+N47</f>
        <v>1762131.45</v>
      </c>
      <c r="O154" s="147">
        <f>O153+O112-O111+O50+O47</f>
        <v>1368007.07</v>
      </c>
      <c r="P154" s="147">
        <f>P153+P112-P111+P50+P47</f>
        <v>1636361</v>
      </c>
      <c r="Q154" s="147">
        <f>Q153+Q112-Q111+Q50+Q47</f>
        <v>865888.16999999993</v>
      </c>
      <c r="T154" s="147">
        <f t="shared" ref="T154:Z154" si="145">T153+T112-T111+T50+T47</f>
        <v>1000505.96</v>
      </c>
      <c r="U154" s="147">
        <f t="shared" si="145"/>
        <v>1636361</v>
      </c>
      <c r="V154" s="147">
        <f t="shared" si="145"/>
        <v>1408858.84</v>
      </c>
      <c r="W154" s="147">
        <f t="shared" si="145"/>
        <v>1585141.6800000002</v>
      </c>
      <c r="X154" s="147">
        <f t="shared" si="145"/>
        <v>1303193.32</v>
      </c>
      <c r="Y154" s="147">
        <f t="shared" si="145"/>
        <v>865888.16999999993</v>
      </c>
      <c r="Z154" s="147">
        <f t="shared" si="145"/>
        <v>595280.68000000005</v>
      </c>
      <c r="AA154" s="147">
        <f t="shared" ref="AA154" si="146">AA153+AA112-AA111+AA50+AA47</f>
        <v>688010.98</v>
      </c>
      <c r="AC154" s="147">
        <f ca="1">AC153+AC112-AC111+AC50+AC47</f>
        <v>660826.06000000006</v>
      </c>
    </row>
    <row r="155" spans="2:29" x14ac:dyDescent="0.2">
      <c r="B155" s="20" t="s">
        <v>277</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1.3013689830304869</v>
      </c>
    </row>
    <row r="156" spans="2:29" x14ac:dyDescent="0.2">
      <c r="B156" s="20" t="s">
        <v>216</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52.701655634420611</v>
      </c>
    </row>
    <row r="157" spans="2:29" x14ac:dyDescent="0.2">
      <c r="B157" s="20" t="s">
        <v>278</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279</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280</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82.426514328063249</v>
      </c>
    </row>
    <row r="160" spans="2:29" x14ac:dyDescent="0.2">
      <c r="B160" s="20" t="s">
        <v>281</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-109.87599238836452</v>
      </c>
    </row>
    <row r="161" spans="2:29" x14ac:dyDescent="0.2">
      <c r="B161" s="20" t="s">
        <v>282</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1.2132018539810267E-2</v>
      </c>
    </row>
    <row r="162" spans="2:29" x14ac:dyDescent="0.2">
      <c r="B162" s="20" t="s">
        <v>283</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-1.7324778777266653E-3</v>
      </c>
    </row>
    <row r="163" spans="2:29" x14ac:dyDescent="0.2">
      <c r="B163" s="20" t="s">
        <v>284</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309</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311</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363</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-1.1843979332907461E-2</v>
      </c>
    </row>
    <row r="167" spans="2:29" x14ac:dyDescent="0.2">
      <c r="B167" s="20" t="s">
        <v>364</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1.5943504538266578E-2</v>
      </c>
    </row>
    <row r="168" spans="2:29" x14ac:dyDescent="0.2">
      <c r="B168" s="20" t="s">
        <v>287</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289</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300</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294</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5.0026264561381824E-2</v>
      </c>
    </row>
    <row r="172" spans="2:29" x14ac:dyDescent="0.2">
      <c r="B172" s="20" t="s">
        <v>295</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297</v>
      </c>
      <c r="M173" s="158">
        <f>M56/M61</f>
        <v>-0.48379065720787046</v>
      </c>
      <c r="N173" s="158">
        <f>N56/N61</f>
        <v>-0.65216426439421682</v>
      </c>
      <c r="O173" s="158">
        <f>O56/O61</f>
        <v>-2.2117796034344308</v>
      </c>
      <c r="P173" s="158">
        <f>P56/P61</f>
        <v>2.0683425465550784</v>
      </c>
      <c r="Q173" s="158">
        <f>Q56/Q61</f>
        <v>0.85583779531555304</v>
      </c>
      <c r="T173" s="158">
        <f t="shared" ref="T173:Y173" si="156">T56/T61</f>
        <v>2.856525496974935</v>
      </c>
      <c r="U173" s="158">
        <f t="shared" si="156"/>
        <v>1.0557332677165354</v>
      </c>
      <c r="V173" s="158">
        <f t="shared" si="156"/>
        <v>1.15993265993266</v>
      </c>
      <c r="W173" s="158">
        <f t="shared" si="156"/>
        <v>1.0940343781597572</v>
      </c>
      <c r="X173" s="158">
        <f t="shared" si="156"/>
        <v>1.0318096592745847</v>
      </c>
      <c r="Y173" s="158">
        <f t="shared" si="156"/>
        <v>0.53585645535024662</v>
      </c>
      <c r="Z173" s="158">
        <f t="shared" ref="Z173:AA173" si="157">Z56/Z61</f>
        <v>0.56659142212189617</v>
      </c>
      <c r="AA173" s="158">
        <f t="shared" si="157"/>
        <v>0.64791575731121775</v>
      </c>
      <c r="AC173" s="158">
        <f>AC56/AC61</f>
        <v>0.65032447280009631</v>
      </c>
    </row>
    <row r="174" spans="2:29" x14ac:dyDescent="0.2">
      <c r="B174" s="20" t="s">
        <v>298</v>
      </c>
      <c r="M174" s="158">
        <f>M56/M5</f>
        <v>0.16950472018871376</v>
      </c>
      <c r="N174" s="158">
        <f>N56/N5</f>
        <v>0.20923071446370722</v>
      </c>
      <c r="O174" s="158">
        <f>O56/O5</f>
        <v>0.20099130224895384</v>
      </c>
      <c r="P174" s="158">
        <f>P56/P5</f>
        <v>0.15953531691491213</v>
      </c>
      <c r="Q174" s="158">
        <f>Q56/Q5</f>
        <v>0.14035219136438259</v>
      </c>
      <c r="T174" s="158">
        <f t="shared" ref="T174:Y174" si="158">T56/T5</f>
        <v>0.15472846441947566</v>
      </c>
      <c r="U174" s="158">
        <f t="shared" si="158"/>
        <v>0.15647195047455803</v>
      </c>
      <c r="V174" s="158">
        <f t="shared" si="158"/>
        <v>0.14857335081424233</v>
      </c>
      <c r="W174" s="158">
        <f t="shared" si="158"/>
        <v>0.13841627222719713</v>
      </c>
      <c r="X174" s="158">
        <f t="shared" si="158"/>
        <v>0.13262363607655422</v>
      </c>
      <c r="Y174" s="158">
        <f t="shared" si="158"/>
        <v>0.14195660557028969</v>
      </c>
      <c r="Z174" s="158">
        <f t="shared" ref="Z174:AA174" si="159">Z56/Z5</f>
        <v>0.10351701225799061</v>
      </c>
      <c r="AA174" s="158">
        <f t="shared" si="159"/>
        <v>9.1728591512305155E-2</v>
      </c>
      <c r="AC174" s="158">
        <f>AC56/AC5</f>
        <v>0.11702800156756789</v>
      </c>
    </row>
    <row r="175" spans="2:29" x14ac:dyDescent="0.2">
      <c r="B175" s="20" t="s">
        <v>303</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308</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9.7388819775477923E-3</v>
      </c>
    </row>
    <row r="177" spans="1:31" x14ac:dyDescent="0.2">
      <c r="B177" s="20" t="s">
        <v>317</v>
      </c>
      <c r="M177" s="158">
        <f>-M114/M5</f>
        <v>0.14446638184521157</v>
      </c>
      <c r="N177" s="158">
        <f>-N114/N5</f>
        <v>9.3278986152148372E-2</v>
      </c>
      <c r="O177" s="158">
        <f>-O114/O5</f>
        <v>7.0438030979598595E-2</v>
      </c>
      <c r="P177" s="158">
        <f>-P114/P5</f>
        <v>5.7380309804603478E-2</v>
      </c>
      <c r="Q177" s="158">
        <f>-Q114/Q5</f>
        <v>5.0764579444891808E-2</v>
      </c>
      <c r="T177" s="158">
        <f t="shared" ref="T177:Y177" si="162">-T114/T5</f>
        <v>3.9157303370786517E-2</v>
      </c>
      <c r="U177" s="158">
        <f t="shared" si="162"/>
        <v>6.4350252094711027E-2</v>
      </c>
      <c r="V177" s="158">
        <f t="shared" si="162"/>
        <v>6.3759315484405193E-2</v>
      </c>
      <c r="W177" s="158">
        <f t="shared" si="162"/>
        <v>4.4364845848791093E-2</v>
      </c>
      <c r="X177" s="158">
        <f t="shared" si="162"/>
        <v>5.5396275335942761E-2</v>
      </c>
      <c r="Y177" s="158">
        <f t="shared" si="162"/>
        <v>4.0427491008680462E-2</v>
      </c>
      <c r="Z177" s="158">
        <f t="shared" ref="Z177:AA177" si="163">-Z114/Z5</f>
        <v>5.7662198800931763E-2</v>
      </c>
      <c r="AA177" s="158">
        <f t="shared" si="163"/>
        <v>3.4791206414435567E-2</v>
      </c>
      <c r="AC177" s="158">
        <f>-AC114/AC5</f>
        <v>4.6981742560452781E-2</v>
      </c>
    </row>
    <row r="178" spans="1:31" x14ac:dyDescent="0.2">
      <c r="B178" s="20" t="s">
        <v>318</v>
      </c>
      <c r="M178" s="158">
        <f>-(M114/M61)</f>
        <v>-0.41232766697898543</v>
      </c>
      <c r="N178" s="158">
        <f>-(N114/N61)</f>
        <v>-0.29074709008799088</v>
      </c>
      <c r="O178" s="158">
        <f>-(O114/O61)</f>
        <v>-0.77512508493421461</v>
      </c>
      <c r="P178" s="158">
        <f>-(P114/P61)</f>
        <v>0.74392390599425584</v>
      </c>
      <c r="Q178" s="158">
        <f>-(Q114/Q61)</f>
        <v>0.30955160250716879</v>
      </c>
      <c r="T178" s="158">
        <f t="shared" ref="T178:Y178" si="164">-(T114/T61)</f>
        <v>0.72290406222990489</v>
      </c>
      <c r="U178" s="158">
        <f t="shared" si="164"/>
        <v>0.43417814960629919</v>
      </c>
      <c r="V178" s="158">
        <f t="shared" si="164"/>
        <v>0.49777777777777776</v>
      </c>
      <c r="W178" s="158">
        <f t="shared" si="164"/>
        <v>0.35065722952477252</v>
      </c>
      <c r="X178" s="158">
        <f t="shared" si="164"/>
        <v>0.43098209090321327</v>
      </c>
      <c r="Y178" s="158">
        <f t="shared" si="164"/>
        <v>0.15260531162735427</v>
      </c>
      <c r="Z178" s="158">
        <f t="shared" ref="Z178:AA178" si="165">-(Z114/Z61)</f>
        <v>0.31560906278739237</v>
      </c>
      <c r="AA178" s="158">
        <f t="shared" si="165"/>
        <v>0.24574421649934527</v>
      </c>
      <c r="AC178" s="158">
        <f>-(AC114/AC61)</f>
        <v>0.26107749045185435</v>
      </c>
    </row>
    <row r="179" spans="1:31" x14ac:dyDescent="0.2">
      <c r="B179" s="20" t="s">
        <v>319</v>
      </c>
      <c r="M179" s="158">
        <f>-M114/M55</f>
        <v>1.4461083466341189</v>
      </c>
      <c r="N179" s="158">
        <f>-N114/N55</f>
        <v>1.0355279797660448</v>
      </c>
      <c r="O179" s="158">
        <f>-O114/O55</f>
        <v>0.85112083290941776</v>
      </c>
      <c r="P179" s="158">
        <f>-P114/P55</f>
        <v>0.86383848526142148</v>
      </c>
      <c r="Q179" s="158">
        <f>-Q114/Q55</f>
        <v>0.77566527835182653</v>
      </c>
      <c r="T179" s="158">
        <f t="shared" ref="T179:Y179" si="166">-T114/T55</f>
        <v>0.59009453929730493</v>
      </c>
      <c r="U179" s="158">
        <f t="shared" si="166"/>
        <v>1.0344423274219552</v>
      </c>
      <c r="V179" s="158">
        <f t="shared" si="166"/>
        <v>1.0747310264611807</v>
      </c>
      <c r="W179" s="158">
        <f t="shared" si="166"/>
        <v>0.70211904440545281</v>
      </c>
      <c r="X179" s="158">
        <f t="shared" si="166"/>
        <v>0.89141481679593471</v>
      </c>
      <c r="Y179" s="158">
        <f t="shared" si="166"/>
        <v>0.53024360033030549</v>
      </c>
      <c r="Z179" s="158">
        <f t="shared" ref="Z179:AA179" si="167">-Z114/Z55</f>
        <v>0.75848904962829011</v>
      </c>
      <c r="AA179" s="158">
        <f t="shared" si="167"/>
        <v>0.45062531265632816</v>
      </c>
      <c r="AC179" s="158">
        <f>-AC114/AC55</f>
        <v>0.64278593560555031</v>
      </c>
    </row>
    <row r="180" spans="1:31" x14ac:dyDescent="0.2">
      <c r="B180" s="20" t="s">
        <v>377</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0.78487025041075653</v>
      </c>
    </row>
    <row r="181" spans="1:31" x14ac:dyDescent="0.2">
      <c r="B181" s="20" t="s">
        <v>374</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5.2991466624132704</v>
      </c>
    </row>
    <row r="182" spans="1:31" x14ac:dyDescent="0.2">
      <c r="B182" s="20" t="s">
        <v>375</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-0.51830289496770077</v>
      </c>
    </row>
    <row r="183" spans="1:31" x14ac:dyDescent="0.2">
      <c r="B183" s="20" t="s">
        <v>376</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395</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396</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397</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328</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329</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301</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369</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370</v>
      </c>
      <c r="M203" s="147">
        <v>100</v>
      </c>
      <c r="N203" s="147">
        <f>100*(1+((N121-$M121)/ABS($M121)))</f>
        <v>127.2503516174402</v>
      </c>
      <c r="O203" s="147">
        <f t="shared" ref="O203:Q203" si="179">100*(1+((O121-$M121)/ABS($M121)))</f>
        <v>90.049226441631504</v>
      </c>
      <c r="P203" s="147">
        <f t="shared" si="179"/>
        <v>101.96905766526018</v>
      </c>
      <c r="Q203" s="147">
        <f t="shared" si="179"/>
        <v>47.222222222222221</v>
      </c>
      <c r="T203" s="49"/>
      <c r="U203" s="49"/>
      <c r="V203" s="49"/>
      <c r="W203" s="49"/>
      <c r="X203" s="49"/>
      <c r="Y203" s="49"/>
      <c r="Z203" s="49"/>
      <c r="AA203" s="49"/>
      <c r="AC203" s="49"/>
    </row>
    <row r="204" spans="1:31" x14ac:dyDescent="0.2">
      <c r="B204" s="20" t="s">
        <v>371</v>
      </c>
      <c r="M204" s="147">
        <v>100</v>
      </c>
      <c r="N204" s="147">
        <f>100*(1+((N5-$M5)/ABS($M5)))</f>
        <v>131.73852077305108</v>
      </c>
      <c r="O204" s="147">
        <f t="shared" ref="O204:Q204" si="180">100*(1+((O5-$M5)/ABS($M5)))</f>
        <v>167.09374252578164</v>
      </c>
      <c r="P204" s="147">
        <f t="shared" si="180"/>
        <v>196.87993884623862</v>
      </c>
      <c r="Q204" s="147">
        <f t="shared" si="180"/>
        <v>225.38303170709978</v>
      </c>
      <c r="T204" s="49"/>
      <c r="U204" s="49"/>
      <c r="V204" s="49"/>
      <c r="W204" s="49"/>
      <c r="X204" s="49"/>
      <c r="Y204" s="49"/>
      <c r="Z204" s="49"/>
      <c r="AA204" s="49"/>
      <c r="AC204" s="49"/>
    </row>
    <row r="205" spans="1:31" x14ac:dyDescent="0.2">
      <c r="B205" s="20" t="s">
        <v>372</v>
      </c>
      <c r="M205" s="147">
        <v>100</v>
      </c>
      <c r="N205" s="147">
        <f>100*(1+((N28-$M28)/ABS($M28)))</f>
        <v>58.227848101265835</v>
      </c>
      <c r="O205" s="147">
        <f t="shared" ref="O205:Q205" si="181">100*(1+((O28-$M28)/ABS($M28)))</f>
        <v>94.09282700421943</v>
      </c>
      <c r="P205" s="147">
        <f t="shared" si="181"/>
        <v>156.96202531645568</v>
      </c>
      <c r="Q205" s="147">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398</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399</v>
      </c>
      <c r="C210" s="62"/>
      <c r="D210" s="62"/>
      <c r="E210" s="62"/>
      <c r="F210" s="62"/>
      <c r="G210" s="62"/>
      <c r="H210" s="62"/>
      <c r="I210" s="62"/>
      <c r="J210" s="62"/>
      <c r="K210" s="62"/>
      <c r="L210" s="62"/>
      <c r="M210" s="234">
        <f>M187/M209</f>
        <v>46.053037608486015</v>
      </c>
      <c r="N210" s="234">
        <f t="shared" ref="N210:Q210" si="182">N187/N209</f>
        <v>45.159313725490193</v>
      </c>
      <c r="O210" s="234">
        <f t="shared" si="182"/>
        <v>45.94168286587059</v>
      </c>
      <c r="P210" s="234">
        <f t="shared" si="182"/>
        <v>46.754699024506309</v>
      </c>
      <c r="Q210" s="234">
        <f t="shared" si="182"/>
        <v>48.61785556047851</v>
      </c>
      <c r="T210" s="234">
        <f t="shared" ref="T210" si="183">T187/T209</f>
        <v>11.650460231295728</v>
      </c>
      <c r="U210" s="234">
        <f t="shared" ref="U210" si="184">U187/U209</f>
        <v>11.931121861322277</v>
      </c>
      <c r="V210" s="234">
        <f t="shared" ref="V210" si="185">V187/V209</f>
        <v>12.322602584447971</v>
      </c>
      <c r="W210" s="234">
        <f t="shared" ref="W210" si="186">W187/W209</f>
        <v>12.021938661293934</v>
      </c>
      <c r="X210" s="234">
        <f t="shared" ref="X210:Z210" si="187">X187/X209</f>
        <v>12.274336283185841</v>
      </c>
      <c r="Y210" s="234">
        <f t="shared" si="187"/>
        <v>12.006011163589523</v>
      </c>
      <c r="Z210" s="234">
        <f t="shared" si="187"/>
        <v>11.198173322005097</v>
      </c>
      <c r="AA210" s="234">
        <f t="shared" ref="AA210" si="188">AA187/AA209</f>
        <v>11.107715008431704</v>
      </c>
      <c r="AC210" s="235">
        <f>SUM(X210:AA210)</f>
        <v>46.586235777212167</v>
      </c>
    </row>
    <row r="211" spans="2:29" x14ac:dyDescent="0.2">
      <c r="B211" s="20" t="s">
        <v>400</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401</v>
      </c>
      <c r="M212" s="236">
        <v>0.79</v>
      </c>
      <c r="N212" s="236">
        <v>0.8</v>
      </c>
      <c r="O212" s="236">
        <v>0.82</v>
      </c>
      <c r="P212" s="236">
        <v>0.81</v>
      </c>
      <c r="Q212" s="236">
        <v>0.83</v>
      </c>
      <c r="T212" s="236">
        <v>0.81</v>
      </c>
      <c r="U212" s="236">
        <v>0.82</v>
      </c>
      <c r="V212" s="236">
        <v>0.82</v>
      </c>
      <c r="W212" s="236">
        <v>0.82</v>
      </c>
      <c r="X212" s="236">
        <v>0.85</v>
      </c>
      <c r="Y212" s="236">
        <v>0.84</v>
      </c>
      <c r="Z212" s="49"/>
      <c r="AA212" s="49"/>
      <c r="AC212" s="49"/>
    </row>
    <row r="213" spans="2:29" x14ac:dyDescent="0.2">
      <c r="B213" s="20" t="s">
        <v>402</v>
      </c>
      <c r="M213" s="237">
        <v>2.98E-2</v>
      </c>
      <c r="N213" s="237">
        <v>2.98E-2</v>
      </c>
      <c r="O213" s="237">
        <v>2.92E-2</v>
      </c>
      <c r="P213" s="237">
        <v>2.8299999999999999E-2</v>
      </c>
      <c r="Q213" s="81">
        <f>Q188/(Q211*Q212)</f>
        <v>3.0029990678906885E-2</v>
      </c>
      <c r="T213" s="237">
        <v>2.8000000000000001E-2</v>
      </c>
      <c r="U213" s="237">
        <v>2.8000000000000001E-2</v>
      </c>
      <c r="V213" s="237">
        <v>2.8000000000000001E-2</v>
      </c>
      <c r="W213" s="237">
        <v>2.8000000000000001E-2</v>
      </c>
      <c r="X213" s="237">
        <v>2.7E-2</v>
      </c>
      <c r="Y213" s="81">
        <f>Y188/(Y211*Y212)</f>
        <v>3.7698412698412696E-2</v>
      </c>
      <c r="Z213" s="237">
        <v>2.3E-2</v>
      </c>
      <c r="AA213" s="237">
        <v>2.4E-2</v>
      </c>
      <c r="AC213" s="81">
        <f>AC188/AC211</f>
        <v>2.5095612655130221E-2</v>
      </c>
    </row>
    <row r="214" spans="2:29" x14ac:dyDescent="0.2">
      <c r="B214" s="20" t="s">
        <v>403</v>
      </c>
      <c r="M214" s="62"/>
      <c r="N214" s="21">
        <v>120000</v>
      </c>
      <c r="O214" s="21">
        <v>150000</v>
      </c>
      <c r="P214" s="21">
        <v>170000</v>
      </c>
      <c r="Q214" s="21">
        <v>180000</v>
      </c>
      <c r="T214" s="49"/>
      <c r="U214" s="49"/>
      <c r="V214" s="49"/>
      <c r="W214" s="49"/>
      <c r="X214" s="49"/>
      <c r="Y214" s="49"/>
      <c r="Z214" s="49"/>
      <c r="AA214" s="49"/>
      <c r="AC214" s="49"/>
    </row>
    <row r="215" spans="2:29" x14ac:dyDescent="0.2">
      <c r="B215" s="20" t="s">
        <v>404</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405</v>
      </c>
      <c r="M216" s="62"/>
      <c r="N216" s="238">
        <f>N189/N214</f>
        <v>0.61305833333333337</v>
      </c>
      <c r="O216" s="238">
        <f t="shared" ref="O216:Q216" si="190">O189/O214</f>
        <v>0.64168666666666663</v>
      </c>
      <c r="P216" s="238">
        <f t="shared" si="190"/>
        <v>0.71507647058823531</v>
      </c>
      <c r="Q216" s="238">
        <f t="shared" si="190"/>
        <v>0.77595000000000003</v>
      </c>
      <c r="T216" s="49"/>
      <c r="U216" s="49"/>
      <c r="V216" s="49"/>
      <c r="W216" s="49"/>
      <c r="X216" s="49"/>
      <c r="Y216" s="49"/>
      <c r="Z216" s="49"/>
      <c r="AA216" s="49"/>
      <c r="AC216" s="49"/>
    </row>
    <row r="217" spans="2:29" x14ac:dyDescent="0.2">
      <c r="B217" s="20" t="s">
        <v>406</v>
      </c>
      <c r="C217" s="234"/>
      <c r="D217" s="234"/>
      <c r="E217" s="234"/>
      <c r="F217" s="234"/>
      <c r="G217" s="234"/>
      <c r="H217" s="234"/>
      <c r="I217" s="234"/>
      <c r="J217" s="234"/>
      <c r="K217" s="234"/>
      <c r="L217" s="234"/>
      <c r="M217" s="234">
        <f t="shared" ref="M217:O217" si="191">M189/M209</f>
        <v>25.32208293153327</v>
      </c>
      <c r="N217" s="234">
        <f t="shared" si="191"/>
        <v>25.758753501400559</v>
      </c>
      <c r="O217" s="234">
        <f t="shared" si="191"/>
        <v>26.729519577895029</v>
      </c>
      <c r="P217" s="234">
        <f>P189/P209</f>
        <v>28.922912205567453</v>
      </c>
      <c r="Q217" s="234">
        <f>Q189/Q209</f>
        <v>30.941736818785998</v>
      </c>
      <c r="T217" s="234">
        <f t="shared" ref="T217:Y217" si="192">T189/T209</f>
        <v>7.7255133349067737</v>
      </c>
      <c r="U217" s="234">
        <f t="shared" si="192"/>
        <v>7.6507717115871916</v>
      </c>
      <c r="V217" s="234">
        <f t="shared" si="192"/>
        <v>7.1766039446837455</v>
      </c>
      <c r="W217" s="234">
        <f t="shared" si="192"/>
        <v>7.8712782628162081</v>
      </c>
      <c r="X217" s="234">
        <f t="shared" si="192"/>
        <v>8.2811946902654867</v>
      </c>
      <c r="Y217" s="234">
        <f t="shared" si="192"/>
        <v>7.6047659939888366</v>
      </c>
      <c r="Z217" s="234">
        <f t="shared" ref="Z217:AA217" si="193">Z189/Z209</f>
        <v>7.7045454545454541</v>
      </c>
      <c r="AA217" s="234">
        <f t="shared" si="193"/>
        <v>8.0678752107925806</v>
      </c>
      <c r="AC217" s="109">
        <f>SUM(X217:AA217)</f>
        <v>31.658381349592361</v>
      </c>
    </row>
    <row r="218" spans="2:29" x14ac:dyDescent="0.2">
      <c r="B218" s="20" t="s">
        <v>424</v>
      </c>
      <c r="C218" s="234"/>
      <c r="D218" s="234"/>
      <c r="E218" s="234"/>
      <c r="F218" s="234"/>
      <c r="G218" s="234"/>
      <c r="H218" s="234"/>
      <c r="I218" s="234"/>
      <c r="J218" s="234"/>
      <c r="K218" s="234"/>
      <c r="L218" s="234"/>
      <c r="M218" s="234">
        <f>M5/M209</f>
        <v>102.81243972999036</v>
      </c>
      <c r="N218" s="234">
        <f t="shared" ref="N218:Q218" si="194">N5/N209</f>
        <v>98.357843137254903</v>
      </c>
      <c r="O218" s="234">
        <f t="shared" si="194"/>
        <v>98.94445987225771</v>
      </c>
      <c r="P218" s="234">
        <f t="shared" si="194"/>
        <v>99.884130383059713</v>
      </c>
      <c r="Q218" s="234">
        <f t="shared" si="194"/>
        <v>106.46677004873726</v>
      </c>
      <c r="T218" s="234">
        <f t="shared" ref="T218:Z218" si="195">T5/T209</f>
        <v>25.206514042954922</v>
      </c>
      <c r="U218" s="234">
        <f t="shared" si="195"/>
        <v>25.266298087998155</v>
      </c>
      <c r="V218" s="234">
        <f t="shared" si="195"/>
        <v>26.283382452958513</v>
      </c>
      <c r="W218" s="234">
        <f t="shared" si="195"/>
        <v>26.24916051040967</v>
      </c>
      <c r="X218" s="234">
        <f t="shared" si="195"/>
        <v>26.622345132743362</v>
      </c>
      <c r="Y218" s="234">
        <f t="shared" si="195"/>
        <v>27.279304422498928</v>
      </c>
      <c r="Z218" s="234">
        <f t="shared" si="195"/>
        <v>27.811172472387426</v>
      </c>
      <c r="AA218" s="234">
        <f t="shared" ref="AA218:AC218" si="196">AA5/AA209</f>
        <v>27.288785834738619</v>
      </c>
      <c r="AC218" s="234">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291</v>
      </c>
    </row>
    <row r="4" spans="2:7" x14ac:dyDescent="0.2">
      <c r="B4" s="260" t="s">
        <v>250</v>
      </c>
      <c r="C4" s="260"/>
      <c r="E4" s="260" t="s">
        <v>257</v>
      </c>
      <c r="F4" s="260"/>
      <c r="G4" s="260"/>
    </row>
    <row r="5" spans="2:7" x14ac:dyDescent="0.2">
      <c r="B5" s="20" t="s">
        <v>1</v>
      </c>
      <c r="C5" s="176">
        <f ca="1">Overview!C5</f>
        <v>10.31</v>
      </c>
      <c r="E5" s="12"/>
      <c r="F5" s="136" t="s">
        <v>258</v>
      </c>
      <c r="G5" s="136" t="s">
        <v>259</v>
      </c>
    </row>
    <row r="6" spans="2:7" x14ac:dyDescent="0.2">
      <c r="B6" s="20" t="s">
        <v>256</v>
      </c>
      <c r="C6" s="177">
        <f ca="1">Statement!AC153</f>
        <v>667325.06000000006</v>
      </c>
      <c r="E6" s="20" t="s">
        <v>20</v>
      </c>
      <c r="F6" s="182">
        <f>IF(Statement!M5&lt;=0,"N/A",_xlfn.RRI(4,Statement!M5,Statement!Q5))</f>
        <v>0.22526577910120138</v>
      </c>
      <c r="G6" s="182" t="str">
        <f>IF(Statement!H5&lt;=0,"N/A",_xlfn.RRI(9,Statement!H5,Statement!Q5))</f>
        <v>N/A</v>
      </c>
    </row>
    <row r="7" spans="2:7" x14ac:dyDescent="0.2">
      <c r="B7" s="20" t="s">
        <v>200</v>
      </c>
      <c r="C7" s="177">
        <f ca="1">Statement!AC154</f>
        <v>660826.06000000006</v>
      </c>
      <c r="E7" s="20" t="s">
        <v>32</v>
      </c>
      <c r="F7" s="182" t="str">
        <f>IF(OR(Statement!M20&lt;=0, Statement!Q20&lt;=0), "N/A", _xlfn.RRI(4, Statement!M20, Statement!Q20))</f>
        <v>N/A</v>
      </c>
      <c r="G7" s="182" t="str">
        <f>IF(OR(Statement!H20&lt;=0, Statement!Q20&lt;=0), "N/A", _xlfn.RRI(9, Statement!H20, Statement!Q20))</f>
        <v>N/A</v>
      </c>
    </row>
    <row r="8" spans="2:7" x14ac:dyDescent="0.2">
      <c r="B8" s="20" t="s">
        <v>254</v>
      </c>
      <c r="C8" s="178">
        <f ca="1">Statement!AC150</f>
        <v>-577.20794756247437</v>
      </c>
      <c r="E8" s="20" t="s">
        <v>260</v>
      </c>
      <c r="F8" s="182" t="str">
        <f>IF(OR(Statement!M28&lt;=0, Statement!Q28&lt;=0), "N/A", _xlfn.RRI(4, Statement!M28, Statement!Q28))</f>
        <v>N/A</v>
      </c>
      <c r="G8" s="182" t="str">
        <f>IF(OR(Statement!H28&lt;=0, Statement!Q28&lt;=0), "N/A", _xlfn.RRI(9, Statement!H28, Statement!Q28))</f>
        <v>N/A</v>
      </c>
    </row>
    <row r="9" spans="2:7" x14ac:dyDescent="0.2">
      <c r="B9" s="20" t="s">
        <v>213</v>
      </c>
      <c r="C9" s="178">
        <f ca="1">Statement!AC151</f>
        <v>1.2565917165065292</v>
      </c>
      <c r="E9" s="20" t="s">
        <v>261</v>
      </c>
      <c r="F9" s="182" t="str">
        <f>IF(Statement!M84&lt;=0,"N/A",_xlfn.RRI(4,Statement!M84,Statement!Q84))</f>
        <v>N/A</v>
      </c>
      <c r="G9" s="182" t="str">
        <f>IF(Statement!H84&lt;=0,"N/A",_xlfn.RRI(9,Statement!H84,Statement!Q84))</f>
        <v>N/A</v>
      </c>
    </row>
    <row r="10" spans="2:7" x14ac:dyDescent="0.2">
      <c r="B10" s="20" t="s">
        <v>255</v>
      </c>
      <c r="C10" s="178">
        <f ca="1">Statement!AC152</f>
        <v>1.7209904235836397</v>
      </c>
      <c r="E10" s="20" t="s">
        <v>1</v>
      </c>
      <c r="F10" s="182">
        <f>IF(Statement!M121&lt;=0,"N/A",_xlfn.RRI(4,Statement!M121,Statement!Q121))</f>
        <v>-0.17103421606421132</v>
      </c>
      <c r="G10" s="182" t="str">
        <f>IF(Statement!H121&lt;=0,"N/A",_xlfn.RRI(9,Statement!H121,Statement!Q121))</f>
        <v>N/A</v>
      </c>
    </row>
    <row r="11" spans="2:7" x14ac:dyDescent="0.2">
      <c r="B11" s="20" t="s">
        <v>277</v>
      </c>
      <c r="C11" s="178">
        <f ca="1">Statement!AC155</f>
        <v>1.3013689830304869</v>
      </c>
    </row>
    <row r="12" spans="2:7" x14ac:dyDescent="0.2">
      <c r="B12" s="20" t="s">
        <v>216</v>
      </c>
      <c r="C12" s="178">
        <f ca="1">Statement!AC156</f>
        <v>52.701655634420611</v>
      </c>
    </row>
    <row r="15" spans="2:7" x14ac:dyDescent="0.2">
      <c r="B15" s="260" t="s">
        <v>78</v>
      </c>
      <c r="C15" s="260"/>
      <c r="E15" s="260" t="s">
        <v>263</v>
      </c>
      <c r="F15" s="260"/>
    </row>
    <row r="16" spans="2:7" x14ac:dyDescent="0.2">
      <c r="B16" s="20" t="s">
        <v>79</v>
      </c>
      <c r="C16" s="179">
        <f>Statement!AC105</f>
        <v>0.67519048116063041</v>
      </c>
      <c r="E16" s="20" t="s">
        <v>32</v>
      </c>
      <c r="F16" s="177">
        <f>Statement!AC20</f>
        <v>-1171</v>
      </c>
    </row>
    <row r="17" spans="2:6" x14ac:dyDescent="0.2">
      <c r="B17" s="20" t="s">
        <v>80</v>
      </c>
      <c r="C17" s="179">
        <f>Statement!AC106</f>
        <v>2.4693132831685352E-2</v>
      </c>
      <c r="E17" s="20" t="s">
        <v>264</v>
      </c>
      <c r="F17" s="177">
        <f>Statement!AC61</f>
        <v>91379</v>
      </c>
    </row>
    <row r="18" spans="2:6" x14ac:dyDescent="0.2">
      <c r="B18" s="20" t="s">
        <v>81</v>
      </c>
      <c r="C18" s="179">
        <f>Statement!AC107</f>
        <v>-2.3060577833881129E-3</v>
      </c>
      <c r="E18" s="20" t="s">
        <v>271</v>
      </c>
      <c r="F18" s="181" t="str">
        <f>IF(OR(F16&lt;=0, F17&lt;=0),"N/A",F16-F17)</f>
        <v>N/A</v>
      </c>
    </row>
    <row r="21" spans="2:6" x14ac:dyDescent="0.2">
      <c r="B21" s="260" t="s">
        <v>262</v>
      </c>
      <c r="C21" s="260"/>
      <c r="E21" s="260" t="s">
        <v>266</v>
      </c>
      <c r="F21" s="260"/>
    </row>
    <row r="22" spans="2:6" x14ac:dyDescent="0.2">
      <c r="B22" s="20" t="s">
        <v>110</v>
      </c>
      <c r="C22" s="179">
        <f>Statement!AC125</f>
        <v>-2.3060577833881129E-3</v>
      </c>
      <c r="E22" s="20" t="s">
        <v>112</v>
      </c>
      <c r="F22" s="179">
        <f>C24</f>
        <v>-1.8099561499095023E-3</v>
      </c>
    </row>
    <row r="23" spans="2:6" x14ac:dyDescent="0.2">
      <c r="B23" s="20" t="s">
        <v>111</v>
      </c>
      <c r="C23" s="178">
        <f>Statement!AC126</f>
        <v>0.78487025041075653</v>
      </c>
      <c r="E23" s="20" t="s">
        <v>114</v>
      </c>
      <c r="F23" s="179">
        <f>C26</f>
        <v>-3.1491107997558164E-3</v>
      </c>
    </row>
    <row r="24" spans="2:6" x14ac:dyDescent="0.2">
      <c r="B24" s="32" t="s">
        <v>112</v>
      </c>
      <c r="C24" s="180">
        <f>Statement!AC127</f>
        <v>-1.8099561499095023E-3</v>
      </c>
      <c r="E24" s="20" t="s">
        <v>115</v>
      </c>
      <c r="F24" s="179">
        <f>Statement!AC140</f>
        <v>-1.4540196296708597E-2</v>
      </c>
    </row>
    <row r="25" spans="2:6" x14ac:dyDescent="0.2">
      <c r="B25" s="20" t="s">
        <v>113</v>
      </c>
      <c r="C25" s="178">
        <f>Statement!AC128</f>
        <v>1.7398823722404941</v>
      </c>
    </row>
    <row r="26" spans="2:6" x14ac:dyDescent="0.2">
      <c r="B26" s="32" t="s">
        <v>114</v>
      </c>
      <c r="C26" s="180">
        <f>Statement!AC129</f>
        <v>-3.1491107997558164E-3</v>
      </c>
    </row>
    <row r="29" spans="2:6" x14ac:dyDescent="0.2">
      <c r="B29" s="260" t="s">
        <v>267</v>
      </c>
      <c r="C29" s="260"/>
      <c r="E29" s="260" t="s">
        <v>273</v>
      </c>
      <c r="F29" s="260"/>
    </row>
    <row r="30" spans="2:6" x14ac:dyDescent="0.2">
      <c r="B30" s="20" t="s">
        <v>151</v>
      </c>
      <c r="C30" s="178">
        <f>Statement!AC141</f>
        <v>64.264749612538964</v>
      </c>
      <c r="E30" s="20" t="s">
        <v>274</v>
      </c>
      <c r="F30" s="184">
        <f>Statement!AC145</f>
        <v>0.17868985158033729</v>
      </c>
    </row>
    <row r="31" spans="2:6" x14ac:dyDescent="0.2">
      <c r="B31" s="20" t="s">
        <v>152</v>
      </c>
      <c r="C31" s="178">
        <f>Statement!AC142</f>
        <v>0</v>
      </c>
      <c r="E31" s="20" t="s">
        <v>275</v>
      </c>
      <c r="F31" s="184">
        <f>Statement!AC146</f>
        <v>-1.7477430476185354E-2</v>
      </c>
    </row>
    <row r="32" spans="2:6" x14ac:dyDescent="0.2">
      <c r="B32" s="20" t="s">
        <v>153</v>
      </c>
      <c r="C32" s="178">
        <f>Statement!AC143</f>
        <v>27.080231119949556</v>
      </c>
      <c r="E32" s="20" t="s">
        <v>270</v>
      </c>
      <c r="F32" s="184">
        <f>Statement!AC148</f>
        <v>1.7624569819584941</v>
      </c>
    </row>
    <row r="33" spans="2:6" x14ac:dyDescent="0.2">
      <c r="B33" s="20" t="s">
        <v>154</v>
      </c>
      <c r="C33" s="178">
        <f>Statement!AC144</f>
        <v>37.184518492589405</v>
      </c>
      <c r="E33" s="20" t="s">
        <v>269</v>
      </c>
      <c r="F33" s="184">
        <f>Statement!AC147</f>
        <v>1.1287308374178746</v>
      </c>
    </row>
    <row r="34" spans="2:6" x14ac:dyDescent="0.2">
      <c r="E34" s="20" t="s">
        <v>276</v>
      </c>
      <c r="F34" s="186">
        <f>Statement!AC149</f>
        <v>1.4511051961578521</v>
      </c>
    </row>
    <row r="37" spans="2:6" x14ac:dyDescent="0.2">
      <c r="B37" s="260" t="s">
        <v>285</v>
      </c>
      <c r="C37" s="260"/>
      <c r="E37" s="260" t="s">
        <v>288</v>
      </c>
      <c r="F37" s="260"/>
    </row>
    <row r="38" spans="2:6" x14ac:dyDescent="0.2">
      <c r="B38" s="20" t="s">
        <v>283</v>
      </c>
      <c r="C38" s="179">
        <f ca="1">Statement!AC162</f>
        <v>-1.7324778777266653E-3</v>
      </c>
      <c r="E38" s="20" t="s">
        <v>287</v>
      </c>
      <c r="F38" s="179">
        <f>Statement!AC168</f>
        <v>0</v>
      </c>
    </row>
    <row r="39" spans="2:6" x14ac:dyDescent="0.2">
      <c r="B39" s="54" t="s">
        <v>286</v>
      </c>
      <c r="C39" s="219">
        <f ca="1">Statement!AC161</f>
        <v>1.2132018539810267E-2</v>
      </c>
      <c r="E39" s="20" t="s">
        <v>289</v>
      </c>
      <c r="F39" s="179">
        <f>Statement!AC169</f>
        <v>0</v>
      </c>
    </row>
    <row r="40" spans="2:6" x14ac:dyDescent="0.2">
      <c r="B40" s="20" t="s">
        <v>284</v>
      </c>
      <c r="C40" s="179">
        <f ca="1">Statement!AC163</f>
        <v>0</v>
      </c>
      <c r="E40" s="20" t="s">
        <v>290</v>
      </c>
      <c r="F40" s="179">
        <f>Statement!AC170</f>
        <v>0</v>
      </c>
    </row>
    <row r="41" spans="2:6" x14ac:dyDescent="0.2">
      <c r="B41" s="20" t="s">
        <v>309</v>
      </c>
      <c r="C41" s="179">
        <f ca="1">Statement!AC164</f>
        <v>0</v>
      </c>
    </row>
    <row r="42" spans="2:6" x14ac:dyDescent="0.2">
      <c r="B42" s="20" t="s">
        <v>311</v>
      </c>
      <c r="C42" s="179">
        <f ca="1">Statement!AC165</f>
        <v>0</v>
      </c>
    </row>
    <row r="45" spans="2:6" x14ac:dyDescent="0.2">
      <c r="B45" s="260" t="s">
        <v>296</v>
      </c>
      <c r="C45" s="260"/>
      <c r="E45" s="260" t="s">
        <v>302</v>
      </c>
      <c r="F45" s="260"/>
    </row>
    <row r="46" spans="2:6" x14ac:dyDescent="0.2">
      <c r="B46" s="20" t="s">
        <v>294</v>
      </c>
      <c r="C46" s="179">
        <f>Statement!AC171</f>
        <v>5.0026264561381824E-2</v>
      </c>
      <c r="E46" s="20" t="s">
        <v>295</v>
      </c>
      <c r="F46" s="178">
        <f>Statement!AC172</f>
        <v>1.1751864799987111</v>
      </c>
    </row>
    <row r="47" spans="2:6" x14ac:dyDescent="0.2">
      <c r="E47" s="20" t="s">
        <v>303</v>
      </c>
      <c r="F47" s="178">
        <f>Statement!AC175</f>
        <v>0.10470267918995989</v>
      </c>
    </row>
    <row r="48" spans="2:6" x14ac:dyDescent="0.2">
      <c r="E48" s="20" t="s">
        <v>308</v>
      </c>
      <c r="F48" s="179">
        <f ca="1">Statement!AC176</f>
        <v>9.7388819775477923E-3</v>
      </c>
    </row>
    <row r="51" spans="2:6" x14ac:dyDescent="0.2">
      <c r="B51" s="260" t="s">
        <v>299</v>
      </c>
      <c r="C51" s="260"/>
      <c r="E51" s="260" t="s">
        <v>320</v>
      </c>
      <c r="F51" s="260"/>
    </row>
    <row r="52" spans="2:6" x14ac:dyDescent="0.2">
      <c r="B52" s="20" t="s">
        <v>297</v>
      </c>
      <c r="C52" s="179">
        <f>Statement!AC173</f>
        <v>0.65032447280009631</v>
      </c>
      <c r="E52" s="20" t="s">
        <v>321</v>
      </c>
      <c r="F52" s="179">
        <f>Statement!AC177</f>
        <v>4.6981742560452781E-2</v>
      </c>
    </row>
    <row r="53" spans="2:6" x14ac:dyDescent="0.2">
      <c r="B53" s="20" t="s">
        <v>298</v>
      </c>
      <c r="C53" s="179">
        <f>Statement!AC174</f>
        <v>0.11702800156756789</v>
      </c>
      <c r="E53" s="20" t="s">
        <v>318</v>
      </c>
      <c r="F53" s="179">
        <f>Statement!AC178</f>
        <v>0.26107749045185435</v>
      </c>
    </row>
    <row r="54" spans="2:6" x14ac:dyDescent="0.2">
      <c r="E54" s="20" t="s">
        <v>319</v>
      </c>
      <c r="F54" s="179">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250</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10.31</v>
      </c>
    </row>
    <row r="7" spans="2:9" x14ac:dyDescent="0.2">
      <c r="B7" s="20" t="s">
        <v>256</v>
      </c>
      <c r="C7" s="177">
        <f>Statement!M153</f>
        <v>1477344.24</v>
      </c>
      <c r="D7" s="177">
        <f>Statement!N153</f>
        <v>1930917.45</v>
      </c>
      <c r="E7" s="177">
        <f>Statement!O153</f>
        <v>1444071.07</v>
      </c>
      <c r="F7" s="177">
        <f>Statement!P153</f>
        <v>1704388</v>
      </c>
      <c r="G7" s="177">
        <f>Statement!Q153</f>
        <v>839630.16999999993</v>
      </c>
      <c r="I7" s="177">
        <f ca="1">Statement!AC153</f>
        <v>667325.06000000006</v>
      </c>
    </row>
    <row r="8" spans="2:9" x14ac:dyDescent="0.2">
      <c r="B8" s="20" t="s">
        <v>200</v>
      </c>
      <c r="C8" s="177">
        <f>Statement!M154</f>
        <v>1176776.24</v>
      </c>
      <c r="D8" s="177">
        <f>Statement!N154</f>
        <v>1762131.45</v>
      </c>
      <c r="E8" s="177">
        <f>Statement!O154</f>
        <v>1368007.07</v>
      </c>
      <c r="F8" s="177">
        <f>Statement!P154</f>
        <v>1636361</v>
      </c>
      <c r="G8" s="177">
        <f>Statement!Q154</f>
        <v>865888.16999999993</v>
      </c>
      <c r="I8" s="177">
        <f ca="1">Statement!AC154</f>
        <v>660826.06000000006</v>
      </c>
    </row>
    <row r="9" spans="2:9" x14ac:dyDescent="0.2">
      <c r="B9" s="20" t="s">
        <v>254</v>
      </c>
      <c r="C9" s="178">
        <f>Statement!M150</f>
        <v>-12</v>
      </c>
      <c r="D9" s="178">
        <f>Statement!N150</f>
        <v>-10.770833333333334</v>
      </c>
      <c r="E9" s="178">
        <f>Statement!O150</f>
        <v>-10.203187250996017</v>
      </c>
      <c r="F9" s="178">
        <f>Statement!P150</f>
        <v>-28.431372549019606</v>
      </c>
      <c r="G9" s="178">
        <f>Statement!Q150</f>
        <v>-83.9375</v>
      </c>
      <c r="I9" s="178">
        <f ca="1">Statement!AC150</f>
        <v>-577.20794756247437</v>
      </c>
    </row>
    <row r="10" spans="2:9" x14ac:dyDescent="0.2">
      <c r="B10" s="20" t="s">
        <v>213</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1.2565917165065292</v>
      </c>
    </row>
    <row r="11" spans="2:9" x14ac:dyDescent="0.2">
      <c r="B11" s="20" t="s">
        <v>255</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1.7209904235836397</v>
      </c>
    </row>
    <row r="12" spans="2:9" x14ac:dyDescent="0.2">
      <c r="B12" s="20" t="s">
        <v>277</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1.3013689830304869</v>
      </c>
    </row>
    <row r="13" spans="2:9" x14ac:dyDescent="0.2">
      <c r="B13" s="20" t="s">
        <v>216</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52.701655634420611</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0.67519048116063041</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2.4693132831685352E-2</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-2.3060577833881129E-3</v>
      </c>
    </row>
    <row r="20" spans="2:9" ht="17" thickBot="1" x14ac:dyDescent="0.25">
      <c r="B20" s="14" t="s">
        <v>263</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-1171</v>
      </c>
    </row>
    <row r="22" spans="2:9" x14ac:dyDescent="0.2">
      <c r="B22" s="20" t="s">
        <v>264</v>
      </c>
      <c r="C22" s="181">
        <f>Statement!M61</f>
        <v>-74710</v>
      </c>
      <c r="D22" s="181">
        <f>Statement!N61</f>
        <v>-90123</v>
      </c>
      <c r="E22" s="181">
        <f>Statement!O61</f>
        <v>-32378</v>
      </c>
      <c r="F22" s="181">
        <f>Statement!P61</f>
        <v>32381</v>
      </c>
      <c r="G22" s="181">
        <f>Statement!Q61</f>
        <v>78814</v>
      </c>
      <c r="I22" s="181">
        <f>Statement!AC61</f>
        <v>91379</v>
      </c>
    </row>
    <row r="23" spans="2:9" x14ac:dyDescent="0.2">
      <c r="B23" s="20" t="s">
        <v>271</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262</v>
      </c>
      <c r="C25" s="14"/>
      <c r="D25" s="14"/>
      <c r="E25" s="14"/>
      <c r="F25" s="14"/>
      <c r="G25" s="14"/>
      <c r="I25" s="14"/>
    </row>
    <row r="26" spans="2:9" x14ac:dyDescent="0.2">
      <c r="B26" s="20" t="s">
        <v>110</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-2.3060577833881129E-3</v>
      </c>
    </row>
    <row r="27" spans="2:9" x14ac:dyDescent="0.2">
      <c r="B27" s="20" t="s">
        <v>111</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0.78487025041075653</v>
      </c>
    </row>
    <row r="28" spans="2:9" x14ac:dyDescent="0.2">
      <c r="B28" s="32" t="s">
        <v>112</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-1.8099561499095023E-3</v>
      </c>
    </row>
    <row r="29" spans="2:9" x14ac:dyDescent="0.2">
      <c r="B29" s="20" t="s">
        <v>113</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1.7398823722404941</v>
      </c>
    </row>
    <row r="30" spans="2:9" x14ac:dyDescent="0.2">
      <c r="B30" s="32" t="s">
        <v>114</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-3.1491107997558164E-3</v>
      </c>
    </row>
    <row r="32" spans="2:9" ht="17" thickBot="1" x14ac:dyDescent="0.25">
      <c r="B32" s="14" t="s">
        <v>322</v>
      </c>
      <c r="C32" s="14"/>
      <c r="D32" s="14"/>
      <c r="E32" s="14"/>
      <c r="F32" s="14"/>
      <c r="G32" s="14"/>
      <c r="I32" s="14"/>
    </row>
    <row r="33" spans="2:9" x14ac:dyDescent="0.2">
      <c r="B33" s="20" t="s">
        <v>112</v>
      </c>
      <c r="C33" s="179">
        <f>C28</f>
        <v>-0.23896205275888008</v>
      </c>
      <c r="D33" s="179">
        <f t="shared" ref="D33:G33" si="1">D28</f>
        <v>-0.47599694101179013</v>
      </c>
      <c r="E33" s="179">
        <f t="shared" si="1"/>
        <v>-0.36963378212709885</v>
      </c>
      <c r="F33" s="179">
        <f t="shared" si="1"/>
        <v>-0.15068161631244933</v>
      </c>
      <c r="G33" s="179">
        <f t="shared" si="1"/>
        <v>-1.4028533120414589E-2</v>
      </c>
      <c r="I33" s="179">
        <f>I28</f>
        <v>-1.8099561499095023E-3</v>
      </c>
    </row>
    <row r="34" spans="2:9" x14ac:dyDescent="0.2">
      <c r="B34" s="20" t="s">
        <v>114</v>
      </c>
      <c r="C34" s="179">
        <f>C30</f>
        <v>-0.28316957438650303</v>
      </c>
      <c r="D34" s="179">
        <f t="shared" ref="D34:G34" si="2">D30</f>
        <v>-0.61200268224126975</v>
      </c>
      <c r="E34" s="179">
        <f t="shared" si="2"/>
        <v>-0.54438474601211384</v>
      </c>
      <c r="F34" s="179">
        <f t="shared" si="2"/>
        <v>-0.22101673665448177</v>
      </c>
      <c r="G34" s="179">
        <f t="shared" si="2"/>
        <v>-2.7615085096098241E-2</v>
      </c>
      <c r="I34" s="179">
        <f>I30</f>
        <v>-3.1491107997558164E-3</v>
      </c>
    </row>
    <row r="35" spans="2:9" x14ac:dyDescent="0.2">
      <c r="B35" s="20" t="s">
        <v>115</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-1.4540196296708597E-2</v>
      </c>
    </row>
    <row r="37" spans="2:9" ht="17" thickBot="1" x14ac:dyDescent="0.25">
      <c r="B37" s="14" t="s">
        <v>267</v>
      </c>
      <c r="C37" s="14"/>
      <c r="D37" s="14"/>
      <c r="E37" s="14"/>
      <c r="F37" s="14"/>
      <c r="G37" s="14"/>
      <c r="I37" s="14"/>
    </row>
    <row r="38" spans="2:9" x14ac:dyDescent="0.2">
      <c r="B38" s="20" t="s">
        <v>151</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64.264749612538964</v>
      </c>
    </row>
    <row r="39" spans="2:9" x14ac:dyDescent="0.2">
      <c r="B39" s="20" t="s">
        <v>152</v>
      </c>
      <c r="C39" s="178">
        <f>Statement!M142</f>
        <v>0</v>
      </c>
      <c r="D39" s="178">
        <f>Statement!N142</f>
        <v>0</v>
      </c>
      <c r="E39" s="178">
        <f>Statement!O142</f>
        <v>0</v>
      </c>
      <c r="F39" s="178">
        <f>Statement!P142</f>
        <v>0</v>
      </c>
      <c r="G39" s="178">
        <f>Statement!Q142</f>
        <v>0</v>
      </c>
      <c r="I39" s="178">
        <f>Statement!AC142</f>
        <v>0</v>
      </c>
    </row>
    <row r="40" spans="2:9" x14ac:dyDescent="0.2">
      <c r="B40" s="20" t="s">
        <v>153</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27.080231119949556</v>
      </c>
    </row>
    <row r="41" spans="2:9" x14ac:dyDescent="0.2">
      <c r="B41" s="20" t="s">
        <v>154</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37.184518492589405</v>
      </c>
    </row>
    <row r="43" spans="2:9" ht="17" thickBot="1" x14ac:dyDescent="0.25">
      <c r="B43" s="14" t="s">
        <v>273</v>
      </c>
      <c r="C43" s="14"/>
      <c r="D43" s="14"/>
      <c r="E43" s="14"/>
      <c r="F43" s="14"/>
      <c r="G43" s="14"/>
      <c r="I43" s="14"/>
    </row>
    <row r="44" spans="2:9" x14ac:dyDescent="0.2">
      <c r="B44" s="20" t="s">
        <v>274</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0.17868985158033729</v>
      </c>
    </row>
    <row r="45" spans="2:9" x14ac:dyDescent="0.2">
      <c r="B45" s="20" t="s">
        <v>275</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-1.7477430476185354E-2</v>
      </c>
    </row>
    <row r="46" spans="2:9" x14ac:dyDescent="0.2">
      <c r="B46" s="20" t="s">
        <v>269</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1.1287308374178746</v>
      </c>
    </row>
    <row r="47" spans="2:9" x14ac:dyDescent="0.2">
      <c r="B47" s="20" t="s">
        <v>270</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1.7624569819584941</v>
      </c>
    </row>
    <row r="48" spans="2:9" x14ac:dyDescent="0.2">
      <c r="B48" s="20" t="s">
        <v>276</v>
      </c>
      <c r="C48" s="186" t="str">
        <f>Statement!M149</f>
        <v>N/A</v>
      </c>
      <c r="D48" s="186" t="str">
        <f>Statement!N149</f>
        <v>N/A</v>
      </c>
      <c r="E48" s="186" t="str">
        <f>Statement!O149</f>
        <v>N/A</v>
      </c>
      <c r="F48" s="186" t="str">
        <f>Statement!P149</f>
        <v>N/A</v>
      </c>
      <c r="G48" s="186" t="str">
        <f>Statement!Q149</f>
        <v>N/A</v>
      </c>
      <c r="I48" s="186">
        <f>Statement!AC149</f>
        <v>1.4511051961578521</v>
      </c>
    </row>
    <row r="50" spans="2:9" ht="17" thickBot="1" x14ac:dyDescent="0.25">
      <c r="B50" s="14" t="s">
        <v>285</v>
      </c>
      <c r="C50" s="14"/>
      <c r="D50" s="14"/>
      <c r="E50" s="14"/>
      <c r="F50" s="14"/>
      <c r="G50" s="14"/>
      <c r="I50" s="14"/>
    </row>
    <row r="51" spans="2:9" x14ac:dyDescent="0.2">
      <c r="B51" s="20" t="s">
        <v>283</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-1.7324778777266653E-3</v>
      </c>
    </row>
    <row r="52" spans="2:9" x14ac:dyDescent="0.2">
      <c r="B52" s="20" t="s">
        <v>286</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1.2132018539810267E-2</v>
      </c>
    </row>
    <row r="53" spans="2:9" x14ac:dyDescent="0.2">
      <c r="B53" s="20" t="s">
        <v>284</v>
      </c>
      <c r="C53" s="179">
        <f>Statement!M163</f>
        <v>0</v>
      </c>
      <c r="D53" s="179">
        <f>Statement!N163</f>
        <v>0</v>
      </c>
      <c r="E53" s="179">
        <f>Statement!O163</f>
        <v>0</v>
      </c>
      <c r="F53" s="179">
        <f>Statement!P163</f>
        <v>0</v>
      </c>
      <c r="G53" s="179">
        <f>Statement!Q163</f>
        <v>0</v>
      </c>
      <c r="I53" s="179">
        <f ca="1">Statement!AC163</f>
        <v>0</v>
      </c>
    </row>
    <row r="54" spans="2:9" x14ac:dyDescent="0.2">
      <c r="B54" s="20" t="s">
        <v>309</v>
      </c>
      <c r="C54" s="179">
        <f>Statement!M164</f>
        <v>0</v>
      </c>
      <c r="D54" s="179">
        <f>Statement!N164</f>
        <v>0</v>
      </c>
      <c r="E54" s="179">
        <f>Statement!O164</f>
        <v>0</v>
      </c>
      <c r="F54" s="179">
        <f>Statement!P164</f>
        <v>0</v>
      </c>
      <c r="G54" s="179">
        <f>Statement!Q164</f>
        <v>0</v>
      </c>
      <c r="I54" s="179">
        <f ca="1">Statement!AC164</f>
        <v>0</v>
      </c>
    </row>
    <row r="55" spans="2:9" x14ac:dyDescent="0.2">
      <c r="B55" s="20" t="s">
        <v>311</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288</v>
      </c>
      <c r="C57" s="14"/>
      <c r="D57" s="14"/>
      <c r="E57" s="14"/>
      <c r="F57" s="14"/>
      <c r="G57" s="14"/>
      <c r="I57" s="14"/>
    </row>
    <row r="58" spans="2:9" x14ac:dyDescent="0.2">
      <c r="B58" s="20" t="s">
        <v>287</v>
      </c>
      <c r="C58" s="179">
        <f>Statement!M168</f>
        <v>0</v>
      </c>
      <c r="D58" s="179">
        <f>Statement!N168</f>
        <v>0</v>
      </c>
      <c r="E58" s="179">
        <f>Statement!O168</f>
        <v>0</v>
      </c>
      <c r="F58" s="179">
        <f>Statement!P168</f>
        <v>0</v>
      </c>
      <c r="G58" s="179">
        <f>Statement!Q168</f>
        <v>0</v>
      </c>
      <c r="I58" s="179">
        <f>Statement!AC168</f>
        <v>0</v>
      </c>
    </row>
    <row r="59" spans="2:9" x14ac:dyDescent="0.2">
      <c r="B59" s="20" t="s">
        <v>289</v>
      </c>
      <c r="C59" s="179">
        <f>Statement!M169</f>
        <v>0</v>
      </c>
      <c r="D59" s="179">
        <f>Statement!N169</f>
        <v>0</v>
      </c>
      <c r="E59" s="179">
        <f>Statement!O169</f>
        <v>0</v>
      </c>
      <c r="F59" s="179">
        <f>Statement!P169</f>
        <v>0</v>
      </c>
      <c r="G59" s="179">
        <f>Statement!Q169</f>
        <v>0</v>
      </c>
      <c r="I59" s="179">
        <f>Statement!AC169</f>
        <v>0</v>
      </c>
    </row>
    <row r="60" spans="2:9" x14ac:dyDescent="0.2">
      <c r="B60" s="20" t="s">
        <v>290</v>
      </c>
      <c r="C60" s="179">
        <f>Statement!M170</f>
        <v>0</v>
      </c>
      <c r="D60" s="179">
        <f>Statement!N170</f>
        <v>0</v>
      </c>
      <c r="E60" s="179">
        <f>Statement!O170</f>
        <v>0</v>
      </c>
      <c r="F60" s="179">
        <f>Statement!P170</f>
        <v>0</v>
      </c>
      <c r="G60" s="179">
        <f>Statement!Q170</f>
        <v>0</v>
      </c>
      <c r="I60" s="179">
        <f>Statement!AC170</f>
        <v>0</v>
      </c>
    </row>
    <row r="62" spans="2:9" ht="17" thickBot="1" x14ac:dyDescent="0.25">
      <c r="B62" s="14" t="s">
        <v>296</v>
      </c>
      <c r="C62" s="14"/>
      <c r="D62" s="14"/>
      <c r="E62" s="14"/>
      <c r="F62" s="14"/>
      <c r="G62" s="14"/>
      <c r="I62" s="14"/>
    </row>
    <row r="63" spans="2:9" x14ac:dyDescent="0.2">
      <c r="B63" s="20" t="s">
        <v>294</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5.0026264561381824E-2</v>
      </c>
    </row>
    <row r="65" spans="2:9" ht="17" thickBot="1" x14ac:dyDescent="0.25">
      <c r="B65" s="14" t="s">
        <v>302</v>
      </c>
      <c r="C65" s="14"/>
      <c r="D65" s="14"/>
      <c r="E65" s="14"/>
      <c r="F65" s="14"/>
      <c r="G65" s="14"/>
      <c r="I65" s="14"/>
    </row>
    <row r="66" spans="2:9" x14ac:dyDescent="0.2">
      <c r="B66" s="20" t="s">
        <v>295</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1.1751864799987111</v>
      </c>
    </row>
    <row r="67" spans="2:9" x14ac:dyDescent="0.2">
      <c r="B67" s="20" t="s">
        <v>303</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0.10470267918995989</v>
      </c>
    </row>
    <row r="68" spans="2:9" x14ac:dyDescent="0.2">
      <c r="B68" s="20" t="s">
        <v>308</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9.7388819775477923E-3</v>
      </c>
    </row>
    <row r="70" spans="2:9" ht="17" thickBot="1" x14ac:dyDescent="0.25">
      <c r="B70" s="14" t="s">
        <v>323</v>
      </c>
      <c r="C70" s="14"/>
      <c r="D70" s="14"/>
      <c r="E70" s="14"/>
      <c r="F70" s="14"/>
      <c r="G70" s="14"/>
      <c r="I70" s="14"/>
    </row>
    <row r="71" spans="2:9" x14ac:dyDescent="0.2">
      <c r="B71" s="20" t="s">
        <v>297</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0.65032447280009631</v>
      </c>
    </row>
    <row r="72" spans="2:9" x14ac:dyDescent="0.2">
      <c r="B72" s="20" t="s">
        <v>298</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0.11702800156756789</v>
      </c>
    </row>
    <row r="74" spans="2:9" ht="17" thickBot="1" x14ac:dyDescent="0.25">
      <c r="B74" s="14" t="s">
        <v>324</v>
      </c>
      <c r="C74" s="14"/>
      <c r="D74" s="14"/>
      <c r="E74" s="14"/>
      <c r="F74" s="14"/>
      <c r="G74" s="14"/>
      <c r="I74" s="14"/>
    </row>
    <row r="75" spans="2:9" x14ac:dyDescent="0.2">
      <c r="B75" s="20" t="s">
        <v>321</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4.6981742560452781E-2</v>
      </c>
    </row>
    <row r="76" spans="2:9" x14ac:dyDescent="0.2">
      <c r="B76" s="20" t="s">
        <v>318</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0.26107749045185435</v>
      </c>
    </row>
    <row r="77" spans="2:9" x14ac:dyDescent="0.2">
      <c r="B77" s="20" t="s">
        <v>319</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0.64278593560555031</v>
      </c>
    </row>
    <row r="79" spans="2:9" ht="17" thickBot="1" x14ac:dyDescent="0.25">
      <c r="B79" s="14" t="s">
        <v>132</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325</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326</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327</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329</v>
      </c>
      <c r="C93" s="14"/>
      <c r="D93" s="14"/>
      <c r="E93" s="14"/>
      <c r="F93" s="14"/>
      <c r="G93" s="14"/>
      <c r="I93" s="14"/>
    </row>
    <row r="94" spans="2:9" x14ac:dyDescent="0.2">
      <c r="B94" s="20" t="s">
        <v>301</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330</v>
      </c>
      <c r="D3" s="265"/>
      <c r="F3" s="266" t="s">
        <v>331</v>
      </c>
      <c r="G3" s="265"/>
    </row>
    <row r="4" spans="2:7" x14ac:dyDescent="0.2">
      <c r="B4" s="8"/>
      <c r="C4" s="10" t="str">
        <f>Statement!Z2</f>
        <v>30.04.2026</v>
      </c>
      <c r="D4" s="207" t="str">
        <f>Statement!AA2</f>
        <v>31.07.2026</v>
      </c>
      <c r="F4" s="208" t="str">
        <f>Statement!W2</f>
        <v>31.07.2025</v>
      </c>
      <c r="G4" s="207" t="str">
        <f>Statement!AA2</f>
        <v>31.07.2026</v>
      </c>
    </row>
    <row r="5" spans="2:7" x14ac:dyDescent="0.2">
      <c r="B5" s="8" t="s">
        <v>336</v>
      </c>
      <c r="C5" s="10" t="str">
        <f>Statement!Z3</f>
        <v>Q1 2027</v>
      </c>
      <c r="D5" s="207" t="str">
        <f>Statement!AA3</f>
        <v>Q2 2027</v>
      </c>
      <c r="F5" s="208" t="str">
        <f>Statement!W3</f>
        <v>Q2 2026</v>
      </c>
      <c r="G5" s="207" t="str">
        <f>Statement!AA3</f>
        <v>Q2 2027</v>
      </c>
    </row>
    <row r="6" spans="2:7" x14ac:dyDescent="0.2">
      <c r="B6" s="209" t="s">
        <v>20</v>
      </c>
      <c r="C6" s="203">
        <f>Statement!Z5</f>
        <v>130935</v>
      </c>
      <c r="D6" s="202">
        <f>Statement!AA5</f>
        <v>129458</v>
      </c>
      <c r="F6" s="203">
        <f>Statement!W5</f>
        <v>117255</v>
      </c>
      <c r="G6" s="202">
        <f>Statement!AA5</f>
        <v>129458</v>
      </c>
    </row>
    <row r="7" spans="2:7" x14ac:dyDescent="0.2">
      <c r="B7" s="210" t="s">
        <v>332</v>
      </c>
      <c r="C7" s="267">
        <f>Statement!AA91</f>
        <v>-1.128040630847367E-2</v>
      </c>
      <c r="D7" s="268"/>
      <c r="F7" s="267">
        <f>IF(F6=0,
IF(G6=0,0,IF(G6&gt;0,1,-1)),
(G6-F6)/ABS(F6)
)</f>
        <v>0.10407232100976505</v>
      </c>
      <c r="G7" s="268"/>
    </row>
    <row r="8" spans="2:7" x14ac:dyDescent="0.2">
      <c r="B8" s="211" t="s">
        <v>21</v>
      </c>
      <c r="C8" s="204">
        <f>Statement!Z6</f>
        <v>43334</v>
      </c>
      <c r="D8" s="202">
        <f>Statement!AA6</f>
        <v>43185</v>
      </c>
      <c r="F8" s="204">
        <f>Statement!W6</f>
        <v>37641</v>
      </c>
      <c r="G8" s="202">
        <f>Statement!AA6</f>
        <v>43185</v>
      </c>
    </row>
    <row r="9" spans="2:7" x14ac:dyDescent="0.2">
      <c r="B9" s="210" t="s">
        <v>332</v>
      </c>
      <c r="C9" s="267">
        <f>Statement!AA92</f>
        <v>-3.438408639867079E-3</v>
      </c>
      <c r="D9" s="268"/>
      <c r="F9" s="267">
        <f>IF(F8=0,
IF(G8=0,0,IF(G8&gt;0,1,-1)),
(G8-F8)/ABS(F8)
)</f>
        <v>0.14728620387343588</v>
      </c>
      <c r="G9" s="268"/>
    </row>
    <row r="10" spans="2:7" x14ac:dyDescent="0.2">
      <c r="B10" s="211" t="s">
        <v>22</v>
      </c>
      <c r="C10" s="204">
        <f>Statement!Z7</f>
        <v>87601</v>
      </c>
      <c r="D10" s="202">
        <f>Statement!AA7</f>
        <v>86273</v>
      </c>
      <c r="F10" s="204">
        <f>Statement!W7</f>
        <v>79614</v>
      </c>
      <c r="G10" s="202">
        <f>Statement!AA7</f>
        <v>86273</v>
      </c>
    </row>
    <row r="11" spans="2:7" x14ac:dyDescent="0.2">
      <c r="B11" s="210" t="s">
        <v>332</v>
      </c>
      <c r="C11" s="267">
        <f>Statement!AA93</f>
        <v>-1.5159644296297988E-2</v>
      </c>
      <c r="D11" s="268"/>
      <c r="F11" s="267">
        <f>IF(F10=0,
IF(G10=0,0,IF(G10&gt;0,1,-1)),
(G10-F10)/ABS(F10)
)</f>
        <v>8.3641068153842285E-2</v>
      </c>
      <c r="G11" s="268"/>
    </row>
    <row r="12" spans="2:7" x14ac:dyDescent="0.2">
      <c r="B12" s="211" t="s">
        <v>26</v>
      </c>
      <c r="C12" s="204">
        <f>Statement!Z13</f>
        <v>80852</v>
      </c>
      <c r="D12" s="202">
        <f>Statement!AA13</f>
        <v>78665</v>
      </c>
      <c r="F12" s="204">
        <f>Statement!W13</f>
        <v>81121</v>
      </c>
      <c r="G12" s="202">
        <f>Statement!AA13</f>
        <v>78665</v>
      </c>
    </row>
    <row r="13" spans="2:7" x14ac:dyDescent="0.2">
      <c r="B13" s="210" t="s">
        <v>332</v>
      </c>
      <c r="C13" s="267">
        <f>Statement!AA99</f>
        <v>-2.704942363825261E-2</v>
      </c>
      <c r="D13" s="268"/>
      <c r="F13" s="267">
        <f>IF(F12=0,
IF(G12=0,0,IF(G12&gt;0,1,-1)),
(G12-F12)/ABS(F12)
)</f>
        <v>-3.0275760900383378E-2</v>
      </c>
      <c r="G13" s="268"/>
    </row>
    <row r="14" spans="2:7" x14ac:dyDescent="0.2">
      <c r="B14" s="211" t="s">
        <v>333</v>
      </c>
      <c r="C14" s="204">
        <f>Statement!Z14</f>
        <v>6749</v>
      </c>
      <c r="D14" s="202">
        <f>Statement!AA14</f>
        <v>7608</v>
      </c>
      <c r="F14" s="204">
        <f>Statement!W14</f>
        <v>-1507</v>
      </c>
      <c r="G14" s="202">
        <f>Statement!AA14</f>
        <v>7608</v>
      </c>
    </row>
    <row r="15" spans="2:7" x14ac:dyDescent="0.2">
      <c r="B15" s="210" t="s">
        <v>332</v>
      </c>
      <c r="C15" s="267">
        <f>Statement!AA100</f>
        <v>0.12727811527633723</v>
      </c>
      <c r="D15" s="268"/>
      <c r="F15" s="267">
        <f>IF(F14=0,
IF(G14=0,0,IF(G14&gt;0,1,-1)),
(G14-F14)/ABS(F14)
)</f>
        <v>6.0484406104844064</v>
      </c>
      <c r="G15" s="268"/>
    </row>
    <row r="16" spans="2:7" x14ac:dyDescent="0.2">
      <c r="B16" s="211" t="s">
        <v>32</v>
      </c>
      <c r="C16" s="204">
        <f>Statement!Z20</f>
        <v>2963</v>
      </c>
      <c r="D16" s="202">
        <f>Statement!AA20</f>
        <v>1918</v>
      </c>
      <c r="F16" s="204">
        <f>Statement!W20</f>
        <v>654</v>
      </c>
      <c r="G16" s="202">
        <f>Statement!AA20</f>
        <v>1918</v>
      </c>
    </row>
    <row r="17" spans="2:7" x14ac:dyDescent="0.2">
      <c r="B17" s="210" t="s">
        <v>332</v>
      </c>
      <c r="C17" s="267">
        <f>Statement!AA102</f>
        <v>-0.35268309146135673</v>
      </c>
      <c r="D17" s="268"/>
      <c r="F17" s="267">
        <f>IF(F16=0,
IF(G16=0,0,IF(G16&gt;0,1,-1)),
(G16-F16)/ABS(F16)
)</f>
        <v>1.9327217125382263</v>
      </c>
      <c r="G17" s="268"/>
    </row>
    <row r="18" spans="2:7" x14ac:dyDescent="0.2">
      <c r="B18" s="211" t="s">
        <v>334</v>
      </c>
      <c r="C18" s="204">
        <f>Statement!Z24</f>
        <v>62041</v>
      </c>
      <c r="D18" s="202">
        <f>Statement!AA24</f>
        <v>62463</v>
      </c>
      <c r="F18" s="204">
        <f>Statement!W24</f>
        <v>61686</v>
      </c>
      <c r="G18" s="202">
        <f>Statement!AA24</f>
        <v>62463</v>
      </c>
    </row>
    <row r="19" spans="2:7" x14ac:dyDescent="0.2">
      <c r="B19" s="210" t="s">
        <v>332</v>
      </c>
      <c r="C19" s="267">
        <f>IF(C18=0,
IF(D18=0,0,IF(D18&gt;0,1,-1)),
(D18-C18)/ABS(C18)
)</f>
        <v>6.8019535468480524E-3</v>
      </c>
      <c r="D19" s="268"/>
      <c r="F19" s="267">
        <f>IF(F18=0,
IF(G18=0,0,IF(G18&gt;0,1,-1)),
(G18-F18)/ABS(F18)
)</f>
        <v>1.2596050967804688E-2</v>
      </c>
      <c r="G19" s="268"/>
    </row>
    <row r="20" spans="2:7" x14ac:dyDescent="0.2">
      <c r="B20" s="211" t="s">
        <v>39</v>
      </c>
      <c r="C20" s="205">
        <f>Statement!Z28</f>
        <v>0.05</v>
      </c>
      <c r="D20" s="206">
        <f>Statement!AA28</f>
        <v>0.03</v>
      </c>
      <c r="F20" s="205">
        <f>Statement!W28</f>
        <v>0.01</v>
      </c>
      <c r="G20" s="206">
        <f>Statement!AA28</f>
        <v>0.03</v>
      </c>
    </row>
    <row r="21" spans="2:7" x14ac:dyDescent="0.2">
      <c r="B21" s="210" t="s">
        <v>332</v>
      </c>
      <c r="C21" s="267">
        <f>IF(C20=0,
IF(D20=0,0,IF(D20&gt;0,1,-1)),
(D20-C20)/ABS(C20)
)</f>
        <v>-0.40000000000000008</v>
      </c>
      <c r="D21" s="268"/>
      <c r="F21" s="267">
        <f>IF(F20=0,
IF(G20=0,0,IF(G20&gt;0,1,-1)),
(G20-F20)/ABS(F20)
)</f>
        <v>1.9999999999999996</v>
      </c>
      <c r="G21" s="268"/>
    </row>
    <row r="23" spans="2:7" x14ac:dyDescent="0.2">
      <c r="B23" s="8" t="s">
        <v>335</v>
      </c>
      <c r="C23" s="10" t="str">
        <f>C5</f>
        <v>Q1 2027</v>
      </c>
      <c r="D23" s="207" t="str">
        <f>D5</f>
        <v>Q2 2027</v>
      </c>
      <c r="F23" s="208" t="str">
        <f>F5</f>
        <v>Q2 2026</v>
      </c>
      <c r="G23" s="207" t="str">
        <f>G5</f>
        <v>Q2 2027</v>
      </c>
    </row>
    <row r="24" spans="2:7" x14ac:dyDescent="0.2">
      <c r="B24" s="20" t="str">
        <f>Statement!B193</f>
        <v>Subscription and related services</v>
      </c>
      <c r="C24" s="204">
        <f>Statement!Z187</f>
        <v>52721</v>
      </c>
      <c r="D24" s="202">
        <f>Statement!AA187</f>
        <v>52695</v>
      </c>
      <c r="F24" s="204">
        <f>Statement!W187</f>
        <v>53702</v>
      </c>
      <c r="G24" s="202">
        <f>Statement!AA187</f>
        <v>52695</v>
      </c>
    </row>
    <row r="25" spans="2:7" x14ac:dyDescent="0.2">
      <c r="B25" s="210" t="s">
        <v>332</v>
      </c>
      <c r="C25" s="267">
        <f>IF(C24=0,
IF(D24=0,0,IF(D24&gt;0,1,-1)),
(D24-C24)/ABS(C24)
)</f>
        <v>-4.9316211756226169E-4</v>
      </c>
      <c r="D25" s="268"/>
      <c r="F25" s="267">
        <f>IF(F24=0,
IF(G24=0,0,IF(G24&gt;0,1,-1)),
(G24-F24)/ABS(F24)
)</f>
        <v>-1.8751629362034932E-2</v>
      </c>
      <c r="G25" s="268"/>
    </row>
    <row r="26" spans="2:7" x14ac:dyDescent="0.2">
      <c r="B26" s="20" t="str">
        <f>Statement!B194</f>
        <v>Payment solutions</v>
      </c>
      <c r="C26" s="204">
        <f>Statement!Z188</f>
        <v>41941</v>
      </c>
      <c r="D26" s="202">
        <f>Statement!AA188</f>
        <v>38489</v>
      </c>
      <c r="F26" s="204">
        <f>Statement!W188</f>
        <v>28392</v>
      </c>
      <c r="G26" s="202">
        <f>Statement!AA188</f>
        <v>38489</v>
      </c>
    </row>
    <row r="27" spans="2:7" x14ac:dyDescent="0.2">
      <c r="B27" s="210" t="s">
        <v>332</v>
      </c>
      <c r="C27" s="267">
        <f>IF(C26=0,
IF(D26=0,0,IF(D26&gt;0,1,-1)),
(D26-C26)/ABS(C26)
)</f>
        <v>-8.2306096659593236E-2</v>
      </c>
      <c r="D27" s="268"/>
      <c r="F27" s="267">
        <f>IF(F26=0,
IF(G26=0,0,IF(G26&gt;0,1,-1)),
(G26-F26)/ABS(F26)
)</f>
        <v>0.35562834601296139</v>
      </c>
      <c r="G27" s="268"/>
    </row>
    <row r="28" spans="2:7" x14ac:dyDescent="0.2">
      <c r="B28" s="20" t="str">
        <f>Statement!B195</f>
        <v>Network solutions</v>
      </c>
      <c r="C28" s="204">
        <f>Statement!Z189</f>
        <v>36273</v>
      </c>
      <c r="D28" s="202">
        <f>Statement!AA189</f>
        <v>38274</v>
      </c>
      <c r="F28" s="204">
        <f>Statement!W189</f>
        <v>35161</v>
      </c>
      <c r="G28" s="202">
        <f>Statement!AA189</f>
        <v>38274</v>
      </c>
    </row>
    <row r="29" spans="2:7" x14ac:dyDescent="0.2">
      <c r="B29" s="210" t="s">
        <v>332</v>
      </c>
      <c r="C29" s="267">
        <f>IF(C28=0,
IF(D28=0,0,IF(D28&gt;0,1,-1)),
(D28-C28)/ABS(C28)
)</f>
        <v>5.5164998759407821E-2</v>
      </c>
      <c r="D29" s="268"/>
      <c r="F29" s="267">
        <f>IF(F28=0,
IF(G28=0,0,IF(G28&gt;0,1,-1)),
(G28-F28)/ABS(F28)
)</f>
        <v>8.8535593413156616E-2</v>
      </c>
      <c r="G29" s="268"/>
    </row>
    <row r="31" spans="2:7" x14ac:dyDescent="0.2">
      <c r="B31" s="8" t="s">
        <v>337</v>
      </c>
      <c r="C31" s="10" t="str">
        <f>C5</f>
        <v>Q1 2027</v>
      </c>
      <c r="D31" s="10" t="str">
        <f>D5</f>
        <v>Q2 2027</v>
      </c>
      <c r="F31" s="10" t="str">
        <f>F5</f>
        <v>Q2 2026</v>
      </c>
      <c r="G31" s="10" t="str">
        <f>G5</f>
        <v>Q2 2027</v>
      </c>
    </row>
    <row r="32" spans="2:7" x14ac:dyDescent="0.2">
      <c r="B32" s="20" t="str">
        <f>Statement!B209</f>
        <v>AHSC</v>
      </c>
      <c r="C32" s="204">
        <f>Statement!Z209</f>
        <v>4708</v>
      </c>
      <c r="D32" s="204">
        <f>Statement!AA209</f>
        <v>4744</v>
      </c>
      <c r="F32" s="204">
        <f>Statement!W209</f>
        <v>4467</v>
      </c>
      <c r="G32" s="202">
        <f>Statement!AA209</f>
        <v>4744</v>
      </c>
    </row>
    <row r="33" spans="2:7" x14ac:dyDescent="0.2">
      <c r="B33" s="210" t="s">
        <v>332</v>
      </c>
      <c r="C33" s="267">
        <f>IF(C32=0,
IF(D32=0,0,IF(D32&gt;0,1,-1)),
(D32-C32)/ABS(C32)
)</f>
        <v>7.6465590484282074E-3</v>
      </c>
      <c r="D33" s="268"/>
      <c r="F33" s="267">
        <f>IF(F32=0,
IF(G32=0,0,IF(G32&gt;0,1,-1)),
(G32-F32)/ABS(F32)
)</f>
        <v>6.2010297738974707E-2</v>
      </c>
      <c r="G33" s="268"/>
    </row>
    <row r="34" spans="2:7" x14ac:dyDescent="0.2">
      <c r="B34" s="239" t="str">
        <f>Statement!B210</f>
        <v>Avg subscription revenue per AHSC</v>
      </c>
      <c r="C34" s="240">
        <f>Statement!Z210</f>
        <v>11.198173322005097</v>
      </c>
      <c r="D34" s="240">
        <f>Statement!AA210</f>
        <v>11.107715008431704</v>
      </c>
      <c r="F34" s="240">
        <f>Statement!W210</f>
        <v>12.021938661293934</v>
      </c>
      <c r="G34" s="241">
        <f>Statement!AA210</f>
        <v>11.107715008431704</v>
      </c>
    </row>
    <row r="35" spans="2:7" x14ac:dyDescent="0.2">
      <c r="B35" s="210" t="s">
        <v>332</v>
      </c>
      <c r="C35" s="267">
        <f>IF(C34=0,
IF(D34=0,0,IF(D34&gt;0,1,-1)),
(D34-C34)/ABS(C34)
)</f>
        <v>-8.0779526242585314E-3</v>
      </c>
      <c r="D35" s="268"/>
      <c r="F35" s="267">
        <f>IF(F34=0,
IF(G34=0,0,IF(G34&gt;0,1,-1)),
(G34-F34)/ABS(F34)
)</f>
        <v>-7.604627494945404E-2</v>
      </c>
      <c r="G35" s="268"/>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278</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279</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114</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115</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370</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371</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372</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278</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0" t="s">
        <v>123</v>
      </c>
      <c r="D2" s="260"/>
      <c r="E2" s="260"/>
      <c r="F2" s="260"/>
      <c r="G2" s="272"/>
      <c r="H2" s="273" t="s">
        <v>124</v>
      </c>
      <c r="I2" s="260"/>
      <c r="J2" s="260"/>
      <c r="K2" s="260"/>
      <c r="L2" s="260"/>
      <c r="O2" s="5"/>
      <c r="S2" s="260" t="s">
        <v>123</v>
      </c>
      <c r="T2" s="260"/>
      <c r="U2" s="260"/>
      <c r="V2" s="260"/>
      <c r="W2" s="260"/>
      <c r="X2" s="260"/>
      <c r="Y2" s="260"/>
      <c r="Z2" s="260"/>
      <c r="AA2" s="260" t="s">
        <v>124</v>
      </c>
      <c r="AB2" s="260"/>
      <c r="AC2" s="260"/>
      <c r="AE2" s="86" t="s">
        <v>125</v>
      </c>
    </row>
    <row r="3" spans="1:31" ht="10" customHeight="1" x14ac:dyDescent="0.2">
      <c r="O3" s="5"/>
    </row>
    <row r="4" spans="1:31" ht="16" customHeight="1" x14ac:dyDescent="0.2">
      <c r="A4" s="87"/>
      <c r="B4" s="60"/>
      <c r="C4" s="269" t="s">
        <v>126</v>
      </c>
      <c r="D4" s="269"/>
      <c r="E4" s="269"/>
      <c r="F4" s="269"/>
      <c r="G4" s="269"/>
      <c r="H4" s="269"/>
      <c r="I4" s="269"/>
      <c r="J4" s="269"/>
      <c r="K4" s="269"/>
      <c r="L4" s="269"/>
      <c r="O4" s="5"/>
      <c r="S4" s="270" t="s">
        <v>126</v>
      </c>
      <c r="T4" s="271"/>
      <c r="U4" s="271"/>
      <c r="V4" s="271"/>
      <c r="W4" s="271"/>
      <c r="X4" s="271"/>
      <c r="Y4" s="271"/>
      <c r="Z4" s="271"/>
      <c r="AA4" s="271"/>
      <c r="AB4" s="271"/>
      <c r="AC4" s="271"/>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407</v>
      </c>
      <c r="O6" s="5"/>
      <c r="Q6" s="91" t="s">
        <v>407</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408</v>
      </c>
      <c r="O7" s="5"/>
      <c r="Q7" s="91" t="s">
        <v>408</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409</v>
      </c>
      <c r="O8" s="5"/>
      <c r="Q8" s="91" t="s">
        <v>419</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69" t="s">
        <v>132</v>
      </c>
      <c r="D11" s="269"/>
      <c r="E11" s="269"/>
      <c r="F11" s="269"/>
      <c r="G11" s="269"/>
      <c r="H11" s="269"/>
      <c r="I11" s="269"/>
      <c r="J11" s="269"/>
      <c r="K11" s="269"/>
      <c r="L11" s="269"/>
      <c r="O11" s="5"/>
      <c r="Q11" s="92"/>
      <c r="S11" s="270" t="s">
        <v>132</v>
      </c>
      <c r="T11" s="271"/>
      <c r="U11" s="271"/>
      <c r="V11" s="271"/>
      <c r="W11" s="271"/>
      <c r="X11" s="271"/>
      <c r="Y11" s="271"/>
      <c r="Z11" s="271"/>
      <c r="AA11" s="271"/>
      <c r="AB11" s="271"/>
      <c r="AC11" s="271"/>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69" t="s">
        <v>134</v>
      </c>
      <c r="D19" s="269"/>
      <c r="E19" s="269"/>
      <c r="F19" s="269"/>
      <c r="G19" s="269"/>
      <c r="H19" s="269"/>
      <c r="I19" s="269"/>
      <c r="J19" s="269"/>
      <c r="K19" s="269"/>
      <c r="L19" s="269"/>
      <c r="O19" s="5"/>
      <c r="Q19" s="92"/>
      <c r="S19" s="270" t="s">
        <v>134</v>
      </c>
      <c r="T19" s="271"/>
      <c r="U19" s="271"/>
      <c r="V19" s="271"/>
      <c r="W19" s="271"/>
      <c r="X19" s="271"/>
      <c r="Y19" s="271"/>
      <c r="Z19" s="271"/>
      <c r="AA19" s="271"/>
      <c r="AB19" s="271"/>
      <c r="AC19" s="271"/>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400</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410</v>
      </c>
      <c r="O21" s="5"/>
      <c r="Q21" s="91" t="s">
        <v>410</v>
      </c>
      <c r="R21" s="1" t="s">
        <v>400</v>
      </c>
      <c r="S21" s="156">
        <f>Statement!T211</f>
        <v>1081000</v>
      </c>
      <c r="T21" s="156">
        <f>Statement!U211</f>
        <v>1080000</v>
      </c>
      <c r="U21" s="156">
        <f>Statement!V211</f>
        <v>1314000</v>
      </c>
      <c r="V21" s="156">
        <f>Statement!W211</f>
        <v>1250000</v>
      </c>
      <c r="W21" s="156">
        <f>Statement!X211</f>
        <v>1181000</v>
      </c>
      <c r="X21" s="156">
        <f>Statement!Y211</f>
        <v>1128000</v>
      </c>
      <c r="Y21" s="156">
        <f>Statement!Z211</f>
        <v>1786000</v>
      </c>
      <c r="Z21" s="253">
        <f>Statement!AA211</f>
        <v>1626000</v>
      </c>
      <c r="AA21" s="147">
        <f>Z21*(1+AA22)</f>
        <v>1626000</v>
      </c>
      <c r="AB21" s="147"/>
      <c r="AC21" s="147"/>
      <c r="AE21" s="24">
        <f>SUM(X21:AA21)</f>
        <v>6166000</v>
      </c>
    </row>
    <row r="22" spans="2:31" x14ac:dyDescent="0.2">
      <c r="B22" s="126" t="s">
        <v>410</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410</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401</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401</v>
      </c>
      <c r="S23" s="255">
        <f>Statement!T212</f>
        <v>0.81</v>
      </c>
      <c r="T23" s="255">
        <f>Statement!U212</f>
        <v>0.82</v>
      </c>
      <c r="U23" s="255">
        <f>Statement!V212</f>
        <v>0.82</v>
      </c>
      <c r="V23" s="255">
        <f>Statement!W212</f>
        <v>0.82</v>
      </c>
      <c r="W23" s="255">
        <f>Statement!X212</f>
        <v>0.85</v>
      </c>
      <c r="X23" s="255">
        <f>Statement!Y212</f>
        <v>0.84</v>
      </c>
      <c r="Y23" s="255">
        <f>Statement!Z212</f>
        <v>0</v>
      </c>
      <c r="Z23" s="256">
        <f>Statement!AA212</f>
        <v>0</v>
      </c>
      <c r="AA23" s="257">
        <v>0</v>
      </c>
      <c r="AB23" s="245"/>
      <c r="AC23" s="245"/>
      <c r="AE23" s="50">
        <f>AA23</f>
        <v>0</v>
      </c>
    </row>
    <row r="24" spans="2:31" x14ac:dyDescent="0.2">
      <c r="B24" s="1" t="s">
        <v>402</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402</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4">
        <f>Statement!AA213</f>
        <v>2.4E-2</v>
      </c>
      <c r="AA24" s="248">
        <v>2.3E-2</v>
      </c>
      <c r="AB24" s="248"/>
      <c r="AC24" s="248"/>
      <c r="AE24" s="47"/>
    </row>
    <row r="25" spans="2:31" x14ac:dyDescent="0.2">
      <c r="B25" s="1" t="s">
        <v>398</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411</v>
      </c>
      <c r="O25" s="5"/>
      <c r="Q25" s="91" t="s">
        <v>411</v>
      </c>
      <c r="R25" s="1" t="s">
        <v>398</v>
      </c>
      <c r="S25" s="156">
        <f>Statement!T209</f>
        <v>4237</v>
      </c>
      <c r="T25" s="156">
        <f>Statement!U209</f>
        <v>4341</v>
      </c>
      <c r="U25" s="156">
        <f>Statement!V209</f>
        <v>4411</v>
      </c>
      <c r="V25" s="156">
        <f>Statement!W209</f>
        <v>4467</v>
      </c>
      <c r="W25" s="156">
        <f>Statement!X209</f>
        <v>4520</v>
      </c>
      <c r="X25" s="156">
        <f>Statement!Y209</f>
        <v>4658</v>
      </c>
      <c r="Y25" s="156">
        <f>Statement!Z209</f>
        <v>4708</v>
      </c>
      <c r="Z25" s="251">
        <f>Statement!AA209</f>
        <v>4744</v>
      </c>
      <c r="AA25" s="147">
        <f>Z25*(1+AA26)</f>
        <v>4791.4399999999996</v>
      </c>
      <c r="AB25" s="187"/>
      <c r="AC25" s="187"/>
      <c r="AE25" s="64">
        <f>AA25</f>
        <v>4791.4399999999996</v>
      </c>
    </row>
    <row r="26" spans="2:31" x14ac:dyDescent="0.2">
      <c r="B26" s="126" t="s">
        <v>412</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412</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399</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420</v>
      </c>
      <c r="O27" s="5"/>
      <c r="Q27" s="91" t="s">
        <v>420</v>
      </c>
      <c r="R27" s="1" t="s">
        <v>399</v>
      </c>
      <c r="S27" s="249">
        <f>Statement!T210</f>
        <v>11.650460231295728</v>
      </c>
      <c r="T27" s="249">
        <f>Statement!U210</f>
        <v>11.931121861322277</v>
      </c>
      <c r="U27" s="249">
        <f>Statement!V210</f>
        <v>12.322602584447971</v>
      </c>
      <c r="V27" s="249">
        <f>Statement!W210</f>
        <v>12.021938661293934</v>
      </c>
      <c r="W27" s="249">
        <f>Statement!X210</f>
        <v>12.274336283185841</v>
      </c>
      <c r="X27" s="249">
        <f>Statement!Y210</f>
        <v>12.006011163589523</v>
      </c>
      <c r="Y27" s="249">
        <f>Statement!Z210</f>
        <v>11.198173322005097</v>
      </c>
      <c r="Z27" s="250">
        <f>Statement!AA210</f>
        <v>11.107715008431704</v>
      </c>
      <c r="AA27" s="72">
        <f>Z27*(1+AA28)</f>
        <v>10.996637858347388</v>
      </c>
      <c r="AB27" s="187"/>
      <c r="AC27" s="187"/>
      <c r="AE27" s="72">
        <f>SUM(X27:AA27)</f>
        <v>45.308537352373705</v>
      </c>
    </row>
    <row r="28" spans="2:31" x14ac:dyDescent="0.2">
      <c r="B28" s="126" t="s">
        <v>413</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413</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403</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417</v>
      </c>
      <c r="O29" s="5"/>
      <c r="Q29" s="91" t="s">
        <v>422</v>
      </c>
      <c r="R29" s="1" t="s">
        <v>406</v>
      </c>
      <c r="S29" s="249">
        <f>Statement!T217</f>
        <v>7.7255133349067737</v>
      </c>
      <c r="T29" s="249">
        <f>Statement!U217</f>
        <v>7.6507717115871916</v>
      </c>
      <c r="U29" s="249">
        <f>Statement!V217</f>
        <v>7.1766039446837455</v>
      </c>
      <c r="V29" s="249">
        <f>Statement!W217</f>
        <v>7.8712782628162081</v>
      </c>
      <c r="W29" s="249">
        <f>Statement!X217</f>
        <v>8.2811946902654867</v>
      </c>
      <c r="X29" s="249">
        <f>Statement!Y217</f>
        <v>7.6047659939888366</v>
      </c>
      <c r="Y29" s="249">
        <f>Statement!Z217</f>
        <v>7.7045454545454541</v>
      </c>
      <c r="Z29" s="250">
        <f>Statement!AA217</f>
        <v>8.0678752107925806</v>
      </c>
      <c r="AA29" s="72">
        <f>Z29*(1+AA30)</f>
        <v>7.8258389544688027</v>
      </c>
      <c r="AB29" s="96"/>
      <c r="AC29" s="96"/>
      <c r="AE29" s="72">
        <f>SUM(X29:AA29)</f>
        <v>31.203025613795678</v>
      </c>
    </row>
    <row r="30" spans="2:31" x14ac:dyDescent="0.2">
      <c r="B30" s="126" t="s">
        <v>414</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421</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415</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416</v>
      </c>
      <c r="O31" s="5"/>
      <c r="S31" s="96"/>
      <c r="T31" s="96"/>
      <c r="U31" s="96"/>
      <c r="V31" s="96"/>
      <c r="W31" s="96"/>
      <c r="X31" s="96"/>
      <c r="Y31" s="96"/>
      <c r="Z31" s="252"/>
      <c r="AA31" s="96"/>
      <c r="AB31" s="96"/>
      <c r="AC31" s="96"/>
      <c r="AE31" s="16"/>
    </row>
    <row r="32" spans="2:31" x14ac:dyDescent="0.2">
      <c r="B32" s="126" t="s">
        <v>416</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405</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418</v>
      </c>
      <c r="O33" s="5"/>
      <c r="S33" s="96"/>
      <c r="T33" s="96"/>
      <c r="U33" s="96"/>
      <c r="V33" s="96"/>
      <c r="W33" s="96"/>
      <c r="X33" s="96"/>
      <c r="Y33" s="96"/>
      <c r="Z33" s="252"/>
      <c r="AA33" s="96"/>
      <c r="AB33" s="96"/>
      <c r="AC33" s="96"/>
      <c r="AE33" s="16"/>
    </row>
    <row r="34" spans="2:31" x14ac:dyDescent="0.2">
      <c r="B34" s="126" t="s">
        <v>418</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0" t="s">
        <v>123</v>
      </c>
      <c r="D2" s="260"/>
      <c r="E2" s="260"/>
      <c r="F2" s="260"/>
      <c r="G2" s="272"/>
      <c r="H2" s="273" t="s">
        <v>124</v>
      </c>
      <c r="I2" s="260"/>
      <c r="J2" s="260"/>
      <c r="K2" s="260"/>
      <c r="L2" s="260"/>
      <c r="P2" s="260" t="s">
        <v>123</v>
      </c>
      <c r="Q2" s="260"/>
      <c r="R2" s="260"/>
      <c r="S2" s="260"/>
      <c r="T2" s="260"/>
      <c r="U2" s="260"/>
      <c r="V2" s="260"/>
      <c r="W2" s="260"/>
      <c r="X2" s="260" t="s">
        <v>124</v>
      </c>
      <c r="Y2" s="260"/>
      <c r="Z2" s="260"/>
      <c r="AB2" s="86" t="s">
        <v>125</v>
      </c>
    </row>
    <row r="3" spans="1:28" ht="10" customHeight="1" x14ac:dyDescent="0.2"/>
    <row r="4" spans="1:28" ht="16" customHeight="1" x14ac:dyDescent="0.2">
      <c r="A4" s="87"/>
      <c r="B4" s="60"/>
      <c r="C4" s="269" t="s">
        <v>126</v>
      </c>
      <c r="D4" s="269"/>
      <c r="E4" s="269"/>
      <c r="F4" s="269"/>
      <c r="G4" s="269"/>
      <c r="H4" s="269"/>
      <c r="I4" s="269"/>
      <c r="J4" s="269"/>
      <c r="K4" s="269"/>
      <c r="L4" s="269"/>
      <c r="P4" s="271" t="s">
        <v>126</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69" t="s">
        <v>137</v>
      </c>
      <c r="D9" s="269"/>
      <c r="E9" s="269"/>
      <c r="F9" s="269"/>
      <c r="G9" s="269"/>
      <c r="H9" s="269"/>
      <c r="I9" s="269"/>
      <c r="J9" s="269"/>
      <c r="K9" s="269"/>
      <c r="L9" s="269"/>
      <c r="N9" s="92"/>
      <c r="P9" s="271" t="s">
        <v>138</v>
      </c>
      <c r="Q9" s="271"/>
      <c r="R9" s="271"/>
      <c r="S9" s="271"/>
      <c r="T9" s="271"/>
      <c r="U9" s="271"/>
      <c r="V9" s="271"/>
      <c r="W9" s="271"/>
      <c r="X9" s="271"/>
      <c r="Y9" s="271"/>
      <c r="Z9" s="271"/>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69" t="s">
        <v>140</v>
      </c>
      <c r="D20" s="269"/>
      <c r="E20" s="269"/>
      <c r="F20" s="269"/>
      <c r="G20" s="269"/>
      <c r="H20" s="269"/>
      <c r="I20" s="269"/>
      <c r="J20" s="269"/>
      <c r="K20" s="269"/>
      <c r="L20" s="269"/>
      <c r="P20" s="271" t="s">
        <v>140</v>
      </c>
      <c r="Q20" s="271"/>
      <c r="R20" s="271"/>
      <c r="S20" s="271"/>
      <c r="T20" s="271"/>
      <c r="U20" s="271"/>
      <c r="V20" s="271"/>
      <c r="W20" s="271"/>
      <c r="X20" s="271"/>
      <c r="Y20" s="271"/>
      <c r="Z20" s="271"/>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0" t="s">
        <v>123</v>
      </c>
      <c r="D3" s="260"/>
      <c r="E3" s="260"/>
      <c r="F3" s="260"/>
      <c r="G3" s="272"/>
      <c r="H3" s="273" t="s">
        <v>124</v>
      </c>
      <c r="I3" s="260"/>
      <c r="J3" s="260"/>
      <c r="K3" s="260"/>
      <c r="L3" s="260"/>
      <c r="P3" s="274"/>
      <c r="Q3" s="274"/>
      <c r="R3" s="274"/>
      <c r="S3" s="274"/>
      <c r="T3" s="274"/>
      <c r="U3" s="274"/>
      <c r="V3" s="274"/>
      <c r="W3" s="274"/>
      <c r="X3" s="274"/>
      <c r="Y3" s="274"/>
      <c r="Z3" s="274"/>
      <c r="AB3" s="113"/>
    </row>
    <row r="4" spans="1:28" ht="10" customHeight="1" x14ac:dyDescent="0.2"/>
    <row r="5" spans="1:28" ht="16" customHeight="1" x14ac:dyDescent="0.2">
      <c r="A5" s="87"/>
      <c r="B5" s="60"/>
      <c r="C5" s="269" t="s">
        <v>126</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9" t="s">
        <v>144</v>
      </c>
      <c r="D11" s="269"/>
      <c r="E11" s="269"/>
      <c r="F11" s="269"/>
      <c r="G11" s="269"/>
      <c r="H11" s="269"/>
      <c r="I11" s="269"/>
      <c r="J11" s="269"/>
      <c r="K11" s="269"/>
      <c r="L11" s="269"/>
      <c r="N11" s="92"/>
      <c r="P11" s="274"/>
      <c r="Q11" s="274"/>
      <c r="R11" s="274"/>
      <c r="S11" s="274"/>
      <c r="T11" s="274"/>
      <c r="U11" s="274"/>
      <c r="V11" s="274"/>
      <c r="W11" s="274"/>
      <c r="X11" s="274"/>
      <c r="Y11" s="274"/>
      <c r="Z11" s="274"/>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9" t="s">
        <v>149</v>
      </c>
      <c r="D18" s="269"/>
      <c r="E18" s="269"/>
      <c r="F18" s="269"/>
      <c r="G18" s="269"/>
      <c r="H18" s="269"/>
      <c r="I18" s="269"/>
      <c r="J18" s="269"/>
      <c r="K18" s="269"/>
      <c r="L18" s="269"/>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4"/>
      <c r="C25" s="274"/>
    </row>
    <row r="26" spans="2:12" x14ac:dyDescent="0.2">
      <c r="B26" s="113"/>
      <c r="C26" s="269" t="s">
        <v>155</v>
      </c>
      <c r="D26" s="269"/>
      <c r="E26" s="269"/>
      <c r="F26" s="269"/>
      <c r="G26" s="269"/>
      <c r="H26" s="269"/>
      <c r="I26" s="269"/>
      <c r="J26" s="269"/>
      <c r="K26" s="269"/>
      <c r="L26" s="269"/>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9" t="s">
        <v>159</v>
      </c>
      <c r="D33" s="269"/>
      <c r="E33" s="269"/>
      <c r="F33" s="269"/>
      <c r="G33" s="269"/>
      <c r="H33" s="269"/>
      <c r="I33" s="269"/>
      <c r="J33" s="269"/>
      <c r="K33" s="269"/>
      <c r="L33" s="269"/>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9" t="s">
        <v>162</v>
      </c>
      <c r="D40" s="269"/>
      <c r="E40" s="269"/>
      <c r="F40" s="269"/>
      <c r="G40" s="269"/>
      <c r="H40" s="269"/>
      <c r="I40" s="269"/>
      <c r="J40" s="269"/>
      <c r="K40" s="269"/>
      <c r="L40" s="269"/>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0" t="s">
        <v>123</v>
      </c>
      <c r="D2" s="260"/>
      <c r="E2" s="260"/>
      <c r="F2" s="260"/>
      <c r="G2" s="272"/>
      <c r="H2" s="273" t="s">
        <v>124</v>
      </c>
      <c r="I2" s="260"/>
      <c r="J2" s="260"/>
      <c r="K2" s="260"/>
      <c r="L2" s="260"/>
      <c r="S2" s="274"/>
      <c r="T2" s="274"/>
      <c r="U2" s="274"/>
      <c r="V2" s="274"/>
      <c r="W2" s="274"/>
      <c r="X2" s="274"/>
      <c r="Y2" s="274"/>
      <c r="Z2" s="274"/>
      <c r="AA2" s="274"/>
      <c r="AB2" s="274"/>
      <c r="AC2" s="274"/>
      <c r="AE2" s="113"/>
    </row>
    <row r="3" spans="1:31" ht="10" customHeight="1" x14ac:dyDescent="0.2"/>
    <row r="4" spans="1:31" ht="16" customHeight="1" x14ac:dyDescent="0.2">
      <c r="A4" s="87"/>
      <c r="B4" s="60"/>
      <c r="C4" s="269" t="s">
        <v>19</v>
      </c>
      <c r="D4" s="269"/>
      <c r="E4" s="269"/>
      <c r="F4" s="269"/>
      <c r="G4" s="269"/>
      <c r="H4" s="269"/>
      <c r="I4" s="269"/>
      <c r="J4" s="269"/>
      <c r="K4" s="269"/>
      <c r="L4" s="269"/>
      <c r="S4" s="274"/>
      <c r="T4" s="274"/>
      <c r="U4" s="274"/>
      <c r="V4" s="274"/>
      <c r="W4" s="274"/>
      <c r="X4" s="274"/>
      <c r="Y4" s="274"/>
      <c r="Z4" s="274"/>
      <c r="AA4" s="274"/>
      <c r="AB4" s="274"/>
      <c r="AC4" s="274"/>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9" t="s">
        <v>170</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69" t="s">
        <v>171</v>
      </c>
      <c r="D18" s="269"/>
      <c r="E18" s="269"/>
      <c r="F18" s="269"/>
      <c r="G18" s="269"/>
      <c r="H18" s="269"/>
      <c r="I18" s="269"/>
      <c r="J18" s="269"/>
      <c r="K18" s="269"/>
      <c r="L18" s="269"/>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69" t="s">
        <v>279</v>
      </c>
      <c r="D25" s="269"/>
      <c r="E25" s="269"/>
      <c r="F25" s="269"/>
      <c r="G25" s="269"/>
      <c r="H25" s="269"/>
      <c r="I25" s="269"/>
      <c r="J25" s="269"/>
      <c r="K25" s="269"/>
      <c r="L25" s="269"/>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279</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9" t="s">
        <v>78</v>
      </c>
      <c r="D31" s="269"/>
      <c r="E31" s="269"/>
      <c r="F31" s="269"/>
      <c r="G31" s="269"/>
      <c r="H31" s="269"/>
      <c r="I31" s="269"/>
      <c r="J31" s="269"/>
      <c r="K31" s="269"/>
      <c r="L31" s="269"/>
    </row>
    <row r="32" spans="2:14" x14ac:dyDescent="0.2">
      <c r="B32" s="16" t="s">
        <v>353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0" t="s">
        <v>178</v>
      </c>
      <c r="C4" s="260"/>
    </row>
    <row r="5" spans="1:3" ht="17" customHeight="1" x14ac:dyDescent="0.2">
      <c r="B5" s="1" t="s">
        <v>179</v>
      </c>
      <c r="C5" s="140">
        <f>Statement!AC80</f>
        <v>64726</v>
      </c>
    </row>
    <row r="6" spans="1:3" ht="17" customHeight="1" x14ac:dyDescent="0.2">
      <c r="B6" s="1" t="s">
        <v>1</v>
      </c>
      <c r="C6" s="137">
        <f ca="1">Overview!C5</f>
        <v>10.31</v>
      </c>
    </row>
    <row r="7" spans="1:3" ht="17" customHeight="1" x14ac:dyDescent="0.2">
      <c r="B7" s="1" t="s">
        <v>180</v>
      </c>
      <c r="C7" s="138">
        <f ca="1">C5*C6</f>
        <v>667325.06000000006</v>
      </c>
    </row>
    <row r="8" spans="1:3" ht="17" customHeight="1" x14ac:dyDescent="0.2">
      <c r="B8" s="1" t="s">
        <v>181</v>
      </c>
      <c r="C8" s="116">
        <f>Statement!AC112</f>
        <v>66446</v>
      </c>
    </row>
    <row r="9" spans="1:3" ht="17" customHeight="1" x14ac:dyDescent="0.2">
      <c r="B9" s="1" t="s">
        <v>182</v>
      </c>
      <c r="C9" s="139">
        <f ca="1">Overview!F27</f>
        <v>4.7840000000000001E-2</v>
      </c>
    </row>
    <row r="10" spans="1:3" ht="17" customHeight="1" x14ac:dyDescent="0.2">
      <c r="B10" s="1" t="s">
        <v>9</v>
      </c>
      <c r="C10" s="137">
        <f ca="1">Overview!C13</f>
        <v>0.85060000000000002</v>
      </c>
    </row>
    <row r="11" spans="1:3" ht="17" customHeight="1" x14ac:dyDescent="0.2">
      <c r="B11" s="1" t="s">
        <v>183</v>
      </c>
      <c r="C11" s="139">
        <f>[1]Sheet1!$C$12</f>
        <v>4.3999999999999997E-2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0" t="s">
        <v>185</v>
      </c>
      <c r="C15" s="260"/>
    </row>
    <row r="16" spans="1:3" ht="17" customHeight="1" x14ac:dyDescent="0.2">
      <c r="B16" s="1" t="s">
        <v>186</v>
      </c>
      <c r="C16" s="46">
        <f ca="1">C8/(C8+C7)</f>
        <v>9.0554130057950225E-2</v>
      </c>
    </row>
    <row r="17" spans="2:3" ht="17" customHeight="1" x14ac:dyDescent="0.2">
      <c r="B17" s="1" t="s">
        <v>187</v>
      </c>
      <c r="C17" s="46">
        <f ca="1">C7/(C8+C7)</f>
        <v>0.90944586994204979</v>
      </c>
    </row>
    <row r="18" spans="2:3" ht="17" customHeight="1" x14ac:dyDescent="0.2">
      <c r="B18" s="1" t="s">
        <v>188</v>
      </c>
      <c r="C18" s="46">
        <f>C13*(1-C12)</f>
        <v>5.1350000000000007E-2</v>
      </c>
    </row>
    <row r="19" spans="2:3" ht="17" customHeight="1" x14ac:dyDescent="0.2">
      <c r="B19" s="1" t="s">
        <v>189</v>
      </c>
      <c r="C19" s="46">
        <f ca="1">C9+C10*C11</f>
        <v>8.5266399999999992E-2</v>
      </c>
    </row>
    <row r="20" spans="2:3" ht="17" customHeight="1" x14ac:dyDescent="0.2">
      <c r="B20" s="1" t="s">
        <v>177</v>
      </c>
      <c r="C20" s="46">
        <f ca="1">(C17*C19)+(C16*C18)</f>
        <v>8.2195129903302522E-2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0" t="s">
        <v>123</v>
      </c>
      <c r="D3" s="260"/>
      <c r="E3" s="260"/>
      <c r="F3" s="260"/>
      <c r="G3" s="272"/>
      <c r="H3" s="273" t="s">
        <v>124</v>
      </c>
      <c r="I3" s="260"/>
      <c r="J3" s="260"/>
      <c r="K3" s="260"/>
      <c r="L3" s="260"/>
      <c r="P3" s="274"/>
      <c r="Q3" s="274"/>
      <c r="R3" s="274"/>
      <c r="S3" s="274"/>
      <c r="T3" s="274"/>
      <c r="U3" s="274"/>
      <c r="V3" s="274"/>
      <c r="W3" s="274"/>
      <c r="X3" s="274"/>
      <c r="Y3" s="274"/>
      <c r="Z3" s="274"/>
      <c r="AB3" s="113"/>
    </row>
    <row r="4" spans="1:28" ht="10" customHeight="1" x14ac:dyDescent="0.2"/>
    <row r="5" spans="1:28" ht="16" customHeight="1" x14ac:dyDescent="0.2">
      <c r="A5" s="87"/>
      <c r="B5" s="60"/>
      <c r="C5" s="269" t="s">
        <v>192</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279</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891087.77548749943</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338</v>
      </c>
      <c r="C10" s="141"/>
      <c r="D10" s="141"/>
      <c r="E10" s="141"/>
      <c r="F10" s="141"/>
      <c r="G10" s="142"/>
      <c r="H10" s="130">
        <f ca="1">H7/(1+$C$15)^H9</f>
        <v>13252.904109372274</v>
      </c>
      <c r="I10" s="130">
        <f t="shared" ref="I10:L10" ca="1" si="0">I7/(1+$C$15)^I9</f>
        <v>8799.4757468205044</v>
      </c>
      <c r="J10" s="130">
        <f t="shared" ca="1" si="0"/>
        <v>21549.50314172354</v>
      </c>
      <c r="K10" s="130">
        <f t="shared" ca="1" si="0"/>
        <v>30351.661367206689</v>
      </c>
      <c r="L10" s="130">
        <f t="shared" ca="1" si="0"/>
        <v>36605.708526935137</v>
      </c>
      <c r="N10" s="92"/>
    </row>
    <row r="11" spans="1:28" x14ac:dyDescent="0.2">
      <c r="B11" s="1" t="s">
        <v>195</v>
      </c>
      <c r="C11" s="141"/>
      <c r="D11" s="141"/>
      <c r="E11" s="141"/>
      <c r="F11" s="141"/>
      <c r="G11" s="142"/>
      <c r="H11" s="141"/>
      <c r="I11" s="141"/>
      <c r="J11" s="141"/>
      <c r="K11" s="141"/>
      <c r="L11" s="130">
        <f ca="1">L8/(1+C15)^L9</f>
        <v>600333.54308487789</v>
      </c>
    </row>
    <row r="13" spans="1:28" x14ac:dyDescent="0.2">
      <c r="B13" s="260" t="s">
        <v>196</v>
      </c>
      <c r="C13" s="260"/>
    </row>
    <row r="14" spans="1:28" x14ac:dyDescent="0.2">
      <c r="B14" s="1" t="s">
        <v>197</v>
      </c>
      <c r="C14" s="144">
        <v>0.02</v>
      </c>
    </row>
    <row r="15" spans="1:28" x14ac:dyDescent="0.2">
      <c r="B15" s="1" t="s">
        <v>177</v>
      </c>
      <c r="C15" s="139">
        <f ca="1">IF(Overview!C28&gt;0,Overview!C28,WACC!C20)</f>
        <v>8.2195129903302522E-2</v>
      </c>
    </row>
    <row r="18" spans="2:3" x14ac:dyDescent="0.2">
      <c r="B18" s="260" t="s">
        <v>198</v>
      </c>
      <c r="C18" s="260"/>
    </row>
    <row r="19" spans="2:3" x14ac:dyDescent="0.2">
      <c r="B19" s="1" t="s">
        <v>199</v>
      </c>
      <c r="C19" s="64">
        <f ca="1">SUM(H10:L10)</f>
        <v>110559.25289205814</v>
      </c>
    </row>
    <row r="20" spans="2:3" x14ac:dyDescent="0.2">
      <c r="B20" s="1" t="s">
        <v>195</v>
      </c>
      <c r="C20" s="64">
        <f ca="1">L11</f>
        <v>600333.54308487789</v>
      </c>
    </row>
    <row r="21" spans="2:3" x14ac:dyDescent="0.2">
      <c r="B21" s="16" t="s">
        <v>200</v>
      </c>
      <c r="C21" s="95">
        <f ca="1">C19+C20</f>
        <v>710892.795976936</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717391.795976936</v>
      </c>
    </row>
    <row r="25" spans="2:3" x14ac:dyDescent="0.2">
      <c r="B25" s="1" t="s">
        <v>70</v>
      </c>
      <c r="C25" s="89">
        <f>Statement!AC80</f>
        <v>64726</v>
      </c>
    </row>
    <row r="26" spans="2:3" x14ac:dyDescent="0.2">
      <c r="B26" s="145" t="s">
        <v>204</v>
      </c>
      <c r="C26" s="146">
        <f ca="1">C24/C25</f>
        <v>11.083518153090505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0" t="s">
        <v>123</v>
      </c>
      <c r="D2" s="260"/>
      <c r="E2" s="260"/>
      <c r="F2" s="260"/>
      <c r="G2" s="272"/>
      <c r="H2" s="273" t="s">
        <v>124</v>
      </c>
      <c r="I2" s="260"/>
      <c r="J2" s="260"/>
      <c r="K2" s="260"/>
      <c r="L2" s="260"/>
    </row>
    <row r="3" spans="1:14" ht="10" customHeight="1" x14ac:dyDescent="0.2"/>
    <row r="4" spans="1:14" ht="16" customHeight="1" x14ac:dyDescent="0.2">
      <c r="A4" s="87"/>
      <c r="B4" s="60"/>
      <c r="C4" s="269" t="s">
        <v>206</v>
      </c>
      <c r="D4" s="269"/>
      <c r="E4" s="269"/>
      <c r="F4" s="269"/>
      <c r="G4" s="269"/>
      <c r="H4" s="269"/>
      <c r="I4" s="269"/>
      <c r="J4" s="269"/>
      <c r="K4" s="269"/>
      <c r="L4" s="269"/>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279</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9" t="s">
        <v>132</v>
      </c>
      <c r="D10" s="269"/>
      <c r="E10" s="269"/>
      <c r="F10" s="269"/>
      <c r="G10" s="269"/>
      <c r="H10" s="269"/>
      <c r="I10" s="269"/>
      <c r="J10" s="269"/>
      <c r="K10" s="269"/>
      <c r="L10" s="269"/>
      <c r="N10" s="92"/>
    </row>
    <row r="11" spans="1:14" x14ac:dyDescent="0.2">
      <c r="B11" s="16" t="s">
        <v>207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169</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279</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9" t="s">
        <v>208</v>
      </c>
      <c r="D16" s="269"/>
      <c r="E16" s="269"/>
      <c r="F16" s="269"/>
      <c r="G16" s="269"/>
      <c r="H16" s="269"/>
      <c r="I16" s="269"/>
      <c r="J16" s="269"/>
      <c r="K16" s="269"/>
      <c r="L16" s="26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209</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210</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9" t="s">
        <v>211</v>
      </c>
      <c r="D21" s="269"/>
      <c r="E21" s="269"/>
      <c r="F21" s="269"/>
      <c r="G21" s="269"/>
      <c r="H21" s="269"/>
      <c r="I21" s="269"/>
      <c r="J21" s="269"/>
      <c r="K21" s="269"/>
      <c r="L21" s="26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9" t="s">
        <v>212</v>
      </c>
      <c r="D26" s="269"/>
      <c r="E26" s="269"/>
      <c r="F26" s="269"/>
      <c r="G26" s="269"/>
      <c r="H26" s="269"/>
      <c r="I26" s="269"/>
      <c r="J26" s="269"/>
      <c r="K26" s="269"/>
      <c r="L26" s="26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213</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214</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181</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190</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215</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216</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339</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0" t="s">
        <v>217</v>
      </c>
      <c r="C37" s="260"/>
      <c r="N37" s="92"/>
    </row>
    <row r="38" spans="2:14" x14ac:dyDescent="0.2">
      <c r="B38" s="1" t="s">
        <v>218</v>
      </c>
      <c r="C38" s="64">
        <f>L7</f>
        <v>79429.467600379314</v>
      </c>
    </row>
    <row r="39" spans="2:14" x14ac:dyDescent="0.2">
      <c r="B39" s="1" t="s">
        <v>177</v>
      </c>
      <c r="C39" s="139">
        <f ca="1">IF(Overview!C28&gt;0,Overview!C28,WACC!C20)</f>
        <v>8.2195129903302522E-2</v>
      </c>
    </row>
    <row r="40" spans="2:14" x14ac:dyDescent="0.2">
      <c r="B40" s="39" t="s">
        <v>219</v>
      </c>
      <c r="C40" s="107">
        <v>20</v>
      </c>
    </row>
    <row r="41" spans="2:14" x14ac:dyDescent="0.2">
      <c r="B41" s="1" t="s">
        <v>215</v>
      </c>
      <c r="C41" s="24">
        <f>(C38*C40)</f>
        <v>1588589.3520075863</v>
      </c>
    </row>
    <row r="42" spans="2:14" x14ac:dyDescent="0.2">
      <c r="B42" s="1" t="s">
        <v>367</v>
      </c>
      <c r="C42" s="24">
        <f ca="1">C41/(1+C39)^5-G30+G31</f>
        <v>1043988.3892245409</v>
      </c>
    </row>
    <row r="43" spans="2:14" x14ac:dyDescent="0.2">
      <c r="B43" s="1" t="s">
        <v>201</v>
      </c>
      <c r="C43" s="89">
        <f>Statement!AC111</f>
        <v>72945</v>
      </c>
    </row>
    <row r="44" spans="2:14" x14ac:dyDescent="0.2">
      <c r="B44" s="1" t="s">
        <v>202</v>
      </c>
      <c r="C44" s="89">
        <f>Statement!AC112</f>
        <v>66446</v>
      </c>
    </row>
    <row r="45" spans="2:14" x14ac:dyDescent="0.2">
      <c r="B45" s="1" t="s">
        <v>425</v>
      </c>
      <c r="C45" s="24">
        <f ca="1">C42+C43-C44</f>
        <v>1050487.3892245409</v>
      </c>
    </row>
    <row r="46" spans="2:14" x14ac:dyDescent="0.2">
      <c r="B46" s="1" t="s">
        <v>70</v>
      </c>
      <c r="C46" s="89">
        <f>Statement!AC80</f>
        <v>64726</v>
      </c>
    </row>
    <row r="47" spans="2:14" x14ac:dyDescent="0.2">
      <c r="B47" s="145" t="s">
        <v>221</v>
      </c>
      <c r="C47" s="146">
        <f ca="1">C45/C46</f>
        <v>16.229759126541744</v>
      </c>
    </row>
    <row r="49" spans="2:3" x14ac:dyDescent="0.2">
      <c r="B49" s="260" t="s">
        <v>222</v>
      </c>
      <c r="C49" s="260"/>
    </row>
    <row r="50" spans="2:3" x14ac:dyDescent="0.2">
      <c r="B50" s="1" t="s">
        <v>223</v>
      </c>
      <c r="C50" s="64">
        <f>L6</f>
        <v>786430.37228098325</v>
      </c>
    </row>
    <row r="51" spans="2:3" x14ac:dyDescent="0.2">
      <c r="B51" s="1" t="s">
        <v>366</v>
      </c>
      <c r="C51" s="139">
        <f ca="1">IF(Overview!C29&gt;0,Overview!C29,WACC!C19)</f>
        <v>8.5266399999999992E-2</v>
      </c>
    </row>
    <row r="52" spans="2:3" x14ac:dyDescent="0.2">
      <c r="B52" s="39" t="s">
        <v>224</v>
      </c>
      <c r="C52" s="107">
        <v>3</v>
      </c>
    </row>
    <row r="53" spans="2:3" x14ac:dyDescent="0.2">
      <c r="B53" s="1" t="s">
        <v>220</v>
      </c>
      <c r="C53" s="24">
        <f>L18</f>
        <v>92459.495500155026</v>
      </c>
    </row>
    <row r="54" spans="2:3" x14ac:dyDescent="0.2">
      <c r="B54" s="1" t="s">
        <v>204</v>
      </c>
      <c r="C54" s="24">
        <f>(C50*C52)/C53</f>
        <v>25.517023471526446</v>
      </c>
    </row>
    <row r="55" spans="2:3" x14ac:dyDescent="0.2">
      <c r="B55" s="145" t="s">
        <v>221</v>
      </c>
      <c r="C55" s="146">
        <f ca="1">C54/(1+C51)^5</f>
        <v>16.949161820774108</v>
      </c>
    </row>
    <row r="57" spans="2:3" x14ac:dyDescent="0.2">
      <c r="B57" s="260" t="s">
        <v>340</v>
      </c>
      <c r="C57" s="260"/>
    </row>
    <row r="58" spans="2:3" x14ac:dyDescent="0.2">
      <c r="B58" s="1" t="s">
        <v>225</v>
      </c>
      <c r="C58" s="64">
        <f>L8</f>
        <v>54334.627403617545</v>
      </c>
    </row>
    <row r="59" spans="2:3" x14ac:dyDescent="0.2">
      <c r="B59" s="1" t="s">
        <v>177</v>
      </c>
      <c r="C59" s="139">
        <f ca="1">IF(Overview!C28&gt;0,Overview!C28,WACC!C20)</f>
        <v>8.2195129903302522E-2</v>
      </c>
    </row>
    <row r="60" spans="2:3" x14ac:dyDescent="0.2">
      <c r="B60" s="39" t="s">
        <v>368</v>
      </c>
      <c r="C60" s="107">
        <v>18</v>
      </c>
    </row>
    <row r="61" spans="2:3" x14ac:dyDescent="0.2">
      <c r="B61" s="1" t="s">
        <v>215</v>
      </c>
      <c r="C61" s="24">
        <f>(C58*C60)</f>
        <v>978023.29326511582</v>
      </c>
    </row>
    <row r="62" spans="2:3" x14ac:dyDescent="0.2">
      <c r="B62" s="1" t="s">
        <v>367</v>
      </c>
      <c r="C62" s="24">
        <f ca="1">C61/(1+C59)^5-G30+G31</f>
        <v>632644.75348483247</v>
      </c>
    </row>
    <row r="63" spans="2:3" x14ac:dyDescent="0.2">
      <c r="B63" s="1" t="s">
        <v>201</v>
      </c>
      <c r="C63" s="89">
        <f>Statement!AC111</f>
        <v>72945</v>
      </c>
    </row>
    <row r="64" spans="2:3" x14ac:dyDescent="0.2">
      <c r="B64" s="1" t="s">
        <v>202</v>
      </c>
      <c r="C64" s="89">
        <f>Statement!AC112</f>
        <v>66446</v>
      </c>
    </row>
    <row r="65" spans="2:3" x14ac:dyDescent="0.2">
      <c r="B65" s="1" t="s">
        <v>425</v>
      </c>
      <c r="C65" s="24">
        <f ca="1">C62+C63-C64</f>
        <v>639143.75348483247</v>
      </c>
    </row>
    <row r="66" spans="2:3" x14ac:dyDescent="0.2">
      <c r="B66" s="1" t="s">
        <v>70</v>
      </c>
      <c r="C66" s="89">
        <f>Statement!AC80</f>
        <v>64726</v>
      </c>
    </row>
    <row r="67" spans="2:3" x14ac:dyDescent="0.2">
      <c r="B67" s="145" t="s">
        <v>221</v>
      </c>
      <c r="C67" s="146">
        <f ca="1">C65/C66</f>
        <v>9.8746060854190354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226</v>
      </c>
    </row>
    <row r="2" spans="1:14" x14ac:dyDescent="0.2">
      <c r="N2" s="92"/>
    </row>
    <row r="3" spans="1:14" x14ac:dyDescent="0.2">
      <c r="N3" s="92"/>
    </row>
    <row r="4" spans="1:14" x14ac:dyDescent="0.2">
      <c r="B4" s="260" t="s">
        <v>227</v>
      </c>
      <c r="C4" s="260"/>
      <c r="N4" s="92"/>
    </row>
    <row r="5" spans="1:14" x14ac:dyDescent="0.2">
      <c r="B5" s="1" t="s">
        <v>228</v>
      </c>
      <c r="C5" s="137">
        <f ca="1">DCF!C26</f>
        <v>11.083518153090505</v>
      </c>
    </row>
    <row r="6" spans="1:14" x14ac:dyDescent="0.2">
      <c r="B6" s="1" t="s">
        <v>229</v>
      </c>
      <c r="C6" s="137">
        <f ca="1">Multiples!C47</f>
        <v>16.229759126541744</v>
      </c>
    </row>
    <row r="7" spans="1:14" x14ac:dyDescent="0.2">
      <c r="B7" s="1" t="s">
        <v>230</v>
      </c>
      <c r="C7" s="137">
        <f ca="1">Multiples!C55</f>
        <v>16.949161820774108</v>
      </c>
    </row>
    <row r="8" spans="1:14" x14ac:dyDescent="0.2">
      <c r="B8" s="1" t="s">
        <v>341</v>
      </c>
      <c r="C8" s="137">
        <f ca="1">Multiples!C67</f>
        <v>9.8746060854190354</v>
      </c>
    </row>
    <row r="9" spans="1:14" x14ac:dyDescent="0.2">
      <c r="B9" s="145" t="s">
        <v>231</v>
      </c>
      <c r="C9" s="146">
        <f ca="1">AVERAGE(C5:C8)</f>
        <v>13.534261296456346</v>
      </c>
    </row>
    <row r="10" spans="1:14" x14ac:dyDescent="0.2">
      <c r="B10" s="1" t="s">
        <v>232</v>
      </c>
      <c r="C10" s="137">
        <f ca="1">Overview!C5</f>
        <v>10.31</v>
      </c>
    </row>
    <row r="11" spans="1:14" x14ac:dyDescent="0.2">
      <c r="B11" s="1" t="s">
        <v>233</v>
      </c>
      <c r="C11" s="158">
        <f ca="1">(C9-C10)/C10</f>
        <v>0.31273145455444673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B24" sqref="B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426</v>
      </c>
    </row>
    <row r="2" spans="1:14" x14ac:dyDescent="0.2">
      <c r="A2" s="4"/>
      <c r="C2" s="260" t="s">
        <v>123</v>
      </c>
      <c r="D2" s="260"/>
      <c r="E2" s="260"/>
      <c r="F2" s="260"/>
      <c r="G2" s="272"/>
      <c r="H2" s="273" t="s">
        <v>124</v>
      </c>
      <c r="I2" s="260"/>
      <c r="J2" s="260"/>
      <c r="K2" s="260"/>
      <c r="L2" s="260"/>
    </row>
    <row r="3" spans="1:14" ht="10" customHeight="1" x14ac:dyDescent="0.2"/>
    <row r="4" spans="1:14" ht="16" customHeight="1" x14ac:dyDescent="0.2">
      <c r="A4" s="87"/>
      <c r="B4" s="60"/>
      <c r="C4" s="269" t="s">
        <v>206</v>
      </c>
      <c r="D4" s="269"/>
      <c r="E4" s="269"/>
      <c r="F4" s="269"/>
      <c r="G4" s="269"/>
      <c r="H4" s="269"/>
      <c r="I4" s="269"/>
      <c r="J4" s="269"/>
      <c r="K4" s="269"/>
      <c r="L4" s="269"/>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260</v>
      </c>
      <c r="C6" s="258">
        <f>Statement!M28</f>
        <v>-2.37</v>
      </c>
      <c r="D6" s="258">
        <f>Statement!N28</f>
        <v>-3.36</v>
      </c>
      <c r="E6" s="258">
        <f>Statement!O28</f>
        <v>-2.5099999999999998</v>
      </c>
      <c r="F6" s="258">
        <f>Statement!P28</f>
        <v>-1.02</v>
      </c>
      <c r="G6" s="259">
        <f>Statement!Q28</f>
        <v>-0.16</v>
      </c>
      <c r="H6" s="141"/>
      <c r="I6" s="141"/>
      <c r="J6" s="141"/>
      <c r="K6" s="141"/>
      <c r="L6" s="141"/>
      <c r="N6" s="92"/>
    </row>
    <row r="7" spans="1:14" x14ac:dyDescent="0.2">
      <c r="B7" s="16" t="s">
        <v>427</v>
      </c>
      <c r="C7" s="258">
        <f>Statement!M84</f>
        <v>0</v>
      </c>
      <c r="D7" s="258">
        <f>Statement!N84</f>
        <v>0</v>
      </c>
      <c r="E7" s="258">
        <f>Statement!O84</f>
        <v>0</v>
      </c>
      <c r="F7" s="258">
        <f>Statement!P84</f>
        <v>0</v>
      </c>
      <c r="G7" s="259">
        <f>Statement!Q84</f>
        <v>0</v>
      </c>
      <c r="H7" s="141"/>
      <c r="I7" s="141"/>
      <c r="J7" s="141"/>
      <c r="K7" s="141"/>
      <c r="L7" s="141"/>
      <c r="N7" s="92"/>
    </row>
    <row r="8" spans="1:14" x14ac:dyDescent="0.2">
      <c r="N8" s="92"/>
    </row>
    <row r="9" spans="1:14" x14ac:dyDescent="0.2">
      <c r="C9" s="269" t="s">
        <v>132</v>
      </c>
      <c r="D9" s="269"/>
      <c r="E9" s="269"/>
      <c r="F9" s="269"/>
      <c r="G9" s="269"/>
      <c r="H9" s="269"/>
      <c r="I9" s="269"/>
      <c r="J9" s="269"/>
      <c r="K9" s="269"/>
      <c r="L9" s="269"/>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260</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261</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9" t="s">
        <v>428</v>
      </c>
      <c r="D14" s="269"/>
      <c r="E14" s="269"/>
      <c r="F14" s="269"/>
      <c r="G14" s="269"/>
      <c r="H14" s="269"/>
      <c r="I14" s="269"/>
      <c r="J14" s="269"/>
      <c r="K14" s="269"/>
      <c r="L14" s="269"/>
      <c r="N14" s="92"/>
    </row>
    <row r="15" spans="1:14" x14ac:dyDescent="0.2">
      <c r="B15" s="16" t="s">
        <v>353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429</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0" t="s">
        <v>430</v>
      </c>
      <c r="C20" s="260"/>
      <c r="N20" s="92"/>
    </row>
    <row r="21" spans="2:14" x14ac:dyDescent="0.2">
      <c r="B21" s="1" t="s">
        <v>431</v>
      </c>
      <c r="C21" s="109">
        <f>G7</f>
        <v>0</v>
      </c>
    </row>
    <row r="22" spans="2:14" x14ac:dyDescent="0.2">
      <c r="B22" s="1" t="s">
        <v>432</v>
      </c>
      <c r="C22" s="248">
        <v>0</v>
      </c>
    </row>
    <row r="23" spans="2:14" x14ac:dyDescent="0.2">
      <c r="B23" s="39" t="s">
        <v>433</v>
      </c>
      <c r="C23" s="234">
        <f>C21*(1+C22)</f>
        <v>0</v>
      </c>
    </row>
    <row r="24" spans="2:14" x14ac:dyDescent="0.2">
      <c r="B24" s="1" t="s">
        <v>366</v>
      </c>
      <c r="C24" s="139">
        <f ca="1">IF(Overview!C29&gt;0,Overview!C29,WACC!C19)</f>
        <v>8.5266399999999992E-2</v>
      </c>
    </row>
    <row r="25" spans="2:14" x14ac:dyDescent="0.2">
      <c r="B25" s="39" t="s">
        <v>434</v>
      </c>
      <c r="C25" s="248">
        <v>0</v>
      </c>
    </row>
    <row r="26" spans="2:14" x14ac:dyDescent="0.2">
      <c r="B26" s="145" t="s">
        <v>221</v>
      </c>
      <c r="C26" s="146">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234</v>
      </c>
    </row>
    <row r="2" spans="1:28" s="84" customFormat="1" ht="18" customHeight="1" x14ac:dyDescent="0.2">
      <c r="A2" s="4"/>
      <c r="B2" s="83"/>
    </row>
    <row r="3" spans="1:28" x14ac:dyDescent="0.2">
      <c r="A3" s="4"/>
      <c r="C3" s="260" t="s">
        <v>123</v>
      </c>
      <c r="D3" s="260"/>
      <c r="E3" s="260"/>
      <c r="F3" s="260"/>
      <c r="G3" s="272"/>
      <c r="H3" s="273" t="s">
        <v>124</v>
      </c>
      <c r="I3" s="260"/>
      <c r="J3" s="260"/>
      <c r="K3" s="260"/>
      <c r="L3" s="260"/>
      <c r="P3" s="274"/>
      <c r="Q3" s="274"/>
      <c r="R3" s="274"/>
      <c r="S3" s="274"/>
      <c r="T3" s="274"/>
      <c r="U3" s="274"/>
      <c r="V3" s="274"/>
      <c r="W3" s="274"/>
      <c r="X3" s="274"/>
      <c r="Y3" s="274"/>
      <c r="Z3" s="274"/>
      <c r="AB3" s="113"/>
    </row>
    <row r="4" spans="1:28" ht="10" customHeight="1" x14ac:dyDescent="0.2"/>
    <row r="5" spans="1:28" ht="16" customHeight="1" x14ac:dyDescent="0.2">
      <c r="A5" s="87"/>
      <c r="B5" s="60"/>
      <c r="C5" s="269" t="s">
        <v>192</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279</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1173795.0409220632</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338</v>
      </c>
      <c r="C10" s="141"/>
      <c r="D10" s="141"/>
      <c r="E10" s="141"/>
      <c r="F10" s="141"/>
      <c r="G10" s="142"/>
      <c r="H10" s="130">
        <f ca="1">H7/(1+$C$21)^H9</f>
        <v>11458.192388195257</v>
      </c>
      <c r="I10" s="130">
        <f t="shared" ref="I10:L10" ca="1" si="1">I7/(1+$C$21)^I9</f>
        <v>16411.27160061197</v>
      </c>
      <c r="J10" s="130">
        <f t="shared" ca="1" si="1"/>
        <v>23505.438416842135</v>
      </c>
      <c r="K10" s="130">
        <f t="shared" ca="1" si="1"/>
        <v>33666.229443631622</v>
      </c>
      <c r="L10" s="130">
        <f t="shared" ca="1" si="1"/>
        <v>48219.266743781867</v>
      </c>
      <c r="N10" s="92"/>
    </row>
    <row r="11" spans="1:28" x14ac:dyDescent="0.2">
      <c r="B11" s="1" t="s">
        <v>195</v>
      </c>
      <c r="C11" s="141"/>
      <c r="D11" s="141"/>
      <c r="E11" s="141"/>
      <c r="F11" s="141"/>
      <c r="G11" s="142"/>
      <c r="H11" s="141"/>
      <c r="I11" s="141"/>
      <c r="J11" s="141"/>
      <c r="K11" s="141"/>
      <c r="L11" s="130">
        <f ca="1">L8/(1+C21)^L9</f>
        <v>790795.87348921818</v>
      </c>
    </row>
    <row r="13" spans="1:28" ht="17" thickBot="1" x14ac:dyDescent="0.25"/>
    <row r="14" spans="1:28" x14ac:dyDescent="0.2">
      <c r="B14" s="275" t="s">
        <v>235</v>
      </c>
      <c r="C14" s="276"/>
    </row>
    <row r="15" spans="1:28" x14ac:dyDescent="0.2">
      <c r="B15" s="159" t="s">
        <v>236</v>
      </c>
      <c r="C15" s="160">
        <f ca="1">Overview!C5</f>
        <v>10.31</v>
      </c>
    </row>
    <row r="16" spans="1:28" x14ac:dyDescent="0.2">
      <c r="B16" s="159" t="s">
        <v>237</v>
      </c>
      <c r="C16" s="160">
        <f ca="1">C36</f>
        <v>14.991787986052763</v>
      </c>
    </row>
    <row r="17" spans="2:9" ht="17" thickBot="1" x14ac:dyDescent="0.25">
      <c r="B17" s="161" t="s">
        <v>342</v>
      </c>
      <c r="C17" s="162">
        <v>0.55000000000000004</v>
      </c>
      <c r="E17" s="277" t="s">
        <v>238</v>
      </c>
      <c r="F17" s="277"/>
      <c r="G17" s="277"/>
      <c r="H17" s="277"/>
      <c r="I17" s="277"/>
    </row>
    <row r="18" spans="2:9" ht="17" thickBot="1" x14ac:dyDescent="0.25"/>
    <row r="19" spans="2:9" x14ac:dyDescent="0.2">
      <c r="B19" s="275" t="s">
        <v>196</v>
      </c>
      <c r="C19" s="276"/>
    </row>
    <row r="20" spans="2:9" x14ac:dyDescent="0.2">
      <c r="B20" s="163" t="s">
        <v>197</v>
      </c>
      <c r="C20" s="164">
        <v>0.02</v>
      </c>
    </row>
    <row r="21" spans="2:9" x14ac:dyDescent="0.2">
      <c r="B21" s="163" t="s">
        <v>177</v>
      </c>
      <c r="C21" s="226">
        <f ca="1">IF(Overview!C28&gt;0,Overview!C28,WACC!C20)</f>
        <v>8.2195129903302522E-2</v>
      </c>
    </row>
    <row r="22" spans="2:9" x14ac:dyDescent="0.2">
      <c r="B22" s="163" t="s">
        <v>70</v>
      </c>
      <c r="C22" s="227">
        <f>Statement!AC77</f>
        <v>62071</v>
      </c>
    </row>
    <row r="23" spans="2:9" x14ac:dyDescent="0.2">
      <c r="B23" s="163" t="s">
        <v>239</v>
      </c>
      <c r="C23" s="165">
        <f ca="1">C15*C22</f>
        <v>639952.01</v>
      </c>
    </row>
    <row r="24" spans="2:9" x14ac:dyDescent="0.2">
      <c r="B24" s="163" t="s">
        <v>190</v>
      </c>
      <c r="C24" s="227">
        <f>Statement!AC111</f>
        <v>72945</v>
      </c>
    </row>
    <row r="25" spans="2:9" x14ac:dyDescent="0.2">
      <c r="B25" s="163" t="s">
        <v>181</v>
      </c>
      <c r="C25" s="227">
        <f>Statement!AC112</f>
        <v>66446</v>
      </c>
    </row>
    <row r="26" spans="2:9" ht="17" thickBot="1" x14ac:dyDescent="0.25">
      <c r="B26" s="161" t="s">
        <v>240</v>
      </c>
      <c r="C26" s="166">
        <f ca="1">C23+C25-C24</f>
        <v>633453.01</v>
      </c>
    </row>
    <row r="27" spans="2:9" ht="17" thickBot="1" x14ac:dyDescent="0.25"/>
    <row r="28" spans="2:9" x14ac:dyDescent="0.2">
      <c r="B28" s="275" t="s">
        <v>198</v>
      </c>
      <c r="C28" s="276"/>
    </row>
    <row r="29" spans="2:9" x14ac:dyDescent="0.2">
      <c r="B29" s="163" t="s">
        <v>199</v>
      </c>
      <c r="C29" s="165">
        <f ca="1">SUM(H10:L10)</f>
        <v>133260.39859306286</v>
      </c>
    </row>
    <row r="30" spans="2:9" x14ac:dyDescent="0.2">
      <c r="B30" s="163" t="s">
        <v>195</v>
      </c>
      <c r="C30" s="165">
        <f ca="1">L11</f>
        <v>790795.87348921818</v>
      </c>
    </row>
    <row r="31" spans="2:9" x14ac:dyDescent="0.2">
      <c r="B31" s="167" t="s">
        <v>200</v>
      </c>
      <c r="C31" s="168">
        <f ca="1">C29+C30</f>
        <v>924056.27208228107</v>
      </c>
    </row>
    <row r="32" spans="2:9" x14ac:dyDescent="0.2">
      <c r="B32" s="163" t="s">
        <v>201</v>
      </c>
      <c r="C32" s="169">
        <f>C24</f>
        <v>72945</v>
      </c>
    </row>
    <row r="33" spans="2:12" x14ac:dyDescent="0.2">
      <c r="B33" s="163" t="s">
        <v>202</v>
      </c>
      <c r="C33" s="169">
        <f>C25</f>
        <v>66446</v>
      </c>
    </row>
    <row r="34" spans="2:12" x14ac:dyDescent="0.2">
      <c r="B34" s="167" t="s">
        <v>203</v>
      </c>
      <c r="C34" s="168">
        <f ca="1">C31+C32-C33</f>
        <v>930555.27208228107</v>
      </c>
    </row>
    <row r="35" spans="2:12" x14ac:dyDescent="0.2">
      <c r="B35" s="163" t="s">
        <v>70</v>
      </c>
      <c r="C35" s="165">
        <f>C22</f>
        <v>62071</v>
      </c>
    </row>
    <row r="36" spans="2:12" ht="17" thickBot="1" x14ac:dyDescent="0.25">
      <c r="B36" s="170" t="s">
        <v>204</v>
      </c>
      <c r="C36" s="171">
        <f ca="1">C34/C35</f>
        <v>14.991787986052763</v>
      </c>
    </row>
    <row r="39" spans="2:12" x14ac:dyDescent="0.2">
      <c r="C39" s="269" t="s">
        <v>241</v>
      </c>
      <c r="D39" s="269"/>
      <c r="E39" s="269"/>
      <c r="F39" s="269"/>
      <c r="G39" s="269"/>
      <c r="H39" s="269"/>
      <c r="I39" s="269"/>
      <c r="J39" s="269"/>
      <c r="K39" s="269"/>
      <c r="L39" s="26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279</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169</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343</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344</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345</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242</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243</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244</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2026-09-13T21:47:41Z</dcterms:modified>
</cp:coreProperties>
</file>