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A857D3A-213F-3146-A575-8FE0D4BD371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I18" i="1" s="1"/>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I17" i="1" s="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<sst xmlns="http://schemas.openxmlformats.org/spreadsheetml/2006/main" count="853" uniqueCount="449">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</sst>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8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24.07</v>
    <v>7.77</v>
    <v>0.79259999999999997</v>
    <v>0.01</v>
    <v>9.2509999999999999E-4</v>
    <v>-0.02</v>
    <v>-1.8479999999999998E-3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11.02</v>
    <v>Software &amp; IT Services</v>
    <v>Stock</v>
    <v>46307.851047742966</v>
    <v>0</v>
    <v>10.49</v>
    <v>671607570</v>
    <v>PHREESIA, INC.</v>
    <v>PHREESIA, INC.</v>
    <v>10.49</v>
    <v>64.061599999999999</v>
    <v>10.81</v>
    <v>10.82</v>
    <v>10.8</v>
    <v>62070940</v>
    <v>PHR</v>
    <v>PHREESIA, INC. (XNYS:PHR)</v>
    <v>533230</v>
    <v>697289</v>
    <v>2005</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8"/>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2" t="s">
        <v>18</v>
      </c>
      <c r="C2" s="263"/>
      <c r="E2" s="262" t="s">
        <v>299</v>
      </c>
      <c r="F2" s="263"/>
      <c r="H2" s="262" t="s">
        <v>338</v>
      </c>
      <c r="I2" s="263"/>
      <c r="K2" s="136" t="s">
        <v>443</v>
      </c>
    </row>
    <row r="3" spans="2:11" x14ac:dyDescent="0.2">
      <c r="B3" s="185" t="s">
        <v>11</v>
      </c>
      <c r="C3" s="217" t="e" vm="1">
        <v>#VALUE!</v>
      </c>
      <c r="D3" s="2"/>
      <c r="E3" s="185" t="s">
        <v>251</v>
      </c>
      <c r="F3" s="187">
        <f ca="1">Statement!AC153</f>
        <v>700335.32000000007</v>
      </c>
      <c r="H3" s="185" t="str">
        <f>'AVG target price'!B5</f>
        <v>DCF price</v>
      </c>
      <c r="I3" s="211">
        <f ca="1">'AVG target price'!C5</f>
        <v>10.567410456732686</v>
      </c>
      <c r="K3" s="260" t="s">
        <v>444</v>
      </c>
    </row>
    <row r="4" spans="2:11" x14ac:dyDescent="0.2">
      <c r="B4" s="185" t="s">
        <v>0</v>
      </c>
      <c r="C4" s="189" t="str" cm="1">
        <f t="array" aca="1" ref="C4" ca="1">_FV(C3,"Ticker symbol",TRUE)</f>
        <v>PHR</v>
      </c>
      <c r="E4" s="186" t="s">
        <v>200</v>
      </c>
      <c r="F4" s="188">
        <f ca="1">Statement!AC154</f>
        <v>693836.32000000007</v>
      </c>
      <c r="H4" s="185" t="str">
        <f>'AVG target price'!B6</f>
        <v>EV/EBIT price</v>
      </c>
      <c r="I4" s="211">
        <f ca="1">'AVG target price'!C6</f>
        <v>17.562863851780918</v>
      </c>
      <c r="K4" s="260" t="s">
        <v>445</v>
      </c>
    </row>
    <row r="5" spans="2:11" x14ac:dyDescent="0.2">
      <c r="B5" s="185" t="s">
        <v>1</v>
      </c>
      <c r="C5" s="208" cm="1">
        <f t="array" aca="1" ref="C5" ca="1">_FV(C3,"Price",TRUE)</f>
        <v>10.82</v>
      </c>
      <c r="E5" s="185" t="s">
        <v>255</v>
      </c>
      <c r="F5" s="190">
        <f>Statement!AC28</f>
        <v>-1.7861846919361921E-2</v>
      </c>
      <c r="H5" s="185" t="str">
        <f>'AVG target price'!B7</f>
        <v>PS price</v>
      </c>
      <c r="I5" s="211">
        <f ca="1">'AVG target price'!C7</f>
        <v>16.729077459880621</v>
      </c>
      <c r="K5" s="260" t="s">
        <v>446</v>
      </c>
    </row>
    <row r="6" spans="2:11" x14ac:dyDescent="0.2">
      <c r="B6" s="185" t="s">
        <v>2</v>
      </c>
      <c r="C6" s="208" cm="1">
        <f t="array" aca="1" ref="C6" ca="1">_FV(C3,"Price (Extended hours)",TRUE)</f>
        <v>10.8</v>
      </c>
      <c r="E6" s="185" t="s">
        <v>249</v>
      </c>
      <c r="F6" s="190">
        <f ca="1">Statement!AC150</f>
        <v>-605.76042605489556</v>
      </c>
      <c r="H6" s="185" t="str">
        <f>'AVG target price'!B8</f>
        <v>EV/FCFF price</v>
      </c>
      <c r="I6" s="211">
        <f ca="1">'AVG target price'!C8</f>
        <v>14.079558397473312</v>
      </c>
      <c r="K6" s="261" t="s">
        <v>447</v>
      </c>
    </row>
    <row r="7" spans="2:11" x14ac:dyDescent="0.2">
      <c r="B7" s="185" t="s">
        <v>3</v>
      </c>
      <c r="C7" s="6" cm="1">
        <f t="array" aca="1" ref="C7" ca="1">_FV(C3,"Change")</f>
        <v>0.01</v>
      </c>
      <c r="E7" s="186" t="s">
        <v>213</v>
      </c>
      <c r="F7" s="191">
        <f ca="1">Statement!AC151</f>
        <v>1.3187509575752323</v>
      </c>
      <c r="H7" s="185" t="str">
        <f>'AVG target price'!B9</f>
        <v>EV/Sales price</v>
      </c>
      <c r="I7" s="211">
        <f ca="1">'AVG target price'!C9</f>
        <v>25.484509566408331</v>
      </c>
    </row>
    <row r="8" spans="2:11" x14ac:dyDescent="0.2">
      <c r="B8" s="185" t="s">
        <v>4</v>
      </c>
      <c r="C8" s="6" cm="1">
        <f t="array" aca="1" ref="C8" ca="1">_FV(C3,"Change (extended hours)",TRUE)</f>
        <v>-0.02</v>
      </c>
      <c r="E8" s="185" t="s">
        <v>277</v>
      </c>
      <c r="F8" s="192">
        <f ca="1">Statement!AC161</f>
        <v>1.1560176630817362E-2</v>
      </c>
      <c r="H8" s="184" t="str">
        <f>'AVG target price'!B10</f>
        <v>AVG price</v>
      </c>
      <c r="I8" s="212">
        <f ca="1">'AVG target price'!C10</f>
        <v>16.884683946455176</v>
      </c>
    </row>
    <row r="9" spans="2:11" x14ac:dyDescent="0.2">
      <c r="B9" s="185" t="s">
        <v>5</v>
      </c>
      <c r="C9" s="73" cm="1">
        <f t="array" aca="1" ref="C9" ca="1">_FV(C3,"Change (%)",TRUE)</f>
        <v>9.2509999999999999E-4</v>
      </c>
      <c r="E9" s="185" t="s">
        <v>300</v>
      </c>
      <c r="F9" s="192">
        <f ca="1">Statement!AC162</f>
        <v>-1.6508176450426913E-3</v>
      </c>
      <c r="H9" s="184" t="str">
        <f>'AVG target price'!B12</f>
        <v>Upside/Downside</v>
      </c>
      <c r="I9" s="213">
        <f ca="1">'AVG target price'!C12</f>
        <v>0.56050683423800152</v>
      </c>
    </row>
    <row r="10" spans="2:11" x14ac:dyDescent="0.2">
      <c r="B10" s="185" t="s">
        <v>6</v>
      </c>
      <c r="C10" s="73" cm="1">
        <f t="array" aca="1" ref="C10" ca="1">_FV(C3,"Change % (extended hours)",TRUE)</f>
        <v>-1.8479999999999998E-3</v>
      </c>
      <c r="E10" s="185" t="s">
        <v>305</v>
      </c>
      <c r="F10" s="192">
        <f ca="1">Statement!AC164</f>
        <v>0</v>
      </c>
    </row>
    <row r="11" spans="2:11" x14ac:dyDescent="0.2">
      <c r="B11" s="185" t="s">
        <v>7</v>
      </c>
      <c r="C11" s="209" cm="1">
        <f t="array" aca="1" ref="C11" ca="1">_FV(C3,"52 week high",TRUE)</f>
        <v>24.07</v>
      </c>
      <c r="E11" s="186" t="s">
        <v>301</v>
      </c>
      <c r="F11" s="193">
        <f ca="1">Statement!AC163</f>
        <v>0</v>
      </c>
      <c r="H11" s="184" t="s">
        <v>427</v>
      </c>
      <c r="I11" s="212">
        <f ca="1">DDM!C26</f>
        <v>0</v>
      </c>
    </row>
    <row r="12" spans="2:11" x14ac:dyDescent="0.2">
      <c r="B12" s="185" t="s">
        <v>8</v>
      </c>
      <c r="C12" s="209" cm="1">
        <f t="array" aca="1" ref="C12" ca="1">_FV(C3,"52 week low",TRUE)</f>
        <v>7.77</v>
      </c>
      <c r="E12" s="185" t="s">
        <v>112</v>
      </c>
      <c r="F12" s="192">
        <f>Statement!AC127</f>
        <v>-1.8099561499095023E-3</v>
      </c>
    </row>
    <row r="13" spans="2:11" x14ac:dyDescent="0.2">
      <c r="B13" s="185" t="s">
        <v>9</v>
      </c>
      <c r="C13" s="209" cm="1">
        <f t="array" aca="1" ref="C13" ca="1">_FV(C3,"Beta")</f>
        <v>0.79259999999999997</v>
      </c>
      <c r="E13" s="185" t="s">
        <v>114</v>
      </c>
      <c r="F13" s="192">
        <f>Statement!AC129</f>
        <v>-3.1491107997558164E-3</v>
      </c>
      <c r="H13" s="184" t="s">
        <v>440</v>
      </c>
      <c r="I13" s="213">
        <f>'Reverse DCF'!C17</f>
        <v>0.45</v>
      </c>
    </row>
    <row r="14" spans="2:11" x14ac:dyDescent="0.2">
      <c r="B14" s="186" t="s">
        <v>10</v>
      </c>
      <c r="C14" s="210" cm="1">
        <f t="array" aca="1" ref="C14" ca="1">_FV(C3,"Volume average",TRUE)</f>
        <v>697289</v>
      </c>
      <c r="E14" s="186" t="s">
        <v>115</v>
      </c>
      <c r="F14" s="193">
        <f>Statement!AC140</f>
        <v>-1.4540196296708597E-2</v>
      </c>
    </row>
    <row r="15" spans="2:11" x14ac:dyDescent="0.2">
      <c r="E15" s="185" t="s">
        <v>302</v>
      </c>
      <c r="F15" s="192">
        <f ca="1">Statement!AC176</f>
        <v>9.2798404055931365E-3</v>
      </c>
    </row>
    <row r="16" spans="2:11" x14ac:dyDescent="0.2">
      <c r="E16" s="186" t="s">
        <v>307</v>
      </c>
      <c r="F16" s="191">
        <f>Statement!AC175</f>
        <v>0.10470267918995989</v>
      </c>
      <c r="H16" s="262" t="s">
        <v>441</v>
      </c>
      <c r="I16" s="263"/>
    </row>
    <row r="17" spans="2:9" x14ac:dyDescent="0.2">
      <c r="B17" s="264" t="s">
        <v>101</v>
      </c>
      <c r="C17" s="264"/>
      <c r="E17" s="184" t="s">
        <v>308</v>
      </c>
      <c r="F17" s="194">
        <f>Statement!AC171</f>
        <v>5.0026264561381824E-2</v>
      </c>
      <c r="H17" s="185" t="s">
        <v>177</v>
      </c>
      <c r="I17" s="258">
        <f ca="1">DCF!C15</f>
        <v>8.4921795094382302E-2</v>
      </c>
    </row>
    <row r="18" spans="2:9" x14ac:dyDescent="0.2">
      <c r="B18" s="184" t="s">
        <v>12</v>
      </c>
      <c r="C18" s="69" t="s">
        <v>14</v>
      </c>
      <c r="E18" s="185" t="s">
        <v>309</v>
      </c>
      <c r="F18" s="190">
        <f>Statement!AC144</f>
        <v>37.184518492589405</v>
      </c>
      <c r="H18" s="186" t="s">
        <v>442</v>
      </c>
      <c r="I18" s="259">
        <f ca="1">Multiples!C54</f>
        <v>8.8106999999999991E-2</v>
      </c>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4" t="s">
        <v>117</v>
      </c>
      <c r="C25" s="264"/>
      <c r="E25" s="262" t="s">
        <v>352</v>
      </c>
      <c r="F25" s="263"/>
    </row>
    <row r="26" spans="2:9" x14ac:dyDescent="0.2">
      <c r="B26" s="184" t="s">
        <v>118</v>
      </c>
      <c r="C26" s="170">
        <v>0.21</v>
      </c>
      <c r="E26" s="185" t="e" vm="2">
        <v>#VALUE!</v>
      </c>
      <c r="F26" s="219" cm="1">
        <f t="array" aca="1" ref="F26" ca="1">_FV(E26,"Price")</f>
        <v>52.44</v>
      </c>
    </row>
    <row r="27" spans="2:9" x14ac:dyDescent="0.2">
      <c r="B27" s="184" t="s">
        <v>184</v>
      </c>
      <c r="C27" s="221">
        <v>6.5000000000000002E-2</v>
      </c>
      <c r="E27" s="186" t="s">
        <v>353</v>
      </c>
      <c r="F27" s="220">
        <f ca="1">F26/1000</f>
        <v>5.2440000000000001E-2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408AF42-F5FB-7443-88AB-0DF109BF0CF5}"/>
    <hyperlink ref="K4" location="'Analysis -&gt;'!B13" display="'Analysis -&gt;'!B13" xr:uid="{07364BB6-8036-5D4B-B404-C4AC7ACB15AC}"/>
    <hyperlink ref="K5" location="'Forecast -&gt;'!B13" display="'Forecast -&gt;'!B13" xr:uid="{E62C4688-86EB-9642-B23D-66F9D6FE8A6B}"/>
    <hyperlink ref="K6" location="'Valuation -&gt;'!B13" display="'Valuation -&gt;'!B13" xr:uid="{135A1967-42BC-E545-BC4E-C3CE29C558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15</v>
      </c>
    </row>
  </sheetData>
  <hyperlinks>
    <hyperlink ref="H6" location="Overview!B3" display="Overview'!B3" xr:uid="{863A7BEB-FD2C-B043-8721-5908661C55DE}"/>
    <hyperlink ref="H8" location="'Analysis -&gt;'!B13" display="'Analysis -&gt;'!B13" xr:uid="{733756E3-5812-AA41-A85C-6AA8941813B1}"/>
    <hyperlink ref="H9" location="'Forecast -&gt;'!B13" display="'Forecast -&gt;'!B13" xr:uid="{3B1AE0AD-58C8-9247-B3DC-FB2F2F72A726}"/>
    <hyperlink ref="H10" location="'Valuation -&gt;'!B13" display="'Valuation -&gt;'!B13" xr:uid="{86638A7D-42ED-6B41-9FA7-A6BCAF75C46B}"/>
    <hyperlink ref="H7" location="'Financials -&gt;'!B13" display="'Financials -&gt;'!B13" xr:uid="{CD7B5495-9110-C04A-B821-DDA21F557B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10.82</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10.82</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-605.76042605489556</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1.3187509575752323</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1.8061218606377287</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700335.32000000007</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693836.32000000007</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1.366376299003728</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55.334262700374836</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86.50386857707511</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-115.36463046734394</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1.1560176630817362E-2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-1.6508176450426913E-3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9.2798404055931365E-3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244</v>
      </c>
    </row>
  </sheetData>
  <hyperlinks>
    <hyperlink ref="H6" location="Overview!B3" display="Overview'!B3" xr:uid="{CDB7A626-333F-8342-BD4B-A3B9160B7157}"/>
    <hyperlink ref="H8" location="'Analysis -&gt;'!B13" display="'Analysis -&gt;'!B13" xr:uid="{3AF10922-796E-8E40-8D44-E5A7B05EBBF9}"/>
    <hyperlink ref="H9" location="'Forecast -&gt;'!B13" display="'Forecast -&gt;'!B13" xr:uid="{966D1CAF-4424-8C4F-BF25-B68FCF9B9AB5}"/>
    <hyperlink ref="H10" location="'Valuation -&gt;'!B13" display="'Valuation -&gt;'!B13" xr:uid="{06FDE9BB-1407-9A49-A17E-63D96A84C01F}"/>
    <hyperlink ref="H7" location="'Financials -&gt;'!B13" display="'Financials -&gt;'!B13" xr:uid="{980564A1-B3B5-C042-B75F-FABE4DFE62B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5" t="s">
        <v>245</v>
      </c>
      <c r="C4" s="265"/>
      <c r="E4" s="265" t="s">
        <v>252</v>
      </c>
      <c r="F4" s="265"/>
      <c r="G4" s="265"/>
    </row>
    <row r="5" spans="2:7" x14ac:dyDescent="0.2">
      <c r="B5" s="20" t="s">
        <v>1</v>
      </c>
      <c r="C5" s="172">
        <f ca="1">Overview!C5</f>
        <v>10.82</v>
      </c>
      <c r="E5" s="12"/>
      <c r="F5" s="136" t="s">
        <v>253</v>
      </c>
      <c r="G5" s="136" t="s">
        <v>254</v>
      </c>
    </row>
    <row r="6" spans="2:7" x14ac:dyDescent="0.2">
      <c r="B6" s="20" t="s">
        <v>251</v>
      </c>
      <c r="C6" s="173">
        <f ca="1">Statement!AC153</f>
        <v>700335.32000000007</v>
      </c>
      <c r="E6" s="20" t="s">
        <v>20</v>
      </c>
      <c r="F6" s="178">
        <f>IF(Statement!M5&lt;=0,"N/A",_xlfn.RRI(4,Statement!M5,Statement!Q5))</f>
        <v>0.22526577910120138</v>
      </c>
      <c r="G6" s="178" t="str">
        <f>IF(Statement!H5&lt;=0,"N/A",_xlfn.RRI(9,Statement!H5,Statement!Q5))</f>
        <v>N/A</v>
      </c>
    </row>
    <row r="7" spans="2:7" x14ac:dyDescent="0.2">
      <c r="B7" s="20" t="s">
        <v>200</v>
      </c>
      <c r="C7" s="173">
        <f ca="1">Statement!AC154</f>
        <v>693836.32000000007</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-605.76042605489556</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1.3187509575752323</v>
      </c>
      <c r="E9" s="20" t="s">
        <v>256</v>
      </c>
      <c r="F9" s="178" t="str">
        <f>IF(Statement!M84&lt;=0,"N/A",_xlfn.RRI(4,Statement!M84,Statement!Q84))</f>
        <v>N/A</v>
      </c>
      <c r="G9" s="178" t="str">
        <f>IF(Statement!H84&lt;=0,"N/A",_xlfn.RRI(9,Statement!H84,Statement!Q84))</f>
        <v>N/A</v>
      </c>
    </row>
    <row r="10" spans="2:7" x14ac:dyDescent="0.2">
      <c r="B10" s="20" t="s">
        <v>250</v>
      </c>
      <c r="C10" s="174">
        <f ca="1">Statement!AC152</f>
        <v>1.8061218606377287</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1.366376299003728</v>
      </c>
    </row>
    <row r="12" spans="2:7" x14ac:dyDescent="0.2">
      <c r="B12" s="20" t="s">
        <v>216</v>
      </c>
      <c r="C12" s="174">
        <f ca="1">Statement!AC156</f>
        <v>55.334262700374836</v>
      </c>
    </row>
    <row r="15" spans="2:7" x14ac:dyDescent="0.2">
      <c r="B15" s="265" t="s">
        <v>78</v>
      </c>
      <c r="C15" s="265"/>
      <c r="E15" s="265" t="s">
        <v>258</v>
      </c>
      <c r="F15" s="265"/>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5" t="s">
        <v>257</v>
      </c>
      <c r="C21" s="265"/>
      <c r="E21" s="265" t="s">
        <v>261</v>
      </c>
      <c r="F21" s="265"/>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5" t="s">
        <v>262</v>
      </c>
      <c r="C29" s="265"/>
      <c r="E29" s="265" t="s">
        <v>268</v>
      </c>
      <c r="F29" s="265"/>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5" t="s">
        <v>280</v>
      </c>
      <c r="C37" s="265"/>
      <c r="E37" s="265" t="s">
        <v>283</v>
      </c>
      <c r="F37" s="265"/>
    </row>
    <row r="38" spans="2:6" x14ac:dyDescent="0.2">
      <c r="B38" s="20" t="s">
        <v>278</v>
      </c>
      <c r="C38" s="175">
        <f ca="1">Statement!AC162</f>
        <v>-1.6508176450426913E-3</v>
      </c>
      <c r="E38" s="20" t="s">
        <v>282</v>
      </c>
      <c r="F38" s="175">
        <f>Statement!AC168</f>
        <v>0</v>
      </c>
    </row>
    <row r="39" spans="2:6" x14ac:dyDescent="0.2">
      <c r="B39" s="54" t="s">
        <v>281</v>
      </c>
      <c r="C39" s="215">
        <f ca="1">Statement!AC161</f>
        <v>1.1560176630817362E-2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5" t="s">
        <v>291</v>
      </c>
      <c r="C45" s="265"/>
      <c r="E45" s="265" t="s">
        <v>297</v>
      </c>
      <c r="F45" s="265"/>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9.2798404055931365E-3</v>
      </c>
    </row>
    <row r="51" spans="2:6" x14ac:dyDescent="0.2">
      <c r="B51" s="265" t="s">
        <v>294</v>
      </c>
      <c r="C51" s="265"/>
      <c r="E51" s="265" t="s">
        <v>315</v>
      </c>
      <c r="F51" s="265"/>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10.82</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700335.32000000007</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693836.32000000007</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-605.76042605489556</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1.3187509575752323</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1.8061218606377287</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1.366376299003728</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55.334262700374836</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-1.6508176450426913E-3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1.1560176630817362E-2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9.2798404055931365E-3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325</v>
      </c>
      <c r="D3" s="267"/>
      <c r="F3" s="268" t="s">
        <v>326</v>
      </c>
      <c r="G3" s="267"/>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9">
        <f>Statement!AA91</f>
        <v>-1.128040630847367E-2</v>
      </c>
      <c r="D7" s="270"/>
      <c r="F7" s="269">
        <f>IF(F6=0,
IF(G6=0,0,IF(G6&gt;0,1,-1)),
(G6-F6)/ABS(F6)
)</f>
        <v>0.10407232100976505</v>
      </c>
      <c r="G7" s="270"/>
    </row>
    <row r="8" spans="2:7" x14ac:dyDescent="0.2">
      <c r="B8" s="207" t="s">
        <v>21</v>
      </c>
      <c r="C8" s="200">
        <f>Statement!Z6</f>
        <v>43334</v>
      </c>
      <c r="D8" s="198">
        <f>Statement!AA6</f>
        <v>43185</v>
      </c>
      <c r="F8" s="200">
        <f>Statement!W6</f>
        <v>37641</v>
      </c>
      <c r="G8" s="198">
        <f>Statement!AA6</f>
        <v>43185</v>
      </c>
    </row>
    <row r="9" spans="2:7" x14ac:dyDescent="0.2">
      <c r="B9" s="206" t="s">
        <v>327</v>
      </c>
      <c r="C9" s="269">
        <f>Statement!AA92</f>
        <v>-3.438408639867079E-3</v>
      </c>
      <c r="D9" s="270"/>
      <c r="F9" s="269">
        <f>IF(F8=0,
IF(G8=0,0,IF(G8&gt;0,1,-1)),
(G8-F8)/ABS(F8)
)</f>
        <v>0.14728620387343588</v>
      </c>
      <c r="G9" s="270"/>
    </row>
    <row r="10" spans="2:7" x14ac:dyDescent="0.2">
      <c r="B10" s="207" t="s">
        <v>22</v>
      </c>
      <c r="C10" s="200">
        <f>Statement!Z7</f>
        <v>87601</v>
      </c>
      <c r="D10" s="198">
        <f>Statement!AA7</f>
        <v>86273</v>
      </c>
      <c r="F10" s="200">
        <f>Statement!W7</f>
        <v>79614</v>
      </c>
      <c r="G10" s="198">
        <f>Statement!AA7</f>
        <v>86273</v>
      </c>
    </row>
    <row r="11" spans="2:7" x14ac:dyDescent="0.2">
      <c r="B11" s="206" t="s">
        <v>327</v>
      </c>
      <c r="C11" s="269">
        <f>Statement!AA93</f>
        <v>-1.5159644296297988E-2</v>
      </c>
      <c r="D11" s="270"/>
      <c r="F11" s="269">
        <f>IF(F10=0,
IF(G10=0,0,IF(G10&gt;0,1,-1)),
(G10-F10)/ABS(F10)
)</f>
        <v>8.3641068153842285E-2</v>
      </c>
      <c r="G11" s="270"/>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9">
        <f>Statement!AA99</f>
        <v>-2.704942363825261E-2</v>
      </c>
      <c r="D13" s="270"/>
      <c r="F13" s="269">
        <f>IF(F12=0,
IF(G12=0,0,IF(G12&gt;0,1,-1)),
(G12-F12)/ABS(F12)
)</f>
        <v>-3.0275760900383378E-2</v>
      </c>
      <c r="G13" s="270"/>
    </row>
    <row r="14" spans="2:7" x14ac:dyDescent="0.2">
      <c r="B14" s="207" t="s">
        <v>328</v>
      </c>
      <c r="C14" s="200">
        <f>Statement!Z14</f>
        <v>6749</v>
      </c>
      <c r="D14" s="198">
        <f>Statement!AA14</f>
        <v>7608</v>
      </c>
      <c r="F14" s="200">
        <f>Statement!W14</f>
        <v>-1507</v>
      </c>
      <c r="G14" s="198">
        <f>Statement!AA14</f>
        <v>7608</v>
      </c>
    </row>
    <row r="15" spans="2:7" x14ac:dyDescent="0.2">
      <c r="B15" s="206" t="s">
        <v>327</v>
      </c>
      <c r="C15" s="269">
        <f>Statement!AA100</f>
        <v>0.12727811527633723</v>
      </c>
      <c r="D15" s="270"/>
      <c r="F15" s="269">
        <f>IF(F14=0,
IF(G14=0,0,IF(G14&gt;0,1,-1)),
(G14-F14)/ABS(F14)
)</f>
        <v>6.0484406104844064</v>
      </c>
      <c r="G15" s="270"/>
    </row>
    <row r="16" spans="2:7" x14ac:dyDescent="0.2">
      <c r="B16" s="207" t="s">
        <v>32</v>
      </c>
      <c r="C16" s="200">
        <f>Statement!Z20</f>
        <v>2963</v>
      </c>
      <c r="D16" s="198">
        <f>Statement!AA20</f>
        <v>1918</v>
      </c>
      <c r="F16" s="200">
        <f>Statement!W20</f>
        <v>654</v>
      </c>
      <c r="G16" s="198">
        <f>Statement!AA20</f>
        <v>1918</v>
      </c>
    </row>
    <row r="17" spans="2:7" x14ac:dyDescent="0.2">
      <c r="B17" s="206" t="s">
        <v>327</v>
      </c>
      <c r="C17" s="269">
        <f>Statement!AA102</f>
        <v>-0.35268309146135673</v>
      </c>
      <c r="D17" s="270"/>
      <c r="F17" s="269">
        <f>IF(F16=0,
IF(G16=0,0,IF(G16&gt;0,1,-1)),
(G16-F16)/ABS(F16)
)</f>
        <v>1.9327217125382263</v>
      </c>
      <c r="G17" s="270"/>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9">
        <f>IF(C18=0,
IF(D18=0,0,IF(D18&gt;0,1,-1)),
(D18-C18)/ABS(C18)
)</f>
        <v>6.8019535468480524E-3</v>
      </c>
      <c r="D19" s="270"/>
      <c r="F19" s="269">
        <f>IF(F18=0,
IF(G18=0,0,IF(G18&gt;0,1,-1)),
(G18-F18)/ABS(F18)
)</f>
        <v>1.2596050967804688E-2</v>
      </c>
      <c r="G19" s="270"/>
    </row>
    <row r="20" spans="2:7" x14ac:dyDescent="0.2">
      <c r="B20" s="207" t="s">
        <v>39</v>
      </c>
      <c r="C20" s="201">
        <f>Statement!Z28</f>
        <v>0.05</v>
      </c>
      <c r="D20" s="202">
        <f>Statement!AA28</f>
        <v>0.03</v>
      </c>
      <c r="F20" s="201">
        <f>Statement!W28</f>
        <v>0.01</v>
      </c>
      <c r="G20" s="202">
        <f>Statement!AA28</f>
        <v>0.03</v>
      </c>
    </row>
    <row r="21" spans="2:7" x14ac:dyDescent="0.2">
      <c r="B21" s="206" t="s">
        <v>327</v>
      </c>
      <c r="C21" s="269">
        <f>IF(C20=0,
IF(D20=0,0,IF(D20&gt;0,1,-1)),
(D20-C20)/ABS(C20)
)</f>
        <v>-0.40000000000000008</v>
      </c>
      <c r="D21" s="270"/>
      <c r="F21" s="269">
        <f>IF(F20=0,
IF(G20=0,0,IF(G20&gt;0,1,-1)),
(G20-F20)/ABS(F20)
)</f>
        <v>1.9999999999999996</v>
      </c>
      <c r="G21" s="270"/>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9">
        <f>IF(C24=0,
IF(D24=0,0,IF(D24&gt;0,1,-1)),
(D24-C24)/ABS(C24)
)</f>
        <v>-4.9316211756226169E-4</v>
      </c>
      <c r="D25" s="270"/>
      <c r="F25" s="269">
        <f>IF(F24=0,
IF(G24=0,0,IF(G24&gt;0,1,-1)),
(G24-F24)/ABS(F24)
)</f>
        <v>-1.8751629362034932E-2</v>
      </c>
      <c r="G25" s="270"/>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9">
        <f>IF(C26=0,
IF(D26=0,0,IF(D26&gt;0,1,-1)),
(D26-C26)/ABS(C26)
)</f>
        <v>-8.2306096659593236E-2</v>
      </c>
      <c r="D27" s="270"/>
      <c r="F27" s="269">
        <f>IF(F26=0,
IF(G26=0,0,IF(G26&gt;0,1,-1)),
(G26-F26)/ABS(F26)
)</f>
        <v>0.35562834601296139</v>
      </c>
      <c r="G27" s="270"/>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9">
        <f>IF(C28=0,
IF(D28=0,0,IF(D28&gt;0,1,-1)),
(D28-C28)/ABS(C28)
)</f>
        <v>5.5164998759407821E-2</v>
      </c>
      <c r="D29" s="270"/>
      <c r="F29" s="269">
        <f>IF(F28=0,
IF(G28=0,0,IF(G28&gt;0,1,-1)),
(G28-F28)/ABS(F28)
)</f>
        <v>8.8535593413156616E-2</v>
      </c>
      <c r="G29" s="270"/>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9">
        <f>IF(C32=0,
IF(D32=0,0,IF(D32&gt;0,1,-1)),
(D32-C32)/ABS(C32)
)</f>
        <v>7.6465590484282074E-3</v>
      </c>
      <c r="D33" s="270"/>
      <c r="F33" s="269">
        <f>IF(F32=0,
IF(G32=0,0,IF(G32&gt;0,1,-1)),
(G32-F32)/ABS(F32)
)</f>
        <v>6.2010297738974707E-2</v>
      </c>
      <c r="G33" s="270"/>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9">
        <f>IF(C34=0,
IF(D34=0,0,IF(D34&gt;0,1,-1)),
(D34-C34)/ABS(C34)
)</f>
        <v>-8.0779526242585314E-3</v>
      </c>
      <c r="D35" s="270"/>
      <c r="F35" s="269">
        <f>IF(F34=0,
IF(G34=0,0,IF(G34&gt;0,1,-1)),
(G34-F34)/ABS(F34)
)</f>
        <v>-7.604627494945404E-2</v>
      </c>
      <c r="G35" s="270"/>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21"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121</v>
      </c>
    </row>
  </sheetData>
  <hyperlinks>
    <hyperlink ref="H6" location="Overview!B3" display="Overview'!B3" xr:uid="{BBA00E0F-1BD9-9C42-98C2-07BCDFC4AC57}"/>
    <hyperlink ref="H8" location="'Analysis -&gt;'!B13" display="'Analysis -&gt;'!B13" xr:uid="{13C161E0-B9F1-F947-94E5-CC9E17A8DEF7}"/>
    <hyperlink ref="H9" location="'Forecast -&gt;'!B13" display="'Forecast -&gt;'!B13" xr:uid="{2E444A28-14E6-8546-95CF-0DC745980C0A}"/>
    <hyperlink ref="H10" location="'Valuation -&gt;'!B13" display="'Valuation -&gt;'!B13" xr:uid="{667C2DD7-2AD6-8A40-83E8-5E681275FB39}"/>
    <hyperlink ref="H7" location="'Financials -&gt;'!B13" display="'Financials -&gt;'!B13" xr:uid="{696FB99B-A30D-C948-ADFD-0194F4E1488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5" t="s">
        <v>123</v>
      </c>
      <c r="D2" s="265"/>
      <c r="E2" s="265"/>
      <c r="F2" s="265"/>
      <c r="G2" s="274"/>
      <c r="H2" s="275" t="s">
        <v>124</v>
      </c>
      <c r="I2" s="265"/>
      <c r="J2" s="265"/>
      <c r="K2" s="265"/>
      <c r="L2" s="265"/>
      <c r="O2" s="5"/>
      <c r="S2" s="265" t="s">
        <v>123</v>
      </c>
      <c r="T2" s="265"/>
      <c r="U2" s="265"/>
      <c r="V2" s="265"/>
      <c r="W2" s="265"/>
      <c r="X2" s="265"/>
      <c r="Y2" s="265"/>
      <c r="Z2" s="265"/>
      <c r="AA2" s="265" t="s">
        <v>124</v>
      </c>
      <c r="AB2" s="265"/>
      <c r="AC2" s="265"/>
      <c r="AE2" s="86" t="s">
        <v>125</v>
      </c>
    </row>
    <row r="3" spans="1:31" ht="10" customHeight="1" x14ac:dyDescent="0.2">
      <c r="O3" s="5"/>
    </row>
    <row r="4" spans="1:31" ht="16" customHeight="1" x14ac:dyDescent="0.2">
      <c r="A4" s="87"/>
      <c r="B4" s="60"/>
      <c r="C4" s="271" t="s">
        <v>126</v>
      </c>
      <c r="D4" s="271"/>
      <c r="E4" s="271"/>
      <c r="F4" s="271"/>
      <c r="G4" s="271"/>
      <c r="H4" s="271"/>
      <c r="I4" s="271"/>
      <c r="J4" s="271"/>
      <c r="K4" s="271"/>
      <c r="L4" s="271"/>
      <c r="O4" s="5"/>
      <c r="S4" s="272" t="s">
        <v>126</v>
      </c>
      <c r="T4" s="273"/>
      <c r="U4" s="273"/>
      <c r="V4" s="273"/>
      <c r="W4" s="273"/>
      <c r="X4" s="273"/>
      <c r="Y4" s="273"/>
      <c r="Z4" s="273"/>
      <c r="AA4" s="273"/>
      <c r="AB4" s="273"/>
      <c r="AC4" s="273"/>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71" t="s">
        <v>132</v>
      </c>
      <c r="D11" s="271"/>
      <c r="E11" s="271"/>
      <c r="F11" s="271"/>
      <c r="G11" s="271"/>
      <c r="H11" s="271"/>
      <c r="I11" s="271"/>
      <c r="J11" s="271"/>
      <c r="K11" s="271"/>
      <c r="L11" s="271"/>
      <c r="O11" s="5"/>
      <c r="Q11" s="92"/>
      <c r="S11" s="272" t="s">
        <v>132</v>
      </c>
      <c r="T11" s="273"/>
      <c r="U11" s="273"/>
      <c r="V11" s="273"/>
      <c r="W11" s="273"/>
      <c r="X11" s="273"/>
      <c r="Y11" s="273"/>
      <c r="Z11" s="273"/>
      <c r="AA11" s="273"/>
      <c r="AB11" s="273"/>
      <c r="AC11" s="273"/>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71" t="s">
        <v>134</v>
      </c>
      <c r="D19" s="271"/>
      <c r="E19" s="271"/>
      <c r="F19" s="271"/>
      <c r="G19" s="271"/>
      <c r="H19" s="271"/>
      <c r="I19" s="271"/>
      <c r="J19" s="271"/>
      <c r="K19" s="271"/>
      <c r="L19" s="271"/>
      <c r="O19" s="5"/>
      <c r="Q19" s="92"/>
      <c r="S19" s="272" t="s">
        <v>134</v>
      </c>
      <c r="T19" s="273"/>
      <c r="U19" s="273"/>
      <c r="V19" s="273"/>
      <c r="W19" s="273"/>
      <c r="X19" s="273"/>
      <c r="Y19" s="273"/>
      <c r="Z19" s="273"/>
      <c r="AA19" s="273"/>
      <c r="AB19" s="273"/>
      <c r="AC19" s="273"/>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5" t="s">
        <v>123</v>
      </c>
      <c r="D2" s="265"/>
      <c r="E2" s="265"/>
      <c r="F2" s="265"/>
      <c r="G2" s="274"/>
      <c r="H2" s="275" t="s">
        <v>124</v>
      </c>
      <c r="I2" s="265"/>
      <c r="J2" s="265"/>
      <c r="K2" s="265"/>
      <c r="L2" s="265"/>
      <c r="P2" s="265" t="s">
        <v>123</v>
      </c>
      <c r="Q2" s="265"/>
      <c r="R2" s="265"/>
      <c r="S2" s="265"/>
      <c r="T2" s="265"/>
      <c r="U2" s="265"/>
      <c r="V2" s="265"/>
      <c r="W2" s="265"/>
      <c r="X2" s="265" t="s">
        <v>124</v>
      </c>
      <c r="Y2" s="265"/>
      <c r="Z2" s="265"/>
      <c r="AB2" s="86" t="s">
        <v>125</v>
      </c>
    </row>
    <row r="3" spans="1:28" ht="10" customHeight="1" x14ac:dyDescent="0.2"/>
    <row r="4" spans="1:28" ht="16" customHeight="1" x14ac:dyDescent="0.2">
      <c r="A4" s="87"/>
      <c r="B4" s="60"/>
      <c r="C4" s="271" t="s">
        <v>126</v>
      </c>
      <c r="D4" s="271"/>
      <c r="E4" s="271"/>
      <c r="F4" s="271"/>
      <c r="G4" s="271"/>
      <c r="H4" s="271"/>
      <c r="I4" s="271"/>
      <c r="J4" s="271"/>
      <c r="K4" s="271"/>
      <c r="L4" s="271"/>
      <c r="P4" s="273" t="s">
        <v>126</v>
      </c>
      <c r="Q4" s="273"/>
      <c r="R4" s="273"/>
      <c r="S4" s="273"/>
      <c r="T4" s="273"/>
      <c r="U4" s="273"/>
      <c r="V4" s="273"/>
      <c r="W4" s="273"/>
      <c r="X4" s="273"/>
      <c r="Y4" s="273"/>
      <c r="Z4" s="273"/>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71" t="s">
        <v>137</v>
      </c>
      <c r="D9" s="271"/>
      <c r="E9" s="271"/>
      <c r="F9" s="271"/>
      <c r="G9" s="271"/>
      <c r="H9" s="271"/>
      <c r="I9" s="271"/>
      <c r="J9" s="271"/>
      <c r="K9" s="271"/>
      <c r="L9" s="271"/>
      <c r="N9" s="92"/>
      <c r="P9" s="273" t="s">
        <v>138</v>
      </c>
      <c r="Q9" s="273"/>
      <c r="R9" s="273"/>
      <c r="S9" s="273"/>
      <c r="T9" s="273"/>
      <c r="U9" s="273"/>
      <c r="V9" s="273"/>
      <c r="W9" s="273"/>
      <c r="X9" s="273"/>
      <c r="Y9" s="273"/>
      <c r="Z9" s="273"/>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71" t="s">
        <v>140</v>
      </c>
      <c r="D20" s="271"/>
      <c r="E20" s="271"/>
      <c r="F20" s="271"/>
      <c r="G20" s="271"/>
      <c r="H20" s="271"/>
      <c r="I20" s="271"/>
      <c r="J20" s="271"/>
      <c r="K20" s="271"/>
      <c r="L20" s="271"/>
      <c r="P20" s="273" t="s">
        <v>140</v>
      </c>
      <c r="Q20" s="273"/>
      <c r="R20" s="273"/>
      <c r="S20" s="273"/>
      <c r="T20" s="273"/>
      <c r="U20" s="273"/>
      <c r="V20" s="273"/>
      <c r="W20" s="273"/>
      <c r="X20" s="273"/>
      <c r="Y20" s="273"/>
      <c r="Z20" s="273"/>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126</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1" t="s">
        <v>144</v>
      </c>
      <c r="D11" s="271"/>
      <c r="E11" s="271"/>
      <c r="F11" s="271"/>
      <c r="G11" s="271"/>
      <c r="H11" s="271"/>
      <c r="I11" s="271"/>
      <c r="J11" s="271"/>
      <c r="K11" s="271"/>
      <c r="L11" s="271"/>
      <c r="N11" s="92"/>
      <c r="P11" s="276"/>
      <c r="Q11" s="276"/>
      <c r="R11" s="276"/>
      <c r="S11" s="276"/>
      <c r="T11" s="276"/>
      <c r="U11" s="276"/>
      <c r="V11" s="276"/>
      <c r="W11" s="276"/>
      <c r="X11" s="276"/>
      <c r="Y11" s="276"/>
      <c r="Z11" s="276"/>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71" t="s">
        <v>149</v>
      </c>
      <c r="D18" s="271"/>
      <c r="E18" s="271"/>
      <c r="F18" s="271"/>
      <c r="G18" s="271"/>
      <c r="H18" s="271"/>
      <c r="I18" s="271"/>
      <c r="J18" s="271"/>
      <c r="K18" s="271"/>
      <c r="L18" s="271"/>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6"/>
      <c r="C25" s="276"/>
    </row>
    <row r="26" spans="2:12" x14ac:dyDescent="0.2">
      <c r="B26" s="113"/>
      <c r="C26" s="271" t="s">
        <v>155</v>
      </c>
      <c r="D26" s="271"/>
      <c r="E26" s="271"/>
      <c r="F26" s="271"/>
      <c r="G26" s="271"/>
      <c r="H26" s="271"/>
      <c r="I26" s="271"/>
      <c r="J26" s="271"/>
      <c r="K26" s="271"/>
      <c r="L26" s="271"/>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71" t="s">
        <v>159</v>
      </c>
      <c r="D33" s="271"/>
      <c r="E33" s="271"/>
      <c r="F33" s="271"/>
      <c r="G33" s="271"/>
      <c r="H33" s="271"/>
      <c r="I33" s="271"/>
      <c r="J33" s="271"/>
      <c r="K33" s="271"/>
      <c r="L33" s="271"/>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71" t="s">
        <v>162</v>
      </c>
      <c r="D40" s="271"/>
      <c r="E40" s="271"/>
      <c r="F40" s="271"/>
      <c r="G40" s="271"/>
      <c r="H40" s="271"/>
      <c r="I40" s="271"/>
      <c r="J40" s="271"/>
      <c r="K40" s="271"/>
      <c r="L40" s="271"/>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5" t="s">
        <v>123</v>
      </c>
      <c r="D2" s="265"/>
      <c r="E2" s="265"/>
      <c r="F2" s="265"/>
      <c r="G2" s="274"/>
      <c r="H2" s="275" t="s">
        <v>124</v>
      </c>
      <c r="I2" s="265"/>
      <c r="J2" s="265"/>
      <c r="K2" s="265"/>
      <c r="L2" s="265"/>
      <c r="S2" s="276"/>
      <c r="T2" s="276"/>
      <c r="U2" s="276"/>
      <c r="V2" s="276"/>
      <c r="W2" s="276"/>
      <c r="X2" s="276"/>
      <c r="Y2" s="276"/>
      <c r="Z2" s="276"/>
      <c r="AA2" s="276"/>
      <c r="AB2" s="276"/>
      <c r="AC2" s="276"/>
      <c r="AE2" s="113"/>
    </row>
    <row r="3" spans="1:31" ht="10" customHeight="1" x14ac:dyDescent="0.2"/>
    <row r="4" spans="1:31" ht="16" customHeight="1" x14ac:dyDescent="0.2">
      <c r="A4" s="87"/>
      <c r="B4" s="60"/>
      <c r="C4" s="271" t="s">
        <v>19</v>
      </c>
      <c r="D4" s="271"/>
      <c r="E4" s="271"/>
      <c r="F4" s="271"/>
      <c r="G4" s="271"/>
      <c r="H4" s="271"/>
      <c r="I4" s="271"/>
      <c r="J4" s="271"/>
      <c r="K4" s="271"/>
      <c r="L4" s="271"/>
      <c r="S4" s="276"/>
      <c r="T4" s="276"/>
      <c r="U4" s="276"/>
      <c r="V4" s="276"/>
      <c r="W4" s="276"/>
      <c r="X4" s="276"/>
      <c r="Y4" s="276"/>
      <c r="Z4" s="276"/>
      <c r="AA4" s="276"/>
      <c r="AB4" s="276"/>
      <c r="AC4" s="276"/>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71" t="s">
        <v>170</v>
      </c>
      <c r="D13" s="271"/>
      <c r="E13" s="271"/>
      <c r="F13" s="271"/>
      <c r="G13" s="271"/>
      <c r="H13" s="271"/>
      <c r="I13" s="271"/>
      <c r="J13" s="271"/>
      <c r="K13" s="271"/>
      <c r="L13" s="27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71" t="s">
        <v>171</v>
      </c>
      <c r="D18" s="271"/>
      <c r="E18" s="271"/>
      <c r="F18" s="271"/>
      <c r="G18" s="271"/>
      <c r="H18" s="271"/>
      <c r="I18" s="271"/>
      <c r="J18" s="271"/>
      <c r="K18" s="271"/>
      <c r="L18" s="271"/>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71" t="s">
        <v>274</v>
      </c>
      <c r="D25" s="271"/>
      <c r="E25" s="271"/>
      <c r="F25" s="271"/>
      <c r="G25" s="271"/>
      <c r="H25" s="271"/>
      <c r="I25" s="271"/>
      <c r="J25" s="271"/>
      <c r="K25" s="271"/>
      <c r="L25" s="271"/>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71" t="s">
        <v>78</v>
      </c>
      <c r="D31" s="271"/>
      <c r="E31" s="271"/>
      <c r="F31" s="271"/>
      <c r="G31" s="271"/>
      <c r="H31" s="271"/>
      <c r="I31" s="271"/>
      <c r="J31" s="271"/>
      <c r="K31" s="271"/>
      <c r="L31" s="271"/>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176</v>
      </c>
    </row>
  </sheetData>
  <hyperlinks>
    <hyperlink ref="H6" location="Overview!B3" display="Overview'!B3" xr:uid="{BF5FA49C-A360-2C46-9AC4-087B9A82BD62}"/>
    <hyperlink ref="H8" location="'Analysis -&gt;'!B13" display="'Analysis -&gt;'!B13" xr:uid="{E1B31D47-80A1-5640-A51B-BFBFEC3F7165}"/>
    <hyperlink ref="H9" location="'Forecast -&gt;'!B13" display="'Forecast -&gt;'!B13" xr:uid="{A545C11B-5F75-214F-AA44-B65738F09815}"/>
    <hyperlink ref="H10" location="'Valuation -&gt;'!B13" display="'Valuation -&gt;'!B13" xr:uid="{0E82C950-DB55-C84F-9FE3-AE3ABCC4D70E}"/>
    <hyperlink ref="H7" location="'Financials -&gt;'!B13" display="'Financials -&gt;'!B13" xr:uid="{ED292B1E-744B-4542-9A0B-87AC248E4C0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5" t="s">
        <v>178</v>
      </c>
      <c r="C4" s="265"/>
    </row>
    <row r="5" spans="1:3" ht="17" customHeight="1" x14ac:dyDescent="0.2">
      <c r="B5" s="1" t="s">
        <v>179</v>
      </c>
      <c r="C5" s="140">
        <f>Statement!AC80</f>
        <v>64726</v>
      </c>
    </row>
    <row r="6" spans="1:3" ht="17" customHeight="1" x14ac:dyDescent="0.2">
      <c r="B6" s="1" t="s">
        <v>1</v>
      </c>
      <c r="C6" s="137">
        <f ca="1">Overview!C5</f>
        <v>10.82</v>
      </c>
    </row>
    <row r="7" spans="1:3" ht="17" customHeight="1" x14ac:dyDescent="0.2">
      <c r="B7" s="1" t="s">
        <v>180</v>
      </c>
      <c r="C7" s="138">
        <f ca="1">C5*C6</f>
        <v>700335.32000000007</v>
      </c>
    </row>
    <row r="8" spans="1:3" ht="17" customHeight="1" x14ac:dyDescent="0.2">
      <c r="B8" s="1" t="s">
        <v>181</v>
      </c>
      <c r="C8" s="116">
        <f>Statement!AC112</f>
        <v>66446</v>
      </c>
    </row>
    <row r="9" spans="1:3" ht="17" customHeight="1" x14ac:dyDescent="0.2">
      <c r="B9" s="1" t="s">
        <v>182</v>
      </c>
      <c r="C9" s="139">
        <f ca="1">Overview!F27</f>
        <v>5.2440000000000001E-2</v>
      </c>
    </row>
    <row r="10" spans="1:3" ht="17" customHeight="1" x14ac:dyDescent="0.2">
      <c r="B10" s="1" t="s">
        <v>9</v>
      </c>
      <c r="C10" s="137">
        <f ca="1">Overview!C13</f>
        <v>0.79259999999999997</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5" t="s">
        <v>185</v>
      </c>
      <c r="C15" s="265"/>
    </row>
    <row r="16" spans="1:3" ht="17" customHeight="1" x14ac:dyDescent="0.2">
      <c r="B16" s="1" t="s">
        <v>186</v>
      </c>
      <c r="C16" s="46">
        <f ca="1">C8/(C8+C7)</f>
        <v>8.6655736475166084E-2</v>
      </c>
    </row>
    <row r="17" spans="2:3" ht="17" customHeight="1" x14ac:dyDescent="0.2">
      <c r="B17" s="1" t="s">
        <v>187</v>
      </c>
      <c r="C17" s="46">
        <f ca="1">C7/(C8+C7)</f>
        <v>0.91334426352483389</v>
      </c>
    </row>
    <row r="18" spans="2:3" ht="17" customHeight="1" x14ac:dyDescent="0.2">
      <c r="B18" s="1" t="s">
        <v>188</v>
      </c>
      <c r="C18" s="46">
        <f>C13*(1-C12)</f>
        <v>5.1350000000000007E-2</v>
      </c>
    </row>
    <row r="19" spans="2:3" ht="17" customHeight="1" x14ac:dyDescent="0.2">
      <c r="B19" s="1" t="s">
        <v>189</v>
      </c>
      <c r="C19" s="46">
        <f ca="1">C9+C10*C11</f>
        <v>8.8106999999999991E-2</v>
      </c>
    </row>
    <row r="20" spans="2:3" ht="17" customHeight="1" x14ac:dyDescent="0.2">
      <c r="B20" s="1" t="s">
        <v>177</v>
      </c>
      <c r="C20" s="46">
        <f ca="1">(C17*C19)+(C16*C18)</f>
        <v>8.4921795094382302E-2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853662.77797955589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13219.596425372247</v>
      </c>
      <c r="I10" s="130">
        <f t="shared" ref="I10:L10" ca="1" si="0">I7/(1+$C$15)^I9</f>
        <v>8755.3009980007737</v>
      </c>
      <c r="J10" s="130">
        <f t="shared" ca="1" si="0"/>
        <v>21387.434141125133</v>
      </c>
      <c r="K10" s="130">
        <f t="shared" ca="1" si="0"/>
        <v>30047.686085008943</v>
      </c>
      <c r="L10" s="130">
        <f t="shared" ca="1" si="0"/>
        <v>36148.020834145675</v>
      </c>
      <c r="N10" s="92"/>
    </row>
    <row r="11" spans="1:28" x14ac:dyDescent="0.2">
      <c r="B11" s="1" t="s">
        <v>195</v>
      </c>
      <c r="C11" s="141"/>
      <c r="D11" s="141"/>
      <c r="E11" s="141"/>
      <c r="F11" s="141"/>
      <c r="G11" s="142"/>
      <c r="H11" s="141"/>
      <c r="I11" s="141"/>
      <c r="J11" s="141"/>
      <c r="K11" s="141"/>
      <c r="L11" s="130">
        <f ca="1">L8/(1+C15)^L9</f>
        <v>567929.17073882709</v>
      </c>
    </row>
    <row r="13" spans="1:28" x14ac:dyDescent="0.2">
      <c r="B13" s="265" t="s">
        <v>196</v>
      </c>
      <c r="C13" s="265"/>
    </row>
    <row r="14" spans="1:28" x14ac:dyDescent="0.2">
      <c r="B14" s="1" t="s">
        <v>197</v>
      </c>
      <c r="C14" s="144">
        <v>0.02</v>
      </c>
    </row>
    <row r="15" spans="1:28" x14ac:dyDescent="0.2">
      <c r="B15" s="1" t="s">
        <v>177</v>
      </c>
      <c r="C15" s="139">
        <f ca="1">IF(Overview!C28&gt;0,Overview!C28,WACC!C20)</f>
        <v>8.4921795094382302E-2</v>
      </c>
    </row>
    <row r="18" spans="2:3" x14ac:dyDescent="0.2">
      <c r="B18" s="265" t="s">
        <v>198</v>
      </c>
      <c r="C18" s="265"/>
    </row>
    <row r="19" spans="2:3" x14ac:dyDescent="0.2">
      <c r="B19" s="1" t="s">
        <v>199</v>
      </c>
      <c r="C19" s="64">
        <f ca="1">SUM(H10:L10)</f>
        <v>109558.03848365277</v>
      </c>
    </row>
    <row r="20" spans="2:3" x14ac:dyDescent="0.2">
      <c r="B20" s="1" t="s">
        <v>195</v>
      </c>
      <c r="C20" s="64">
        <f ca="1">L11</f>
        <v>567929.17073882709</v>
      </c>
    </row>
    <row r="21" spans="2:3" x14ac:dyDescent="0.2">
      <c r="B21" s="16" t="s">
        <v>200</v>
      </c>
      <c r="C21" s="95">
        <f ca="1">C19+C20</f>
        <v>677487.20922247984</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683986.20922247984</v>
      </c>
    </row>
    <row r="25" spans="2:3" x14ac:dyDescent="0.2">
      <c r="B25" s="1" t="s">
        <v>70</v>
      </c>
      <c r="C25" s="89">
        <f>Statement!AC80</f>
        <v>64726</v>
      </c>
    </row>
    <row r="26" spans="2:3" x14ac:dyDescent="0.2">
      <c r="B26" s="256" t="s">
        <v>204</v>
      </c>
      <c r="C26" s="257">
        <f ca="1">C24/C25</f>
        <v>10.567410456732686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13219.596425372247</v>
      </c>
      <c r="I9" s="93">
        <f ca="1">DCF!I10</f>
        <v>8755.3009980007737</v>
      </c>
      <c r="J9" s="93">
        <f ca="1">DCF!J10</f>
        <v>21387.434141125133</v>
      </c>
      <c r="K9" s="93">
        <f ca="1">DCF!K10</f>
        <v>30047.686085008943</v>
      </c>
      <c r="L9" s="93">
        <f ca="1">DCF!L10</f>
        <v>36148.020834145675</v>
      </c>
      <c r="N9" s="92"/>
    </row>
    <row r="10" spans="1:14" x14ac:dyDescent="0.2">
      <c r="N10" s="92"/>
    </row>
    <row r="11" spans="1:14" x14ac:dyDescent="0.2">
      <c r="C11" s="271" t="s">
        <v>132</v>
      </c>
      <c r="D11" s="271"/>
      <c r="E11" s="271"/>
      <c r="F11" s="271"/>
      <c r="G11" s="271"/>
      <c r="H11" s="271"/>
      <c r="I11" s="271"/>
      <c r="J11" s="271"/>
      <c r="K11" s="271"/>
      <c r="L11" s="271"/>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71" t="s">
        <v>208</v>
      </c>
      <c r="D17" s="271"/>
      <c r="E17" s="271"/>
      <c r="F17" s="271"/>
      <c r="G17" s="271"/>
      <c r="H17" s="271"/>
      <c r="I17" s="271"/>
      <c r="J17" s="271"/>
      <c r="K17" s="271"/>
      <c r="L17" s="271"/>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71" t="s">
        <v>211</v>
      </c>
      <c r="D22" s="271"/>
      <c r="E22" s="271"/>
      <c r="F22" s="271"/>
      <c r="G22" s="271"/>
      <c r="H22" s="271"/>
      <c r="I22" s="271"/>
      <c r="J22" s="271"/>
      <c r="K22" s="271"/>
      <c r="L22" s="271"/>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71" t="s">
        <v>212</v>
      </c>
      <c r="D27" s="271"/>
      <c r="E27" s="271"/>
      <c r="F27" s="271"/>
      <c r="G27" s="271"/>
      <c r="H27" s="271"/>
      <c r="I27" s="271"/>
      <c r="J27" s="271"/>
      <c r="K27" s="271"/>
      <c r="L27" s="271"/>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5" t="s">
        <v>217</v>
      </c>
      <c r="C39" s="265"/>
      <c r="N39" s="92"/>
    </row>
    <row r="40" spans="2:14" x14ac:dyDescent="0.2">
      <c r="B40" s="1" t="s">
        <v>218</v>
      </c>
      <c r="C40" s="64">
        <f>L7</f>
        <v>79429.467600379314</v>
      </c>
    </row>
    <row r="41" spans="2:14" x14ac:dyDescent="0.2">
      <c r="B41" s="1" t="s">
        <v>177</v>
      </c>
      <c r="C41" s="139">
        <f ca="1">IF(Overview!C28&gt;0,Overview!C28,WACC!C20)</f>
        <v>8.4921795094382302E-2</v>
      </c>
    </row>
    <row r="42" spans="2:14" x14ac:dyDescent="0.2">
      <c r="B42" s="39" t="s">
        <v>219</v>
      </c>
      <c r="C42" s="107">
        <v>20</v>
      </c>
    </row>
    <row r="43" spans="2:14" x14ac:dyDescent="0.2">
      <c r="B43" s="1" t="s">
        <v>431</v>
      </c>
      <c r="C43" s="24">
        <f>(C40*C42)</f>
        <v>1588589.3520075863</v>
      </c>
    </row>
    <row r="44" spans="2:14" x14ac:dyDescent="0.2">
      <c r="B44" s="1" t="s">
        <v>432</v>
      </c>
      <c r="C44" s="24">
        <f ca="1">C43/(1+C41)^5</f>
        <v>1056864.9080208645</v>
      </c>
    </row>
    <row r="45" spans="2:14" x14ac:dyDescent="0.2">
      <c r="B45" s="16" t="s">
        <v>433</v>
      </c>
      <c r="C45" s="112">
        <f ca="1">SUM(H9:K9)+C44</f>
        <v>1130274.9256703716</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1136773.9256703716</v>
      </c>
    </row>
    <row r="49" spans="2:3" x14ac:dyDescent="0.2">
      <c r="B49" s="1" t="s">
        <v>70</v>
      </c>
      <c r="C49" s="89">
        <f>Statement!AC80</f>
        <v>64726</v>
      </c>
    </row>
    <row r="50" spans="2:3" x14ac:dyDescent="0.2">
      <c r="B50" s="256" t="s">
        <v>221</v>
      </c>
      <c r="C50" s="257">
        <f ca="1">C48/C49</f>
        <v>17.562863851780918</v>
      </c>
    </row>
    <row r="52" spans="2:3" x14ac:dyDescent="0.2">
      <c r="B52" s="265" t="s">
        <v>222</v>
      </c>
      <c r="C52" s="265"/>
    </row>
    <row r="53" spans="2:3" x14ac:dyDescent="0.2">
      <c r="B53" s="1" t="s">
        <v>223</v>
      </c>
      <c r="C53" s="64">
        <f>L6</f>
        <v>786430.37228098325</v>
      </c>
    </row>
    <row r="54" spans="2:3" x14ac:dyDescent="0.2">
      <c r="B54" s="1" t="s">
        <v>358</v>
      </c>
      <c r="C54" s="139">
        <f ca="1">IF(Overview!C29&gt;0,Overview!C29,WACC!C19)</f>
        <v>8.8106999999999991E-2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16.729077459880621</v>
      </c>
    </row>
    <row r="60" spans="2:3" x14ac:dyDescent="0.2">
      <c r="B60" s="265" t="s">
        <v>335</v>
      </c>
      <c r="C60" s="265"/>
    </row>
    <row r="61" spans="2:3" x14ac:dyDescent="0.2">
      <c r="B61" s="1" t="s">
        <v>434</v>
      </c>
      <c r="C61" s="64">
        <f>L8</f>
        <v>54334.627403617545</v>
      </c>
    </row>
    <row r="62" spans="2:3" x14ac:dyDescent="0.2">
      <c r="B62" s="1" t="s">
        <v>177</v>
      </c>
      <c r="C62" s="139">
        <f ca="1">IF(Overview!C28&gt;0,Overview!C28,WACC!C20)</f>
        <v>8.4921795094382302E-2</v>
      </c>
    </row>
    <row r="63" spans="2:3" x14ac:dyDescent="0.2">
      <c r="B63" s="39" t="s">
        <v>359</v>
      </c>
      <c r="C63" s="107">
        <v>23</v>
      </c>
    </row>
    <row r="64" spans="2:3" x14ac:dyDescent="0.2">
      <c r="B64" s="1" t="s">
        <v>431</v>
      </c>
      <c r="C64" s="24">
        <f>(C61*C63)</f>
        <v>1249696.4302832035</v>
      </c>
    </row>
    <row r="65" spans="2:3" x14ac:dyDescent="0.2">
      <c r="B65" s="1" t="s">
        <v>432</v>
      </c>
      <c r="C65" s="24">
        <f ca="1">C64/(1+C62)^5</f>
        <v>831404.47918535047</v>
      </c>
    </row>
    <row r="66" spans="2:3" x14ac:dyDescent="0.2">
      <c r="B66" s="16" t="s">
        <v>433</v>
      </c>
      <c r="C66" s="112">
        <f ca="1">SUM(H9:K9)+C65</f>
        <v>904814.49683485762</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911313.49683485762</v>
      </c>
    </row>
    <row r="70" spans="2:3" x14ac:dyDescent="0.2">
      <c r="B70" s="1" t="s">
        <v>70</v>
      </c>
      <c r="C70" s="89">
        <f>Statement!AC80</f>
        <v>64726</v>
      </c>
    </row>
    <row r="71" spans="2:3" x14ac:dyDescent="0.2">
      <c r="B71" s="256" t="s">
        <v>221</v>
      </c>
      <c r="C71" s="257">
        <f ca="1">C69/C70</f>
        <v>14.079558397473312</v>
      </c>
    </row>
    <row r="73" spans="2:3" x14ac:dyDescent="0.2">
      <c r="B73" s="265" t="s">
        <v>436</v>
      </c>
      <c r="C73" s="265"/>
    </row>
    <row r="74" spans="2:3" x14ac:dyDescent="0.2">
      <c r="B74" s="1" t="s">
        <v>437</v>
      </c>
      <c r="C74" s="64">
        <f>L6</f>
        <v>786430.37228098325</v>
      </c>
    </row>
    <row r="75" spans="2:3" x14ac:dyDescent="0.2">
      <c r="B75" s="1" t="s">
        <v>177</v>
      </c>
      <c r="C75" s="139">
        <f ca="1">IF(Overview!C28&gt;0,Overview!C28,WACC!C20)</f>
        <v>8.4921795094382302E-2</v>
      </c>
    </row>
    <row r="76" spans="2:3" x14ac:dyDescent="0.2">
      <c r="B76" s="39" t="s">
        <v>438</v>
      </c>
      <c r="C76" s="107">
        <v>3</v>
      </c>
    </row>
    <row r="77" spans="2:3" x14ac:dyDescent="0.2">
      <c r="B77" s="1" t="s">
        <v>431</v>
      </c>
      <c r="C77" s="24">
        <f>(C74*C76)</f>
        <v>2359291.1168429498</v>
      </c>
    </row>
    <row r="78" spans="2:3" x14ac:dyDescent="0.2">
      <c r="B78" s="1" t="s">
        <v>432</v>
      </c>
      <c r="C78" s="24">
        <f ca="1">C77/(1+C75)^5</f>
        <v>1569601.3485458384</v>
      </c>
    </row>
    <row r="79" spans="2:3" x14ac:dyDescent="0.2">
      <c r="B79" s="16" t="s">
        <v>433</v>
      </c>
      <c r="C79" s="112">
        <f ca="1">SUM(H9:K9)+C78</f>
        <v>1643011.3661953455</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1649510.3661953455</v>
      </c>
    </row>
    <row r="83" spans="2:3" x14ac:dyDescent="0.2">
      <c r="B83" s="1" t="s">
        <v>70</v>
      </c>
      <c r="C83" s="89">
        <f>Statement!AC80</f>
        <v>64726</v>
      </c>
    </row>
    <row r="84" spans="2:3" x14ac:dyDescent="0.2">
      <c r="B84" s="256" t="s">
        <v>221</v>
      </c>
      <c r="C84" s="257">
        <f ca="1">C82/C83</f>
        <v>25.484509566408331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5" t="s">
        <v>226</v>
      </c>
      <c r="C4" s="265"/>
      <c r="N4" s="92"/>
    </row>
    <row r="5" spans="1:14" x14ac:dyDescent="0.2">
      <c r="B5" s="1" t="s">
        <v>227</v>
      </c>
      <c r="C5" s="137">
        <f ca="1">DCF!C26</f>
        <v>10.567410456732686</v>
      </c>
    </row>
    <row r="6" spans="1:14" x14ac:dyDescent="0.2">
      <c r="B6" s="1" t="s">
        <v>228</v>
      </c>
      <c r="C6" s="137">
        <f ca="1">Multiples!C50</f>
        <v>17.562863851780918</v>
      </c>
    </row>
    <row r="7" spans="1:14" x14ac:dyDescent="0.2">
      <c r="B7" s="1" t="s">
        <v>229</v>
      </c>
      <c r="C7" s="137">
        <f ca="1">Multiples!C58</f>
        <v>16.729077459880621</v>
      </c>
    </row>
    <row r="8" spans="1:14" x14ac:dyDescent="0.2">
      <c r="B8" s="1" t="s">
        <v>336</v>
      </c>
      <c r="C8" s="137">
        <f ca="1">Multiples!C71</f>
        <v>14.079558397473312</v>
      </c>
    </row>
    <row r="9" spans="1:14" x14ac:dyDescent="0.2">
      <c r="B9" s="1" t="s">
        <v>439</v>
      </c>
      <c r="C9" s="137">
        <f ca="1">Multiples!C84</f>
        <v>25.484509566408331</v>
      </c>
    </row>
    <row r="10" spans="1:14" x14ac:dyDescent="0.2">
      <c r="B10" s="256" t="s">
        <v>230</v>
      </c>
      <c r="C10" s="257">
        <f ca="1">AVERAGE(C5:C9)</f>
        <v>16.884683946455176</v>
      </c>
    </row>
    <row r="11" spans="1:14" x14ac:dyDescent="0.2">
      <c r="B11" s="1" t="s">
        <v>231</v>
      </c>
      <c r="C11" s="137">
        <f ca="1">Overview!C5</f>
        <v>10.82</v>
      </c>
    </row>
    <row r="12" spans="1:14" x14ac:dyDescent="0.2">
      <c r="B12" s="1" t="s">
        <v>232</v>
      </c>
      <c r="C12" s="156">
        <f ca="1">(C10-C11)/C11</f>
        <v>0.56050683423800152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71" t="s">
        <v>132</v>
      </c>
      <c r="D9" s="271"/>
      <c r="E9" s="271"/>
      <c r="F9" s="271"/>
      <c r="G9" s="271"/>
      <c r="H9" s="271"/>
      <c r="I9" s="271"/>
      <c r="J9" s="271"/>
      <c r="K9" s="271"/>
      <c r="L9" s="271"/>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71" t="s">
        <v>419</v>
      </c>
      <c r="D14" s="271"/>
      <c r="E14" s="271"/>
      <c r="F14" s="271"/>
      <c r="G14" s="271"/>
      <c r="H14" s="271"/>
      <c r="I14" s="271"/>
      <c r="J14" s="271"/>
      <c r="K14" s="271"/>
      <c r="L14" s="271"/>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5" t="s">
        <v>421</v>
      </c>
      <c r="C20" s="265"/>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8.8106999999999991E-2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805637.45771296183</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10692.014901397444</v>
      </c>
      <c r="I10" s="130">
        <f t="shared" ref="I10:L10" ca="1" si="1">I7/(1+$C$21)^I9</f>
        <v>14289.897831463124</v>
      </c>
      <c r="J10" s="130">
        <f t="shared" ca="1" si="1"/>
        <v>19098.475069181339</v>
      </c>
      <c r="K10" s="130">
        <f t="shared" ca="1" si="1"/>
        <v>25525.147504206805</v>
      </c>
      <c r="L10" s="130">
        <f t="shared" ca="1" si="1"/>
        <v>34114.407184418364</v>
      </c>
      <c r="N10" s="92"/>
    </row>
    <row r="11" spans="1:28" x14ac:dyDescent="0.2">
      <c r="B11" s="1" t="s">
        <v>195</v>
      </c>
      <c r="C11" s="141"/>
      <c r="D11" s="141"/>
      <c r="E11" s="141"/>
      <c r="F11" s="141"/>
      <c r="G11" s="142"/>
      <c r="H11" s="141"/>
      <c r="I11" s="141"/>
      <c r="J11" s="141"/>
      <c r="K11" s="141"/>
      <c r="L11" s="130">
        <f ca="1">L8/(1+C21)^L9</f>
        <v>535978.63826038444</v>
      </c>
    </row>
    <row r="13" spans="1:28" ht="17" thickBot="1" x14ac:dyDescent="0.25"/>
    <row r="14" spans="1:28" x14ac:dyDescent="0.2">
      <c r="B14" s="277" t="s">
        <v>234</v>
      </c>
      <c r="C14" s="278"/>
    </row>
    <row r="15" spans="1:28" x14ac:dyDescent="0.2">
      <c r="B15" s="157" t="s">
        <v>235</v>
      </c>
      <c r="C15" s="158">
        <f ca="1">Overview!C5</f>
        <v>10.82</v>
      </c>
    </row>
    <row r="16" spans="1:28" x14ac:dyDescent="0.2">
      <c r="B16" s="157" t="s">
        <v>236</v>
      </c>
      <c r="C16" s="158">
        <f ca="1">C36</f>
        <v>10.410619786229503</v>
      </c>
    </row>
    <row r="17" spans="2:9" ht="17" thickBot="1" x14ac:dyDescent="0.25">
      <c r="B17" s="159" t="s">
        <v>337</v>
      </c>
      <c r="C17" s="160">
        <v>0.45</v>
      </c>
      <c r="E17" s="279" t="s">
        <v>237</v>
      </c>
      <c r="F17" s="279"/>
      <c r="G17" s="279"/>
      <c r="H17" s="279"/>
      <c r="I17" s="279"/>
    </row>
    <row r="18" spans="2:9" ht="17" thickBot="1" x14ac:dyDescent="0.25"/>
    <row r="19" spans="2:9" x14ac:dyDescent="0.2">
      <c r="B19" s="277" t="s">
        <v>196</v>
      </c>
      <c r="C19" s="278"/>
    </row>
    <row r="20" spans="2:9" x14ac:dyDescent="0.2">
      <c r="B20" s="161" t="s">
        <v>197</v>
      </c>
      <c r="C20" s="162">
        <v>0.02</v>
      </c>
    </row>
    <row r="21" spans="2:9" x14ac:dyDescent="0.2">
      <c r="B21" s="161" t="s">
        <v>177</v>
      </c>
      <c r="C21" s="222">
        <f ca="1">IF(Overview!C28&gt;0,Overview!C28,WACC!C20)</f>
        <v>8.4921795094382302E-2</v>
      </c>
    </row>
    <row r="22" spans="2:9" x14ac:dyDescent="0.2">
      <c r="B22" s="161" t="s">
        <v>70</v>
      </c>
      <c r="C22" s="223">
        <f>Statement!AC77</f>
        <v>62071</v>
      </c>
    </row>
    <row r="23" spans="2:9" x14ac:dyDescent="0.2">
      <c r="B23" s="161" t="s">
        <v>238</v>
      </c>
      <c r="C23" s="163">
        <f ca="1">C15*C22</f>
        <v>671608.22</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665109.22</v>
      </c>
    </row>
    <row r="27" spans="2:9" ht="17" thickBot="1" x14ac:dyDescent="0.25"/>
    <row r="28" spans="2:9" x14ac:dyDescent="0.2">
      <c r="B28" s="277" t="s">
        <v>198</v>
      </c>
      <c r="C28" s="278"/>
    </row>
    <row r="29" spans="2:9" x14ac:dyDescent="0.2">
      <c r="B29" s="161" t="s">
        <v>199</v>
      </c>
      <c r="C29" s="163">
        <f ca="1">SUM(H10:L10)</f>
        <v>103719.94249066708</v>
      </c>
    </row>
    <row r="30" spans="2:9" x14ac:dyDescent="0.2">
      <c r="B30" s="161" t="s">
        <v>195</v>
      </c>
      <c r="C30" s="163">
        <f ca="1">L11</f>
        <v>535978.63826038444</v>
      </c>
    </row>
    <row r="31" spans="2:9" x14ac:dyDescent="0.2">
      <c r="B31" s="165" t="s">
        <v>200</v>
      </c>
      <c r="C31" s="166">
        <f ca="1">C29+C30</f>
        <v>639698.58075105154</v>
      </c>
    </row>
    <row r="32" spans="2:9" x14ac:dyDescent="0.2">
      <c r="B32" s="161" t="s">
        <v>201</v>
      </c>
      <c r="C32" s="167">
        <f>C24</f>
        <v>72945</v>
      </c>
    </row>
    <row r="33" spans="2:3" x14ac:dyDescent="0.2">
      <c r="B33" s="161" t="s">
        <v>202</v>
      </c>
      <c r="C33" s="167">
        <f>C25</f>
        <v>66446</v>
      </c>
    </row>
    <row r="34" spans="2:3" x14ac:dyDescent="0.2">
      <c r="B34" s="165" t="s">
        <v>203</v>
      </c>
      <c r="C34" s="166">
        <f ca="1">C31+C32-C33</f>
        <v>646197.58075105154</v>
      </c>
    </row>
    <row r="35" spans="2:3" x14ac:dyDescent="0.2">
      <c r="B35" s="161" t="s">
        <v>70</v>
      </c>
      <c r="C35" s="163">
        <f>C22</f>
        <v>62071</v>
      </c>
    </row>
    <row r="36" spans="2:3" ht="17" thickBot="1" x14ac:dyDescent="0.25">
      <c r="B36" s="168" t="s">
        <v>204</v>
      </c>
      <c r="C36" s="169">
        <f ca="1">C34/C35</f>
        <v>10.410619786229503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2026-10-12T20:43:58Z</dcterms:modified>
</cp:coreProperties>
</file>