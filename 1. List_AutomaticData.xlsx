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Volumes/KINGSTON/MyStockData/Finance-StockLists/"/>
    </mc:Choice>
  </mc:AlternateContent>
  <xr:revisionPtr revIDLastSave="0" documentId="13_ncr:1_{50CA5128-1F05-4448-B1E7-D958776433DB}" xr6:coauthVersionLast="47" xr6:coauthVersionMax="47" xr10:uidLastSave="{00000000-0000-0000-0000-000000000000}"/>
  <bookViews>
    <workbookView xWindow="80" yWindow="100" windowWidth="25440" windowHeight="13540" xr2:uid="{AEC0C047-6E16-294C-82BD-58123BA913A1}"/>
  </bookViews>
  <sheets>
    <sheet name="Sheet1" sheetId="1" r:id="rId1"/>
  </sheets>
  <definedNames>
    <definedName name="_xlnm._FilterDatabase" localSheetId="0" hidden="1">Sheet1!$G$2:$H$9</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1" l="1" a="1"/>
  <c r="H23" i="1" a="1"/>
  <c r="G23" i="1" a="1"/>
  <c r="F23" i="1" a="1"/>
  <c r="E23" i="1" a="1"/>
  <c r="D23" i="1" a="1"/>
  <c r="C23" i="1" a="1"/>
  <c r="I22" i="1" a="1"/>
  <c r="H22" i="1" a="1"/>
  <c r="G22" i="1" a="1"/>
  <c r="F22" i="1" a="1"/>
  <c r="E22" i="1" a="1"/>
  <c r="D22" i="1" a="1"/>
  <c r="C22" i="1" a="1"/>
  <c r="I21" i="1" a="1"/>
  <c r="H21" i="1" a="1"/>
  <c r="G21" i="1" a="1"/>
  <c r="F21" i="1" a="1"/>
  <c r="E21" i="1" a="1"/>
  <c r="D21" i="1" a="1"/>
  <c r="C21" i="1" a="1"/>
  <c r="I20" i="1" a="1"/>
  <c r="H20" i="1" a="1"/>
  <c r="G20" i="1" a="1"/>
  <c r="F20" i="1" a="1"/>
  <c r="E20" i="1" a="1"/>
  <c r="D20" i="1" a="1"/>
  <c r="C20" i="1" a="1"/>
  <c r="I19" i="1" a="1"/>
  <c r="H19" i="1" a="1"/>
  <c r="G19" i="1" a="1"/>
  <c r="F19" i="1" a="1"/>
  <c r="E19" i="1" a="1"/>
  <c r="D19" i="1" a="1"/>
  <c r="C19" i="1" a="1"/>
  <c r="I18" i="1" a="1"/>
  <c r="H18" i="1" a="1"/>
  <c r="G18" i="1" a="1"/>
  <c r="F18" i="1" a="1"/>
  <c r="E18" i="1" a="1"/>
  <c r="D18" i="1" a="1"/>
  <c r="C18" i="1" a="1"/>
  <c r="I17" i="1" a="1"/>
  <c r="H17" i="1" a="1"/>
  <c r="G17" i="1" a="1"/>
  <c r="F17" i="1" a="1"/>
  <c r="E17" i="1" a="1"/>
  <c r="D17" i="1" a="1"/>
  <c r="C17" i="1" a="1"/>
  <c r="I16" i="1" a="1"/>
  <c r="H16" i="1" a="1"/>
  <c r="G16" i="1" a="1"/>
  <c r="F16" i="1" a="1"/>
  <c r="E16" i="1" a="1"/>
  <c r="D16" i="1" a="1"/>
  <c r="C16" i="1" a="1"/>
  <c r="I15" i="1" a="1"/>
  <c r="H15" i="1" a="1"/>
  <c r="G15" i="1" a="1"/>
  <c r="F15" i="1" a="1"/>
  <c r="E15" i="1" a="1"/>
  <c r="D15" i="1" a="1"/>
  <c r="C15" i="1" a="1"/>
  <c r="I14" i="1" a="1"/>
  <c r="H14" i="1" a="1"/>
  <c r="G14" i="1" a="1"/>
  <c r="F14" i="1" a="1"/>
  <c r="E14" i="1" a="1"/>
  <c r="D14" i="1" a="1"/>
  <c r="C14" i="1" a="1"/>
  <c r="I13" i="1" a="1"/>
  <c r="H13" i="1" a="1"/>
  <c r="G13" i="1" a="1"/>
  <c r="F13" i="1" a="1"/>
  <c r="E13" i="1" a="1"/>
  <c r="D13" i="1" a="1"/>
  <c r="C13" i="1" a="1"/>
  <c r="I12" i="1" a="1"/>
  <c r="H12" i="1" a="1"/>
  <c r="G12" i="1" a="1"/>
  <c r="F12" i="1" a="1"/>
  <c r="E12" i="1" a="1"/>
  <c r="D12" i="1" a="1"/>
  <c r="C12" i="1" a="1"/>
  <c r="I11" i="1" a="1"/>
  <c r="H11" i="1" a="1"/>
  <c r="F11" i="1" a="1"/>
  <c r="G11" i="1" a="1"/>
  <c r="E11" i="1" a="1"/>
  <c r="D11" i="1" a="1"/>
  <c r="C11" i="1" a="1"/>
  <c r="E10" i="1" a="1"/>
  <c r="D10" i="1" a="1"/>
  <c r="G10" i="1" a="1"/>
  <c r="C10" i="1" a="1"/>
  <c r="I4" i="1" a="1"/>
  <c r="I5" i="1" a="1"/>
  <c r="I6" i="1" a="1"/>
  <c r="I7" i="1" a="1"/>
  <c r="I8" i="1" a="1"/>
  <c r="I9" i="1" a="1"/>
  <c r="I3" i="1" a="1"/>
  <c r="H3" i="1" a="1"/>
  <c r="H4" i="1" a="1"/>
  <c r="H5" i="1" a="1"/>
  <c r="H6" i="1" a="1"/>
  <c r="H7" i="1" a="1"/>
  <c r="H8" i="1" a="1"/>
  <c r="H9" i="1" a="1"/>
  <c r="G3" i="1" a="1"/>
  <c r="G4" i="1" a="1"/>
  <c r="G5" i="1" a="1"/>
  <c r="G6" i="1" a="1"/>
  <c r="G7" i="1" a="1"/>
  <c r="G8" i="1" a="1"/>
  <c r="G9" i="1" a="1"/>
  <c r="F3" i="1" a="1"/>
  <c r="F4" i="1" a="1"/>
  <c r="F5" i="1" a="1"/>
  <c r="F6" i="1" a="1"/>
  <c r="F7" i="1" a="1"/>
  <c r="F8" i="1" a="1"/>
  <c r="F9" i="1" a="1"/>
  <c r="E3" i="1" a="1"/>
  <c r="E4" i="1" a="1"/>
  <c r="E5" i="1" a="1"/>
  <c r="E6" i="1" a="1"/>
  <c r="E7" i="1" a="1"/>
  <c r="E8" i="1" a="1"/>
  <c r="E9" i="1" a="1"/>
  <c r="D3" i="1" a="1"/>
  <c r="D4" i="1" a="1"/>
  <c r="D5" i="1" a="1"/>
  <c r="D6" i="1" a="1"/>
  <c r="D7" i="1" a="1"/>
  <c r="D8" i="1" a="1"/>
  <c r="D9" i="1" a="1"/>
  <c r="C3" i="1" a="1"/>
  <c r="C4" i="1" a="1"/>
  <c r="C5" i="1" a="1"/>
  <c r="C6" i="1" a="1"/>
  <c r="C7" i="1" a="1"/>
  <c r="C8" i="1" a="1"/>
  <c r="C9" i="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1">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21"/>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5"/>
        </ext>
      </extLst>
    </bk>
    <bk>
      <extLst>
        <ext uri="{3e2802c4-a4d2-4d8b-9148-e3be6c30e623}">
          <xlrd:rvb i="71"/>
        </ext>
      </extLst>
    </bk>
  </futureMetadata>
  <cellMetadata count="1">
    <bk>
      <rc t="1" v="0"/>
    </bk>
  </cellMetadata>
  <valueMetadata count="2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valueMetadata>
</metadata>
</file>

<file path=xl/sharedStrings.xml><?xml version="1.0" encoding="utf-8"?>
<sst xmlns="http://schemas.openxmlformats.org/spreadsheetml/2006/main" count="9" uniqueCount="9">
  <si>
    <t>Ticker</t>
  </si>
  <si>
    <t>Price</t>
  </si>
  <si>
    <t>52 wk high</t>
  </si>
  <si>
    <t>52 wk low</t>
  </si>
  <si>
    <t>Beta</t>
  </si>
  <si>
    <t>Industry</t>
  </si>
  <si>
    <t>Symbol</t>
  </si>
  <si>
    <t>Volume avg</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</si>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</sst>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2" x14ac:knownFonts="1">
    <font>
      <sz val="12"/>
      <color theme="1"/>
      <name val="Aptos Narrow"/>
      <family val="2"/>
      <scheme val="minor"/>
    </font>
    <font>
      <b/>
      <sz val="12"/>
      <color theme="0"/>
      <name val="Aptos Narrow"/>
      <scheme val="minor"/>
    </font>
  </fonts>
  <fills count="7">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3" tint="0.749992370372631"/>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0" fontId="1" fillId="3" borderId="0" xfId="0" applyFont="1" applyFill="1"/>
    <xf numFmtId="0" fontId="0" fillId="4" borderId="0" xfId="0" applyFill="1"/>
    <xf numFmtId="164" fontId="0" fillId="5" borderId="0" xfId="0" applyNumberFormat="1" applyFill="1"/>
    <xf numFmtId="4" fontId="0" fillId="5" borderId="0" xfId="0" applyNumberFormat="1" applyFill="1"/>
    <xf numFmtId="0" fontId="0" fillId="5" borderId="0" xfId="0" applyFill="1"/>
    <xf numFmtId="3" fontId="0" fillId="5" borderId="0" xfId="0" applyNumberFormat="1"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72">
  <rv s="0">
    <v>https://www.bing.com/financeapi/forcetrigger?t=a1ndww&amp;q=XNAS%3aAMD&amp;form=skydnc</v>
    <v>Learn more on Bing</v>
  </rv>
  <rv s="1">
    <v>0</v>
    <v>ADVANCED MICRO DEVICES, INC. (XNAS:AMD)</v>
    <v>2</v>
    <v>3</v>
    <v>Finance</v>
    <v>4</v>
    <v>en-US</v>
    <v>a1ndww</v>
    <v>268435456</v>
    <v>1</v>
    <v>Powered by Refinitiv</v>
    <v>658.52</v>
    <v>188.22</v>
    <v>2.4712999999999998</v>
    <v>1.29</v>
    <v>2.398E-3</v>
    <v>USD</v>
    <v>Advanced Micro Devices, Inc. is a global semiconductor company. The Company is focused on high-performance computing and artificial intelligence (AI). Its segments include Data Center, Client and Gaming, and Embedded. Data Center segment includes AI accelerators, microprocessors (CPUs) for servers, graphics processing units (GPUs), accelerated processing units (APUs), data processing units (DPUs), Field Programmable Gate Arrays (FPGAs), and Adaptive system-on-Chip (SoC) products for data centers. Client and Gaming segment includes CPUs, APUs, chipsets for desktops and notebooks, discrete GPUs, and semi-custom SoC products and development services. Embedded segment includes embedded CPUs, APUs, FPGAs, system on modules (SOMs), and Adaptive SoC products. It markets and sells its products under the AMD trademark. Its products include AMD EPYC, AMD Ryzen, AMD Ryzen PRO, Virtex UltraScale+, among others.</v>
    <v>31000</v>
    <v>Nasdaq Stock Market</v>
    <v>XNAS</v>
    <v>XNAS</v>
    <v>2485 Augustine Drive, SANTA CLARA, CA, 95054 US</v>
    <v>548.1069</v>
    <v>Semiconductors &amp; Semiconductor Equipment</v>
    <v>Stock</v>
    <v>46315.706823193752</v>
    <v>0</v>
    <v>524.6</v>
    <v>880459066500</v>
    <v>ADVANCED MICRO DEVICES, INC.</v>
    <v>ADVANCED MICRO DEVICES, INC.</v>
    <v>530.04999999999995</v>
    <v>137.65350000000001</v>
    <v>538.04999999999995</v>
    <v>539.34</v>
    <v>1632475000</v>
    <v>AMD</v>
    <v>ADVANCED MICRO DEVICES, INC. (XNAS:AMD)</v>
    <v>8781682</v>
    <v>21808986</v>
    <v>1969</v>
  </rv>
  <rv s="2">
    <v>1</v>
  </rv>
  <rv s="0">
    <v>https://www.bing.com/financeapi/forcetrigger?t=c2mtim&amp;q=XNAS%3aDUOL&amp;form=skydnc</v>
    <v>Learn more on Bing</v>
  </rv>
  <rv s="1">
    <v>0</v>
    <v>DUOLINGO, INC. (XNAS:DUOL)</v>
    <v>2</v>
    <v>3</v>
    <v>Finance</v>
    <v>4</v>
    <v>en-US</v>
    <v>c2mtim</v>
    <v>268435456</v>
    <v>1</v>
    <v>Powered by Refinitiv</v>
    <v>328.53</v>
    <v>87.89</v>
    <v>1.0656000000000001</v>
    <v>-0.86</v>
    <v>-6.0519999999999992E-3</v>
    <v>USD</v>
    <v>Duolingo, Inc. is a technology company. The Company is engaged in offering a mobile learning platform, as well as a digital English language proficiency assessment exam. It operates a freemium business model, namely, the app and the Website are accessible free of charge, although Duolingo also offers premium services for a subscription fee. Its solutions consist of the Duolingo App, Super Duolingo, Duolingo Max, Duolingo English Test: AI-Driven Language Assessment, Duolingo for Schools, and Duolingo ABC. The Duolingo App offers courses in over 40 different languages, including Spanish, English, French, German, Italian, Portuguese, Japanese and Chinese. Duolingo can also be accessed on desktop computers via a Web browser. Its subscription offering, Super Duolingo, offers learners additional features to enhance their learning experience. The Duolingo English Test is an online, on-demand, high-stakes English proficiency assessment. It also operates an animation and motion design studio.</v>
    <v>900</v>
    <v>Nasdaq Stock Market</v>
    <v>XNAS</v>
    <v>XNAS</v>
    <v>5900 PENN AVE, SECOND FLOOR, PITTSBURGH, PA, 15206 US</v>
    <v>143.33000000000001</v>
    <v>Software &amp; IT Services</v>
    <v>Stock</v>
    <v>46315.706828553128</v>
    <v>3</v>
    <v>139.6</v>
    <v>6608560637</v>
    <v>DUOLINGO, INC.</v>
    <v>DUOLINGO, INC.</v>
    <v>141.97999999999999</v>
    <v>16.836500000000001</v>
    <v>142.11000000000001</v>
    <v>141.25</v>
    <v>46786270</v>
    <v>DUOL</v>
    <v>DUOLINGO, INC. (XNAS:DUOL)</v>
    <v>180319</v>
    <v>969450</v>
    <v>2011</v>
  </rv>
  <rv s="2">
    <v>4</v>
  </rv>
  <rv s="0">
    <v>https://www.bing.com/financeapi/forcetrigger?t=a1vmf2&amp;q=XNAS%3aINTC&amp;form=skydnc</v>
    <v>Learn more on Bing</v>
  </rv>
  <rv s="1">
    <v>0</v>
    <v>INTEL CORPORATION (XNAS:INTC)</v>
    <v>2</v>
    <v>3</v>
    <v>Finance</v>
    <v>4</v>
    <v>en-US</v>
    <v>a1vmf2</v>
    <v>268435456</v>
    <v>1</v>
    <v>Powered by Refinitiv</v>
    <v>142.35</v>
    <v>32.89</v>
    <v>2.3628999999999998</v>
    <v>0.77500000000000002</v>
    <v>8.4209999999999997E-3</v>
    <v>USD</v>
    <v>Intel Corporation is a global designer and manufacturer of semiconductor products. The Company's segments include Intel Products, Intel Foundry, and All Other. Its Intel Products comprise Client Computing Group (CCG) and Data Center and AI (DCAI). CCG delivers platforms and processors that power PCs and edge devices, enabling enhanced performance, connectivity and user experience for consumer and commercial markets with capabilities that also support retail, industrial robotics and AI ecosystems at the edge. DCAI delivers workload-optimized solutions based upon its x86 architecture for data centers, including CPUs, AI accelerators, NICs, IPUs and custom ASICs, enabling performance and scalability for cloud, enterprise, telecommunication and HPC environments. The Intel Foundry segment comprises technology development, manufacturing and foundry services, developing new semiconductor process technologies and advanced packaging technologies. All Other segments include Mobileye and Other.</v>
    <v>82300</v>
    <v>Nasdaq Stock Market</v>
    <v>XNAS</v>
    <v>XNAS</v>
    <v>2200 Mission College Blvd, Rnb-4-151, SANTA CLARA, CA, 95054 US</v>
    <v>93.73</v>
    <v>Semiconductors &amp; Semiconductor Equipment</v>
    <v>Stock</v>
    <v>46315.706853668751</v>
    <v>6</v>
    <v>88.77</v>
    <v>490480828545</v>
    <v>INTEL CORPORATION</v>
    <v>INTEL CORPORATION</v>
    <v>90.8</v>
    <v>0</v>
    <v>92.03</v>
    <v>92.805000000000007</v>
    <v>5285069000</v>
    <v>INTC</v>
    <v>INTEL CORPORATION (XNAS:INTC)</v>
    <v>54452314</v>
    <v>109100108</v>
    <v>1989</v>
  </rv>
  <rv s="2">
    <v>7</v>
  </rv>
  <rv s="0">
    <v>https://www.bing.com/financeapi/forcetrigger?t=a1yv52&amp;q=XNAS%3aNVDA&amp;form=skydnc</v>
    <v>Learn more on Bing</v>
  </rv>
  <rv s="1">
    <v>0</v>
    <v>NVIDIA CORPORATION (XNAS:NVDA)</v>
    <v>2</v>
    <v>3</v>
    <v>Finance</v>
    <v>4</v>
    <v>en-US</v>
    <v>a1yv52</v>
    <v>268435456</v>
    <v>1</v>
    <v>Powered by Refinitiv</v>
    <v>243.37</v>
    <v>164.27</v>
    <v>2.1920999999999999</v>
    <v>-0.28000000000000003</v>
    <v>-1.2900000000000001E-3</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218.46</v>
    <v>Semiconductors &amp; Semiconductor Equipment</v>
    <v>Stock</v>
    <v>46315.706846203124</v>
    <v>9</v>
    <v>212.77</v>
    <v>5225121000000</v>
    <v>NVIDIA CORPORATION</v>
    <v>NVIDIA CORPORATION</v>
    <v>216</v>
    <v>27.4072</v>
    <v>217.09</v>
    <v>216.81</v>
    <v>24100000000</v>
    <v>NVDA</v>
    <v>NVIDIA CORPORATION (XNAS:NVDA)</v>
    <v>45817788</v>
    <v>106616857</v>
    <v>1998</v>
  </rv>
  <rv s="2">
    <v>10</v>
  </rv>
  <rv s="0">
    <v>https://www.bing.com/financeapi/forcetrigger?t=bqw82w&amp;q=XNYS%3aPHR&amp;form=skydnc</v>
    <v>Learn more on Bing</v>
  </rv>
  <rv s="1">
    <v>0</v>
    <v>PHREESIA, INC. (XNYS:PHR)</v>
    <v>2</v>
    <v>3</v>
    <v>Finance</v>
    <v>4</v>
    <v>en-US</v>
    <v>bqw82w</v>
    <v>268435456</v>
    <v>1</v>
    <v>Powered by Refinitiv</v>
    <v>24.07</v>
    <v>7.77</v>
    <v>0.78290000000000004</v>
    <v>0.45</v>
    <v>3.9893999999999999E-2</v>
    <v>USD</v>
    <v>Phreesia, Inc. is a provider of comprehensive software solutions that improve the operational and financial performance of healthcare organizations. The Company's solutions include software-as-a-service (SaaS)-based integrated tools that manage patient access, registration, and payments. In addition, its solutions include clinical assessments to screen patients for a variety of physical, behavioral and mental health conditions, helping providers to understand their patients and connect them to needed services, resulting in improved health outcomes. Its Technology solutions segment provides life sciences companies, health plans and other payer organizations (payers), patient advocacy, public interest and other not-for-profit organizations with a channel for direct communication with patients. The Company's solutions also include additional products and services, such as the MediFind provider directory, which helps patients find care based on providers' specific clinical expertise.</v>
    <v>1789</v>
    <v>New York Stock Exchange</v>
    <v>XNYS</v>
    <v>XNYS</v>
    <v>1521 Concord Pike, Suite 301 Pmb 221, WILMINGTON, DE, 19803 US</v>
    <v>11.845000000000001</v>
    <v>Software &amp; IT Services</v>
    <v>Stock</v>
    <v>46315.706610392968</v>
    <v>12</v>
    <v>11.295</v>
    <v>728092126</v>
    <v>PHREESIA, INC.</v>
    <v>PHREESIA, INC.</v>
    <v>11.295</v>
    <v>69.449399999999997</v>
    <v>11.28</v>
    <v>11.73</v>
    <v>62070940</v>
    <v>PHR</v>
    <v>PHREESIA, INC. (XNYS:PHR)</v>
    <v>253760</v>
    <v>687377</v>
    <v>2005</v>
  </rv>
  <rv s="2">
    <v>13</v>
  </rv>
  <rv s="0">
    <v>http://en.wikipedia.org/wiki/Public_domain</v>
    <v>Public domain</v>
  </rv>
  <rv s="0">
    <v>http://en.wikipedia.org/wiki/Qualcomm</v>
    <v>Wikipedia</v>
  </rv>
  <rv s="3">
    <v>15</v>
    <v>16</v>
  </rv>
  <rv s="4">
    <v>9</v>
    <v>https://www.bing.com/th?id=AMMS_2b1c176dae370ecc0d55a1517537f595&amp;qlt=95</v>
    <v>17</v>
    <v>0</v>
    <v>https://www.bing.com/images/search?form=xlimg&amp;q=qualcomm</v>
    <v>Image of QUALCOMM INCORPORATED</v>
  </rv>
  <rv s="0">
    <v>https://www.bing.com/financeapi/forcetrigger?t=a21k2w&amp;q=XNAS%3aQCOM&amp;form=skydnc</v>
    <v>Learn more on Bing</v>
  </rv>
  <rv s="5">
    <v>5</v>
    <v>QUALCOMM INCORPORATED (XNAS:QCOM)</v>
    <v>7</v>
    <v>8</v>
    <v>Finance</v>
    <v>4</v>
    <v>en-US</v>
    <v>a21k2w</v>
    <v>268435456</v>
    <v>1</v>
    <v>Powered by Refinitiv</v>
    <v>259.92</v>
    <v>121.99</v>
    <v>1.6930000000000001</v>
    <v>0.88500000000000001</v>
    <v>5.1000000000000004E-3</v>
    <v>USD</v>
    <v>Qualcomm Incorporated is engaged in the development and commercialization of foundational technologies for the wireless industry, including third generation (3G), fourth generation (4G) and fifth generation (5G) wireless connectivity, and high-performance and low-power computing, including on-device artificial intelligence. Its segments include Qualcomm CDMA Technologies (QCT), Qualcomm Technology Licensing (QTL) and Qualcomm Strategic Initiatives. QCT develops and supplies integrated circuits and system software based on 3G/4G/5G and other technologies, including radio frequency front-end, digital cockpit and advanced driver assistance and automated driving, Internet of things including consumer electronic devices, industrial devices and edge networking products. QTL grants licenses or otherwise provides rights to use portions of its intellectual property portfolio that includes certain patent rights essential to and/or useful in the manufacture and sale of certain wireless products.</v>
    <v>52000</v>
    <v>Nasdaq Stock Market</v>
    <v>XNAS</v>
    <v>XNAS</v>
    <v>5775 Morehouse Drive, SAN DIEGO, CA, 92121 US</v>
    <v>176.41</v>
    <v>18</v>
    <v>Semiconductors &amp; Semiconductor Equipment</v>
    <v>Stock</v>
    <v>46315.706807488285</v>
    <v>19</v>
    <v>171.13</v>
    <v>183135750000</v>
    <v>QUALCOMM INCORPORATED</v>
    <v>QUALCOMM INCORPORATED</v>
    <v>171.54</v>
    <v>20.186</v>
    <v>173.53</v>
    <v>174.41499999999999</v>
    <v>1050000000</v>
    <v>QCOM</v>
    <v>QUALCOMM INCORPORATED (XNAS:QCOM)</v>
    <v>2669051</v>
    <v>12922531</v>
    <v>1991</v>
  </rv>
  <rv s="2">
    <v>20</v>
  </rv>
  <rv s="6">
    <v>10</v>
    <v>SHARKNINJA, INC. (XNYS:SN)</v>
    <v>11</v>
    <v>3</v>
    <v>Finance</v>
    <v>4</v>
    <v>en-US</v>
    <v>cag2ar</v>
    <v>268435456</v>
    <v>1</v>
    <v>Powered by Refinitiv</v>
    <v>196.35</v>
    <v>83.12</v>
    <v>1.5449999999999999</v>
    <v>5.4349999999999996</v>
    <v>2.8766E-2</v>
    <v>USD</v>
    <v>SharkNinja, Inc. is a global product design and technology company, which offers lifestyle solutions to consumers around the world. Its diverse product portfolio spans over 36 household sub-categories, across cleaning, cooking, food preparation, and others, which include home environment and beauty. Its brands include Shark and Ninja. The Shark brand offerings cover handheld and robotic vacuums, as well as other floorcare products, including steam mops, wet/dry cleaning floor products and carpet extraction, beauty appliance and home environmental products. Ninja brand offers small kitchen appliances in the United States and its diversified product offering spans across consumers’ kitchens, both indoors and outdoors, with leading products in air fryers, multi-cookers, outdoor and countertop grills and ovens, coffee systems, carbonation, cookware, cutlery, kettles, toasters, and others. Its products are sold at key retailers, online and offline, and through distributors around the world.</v>
    <v>4143</v>
    <v>New York Stock Exchange</v>
    <v>XNYS</v>
    <v>XNYS</v>
    <v>89 A Street, #100, NEEDHAM, MA, 02494 US</v>
    <v>196.1</v>
    <v>Household Goods</v>
    <v>Stock</v>
    <v>46315.706779189066</v>
    <v>188.94</v>
    <v>27381917250</v>
    <v>SHARKNINJA, INC.</v>
    <v>SHARKNINJA, INC.</v>
    <v>189.44</v>
    <v>39.716999999999999</v>
    <v>188.94</v>
    <v>194.375</v>
    <v>140871600</v>
    <v>SN</v>
    <v>SHARKNINJA, INC. (XNYS:SN)</v>
    <v>365683</v>
    <v>1679197</v>
    <v>2017</v>
  </rv>
  <rv s="2">
    <v>22</v>
  </rv>
  <rv s="0">
    <v>https://www.bing.com/financeapi/forcetrigger?t=a33knm&amp;q=10+Y+TSY+YLD+NDX&amp;form=skydnc</v>
    <v>Learn more on Bing</v>
  </rv>
  <rv s="7">
    <v>12</v>
    <v>10 Y TSY YLD NDX</v>
    <v>13</v>
    <v>14</v>
    <v>Finance</v>
    <v>15</v>
    <v>en-US</v>
    <v>a33knm</v>
    <v>268435456</v>
    <v>1</v>
    <v>Powered by Refinitiv</v>
    <v>53.64</v>
    <v>39.47</v>
    <v>0.38</v>
    <v>7.4539999999999997E-3</v>
    <v>US</v>
    <v>51.5</v>
    <v>Index</v>
    <v>24</v>
    <v>50.9</v>
    <v>10 Y TSY YLD NDX</v>
    <v>50.9</v>
    <v>50.98</v>
    <v>51.36</v>
    <v>TNX</v>
    <v>10 Y TSY YLD NDX</v>
  </rv>
  <rv s="2">
    <v>25</v>
  </rv>
  <rv s="0">
    <v>https://www.bing.com/financeapi/forcetrigger?t=a1mqec&amp;q=XNYS%3aABEV&amp;form=skydnc</v>
    <v>Learn more on Bing</v>
  </rv>
  <rv s="1">
    <v>0</v>
    <v>Ambev SA (XNYS:ABEV)</v>
    <v>2</v>
    <v>3</v>
    <v>Finance</v>
    <v>4</v>
    <v>en-US</v>
    <v>a1mqec</v>
    <v>268435456</v>
    <v>1</v>
    <v>Powered by Refinitiv</v>
    <v>3.4499</v>
    <v>2.1800000000000002</v>
    <v>0.58050000000000002</v>
    <v>8.5000000000000006E-2</v>
    <v>2.6154E-2</v>
    <v>USD</v>
    <v>Ambev SA, formerly Inbev Participacoes Societarias SA, is a Brazil-based company engaged in the brewing sector. The Company produces, distributes and sells beer, carbonated soft drinks (CSDs) and other non-alcoholic and non-carbonated (NANC) beverages across the Americas. The Company's activities are divided into three segments: Latin America North, including sell of beer, CSD and NANC drinks in Brazil, as well as operations in the Dominican Republic, Saint Vincent, Antigua, Dominica, Cuba, Guatemala, El Salvador, Honduras, Nicaragua, Barbados and Panama; Latin America South, distributing products in Argentina, Bolivia, Paraguay, Uruguay, Chile; and Canada, represented by Labatt’s operations, which comprises sales in Canada and some exports to the U.S. market. The Company markets products under various brand names, such as Adriatica, Brahma, Leffe, Budweiser, Corona, PepsiCo and Lipton. It is a subsidiary of Interbrew International BV.</v>
    <v>39000</v>
    <v>New York Stock Exchange</v>
    <v>XNYS</v>
    <v>XNYS</v>
    <v>Rua Dr. Renato Paes de Barros, 1.017, 4 andar, Itaim Bibi, SAO PAULO, SAO PAULO, 04.530-001 BR</v>
    <v>3.35</v>
    <v>Beverages</v>
    <v>Stock</v>
    <v>46315.7067484375</v>
    <v>27</v>
    <v>3.27</v>
    <v>51641374450</v>
    <v>Ambev SA</v>
    <v>Ambev SA</v>
    <v>3.28</v>
    <v>16.600300000000001</v>
    <v>3.25</v>
    <v>3.335</v>
    <v>15484670000</v>
    <v>ABEV</v>
    <v>Ambev SA (XNYS:ABEV)</v>
    <v>12929587</v>
    <v>21559097</v>
    <v>2005</v>
  </rv>
  <rv s="2">
    <v>28</v>
  </rv>
  <rv s="0">
    <v>https://www.bing.com/financeapi/forcetrigger?t=a221mw&amp;q=XNYS%3aRIO&amp;form=skydnc</v>
    <v>Learn more on Bing</v>
  </rv>
  <rv s="1">
    <v>0</v>
    <v>RIO TINTO PLC (XNYS:RIO)</v>
    <v>2</v>
    <v>3</v>
    <v>Finance</v>
    <v>4</v>
    <v>en-US</v>
    <v>a221mw</v>
    <v>268435456</v>
    <v>1</v>
    <v>Powered by Refinitiv</v>
    <v>112.58</v>
    <v>67.739999999999995</v>
    <v>0.6502</v>
    <v>-1.635</v>
    <v>-1.8268E-2</v>
    <v>USD</v>
    <v>Rio Tinto plc is a global mining and materials company. Its business is finding, mining, and processing mineral resources. It operates across 34 countries and 6 continents, and its portfolio includes iron ore, aluminum, bauxite, alumina, copper, diamonds, titanium dioxide, lithium, salt and borates. Its Aluminium &amp; Lithium segment consists of bauxite mining, alumina refining, aluminum smelting and recycling, and mining and processing of lithium. Its Copper segment consists of mining and refining copper, gold, silver, molybdenum, other by-products and exploration activities. Its Iron Ore segment includes iron ore mining and salt and gypsum production in Western Australia, iron concentrate, and pellets from the Iron Ore Company of Canada. It owns and operates an integrated portfolio of iron ore assets in the Pilbara region of Western Australia comprising a network of 18 iron ore mines, four port terminals, a nearly 2,000 km rail network and other infrastructure (Pilbara Property).</v>
    <v>61230</v>
    <v>New York Stock Exchange</v>
    <v>XNYS</v>
    <v>XNYS</v>
    <v>6 St James's Square, LONDON, SW1Y 4AD GB</v>
    <v>89.12</v>
    <v>Metals &amp; Mining</v>
    <v>Stock</v>
    <v>46315.706839536717</v>
    <v>30</v>
    <v>87.22</v>
    <v>142956794325</v>
    <v>RIO TINTO PLC</v>
    <v>RIO TINTO PLC</v>
    <v>87.85</v>
    <v>11.9024</v>
    <v>89.5</v>
    <v>87.864999999999995</v>
    <v>1627005000</v>
    <v>RIO</v>
    <v>RIO TINTO PLC (XNYS:RIO)</v>
    <v>2372402</v>
    <v>1948212</v>
    <v>1962</v>
  </rv>
  <rv s="2">
    <v>31</v>
  </rv>
  <rv s="0">
    <v>https://www.bing.com/financeapi/forcetrigger?t=a24xlh&amp;q=XNYS%3aUNH&amp;form=skydnc</v>
    <v>Learn more on Bing</v>
  </rv>
  <rv s="1">
    <v>0</v>
    <v>UNITEDHEALTH GROUP INCORPORATED (XNYS:UNH)</v>
    <v>2</v>
    <v>3</v>
    <v>Finance</v>
    <v>4</v>
    <v>en-US</v>
    <v>a24xlh</v>
    <v>268435456</v>
    <v>1</v>
    <v>Powered by Refinitiv</v>
    <v>461.62</v>
    <v>255.965</v>
    <v>0.53969999999999996</v>
    <v>14.76</v>
    <v>3.6276000000000003E-2</v>
    <v>USD</v>
    <v>UnitedHealth Group Incorporated is a healthcare and well-being company. Its segments include Optum Health, Optum Insight, Optum Rx, and UnitedHealthcare, which includes UnitedHealthcare Employer &amp; Individual, UnitedHealthcare Medicare &amp; Retirement and UnitedHealthcare Community &amp; State. Optum Health provides comprehensive and patient-centered care, addressing the physical, mental, and social well-being. Optum Health delivers primary, specialty and surgical care and helps patients and providers navigate and address complex, chronic and behavioral health needs. Optum Insight connects the healthcare system with services, analytics and platforms that make clinical, administrative and financial processes simpler and more efficient for all participants in the healthcare system. Optum Rx offers a range of pharmacy care services through retail pharmacies, through home delivery, specialty and community health pharmacies and the provision of in-home and community-based infusion services.</v>
    <v>390000</v>
    <v>New York Stock Exchange</v>
    <v>XNYS</v>
    <v>XNYS</v>
    <v>1 HEALTH DRIVE, EDEN PRAIRIE, MN, 55344 US</v>
    <v>422.4</v>
    <v>Healthcare Providers &amp; Services</v>
    <v>Stock</v>
    <v>46315.706800890628</v>
    <v>33</v>
    <v>408.28</v>
    <v>378461871472</v>
    <v>UNITEDHEALTH GROUP INCORPORATED</v>
    <v>UNITEDHEALTH GROUP INCORPORATED</v>
    <v>409.52</v>
    <v>24.064</v>
    <v>406.88</v>
    <v>421.64</v>
    <v>897594800</v>
    <v>UNH</v>
    <v>UNITEDHEALTH GROUP INCORPORATED (XNYS:UNH)</v>
    <v>3715371</v>
    <v>5838429</v>
    <v>2015</v>
  </rv>
  <rv s="2">
    <v>34</v>
  </rv>
  <rv s="0">
    <v>https://www.bing.com/financeapi/forcetrigger?t=a1nhlh&amp;q=XNAS%3aAMZN&amp;form=skydnc</v>
    <v>Learn more on Bing</v>
  </rv>
  <rv s="1">
    <v>0</v>
    <v>AMAZON.COM, INC. (XNAS:AMZN)</v>
    <v>2</v>
    <v>3</v>
    <v>Finance</v>
    <v>4</v>
    <v>en-US</v>
    <v>a1nhlh</v>
    <v>268435456</v>
    <v>1</v>
    <v>Powered by Refinitiv</v>
    <v>287.2</v>
    <v>196</v>
    <v>1.4899</v>
    <v>0.41499999999999998</v>
    <v>1.5809999999999999E-3</v>
    <v>USD</v>
    <v>Amazon.com, Inc. offers a variety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1595000</v>
    <v>Nasdaq Stock Market</v>
    <v>XNAS</v>
    <v>XNAS</v>
    <v>410 Terry Avenue North, SEATTLE, WA, 98109 US</v>
    <v>265.33969999999999</v>
    <v>Diversified Retail</v>
    <v>Stock</v>
    <v>46315.706843483596</v>
    <v>36</v>
    <v>260.42</v>
    <v>2835343378150</v>
    <v>AMAZON.COM, INC.</v>
    <v>AMAZON.COM, INC.</v>
    <v>264.14999999999998</v>
    <v>21.1432</v>
    <v>262.45</v>
    <v>262.86500000000001</v>
    <v>10786310000</v>
    <v>AMZN</v>
    <v>AMAZON.COM, INC. (XNAS:AMZN)</v>
    <v>18924033</v>
    <v>36991572</v>
    <v>1996</v>
  </rv>
  <rv s="2">
    <v>37</v>
  </rv>
  <rv s="0">
    <v>https://www.bing.com/financeapi/forcetrigger?t=a1u3rw&amp;q=XNAS%3aGOOGL&amp;form=skydnc</v>
    <v>Learn more on Bing</v>
  </rv>
  <rv s="1">
    <v>0</v>
    <v>ALPHABET INC. (XNAS:GOOGL)</v>
    <v>2</v>
    <v>3</v>
    <v>Finance</v>
    <v>4</v>
    <v>en-US</v>
    <v>a1u3rw</v>
    <v>268435456</v>
    <v>1</v>
    <v>Powered by Refinitiv</v>
    <v>408.61</v>
    <v>244.15</v>
    <v>1.2033</v>
    <v>-3.21</v>
    <v>-9.3270000000000002E-3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198933</v>
    <v>Nasdaq Stock Market</v>
    <v>XNAS</v>
    <v>XNAS</v>
    <v>1600 Amphitheatre Parkway, MOUNTAIN VIEW, CA, 94043 US</v>
    <v>344.77</v>
    <v>Software &amp; IT Services</v>
    <v>Stock</v>
    <v>46315.706828008595</v>
    <v>39</v>
    <v>340.7901</v>
    <v>4170063100000</v>
    <v>ALPHABET INC.</v>
    <v>ALPHABET INC.</v>
    <v>343.71</v>
    <v>17.1084</v>
    <v>344.18</v>
    <v>340.97</v>
    <v>12230000000</v>
    <v>GOOGL</v>
    <v>ALPHABET INC. (XNAS:GOOGL)</v>
    <v>7529831</v>
    <v>25205504</v>
    <v>2015</v>
  </rv>
  <rv s="2">
    <v>40</v>
  </rv>
  <rv s="0">
    <v>https://www.bing.com/financeapi/forcetrigger?t=a269ec&amp;q=XNYS%3aXOM&amp;form=skydnc</v>
    <v>Learn more on Bing</v>
  </rv>
  <rv s="1">
    <v>0</v>
    <v>EXXONMOBIL HOLDINGS CORPORATION (XNYS:XOM)</v>
    <v>2</v>
    <v>3</v>
    <v>Finance</v>
    <v>4</v>
    <v>en-US</v>
    <v>a269ec</v>
    <v>268435456</v>
    <v>1</v>
    <v>Powered by Refinitiv</v>
    <v>180.26</v>
    <v>111.98</v>
    <v>0.17330000000000001</v>
    <v>-1.2</v>
    <v>-6.731E-3</v>
    <v>USD</v>
    <v>ExxonMobil Holdings Corporation is a holding company whose direct, wholly owned subsidiary and principal operating company is Exxon Mobil Corporation. Its principal business involves exploration and production of crude oil and natural gas; manufacture, trade, transport and sale of crude oil, natural gas, petroleum products, petrochemicals, and a wide variety of specialty products; and pursuit of lower-emission and other new business opportunities, including carbon capture and storage, hydrogen and ammonia, lower-emission fuels, Proxxima resin systems, carbon materials, low-carbon data centers, and lithium. Affiliates of the Company conduct research programs in support of these businesses. It operates or markets its products in the United States and most other countries of the world. Its Upstream businesses include unconventional, conventional, deepwater, heavy oil and liquefied natural gas. It also manufactures and distributes products derived from crude oil and other feedstocks.</v>
    <v>58000</v>
    <v>New York Stock Exchange</v>
    <v>XNYS</v>
    <v>XNYS</v>
    <v>22777 SPRINGWOODS VILLAGE PKWY, SPRING, TX, 77389-1425 US</v>
    <v>180.26</v>
    <v>Oil &amp; Gas</v>
    <v>Stock</v>
    <v>46315.706848587499</v>
    <v>42</v>
    <v>174.91499999999999</v>
    <v>728137376960</v>
    <v>EXXONMOBIL HOLDINGS CORPORATION</v>
    <v>EXXONMOBIL HOLDINGS CORPORATION</v>
    <v>179.89</v>
    <v>22.836099999999998</v>
    <v>178.28</v>
    <v>177.08</v>
    <v>4111912000</v>
    <v>XOM</v>
    <v>EXXONMOBIL HOLDINGS CORPORATION (XNYS:XOM)</v>
    <v>5659275</v>
    <v>12825722</v>
    <v>2026</v>
  </rv>
  <rv s="2">
    <v>43</v>
  </rv>
  <rv s="0">
    <v>https://www.bing.com/financeapi/forcetrigger?t=a1mou2&amp;q=XNAS%3aAAPL&amp;form=skydnc</v>
    <v>Learn more on Bing</v>
  </rv>
  <rv s="1">
    <v>0</v>
    <v>APPLE INC. (XNAS:AAPL)</v>
    <v>2</v>
    <v>3</v>
    <v>Finance</v>
    <v>4</v>
    <v>en-US</v>
    <v>a1mou2</v>
    <v>268435456</v>
    <v>1</v>
    <v>Powered by Refinitiv</v>
    <v>348.1499</v>
    <v>243.42</v>
    <v>1.0789</v>
    <v>-2.39</v>
    <v>-6.9689999999999995E-3</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343.06</v>
    <v>Computers, Phones &amp; Household Electronics</v>
    <v>Stock</v>
    <v>46315.706839652346</v>
    <v>45</v>
    <v>338.7</v>
    <v>4970047999000</v>
    <v>APPLE INC.</v>
    <v>APPLE INC.</v>
    <v>339.62</v>
    <v>39.186</v>
    <v>342.94</v>
    <v>340.55</v>
    <v>14594180000</v>
    <v>AAPL</v>
    <v>APPLE INC. (XNAS:AAPL)</v>
    <v>13731315</v>
    <v>38617562</v>
    <v>1977</v>
  </rv>
  <rv s="2">
    <v>46</v>
  </rv>
  <rv s="0">
    <v>http://es.wikipedia.org/wiki/Adobe_(empresa)</v>
    <v>Wikipedia</v>
  </rv>
  <rv s="3">
    <v>15</v>
    <v>48</v>
  </rv>
  <rv s="4">
    <v>9</v>
    <v>https://www.bing.com/th?id=AMMS_503c684ccc667ad525fe1d703881df2c&amp;qlt=95</v>
    <v>49</v>
    <v>0</v>
    <v>https://www.bing.com/images/search?form=xlimg&amp;q=adobe+systems</v>
    <v>Image of ADOBE INC.</v>
  </rv>
  <rv s="0">
    <v>https://www.bing.com/financeapi/forcetrigger?t=a1mv7w&amp;q=XNAS%3aADBE&amp;form=skydnc</v>
    <v>Learn more on Bing</v>
  </rv>
  <rv s="5">
    <v>5</v>
    <v>ADOBE INC. (XNAS:ADBE)</v>
    <v>7</v>
    <v>8</v>
    <v>Finance</v>
    <v>4</v>
    <v>en-US</v>
    <v>a1mv7w</v>
    <v>268435456</v>
    <v>1</v>
    <v>Powered by Refinitiv</v>
    <v>363.7</v>
    <v>190.12</v>
    <v>1.3853</v>
    <v>8.3000000000000007</v>
    <v>3.3591000000000003E-2</v>
    <v>USD</v>
    <v>Adobe Inc. is a global technology company. The Company's Solutions enable digital experiences, starting with the first creative spark, to the creation and development of all content and media, to the personalized delivery across every channel. Its segments include Digital Media, Digital Experience, and Publishing and Advertising. The Digital Media segment provides products and services that allow individuals, teams, businesses, and enterprises to create, publish, and promote content, and to work with documents and creative content across different workflows. The Digital Experience segment provides an integrated platform set of products, services and solutions that enable businesses to create, manage, execute, measure, monetize &amp; optimize customer experiences. The Publishing and Advertising segment contains legacy products and services that address diverse market opportunities, including eLearning solutions, technical document publishing, web conferencing, document and forms platforms.</v>
    <v>31360</v>
    <v>Nasdaq Stock Market</v>
    <v>XNAS</v>
    <v>XNAS</v>
    <v>345 Park Avenue, SAN JOSE, CA, 95110-2704 US</v>
    <v>256.39</v>
    <v>50</v>
    <v>Software &amp; IT Services</v>
    <v>Stock</v>
    <v>46315.706760115623</v>
    <v>51</v>
    <v>248.5</v>
    <v>99397788000</v>
    <v>ADOBE INC.</v>
    <v>ADOBE INC.</v>
    <v>249.58</v>
    <v>14.2514</v>
    <v>247.09</v>
    <v>255.39</v>
    <v>389200000</v>
    <v>ADBE</v>
    <v>ADOBE INC. (XNAS:ADBE)</v>
    <v>2218064</v>
    <v>4680929</v>
    <v>1997</v>
  </rv>
  <rv s="2">
    <v>52</v>
  </rv>
  <rv s="0">
    <v>https://www.bing.com/financeapi/forcetrigger?t=c1dbvh&amp;q=XNYS%3aPATH&amp;form=skydnc</v>
    <v>Learn more on Bing</v>
  </rv>
  <rv s="1">
    <v>0</v>
    <v>UIPATH, INC. (XNYS:PATH)</v>
    <v>2</v>
    <v>3</v>
    <v>Finance</v>
    <v>4</v>
    <v>en-US</v>
    <v>c1dbvh</v>
    <v>268435456</v>
    <v>1</v>
    <v>Powered by Refinitiv</v>
    <v>19.84</v>
    <v>9.2002000000000006</v>
    <v>1.0570999999999999</v>
    <v>0.35</v>
    <v>2.6676999999999999E-2</v>
    <v>USD</v>
    <v>UiPath, Inc. is focused on agentic automation and orchestration, empowering enterprises to harness the full potential of AI agents to autonomously execute and optimize complex business processes. It is focused on building and managing automations, starting with computer vision technology and user interface automation in its initial robotic process automation offering. Its AI-powered UiPath Platform offers a robust set of capabilities that allows its customers to discover opportunities for automation, automate using a digital workforce that seamlessly collaborates with humans, and operate a mission-critical automation program at scale. It enables employees to quickly build automations for both existing and new processes and to automate a range of actions including logging into applications, moving folders, filling in forms, reading emails and others. Its platform allows users to design and combine UI automations, API integrations and AI-based document understanding in a single workflow.</v>
    <v>3981</v>
    <v>New York Stock Exchange</v>
    <v>XNYS</v>
    <v>XNYS</v>
    <v>One Vanderbilt Avenue, 60th Floor, NEW YORK, NY, 10017 US</v>
    <v>13.61</v>
    <v>Software &amp; IT Services</v>
    <v>Stock</v>
    <v>46315.706812245313</v>
    <v>54</v>
    <v>13.12</v>
    <v>7019963238</v>
    <v>UIPATH, INC.</v>
    <v>UIPATH, INC.</v>
    <v>13.14</v>
    <v>20.086500000000001</v>
    <v>13.12</v>
    <v>13.47</v>
    <v>521155400</v>
    <v>PATH</v>
    <v>UIPATH, INC. (XNYS:PATH)</v>
    <v>17074073</v>
    <v>37474468</v>
    <v>2015</v>
  </rv>
  <rv s="2">
    <v>55</v>
  </rv>
  <rv s="0">
    <v>https://www.bing.com/financeapi/forcetrigger?t=b19hc7&amp;q=XNYS%3aVRT&amp;form=skydnc</v>
    <v>Learn more on Bing</v>
  </rv>
  <rv s="1">
    <v>0</v>
    <v>VERTIV HOLDINGS CO (XNYS:VRT)</v>
    <v>2</v>
    <v>3</v>
    <v>Finance</v>
    <v>4</v>
    <v>en-US</v>
    <v>b19hc7</v>
    <v>268435456</v>
    <v>1</v>
    <v>Powered by Refinitiv</v>
    <v>379.935</v>
    <v>147.82</v>
    <v>2.1105999999999998</v>
    <v>-2.5207000000000002</v>
    <v>-1.2232E-2</v>
    <v>USD</v>
    <v>Vertiv Holdings Co. provides mission-critical digital infrastructure technologies and lifecycle services primarily for data centers, communication networks, and commercial and industrial environments. The Company operates in three business segments: the Americas; Asia Pacific, and Europe, Middle East &amp; Africa. The Company's offerings include alternate current (AC) and direct current (DC) power management, thermal management, low/medium voltage switchgear, busbar, air cooled and liquid cooled thermal management products, integrated modular solutions, racks, single phase UPS, rack power distribution, rack thermal systems, configurable integrated solutions, energy storage solutions, hardware, software for managing IT equipment, management systems for monitoring and controlling digital infrastructure, and services. It also provides preventative maintenance, acceptance testing, engineering and consulting, remote monitoring, training, spare parts, specialized fluid management, and others.</v>
    <v>34000</v>
    <v>New York Stock Exchange</v>
    <v>XNYS</v>
    <v>XNYS</v>
    <v>505 N. Cleveland Ave., WESTERVILLE, OH, 43082 US</v>
    <v>208.94</v>
    <v>Machinery, Equipment &amp; Components</v>
    <v>Stock</v>
    <v>46315.707034560153</v>
    <v>57</v>
    <v>197.9</v>
    <v>78367928500</v>
    <v>VERTIV HOLDINGS CO</v>
    <v>VERTIV HOLDINGS CO</v>
    <v>202.35</v>
    <v>46.065600000000003</v>
    <v>206.08</v>
    <v>203.55930000000001</v>
    <v>384988200</v>
    <v>VRT</v>
    <v>VERTIV HOLDINGS CO (XNYS:VRT)</v>
    <v>3354769</v>
    <v>5048685</v>
    <v>2016</v>
  </rv>
  <rv s="2">
    <v>58</v>
  </rv>
  <rv s="0">
    <v>https://www.bing.com/financeapi/forcetrigger?t=a1mwoc&amp;q=XNAS%3aADSK&amp;form=skydnc</v>
    <v>Learn more on Bing</v>
  </rv>
  <rv s="1">
    <v>0</v>
    <v>AUTODESK, INC. (XNAS:ADSK)</v>
    <v>2</v>
    <v>3</v>
    <v>Finance</v>
    <v>4</v>
    <v>en-US</v>
    <v>a1mwoc</v>
    <v>268435456</v>
    <v>1</v>
    <v>Powered by Refinitiv</v>
    <v>320</v>
    <v>185.5</v>
    <v>1.3027</v>
    <v>3.33</v>
    <v>1.3835E-2</v>
    <v>USD</v>
    <v>Autodesk, Inc. is engaged in three-dimensional (3D) design, engineering and entertainment technology solutions, spanning architecture, engineering, construction, product design, manufacturing, media and entertainment. Its architecture, engineering, construction and operations products improve the way building, infrastructure, and industrial projects are designed, built, and operated. Its product development and manufacturing software provides manufacturers in the automotive, transportation, industrial machinery, consumer products, and building product industries with comprehensive digital design, engineering, manufacturing, and production solutions. Its product offerings include AutoCAD Civil 3D, Autodesk Build, BIM Collaborate Pro, Building Connected, Revit, Tandem, AutoCAD, AutoCAD LT, Inventor, Vault, Maya, 3ds Max, Flow Production Tracking, among others. AutoCAD Civil 3D solution offers surveying, design, analysis, and documentation solution.</v>
    <v>14300</v>
    <v>Nasdaq Stock Market</v>
    <v>XNAS</v>
    <v>XNAS</v>
    <v>One Market, Ste. 400., SAN FRANCISCO, CA, 94105 US</v>
    <v>247.68</v>
    <v>Software &amp; IT Services</v>
    <v>Stock</v>
    <v>46315.707760323436</v>
    <v>60</v>
    <v>241.1</v>
    <v>51002270000</v>
    <v>AUTODESK, INC.</v>
    <v>AUTODESK, INC.</v>
    <v>241.1</v>
    <v>31.639199999999999</v>
    <v>240.7</v>
    <v>244.03</v>
    <v>209000000</v>
    <v>ADSK</v>
    <v>AUTODESK, INC. (XNAS:ADSK)</v>
    <v>668246</v>
    <v>2072616</v>
    <v>1994</v>
  </rv>
  <rv s="2">
    <v>61</v>
  </rv>
  <rv s="0">
    <v>https://www.bing.com/financeapi/forcetrigger?t=a23rjc&amp;q=XNAS%3aSTX&amp;form=skydnc</v>
    <v>Learn more on Bing</v>
  </rv>
  <rv s="1">
    <v>0</v>
    <v>SEAGATE TECHNOLOGY HOLDINGS PUBLIC LIMITED COMPANY (XNAS:STX)</v>
    <v>2</v>
    <v>3</v>
    <v>Finance</v>
    <v>4</v>
    <v>en-US</v>
    <v>a23rjc</v>
    <v>268435456</v>
    <v>1</v>
    <v>Powered by Refinitiv</v>
    <v>1145</v>
    <v>209</v>
    <v>2.1414</v>
    <v>14.21</v>
    <v>2.1503999999999999E-2</v>
    <v>USD</v>
    <v>Seagate Technology Holdings plc provides mass-data storage infrastructure solution. The Company’s principal products are hard disk drives, commonly referred to as disk drives, hard drives (HDDs). In addition to HDDs, the Company produces a range of data storage products, including solid state drives (SSDs), solid state hybrid drives, storage subsystems, as well as a scalable edge-to-cloud mass data platform. Its HDD products are designed for mass capacity storage and legacy markets. Mass capacity storage involves use cases, such as hyperscale data centers and public clouds, as well as emerging use cases. The Company’s HDD and SSD product portfolio includes Serial Advanced Technology Attachment, Serial Attached SCSI and Non-Volatile Memory Express based designs to support a variety of mass capacity and legacy applications. Its systems portfolio includes storage subsystems for enterprises, cloud service providers, scale-out storage servers and original equipment manufacturers.</v>
    <v>30000</v>
    <v>Nasdaq Stock Market</v>
    <v>XNAS</v>
    <v>XNAS</v>
    <v>121 Woodlands Avenue 5, 739009 SG</v>
    <v>679.8</v>
    <v>Computers, Phones &amp; Household Electronics</v>
    <v>Stock</v>
    <v>46315.709040856251</v>
    <v>63</v>
    <v>642.41999999999996</v>
    <v>154607188318</v>
    <v>SEAGATE TECHNOLOGY HOLDINGS PUBLIC LIMITED COMPANY</v>
    <v>SEAGATE TECHNOLOGY HOLDINGS PUBLIC LIMITED COMPANY</v>
    <v>657.17</v>
    <v>48.548999999999999</v>
    <v>660.81</v>
    <v>675.02</v>
    <v>229040900</v>
    <v>STX</v>
    <v>SEAGATE TECHNOLOGY HOLDINGS PUBLIC LIMITED COMPANY (XNAS:STX)</v>
    <v>2374704</v>
    <v>4841084</v>
    <v>2017</v>
  </rv>
  <rv s="2">
    <v>64</v>
  </rv>
  <rv s="0">
    <v>http://en.wikipedia.org/wiki/Western_Digital</v>
    <v>Wikipedia</v>
  </rv>
  <rv s="3">
    <v>15</v>
    <v>66</v>
  </rv>
  <rv s="4">
    <v>9</v>
    <v>https://www.bing.com/th?id=AMMS_b9efb984265253a027f300c3dcbbcbc0&amp;qlt=95</v>
    <v>67</v>
    <v>0</v>
    <v>https://www.bing.com/images/search?form=xlimg&amp;q=western+digital</v>
    <v>Image of WESTERN DIGITAL CORPORATION</v>
  </rv>
  <rv s="0">
    <v>https://www.bing.com/financeapi/forcetrigger?t=a25rnm&amp;q=XNAS%3aWDC&amp;form=skydnc</v>
    <v>Learn more on Bing</v>
  </rv>
  <rv s="5">
    <v>5</v>
    <v>WESTERN DIGITAL CORPORATION (XNAS:WDC)</v>
    <v>7</v>
    <v>8</v>
    <v>Finance</v>
    <v>4</v>
    <v>en-US</v>
    <v>a25rnm</v>
    <v>268435456</v>
    <v>1</v>
    <v>Powered by Refinitiv</v>
    <v>799.87</v>
    <v>117.23</v>
    <v>2.2572000000000001</v>
    <v>8.6771999999999991</v>
    <v>2.4636000000000002E-2</v>
    <v>USD</v>
    <v>Western Digital Corporation is a developer, manufacturer and provider of data storage devices and solutions on hard disk drives (HDD) technologies. The Company manufactures, markets, and sells data storage devices and solutions through its sales personnel, dealers, distributors, retailers, and subsidiaries. Its portfolio of technology and products addresses end markets: Cloud, Client, and Consumer. Cloud is comprised primarily of products for public or private cloud environments and enterprise customers. Through the Client end market, the Company provides its original equipment manufacturer (OEM) and channel customers with a broad array of high-performance HDD solutions across desktops and notebooks. The Consumer end market offers a range of retail and other end-user products. Its product portfolio includes Internal HDD, Data Center Drives, Data Center Platforms, External Drives, Portable Drives, network-attached storage (NAS) for Home and Office, and Accessories.</v>
    <v>40000</v>
    <v>Nasdaq Stock Market</v>
    <v>XNAS</v>
    <v>XNAS</v>
    <v>5601 Great Oaks Parkway, SAN JOSE, CA, 95119 US</v>
    <v>361.89</v>
    <v>68</v>
    <v>Computers, Phones &amp; Household Electronics</v>
    <v>Stock</v>
    <v>46315.708579258593</v>
    <v>69</v>
    <v>342.59</v>
    <v>134815909529</v>
    <v>WESTERN DIGITAL CORPORATION</v>
    <v>WESTERN DIGITAL CORPORATION</v>
    <v>349.5</v>
    <v>14.865500000000001</v>
    <v>352.21</v>
    <v>360.88720000000001</v>
    <v>373568000</v>
    <v>WDC</v>
    <v>WESTERN DIGITAL CORPORATION (XNAS:WDC)</v>
    <v>4217204</v>
    <v>8943779</v>
    <v>2000</v>
  </rv>
  <rv s="2">
    <v>70</v>
  </rv>
</rvData>
</file>

<file path=xl/richData/rdrichvaluestructure.xml><?xml version="1.0" encoding="utf-8"?>
<rvStructures xmlns="http://schemas.microsoft.com/office/spreadsheetml/2017/richdata" count="8">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4">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spbArrays>
  <spbData count="16">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0">
      <v>1</v>
      <v>Name</v>
      <v>LearnMoreOnLink</v>
    </spb>
    <spb s="5">
      <v>0</v>
      <v>0</v>
    </spb>
    <spb s="6">
      <v>6</v>
      <v>1</v>
      <v>1</v>
      <v>1</v>
      <v>1</v>
    </spb>
    <spb s="7">
      <v>1</v>
      <v>2</v>
      <v>2</v>
      <v>1</v>
      <v>3</v>
      <v>1</v>
      <v>10</v>
      <v>1</v>
      <v>1</v>
      <v>4</v>
      <v>4</v>
      <v>5</v>
      <v>6</v>
      <v>1</v>
      <v>1</v>
      <v>1</v>
      <v>4</v>
      <v>7</v>
      <v>8</v>
      <v>9</v>
      <v>4</v>
    </spb>
    <spb s="8">
      <v>Powered by Refinitiv</v>
    </spb>
    <spb s="9">
      <v>2</v>
      <v>Name</v>
    </spb>
    <spb s="10">
      <v>1</v>
      <v>1</v>
      <v>1</v>
    </spb>
    <spb s="0">
      <v>3</v>
      <v>Name</v>
      <v>LearnMoreOnLink</v>
    </spb>
    <spb s="11">
      <v>1</v>
      <v>1</v>
      <v>1</v>
    </spb>
    <spb s="12">
      <v>1</v>
      <v>1</v>
      <v>3</v>
      <v>1</v>
      <v>1</v>
      <v>1</v>
      <v>5</v>
      <v>1</v>
      <v>1</v>
      <v>1</v>
      <v>9</v>
    </spb>
    <spb s="13">
      <v>from previous close</v>
      <v>from previous close</v>
    </spb>
  </spbData>
</supportingPropertyBags>
</file>

<file path=xl/richData/rdsupportingpropertybagstructure.xml><?xml version="1.0" encoding="utf-8"?>
<spbStructures xmlns="http://schemas.microsoft.com/office/spreadsheetml/2017/richdata2" count="14">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Order" t="spba"/>
    <k n="TitleProperty" t="s"/>
  </s>
  <s>
    <k n="ExchangeID" t="spb"/>
    <k n="UniqueName" t="spb"/>
    <k n="`%ProviderInfo" t="spb"/>
  </s>
  <s>
    <k n="UniqueName" t="spb"/>
    <k n="`%ProviderInfo" t="spb"/>
    <k n="LearnMoreOnLink" t="spb"/>
  </s>
  <s>
    <k n="Low" t="i"/>
    <k n="High" t="i"/>
    <k n="Name" t="i"/>
    <k n="Open" t="i"/>
    <k n="Price" t="i"/>
    <k n="Change" t="i"/>
    <k n="Change (%)" t="i"/>
    <k n="52 week low" t="i"/>
    <k n="52 week high" t="i"/>
    <k n="Previous close" t="i"/>
    <k n="`%EntityServiceId" t="i"/>
  </s>
  <s>
    <k n="Change" t="s"/>
    <k n="Chang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1FAB9A-CCFE-C14D-87AF-0AF9FAF5812C}">
  <we:reference id="wa200001365" version="2.5.0.0" store="en-US" storeType="OMEX"/>
  <we:alternateReferences>
    <we:reference id="wa200001365" version="2.5.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_xldudf_ALPHAVANTAGE_EQUITYQUOTE</we:customFunctionIds>
        <we:customFunctionIds>_xldudf_ALPHAVANTAGE_EQUITYTIMESERIES</we:customFunctionIds>
        <we:customFunctionIds>_xldudf_ALPHAVANTAGE_INTRADAYEQUITYSERIESUPDATING</we:customFunctionIds>
        <we:customFunctionIds>_xldudf_ALPHAVANTAGE_EXCHANGERATE</we:customFunctionIds>
        <we:customFunctionIds>_xldudf_ALPHAVANTAGE_EXCHANGERATEUPDATING</we:customFunctionIds>
        <we:customFunctionIds>_xldudf_ALPHAVANTAGE_EXCHANGERATESERIES</we:customFunctionIds>
        <we:customFunctionIds>_xldudf_ALPHAVANTAGE_EXCHANGERATESERIESUPDATING</we:customFunctionIds>
        <we:customFunctionIds>_xldudf_ALPHAVANTAGE_TECHNICALINDICATOR</we:customFunctionIds>
        <we:customFunctionIds>_xldudf_ALPHAVANTAGE_SYMBOLSEARCH</we:customFunctionIds>
        <we:customFunctionIds>_xldudf_ALPHAVANTAGE_COMMODITYTIMESERIES</we:customFunctionIds>
        <we:customFunctionIds>_xldudf_ALPHAVANTAGE_AVAILABLECRYPTOCURRENCIES</we:customFunctionIds>
        <we:customFunctionIds>_xldudf_ALPHAVANTAGE_AVAILABLEPHYSICALCURRENCIES</we:customFunctionIds>
        <we:customFunctionIds>_xldudf_ALPHAVANTAGE_COMPANYOVERVIEW</we:customFunctionIds>
        <we:customFunctionIds>_xldudf_ALPHAVANTAGE_COMPANYEARNINGS</we:customFunctionIds>
        <we:customFunctionIds>_xldudf_ALPHAVANTAGE_COMPANYFILINGS</we:customFunctionIds>
        <we:customFunctionIds>_xldudf_ALPHAVANTAGE_LISTINGSTATUS</we:customFunctionIds>
        <we:customFunctionIds>_xldudf_ALPHAVANTAGE_EARNINGSCALENDAR</we:customFunctionIds>
        <we:customFunctionIds>_xldudf_ALPHAVANTAGE_ECONOMICINDICATOR</we:customFunctionIds>
        <we:customFunctionIds>_xldudf_ALPHAVANTAGE_TREASURYYIELD</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172E-7ADE-4B4A-B533-F037BCFCDCB0}">
  <dimension ref="A1:I23"/>
  <sheetViews>
    <sheetView tabSelected="1" topLeftCell="A15" zoomScale="169" workbookViewId="0">
      <selection activeCell="B22" sqref="B22"/>
    </sheetView>
  </sheetViews>
  <sheetFormatPr baseColWidth="10" defaultRowHeight="16" x14ac:dyDescent="0.2"/>
  <cols>
    <col min="1" max="1" width="2.6640625" style="1" customWidth="1"/>
    <col min="2" max="2" width="24.33203125" style="1" customWidth="1"/>
    <col min="3" max="3" width="12.1640625" style="1" customWidth="1"/>
    <col min="4" max="4" width="11.83203125" style="1" customWidth="1"/>
    <col min="5" max="5" width="12.1640625" style="1" customWidth="1"/>
    <col min="6" max="6" width="7.83203125" style="1" customWidth="1"/>
    <col min="7" max="7" width="9.83203125" style="1" customWidth="1"/>
    <col min="8" max="8" width="41.5" style="1" customWidth="1"/>
    <col min="9" max="16384" width="10.83203125" style="1"/>
  </cols>
  <sheetData>
    <row r="1" spans="1:9" ht="11" customHeight="1" x14ac:dyDescent="0.2"/>
    <row r="2" spans="1:9" x14ac:dyDescent="0.2">
      <c r="B2" s="2" t="s">
        <v>0</v>
      </c>
      <c r="C2" s="2" t="s">
        <v>1</v>
      </c>
      <c r="D2" s="2" t="s">
        <v>2</v>
      </c>
      <c r="E2" s="2" t="s">
        <v>3</v>
      </c>
      <c r="F2" s="2" t="s">
        <v>4</v>
      </c>
      <c r="G2" s="2" t="s">
        <v>6</v>
      </c>
      <c r="H2" s="2" t="s">
        <v>5</v>
      </c>
      <c r="I2" s="2" t="s">
        <v>7</v>
      </c>
    </row>
    <row r="3" spans="1:9" x14ac:dyDescent="0.2">
      <c r="B3" s="3" t="e" vm="1">
        <v>#VALUE!</v>
      </c>
      <c r="C3" s="4" cm="1">
        <f t="array" aca="1" ref="C3" ca="1">_FV(B3,"Price")</f>
        <v>539.34</v>
      </c>
      <c r="D3" s="4" cm="1">
        <f t="array" aca="1" ref="D3" ca="1">_FV(B3,"52 week high",TRUE)</f>
        <v>658.52</v>
      </c>
      <c r="E3" s="4" cm="1">
        <f t="array" aca="1" ref="E3" ca="1">_FV(B3,"52 week low",TRUE)</f>
        <v>188.22</v>
      </c>
      <c r="F3" s="5" cm="1">
        <f t="array" aca="1" ref="F3" ca="1">_FV(B3,"Beta")</f>
        <v>2.4712999999999998</v>
      </c>
      <c r="G3" s="6" t="str" cm="1">
        <f t="array" aca="1" ref="G3" ca="1">_FV(B3,"Ticker symbol",TRUE)</f>
        <v>AMD</v>
      </c>
      <c r="H3" s="6" t="str" cm="1">
        <f t="array" aca="1" ref="H3" ca="1">_FV(B3,"Industry")</f>
        <v>Semiconductors &amp; Semiconductor Equipment</v>
      </c>
      <c r="I3" s="7" cm="1">
        <f t="array" aca="1" ref="I3" ca="1">_FV(B3,"Volume average",TRUE)</f>
        <v>21808986</v>
      </c>
    </row>
    <row r="4" spans="1:9" x14ac:dyDescent="0.2">
      <c r="B4" s="3" t="e" vm="2">
        <v>#VALUE!</v>
      </c>
      <c r="C4" s="4" cm="1">
        <f t="array" aca="1" ref="C4" ca="1">_FV(B4,"Price")</f>
        <v>141.25</v>
      </c>
      <c r="D4" s="4" cm="1">
        <f t="array" aca="1" ref="D4" ca="1">_FV(B4,"52 week high",TRUE)</f>
        <v>328.53</v>
      </c>
      <c r="E4" s="4" cm="1">
        <f t="array" aca="1" ref="E4" ca="1">_FV(B4,"52 week low",TRUE)</f>
        <v>87.89</v>
      </c>
      <c r="F4" s="5" cm="1">
        <f t="array" aca="1" ref="F4" ca="1">_FV(B4,"Beta")</f>
        <v>1.0656000000000001</v>
      </c>
      <c r="G4" s="6" t="str" cm="1">
        <f t="array" aca="1" ref="G4" ca="1">_FV(B4,"Ticker symbol",TRUE)</f>
        <v>DUOL</v>
      </c>
      <c r="H4" s="6" t="str" cm="1">
        <f t="array" aca="1" ref="H4" ca="1">_FV(B4,"Industry")</f>
        <v>Software &amp; IT Services</v>
      </c>
      <c r="I4" s="7" cm="1">
        <f t="array" aca="1" ref="I4" ca="1">_FV(B4,"Volume average",TRUE)</f>
        <v>969450</v>
      </c>
    </row>
    <row r="5" spans="1:9" x14ac:dyDescent="0.2">
      <c r="B5" s="3" t="e" vm="3">
        <v>#VALUE!</v>
      </c>
      <c r="C5" s="4" cm="1">
        <f t="array" aca="1" ref="C5" ca="1">_FV(B5,"Price")</f>
        <v>92.805000000000007</v>
      </c>
      <c r="D5" s="4" cm="1">
        <f t="array" aca="1" ref="D5" ca="1">_FV(B5,"52 week high",TRUE)</f>
        <v>142.35</v>
      </c>
      <c r="E5" s="4" cm="1">
        <f t="array" aca="1" ref="E5" ca="1">_FV(B5,"52 week low",TRUE)</f>
        <v>32.89</v>
      </c>
      <c r="F5" s="5" cm="1">
        <f t="array" aca="1" ref="F5" ca="1">_FV(B5,"Beta")</f>
        <v>2.3628999999999998</v>
      </c>
      <c r="G5" s="6" t="str" cm="1">
        <f t="array" aca="1" ref="G5" ca="1">_FV(B5,"Ticker symbol",TRUE)</f>
        <v>INTC</v>
      </c>
      <c r="H5" s="6" t="str" cm="1">
        <f t="array" aca="1" ref="H5" ca="1">_FV(B5,"Industry")</f>
        <v>Semiconductors &amp; Semiconductor Equipment</v>
      </c>
      <c r="I5" s="7" cm="1">
        <f t="array" aca="1" ref="I5" ca="1">_FV(B5,"Volume average",TRUE)</f>
        <v>109100108</v>
      </c>
    </row>
    <row r="6" spans="1:9" x14ac:dyDescent="0.2">
      <c r="B6" s="3" t="e" vm="4">
        <v>#VALUE!</v>
      </c>
      <c r="C6" s="4" cm="1">
        <f t="array" aca="1" ref="C6" ca="1">_FV(B6,"Price")</f>
        <v>216.81</v>
      </c>
      <c r="D6" s="4" cm="1">
        <f t="array" aca="1" ref="D6" ca="1">_FV(B6,"52 week high",TRUE)</f>
        <v>243.37</v>
      </c>
      <c r="E6" s="4" cm="1">
        <f t="array" aca="1" ref="E6" ca="1">_FV(B6,"52 week low",TRUE)</f>
        <v>164.27</v>
      </c>
      <c r="F6" s="5" cm="1">
        <f t="array" aca="1" ref="F6" ca="1">_FV(B6,"Beta")</f>
        <v>2.1920999999999999</v>
      </c>
      <c r="G6" s="6" t="str" cm="1">
        <f t="array" aca="1" ref="G6" ca="1">_FV(B6,"Ticker symbol",TRUE)</f>
        <v>NVDA</v>
      </c>
      <c r="H6" s="6" t="str" cm="1">
        <f t="array" aca="1" ref="H6" ca="1">_FV(B6,"Industry")</f>
        <v>Semiconductors &amp; Semiconductor Equipment</v>
      </c>
      <c r="I6" s="7" cm="1">
        <f t="array" aca="1" ref="I6" ca="1">_FV(B6,"Volume average",TRUE)</f>
        <v>106616857</v>
      </c>
    </row>
    <row r="7" spans="1:9" x14ac:dyDescent="0.2">
      <c r="B7" s="3" t="e" vm="5">
        <v>#VALUE!</v>
      </c>
      <c r="C7" s="4" cm="1">
        <f t="array" aca="1" ref="C7" ca="1">_FV(B7,"Price")</f>
        <v>11.73</v>
      </c>
      <c r="D7" s="4" cm="1">
        <f t="array" aca="1" ref="D7" ca="1">_FV(B7,"52 week high",TRUE)</f>
        <v>24.07</v>
      </c>
      <c r="E7" s="4" cm="1">
        <f t="array" aca="1" ref="E7" ca="1">_FV(B7,"52 week low",TRUE)</f>
        <v>7.77</v>
      </c>
      <c r="F7" s="5" cm="1">
        <f t="array" aca="1" ref="F7" ca="1">_FV(B7,"Beta")</f>
        <v>0.78290000000000004</v>
      </c>
      <c r="G7" s="6" t="str" cm="1">
        <f t="array" aca="1" ref="G7" ca="1">_FV(B7,"Ticker symbol",TRUE)</f>
        <v>PHR</v>
      </c>
      <c r="H7" s="6" t="str" cm="1">
        <f t="array" aca="1" ref="H7" ca="1">_FV(B7,"Industry")</f>
        <v>Software &amp; IT Services</v>
      </c>
      <c r="I7" s="7" cm="1">
        <f t="array" aca="1" ref="I7" ca="1">_FV(B7,"Volume average",TRUE)</f>
        <v>687377</v>
      </c>
    </row>
    <row r="8" spans="1:9" x14ac:dyDescent="0.2">
      <c r="B8" s="3" t="e" vm="6">
        <v>#VALUE!</v>
      </c>
      <c r="C8" s="4" cm="1">
        <f t="array" aca="1" ref="C8" ca="1">_FV(B8,"Price")</f>
        <v>174.41499999999999</v>
      </c>
      <c r="D8" s="4" cm="1">
        <f t="array" aca="1" ref="D8" ca="1">_FV(B8,"52 week high",TRUE)</f>
        <v>259.92</v>
      </c>
      <c r="E8" s="4" cm="1">
        <f t="array" aca="1" ref="E8" ca="1">_FV(B8,"52 week low",TRUE)</f>
        <v>121.99</v>
      </c>
      <c r="F8" s="5" cm="1">
        <f t="array" aca="1" ref="F8" ca="1">_FV(B8,"Beta")</f>
        <v>1.6930000000000001</v>
      </c>
      <c r="G8" s="6" t="str" cm="1">
        <f t="array" aca="1" ref="G8" ca="1">_FV(B8,"Ticker symbol",TRUE)</f>
        <v>QCOM</v>
      </c>
      <c r="H8" s="6" t="str" cm="1">
        <f t="array" aca="1" ref="H8" ca="1">_FV(B8,"Industry")</f>
        <v>Semiconductors &amp; Semiconductor Equipment</v>
      </c>
      <c r="I8" s="7" cm="1">
        <f t="array" aca="1" ref="I8" ca="1">_FV(B8,"Volume average",TRUE)</f>
        <v>12922531</v>
      </c>
    </row>
    <row r="9" spans="1:9" x14ac:dyDescent="0.2">
      <c r="B9" s="3" t="e" vm="7">
        <v>#VALUE!</v>
      </c>
      <c r="C9" s="4" cm="1">
        <f t="array" aca="1" ref="C9" ca="1">_FV(B9,"Price")</f>
        <v>194.375</v>
      </c>
      <c r="D9" s="4" cm="1">
        <f t="array" aca="1" ref="D9" ca="1">_FV(B9,"52 week high",TRUE)</f>
        <v>196.35</v>
      </c>
      <c r="E9" s="4" cm="1">
        <f t="array" aca="1" ref="E9" ca="1">_FV(B9,"52 week low",TRUE)</f>
        <v>83.12</v>
      </c>
      <c r="F9" s="5" cm="1">
        <f t="array" aca="1" ref="F9" ca="1">_FV(B9,"Beta")</f>
        <v>1.5449999999999999</v>
      </c>
      <c r="G9" s="6" t="str" cm="1">
        <f t="array" aca="1" ref="G9" ca="1">_FV(B9,"Ticker symbol",TRUE)</f>
        <v>SN</v>
      </c>
      <c r="H9" s="6" t="str" cm="1">
        <f t="array" aca="1" ref="H9" ca="1">_FV(B9,"Industry")</f>
        <v>Household Goods</v>
      </c>
      <c r="I9" s="7" cm="1">
        <f t="array" aca="1" ref="I9" ca="1">_FV(B9,"Volume average",TRUE)</f>
        <v>1679197</v>
      </c>
    </row>
    <row r="10" spans="1:9" x14ac:dyDescent="0.2">
      <c r="A10" s="8" t="s">
        <v>8</v>
      </c>
      <c r="B10" s="3" t="e" vm="8">
        <v>#VALUE!</v>
      </c>
      <c r="C10" s="4" cm="1">
        <f t="array" aca="1" ref="C10" ca="1">_FV(B10,"Price")</f>
        <v>51.36</v>
      </c>
      <c r="D10" s="4" cm="1">
        <f t="array" aca="1" ref="D10" ca="1">_FV(B10,"52 week high",TRUE)</f>
        <v>53.64</v>
      </c>
      <c r="E10" s="4" cm="1">
        <f t="array" aca="1" ref="E10" ca="1">_FV(B10,"52 week low",TRUE)</f>
        <v>39.47</v>
      </c>
      <c r="F10" s="4"/>
      <c r="G10" s="6" t="str" cm="1">
        <f t="array" aca="1" ref="G10" ca="1">_FV(B10,"Ticker symbol",TRUE)</f>
        <v>TNX</v>
      </c>
      <c r="H10" s="6"/>
      <c r="I10" s="7"/>
    </row>
    <row r="11" spans="1:9" x14ac:dyDescent="0.2">
      <c r="B11" s="3" t="e" vm="9">
        <v>#VALUE!</v>
      </c>
      <c r="C11" s="4" cm="1">
        <f t="array" aca="1" ref="C11" ca="1">_FV(B11,"Price")</f>
        <v>3.335</v>
      </c>
      <c r="D11" s="4" cm="1">
        <f t="array" aca="1" ref="D11" ca="1">_FV(B11,"52 week high",TRUE)</f>
        <v>3.4499</v>
      </c>
      <c r="E11" s="4" cm="1">
        <f t="array" aca="1" ref="E11" ca="1">_FV(B11,"52 week low",TRUE)</f>
        <v>2.1800000000000002</v>
      </c>
      <c r="F11" s="5" cm="1">
        <f t="array" aca="1" ref="F11" ca="1">_FV(B11,"Beta")</f>
        <v>0.58050000000000002</v>
      </c>
      <c r="G11" s="6" t="str" cm="1">
        <f t="array" aca="1" ref="G11" ca="1">_FV(B11,"Ticker symbol",TRUE)</f>
        <v>ABEV</v>
      </c>
      <c r="H11" s="6" t="str" cm="1">
        <f t="array" aca="1" ref="H11" ca="1">_FV(B11,"Industry")</f>
        <v>Beverages</v>
      </c>
      <c r="I11" s="7" cm="1">
        <f t="array" aca="1" ref="I11" ca="1">_FV(B11,"Volume average",TRUE)</f>
        <v>21559097</v>
      </c>
    </row>
    <row r="12" spans="1:9" x14ac:dyDescent="0.2">
      <c r="B12" s="3" t="e" vm="10">
        <v>#VALUE!</v>
      </c>
      <c r="C12" s="4" cm="1">
        <f t="array" aca="1" ref="C12" ca="1">_FV(B12,"Price")</f>
        <v>87.864999999999995</v>
      </c>
      <c r="D12" s="4" cm="1">
        <f t="array" aca="1" ref="D12" ca="1">_FV(B12,"52 week high",TRUE)</f>
        <v>112.58</v>
      </c>
      <c r="E12" s="4" cm="1">
        <f t="array" aca="1" ref="E12" ca="1">_FV(B12,"52 week low",TRUE)</f>
        <v>67.739999999999995</v>
      </c>
      <c r="F12" s="5" cm="1">
        <f t="array" aca="1" ref="F12" ca="1">_FV(B12,"Beta")</f>
        <v>0.6502</v>
      </c>
      <c r="G12" s="6" t="str" cm="1">
        <f t="array" aca="1" ref="G12" ca="1">_FV(B12,"Ticker symbol",TRUE)</f>
        <v>RIO</v>
      </c>
      <c r="H12" s="6" t="str" cm="1">
        <f t="array" aca="1" ref="H12" ca="1">_FV(B12,"Industry")</f>
        <v>Metals &amp; Mining</v>
      </c>
      <c r="I12" s="7" cm="1">
        <f t="array" aca="1" ref="I12" ca="1">_FV(B12,"Volume average",TRUE)</f>
        <v>1948212</v>
      </c>
    </row>
    <row r="13" spans="1:9" x14ac:dyDescent="0.2">
      <c r="B13" s="3" t="e" vm="11">
        <v>#VALUE!</v>
      </c>
      <c r="C13" s="4" cm="1">
        <f t="array" aca="1" ref="C13" ca="1">_FV(B13,"Price")</f>
        <v>421.64</v>
      </c>
      <c r="D13" s="4" cm="1">
        <f t="array" aca="1" ref="D13" ca="1">_FV(B13,"52 week high",TRUE)</f>
        <v>461.62</v>
      </c>
      <c r="E13" s="4" cm="1">
        <f t="array" aca="1" ref="E13" ca="1">_FV(B13,"52 week low",TRUE)</f>
        <v>255.965</v>
      </c>
      <c r="F13" s="5" cm="1">
        <f t="array" aca="1" ref="F13" ca="1">_FV(B13,"Beta")</f>
        <v>0.53969999999999996</v>
      </c>
      <c r="G13" s="6" t="str" cm="1">
        <f t="array" aca="1" ref="G13" ca="1">_FV(B13,"Ticker symbol",TRUE)</f>
        <v>UNH</v>
      </c>
      <c r="H13" s="6" t="str" cm="1">
        <f t="array" aca="1" ref="H13" ca="1">_FV(B13,"Industry")</f>
        <v>Healthcare Providers &amp; Services</v>
      </c>
      <c r="I13" s="7" cm="1">
        <f t="array" aca="1" ref="I13" ca="1">_FV(B13,"Volume average",TRUE)</f>
        <v>5838429</v>
      </c>
    </row>
    <row r="14" spans="1:9" x14ac:dyDescent="0.2">
      <c r="B14" s="3" t="e" vm="12">
        <v>#VALUE!</v>
      </c>
      <c r="C14" s="4" cm="1">
        <f t="array" aca="1" ref="C14" ca="1">_FV(B14,"Price")</f>
        <v>262.86500000000001</v>
      </c>
      <c r="D14" s="4" cm="1">
        <f t="array" aca="1" ref="D14" ca="1">_FV(B14,"52 week high",TRUE)</f>
        <v>287.2</v>
      </c>
      <c r="E14" s="4" cm="1">
        <f t="array" aca="1" ref="E14" ca="1">_FV(B14,"52 week low",TRUE)</f>
        <v>196</v>
      </c>
      <c r="F14" s="5" cm="1">
        <f t="array" aca="1" ref="F14" ca="1">_FV(B14,"Beta")</f>
        <v>1.4899</v>
      </c>
      <c r="G14" s="6" t="str" cm="1">
        <f t="array" aca="1" ref="G14" ca="1">_FV(B14,"Ticker symbol",TRUE)</f>
        <v>AMZN</v>
      </c>
      <c r="H14" s="6" t="str" cm="1">
        <f t="array" aca="1" ref="H14" ca="1">_FV(B14,"Industry")</f>
        <v>Diversified Retail</v>
      </c>
      <c r="I14" s="7" cm="1">
        <f t="array" aca="1" ref="I14" ca="1">_FV(B14,"Volume average",TRUE)</f>
        <v>36991572</v>
      </c>
    </row>
    <row r="15" spans="1:9" x14ac:dyDescent="0.2">
      <c r="B15" s="3" t="e" vm="13">
        <v>#VALUE!</v>
      </c>
      <c r="C15" s="4" cm="1">
        <f t="array" aca="1" ref="C15" ca="1">_FV(B15,"Price")</f>
        <v>340.97</v>
      </c>
      <c r="D15" s="4" cm="1">
        <f t="array" aca="1" ref="D15" ca="1">_FV(B15,"52 week high",TRUE)</f>
        <v>408.61</v>
      </c>
      <c r="E15" s="4" cm="1">
        <f t="array" aca="1" ref="E15" ca="1">_FV(B15,"52 week low",TRUE)</f>
        <v>244.15</v>
      </c>
      <c r="F15" s="5" cm="1">
        <f t="array" aca="1" ref="F15" ca="1">_FV(B15,"Beta")</f>
        <v>1.2033</v>
      </c>
      <c r="G15" s="6" t="str" cm="1">
        <f t="array" aca="1" ref="G15" ca="1">_FV(B15,"Ticker symbol",TRUE)</f>
        <v>GOOGL</v>
      </c>
      <c r="H15" s="6" t="str" cm="1">
        <f t="array" aca="1" ref="H15" ca="1">_FV(B15,"Industry")</f>
        <v>Software &amp; IT Services</v>
      </c>
      <c r="I15" s="7" cm="1">
        <f t="array" aca="1" ref="I15" ca="1">_FV(B15,"Volume average",TRUE)</f>
        <v>25205504</v>
      </c>
    </row>
    <row r="16" spans="1:9" x14ac:dyDescent="0.2">
      <c r="B16" s="3" t="e" vm="14">
        <v>#VALUE!</v>
      </c>
      <c r="C16" s="4" cm="1">
        <f t="array" aca="1" ref="C16" ca="1">_FV(B16,"Price")</f>
        <v>177.08</v>
      </c>
      <c r="D16" s="4" cm="1">
        <f t="array" aca="1" ref="D16" ca="1">_FV(B16,"52 week high",TRUE)</f>
        <v>180.26</v>
      </c>
      <c r="E16" s="4" cm="1">
        <f t="array" aca="1" ref="E16" ca="1">_FV(B16,"52 week low",TRUE)</f>
        <v>111.98</v>
      </c>
      <c r="F16" s="5" cm="1">
        <f t="array" aca="1" ref="F16" ca="1">_FV(B16,"Beta")</f>
        <v>0.17330000000000001</v>
      </c>
      <c r="G16" s="6" t="str" cm="1">
        <f t="array" aca="1" ref="G16" ca="1">_FV(B16,"Ticker symbol",TRUE)</f>
        <v>XOM</v>
      </c>
      <c r="H16" s="6" t="str" cm="1">
        <f t="array" aca="1" ref="H16" ca="1">_FV(B16,"Industry")</f>
        <v>Oil &amp; Gas</v>
      </c>
      <c r="I16" s="7" cm="1">
        <f t="array" aca="1" ref="I16" ca="1">_FV(B16,"Volume average",TRUE)</f>
        <v>12825722</v>
      </c>
    </row>
    <row r="17" spans="2:9" x14ac:dyDescent="0.2">
      <c r="B17" s="3" t="e" vm="15">
        <v>#VALUE!</v>
      </c>
      <c r="C17" s="4" cm="1">
        <f t="array" aca="1" ref="C17" ca="1">_FV(B17,"Price")</f>
        <v>340.55</v>
      </c>
      <c r="D17" s="4" cm="1">
        <f t="array" aca="1" ref="D17" ca="1">_FV(B17,"52 week high",TRUE)</f>
        <v>348.1499</v>
      </c>
      <c r="E17" s="4" cm="1">
        <f t="array" aca="1" ref="E17" ca="1">_FV(B17,"52 week low",TRUE)</f>
        <v>243.42</v>
      </c>
      <c r="F17" s="5" cm="1">
        <f t="array" aca="1" ref="F17" ca="1">_FV(B17,"Beta")</f>
        <v>1.0789</v>
      </c>
      <c r="G17" s="6" t="str" cm="1">
        <f t="array" aca="1" ref="G17" ca="1">_FV(B17,"Ticker symbol",TRUE)</f>
        <v>AAPL</v>
      </c>
      <c r="H17" s="6" t="str" cm="1">
        <f t="array" aca="1" ref="H17" ca="1">_FV(B17,"Industry")</f>
        <v>Computers, Phones &amp; Household Electronics</v>
      </c>
      <c r="I17" s="7" cm="1">
        <f t="array" aca="1" ref="I17" ca="1">_FV(B17,"Volume average",TRUE)</f>
        <v>38617562</v>
      </c>
    </row>
    <row r="18" spans="2:9" x14ac:dyDescent="0.2">
      <c r="B18" s="3" t="e" vm="16">
        <v>#VALUE!</v>
      </c>
      <c r="C18" s="4" cm="1">
        <f t="array" aca="1" ref="C18" ca="1">_FV(B18,"Price")</f>
        <v>255.39</v>
      </c>
      <c r="D18" s="4" cm="1">
        <f t="array" aca="1" ref="D18" ca="1">_FV(B18,"52 week high",TRUE)</f>
        <v>363.7</v>
      </c>
      <c r="E18" s="4" cm="1">
        <f t="array" aca="1" ref="E18" ca="1">_FV(B18,"52 week low",TRUE)</f>
        <v>190.12</v>
      </c>
      <c r="F18" s="5" cm="1">
        <f t="array" aca="1" ref="F18" ca="1">_FV(B18,"Beta")</f>
        <v>1.3853</v>
      </c>
      <c r="G18" s="6" t="str" cm="1">
        <f t="array" aca="1" ref="G18" ca="1">_FV(B18,"Ticker symbol",TRUE)</f>
        <v>ADBE</v>
      </c>
      <c r="H18" s="6" t="str" cm="1">
        <f t="array" aca="1" ref="H18" ca="1">_FV(B18,"Industry")</f>
        <v>Software &amp; IT Services</v>
      </c>
      <c r="I18" s="7" cm="1">
        <f t="array" aca="1" ref="I18" ca="1">_FV(B18,"Volume average",TRUE)</f>
        <v>4680929</v>
      </c>
    </row>
    <row r="19" spans="2:9" x14ac:dyDescent="0.2">
      <c r="B19" s="3" t="e" vm="17">
        <v>#VALUE!</v>
      </c>
      <c r="C19" s="4" cm="1">
        <f t="array" aca="1" ref="C19" ca="1">_FV(B19,"Price")</f>
        <v>13.47</v>
      </c>
      <c r="D19" s="4" cm="1">
        <f t="array" aca="1" ref="D19" ca="1">_FV(B19,"52 week high",TRUE)</f>
        <v>19.84</v>
      </c>
      <c r="E19" s="4" cm="1">
        <f t="array" aca="1" ref="E19" ca="1">_FV(B19,"52 week low",TRUE)</f>
        <v>9.2002000000000006</v>
      </c>
      <c r="F19" s="5" cm="1">
        <f t="array" aca="1" ref="F19" ca="1">_FV(B19,"Beta")</f>
        <v>1.0570999999999999</v>
      </c>
      <c r="G19" s="6" t="str" cm="1">
        <f t="array" aca="1" ref="G19" ca="1">_FV(B19,"Ticker symbol",TRUE)</f>
        <v>PATH</v>
      </c>
      <c r="H19" s="6" t="str" cm="1">
        <f t="array" aca="1" ref="H19" ca="1">_FV(B19,"Industry")</f>
        <v>Software &amp; IT Services</v>
      </c>
      <c r="I19" s="7" cm="1">
        <f t="array" aca="1" ref="I19" ca="1">_FV(B19,"Volume average",TRUE)</f>
        <v>37474468</v>
      </c>
    </row>
    <row r="20" spans="2:9" x14ac:dyDescent="0.2">
      <c r="B20" s="3" t="e" vm="18">
        <v>#VALUE!</v>
      </c>
      <c r="C20" s="4" cm="1">
        <f t="array" aca="1" ref="C20" ca="1">_FV(B20,"Price")</f>
        <v>203.55930000000001</v>
      </c>
      <c r="D20" s="4" cm="1">
        <f t="array" aca="1" ref="D20" ca="1">_FV(B20,"52 week high",TRUE)</f>
        <v>379.935</v>
      </c>
      <c r="E20" s="4" cm="1">
        <f t="array" aca="1" ref="E20" ca="1">_FV(B20,"52 week low",TRUE)</f>
        <v>147.82</v>
      </c>
      <c r="F20" s="5" cm="1">
        <f t="array" aca="1" ref="F20" ca="1">_FV(B20,"Beta")</f>
        <v>2.1105999999999998</v>
      </c>
      <c r="G20" s="6" t="str" cm="1">
        <f t="array" aca="1" ref="G20" ca="1">_FV(B20,"Ticker symbol",TRUE)</f>
        <v>VRT</v>
      </c>
      <c r="H20" s="6" t="str" cm="1">
        <f t="array" aca="1" ref="H20" ca="1">_FV(B20,"Industry")</f>
        <v>Machinery, Equipment &amp; Components</v>
      </c>
      <c r="I20" s="7" cm="1">
        <f t="array" aca="1" ref="I20" ca="1">_FV(B20,"Volume average",TRUE)</f>
        <v>5048685</v>
      </c>
    </row>
    <row r="21" spans="2:9" x14ac:dyDescent="0.2">
      <c r="B21" s="3" t="e" vm="19">
        <v>#VALUE!</v>
      </c>
      <c r="C21" s="4" cm="1">
        <f t="array" aca="1" ref="C21" ca="1">_FV(B21,"Price")</f>
        <v>244.03</v>
      </c>
      <c r="D21" s="4" cm="1">
        <f t="array" aca="1" ref="D21" ca="1">_FV(B21,"52 week high",TRUE)</f>
        <v>320</v>
      </c>
      <c r="E21" s="4" cm="1">
        <f t="array" aca="1" ref="E21" ca="1">_FV(B21,"52 week low",TRUE)</f>
        <v>185.5</v>
      </c>
      <c r="F21" s="5" cm="1">
        <f t="array" aca="1" ref="F21" ca="1">_FV(B21,"Beta")</f>
        <v>1.3027</v>
      </c>
      <c r="G21" s="6" t="str" cm="1">
        <f t="array" aca="1" ref="G21" ca="1">_FV(B21,"Ticker symbol",TRUE)</f>
        <v>ADSK</v>
      </c>
      <c r="H21" s="6" t="str" cm="1">
        <f t="array" aca="1" ref="H21" ca="1">_FV(B21,"Industry")</f>
        <v>Software &amp; IT Services</v>
      </c>
      <c r="I21" s="7" cm="1">
        <f t="array" aca="1" ref="I21" ca="1">_FV(B21,"Volume average",TRUE)</f>
        <v>2072616</v>
      </c>
    </row>
    <row r="22" spans="2:9" x14ac:dyDescent="0.2">
      <c r="B22" s="3" t="e" vm="20">
        <v>#VALUE!</v>
      </c>
      <c r="C22" s="4" cm="1">
        <f t="array" aca="1" ref="C22" ca="1">_FV(B22,"Price")</f>
        <v>675.02</v>
      </c>
      <c r="D22" s="4" cm="1">
        <f t="array" aca="1" ref="D22" ca="1">_FV(B22,"52 week high",TRUE)</f>
        <v>1145</v>
      </c>
      <c r="E22" s="4" cm="1">
        <f t="array" aca="1" ref="E22" ca="1">_FV(B22,"52 week low",TRUE)</f>
        <v>209</v>
      </c>
      <c r="F22" s="5" cm="1">
        <f t="array" aca="1" ref="F22" ca="1">_FV(B22,"Beta")</f>
        <v>2.1414</v>
      </c>
      <c r="G22" s="6" t="str" cm="1">
        <f t="array" aca="1" ref="G22" ca="1">_FV(B22,"Ticker symbol",TRUE)</f>
        <v>STX</v>
      </c>
      <c r="H22" s="6" t="str" cm="1">
        <f t="array" aca="1" ref="H22" ca="1">_FV(B22,"Industry")</f>
        <v>Computers, Phones &amp; Household Electronics</v>
      </c>
      <c r="I22" s="7" cm="1">
        <f t="array" aca="1" ref="I22" ca="1">_FV(B22,"Volume average",TRUE)</f>
        <v>4841084</v>
      </c>
    </row>
    <row r="23" spans="2:9" x14ac:dyDescent="0.2">
      <c r="B23" s="3" t="e" vm="21">
        <v>#VALUE!</v>
      </c>
      <c r="C23" s="4" cm="1">
        <f t="array" aca="1" ref="C23" ca="1">_FV(B23,"Price")</f>
        <v>360.88720000000001</v>
      </c>
      <c r="D23" s="4" cm="1">
        <f t="array" aca="1" ref="D23" ca="1">_FV(B23,"52 week high",TRUE)</f>
        <v>799.87</v>
      </c>
      <c r="E23" s="4" cm="1">
        <f t="array" aca="1" ref="E23" ca="1">_FV(B23,"52 week low",TRUE)</f>
        <v>117.23</v>
      </c>
      <c r="F23" s="5" cm="1">
        <f t="array" aca="1" ref="F23" ca="1">_FV(B23,"Beta")</f>
        <v>2.2572000000000001</v>
      </c>
      <c r="G23" s="6" t="str" cm="1">
        <f t="array" aca="1" ref="G23" ca="1">_FV(B23,"Ticker symbol",TRUE)</f>
        <v>WDC</v>
      </c>
      <c r="H23" s="6" t="str" cm="1">
        <f t="array" aca="1" ref="H23" ca="1">_FV(B23,"Industry")</f>
        <v>Computers, Phones &amp; Household Electronics</v>
      </c>
      <c r="I23" s="7" cm="1">
        <f t="array" aca="1" ref="I23" ca="1">_FV(B23,"Volume average",TRUE)</f>
        <v>8943779</v>
      </c>
    </row>
  </sheetData>
  <autoFilter ref="G2:H9" xr:uid="{825B172E-7ADE-4B4A-B533-F037BCFCDCB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dumitras</dc:creator>
  <cp:lastModifiedBy>adi dumitras</cp:lastModifiedBy>
  <dcterms:created xsi:type="dcterms:W3CDTF">2025-11-16T22:36:04Z</dcterms:created>
  <dcterms:modified xsi:type="dcterms:W3CDTF">2026-10-20T17:01:14Z</dcterms:modified>
</cp:coreProperties>
</file>