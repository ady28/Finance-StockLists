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B9CD857-8E69-1A4F-AFB9-8CDB2C0B7494}" xr6:coauthVersionLast="47" xr6:coauthVersionMax="47" xr10:uidLastSave="{00000000-0000-0000-0000-000000000000}"/>
  <bookViews>
    <workbookView xWindow="80" yWindow="100" windowWidth="25440" windowHeight="13540" xr2:uid="{AEC0C047-6E16-294C-82BD-58123BA913A1}"/>
  </bookViews>
  <sheets>
    <sheet name="Sheet1" sheetId="1" r:id="rId1"/>
  </sheets>
  <definedNames>
    <definedName name="_xlnm._FilterDatabase" localSheetId="0" hidden="1">Sheet1!$G$2:$H$9</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 l="1" a="1"/>
  <c r="I18" i="1" s="1"/>
  <c r="H18" i="1" a="1"/>
  <c r="H18" i="1" s="1"/>
  <c r="G18" i="1" a="1"/>
  <c r="G18" i="1" s="1"/>
  <c r="F18" i="1" a="1"/>
  <c r="F18" i="1" s="1"/>
  <c r="E18" i="1" a="1"/>
  <c r="E18" i="1" s="1"/>
  <c r="D18" i="1" a="1"/>
  <c r="D18" i="1" s="1"/>
  <c r="C18" i="1" a="1"/>
  <c r="C18" i="1" s="1"/>
  <c r="I17" i="1" a="1"/>
  <c r="I17" i="1" s="1"/>
  <c r="H17" i="1" a="1"/>
  <c r="H17" i="1" s="1"/>
  <c r="G17" i="1" a="1"/>
  <c r="G17" i="1" s="1"/>
  <c r="F17" i="1" a="1"/>
  <c r="F17" i="1" s="1"/>
  <c r="E17" i="1" a="1"/>
  <c r="E17" i="1" s="1"/>
  <c r="D17" i="1" a="1"/>
  <c r="D17" i="1" s="1"/>
  <c r="C17" i="1" a="1"/>
  <c r="C17" i="1" s="1"/>
  <c r="I16" i="1" a="1"/>
  <c r="I16" i="1" s="1"/>
  <c r="H16" i="1" a="1"/>
  <c r="H16" i="1" s="1"/>
  <c r="G16" i="1" a="1"/>
  <c r="G16" i="1" s="1"/>
  <c r="F16" i="1" a="1"/>
  <c r="F16" i="1" s="1"/>
  <c r="E16" i="1" a="1"/>
  <c r="E16" i="1" s="1"/>
  <c r="D16" i="1" a="1"/>
  <c r="D16" i="1" s="1"/>
  <c r="C16" i="1" a="1"/>
  <c r="C16" i="1" s="1"/>
  <c r="I15" i="1" a="1"/>
  <c r="I15" i="1" s="1"/>
  <c r="H15" i="1" a="1"/>
  <c r="H15" i="1" s="1"/>
  <c r="G15" i="1" a="1"/>
  <c r="G15" i="1" s="1"/>
  <c r="F15" i="1" a="1"/>
  <c r="F15" i="1" s="1"/>
  <c r="E15" i="1" a="1"/>
  <c r="E15" i="1" s="1"/>
  <c r="D15" i="1" a="1"/>
  <c r="D15" i="1" s="1"/>
  <c r="C15" i="1" a="1"/>
  <c r="C15" i="1" s="1"/>
  <c r="I14" i="1" a="1"/>
  <c r="I14" i="1" s="1"/>
  <c r="H14" i="1" a="1"/>
  <c r="H14" i="1" s="1"/>
  <c r="G14" i="1" a="1"/>
  <c r="G14" i="1" s="1"/>
  <c r="F14" i="1" a="1"/>
  <c r="F14" i="1" s="1"/>
  <c r="E14" i="1" a="1"/>
  <c r="E14" i="1" s="1"/>
  <c r="D14" i="1" a="1"/>
  <c r="D14" i="1" s="1"/>
  <c r="C14" i="1" a="1"/>
  <c r="C14" i="1" s="1"/>
  <c r="I13" i="1" a="1"/>
  <c r="I13" i="1" s="1"/>
  <c r="H13" i="1" a="1"/>
  <c r="H13" i="1" s="1"/>
  <c r="G13" i="1" a="1"/>
  <c r="G13" i="1" s="1"/>
  <c r="F13" i="1" a="1"/>
  <c r="F13" i="1" s="1"/>
  <c r="E13" i="1" a="1"/>
  <c r="E13" i="1" s="1"/>
  <c r="D13" i="1" a="1"/>
  <c r="D13" i="1" s="1"/>
  <c r="C13" i="1" a="1"/>
  <c r="C13" i="1" s="1"/>
  <c r="I12" i="1" a="1"/>
  <c r="I12" i="1" s="1"/>
  <c r="H12" i="1" a="1"/>
  <c r="H12" i="1" s="1"/>
  <c r="G12" i="1" a="1"/>
  <c r="G12" i="1" s="1"/>
  <c r="F12" i="1" a="1"/>
  <c r="F12" i="1" s="1"/>
  <c r="E12" i="1" a="1"/>
  <c r="E12" i="1" s="1"/>
  <c r="D12" i="1" a="1"/>
  <c r="D12" i="1" s="1"/>
  <c r="C12" i="1" a="1"/>
  <c r="C12" i="1" s="1"/>
  <c r="I11" i="1" a="1"/>
  <c r="I11" i="1" s="1"/>
  <c r="H11" i="1" a="1"/>
  <c r="H11" i="1" s="1"/>
  <c r="F11" i="1" a="1"/>
  <c r="F11" i="1" s="1"/>
  <c r="G11" i="1" a="1"/>
  <c r="G11" i="1" s="1"/>
  <c r="E11" i="1" a="1"/>
  <c r="E11" i="1" s="1"/>
  <c r="D11" i="1" a="1"/>
  <c r="D11" i="1" s="1"/>
  <c r="C11" i="1" a="1"/>
  <c r="C11" i="1" s="1"/>
  <c r="E10" i="1" a="1"/>
  <c r="E10" i="1" s="1"/>
  <c r="D10" i="1" a="1"/>
  <c r="D10" i="1" s="1"/>
  <c r="G10" i="1" a="1"/>
  <c r="G10" i="1" s="1"/>
  <c r="C10" i="1" a="1"/>
  <c r="C10" i="1" s="1"/>
  <c r="I4" i="1" a="1"/>
  <c r="I4" i="1" s="1"/>
  <c r="I5" i="1" a="1"/>
  <c r="I5" i="1" s="1"/>
  <c r="I6" i="1" a="1"/>
  <c r="I6" i="1" s="1"/>
  <c r="I7" i="1" a="1"/>
  <c r="I7" i="1" s="1"/>
  <c r="I8" i="1" a="1"/>
  <c r="I8" i="1" s="1"/>
  <c r="I9" i="1" a="1"/>
  <c r="I9" i="1" s="1"/>
  <c r="I3" i="1" a="1"/>
  <c r="I3" i="1" s="1"/>
  <c r="H3" i="1" a="1"/>
  <c r="H3" i="1" s="1"/>
  <c r="H4" i="1" a="1"/>
  <c r="H4" i="1" s="1"/>
  <c r="H5" i="1" a="1"/>
  <c r="H5" i="1" s="1"/>
  <c r="H6" i="1" a="1"/>
  <c r="H6" i="1" s="1"/>
  <c r="H7" i="1" a="1"/>
  <c r="H7" i="1" s="1"/>
  <c r="H8" i="1" a="1"/>
  <c r="H8" i="1" s="1"/>
  <c r="H9" i="1" a="1"/>
  <c r="H9" i="1" s="1"/>
  <c r="G3" i="1" a="1"/>
  <c r="G3" i="1" s="1"/>
  <c r="G4" i="1" a="1"/>
  <c r="G4" i="1" s="1"/>
  <c r="G5" i="1" a="1"/>
  <c r="G5" i="1" s="1"/>
  <c r="G6" i="1" a="1"/>
  <c r="G6" i="1" s="1"/>
  <c r="G7" i="1" a="1"/>
  <c r="G7" i="1" s="1"/>
  <c r="G8" i="1" a="1"/>
  <c r="G8" i="1" s="1"/>
  <c r="G9" i="1" a="1"/>
  <c r="G9" i="1" s="1"/>
  <c r="F3" i="1" a="1"/>
  <c r="F3" i="1" s="1"/>
  <c r="F4" i="1" a="1"/>
  <c r="F4" i="1" s="1"/>
  <c r="F5" i="1" a="1"/>
  <c r="F5" i="1" s="1"/>
  <c r="F6" i="1" a="1"/>
  <c r="F6" i="1" s="1"/>
  <c r="F7" i="1" a="1"/>
  <c r="F7" i="1" s="1"/>
  <c r="F8" i="1" a="1"/>
  <c r="F8" i="1" s="1"/>
  <c r="F9" i="1" a="1"/>
  <c r="F9" i="1" s="1"/>
  <c r="E3" i="1" a="1"/>
  <c r="E3" i="1" s="1"/>
  <c r="E4" i="1" a="1"/>
  <c r="E4" i="1" s="1"/>
  <c r="E5" i="1" a="1"/>
  <c r="E5" i="1" s="1"/>
  <c r="E6" i="1" a="1"/>
  <c r="E6" i="1" s="1"/>
  <c r="E7" i="1" a="1"/>
  <c r="E7" i="1" s="1"/>
  <c r="E8" i="1" a="1"/>
  <c r="E8" i="1" s="1"/>
  <c r="E9" i="1" a="1"/>
  <c r="E9" i="1" s="1"/>
  <c r="D3" i="1" a="1"/>
  <c r="D3" i="1" s="1"/>
  <c r="D4" i="1" a="1"/>
  <c r="D4" i="1" s="1"/>
  <c r="D5" i="1" a="1"/>
  <c r="D5" i="1" s="1"/>
  <c r="D6" i="1" a="1"/>
  <c r="D6" i="1" s="1"/>
  <c r="D7" i="1" a="1"/>
  <c r="D7" i="1" s="1"/>
  <c r="D8" i="1" a="1"/>
  <c r="D8" i="1" s="1"/>
  <c r="D9" i="1" a="1"/>
  <c r="D9" i="1" s="1"/>
  <c r="C3" i="1" a="1"/>
  <c r="C3" i="1" s="1"/>
  <c r="C4" i="1" a="1"/>
  <c r="C4" i="1" s="1"/>
  <c r="C5" i="1" a="1"/>
  <c r="C5" i="1" s="1"/>
  <c r="C6" i="1" a="1"/>
  <c r="C6" i="1" s="1"/>
  <c r="C7" i="1" a="1"/>
  <c r="C7" i="1" s="1"/>
  <c r="C8" i="1" a="1"/>
  <c r="C8" i="1" s="1"/>
  <c r="C9" i="1" a="1"/>
  <c r="C9"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21"/>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3"/>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<sst xmlns="http://schemas.openxmlformats.org/spreadsheetml/2006/main" count="9" uniqueCount="9">
  <si>
    <t>Ticker</t>
  </si>
  <si>
    <t>Price</t>
  </si>
  <si>
    <t>52 wk high</t>
  </si>
  <si>
    <t>52 wk low</t>
  </si>
  <si>
    <t>Beta</t>
  </si>
  <si>
    <t>Industry</t>
  </si>
  <si>
    <t>Symbol</t>
  </si>
  <si>
    <t>Volume avg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</si>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</sst>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2" x14ac:knownFonts="1">
    <font>
      <sz val="12"/>
      <color theme="1"/>
      <name val="Aptos Narrow"/>
      <family val="2"/>
      <scheme val="minor"/>
    </font>
    <font>
      <b/>
      <sz val="12"/>
      <color theme="0"/>
      <name val="Aptos Narrow"/>
      <scheme val="minor"/>
    </font>
  </fonts>
  <fills count="7">
    <fill>
      <patternFill patternType="none"/>
    </fill>
    <fill>
      <patternFill patternType="gray125"/>
    </fill>
    <fill>
      <patternFill patternType="solid">
        <fgColor theme="0"/>
        <bgColor indexed="64"/>
      </patternFill>
    </fill>
    <fill>
      <patternFill patternType="solid">
        <fgColor rgb="FF00206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3" tint="0.749992370372631"/>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1" fillId="3" borderId="0" xfId="0" applyFont="1" applyFill="1"/>
    <xf numFmtId="0" fontId="0" fillId="4" borderId="0" xfId="0" applyFill="1"/>
    <xf numFmtId="164" fontId="0" fillId="5" borderId="0" xfId="0" applyNumberFormat="1" applyFill="1"/>
    <xf numFmtId="4" fontId="0" fillId="5" borderId="0" xfId="0" applyNumberFormat="1" applyFill="1"/>
    <xf numFmtId="0" fontId="0" fillId="5" borderId="0" xfId="0" applyFill="1"/>
    <xf numFmtId="3" fontId="0" fillId="5" borderId="0" xfId="0" applyNumberFormat="1" applyFill="1"/>
    <xf numFmtId="0" fontId="0" fillId="6"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https://www.bing.com/financeapi/forcetrigger?t=a1ndww&amp;q=XNAS%3aAMD&amp;form=skydnc</v>
    <v>Learn more on Bing</v>
  </rv>
  <rv s="1">
    <v>0</v>
    <v>ADVANCED MICRO DEVICES, INC. (XNAS:AMD)</v>
    <v>2</v>
    <v>3</v>
    <v>Finance</v>
    <v>4</v>
    <v>en-US</v>
    <v>a1ndww</v>
    <v>268435456</v>
    <v>1</v>
    <v>Powered by Refinitiv</v>
    <v>456.29</v>
    <v>101.56</v>
    <v>2.4228000000000001</v>
    <v>46.73</v>
    <v>0.11440500000000001</v>
    <v>6.01</v>
    <v>1.3202999999999999E-2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456.29</v>
    <v>Semiconductors &amp; Semiconductor Equipment</v>
    <v>Stock</v>
    <v>46150.999976921092</v>
    <v>0</v>
    <v>418.29</v>
    <v>742233269190</v>
    <v>ADVANCED MICRO DEVICES, INC.</v>
    <v>ADVANCED MICRO DEVICES, INC.</v>
    <v>418.59</v>
    <v>151.73509999999999</v>
    <v>408.46</v>
    <v>455.19</v>
    <v>461.2</v>
    <v>1630601000</v>
    <v>AMD</v>
    <v>ADVANCED MICRO DEVICES, INC. (XNAS:AMD)</v>
    <v>58134868</v>
    <v>42881142</v>
    <v>1969</v>
  </rv>
  <rv s="2">
    <v>1</v>
  </rv>
  <rv s="0">
    <v>https://www.bing.com/financeapi/forcetrigger?t=c2mtim&amp;q=XNAS%3aDUOL&amp;form=skydnc</v>
    <v>Learn more on Bing</v>
  </rv>
  <rv s="1">
    <v>0</v>
    <v>DUOLINGO, INC. (XNAS:DUOL)</v>
    <v>2</v>
    <v>3</v>
    <v>Finance</v>
    <v>4</v>
    <v>en-US</v>
    <v>c2mtim</v>
    <v>268435456</v>
    <v>1</v>
    <v>Powered by Refinitiv</v>
    <v>544.92999999999995</v>
    <v>87.89</v>
    <v>0.89300000000000002</v>
    <v>-5.62</v>
    <v>-4.9466999999999997E-2</v>
    <v>0.01</v>
    <v>9.2599999999999988E-5</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112.73</v>
    <v>Software &amp; IT Services</v>
    <v>Stock</v>
    <v>46150.998381608595</v>
    <v>3</v>
    <v>104.8201</v>
    <v>5031591028</v>
    <v>DUOLINGO, INC.</v>
    <v>DUOLINGO, INC.</v>
    <v>112.73</v>
    <v>12.4978</v>
    <v>113.61</v>
    <v>107.99</v>
    <v>108</v>
    <v>46593120</v>
    <v>DUOL</v>
    <v>DUOLINGO, INC. (XNAS:DUOL)</v>
    <v>1938957</v>
    <v>2089411</v>
    <v>2011</v>
  </rv>
  <rv s="2">
    <v>4</v>
  </rv>
  <rv s="0">
    <v>https://www.bing.com/financeapi/forcetrigger?t=a1vmf2&amp;q=XNAS%3aINTC&amp;form=skydnc</v>
    <v>Learn more on Bing</v>
  </rv>
  <rv s="1">
    <v>0</v>
    <v>INTEL CORPORATION (XNAS:INTC)</v>
    <v>2</v>
    <v>3</v>
    <v>Finance</v>
    <v>4</v>
    <v>en-US</v>
    <v>a1vmf2</v>
    <v>268435456</v>
    <v>1</v>
    <v>Powered by Refinitiv</v>
    <v>130.57</v>
    <v>18.965</v>
    <v>2.2227999999999999</v>
    <v>15.3</v>
    <v>0.139573</v>
    <v>1.0801000000000001</v>
    <v>8.6460000000000009E-3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130.57</v>
    <v>Semiconductors &amp; Semiconductor Equipment</v>
    <v>Stock</v>
    <v>46150.999992870311</v>
    <v>6</v>
    <v>111.8</v>
    <v>627847920000</v>
    <v>INTEL CORPORATION</v>
    <v>INTEL CORPORATION</v>
    <v>111.81</v>
    <v>0</v>
    <v>109.62</v>
    <v>124.92</v>
    <v>126.0001</v>
    <v>5026000000</v>
    <v>INTC</v>
    <v>INTEL CORPORATION (XNAS:INTC)</v>
    <v>227681300</v>
    <v>140129515</v>
    <v>1989</v>
  </rv>
  <rv s="2">
    <v>7</v>
  </rv>
  <rv s="0">
    <v>https://www.bing.com/financeapi/forcetrigger?t=a1yv52&amp;q=XNAS%3aNVDA&amp;form=skydnc</v>
    <v>Learn more on Bing</v>
  </rv>
  <rv s="1">
    <v>0</v>
    <v>NVIDIA CORPORATION (XNAS:NVDA)</v>
    <v>2</v>
    <v>3</v>
    <v>Finance</v>
    <v>4</v>
    <v>en-US</v>
    <v>a1yv52</v>
    <v>268435456</v>
    <v>1</v>
    <v>Powered by Refinitiv</v>
    <v>217.8</v>
    <v>115.21</v>
    <v>2.2433000000000001</v>
    <v>3.7</v>
    <v>1.7493999999999999E-2</v>
    <v>-0.15</v>
    <v>-6.9700000000000003E-4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217.8</v>
    <v>Semiconductors &amp; Semiconductor Equipment</v>
    <v>Stock</v>
    <v>46150.999983217189</v>
    <v>9</v>
    <v>212.89</v>
    <v>5229360000000</v>
    <v>NVIDIA CORPORATION</v>
    <v>NVIDIA CORPORATION</v>
    <v>213.03</v>
    <v>43.1479</v>
    <v>211.5</v>
    <v>215.2</v>
    <v>215.05</v>
    <v>24300000000</v>
    <v>NVDA</v>
    <v>NVIDIA CORPORATION (XNAS:NVDA)</v>
    <v>136421361</v>
    <v>147420363</v>
    <v>1998</v>
  </rv>
  <rv s="2">
    <v>10</v>
  </rv>
  <rv s="0">
    <v>https://www.bing.com/financeapi/forcetrigger?t=bqw82w&amp;q=XNYS%3aPHR&amp;form=skydnc</v>
    <v>Learn more on Bing</v>
  </rv>
  <rv s="1">
    <v>0</v>
    <v>PHREESIA, INC. (XNYS:PHR)</v>
    <v>2</v>
    <v>3</v>
    <v>Finance</v>
    <v>4</v>
    <v>en-US</v>
    <v>bqw82w</v>
    <v>268435456</v>
    <v>1</v>
    <v>Powered by Refinitiv</v>
    <v>32.76</v>
    <v>7.77</v>
    <v>0.89490000000000003</v>
    <v>0.34</v>
    <v>3.4588000000000001E-2</v>
    <v>-0.2</v>
    <v>-1.9665999999999999E-2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10.27</v>
    <v>Software &amp; IT Services</v>
    <v>Stock</v>
    <v>46150.969302071091</v>
    <v>12</v>
    <v>9.6300000000000008</v>
    <v>617960320</v>
    <v>PHREESIA, INC.</v>
    <v>PHREESIA, INC.</v>
    <v>9.7100000000000009</v>
    <v>284.02199999999999</v>
    <v>9.83</v>
    <v>10.17</v>
    <v>9.9700000000000006</v>
    <v>60763060</v>
    <v>PHR</v>
    <v>PHREESIA, INC. (XNYS:PHR)</v>
    <v>1274432</v>
    <v>1701033</v>
    <v>2005</v>
  </rv>
  <rv s="2">
    <v>13</v>
  </rv>
  <rv s="0">
    <v>http://en.wikipedia.org/wiki/Public_domain</v>
    <v>Public domain</v>
  </rv>
  <rv s="0">
    <v>http://en.wikipedia.org/wiki/Qualcomm</v>
    <v>Wikipedia</v>
  </rv>
  <rv s="3">
    <v>15</v>
    <v>16</v>
  </rv>
  <rv s="4">
    <v>9</v>
    <v>https://www.bing.com/th?id=AMMS_2b1c176dae370ecc0d55a1517537f595&amp;qlt=95</v>
    <v>17</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228.05</v>
    <v>121.99</v>
    <v>1.5152000000000001</v>
    <v>16.54</v>
    <v>8.1659000000000009E-2</v>
    <v>2.0099999999999998</v>
    <v>9.1739999999999999E-3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228.05</v>
    <v>18</v>
    <v>Semiconductors &amp; Semiconductor Equipment</v>
    <v>Stock</v>
    <v>46150.999961863279</v>
    <v>19</v>
    <v>208.63</v>
    <v>230920860000</v>
    <v>QUALCOMM INCORPORATED</v>
    <v>QUALCOMM INCORPORATED</v>
    <v>213</v>
    <v>23.831199999999999</v>
    <v>202.55</v>
    <v>219.09</v>
    <v>221.1</v>
    <v>1054000000</v>
    <v>QCOM</v>
    <v>QUALCOMM INCORPORATED (XNAS:QCOM)</v>
    <v>37849999</v>
    <v>19660084</v>
    <v>1991</v>
  </rv>
  <rv s="2">
    <v>20</v>
  </rv>
  <rv s="6">
    <v>10</v>
    <v>SHARKNINJA, INC. (XNYS:SN)</v>
    <v>11</v>
    <v>3</v>
    <v>Finance</v>
    <v>4</v>
    <v>en-US</v>
    <v>cag2ar</v>
    <v>268435456</v>
    <v>1</v>
    <v>Powered by Refinitiv</v>
    <v>133.99</v>
    <v>80.69</v>
    <v>1.4119999999999999</v>
    <v>-1.45</v>
    <v>-1.2818000000000001E-2</v>
    <v>1.67</v>
    <v>1.4955000000000001E-2</v>
    <v>USD</v>
    <v>SharkNinja, Inc. is a global product design and technology company, which offers lifestyle solutions to consumers around the world. Its diverse product portfolio spans over 36 household sub-categories, across cleaning, cooking, food preparation, and others, which include home environment and beauty. Its brands include Shark and Ninja. The Shark brand offerings cover handheld and robotic vacuums, as well as other floorcare products, including steam mops, wet/dry cleaning floor products and carpet extraction, beauty appliance and home environmental products. Ninja brand offers small kitchen appliances in the United States and its diversified product offering spans across consumers’ kitchens, both indoors and outdoors, with leading products in air fryers, multi-cookers, outdoor and countertop grills and ovens, coffee systems, carbonation, cookware, cutlery, kettles, toasters, and others. Its products are sold at key retailers, online and offline, and through distributors around the world.</v>
    <v>4143</v>
    <v>New York Stock Exchange</v>
    <v>XNYS</v>
    <v>XNYS</v>
    <v>89 A Street, #100, NEEDHAM, MA, 02494 US</v>
    <v>115.02</v>
    <v>Household Goods</v>
    <v>Stock</v>
    <v>46150.973760207809</v>
    <v>110.53</v>
    <v>15803583068</v>
    <v>SHARKNINJA, INC.</v>
    <v>SHARKNINJA, INC.</v>
    <v>115</v>
    <v>22.511399999999998</v>
    <v>113.12</v>
    <v>111.67</v>
    <v>113.34</v>
    <v>141520400</v>
    <v>SN</v>
    <v>SHARKNINJA, INC. (XNYS:SN)</v>
    <v>1784059</v>
    <v>1500000</v>
    <v>2017</v>
  </rv>
  <rv s="2">
    <v>22</v>
  </rv>
  <rv s="0">
    <v>https://www.bing.com/financeapi/forcetrigger?t=a33knm&amp;q=10+Y+TSY+YLD+NDX&amp;form=skydnc</v>
    <v>Learn more on Bing</v>
  </rv>
  <rv s="7">
    <v>12</v>
    <v>10 Y TSY YLD NDX</v>
    <v>13</v>
    <v>14</v>
    <v>Finance</v>
    <v>15</v>
    <v>en-US</v>
    <v>a33knm</v>
    <v>268435456</v>
    <v>1</v>
    <v>Powered by Refinitiv</v>
    <v>46.29</v>
    <v>39.47</v>
    <v>-0.28000000000000003</v>
    <v>-6.3749999999999996E-3</v>
    <v>US</v>
    <v>43.88</v>
    <v>Index</v>
    <v>24</v>
    <v>43.46</v>
    <v>10 Y TSY YLD NDX</v>
    <v>43.72</v>
    <v>43.92</v>
    <v>43.64</v>
    <v>TNX</v>
    <v>10 Y TSY YLD NDX</v>
  </rv>
  <rv s="2">
    <v>25</v>
  </rv>
  <rv s="0">
    <v>https://www.bing.com/financeapi/forcetrigger?t=a1mqec&amp;q=XNYS%3aABEV&amp;form=skydnc</v>
    <v>Learn more on Bing</v>
  </rv>
  <rv s="1">
    <v>0</v>
    <v>Ambev SA (XNYS:ABEV)</v>
    <v>2</v>
    <v>3</v>
    <v>Finance</v>
    <v>4</v>
    <v>en-US</v>
    <v>a1mqec</v>
    <v>268435456</v>
    <v>1</v>
    <v>Powered by Refinitiv</v>
    <v>3.4499</v>
    <v>2.1</v>
    <v>0.6542</v>
    <v>0.01</v>
    <v>3.0490000000000001E-3</v>
    <v>0.06</v>
    <v>1.8237E-2</v>
    <v>USD</v>
    <v>Ambev SA, formerly Inbev Participacoes Societarias SA, is a Brazil-based company engaged in the brewing sector. The Company produces, distributes and sells beer, carbonated soft drinks (CSDs) and other non-alcoholic and non-carbonated (NANC) beverages across the Americas. The Company's activities are divided into three segments: Latin America North, including sell of beer, CSD and NANC drinks in Brazil, as well as operations in the Dominican Republic, Saint Vincent, Antigua, Dominica, Cuba, Guatemala, El Salvador, Honduras, Nicaragua, Barbados and Panama; Latin America South, distributing products in Argentina, Bolivia, Paraguay, Uruguay, Chile; and Canada, represented by Labatt’s operations, which comprises sales in Canada and some exports to the U.S. market. The Company markets products under various brand names, such as Adriatica, Brahma, Leffe, Budweiser, Corona, PepsiCo and Lipton. It is a subsidiary of Interbrew International BV.</v>
    <v>39000</v>
    <v>New York Stock Exchange</v>
    <v>XNYS</v>
    <v>XNYS</v>
    <v>Rua Dr. Renato Paes de Barros, 1.017, 4 andar, Itaim Bibi, SAO PAULO, SAO PAULO, 04.530-001 BR</v>
    <v>3.355</v>
    <v>Beverages</v>
    <v>Stock</v>
    <v>46150.980667777345</v>
    <v>27</v>
    <v>3.26</v>
    <v>51862474300</v>
    <v>Ambev SA</v>
    <v>Ambev SA</v>
    <v>3.34</v>
    <v>17.093499999999999</v>
    <v>3.28</v>
    <v>3.29</v>
    <v>3.35</v>
    <v>15763670000</v>
    <v>ABEV</v>
    <v>Ambev SA (XNYS:ABEV)</v>
    <v>73517002</v>
    <v>26703405</v>
    <v>2005</v>
  </rv>
  <rv s="2">
    <v>28</v>
  </rv>
  <rv s="0">
    <v>https://www.bing.com/financeapi/forcetrigger?t=a221mw&amp;q=XNYS%3aRIO&amp;form=skydnc</v>
    <v>Learn more on Bing</v>
  </rv>
  <rv s="1">
    <v>0</v>
    <v>RIO TINTO PLC (XNYS:RIO)</v>
    <v>2</v>
    <v>3</v>
    <v>Finance</v>
    <v>4</v>
    <v>en-US</v>
    <v>a221mw</v>
    <v>268435456</v>
    <v>1</v>
    <v>Powered by Refinitiv</v>
    <v>106.24</v>
    <v>55.64</v>
    <v>0.57499999999999996</v>
    <v>2.27</v>
    <v>2.2014999999999996E-2</v>
    <v>-0.38</v>
    <v>-3.6059999999999998E-3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61230</v>
    <v>New York Stock Exchange</v>
    <v>XNYS</v>
    <v>XNYS</v>
    <v>6 St James's Square, LONDON, SW1Y 4AD GB</v>
    <v>105.7701</v>
    <v>Metals &amp; Mining</v>
    <v>Stock</v>
    <v>46150.991641816407</v>
    <v>30</v>
    <v>104.57</v>
    <v>171429865640</v>
    <v>RIO TINTO PLC</v>
    <v>RIO TINTO PLC</v>
    <v>104.85</v>
    <v>17.320599999999999</v>
    <v>103.11</v>
    <v>105.38</v>
    <v>105</v>
    <v>1626778000</v>
    <v>RIO</v>
    <v>RIO TINTO PLC (XNYS:RIO)</v>
    <v>2212946</v>
    <v>2440601</v>
    <v>1962</v>
  </rv>
  <rv s="2">
    <v>31</v>
  </rv>
  <rv s="0">
    <v>https://www.bing.com/financeapi/forcetrigger?t=a24xlh&amp;q=XNYS%3aUNH&amp;form=skydnc</v>
    <v>Learn more on Bing</v>
  </rv>
  <rv s="1">
    <v>0</v>
    <v>UNITEDHEALTH GROUP INCORPORATED (XNYS:UNH)</v>
    <v>2</v>
    <v>3</v>
    <v>Finance</v>
    <v>4</v>
    <v>en-US</v>
    <v>a24xlh</v>
    <v>268435456</v>
    <v>1</v>
    <v>Powered by Refinitiv</v>
    <v>390.92</v>
    <v>234.6</v>
    <v>0.64929999999999999</v>
    <v>10.24</v>
    <v>2.7694999999999997E-2</v>
    <v>-0.72989999999999999</v>
    <v>-1.921E-3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379.98</v>
    <v>Healthcare Providers &amp; Services</v>
    <v>Stock</v>
    <v>46150.99999710625</v>
    <v>33</v>
    <v>371.99</v>
    <v>345076709112</v>
    <v>UNITEDHEALTH GROUP INCORPORATED</v>
    <v>UNITEDHEALTH GROUP INCORPORATED</v>
    <v>371.99</v>
    <v>28.697399999999998</v>
    <v>369.74</v>
    <v>379.98</v>
    <v>379.25009999999997</v>
    <v>908144400</v>
    <v>UNH</v>
    <v>UNITEDHEALTH GROUP INCORPORATED (XNYS:UNH)</v>
    <v>6455080</v>
    <v>8581455</v>
    <v>2015</v>
  </rv>
  <rv s="2">
    <v>34</v>
  </rv>
  <rv s="0">
    <v>https://www.bing.com/financeapi/forcetrigger?t=a1nhlh&amp;q=XNAS%3aAMZN&amp;form=skydnc</v>
    <v>Learn more on Bing</v>
  </rv>
  <rv s="1">
    <v>0</v>
    <v>AMAZON.COM, INC. (XNAS:AMZN)</v>
    <v>2</v>
    <v>3</v>
    <v>Finance</v>
    <v>4</v>
    <v>en-US</v>
    <v>a1nhlh</v>
    <v>268435456</v>
    <v>1</v>
    <v>Powered by Refinitiv</v>
    <v>278.56</v>
    <v>188.82</v>
    <v>1.4639</v>
    <v>1.51</v>
    <v>5.568E-3</v>
    <v>0.02</v>
    <v>7.3350000000000008E-5</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274</v>
    <v>Diversified Retail</v>
    <v>Stock</v>
    <v>46150.999983668749</v>
    <v>36</v>
    <v>269.95</v>
    <v>2933248754800</v>
    <v>AMAZON.COM, INC.</v>
    <v>AMAZON.COM, INC.</v>
    <v>271.63</v>
    <v>32.587200000000003</v>
    <v>271.17</v>
    <v>272.68</v>
    <v>272.7</v>
    <v>10757110000</v>
    <v>AMZN</v>
    <v>AMAZON.COM, INC. (XNAS:AMZN)</v>
    <v>34732681</v>
    <v>48192794</v>
    <v>1996</v>
  </rv>
  <rv s="2">
    <v>37</v>
  </rv>
  <rv s="0">
    <v>https://www.bing.com/financeapi/forcetrigger?t=a1u3rw&amp;q=XNAS%3aGOOGL&amp;form=skydnc</v>
    <v>Learn more on Bing</v>
  </rv>
  <rv s="1">
    <v>0</v>
    <v>ALPHABET INC. (XNAS:GOOGL)</v>
    <v>2</v>
    <v>3</v>
    <v>Finance</v>
    <v>4</v>
    <v>en-US</v>
    <v>a1u3rw</v>
    <v>268435456</v>
    <v>1</v>
    <v>Powered by Refinitiv</v>
    <v>402</v>
    <v>152.19999999999999</v>
    <v>1.2655000000000001</v>
    <v>2.81</v>
    <v>7.0599999999999994E-3</v>
    <v>-1.25</v>
    <v>-3.1190000000000002E-3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402</v>
    <v>Software &amp; IT Services</v>
    <v>Stock</v>
    <v>46150.99999650391</v>
    <v>39</v>
    <v>396.36</v>
    <v>4856092800000</v>
    <v>ALPHABET INC.</v>
    <v>ALPHABET INC.</v>
    <v>397</v>
    <v>30.5488</v>
    <v>397.99</v>
    <v>400.8</v>
    <v>399.55</v>
    <v>12116000000</v>
    <v>GOOGL</v>
    <v>ALPHABET INC. (XNAS:GOOGL)</v>
    <v>21461849</v>
    <v>26520210</v>
    <v>2015</v>
  </rv>
  <rv s="2">
    <v>40</v>
  </rv>
  <rv s="0">
    <v>https://www.bing.com/financeapi/forcetrigger?t=a269ec&amp;q=XNYS%3aXOM&amp;form=skydnc</v>
    <v>Learn more on Bing</v>
  </rv>
  <rv s="1">
    <v>0</v>
    <v>EXXON MOBIL CORPORATION (XNYS:XOM)</v>
    <v>2</v>
    <v>3</v>
    <v>Finance</v>
    <v>4</v>
    <v>en-US</v>
    <v>a269ec</v>
    <v>268435456</v>
    <v>1</v>
    <v>Powered by Refinitiv</v>
    <v>176.41</v>
    <v>101.185</v>
    <v>0.17230000000000001</v>
    <v>-2.0099999999999998</v>
    <v>-1.3712999999999999E-2</v>
    <v>-0.31</v>
    <v>-2.1440000000000001E-3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146.5</v>
    <v>Oil &amp; Gas</v>
    <v>Stock</v>
    <v>46150.999736816404</v>
    <v>42</v>
    <v>143.92009999999999</v>
    <v>599234987790</v>
    <v>EXXON MOBIL CORPORATION</v>
    <v>EXXON MOBIL CORPORATION</v>
    <v>145.85</v>
    <v>24.794699999999999</v>
    <v>146.58000000000001</v>
    <v>144.57</v>
    <v>144.26</v>
    <v>4144947000</v>
    <v>XOM</v>
    <v>EXXON MOBIL CORPORATION (XNYS:XOM)</v>
    <v>19550073</v>
    <v>18735415</v>
    <v>1882</v>
  </rv>
  <rv s="2">
    <v>43</v>
  </rv>
  <rv s="0">
    <v>https://www.bing.com/financeapi/forcetrigger?t=a1mou2&amp;q=XNAS%3aAAPL&amp;form=skydnc</v>
    <v>Learn more on Bing</v>
  </rv>
  <rv s="1">
    <v>0</v>
    <v>APPLE INC. (XNAS:AAPL)</v>
    <v>2</v>
    <v>3</v>
    <v>Finance</v>
    <v>4</v>
    <v>en-US</v>
    <v>a1mou2</v>
    <v>268435456</v>
    <v>1</v>
    <v>Powered by Refinitiv</v>
    <v>294.76</v>
    <v>193.46</v>
    <v>1.0685</v>
    <v>5.88</v>
    <v>2.0455999999999998E-2</v>
    <v>0.54</v>
    <v>1.8410000000000002E-3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294.76</v>
    <v>Computers, Phones &amp; Household Electronics</v>
    <v>Stock</v>
    <v>46150.99998743047</v>
    <v>45</v>
    <v>290</v>
    <v>4308096435200</v>
    <v>APPLE INC.</v>
    <v>APPLE INC.</v>
    <v>290.01</v>
    <v>35.623899999999999</v>
    <v>287.44</v>
    <v>293.32</v>
    <v>293.86</v>
    <v>14687360000</v>
    <v>AAPL</v>
    <v>APPLE INC. (XNAS:AAPL)</v>
    <v>52692761</v>
    <v>45877399</v>
    <v>1977</v>
  </rv>
  <rv s="2">
    <v>46</v>
  </rv>
  <rv s="0">
    <v>http://es.wikipedia.org/wiki/Adobe_(empresa)</v>
    <v>Wikipedia</v>
  </rv>
  <rv s="3">
    <v>15</v>
    <v>48</v>
  </rv>
  <rv s="4">
    <v>9</v>
    <v>https://www.bing.com/th?id=AMMS_503c684ccc667ad525fe1d703881df2c&amp;qlt=95</v>
    <v>49</v>
    <v>0</v>
    <v>https://www.bing.com/images/search?form=xlimg&amp;q=adobe+systems</v>
    <v>Image of ADOBE INC.</v>
  </rv>
  <rv s="0">
    <v>https://www.bing.com/financeapi/forcetrigger?t=a1mv7w&amp;q=XNAS%3aADBE&amp;form=skydnc</v>
    <v>Learn more on Bing</v>
  </rv>
  <rv s="5">
    <v>5</v>
    <v>ADOBE INC. (XNAS:ADBE)</v>
    <v>7</v>
    <v>8</v>
    <v>Finance</v>
    <v>4</v>
    <v>en-US</v>
    <v>a1mv7w</v>
    <v>268435456</v>
    <v>1</v>
    <v>Powered by Refinitiv</v>
    <v>422.95</v>
    <v>224.13</v>
    <v>1.4189000000000001</v>
    <v>-3.47</v>
    <v>-1.3528E-2</v>
    <v>-0.05</v>
    <v>-1.9760000000000001E-4</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253.37</v>
    <v>50</v>
    <v>Software &amp; IT Services</v>
    <v>Stock</v>
    <v>46150.999697615625</v>
    <v>51</v>
    <v>246.1</v>
    <v>102278768000</v>
    <v>ADOBE INC.</v>
    <v>ADOBE INC.</v>
    <v>252.9</v>
    <v>14.748200000000001</v>
    <v>256.51</v>
    <v>253.04</v>
    <v>252.99</v>
    <v>404200000</v>
    <v>ADBE</v>
    <v>ADOBE INC. (XNAS:ADBE)</v>
    <v>3667468</v>
    <v>5209970</v>
    <v>1997</v>
  </rv>
  <rv s="2">
    <v>52</v>
  </rv>
</rvData>
</file>

<file path=xl/richData/rdrichvaluestructure.xml><?xml version="1.0" encoding="utf-8"?>
<rvStructures xmlns="http://schemas.microsoft.com/office/spreadsheetml/2017/richdata" count="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0">
      <v>3</v>
      <v>Name</v>
      <v>LearnMoreOnLink</v>
    </spb>
    <spb s="11">
      <v>1</v>
      <v>1</v>
      <v>1</v>
    </spb>
    <spb s="12">
      <v>1</v>
      <v>1</v>
      <v>3</v>
      <v>1</v>
      <v>1</v>
      <v>1</v>
      <v>5</v>
      <v>1</v>
      <v>1</v>
      <v>1</v>
      <v>9</v>
    </spb>
    <spb s="13">
      <v>from previous close</v>
      <v>from previous close</v>
    </spb>
  </spbData>
</supportingPropertyBags>
</file>

<file path=xl/richData/rdsupportingpropertybagstructure.xml><?xml version="1.0" encoding="utf-8"?>
<spbStructures xmlns="http://schemas.microsoft.com/office/spreadsheetml/2017/richdata2" count="1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1FAB9A-CCFE-C14D-87AF-0AF9FAF5812C}">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I18"/>
  <sheetViews>
    <sheetView tabSelected="1" zoomScale="169" workbookViewId="0">
      <selection activeCell="C18" sqref="C18"/>
    </sheetView>
  </sheetViews>
  <sheetFormatPr baseColWidth="10" defaultRowHeight="16" x14ac:dyDescent="0.2"/>
  <cols>
    <col min="1" max="1" width="2.6640625" style="1" customWidth="1"/>
    <col min="2" max="2" width="24.33203125" style="1" customWidth="1"/>
    <col min="3" max="3" width="12.1640625" style="1" customWidth="1"/>
    <col min="4" max="4" width="11.83203125" style="1" customWidth="1"/>
    <col min="5" max="5" width="12.1640625" style="1" customWidth="1"/>
    <col min="6" max="6" width="7.83203125" style="1" customWidth="1"/>
    <col min="7" max="7" width="9.83203125" style="1" customWidth="1"/>
    <col min="8" max="8" width="41.5" style="1" customWidth="1"/>
    <col min="9" max="16384" width="10.83203125" style="1"/>
  </cols>
  <sheetData>
    <row r="1" spans="1:9" ht="11" customHeight="1" x14ac:dyDescent="0.2"/>
    <row r="2" spans="1:9" x14ac:dyDescent="0.2">
      <c r="B2" s="2" t="s">
        <v>0</v>
      </c>
      <c r="C2" s="2" t="s">
        <v>1</v>
      </c>
      <c r="D2" s="2" t="s">
        <v>2</v>
      </c>
      <c r="E2" s="2" t="s">
        <v>3</v>
      </c>
      <c r="F2" s="2" t="s">
        <v>4</v>
      </c>
      <c r="G2" s="2" t="s">
        <v>6</v>
      </c>
      <c r="H2" s="2" t="s">
        <v>5</v>
      </c>
      <c r="I2" s="2" t="s">
        <v>7</v>
      </c>
    </row>
    <row r="3" spans="1:9" x14ac:dyDescent="0.2">
      <c r="B3" s="3" t="e" vm="1">
        <v>#VALUE!</v>
      </c>
      <c r="C3" s="4" cm="1">
        <f t="array" aca="1" ref="C3" ca="1">_FV(B3,"Price")</f>
        <v>455.19</v>
      </c>
      <c r="D3" s="4" cm="1">
        <f t="array" aca="1" ref="D3" ca="1">_FV(B3,"52 week high",TRUE)</f>
        <v>456.29</v>
      </c>
      <c r="E3" s="4" cm="1">
        <f t="array" aca="1" ref="E3" ca="1">_FV(B3,"52 week low",TRUE)</f>
        <v>101.56</v>
      </c>
      <c r="F3" s="5" cm="1">
        <f t="array" aca="1" ref="F3" ca="1">_FV(B3,"Beta")</f>
        <v>2.4228000000000001</v>
      </c>
      <c r="G3" s="6" t="str" cm="1">
        <f t="array" aca="1" ref="G3" ca="1">_FV(B3,"Ticker symbol",TRUE)</f>
        <v>AMD</v>
      </c>
      <c r="H3" s="6" t="str" cm="1">
        <f t="array" aca="1" ref="H3" ca="1">_FV(B3,"Industry")</f>
        <v>Semiconductors &amp; Semiconductor Equipment</v>
      </c>
      <c r="I3" s="7" cm="1">
        <f t="array" aca="1" ref="I3" ca="1">_FV(B3,"Volume average",TRUE)</f>
        <v>42881142</v>
      </c>
    </row>
    <row r="4" spans="1:9" x14ac:dyDescent="0.2">
      <c r="B4" s="3" t="e" vm="2">
        <v>#VALUE!</v>
      </c>
      <c r="C4" s="4" cm="1">
        <f t="array" aca="1" ref="C4" ca="1">_FV(B4,"Price")</f>
        <v>107.99</v>
      </c>
      <c r="D4" s="4" cm="1">
        <f t="array" aca="1" ref="D4" ca="1">_FV(B4,"52 week high",TRUE)</f>
        <v>544.92999999999995</v>
      </c>
      <c r="E4" s="4" cm="1">
        <f t="array" aca="1" ref="E4" ca="1">_FV(B4,"52 week low",TRUE)</f>
        <v>87.89</v>
      </c>
      <c r="F4" s="5" cm="1">
        <f t="array" aca="1" ref="F4" ca="1">_FV(B4,"Beta")</f>
        <v>0.89300000000000002</v>
      </c>
      <c r="G4" s="6" t="str" cm="1">
        <f t="array" aca="1" ref="G4" ca="1">_FV(B4,"Ticker symbol",TRUE)</f>
        <v>DUOL</v>
      </c>
      <c r="H4" s="6" t="str" cm="1">
        <f t="array" aca="1" ref="H4" ca="1">_FV(B4,"Industry")</f>
        <v>Software &amp; IT Services</v>
      </c>
      <c r="I4" s="7" cm="1">
        <f t="array" aca="1" ref="I4" ca="1">_FV(B4,"Volume average",TRUE)</f>
        <v>2089411</v>
      </c>
    </row>
    <row r="5" spans="1:9" x14ac:dyDescent="0.2">
      <c r="B5" s="3" t="e" vm="3">
        <v>#VALUE!</v>
      </c>
      <c r="C5" s="4" cm="1">
        <f t="array" aca="1" ref="C5" ca="1">_FV(B5,"Price")</f>
        <v>124.92</v>
      </c>
      <c r="D5" s="4" cm="1">
        <f t="array" aca="1" ref="D5" ca="1">_FV(B5,"52 week high",TRUE)</f>
        <v>130.57</v>
      </c>
      <c r="E5" s="4" cm="1">
        <f t="array" aca="1" ref="E5" ca="1">_FV(B5,"52 week low",TRUE)</f>
        <v>18.965</v>
      </c>
      <c r="F5" s="5" cm="1">
        <f t="array" aca="1" ref="F5" ca="1">_FV(B5,"Beta")</f>
        <v>2.2227999999999999</v>
      </c>
      <c r="G5" s="6" t="str" cm="1">
        <f t="array" aca="1" ref="G5" ca="1">_FV(B5,"Ticker symbol",TRUE)</f>
        <v>INTC</v>
      </c>
      <c r="H5" s="6" t="str" cm="1">
        <f t="array" aca="1" ref="H5" ca="1">_FV(B5,"Industry")</f>
        <v>Semiconductors &amp; Semiconductor Equipment</v>
      </c>
      <c r="I5" s="7" cm="1">
        <f t="array" aca="1" ref="I5" ca="1">_FV(B5,"Volume average",TRUE)</f>
        <v>140129515</v>
      </c>
    </row>
    <row r="6" spans="1:9" x14ac:dyDescent="0.2">
      <c r="B6" s="3" t="e" vm="4">
        <v>#VALUE!</v>
      </c>
      <c r="C6" s="4" cm="1">
        <f t="array" aca="1" ref="C6" ca="1">_FV(B6,"Price")</f>
        <v>215.2</v>
      </c>
      <c r="D6" s="4" cm="1">
        <f t="array" aca="1" ref="D6" ca="1">_FV(B6,"52 week high",TRUE)</f>
        <v>217.8</v>
      </c>
      <c r="E6" s="4" cm="1">
        <f t="array" aca="1" ref="E6" ca="1">_FV(B6,"52 week low",TRUE)</f>
        <v>115.21</v>
      </c>
      <c r="F6" s="5" cm="1">
        <f t="array" aca="1" ref="F6" ca="1">_FV(B6,"Beta")</f>
        <v>2.2433000000000001</v>
      </c>
      <c r="G6" s="6" t="str" cm="1">
        <f t="array" aca="1" ref="G6" ca="1">_FV(B6,"Ticker symbol",TRUE)</f>
        <v>NVDA</v>
      </c>
      <c r="H6" s="6" t="str" cm="1">
        <f t="array" aca="1" ref="H6" ca="1">_FV(B6,"Industry")</f>
        <v>Semiconductors &amp; Semiconductor Equipment</v>
      </c>
      <c r="I6" s="7" cm="1">
        <f t="array" aca="1" ref="I6" ca="1">_FV(B6,"Volume average",TRUE)</f>
        <v>147420363</v>
      </c>
    </row>
    <row r="7" spans="1:9" x14ac:dyDescent="0.2">
      <c r="B7" s="3" t="e" vm="5">
        <v>#VALUE!</v>
      </c>
      <c r="C7" s="4" cm="1">
        <f t="array" aca="1" ref="C7" ca="1">_FV(B7,"Price")</f>
        <v>10.17</v>
      </c>
      <c r="D7" s="4" cm="1">
        <f t="array" aca="1" ref="D7" ca="1">_FV(B7,"52 week high",TRUE)</f>
        <v>32.76</v>
      </c>
      <c r="E7" s="4" cm="1">
        <f t="array" aca="1" ref="E7" ca="1">_FV(B7,"52 week low",TRUE)</f>
        <v>7.77</v>
      </c>
      <c r="F7" s="5" cm="1">
        <f t="array" aca="1" ref="F7" ca="1">_FV(B7,"Beta")</f>
        <v>0.89490000000000003</v>
      </c>
      <c r="G7" s="6" t="str" cm="1">
        <f t="array" aca="1" ref="G7" ca="1">_FV(B7,"Ticker symbol",TRUE)</f>
        <v>PHR</v>
      </c>
      <c r="H7" s="6" t="str" cm="1">
        <f t="array" aca="1" ref="H7" ca="1">_FV(B7,"Industry")</f>
        <v>Software &amp; IT Services</v>
      </c>
      <c r="I7" s="7" cm="1">
        <f t="array" aca="1" ref="I7" ca="1">_FV(B7,"Volume average",TRUE)</f>
        <v>1701033</v>
      </c>
    </row>
    <row r="8" spans="1:9" x14ac:dyDescent="0.2">
      <c r="B8" s="3" t="e" vm="6">
        <v>#VALUE!</v>
      </c>
      <c r="C8" s="4" cm="1">
        <f t="array" aca="1" ref="C8" ca="1">_FV(B8,"Price")</f>
        <v>219.09</v>
      </c>
      <c r="D8" s="4" cm="1">
        <f t="array" aca="1" ref="D8" ca="1">_FV(B8,"52 week high",TRUE)</f>
        <v>228.05</v>
      </c>
      <c r="E8" s="4" cm="1">
        <f t="array" aca="1" ref="E8" ca="1">_FV(B8,"52 week low",TRUE)</f>
        <v>121.99</v>
      </c>
      <c r="F8" s="5" cm="1">
        <f t="array" aca="1" ref="F8" ca="1">_FV(B8,"Beta")</f>
        <v>1.5152000000000001</v>
      </c>
      <c r="G8" s="6" t="str" cm="1">
        <f t="array" aca="1" ref="G8" ca="1">_FV(B8,"Ticker symbol",TRUE)</f>
        <v>QCOM</v>
      </c>
      <c r="H8" s="6" t="str" cm="1">
        <f t="array" aca="1" ref="H8" ca="1">_FV(B8,"Industry")</f>
        <v>Semiconductors &amp; Semiconductor Equipment</v>
      </c>
      <c r="I8" s="7" cm="1">
        <f t="array" aca="1" ref="I8" ca="1">_FV(B8,"Volume average",TRUE)</f>
        <v>19660084</v>
      </c>
    </row>
    <row r="9" spans="1:9" x14ac:dyDescent="0.2">
      <c r="B9" s="3" t="e" vm="7">
        <v>#VALUE!</v>
      </c>
      <c r="C9" s="4" cm="1">
        <f t="array" aca="1" ref="C9" ca="1">_FV(B9,"Price")</f>
        <v>111.67</v>
      </c>
      <c r="D9" s="4" cm="1">
        <f t="array" aca="1" ref="D9" ca="1">_FV(B9,"52 week high",TRUE)</f>
        <v>133.99</v>
      </c>
      <c r="E9" s="4" cm="1">
        <f t="array" aca="1" ref="E9" ca="1">_FV(B9,"52 week low",TRUE)</f>
        <v>80.69</v>
      </c>
      <c r="F9" s="5" cm="1">
        <f t="array" aca="1" ref="F9" ca="1">_FV(B9,"Beta")</f>
        <v>1.4119999999999999</v>
      </c>
      <c r="G9" s="6" t="str" cm="1">
        <f t="array" aca="1" ref="G9" ca="1">_FV(B9,"Ticker symbol",TRUE)</f>
        <v>SN</v>
      </c>
      <c r="H9" s="6" t="str" cm="1">
        <f t="array" aca="1" ref="H9" ca="1">_FV(B9,"Industry")</f>
        <v>Household Goods</v>
      </c>
      <c r="I9" s="7" cm="1">
        <f t="array" aca="1" ref="I9" ca="1">_FV(B9,"Volume average",TRUE)</f>
        <v>1500000</v>
      </c>
    </row>
    <row r="10" spans="1:9" x14ac:dyDescent="0.2">
      <c r="A10" s="8" t="s">
        <v>8</v>
      </c>
      <c r="B10" s="3" t="e" vm="8">
        <v>#VALUE!</v>
      </c>
      <c r="C10" s="4" cm="1">
        <f t="array" aca="1" ref="C10" ca="1">_FV(B10,"Price")</f>
        <v>43.64</v>
      </c>
      <c r="D10" s="4" cm="1">
        <f t="array" aca="1" ref="D10" ca="1">_FV(B10,"52 week high",TRUE)</f>
        <v>46.29</v>
      </c>
      <c r="E10" s="4" cm="1">
        <f t="array" aca="1" ref="E10" ca="1">_FV(B10,"52 week low",TRUE)</f>
        <v>39.47</v>
      </c>
      <c r="F10" s="4"/>
      <c r="G10" s="6" t="str" cm="1">
        <f t="array" aca="1" ref="G10" ca="1">_FV(B10,"Ticker symbol",TRUE)</f>
        <v>TNX</v>
      </c>
      <c r="H10" s="6"/>
      <c r="I10" s="7"/>
    </row>
    <row r="11" spans="1:9" x14ac:dyDescent="0.2">
      <c r="B11" s="3" t="e" vm="9">
        <v>#VALUE!</v>
      </c>
      <c r="C11" s="4" cm="1">
        <f t="array" aca="1" ref="C11" ca="1">_FV(B11,"Price")</f>
        <v>3.29</v>
      </c>
      <c r="D11" s="4" cm="1">
        <f t="array" aca="1" ref="D11" ca="1">_FV(B11,"52 week high",TRUE)</f>
        <v>3.4499</v>
      </c>
      <c r="E11" s="4" cm="1">
        <f t="array" aca="1" ref="E11" ca="1">_FV(B11,"52 week low",TRUE)</f>
        <v>2.1</v>
      </c>
      <c r="F11" s="5" cm="1">
        <f t="array" aca="1" ref="F11" ca="1">_FV(B11,"Beta")</f>
        <v>0.6542</v>
      </c>
      <c r="G11" s="6" t="str" cm="1">
        <f t="array" aca="1" ref="G11" ca="1">_FV(B11,"Ticker symbol",TRUE)</f>
        <v>ABEV</v>
      </c>
      <c r="H11" s="6" t="str" cm="1">
        <f t="array" aca="1" ref="H11" ca="1">_FV(B11,"Industry")</f>
        <v>Beverages</v>
      </c>
      <c r="I11" s="7" cm="1">
        <f t="array" aca="1" ref="I11" ca="1">_FV(B11,"Volume average",TRUE)</f>
        <v>26703405</v>
      </c>
    </row>
    <row r="12" spans="1:9" x14ac:dyDescent="0.2">
      <c r="B12" s="3" t="e" vm="10">
        <v>#VALUE!</v>
      </c>
      <c r="C12" s="4" cm="1">
        <f t="array" aca="1" ref="C12" ca="1">_FV(B12,"Price")</f>
        <v>105.38</v>
      </c>
      <c r="D12" s="4" cm="1">
        <f t="array" aca="1" ref="D12" ca="1">_FV(B12,"52 week high",TRUE)</f>
        <v>106.24</v>
      </c>
      <c r="E12" s="4" cm="1">
        <f t="array" aca="1" ref="E12" ca="1">_FV(B12,"52 week low",TRUE)</f>
        <v>55.64</v>
      </c>
      <c r="F12" s="5" cm="1">
        <f t="array" aca="1" ref="F12" ca="1">_FV(B12,"Beta")</f>
        <v>0.57499999999999996</v>
      </c>
      <c r="G12" s="6" t="str" cm="1">
        <f t="array" aca="1" ref="G12" ca="1">_FV(B12,"Ticker symbol",TRUE)</f>
        <v>RIO</v>
      </c>
      <c r="H12" s="6" t="str" cm="1">
        <f t="array" aca="1" ref="H12" ca="1">_FV(B12,"Industry")</f>
        <v>Metals &amp; Mining</v>
      </c>
      <c r="I12" s="7" cm="1">
        <f t="array" aca="1" ref="I12" ca="1">_FV(B12,"Volume average",TRUE)</f>
        <v>2440601</v>
      </c>
    </row>
    <row r="13" spans="1:9" x14ac:dyDescent="0.2">
      <c r="B13" s="3" t="e" vm="11">
        <v>#VALUE!</v>
      </c>
      <c r="C13" s="4" cm="1">
        <f t="array" aca="1" ref="C13" ca="1">_FV(B13,"Price")</f>
        <v>379.98</v>
      </c>
      <c r="D13" s="4" cm="1">
        <f t="array" aca="1" ref="D13" ca="1">_FV(B13,"52 week high",TRUE)</f>
        <v>390.92</v>
      </c>
      <c r="E13" s="4" cm="1">
        <f t="array" aca="1" ref="E13" ca="1">_FV(B13,"52 week low",TRUE)</f>
        <v>234.6</v>
      </c>
      <c r="F13" s="5" cm="1">
        <f t="array" aca="1" ref="F13" ca="1">_FV(B13,"Beta")</f>
        <v>0.64929999999999999</v>
      </c>
      <c r="G13" s="6" t="str" cm="1">
        <f t="array" aca="1" ref="G13" ca="1">_FV(B13,"Ticker symbol",TRUE)</f>
        <v>UNH</v>
      </c>
      <c r="H13" s="6" t="str" cm="1">
        <f t="array" aca="1" ref="H13" ca="1">_FV(B13,"Industry")</f>
        <v>Healthcare Providers &amp; Services</v>
      </c>
      <c r="I13" s="7" cm="1">
        <f t="array" aca="1" ref="I13" ca="1">_FV(B13,"Volume average",TRUE)</f>
        <v>8581455</v>
      </c>
    </row>
    <row r="14" spans="1:9" x14ac:dyDescent="0.2">
      <c r="B14" s="3" t="e" vm="12">
        <v>#VALUE!</v>
      </c>
      <c r="C14" s="4" cm="1">
        <f t="array" aca="1" ref="C14" ca="1">_FV(B14,"Price")</f>
        <v>272.68</v>
      </c>
      <c r="D14" s="4" cm="1">
        <f t="array" aca="1" ref="D14" ca="1">_FV(B14,"52 week high",TRUE)</f>
        <v>278.56</v>
      </c>
      <c r="E14" s="4" cm="1">
        <f t="array" aca="1" ref="E14" ca="1">_FV(B14,"52 week low",TRUE)</f>
        <v>188.82</v>
      </c>
      <c r="F14" s="5" cm="1">
        <f t="array" aca="1" ref="F14" ca="1">_FV(B14,"Beta")</f>
        <v>1.4639</v>
      </c>
      <c r="G14" s="6" t="str" cm="1">
        <f t="array" aca="1" ref="G14" ca="1">_FV(B14,"Ticker symbol",TRUE)</f>
        <v>AMZN</v>
      </c>
      <c r="H14" s="6" t="str" cm="1">
        <f t="array" aca="1" ref="H14" ca="1">_FV(B14,"Industry")</f>
        <v>Diversified Retail</v>
      </c>
      <c r="I14" s="7" cm="1">
        <f t="array" aca="1" ref="I14" ca="1">_FV(B14,"Volume average",TRUE)</f>
        <v>48192794</v>
      </c>
    </row>
    <row r="15" spans="1:9" x14ac:dyDescent="0.2">
      <c r="B15" s="3" t="e" vm="13">
        <v>#VALUE!</v>
      </c>
      <c r="C15" s="4" cm="1">
        <f t="array" aca="1" ref="C15" ca="1">_FV(B15,"Price")</f>
        <v>400.8</v>
      </c>
      <c r="D15" s="4" cm="1">
        <f t="array" aca="1" ref="D15" ca="1">_FV(B15,"52 week high",TRUE)</f>
        <v>402</v>
      </c>
      <c r="E15" s="4" cm="1">
        <f t="array" aca="1" ref="E15" ca="1">_FV(B15,"52 week low",TRUE)</f>
        <v>152.19999999999999</v>
      </c>
      <c r="F15" s="5" cm="1">
        <f t="array" aca="1" ref="F15" ca="1">_FV(B15,"Beta")</f>
        <v>1.2655000000000001</v>
      </c>
      <c r="G15" s="6" t="str" cm="1">
        <f t="array" aca="1" ref="G15" ca="1">_FV(B15,"Ticker symbol",TRUE)</f>
        <v>GOOGL</v>
      </c>
      <c r="H15" s="6" t="str" cm="1">
        <f t="array" aca="1" ref="H15" ca="1">_FV(B15,"Industry")</f>
        <v>Software &amp; IT Services</v>
      </c>
      <c r="I15" s="7" cm="1">
        <f t="array" aca="1" ref="I15" ca="1">_FV(B15,"Volume average",TRUE)</f>
        <v>26520210</v>
      </c>
    </row>
    <row r="16" spans="1:9" x14ac:dyDescent="0.2">
      <c r="B16" s="3" t="e" vm="14">
        <v>#VALUE!</v>
      </c>
      <c r="C16" s="4" cm="1">
        <f t="array" aca="1" ref="C16" ca="1">_FV(B16,"Price")</f>
        <v>144.57</v>
      </c>
      <c r="D16" s="4" cm="1">
        <f t="array" aca="1" ref="D16" ca="1">_FV(B16,"52 week high",TRUE)</f>
        <v>176.41</v>
      </c>
      <c r="E16" s="4" cm="1">
        <f t="array" aca="1" ref="E16" ca="1">_FV(B16,"52 week low",TRUE)</f>
        <v>101.185</v>
      </c>
      <c r="F16" s="5" cm="1">
        <f t="array" aca="1" ref="F16" ca="1">_FV(B16,"Beta")</f>
        <v>0.17230000000000001</v>
      </c>
      <c r="G16" s="6" t="str" cm="1">
        <f t="array" aca="1" ref="G16" ca="1">_FV(B16,"Ticker symbol",TRUE)</f>
        <v>XOM</v>
      </c>
      <c r="H16" s="6" t="str" cm="1">
        <f t="array" aca="1" ref="H16" ca="1">_FV(B16,"Industry")</f>
        <v>Oil &amp; Gas</v>
      </c>
      <c r="I16" s="7" cm="1">
        <f t="array" aca="1" ref="I16" ca="1">_FV(B16,"Volume average",TRUE)</f>
        <v>18735415</v>
      </c>
    </row>
    <row r="17" spans="2:9" x14ac:dyDescent="0.2">
      <c r="B17" s="3" t="e" vm="15">
        <v>#VALUE!</v>
      </c>
      <c r="C17" s="4" cm="1">
        <f t="array" aca="1" ref="C17" ca="1">_FV(B17,"Price")</f>
        <v>293.32</v>
      </c>
      <c r="D17" s="4" cm="1">
        <f t="array" aca="1" ref="D17" ca="1">_FV(B17,"52 week high",TRUE)</f>
        <v>294.76</v>
      </c>
      <c r="E17" s="4" cm="1">
        <f t="array" aca="1" ref="E17" ca="1">_FV(B17,"52 week low",TRUE)</f>
        <v>193.46</v>
      </c>
      <c r="F17" s="5" cm="1">
        <f t="array" aca="1" ref="F17" ca="1">_FV(B17,"Beta")</f>
        <v>1.0685</v>
      </c>
      <c r="G17" s="6" t="str" cm="1">
        <f t="array" aca="1" ref="G17" ca="1">_FV(B17,"Ticker symbol",TRUE)</f>
        <v>AAPL</v>
      </c>
      <c r="H17" s="6" t="str" cm="1">
        <f t="array" aca="1" ref="H17" ca="1">_FV(B17,"Industry")</f>
        <v>Computers, Phones &amp; Household Electronics</v>
      </c>
      <c r="I17" s="7" cm="1">
        <f t="array" aca="1" ref="I17" ca="1">_FV(B17,"Volume average",TRUE)</f>
        <v>45877399</v>
      </c>
    </row>
    <row r="18" spans="2:9" x14ac:dyDescent="0.2">
      <c r="B18" s="3" t="e" vm="16">
        <v>#VALUE!</v>
      </c>
      <c r="C18" s="4" cm="1">
        <f t="array" aca="1" ref="C18" ca="1">_FV(B18,"Price")</f>
        <v>253.04</v>
      </c>
      <c r="D18" s="4" cm="1">
        <f t="array" aca="1" ref="D18" ca="1">_FV(B18,"52 week high",TRUE)</f>
        <v>422.95</v>
      </c>
      <c r="E18" s="4" cm="1">
        <f t="array" aca="1" ref="E18" ca="1">_FV(B18,"52 week low",TRUE)</f>
        <v>224.13</v>
      </c>
      <c r="F18" s="5" cm="1">
        <f t="array" aca="1" ref="F18" ca="1">_FV(B18,"Beta")</f>
        <v>1.4189000000000001</v>
      </c>
      <c r="G18" s="6" t="str" cm="1">
        <f t="array" aca="1" ref="G18" ca="1">_FV(B18,"Ticker symbol",TRUE)</f>
        <v>ADBE</v>
      </c>
      <c r="H18" s="6" t="str" cm="1">
        <f t="array" aca="1" ref="H18" ca="1">_FV(B18,"Industry")</f>
        <v>Software &amp; IT Services</v>
      </c>
      <c r="I18" s="7" cm="1">
        <f t="array" aca="1" ref="I18" ca="1">_FV(B18,"Volume average",TRUE)</f>
        <v>5209970</v>
      </c>
    </row>
  </sheetData>
  <autoFilter ref="G2:H9" xr:uid="{825B172E-7ADE-4B4A-B533-F037BCFCDCB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2026-05-09T13:20:31Z</dcterms:modified>
</cp:coreProperties>
</file>