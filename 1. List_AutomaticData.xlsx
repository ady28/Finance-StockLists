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5E90FAD-CB90-1A4F-A842-8926DF099A61}"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 i="1" l="1" a="1"/>
  <c r="H19" i="1" a="1"/>
  <c r="G19" i="1" a="1"/>
  <c r="F19" i="1" a="1"/>
  <c r="E19" i="1" a="1"/>
  <c r="D19" i="1" a="1"/>
  <c r="C19" i="1" a="1"/>
  <c r="I18" i="1" a="1"/>
  <c r="I18" i="1" s="1"/>
  <c r="H18" i="1" a="1"/>
  <c r="H18" i="1" s="1"/>
  <c r="G18" i="1" a="1"/>
  <c r="G18" i="1" s="1"/>
  <c r="F18" i="1" a="1"/>
  <c r="F18" i="1" s="1"/>
  <c r="E18" i="1" a="1"/>
  <c r="E18" i="1" s="1"/>
  <c r="D18" i="1" a="1"/>
  <c r="D18" i="1" s="1"/>
  <c r="C18" i="1" a="1"/>
  <c r="C18" i="1" s="1"/>
  <c r="I17" i="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 r="I19" i="1" l="1"/>
  <c r="H19" i="1"/>
  <c r="G19" i="1"/>
  <c r="F19" i="1"/>
  <c r="E19" i="1"/>
  <c r="D19" i="1"/>
  <c r="C19"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7">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3"/>
        </ext>
      </extLst>
    </bk>
    <bk>
      <extLst>
        <ext uri="{3e2802c4-a4d2-4d8b-9148-e3be6c30e623}">
          <xlrd:rvb i="56"/>
        </ext>
      </extLst>
    </bk>
  </futureMetadata>
  <cellMetadata count="1">
    <bk>
      <rc t="1" v="0"/>
    </bk>
  </cellMetadata>
  <valueMetadata count="17">
    <bk>
      <rc t="2" v="0"/>
    </bk>
    <bk>
      <rc t="2" v="1"/>
    </bk>
    <bk>
      <rc t="2" v="2"/>
    </bk>
    <bk>
      <rc t="2" v="3"/>
    </bk>
    <bk>
      <rc t="2" v="4"/>
    </bk>
    <bk>
      <rc t="2" v="5"/>
    </bk>
    <bk>
      <rc t="2" v="6"/>
    </bk>
    <bk>
      <rc t="2" v="7"/>
    </bk>
    <bk>
      <rc t="2" v="8"/>
    </bk>
    <bk>
      <rc t="2" v="9"/>
    </bk>
    <bk>
      <rc t="2" v="10"/>
    </bk>
    <bk>
      <rc t="2" v="11"/>
    </bk>
    <bk>
      <rc t="2" v="12"/>
    </bk>
    <bk>
      <rc t="2" v="13"/>
    </bk>
    <bk>
      <rc t="2" v="14"/>
    </bk>
    <bk>
      <rc t="2" v="15"/>
    </bk>
    <bk>
      <rc t="2" v="16"/>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<sst xmlns="http://schemas.openxmlformats.org/spreadsheetml/2006/main" count="9" uniqueCount="9">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</sst>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57">
  <rv s="0">
    <v>https://www.bing.com/financeapi/forcetrigger?t=a1ndww&amp;q=XNAS%3aAMD&amp;form=skydnc</v>
    <v>Learn more on Bing</v>
  </rv>
  <rv s="1">
    <v>0</v>
    <v>ADVANCED MICRO DEVICES, INC. (XNAS:AMD)</v>
    <v>2</v>
    <v>3</v>
    <v>Finance</v>
    <v>4</v>
    <v>en-US</v>
    <v>a1ndww</v>
    <v>268435456</v>
    <v>1</v>
    <v>Powered by Refinitiv</v>
    <v>546.44000000000005</v>
    <v>115.06</v>
    <v>2.5074999999999998</v>
    <v>36.049999999999997</v>
    <v>7.9686000000000007E-2</v>
    <v>-2.65</v>
    <v>-5.4250000000000001E-3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490.46</v>
    <v>Semiconductors &amp; Semiconductor Equipment</v>
    <v>Stock</v>
    <v>46184.87480068281</v>
    <v>0</v>
    <v>458.02</v>
    <v>796467058450</v>
    <v>ADVANCED MICRO DEVICES, INC.</v>
    <v>ADVANCED MICRO DEVICES, INC.</v>
    <v>461.6</v>
    <v>162.82210000000001</v>
    <v>452.4</v>
    <v>488.45</v>
    <v>485.8</v>
    <v>1630601000</v>
    <v>AMD</v>
    <v>ADVANCED MICRO DEVICES, INC. (XNAS:AMD)</v>
    <v>30264651</v>
    <v>36361948</v>
    <v>1969</v>
  </rv>
  <rv s="2">
    <v>1</v>
  </rv>
  <rv s="0">
    <v>https://www.bing.com/financeapi/forcetrigger?t=c2mtim&amp;q=XNAS%3aDUOL&amp;form=skydnc</v>
    <v>Learn more on Bing</v>
  </rv>
  <rv s="1">
    <v>0</v>
    <v>DUOLINGO, INC. (XNAS:DUOL)</v>
    <v>2</v>
    <v>3</v>
    <v>Finance</v>
    <v>4</v>
    <v>en-US</v>
    <v>c2mtim</v>
    <v>268435456</v>
    <v>1</v>
    <v>Powered by Refinitiv</v>
    <v>489</v>
    <v>87.89</v>
    <v>0.83420000000000005</v>
    <v>1.925</v>
    <v>1.5789000000000001E-2</v>
    <v>-0.26500000000000001</v>
    <v>-2.14E-3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124.19</v>
    <v>Software &amp; IT Services</v>
    <v>Stock</v>
    <v>46184.871808182812</v>
    <v>3</v>
    <v>116.81</v>
    <v>5770324946</v>
    <v>DUOLINGO, INC.</v>
    <v>DUOLINGO, INC.</v>
    <v>121.61</v>
    <v>14.332800000000001</v>
    <v>121.92</v>
    <v>123.845</v>
    <v>123.58</v>
    <v>46593120</v>
    <v>DUOL</v>
    <v>DUOLINGO, INC. (XNAS:DUOL)</v>
    <v>1368494</v>
    <v>1566599</v>
    <v>2011</v>
  </rv>
  <rv s="2">
    <v>4</v>
  </rv>
  <rv s="0">
    <v>https://www.bing.com/financeapi/forcetrigger?t=a1vmf2&amp;q=XNAS%3aINTC&amp;form=skydnc</v>
    <v>Learn more on Bing</v>
  </rv>
  <rv s="1">
    <v>0</v>
    <v>INTEL CORPORATION (XNAS:INTC)</v>
    <v>2</v>
    <v>3</v>
    <v>Finance</v>
    <v>4</v>
    <v>en-US</v>
    <v>a1vmf2</v>
    <v>268435456</v>
    <v>1</v>
    <v>Powered by Refinitiv</v>
    <v>132.75</v>
    <v>18.965</v>
    <v>2.2189000000000001</v>
    <v>9.92</v>
    <v>9.2675999999999994E-2</v>
    <v>0</v>
    <v>0</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119.44</v>
    <v>Semiconductors &amp; Semiconductor Equipment</v>
    <v>Stock</v>
    <v>46184.874777407029</v>
    <v>6</v>
    <v>110.51179999999999</v>
    <v>587840960000</v>
    <v>INTEL CORPORATION</v>
    <v>INTEL CORPORATION</v>
    <v>113.52</v>
    <v>0</v>
    <v>107.04</v>
    <v>116.96</v>
    <v>116.96</v>
    <v>5026000000</v>
    <v>INTC</v>
    <v>INTEL CORPORATION (XNAS:INTC)</v>
    <v>184812014</v>
    <v>134287791</v>
    <v>1989</v>
  </rv>
  <rv s="2">
    <v>7</v>
  </rv>
  <rv s="0">
    <v>https://www.bing.com/financeapi/forcetrigger?t=a1yv52&amp;q=XNAS%3aNVDA&amp;form=skydnc</v>
    <v>Learn more on Bing</v>
  </rv>
  <rv s="1">
    <v>0</v>
    <v>NVIDIA CORPORATION (XNAS:NVDA)</v>
    <v>2</v>
    <v>3</v>
    <v>Finance</v>
    <v>4</v>
    <v>en-US</v>
    <v>a1yv52</v>
    <v>268435456</v>
    <v>1</v>
    <v>Powered by Refinitiv</v>
    <v>236.54</v>
    <v>140.85499999999999</v>
    <v>2.1962000000000002</v>
    <v>4.45</v>
    <v>2.2203000000000001E-2</v>
    <v>0.33</v>
    <v>1.611E-3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205.66</v>
    <v>Semiconductors &amp; Semiconductor Equipment</v>
    <v>Stock</v>
    <v>46184.874794501564</v>
    <v>9</v>
    <v>199.54</v>
    <v>4957854000000</v>
    <v>NVIDIA CORPORATION</v>
    <v>NVIDIA CORPORATION</v>
    <v>201.49</v>
    <v>31.373699999999999</v>
    <v>200.42</v>
    <v>204.87</v>
    <v>205.2</v>
    <v>24200000000</v>
    <v>NVDA</v>
    <v>NVIDIA CORPORATION (XNAS:NVDA)</v>
    <v>154506619</v>
    <v>175771962</v>
    <v>1998</v>
  </rv>
  <rv s="2">
    <v>10</v>
  </rv>
  <rv s="0">
    <v>https://www.bing.com/financeapi/forcetrigger?t=bqw82w&amp;q=XNYS%3aPHR&amp;form=skydnc</v>
    <v>Learn more on Bing</v>
  </rv>
  <rv s="1">
    <v>0</v>
    <v>PHREESIA, INC. (XNYS:PHR)</v>
    <v>2</v>
    <v>3</v>
    <v>Finance</v>
    <v>5</v>
    <v>en-US</v>
    <v>bqw82w</v>
    <v>268435456</v>
    <v>1</v>
    <v>Powered by Refinitiv</v>
    <v>32.76</v>
    <v>7.77</v>
    <v>0.88770000000000004</v>
    <v>-0.09</v>
    <v>-9.8469999999999999E-3</v>
    <v>0.18</v>
    <v>1.9890000000000001E-2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9.19</v>
    <v>Software &amp; IT Services</v>
    <v>Stock</v>
    <v>46184.845015937499</v>
    <v>12</v>
    <v>8.76</v>
    <v>559397604</v>
    <v>PHREESIA, INC.</v>
    <v>PHREESIA, INC.</v>
    <v>9.0399999999999991</v>
    <v>60.819899999999997</v>
    <v>9.14</v>
    <v>9.0500000000000007</v>
    <v>9.23</v>
    <v>61811890</v>
    <v>PHR</v>
    <v>PHREESIA, INC. (XNYS:PHR)</v>
    <v>1010560</v>
    <v>1662818</v>
    <v>2005</v>
  </rv>
  <rv s="2">
    <v>13</v>
  </rv>
  <rv s="0">
    <v>http://en.wikipedia.org/wiki/Public_domain</v>
    <v>Public domain</v>
  </rv>
  <rv s="0">
    <v>http://en.wikipedia.org/wiki/Qualcomm</v>
    <v>Wikipedia</v>
  </rv>
  <rv s="3">
    <v>15</v>
    <v>16</v>
  </rv>
  <rv s="4">
    <v>10</v>
    <v>https://www.bing.com/th?id=AMMS_2b1c176dae370ecc0d55a1517537f595&amp;qlt=95</v>
    <v>17</v>
    <v>0</v>
    <v>https://www.bing.com/images/search?form=xlimg&amp;q=qualcomm</v>
    <v>Image of QUALCOMM INCORPORATED</v>
  </rv>
  <rv s="0">
    <v>https://www.bing.com/financeapi/forcetrigger?t=a21k2w&amp;q=XNAS%3aQCOM&amp;form=skydnc</v>
    <v>Learn more on Bing</v>
  </rv>
  <rv s="5">
    <v>6</v>
    <v>QUALCOMM INCORPORATED (XNAS:QCOM)</v>
    <v>8</v>
    <v>9</v>
    <v>Finance</v>
    <v>4</v>
    <v>en-US</v>
    <v>a21k2w</v>
    <v>268435456</v>
    <v>1</v>
    <v>Powered by Refinitiv</v>
    <v>259.92</v>
    <v>121.99</v>
    <v>1.6657</v>
    <v>11.76</v>
    <v>6.1505999999999998E-2</v>
    <v>-1.1100000000000001</v>
    <v>-5.4690000000000008E-3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203.84</v>
    <v>18</v>
    <v>Semiconductors &amp; Semiconductor Equipment</v>
    <v>Stock</v>
    <v>46184.874670728903</v>
    <v>19</v>
    <v>190.745</v>
    <v>213919840000</v>
    <v>QUALCOMM INCORPORATED</v>
    <v>QUALCOMM INCORPORATED</v>
    <v>190.92</v>
    <v>22.076699999999999</v>
    <v>191.2</v>
    <v>202.96</v>
    <v>201.85</v>
    <v>1054000000</v>
    <v>QCOM</v>
    <v>QUALCOMM INCORPORATED (XNAS:QCOM)</v>
    <v>18848938</v>
    <v>26707728</v>
    <v>1991</v>
  </rv>
  <rv s="2">
    <v>20</v>
  </rv>
  <rv s="6">
    <v>11</v>
    <v>SHARKNINJA, INC. (XNYS:SN)</v>
    <v>12</v>
    <v>3</v>
    <v>Finance</v>
    <v>5</v>
    <v>en-US</v>
    <v>cag2ar</v>
    <v>268435456</v>
    <v>1</v>
    <v>Powered by Refinitiv</v>
    <v>136.60990000000001</v>
    <v>80.69</v>
    <v>1.4079999999999999</v>
    <v>7.37</v>
    <v>5.7478999999999995E-2</v>
    <v>1.69</v>
    <v>1.2463999999999999E-2</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136.60990000000001</v>
    <v>Household Goods</v>
    <v>Stock</v>
    <v>46184.857868772655</v>
    <v>129.315</v>
    <v>19188751036</v>
    <v>SHARKNINJA, INC.</v>
    <v>SHARKNINJA, INC.</v>
    <v>129.79</v>
    <v>27.333400000000001</v>
    <v>128.22</v>
    <v>135.59</v>
    <v>137.28</v>
    <v>141520400</v>
    <v>SN</v>
    <v>SHARKNINJA, INC. (XNYS:SN)</v>
    <v>2243808</v>
    <v>2820375</v>
    <v>2017</v>
  </rv>
  <rv s="2">
    <v>22</v>
  </rv>
  <rv s="0">
    <v>https://www.bing.com/financeapi/forcetrigger?t=a33knm&amp;q=10+Y+TSY+YLD+NDX&amp;form=skydnc</v>
    <v>Learn more on Bing</v>
  </rv>
  <rv s="7">
    <v>13</v>
    <v>10 Y TSY YLD NDX</v>
    <v>14</v>
    <v>15</v>
    <v>Finance</v>
    <v>16</v>
    <v>en-US</v>
    <v>a33knm</v>
    <v>268435456</v>
    <v>1</v>
    <v>Powered by Refinitiv</v>
    <v>46.87</v>
    <v>39.47</v>
    <v>0.14000000000000001</v>
    <v>3.0919999999999997E-3</v>
    <v>US</v>
    <v>45.6</v>
    <v>Index</v>
    <v>24</v>
    <v>45.13</v>
    <v>10 Y TSY YLD NDX</v>
    <v>45.34</v>
    <v>45.28</v>
    <v>45.42</v>
    <v>TNX</v>
    <v>10 Y TSY YLD NDX</v>
  </rv>
  <rv s="2">
    <v>25</v>
  </rv>
  <rv s="0">
    <v>https://www.bing.com/financeapi/forcetrigger?t=a1mqec&amp;q=XNYS%3aABEV&amp;form=skydnc</v>
    <v>Learn more on Bing</v>
  </rv>
  <rv s="1">
    <v>0</v>
    <v>Ambev SA (XNYS:ABEV)</v>
    <v>2</v>
    <v>3</v>
    <v>Finance</v>
    <v>4</v>
    <v>en-US</v>
    <v>a1mqec</v>
    <v>268435456</v>
    <v>1</v>
    <v>Powered by Refinitiv</v>
    <v>3.4499</v>
    <v>2.1</v>
    <v>0.66379999999999995</v>
    <v>0.115</v>
    <v>3.6977000000000003E-2</v>
    <v>1.6999999999999999E-3</v>
    <v>5.2800000000000004E-4</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3.24</v>
    <v>Beverages</v>
    <v>Stock</v>
    <v>46184.86613387656</v>
    <v>27</v>
    <v>3.14</v>
    <v>50837835750</v>
    <v>Ambev SA</v>
    <v>Ambev SA</v>
    <v>3.16</v>
    <v>16.805599999999998</v>
    <v>3.11</v>
    <v>3.2250000000000001</v>
    <v>3.2216999999999998</v>
    <v>15763670000</v>
    <v>ABEV</v>
    <v>Ambev SA (XNYS:ABEV)</v>
    <v>31909123</v>
    <v>30396404</v>
    <v>2005</v>
  </rv>
  <rv s="2">
    <v>28</v>
  </rv>
  <rv s="0">
    <v>https://www.bing.com/financeapi/forcetrigger?t=a221mw&amp;q=XNYS%3aRIO&amp;form=skydnc</v>
    <v>Learn more on Bing</v>
  </rv>
  <rv s="1">
    <v>0</v>
    <v>RIO TINTO PLC (XNYS:RIO)</v>
    <v>2</v>
    <v>3</v>
    <v>Finance</v>
    <v>5</v>
    <v>en-US</v>
    <v>a221mw</v>
    <v>268435456</v>
    <v>1</v>
    <v>Powered by Refinitiv</v>
    <v>112.58</v>
    <v>55.64</v>
    <v>0.60740000000000005</v>
    <v>4.58</v>
    <v>4.6234999999999998E-2</v>
    <v>0</v>
    <v>0</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103.69</v>
    <v>Metals &amp; Mining</v>
    <v>Stock</v>
    <v>46184.862084224216</v>
    <v>30</v>
    <v>100.5</v>
    <v>168608495880</v>
    <v>RIO TINTO PLC</v>
    <v>RIO TINTO PLC</v>
    <v>101.45</v>
    <v>17.034600000000001</v>
    <v>99.06</v>
    <v>103.64</v>
    <v>103.64</v>
    <v>1626867000</v>
    <v>RIO</v>
    <v>RIO TINTO PLC (XNYS:RIO)</v>
    <v>3560476</v>
    <v>2668650</v>
    <v>1962</v>
  </rv>
  <rv s="2">
    <v>31</v>
  </rv>
  <rv s="0">
    <v>https://www.bing.com/financeapi/forcetrigger?t=a24xlh&amp;q=XNYS%3aUNH&amp;form=skydnc</v>
    <v>Learn more on Bing</v>
  </rv>
  <rv s="1">
    <v>0</v>
    <v>UNITEDHEALTH GROUP INCORPORATED (XNYS:UNH)</v>
    <v>2</v>
    <v>3</v>
    <v>Finance</v>
    <v>4</v>
    <v>en-US</v>
    <v>a24xlh</v>
    <v>268435456</v>
    <v>1</v>
    <v>Powered by Refinitiv</v>
    <v>415.98</v>
    <v>234.6</v>
    <v>0.60899999999999999</v>
    <v>-2.1349999999999998</v>
    <v>-5.2399999999999999E-3</v>
    <v>-0.44</v>
    <v>-1.085E-3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409.98</v>
    <v>Healthcare Providers &amp; Services</v>
    <v>Stock</v>
    <v>46184.873436631249</v>
    <v>33</v>
    <v>403.11</v>
    <v>368093628930</v>
    <v>UNITEDHEALTH GROUP INCORPORATED</v>
    <v>UNITEDHEALTH GROUP INCORPORATED</v>
    <v>408.71</v>
    <v>30.611599999999999</v>
    <v>407.46</v>
    <v>405.32499999999999</v>
    <v>405.11</v>
    <v>908144400</v>
    <v>UNH</v>
    <v>UNITEDHEALTH GROUP INCORPORATED (XNYS:UNH)</v>
    <v>4915906</v>
    <v>7131751</v>
    <v>2015</v>
  </rv>
  <rv s="2">
    <v>34</v>
  </rv>
  <rv s="0">
    <v>https://www.bing.com/financeapi/forcetrigger?t=a1nhlh&amp;q=XNAS%3aAMZN&amp;form=skydnc</v>
    <v>Learn more on Bing</v>
  </rv>
  <rv s="1">
    <v>0</v>
    <v>AMAZON.COM, INC. (XNAS:AMZN)</v>
    <v>2</v>
    <v>3</v>
    <v>Finance</v>
    <v>4</v>
    <v>en-US</v>
    <v>a1nhlh</v>
    <v>268435456</v>
    <v>1</v>
    <v>Powered by Refinitiv</v>
    <v>278.56</v>
    <v>196</v>
    <v>1.4676</v>
    <v>3.51</v>
    <v>1.4748000000000001E-2</v>
    <v>-0.27</v>
    <v>-1.1180000000000001E-3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242.14</v>
    <v>Diversified Retail</v>
    <v>Stock</v>
    <v>46184.874774200784</v>
    <v>36</v>
    <v>235.18</v>
    <v>2597949636100</v>
    <v>AMAZON.COM, INC.</v>
    <v>AMAZON.COM, INC.</v>
    <v>237.93</v>
    <v>28.862200000000001</v>
    <v>238</v>
    <v>241.51</v>
    <v>241.24</v>
    <v>10757110000</v>
    <v>AMZN</v>
    <v>AMAZON.COM, INC. (XNAS:AMZN)</v>
    <v>40877285</v>
    <v>40136570</v>
    <v>1996</v>
  </rv>
  <rv s="2">
    <v>37</v>
  </rv>
  <rv s="0">
    <v>https://www.bing.com/financeapi/forcetrigger?t=a1u3rw&amp;q=XNAS%3aGOOGL&amp;form=skydnc</v>
    <v>Learn more on Bing</v>
  </rv>
  <rv s="1">
    <v>0</v>
    <v>ALPHABET INC. (XNAS:GOOGL)</v>
    <v>2</v>
    <v>3</v>
    <v>Finance</v>
    <v>4</v>
    <v>en-US</v>
    <v>a1u3rw</v>
    <v>268435456</v>
    <v>1</v>
    <v>Powered by Refinitiv</v>
    <v>408.61</v>
    <v>162</v>
    <v>1.246</v>
    <v>1.39</v>
    <v>3.9000000000000003E-3</v>
    <v>0.6986</v>
    <v>1.9530000000000001E-3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358.8</v>
    <v>Software &amp; IT Services</v>
    <v>Stock</v>
    <v>46184.874765323439</v>
    <v>39</v>
    <v>346.36</v>
    <v>4355692331200</v>
    <v>ALPHABET INC.</v>
    <v>ALPHABET INC.</v>
    <v>355.92500000000001</v>
    <v>27.269100000000002</v>
    <v>356.38</v>
    <v>357.77</v>
    <v>358.46859999999998</v>
    <v>12174560000</v>
    <v>GOOGL</v>
    <v>ALPHABET INC. (XNAS:GOOGL)</v>
    <v>35202557</v>
    <v>30899345</v>
    <v>2015</v>
  </rv>
  <rv s="2">
    <v>40</v>
  </rv>
  <rv s="0">
    <v>https://www.bing.com/financeapi/forcetrigger?t=a269ec&amp;q=XNYS%3aXOM&amp;form=skydnc</v>
    <v>Learn more on Bing</v>
  </rv>
  <rv s="1">
    <v>0</v>
    <v>EXXON MOBIL CORPORATION (XNYS:XOM)</v>
    <v>2</v>
    <v>3</v>
    <v>Finance</v>
    <v>4</v>
    <v>en-US</v>
    <v>a269ec</v>
    <v>268435456</v>
    <v>1</v>
    <v>Powered by Refinitiv</v>
    <v>176.41</v>
    <v>105.52500000000001</v>
    <v>0.13830000000000001</v>
    <v>-4.12</v>
    <v>-2.7354E-2</v>
    <v>0.25</v>
    <v>1.7050000000000001E-3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152.49</v>
    <v>Oil &amp; Gas</v>
    <v>Stock</v>
    <v>46184.874393911719</v>
    <v>42</v>
    <v>146.41999999999999</v>
    <v>607234735500</v>
    <v>EXXON MOBIL CORPORATION</v>
    <v>EXXON MOBIL CORPORATION</v>
    <v>152.30000000000001</v>
    <v>24.780899999999999</v>
    <v>150.62</v>
    <v>146.5</v>
    <v>146.85</v>
    <v>4144947000</v>
    <v>XOM</v>
    <v>EXXON MOBIL CORPORATION (XNYS:XOM)</v>
    <v>16979856</v>
    <v>17040772</v>
    <v>1882</v>
  </rv>
  <rv s="2">
    <v>43</v>
  </rv>
  <rv s="0">
    <v>https://www.bing.com/financeapi/forcetrigger?t=a1mou2&amp;q=XNAS%3aAAPL&amp;form=skydnc</v>
    <v>Learn more on Bing</v>
  </rv>
  <rv s="1">
    <v>0</v>
    <v>APPLE INC. (XNAS:AAPL)</v>
    <v>2</v>
    <v>3</v>
    <v>Finance</v>
    <v>4</v>
    <v>en-US</v>
    <v>a1mou2</v>
    <v>268435456</v>
    <v>1</v>
    <v>Powered by Refinitiv</v>
    <v>317.39999999999998</v>
    <v>195.07</v>
    <v>1.0961000000000001</v>
    <v>4.05</v>
    <v>1.389E-2</v>
    <v>2.35E-2</v>
    <v>7.949E-5</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297</v>
    <v>Computers, Phones &amp; Household Electronics</v>
    <v>Stock</v>
    <v>46184.874764513283</v>
    <v>45</v>
    <v>289.58999999999997</v>
    <v>4342024236800</v>
    <v>APPLE INC.</v>
    <v>APPLE INC.</v>
    <v>293.72000000000003</v>
    <v>35.904400000000003</v>
    <v>291.58</v>
    <v>295.63</v>
    <v>295.65350000000001</v>
    <v>14687360000</v>
    <v>AAPL</v>
    <v>APPLE INC. (XNAS:AAPL)</v>
    <v>42458901</v>
    <v>50425721</v>
    <v>1977</v>
  </rv>
  <rv s="2">
    <v>46</v>
  </rv>
  <rv s="0">
    <v>http://es.wikipedia.org/wiki/Adobe_(empresa)</v>
    <v>Wikipedia</v>
  </rv>
  <rv s="3">
    <v>15</v>
    <v>48</v>
  </rv>
  <rv s="4">
    <v>10</v>
    <v>https://www.bing.com/th?id=AMMS_503c684ccc667ad525fe1d703881df2c&amp;qlt=95</v>
    <v>49</v>
    <v>0</v>
    <v>https://www.bing.com/images/search?form=xlimg&amp;q=adobe+systems</v>
    <v>Image of ADOBE INC.</v>
  </rv>
  <rv s="0">
    <v>https://www.bing.com/financeapi/forcetrigger?t=a1mv7w&amp;q=XNAS%3aADBE&amp;form=skydnc</v>
    <v>Learn more on Bing</v>
  </rv>
  <rv s="5">
    <v>6</v>
    <v>ADOBE INC. (XNAS:ADBE)</v>
    <v>8</v>
    <v>9</v>
    <v>Finance</v>
    <v>4</v>
    <v>en-US</v>
    <v>a1mv7w</v>
    <v>268435456</v>
    <v>1</v>
    <v>Powered by Refinitiv</v>
    <v>416.39</v>
    <v>218.09</v>
    <v>1.4111</v>
    <v>-14.58</v>
    <v>-6.2473000000000001E-2</v>
    <v>-11.943199999999999</v>
    <v>-5.4585000000000002E-2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232.5</v>
    <v>50</v>
    <v>Software &amp; IT Services</v>
    <v>Stock</v>
    <v>46184.874775207812</v>
    <v>51</v>
    <v>218.09</v>
    <v>88438960000</v>
    <v>ADOBE INC.</v>
    <v>ADOBE INC.</v>
    <v>229.92</v>
    <v>12.752599999999999</v>
    <v>233.38</v>
    <v>218.8</v>
    <v>206.85679999999999</v>
    <v>404200000</v>
    <v>ADBE</v>
    <v>ADOBE INC. (XNAS:ADBE)</v>
    <v>16710774</v>
    <v>5011030</v>
    <v>1997</v>
  </rv>
  <rv s="2">
    <v>52</v>
  </rv>
  <rv s="0">
    <v>https://www.bing.com/financeapi/forcetrigger?t=c1dbvh&amp;q=XNYS%3aPATH&amp;form=skydnc</v>
    <v>Learn more on Bing</v>
  </rv>
  <rv s="1">
    <v>0</v>
    <v>UIPATH, INC. (XNYS:PATH)</v>
    <v>2</v>
    <v>3</v>
    <v>Finance</v>
    <v>4</v>
    <v>en-US</v>
    <v>c1dbvh</v>
    <v>268435456</v>
    <v>1</v>
    <v>Powered by Refinitiv</v>
    <v>19.84</v>
    <v>9.2002000000000006</v>
    <v>0.97399999999999998</v>
    <v>-0.09</v>
    <v>-8.372000000000001E-3</v>
    <v>9.4999999999999998E-3</v>
    <v>8.92E-4</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10.74</v>
    <v>Software &amp; IT Services</v>
    <v>Stock</v>
    <v>46184.874748321097</v>
    <v>54</v>
    <v>10.305</v>
    <v>5523162398</v>
    <v>UIPATH, INC.</v>
    <v>UIPATH, INC.</v>
    <v>10.46</v>
    <v>17.7194</v>
    <v>10.75</v>
    <v>10.66</v>
    <v>10.6595</v>
    <v>518120300</v>
    <v>PATH</v>
    <v>UIPATH, INC. (XNYS:PATH)</v>
    <v>45271625</v>
    <v>43177471</v>
    <v>2015</v>
  </rv>
  <rv s="2">
    <v>55</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7">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0</v>
      <v>0</v>
    </spb>
    <spb s="6">
      <v>7</v>
      <v>1</v>
      <v>1</v>
      <v>1</v>
      <v>1</v>
    </spb>
    <spb s="7">
      <v>1</v>
      <v>2</v>
      <v>2</v>
      <v>1</v>
      <v>3</v>
      <v>1</v>
      <v>10</v>
      <v>1</v>
      <v>1</v>
      <v>4</v>
      <v>4</v>
      <v>5</v>
      <v>6</v>
      <v>1</v>
      <v>1</v>
      <v>1</v>
      <v>4</v>
      <v>7</v>
      <v>8</v>
      <v>9</v>
      <v>4</v>
      <v>1</v>
      <v>1</v>
      <v>5</v>
    </spb>
    <spb s="8">
      <v>Powered by Refinitiv</v>
    </spb>
    <spb s="9">
      <v>2</v>
      <v>Name</v>
    </spb>
    <spb s="10">
      <v>1</v>
      <v>1</v>
      <v>1</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9"/>
  <sheetViews>
    <sheetView tabSelected="1" zoomScale="169" workbookViewId="0">
      <selection activeCell="C10" sqref="C10"/>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488.45</v>
      </c>
      <c r="D3" s="4" cm="1">
        <f t="array" aca="1" ref="D3" ca="1">_FV(B3,"52 week high",TRUE)</f>
        <v>546.44000000000005</v>
      </c>
      <c r="E3" s="4" cm="1">
        <f t="array" aca="1" ref="E3" ca="1">_FV(B3,"52 week low",TRUE)</f>
        <v>115.06</v>
      </c>
      <c r="F3" s="5" cm="1">
        <f t="array" aca="1" ref="F3" ca="1">_FV(B3,"Beta")</f>
        <v>2.5074999999999998</v>
      </c>
      <c r="G3" s="6" t="str" cm="1">
        <f t="array" aca="1" ref="G3" ca="1">_FV(B3,"Ticker symbol",TRUE)</f>
        <v>AMD</v>
      </c>
      <c r="H3" s="6" t="str" cm="1">
        <f t="array" aca="1" ref="H3" ca="1">_FV(B3,"Industry")</f>
        <v>Semiconductors &amp; Semiconductor Equipment</v>
      </c>
      <c r="I3" s="7" cm="1">
        <f t="array" aca="1" ref="I3" ca="1">_FV(B3,"Volume average",TRUE)</f>
        <v>36361948</v>
      </c>
    </row>
    <row r="4" spans="1:9" x14ac:dyDescent="0.2">
      <c r="B4" s="3" t="e" vm="2">
        <v>#VALUE!</v>
      </c>
      <c r="C4" s="4" cm="1">
        <f t="array" aca="1" ref="C4" ca="1">_FV(B4,"Price")</f>
        <v>123.845</v>
      </c>
      <c r="D4" s="4" cm="1">
        <f t="array" aca="1" ref="D4" ca="1">_FV(B4,"52 week high",TRUE)</f>
        <v>489</v>
      </c>
      <c r="E4" s="4" cm="1">
        <f t="array" aca="1" ref="E4" ca="1">_FV(B4,"52 week low",TRUE)</f>
        <v>87.89</v>
      </c>
      <c r="F4" s="5" cm="1">
        <f t="array" aca="1" ref="F4" ca="1">_FV(B4,"Beta")</f>
        <v>0.83420000000000005</v>
      </c>
      <c r="G4" s="6" t="str" cm="1">
        <f t="array" aca="1" ref="G4" ca="1">_FV(B4,"Ticker symbol",TRUE)</f>
        <v>DUOL</v>
      </c>
      <c r="H4" s="6" t="str" cm="1">
        <f t="array" aca="1" ref="H4" ca="1">_FV(B4,"Industry")</f>
        <v>Software &amp; IT Services</v>
      </c>
      <c r="I4" s="7" cm="1">
        <f t="array" aca="1" ref="I4" ca="1">_FV(B4,"Volume average",TRUE)</f>
        <v>1566599</v>
      </c>
    </row>
    <row r="5" spans="1:9" x14ac:dyDescent="0.2">
      <c r="B5" s="3" t="e" vm="3">
        <v>#VALUE!</v>
      </c>
      <c r="C5" s="4" cm="1">
        <f t="array" aca="1" ref="C5" ca="1">_FV(B5,"Price")</f>
        <v>116.96</v>
      </c>
      <c r="D5" s="4" cm="1">
        <f t="array" aca="1" ref="D5" ca="1">_FV(B5,"52 week high",TRUE)</f>
        <v>132.75</v>
      </c>
      <c r="E5" s="4" cm="1">
        <f t="array" aca="1" ref="E5" ca="1">_FV(B5,"52 week low",TRUE)</f>
        <v>18.965</v>
      </c>
      <c r="F5" s="5" cm="1">
        <f t="array" aca="1" ref="F5" ca="1">_FV(B5,"Beta")</f>
        <v>2.2189000000000001</v>
      </c>
      <c r="G5" s="6" t="str" cm="1">
        <f t="array" aca="1" ref="G5" ca="1">_FV(B5,"Ticker symbol",TRUE)</f>
        <v>INTC</v>
      </c>
      <c r="H5" s="6" t="str" cm="1">
        <f t="array" aca="1" ref="H5" ca="1">_FV(B5,"Industry")</f>
        <v>Semiconductors &amp; Semiconductor Equipment</v>
      </c>
      <c r="I5" s="7" cm="1">
        <f t="array" aca="1" ref="I5" ca="1">_FV(B5,"Volume average",TRUE)</f>
        <v>134287791</v>
      </c>
    </row>
    <row r="6" spans="1:9" x14ac:dyDescent="0.2">
      <c r="B6" s="3" t="e" vm="4">
        <v>#VALUE!</v>
      </c>
      <c r="C6" s="4" cm="1">
        <f t="array" aca="1" ref="C6" ca="1">_FV(B6,"Price")</f>
        <v>204.87</v>
      </c>
      <c r="D6" s="4" cm="1">
        <f t="array" aca="1" ref="D6" ca="1">_FV(B6,"52 week high",TRUE)</f>
        <v>236.54</v>
      </c>
      <c r="E6" s="4" cm="1">
        <f t="array" aca="1" ref="E6" ca="1">_FV(B6,"52 week low",TRUE)</f>
        <v>140.85499999999999</v>
      </c>
      <c r="F6" s="5" cm="1">
        <f t="array" aca="1" ref="F6" ca="1">_FV(B6,"Beta")</f>
        <v>2.1962000000000002</v>
      </c>
      <c r="G6" s="6" t="str" cm="1">
        <f t="array" aca="1" ref="G6" ca="1">_FV(B6,"Ticker symbol",TRUE)</f>
        <v>NVDA</v>
      </c>
      <c r="H6" s="6" t="str" cm="1">
        <f t="array" aca="1" ref="H6" ca="1">_FV(B6,"Industry")</f>
        <v>Semiconductors &amp; Semiconductor Equipment</v>
      </c>
      <c r="I6" s="7" cm="1">
        <f t="array" aca="1" ref="I6" ca="1">_FV(B6,"Volume average",TRUE)</f>
        <v>175771962</v>
      </c>
    </row>
    <row r="7" spans="1:9" x14ac:dyDescent="0.2">
      <c r="B7" s="3" t="e" vm="5">
        <v>#VALUE!</v>
      </c>
      <c r="C7" s="4" cm="1">
        <f t="array" aca="1" ref="C7" ca="1">_FV(B7,"Price")</f>
        <v>9.0500000000000007</v>
      </c>
      <c r="D7" s="4" cm="1">
        <f t="array" aca="1" ref="D7" ca="1">_FV(B7,"52 week high",TRUE)</f>
        <v>32.76</v>
      </c>
      <c r="E7" s="4" cm="1">
        <f t="array" aca="1" ref="E7" ca="1">_FV(B7,"52 week low",TRUE)</f>
        <v>7.77</v>
      </c>
      <c r="F7" s="5" cm="1">
        <f t="array" aca="1" ref="F7" ca="1">_FV(B7,"Beta")</f>
        <v>0.88770000000000004</v>
      </c>
      <c r="G7" s="6" t="str" cm="1">
        <f t="array" aca="1" ref="G7" ca="1">_FV(B7,"Ticker symbol",TRUE)</f>
        <v>PHR</v>
      </c>
      <c r="H7" s="6" t="str" cm="1">
        <f t="array" aca="1" ref="H7" ca="1">_FV(B7,"Industry")</f>
        <v>Software &amp; IT Services</v>
      </c>
      <c r="I7" s="7" cm="1">
        <f t="array" aca="1" ref="I7" ca="1">_FV(B7,"Volume average",TRUE)</f>
        <v>1662818</v>
      </c>
    </row>
    <row r="8" spans="1:9" x14ac:dyDescent="0.2">
      <c r="B8" s="3" t="e" vm="6">
        <v>#VALUE!</v>
      </c>
      <c r="C8" s="4" cm="1">
        <f t="array" aca="1" ref="C8" ca="1">_FV(B8,"Price")</f>
        <v>202.96</v>
      </c>
      <c r="D8" s="4" cm="1">
        <f t="array" aca="1" ref="D8" ca="1">_FV(B8,"52 week high",TRUE)</f>
        <v>259.92</v>
      </c>
      <c r="E8" s="4" cm="1">
        <f t="array" aca="1" ref="E8" ca="1">_FV(B8,"52 week low",TRUE)</f>
        <v>121.99</v>
      </c>
      <c r="F8" s="5" cm="1">
        <f t="array" aca="1" ref="F8" ca="1">_FV(B8,"Beta")</f>
        <v>1.6657</v>
      </c>
      <c r="G8" s="6" t="str" cm="1">
        <f t="array" aca="1" ref="G8" ca="1">_FV(B8,"Ticker symbol",TRUE)</f>
        <v>QCOM</v>
      </c>
      <c r="H8" s="6" t="str" cm="1">
        <f t="array" aca="1" ref="H8" ca="1">_FV(B8,"Industry")</f>
        <v>Semiconductors &amp; Semiconductor Equipment</v>
      </c>
      <c r="I8" s="7" cm="1">
        <f t="array" aca="1" ref="I8" ca="1">_FV(B8,"Volume average",TRUE)</f>
        <v>26707728</v>
      </c>
    </row>
    <row r="9" spans="1:9" x14ac:dyDescent="0.2">
      <c r="B9" s="3" t="e" vm="7">
        <v>#VALUE!</v>
      </c>
      <c r="C9" s="4" cm="1">
        <f t="array" aca="1" ref="C9" ca="1">_FV(B9,"Price")</f>
        <v>135.59</v>
      </c>
      <c r="D9" s="4" cm="1">
        <f t="array" aca="1" ref="D9" ca="1">_FV(B9,"52 week high",TRUE)</f>
        <v>136.60990000000001</v>
      </c>
      <c r="E9" s="4" cm="1">
        <f t="array" aca="1" ref="E9" ca="1">_FV(B9,"52 week low",TRUE)</f>
        <v>80.69</v>
      </c>
      <c r="F9" s="5" cm="1">
        <f t="array" aca="1" ref="F9" ca="1">_FV(B9,"Beta")</f>
        <v>1.4079999999999999</v>
      </c>
      <c r="G9" s="6" t="str" cm="1">
        <f t="array" aca="1" ref="G9" ca="1">_FV(B9,"Ticker symbol",TRUE)</f>
        <v>SN</v>
      </c>
      <c r="H9" s="6" t="str" cm="1">
        <f t="array" aca="1" ref="H9" ca="1">_FV(B9,"Industry")</f>
        <v>Household Goods</v>
      </c>
      <c r="I9" s="7" cm="1">
        <f t="array" aca="1" ref="I9" ca="1">_FV(B9,"Volume average",TRUE)</f>
        <v>2820375</v>
      </c>
    </row>
    <row r="10" spans="1:9" x14ac:dyDescent="0.2">
      <c r="A10" s="8" t="s">
        <v>8</v>
      </c>
      <c r="B10" s="3" t="e" vm="8">
        <v>#VALUE!</v>
      </c>
      <c r="C10" s="4" cm="1">
        <f t="array" aca="1" ref="C10" ca="1">_FV(B10,"Price")</f>
        <v>45.42</v>
      </c>
      <c r="D10" s="4" cm="1">
        <f t="array" aca="1" ref="D10" ca="1">_FV(B10,"52 week high",TRUE)</f>
        <v>46.87</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3.2250000000000001</v>
      </c>
      <c r="D11" s="4" cm="1">
        <f t="array" aca="1" ref="D11" ca="1">_FV(B11,"52 week high",TRUE)</f>
        <v>3.4499</v>
      </c>
      <c r="E11" s="4" cm="1">
        <f t="array" aca="1" ref="E11" ca="1">_FV(B11,"52 week low",TRUE)</f>
        <v>2.1</v>
      </c>
      <c r="F11" s="5" cm="1">
        <f t="array" aca="1" ref="F11" ca="1">_FV(B11,"Beta")</f>
        <v>0.66379999999999995</v>
      </c>
      <c r="G11" s="6" t="str" cm="1">
        <f t="array" aca="1" ref="G11" ca="1">_FV(B11,"Ticker symbol",TRUE)</f>
        <v>ABEV</v>
      </c>
      <c r="H11" s="6" t="str" cm="1">
        <f t="array" aca="1" ref="H11" ca="1">_FV(B11,"Industry")</f>
        <v>Beverages</v>
      </c>
      <c r="I11" s="7" cm="1">
        <f t="array" aca="1" ref="I11" ca="1">_FV(B11,"Volume average",TRUE)</f>
        <v>30396404</v>
      </c>
    </row>
    <row r="12" spans="1:9" x14ac:dyDescent="0.2">
      <c r="B12" s="3" t="e" vm="10">
        <v>#VALUE!</v>
      </c>
      <c r="C12" s="4" cm="1">
        <f t="array" aca="1" ref="C12" ca="1">_FV(B12,"Price")</f>
        <v>103.64</v>
      </c>
      <c r="D12" s="4" cm="1">
        <f t="array" aca="1" ref="D12" ca="1">_FV(B12,"52 week high",TRUE)</f>
        <v>112.58</v>
      </c>
      <c r="E12" s="4" cm="1">
        <f t="array" aca="1" ref="E12" ca="1">_FV(B12,"52 week low",TRUE)</f>
        <v>55.64</v>
      </c>
      <c r="F12" s="5" cm="1">
        <f t="array" aca="1" ref="F12" ca="1">_FV(B12,"Beta")</f>
        <v>0.60740000000000005</v>
      </c>
      <c r="G12" s="6" t="str" cm="1">
        <f t="array" aca="1" ref="G12" ca="1">_FV(B12,"Ticker symbol",TRUE)</f>
        <v>RIO</v>
      </c>
      <c r="H12" s="6" t="str" cm="1">
        <f t="array" aca="1" ref="H12" ca="1">_FV(B12,"Industry")</f>
        <v>Metals &amp; Mining</v>
      </c>
      <c r="I12" s="7" cm="1">
        <f t="array" aca="1" ref="I12" ca="1">_FV(B12,"Volume average",TRUE)</f>
        <v>2668650</v>
      </c>
    </row>
    <row r="13" spans="1:9" x14ac:dyDescent="0.2">
      <c r="B13" s="3" t="e" vm="11">
        <v>#VALUE!</v>
      </c>
      <c r="C13" s="4" cm="1">
        <f t="array" aca="1" ref="C13" ca="1">_FV(B13,"Price")</f>
        <v>405.32499999999999</v>
      </c>
      <c r="D13" s="4" cm="1">
        <f t="array" aca="1" ref="D13" ca="1">_FV(B13,"52 week high",TRUE)</f>
        <v>415.98</v>
      </c>
      <c r="E13" s="4" cm="1">
        <f t="array" aca="1" ref="E13" ca="1">_FV(B13,"52 week low",TRUE)</f>
        <v>234.6</v>
      </c>
      <c r="F13" s="5" cm="1">
        <f t="array" aca="1" ref="F13" ca="1">_FV(B13,"Beta")</f>
        <v>0.60899999999999999</v>
      </c>
      <c r="G13" s="6" t="str" cm="1">
        <f t="array" aca="1" ref="G13" ca="1">_FV(B13,"Ticker symbol",TRUE)</f>
        <v>UNH</v>
      </c>
      <c r="H13" s="6" t="str" cm="1">
        <f t="array" aca="1" ref="H13" ca="1">_FV(B13,"Industry")</f>
        <v>Healthcare Providers &amp; Services</v>
      </c>
      <c r="I13" s="7" cm="1">
        <f t="array" aca="1" ref="I13" ca="1">_FV(B13,"Volume average",TRUE)</f>
        <v>7131751</v>
      </c>
    </row>
    <row r="14" spans="1:9" x14ac:dyDescent="0.2">
      <c r="B14" s="3" t="e" vm="12">
        <v>#VALUE!</v>
      </c>
      <c r="C14" s="4" cm="1">
        <f t="array" aca="1" ref="C14" ca="1">_FV(B14,"Price")</f>
        <v>241.51</v>
      </c>
      <c r="D14" s="4" cm="1">
        <f t="array" aca="1" ref="D14" ca="1">_FV(B14,"52 week high",TRUE)</f>
        <v>278.56</v>
      </c>
      <c r="E14" s="4" cm="1">
        <f t="array" aca="1" ref="E14" ca="1">_FV(B14,"52 week low",TRUE)</f>
        <v>196</v>
      </c>
      <c r="F14" s="5" cm="1">
        <f t="array" aca="1" ref="F14" ca="1">_FV(B14,"Beta")</f>
        <v>1.4676</v>
      </c>
      <c r="G14" s="6" t="str" cm="1">
        <f t="array" aca="1" ref="G14" ca="1">_FV(B14,"Ticker symbol",TRUE)</f>
        <v>AMZN</v>
      </c>
      <c r="H14" s="6" t="str" cm="1">
        <f t="array" aca="1" ref="H14" ca="1">_FV(B14,"Industry")</f>
        <v>Diversified Retail</v>
      </c>
      <c r="I14" s="7" cm="1">
        <f t="array" aca="1" ref="I14" ca="1">_FV(B14,"Volume average",TRUE)</f>
        <v>40136570</v>
      </c>
    </row>
    <row r="15" spans="1:9" x14ac:dyDescent="0.2">
      <c r="B15" s="3" t="e" vm="13">
        <v>#VALUE!</v>
      </c>
      <c r="C15" s="4" cm="1">
        <f t="array" aca="1" ref="C15" ca="1">_FV(B15,"Price")</f>
        <v>357.77</v>
      </c>
      <c r="D15" s="4" cm="1">
        <f t="array" aca="1" ref="D15" ca="1">_FV(B15,"52 week high",TRUE)</f>
        <v>408.61</v>
      </c>
      <c r="E15" s="4" cm="1">
        <f t="array" aca="1" ref="E15" ca="1">_FV(B15,"52 week low",TRUE)</f>
        <v>162</v>
      </c>
      <c r="F15" s="5" cm="1">
        <f t="array" aca="1" ref="F15" ca="1">_FV(B15,"Beta")</f>
        <v>1.246</v>
      </c>
      <c r="G15" s="6" t="str" cm="1">
        <f t="array" aca="1" ref="G15" ca="1">_FV(B15,"Ticker symbol",TRUE)</f>
        <v>GOOGL</v>
      </c>
      <c r="H15" s="6" t="str" cm="1">
        <f t="array" aca="1" ref="H15" ca="1">_FV(B15,"Industry")</f>
        <v>Software &amp; IT Services</v>
      </c>
      <c r="I15" s="7" cm="1">
        <f t="array" aca="1" ref="I15" ca="1">_FV(B15,"Volume average",TRUE)</f>
        <v>30899345</v>
      </c>
    </row>
    <row r="16" spans="1:9" x14ac:dyDescent="0.2">
      <c r="B16" s="3" t="e" vm="14">
        <v>#VALUE!</v>
      </c>
      <c r="C16" s="4" cm="1">
        <f t="array" aca="1" ref="C16" ca="1">_FV(B16,"Price")</f>
        <v>146.5</v>
      </c>
      <c r="D16" s="4" cm="1">
        <f t="array" aca="1" ref="D16" ca="1">_FV(B16,"52 week high",TRUE)</f>
        <v>176.41</v>
      </c>
      <c r="E16" s="4" cm="1">
        <f t="array" aca="1" ref="E16" ca="1">_FV(B16,"52 week low",TRUE)</f>
        <v>105.52500000000001</v>
      </c>
      <c r="F16" s="5" cm="1">
        <f t="array" aca="1" ref="F16" ca="1">_FV(B16,"Beta")</f>
        <v>0.13830000000000001</v>
      </c>
      <c r="G16" s="6" t="str" cm="1">
        <f t="array" aca="1" ref="G16" ca="1">_FV(B16,"Ticker symbol",TRUE)</f>
        <v>XOM</v>
      </c>
      <c r="H16" s="6" t="str" cm="1">
        <f t="array" aca="1" ref="H16" ca="1">_FV(B16,"Industry")</f>
        <v>Oil &amp; Gas</v>
      </c>
      <c r="I16" s="7" cm="1">
        <f t="array" aca="1" ref="I16" ca="1">_FV(B16,"Volume average",TRUE)</f>
        <v>17040772</v>
      </c>
    </row>
    <row r="17" spans="2:9" x14ac:dyDescent="0.2">
      <c r="B17" s="3" t="e" vm="15">
        <v>#VALUE!</v>
      </c>
      <c r="C17" s="4" cm="1">
        <f t="array" aca="1" ref="C17" ca="1">_FV(B17,"Price")</f>
        <v>295.63</v>
      </c>
      <c r="D17" s="4" cm="1">
        <f t="array" aca="1" ref="D17" ca="1">_FV(B17,"52 week high",TRUE)</f>
        <v>317.39999999999998</v>
      </c>
      <c r="E17" s="4" cm="1">
        <f t="array" aca="1" ref="E17" ca="1">_FV(B17,"52 week low",TRUE)</f>
        <v>195.07</v>
      </c>
      <c r="F17" s="5" cm="1">
        <f t="array" aca="1" ref="F17" ca="1">_FV(B17,"Beta")</f>
        <v>1.0961000000000001</v>
      </c>
      <c r="G17" s="6" t="str" cm="1">
        <f t="array" aca="1" ref="G17" ca="1">_FV(B17,"Ticker symbol",TRUE)</f>
        <v>AAPL</v>
      </c>
      <c r="H17" s="6" t="str" cm="1">
        <f t="array" aca="1" ref="H17" ca="1">_FV(B17,"Industry")</f>
        <v>Computers, Phones &amp; Household Electronics</v>
      </c>
      <c r="I17" s="7" cm="1">
        <f t="array" aca="1" ref="I17" ca="1">_FV(B17,"Volume average",TRUE)</f>
        <v>50425721</v>
      </c>
    </row>
    <row r="18" spans="2:9" x14ac:dyDescent="0.2">
      <c r="B18" s="3" t="e" vm="16">
        <v>#VALUE!</v>
      </c>
      <c r="C18" s="4" cm="1">
        <f t="array" aca="1" ref="C18" ca="1">_FV(B18,"Price")</f>
        <v>218.8</v>
      </c>
      <c r="D18" s="4" cm="1">
        <f t="array" aca="1" ref="D18" ca="1">_FV(B18,"52 week high",TRUE)</f>
        <v>416.39</v>
      </c>
      <c r="E18" s="4" cm="1">
        <f t="array" aca="1" ref="E18" ca="1">_FV(B18,"52 week low",TRUE)</f>
        <v>218.09</v>
      </c>
      <c r="F18" s="5" cm="1">
        <f t="array" aca="1" ref="F18" ca="1">_FV(B18,"Beta")</f>
        <v>1.4111</v>
      </c>
      <c r="G18" s="6" t="str" cm="1">
        <f t="array" aca="1" ref="G18" ca="1">_FV(B18,"Ticker symbol",TRUE)</f>
        <v>ADBE</v>
      </c>
      <c r="H18" s="6" t="str" cm="1">
        <f t="array" aca="1" ref="H18" ca="1">_FV(B18,"Industry")</f>
        <v>Software &amp; IT Services</v>
      </c>
      <c r="I18" s="7" cm="1">
        <f t="array" aca="1" ref="I18" ca="1">_FV(B18,"Volume average",TRUE)</f>
        <v>5011030</v>
      </c>
    </row>
    <row r="19" spans="2:9" x14ac:dyDescent="0.2">
      <c r="B19" s="3" t="e" vm="17">
        <v>#VALUE!</v>
      </c>
      <c r="C19" s="4" cm="1">
        <f t="array" aca="1" ref="C19" ca="1">_FV(B19,"Price")</f>
        <v>10.66</v>
      </c>
      <c r="D19" s="4" cm="1">
        <f t="array" aca="1" ref="D19" ca="1">_FV(B19,"52 week high",TRUE)</f>
        <v>19.84</v>
      </c>
      <c r="E19" s="4" cm="1">
        <f t="array" aca="1" ref="E19" ca="1">_FV(B19,"52 week low",TRUE)</f>
        <v>9.2002000000000006</v>
      </c>
      <c r="F19" s="5" cm="1">
        <f t="array" aca="1" ref="F19" ca="1">_FV(B19,"Beta")</f>
        <v>0.97399999999999998</v>
      </c>
      <c r="G19" s="6" t="str" cm="1">
        <f t="array" aca="1" ref="G19" ca="1">_FV(B19,"Ticker symbol",TRUE)</f>
        <v>PATH</v>
      </c>
      <c r="H19" s="6" t="str" cm="1">
        <f t="array" aca="1" ref="H19" ca="1">_FV(B19,"Industry")</f>
        <v>Software &amp; IT Services</v>
      </c>
      <c r="I19" s="7" cm="1">
        <f t="array" aca="1" ref="I19" ca="1">_FV(B19,"Volume average",TRUE)</f>
        <v>43177471</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2026-06-11T20:59:48Z</dcterms:modified>
</cp:coreProperties>
</file>