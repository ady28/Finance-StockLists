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EE64CC0-873C-9845-B7B7-7EA12D5BD90D}"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 l="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<sst xmlns="http://schemas.openxmlformats.org/spreadsheetml/2006/main" count="9" uniqueCount="9">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</sst>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4">
  <rv s="0">
    <v>https://www.bing.com/financeapi/forcetrigger?t=a1ndww&amp;q=XNAS%3aAMD&amp;form=skydnc</v>
    <v>Learn more on Bing</v>
  </rv>
  <rv s="1">
    <v>0</v>
    <v>ADVANCED MICRO DEVICES, INC. (XNAS:AMD)</v>
    <v>2</v>
    <v>3</v>
    <v>Finance</v>
    <v>4</v>
    <v>en-US</v>
    <v>a1ndww</v>
    <v>268435456</v>
    <v>1</v>
    <v>Powered by Refinitiv</v>
    <v>352.99</v>
    <v>91.87</v>
    <v>2.2656000000000001</v>
    <v>8.91</v>
    <v>2.7566999999999998E-2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333.95</v>
    <v>Semiconductors &amp; Semiconductor Equipment</v>
    <v>Stock</v>
    <v>46141.740451168749</v>
    <v>0</v>
    <v>318.86</v>
    <v>541468188680</v>
    <v>ADVANCED MICRO DEVICES, INC.</v>
    <v>ADVANCED MICRO DEVICES, INC.</v>
    <v>325.89999999999998</v>
    <v>127.5227</v>
    <v>323.20999999999998</v>
    <v>332.12</v>
    <v>1630339000</v>
    <v>AMD</v>
    <v>ADVANCED MICRO DEVICES, INC. (XNAS:AMD)</v>
    <v>27744810</v>
    <v>39619248</v>
    <v>1969</v>
  </rv>
  <rv s="2">
    <v>1</v>
  </rv>
  <rv s="0">
    <v>https://www.bing.com/financeapi/forcetrigger?t=c2mtim&amp;q=XNAS%3aDUOL&amp;form=skydnc</v>
    <v>Learn more on Bing</v>
  </rv>
  <rv s="1">
    <v>0</v>
    <v>DUOLINGO, INC. (XNAS:DUOL)</v>
    <v>2</v>
    <v>3</v>
    <v>Finance</v>
    <v>4</v>
    <v>en-US</v>
    <v>c2mtim</v>
    <v>268435456</v>
    <v>1</v>
    <v>Powered by Refinitiv</v>
    <v>544.92999999999995</v>
    <v>87.89</v>
    <v>0.87670000000000003</v>
    <v>-2.15</v>
    <v>-2.0236999999999998E-2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109.97799999999999</v>
    <v>Software &amp; IT Services</v>
    <v>Stock</v>
    <v>46141.740354964844</v>
    <v>3</v>
    <v>103.67</v>
    <v>4869541502</v>
    <v>DUOLINGO, INC.</v>
    <v>DUOLINGO, INC.</v>
    <v>109.43</v>
    <v>12.277699999999999</v>
    <v>106.24</v>
    <v>104.09</v>
    <v>46782030</v>
    <v>DUOL</v>
    <v>DUOLINGO, INC. (XNAS:DUOL)</v>
    <v>823215</v>
    <v>1663729</v>
    <v>2011</v>
  </rv>
  <rv s="2">
    <v>4</v>
  </rv>
  <rv s="0">
    <v>https://www.bing.com/financeapi/forcetrigger?t=a1vmf2&amp;q=XNAS%3aINTC&amp;form=skydnc</v>
    <v>Learn more on Bing</v>
  </rv>
  <rv s="1">
    <v>0</v>
    <v>INTEL CORPORATION (XNAS:INTC)</v>
    <v>2</v>
    <v>3</v>
    <v>Finance</v>
    <v>4</v>
    <v>en-US</v>
    <v>a1vmf2</v>
    <v>268435456</v>
    <v>1</v>
    <v>Powered by Refinitiv</v>
    <v>94.1</v>
    <v>18.965</v>
    <v>1.9657</v>
    <v>8.6300000000000008</v>
    <v>0.10210599999999999</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94.1</v>
    <v>Semiconductors &amp; Semiconductor Equipment</v>
    <v>Stock</v>
    <v>46141.740438344532</v>
    <v>6</v>
    <v>85.87</v>
    <v>468171900000</v>
    <v>INTEL CORPORATION</v>
    <v>INTEL CORPORATION</v>
    <v>86.21</v>
    <v>0</v>
    <v>84.52</v>
    <v>93.15</v>
    <v>5026000000</v>
    <v>INTC</v>
    <v>INTEL CORPORATION (XNAS:INTC)</v>
    <v>163631644</v>
    <v>119055814</v>
    <v>1989</v>
  </rv>
  <rv s="2">
    <v>7</v>
  </rv>
  <rv s="0">
    <v>https://www.bing.com/financeapi/forcetrigger?t=a1yv52&amp;q=XNAS%3aNVDA&amp;form=skydnc</v>
    <v>Learn more on Bing</v>
  </rv>
  <rv s="1">
    <v>0</v>
    <v>NVIDIA CORPORATION (XNAS:NVDA)</v>
    <v>2</v>
    <v>3</v>
    <v>Finance</v>
    <v>4</v>
    <v>en-US</v>
    <v>a1yv52</v>
    <v>268435456</v>
    <v>1</v>
    <v>Powered by Refinitiv</v>
    <v>216.82499999999999</v>
    <v>104.08</v>
    <v>2.3256999999999999</v>
    <v>-3.7650000000000001</v>
    <v>-1.7662000000000001E-2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212.715</v>
    <v>Semiconductors &amp; Semiconductor Equipment</v>
    <v>Stock</v>
    <v>46141.740439721878</v>
    <v>9</v>
    <v>208.56</v>
    <v>5088541500000</v>
    <v>NVIDIA CORPORATION</v>
    <v>NVIDIA CORPORATION</v>
    <v>212.63</v>
    <v>42.72</v>
    <v>213.17</v>
    <v>209.405</v>
    <v>24300000000</v>
    <v>NVDA</v>
    <v>NVIDIA CORPORATION (XNAS:NVDA)</v>
    <v>70656827</v>
    <v>155401633</v>
    <v>1998</v>
  </rv>
  <rv s="2">
    <v>10</v>
  </rv>
  <rv s="0">
    <v>https://www.bing.com/financeapi/forcetrigger?t=bqw82w&amp;q=XNYS%3aPHR&amp;form=skydnc</v>
    <v>Learn more on Bing</v>
  </rv>
  <rv s="1">
    <v>0</v>
    <v>PHREESIA, INC. (XNYS:PHR)</v>
    <v>2</v>
    <v>3</v>
    <v>Finance</v>
    <v>4</v>
    <v>en-US</v>
    <v>bqw82w</v>
    <v>268435456</v>
    <v>1</v>
    <v>Powered by Refinitiv</v>
    <v>32.76</v>
    <v>7.77</v>
    <v>0.91279999999999994</v>
    <v>-0.21</v>
    <v>-2.2292999999999997E-2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9.4049999999999994</v>
    <v>Software &amp; IT Services</v>
    <v>Stock</v>
    <v>46141.740234582816</v>
    <v>12</v>
    <v>9.2100000000000009</v>
    <v>559627782</v>
    <v>PHREESIA, INC.</v>
    <v>PHREESIA, INC.</v>
    <v>9.3699999999999992</v>
    <v>266.185</v>
    <v>9.42</v>
    <v>9.2100000000000009</v>
    <v>60763060</v>
    <v>PHR</v>
    <v>PHREESIA, INC. (XNYS:PHR)</v>
    <v>313850</v>
    <v>2531730</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1.3209</v>
    <v>6.2549999999999999</v>
    <v>4.1700000000000001E-2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156.37</v>
    <v>18</v>
    <v>Semiconductors &amp; Semiconductor Equipment</v>
    <v>Stock</v>
    <v>46141.740441017966</v>
    <v>19</v>
    <v>151</v>
    <v>166724085000</v>
    <v>QUALCOMM INCORPORATED</v>
    <v>QUALCOMM INCORPORATED</v>
    <v>152</v>
    <v>32.281399999999998</v>
    <v>150</v>
    <v>156.255</v>
    <v>1067000000</v>
    <v>QCOM</v>
    <v>QUALCOMM INCORPORATED (XNAS:QCOM)</v>
    <v>15021975</v>
    <v>12119990</v>
    <v>1991</v>
  </rv>
  <rv s="2">
    <v>20</v>
  </rv>
  <rv s="6">
    <v>10</v>
    <v>SHARKNINJA, INC. (XNYS:SN)</v>
    <v>11</v>
    <v>3</v>
    <v>Finance</v>
    <v>4</v>
    <v>en-US</v>
    <v>cag2ar</v>
    <v>268435456</v>
    <v>1</v>
    <v>Powered by Refinitiv</v>
    <v>133.99</v>
    <v>76.45</v>
    <v>1.4159999999999999</v>
    <v>-1.1301000000000001</v>
    <v>-9.8630000000000002E-3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114.28</v>
    <v>Household Goods</v>
    <v>Stock</v>
    <v>46141.740392765627</v>
    <v>111.77500000000001</v>
    <v>16060977548</v>
    <v>SHARKNINJA, INC.</v>
    <v>SHARKNINJA, INC.</v>
    <v>113.67</v>
    <v>22.9405</v>
    <v>114.58</v>
    <v>113.4499</v>
    <v>141568900</v>
    <v>SN</v>
    <v>SHARKNINJA, INC. (XNYS:SN)</v>
    <v>350618</v>
    <v>1486216</v>
    <v>2017</v>
  </rv>
  <rv s="2">
    <v>22</v>
  </rv>
  <rv s="0">
    <v>https://www.bing.com/financeapi/forcetrigger?t=a33knm&amp;q=10+Y+TSY+YLD+NDX&amp;form=skydnc</v>
    <v>Learn more on Bing</v>
  </rv>
  <rv s="7">
    <v>12</v>
    <v>10 Y TSY YLD NDX</v>
    <v>13</v>
    <v>14</v>
    <v>Finance</v>
    <v>15</v>
    <v>en-US</v>
    <v>a33knm</v>
    <v>268435456</v>
    <v>1</v>
    <v>Powered by Refinitiv</v>
    <v>46.29</v>
    <v>39.47</v>
    <v>0.18</v>
    <v>4.1510000000000002E-3</v>
    <v>US</v>
    <v>43.78</v>
    <v>Index</v>
    <v>24</v>
    <v>43.51</v>
    <v>10 Y TSY YLD NDX</v>
    <v>43.71</v>
    <v>43.36</v>
    <v>43.54</v>
    <v>TNX</v>
    <v>10 Y TSY YLD NDX</v>
  </rv>
  <rv s="2">
    <v>25</v>
  </rv>
  <rv s="0">
    <v>https://www.bing.com/financeapi/forcetrigger?t=a1mqec&amp;q=XNYS%3aABEV&amp;form=skydnc</v>
    <v>Learn more on Bing</v>
  </rv>
  <rv s="1">
    <v>0</v>
    <v>Ambev SA (XNYS:ABEV)</v>
    <v>2</v>
    <v>3</v>
    <v>Finance</v>
    <v>4</v>
    <v>en-US</v>
    <v>a1mqec</v>
    <v>268435456</v>
    <v>1</v>
    <v>Powered by Refinitiv</v>
    <v>3.24</v>
    <v>2.1</v>
    <v>0.63759999999999994</v>
    <v>-4.4999999999999998E-2</v>
    <v>-1.5464E-2</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2.8849999999999998</v>
    <v>Beverages</v>
    <v>Stock</v>
    <v>46141.740374767971</v>
    <v>27</v>
    <v>2.85</v>
    <v>45162914550</v>
    <v>Ambev SA</v>
    <v>Ambev SA</v>
    <v>2.88</v>
    <v>15.8726</v>
    <v>2.91</v>
    <v>2.8650000000000002</v>
    <v>15763670000</v>
    <v>ABEV</v>
    <v>Ambev SA (XNYS:ABEV)</v>
    <v>13786586</v>
    <v>25525931</v>
    <v>2005</v>
  </rv>
  <rv s="2">
    <v>28</v>
  </rv>
  <rv s="0">
    <v>https://www.bing.com/financeapi/forcetrigger?t=a221mw&amp;q=XNYS%3aRIO&amp;form=skydnc</v>
    <v>Learn more on Bing</v>
  </rv>
  <rv s="1">
    <v>0</v>
    <v>RIO TINTO PLC (XNYS:RIO)</v>
    <v>2</v>
    <v>3</v>
    <v>Finance</v>
    <v>4</v>
    <v>en-US</v>
    <v>a221mw</v>
    <v>268435456</v>
    <v>1</v>
    <v>Powered by Refinitiv</v>
    <v>101.53</v>
    <v>55.64</v>
    <v>0.56100000000000005</v>
    <v>-1.61</v>
    <v>-1.6347E-2</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97.74</v>
    <v>Metals &amp; Mining</v>
    <v>Stock</v>
    <v>46141.740385925783</v>
    <v>30</v>
    <v>96.674999999999997</v>
    <v>157602252640</v>
    <v>RIO TINTO PLC</v>
    <v>RIO TINTO PLC</v>
    <v>97.51</v>
    <v>15.923500000000001</v>
    <v>98.49</v>
    <v>96.88</v>
    <v>1626778000</v>
    <v>RIO</v>
    <v>RIO TINTO PLC (XNYS:RIO)</v>
    <v>1410215</v>
    <v>2599979</v>
    <v>1962</v>
  </rv>
  <rv s="2">
    <v>31</v>
  </rv>
  <rv s="0">
    <v>https://www.bing.com/financeapi/forcetrigger?t=a24xlh&amp;q=XNYS%3aUNH&amp;form=skydnc</v>
    <v>Learn more on Bing</v>
  </rv>
  <rv s="1">
    <v>0</v>
    <v>UNITEDHEALTH GROUP INCORPORATED (XNYS:UNH)</v>
    <v>2</v>
    <v>3</v>
    <v>Finance</v>
    <v>4</v>
    <v>en-US</v>
    <v>a24xlh</v>
    <v>268435456</v>
    <v>1</v>
    <v>Powered by Refinitiv</v>
    <v>421.75</v>
    <v>234.6</v>
    <v>0.61429999999999996</v>
    <v>0.85599999999999998</v>
    <v>2.3340000000000001E-3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370.16</v>
    <v>Healthcare Providers &amp; Services</v>
    <v>Stock</v>
    <v>46141.740389560153</v>
    <v>33</v>
    <v>365.01</v>
    <v>333882785863</v>
    <v>UNITEDHEALTH GROUP INCORPORATED</v>
    <v>UNITEDHEALTH GROUP INCORPORATED</v>
    <v>365.42500000000001</v>
    <v>27.764399999999998</v>
    <v>366.77</v>
    <v>367.62599999999998</v>
    <v>908213200</v>
    <v>UNH</v>
    <v>UNITEDHEALTH GROUP INCORPORATED (XNYS:UNH)</v>
    <v>4739780</v>
    <v>8949339</v>
    <v>2015</v>
  </rv>
  <rv s="2">
    <v>34</v>
  </rv>
  <rv s="0">
    <v>https://www.bing.com/financeapi/forcetrigger?t=a1nhlh&amp;q=XNAS%3aAMZN&amp;form=skydnc</v>
    <v>Learn more on Bing</v>
  </rv>
  <rv s="1">
    <v>0</v>
    <v>AMAZON.COM, INC. (XNAS:AMZN)</v>
    <v>2</v>
    <v>3</v>
    <v>Finance</v>
    <v>4</v>
    <v>en-US</v>
    <v>a1nhlh</v>
    <v>268435456</v>
    <v>1</v>
    <v>Powered by Refinitiv</v>
    <v>265.91000000000003</v>
    <v>178.85</v>
    <v>1.4498</v>
    <v>2.9950000000000001</v>
    <v>1.1533E-2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265.91000000000003</v>
    <v>Diversified Retail</v>
    <v>Stock</v>
    <v>46141.740441689064</v>
    <v>36</v>
    <v>257.7</v>
    <v>2825124481050</v>
    <v>AMAZON.COM, INC.</v>
    <v>AMAZON.COM, INC.</v>
    <v>257.99</v>
    <v>36.626800000000003</v>
    <v>259.7</v>
    <v>262.69499999999999</v>
    <v>10754390000</v>
    <v>AMZN</v>
    <v>AMAZON.COM, INC. (XNAS:AMZN)</v>
    <v>36224943</v>
    <v>45380399</v>
    <v>1996</v>
  </rv>
  <rv s="2">
    <v>37</v>
  </rv>
  <rv s="0">
    <v>https://www.bing.com/financeapi/forcetrigger?t=a1u3rw&amp;q=XNAS%3aGOOGL&amp;form=skydnc</v>
    <v>Learn more on Bing</v>
  </rv>
  <rv s="1">
    <v>0</v>
    <v>ALPHABET INC. (XNAS:GOOGL)</v>
    <v>2</v>
    <v>3</v>
    <v>Finance</v>
    <v>4</v>
    <v>en-US</v>
    <v>a1u3rw</v>
    <v>268435456</v>
    <v>1</v>
    <v>Powered by Refinitiv</v>
    <v>355.79</v>
    <v>147.84</v>
    <v>1.1734</v>
    <v>-0.96</v>
    <v>-2.745E-3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355.79</v>
    <v>Software &amp; IT Services</v>
    <v>Stock</v>
    <v>46141.740406863282</v>
    <v>39</v>
    <v>344.21</v>
    <v>4219829020800</v>
    <v>ALPHABET INC.</v>
    <v>ALPHABET INC.</v>
    <v>347.25</v>
    <v>32.268300000000004</v>
    <v>349.78</v>
    <v>348.82</v>
    <v>12097440000</v>
    <v>GOOGL</v>
    <v>ALPHABET INC. (XNAS:GOOGL)</v>
    <v>16578121</v>
    <v>27102471</v>
    <v>2015</v>
  </rv>
  <rv s="2">
    <v>40</v>
  </rv>
  <rv s="0">
    <v>https://www.bing.com/financeapi/forcetrigger?t=a269ec&amp;q=XNYS%3aXOM&amp;form=skydnc</v>
    <v>Learn more on Bing</v>
  </rv>
  <rv s="1">
    <v>0</v>
    <v>EXXON MOBIL CORPORATION (XNYS:XOM)</v>
    <v>2</v>
    <v>3</v>
    <v>Finance</v>
    <v>4</v>
    <v>en-US</v>
    <v>a269ec</v>
    <v>268435456</v>
    <v>1</v>
    <v>Powered by Refinitiv</v>
    <v>176.41</v>
    <v>101.185</v>
    <v>0.1807</v>
    <v>4</v>
    <v>2.6566999999999997E-2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154.94999999999999</v>
    <v>Oil &amp; Gas</v>
    <v>Stock</v>
    <v>46141.740408124999</v>
    <v>42</v>
    <v>151.01</v>
    <v>642437913600</v>
    <v>EXXON MOBIL CORPORATION</v>
    <v>EXXON MOBIL CORPORATION</v>
    <v>152.01</v>
    <v>23.135999999999999</v>
    <v>150.56</v>
    <v>154.56</v>
    <v>4156560000</v>
    <v>XOM</v>
    <v>EXXON MOBIL CORPORATION (XNYS:XOM)</v>
    <v>7344128</v>
    <v>21505526</v>
    <v>1882</v>
  </rv>
  <rv s="2">
    <v>43</v>
  </rv>
  <rv s="0">
    <v>https://www.bing.com/financeapi/forcetrigger?t=a1mou2&amp;q=XNAS%3aAAPL&amp;form=skydnc</v>
    <v>Learn more on Bing</v>
  </rv>
  <rv s="1">
    <v>0</v>
    <v>APPLE INC. (XNAS:AAPL)</v>
    <v>2</v>
    <v>3</v>
    <v>Finance</v>
    <v>4</v>
    <v>en-US</v>
    <v>a1mou2</v>
    <v>268435456</v>
    <v>1</v>
    <v>Powered by Refinitiv</v>
    <v>288.62</v>
    <v>193.25</v>
    <v>1.075</v>
    <v>-0.39</v>
    <v>-1.441E-3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271.04000000000002</v>
    <v>Computers, Phones &amp; Household Electronics</v>
    <v>Stock</v>
    <v>46141.740407742967</v>
    <v>45</v>
    <v>267.04000000000002</v>
    <v>3968605764800</v>
    <v>APPLE INC.</v>
    <v>APPLE INC.</v>
    <v>267.79000000000002</v>
    <v>34.343400000000003</v>
    <v>270.70999999999998</v>
    <v>270.32</v>
    <v>14681140000</v>
    <v>AAPL</v>
    <v>APPLE INC. (XNAS:AAPL)</v>
    <v>13494756</v>
    <v>41520491</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422.95</v>
    <v>224.13</v>
    <v>1.4297</v>
    <v>-1.61</v>
    <v>-6.62E-3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242.08</v>
    <v>50</v>
    <v>Software &amp; IT Services</v>
    <v>Stock</v>
    <v>46141.740448529687</v>
    <v>51</v>
    <v>238.67</v>
    <v>97650678000</v>
    <v>ADOBE INC.</v>
    <v>ADOBE INC.</v>
    <v>240.11</v>
    <v>14.0809</v>
    <v>243.2</v>
    <v>241.59</v>
    <v>404200000</v>
    <v>ADBE</v>
    <v>ADOBE INC. (XNAS:ADBE)</v>
    <v>1460913</v>
    <v>5302127</v>
    <v>1997</v>
  </rv>
  <rv s="2">
    <v>52</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8"/>
  <sheetViews>
    <sheetView tabSelected="1" topLeftCell="A7" zoomScale="169" workbookViewId="0">
      <selection activeCell="C18" sqref="C18"/>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332.12</v>
      </c>
      <c r="D3" s="4" cm="1">
        <f t="array" aca="1" ref="D3" ca="1">_FV(B3,"52 week high",TRUE)</f>
        <v>352.99</v>
      </c>
      <c r="E3" s="4" cm="1">
        <f t="array" aca="1" ref="E3" ca="1">_FV(B3,"52 week low",TRUE)</f>
        <v>91.87</v>
      </c>
      <c r="F3" s="5" cm="1">
        <f t="array" aca="1" ref="F3" ca="1">_FV(B3,"Beta")</f>
        <v>2.2656000000000001</v>
      </c>
      <c r="G3" s="6" t="str" cm="1">
        <f t="array" aca="1" ref="G3" ca="1">_FV(B3,"Ticker symbol",TRUE)</f>
        <v>AMD</v>
      </c>
      <c r="H3" s="6" t="str" cm="1">
        <f t="array" aca="1" ref="H3" ca="1">_FV(B3,"Industry")</f>
        <v>Semiconductors &amp; Semiconductor Equipment</v>
      </c>
      <c r="I3" s="7" cm="1">
        <f t="array" aca="1" ref="I3" ca="1">_FV(B3,"Volume average",TRUE)</f>
        <v>39619248</v>
      </c>
    </row>
    <row r="4" spans="1:9" x14ac:dyDescent="0.2">
      <c r="B4" s="3" t="e" vm="2">
        <v>#VALUE!</v>
      </c>
      <c r="C4" s="4" cm="1">
        <f t="array" aca="1" ref="C4" ca="1">_FV(B4,"Price")</f>
        <v>104.09</v>
      </c>
      <c r="D4" s="4" cm="1">
        <f t="array" aca="1" ref="D4" ca="1">_FV(B4,"52 week high",TRUE)</f>
        <v>544.92999999999995</v>
      </c>
      <c r="E4" s="4" cm="1">
        <f t="array" aca="1" ref="E4" ca="1">_FV(B4,"52 week low",TRUE)</f>
        <v>87.89</v>
      </c>
      <c r="F4" s="5" cm="1">
        <f t="array" aca="1" ref="F4" ca="1">_FV(B4,"Beta")</f>
        <v>0.87670000000000003</v>
      </c>
      <c r="G4" s="6" t="str" cm="1">
        <f t="array" aca="1" ref="G4" ca="1">_FV(B4,"Ticker symbol",TRUE)</f>
        <v>DUOL</v>
      </c>
      <c r="H4" s="6" t="str" cm="1">
        <f t="array" aca="1" ref="H4" ca="1">_FV(B4,"Industry")</f>
        <v>Software &amp; IT Services</v>
      </c>
      <c r="I4" s="7" cm="1">
        <f t="array" aca="1" ref="I4" ca="1">_FV(B4,"Volume average",TRUE)</f>
        <v>1663729</v>
      </c>
    </row>
    <row r="5" spans="1:9" x14ac:dyDescent="0.2">
      <c r="B5" s="3" t="e" vm="3">
        <v>#VALUE!</v>
      </c>
      <c r="C5" s="4" cm="1">
        <f t="array" aca="1" ref="C5" ca="1">_FV(B5,"Price")</f>
        <v>93.15</v>
      </c>
      <c r="D5" s="4" cm="1">
        <f t="array" aca="1" ref="D5" ca="1">_FV(B5,"52 week high",TRUE)</f>
        <v>94.1</v>
      </c>
      <c r="E5" s="4" cm="1">
        <f t="array" aca="1" ref="E5" ca="1">_FV(B5,"52 week low",TRUE)</f>
        <v>18.965</v>
      </c>
      <c r="F5" s="5" cm="1">
        <f t="array" aca="1" ref="F5" ca="1">_FV(B5,"Beta")</f>
        <v>1.9657</v>
      </c>
      <c r="G5" s="6" t="str" cm="1">
        <f t="array" aca="1" ref="G5" ca="1">_FV(B5,"Ticker symbol",TRUE)</f>
        <v>INTC</v>
      </c>
      <c r="H5" s="6" t="str" cm="1">
        <f t="array" aca="1" ref="H5" ca="1">_FV(B5,"Industry")</f>
        <v>Semiconductors &amp; Semiconductor Equipment</v>
      </c>
      <c r="I5" s="7" cm="1">
        <f t="array" aca="1" ref="I5" ca="1">_FV(B5,"Volume average",TRUE)</f>
        <v>119055814</v>
      </c>
    </row>
    <row r="6" spans="1:9" x14ac:dyDescent="0.2">
      <c r="B6" s="3" t="e" vm="4">
        <v>#VALUE!</v>
      </c>
      <c r="C6" s="4" cm="1">
        <f t="array" aca="1" ref="C6" ca="1">_FV(B6,"Price")</f>
        <v>209.405</v>
      </c>
      <c r="D6" s="4" cm="1">
        <f t="array" aca="1" ref="D6" ca="1">_FV(B6,"52 week high",TRUE)</f>
        <v>216.82499999999999</v>
      </c>
      <c r="E6" s="4" cm="1">
        <f t="array" aca="1" ref="E6" ca="1">_FV(B6,"52 week low",TRUE)</f>
        <v>104.08</v>
      </c>
      <c r="F6" s="5" cm="1">
        <f t="array" aca="1" ref="F6" ca="1">_FV(B6,"Beta")</f>
        <v>2.3256999999999999</v>
      </c>
      <c r="G6" s="6" t="str" cm="1">
        <f t="array" aca="1" ref="G6" ca="1">_FV(B6,"Ticker symbol",TRUE)</f>
        <v>NVDA</v>
      </c>
      <c r="H6" s="6" t="str" cm="1">
        <f t="array" aca="1" ref="H6" ca="1">_FV(B6,"Industry")</f>
        <v>Semiconductors &amp; Semiconductor Equipment</v>
      </c>
      <c r="I6" s="7" cm="1">
        <f t="array" aca="1" ref="I6" ca="1">_FV(B6,"Volume average",TRUE)</f>
        <v>155401633</v>
      </c>
    </row>
    <row r="7" spans="1:9" x14ac:dyDescent="0.2">
      <c r="B7" s="3" t="e" vm="5">
        <v>#VALUE!</v>
      </c>
      <c r="C7" s="4" cm="1">
        <f t="array" aca="1" ref="C7" ca="1">_FV(B7,"Price")</f>
        <v>9.2100000000000009</v>
      </c>
      <c r="D7" s="4" cm="1">
        <f t="array" aca="1" ref="D7" ca="1">_FV(B7,"52 week high",TRUE)</f>
        <v>32.76</v>
      </c>
      <c r="E7" s="4" cm="1">
        <f t="array" aca="1" ref="E7" ca="1">_FV(B7,"52 week low",TRUE)</f>
        <v>7.77</v>
      </c>
      <c r="F7" s="5" cm="1">
        <f t="array" aca="1" ref="F7" ca="1">_FV(B7,"Beta")</f>
        <v>0.91279999999999994</v>
      </c>
      <c r="G7" s="6" t="str" cm="1">
        <f t="array" aca="1" ref="G7" ca="1">_FV(B7,"Ticker symbol",TRUE)</f>
        <v>PHR</v>
      </c>
      <c r="H7" s="6" t="str" cm="1">
        <f t="array" aca="1" ref="H7" ca="1">_FV(B7,"Industry")</f>
        <v>Software &amp; IT Services</v>
      </c>
      <c r="I7" s="7" cm="1">
        <f t="array" aca="1" ref="I7" ca="1">_FV(B7,"Volume average",TRUE)</f>
        <v>2531730</v>
      </c>
    </row>
    <row r="8" spans="1:9" x14ac:dyDescent="0.2">
      <c r="B8" s="3" t="e" vm="6">
        <v>#VALUE!</v>
      </c>
      <c r="C8" s="4" cm="1">
        <f t="array" aca="1" ref="C8" ca="1">_FV(B8,"Price")</f>
        <v>156.255</v>
      </c>
      <c r="D8" s="4" cm="1">
        <f t="array" aca="1" ref="D8" ca="1">_FV(B8,"52 week high",TRUE)</f>
        <v>205.95</v>
      </c>
      <c r="E8" s="4" cm="1">
        <f t="array" aca="1" ref="E8" ca="1">_FV(B8,"52 week low",TRUE)</f>
        <v>121.99</v>
      </c>
      <c r="F8" s="5" cm="1">
        <f t="array" aca="1" ref="F8" ca="1">_FV(B8,"Beta")</f>
        <v>1.3209</v>
      </c>
      <c r="G8" s="6" t="str" cm="1">
        <f t="array" aca="1" ref="G8" ca="1">_FV(B8,"Ticker symbol",TRUE)</f>
        <v>QCOM</v>
      </c>
      <c r="H8" s="6" t="str" cm="1">
        <f t="array" aca="1" ref="H8" ca="1">_FV(B8,"Industry")</f>
        <v>Semiconductors &amp; Semiconductor Equipment</v>
      </c>
      <c r="I8" s="7" cm="1">
        <f t="array" aca="1" ref="I8" ca="1">_FV(B8,"Volume average",TRUE)</f>
        <v>12119990</v>
      </c>
    </row>
    <row r="9" spans="1:9" x14ac:dyDescent="0.2">
      <c r="B9" s="3" t="e" vm="7">
        <v>#VALUE!</v>
      </c>
      <c r="C9" s="4" cm="1">
        <f t="array" aca="1" ref="C9" ca="1">_FV(B9,"Price")</f>
        <v>113.4499</v>
      </c>
      <c r="D9" s="4" cm="1">
        <f t="array" aca="1" ref="D9" ca="1">_FV(B9,"52 week high",TRUE)</f>
        <v>133.99</v>
      </c>
      <c r="E9" s="4" cm="1">
        <f t="array" aca="1" ref="E9" ca="1">_FV(B9,"52 week low",TRUE)</f>
        <v>76.45</v>
      </c>
      <c r="F9" s="5" cm="1">
        <f t="array" aca="1" ref="F9" ca="1">_FV(B9,"Beta")</f>
        <v>1.4159999999999999</v>
      </c>
      <c r="G9" s="6" t="str" cm="1">
        <f t="array" aca="1" ref="G9" ca="1">_FV(B9,"Ticker symbol",TRUE)</f>
        <v>SN</v>
      </c>
      <c r="H9" s="6" t="str" cm="1">
        <f t="array" aca="1" ref="H9" ca="1">_FV(B9,"Industry")</f>
        <v>Household Goods</v>
      </c>
      <c r="I9" s="7" cm="1">
        <f t="array" aca="1" ref="I9" ca="1">_FV(B9,"Volume average",TRUE)</f>
        <v>1486216</v>
      </c>
    </row>
    <row r="10" spans="1:9" x14ac:dyDescent="0.2">
      <c r="A10" s="8" t="s">
        <v>8</v>
      </c>
      <c r="B10" s="3" t="e" vm="8">
        <v>#VALUE!</v>
      </c>
      <c r="C10" s="4" cm="1">
        <f t="array" aca="1" ref="C10" ca="1">_FV(B10,"Price")</f>
        <v>43.54</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2.8650000000000002</v>
      </c>
      <c r="D11" s="4" cm="1">
        <f t="array" aca="1" ref="D11" ca="1">_FV(B11,"52 week high",TRUE)</f>
        <v>3.24</v>
      </c>
      <c r="E11" s="4" cm="1">
        <f t="array" aca="1" ref="E11" ca="1">_FV(B11,"52 week low",TRUE)</f>
        <v>2.1</v>
      </c>
      <c r="F11" s="5" cm="1">
        <f t="array" aca="1" ref="F11" ca="1">_FV(B11,"Beta")</f>
        <v>0.63759999999999994</v>
      </c>
      <c r="G11" s="6" t="str" cm="1">
        <f t="array" aca="1" ref="G11" ca="1">_FV(B11,"Ticker symbol",TRUE)</f>
        <v>ABEV</v>
      </c>
      <c r="H11" s="6" t="str" cm="1">
        <f t="array" aca="1" ref="H11" ca="1">_FV(B11,"Industry")</f>
        <v>Beverages</v>
      </c>
      <c r="I11" s="7" cm="1">
        <f t="array" aca="1" ref="I11" ca="1">_FV(B11,"Volume average",TRUE)</f>
        <v>25525931</v>
      </c>
    </row>
    <row r="12" spans="1:9" x14ac:dyDescent="0.2">
      <c r="B12" s="3" t="e" vm="10">
        <v>#VALUE!</v>
      </c>
      <c r="C12" s="4" cm="1">
        <f t="array" aca="1" ref="C12" ca="1">_FV(B12,"Price")</f>
        <v>96.88</v>
      </c>
      <c r="D12" s="4" cm="1">
        <f t="array" aca="1" ref="D12" ca="1">_FV(B12,"52 week high",TRUE)</f>
        <v>101.53</v>
      </c>
      <c r="E12" s="4" cm="1">
        <f t="array" aca="1" ref="E12" ca="1">_FV(B12,"52 week low",TRUE)</f>
        <v>55.64</v>
      </c>
      <c r="F12" s="5" cm="1">
        <f t="array" aca="1" ref="F12" ca="1">_FV(B12,"Beta")</f>
        <v>0.56100000000000005</v>
      </c>
      <c r="G12" s="6" t="str" cm="1">
        <f t="array" aca="1" ref="G12" ca="1">_FV(B12,"Ticker symbol",TRUE)</f>
        <v>RIO</v>
      </c>
      <c r="H12" s="6" t="str" cm="1">
        <f t="array" aca="1" ref="H12" ca="1">_FV(B12,"Industry")</f>
        <v>Metals &amp; Mining</v>
      </c>
      <c r="I12" s="7" cm="1">
        <f t="array" aca="1" ref="I12" ca="1">_FV(B12,"Volume average",TRUE)</f>
        <v>2599979</v>
      </c>
    </row>
    <row r="13" spans="1:9" x14ac:dyDescent="0.2">
      <c r="B13" s="3" t="e" vm="11">
        <v>#VALUE!</v>
      </c>
      <c r="C13" s="4" cm="1">
        <f t="array" aca="1" ref="C13" ca="1">_FV(B13,"Price")</f>
        <v>367.62599999999998</v>
      </c>
      <c r="D13" s="4" cm="1">
        <f t="array" aca="1" ref="D13" ca="1">_FV(B13,"52 week high",TRUE)</f>
        <v>421.75</v>
      </c>
      <c r="E13" s="4" cm="1">
        <f t="array" aca="1" ref="E13" ca="1">_FV(B13,"52 week low",TRUE)</f>
        <v>234.6</v>
      </c>
      <c r="F13" s="5" cm="1">
        <f t="array" aca="1" ref="F13" ca="1">_FV(B13,"Beta")</f>
        <v>0.61429999999999996</v>
      </c>
      <c r="G13" s="6" t="str" cm="1">
        <f t="array" aca="1" ref="G13" ca="1">_FV(B13,"Ticker symbol",TRUE)</f>
        <v>UNH</v>
      </c>
      <c r="H13" s="6" t="str" cm="1">
        <f t="array" aca="1" ref="H13" ca="1">_FV(B13,"Industry")</f>
        <v>Healthcare Providers &amp; Services</v>
      </c>
      <c r="I13" s="7" cm="1">
        <f t="array" aca="1" ref="I13" ca="1">_FV(B13,"Volume average",TRUE)</f>
        <v>8949339</v>
      </c>
    </row>
    <row r="14" spans="1:9" x14ac:dyDescent="0.2">
      <c r="B14" s="3" t="e" vm="12">
        <v>#VALUE!</v>
      </c>
      <c r="C14" s="4" cm="1">
        <f t="array" aca="1" ref="C14" ca="1">_FV(B14,"Price")</f>
        <v>262.69499999999999</v>
      </c>
      <c r="D14" s="4" cm="1">
        <f t="array" aca="1" ref="D14" ca="1">_FV(B14,"52 week high",TRUE)</f>
        <v>265.91000000000003</v>
      </c>
      <c r="E14" s="4" cm="1">
        <f t="array" aca="1" ref="E14" ca="1">_FV(B14,"52 week low",TRUE)</f>
        <v>178.85</v>
      </c>
      <c r="F14" s="5" cm="1">
        <f t="array" aca="1" ref="F14" ca="1">_FV(B14,"Beta")</f>
        <v>1.4498</v>
      </c>
      <c r="G14" s="6" t="str" cm="1">
        <f t="array" aca="1" ref="G14" ca="1">_FV(B14,"Ticker symbol",TRUE)</f>
        <v>AMZN</v>
      </c>
      <c r="H14" s="6" t="str" cm="1">
        <f t="array" aca="1" ref="H14" ca="1">_FV(B14,"Industry")</f>
        <v>Diversified Retail</v>
      </c>
      <c r="I14" s="7" cm="1">
        <f t="array" aca="1" ref="I14" ca="1">_FV(B14,"Volume average",TRUE)</f>
        <v>45380399</v>
      </c>
    </row>
    <row r="15" spans="1:9" x14ac:dyDescent="0.2">
      <c r="B15" s="3" t="e" vm="13">
        <v>#VALUE!</v>
      </c>
      <c r="C15" s="4" cm="1">
        <f t="array" aca="1" ref="C15" ca="1">_FV(B15,"Price")</f>
        <v>348.82</v>
      </c>
      <c r="D15" s="4" cm="1">
        <f t="array" aca="1" ref="D15" ca="1">_FV(B15,"52 week high",TRUE)</f>
        <v>355.79</v>
      </c>
      <c r="E15" s="4" cm="1">
        <f t="array" aca="1" ref="E15" ca="1">_FV(B15,"52 week low",TRUE)</f>
        <v>147.84</v>
      </c>
      <c r="F15" s="5" cm="1">
        <f t="array" aca="1" ref="F15" ca="1">_FV(B15,"Beta")</f>
        <v>1.1734</v>
      </c>
      <c r="G15" s="6" t="str" cm="1">
        <f t="array" aca="1" ref="G15" ca="1">_FV(B15,"Ticker symbol",TRUE)</f>
        <v>GOOGL</v>
      </c>
      <c r="H15" s="6" t="str" cm="1">
        <f t="array" aca="1" ref="H15" ca="1">_FV(B15,"Industry")</f>
        <v>Software &amp; IT Services</v>
      </c>
      <c r="I15" s="7" cm="1">
        <f t="array" aca="1" ref="I15" ca="1">_FV(B15,"Volume average",TRUE)</f>
        <v>27102471</v>
      </c>
    </row>
    <row r="16" spans="1:9" x14ac:dyDescent="0.2">
      <c r="B16" s="3" t="e" vm="14">
        <v>#VALUE!</v>
      </c>
      <c r="C16" s="4" cm="1">
        <f t="array" aca="1" ref="C16" ca="1">_FV(B16,"Price")</f>
        <v>154.56</v>
      </c>
      <c r="D16" s="4" cm="1">
        <f t="array" aca="1" ref="D16" ca="1">_FV(B16,"52 week high",TRUE)</f>
        <v>176.41</v>
      </c>
      <c r="E16" s="4" cm="1">
        <f t="array" aca="1" ref="E16" ca="1">_FV(B16,"52 week low",TRUE)</f>
        <v>101.185</v>
      </c>
      <c r="F16" s="5" cm="1">
        <f t="array" aca="1" ref="F16" ca="1">_FV(B16,"Beta")</f>
        <v>0.1807</v>
      </c>
      <c r="G16" s="6" t="str" cm="1">
        <f t="array" aca="1" ref="G16" ca="1">_FV(B16,"Ticker symbol",TRUE)</f>
        <v>XOM</v>
      </c>
      <c r="H16" s="6" t="str" cm="1">
        <f t="array" aca="1" ref="H16" ca="1">_FV(B16,"Industry")</f>
        <v>Oil &amp; Gas</v>
      </c>
      <c r="I16" s="7" cm="1">
        <f t="array" aca="1" ref="I16" ca="1">_FV(B16,"Volume average",TRUE)</f>
        <v>21505526</v>
      </c>
    </row>
    <row r="17" spans="2:9" x14ac:dyDescent="0.2">
      <c r="B17" s="3" t="e" vm="15">
        <v>#VALUE!</v>
      </c>
      <c r="C17" s="4" cm="1">
        <f t="array" aca="1" ref="C17" ca="1">_FV(B17,"Price")</f>
        <v>270.32</v>
      </c>
      <c r="D17" s="4" cm="1">
        <f t="array" aca="1" ref="D17" ca="1">_FV(B17,"52 week high",TRUE)</f>
        <v>288.62</v>
      </c>
      <c r="E17" s="4" cm="1">
        <f t="array" aca="1" ref="E17" ca="1">_FV(B17,"52 week low",TRUE)</f>
        <v>193.25</v>
      </c>
      <c r="F17" s="5" cm="1">
        <f t="array" aca="1" ref="F17" ca="1">_FV(B17,"Beta")</f>
        <v>1.075</v>
      </c>
      <c r="G17" s="6" t="str" cm="1">
        <f t="array" aca="1" ref="G17" ca="1">_FV(B17,"Ticker symbol",TRUE)</f>
        <v>AAPL</v>
      </c>
      <c r="H17" s="6" t="str" cm="1">
        <f t="array" aca="1" ref="H17" ca="1">_FV(B17,"Industry")</f>
        <v>Computers, Phones &amp; Household Electronics</v>
      </c>
      <c r="I17" s="7" cm="1">
        <f t="array" aca="1" ref="I17" ca="1">_FV(B17,"Volume average",TRUE)</f>
        <v>41520491</v>
      </c>
    </row>
    <row r="18" spans="2:9" x14ac:dyDescent="0.2">
      <c r="B18" s="3" t="e" vm="16">
        <v>#VALUE!</v>
      </c>
      <c r="C18" s="4" cm="1">
        <f t="array" aca="1" ref="C18" ca="1">_FV(B18,"Price")</f>
        <v>241.59</v>
      </c>
      <c r="D18" s="4" cm="1">
        <f t="array" aca="1" ref="D18" ca="1">_FV(B18,"52 week high",TRUE)</f>
        <v>422.95</v>
      </c>
      <c r="E18" s="4" cm="1">
        <f t="array" aca="1" ref="E18" ca="1">_FV(B18,"52 week low",TRUE)</f>
        <v>224.13</v>
      </c>
      <c r="F18" s="5" cm="1">
        <f t="array" aca="1" ref="F18" ca="1">_FV(B18,"Beta")</f>
        <v>1.4297</v>
      </c>
      <c r="G18" s="6" t="str" cm="1">
        <f t="array" aca="1" ref="G18" ca="1">_FV(B18,"Ticker symbol",TRUE)</f>
        <v>ADBE</v>
      </c>
      <c r="H18" s="6" t="str" cm="1">
        <f t="array" aca="1" ref="H18" ca="1">_FV(B18,"Industry")</f>
        <v>Software &amp; IT Services</v>
      </c>
      <c r="I18" s="7" cm="1">
        <f t="array" aca="1" ref="I18" ca="1">_FV(B18,"Volume average",TRUE)</f>
        <v>5302127</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2026-04-29T17:46:34Z</dcterms:modified>
</cp:coreProperties>
</file>