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3993458-F075-9746-B50B-A9548F1644D7}"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 l="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<sst xmlns="http://schemas.openxmlformats.org/spreadsheetml/2006/main" count="9" uniqueCount="9">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</sst>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https://www.bing.com/financeapi/forcetrigger?t=a1ndww&amp;q=XNAS%3aAMD&amp;form=skydnc</v>
    <v>Learn more on Bing</v>
  </rv>
  <rv s="1">
    <v>0</v>
    <v>ADVANCED MICRO DEVICES, INC. (XNAS:AMD)</v>
    <v>2</v>
    <v>3</v>
    <v>Finance</v>
    <v>4</v>
    <v>en-US</v>
    <v>a1ndww</v>
    <v>268435456</v>
    <v>1</v>
    <v>Powered by Refinitiv</v>
    <v>430.6</v>
    <v>96.88</v>
    <v>2.3969999999999998</v>
    <v>66.206000000000003</v>
    <v>0.186359</v>
    <v>-6.69</v>
    <v>-1.5875999999999998E-2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430.6</v>
    <v>Semiconductors &amp; Semiconductor Equipment</v>
    <v>Stock</v>
    <v>46148.926370474219</v>
    <v>0</v>
    <v>402.04</v>
    <v>687132456974</v>
    <v>ADVANCED MICRO DEVICES, INC.</v>
    <v>ADVANCED MICRO DEVICES, INC.</v>
    <v>409.49</v>
    <v>118.4239</v>
    <v>355.26</v>
    <v>421.46600000000001</v>
    <v>414.7</v>
    <v>1630339000</v>
    <v>AMD</v>
    <v>ADVANCED MICRO DEVICES, INC. (XNAS:AMD)</v>
    <v>87404568</v>
    <v>40902618</v>
    <v>1969</v>
  </rv>
  <rv s="2">
    <v>1</v>
  </rv>
  <rv s="0">
    <v>https://www.bing.com/financeapi/forcetrigger?t=c2mtim&amp;q=XNAS%3aDUOL&amp;form=skydnc</v>
    <v>Learn more on Bing</v>
  </rv>
  <rv s="1">
    <v>0</v>
    <v>DUOLINGO, INC. (XNAS:DUOL)</v>
    <v>2</v>
    <v>3</v>
    <v>Finance</v>
    <v>4</v>
    <v>en-US</v>
    <v>c2mtim</v>
    <v>268435456</v>
    <v>1</v>
    <v>Powered by Refinitiv</v>
    <v>544.92999999999995</v>
    <v>87.89</v>
    <v>0.90069999999999995</v>
    <v>0.99</v>
    <v>9.5160000000000002E-3</v>
    <v>-0.22</v>
    <v>-2.0950000000000001E-3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106.69</v>
    <v>Software &amp; IT Services</v>
    <v>Stock</v>
    <v>46148.925600728908</v>
    <v>3</v>
    <v>102.09010000000001</v>
    <v>4913048790</v>
    <v>DUOLINGO, INC.</v>
    <v>DUOLINGO, INC.</v>
    <v>104.03</v>
    <v>12.0396</v>
    <v>104.03</v>
    <v>105.02</v>
    <v>104.8</v>
    <v>46782030</v>
    <v>DUOL</v>
    <v>DUOLINGO, INC. (XNAS:DUOL)</v>
    <v>2423846</v>
    <v>2021553</v>
    <v>2011</v>
  </rv>
  <rv s="2">
    <v>4</v>
  </rv>
  <rv s="0">
    <v>https://www.bing.com/financeapi/forcetrigger?t=a1vmf2&amp;q=XNAS%3aINTC&amp;form=skydnc</v>
    <v>Learn more on Bing</v>
  </rv>
  <rv s="1">
    <v>0</v>
    <v>INTEL CORPORATION (XNAS:INTC)</v>
    <v>2</v>
    <v>3</v>
    <v>Finance</v>
    <v>4</v>
    <v>en-US</v>
    <v>a1vmf2</v>
    <v>268435456</v>
    <v>1</v>
    <v>Powered by Refinitiv</v>
    <v>113.5</v>
    <v>18.965</v>
    <v>2.1850000000000001</v>
    <v>4.8600000000000003</v>
    <v>4.4938000000000006E-2</v>
    <v>-2.4300000000000002</v>
    <v>-2.1503000000000001E-2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113.5</v>
    <v>Semiconductors &amp; Semiconductor Equipment</v>
    <v>Stock</v>
    <v>46148.926306678128</v>
    <v>6</v>
    <v>106.5801</v>
    <v>567988260000</v>
    <v>INTEL CORPORATION</v>
    <v>INTEL CORPORATION</v>
    <v>110.97499999999999</v>
    <v>0</v>
    <v>108.15</v>
    <v>113.01</v>
    <v>110.58</v>
    <v>5026000000</v>
    <v>INTC</v>
    <v>INTEL CORPORATION (XNAS:INTC)</v>
    <v>156536622</v>
    <v>137924453</v>
    <v>1989</v>
  </rv>
  <rv s="2">
    <v>7</v>
  </rv>
  <rv s="0">
    <v>https://www.bing.com/financeapi/forcetrigger?t=a1yv52&amp;q=XNAS%3aNVDA&amp;form=skydnc</v>
    <v>Learn more on Bing</v>
  </rv>
  <rv s="1">
    <v>0</v>
    <v>NVIDIA CORPORATION (XNAS:NVDA)</v>
    <v>2</v>
    <v>3</v>
    <v>Finance</v>
    <v>4</v>
    <v>en-US</v>
    <v>a1yv52</v>
    <v>268435456</v>
    <v>1</v>
    <v>Powered by Refinitiv</v>
    <v>216.82499999999999</v>
    <v>110.822</v>
    <v>2.2465000000000002</v>
    <v>11.164999999999999</v>
    <v>5.6818999999999995E-2</v>
    <v>-1.23</v>
    <v>-5.9179999999999996E-3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208.26499999999999</v>
    <v>Semiconductors &amp; Semiconductor Equipment</v>
    <v>Stock</v>
    <v>46148.926318263279</v>
    <v>9</v>
    <v>198.61</v>
    <v>5046259500000</v>
    <v>NVIDIA CORPORATION</v>
    <v>NVIDIA CORPORATION</v>
    <v>199.89</v>
    <v>42.365000000000002</v>
    <v>196.5</v>
    <v>207.66499999999999</v>
    <v>206.6</v>
    <v>24300000000</v>
    <v>NVDA</v>
    <v>NVIDIA CORPORATION (XNAS:NVDA)</v>
    <v>187741823</v>
    <v>148926068</v>
    <v>1998</v>
  </rv>
  <rv s="2">
    <v>10</v>
  </rv>
  <rv s="0">
    <v>https://www.bing.com/financeapi/forcetrigger?t=bqw82w&amp;q=XNYS%3aPHR&amp;form=skydnc</v>
    <v>Learn more on Bing</v>
  </rv>
  <rv s="1">
    <v>0</v>
    <v>PHREESIA, INC. (XNYS:PHR)</v>
    <v>2</v>
    <v>3</v>
    <v>Finance</v>
    <v>4</v>
    <v>en-US</v>
    <v>bqw82w</v>
    <v>268435456</v>
    <v>1</v>
    <v>Powered by Refinitiv</v>
    <v>32.76</v>
    <v>7.77</v>
    <v>0.88859999999999995</v>
    <v>-0.13</v>
    <v>-1.3472E-2</v>
    <v>-0.16</v>
    <v>-1.6789000000000002E-2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9.57</v>
    <v>Software &amp; IT Services</v>
    <v>Stock</v>
    <v>46148.925784385938</v>
    <v>12</v>
    <v>9.34</v>
    <v>578464331</v>
    <v>PHREESIA, INC.</v>
    <v>PHREESIA, INC.</v>
    <v>9.57</v>
    <v>278.8211</v>
    <v>9.65</v>
    <v>9.52</v>
    <v>9.3699999999999992</v>
    <v>60763060</v>
    <v>PHR</v>
    <v>PHREESIA, INC. (XNYS:PHR)</v>
    <v>977658</v>
    <v>2431528</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1.4901</v>
    <v>6.1120000000000001</v>
    <v>3.2763E-2</v>
    <v>-2.23</v>
    <v>-1.158E-2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197.5</v>
    <v>18</v>
    <v>Semiconductors &amp; Semiconductor Equipment</v>
    <v>Stock</v>
    <v>46148.926308251561</v>
    <v>19</v>
    <v>188.22</v>
    <v>203065748000</v>
    <v>QUALCOMM INCORPORATED</v>
    <v>QUALCOMM INCORPORATED</v>
    <v>195.18</v>
    <v>20.956600000000002</v>
    <v>186.55</v>
    <v>192.66200000000001</v>
    <v>190.34</v>
    <v>1054000000</v>
    <v>QCOM</v>
    <v>QUALCOMM INCORPORATED (XNAS:QCOM)</v>
    <v>30121986</v>
    <v>17307812</v>
    <v>1991</v>
  </rv>
  <rv s="2">
    <v>20</v>
  </rv>
  <rv s="6">
    <v>10</v>
    <v>SHARKNINJA, INC. (XNYS:SN)</v>
    <v>11</v>
    <v>3</v>
    <v>Finance</v>
    <v>12</v>
    <v>en-US</v>
    <v>cag2ar</v>
    <v>268435456</v>
    <v>1</v>
    <v>Powered by Refinitiv</v>
    <v>133.99</v>
    <v>78.819999999999993</v>
    <v>1.4139999999999999</v>
    <v>-1.92</v>
    <v>-1.6352999999999999E-2</v>
    <v>-0.49</v>
    <v>-4.2430000000000002E-3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117.92</v>
    <v>Household Goods</v>
    <v>Stock</v>
    <v>46148.899195693753</v>
    <v>108.2</v>
    <v>16349792261</v>
    <v>SHARKNINJA, INC.</v>
    <v>SHARKNINJA, INC.</v>
    <v>112.02</v>
    <v>23.741399999999999</v>
    <v>117.41</v>
    <v>115.49</v>
    <v>115</v>
    <v>141568900</v>
    <v>SN</v>
    <v>SHARKNINJA, INC. (XNYS:SN)</v>
    <v>4424558</v>
    <v>1415272</v>
    <v>2017</v>
  </rv>
  <rv s="2">
    <v>22</v>
  </rv>
  <rv s="0">
    <v>https://www.bing.com/financeapi/forcetrigger?t=a33knm&amp;q=10+Y+TSY+YLD+NDX&amp;form=skydnc</v>
    <v>Learn more on Bing</v>
  </rv>
  <rv s="7">
    <v>13</v>
    <v>10 Y TSY YLD NDX</v>
    <v>14</v>
    <v>15</v>
    <v>Finance</v>
    <v>16</v>
    <v>en-US</v>
    <v>a33knm</v>
    <v>268435456</v>
    <v>1</v>
    <v>Powered by Refinitiv</v>
    <v>46.29</v>
    <v>39.47</v>
    <v>-0.3</v>
    <v>-6.7479999999999997E-3</v>
    <v>US</v>
    <v>44.3</v>
    <v>Index</v>
    <v>24</v>
    <v>44.06</v>
    <v>10 Y TSY YLD NDX</v>
    <v>44.26</v>
    <v>44.46</v>
    <v>44.16</v>
    <v>TNX</v>
    <v>10 Y TSY YLD NDX</v>
  </rv>
  <rv s="2">
    <v>25</v>
  </rv>
  <rv s="0">
    <v>https://www.bing.com/financeapi/forcetrigger?t=a1mqec&amp;q=XNYS%3aABEV&amp;form=skydnc</v>
    <v>Learn more on Bing</v>
  </rv>
  <rv s="1">
    <v>0</v>
    <v>Ambev SA (XNYS:ABEV)</v>
    <v>2</v>
    <v>3</v>
    <v>Finance</v>
    <v>4</v>
    <v>en-US</v>
    <v>a1mqec</v>
    <v>268435456</v>
    <v>1</v>
    <v>Powered by Refinitiv</v>
    <v>3.4499</v>
    <v>2.1</v>
    <v>0.63490000000000002</v>
    <v>5.5E-2</v>
    <v>1.6319999999999998E-2</v>
    <v>-0.03</v>
    <v>-8.7460000000000003E-3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3.4499</v>
    <v>Beverages</v>
    <v>Stock</v>
    <v>46148.925786990621</v>
    <v>27</v>
    <v>3.3801000000000001</v>
    <v>53990569750</v>
    <v>Ambev SA</v>
    <v>Ambev SA</v>
    <v>3.43</v>
    <v>17.847799999999999</v>
    <v>3.37</v>
    <v>3.4249999999999998</v>
    <v>3.4</v>
    <v>15763670000</v>
    <v>ABEV</v>
    <v>Ambev SA (XNYS:ABEV)</v>
    <v>33381730</v>
    <v>26446282</v>
    <v>2005</v>
  </rv>
  <rv s="2">
    <v>28</v>
  </rv>
  <rv s="0">
    <v>https://www.bing.com/financeapi/forcetrigger?t=a221mw&amp;q=XNYS%3aRIO&amp;form=skydnc</v>
    <v>Learn more on Bing</v>
  </rv>
  <rv s="1">
    <v>0</v>
    <v>RIO TINTO PLC (XNYS:RIO)</v>
    <v>2</v>
    <v>3</v>
    <v>Finance</v>
    <v>4</v>
    <v>en-US</v>
    <v>a221mw</v>
    <v>268435456</v>
    <v>1</v>
    <v>Powered by Refinitiv</v>
    <v>105.97</v>
    <v>55.64</v>
    <v>0.57420000000000004</v>
    <v>4.99</v>
    <v>4.9652000000000002E-2</v>
    <v>0.22</v>
    <v>2.085E-3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105.97</v>
    <v>Metals &amp; Mining</v>
    <v>Stock</v>
    <v>46148.926147985934</v>
    <v>30</v>
    <v>102.91</v>
    <v>171608811220</v>
    <v>RIO TINTO PLC</v>
    <v>RIO TINTO PLC</v>
    <v>103.05</v>
    <v>16.5184</v>
    <v>100.5</v>
    <v>105.49</v>
    <v>105.73</v>
    <v>1626778000</v>
    <v>RIO</v>
    <v>RIO TINTO PLC (XNYS:RIO)</v>
    <v>4519987</v>
    <v>2399762</v>
    <v>1962</v>
  </rv>
  <rv s="2">
    <v>31</v>
  </rv>
  <rv s="0">
    <v>https://www.bing.com/financeapi/forcetrigger?t=a24xlh&amp;q=XNYS%3aUNH&amp;form=skydnc</v>
    <v>Learn more on Bing</v>
  </rv>
  <rv s="1">
    <v>0</v>
    <v>UNITEDHEALTH GROUP INCORPORATED (XNYS:UNH)</v>
    <v>2</v>
    <v>3</v>
    <v>Finance</v>
    <v>4</v>
    <v>en-US</v>
    <v>a24xlh</v>
    <v>268435456</v>
    <v>1</v>
    <v>Powered by Refinitiv</v>
    <v>404.7201</v>
    <v>234.6</v>
    <v>0.6482</v>
    <v>3.18</v>
    <v>8.7390000000000002E-3</v>
    <v>-1.88</v>
    <v>-5.1190000000000003E-3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368.55</v>
    <v>Healthcare Providers &amp; Services</v>
    <v>Stock</v>
    <v>46148.925775370313</v>
    <v>33</v>
    <v>358.25</v>
    <v>333359655060</v>
    <v>UNITEDHEALTH GROUP INCORPORATED</v>
    <v>UNITEDHEALTH GROUP INCORPORATED</v>
    <v>363.1</v>
    <v>27.7209</v>
    <v>363.87</v>
    <v>367.05</v>
    <v>365.4</v>
    <v>908213200</v>
    <v>UNH</v>
    <v>UNITEDHEALTH GROUP INCORPORATED (XNYS:UNH)</v>
    <v>6689702</v>
    <v>8689987</v>
    <v>2015</v>
  </rv>
  <rv s="2">
    <v>34</v>
  </rv>
  <rv s="0">
    <v>https://www.bing.com/financeapi/forcetrigger?t=a1nhlh&amp;q=XNAS%3aAMZN&amp;form=skydnc</v>
    <v>Learn more on Bing</v>
  </rv>
  <rv s="1">
    <v>0</v>
    <v>AMAZON.COM, INC. (XNAS:AMZN)</v>
    <v>2</v>
    <v>3</v>
    <v>Finance</v>
    <v>4</v>
    <v>en-US</v>
    <v>a1nhlh</v>
    <v>268435456</v>
    <v>1</v>
    <v>Powered by Refinitiv</v>
    <v>278.56</v>
    <v>183.85</v>
    <v>1.4642999999999999</v>
    <v>1.403</v>
    <v>5.1289999999999999E-3</v>
    <v>0.06</v>
    <v>2.1819999999999999E-4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277.8</v>
    <v>Diversified Retail</v>
    <v>Stock</v>
    <v>46148.926318760939</v>
    <v>36</v>
    <v>272.20760000000001</v>
    <v>2957699665829</v>
    <v>AMAZON.COM, INC.</v>
    <v>AMAZON.COM, INC.</v>
    <v>272.89</v>
    <v>32.691200000000002</v>
    <v>273.55</v>
    <v>274.95299999999997</v>
    <v>275.05</v>
    <v>10757110000</v>
    <v>AMZN</v>
    <v>AMAZON.COM, INC. (XNAS:AMZN)</v>
    <v>44492331</v>
    <v>49152020</v>
    <v>1996</v>
  </rv>
  <rv s="2">
    <v>37</v>
  </rv>
  <rv s="0">
    <v>https://www.bing.com/financeapi/forcetrigger?t=a1u3rw&amp;q=XNAS%3aGOOGL&amp;form=skydnc</v>
    <v>Learn more on Bing</v>
  </rv>
  <rv s="1">
    <v>0</v>
    <v>ALPHABET INC. (XNAS:GOOGL)</v>
    <v>2</v>
    <v>3</v>
    <v>Finance</v>
    <v>4</v>
    <v>en-US</v>
    <v>a1u3rw</v>
    <v>268435456</v>
    <v>1</v>
    <v>Powered by Refinitiv</v>
    <v>399.84989999999999</v>
    <v>147.84</v>
    <v>1.2662</v>
    <v>9.3930000000000007</v>
    <v>2.4182000000000002E-2</v>
    <v>-0.64</v>
    <v>-1.6080000000000001E-3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399.84989999999999</v>
    <v>Software &amp; IT Services</v>
    <v>Stock</v>
    <v>46148.926296770311</v>
    <v>39</v>
    <v>392.76</v>
    <v>4820023468000</v>
    <v>ALPHABET INC.</v>
    <v>ALPHABET INC.</v>
    <v>394.245</v>
    <v>29.605899999999998</v>
    <v>388.43</v>
    <v>397.82299999999998</v>
    <v>397.4</v>
    <v>12116000000</v>
    <v>GOOGL</v>
    <v>ALPHABET INC. (XNAS:GOOGL)</v>
    <v>31269005</v>
    <v>27552926</v>
    <v>2015</v>
  </rv>
  <rv s="2">
    <v>40</v>
  </rv>
  <rv s="0">
    <v>https://www.bing.com/financeapi/forcetrigger?t=a269ec&amp;q=XNYS%3aXOM&amp;form=skydnc</v>
    <v>Learn more on Bing</v>
  </rv>
  <rv s="1">
    <v>0</v>
    <v>EXXON MOBIL CORPORATION (XNYS:XOM)</v>
    <v>2</v>
    <v>3</v>
    <v>Finance</v>
    <v>4</v>
    <v>en-US</v>
    <v>a269ec</v>
    <v>268435456</v>
    <v>1</v>
    <v>Powered by Refinitiv</v>
    <v>176.41</v>
    <v>101.185</v>
    <v>0.18390000000000001</v>
    <v>-6.35</v>
    <v>-4.0999000000000001E-2</v>
    <v>-0.49</v>
    <v>-3.2950000000000002E-3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150.33000000000001</v>
    <v>Oil &amp; Gas</v>
    <v>Stock</v>
    <v>46148.926184189062</v>
    <v>42</v>
    <v>147.09</v>
    <v>615648977910</v>
    <v>EXXON MOBIL CORPORATION</v>
    <v>EXXON MOBIL CORPORATION</v>
    <v>149.07</v>
    <v>25.124300000000002</v>
    <v>154.88</v>
    <v>148.53</v>
    <v>148.19999999999999</v>
    <v>4144947000</v>
    <v>XOM</v>
    <v>EXXON MOBIL CORPORATION (XNYS:XOM)</v>
    <v>20514446</v>
    <v>19811334</v>
    <v>1882</v>
  </rv>
  <rv s="2">
    <v>43</v>
  </rv>
  <rv s="0">
    <v>https://www.bing.com/financeapi/forcetrigger?t=a1mou2&amp;q=XNAS%3aAAPL&amp;form=skydnc</v>
    <v>Learn more on Bing</v>
  </rv>
  <rv s="1">
    <v>0</v>
    <v>APPLE INC. (XNAS:AAPL)</v>
    <v>2</v>
    <v>3</v>
    <v>Finance</v>
    <v>4</v>
    <v>en-US</v>
    <v>a1mou2</v>
    <v>268435456</v>
    <v>1</v>
    <v>Powered by Refinitiv</v>
    <v>288.62</v>
    <v>193.25</v>
    <v>1.0612999999999999</v>
    <v>3.2829999999999999</v>
    <v>1.1553000000000001E-2</v>
    <v>0.26</v>
    <v>9.0429999999999992E-4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288.02999999999997</v>
    <v>Computers, Phones &amp; Household Electronics</v>
    <v>Stock</v>
    <v>46148.926112916408</v>
    <v>45</v>
    <v>281.07</v>
    <v>4222072567680</v>
    <v>APPLE INC.</v>
    <v>APPLE INC.</v>
    <v>281.91500000000002</v>
    <v>34.912599999999998</v>
    <v>284.18</v>
    <v>287.46300000000002</v>
    <v>287.77</v>
    <v>14687360000</v>
    <v>AAPL</v>
    <v>APPLE INC. (XNAS:AAPL)</v>
    <v>58259707</v>
    <v>45321285</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422.95</v>
    <v>224.13</v>
    <v>1.4159999999999999</v>
    <v>-5.45</v>
    <v>-2.1321E-2</v>
    <v>0.03</v>
    <v>1.199E-4</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254.4</v>
    <v>50</v>
    <v>Software &amp; IT Services</v>
    <v>Stock</v>
    <v>46148.925911712497</v>
    <v>51</v>
    <v>248.28</v>
    <v>101118714000</v>
    <v>ADOBE INC.</v>
    <v>ADOBE INC.</v>
    <v>252.02</v>
    <v>14.581</v>
    <v>255.62</v>
    <v>250.17</v>
    <v>250.2</v>
    <v>404200000</v>
    <v>ADBE</v>
    <v>ADOBE INC. (XNAS:ADBE)</v>
    <v>4448599</v>
    <v>5185594</v>
    <v>1997</v>
  </rv>
  <rv s="2">
    <v>52</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4">
      <v>at close</v>
      <v>from previous close</v>
      <v>from previous close</v>
      <v>Source: Nasdaq</v>
      <v>GMT</v>
      <v>Delayed 15 minutes</v>
      <v>from close</v>
      <v>from close</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8"/>
  <sheetViews>
    <sheetView tabSelected="1" topLeftCell="A4" zoomScale="169" workbookViewId="0">
      <selection activeCell="C18" sqref="C18"/>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421.46600000000001</v>
      </c>
      <c r="D3" s="4" cm="1">
        <f t="array" aca="1" ref="D3" ca="1">_FV(B3,"52 week high",TRUE)</f>
        <v>430.6</v>
      </c>
      <c r="E3" s="4" cm="1">
        <f t="array" aca="1" ref="E3" ca="1">_FV(B3,"52 week low",TRUE)</f>
        <v>96.88</v>
      </c>
      <c r="F3" s="5" cm="1">
        <f t="array" aca="1" ref="F3" ca="1">_FV(B3,"Beta")</f>
        <v>2.3969999999999998</v>
      </c>
      <c r="G3" s="6" t="str" cm="1">
        <f t="array" aca="1" ref="G3" ca="1">_FV(B3,"Ticker symbol",TRUE)</f>
        <v>AMD</v>
      </c>
      <c r="H3" s="6" t="str" cm="1">
        <f t="array" aca="1" ref="H3" ca="1">_FV(B3,"Industry")</f>
        <v>Semiconductors &amp; Semiconductor Equipment</v>
      </c>
      <c r="I3" s="7" cm="1">
        <f t="array" aca="1" ref="I3" ca="1">_FV(B3,"Volume average",TRUE)</f>
        <v>40902618</v>
      </c>
    </row>
    <row r="4" spans="1:9" x14ac:dyDescent="0.2">
      <c r="B4" s="3" t="e" vm="2">
        <v>#VALUE!</v>
      </c>
      <c r="C4" s="4" cm="1">
        <f t="array" aca="1" ref="C4" ca="1">_FV(B4,"Price")</f>
        <v>105.02</v>
      </c>
      <c r="D4" s="4" cm="1">
        <f t="array" aca="1" ref="D4" ca="1">_FV(B4,"52 week high",TRUE)</f>
        <v>544.92999999999995</v>
      </c>
      <c r="E4" s="4" cm="1">
        <f t="array" aca="1" ref="E4" ca="1">_FV(B4,"52 week low",TRUE)</f>
        <v>87.89</v>
      </c>
      <c r="F4" s="5" cm="1">
        <f t="array" aca="1" ref="F4" ca="1">_FV(B4,"Beta")</f>
        <v>0.90069999999999995</v>
      </c>
      <c r="G4" s="6" t="str" cm="1">
        <f t="array" aca="1" ref="G4" ca="1">_FV(B4,"Ticker symbol",TRUE)</f>
        <v>DUOL</v>
      </c>
      <c r="H4" s="6" t="str" cm="1">
        <f t="array" aca="1" ref="H4" ca="1">_FV(B4,"Industry")</f>
        <v>Software &amp; IT Services</v>
      </c>
      <c r="I4" s="7" cm="1">
        <f t="array" aca="1" ref="I4" ca="1">_FV(B4,"Volume average",TRUE)</f>
        <v>2021553</v>
      </c>
    </row>
    <row r="5" spans="1:9" x14ac:dyDescent="0.2">
      <c r="B5" s="3" t="e" vm="3">
        <v>#VALUE!</v>
      </c>
      <c r="C5" s="4" cm="1">
        <f t="array" aca="1" ref="C5" ca="1">_FV(B5,"Price")</f>
        <v>113.01</v>
      </c>
      <c r="D5" s="4" cm="1">
        <f t="array" aca="1" ref="D5" ca="1">_FV(B5,"52 week high",TRUE)</f>
        <v>113.5</v>
      </c>
      <c r="E5" s="4" cm="1">
        <f t="array" aca="1" ref="E5" ca="1">_FV(B5,"52 week low",TRUE)</f>
        <v>18.965</v>
      </c>
      <c r="F5" s="5" cm="1">
        <f t="array" aca="1" ref="F5" ca="1">_FV(B5,"Beta")</f>
        <v>2.1850000000000001</v>
      </c>
      <c r="G5" s="6" t="str" cm="1">
        <f t="array" aca="1" ref="G5" ca="1">_FV(B5,"Ticker symbol",TRUE)</f>
        <v>INTC</v>
      </c>
      <c r="H5" s="6" t="str" cm="1">
        <f t="array" aca="1" ref="H5" ca="1">_FV(B5,"Industry")</f>
        <v>Semiconductors &amp; Semiconductor Equipment</v>
      </c>
      <c r="I5" s="7" cm="1">
        <f t="array" aca="1" ref="I5" ca="1">_FV(B5,"Volume average",TRUE)</f>
        <v>137924453</v>
      </c>
    </row>
    <row r="6" spans="1:9" x14ac:dyDescent="0.2">
      <c r="B6" s="3" t="e" vm="4">
        <v>#VALUE!</v>
      </c>
      <c r="C6" s="4" cm="1">
        <f t="array" aca="1" ref="C6" ca="1">_FV(B6,"Price")</f>
        <v>207.66499999999999</v>
      </c>
      <c r="D6" s="4" cm="1">
        <f t="array" aca="1" ref="D6" ca="1">_FV(B6,"52 week high",TRUE)</f>
        <v>216.82499999999999</v>
      </c>
      <c r="E6" s="4" cm="1">
        <f t="array" aca="1" ref="E6" ca="1">_FV(B6,"52 week low",TRUE)</f>
        <v>110.822</v>
      </c>
      <c r="F6" s="5" cm="1">
        <f t="array" aca="1" ref="F6" ca="1">_FV(B6,"Beta")</f>
        <v>2.2465000000000002</v>
      </c>
      <c r="G6" s="6" t="str" cm="1">
        <f t="array" aca="1" ref="G6" ca="1">_FV(B6,"Ticker symbol",TRUE)</f>
        <v>NVDA</v>
      </c>
      <c r="H6" s="6" t="str" cm="1">
        <f t="array" aca="1" ref="H6" ca="1">_FV(B6,"Industry")</f>
        <v>Semiconductors &amp; Semiconductor Equipment</v>
      </c>
      <c r="I6" s="7" cm="1">
        <f t="array" aca="1" ref="I6" ca="1">_FV(B6,"Volume average",TRUE)</f>
        <v>148926068</v>
      </c>
    </row>
    <row r="7" spans="1:9" x14ac:dyDescent="0.2">
      <c r="B7" s="3" t="e" vm="5">
        <v>#VALUE!</v>
      </c>
      <c r="C7" s="4" cm="1">
        <f t="array" aca="1" ref="C7" ca="1">_FV(B7,"Price")</f>
        <v>9.52</v>
      </c>
      <c r="D7" s="4" cm="1">
        <f t="array" aca="1" ref="D7" ca="1">_FV(B7,"52 week high",TRUE)</f>
        <v>32.76</v>
      </c>
      <c r="E7" s="4" cm="1">
        <f t="array" aca="1" ref="E7" ca="1">_FV(B7,"52 week low",TRUE)</f>
        <v>7.77</v>
      </c>
      <c r="F7" s="5" cm="1">
        <f t="array" aca="1" ref="F7" ca="1">_FV(B7,"Beta")</f>
        <v>0.88859999999999995</v>
      </c>
      <c r="G7" s="6" t="str" cm="1">
        <f t="array" aca="1" ref="G7" ca="1">_FV(B7,"Ticker symbol",TRUE)</f>
        <v>PHR</v>
      </c>
      <c r="H7" s="6" t="str" cm="1">
        <f t="array" aca="1" ref="H7" ca="1">_FV(B7,"Industry")</f>
        <v>Software &amp; IT Services</v>
      </c>
      <c r="I7" s="7" cm="1">
        <f t="array" aca="1" ref="I7" ca="1">_FV(B7,"Volume average",TRUE)</f>
        <v>2431528</v>
      </c>
    </row>
    <row r="8" spans="1:9" x14ac:dyDescent="0.2">
      <c r="B8" s="3" t="e" vm="6">
        <v>#VALUE!</v>
      </c>
      <c r="C8" s="4" cm="1">
        <f t="array" aca="1" ref="C8" ca="1">_FV(B8,"Price")</f>
        <v>192.66200000000001</v>
      </c>
      <c r="D8" s="4" cm="1">
        <f t="array" aca="1" ref="D8" ca="1">_FV(B8,"52 week high",TRUE)</f>
        <v>205.95</v>
      </c>
      <c r="E8" s="4" cm="1">
        <f t="array" aca="1" ref="E8" ca="1">_FV(B8,"52 week low",TRUE)</f>
        <v>121.99</v>
      </c>
      <c r="F8" s="5" cm="1">
        <f t="array" aca="1" ref="F8" ca="1">_FV(B8,"Beta")</f>
        <v>1.4901</v>
      </c>
      <c r="G8" s="6" t="str" cm="1">
        <f t="array" aca="1" ref="G8" ca="1">_FV(B8,"Ticker symbol",TRUE)</f>
        <v>QCOM</v>
      </c>
      <c r="H8" s="6" t="str" cm="1">
        <f t="array" aca="1" ref="H8" ca="1">_FV(B8,"Industry")</f>
        <v>Semiconductors &amp; Semiconductor Equipment</v>
      </c>
      <c r="I8" s="7" cm="1">
        <f t="array" aca="1" ref="I8" ca="1">_FV(B8,"Volume average",TRUE)</f>
        <v>17307812</v>
      </c>
    </row>
    <row r="9" spans="1:9" x14ac:dyDescent="0.2">
      <c r="B9" s="3" t="e" vm="7">
        <v>#VALUE!</v>
      </c>
      <c r="C9" s="4" cm="1">
        <f t="array" aca="1" ref="C9" ca="1">_FV(B9,"Price")</f>
        <v>115.49</v>
      </c>
      <c r="D9" s="4" cm="1">
        <f t="array" aca="1" ref="D9" ca="1">_FV(B9,"52 week high",TRUE)</f>
        <v>133.99</v>
      </c>
      <c r="E9" s="4" cm="1">
        <f t="array" aca="1" ref="E9" ca="1">_FV(B9,"52 week low",TRUE)</f>
        <v>78.819999999999993</v>
      </c>
      <c r="F9" s="5" cm="1">
        <f t="array" aca="1" ref="F9" ca="1">_FV(B9,"Beta")</f>
        <v>1.4139999999999999</v>
      </c>
      <c r="G9" s="6" t="str" cm="1">
        <f t="array" aca="1" ref="G9" ca="1">_FV(B9,"Ticker symbol",TRUE)</f>
        <v>SN</v>
      </c>
      <c r="H9" s="6" t="str" cm="1">
        <f t="array" aca="1" ref="H9" ca="1">_FV(B9,"Industry")</f>
        <v>Household Goods</v>
      </c>
      <c r="I9" s="7" cm="1">
        <f t="array" aca="1" ref="I9" ca="1">_FV(B9,"Volume average",TRUE)</f>
        <v>1415272</v>
      </c>
    </row>
    <row r="10" spans="1:9" x14ac:dyDescent="0.2">
      <c r="A10" s="8" t="s">
        <v>8</v>
      </c>
      <c r="B10" s="3" t="e" vm="8">
        <v>#VALUE!</v>
      </c>
      <c r="C10" s="4" cm="1">
        <f t="array" aca="1" ref="C10" ca="1">_FV(B10,"Price")</f>
        <v>44.16</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3.4249999999999998</v>
      </c>
      <c r="D11" s="4" cm="1">
        <f t="array" aca="1" ref="D11" ca="1">_FV(B11,"52 week high",TRUE)</f>
        <v>3.4499</v>
      </c>
      <c r="E11" s="4" cm="1">
        <f t="array" aca="1" ref="E11" ca="1">_FV(B11,"52 week low",TRUE)</f>
        <v>2.1</v>
      </c>
      <c r="F11" s="5" cm="1">
        <f t="array" aca="1" ref="F11" ca="1">_FV(B11,"Beta")</f>
        <v>0.63490000000000002</v>
      </c>
      <c r="G11" s="6" t="str" cm="1">
        <f t="array" aca="1" ref="G11" ca="1">_FV(B11,"Ticker symbol",TRUE)</f>
        <v>ABEV</v>
      </c>
      <c r="H11" s="6" t="str" cm="1">
        <f t="array" aca="1" ref="H11" ca="1">_FV(B11,"Industry")</f>
        <v>Beverages</v>
      </c>
      <c r="I11" s="7" cm="1">
        <f t="array" aca="1" ref="I11" ca="1">_FV(B11,"Volume average",TRUE)</f>
        <v>26446282</v>
      </c>
    </row>
    <row r="12" spans="1:9" x14ac:dyDescent="0.2">
      <c r="B12" s="3" t="e" vm="10">
        <v>#VALUE!</v>
      </c>
      <c r="C12" s="4" cm="1">
        <f t="array" aca="1" ref="C12" ca="1">_FV(B12,"Price")</f>
        <v>105.49</v>
      </c>
      <c r="D12" s="4" cm="1">
        <f t="array" aca="1" ref="D12" ca="1">_FV(B12,"52 week high",TRUE)</f>
        <v>105.97</v>
      </c>
      <c r="E12" s="4" cm="1">
        <f t="array" aca="1" ref="E12" ca="1">_FV(B12,"52 week low",TRUE)</f>
        <v>55.64</v>
      </c>
      <c r="F12" s="5" cm="1">
        <f t="array" aca="1" ref="F12" ca="1">_FV(B12,"Beta")</f>
        <v>0.57420000000000004</v>
      </c>
      <c r="G12" s="6" t="str" cm="1">
        <f t="array" aca="1" ref="G12" ca="1">_FV(B12,"Ticker symbol",TRUE)</f>
        <v>RIO</v>
      </c>
      <c r="H12" s="6" t="str" cm="1">
        <f t="array" aca="1" ref="H12" ca="1">_FV(B12,"Industry")</f>
        <v>Metals &amp; Mining</v>
      </c>
      <c r="I12" s="7" cm="1">
        <f t="array" aca="1" ref="I12" ca="1">_FV(B12,"Volume average",TRUE)</f>
        <v>2399762</v>
      </c>
    </row>
    <row r="13" spans="1:9" x14ac:dyDescent="0.2">
      <c r="B13" s="3" t="e" vm="11">
        <v>#VALUE!</v>
      </c>
      <c r="C13" s="4" cm="1">
        <f t="array" aca="1" ref="C13" ca="1">_FV(B13,"Price")</f>
        <v>367.05</v>
      </c>
      <c r="D13" s="4" cm="1">
        <f t="array" aca="1" ref="D13" ca="1">_FV(B13,"52 week high",TRUE)</f>
        <v>404.7201</v>
      </c>
      <c r="E13" s="4" cm="1">
        <f t="array" aca="1" ref="E13" ca="1">_FV(B13,"52 week low",TRUE)</f>
        <v>234.6</v>
      </c>
      <c r="F13" s="5" cm="1">
        <f t="array" aca="1" ref="F13" ca="1">_FV(B13,"Beta")</f>
        <v>0.6482</v>
      </c>
      <c r="G13" s="6" t="str" cm="1">
        <f t="array" aca="1" ref="G13" ca="1">_FV(B13,"Ticker symbol",TRUE)</f>
        <v>UNH</v>
      </c>
      <c r="H13" s="6" t="str" cm="1">
        <f t="array" aca="1" ref="H13" ca="1">_FV(B13,"Industry")</f>
        <v>Healthcare Providers &amp; Services</v>
      </c>
      <c r="I13" s="7" cm="1">
        <f t="array" aca="1" ref="I13" ca="1">_FV(B13,"Volume average",TRUE)</f>
        <v>8689987</v>
      </c>
    </row>
    <row r="14" spans="1:9" x14ac:dyDescent="0.2">
      <c r="B14" s="3" t="e" vm="12">
        <v>#VALUE!</v>
      </c>
      <c r="C14" s="4" cm="1">
        <f t="array" aca="1" ref="C14" ca="1">_FV(B14,"Price")</f>
        <v>274.95299999999997</v>
      </c>
      <c r="D14" s="4" cm="1">
        <f t="array" aca="1" ref="D14" ca="1">_FV(B14,"52 week high",TRUE)</f>
        <v>278.56</v>
      </c>
      <c r="E14" s="4" cm="1">
        <f t="array" aca="1" ref="E14" ca="1">_FV(B14,"52 week low",TRUE)</f>
        <v>183.85</v>
      </c>
      <c r="F14" s="5" cm="1">
        <f t="array" aca="1" ref="F14" ca="1">_FV(B14,"Beta")</f>
        <v>1.4642999999999999</v>
      </c>
      <c r="G14" s="6" t="str" cm="1">
        <f t="array" aca="1" ref="G14" ca="1">_FV(B14,"Ticker symbol",TRUE)</f>
        <v>AMZN</v>
      </c>
      <c r="H14" s="6" t="str" cm="1">
        <f t="array" aca="1" ref="H14" ca="1">_FV(B14,"Industry")</f>
        <v>Diversified Retail</v>
      </c>
      <c r="I14" s="7" cm="1">
        <f t="array" aca="1" ref="I14" ca="1">_FV(B14,"Volume average",TRUE)</f>
        <v>49152020</v>
      </c>
    </row>
    <row r="15" spans="1:9" x14ac:dyDescent="0.2">
      <c r="B15" s="3" t="e" vm="13">
        <v>#VALUE!</v>
      </c>
      <c r="C15" s="4" cm="1">
        <f t="array" aca="1" ref="C15" ca="1">_FV(B15,"Price")</f>
        <v>397.82299999999998</v>
      </c>
      <c r="D15" s="4" cm="1">
        <f t="array" aca="1" ref="D15" ca="1">_FV(B15,"52 week high",TRUE)</f>
        <v>399.84989999999999</v>
      </c>
      <c r="E15" s="4" cm="1">
        <f t="array" aca="1" ref="E15" ca="1">_FV(B15,"52 week low",TRUE)</f>
        <v>147.84</v>
      </c>
      <c r="F15" s="5" cm="1">
        <f t="array" aca="1" ref="F15" ca="1">_FV(B15,"Beta")</f>
        <v>1.2662</v>
      </c>
      <c r="G15" s="6" t="str" cm="1">
        <f t="array" aca="1" ref="G15" ca="1">_FV(B15,"Ticker symbol",TRUE)</f>
        <v>GOOGL</v>
      </c>
      <c r="H15" s="6" t="str" cm="1">
        <f t="array" aca="1" ref="H15" ca="1">_FV(B15,"Industry")</f>
        <v>Software &amp; IT Services</v>
      </c>
      <c r="I15" s="7" cm="1">
        <f t="array" aca="1" ref="I15" ca="1">_FV(B15,"Volume average",TRUE)</f>
        <v>27552926</v>
      </c>
    </row>
    <row r="16" spans="1:9" x14ac:dyDescent="0.2">
      <c r="B16" s="3" t="e" vm="14">
        <v>#VALUE!</v>
      </c>
      <c r="C16" s="4" cm="1">
        <f t="array" aca="1" ref="C16" ca="1">_FV(B16,"Price")</f>
        <v>148.53</v>
      </c>
      <c r="D16" s="4" cm="1">
        <f t="array" aca="1" ref="D16" ca="1">_FV(B16,"52 week high",TRUE)</f>
        <v>176.41</v>
      </c>
      <c r="E16" s="4" cm="1">
        <f t="array" aca="1" ref="E16" ca="1">_FV(B16,"52 week low",TRUE)</f>
        <v>101.185</v>
      </c>
      <c r="F16" s="5" cm="1">
        <f t="array" aca="1" ref="F16" ca="1">_FV(B16,"Beta")</f>
        <v>0.18390000000000001</v>
      </c>
      <c r="G16" s="6" t="str" cm="1">
        <f t="array" aca="1" ref="G16" ca="1">_FV(B16,"Ticker symbol",TRUE)</f>
        <v>XOM</v>
      </c>
      <c r="H16" s="6" t="str" cm="1">
        <f t="array" aca="1" ref="H16" ca="1">_FV(B16,"Industry")</f>
        <v>Oil &amp; Gas</v>
      </c>
      <c r="I16" s="7" cm="1">
        <f t="array" aca="1" ref="I16" ca="1">_FV(B16,"Volume average",TRUE)</f>
        <v>19811334</v>
      </c>
    </row>
    <row r="17" spans="2:9" x14ac:dyDescent="0.2">
      <c r="B17" s="3" t="e" vm="15">
        <v>#VALUE!</v>
      </c>
      <c r="C17" s="4" cm="1">
        <f t="array" aca="1" ref="C17" ca="1">_FV(B17,"Price")</f>
        <v>287.46300000000002</v>
      </c>
      <c r="D17" s="4" cm="1">
        <f t="array" aca="1" ref="D17" ca="1">_FV(B17,"52 week high",TRUE)</f>
        <v>288.62</v>
      </c>
      <c r="E17" s="4" cm="1">
        <f t="array" aca="1" ref="E17" ca="1">_FV(B17,"52 week low",TRUE)</f>
        <v>193.25</v>
      </c>
      <c r="F17" s="5" cm="1">
        <f t="array" aca="1" ref="F17" ca="1">_FV(B17,"Beta")</f>
        <v>1.0612999999999999</v>
      </c>
      <c r="G17" s="6" t="str" cm="1">
        <f t="array" aca="1" ref="G17" ca="1">_FV(B17,"Ticker symbol",TRUE)</f>
        <v>AAPL</v>
      </c>
      <c r="H17" s="6" t="str" cm="1">
        <f t="array" aca="1" ref="H17" ca="1">_FV(B17,"Industry")</f>
        <v>Computers, Phones &amp; Household Electronics</v>
      </c>
      <c r="I17" s="7" cm="1">
        <f t="array" aca="1" ref="I17" ca="1">_FV(B17,"Volume average",TRUE)</f>
        <v>45321285</v>
      </c>
    </row>
    <row r="18" spans="2:9" x14ac:dyDescent="0.2">
      <c r="B18" s="3" t="e" vm="16">
        <v>#VALUE!</v>
      </c>
      <c r="C18" s="4" cm="1">
        <f t="array" aca="1" ref="C18" ca="1">_FV(B18,"Price")</f>
        <v>250.17</v>
      </c>
      <c r="D18" s="4" cm="1">
        <f t="array" aca="1" ref="D18" ca="1">_FV(B18,"52 week high",TRUE)</f>
        <v>422.95</v>
      </c>
      <c r="E18" s="4" cm="1">
        <f t="array" aca="1" ref="E18" ca="1">_FV(B18,"52 week low",TRUE)</f>
        <v>224.13</v>
      </c>
      <c r="F18" s="5" cm="1">
        <f t="array" aca="1" ref="F18" ca="1">_FV(B18,"Beta")</f>
        <v>1.4159999999999999</v>
      </c>
      <c r="G18" s="6" t="str" cm="1">
        <f t="array" aca="1" ref="G18" ca="1">_FV(B18,"Ticker symbol",TRUE)</f>
        <v>ADBE</v>
      </c>
      <c r="H18" s="6" t="str" cm="1">
        <f t="array" aca="1" ref="H18" ca="1">_FV(B18,"Industry")</f>
        <v>Software &amp; IT Services</v>
      </c>
      <c r="I18" s="7" cm="1">
        <f t="array" aca="1" ref="I18" ca="1">_FV(B18,"Volume average",TRUE)</f>
        <v>5185594</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2026-05-06T22:14:02Z</dcterms:modified>
</cp:coreProperties>
</file>