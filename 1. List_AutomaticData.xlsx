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A85D75AF-77BB-4348-8504-33BF48393F3D}" xr6:coauthVersionLast="47" xr6:coauthVersionMax="47" xr10:uidLastSave="{00000000-0000-0000-0000-000000000000}"/>
  <bookViews>
    <workbookView xWindow="80" yWindow="100" windowWidth="25440" windowHeight="13540" xr2:uid="{AEC0C047-6E16-294C-82BD-58123BA913A1}"/>
  </bookViews>
  <sheets>
    <sheet name="Sheet1" sheetId="1" r:id="rId1"/>
  </sheets>
  <definedNames>
    <definedName name="_xlnm._FilterDatabase" localSheetId="0" hidden="1">Sheet1!$G$2:$H$9</definedName>
  </definedNam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9" i="1" l="1" a="1"/>
  <c r="H19" i="1" a="1"/>
  <c r="G19" i="1" a="1"/>
  <c r="F19" i="1" a="1"/>
  <c r="E19" i="1" a="1"/>
  <c r="D19" i="1" a="1"/>
  <c r="C19" i="1" a="1"/>
  <c r="I18" i="1" a="1"/>
  <c r="I18" i="1" s="1"/>
  <c r="H18" i="1" a="1"/>
  <c r="H18" i="1" s="1"/>
  <c r="G18" i="1" a="1"/>
  <c r="G18" i="1" s="1"/>
  <c r="F18" i="1" a="1"/>
  <c r="F18" i="1" s="1"/>
  <c r="E18" i="1" a="1"/>
  <c r="E18" i="1" s="1"/>
  <c r="D18" i="1" a="1"/>
  <c r="D18" i="1" s="1"/>
  <c r="C18" i="1" a="1"/>
  <c r="C18" i="1" s="1"/>
  <c r="I17" i="1" a="1"/>
  <c r="I17" i="1" s="1"/>
  <c r="H17" i="1" a="1"/>
  <c r="H17" i="1" s="1"/>
  <c r="G17" i="1" a="1"/>
  <c r="G17" i="1" s="1"/>
  <c r="F17" i="1" a="1"/>
  <c r="F17" i="1" s="1"/>
  <c r="E17" i="1" a="1"/>
  <c r="E17" i="1" s="1"/>
  <c r="D17" i="1" a="1"/>
  <c r="D17" i="1" s="1"/>
  <c r="C17" i="1" a="1"/>
  <c r="C17" i="1" s="1"/>
  <c r="I16" i="1" a="1"/>
  <c r="I16" i="1" s="1"/>
  <c r="H16" i="1" a="1"/>
  <c r="H16" i="1" s="1"/>
  <c r="G16" i="1" a="1"/>
  <c r="G16" i="1" s="1"/>
  <c r="F16" i="1" a="1"/>
  <c r="F16" i="1" s="1"/>
  <c r="E16" i="1" a="1"/>
  <c r="E16" i="1" s="1"/>
  <c r="D16" i="1" a="1"/>
  <c r="D16" i="1" s="1"/>
  <c r="C16" i="1" a="1"/>
  <c r="C16" i="1" s="1"/>
  <c r="I15" i="1" a="1"/>
  <c r="I15" i="1" s="1"/>
  <c r="H15" i="1" a="1"/>
  <c r="H15" i="1" s="1"/>
  <c r="G15" i="1" a="1"/>
  <c r="G15" i="1" s="1"/>
  <c r="F15" i="1" a="1"/>
  <c r="F15" i="1" s="1"/>
  <c r="E15" i="1" a="1"/>
  <c r="E15" i="1" s="1"/>
  <c r="D15" i="1" a="1"/>
  <c r="D15" i="1" s="1"/>
  <c r="C15" i="1" a="1"/>
  <c r="C15" i="1" s="1"/>
  <c r="I14" i="1" a="1"/>
  <c r="I14" i="1" s="1"/>
  <c r="H14" i="1" a="1"/>
  <c r="H14" i="1" s="1"/>
  <c r="G14" i="1" a="1"/>
  <c r="G14" i="1" s="1"/>
  <c r="F14" i="1" a="1"/>
  <c r="F14" i="1" s="1"/>
  <c r="E14" i="1" a="1"/>
  <c r="E14" i="1" s="1"/>
  <c r="D14" i="1" a="1"/>
  <c r="D14" i="1" s="1"/>
  <c r="C14" i="1" a="1"/>
  <c r="C14" i="1" s="1"/>
  <c r="I13" i="1" a="1"/>
  <c r="I13" i="1" s="1"/>
  <c r="H13" i="1" a="1"/>
  <c r="H13" i="1" s="1"/>
  <c r="G13" i="1" a="1"/>
  <c r="G13" i="1" s="1"/>
  <c r="F13" i="1" a="1"/>
  <c r="F13" i="1" s="1"/>
  <c r="E13" i="1" a="1"/>
  <c r="E13" i="1" s="1"/>
  <c r="D13" i="1" a="1"/>
  <c r="D13" i="1" s="1"/>
  <c r="C13" i="1" a="1"/>
  <c r="C13" i="1" s="1"/>
  <c r="I12" i="1" a="1"/>
  <c r="I12" i="1" s="1"/>
  <c r="H12" i="1" a="1"/>
  <c r="H12" i="1" s="1"/>
  <c r="G12" i="1" a="1"/>
  <c r="G12" i="1" s="1"/>
  <c r="F12" i="1" a="1"/>
  <c r="F12" i="1" s="1"/>
  <c r="E12" i="1" a="1"/>
  <c r="E12" i="1" s="1"/>
  <c r="D12" i="1" a="1"/>
  <c r="D12" i="1" s="1"/>
  <c r="C12" i="1" a="1"/>
  <c r="C12" i="1" s="1"/>
  <c r="I11" i="1" a="1"/>
  <c r="I11" i="1" s="1"/>
  <c r="H11" i="1" a="1"/>
  <c r="H11" i="1" s="1"/>
  <c r="F11" i="1" a="1"/>
  <c r="F11" i="1" s="1"/>
  <c r="G11" i="1" a="1"/>
  <c r="G11" i="1" s="1"/>
  <c r="E11" i="1" a="1"/>
  <c r="E11" i="1" s="1"/>
  <c r="D11" i="1" a="1"/>
  <c r="D11" i="1" s="1"/>
  <c r="C11" i="1" a="1"/>
  <c r="C11" i="1" s="1"/>
  <c r="E10" i="1" a="1"/>
  <c r="E10" i="1" s="1"/>
  <c r="D10" i="1" a="1"/>
  <c r="D10" i="1" s="1"/>
  <c r="G10" i="1" a="1"/>
  <c r="G10" i="1" s="1"/>
  <c r="C10" i="1" a="1"/>
  <c r="C10" i="1" s="1"/>
  <c r="I4" i="1" a="1"/>
  <c r="I4" i="1" s="1"/>
  <c r="I5" i="1" a="1"/>
  <c r="I5" i="1" s="1"/>
  <c r="I6" i="1" a="1"/>
  <c r="I6" i="1" s="1"/>
  <c r="I7" i="1" a="1"/>
  <c r="I7" i="1" s="1"/>
  <c r="I8" i="1" a="1"/>
  <c r="I8" i="1" s="1"/>
  <c r="I9" i="1" a="1"/>
  <c r="I9" i="1" s="1"/>
  <c r="I3" i="1" a="1"/>
  <c r="I3" i="1" s="1"/>
  <c r="H3" i="1" a="1"/>
  <c r="H3" i="1" s="1"/>
  <c r="H4" i="1" a="1"/>
  <c r="H4" i="1" s="1"/>
  <c r="H5" i="1" a="1"/>
  <c r="H5" i="1" s="1"/>
  <c r="H6" i="1" a="1"/>
  <c r="H6" i="1" s="1"/>
  <c r="H7" i="1" a="1"/>
  <c r="H7" i="1" s="1"/>
  <c r="H8" i="1" a="1"/>
  <c r="H8" i="1" s="1"/>
  <c r="H9" i="1" a="1"/>
  <c r="H9" i="1" s="1"/>
  <c r="G3" i="1" a="1"/>
  <c r="G3" i="1" s="1"/>
  <c r="G4" i="1" a="1"/>
  <c r="G4" i="1" s="1"/>
  <c r="G5" i="1" a="1"/>
  <c r="G5" i="1" s="1"/>
  <c r="G6" i="1" a="1"/>
  <c r="G6" i="1" s="1"/>
  <c r="G7" i="1" a="1"/>
  <c r="G7" i="1" s="1"/>
  <c r="G8" i="1" a="1"/>
  <c r="G8" i="1" s="1"/>
  <c r="G9" i="1" a="1"/>
  <c r="G9" i="1" s="1"/>
  <c r="F3" i="1" a="1"/>
  <c r="F3" i="1" s="1"/>
  <c r="F4" i="1" a="1"/>
  <c r="F4" i="1" s="1"/>
  <c r="F5" i="1" a="1"/>
  <c r="F5" i="1" s="1"/>
  <c r="F6" i="1" a="1"/>
  <c r="F6" i="1" s="1"/>
  <c r="F7" i="1" a="1"/>
  <c r="F7" i="1" s="1"/>
  <c r="F8" i="1" a="1"/>
  <c r="F8" i="1" s="1"/>
  <c r="F9" i="1" a="1"/>
  <c r="F9" i="1" s="1"/>
  <c r="E3" i="1" a="1"/>
  <c r="E3" i="1" s="1"/>
  <c r="E4" i="1" a="1"/>
  <c r="E4" i="1" s="1"/>
  <c r="E5" i="1" a="1"/>
  <c r="E5" i="1" s="1"/>
  <c r="E6" i="1" a="1"/>
  <c r="E6" i="1" s="1"/>
  <c r="E7" i="1" a="1"/>
  <c r="E7" i="1" s="1"/>
  <c r="E8" i="1" a="1"/>
  <c r="E8" i="1" s="1"/>
  <c r="E9" i="1" a="1"/>
  <c r="E9" i="1" s="1"/>
  <c r="D3" i="1" a="1"/>
  <c r="D3" i="1" s="1"/>
  <c r="D4" i="1" a="1"/>
  <c r="D4" i="1" s="1"/>
  <c r="D5" i="1" a="1"/>
  <c r="D5" i="1" s="1"/>
  <c r="D6" i="1" a="1"/>
  <c r="D6" i="1" s="1"/>
  <c r="D7" i="1" a="1"/>
  <c r="D7" i="1" s="1"/>
  <c r="D8" i="1" a="1"/>
  <c r="D8" i="1" s="1"/>
  <c r="D9" i="1" a="1"/>
  <c r="D9" i="1" s="1"/>
  <c r="C3" i="1" a="1"/>
  <c r="C3" i="1" s="1"/>
  <c r="C4" i="1" a="1"/>
  <c r="C4" i="1" s="1"/>
  <c r="C5" i="1" a="1"/>
  <c r="C5" i="1" s="1"/>
  <c r="C6" i="1" a="1"/>
  <c r="C6" i="1" s="1"/>
  <c r="C7" i="1" a="1"/>
  <c r="C7" i="1" s="1"/>
  <c r="C8" i="1" a="1"/>
  <c r="C8" i="1" s="1"/>
  <c r="C9" i="1" a="1"/>
  <c r="C9" i="1" s="1"/>
  <c r="I19" i="1" l="1"/>
  <c r="H19" i="1"/>
  <c r="G19" i="1"/>
  <c r="F19" i="1"/>
  <c r="E19" i="1"/>
  <c r="D19" i="1"/>
  <c r="C19"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7">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21"/>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3"/>
        </ext>
      </extLst>
    </bk>
    <bk>
      <extLst>
        <ext uri="{3e2802c4-a4d2-4d8b-9148-e3be6c30e623}">
          <xlrd:rvb i="56"/>
        </ext>
      </extLst>
    </bk>
  </futureMetadata>
  <cellMetadata count="1">
    <bk>
      <rc t="1" v="0"/>
    </bk>
  </cellMetadata>
  <valueMetadata count="17">
    <bk>
      <rc t="2" v="0"/>
    </bk>
    <bk>
      <rc t="2" v="1"/>
    </bk>
    <bk>
      <rc t="2" v="2"/>
    </bk>
    <bk>
      <rc t="2" v="3"/>
    </bk>
    <bk>
      <rc t="2" v="4"/>
    </bk>
    <bk>
      <rc t="2" v="5"/>
    </bk>
    <bk>
      <rc t="2" v="6"/>
    </bk>
    <bk>
      <rc t="2" v="7"/>
    </bk>
    <bk>
      <rc t="2" v="8"/>
    </bk>
    <bk>
      <rc t="2" v="9"/>
    </bk>
    <bk>
      <rc t="2" v="10"/>
    </bk>
    <bk>
      <rc t="2" v="11"/>
    </bk>
    <bk>
      <rc t="2" v="12"/>
    </bk>
    <bk>
      <rc t="2" v="13"/>
    </bk>
    <bk>
      <rc t="2" v="14"/>
    </bk>
    <bk>
      <rc t="2" v="15"/>
    </bk>
    <bk>
      <rc t="2" v="16"/>
    </bk>
  </valueMetadata>
</metadata>
</file>

<file path=xl/sharedStrings.xml><?xml version="1.0" encoding="utf-8"?>
<sst xmlns="http://schemas.openxmlformats.org/spreadsheetml/2006/main" count="9" uniqueCount="9">
  <si>
    <t>Ticker</t>
  </si>
  <si>
    <t>Price</t>
  </si>
  <si>
    <t>52 wk high</t>
  </si>
  <si>
    <t>52 wk low</t>
  </si>
  <si>
    <t>Beta</t>
  </si>
  <si>
    <t>Industry</t>
  </si>
  <si>
    <t>Symbol</t>
  </si>
  <si>
    <t>Volume avg</t>
  </si>
  <si>
    <t>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</si>
</sst>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409]* #,##0.00_);_([$$-409]* \(#,##0.00\);_([$$-409]* &quot;-&quot;??_);_(@_)"/>
  </numFmts>
  <fonts count="2" x14ac:knownFonts="1">
    <font>
      <sz val="12"/>
      <color theme="1"/>
      <name val="Aptos Narrow"/>
      <family val="2"/>
      <scheme val="minor"/>
    </font>
    <font>
      <b/>
      <sz val="12"/>
      <color theme="0"/>
      <name val="Aptos Narrow"/>
      <scheme val="minor"/>
    </font>
  </fonts>
  <fills count="7">
    <fill>
      <patternFill patternType="none"/>
    </fill>
    <fill>
      <patternFill patternType="gray125"/>
    </fill>
    <fill>
      <patternFill patternType="solid">
        <fgColor theme="0"/>
        <bgColor indexed="64"/>
      </patternFill>
    </fill>
    <fill>
      <patternFill patternType="solid">
        <fgColor rgb="FF002060"/>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theme="3" tint="0.749992370372631"/>
        <bgColor indexed="64"/>
      </patternFill>
    </fill>
  </fills>
  <borders count="1">
    <border>
      <left/>
      <right/>
      <top/>
      <bottom/>
      <diagonal/>
    </border>
  </borders>
  <cellStyleXfs count="1">
    <xf numFmtId="0" fontId="0" fillId="0" borderId="0"/>
  </cellStyleXfs>
  <cellXfs count="9">
    <xf numFmtId="0" fontId="0" fillId="0" borderId="0" xfId="0"/>
    <xf numFmtId="0" fontId="0" fillId="2" borderId="0" xfId="0" applyFill="1"/>
    <xf numFmtId="0" fontId="1" fillId="3" borderId="0" xfId="0" applyFont="1" applyFill="1"/>
    <xf numFmtId="0" fontId="0" fillId="4" borderId="0" xfId="0" applyFill="1"/>
    <xf numFmtId="164" fontId="0" fillId="5" borderId="0" xfId="0" applyNumberFormat="1" applyFill="1"/>
    <xf numFmtId="4" fontId="0" fillId="5" borderId="0" xfId="0" applyNumberFormat="1" applyFill="1"/>
    <xf numFmtId="0" fontId="0" fillId="5" borderId="0" xfId="0" applyFill="1"/>
    <xf numFmtId="3" fontId="0" fillId="5" borderId="0" xfId="0" applyNumberFormat="1" applyFill="1"/>
    <xf numFmtId="0" fontId="0" fillId="6"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ichStyles" Target="richData/richStyles.xml"/><Relationship Id="rId3" Type="http://schemas.openxmlformats.org/officeDocument/2006/relationships/styles" Target="styles.xml"/><Relationship Id="rId7" Type="http://schemas.microsoft.com/office/2017/06/relationships/rdRichValueStructure" Target="richData/rdrichvaluestructure.xml"/><Relationship Id="rId12"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11" Type="http://schemas.microsoft.com/office/2017/06/relationships/rdRichValueTypes" Target="richData/rdRichValueTypes.xml"/><Relationship Id="rId5" Type="http://schemas.openxmlformats.org/officeDocument/2006/relationships/sheetMetadata" Target="metadata.xml"/><Relationship Id="rId10" Type="http://schemas.microsoft.com/office/2017/06/relationships/rdSupportingPropertyBag" Target="richData/rdsupportingpropertybag.xml"/><Relationship Id="rId4" Type="http://schemas.openxmlformats.org/officeDocument/2006/relationships/sharedStrings" Target="sharedStrings.xml"/><Relationship Id="rId9" Type="http://schemas.microsoft.com/office/2017/06/relationships/rdSupportingPropertyBagStructure" Target="richData/rdsupportingpropertybag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57">
  <rv s="0">
    <v>https://www.bing.com/financeapi/forcetrigger?t=a1ndww&amp;q=XNAS%3aAMD&amp;form=skydnc</v>
    <v>Learn more on Bing</v>
  </rv>
  <rv s="1">
    <v>0</v>
    <v>ADVANCED MICRO DEVICES, INC. (XNAS:AMD)</v>
    <v>2</v>
    <v>3</v>
    <v>Finance</v>
    <v>4</v>
    <v>en-US</v>
    <v>a1ndww</v>
    <v>268435456</v>
    <v>1</v>
    <v>Powered by Refinitiv</v>
    <v>544.04</v>
    <v>113.28</v>
    <v>2.4923000000000002</v>
    <v>11.765000000000001</v>
    <v>2.2557999999999998E-2</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544.04</v>
    <v>Semiconductors &amp; Semiconductor Equipment</v>
    <v>Stock</v>
    <v>46176.701151851565</v>
    <v>0</v>
    <v>524.30010000000004</v>
    <v>869607666304</v>
    <v>ADVANCED MICRO DEVICES, INC.</v>
    <v>ADVANCED MICRO DEVICES, INC.</v>
    <v>534.76</v>
    <v>177.77430000000001</v>
    <v>521.54</v>
    <v>533.30499999999995</v>
    <v>1630601000</v>
    <v>AMD</v>
    <v>ADVANCED MICRO DEVICES, INC. (XNAS:AMD)</v>
    <v>16511503</v>
    <v>39329105</v>
    <v>1969</v>
  </rv>
  <rv s="2">
    <v>1</v>
  </rv>
  <rv s="0">
    <v>https://www.bing.com/financeapi/forcetrigger?t=c2mtim&amp;q=XNAS%3aDUOL&amp;form=skydnc</v>
    <v>Learn more on Bing</v>
  </rv>
  <rv s="1">
    <v>0</v>
    <v>DUOLINGO, INC. (XNAS:DUOL)</v>
    <v>2</v>
    <v>3</v>
    <v>Finance</v>
    <v>4</v>
    <v>en-US</v>
    <v>c2mtim</v>
    <v>268435456</v>
    <v>1</v>
    <v>Powered by Refinitiv</v>
    <v>540.29999999999995</v>
    <v>87.89</v>
    <v>0.88739999999999997</v>
    <v>-5.2149999999999999</v>
    <v>-4.7431000000000001E-2</v>
    <v>USD</v>
    <v>Duolingo, Inc. is a technology company. The Company is engaged in offering a mobile learning platform, as well as a digital English language proficiency assessment exam. It operates a freemium business model, namely, the app and the Website are accessible free of charge, although Duolingo also offers premium services for a subscription fee. Its solutions consist of the Duolingo App, Super Duolingo, Duolingo Max, Duolingo English Test: AI-Driven Language Assessment, Duolingo for Schools, and Duolingo ABC. The Duolingo App offers courses in over 40 different languages, including Spanish, English, French, German, Italian, Portuguese, Japanese and Chinese. Duolingo can also be accessed on desktop computers via a Web browser. Its subscription offering, Super Duolingo, offers learners additional features to enhance their learning experience. The Duolingo English Test is an online, on-demand, high-stakes English proficiency assessment. It also operates an animation and motion design studio.</v>
    <v>900</v>
    <v>Nasdaq Stock Market</v>
    <v>XNAS</v>
    <v>XNAS</v>
    <v>5900 PENN AVE, SECOND FLOOR, PITTSBURGH, PA, 15206 US</v>
    <v>112.2154</v>
    <v>Software &amp; IT Services</v>
    <v>Stock</v>
    <v>46176.701089258597</v>
    <v>3</v>
    <v>104.61</v>
    <v>4879930423</v>
    <v>DUOLINGO, INC.</v>
    <v>DUOLINGO, INC.</v>
    <v>109.67</v>
    <v>12.1211</v>
    <v>109.95</v>
    <v>104.735</v>
    <v>46593120</v>
    <v>DUOL</v>
    <v>DUOLINGO, INC. (XNAS:DUOL)</v>
    <v>769760</v>
    <v>1861078</v>
    <v>2011</v>
  </rv>
  <rv s="2">
    <v>4</v>
  </rv>
  <rv s="0">
    <v>https://www.bing.com/financeapi/forcetrigger?t=a1vmf2&amp;q=XNAS%3aINTC&amp;form=skydnc</v>
    <v>Learn more on Bing</v>
  </rv>
  <rv s="1">
    <v>0</v>
    <v>INTEL CORPORATION (XNAS:INTC)</v>
    <v>2</v>
    <v>3</v>
    <v>Finance</v>
    <v>4</v>
    <v>en-US</v>
    <v>a1vmf2</v>
    <v>268435456</v>
    <v>1</v>
    <v>Powered by Refinitiv</v>
    <v>132.75</v>
    <v>18.965</v>
    <v>2.2317999999999998</v>
    <v>4.0599999999999996</v>
    <v>3.7616999999999998E-2</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118.29</v>
    <v>Semiconductors &amp; Semiconductor Equipment</v>
    <v>Stock</v>
    <v>46176.701168367967</v>
    <v>6</v>
    <v>110.86</v>
    <v>562861740000</v>
    <v>INTEL CORPORATION</v>
    <v>INTEL CORPORATION</v>
    <v>116.43</v>
    <v>0</v>
    <v>107.93</v>
    <v>111.99</v>
    <v>5026000000</v>
    <v>INTC</v>
    <v>INTEL CORPORATION (XNAS:INTC)</v>
    <v>80750421</v>
    <v>145048030</v>
    <v>1989</v>
  </rv>
  <rv s="2">
    <v>7</v>
  </rv>
  <rv s="0">
    <v>https://www.bing.com/financeapi/forcetrigger?t=a1yv52&amp;q=XNAS%3aNVDA&amp;form=skydnc</v>
    <v>Learn more on Bing</v>
  </rv>
  <rv s="1">
    <v>0</v>
    <v>NVIDIA CORPORATION (XNAS:NVDA)</v>
    <v>2</v>
    <v>3</v>
    <v>Finance</v>
    <v>4</v>
    <v>en-US</v>
    <v>a1yv52</v>
    <v>268435456</v>
    <v>1</v>
    <v>Powered by Refinitiv</v>
    <v>236.54</v>
    <v>137.94999999999999</v>
    <v>2.2002999999999999</v>
    <v>-7.24</v>
    <v>-3.2493000000000001E-2</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222.82</v>
    <v>Semiconductors &amp; Semiconductor Equipment</v>
    <v>Stock</v>
    <v>46176.701152626563</v>
    <v>9</v>
    <v>214.58</v>
    <v>5217036000000</v>
    <v>NVIDIA CORPORATION</v>
    <v>NVIDIA CORPORATION</v>
    <v>221.76</v>
    <v>33.013800000000003</v>
    <v>222.82</v>
    <v>215.58</v>
    <v>24200000000</v>
    <v>NVDA</v>
    <v>NVIDIA CORPORATION (XNAS:NVDA)</v>
    <v>92581142</v>
    <v>170411221</v>
    <v>1998</v>
  </rv>
  <rv s="2">
    <v>10</v>
  </rv>
  <rv s="0">
    <v>https://www.bing.com/financeapi/forcetrigger?t=bqw82w&amp;q=XNYS%3aPHR&amp;form=skydnc</v>
    <v>Learn more on Bing</v>
  </rv>
  <rv s="1">
    <v>0</v>
    <v>PHREESIA, INC. (XNYS:PHR)</v>
    <v>2</v>
    <v>3</v>
    <v>Finance</v>
    <v>4</v>
    <v>en-US</v>
    <v>bqw82w</v>
    <v>268435456</v>
    <v>1</v>
    <v>Powered by Refinitiv</v>
    <v>32.76</v>
    <v>7.77</v>
    <v>0.87970000000000004</v>
    <v>-0.63</v>
    <v>-6.0811000000000004E-2</v>
    <v>USD</v>
    <v>Phreesia, Inc. is a provider of comprehensive software solutions that improve the operational and financial performance of healthcare organizations. The Company's solutions include software-as-a-service (SaaS)-based integrated tools that manage patient access, registration, and payments. In addition, its solutions include clinical assessments to screen patients for a variety of physical, behavioral and mental health conditions, helping providers to understand their patients and connect them to needed services, resulting in improved health outcomes. Its Technology solutions segment provides life sciences companies, health plans and other payer organizations (payers), patient advocacy, public interest and other not-for-profit organizations with a channel for direct communication with patients. The Company's solutions also include additional products and services, such as the MediFind provider directory, which helps patients find care based on providers' specific clinical expertise.</v>
    <v>1789</v>
    <v>New York Stock Exchange</v>
    <v>XNYS</v>
    <v>XNYS</v>
    <v>1521 Concord Pike, Suite 301 Pmb 221, WILMINGTON, DE, 19803 US</v>
    <v>10.19</v>
    <v>Software &amp; IT Services</v>
    <v>Stock</v>
    <v>46176.701034178128</v>
    <v>12</v>
    <v>9.6199999999999992</v>
    <v>601429689</v>
    <v>PHREESIA, INC.</v>
    <v>PHREESIA, INC.</v>
    <v>10.11</v>
    <v>65.389799999999994</v>
    <v>10.36</v>
    <v>9.73</v>
    <v>61811890</v>
    <v>PHR</v>
    <v>PHREESIA, INC. (XNYS:PHR)</v>
    <v>405759</v>
    <v>1655919</v>
    <v>2005</v>
  </rv>
  <rv s="2">
    <v>13</v>
  </rv>
  <rv s="0">
    <v>http://en.wikipedia.org/wiki/Public_domain</v>
    <v>Public domain</v>
  </rv>
  <rv s="0">
    <v>http://en.wikipedia.org/wiki/Qualcomm</v>
    <v>Wikipedia</v>
  </rv>
  <rv s="3">
    <v>15</v>
    <v>16</v>
  </rv>
  <rv s="4">
    <v>9</v>
    <v>https://www.bing.com/th?id=AMMS_2b1c176dae370ecc0d55a1517537f595&amp;qlt=95</v>
    <v>17</v>
    <v>0</v>
    <v>https://www.bing.com/images/search?form=xlimg&amp;q=qualcomm</v>
    <v>Image of QUALCOMM INCORPORATED</v>
  </rv>
  <rv s="0">
    <v>https://www.bing.com/financeapi/forcetrigger?t=a21k2w&amp;q=XNAS%3aQCOM&amp;form=skydnc</v>
    <v>Learn more on Bing</v>
  </rv>
  <rv s="5">
    <v>5</v>
    <v>QUALCOMM INCORPORATED (XNAS:QCOM)</v>
    <v>7</v>
    <v>8</v>
    <v>Finance</v>
    <v>4</v>
    <v>en-US</v>
    <v>a21k2w</v>
    <v>268435456</v>
    <v>1</v>
    <v>Powered by Refinitiv</v>
    <v>259.92</v>
    <v>121.99</v>
    <v>1.5984</v>
    <v>8.2850000000000001</v>
    <v>3.44E-2</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255.09</v>
    <v>18</v>
    <v>Semiconductors &amp; Semiconductor Equipment</v>
    <v>Stock</v>
    <v>46176.701150034372</v>
    <v>19</v>
    <v>233.02</v>
    <v>262577750000</v>
    <v>QUALCOMM INCORPORATED</v>
    <v>QUALCOMM INCORPORATED</v>
    <v>235.74</v>
    <v>27.098199999999999</v>
    <v>240.84</v>
    <v>249.125</v>
    <v>1054000000</v>
    <v>QCOM</v>
    <v>QUALCOMM INCORPORATED (XNAS:QCOM)</v>
    <v>12009089</v>
    <v>29778674</v>
    <v>1991</v>
  </rv>
  <rv s="2">
    <v>20</v>
  </rv>
  <rv s="6">
    <v>10</v>
    <v>SHARKNINJA, INC. (XNYS:SN)</v>
    <v>11</v>
    <v>3</v>
    <v>Finance</v>
    <v>4</v>
    <v>en-US</v>
    <v>cag2ar</v>
    <v>268435456</v>
    <v>1</v>
    <v>Powered by Refinitiv</v>
    <v>133.99</v>
    <v>80.69</v>
    <v>1.397</v>
    <v>-0.44</v>
    <v>-3.5980000000000001E-3</v>
    <v>USD</v>
    <v>SharkNinja, Inc. is a global product design and technology company, which offers lifestyle solutions to consumers around the world. Its diverse product portfolio spans over 36 household sub-categories, across cleaning, cooking, food preparation, and others, which include home environment and beauty. Its brands include Shark and Ninja. The Shark brand offerings cover handheld and robotic vacuums, as well as other floorcare products, including steam mops, wet/dry cleaning floor products and carpet extraction, beauty appliance and home environmental products. Ninja brand offers small kitchen appliances in the United States and its diversified product offering spans across consumers’ kitchens, both indoors and outdoors, with leading products in air fryers, multi-cookers, outdoor and countertop grills and ovens, coffee systems, carbonation, cookware, cutlery, kettles, toasters, and others. Its products are sold at key retailers, online and offline, and through distributors around the world.</v>
    <v>4143</v>
    <v>New York Stock Exchange</v>
    <v>XNYS</v>
    <v>XNYS</v>
    <v>89 A Street, #100, NEEDHAM, MA, 02494 US</v>
    <v>123.11499999999999</v>
    <v>Household Goods</v>
    <v>Stock</v>
    <v>46176.701058032035</v>
    <v>118.37</v>
    <v>17242845536</v>
    <v>SHARKNINJA, INC.</v>
    <v>SHARKNINJA, INC.</v>
    <v>121.23</v>
    <v>24.561499999999999</v>
    <v>122.28</v>
    <v>121.84</v>
    <v>141520400</v>
    <v>SN</v>
    <v>SHARKNINJA, INC. (XNYS:SN)</v>
    <v>558616</v>
    <v>2606555</v>
    <v>2017</v>
  </rv>
  <rv s="2">
    <v>22</v>
  </rv>
  <rv s="0">
    <v>https://www.bing.com/financeapi/forcetrigger?t=a33knm&amp;q=10+Y+TSY+YLD+NDX&amp;form=skydnc</v>
    <v>Learn more on Bing</v>
  </rv>
  <rv s="7">
    <v>12</v>
    <v>10 Y TSY YLD NDX</v>
    <v>13</v>
    <v>14</v>
    <v>Finance</v>
    <v>15</v>
    <v>en-US</v>
    <v>a33knm</v>
    <v>268435456</v>
    <v>1</v>
    <v>Powered by Refinitiv</v>
    <v>46.87</v>
    <v>39.47</v>
    <v>-0.2</v>
    <v>-4.4689999999999999E-3</v>
    <v>US</v>
    <v>44.63</v>
    <v>Index</v>
    <v>24</v>
    <v>44.28</v>
    <v>10 Y TSY YLD NDX</v>
    <v>44.3</v>
    <v>44.75</v>
    <v>44.55</v>
    <v>TNX</v>
    <v>10 Y TSY YLD NDX</v>
  </rv>
  <rv s="2">
    <v>25</v>
  </rv>
  <rv s="0">
    <v>https://www.bing.com/financeapi/forcetrigger?t=a1mqec&amp;q=XNYS%3aABEV&amp;form=skydnc</v>
    <v>Learn more on Bing</v>
  </rv>
  <rv s="1">
    <v>0</v>
    <v>Ambev SA (XNYS:ABEV)</v>
    <v>2</v>
    <v>3</v>
    <v>Finance</v>
    <v>4</v>
    <v>en-US</v>
    <v>a1mqec</v>
    <v>268435456</v>
    <v>1</v>
    <v>Powered by Refinitiv</v>
    <v>3.4499</v>
    <v>2.1</v>
    <v>0.66369999999999996</v>
    <v>-7.0000000000000007E-2</v>
    <v>-2.1537999999999998E-2</v>
    <v>USD</v>
    <v>Ambev SA, formerly Inbev Participacoes Societarias SA, is a Brazil-based company engaged in the brewing sector. The Company produces, distributes and sells beer, carbonated soft drinks (CSDs) and other non-alcoholic and non-carbonated (NANC) beverages across the Americas. The Company's activities are divided into three segments: Latin America North, including sell of beer, CSD and NANC drinks in Brazil, as well as operations in the Dominican Republic, Saint Vincent, Antigua, Dominica, Cuba, Guatemala, El Salvador, Honduras, Nicaragua, Barbados and Panama; Latin America South, distributing products in Argentina, Bolivia, Paraguay, Uruguay, Chile; and Canada, represented by Labatt’s operations, which comprises sales in Canada and some exports to the U.S. market. The Company markets products under various brand names, such as Adriatica, Brahma, Leffe, Budweiser, Corona, PepsiCo and Lipton. It is a subsidiary of Interbrew International BV.</v>
    <v>39000</v>
    <v>New York Stock Exchange</v>
    <v>XNYS</v>
    <v>XNYS</v>
    <v>Rua Dr. Renato Paes de Barros, 1.017, 4 andar, Itaim Bibi, SAO PAULO, SAO PAULO, 04.530-001 BR</v>
    <v>3.21</v>
    <v>Beverages</v>
    <v>Stock</v>
    <v>46176.70109618047</v>
    <v>27</v>
    <v>3.16</v>
    <v>50128470600</v>
    <v>Ambev SA</v>
    <v>Ambev SA</v>
    <v>3.1850000000000001</v>
    <v>16.571100000000001</v>
    <v>3.25</v>
    <v>3.18</v>
    <v>15763670000</v>
    <v>ABEV</v>
    <v>Ambev SA (XNYS:ABEV)</v>
    <v>13632994</v>
    <v>30544974</v>
    <v>2005</v>
  </rv>
  <rv s="2">
    <v>28</v>
  </rv>
  <rv s="0">
    <v>https://www.bing.com/financeapi/forcetrigger?t=a221mw&amp;q=XNYS%3aRIO&amp;form=skydnc</v>
    <v>Learn more on Bing</v>
  </rv>
  <rv s="1">
    <v>0</v>
    <v>RIO TINTO PLC (XNYS:RIO)</v>
    <v>2</v>
    <v>3</v>
    <v>Finance</v>
    <v>4</v>
    <v>en-US</v>
    <v>a221mw</v>
    <v>268435456</v>
    <v>1</v>
    <v>Powered by Refinitiv</v>
    <v>112.58</v>
    <v>55.64</v>
    <v>0.58630000000000004</v>
    <v>-3.55</v>
    <v>-3.1789999999999999E-2</v>
    <v>USD</v>
    <v>Rio Tinto plc is a United Kingdom-based mining and materials company. It operates in over 35 countries, and its portfolio includes iron ore, copper, aluminum and a range of other minerals and materials. Its segments include Iron Ore, Aluminum, Copper, and Minerals. The Iron Ore segment includes iron ore mining and salt and gypsum production in Western Australia. Its iron ore operations in Pilbara comprise an integrated network of over 18 iron ore mines and four independent port terminals. The Aluminum segment includes bauxite mining, alumina refining, and aluminum smelting and recycling. The Copper segment includes mining and refining of copper, gold, silver, molybdenum, other by-products and licensing of extraction technologies. The Minerals segment includes mining and processing of borates, diamonds, iron concentrate and pellets from the Iron Ore Company of Canada, lithium and titanium dioxide feedstock.</v>
    <v>61230</v>
    <v>New York Stock Exchange</v>
    <v>XNYS</v>
    <v>XNYS</v>
    <v>6 St James's Square, LONDON, SW1Y 4AD GB</v>
    <v>109.62</v>
    <v>Metals &amp; Mining</v>
    <v>Stock</v>
    <v>46176.701005925781</v>
    <v>30</v>
    <v>107.9</v>
    <v>175896860040</v>
    <v>RIO TINTO PLC</v>
    <v>RIO TINTO PLC</v>
    <v>109.23</v>
    <v>17.770900000000001</v>
    <v>111.67</v>
    <v>108.12</v>
    <v>1626867000</v>
    <v>RIO</v>
    <v>RIO TINTO PLC (XNYS:RIO)</v>
    <v>1605492</v>
    <v>2550669</v>
    <v>1962</v>
  </rv>
  <rv s="2">
    <v>31</v>
  </rv>
  <rv s="0">
    <v>https://www.bing.com/financeapi/forcetrigger?t=a24xlh&amp;q=XNYS%3aUNH&amp;form=skydnc</v>
    <v>Learn more on Bing</v>
  </rv>
  <rv s="1">
    <v>0</v>
    <v>UNITEDHEALTH GROUP INCORPORATED (XNYS:UNH)</v>
    <v>2</v>
    <v>3</v>
    <v>Finance</v>
    <v>4</v>
    <v>en-US</v>
    <v>a24xlh</v>
    <v>268435456</v>
    <v>1</v>
    <v>Powered by Refinitiv</v>
    <v>404.15</v>
    <v>234.6</v>
    <v>0.65059999999999996</v>
    <v>7.87</v>
    <v>2.0825E-2</v>
    <v>USD</v>
    <v>UnitedHealth Group Incorporated is a healthcare and well-being company. Its segments include Optum Health, Optum Insight, Optum Rx, and UnitedHealthcare, which includes UnitedHealthcare Employer &amp; Individual, UnitedHealthcare Medicare &amp; Retirement and UnitedHealthcare Community &amp; State. Optum Health provides comprehensive and patient-centered care, addressing the physical, mental, and social well-being. Optum Health delivers primary, specialty and surgical care and helps patients and providers navigate and address complex, chronic and behavioral health needs. Optum Insight connects the healthcare system with services, analytics and platforms that make clinical, administrative and financial processes simpler and more efficient for all participants in the healthcare system. Optum Rx offers a range of pharmacy care services through retail pharmacies, through home delivery, specialty and community health pharmacies and the provision of in-home and community-based infusion services.</v>
    <v>390000</v>
    <v>New York Stock Exchange</v>
    <v>XNYS</v>
    <v>XNYS</v>
    <v>1 HEALTH DRIVE, EDEN PRAIRIE, MN, 55344 US</v>
    <v>387.46</v>
    <v>Healthcare Providers &amp; Services</v>
    <v>Stock</v>
    <v>46176.701133645314</v>
    <v>33</v>
    <v>379.16</v>
    <v>350353028076</v>
    <v>UNITEDHEALTH GROUP INCORPORATED</v>
    <v>UNITEDHEALTH GROUP INCORPORATED</v>
    <v>380</v>
    <v>29.136199999999999</v>
    <v>377.92</v>
    <v>385.79</v>
    <v>908144400</v>
    <v>UNH</v>
    <v>UNITEDHEALTH GROUP INCORPORATED (XNYS:UNH)</v>
    <v>3399887</v>
    <v>6749495</v>
    <v>2015</v>
  </rv>
  <rv s="2">
    <v>34</v>
  </rv>
  <rv s="0">
    <v>https://www.bing.com/financeapi/forcetrigger?t=a1nhlh&amp;q=XNAS%3aAMZN&amp;form=skydnc</v>
    <v>Learn more on Bing</v>
  </rv>
  <rv s="1">
    <v>0</v>
    <v>AMAZON.COM, INC. (XNAS:AMZN)</v>
    <v>2</v>
    <v>3</v>
    <v>Finance</v>
    <v>4</v>
    <v>en-US</v>
    <v>a1nhlh</v>
    <v>268435456</v>
    <v>1</v>
    <v>Powered by Refinitiv</v>
    <v>278.56</v>
    <v>196</v>
    <v>1.4471000000000001</v>
    <v>-7.5301999999999998</v>
    <v>-2.9355000000000003E-2</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1575000</v>
    <v>Nasdaq Stock Market</v>
    <v>XNAS</v>
    <v>XNAS</v>
    <v>410 Terry Avenue North, SEATTLE, WA, 98109 US</v>
    <v>257.08999999999997</v>
    <v>Diversified Retail</v>
    <v>Stock</v>
    <v>46176.701168193751</v>
    <v>36</v>
    <v>248.27010000000001</v>
    <v>2678410667478</v>
    <v>AMAZON.COM, INC.</v>
    <v>AMAZON.COM, INC.</v>
    <v>254.4</v>
    <v>29.7561</v>
    <v>256.52</v>
    <v>248.9898</v>
    <v>10757110000</v>
    <v>AMZN</v>
    <v>AMAZON.COM, INC. (XNAS:AMZN)</v>
    <v>25200644</v>
    <v>44050082</v>
    <v>1996</v>
  </rv>
  <rv s="2">
    <v>37</v>
  </rv>
  <rv s="0">
    <v>https://www.bing.com/financeapi/forcetrigger?t=a1u3rw&amp;q=XNAS%3aGOOGL&amp;form=skydnc</v>
    <v>Learn more on Bing</v>
  </rv>
  <rv s="1">
    <v>0</v>
    <v>ALPHABET INC. (XNAS:GOOGL)</v>
    <v>2</v>
    <v>3</v>
    <v>Finance</v>
    <v>4</v>
    <v>en-US</v>
    <v>a1u3rw</v>
    <v>268435456</v>
    <v>1</v>
    <v>Powered by Refinitiv</v>
    <v>408.61</v>
    <v>162</v>
    <v>1.2404999999999999</v>
    <v>-0.93</v>
    <v>-2.5700000000000002E-3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194668</v>
    <v>Nasdaq Stock Market</v>
    <v>XNAS</v>
    <v>XNAS</v>
    <v>1600 Amphitheatre Parkway, MOUNTAIN VIEW, CA, 94043 US</v>
    <v>366.45</v>
    <v>Software &amp; IT Services</v>
    <v>Stock</v>
    <v>46176.70114016172</v>
    <v>39</v>
    <v>358.45</v>
    <v>4372906720000</v>
    <v>ALPHABET INC.</v>
    <v>ALPHABET INC.</v>
    <v>361.85</v>
    <v>27.5091</v>
    <v>361.85</v>
    <v>360.92</v>
    <v>12116000000</v>
    <v>GOOGL</v>
    <v>ALPHABET INC. (XNAS:GOOGL)</v>
    <v>28504168</v>
    <v>30448138</v>
    <v>2015</v>
  </rv>
  <rv s="2">
    <v>40</v>
  </rv>
  <rv s="0">
    <v>https://www.bing.com/financeapi/forcetrigger?t=a269ec&amp;q=XNYS%3aXOM&amp;form=skydnc</v>
    <v>Learn more on Bing</v>
  </rv>
  <rv s="1">
    <v>0</v>
    <v>EXXON MOBIL CORPORATION (XNYS:XOM)</v>
    <v>2</v>
    <v>3</v>
    <v>Finance</v>
    <v>4</v>
    <v>en-US</v>
    <v>a269ec</v>
    <v>268435456</v>
    <v>1</v>
    <v>Powered by Refinitiv</v>
    <v>176.41</v>
    <v>101.73</v>
    <v>0.14879999999999999</v>
    <v>5.22</v>
    <v>3.4902000000000002E-2</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58000</v>
    <v>New York Stock Exchange</v>
    <v>XNYS</v>
    <v>XNYS</v>
    <v>22777 SPRINGWOODS VILLAGE PARKWAY, SPRING, TX, 77389-1425 US</v>
    <v>154.91</v>
    <v>Oil &amp; Gas</v>
    <v>Stock</v>
    <v>46176.701134142968</v>
    <v>42</v>
    <v>150.11000000000001</v>
    <v>641554896660</v>
    <v>EXXON MOBIL CORPORATION</v>
    <v>EXXON MOBIL CORPORATION</v>
    <v>150.5</v>
    <v>26.1815</v>
    <v>149.56</v>
    <v>154.78</v>
    <v>4144947000</v>
    <v>XOM</v>
    <v>EXXON MOBIL CORPORATION (XNYS:XOM)</v>
    <v>5424671</v>
    <v>17262086</v>
    <v>1882</v>
  </rv>
  <rv s="2">
    <v>43</v>
  </rv>
  <rv s="0">
    <v>https://www.bing.com/financeapi/forcetrigger?t=a1mou2&amp;q=XNAS%3aAAPL&amp;form=skydnc</v>
    <v>Learn more on Bing</v>
  </rv>
  <rv s="1">
    <v>0</v>
    <v>APPLE INC. (XNAS:AAPL)</v>
    <v>2</v>
    <v>3</v>
    <v>Finance</v>
    <v>4</v>
    <v>en-US</v>
    <v>a1mou2</v>
    <v>268435456</v>
    <v>1</v>
    <v>Powered by Refinitiv</v>
    <v>316.94</v>
    <v>195.07</v>
    <v>1.0855999999999999</v>
    <v>-5.3849999999999998</v>
    <v>-1.7083999999999998E-2</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316.94</v>
    <v>Computers, Phones &amp; Household Electronics</v>
    <v>Stock</v>
    <v>46176.701139258592</v>
    <v>45</v>
    <v>309.32</v>
    <v>4550364438400</v>
    <v>APPLE INC.</v>
    <v>APPLE INC.</v>
    <v>314</v>
    <v>37.627200000000002</v>
    <v>315.2</v>
    <v>309.815</v>
    <v>14687360000</v>
    <v>AAPL</v>
    <v>APPLE INC. (XNAS:AAPL)</v>
    <v>23951363</v>
    <v>49463443</v>
    <v>1977</v>
  </rv>
  <rv s="2">
    <v>46</v>
  </rv>
  <rv s="0">
    <v>http://es.wikipedia.org/wiki/Adobe_(empresa)</v>
    <v>Wikipedia</v>
  </rv>
  <rv s="3">
    <v>15</v>
    <v>48</v>
  </rv>
  <rv s="4">
    <v>9</v>
    <v>https://www.bing.com/th?id=AMMS_503c684ccc667ad525fe1d703881df2c&amp;qlt=95</v>
    <v>49</v>
    <v>0</v>
    <v>https://www.bing.com/images/search?form=xlimg&amp;q=adobe+systems</v>
    <v>Image of ADOBE INC.</v>
  </rv>
  <rv s="0">
    <v>https://www.bing.com/financeapi/forcetrigger?t=a1mv7w&amp;q=XNAS%3aADBE&amp;form=skydnc</v>
    <v>Learn more on Bing</v>
  </rv>
  <rv s="5">
    <v>5</v>
    <v>ADOBE INC. (XNAS:ADBE)</v>
    <v>7</v>
    <v>8</v>
    <v>Finance</v>
    <v>4</v>
    <v>en-US</v>
    <v>a1mv7w</v>
    <v>268435456</v>
    <v>1</v>
    <v>Powered by Refinitiv</v>
    <v>421.48</v>
    <v>224.13</v>
    <v>1.4020999999999999</v>
    <v>-5.0431999999999997</v>
    <v>-1.9240999999999998E-2</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260</v>
    <v>50</v>
    <v>Software &amp; IT Services</v>
    <v>Stock</v>
    <v>46176.701125878906</v>
    <v>51</v>
    <v>252.34</v>
    <v>103906400560</v>
    <v>ADOBE INC.</v>
    <v>ADOBE INC.</v>
    <v>259.20999999999998</v>
    <v>14.982900000000001</v>
    <v>262.11</v>
    <v>257.0668</v>
    <v>404200000</v>
    <v>ADBE</v>
    <v>ADOBE INC. (XNAS:ADBE)</v>
    <v>2342656</v>
    <v>4826968</v>
    <v>1997</v>
  </rv>
  <rv s="2">
    <v>52</v>
  </rv>
  <rv s="0">
    <v>https://www.bing.com/financeapi/forcetrigger?t=c1dbvh&amp;q=XNYS%3aPATH&amp;form=skydnc</v>
    <v>Learn more on Bing</v>
  </rv>
  <rv s="1">
    <v>0</v>
    <v>UIPATH, INC. (XNYS:PATH)</v>
    <v>2</v>
    <v>3</v>
    <v>Finance</v>
    <v>4</v>
    <v>en-US</v>
    <v>c1dbvh</v>
    <v>268435456</v>
    <v>1</v>
    <v>Powered by Refinitiv</v>
    <v>19.84</v>
    <v>9.2002000000000006</v>
    <v>0.96489999999999998</v>
    <v>-0.60009999999999997</v>
    <v>-4.9269E-2</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12.24</v>
    <v>Software &amp; IT Services</v>
    <v>Stock</v>
    <v>46176.701101203122</v>
    <v>54</v>
    <v>11.511100000000001</v>
    <v>6026682527</v>
    <v>UIPATH, INC.</v>
    <v>UIPATH, INC.</v>
    <v>12.16</v>
    <v>19.2485</v>
    <v>12.18</v>
    <v>11.5799</v>
    <v>520443400</v>
    <v>PATH</v>
    <v>UIPATH, INC. (XNYS:PATH)</v>
    <v>15718190</v>
    <v>39411001</v>
    <v>2015</v>
  </rv>
  <rv s="2">
    <v>55</v>
  </rv>
</rvData>
</file>

<file path=xl/richData/rdrichvaluestructure.xml><?xml version="1.0" encoding="utf-8"?>
<rvStructures xmlns="http://schemas.microsoft.com/office/spreadsheetml/2017/richdata" count="8">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4">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6">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0</v>
      <v>0</v>
    </spb>
    <spb s="6">
      <v>6</v>
      <v>1</v>
      <v>1</v>
      <v>1</v>
      <v>1</v>
    </spb>
    <spb s="7">
      <v>1</v>
      <v>2</v>
      <v>2</v>
      <v>1</v>
      <v>3</v>
      <v>1</v>
      <v>10</v>
      <v>1</v>
      <v>1</v>
      <v>4</v>
      <v>4</v>
      <v>5</v>
      <v>6</v>
      <v>1</v>
      <v>1</v>
      <v>1</v>
      <v>4</v>
      <v>7</v>
      <v>8</v>
      <v>9</v>
      <v>4</v>
    </spb>
    <spb s="8">
      <v>Powered by Refinitiv</v>
    </spb>
    <spb s="9">
      <v>2</v>
      <v>Name</v>
    </spb>
    <spb s="10">
      <v>1</v>
      <v>1</v>
      <v>1</v>
    </spb>
    <spb s="0">
      <v>3</v>
      <v>Name</v>
      <v>LearnMoreOnLink</v>
    </spb>
    <spb s="11">
      <v>1</v>
      <v>1</v>
      <v>1</v>
    </spb>
    <spb s="12">
      <v>1</v>
      <v>1</v>
      <v>3</v>
      <v>1</v>
      <v>1</v>
      <v>1</v>
      <v>5</v>
      <v>1</v>
      <v>1</v>
      <v>1</v>
      <v>9</v>
    </spb>
    <spb s="13">
      <v>from previous close</v>
      <v>from previous close</v>
    </spb>
  </spbData>
</supportingPropertyBags>
</file>

<file path=xl/richData/rdsupportingpropertybagstructure.xml><?xml version="1.0" encoding="utf-8"?>
<spbStructures xmlns="http://schemas.microsoft.com/office/spreadsheetml/2017/richdata2" count="14">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Order" t="spba"/>
    <k n="TitleProperty" t="s"/>
  </s>
  <s>
    <k n="ExchangeID" t="spb"/>
    <k n="UniqueName" t="spb"/>
    <k n="`%ProviderInfo" t="spb"/>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F1FAB9A-CCFE-C14D-87AF-0AF9FAF5812C}">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I19"/>
  <sheetViews>
    <sheetView tabSelected="1" zoomScale="169" workbookViewId="0">
      <selection activeCell="C10" sqref="C10"/>
    </sheetView>
  </sheetViews>
  <sheetFormatPr baseColWidth="10" defaultRowHeight="16" x14ac:dyDescent="0.2"/>
  <cols>
    <col min="1" max="1" width="2.6640625" style="1" customWidth="1"/>
    <col min="2" max="2" width="24.33203125" style="1" customWidth="1"/>
    <col min="3" max="3" width="12.1640625" style="1" customWidth="1"/>
    <col min="4" max="4" width="11.83203125" style="1" customWidth="1"/>
    <col min="5" max="5" width="12.1640625" style="1" customWidth="1"/>
    <col min="6" max="6" width="7.83203125" style="1" customWidth="1"/>
    <col min="7" max="7" width="9.83203125" style="1" customWidth="1"/>
    <col min="8" max="8" width="41.5" style="1" customWidth="1"/>
    <col min="9" max="16384" width="10.83203125" style="1"/>
  </cols>
  <sheetData>
    <row r="1" spans="1:9" ht="11" customHeight="1" x14ac:dyDescent="0.2"/>
    <row r="2" spans="1:9" x14ac:dyDescent="0.2">
      <c r="B2" s="2" t="s">
        <v>0</v>
      </c>
      <c r="C2" s="2" t="s">
        <v>1</v>
      </c>
      <c r="D2" s="2" t="s">
        <v>2</v>
      </c>
      <c r="E2" s="2" t="s">
        <v>3</v>
      </c>
      <c r="F2" s="2" t="s">
        <v>4</v>
      </c>
      <c r="G2" s="2" t="s">
        <v>6</v>
      </c>
      <c r="H2" s="2" t="s">
        <v>5</v>
      </c>
      <c r="I2" s="2" t="s">
        <v>7</v>
      </c>
    </row>
    <row r="3" spans="1:9" x14ac:dyDescent="0.2">
      <c r="B3" s="3" t="e" vm="1">
        <v>#VALUE!</v>
      </c>
      <c r="C3" s="4" cm="1">
        <f t="array" aca="1" ref="C3" ca="1">_FV(B3,"Price")</f>
        <v>533.30499999999995</v>
      </c>
      <c r="D3" s="4" cm="1">
        <f t="array" aca="1" ref="D3" ca="1">_FV(B3,"52 week high",TRUE)</f>
        <v>544.04</v>
      </c>
      <c r="E3" s="4" cm="1">
        <f t="array" aca="1" ref="E3" ca="1">_FV(B3,"52 week low",TRUE)</f>
        <v>113.28</v>
      </c>
      <c r="F3" s="5" cm="1">
        <f t="array" aca="1" ref="F3" ca="1">_FV(B3,"Beta")</f>
        <v>2.4923000000000002</v>
      </c>
      <c r="G3" s="6" t="str" cm="1">
        <f t="array" aca="1" ref="G3" ca="1">_FV(B3,"Ticker symbol",TRUE)</f>
        <v>AMD</v>
      </c>
      <c r="H3" s="6" t="str" cm="1">
        <f t="array" aca="1" ref="H3" ca="1">_FV(B3,"Industry")</f>
        <v>Semiconductors &amp; Semiconductor Equipment</v>
      </c>
      <c r="I3" s="7" cm="1">
        <f t="array" aca="1" ref="I3" ca="1">_FV(B3,"Volume average",TRUE)</f>
        <v>39329105</v>
      </c>
    </row>
    <row r="4" spans="1:9" x14ac:dyDescent="0.2">
      <c r="B4" s="3" t="e" vm="2">
        <v>#VALUE!</v>
      </c>
      <c r="C4" s="4" cm="1">
        <f t="array" aca="1" ref="C4" ca="1">_FV(B4,"Price")</f>
        <v>104.735</v>
      </c>
      <c r="D4" s="4" cm="1">
        <f t="array" aca="1" ref="D4" ca="1">_FV(B4,"52 week high",TRUE)</f>
        <v>540.29999999999995</v>
      </c>
      <c r="E4" s="4" cm="1">
        <f t="array" aca="1" ref="E4" ca="1">_FV(B4,"52 week low",TRUE)</f>
        <v>87.89</v>
      </c>
      <c r="F4" s="5" cm="1">
        <f t="array" aca="1" ref="F4" ca="1">_FV(B4,"Beta")</f>
        <v>0.88739999999999997</v>
      </c>
      <c r="G4" s="6" t="str" cm="1">
        <f t="array" aca="1" ref="G4" ca="1">_FV(B4,"Ticker symbol",TRUE)</f>
        <v>DUOL</v>
      </c>
      <c r="H4" s="6" t="str" cm="1">
        <f t="array" aca="1" ref="H4" ca="1">_FV(B4,"Industry")</f>
        <v>Software &amp; IT Services</v>
      </c>
      <c r="I4" s="7" cm="1">
        <f t="array" aca="1" ref="I4" ca="1">_FV(B4,"Volume average",TRUE)</f>
        <v>1861078</v>
      </c>
    </row>
    <row r="5" spans="1:9" x14ac:dyDescent="0.2">
      <c r="B5" s="3" t="e" vm="3">
        <v>#VALUE!</v>
      </c>
      <c r="C5" s="4" cm="1">
        <f t="array" aca="1" ref="C5" ca="1">_FV(B5,"Price")</f>
        <v>111.99</v>
      </c>
      <c r="D5" s="4" cm="1">
        <f t="array" aca="1" ref="D5" ca="1">_FV(B5,"52 week high",TRUE)</f>
        <v>132.75</v>
      </c>
      <c r="E5" s="4" cm="1">
        <f t="array" aca="1" ref="E5" ca="1">_FV(B5,"52 week low",TRUE)</f>
        <v>18.965</v>
      </c>
      <c r="F5" s="5" cm="1">
        <f t="array" aca="1" ref="F5" ca="1">_FV(B5,"Beta")</f>
        <v>2.2317999999999998</v>
      </c>
      <c r="G5" s="6" t="str" cm="1">
        <f t="array" aca="1" ref="G5" ca="1">_FV(B5,"Ticker symbol",TRUE)</f>
        <v>INTC</v>
      </c>
      <c r="H5" s="6" t="str" cm="1">
        <f t="array" aca="1" ref="H5" ca="1">_FV(B5,"Industry")</f>
        <v>Semiconductors &amp; Semiconductor Equipment</v>
      </c>
      <c r="I5" s="7" cm="1">
        <f t="array" aca="1" ref="I5" ca="1">_FV(B5,"Volume average",TRUE)</f>
        <v>145048030</v>
      </c>
    </row>
    <row r="6" spans="1:9" x14ac:dyDescent="0.2">
      <c r="B6" s="3" t="e" vm="4">
        <v>#VALUE!</v>
      </c>
      <c r="C6" s="4" cm="1">
        <f t="array" aca="1" ref="C6" ca="1">_FV(B6,"Price")</f>
        <v>215.58</v>
      </c>
      <c r="D6" s="4" cm="1">
        <f t="array" aca="1" ref="D6" ca="1">_FV(B6,"52 week high",TRUE)</f>
        <v>236.54</v>
      </c>
      <c r="E6" s="4" cm="1">
        <f t="array" aca="1" ref="E6" ca="1">_FV(B6,"52 week low",TRUE)</f>
        <v>137.94999999999999</v>
      </c>
      <c r="F6" s="5" cm="1">
        <f t="array" aca="1" ref="F6" ca="1">_FV(B6,"Beta")</f>
        <v>2.2002999999999999</v>
      </c>
      <c r="G6" s="6" t="str" cm="1">
        <f t="array" aca="1" ref="G6" ca="1">_FV(B6,"Ticker symbol",TRUE)</f>
        <v>NVDA</v>
      </c>
      <c r="H6" s="6" t="str" cm="1">
        <f t="array" aca="1" ref="H6" ca="1">_FV(B6,"Industry")</f>
        <v>Semiconductors &amp; Semiconductor Equipment</v>
      </c>
      <c r="I6" s="7" cm="1">
        <f t="array" aca="1" ref="I6" ca="1">_FV(B6,"Volume average",TRUE)</f>
        <v>170411221</v>
      </c>
    </row>
    <row r="7" spans="1:9" x14ac:dyDescent="0.2">
      <c r="B7" s="3" t="e" vm="5">
        <v>#VALUE!</v>
      </c>
      <c r="C7" s="4" cm="1">
        <f t="array" aca="1" ref="C7" ca="1">_FV(B7,"Price")</f>
        <v>9.73</v>
      </c>
      <c r="D7" s="4" cm="1">
        <f t="array" aca="1" ref="D7" ca="1">_FV(B7,"52 week high",TRUE)</f>
        <v>32.76</v>
      </c>
      <c r="E7" s="4" cm="1">
        <f t="array" aca="1" ref="E7" ca="1">_FV(B7,"52 week low",TRUE)</f>
        <v>7.77</v>
      </c>
      <c r="F7" s="5" cm="1">
        <f t="array" aca="1" ref="F7" ca="1">_FV(B7,"Beta")</f>
        <v>0.87970000000000004</v>
      </c>
      <c r="G7" s="6" t="str" cm="1">
        <f t="array" aca="1" ref="G7" ca="1">_FV(B7,"Ticker symbol",TRUE)</f>
        <v>PHR</v>
      </c>
      <c r="H7" s="6" t="str" cm="1">
        <f t="array" aca="1" ref="H7" ca="1">_FV(B7,"Industry")</f>
        <v>Software &amp; IT Services</v>
      </c>
      <c r="I7" s="7" cm="1">
        <f t="array" aca="1" ref="I7" ca="1">_FV(B7,"Volume average",TRUE)</f>
        <v>1655919</v>
      </c>
    </row>
    <row r="8" spans="1:9" x14ac:dyDescent="0.2">
      <c r="B8" s="3" t="e" vm="6">
        <v>#VALUE!</v>
      </c>
      <c r="C8" s="4" cm="1">
        <f t="array" aca="1" ref="C8" ca="1">_FV(B8,"Price")</f>
        <v>249.125</v>
      </c>
      <c r="D8" s="4" cm="1">
        <f t="array" aca="1" ref="D8" ca="1">_FV(B8,"52 week high",TRUE)</f>
        <v>259.92</v>
      </c>
      <c r="E8" s="4" cm="1">
        <f t="array" aca="1" ref="E8" ca="1">_FV(B8,"52 week low",TRUE)</f>
        <v>121.99</v>
      </c>
      <c r="F8" s="5" cm="1">
        <f t="array" aca="1" ref="F8" ca="1">_FV(B8,"Beta")</f>
        <v>1.5984</v>
      </c>
      <c r="G8" s="6" t="str" cm="1">
        <f t="array" aca="1" ref="G8" ca="1">_FV(B8,"Ticker symbol",TRUE)</f>
        <v>QCOM</v>
      </c>
      <c r="H8" s="6" t="str" cm="1">
        <f t="array" aca="1" ref="H8" ca="1">_FV(B8,"Industry")</f>
        <v>Semiconductors &amp; Semiconductor Equipment</v>
      </c>
      <c r="I8" s="7" cm="1">
        <f t="array" aca="1" ref="I8" ca="1">_FV(B8,"Volume average",TRUE)</f>
        <v>29778674</v>
      </c>
    </row>
    <row r="9" spans="1:9" x14ac:dyDescent="0.2">
      <c r="B9" s="3" t="e" vm="7">
        <v>#VALUE!</v>
      </c>
      <c r="C9" s="4" cm="1">
        <f t="array" aca="1" ref="C9" ca="1">_FV(B9,"Price")</f>
        <v>121.84</v>
      </c>
      <c r="D9" s="4" cm="1">
        <f t="array" aca="1" ref="D9" ca="1">_FV(B9,"52 week high",TRUE)</f>
        <v>133.99</v>
      </c>
      <c r="E9" s="4" cm="1">
        <f t="array" aca="1" ref="E9" ca="1">_FV(B9,"52 week low",TRUE)</f>
        <v>80.69</v>
      </c>
      <c r="F9" s="5" cm="1">
        <f t="array" aca="1" ref="F9" ca="1">_FV(B9,"Beta")</f>
        <v>1.397</v>
      </c>
      <c r="G9" s="6" t="str" cm="1">
        <f t="array" aca="1" ref="G9" ca="1">_FV(B9,"Ticker symbol",TRUE)</f>
        <v>SN</v>
      </c>
      <c r="H9" s="6" t="str" cm="1">
        <f t="array" aca="1" ref="H9" ca="1">_FV(B9,"Industry")</f>
        <v>Household Goods</v>
      </c>
      <c r="I9" s="7" cm="1">
        <f t="array" aca="1" ref="I9" ca="1">_FV(B9,"Volume average",TRUE)</f>
        <v>2606555</v>
      </c>
    </row>
    <row r="10" spans="1:9" x14ac:dyDescent="0.2">
      <c r="A10" s="8" t="s">
        <v>8</v>
      </c>
      <c r="B10" s="3" t="e" vm="8">
        <v>#VALUE!</v>
      </c>
      <c r="C10" s="4" cm="1">
        <f t="array" aca="1" ref="C10" ca="1">_FV(B10,"Price")</f>
        <v>44.55</v>
      </c>
      <c r="D10" s="4" cm="1">
        <f t="array" aca="1" ref="D10" ca="1">_FV(B10,"52 week high",TRUE)</f>
        <v>46.87</v>
      </c>
      <c r="E10" s="4" cm="1">
        <f t="array" aca="1" ref="E10" ca="1">_FV(B10,"52 week low",TRUE)</f>
        <v>39.47</v>
      </c>
      <c r="F10" s="4"/>
      <c r="G10" s="6" t="str" cm="1">
        <f t="array" aca="1" ref="G10" ca="1">_FV(B10,"Ticker symbol",TRUE)</f>
        <v>TNX</v>
      </c>
      <c r="H10" s="6"/>
      <c r="I10" s="7"/>
    </row>
    <row r="11" spans="1:9" x14ac:dyDescent="0.2">
      <c r="B11" s="3" t="e" vm="9">
        <v>#VALUE!</v>
      </c>
      <c r="C11" s="4" cm="1">
        <f t="array" aca="1" ref="C11" ca="1">_FV(B11,"Price")</f>
        <v>3.18</v>
      </c>
      <c r="D11" s="4" cm="1">
        <f t="array" aca="1" ref="D11" ca="1">_FV(B11,"52 week high",TRUE)</f>
        <v>3.4499</v>
      </c>
      <c r="E11" s="4" cm="1">
        <f t="array" aca="1" ref="E11" ca="1">_FV(B11,"52 week low",TRUE)</f>
        <v>2.1</v>
      </c>
      <c r="F11" s="5" cm="1">
        <f t="array" aca="1" ref="F11" ca="1">_FV(B11,"Beta")</f>
        <v>0.66369999999999996</v>
      </c>
      <c r="G11" s="6" t="str" cm="1">
        <f t="array" aca="1" ref="G11" ca="1">_FV(B11,"Ticker symbol",TRUE)</f>
        <v>ABEV</v>
      </c>
      <c r="H11" s="6" t="str" cm="1">
        <f t="array" aca="1" ref="H11" ca="1">_FV(B11,"Industry")</f>
        <v>Beverages</v>
      </c>
      <c r="I11" s="7" cm="1">
        <f t="array" aca="1" ref="I11" ca="1">_FV(B11,"Volume average",TRUE)</f>
        <v>30544974</v>
      </c>
    </row>
    <row r="12" spans="1:9" x14ac:dyDescent="0.2">
      <c r="B12" s="3" t="e" vm="10">
        <v>#VALUE!</v>
      </c>
      <c r="C12" s="4" cm="1">
        <f t="array" aca="1" ref="C12" ca="1">_FV(B12,"Price")</f>
        <v>108.12</v>
      </c>
      <c r="D12" s="4" cm="1">
        <f t="array" aca="1" ref="D12" ca="1">_FV(B12,"52 week high",TRUE)</f>
        <v>112.58</v>
      </c>
      <c r="E12" s="4" cm="1">
        <f t="array" aca="1" ref="E12" ca="1">_FV(B12,"52 week low",TRUE)</f>
        <v>55.64</v>
      </c>
      <c r="F12" s="5" cm="1">
        <f t="array" aca="1" ref="F12" ca="1">_FV(B12,"Beta")</f>
        <v>0.58630000000000004</v>
      </c>
      <c r="G12" s="6" t="str" cm="1">
        <f t="array" aca="1" ref="G12" ca="1">_FV(B12,"Ticker symbol",TRUE)</f>
        <v>RIO</v>
      </c>
      <c r="H12" s="6" t="str" cm="1">
        <f t="array" aca="1" ref="H12" ca="1">_FV(B12,"Industry")</f>
        <v>Metals &amp; Mining</v>
      </c>
      <c r="I12" s="7" cm="1">
        <f t="array" aca="1" ref="I12" ca="1">_FV(B12,"Volume average",TRUE)</f>
        <v>2550669</v>
      </c>
    </row>
    <row r="13" spans="1:9" x14ac:dyDescent="0.2">
      <c r="B13" s="3" t="e" vm="11">
        <v>#VALUE!</v>
      </c>
      <c r="C13" s="4" cm="1">
        <f t="array" aca="1" ref="C13" ca="1">_FV(B13,"Price")</f>
        <v>385.79</v>
      </c>
      <c r="D13" s="4" cm="1">
        <f t="array" aca="1" ref="D13" ca="1">_FV(B13,"52 week high",TRUE)</f>
        <v>404.15</v>
      </c>
      <c r="E13" s="4" cm="1">
        <f t="array" aca="1" ref="E13" ca="1">_FV(B13,"52 week low",TRUE)</f>
        <v>234.6</v>
      </c>
      <c r="F13" s="5" cm="1">
        <f t="array" aca="1" ref="F13" ca="1">_FV(B13,"Beta")</f>
        <v>0.65059999999999996</v>
      </c>
      <c r="G13" s="6" t="str" cm="1">
        <f t="array" aca="1" ref="G13" ca="1">_FV(B13,"Ticker symbol",TRUE)</f>
        <v>UNH</v>
      </c>
      <c r="H13" s="6" t="str" cm="1">
        <f t="array" aca="1" ref="H13" ca="1">_FV(B13,"Industry")</f>
        <v>Healthcare Providers &amp; Services</v>
      </c>
      <c r="I13" s="7" cm="1">
        <f t="array" aca="1" ref="I13" ca="1">_FV(B13,"Volume average",TRUE)</f>
        <v>6749495</v>
      </c>
    </row>
    <row r="14" spans="1:9" x14ac:dyDescent="0.2">
      <c r="B14" s="3" t="e" vm="12">
        <v>#VALUE!</v>
      </c>
      <c r="C14" s="4" cm="1">
        <f t="array" aca="1" ref="C14" ca="1">_FV(B14,"Price")</f>
        <v>248.9898</v>
      </c>
      <c r="D14" s="4" cm="1">
        <f t="array" aca="1" ref="D14" ca="1">_FV(B14,"52 week high",TRUE)</f>
        <v>278.56</v>
      </c>
      <c r="E14" s="4" cm="1">
        <f t="array" aca="1" ref="E14" ca="1">_FV(B14,"52 week low",TRUE)</f>
        <v>196</v>
      </c>
      <c r="F14" s="5" cm="1">
        <f t="array" aca="1" ref="F14" ca="1">_FV(B14,"Beta")</f>
        <v>1.4471000000000001</v>
      </c>
      <c r="G14" s="6" t="str" cm="1">
        <f t="array" aca="1" ref="G14" ca="1">_FV(B14,"Ticker symbol",TRUE)</f>
        <v>AMZN</v>
      </c>
      <c r="H14" s="6" t="str" cm="1">
        <f t="array" aca="1" ref="H14" ca="1">_FV(B14,"Industry")</f>
        <v>Diversified Retail</v>
      </c>
      <c r="I14" s="7" cm="1">
        <f t="array" aca="1" ref="I14" ca="1">_FV(B14,"Volume average",TRUE)</f>
        <v>44050082</v>
      </c>
    </row>
    <row r="15" spans="1:9" x14ac:dyDescent="0.2">
      <c r="B15" s="3" t="e" vm="13">
        <v>#VALUE!</v>
      </c>
      <c r="C15" s="4" cm="1">
        <f t="array" aca="1" ref="C15" ca="1">_FV(B15,"Price")</f>
        <v>360.92</v>
      </c>
      <c r="D15" s="4" cm="1">
        <f t="array" aca="1" ref="D15" ca="1">_FV(B15,"52 week high",TRUE)</f>
        <v>408.61</v>
      </c>
      <c r="E15" s="4" cm="1">
        <f t="array" aca="1" ref="E15" ca="1">_FV(B15,"52 week low",TRUE)</f>
        <v>162</v>
      </c>
      <c r="F15" s="5" cm="1">
        <f t="array" aca="1" ref="F15" ca="1">_FV(B15,"Beta")</f>
        <v>1.2404999999999999</v>
      </c>
      <c r="G15" s="6" t="str" cm="1">
        <f t="array" aca="1" ref="G15" ca="1">_FV(B15,"Ticker symbol",TRUE)</f>
        <v>GOOGL</v>
      </c>
      <c r="H15" s="6" t="str" cm="1">
        <f t="array" aca="1" ref="H15" ca="1">_FV(B15,"Industry")</f>
        <v>Software &amp; IT Services</v>
      </c>
      <c r="I15" s="7" cm="1">
        <f t="array" aca="1" ref="I15" ca="1">_FV(B15,"Volume average",TRUE)</f>
        <v>30448138</v>
      </c>
    </row>
    <row r="16" spans="1:9" x14ac:dyDescent="0.2">
      <c r="B16" s="3" t="e" vm="14">
        <v>#VALUE!</v>
      </c>
      <c r="C16" s="4" cm="1">
        <f t="array" aca="1" ref="C16" ca="1">_FV(B16,"Price")</f>
        <v>154.78</v>
      </c>
      <c r="D16" s="4" cm="1">
        <f t="array" aca="1" ref="D16" ca="1">_FV(B16,"52 week high",TRUE)</f>
        <v>176.41</v>
      </c>
      <c r="E16" s="4" cm="1">
        <f t="array" aca="1" ref="E16" ca="1">_FV(B16,"52 week low",TRUE)</f>
        <v>101.73</v>
      </c>
      <c r="F16" s="5" cm="1">
        <f t="array" aca="1" ref="F16" ca="1">_FV(B16,"Beta")</f>
        <v>0.14879999999999999</v>
      </c>
      <c r="G16" s="6" t="str" cm="1">
        <f t="array" aca="1" ref="G16" ca="1">_FV(B16,"Ticker symbol",TRUE)</f>
        <v>XOM</v>
      </c>
      <c r="H16" s="6" t="str" cm="1">
        <f t="array" aca="1" ref="H16" ca="1">_FV(B16,"Industry")</f>
        <v>Oil &amp; Gas</v>
      </c>
      <c r="I16" s="7" cm="1">
        <f t="array" aca="1" ref="I16" ca="1">_FV(B16,"Volume average",TRUE)</f>
        <v>17262086</v>
      </c>
    </row>
    <row r="17" spans="2:9" x14ac:dyDescent="0.2">
      <c r="B17" s="3" t="e" vm="15">
        <v>#VALUE!</v>
      </c>
      <c r="C17" s="4" cm="1">
        <f t="array" aca="1" ref="C17" ca="1">_FV(B17,"Price")</f>
        <v>309.815</v>
      </c>
      <c r="D17" s="4" cm="1">
        <f t="array" aca="1" ref="D17" ca="1">_FV(B17,"52 week high",TRUE)</f>
        <v>316.94</v>
      </c>
      <c r="E17" s="4" cm="1">
        <f t="array" aca="1" ref="E17" ca="1">_FV(B17,"52 week low",TRUE)</f>
        <v>195.07</v>
      </c>
      <c r="F17" s="5" cm="1">
        <f t="array" aca="1" ref="F17" ca="1">_FV(B17,"Beta")</f>
        <v>1.0855999999999999</v>
      </c>
      <c r="G17" s="6" t="str" cm="1">
        <f t="array" aca="1" ref="G17" ca="1">_FV(B17,"Ticker symbol",TRUE)</f>
        <v>AAPL</v>
      </c>
      <c r="H17" s="6" t="str" cm="1">
        <f t="array" aca="1" ref="H17" ca="1">_FV(B17,"Industry")</f>
        <v>Computers, Phones &amp; Household Electronics</v>
      </c>
      <c r="I17" s="7" cm="1">
        <f t="array" aca="1" ref="I17" ca="1">_FV(B17,"Volume average",TRUE)</f>
        <v>49463443</v>
      </c>
    </row>
    <row r="18" spans="2:9" x14ac:dyDescent="0.2">
      <c r="B18" s="3" t="e" vm="16">
        <v>#VALUE!</v>
      </c>
      <c r="C18" s="4" cm="1">
        <f t="array" aca="1" ref="C18" ca="1">_FV(B18,"Price")</f>
        <v>257.0668</v>
      </c>
      <c r="D18" s="4" cm="1">
        <f t="array" aca="1" ref="D18" ca="1">_FV(B18,"52 week high",TRUE)</f>
        <v>421.48</v>
      </c>
      <c r="E18" s="4" cm="1">
        <f t="array" aca="1" ref="E18" ca="1">_FV(B18,"52 week low",TRUE)</f>
        <v>224.13</v>
      </c>
      <c r="F18" s="5" cm="1">
        <f t="array" aca="1" ref="F18" ca="1">_FV(B18,"Beta")</f>
        <v>1.4020999999999999</v>
      </c>
      <c r="G18" s="6" t="str" cm="1">
        <f t="array" aca="1" ref="G18" ca="1">_FV(B18,"Ticker symbol",TRUE)</f>
        <v>ADBE</v>
      </c>
      <c r="H18" s="6" t="str" cm="1">
        <f t="array" aca="1" ref="H18" ca="1">_FV(B18,"Industry")</f>
        <v>Software &amp; IT Services</v>
      </c>
      <c r="I18" s="7" cm="1">
        <f t="array" aca="1" ref="I18" ca="1">_FV(B18,"Volume average",TRUE)</f>
        <v>4826968</v>
      </c>
    </row>
    <row r="19" spans="2:9" x14ac:dyDescent="0.2">
      <c r="B19" s="3" t="e" vm="17">
        <v>#VALUE!</v>
      </c>
      <c r="C19" s="4" cm="1">
        <f t="array" aca="1" ref="C19" ca="1">_FV(B19,"Price")</f>
        <v>11.5799</v>
      </c>
      <c r="D19" s="4" cm="1">
        <f t="array" aca="1" ref="D19" ca="1">_FV(B19,"52 week high",TRUE)</f>
        <v>19.84</v>
      </c>
      <c r="E19" s="4" cm="1">
        <f t="array" aca="1" ref="E19" ca="1">_FV(B19,"52 week low",TRUE)</f>
        <v>9.2002000000000006</v>
      </c>
      <c r="F19" s="5" cm="1">
        <f t="array" aca="1" ref="F19" ca="1">_FV(B19,"Beta")</f>
        <v>0.96489999999999998</v>
      </c>
      <c r="G19" s="6" t="str" cm="1">
        <f t="array" aca="1" ref="G19" ca="1">_FV(B19,"Ticker symbol",TRUE)</f>
        <v>PATH</v>
      </c>
      <c r="H19" s="6" t="str" cm="1">
        <f t="array" aca="1" ref="H19" ca="1">_FV(B19,"Industry")</f>
        <v>Software &amp; IT Services</v>
      </c>
      <c r="I19" s="7" cm="1">
        <f t="array" aca="1" ref="I19" ca="1">_FV(B19,"Volume average",TRUE)</f>
        <v>39411001</v>
      </c>
    </row>
  </sheetData>
  <autoFilter ref="G2:H9" xr:uid="{825B172E-7ADE-4B4A-B533-F037BCFCDCB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2026-06-03T16:50:30Z</dcterms:modified>
</cp:coreProperties>
</file>