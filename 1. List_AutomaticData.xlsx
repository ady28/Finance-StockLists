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27887BF-B80C-2D41-99F0-175675A2C6A5}"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 l="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<sst xmlns="http://schemas.openxmlformats.org/spreadsheetml/2006/main" count="9" uniqueCount="9">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</sst>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4">
  <rv s="0">
    <v>https://www.bing.com/financeapi/forcetrigger?t=a1ndww&amp;q=XNAS%3aAMD&amp;form=skydnc</v>
    <v>Learn more on Bing</v>
  </rv>
  <rv s="1">
    <v>0</v>
    <v>ADVANCED MICRO DEVICES, INC. (XNAS:AMD)</v>
    <v>2</v>
    <v>3</v>
    <v>Finance</v>
    <v>4</v>
    <v>en-US</v>
    <v>a1ndww</v>
    <v>268435456</v>
    <v>1</v>
    <v>Powered by Refinitiv</v>
    <v>358.23500000000001</v>
    <v>96.45</v>
    <v>2.3980000000000001</v>
    <v>-0.53100000000000003</v>
    <v>-1.498E-3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358.23500000000001</v>
    <v>Semiconductors &amp; Semiconductor Equipment</v>
    <v>Stock</v>
    <v>46143.6627104625</v>
    <v>0</v>
    <v>349.25</v>
    <v>577073162101</v>
    <v>ADVANCED MICRO DEVICES, INC.</v>
    <v>ADVANCED MICRO DEVICES, INC.</v>
    <v>352.34</v>
    <v>135.90809999999999</v>
    <v>354.49</v>
    <v>353.959</v>
    <v>1630339000</v>
    <v>AMD</v>
    <v>ADVANCED MICRO DEVICES, INC. (XNAS:AMD)</v>
    <v>14350588</v>
    <v>40060951</v>
    <v>1969</v>
  </rv>
  <rv s="2">
    <v>1</v>
  </rv>
  <rv s="0">
    <v>https://www.bing.com/financeapi/forcetrigger?t=c2mtim&amp;q=XNAS%3aDUOL&amp;form=skydnc</v>
    <v>Learn more on Bing</v>
  </rv>
  <rv s="1">
    <v>0</v>
    <v>DUOLINGO, INC. (XNAS:DUOL)</v>
    <v>2</v>
    <v>3</v>
    <v>Finance</v>
    <v>4</v>
    <v>en-US</v>
    <v>c2mtim</v>
    <v>268435456</v>
    <v>1</v>
    <v>Powered by Refinitiv</v>
    <v>544.92999999999995</v>
    <v>87.89</v>
    <v>0.8992</v>
    <v>3.79</v>
    <v>3.4423000000000002E-2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114.776</v>
    <v>Software &amp; IT Services</v>
    <v>Stock</v>
    <v>46143.66267138828</v>
    <v>3</v>
    <v>110.22499999999999</v>
    <v>5328005396</v>
    <v>DUOLINGO, INC.</v>
    <v>DUOLINGO, INC.</v>
    <v>113</v>
    <v>13.4336</v>
    <v>110.1</v>
    <v>113.89</v>
    <v>46782030</v>
    <v>DUOL</v>
    <v>DUOLINGO, INC. (XNAS:DUOL)</v>
    <v>613351</v>
    <v>1685147</v>
    <v>2011</v>
  </rv>
  <rv s="2">
    <v>4</v>
  </rv>
  <rv s="0">
    <v>https://www.bing.com/financeapi/forcetrigger?t=a1vmf2&amp;q=XNAS%3aINTC&amp;form=skydnc</v>
    <v>Learn more on Bing</v>
  </rv>
  <rv s="1">
    <v>0</v>
    <v>INTEL CORPORATION (XNAS:INTC)</v>
    <v>2</v>
    <v>3</v>
    <v>Finance</v>
    <v>4</v>
    <v>en-US</v>
    <v>a1vmf2</v>
    <v>268435456</v>
    <v>1</v>
    <v>Powered by Refinitiv</v>
    <v>100.45</v>
    <v>18.965</v>
    <v>2.1892</v>
    <v>4.6700999999999997</v>
    <v>4.9429999999999995E-2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100.45</v>
    <v>Semiconductors &amp; Semiconductor Equipment</v>
    <v>Stock</v>
    <v>46143.662704675779</v>
    <v>6</v>
    <v>92.62</v>
    <v>498328402600</v>
    <v>INTEL CORPORATION</v>
    <v>INTEL CORPORATION</v>
    <v>93.11</v>
    <v>0</v>
    <v>94.48</v>
    <v>99.150099999999995</v>
    <v>5026000000</v>
    <v>INTC</v>
    <v>INTEL CORPORATION (XNAS:INTC)</v>
    <v>90777511</v>
    <v>128370885</v>
    <v>1989</v>
  </rv>
  <rv s="2">
    <v>7</v>
  </rv>
  <rv s="0">
    <v>https://www.bing.com/financeapi/forcetrigger?t=a1yv52&amp;q=XNAS%3aNVDA&amp;form=skydnc</v>
    <v>Learn more on Bing</v>
  </rv>
  <rv s="1">
    <v>0</v>
    <v>NVIDIA CORPORATION (XNAS:NVDA)</v>
    <v>2</v>
    <v>3</v>
    <v>Finance</v>
    <v>4</v>
    <v>en-US</v>
    <v>a1yv52</v>
    <v>268435456</v>
    <v>1</v>
    <v>Powered by Refinitiv</v>
    <v>216.82499999999999</v>
    <v>110.822</v>
    <v>2.2433000000000001</v>
    <v>-0.38</v>
    <v>-1.9040000000000001E-3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203</v>
    <v>Semiconductors &amp; Semiconductor Equipment</v>
    <v>Stock</v>
    <v>46143.662685381249</v>
    <v>9</v>
    <v>197.12</v>
    <v>4840317000000</v>
    <v>NVIDIA CORPORATION</v>
    <v>NVIDIA CORPORATION</v>
    <v>201.26</v>
    <v>40.636099999999999</v>
    <v>199.57</v>
    <v>199.19</v>
    <v>24300000000</v>
    <v>NVDA</v>
    <v>NVIDIA CORPORATION (XNAS:NVDA)</v>
    <v>63330874</v>
    <v>156948876</v>
    <v>1998</v>
  </rv>
  <rv s="2">
    <v>10</v>
  </rv>
  <rv s="0">
    <v>https://www.bing.com/financeapi/forcetrigger?t=bqw82w&amp;q=XNYS%3aPHR&amp;form=skydnc</v>
    <v>Learn more on Bing</v>
  </rv>
  <rv s="1">
    <v>0</v>
    <v>PHREESIA, INC. (XNYS:PHR)</v>
    <v>2</v>
    <v>3</v>
    <v>Finance</v>
    <v>4</v>
    <v>en-US</v>
    <v>bqw82w</v>
    <v>268435456</v>
    <v>1</v>
    <v>Powered by Refinitiv</v>
    <v>32.76</v>
    <v>7.77</v>
    <v>0.89129999999999998</v>
    <v>0.43</v>
    <v>4.6688E-2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9.67</v>
    <v>Software &amp; IT Services</v>
    <v>Stock</v>
    <v>46143.66264373828</v>
    <v>12</v>
    <v>9.27</v>
    <v>585755898</v>
    <v>PHREESIA, INC.</v>
    <v>PHREESIA, INC.</v>
    <v>9.58</v>
    <v>278.61270000000002</v>
    <v>9.2100000000000009</v>
    <v>9.64</v>
    <v>60763060</v>
    <v>PHR</v>
    <v>PHREESIA, INC. (XNYS:PHR)</v>
    <v>397683</v>
    <v>2506370</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121.99</v>
    <v>1.4923</v>
    <v>-5.24</v>
    <v>-2.9179E-2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179.96</v>
    <v>18</v>
    <v>Semiconductors &amp; Semiconductor Equipment</v>
    <v>Stock</v>
    <v>46143.662695231251</v>
    <v>19</v>
    <v>171.15</v>
    <v>183754360000</v>
    <v>QUALCOMM INCORPORATED</v>
    <v>QUALCOMM INCORPORATED</v>
    <v>179.58</v>
    <v>18.9636</v>
    <v>179.58</v>
    <v>174.34</v>
    <v>1054000000</v>
    <v>QCOM</v>
    <v>QUALCOMM INCORPORATED (XNAS:QCOM)</v>
    <v>9631130</v>
    <v>15464997</v>
    <v>1991</v>
  </rv>
  <rv s="2">
    <v>20</v>
  </rv>
  <rv s="6">
    <v>10</v>
    <v>SHARKNINJA, INC. (XNYS:SN)</v>
    <v>11</v>
    <v>3</v>
    <v>Finance</v>
    <v>4</v>
    <v>en-US</v>
    <v>cag2ar</v>
    <v>268435456</v>
    <v>1</v>
    <v>Powered by Refinitiv</v>
    <v>133.99</v>
    <v>78.819999999999993</v>
    <v>1.4139999999999999</v>
    <v>0.38500000000000001</v>
    <v>3.3319999999999999E-3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117.05</v>
    <v>Household Goods</v>
    <v>Stock</v>
    <v>46143.6626578125</v>
    <v>114.1075</v>
    <v>16409959043</v>
    <v>SHARKNINJA, INC.</v>
    <v>SHARKNINJA, INC.</v>
    <v>116.04</v>
    <v>23.439</v>
    <v>115.53</v>
    <v>115.91500000000001</v>
    <v>141568900</v>
    <v>SN</v>
    <v>SHARKNINJA, INC. (XNYS:SN)</v>
    <v>416744</v>
    <v>1434533</v>
    <v>2017</v>
  </rv>
  <rv s="2">
    <v>22</v>
  </rv>
  <rv s="0">
    <v>https://www.bing.com/financeapi/forcetrigger?t=a33knm&amp;q=10+Y+TSY+YLD+NDX&amp;form=skydnc</v>
    <v>Learn more on Bing</v>
  </rv>
  <rv s="7">
    <v>12</v>
    <v>10 Y TSY YLD NDX</v>
    <v>13</v>
    <v>14</v>
    <v>Finance</v>
    <v>15</v>
    <v>en-US</v>
    <v>a33knm</v>
    <v>268435456</v>
    <v>1</v>
    <v>Powered by Refinitiv</v>
    <v>46.29</v>
    <v>39.47</v>
    <v>-0.28000000000000003</v>
    <v>-6.3379999999999999E-3</v>
    <v>US</v>
    <v>44.1</v>
    <v>Index</v>
    <v>24</v>
    <v>43.82</v>
    <v>10 Y TSY YLD NDX</v>
    <v>43.92</v>
    <v>44.18</v>
    <v>43.9</v>
    <v>TNX</v>
    <v>10 Y TSY YLD NDX</v>
  </rv>
  <rv s="2">
    <v>25</v>
  </rv>
  <rv s="0">
    <v>https://www.bing.com/financeapi/forcetrigger?t=a1mqec&amp;q=XNYS%3aABEV&amp;form=skydnc</v>
    <v>Learn more on Bing</v>
  </rv>
  <rv s="1">
    <v>0</v>
    <v>Ambev SA (XNYS:ABEV)</v>
    <v>2</v>
    <v>3</v>
    <v>Finance</v>
    <v>4</v>
    <v>en-US</v>
    <v>a1mqec</v>
    <v>268435456</v>
    <v>1</v>
    <v>Powered by Refinitiv</v>
    <v>3.24</v>
    <v>2.1</v>
    <v>0.62949999999999995</v>
    <v>5.0000000000000001E-3</v>
    <v>1.712E-3</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2.94</v>
    <v>Beverages</v>
    <v>Stock</v>
    <v>46143.662603043747</v>
    <v>27</v>
    <v>2.91</v>
    <v>46108734750</v>
    <v>Ambev SA</v>
    <v>Ambev SA</v>
    <v>2.9249999999999998</v>
    <v>16.204999999999998</v>
    <v>2.92</v>
    <v>2.9249999999999998</v>
    <v>15763670000</v>
    <v>ABEV</v>
    <v>Ambev SA (XNYS:ABEV)</v>
    <v>4379783</v>
    <v>25489750</v>
    <v>2005</v>
  </rv>
  <rv s="2">
    <v>28</v>
  </rv>
  <rv s="0">
    <v>https://www.bing.com/financeapi/forcetrigger?t=a221mw&amp;q=XNYS%3aRIO&amp;form=skydnc</v>
    <v>Learn more on Bing</v>
  </rv>
  <rv s="1">
    <v>0</v>
    <v>RIO TINTO PLC (XNYS:RIO)</v>
    <v>2</v>
    <v>3</v>
    <v>Finance</v>
    <v>4</v>
    <v>en-US</v>
    <v>a221mw</v>
    <v>268435456</v>
    <v>1</v>
    <v>Powered by Refinitiv</v>
    <v>101.53</v>
    <v>55.64</v>
    <v>0.57310000000000005</v>
    <v>0.01</v>
    <v>9.9520000000000009E-5</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101.05</v>
    <v>Metals &amp; Mining</v>
    <v>Stock</v>
    <v>46143.662620149997</v>
    <v>30</v>
    <v>99.59</v>
    <v>163474921220</v>
    <v>RIO TINTO PLC</v>
    <v>RIO TINTO PLC</v>
    <v>100</v>
    <v>16.5168</v>
    <v>100.48</v>
    <v>100.49</v>
    <v>1626778000</v>
    <v>RIO</v>
    <v>RIO TINTO PLC (XNYS:RIO)</v>
    <v>812315</v>
    <v>2632698</v>
    <v>1962</v>
  </rv>
  <rv s="2">
    <v>31</v>
  </rv>
  <rv s="0">
    <v>https://www.bing.com/financeapi/forcetrigger?t=a24xlh&amp;q=XNYS%3aUNH&amp;form=skydnc</v>
    <v>Learn more on Bing</v>
  </rv>
  <rv s="1">
    <v>0</v>
    <v>UNITEDHEALTH GROUP INCORPORATED (XNYS:UNH)</v>
    <v>2</v>
    <v>3</v>
    <v>Finance</v>
    <v>4</v>
    <v>en-US</v>
    <v>a24xlh</v>
    <v>268435456</v>
    <v>1</v>
    <v>Powered by Refinitiv</v>
    <v>411.99</v>
    <v>234.6</v>
    <v>0.64649999999999996</v>
    <v>-0.93820000000000003</v>
    <v>-2.532E-3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372.8999</v>
    <v>Healthcare Providers &amp; Services</v>
    <v>Stock</v>
    <v>46143.66264280078</v>
    <v>33</v>
    <v>367.02</v>
    <v>335622740711</v>
    <v>UNITEDHEALTH GROUP INCORPORATED</v>
    <v>UNITEDHEALTH GROUP INCORPORATED</v>
    <v>371.8</v>
    <v>27.909099999999999</v>
    <v>370.48</v>
    <v>369.54180000000002</v>
    <v>908213200</v>
    <v>UNH</v>
    <v>UNITEDHEALTH GROUP INCORPORATED (XNYS:UNH)</v>
    <v>1372972</v>
    <v>9025081</v>
    <v>2015</v>
  </rv>
  <rv s="2">
    <v>34</v>
  </rv>
  <rv s="0">
    <v>https://www.bing.com/financeapi/forcetrigger?t=a1nhlh&amp;q=XNAS%3aAMZN&amp;form=skydnc</v>
    <v>Learn more on Bing</v>
  </rv>
  <rv s="1">
    <v>0</v>
    <v>AMAZON.COM, INC. (XNAS:AMZN)</v>
    <v>2</v>
    <v>3</v>
    <v>Finance</v>
    <v>4</v>
    <v>en-US</v>
    <v>a1nhlh</v>
    <v>268435456</v>
    <v>1</v>
    <v>Powered by Refinitiv</v>
    <v>273.88</v>
    <v>183.85</v>
    <v>1.4679</v>
    <v>4.9800000000000004</v>
    <v>1.8787999999999999E-2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273.315</v>
    <v>Diversified Retail</v>
    <v>Stock</v>
    <v>46143.662681758593</v>
    <v>36</v>
    <v>262.78320000000002</v>
    <v>2904115475600</v>
    <v>AMAZON.COM, INC.</v>
    <v>AMAZON.COM, INC.</v>
    <v>265.64999999999998</v>
    <v>32.271700000000003</v>
    <v>265.06</v>
    <v>270.04000000000002</v>
    <v>10754390000</v>
    <v>AMZN</v>
    <v>AMAZON.COM, INC. (XNAS:AMZN)</v>
    <v>24128753</v>
    <v>49444501</v>
    <v>1996</v>
  </rv>
  <rv s="2">
    <v>37</v>
  </rv>
  <rv s="0">
    <v>https://www.bing.com/financeapi/forcetrigger?t=a1u3rw&amp;q=XNAS%3aGOOGL&amp;form=skydnc</v>
    <v>Learn more on Bing</v>
  </rv>
  <rv s="1">
    <v>0</v>
    <v>ALPHABET INC. (XNAS:GOOGL)</v>
    <v>2</v>
    <v>3</v>
    <v>Finance</v>
    <v>4</v>
    <v>en-US</v>
    <v>a1u3rw</v>
    <v>268435456</v>
    <v>1</v>
    <v>Powered by Refinitiv</v>
    <v>386.75</v>
    <v>147.84</v>
    <v>1.2665999999999999</v>
    <v>-0.98919999999999997</v>
    <v>-2.5709999999999999E-3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386.75</v>
    <v>Software &amp; IT Services</v>
    <v>Stock</v>
    <v>46143.662699490626</v>
    <v>39</v>
    <v>379.05</v>
    <v>4650036718752</v>
    <v>ALPHABET INC.</v>
    <v>ALPHABET INC.</v>
    <v>382.03</v>
    <v>29.268599999999999</v>
    <v>384.8</v>
    <v>383.81079999999997</v>
    <v>12115440000</v>
    <v>GOOGL</v>
    <v>ALPHABET INC. (XNAS:GOOGL)</v>
    <v>14113831</v>
    <v>28746126</v>
    <v>2015</v>
  </rv>
  <rv s="2">
    <v>40</v>
  </rv>
  <rv s="0">
    <v>https://www.bing.com/financeapi/forcetrigger?t=a269ec&amp;q=XNYS%3aXOM&amp;form=skydnc</v>
    <v>Learn more on Bing</v>
  </rv>
  <rv s="1">
    <v>0</v>
    <v>EXXON MOBIL CORPORATION (XNYS:XOM)</v>
    <v>2</v>
    <v>3</v>
    <v>Finance</v>
    <v>4</v>
    <v>en-US</v>
    <v>a269ec</v>
    <v>268435456</v>
    <v>1</v>
    <v>Powered by Refinitiv</v>
    <v>176.41</v>
    <v>101.185</v>
    <v>0.1835</v>
    <v>-1.54</v>
    <v>-9.979E-3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155.01</v>
    <v>Oil &amp; Gas</v>
    <v>Stock</v>
    <v>46143.662666457814</v>
    <v>42</v>
    <v>151.13</v>
    <v>635080802400</v>
    <v>EXXON MOBIL CORPORATION</v>
    <v>EXXON MOBIL CORPORATION</v>
    <v>152.29</v>
    <v>22.870999999999999</v>
    <v>154.33000000000001</v>
    <v>152.79</v>
    <v>4156560000</v>
    <v>XOM</v>
    <v>EXXON MOBIL CORPORATION (XNYS:XOM)</v>
    <v>7330711</v>
    <v>21274761</v>
    <v>1882</v>
  </rv>
  <rv s="2">
    <v>43</v>
  </rv>
  <rv s="0">
    <v>https://www.bing.com/financeapi/forcetrigger?t=a1mou2&amp;q=XNAS%3aAAPL&amp;form=skydnc</v>
    <v>Learn more on Bing</v>
  </rv>
  <rv s="1">
    <v>0</v>
    <v>APPLE INC. (XNAS:AAPL)</v>
    <v>2</v>
    <v>3</v>
    <v>Finance</v>
    <v>4</v>
    <v>en-US</v>
    <v>a1mou2</v>
    <v>268435456</v>
    <v>1</v>
    <v>Powered by Refinitiv</v>
    <v>288.62</v>
    <v>193.25</v>
    <v>1.0647</v>
    <v>13.77</v>
    <v>5.0745999999999999E-2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287.20999999999998</v>
    <v>Computers, Phones &amp; Household Electronics</v>
    <v>Stock</v>
    <v>46143.662658263282</v>
    <v>45</v>
    <v>278.37</v>
    <v>4185886636800</v>
    <v>APPLE INC.</v>
    <v>APPLE INC.</v>
    <v>279</v>
    <v>36.223700000000001</v>
    <v>271.35000000000002</v>
    <v>285.12</v>
    <v>14681140000</v>
    <v>AAPL</v>
    <v>APPLE INC. (XNAS:AAPL)</v>
    <v>42820259</v>
    <v>43451177</v>
    <v>1977</v>
  </rv>
  <rv s="2">
    <v>46</v>
  </rv>
  <rv s="0">
    <v>http://es.wikipedia.org/wiki/Adobe_(empresa)</v>
    <v>Wikipedia</v>
  </rv>
  <rv s="3">
    <v>15</v>
    <v>48</v>
  </rv>
  <rv s="4">
    <v>9</v>
    <v>https://www.bing.com/th?id=AMMS_503c684ccc667ad525fe1d703881df2c&amp;qlt=95</v>
    <v>49</v>
    <v>0</v>
    <v>https://www.bing.com/images/search?form=xlimg&amp;q=adobe+systems</v>
    <v>Image of ADOBE INC.</v>
  </rv>
  <rv s="0">
    <v>https://www.bing.com/financeapi/forcetrigger?t=a1mv7w&amp;q=XNAS%3aADBE&amp;form=skydnc</v>
    <v>Learn more on Bing</v>
  </rv>
  <rv s="5">
    <v>5</v>
    <v>ADOBE INC. (XNAS:ADBE)</v>
    <v>7</v>
    <v>8</v>
    <v>Finance</v>
    <v>4</v>
    <v>en-US</v>
    <v>a1mv7w</v>
    <v>268435456</v>
    <v>1</v>
    <v>Powered by Refinitiv</v>
    <v>422.95</v>
    <v>224.13</v>
    <v>1.4171</v>
    <v>3.6</v>
    <v>1.4628E-2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253.56</v>
    <v>50</v>
    <v>Software &amp; IT Services</v>
    <v>Stock</v>
    <v>46143.662699085158</v>
    <v>51</v>
    <v>244.1</v>
    <v>100928740000</v>
    <v>ADOBE INC.</v>
    <v>ADOBE INC.</v>
    <v>252</v>
    <v>14.553599999999999</v>
    <v>246.1</v>
    <v>249.7</v>
    <v>404200000</v>
    <v>ADBE</v>
    <v>ADOBE INC. (XNAS:ADBE)</v>
    <v>2259026</v>
    <v>5145474</v>
    <v>1997</v>
  </rv>
  <rv s="2">
    <v>52</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8"/>
  <sheetViews>
    <sheetView tabSelected="1" topLeftCell="A7" zoomScale="169" workbookViewId="0">
      <selection activeCell="C18" sqref="C18"/>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353.959</v>
      </c>
      <c r="D3" s="4" cm="1">
        <f t="array" aca="1" ref="D3" ca="1">_FV(B3,"52 week high",TRUE)</f>
        <v>358.23500000000001</v>
      </c>
      <c r="E3" s="4" cm="1">
        <f t="array" aca="1" ref="E3" ca="1">_FV(B3,"52 week low",TRUE)</f>
        <v>96.45</v>
      </c>
      <c r="F3" s="5" cm="1">
        <f t="array" aca="1" ref="F3" ca="1">_FV(B3,"Beta")</f>
        <v>2.3980000000000001</v>
      </c>
      <c r="G3" s="6" t="str" cm="1">
        <f t="array" aca="1" ref="G3" ca="1">_FV(B3,"Ticker symbol",TRUE)</f>
        <v>AMD</v>
      </c>
      <c r="H3" s="6" t="str" cm="1">
        <f t="array" aca="1" ref="H3" ca="1">_FV(B3,"Industry")</f>
        <v>Semiconductors &amp; Semiconductor Equipment</v>
      </c>
      <c r="I3" s="7" cm="1">
        <f t="array" aca="1" ref="I3" ca="1">_FV(B3,"Volume average",TRUE)</f>
        <v>40060951</v>
      </c>
    </row>
    <row r="4" spans="1:9" x14ac:dyDescent="0.2">
      <c r="B4" s="3" t="e" vm="2">
        <v>#VALUE!</v>
      </c>
      <c r="C4" s="4" cm="1">
        <f t="array" aca="1" ref="C4" ca="1">_FV(B4,"Price")</f>
        <v>113.89</v>
      </c>
      <c r="D4" s="4" cm="1">
        <f t="array" aca="1" ref="D4" ca="1">_FV(B4,"52 week high",TRUE)</f>
        <v>544.92999999999995</v>
      </c>
      <c r="E4" s="4" cm="1">
        <f t="array" aca="1" ref="E4" ca="1">_FV(B4,"52 week low",TRUE)</f>
        <v>87.89</v>
      </c>
      <c r="F4" s="5" cm="1">
        <f t="array" aca="1" ref="F4" ca="1">_FV(B4,"Beta")</f>
        <v>0.8992</v>
      </c>
      <c r="G4" s="6" t="str" cm="1">
        <f t="array" aca="1" ref="G4" ca="1">_FV(B4,"Ticker symbol",TRUE)</f>
        <v>DUOL</v>
      </c>
      <c r="H4" s="6" t="str" cm="1">
        <f t="array" aca="1" ref="H4" ca="1">_FV(B4,"Industry")</f>
        <v>Software &amp; IT Services</v>
      </c>
      <c r="I4" s="7" cm="1">
        <f t="array" aca="1" ref="I4" ca="1">_FV(B4,"Volume average",TRUE)</f>
        <v>1685147</v>
      </c>
    </row>
    <row r="5" spans="1:9" x14ac:dyDescent="0.2">
      <c r="B5" s="3" t="e" vm="3">
        <v>#VALUE!</v>
      </c>
      <c r="C5" s="4" cm="1">
        <f t="array" aca="1" ref="C5" ca="1">_FV(B5,"Price")</f>
        <v>99.150099999999995</v>
      </c>
      <c r="D5" s="4" cm="1">
        <f t="array" aca="1" ref="D5" ca="1">_FV(B5,"52 week high",TRUE)</f>
        <v>100.45</v>
      </c>
      <c r="E5" s="4" cm="1">
        <f t="array" aca="1" ref="E5" ca="1">_FV(B5,"52 week low",TRUE)</f>
        <v>18.965</v>
      </c>
      <c r="F5" s="5" cm="1">
        <f t="array" aca="1" ref="F5" ca="1">_FV(B5,"Beta")</f>
        <v>2.1892</v>
      </c>
      <c r="G5" s="6" t="str" cm="1">
        <f t="array" aca="1" ref="G5" ca="1">_FV(B5,"Ticker symbol",TRUE)</f>
        <v>INTC</v>
      </c>
      <c r="H5" s="6" t="str" cm="1">
        <f t="array" aca="1" ref="H5" ca="1">_FV(B5,"Industry")</f>
        <v>Semiconductors &amp; Semiconductor Equipment</v>
      </c>
      <c r="I5" s="7" cm="1">
        <f t="array" aca="1" ref="I5" ca="1">_FV(B5,"Volume average",TRUE)</f>
        <v>128370885</v>
      </c>
    </row>
    <row r="6" spans="1:9" x14ac:dyDescent="0.2">
      <c r="B6" s="3" t="e" vm="4">
        <v>#VALUE!</v>
      </c>
      <c r="C6" s="4" cm="1">
        <f t="array" aca="1" ref="C6" ca="1">_FV(B6,"Price")</f>
        <v>199.19</v>
      </c>
      <c r="D6" s="4" cm="1">
        <f t="array" aca="1" ref="D6" ca="1">_FV(B6,"52 week high",TRUE)</f>
        <v>216.82499999999999</v>
      </c>
      <c r="E6" s="4" cm="1">
        <f t="array" aca="1" ref="E6" ca="1">_FV(B6,"52 week low",TRUE)</f>
        <v>110.822</v>
      </c>
      <c r="F6" s="5" cm="1">
        <f t="array" aca="1" ref="F6" ca="1">_FV(B6,"Beta")</f>
        <v>2.2433000000000001</v>
      </c>
      <c r="G6" s="6" t="str" cm="1">
        <f t="array" aca="1" ref="G6" ca="1">_FV(B6,"Ticker symbol",TRUE)</f>
        <v>NVDA</v>
      </c>
      <c r="H6" s="6" t="str" cm="1">
        <f t="array" aca="1" ref="H6" ca="1">_FV(B6,"Industry")</f>
        <v>Semiconductors &amp; Semiconductor Equipment</v>
      </c>
      <c r="I6" s="7" cm="1">
        <f t="array" aca="1" ref="I6" ca="1">_FV(B6,"Volume average",TRUE)</f>
        <v>156948876</v>
      </c>
    </row>
    <row r="7" spans="1:9" x14ac:dyDescent="0.2">
      <c r="B7" s="3" t="e" vm="5">
        <v>#VALUE!</v>
      </c>
      <c r="C7" s="4" cm="1">
        <f t="array" aca="1" ref="C7" ca="1">_FV(B7,"Price")</f>
        <v>9.64</v>
      </c>
      <c r="D7" s="4" cm="1">
        <f t="array" aca="1" ref="D7" ca="1">_FV(B7,"52 week high",TRUE)</f>
        <v>32.76</v>
      </c>
      <c r="E7" s="4" cm="1">
        <f t="array" aca="1" ref="E7" ca="1">_FV(B7,"52 week low",TRUE)</f>
        <v>7.77</v>
      </c>
      <c r="F7" s="5" cm="1">
        <f t="array" aca="1" ref="F7" ca="1">_FV(B7,"Beta")</f>
        <v>0.89129999999999998</v>
      </c>
      <c r="G7" s="6" t="str" cm="1">
        <f t="array" aca="1" ref="G7" ca="1">_FV(B7,"Ticker symbol",TRUE)</f>
        <v>PHR</v>
      </c>
      <c r="H7" s="6" t="str" cm="1">
        <f t="array" aca="1" ref="H7" ca="1">_FV(B7,"Industry")</f>
        <v>Software &amp; IT Services</v>
      </c>
      <c r="I7" s="7" cm="1">
        <f t="array" aca="1" ref="I7" ca="1">_FV(B7,"Volume average",TRUE)</f>
        <v>2506370</v>
      </c>
    </row>
    <row r="8" spans="1:9" x14ac:dyDescent="0.2">
      <c r="B8" s="3" t="e" vm="6">
        <v>#VALUE!</v>
      </c>
      <c r="C8" s="4" cm="1">
        <f t="array" aca="1" ref="C8" ca="1">_FV(B8,"Price")</f>
        <v>174.34</v>
      </c>
      <c r="D8" s="4" cm="1">
        <f t="array" aca="1" ref="D8" ca="1">_FV(B8,"52 week high",TRUE)</f>
        <v>205.95</v>
      </c>
      <c r="E8" s="4" cm="1">
        <f t="array" aca="1" ref="E8" ca="1">_FV(B8,"52 week low",TRUE)</f>
        <v>121.99</v>
      </c>
      <c r="F8" s="5" cm="1">
        <f t="array" aca="1" ref="F8" ca="1">_FV(B8,"Beta")</f>
        <v>1.4923</v>
      </c>
      <c r="G8" s="6" t="str" cm="1">
        <f t="array" aca="1" ref="G8" ca="1">_FV(B8,"Ticker symbol",TRUE)</f>
        <v>QCOM</v>
      </c>
      <c r="H8" s="6" t="str" cm="1">
        <f t="array" aca="1" ref="H8" ca="1">_FV(B8,"Industry")</f>
        <v>Semiconductors &amp; Semiconductor Equipment</v>
      </c>
      <c r="I8" s="7" cm="1">
        <f t="array" aca="1" ref="I8" ca="1">_FV(B8,"Volume average",TRUE)</f>
        <v>15464997</v>
      </c>
    </row>
    <row r="9" spans="1:9" x14ac:dyDescent="0.2">
      <c r="B9" s="3" t="e" vm="7">
        <v>#VALUE!</v>
      </c>
      <c r="C9" s="4" cm="1">
        <f t="array" aca="1" ref="C9" ca="1">_FV(B9,"Price")</f>
        <v>115.91500000000001</v>
      </c>
      <c r="D9" s="4" cm="1">
        <f t="array" aca="1" ref="D9" ca="1">_FV(B9,"52 week high",TRUE)</f>
        <v>133.99</v>
      </c>
      <c r="E9" s="4" cm="1">
        <f t="array" aca="1" ref="E9" ca="1">_FV(B9,"52 week low",TRUE)</f>
        <v>78.819999999999993</v>
      </c>
      <c r="F9" s="5" cm="1">
        <f t="array" aca="1" ref="F9" ca="1">_FV(B9,"Beta")</f>
        <v>1.4139999999999999</v>
      </c>
      <c r="G9" s="6" t="str" cm="1">
        <f t="array" aca="1" ref="G9" ca="1">_FV(B9,"Ticker symbol",TRUE)</f>
        <v>SN</v>
      </c>
      <c r="H9" s="6" t="str" cm="1">
        <f t="array" aca="1" ref="H9" ca="1">_FV(B9,"Industry")</f>
        <v>Household Goods</v>
      </c>
      <c r="I9" s="7" cm="1">
        <f t="array" aca="1" ref="I9" ca="1">_FV(B9,"Volume average",TRUE)</f>
        <v>1434533</v>
      </c>
    </row>
    <row r="10" spans="1:9" x14ac:dyDescent="0.2">
      <c r="A10" s="8" t="s">
        <v>8</v>
      </c>
      <c r="B10" s="3" t="e" vm="8">
        <v>#VALUE!</v>
      </c>
      <c r="C10" s="4" cm="1">
        <f t="array" aca="1" ref="C10" ca="1">_FV(B10,"Price")</f>
        <v>43.9</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2.9249999999999998</v>
      </c>
      <c r="D11" s="4" cm="1">
        <f t="array" aca="1" ref="D11" ca="1">_FV(B11,"52 week high",TRUE)</f>
        <v>3.24</v>
      </c>
      <c r="E11" s="4" cm="1">
        <f t="array" aca="1" ref="E11" ca="1">_FV(B11,"52 week low",TRUE)</f>
        <v>2.1</v>
      </c>
      <c r="F11" s="5" cm="1">
        <f t="array" aca="1" ref="F11" ca="1">_FV(B11,"Beta")</f>
        <v>0.62949999999999995</v>
      </c>
      <c r="G11" s="6" t="str" cm="1">
        <f t="array" aca="1" ref="G11" ca="1">_FV(B11,"Ticker symbol",TRUE)</f>
        <v>ABEV</v>
      </c>
      <c r="H11" s="6" t="str" cm="1">
        <f t="array" aca="1" ref="H11" ca="1">_FV(B11,"Industry")</f>
        <v>Beverages</v>
      </c>
      <c r="I11" s="7" cm="1">
        <f t="array" aca="1" ref="I11" ca="1">_FV(B11,"Volume average",TRUE)</f>
        <v>25489750</v>
      </c>
    </row>
    <row r="12" spans="1:9" x14ac:dyDescent="0.2">
      <c r="B12" s="3" t="e" vm="10">
        <v>#VALUE!</v>
      </c>
      <c r="C12" s="4" cm="1">
        <f t="array" aca="1" ref="C12" ca="1">_FV(B12,"Price")</f>
        <v>100.49</v>
      </c>
      <c r="D12" s="4" cm="1">
        <f t="array" aca="1" ref="D12" ca="1">_FV(B12,"52 week high",TRUE)</f>
        <v>101.53</v>
      </c>
      <c r="E12" s="4" cm="1">
        <f t="array" aca="1" ref="E12" ca="1">_FV(B12,"52 week low",TRUE)</f>
        <v>55.64</v>
      </c>
      <c r="F12" s="5" cm="1">
        <f t="array" aca="1" ref="F12" ca="1">_FV(B12,"Beta")</f>
        <v>0.57310000000000005</v>
      </c>
      <c r="G12" s="6" t="str" cm="1">
        <f t="array" aca="1" ref="G12" ca="1">_FV(B12,"Ticker symbol",TRUE)</f>
        <v>RIO</v>
      </c>
      <c r="H12" s="6" t="str" cm="1">
        <f t="array" aca="1" ref="H12" ca="1">_FV(B12,"Industry")</f>
        <v>Metals &amp; Mining</v>
      </c>
      <c r="I12" s="7" cm="1">
        <f t="array" aca="1" ref="I12" ca="1">_FV(B12,"Volume average",TRUE)</f>
        <v>2632698</v>
      </c>
    </row>
    <row r="13" spans="1:9" x14ac:dyDescent="0.2">
      <c r="B13" s="3" t="e" vm="11">
        <v>#VALUE!</v>
      </c>
      <c r="C13" s="4" cm="1">
        <f t="array" aca="1" ref="C13" ca="1">_FV(B13,"Price")</f>
        <v>369.54180000000002</v>
      </c>
      <c r="D13" s="4" cm="1">
        <f t="array" aca="1" ref="D13" ca="1">_FV(B13,"52 week high",TRUE)</f>
        <v>411.99</v>
      </c>
      <c r="E13" s="4" cm="1">
        <f t="array" aca="1" ref="E13" ca="1">_FV(B13,"52 week low",TRUE)</f>
        <v>234.6</v>
      </c>
      <c r="F13" s="5" cm="1">
        <f t="array" aca="1" ref="F13" ca="1">_FV(B13,"Beta")</f>
        <v>0.64649999999999996</v>
      </c>
      <c r="G13" s="6" t="str" cm="1">
        <f t="array" aca="1" ref="G13" ca="1">_FV(B13,"Ticker symbol",TRUE)</f>
        <v>UNH</v>
      </c>
      <c r="H13" s="6" t="str" cm="1">
        <f t="array" aca="1" ref="H13" ca="1">_FV(B13,"Industry")</f>
        <v>Healthcare Providers &amp; Services</v>
      </c>
      <c r="I13" s="7" cm="1">
        <f t="array" aca="1" ref="I13" ca="1">_FV(B13,"Volume average",TRUE)</f>
        <v>9025081</v>
      </c>
    </row>
    <row r="14" spans="1:9" x14ac:dyDescent="0.2">
      <c r="B14" s="3" t="e" vm="12">
        <v>#VALUE!</v>
      </c>
      <c r="C14" s="4" cm="1">
        <f t="array" aca="1" ref="C14" ca="1">_FV(B14,"Price")</f>
        <v>270.04000000000002</v>
      </c>
      <c r="D14" s="4" cm="1">
        <f t="array" aca="1" ref="D14" ca="1">_FV(B14,"52 week high",TRUE)</f>
        <v>273.88</v>
      </c>
      <c r="E14" s="4" cm="1">
        <f t="array" aca="1" ref="E14" ca="1">_FV(B14,"52 week low",TRUE)</f>
        <v>183.85</v>
      </c>
      <c r="F14" s="5" cm="1">
        <f t="array" aca="1" ref="F14" ca="1">_FV(B14,"Beta")</f>
        <v>1.4679</v>
      </c>
      <c r="G14" s="6" t="str" cm="1">
        <f t="array" aca="1" ref="G14" ca="1">_FV(B14,"Ticker symbol",TRUE)</f>
        <v>AMZN</v>
      </c>
      <c r="H14" s="6" t="str" cm="1">
        <f t="array" aca="1" ref="H14" ca="1">_FV(B14,"Industry")</f>
        <v>Diversified Retail</v>
      </c>
      <c r="I14" s="7" cm="1">
        <f t="array" aca="1" ref="I14" ca="1">_FV(B14,"Volume average",TRUE)</f>
        <v>49444501</v>
      </c>
    </row>
    <row r="15" spans="1:9" x14ac:dyDescent="0.2">
      <c r="B15" s="3" t="e" vm="13">
        <v>#VALUE!</v>
      </c>
      <c r="C15" s="4" cm="1">
        <f t="array" aca="1" ref="C15" ca="1">_FV(B15,"Price")</f>
        <v>383.81079999999997</v>
      </c>
      <c r="D15" s="4" cm="1">
        <f t="array" aca="1" ref="D15" ca="1">_FV(B15,"52 week high",TRUE)</f>
        <v>386.75</v>
      </c>
      <c r="E15" s="4" cm="1">
        <f t="array" aca="1" ref="E15" ca="1">_FV(B15,"52 week low",TRUE)</f>
        <v>147.84</v>
      </c>
      <c r="F15" s="5" cm="1">
        <f t="array" aca="1" ref="F15" ca="1">_FV(B15,"Beta")</f>
        <v>1.2665999999999999</v>
      </c>
      <c r="G15" s="6" t="str" cm="1">
        <f t="array" aca="1" ref="G15" ca="1">_FV(B15,"Ticker symbol",TRUE)</f>
        <v>GOOGL</v>
      </c>
      <c r="H15" s="6" t="str" cm="1">
        <f t="array" aca="1" ref="H15" ca="1">_FV(B15,"Industry")</f>
        <v>Software &amp; IT Services</v>
      </c>
      <c r="I15" s="7" cm="1">
        <f t="array" aca="1" ref="I15" ca="1">_FV(B15,"Volume average",TRUE)</f>
        <v>28746126</v>
      </c>
    </row>
    <row r="16" spans="1:9" x14ac:dyDescent="0.2">
      <c r="B16" s="3" t="e" vm="14">
        <v>#VALUE!</v>
      </c>
      <c r="C16" s="4" cm="1">
        <f t="array" aca="1" ref="C16" ca="1">_FV(B16,"Price")</f>
        <v>152.79</v>
      </c>
      <c r="D16" s="4" cm="1">
        <f t="array" aca="1" ref="D16" ca="1">_FV(B16,"52 week high",TRUE)</f>
        <v>176.41</v>
      </c>
      <c r="E16" s="4" cm="1">
        <f t="array" aca="1" ref="E16" ca="1">_FV(B16,"52 week low",TRUE)</f>
        <v>101.185</v>
      </c>
      <c r="F16" s="5" cm="1">
        <f t="array" aca="1" ref="F16" ca="1">_FV(B16,"Beta")</f>
        <v>0.1835</v>
      </c>
      <c r="G16" s="6" t="str" cm="1">
        <f t="array" aca="1" ref="G16" ca="1">_FV(B16,"Ticker symbol",TRUE)</f>
        <v>XOM</v>
      </c>
      <c r="H16" s="6" t="str" cm="1">
        <f t="array" aca="1" ref="H16" ca="1">_FV(B16,"Industry")</f>
        <v>Oil &amp; Gas</v>
      </c>
      <c r="I16" s="7" cm="1">
        <f t="array" aca="1" ref="I16" ca="1">_FV(B16,"Volume average",TRUE)</f>
        <v>21274761</v>
      </c>
    </row>
    <row r="17" spans="2:9" x14ac:dyDescent="0.2">
      <c r="B17" s="3" t="e" vm="15">
        <v>#VALUE!</v>
      </c>
      <c r="C17" s="4" cm="1">
        <f t="array" aca="1" ref="C17" ca="1">_FV(B17,"Price")</f>
        <v>285.12</v>
      </c>
      <c r="D17" s="4" cm="1">
        <f t="array" aca="1" ref="D17" ca="1">_FV(B17,"52 week high",TRUE)</f>
        <v>288.62</v>
      </c>
      <c r="E17" s="4" cm="1">
        <f t="array" aca="1" ref="E17" ca="1">_FV(B17,"52 week low",TRUE)</f>
        <v>193.25</v>
      </c>
      <c r="F17" s="5" cm="1">
        <f t="array" aca="1" ref="F17" ca="1">_FV(B17,"Beta")</f>
        <v>1.0647</v>
      </c>
      <c r="G17" s="6" t="str" cm="1">
        <f t="array" aca="1" ref="G17" ca="1">_FV(B17,"Ticker symbol",TRUE)</f>
        <v>AAPL</v>
      </c>
      <c r="H17" s="6" t="str" cm="1">
        <f t="array" aca="1" ref="H17" ca="1">_FV(B17,"Industry")</f>
        <v>Computers, Phones &amp; Household Electronics</v>
      </c>
      <c r="I17" s="7" cm="1">
        <f t="array" aca="1" ref="I17" ca="1">_FV(B17,"Volume average",TRUE)</f>
        <v>43451177</v>
      </c>
    </row>
    <row r="18" spans="2:9" x14ac:dyDescent="0.2">
      <c r="B18" s="3" t="e" vm="16">
        <v>#VALUE!</v>
      </c>
      <c r="C18" s="4" cm="1">
        <f t="array" aca="1" ref="C18" ca="1">_FV(B18,"Price")</f>
        <v>249.7</v>
      </c>
      <c r="D18" s="4" cm="1">
        <f t="array" aca="1" ref="D18" ca="1">_FV(B18,"52 week high",TRUE)</f>
        <v>422.95</v>
      </c>
      <c r="E18" s="4" cm="1">
        <f t="array" aca="1" ref="E18" ca="1">_FV(B18,"52 week low",TRUE)</f>
        <v>224.13</v>
      </c>
      <c r="F18" s="5" cm="1">
        <f t="array" aca="1" ref="F18" ca="1">_FV(B18,"Beta")</f>
        <v>1.4171</v>
      </c>
      <c r="G18" s="6" t="str" cm="1">
        <f t="array" aca="1" ref="G18" ca="1">_FV(B18,"Ticker symbol",TRUE)</f>
        <v>ADBE</v>
      </c>
      <c r="H18" s="6" t="str" cm="1">
        <f t="array" aca="1" ref="H18" ca="1">_FV(B18,"Industry")</f>
        <v>Software &amp; IT Services</v>
      </c>
      <c r="I18" s="7" cm="1">
        <f t="array" aca="1" ref="I18" ca="1">_FV(B18,"Volume average",TRUE)</f>
        <v>5145474</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2026-05-01T15:54:20Z</dcterms:modified>
</cp:coreProperties>
</file>