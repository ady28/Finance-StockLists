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26"/>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105C8426-5B45-A14C-9000-BF78A702E89B}" xr6:coauthVersionLast="47" xr6:coauthVersionMax="47" xr10:uidLastSave="{00000000-0000-0000-0000-000000000000}"/>
  <bookViews>
    <workbookView xWindow="80" yWindow="100" windowWidth="25440" windowHeight="13540" xr2:uid="{AEC0C047-6E16-294C-82BD-58123BA913A1}"/>
  </bookViews>
  <sheets>
    <sheet name="Sheet1" sheetId="1" r:id="rId1"/>
  </sheets>
  <definedNames>
    <definedName name="_xlnm._FilterDatabase" localSheetId="0" hidden="1">Sheet1!$G$2:$H$9</definedName>
  </definedNam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8" i="1" l="1" a="1"/>
  <c r="I18" i="1" s="1"/>
  <c r="H18" i="1" a="1"/>
  <c r="H18" i="1" s="1"/>
  <c r="G18" i="1" a="1"/>
  <c r="G18" i="1" s="1"/>
  <c r="F18" i="1" a="1"/>
  <c r="F18" i="1" s="1"/>
  <c r="E18" i="1" a="1"/>
  <c r="E18" i="1" s="1"/>
  <c r="D18" i="1" a="1"/>
  <c r="D18" i="1" s="1"/>
  <c r="C18" i="1" a="1"/>
  <c r="C18" i="1" s="1"/>
  <c r="I17" i="1" a="1"/>
  <c r="I17" i="1" s="1"/>
  <c r="H17" i="1" a="1"/>
  <c r="H17" i="1" s="1"/>
  <c r="G17" i="1" a="1"/>
  <c r="G17" i="1" s="1"/>
  <c r="F17" i="1" a="1"/>
  <c r="F17" i="1" s="1"/>
  <c r="E17" i="1" a="1"/>
  <c r="E17" i="1" s="1"/>
  <c r="D17" i="1" a="1"/>
  <c r="D17" i="1" s="1"/>
  <c r="C17" i="1" a="1"/>
  <c r="C17" i="1" s="1"/>
  <c r="I16" i="1" a="1"/>
  <c r="I16" i="1" s="1"/>
  <c r="H16" i="1" a="1"/>
  <c r="H16" i="1" s="1"/>
  <c r="G16" i="1" a="1"/>
  <c r="G16" i="1" s="1"/>
  <c r="F16" i="1" a="1"/>
  <c r="F16" i="1" s="1"/>
  <c r="E16" i="1" a="1"/>
  <c r="E16" i="1" s="1"/>
  <c r="D16" i="1" a="1"/>
  <c r="D16" i="1" s="1"/>
  <c r="C16" i="1" a="1"/>
  <c r="C16" i="1" s="1"/>
  <c r="I15" i="1" a="1"/>
  <c r="I15" i="1" s="1"/>
  <c r="H15" i="1" a="1"/>
  <c r="H15" i="1" s="1"/>
  <c r="G15" i="1" a="1"/>
  <c r="G15" i="1" s="1"/>
  <c r="F15" i="1" a="1"/>
  <c r="F15" i="1" s="1"/>
  <c r="E15" i="1" a="1"/>
  <c r="E15" i="1" s="1"/>
  <c r="D15" i="1" a="1"/>
  <c r="D15" i="1" s="1"/>
  <c r="C15" i="1" a="1"/>
  <c r="C15" i="1" s="1"/>
  <c r="I14" i="1" a="1"/>
  <c r="I14" i="1" s="1"/>
  <c r="H14" i="1" a="1"/>
  <c r="H14" i="1" s="1"/>
  <c r="G14" i="1" a="1"/>
  <c r="G14" i="1" s="1"/>
  <c r="F14" i="1" a="1"/>
  <c r="F14" i="1" s="1"/>
  <c r="E14" i="1" a="1"/>
  <c r="E14" i="1" s="1"/>
  <c r="D14" i="1" a="1"/>
  <c r="D14" i="1" s="1"/>
  <c r="C14" i="1" a="1"/>
  <c r="C14" i="1" s="1"/>
  <c r="I13" i="1" a="1"/>
  <c r="I13" i="1" s="1"/>
  <c r="H13" i="1" a="1"/>
  <c r="H13" i="1" s="1"/>
  <c r="G13" i="1" a="1"/>
  <c r="G13" i="1" s="1"/>
  <c r="F13" i="1" a="1"/>
  <c r="F13" i="1" s="1"/>
  <c r="E13" i="1" a="1"/>
  <c r="E13" i="1" s="1"/>
  <c r="D13" i="1" a="1"/>
  <c r="D13" i="1" s="1"/>
  <c r="C13" i="1" a="1"/>
  <c r="C13" i="1" s="1"/>
  <c r="I12" i="1" a="1"/>
  <c r="I12" i="1" s="1"/>
  <c r="H12" i="1" a="1"/>
  <c r="H12" i="1" s="1"/>
  <c r="G12" i="1" a="1"/>
  <c r="G12" i="1" s="1"/>
  <c r="F12" i="1" a="1"/>
  <c r="F12" i="1" s="1"/>
  <c r="E12" i="1" a="1"/>
  <c r="E12" i="1" s="1"/>
  <c r="D12" i="1" a="1"/>
  <c r="D12" i="1" s="1"/>
  <c r="C12" i="1" a="1"/>
  <c r="C12" i="1" s="1"/>
  <c r="I11" i="1" a="1"/>
  <c r="I11" i="1" s="1"/>
  <c r="H11" i="1" a="1"/>
  <c r="H11" i="1" s="1"/>
  <c r="F11" i="1" a="1"/>
  <c r="F11" i="1" s="1"/>
  <c r="G11" i="1" a="1"/>
  <c r="G11" i="1" s="1"/>
  <c r="E11" i="1" a="1"/>
  <c r="E11" i="1" s="1"/>
  <c r="D11" i="1" a="1"/>
  <c r="D11" i="1" s="1"/>
  <c r="C11" i="1" a="1"/>
  <c r="C11" i="1" s="1"/>
  <c r="E10" i="1" a="1"/>
  <c r="E10" i="1" s="1"/>
  <c r="D10" i="1" a="1"/>
  <c r="D10" i="1" s="1"/>
  <c r="G10" i="1" a="1"/>
  <c r="G10" i="1" s="1"/>
  <c r="C10" i="1" a="1"/>
  <c r="C10" i="1" s="1"/>
  <c r="I4" i="1" a="1"/>
  <c r="I4" i="1" s="1"/>
  <c r="I5" i="1" a="1"/>
  <c r="I5" i="1" s="1"/>
  <c r="I6" i="1" a="1"/>
  <c r="I6" i="1" s="1"/>
  <c r="I7" i="1" a="1"/>
  <c r="I7" i="1" s="1"/>
  <c r="I8" i="1" a="1"/>
  <c r="I8" i="1" s="1"/>
  <c r="I9" i="1" a="1"/>
  <c r="I9" i="1" s="1"/>
  <c r="I3" i="1" a="1"/>
  <c r="I3" i="1" s="1"/>
  <c r="H3" i="1" a="1"/>
  <c r="H3" i="1" s="1"/>
  <c r="H4" i="1" a="1"/>
  <c r="H4" i="1" s="1"/>
  <c r="H5" i="1" a="1"/>
  <c r="H5" i="1" s="1"/>
  <c r="H6" i="1" a="1"/>
  <c r="H6" i="1" s="1"/>
  <c r="H7" i="1" a="1"/>
  <c r="H7" i="1" s="1"/>
  <c r="H8" i="1" a="1"/>
  <c r="H8" i="1" s="1"/>
  <c r="H9" i="1" a="1"/>
  <c r="H9" i="1" s="1"/>
  <c r="G3" i="1" a="1"/>
  <c r="G3" i="1" s="1"/>
  <c r="G4" i="1" a="1"/>
  <c r="G4" i="1" s="1"/>
  <c r="G5" i="1" a="1"/>
  <c r="G5" i="1" s="1"/>
  <c r="G6" i="1" a="1"/>
  <c r="G6" i="1" s="1"/>
  <c r="G7" i="1" a="1"/>
  <c r="G7" i="1" s="1"/>
  <c r="G8" i="1" a="1"/>
  <c r="G8" i="1" s="1"/>
  <c r="G9" i="1" a="1"/>
  <c r="G9" i="1" s="1"/>
  <c r="F3" i="1" a="1"/>
  <c r="F3" i="1" s="1"/>
  <c r="F4" i="1" a="1"/>
  <c r="F4" i="1" s="1"/>
  <c r="F5" i="1" a="1"/>
  <c r="F5" i="1" s="1"/>
  <c r="F6" i="1" a="1"/>
  <c r="F6" i="1" s="1"/>
  <c r="F7" i="1" a="1"/>
  <c r="F7" i="1" s="1"/>
  <c r="F8" i="1" a="1"/>
  <c r="F8" i="1" s="1"/>
  <c r="F9" i="1" a="1"/>
  <c r="F9" i="1" s="1"/>
  <c r="E3" i="1" a="1"/>
  <c r="E3" i="1" s="1"/>
  <c r="E4" i="1" a="1"/>
  <c r="E4" i="1" s="1"/>
  <c r="E5" i="1" a="1"/>
  <c r="E5" i="1" s="1"/>
  <c r="E6" i="1" a="1"/>
  <c r="E6" i="1" s="1"/>
  <c r="E7" i="1" a="1"/>
  <c r="E7" i="1" s="1"/>
  <c r="E8" i="1" a="1"/>
  <c r="E8" i="1" s="1"/>
  <c r="E9" i="1" a="1"/>
  <c r="E9" i="1" s="1"/>
  <c r="D3" i="1" a="1"/>
  <c r="D3" i="1" s="1"/>
  <c r="D4" i="1" a="1"/>
  <c r="D4" i="1" s="1"/>
  <c r="D5" i="1" a="1"/>
  <c r="D5" i="1" s="1"/>
  <c r="D6" i="1" a="1"/>
  <c r="D6" i="1" s="1"/>
  <c r="D7" i="1" a="1"/>
  <c r="D7" i="1" s="1"/>
  <c r="D8" i="1" a="1"/>
  <c r="D8" i="1" s="1"/>
  <c r="D9" i="1" a="1"/>
  <c r="D9" i="1" s="1"/>
  <c r="C3" i="1" a="1"/>
  <c r="C3" i="1" s="1"/>
  <c r="C4" i="1" a="1"/>
  <c r="C4" i="1" s="1"/>
  <c r="C5" i="1" a="1"/>
  <c r="C5" i="1" s="1"/>
  <c r="C6" i="1" a="1"/>
  <c r="C6" i="1" s="1"/>
  <c r="C7" i="1" a="1"/>
  <c r="C7" i="1" s="1"/>
  <c r="C8" i="1" a="1"/>
  <c r="C8" i="1" s="1"/>
  <c r="C9" i="1" a="1"/>
  <c r="C9" i="1"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6">
    <bk>
      <extLst>
        <ext uri="{3e2802c4-a4d2-4d8b-9148-e3be6c30e623}">
          <xlrd:rvb i="2"/>
        </ext>
      </extLst>
    </bk>
    <bk>
      <extLst>
        <ext uri="{3e2802c4-a4d2-4d8b-9148-e3be6c30e623}">
          <xlrd:rvb i="5"/>
        </ext>
      </extLst>
    </bk>
    <bk>
      <extLst>
        <ext uri="{3e2802c4-a4d2-4d8b-9148-e3be6c30e623}">
          <xlrd:rvb i="8"/>
        </ext>
      </extLst>
    </bk>
    <bk>
      <extLst>
        <ext uri="{3e2802c4-a4d2-4d8b-9148-e3be6c30e623}">
          <xlrd:rvb i="11"/>
        </ext>
      </extLst>
    </bk>
    <bk>
      <extLst>
        <ext uri="{3e2802c4-a4d2-4d8b-9148-e3be6c30e623}">
          <xlrd:rvb i="14"/>
        </ext>
      </extLst>
    </bk>
    <bk>
      <extLst>
        <ext uri="{3e2802c4-a4d2-4d8b-9148-e3be6c30e623}">
          <xlrd:rvb i="21"/>
        </ext>
      </extLst>
    </bk>
    <bk>
      <extLst>
        <ext uri="{3e2802c4-a4d2-4d8b-9148-e3be6c30e623}">
          <xlrd:rvb i="23"/>
        </ext>
      </extLst>
    </bk>
    <bk>
      <extLst>
        <ext uri="{3e2802c4-a4d2-4d8b-9148-e3be6c30e623}">
          <xlrd:rvb i="26"/>
        </ext>
      </extLst>
    </bk>
    <bk>
      <extLst>
        <ext uri="{3e2802c4-a4d2-4d8b-9148-e3be6c30e623}">
          <xlrd:rvb i="29"/>
        </ext>
      </extLst>
    </bk>
    <bk>
      <extLst>
        <ext uri="{3e2802c4-a4d2-4d8b-9148-e3be6c30e623}">
          <xlrd:rvb i="32"/>
        </ext>
      </extLst>
    </bk>
    <bk>
      <extLst>
        <ext uri="{3e2802c4-a4d2-4d8b-9148-e3be6c30e623}">
          <xlrd:rvb i="35"/>
        </ext>
      </extLst>
    </bk>
    <bk>
      <extLst>
        <ext uri="{3e2802c4-a4d2-4d8b-9148-e3be6c30e623}">
          <xlrd:rvb i="38"/>
        </ext>
      </extLst>
    </bk>
    <bk>
      <extLst>
        <ext uri="{3e2802c4-a4d2-4d8b-9148-e3be6c30e623}">
          <xlrd:rvb i="41"/>
        </ext>
      </extLst>
    </bk>
    <bk>
      <extLst>
        <ext uri="{3e2802c4-a4d2-4d8b-9148-e3be6c30e623}">
          <xlrd:rvb i="44"/>
        </ext>
      </extLst>
    </bk>
    <bk>
      <extLst>
        <ext uri="{3e2802c4-a4d2-4d8b-9148-e3be6c30e623}">
          <xlrd:rvb i="47"/>
        </ext>
      </extLst>
    </bk>
    <bk>
      <extLst>
        <ext uri="{3e2802c4-a4d2-4d8b-9148-e3be6c30e623}">
          <xlrd:rvb i="53"/>
        </ext>
      </extLst>
    </bk>
  </futureMetadata>
  <cellMetadata count="1">
    <bk>
      <rc t="1" v="0"/>
    </bk>
  </cellMetadata>
  <valueMetadata count="16">
    <bk>
      <rc t="2" v="0"/>
    </bk>
    <bk>
      <rc t="2" v="1"/>
    </bk>
    <bk>
      <rc t="2" v="2"/>
    </bk>
    <bk>
      <rc t="2" v="3"/>
    </bk>
    <bk>
      <rc t="2" v="4"/>
    </bk>
    <bk>
      <rc t="2" v="5"/>
    </bk>
    <bk>
      <rc t="2" v="6"/>
    </bk>
    <bk>
      <rc t="2" v="7"/>
    </bk>
    <bk>
      <rc t="2" v="8"/>
    </bk>
    <bk>
      <rc t="2" v="9"/>
    </bk>
    <bk>
      <rc t="2" v="10"/>
    </bk>
    <bk>
      <rc t="2" v="11"/>
    </bk>
    <bk>
      <rc t="2" v="12"/>
    </bk>
    <bk>
      <rc t="2" v="13"/>
    </bk>
    <bk>
      <rc t="2" v="14"/>
    </bk>
    <bk>
      <rc t="2" v="15"/>
    </bk>
  </valueMetadata>
</metadata>
</file>

<file path=xl/sharedStrings.xml><?xml version="1.0" encoding="utf-8"?>
<sst xmlns="http://schemas.openxmlformats.org/spreadsheetml/2006/main" count="9" uniqueCount="9">
  <si>
    <t>Ticker</t>
  </si>
  <si>
    <t>Price</t>
  </si>
  <si>
    <t>52 wk high</t>
  </si>
  <si>
    <t>52 wk low</t>
  </si>
  <si>
    <t>Beta</t>
  </si>
  <si>
    <t>Industry</t>
  </si>
  <si>
    <t>Symbol</t>
  </si>
  <si>
    <t>Volume avg</t>
  </si>
  <si>
    <t>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</si>
</sst>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409]* #,##0.00_);_([$$-409]* \(#,##0.00\);_([$$-409]* &quot;-&quot;??_);_(@_)"/>
  </numFmts>
  <fonts count="2" x14ac:knownFonts="1">
    <font>
      <sz val="12"/>
      <color theme="1"/>
      <name val="Aptos Narrow"/>
      <family val="2"/>
      <scheme val="minor"/>
    </font>
    <font>
      <b/>
      <sz val="12"/>
      <color theme="0"/>
      <name val="Aptos Narrow"/>
      <scheme val="minor"/>
    </font>
  </fonts>
  <fills count="7">
    <fill>
      <patternFill patternType="none"/>
    </fill>
    <fill>
      <patternFill patternType="gray125"/>
    </fill>
    <fill>
      <patternFill patternType="solid">
        <fgColor theme="0"/>
        <bgColor indexed="64"/>
      </patternFill>
    </fill>
    <fill>
      <patternFill patternType="solid">
        <fgColor rgb="FF002060"/>
        <bgColor indexed="64"/>
      </patternFill>
    </fill>
    <fill>
      <patternFill patternType="solid">
        <fgColor theme="0" tint="-0.14999847407452621"/>
        <bgColor indexed="64"/>
      </patternFill>
    </fill>
    <fill>
      <patternFill patternType="solid">
        <fgColor theme="3" tint="0.89999084444715716"/>
        <bgColor indexed="64"/>
      </patternFill>
    </fill>
    <fill>
      <patternFill patternType="solid">
        <fgColor theme="3" tint="0.749992370372631"/>
        <bgColor indexed="64"/>
      </patternFill>
    </fill>
  </fills>
  <borders count="1">
    <border>
      <left/>
      <right/>
      <top/>
      <bottom/>
      <diagonal/>
    </border>
  </borders>
  <cellStyleXfs count="1">
    <xf numFmtId="0" fontId="0" fillId="0" borderId="0"/>
  </cellStyleXfs>
  <cellXfs count="9">
    <xf numFmtId="0" fontId="0" fillId="0" borderId="0" xfId="0"/>
    <xf numFmtId="0" fontId="0" fillId="2" borderId="0" xfId="0" applyFill="1"/>
    <xf numFmtId="0" fontId="1" fillId="3" borderId="0" xfId="0" applyFont="1" applyFill="1"/>
    <xf numFmtId="0" fontId="0" fillId="4" borderId="0" xfId="0" applyFill="1"/>
    <xf numFmtId="164" fontId="0" fillId="5" borderId="0" xfId="0" applyNumberFormat="1" applyFill="1"/>
    <xf numFmtId="4" fontId="0" fillId="5" borderId="0" xfId="0" applyNumberFormat="1" applyFill="1"/>
    <xf numFmtId="0" fontId="0" fillId="5" borderId="0" xfId="0" applyFill="1"/>
    <xf numFmtId="3" fontId="0" fillId="5" borderId="0" xfId="0" applyNumberFormat="1" applyFill="1"/>
    <xf numFmtId="0" fontId="0" fillId="6" borderId="0" xfId="0"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ichStyles" Target="richData/richStyles.xml"/><Relationship Id="rId3" Type="http://schemas.openxmlformats.org/officeDocument/2006/relationships/styles" Target="styles.xml"/><Relationship Id="rId7" Type="http://schemas.microsoft.com/office/2017/06/relationships/rdRichValueStructure" Target="richData/rdrichvaluestructure.xml"/><Relationship Id="rId12" Type="http://schemas.openxmlformats.org/officeDocument/2006/relationships/calcChain" Target="calcChain.xml"/><Relationship Id="rId2" Type="http://schemas.openxmlformats.org/officeDocument/2006/relationships/theme" Target="theme/theme1.xml"/><Relationship Id="rId1" Type="http://schemas.openxmlformats.org/officeDocument/2006/relationships/worksheet" Target="worksheets/sheet1.xml"/><Relationship Id="rId6" Type="http://schemas.microsoft.com/office/2017/06/relationships/rdRichValue" Target="richData/rdrichvalue.xml"/><Relationship Id="rId11" Type="http://schemas.microsoft.com/office/2017/06/relationships/rdRichValueTypes" Target="richData/rdRichValueTypes.xml"/><Relationship Id="rId5" Type="http://schemas.openxmlformats.org/officeDocument/2006/relationships/sheetMetadata" Target="metadata.xml"/><Relationship Id="rId10" Type="http://schemas.microsoft.com/office/2017/06/relationships/rdSupportingPropertyBag" Target="richData/rdsupportingpropertybag.xml"/><Relationship Id="rId4" Type="http://schemas.openxmlformats.org/officeDocument/2006/relationships/sharedStrings" Target="sharedStrings.xml"/><Relationship Id="rId9" Type="http://schemas.microsoft.com/office/2017/06/relationships/rdSupportingPropertyBagStructure" Target="richData/rdsupportingpropertybagstructure.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54">
  <rv s="0">
    <v>https://www.bing.com/financeapi/forcetrigger?t=a1ndww&amp;q=XNAS%3aAMD&amp;form=skydnc</v>
    <v>Learn more on Bing</v>
  </rv>
  <rv s="1">
    <v>0</v>
    <v>ADVANCED MICRO DEVICES, INC. (XNAS:AMD)</v>
    <v>2</v>
    <v>3</v>
    <v>Finance</v>
    <v>4</v>
    <v>en-US</v>
    <v>a1ndww</v>
    <v>268435456</v>
    <v>1</v>
    <v>Powered by Refinitiv</v>
    <v>362.79</v>
    <v>96.45</v>
    <v>2.3980000000000001</v>
    <v>6.05</v>
    <v>1.7067000000000002E-2</v>
    <v>0.86</v>
    <v>2.385E-3</v>
    <v>USD</v>
    <v>Advanced Micro Devices, Inc. is a global semiconductor company. The Company is focused on high-performance computing and artificial intelligence (AI). Its segments include Data Center, Client and Gaming, and Embedded. Data Center segment includes AI accelerators, microprocessors (CPUs) for servers, graphics processing units (GPUs), accelerated processing units (APUs), data processing units (DPUs), Field Programmable Gate Arrays (FPGAs), and Adaptive system-on-Chip (SoC) products for data centers. Client and Gaming segment includes CPUs, APUs, chipsets for desktops and notebooks, discrete GPUs, and semi-custom SoC products and development services. Embedded segment includes embedded CPUs, APUs, FPGAs, system on modules (SOMs), and Adaptive SoC products. It markets and sells its products under the AMD trademark. Its products include AMD EPYC, AMD Ryzen, AMD Ryzen PRO, Virtex UltraScale+, among others.</v>
    <v>31000</v>
    <v>Nasdaq Stock Market</v>
    <v>XNAS</v>
    <v>XNAS</v>
    <v>2485 Augustine Drive, SANTA CLARA, CA, 95054 US</v>
    <v>362.79</v>
    <v>Semiconductors &amp; Semiconductor Equipment</v>
    <v>Stock</v>
    <v>46143.959252106251</v>
    <v>0</v>
    <v>349.25</v>
    <v>587802423060</v>
    <v>ADVANCED MICRO DEVICES, INC.</v>
    <v>ADVANCED MICRO DEVICES, INC.</v>
    <v>351.87</v>
    <v>138.435</v>
    <v>354.49</v>
    <v>360.54</v>
    <v>361.4</v>
    <v>1630339000</v>
    <v>AMD</v>
    <v>ADVANCED MICRO DEVICES, INC. (XNAS:AMD)</v>
    <v>34209961</v>
    <v>40060951</v>
    <v>1969</v>
  </rv>
  <rv s="2">
    <v>1</v>
  </rv>
  <rv s="0">
    <v>https://www.bing.com/financeapi/forcetrigger?t=c2mtim&amp;q=XNAS%3aDUOL&amp;form=skydnc</v>
    <v>Learn more on Bing</v>
  </rv>
  <rv s="1">
    <v>0</v>
    <v>DUOLINGO, INC. (XNAS:DUOL)</v>
    <v>2</v>
    <v>3</v>
    <v>Finance</v>
    <v>4</v>
    <v>en-US</v>
    <v>c2mtim</v>
    <v>268435456</v>
    <v>1</v>
    <v>Powered by Refinitiv</v>
    <v>544.92999999999995</v>
    <v>87.89</v>
    <v>0.8992</v>
    <v>1.1499999999999999</v>
    <v>1.0444999999999999E-2</v>
    <v>0.4985</v>
    <v>4.4809999999999997E-3</v>
    <v>USD</v>
    <v>Duolingo, Inc. is a technology company. The Company is engaged in offering a mobile learning platform, as well as a digital English language proficiency assessment exam. It operates a freemium business model, namely, the app and the Website are accessible free of charge, although Duolingo also offers premium services for a subscription fee. Its solutions consist of the Duolingo App, Super Duolingo, Duolingo Max, Duolingo English Test: AI-Driven Language Assessment, Duolingo for Schools, and Duolingo ABC. The Duolingo App offers courses in over 40 different languages, including Spanish, English, French, German, Italian, Portuguese, Japanese and Chinese. Duolingo can also be accessed on desktop computers via a Web browser. Its subscription offering, Super Duolingo, offers learners additional features to enhance their learning experience. The Duolingo English Test is an online, on-demand, high-stakes English proficiency assessment. It also operates an animation and motion design studio.</v>
    <v>900</v>
    <v>Nasdaq Stock Market</v>
    <v>XNAS</v>
    <v>XNAS</v>
    <v>5900 PENN AVE, SECOND FLOOR, PITTSBURGH, PA, 15206 US</v>
    <v>114.776</v>
    <v>Software &amp; IT Services</v>
    <v>Stock</v>
    <v>46143.959016053122</v>
    <v>3</v>
    <v>110.22499999999999</v>
    <v>5204500837</v>
    <v>DUOLINGO, INC.</v>
    <v>DUOLINGO, INC.</v>
    <v>113.5</v>
    <v>13.122199999999999</v>
    <v>110.1</v>
    <v>111.25</v>
    <v>111.74850000000001</v>
    <v>46782030</v>
    <v>DUOL</v>
    <v>DUOLINGO, INC. (XNAS:DUOL)</v>
    <v>1905330</v>
    <v>1685147</v>
    <v>2011</v>
  </rv>
  <rv s="2">
    <v>4</v>
  </rv>
  <rv s="0">
    <v>https://www.bing.com/financeapi/forcetrigger?t=a1vmf2&amp;q=XNAS%3aINTC&amp;form=skydnc</v>
    <v>Learn more on Bing</v>
  </rv>
  <rv s="1">
    <v>0</v>
    <v>INTEL CORPORATION (XNAS:INTC)</v>
    <v>2</v>
    <v>3</v>
    <v>Finance</v>
    <v>4</v>
    <v>en-US</v>
    <v>a1vmf2</v>
    <v>268435456</v>
    <v>1</v>
    <v>Powered by Refinitiv</v>
    <v>100.45</v>
    <v>18.965</v>
    <v>2.1892</v>
    <v>5.13</v>
    <v>5.4297000000000005E-2</v>
    <v>0.48</v>
    <v>4.8180000000000002E-3</v>
    <v>USD</v>
    <v>Intel Corporation is a global designer and manufacturer of semiconductor products. The Company's segments include Intel Products, Intel Foundry, and All Other. Its Intel Products comprise Client Computing Group (CCG) and Data Center and AI (DCAI). CCG delivers platforms and processors that power PCs and edge devices, enabling enhanced performance, connectivity and user experience for consumer and commercial markets with capabilities that also support retail, industrial robotics and AI ecosystems at the edge. DCAI delivers workload-optimized solutions based upon its x86 architecture for data centers, including CPUs, AI accelerators, NICs, IPUs and custom ASICs, enabling performance and scalability for cloud, enterprise, telecommunication and HPC environments. The Intel Foundry segment comprises technology development, manufacturing and foundry services, developing new semiconductor process technologies and advanced packaging technologies. All Other segments include Mobileye and Other.</v>
    <v>83200</v>
    <v>Nasdaq Stock Market</v>
    <v>XNAS</v>
    <v>XNAS</v>
    <v>2200 Mission College Blvd, Rnb-4-151, SANTA CLARA, CA, 95054 US</v>
    <v>100.45</v>
    <v>Semiconductors &amp; Semiconductor Equipment</v>
    <v>Stock</v>
    <v>46143.959274907029</v>
    <v>6</v>
    <v>92.61</v>
    <v>500639860000</v>
    <v>INTEL CORPORATION</v>
    <v>INTEL CORPORATION</v>
    <v>93.2</v>
    <v>0</v>
    <v>94.48</v>
    <v>99.61</v>
    <v>100.1</v>
    <v>5026000000</v>
    <v>INTC</v>
    <v>INTEL CORPORATION (XNAS:INTC)</v>
    <v>157654668</v>
    <v>128370885</v>
    <v>1989</v>
  </rv>
  <rv s="2">
    <v>7</v>
  </rv>
  <rv s="0">
    <v>https://www.bing.com/financeapi/forcetrigger?t=a1yv52&amp;q=XNAS%3aNVDA&amp;form=skydnc</v>
    <v>Learn more on Bing</v>
  </rv>
  <rv s="1">
    <v>0</v>
    <v>NVIDIA CORPORATION (XNAS:NVDA)</v>
    <v>2</v>
    <v>3</v>
    <v>Finance</v>
    <v>4</v>
    <v>en-US</v>
    <v>a1yv52</v>
    <v>268435456</v>
    <v>1</v>
    <v>Powered by Refinitiv</v>
    <v>216.82499999999999</v>
    <v>110.822</v>
    <v>2.2433000000000001</v>
    <v>-1.1200000000000001</v>
    <v>-5.6120000000000007E-3</v>
    <v>-0.32</v>
    <v>-1.6120000000000002E-3</v>
    <v>USD</v>
    <v>NVIDIA Corporation is an artificial intelligence (AI) infrastructure company. The Company is engaged in accelerated computing to help solve the challenging computational problems. Its segments include Compute &amp; Networking and Graphics. The Compute &amp; Networking segment includes its Data Center accelerated computing and networking platforms and AI solutions and software, and automotive platforms and autonomous and electric vehicle solutions, including software. The Graphics segment includes GeForce GPUs for gaming and personal computers (PCs), and Quadro/NVIDIA RTX GPUs for enterprise workstation graphics. Its technology stack includes the foundational NVIDIA CUDA development platform that runs on all NVIDIA GPUs, as well as hundreds of domain-specific software libraries, frameworks, algorithms, software development kits (SDKs), and application programming interfaces (APIs). Its platforms address four markets, which include Data Center, Gaming, Professional Visualization, and Automotive.</v>
    <v>42000</v>
    <v>Nasdaq Stock Market</v>
    <v>XNAS</v>
    <v>XNAS</v>
    <v>2788 San Tomas Expressway, SANTA CLARA, CA, 95051 US</v>
    <v>203</v>
    <v>Semiconductors &amp; Semiconductor Equipment</v>
    <v>Stock</v>
    <v>46143.95926263828</v>
    <v>9</v>
    <v>197.12</v>
    <v>4822335000000</v>
    <v>NVIDIA CORPORATION</v>
    <v>NVIDIA CORPORATION</v>
    <v>201.28</v>
    <v>40.713999999999999</v>
    <v>199.57</v>
    <v>198.45</v>
    <v>198.13</v>
    <v>24300000000</v>
    <v>NVDA</v>
    <v>NVIDIA CORPORATION (XNAS:NVDA)</v>
    <v>128374211</v>
    <v>156948876</v>
    <v>1998</v>
  </rv>
  <rv s="2">
    <v>10</v>
  </rv>
  <rv s="0">
    <v>https://www.bing.com/financeapi/forcetrigger?t=bqw82w&amp;q=XNYS%3aPHR&amp;form=skydnc</v>
    <v>Learn more on Bing</v>
  </rv>
  <rv s="1">
    <v>0</v>
    <v>PHREESIA, INC. (XNYS:PHR)</v>
    <v>2</v>
    <v>3</v>
    <v>Finance</v>
    <v>5</v>
    <v>en-US</v>
    <v>bqw82w</v>
    <v>268435456</v>
    <v>1</v>
    <v>Powered by Refinitiv</v>
    <v>32.76</v>
    <v>7.77</v>
    <v>0.89129999999999998</v>
    <v>0.46</v>
    <v>4.9946000000000004E-2</v>
    <v>0.19</v>
    <v>1.9648000000000002E-2</v>
    <v>USD</v>
    <v>Phreesia, Inc. is a provider of comprehensive software solutions that improve the operational and financial performance of healthcare organizations. The Company's solutions include software-as-a-service (SaaS)-based integrated tools that manage patient access, registration, and payments. In addition, its solutions include clinical assessments to screen patients for a variety of physical, behavioral and mental health conditions, helping providers to understand their patients and connect them to needed services, resulting in improved health outcomes. Its Technology solutions segment provides life sciences companies, health plans and other payer organizations (payers), patient advocacy, public interest and other not-for-profit organizations with a channel for direct communication with patients. The Company's solutions also include additional products and services, such as the MediFind provider directory, which helps patients find care based on providers' specific clinical expertise.</v>
    <v>1789</v>
    <v>New York Stock Exchange</v>
    <v>XNYS</v>
    <v>XNYS</v>
    <v>1521 Concord Pike, Suite 301 Pmb 221, WILMINGTON, DE, 19803 US</v>
    <v>9.77</v>
    <v>Software &amp; IT Services</v>
    <v>Stock</v>
    <v>46143.937500010936</v>
    <v>12</v>
    <v>9.27</v>
    <v>587578790</v>
    <v>PHREESIA, INC.</v>
    <v>PHREESIA, INC.</v>
    <v>9.44</v>
    <v>279.47980000000001</v>
    <v>9.2100000000000009</v>
    <v>9.67</v>
    <v>9.86</v>
    <v>60763060</v>
    <v>PHR</v>
    <v>PHREESIA, INC. (XNYS:PHR)</v>
    <v>1630539</v>
    <v>2506370</v>
    <v>2005</v>
  </rv>
  <rv s="2">
    <v>13</v>
  </rv>
  <rv s="0">
    <v>http://en.wikipedia.org/wiki/Public_domain</v>
    <v>Public domain</v>
  </rv>
  <rv s="0">
    <v>http://en.wikipedia.org/wiki/Qualcomm</v>
    <v>Wikipedia</v>
  </rv>
  <rv s="3">
    <v>15</v>
    <v>16</v>
  </rv>
  <rv s="4">
    <v>10</v>
    <v>https://www.bing.com/th?id=AMMS_2b1c176dae370ecc0d55a1517537f595&amp;qlt=95</v>
    <v>17</v>
    <v>0</v>
    <v>https://www.bing.com/images/search?form=xlimg&amp;q=qualcomm</v>
    <v>Image of QUALCOMM INCORPORATED</v>
  </rv>
  <rv s="0">
    <v>https://www.bing.com/financeapi/forcetrigger?t=a21k2w&amp;q=XNAS%3aQCOM&amp;form=skydnc</v>
    <v>Learn more on Bing</v>
  </rv>
  <rv s="5">
    <v>6</v>
    <v>QUALCOMM INCORPORATED (XNAS:QCOM)</v>
    <v>8</v>
    <v>9</v>
    <v>Finance</v>
    <v>4</v>
    <v>en-US</v>
    <v>a21k2w</v>
    <v>268435456</v>
    <v>1</v>
    <v>Powered by Refinitiv</v>
    <v>205.95</v>
    <v>121.99</v>
    <v>1.4923</v>
    <v>-2.5449999999999999</v>
    <v>-1.4172000000000001E-2</v>
    <v>-0.28999999999999998</v>
    <v>-1.6379999999999999E-3</v>
    <v>USD</v>
    <v>Qualcomm Incorporated is engaged in the development and commercialization of foundational technologies for the wireless industry, including third generation (3G), fourth generation (4G) and fifth generation (5G) wireless connectivity, and high-performance and low-power computing, including on-device artificial intelligence. Its segments include Qualcomm CDMA Technologies (QCT), Qualcomm Technology Licensing (QTL) and Qualcomm Strategic Initiatives. QCT develops and supplies integrated circuits and system software based on 3G/4G/5G and other technologies, including radio frequency front-end, digital cockpit and advanced driver assistance and automated driving, Internet of things including consumer electronic devices, industrial devices and edge networking products. QTL grants licenses or otherwise provides rights to use portions of its intellectual property portfolio that includes certain patent rights essential to and/or useful in the manufacture and sale of certain wireless products.</v>
    <v>52000</v>
    <v>Nasdaq Stock Market</v>
    <v>XNAS</v>
    <v>XNAS</v>
    <v>5775 Morehouse Drive, SAN DIEGO, CA, 92121 US</v>
    <v>179.99</v>
    <v>18</v>
    <v>Semiconductors &amp; Semiconductor Equipment</v>
    <v>Stock</v>
    <v>46143.959038310153</v>
    <v>19</v>
    <v>171.15</v>
    <v>186594890000</v>
    <v>QUALCOMM INCORPORATED</v>
    <v>QUALCOMM INCORPORATED</v>
    <v>179.13</v>
    <v>19.5335</v>
    <v>179.58</v>
    <v>177.035</v>
    <v>176.72</v>
    <v>1054000000</v>
    <v>QCOM</v>
    <v>QUALCOMM INCORPORATED (XNAS:QCOM)</v>
    <v>21094355</v>
    <v>15464997</v>
    <v>1991</v>
  </rv>
  <rv s="2">
    <v>20</v>
  </rv>
  <rv s="6">
    <v>11</v>
    <v>SHARKNINJA, INC. (XNYS:SN)</v>
    <v>12</v>
    <v>3</v>
    <v>Finance</v>
    <v>5</v>
    <v>en-US</v>
    <v>cag2ar</v>
    <v>268435456</v>
    <v>1</v>
    <v>Powered by Refinitiv</v>
    <v>133.99</v>
    <v>78.819999999999993</v>
    <v>1.4139999999999999</v>
    <v>-0.88</v>
    <v>-7.6170000000000005E-3</v>
    <v>0.35</v>
    <v>3.0530000000000002E-3</v>
    <v>USD</v>
    <v>SharkNinja, Inc. is a global product design and technology company, which offers lifestyle solutions to consumers around the world. Its diverse product portfolio spans over 36 household sub-categories, across cleaning, cooking, food preparation, and others, which include home environment and beauty. Its brands include Shark and Ninja. The Shark brand offerings cover handheld and robotic vacuums, as well as other floorcare products, including steam mops, wet/dry cleaning floor products and carpet extraction, beauty appliance and home environmental products. Ninja brand offers small kitchen appliances in the United States and its diversified product offering spans across consumers’ kitchens, both indoors and outdoors, with leading products in air fryers, multi-cookers, outdoor and countertop grills and ovens, coffee systems, carbonation, cookware, cutlery, kettles, toasters, and others. Its products are sold at key retailers, online and offline, and through distributors around the world.</v>
    <v>4143</v>
    <v>New York Stock Exchange</v>
    <v>XNYS</v>
    <v>XNYS</v>
    <v>89 A Street, #100, NEEDHAM, MA, 02494 US</v>
    <v>117.08</v>
    <v>Household Goods</v>
    <v>Stock</v>
    <v>46143.937500010936</v>
    <v>114.1075</v>
    <v>16230874385</v>
    <v>SHARKNINJA, INC.</v>
    <v>SHARKNINJA, INC.</v>
    <v>115.71</v>
    <v>23.183199999999999</v>
    <v>115.53</v>
    <v>114.65</v>
    <v>115</v>
    <v>141568900</v>
    <v>SN</v>
    <v>SHARKNINJA, INC. (XNYS:SN)</v>
    <v>1225321</v>
    <v>1434533</v>
    <v>2017</v>
  </rv>
  <rv s="2">
    <v>22</v>
  </rv>
  <rv s="0">
    <v>https://www.bing.com/financeapi/forcetrigger?t=a33knm&amp;q=10+Y+TSY+YLD+NDX&amp;form=skydnc</v>
    <v>Learn more on Bing</v>
  </rv>
  <rv s="7">
    <v>13</v>
    <v>10 Y TSY YLD NDX</v>
    <v>14</v>
    <v>15</v>
    <v>Finance</v>
    <v>16</v>
    <v>en-US</v>
    <v>a33knm</v>
    <v>268435456</v>
    <v>1</v>
    <v>Powered by Refinitiv</v>
    <v>46.29</v>
    <v>39.47</v>
    <v>-0.28000000000000003</v>
    <v>-6.3379999999999999E-3</v>
    <v>US</v>
    <v>44.1</v>
    <v>Index</v>
    <v>24</v>
    <v>43.82</v>
    <v>10 Y TSY YLD NDX</v>
    <v>43.92</v>
    <v>44.18</v>
    <v>43.9</v>
    <v>TNX</v>
    <v>10 Y TSY YLD NDX</v>
  </rv>
  <rv s="2">
    <v>25</v>
  </rv>
  <rv s="0">
    <v>https://www.bing.com/financeapi/forcetrigger?t=a1mqec&amp;q=XNYS%3aABEV&amp;form=skydnc</v>
    <v>Learn more on Bing</v>
  </rv>
  <rv s="1">
    <v>0</v>
    <v>Ambev SA (XNYS:ABEV)</v>
    <v>2</v>
    <v>3</v>
    <v>Finance</v>
    <v>4</v>
    <v>en-US</v>
    <v>a1mqec</v>
    <v>268435456</v>
    <v>1</v>
    <v>Powered by Refinitiv</v>
    <v>3.24</v>
    <v>2.1</v>
    <v>0.62949999999999995</v>
    <v>-0.02</v>
    <v>-6.8489999999999992E-3</v>
    <v>-0.01</v>
    <v>-3.4480000000000001E-3</v>
    <v>USD</v>
    <v>Ambev SA, formerly Inbev Participacoes Societarias SA, is a Brazil-based company engaged in the brewing sector. The Company produces, distributes and sells beer, carbonated soft drinks (CSDs) and other non-alcoholic and non-carbonated (NANC) beverages across the Americas. The Company's activities are divided into three segments: Latin America North, including sell of beer, CSD and NANC drinks in Brazil, as well as operations in the Dominican Republic, Saint Vincent, Antigua, Dominica, Cuba, Guatemala, El Salvador, Honduras, Nicaragua, Barbados and Panama; Latin America South, distributing products in Argentina, Bolivia, Paraguay, Uruguay, Chile; and Canada, represented by Labatt’s operations, which comprises sales in Canada and some exports to the U.S. market. The Company markets products under various brand names, such as Adriatica, Brahma, Leffe, Budweiser, Corona, PepsiCo and Lipton. It is a subsidiary of Interbrew International BV.</v>
    <v>39000</v>
    <v>New York Stock Exchange</v>
    <v>XNYS</v>
    <v>XNYS</v>
    <v>Rua Dr. Renato Paes de Barros, 1.017, 4 andar, Itaim Bibi, SAO PAULO, SAO PAULO, 04.530-001 BR</v>
    <v>2.94</v>
    <v>Beverages</v>
    <v>Stock</v>
    <v>46143.955991423434</v>
    <v>27</v>
    <v>2.895</v>
    <v>45714643000</v>
    <v>Ambev SA</v>
    <v>Ambev SA</v>
    <v>2.92</v>
    <v>16.066500000000001</v>
    <v>2.92</v>
    <v>2.9</v>
    <v>2.89</v>
    <v>15763670000</v>
    <v>ABEV</v>
    <v>Ambev SA (XNYS:ABEV)</v>
    <v>12509987</v>
    <v>25489750</v>
    <v>2005</v>
  </rv>
  <rv s="2">
    <v>28</v>
  </rv>
  <rv s="0">
    <v>https://www.bing.com/financeapi/forcetrigger?t=a221mw&amp;q=XNYS%3aRIO&amp;form=skydnc</v>
    <v>Learn more on Bing</v>
  </rv>
  <rv s="1">
    <v>0</v>
    <v>RIO TINTO PLC (XNYS:RIO)</v>
    <v>2</v>
    <v>3</v>
    <v>Finance</v>
    <v>4</v>
    <v>en-US</v>
    <v>a221mw</v>
    <v>268435456</v>
    <v>1</v>
    <v>Powered by Refinitiv</v>
    <v>101.53</v>
    <v>55.64</v>
    <v>0.57310000000000005</v>
    <v>0.105</v>
    <v>1.0449999999999999E-3</v>
    <v>0.41</v>
    <v>4.0759999999999998E-3</v>
    <v>USD</v>
    <v>Rio Tinto plc is a United Kingdom-based mining and materials company. It operates in over 35 countries, and its portfolio includes iron ore, copper, aluminum and a range of other minerals and materials. Its segments include Iron Ore, Aluminum, Copper, and Minerals. The Iron Ore segment includes iron ore mining and salt and gypsum production in Western Australia. Its iron ore operations in Pilbara comprise an integrated network of over 18 iron ore mines and four independent port terminals. The Aluminum segment includes bauxite mining, alumina refining, and aluminum smelting and recycling. The Copper segment includes mining and refining of copper, gold, silver, molybdenum, other by-products and licensing of extraction technologies. The Minerals segment includes mining and processing of borates, diamonds, iron concentrate and pellets from the Iron Ore Company of Canada, lithium and titanium dioxide feedstock.</v>
    <v>61230</v>
    <v>New York Stock Exchange</v>
    <v>XNYS</v>
    <v>XNYS</v>
    <v>6 St James's Square, LONDON, SW1Y 4AD GB</v>
    <v>101.05</v>
    <v>Metals &amp; Mining</v>
    <v>Stock</v>
    <v>46143.953110462498</v>
    <v>30</v>
    <v>99.59</v>
    <v>163629465130</v>
    <v>RIO TINTO PLC</v>
    <v>RIO TINTO PLC</v>
    <v>99.99</v>
    <v>16.532399999999999</v>
    <v>100.48</v>
    <v>100.58499999999999</v>
    <v>100.99</v>
    <v>1626778000</v>
    <v>RIO</v>
    <v>RIO TINTO PLC (XNYS:RIO)</v>
    <v>1486132</v>
    <v>2632698</v>
    <v>1962</v>
  </rv>
  <rv s="2">
    <v>31</v>
  </rv>
  <rv s="0">
    <v>https://www.bing.com/financeapi/forcetrigger?t=a24xlh&amp;q=XNYS%3aUNH&amp;form=skydnc</v>
    <v>Learn more on Bing</v>
  </rv>
  <rv s="1">
    <v>0</v>
    <v>UNITEDHEALTH GROUP INCORPORATED (XNYS:UNH)</v>
    <v>2</v>
    <v>3</v>
    <v>Finance</v>
    <v>4</v>
    <v>en-US</v>
    <v>a24xlh</v>
    <v>268435456</v>
    <v>1</v>
    <v>Powered by Refinitiv</v>
    <v>411.99</v>
    <v>234.6</v>
    <v>0.64649999999999996</v>
    <v>-1.665</v>
    <v>-4.4940000000000006E-3</v>
    <v>-0.4864</v>
    <v>-1.3189999999999999E-3</v>
    <v>USD</v>
    <v>UnitedHealth Group Incorporated is a healthcare and well-being company. Its segments include Optum Health, Optum Insight, Optum Rx, and UnitedHealthcare, which includes UnitedHealthcare Employer &amp; Individual, UnitedHealthcare Medicare &amp; Retirement and UnitedHealthcare Community &amp; State. Optum Health provides comprehensive and patient-centered care, addressing the physical, mental, and social well-being. Optum Health delivers primary, specialty and surgical care and helps patients and providers navigate and address complex, chronic and behavioral health needs. Optum Insight connects the healthcare system with services, analytics and platforms that make clinical, administrative and financial processes simpler and more efficient for all participants in the healthcare system. Optum Rx offers a range of pharmacy care services through retail pharmacies, through home delivery, specialty and community health pharmacies and the provision of in-home and community-based infusion services.</v>
    <v>390000</v>
    <v>New York Stock Exchange</v>
    <v>XNYS</v>
    <v>XNYS</v>
    <v>1 HEALTH DRIVE, EDEN PRAIRIE, MN, 55344 US</v>
    <v>372.9</v>
    <v>Healthcare Providers &amp; Services</v>
    <v>Stock</v>
    <v>46143.954659918752</v>
    <v>33</v>
    <v>367.02</v>
    <v>334962651358</v>
    <v>UNITEDHEALTH GROUP INCORPORATED</v>
    <v>UNITEDHEALTH GROUP INCORPORATED</v>
    <v>371.96</v>
    <v>27.854199999999999</v>
    <v>370.48</v>
    <v>368.815</v>
    <v>368.29360000000003</v>
    <v>908213200</v>
    <v>UNH</v>
    <v>UNITEDHEALTH GROUP INCORPORATED (XNYS:UNH)</v>
    <v>4944113</v>
    <v>9025081</v>
    <v>2015</v>
  </rv>
  <rv s="2">
    <v>34</v>
  </rv>
  <rv s="0">
    <v>https://www.bing.com/financeapi/forcetrigger?t=a1nhlh&amp;q=XNAS%3aAMZN&amp;form=skydnc</v>
    <v>Learn more on Bing</v>
  </rv>
  <rv s="1">
    <v>0</v>
    <v>AMAZON.COM, INC. (XNAS:AMZN)</v>
    <v>2</v>
    <v>3</v>
    <v>Finance</v>
    <v>4</v>
    <v>en-US</v>
    <v>a1nhlh</v>
    <v>268435456</v>
    <v>1</v>
    <v>Powered by Refinitiv</v>
    <v>273.88</v>
    <v>183.85</v>
    <v>1.4679</v>
    <v>3.36</v>
    <v>1.2676E-2</v>
    <v>-0.65</v>
    <v>-2.4229999999999998E-3</v>
    <v>USD</v>
    <v>Amazon.com, Inc. provides a range of products and services to customers. The products offered through its stores include merchandise and content it has purchased for resale and products offered by third-party sellers. The Company’s segments include North America, International and Amazon Web Services (AWS). It serves consumers through its online and physical stores and focuses on selection, price, and convenience. Customers access its offerings through its websites, mobile apps, Alexa, devices, streaming, and physically visiting its stores. It also manufactures and sells electronic devices, including Kindle, Fire tablet, Fire TV, Echo, Ring, Blink, and eero, and develops and produces media content. It serves developers and enterprises of all sizes, including start-ups, government agencies, and academic institutions, through AWS, which offers a set of on-demand technology services, including compute, storage, database, analytics, and machine learning, and other services.</v>
    <v>1575000</v>
    <v>Nasdaq Stock Market</v>
    <v>XNAS</v>
    <v>XNAS</v>
    <v>410 Terry Avenue North, SEATTLE, WA, 98109 US</v>
    <v>273.315</v>
    <v>Diversified Retail</v>
    <v>Stock</v>
    <v>46143.958833853903</v>
    <v>36</v>
    <v>262.74</v>
    <v>2886693363800</v>
    <v>AMAZON.COM, INC.</v>
    <v>AMAZON.COM, INC.</v>
    <v>265.58</v>
    <v>31.676600000000001</v>
    <v>265.06</v>
    <v>268.42</v>
    <v>267.61</v>
    <v>10754390000</v>
    <v>AMZN</v>
    <v>AMAZON.COM, INC. (XNAS:AMZN)</v>
    <v>50797207</v>
    <v>49444501</v>
    <v>1996</v>
  </rv>
  <rv s="2">
    <v>37</v>
  </rv>
  <rv s="0">
    <v>https://www.bing.com/financeapi/forcetrigger?t=a1u3rw&amp;q=XNAS%3aGOOGL&amp;form=skydnc</v>
    <v>Learn more on Bing</v>
  </rv>
  <rv s="1">
    <v>0</v>
    <v>ALPHABET INC. (XNAS:GOOGL)</v>
    <v>2</v>
    <v>3</v>
    <v>Finance</v>
    <v>4</v>
    <v>en-US</v>
    <v>a1u3rw</v>
    <v>268435456</v>
    <v>1</v>
    <v>Powered by Refinitiv</v>
    <v>386.76</v>
    <v>147.84</v>
    <v>1.2665999999999999</v>
    <v>0.89</v>
    <v>2.313E-3</v>
    <v>-0.75160000000000005</v>
    <v>-1.949E-3</v>
    <v>USD</v>
    <v>Alphabet Inc. is a holding company. The Company's segments include Google Services, Google Cloud, and Other Bets. The Google Services segment includes products and services such as ads, Android, Chrome, devices, Google Maps, Google Play, Search, and YouTube. The Google Cloud segment includes infrastructure and platform services, collaboration tools, and other services for enterprise customers. Its Other Bets segment is engaged in the sale of healthcare-related services and Internet services. Its Google Cloud provides enterprise-ready cloud services, including Google Cloud Platform and Google Workspace. Google Cloud Platform provides access to solutions such as artificial intelligence (AI) offerings, including its AI infrastructure, Vertex AI platform, and Gemini for Google Cloud; cybersecurity, and data and analytics. Google Workspace includes cloud-based communication and collaboration tools for enterprises, such as Calendar, Gmail, Docs, Drive, and Meet.</v>
    <v>190820</v>
    <v>Nasdaq Stock Market</v>
    <v>XNAS</v>
    <v>XNAS</v>
    <v>1600 Amphitheatre Parkway, MOUNTAIN VIEW, CA, 94043 US</v>
    <v>386.76</v>
    <v>Software &amp; IT Services</v>
    <v>Stock</v>
    <v>46143.959236550778</v>
    <v>39</v>
    <v>379.05</v>
    <v>4672804053600</v>
    <v>ALPHABET INC.</v>
    <v>ALPHABET INC.</v>
    <v>381.63</v>
    <v>29.3292</v>
    <v>384.8</v>
    <v>385.69</v>
    <v>384.9384</v>
    <v>12115440000</v>
    <v>GOOGL</v>
    <v>ALPHABET INC. (XNAS:GOOGL)</v>
    <v>30088038</v>
    <v>28746126</v>
    <v>2015</v>
  </rv>
  <rv s="2">
    <v>40</v>
  </rv>
  <rv s="0">
    <v>https://www.bing.com/financeapi/forcetrigger?t=a269ec&amp;q=XNYS%3aXOM&amp;form=skydnc</v>
    <v>Learn more on Bing</v>
  </rv>
  <rv s="1">
    <v>0</v>
    <v>EXXON MOBIL CORPORATION (XNYS:XOM)</v>
    <v>2</v>
    <v>3</v>
    <v>Finance</v>
    <v>4</v>
    <v>en-US</v>
    <v>a269ec</v>
    <v>268435456</v>
    <v>1</v>
    <v>Powered by Refinitiv</v>
    <v>176.41</v>
    <v>101.185</v>
    <v>0.1835</v>
    <v>-1.52</v>
    <v>-9.8490000000000001E-3</v>
    <v>-0.184</v>
    <v>-1.2049999999999999E-3</v>
    <v>USD</v>
    <v>Exxon Mobil Corporation is an energy provider and chemical manufacturer. The Company’s principal business involves exploration for, and production of, crude oil and natural gas; the manufacture, trade, transport and sale of crude oil, natural gas, petroleum products, petrochemicals and a wide variety of specialty products; and pursuit of lower-emission and other new business opportunities, including carbon capture and storage, hydrogen, lower-emission fuels, Proxxima systems, carbon materials, and lithium. Its Upstream segment explores for and produces crude oil and natural gas. The Energy Products, Chemical Products, and Specialty Products segments manufacture and sell petroleum products and petrochemicals. Energy Products segment includes fuels, aromatics, and catalysts and licensing. Chemical Products segment consists of olefins, polyolefins, and intermediates. Specialty Products segment includes finished lubricants, basestocks and waxes, synthetics, and elastomers and resins.</v>
    <v>58000</v>
    <v>New York Stock Exchange</v>
    <v>XNYS</v>
    <v>XNYS</v>
    <v>22777 SPRINGWOODS VILLAGE PARKWAY, SPRING, TX, 77389-1425 US</v>
    <v>155.01</v>
    <v>Oil &amp; Gas</v>
    <v>Stock</v>
    <v>46143.95899491875</v>
    <v>42</v>
    <v>151.13</v>
    <v>635163933600</v>
    <v>EXXON MOBIL CORPORATION</v>
    <v>EXXON MOBIL CORPORATION</v>
    <v>152.61000000000001</v>
    <v>25.848299999999998</v>
    <v>154.33000000000001</v>
    <v>152.81</v>
    <v>152.566</v>
    <v>4156560000</v>
    <v>XOM</v>
    <v>EXXON MOBIL CORPORATION (XNYS:XOM)</v>
    <v>15455415</v>
    <v>21274761</v>
    <v>1882</v>
  </rv>
  <rv s="2">
    <v>43</v>
  </rv>
  <rv s="0">
    <v>https://www.bing.com/financeapi/forcetrigger?t=a1mou2&amp;q=XNAS%3aAAPL&amp;form=skydnc</v>
    <v>Learn more on Bing</v>
  </rv>
  <rv s="1">
    <v>0</v>
    <v>APPLE INC. (XNAS:AAPL)</v>
    <v>2</v>
    <v>3</v>
    <v>Finance</v>
    <v>4</v>
    <v>en-US</v>
    <v>a1mou2</v>
    <v>268435456</v>
    <v>1</v>
    <v>Powered by Refinitiv</v>
    <v>288.62</v>
    <v>193.25</v>
    <v>1.0647</v>
    <v>8.9</v>
    <v>3.2799000000000002E-2</v>
    <v>-0.26</v>
    <v>-9.2810000000000006E-4</v>
    <v>USD</v>
    <v>Apple Inc. designs, manufactures and markets smartphones, personal computers, tablets, wearables and accessories, and sells a variety of related services. Its product categories include iPhone, Mac, iPad, Wearables, Home and Accessories. Its services include advertising, AppleCare, cloud services, digital content, and payment services. The Company operates various platforms, including the App Store, that allow customers to discover and download applications and digital content, such as books, music, video, games and podcasts. It also offers digital content through subscription-based services, including Apple Arcade, Apple Fitness+, Apple Music, Apple News+, and Apple TV+. Its wearables include smartwatches, wireless headphones, and spatial computers. Its products include iPhone 16 Pro, iPhone 16, iPhone 15, iPhone 14, iPhone SE, MacBook Air, MacBook Pro, iMac, Mac mini, Mac Studio, Mac Pro, iPad Pro, iPad Air, AirPods, AirPods Pro, AirPods Max, Apple TV, Apple Vision Pro and others.</v>
    <v>166000</v>
    <v>Nasdaq Stock Market</v>
    <v>XNAS</v>
    <v>XNAS</v>
    <v>One Apple Park Way, CUPERTINO, CA, 95014 US</v>
    <v>287.22000000000003</v>
    <v>Computers, Phones &amp; Household Electronics</v>
    <v>Stock</v>
    <v>46143.959211805472</v>
    <v>45</v>
    <v>278.37</v>
    <v>4114389485000</v>
    <v>APPLE INC.</v>
    <v>APPLE INC.</v>
    <v>278.85500000000002</v>
    <v>32.955500000000001</v>
    <v>271.35000000000002</v>
    <v>280.25</v>
    <v>279.88</v>
    <v>14681140000</v>
    <v>AAPL</v>
    <v>APPLE INC. (XNAS:AAPL)</v>
    <v>79874248</v>
    <v>43451177</v>
    <v>1977</v>
  </rv>
  <rv s="2">
    <v>46</v>
  </rv>
  <rv s="0">
    <v>http://es.wikipedia.org/wiki/Adobe_(empresa)</v>
    <v>Wikipedia</v>
  </rv>
  <rv s="3">
    <v>15</v>
    <v>48</v>
  </rv>
  <rv s="4">
    <v>10</v>
    <v>https://www.bing.com/th?id=AMMS_503c684ccc667ad525fe1d703881df2c&amp;qlt=95</v>
    <v>49</v>
    <v>0</v>
    <v>https://www.bing.com/images/search?form=xlimg&amp;q=adobe+systems</v>
    <v>Image of ADOBE INC.</v>
  </rv>
  <rv s="0">
    <v>https://www.bing.com/financeapi/forcetrigger?t=a1mv7w&amp;q=XNAS%3aADBE&amp;form=skydnc</v>
    <v>Learn more on Bing</v>
  </rv>
  <rv s="5">
    <v>6</v>
    <v>ADOBE INC. (XNAS:ADBE)</v>
    <v>8</v>
    <v>9</v>
    <v>Finance</v>
    <v>4</v>
    <v>en-US</v>
    <v>a1mv7w</v>
    <v>268435456</v>
    <v>1</v>
    <v>Powered by Refinitiv</v>
    <v>422.95</v>
    <v>224.13</v>
    <v>1.4171</v>
    <v>4.6100000000000003</v>
    <v>1.8731999999999999E-2</v>
    <v>-0.33</v>
    <v>-1.3159999999999999E-3</v>
    <v>USD</v>
    <v>Adobe Inc. is a global technology company. The Company's products, services and solutions are used around the world to imagine, create, manage, deliver, measure, optimize and engage with content across surfaces and fuel digital experiences. Its segments include Digital Media, Digital Experience, and Publishing and Advertising. The Digital Media segment is centered around Adobe Creative Cloud and Adobe Document Cloud, which include Adobe Express, Adobe Firefly, Photoshop and other products, offering a variety of tools for creative professionals, communicators and other consumers. The Digital Experience segment provides an integrated platform and set of products, services and solutions through Adobe Experience Cloud. The Publishing and Advertising segment contains legacy products and services. In addition, its Adobe GenStudio solution allows businesses to simplify their content supply chain process with generative artificial intelligence (AI) capabilities and intelligent automation.</v>
    <v>31360</v>
    <v>Nasdaq Stock Market</v>
    <v>XNAS</v>
    <v>XNAS</v>
    <v>345 Park Avenue, SAN JOSE, CA, 95110-2704 US</v>
    <v>253.56</v>
    <v>50</v>
    <v>Software &amp; IT Services</v>
    <v>Stock</v>
    <v>46143.957950149997</v>
    <v>51</v>
    <v>244.1</v>
    <v>101336982000</v>
    <v>ADOBE INC.</v>
    <v>ADOBE INC.</v>
    <v>252</v>
    <v>14.612399999999999</v>
    <v>246.1</v>
    <v>250.71</v>
    <v>250.38</v>
    <v>404200000</v>
    <v>ADBE</v>
    <v>ADOBE INC. (XNAS:ADBE)</v>
    <v>5065564</v>
    <v>5145474</v>
    <v>1997</v>
  </rv>
  <rv s="2">
    <v>52</v>
  </rv>
</rvData>
</file>

<file path=xl/richData/rdrichvaluestructure.xml><?xml version="1.0" encoding="utf-8"?>
<rvStructures xmlns="http://schemas.microsoft.com/office/spreadsheetml/2017/richdata" count="8">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sourceattribution">
    <k n="License" t="r"/>
    <k n="Source" t="r"/>
  </s>
  <s t="_imageurl">
    <k n="_Provider" t="spb"/>
    <k n="Address" t="s"/>
    <k n="Attribution" t="r"/>
    <k n="ComputedImage" t="b"/>
    <k n="More Images 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Price (Extended hours)"/>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4">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6">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44">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17">
    <spb s="0">
      <v>0</v>
      <v>Name</v>
      <v>LearnMoreOnLink</v>
    </spb>
    <spb s="1">
      <v>0</v>
      <v>0</v>
      <v>0</v>
    </spb>
    <spb s="2">
      <v>1</v>
      <v>1</v>
      <v>1</v>
      <v>1</v>
    </spb>
    <spb s="3">
      <v>1</v>
      <v>2</v>
      <v>2</v>
      <v>1</v>
      <v>3</v>
      <v>1</v>
      <v>1</v>
      <v>1</v>
      <v>4</v>
      <v>4</v>
      <v>5</v>
      <v>6</v>
      <v>1</v>
      <v>1</v>
      <v>1</v>
      <v>4</v>
      <v>7</v>
      <v>8</v>
      <v>9</v>
      <v>4</v>
      <v>1</v>
      <v>1</v>
      <v>5</v>
    </spb>
    <spb s="4">
      <v>at close</v>
      <v>from previous close</v>
      <v>from previous close</v>
      <v>Source: Nasdaq Last Sale</v>
      <v>GMT</v>
      <v>Real-Time Nasdaq Last Sale</v>
      <v>from close</v>
      <v>from close</v>
    </spb>
    <spb s="4">
      <v>at close</v>
      <v>from previous close</v>
      <v>from previous close</v>
      <v>Source: Nasdaq</v>
      <v>GMT</v>
      <v>Delayed 15 minutes</v>
      <v>from close</v>
      <v>from close</v>
    </spb>
    <spb s="0">
      <v>1</v>
      <v>Name</v>
      <v>LearnMoreOnLink</v>
    </spb>
    <spb s="5">
      <v>0</v>
      <v>0</v>
    </spb>
    <spb s="6">
      <v>7</v>
      <v>1</v>
      <v>1</v>
      <v>1</v>
      <v>1</v>
    </spb>
    <spb s="7">
      <v>1</v>
      <v>2</v>
      <v>2</v>
      <v>1</v>
      <v>3</v>
      <v>1</v>
      <v>10</v>
      <v>1</v>
      <v>1</v>
      <v>4</v>
      <v>4</v>
      <v>5</v>
      <v>6</v>
      <v>1</v>
      <v>1</v>
      <v>1</v>
      <v>4</v>
      <v>7</v>
      <v>8</v>
      <v>9</v>
      <v>4</v>
      <v>1</v>
      <v>1</v>
      <v>5</v>
    </spb>
    <spb s="8">
      <v>Powered by Refinitiv</v>
    </spb>
    <spb s="9">
      <v>2</v>
      <v>Name</v>
    </spb>
    <spb s="10">
      <v>1</v>
      <v>1</v>
      <v>1</v>
    </spb>
    <spb s="0">
      <v>3</v>
      <v>Name</v>
      <v>LearnMoreOnLink</v>
    </spb>
    <spb s="11">
      <v>1</v>
      <v>1</v>
      <v>1</v>
    </spb>
    <spb s="12">
      <v>1</v>
      <v>1</v>
      <v>3</v>
      <v>1</v>
      <v>1</v>
      <v>1</v>
      <v>5</v>
      <v>1</v>
      <v>1</v>
      <v>1</v>
      <v>9</v>
    </spb>
    <spb s="13">
      <v>from previous close</v>
      <v>from previous close</v>
    </spb>
  </spbData>
</supportingPropertyBags>
</file>

<file path=xl/richData/rdsupportingpropertybagstructure.xml><?xml version="1.0" encoding="utf-8"?>
<spbStructures xmlns="http://schemas.microsoft.com/office/spreadsheetml/2017/richdata2" count="14">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name" t="s"/>
  </s>
  <s>
    <k n="^Order" t="spba"/>
    <k n="TitleProperty" t="s"/>
  </s>
  <s>
    <k n="ExchangeID" t="spb"/>
    <k n="UniqueName" t="spb"/>
    <k n="`%ProviderInfo" t="spb"/>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Pr n="IsHero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Sty>
      <rpv i="2">1</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F1FAB9A-CCFE-C14D-87AF-0AF9FAF5812C}">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A1:I18"/>
  <sheetViews>
    <sheetView tabSelected="1" topLeftCell="A7" zoomScale="169" workbookViewId="0">
      <selection activeCell="C18" sqref="C18"/>
    </sheetView>
  </sheetViews>
  <sheetFormatPr baseColWidth="10" defaultRowHeight="16" x14ac:dyDescent="0.2"/>
  <cols>
    <col min="1" max="1" width="2.6640625" style="1" customWidth="1"/>
    <col min="2" max="2" width="24.33203125" style="1" customWidth="1"/>
    <col min="3" max="3" width="12.1640625" style="1" customWidth="1"/>
    <col min="4" max="4" width="11.83203125" style="1" customWidth="1"/>
    <col min="5" max="5" width="12.1640625" style="1" customWidth="1"/>
    <col min="6" max="6" width="7.83203125" style="1" customWidth="1"/>
    <col min="7" max="7" width="9.83203125" style="1" customWidth="1"/>
    <col min="8" max="8" width="41.5" style="1" customWidth="1"/>
    <col min="9" max="16384" width="10.83203125" style="1"/>
  </cols>
  <sheetData>
    <row r="1" spans="1:9" ht="11" customHeight="1" x14ac:dyDescent="0.2"/>
    <row r="2" spans="1:9" x14ac:dyDescent="0.2">
      <c r="B2" s="2" t="s">
        <v>0</v>
      </c>
      <c r="C2" s="2" t="s">
        <v>1</v>
      </c>
      <c r="D2" s="2" t="s">
        <v>2</v>
      </c>
      <c r="E2" s="2" t="s">
        <v>3</v>
      </c>
      <c r="F2" s="2" t="s">
        <v>4</v>
      </c>
      <c r="G2" s="2" t="s">
        <v>6</v>
      </c>
      <c r="H2" s="2" t="s">
        <v>5</v>
      </c>
      <c r="I2" s="2" t="s">
        <v>7</v>
      </c>
    </row>
    <row r="3" spans="1:9" x14ac:dyDescent="0.2">
      <c r="B3" s="3" t="e" vm="1">
        <v>#VALUE!</v>
      </c>
      <c r="C3" s="4" cm="1">
        <f t="array" aca="1" ref="C3" ca="1">_FV(B3,"Price")</f>
        <v>360.54</v>
      </c>
      <c r="D3" s="4" cm="1">
        <f t="array" aca="1" ref="D3" ca="1">_FV(B3,"52 week high",TRUE)</f>
        <v>362.79</v>
      </c>
      <c r="E3" s="4" cm="1">
        <f t="array" aca="1" ref="E3" ca="1">_FV(B3,"52 week low",TRUE)</f>
        <v>96.45</v>
      </c>
      <c r="F3" s="5" cm="1">
        <f t="array" aca="1" ref="F3" ca="1">_FV(B3,"Beta")</f>
        <v>2.3980000000000001</v>
      </c>
      <c r="G3" s="6" t="str" cm="1">
        <f t="array" aca="1" ref="G3" ca="1">_FV(B3,"Ticker symbol",TRUE)</f>
        <v>AMD</v>
      </c>
      <c r="H3" s="6" t="str" cm="1">
        <f t="array" aca="1" ref="H3" ca="1">_FV(B3,"Industry")</f>
        <v>Semiconductors &amp; Semiconductor Equipment</v>
      </c>
      <c r="I3" s="7" cm="1">
        <f t="array" aca="1" ref="I3" ca="1">_FV(B3,"Volume average",TRUE)</f>
        <v>40060951</v>
      </c>
    </row>
    <row r="4" spans="1:9" x14ac:dyDescent="0.2">
      <c r="B4" s="3" t="e" vm="2">
        <v>#VALUE!</v>
      </c>
      <c r="C4" s="4" cm="1">
        <f t="array" aca="1" ref="C4" ca="1">_FV(B4,"Price")</f>
        <v>111.25</v>
      </c>
      <c r="D4" s="4" cm="1">
        <f t="array" aca="1" ref="D4" ca="1">_FV(B4,"52 week high",TRUE)</f>
        <v>544.92999999999995</v>
      </c>
      <c r="E4" s="4" cm="1">
        <f t="array" aca="1" ref="E4" ca="1">_FV(B4,"52 week low",TRUE)</f>
        <v>87.89</v>
      </c>
      <c r="F4" s="5" cm="1">
        <f t="array" aca="1" ref="F4" ca="1">_FV(B4,"Beta")</f>
        <v>0.8992</v>
      </c>
      <c r="G4" s="6" t="str" cm="1">
        <f t="array" aca="1" ref="G4" ca="1">_FV(B4,"Ticker symbol",TRUE)</f>
        <v>DUOL</v>
      </c>
      <c r="H4" s="6" t="str" cm="1">
        <f t="array" aca="1" ref="H4" ca="1">_FV(B4,"Industry")</f>
        <v>Software &amp; IT Services</v>
      </c>
      <c r="I4" s="7" cm="1">
        <f t="array" aca="1" ref="I4" ca="1">_FV(B4,"Volume average",TRUE)</f>
        <v>1685147</v>
      </c>
    </row>
    <row r="5" spans="1:9" x14ac:dyDescent="0.2">
      <c r="B5" s="3" t="e" vm="3">
        <v>#VALUE!</v>
      </c>
      <c r="C5" s="4" cm="1">
        <f t="array" aca="1" ref="C5" ca="1">_FV(B5,"Price")</f>
        <v>99.61</v>
      </c>
      <c r="D5" s="4" cm="1">
        <f t="array" aca="1" ref="D5" ca="1">_FV(B5,"52 week high",TRUE)</f>
        <v>100.45</v>
      </c>
      <c r="E5" s="4" cm="1">
        <f t="array" aca="1" ref="E5" ca="1">_FV(B5,"52 week low",TRUE)</f>
        <v>18.965</v>
      </c>
      <c r="F5" s="5" cm="1">
        <f t="array" aca="1" ref="F5" ca="1">_FV(B5,"Beta")</f>
        <v>2.1892</v>
      </c>
      <c r="G5" s="6" t="str" cm="1">
        <f t="array" aca="1" ref="G5" ca="1">_FV(B5,"Ticker symbol",TRUE)</f>
        <v>INTC</v>
      </c>
      <c r="H5" s="6" t="str" cm="1">
        <f t="array" aca="1" ref="H5" ca="1">_FV(B5,"Industry")</f>
        <v>Semiconductors &amp; Semiconductor Equipment</v>
      </c>
      <c r="I5" s="7" cm="1">
        <f t="array" aca="1" ref="I5" ca="1">_FV(B5,"Volume average",TRUE)</f>
        <v>128370885</v>
      </c>
    </row>
    <row r="6" spans="1:9" x14ac:dyDescent="0.2">
      <c r="B6" s="3" t="e" vm="4">
        <v>#VALUE!</v>
      </c>
      <c r="C6" s="4" cm="1">
        <f t="array" aca="1" ref="C6" ca="1">_FV(B6,"Price")</f>
        <v>198.45</v>
      </c>
      <c r="D6" s="4" cm="1">
        <f t="array" aca="1" ref="D6" ca="1">_FV(B6,"52 week high",TRUE)</f>
        <v>216.82499999999999</v>
      </c>
      <c r="E6" s="4" cm="1">
        <f t="array" aca="1" ref="E6" ca="1">_FV(B6,"52 week low",TRUE)</f>
        <v>110.822</v>
      </c>
      <c r="F6" s="5" cm="1">
        <f t="array" aca="1" ref="F6" ca="1">_FV(B6,"Beta")</f>
        <v>2.2433000000000001</v>
      </c>
      <c r="G6" s="6" t="str" cm="1">
        <f t="array" aca="1" ref="G6" ca="1">_FV(B6,"Ticker symbol",TRUE)</f>
        <v>NVDA</v>
      </c>
      <c r="H6" s="6" t="str" cm="1">
        <f t="array" aca="1" ref="H6" ca="1">_FV(B6,"Industry")</f>
        <v>Semiconductors &amp; Semiconductor Equipment</v>
      </c>
      <c r="I6" s="7" cm="1">
        <f t="array" aca="1" ref="I6" ca="1">_FV(B6,"Volume average",TRUE)</f>
        <v>156948876</v>
      </c>
    </row>
    <row r="7" spans="1:9" x14ac:dyDescent="0.2">
      <c r="B7" s="3" t="e" vm="5">
        <v>#VALUE!</v>
      </c>
      <c r="C7" s="4" cm="1">
        <f t="array" aca="1" ref="C7" ca="1">_FV(B7,"Price")</f>
        <v>9.67</v>
      </c>
      <c r="D7" s="4" cm="1">
        <f t="array" aca="1" ref="D7" ca="1">_FV(B7,"52 week high",TRUE)</f>
        <v>32.76</v>
      </c>
      <c r="E7" s="4" cm="1">
        <f t="array" aca="1" ref="E7" ca="1">_FV(B7,"52 week low",TRUE)</f>
        <v>7.77</v>
      </c>
      <c r="F7" s="5" cm="1">
        <f t="array" aca="1" ref="F7" ca="1">_FV(B7,"Beta")</f>
        <v>0.89129999999999998</v>
      </c>
      <c r="G7" s="6" t="str" cm="1">
        <f t="array" aca="1" ref="G7" ca="1">_FV(B7,"Ticker symbol",TRUE)</f>
        <v>PHR</v>
      </c>
      <c r="H7" s="6" t="str" cm="1">
        <f t="array" aca="1" ref="H7" ca="1">_FV(B7,"Industry")</f>
        <v>Software &amp; IT Services</v>
      </c>
      <c r="I7" s="7" cm="1">
        <f t="array" aca="1" ref="I7" ca="1">_FV(B7,"Volume average",TRUE)</f>
        <v>2506370</v>
      </c>
    </row>
    <row r="8" spans="1:9" x14ac:dyDescent="0.2">
      <c r="B8" s="3" t="e" vm="6">
        <v>#VALUE!</v>
      </c>
      <c r="C8" s="4" cm="1">
        <f t="array" aca="1" ref="C8" ca="1">_FV(B8,"Price")</f>
        <v>177.035</v>
      </c>
      <c r="D8" s="4" cm="1">
        <f t="array" aca="1" ref="D8" ca="1">_FV(B8,"52 week high",TRUE)</f>
        <v>205.95</v>
      </c>
      <c r="E8" s="4" cm="1">
        <f t="array" aca="1" ref="E8" ca="1">_FV(B8,"52 week low",TRUE)</f>
        <v>121.99</v>
      </c>
      <c r="F8" s="5" cm="1">
        <f t="array" aca="1" ref="F8" ca="1">_FV(B8,"Beta")</f>
        <v>1.4923</v>
      </c>
      <c r="G8" s="6" t="str" cm="1">
        <f t="array" aca="1" ref="G8" ca="1">_FV(B8,"Ticker symbol",TRUE)</f>
        <v>QCOM</v>
      </c>
      <c r="H8" s="6" t="str" cm="1">
        <f t="array" aca="1" ref="H8" ca="1">_FV(B8,"Industry")</f>
        <v>Semiconductors &amp; Semiconductor Equipment</v>
      </c>
      <c r="I8" s="7" cm="1">
        <f t="array" aca="1" ref="I8" ca="1">_FV(B8,"Volume average",TRUE)</f>
        <v>15464997</v>
      </c>
    </row>
    <row r="9" spans="1:9" x14ac:dyDescent="0.2">
      <c r="B9" s="3" t="e" vm="7">
        <v>#VALUE!</v>
      </c>
      <c r="C9" s="4" cm="1">
        <f t="array" aca="1" ref="C9" ca="1">_FV(B9,"Price")</f>
        <v>114.65</v>
      </c>
      <c r="D9" s="4" cm="1">
        <f t="array" aca="1" ref="D9" ca="1">_FV(B9,"52 week high",TRUE)</f>
        <v>133.99</v>
      </c>
      <c r="E9" s="4" cm="1">
        <f t="array" aca="1" ref="E9" ca="1">_FV(B9,"52 week low",TRUE)</f>
        <v>78.819999999999993</v>
      </c>
      <c r="F9" s="5" cm="1">
        <f t="array" aca="1" ref="F9" ca="1">_FV(B9,"Beta")</f>
        <v>1.4139999999999999</v>
      </c>
      <c r="G9" s="6" t="str" cm="1">
        <f t="array" aca="1" ref="G9" ca="1">_FV(B9,"Ticker symbol",TRUE)</f>
        <v>SN</v>
      </c>
      <c r="H9" s="6" t="str" cm="1">
        <f t="array" aca="1" ref="H9" ca="1">_FV(B9,"Industry")</f>
        <v>Household Goods</v>
      </c>
      <c r="I9" s="7" cm="1">
        <f t="array" aca="1" ref="I9" ca="1">_FV(B9,"Volume average",TRUE)</f>
        <v>1434533</v>
      </c>
    </row>
    <row r="10" spans="1:9" x14ac:dyDescent="0.2">
      <c r="A10" s="8" t="s">
        <v>8</v>
      </c>
      <c r="B10" s="3" t="e" vm="8">
        <v>#VALUE!</v>
      </c>
      <c r="C10" s="4" cm="1">
        <f t="array" aca="1" ref="C10" ca="1">_FV(B10,"Price")</f>
        <v>43.9</v>
      </c>
      <c r="D10" s="4" cm="1">
        <f t="array" aca="1" ref="D10" ca="1">_FV(B10,"52 week high",TRUE)</f>
        <v>46.29</v>
      </c>
      <c r="E10" s="4" cm="1">
        <f t="array" aca="1" ref="E10" ca="1">_FV(B10,"52 week low",TRUE)</f>
        <v>39.47</v>
      </c>
      <c r="F10" s="4"/>
      <c r="G10" s="6" t="str" cm="1">
        <f t="array" aca="1" ref="G10" ca="1">_FV(B10,"Ticker symbol",TRUE)</f>
        <v>TNX</v>
      </c>
      <c r="H10" s="6"/>
      <c r="I10" s="7"/>
    </row>
    <row r="11" spans="1:9" x14ac:dyDescent="0.2">
      <c r="B11" s="3" t="e" vm="9">
        <v>#VALUE!</v>
      </c>
      <c r="C11" s="4" cm="1">
        <f t="array" aca="1" ref="C11" ca="1">_FV(B11,"Price")</f>
        <v>2.9</v>
      </c>
      <c r="D11" s="4" cm="1">
        <f t="array" aca="1" ref="D11" ca="1">_FV(B11,"52 week high",TRUE)</f>
        <v>3.24</v>
      </c>
      <c r="E11" s="4" cm="1">
        <f t="array" aca="1" ref="E11" ca="1">_FV(B11,"52 week low",TRUE)</f>
        <v>2.1</v>
      </c>
      <c r="F11" s="5" cm="1">
        <f t="array" aca="1" ref="F11" ca="1">_FV(B11,"Beta")</f>
        <v>0.62949999999999995</v>
      </c>
      <c r="G11" s="6" t="str" cm="1">
        <f t="array" aca="1" ref="G11" ca="1">_FV(B11,"Ticker symbol",TRUE)</f>
        <v>ABEV</v>
      </c>
      <c r="H11" s="6" t="str" cm="1">
        <f t="array" aca="1" ref="H11" ca="1">_FV(B11,"Industry")</f>
        <v>Beverages</v>
      </c>
      <c r="I11" s="7" cm="1">
        <f t="array" aca="1" ref="I11" ca="1">_FV(B11,"Volume average",TRUE)</f>
        <v>25489750</v>
      </c>
    </row>
    <row r="12" spans="1:9" x14ac:dyDescent="0.2">
      <c r="B12" s="3" t="e" vm="10">
        <v>#VALUE!</v>
      </c>
      <c r="C12" s="4" cm="1">
        <f t="array" aca="1" ref="C12" ca="1">_FV(B12,"Price")</f>
        <v>100.58499999999999</v>
      </c>
      <c r="D12" s="4" cm="1">
        <f t="array" aca="1" ref="D12" ca="1">_FV(B12,"52 week high",TRUE)</f>
        <v>101.53</v>
      </c>
      <c r="E12" s="4" cm="1">
        <f t="array" aca="1" ref="E12" ca="1">_FV(B12,"52 week low",TRUE)</f>
        <v>55.64</v>
      </c>
      <c r="F12" s="5" cm="1">
        <f t="array" aca="1" ref="F12" ca="1">_FV(B12,"Beta")</f>
        <v>0.57310000000000005</v>
      </c>
      <c r="G12" s="6" t="str" cm="1">
        <f t="array" aca="1" ref="G12" ca="1">_FV(B12,"Ticker symbol",TRUE)</f>
        <v>RIO</v>
      </c>
      <c r="H12" s="6" t="str" cm="1">
        <f t="array" aca="1" ref="H12" ca="1">_FV(B12,"Industry")</f>
        <v>Metals &amp; Mining</v>
      </c>
      <c r="I12" s="7" cm="1">
        <f t="array" aca="1" ref="I12" ca="1">_FV(B12,"Volume average",TRUE)</f>
        <v>2632698</v>
      </c>
    </row>
    <row r="13" spans="1:9" x14ac:dyDescent="0.2">
      <c r="B13" s="3" t="e" vm="11">
        <v>#VALUE!</v>
      </c>
      <c r="C13" s="4" cm="1">
        <f t="array" aca="1" ref="C13" ca="1">_FV(B13,"Price")</f>
        <v>368.815</v>
      </c>
      <c r="D13" s="4" cm="1">
        <f t="array" aca="1" ref="D13" ca="1">_FV(B13,"52 week high",TRUE)</f>
        <v>411.99</v>
      </c>
      <c r="E13" s="4" cm="1">
        <f t="array" aca="1" ref="E13" ca="1">_FV(B13,"52 week low",TRUE)</f>
        <v>234.6</v>
      </c>
      <c r="F13" s="5" cm="1">
        <f t="array" aca="1" ref="F13" ca="1">_FV(B13,"Beta")</f>
        <v>0.64649999999999996</v>
      </c>
      <c r="G13" s="6" t="str" cm="1">
        <f t="array" aca="1" ref="G13" ca="1">_FV(B13,"Ticker symbol",TRUE)</f>
        <v>UNH</v>
      </c>
      <c r="H13" s="6" t="str" cm="1">
        <f t="array" aca="1" ref="H13" ca="1">_FV(B13,"Industry")</f>
        <v>Healthcare Providers &amp; Services</v>
      </c>
      <c r="I13" s="7" cm="1">
        <f t="array" aca="1" ref="I13" ca="1">_FV(B13,"Volume average",TRUE)</f>
        <v>9025081</v>
      </c>
    </row>
    <row r="14" spans="1:9" x14ac:dyDescent="0.2">
      <c r="B14" s="3" t="e" vm="12">
        <v>#VALUE!</v>
      </c>
      <c r="C14" s="4" cm="1">
        <f t="array" aca="1" ref="C14" ca="1">_FV(B14,"Price")</f>
        <v>268.42</v>
      </c>
      <c r="D14" s="4" cm="1">
        <f t="array" aca="1" ref="D14" ca="1">_FV(B14,"52 week high",TRUE)</f>
        <v>273.88</v>
      </c>
      <c r="E14" s="4" cm="1">
        <f t="array" aca="1" ref="E14" ca="1">_FV(B14,"52 week low",TRUE)</f>
        <v>183.85</v>
      </c>
      <c r="F14" s="5" cm="1">
        <f t="array" aca="1" ref="F14" ca="1">_FV(B14,"Beta")</f>
        <v>1.4679</v>
      </c>
      <c r="G14" s="6" t="str" cm="1">
        <f t="array" aca="1" ref="G14" ca="1">_FV(B14,"Ticker symbol",TRUE)</f>
        <v>AMZN</v>
      </c>
      <c r="H14" s="6" t="str" cm="1">
        <f t="array" aca="1" ref="H14" ca="1">_FV(B14,"Industry")</f>
        <v>Diversified Retail</v>
      </c>
      <c r="I14" s="7" cm="1">
        <f t="array" aca="1" ref="I14" ca="1">_FV(B14,"Volume average",TRUE)</f>
        <v>49444501</v>
      </c>
    </row>
    <row r="15" spans="1:9" x14ac:dyDescent="0.2">
      <c r="B15" s="3" t="e" vm="13">
        <v>#VALUE!</v>
      </c>
      <c r="C15" s="4" cm="1">
        <f t="array" aca="1" ref="C15" ca="1">_FV(B15,"Price")</f>
        <v>385.69</v>
      </c>
      <c r="D15" s="4" cm="1">
        <f t="array" aca="1" ref="D15" ca="1">_FV(B15,"52 week high",TRUE)</f>
        <v>386.76</v>
      </c>
      <c r="E15" s="4" cm="1">
        <f t="array" aca="1" ref="E15" ca="1">_FV(B15,"52 week low",TRUE)</f>
        <v>147.84</v>
      </c>
      <c r="F15" s="5" cm="1">
        <f t="array" aca="1" ref="F15" ca="1">_FV(B15,"Beta")</f>
        <v>1.2665999999999999</v>
      </c>
      <c r="G15" s="6" t="str" cm="1">
        <f t="array" aca="1" ref="G15" ca="1">_FV(B15,"Ticker symbol",TRUE)</f>
        <v>GOOGL</v>
      </c>
      <c r="H15" s="6" t="str" cm="1">
        <f t="array" aca="1" ref="H15" ca="1">_FV(B15,"Industry")</f>
        <v>Software &amp; IT Services</v>
      </c>
      <c r="I15" s="7" cm="1">
        <f t="array" aca="1" ref="I15" ca="1">_FV(B15,"Volume average",TRUE)</f>
        <v>28746126</v>
      </c>
    </row>
    <row r="16" spans="1:9" x14ac:dyDescent="0.2">
      <c r="B16" s="3" t="e" vm="14">
        <v>#VALUE!</v>
      </c>
      <c r="C16" s="4" cm="1">
        <f t="array" aca="1" ref="C16" ca="1">_FV(B16,"Price")</f>
        <v>152.81</v>
      </c>
      <c r="D16" s="4" cm="1">
        <f t="array" aca="1" ref="D16" ca="1">_FV(B16,"52 week high",TRUE)</f>
        <v>176.41</v>
      </c>
      <c r="E16" s="4" cm="1">
        <f t="array" aca="1" ref="E16" ca="1">_FV(B16,"52 week low",TRUE)</f>
        <v>101.185</v>
      </c>
      <c r="F16" s="5" cm="1">
        <f t="array" aca="1" ref="F16" ca="1">_FV(B16,"Beta")</f>
        <v>0.1835</v>
      </c>
      <c r="G16" s="6" t="str" cm="1">
        <f t="array" aca="1" ref="G16" ca="1">_FV(B16,"Ticker symbol",TRUE)</f>
        <v>XOM</v>
      </c>
      <c r="H16" s="6" t="str" cm="1">
        <f t="array" aca="1" ref="H16" ca="1">_FV(B16,"Industry")</f>
        <v>Oil &amp; Gas</v>
      </c>
      <c r="I16" s="7" cm="1">
        <f t="array" aca="1" ref="I16" ca="1">_FV(B16,"Volume average",TRUE)</f>
        <v>21274761</v>
      </c>
    </row>
    <row r="17" spans="2:9" x14ac:dyDescent="0.2">
      <c r="B17" s="3" t="e" vm="15">
        <v>#VALUE!</v>
      </c>
      <c r="C17" s="4" cm="1">
        <f t="array" aca="1" ref="C17" ca="1">_FV(B17,"Price")</f>
        <v>280.25</v>
      </c>
      <c r="D17" s="4" cm="1">
        <f t="array" aca="1" ref="D17" ca="1">_FV(B17,"52 week high",TRUE)</f>
        <v>288.62</v>
      </c>
      <c r="E17" s="4" cm="1">
        <f t="array" aca="1" ref="E17" ca="1">_FV(B17,"52 week low",TRUE)</f>
        <v>193.25</v>
      </c>
      <c r="F17" s="5" cm="1">
        <f t="array" aca="1" ref="F17" ca="1">_FV(B17,"Beta")</f>
        <v>1.0647</v>
      </c>
      <c r="G17" s="6" t="str" cm="1">
        <f t="array" aca="1" ref="G17" ca="1">_FV(B17,"Ticker symbol",TRUE)</f>
        <v>AAPL</v>
      </c>
      <c r="H17" s="6" t="str" cm="1">
        <f t="array" aca="1" ref="H17" ca="1">_FV(B17,"Industry")</f>
        <v>Computers, Phones &amp; Household Electronics</v>
      </c>
      <c r="I17" s="7" cm="1">
        <f t="array" aca="1" ref="I17" ca="1">_FV(B17,"Volume average",TRUE)</f>
        <v>43451177</v>
      </c>
    </row>
    <row r="18" spans="2:9" x14ac:dyDescent="0.2">
      <c r="B18" s="3" t="e" vm="16">
        <v>#VALUE!</v>
      </c>
      <c r="C18" s="4" cm="1">
        <f t="array" aca="1" ref="C18" ca="1">_FV(B18,"Price")</f>
        <v>250.71</v>
      </c>
      <c r="D18" s="4" cm="1">
        <f t="array" aca="1" ref="D18" ca="1">_FV(B18,"52 week high",TRUE)</f>
        <v>422.95</v>
      </c>
      <c r="E18" s="4" cm="1">
        <f t="array" aca="1" ref="E18" ca="1">_FV(B18,"52 week low",TRUE)</f>
        <v>224.13</v>
      </c>
      <c r="F18" s="5" cm="1">
        <f t="array" aca="1" ref="F18" ca="1">_FV(B18,"Beta")</f>
        <v>1.4171</v>
      </c>
      <c r="G18" s="6" t="str" cm="1">
        <f t="array" aca="1" ref="G18" ca="1">_FV(B18,"Ticker symbol",TRUE)</f>
        <v>ADBE</v>
      </c>
      <c r="H18" s="6" t="str" cm="1">
        <f t="array" aca="1" ref="H18" ca="1">_FV(B18,"Industry")</f>
        <v>Software &amp; IT Services</v>
      </c>
      <c r="I18" s="7" cm="1">
        <f t="array" aca="1" ref="I18" ca="1">_FV(B18,"Volume average",TRUE)</f>
        <v>5145474</v>
      </c>
    </row>
  </sheetData>
  <autoFilter ref="G2:H9" xr:uid="{825B172E-7ADE-4B4A-B533-F037BCFCDCB0}"/>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2026-05-01T23:01:24Z</dcterms:modified>
</cp:coreProperties>
</file>