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FFAB698-0AA0-DA45-97F7-6650FE3FC1BD}"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 l="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futureMetadata>
  <cellMetadata count="1">
    <bk>
      <rc t="1" v="0"/>
    </bk>
  </cellMetadata>
  <valueMetadata count="15">
    <bk>
      <rc t="2" v="0"/>
    </bk>
    <bk>
      <rc t="2" v="1"/>
    </bk>
    <bk>
      <rc t="2" v="2"/>
    </bk>
    <bk>
      <rc t="2" v="3"/>
    </bk>
    <bk>
      <rc t="2" v="4"/>
    </bk>
    <bk>
      <rc t="2" v="5"/>
    </bk>
    <bk>
      <rc t="2" v="6"/>
    </bk>
    <bk>
      <rc t="2" v="7"/>
    </bk>
    <bk>
      <rc t="2" v="8"/>
    </bk>
    <bk>
      <rc t="2" v="9"/>
    </bk>
    <bk>
      <rc t="2" v="10"/>
    </bk>
    <bk>
      <rc t="2" v="11"/>
    </bk>
    <bk>
      <rc t="2" v="12"/>
    </bk>
    <bk>
      <rc t="2" v="13"/>
    </bk>
    <bk>
      <rc t="2" v="14"/>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<sst xmlns="http://schemas.openxmlformats.org/spreadsheetml/2006/main" count="9" uniqueCount="9">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</sst>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8">
  <rv s="0">
    <v>https://www.bing.com/financeapi/forcetrigger?t=a1ndww&amp;q=XNAS%3aAMD&amp;form=skydnc</v>
    <v>Learn more on Bing</v>
  </rv>
  <rv s="1">
    <v>0</v>
    <v>ADVANCED MICRO DEVICES, INC. (XNAS:AMD)</v>
    <v>2</v>
    <v>3</v>
    <v>Finance</v>
    <v>4</v>
    <v>en-US</v>
    <v>a1ndww</v>
    <v>268435456</v>
    <v>1</v>
    <v>Powered by Refinitiv</v>
    <v>281.05</v>
    <v>83.75</v>
    <v>2.1118000000000001</v>
    <v>0.13</v>
    <v>4.6719999999999997E-4</v>
    <v>-1.1100000000000001</v>
    <v>-3.9870000000000001E-3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281.05</v>
    <v>Semiconductors &amp; Semiconductor Equipment</v>
    <v>Stock</v>
    <v>46129.999984640628</v>
    <v>0</v>
    <v>274.14</v>
    <v>453870074210</v>
    <v>ADVANCED MICRO DEVICES, INC.</v>
    <v>ADVANCED MICRO DEVICES, INC.</v>
    <v>281</v>
    <v>106.84139999999999</v>
    <v>278.26</v>
    <v>278.39</v>
    <v>277.27999999999997</v>
    <v>1630339000</v>
    <v>AMD</v>
    <v>ADVANCED MICRO DEVICES, INC. (XNAS:AMD)</v>
    <v>35519852</v>
    <v>34029967</v>
    <v>1969</v>
  </rv>
  <rv s="2">
    <v>1</v>
  </rv>
  <rv s="0">
    <v>https://www.bing.com/financeapi/forcetrigger?t=c2mtim&amp;q=XNAS%3aDUOL&amp;form=skydnc</v>
    <v>Learn more on Bing</v>
  </rv>
  <rv s="1">
    <v>0</v>
    <v>DUOLINGO, INC. (XNAS:DUOL)</v>
    <v>2</v>
    <v>3</v>
    <v>Finance</v>
    <v>4</v>
    <v>en-US</v>
    <v>c2mtim</v>
    <v>268435456</v>
    <v>1</v>
    <v>Powered by Refinitiv</v>
    <v>544.92999999999995</v>
    <v>87.89</v>
    <v>0.83789999999999998</v>
    <v>-2.94</v>
    <v>-2.8420000000000001E-2</v>
    <v>-0.01</v>
    <v>-9.9489999999999998E-5</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107.28</v>
    <v>Software &amp; IT Services</v>
    <v>Stock</v>
    <v>46129.996197256252</v>
    <v>3</v>
    <v>99.81</v>
    <v>4718973647</v>
    <v>DUOLINGO, INC.</v>
    <v>DUOLINGO, INC.</v>
    <v>105.88800000000001</v>
    <v>12.202199999999999</v>
    <v>103.45</v>
    <v>100.51</v>
    <v>100.5</v>
    <v>46950290</v>
    <v>DUOL</v>
    <v>DUOLINGO, INC. (XNAS:DUOL)</v>
    <v>2127758</v>
    <v>1774398</v>
    <v>2011</v>
  </rv>
  <rv s="2">
    <v>4</v>
  </rv>
  <rv s="0">
    <v>https://www.bing.com/financeapi/forcetrigger?t=a1vmf2&amp;q=XNAS%3aINTC&amp;form=skydnc</v>
    <v>Learn more on Bing</v>
  </rv>
  <rv s="1">
    <v>0</v>
    <v>INTEL CORPORATION (XNAS:INTC)</v>
    <v>2</v>
    <v>3</v>
    <v>Finance</v>
    <v>4</v>
    <v>en-US</v>
    <v>a1vmf2</v>
    <v>268435456</v>
    <v>1</v>
    <v>Powered by Refinitiv</v>
    <v>70.325000000000003</v>
    <v>18.25</v>
    <v>1.7076</v>
    <v>0</v>
    <v>0</v>
    <v>-0.25</v>
    <v>-3.65E-3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70.325000000000003</v>
    <v>Semiconductors &amp; Semiconductor Equipment</v>
    <v>Stock</v>
    <v>46129.999988726566</v>
    <v>6</v>
    <v>67.734999999999999</v>
    <v>343939185000</v>
    <v>INTEL CORPORATION</v>
    <v>INTEL CORPORATION</v>
    <v>68.849999999999994</v>
    <v>0</v>
    <v>68.5</v>
    <v>68.5</v>
    <v>68.25</v>
    <v>5021010000</v>
    <v>INTC</v>
    <v>INTEL CORPORATION (XNAS:INTC)</v>
    <v>118831534</v>
    <v>102734158</v>
    <v>1989</v>
  </rv>
  <rv s="2">
    <v>7</v>
  </rv>
  <rv s="0">
    <v>https://www.bing.com/financeapi/forcetrigger?t=a1yv52&amp;q=XNAS%3aNVDA&amp;form=skydnc</v>
    <v>Learn more on Bing</v>
  </rv>
  <rv s="1">
    <v>0</v>
    <v>NVIDIA CORPORATION (XNAS:NVDA)</v>
    <v>2</v>
    <v>3</v>
    <v>Finance</v>
    <v>4</v>
    <v>en-US</v>
    <v>a1yv52</v>
    <v>268435456</v>
    <v>1</v>
    <v>Powered by Refinitiv</v>
    <v>212.18989999999999</v>
    <v>95.04</v>
    <v>2.2841</v>
    <v>3.33</v>
    <v>1.6789000000000002E-2</v>
    <v>-0.72</v>
    <v>-3.5699999999999998E-3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201.7</v>
    <v>Semiconductors &amp; Semiconductor Equipment</v>
    <v>Stock</v>
    <v>46129.999986469535</v>
    <v>9</v>
    <v>199.27</v>
    <v>4900824000000</v>
    <v>NVIDIA CORPORATION</v>
    <v>NVIDIA CORPORATION</v>
    <v>199.9</v>
    <v>40.4651</v>
    <v>198.35</v>
    <v>201.68</v>
    <v>200.96</v>
    <v>24300000000</v>
    <v>NVDA</v>
    <v>NVIDIA CORPORATION (XNAS:NVDA)</v>
    <v>160324416</v>
    <v>166524493</v>
    <v>1998</v>
  </rv>
  <rv s="2">
    <v>10</v>
  </rv>
  <rv s="0">
    <v>https://www.bing.com/financeapi/forcetrigger?t=bqw82w&amp;q=XNYS%3aPHR&amp;form=skydnc</v>
    <v>Learn more on Bing</v>
  </rv>
  <rv s="1">
    <v>0</v>
    <v>PHREESIA, INC. (XNYS:PHR)</v>
    <v>2</v>
    <v>3</v>
    <v>Finance</v>
    <v>4</v>
    <v>en-US</v>
    <v>bqw82w</v>
    <v>268435456</v>
    <v>1</v>
    <v>Powered by Refinitiv</v>
    <v>32.76</v>
    <v>7.77</v>
    <v>0.89259999999999995</v>
    <v>0</v>
    <v>0</v>
    <v>0.13</v>
    <v>1.4177E-2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9.4987999999999992</v>
    <v>Software &amp; IT Services</v>
    <v>Stock</v>
    <v>46129.973075867965</v>
    <v>12</v>
    <v>9.1300000000000008</v>
    <v>557197260</v>
    <v>PHREESIA, INC.</v>
    <v>PHREESIA, INC.</v>
    <v>9.2799999999999994</v>
    <v>264.95229999999998</v>
    <v>9.17</v>
    <v>9.17</v>
    <v>9.3000000000000007</v>
    <v>60763060</v>
    <v>PHR</v>
    <v>PHREESIA, INC. (XNYS:PHR)</v>
    <v>1598530</v>
    <v>2701413</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1.2484999999999999</v>
    <v>1.73</v>
    <v>1.2865E-2</v>
    <v>0.09</v>
    <v>6.6080000000000002E-4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136.965</v>
    <v>18</v>
    <v>Semiconductors &amp; Semiconductor Equipment</v>
    <v>Stock</v>
    <v>46129.999973657032</v>
    <v>19</v>
    <v>134.41</v>
    <v>145325400000</v>
    <v>QUALCOMM INCORPORATED</v>
    <v>QUALCOMM INCORPORATED</v>
    <v>136.69</v>
    <v>27.780799999999999</v>
    <v>134.47</v>
    <v>136.19999999999999</v>
    <v>136.29</v>
    <v>1067000000</v>
    <v>QCOM</v>
    <v>QUALCOMM INCORPORATED (XNAS:QCOM)</v>
    <v>9667577</v>
    <v>12286347</v>
    <v>1991</v>
  </rv>
  <rv s="2">
    <v>20</v>
  </rv>
  <rv s="6">
    <v>10</v>
    <v>SHARKNINJA, INC. (XNYS:SN)</v>
    <v>11</v>
    <v>3</v>
    <v>Finance</v>
    <v>4</v>
    <v>en-US</v>
    <v>cag2ar</v>
    <v>268435456</v>
    <v>1</v>
    <v>Powered by Refinitiv</v>
    <v>133.99</v>
    <v>69.19</v>
    <v>1.4350000000000001</v>
    <v>4.72</v>
    <v>4.1085999999999998E-2</v>
    <v>-0.25</v>
    <v>-2.0899999999999998E-3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123.545</v>
    <v>Household Goods</v>
    <v>Stock</v>
    <v>46129.997000508592</v>
    <v>115.89</v>
    <v>16892650840</v>
    <v>SHARKNINJA, INC.</v>
    <v>SHARKNINJA, INC.</v>
    <v>115.89</v>
    <v>23.229800000000001</v>
    <v>114.88</v>
    <v>119.6</v>
    <v>119.35</v>
    <v>141242900</v>
    <v>SN</v>
    <v>SHARKNINJA, INC. (XNYS:SN)</v>
    <v>1350412</v>
    <v>2024114</v>
    <v>2017</v>
  </rv>
  <rv s="2">
    <v>22</v>
  </rv>
  <rv s="0">
    <v>https://www.bing.com/financeapi/forcetrigger?t=a33knm&amp;q=10+Y+TSY+YLD+NDX&amp;form=skydnc</v>
    <v>Learn more on Bing</v>
  </rv>
  <rv s="7">
    <v>12</v>
    <v>10 Y TSY YLD NDX</v>
    <v>13</v>
    <v>14</v>
    <v>Finance</v>
    <v>15</v>
    <v>en-US</v>
    <v>a33knm</v>
    <v>268435456</v>
    <v>1</v>
    <v>Powered by Refinitiv</v>
    <v>46.29</v>
    <v>39.47</v>
    <v>-0.63</v>
    <v>-1.4621E-2</v>
    <v>US</v>
    <v>42.97</v>
    <v>Index</v>
    <v>24</v>
    <v>42.26</v>
    <v>10 Y TSY YLD NDX</v>
    <v>42.97</v>
    <v>43.09</v>
    <v>42.46</v>
    <v>TNX</v>
    <v>10 Y TSY YLD NDX</v>
  </rv>
  <rv s="2">
    <v>25</v>
  </rv>
  <rv s="0">
    <v>https://www.bing.com/financeapi/forcetrigger?t=a1mqec&amp;q=XNYS%3aABEV&amp;form=skydnc</v>
    <v>Learn more on Bing</v>
  </rv>
  <rv s="1">
    <v>0</v>
    <v>Ambev SA (XNYS:ABEV)</v>
    <v>2</v>
    <v>3</v>
    <v>Finance</v>
    <v>4</v>
    <v>en-US</v>
    <v>a1mqec</v>
    <v>268435456</v>
    <v>1</v>
    <v>Powered by Refinitiv</v>
    <v>3.24</v>
    <v>2.1</v>
    <v>0.67230000000000001</v>
    <v>0</v>
    <v>0</v>
    <v>0</v>
    <v>0</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3.1360000000000001</v>
    <v>Beverages</v>
    <v>Stock</v>
    <v>46129.995010774997</v>
    <v>27</v>
    <v>3.05</v>
    <v>48079193500</v>
    <v>Ambev SA</v>
    <v>Ambev SA</v>
    <v>3.125</v>
    <v>16.8978</v>
    <v>3.05</v>
    <v>3.05</v>
    <v>3.05</v>
    <v>15763670000</v>
    <v>ABEV</v>
    <v>Ambev SA (XNYS:ABEV)</v>
    <v>33409095</v>
    <v>27054601</v>
    <v>2005</v>
  </rv>
  <rv s="2">
    <v>28</v>
  </rv>
  <rv s="0">
    <v>https://www.bing.com/financeapi/forcetrigger?t=a221mw&amp;q=XNYS%3aRIO&amp;form=skydnc</v>
    <v>Learn more on Bing</v>
  </rv>
  <rv s="1">
    <v>0</v>
    <v>RIO TINTO PLC (XNYS:RIO)</v>
    <v>2</v>
    <v>3</v>
    <v>Finance</v>
    <v>4</v>
    <v>en-US</v>
    <v>a221mw</v>
    <v>268435456</v>
    <v>1</v>
    <v>Powered by Refinitiv</v>
    <v>101.53</v>
    <v>55.64</v>
    <v>0.57389999999999997</v>
    <v>0.44</v>
    <v>4.4130000000000003E-3</v>
    <v>0.26</v>
    <v>2.5959999999999998E-3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101.33</v>
    <v>Metals &amp; Mining</v>
    <v>Stock</v>
    <v>46129.998758125002</v>
    <v>30</v>
    <v>99.88</v>
    <v>162921816700</v>
    <v>RIO TINTO PLC</v>
    <v>RIO TINTO PLC</v>
    <v>100.08499999999999</v>
    <v>16.3886</v>
    <v>99.71</v>
    <v>100.15</v>
    <v>100.41</v>
    <v>1626778000</v>
    <v>RIO</v>
    <v>RIO TINTO PLC (XNYS:RIO)</v>
    <v>2793184</v>
    <v>3023395</v>
    <v>1962</v>
  </rv>
  <rv s="2">
    <v>31</v>
  </rv>
  <rv s="0">
    <v>https://www.bing.com/financeapi/forcetrigger?t=a24xlh&amp;q=XNYS%3aUNH&amp;form=skydnc</v>
    <v>Learn more on Bing</v>
  </rv>
  <rv s="1">
    <v>0</v>
    <v>UNITEDHEALTH GROUP INCORPORATED (XNYS:UNH)</v>
    <v>2</v>
    <v>3</v>
    <v>Finance</v>
    <v>4</v>
    <v>en-US</v>
    <v>a24xlh</v>
    <v>268435456</v>
    <v>1</v>
    <v>Powered by Refinitiv</v>
    <v>489.79</v>
    <v>234.6</v>
    <v>0.50349999999999995</v>
    <v>8.23</v>
    <v>2.6011000000000003E-2</v>
    <v>-0.46</v>
    <v>-1.4169999999999999E-3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325.27</v>
    <v>Healthcare Providers &amp; Services</v>
    <v>Stock</v>
    <v>46129.999980532033</v>
    <v>33</v>
    <v>317.13499999999999</v>
    <v>294658794954</v>
    <v>UNITEDHEALTH GROUP INCORPORATED</v>
    <v>UNITEDHEALTH GROUP INCORPORATED</v>
    <v>320.05</v>
    <v>23.981000000000002</v>
    <v>316.39999999999998</v>
    <v>324.63</v>
    <v>324.17</v>
    <v>907675800</v>
    <v>UNH</v>
    <v>UNITEDHEALTH GROUP INCORPORATED (XNYS:UNH)</v>
    <v>9414685</v>
    <v>8758090</v>
    <v>2015</v>
  </rv>
  <rv s="2">
    <v>34</v>
  </rv>
  <rv s="0">
    <v>https://www.bing.com/financeapi/forcetrigger?t=a1nhlh&amp;q=XNAS%3aAMZN&amp;form=skydnc</v>
    <v>Learn more on Bing</v>
  </rv>
  <rv s="1">
    <v>0</v>
    <v>AMAZON.COM, INC. (XNAS:AMZN)</v>
    <v>2</v>
    <v>3</v>
    <v>Finance</v>
    <v>4</v>
    <v>en-US</v>
    <v>a1nhlh</v>
    <v>268435456</v>
    <v>1</v>
    <v>Powered by Refinitiv</v>
    <v>258.60000000000002</v>
    <v>165.285</v>
    <v>1.4198</v>
    <v>0.86</v>
    <v>3.444E-3</v>
    <v>0.18</v>
    <v>7.1840000000000001E-4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256.18</v>
    <v>Diversified Retail</v>
    <v>Stock</v>
    <v>46129.999980439061</v>
    <v>36</v>
    <v>250.11</v>
    <v>2694619958400</v>
    <v>AMAZON.COM, INC.</v>
    <v>AMAZON.COM, INC.</v>
    <v>254.98500000000001</v>
    <v>34.814799999999998</v>
    <v>249.7</v>
    <v>250.56</v>
    <v>250.74</v>
    <v>10754390000</v>
    <v>AMZN</v>
    <v>AMAZON.COM, INC. (XNAS:AMZN)</v>
    <v>52029291</v>
    <v>45340008</v>
    <v>1996</v>
  </rv>
  <rv s="2">
    <v>37</v>
  </rv>
  <rv s="0">
    <v>https://www.bing.com/financeapi/forcetrigger?t=a1u3rw&amp;q=XNAS%3aGOOGL&amp;form=skydnc</v>
    <v>Learn more on Bing</v>
  </rv>
  <rv s="1">
    <v>0</v>
    <v>ALPHABET INC. (XNAS:GOOGL)</v>
    <v>2</v>
    <v>3</v>
    <v>Finance</v>
    <v>4</v>
    <v>en-US</v>
    <v>a1u3rw</v>
    <v>268435456</v>
    <v>1</v>
    <v>Powered by Refinitiv</v>
    <v>349</v>
    <v>146.1</v>
    <v>1.1540999999999999</v>
    <v>5.66</v>
    <v>1.6843999999999998E-2</v>
    <v>-1.1299999999999999</v>
    <v>-3.307E-3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342.32</v>
    <v>Software &amp; IT Services</v>
    <v>Stock</v>
    <v>46129.999994039063</v>
    <v>39</v>
    <v>336.24</v>
    <v>4133302960000</v>
    <v>ALPHABET INC.</v>
    <v>ALPHABET INC.</v>
    <v>337.65</v>
    <v>31.084099999999999</v>
    <v>336.02</v>
    <v>341.68</v>
    <v>340.55</v>
    <v>12097000000</v>
    <v>GOOGL</v>
    <v>ALPHABET INC. (XNAS:GOOGL)</v>
    <v>25581881</v>
    <v>28046984</v>
    <v>2015</v>
  </rv>
  <rv s="2">
    <v>40</v>
  </rv>
  <rv s="0">
    <v>https://www.bing.com/financeapi/forcetrigger?t=a269ec&amp;q=XNYS%3aXOM&amp;form=skydnc</v>
    <v>Learn more on Bing</v>
  </rv>
  <rv s="1">
    <v>0</v>
    <v>EXXON MOBIL CORPORATION (XNYS:XOM)</v>
    <v>2</v>
    <v>3</v>
    <v>Finance</v>
    <v>4</v>
    <v>en-US</v>
    <v>a269ec</v>
    <v>268435456</v>
    <v>1</v>
    <v>Powered by Refinitiv</v>
    <v>176.41</v>
    <v>101.185</v>
    <v>0.1668</v>
    <v>-5.54</v>
    <v>-3.6451999999999998E-2</v>
    <v>-0.11</v>
    <v>-7.5120000000000004E-4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146.80000000000001</v>
    <v>Oil &amp; Gas</v>
    <v>Stock</v>
    <v>46129.999925265627</v>
    <v>42</v>
    <v>141.97</v>
    <v>608686646400</v>
    <v>EXXON MOBIL CORPORATION</v>
    <v>EXXON MOBIL CORPORATION</v>
    <v>144.86000000000001</v>
    <v>22.75</v>
    <v>151.97999999999999</v>
    <v>146.44</v>
    <v>146.33000000000001</v>
    <v>4156560000</v>
    <v>XOM</v>
    <v>EXXON MOBIL CORPORATION (XNYS:XOM)</v>
    <v>28947445</v>
    <v>24926004</v>
    <v>1882</v>
  </rv>
  <rv s="2">
    <v>43</v>
  </rv>
  <rv s="0">
    <v>https://www.bing.com/financeapi/forcetrigger?t=a1mou2&amp;q=XNAS%3aAAPL&amp;form=skydnc</v>
    <v>Learn more on Bing</v>
  </rv>
  <rv s="1">
    <v>0</v>
    <v>APPLE INC. (XNAS:AAPL)</v>
    <v>2</v>
    <v>3</v>
    <v>Finance</v>
    <v>4</v>
    <v>en-US</v>
    <v>a1mou2</v>
    <v>268435456</v>
    <v>1</v>
    <v>Powered by Refinitiv</v>
    <v>288.62</v>
    <v>189.81120000000001</v>
    <v>1.0758000000000001</v>
    <v>6.83</v>
    <v>2.5929999999999998E-2</v>
    <v>0.37</v>
    <v>1.369E-3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272.3</v>
    <v>Computers, Phones &amp; Household Electronics</v>
    <v>Stock</v>
    <v>46129.999987928124</v>
    <v>45</v>
    <v>266.72000000000003</v>
    <v>3967284462200</v>
    <v>APPLE INC.</v>
    <v>APPLE INC.</v>
    <v>266.95999999999998</v>
    <v>33.464199999999998</v>
    <v>263.39999999999998</v>
    <v>270.23</v>
    <v>270.60000000000002</v>
    <v>14681140000</v>
    <v>AAPL</v>
    <v>APPLE INC. (XNAS:AAPL)</v>
    <v>61436228</v>
    <v>41405738</v>
    <v>1977</v>
  </rv>
  <rv s="2">
    <v>46</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7"/>
  <sheetViews>
    <sheetView tabSelected="1" topLeftCell="A7" zoomScale="169" workbookViewId="0">
      <selection activeCell="I17" sqref="I17"/>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278.39</v>
      </c>
      <c r="D3" s="4" cm="1">
        <f t="array" aca="1" ref="D3" ca="1">_FV(B3,"52 week high",TRUE)</f>
        <v>281.05</v>
      </c>
      <c r="E3" s="4" cm="1">
        <f t="array" aca="1" ref="E3" ca="1">_FV(B3,"52 week low",TRUE)</f>
        <v>83.75</v>
      </c>
      <c r="F3" s="5" cm="1">
        <f t="array" aca="1" ref="F3" ca="1">_FV(B3,"Beta")</f>
        <v>2.1118000000000001</v>
      </c>
      <c r="G3" s="6" t="str" cm="1">
        <f t="array" aca="1" ref="G3" ca="1">_FV(B3,"Ticker symbol",TRUE)</f>
        <v>AMD</v>
      </c>
      <c r="H3" s="6" t="str" cm="1">
        <f t="array" aca="1" ref="H3" ca="1">_FV(B3,"Industry")</f>
        <v>Semiconductors &amp; Semiconductor Equipment</v>
      </c>
      <c r="I3" s="7" cm="1">
        <f t="array" aca="1" ref="I3" ca="1">_FV(B3,"Volume average",TRUE)</f>
        <v>34029967</v>
      </c>
    </row>
    <row r="4" spans="1:9" x14ac:dyDescent="0.2">
      <c r="B4" s="3" t="e" vm="2">
        <v>#VALUE!</v>
      </c>
      <c r="C4" s="4" cm="1">
        <f t="array" aca="1" ref="C4" ca="1">_FV(B4,"Price")</f>
        <v>100.51</v>
      </c>
      <c r="D4" s="4" cm="1">
        <f t="array" aca="1" ref="D4" ca="1">_FV(B4,"52 week high",TRUE)</f>
        <v>544.92999999999995</v>
      </c>
      <c r="E4" s="4" cm="1">
        <f t="array" aca="1" ref="E4" ca="1">_FV(B4,"52 week low",TRUE)</f>
        <v>87.89</v>
      </c>
      <c r="F4" s="5" cm="1">
        <f t="array" aca="1" ref="F4" ca="1">_FV(B4,"Beta")</f>
        <v>0.83789999999999998</v>
      </c>
      <c r="G4" s="6" t="str" cm="1">
        <f t="array" aca="1" ref="G4" ca="1">_FV(B4,"Ticker symbol",TRUE)</f>
        <v>DUOL</v>
      </c>
      <c r="H4" s="6" t="str" cm="1">
        <f t="array" aca="1" ref="H4" ca="1">_FV(B4,"Industry")</f>
        <v>Software &amp; IT Services</v>
      </c>
      <c r="I4" s="7" cm="1">
        <f t="array" aca="1" ref="I4" ca="1">_FV(B4,"Volume average",TRUE)</f>
        <v>1774398</v>
      </c>
    </row>
    <row r="5" spans="1:9" x14ac:dyDescent="0.2">
      <c r="B5" s="3" t="e" vm="3">
        <v>#VALUE!</v>
      </c>
      <c r="C5" s="4" cm="1">
        <f t="array" aca="1" ref="C5" ca="1">_FV(B5,"Price")</f>
        <v>68.5</v>
      </c>
      <c r="D5" s="4" cm="1">
        <f t="array" aca="1" ref="D5" ca="1">_FV(B5,"52 week high",TRUE)</f>
        <v>70.325000000000003</v>
      </c>
      <c r="E5" s="4" cm="1">
        <f t="array" aca="1" ref="E5" ca="1">_FV(B5,"52 week low",TRUE)</f>
        <v>18.25</v>
      </c>
      <c r="F5" s="5" cm="1">
        <f t="array" aca="1" ref="F5" ca="1">_FV(B5,"Beta")</f>
        <v>1.7076</v>
      </c>
      <c r="G5" s="6" t="str" cm="1">
        <f t="array" aca="1" ref="G5" ca="1">_FV(B5,"Ticker symbol",TRUE)</f>
        <v>INTC</v>
      </c>
      <c r="H5" s="6" t="str" cm="1">
        <f t="array" aca="1" ref="H5" ca="1">_FV(B5,"Industry")</f>
        <v>Semiconductors &amp; Semiconductor Equipment</v>
      </c>
      <c r="I5" s="7" cm="1">
        <f t="array" aca="1" ref="I5" ca="1">_FV(B5,"Volume average",TRUE)</f>
        <v>102734158</v>
      </c>
    </row>
    <row r="6" spans="1:9" x14ac:dyDescent="0.2">
      <c r="B6" s="3" t="e" vm="4">
        <v>#VALUE!</v>
      </c>
      <c r="C6" s="4" cm="1">
        <f t="array" aca="1" ref="C6" ca="1">_FV(B6,"Price")</f>
        <v>201.68</v>
      </c>
      <c r="D6" s="4" cm="1">
        <f t="array" aca="1" ref="D6" ca="1">_FV(B6,"52 week high",TRUE)</f>
        <v>212.18989999999999</v>
      </c>
      <c r="E6" s="4" cm="1">
        <f t="array" aca="1" ref="E6" ca="1">_FV(B6,"52 week low",TRUE)</f>
        <v>95.04</v>
      </c>
      <c r="F6" s="5" cm="1">
        <f t="array" aca="1" ref="F6" ca="1">_FV(B6,"Beta")</f>
        <v>2.2841</v>
      </c>
      <c r="G6" s="6" t="str" cm="1">
        <f t="array" aca="1" ref="G6" ca="1">_FV(B6,"Ticker symbol",TRUE)</f>
        <v>NVDA</v>
      </c>
      <c r="H6" s="6" t="str" cm="1">
        <f t="array" aca="1" ref="H6" ca="1">_FV(B6,"Industry")</f>
        <v>Semiconductors &amp; Semiconductor Equipment</v>
      </c>
      <c r="I6" s="7" cm="1">
        <f t="array" aca="1" ref="I6" ca="1">_FV(B6,"Volume average",TRUE)</f>
        <v>166524493</v>
      </c>
    </row>
    <row r="7" spans="1:9" x14ac:dyDescent="0.2">
      <c r="B7" s="3" t="e" vm="5">
        <v>#VALUE!</v>
      </c>
      <c r="C7" s="4" cm="1">
        <f t="array" aca="1" ref="C7" ca="1">_FV(B7,"Price")</f>
        <v>9.17</v>
      </c>
      <c r="D7" s="4" cm="1">
        <f t="array" aca="1" ref="D7" ca="1">_FV(B7,"52 week high",TRUE)</f>
        <v>32.76</v>
      </c>
      <c r="E7" s="4" cm="1">
        <f t="array" aca="1" ref="E7" ca="1">_FV(B7,"52 week low",TRUE)</f>
        <v>7.77</v>
      </c>
      <c r="F7" s="5" cm="1">
        <f t="array" aca="1" ref="F7" ca="1">_FV(B7,"Beta")</f>
        <v>0.89259999999999995</v>
      </c>
      <c r="G7" s="6" t="str" cm="1">
        <f t="array" aca="1" ref="G7" ca="1">_FV(B7,"Ticker symbol",TRUE)</f>
        <v>PHR</v>
      </c>
      <c r="H7" s="6" t="str" cm="1">
        <f t="array" aca="1" ref="H7" ca="1">_FV(B7,"Industry")</f>
        <v>Software &amp; IT Services</v>
      </c>
      <c r="I7" s="7" cm="1">
        <f t="array" aca="1" ref="I7" ca="1">_FV(B7,"Volume average",TRUE)</f>
        <v>2701413</v>
      </c>
    </row>
    <row r="8" spans="1:9" x14ac:dyDescent="0.2">
      <c r="B8" s="3" t="e" vm="6">
        <v>#VALUE!</v>
      </c>
      <c r="C8" s="4" cm="1">
        <f t="array" aca="1" ref="C8" ca="1">_FV(B8,"Price")</f>
        <v>136.19999999999999</v>
      </c>
      <c r="D8" s="4" cm="1">
        <f t="array" aca="1" ref="D8" ca="1">_FV(B8,"52 week high",TRUE)</f>
        <v>205.95</v>
      </c>
      <c r="E8" s="4" cm="1">
        <f t="array" aca="1" ref="E8" ca="1">_FV(B8,"52 week low",TRUE)</f>
        <v>121.99</v>
      </c>
      <c r="F8" s="5" cm="1">
        <f t="array" aca="1" ref="F8" ca="1">_FV(B8,"Beta")</f>
        <v>1.2484999999999999</v>
      </c>
      <c r="G8" s="6" t="str" cm="1">
        <f t="array" aca="1" ref="G8" ca="1">_FV(B8,"Ticker symbol",TRUE)</f>
        <v>QCOM</v>
      </c>
      <c r="H8" s="6" t="str" cm="1">
        <f t="array" aca="1" ref="H8" ca="1">_FV(B8,"Industry")</f>
        <v>Semiconductors &amp; Semiconductor Equipment</v>
      </c>
      <c r="I8" s="7" cm="1">
        <f t="array" aca="1" ref="I8" ca="1">_FV(B8,"Volume average",TRUE)</f>
        <v>12286347</v>
      </c>
    </row>
    <row r="9" spans="1:9" x14ac:dyDescent="0.2">
      <c r="B9" s="3" t="e" vm="7">
        <v>#VALUE!</v>
      </c>
      <c r="C9" s="4" cm="1">
        <f t="array" aca="1" ref="C9" ca="1">_FV(B9,"Price")</f>
        <v>119.6</v>
      </c>
      <c r="D9" s="4" cm="1">
        <f t="array" aca="1" ref="D9" ca="1">_FV(B9,"52 week high",TRUE)</f>
        <v>133.99</v>
      </c>
      <c r="E9" s="4" cm="1">
        <f t="array" aca="1" ref="E9" ca="1">_FV(B9,"52 week low",TRUE)</f>
        <v>69.19</v>
      </c>
      <c r="F9" s="5" cm="1">
        <f t="array" aca="1" ref="F9" ca="1">_FV(B9,"Beta")</f>
        <v>1.4350000000000001</v>
      </c>
      <c r="G9" s="6" t="str" cm="1">
        <f t="array" aca="1" ref="G9" ca="1">_FV(B9,"Ticker symbol",TRUE)</f>
        <v>SN</v>
      </c>
      <c r="H9" s="6" t="str" cm="1">
        <f t="array" aca="1" ref="H9" ca="1">_FV(B9,"Industry")</f>
        <v>Household Goods</v>
      </c>
      <c r="I9" s="7" cm="1">
        <f t="array" aca="1" ref="I9" ca="1">_FV(B9,"Volume average",TRUE)</f>
        <v>2024114</v>
      </c>
    </row>
    <row r="10" spans="1:9" x14ac:dyDescent="0.2">
      <c r="A10" s="8" t="s">
        <v>8</v>
      </c>
      <c r="B10" s="3" t="e" vm="8">
        <v>#VALUE!</v>
      </c>
      <c r="C10" s="4" cm="1">
        <f t="array" aca="1" ref="C10" ca="1">_FV(B10,"Price")</f>
        <v>42.46</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3.05</v>
      </c>
      <c r="D11" s="4" cm="1">
        <f t="array" aca="1" ref="D11" ca="1">_FV(B11,"52 week high",TRUE)</f>
        <v>3.24</v>
      </c>
      <c r="E11" s="4" cm="1">
        <f t="array" aca="1" ref="E11" ca="1">_FV(B11,"52 week low",TRUE)</f>
        <v>2.1</v>
      </c>
      <c r="F11" s="5" cm="1">
        <f t="array" aca="1" ref="F11" ca="1">_FV(B11,"Beta")</f>
        <v>0.67230000000000001</v>
      </c>
      <c r="G11" s="6" t="str" cm="1">
        <f t="array" aca="1" ref="G11" ca="1">_FV(B11,"Ticker symbol",TRUE)</f>
        <v>ABEV</v>
      </c>
      <c r="H11" s="6" t="str" cm="1">
        <f t="array" aca="1" ref="H11" ca="1">_FV(B11,"Industry")</f>
        <v>Beverages</v>
      </c>
      <c r="I11" s="7" cm="1">
        <f t="array" aca="1" ref="I11" ca="1">_FV(B11,"Volume average",TRUE)</f>
        <v>27054601</v>
      </c>
    </row>
    <row r="12" spans="1:9" x14ac:dyDescent="0.2">
      <c r="B12" s="3" t="e" vm="10">
        <v>#VALUE!</v>
      </c>
      <c r="C12" s="4" cm="1">
        <f t="array" aca="1" ref="C12" ca="1">_FV(B12,"Price")</f>
        <v>100.15</v>
      </c>
      <c r="D12" s="4" cm="1">
        <f t="array" aca="1" ref="D12" ca="1">_FV(B12,"52 week high",TRUE)</f>
        <v>101.53</v>
      </c>
      <c r="E12" s="4" cm="1">
        <f t="array" aca="1" ref="E12" ca="1">_FV(B12,"52 week low",TRUE)</f>
        <v>55.64</v>
      </c>
      <c r="F12" s="5" cm="1">
        <f t="array" aca="1" ref="F12" ca="1">_FV(B12,"Beta")</f>
        <v>0.57389999999999997</v>
      </c>
      <c r="G12" s="6" t="str" cm="1">
        <f t="array" aca="1" ref="G12" ca="1">_FV(B12,"Ticker symbol",TRUE)</f>
        <v>RIO</v>
      </c>
      <c r="H12" s="6" t="str" cm="1">
        <f t="array" aca="1" ref="H12" ca="1">_FV(B12,"Industry")</f>
        <v>Metals &amp; Mining</v>
      </c>
      <c r="I12" s="7" cm="1">
        <f t="array" aca="1" ref="I12" ca="1">_FV(B12,"Volume average",TRUE)</f>
        <v>3023395</v>
      </c>
    </row>
    <row r="13" spans="1:9" x14ac:dyDescent="0.2">
      <c r="B13" s="3" t="e" vm="11">
        <v>#VALUE!</v>
      </c>
      <c r="C13" s="4" cm="1">
        <f t="array" aca="1" ref="C13" ca="1">_FV(B13,"Price")</f>
        <v>324.63</v>
      </c>
      <c r="D13" s="4" cm="1">
        <f t="array" aca="1" ref="D13" ca="1">_FV(B13,"52 week high",TRUE)</f>
        <v>489.79</v>
      </c>
      <c r="E13" s="4" cm="1">
        <f t="array" aca="1" ref="E13" ca="1">_FV(B13,"52 week low",TRUE)</f>
        <v>234.6</v>
      </c>
      <c r="F13" s="5" cm="1">
        <f t="array" aca="1" ref="F13" ca="1">_FV(B13,"Beta")</f>
        <v>0.50349999999999995</v>
      </c>
      <c r="G13" s="6" t="str" cm="1">
        <f t="array" aca="1" ref="G13" ca="1">_FV(B13,"Ticker symbol",TRUE)</f>
        <v>UNH</v>
      </c>
      <c r="H13" s="6" t="str" cm="1">
        <f t="array" aca="1" ref="H13" ca="1">_FV(B13,"Industry")</f>
        <v>Healthcare Providers &amp; Services</v>
      </c>
      <c r="I13" s="7" cm="1">
        <f t="array" aca="1" ref="I13" ca="1">_FV(B13,"Volume average",TRUE)</f>
        <v>8758090</v>
      </c>
    </row>
    <row r="14" spans="1:9" x14ac:dyDescent="0.2">
      <c r="B14" s="3" t="e" vm="12">
        <v>#VALUE!</v>
      </c>
      <c r="C14" s="4" cm="1">
        <f t="array" aca="1" ref="C14" ca="1">_FV(B14,"Price")</f>
        <v>250.56</v>
      </c>
      <c r="D14" s="4" cm="1">
        <f t="array" aca="1" ref="D14" ca="1">_FV(B14,"52 week high",TRUE)</f>
        <v>258.60000000000002</v>
      </c>
      <c r="E14" s="4" cm="1">
        <f t="array" aca="1" ref="E14" ca="1">_FV(B14,"52 week low",TRUE)</f>
        <v>165.285</v>
      </c>
      <c r="F14" s="5" cm="1">
        <f t="array" aca="1" ref="F14" ca="1">_FV(B14,"Beta")</f>
        <v>1.4198</v>
      </c>
      <c r="G14" s="6" t="str" cm="1">
        <f t="array" aca="1" ref="G14" ca="1">_FV(B14,"Ticker symbol",TRUE)</f>
        <v>AMZN</v>
      </c>
      <c r="H14" s="6" t="str" cm="1">
        <f t="array" aca="1" ref="H14" ca="1">_FV(B14,"Industry")</f>
        <v>Diversified Retail</v>
      </c>
      <c r="I14" s="7" cm="1">
        <f t="array" aca="1" ref="I14" ca="1">_FV(B14,"Volume average",TRUE)</f>
        <v>45340008</v>
      </c>
    </row>
    <row r="15" spans="1:9" x14ac:dyDescent="0.2">
      <c r="B15" s="3" t="e" vm="13">
        <v>#VALUE!</v>
      </c>
      <c r="C15" s="4" cm="1">
        <f t="array" aca="1" ref="C15" ca="1">_FV(B15,"Price")</f>
        <v>341.68</v>
      </c>
      <c r="D15" s="4" cm="1">
        <f t="array" aca="1" ref="D15" ca="1">_FV(B15,"52 week high",TRUE)</f>
        <v>349</v>
      </c>
      <c r="E15" s="4" cm="1">
        <f t="array" aca="1" ref="E15" ca="1">_FV(B15,"52 week low",TRUE)</f>
        <v>146.1</v>
      </c>
      <c r="F15" s="5" cm="1">
        <f t="array" aca="1" ref="F15" ca="1">_FV(B15,"Beta")</f>
        <v>1.1540999999999999</v>
      </c>
      <c r="G15" s="6" t="str" cm="1">
        <f t="array" aca="1" ref="G15" ca="1">_FV(B15,"Ticker symbol",TRUE)</f>
        <v>GOOGL</v>
      </c>
      <c r="H15" s="6" t="str" cm="1">
        <f t="array" aca="1" ref="H15" ca="1">_FV(B15,"Industry")</f>
        <v>Software &amp; IT Services</v>
      </c>
      <c r="I15" s="7" cm="1">
        <f t="array" aca="1" ref="I15" ca="1">_FV(B15,"Volume average",TRUE)</f>
        <v>28046984</v>
      </c>
    </row>
    <row r="16" spans="1:9" x14ac:dyDescent="0.2">
      <c r="B16" s="3" t="e" vm="14">
        <v>#VALUE!</v>
      </c>
      <c r="C16" s="4" cm="1">
        <f t="array" aca="1" ref="C16" ca="1">_FV(B16,"Price")</f>
        <v>146.44</v>
      </c>
      <c r="D16" s="4" cm="1">
        <f t="array" aca="1" ref="D16" ca="1">_FV(B16,"52 week high",TRUE)</f>
        <v>176.41</v>
      </c>
      <c r="E16" s="4" cm="1">
        <f t="array" aca="1" ref="E16" ca="1">_FV(B16,"52 week low",TRUE)</f>
        <v>101.185</v>
      </c>
      <c r="F16" s="5" cm="1">
        <f t="array" aca="1" ref="F16" ca="1">_FV(B16,"Beta")</f>
        <v>0.1668</v>
      </c>
      <c r="G16" s="6" t="str" cm="1">
        <f t="array" aca="1" ref="G16" ca="1">_FV(B16,"Ticker symbol",TRUE)</f>
        <v>XOM</v>
      </c>
      <c r="H16" s="6" t="str" cm="1">
        <f t="array" aca="1" ref="H16" ca="1">_FV(B16,"Industry")</f>
        <v>Oil &amp; Gas</v>
      </c>
      <c r="I16" s="7" cm="1">
        <f t="array" aca="1" ref="I16" ca="1">_FV(B16,"Volume average",TRUE)</f>
        <v>24926004</v>
      </c>
    </row>
    <row r="17" spans="2:9" x14ac:dyDescent="0.2">
      <c r="B17" s="3" t="e" vm="15">
        <v>#VALUE!</v>
      </c>
      <c r="C17" s="4" cm="1">
        <f t="array" aca="1" ref="C17" ca="1">_FV(B17,"Price")</f>
        <v>270.23</v>
      </c>
      <c r="D17" s="4" cm="1">
        <f t="array" aca="1" ref="D17" ca="1">_FV(B17,"52 week high",TRUE)</f>
        <v>288.62</v>
      </c>
      <c r="E17" s="4" cm="1">
        <f t="array" aca="1" ref="E17" ca="1">_FV(B17,"52 week low",TRUE)</f>
        <v>189.81120000000001</v>
      </c>
      <c r="F17" s="5" cm="1">
        <f t="array" aca="1" ref="F17" ca="1">_FV(B17,"Beta")</f>
        <v>1.0758000000000001</v>
      </c>
      <c r="G17" s="6" t="str" cm="1">
        <f t="array" aca="1" ref="G17" ca="1">_FV(B17,"Ticker symbol",TRUE)</f>
        <v>AAPL</v>
      </c>
      <c r="H17" s="6" t="str" cm="1">
        <f t="array" aca="1" ref="H17" ca="1">_FV(B17,"Industry")</f>
        <v>Computers, Phones &amp; Household Electronics</v>
      </c>
      <c r="I17" s="7" cm="1">
        <f t="array" aca="1" ref="I17" ca="1">_FV(B17,"Volume average",TRUE)</f>
        <v>41405738</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2026-04-18T15:04:53Z</dcterms:modified>
</cp:coreProperties>
</file>