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90DAD2E-49E0-CF43-B6D7-2321893F89DA}"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<sst xmlns="http://schemas.openxmlformats.org/spreadsheetml/2006/main" count="9" uniqueCount="9">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</sst>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352.99</v>
    <v>91.87</v>
    <v>2.3592</v>
    <v>42.48</v>
    <v>0.139128</v>
    <v>1.0900000000000001</v>
    <v>3.1340000000000001E-3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352.99</v>
    <v>Semiconductors &amp; Semiconductor Equipment</v>
    <v>Stock</v>
    <v>46136.999996226565</v>
    <v>0</v>
    <v>334.54</v>
    <v>567048207590</v>
    <v>ADVANCED MICRO DEVICES, INC.</v>
    <v>ADVANCED MICRO DEVICES, INC.</v>
    <v>336.755</v>
    <v>117.2353</v>
    <v>305.33</v>
    <v>347.81</v>
    <v>348.9</v>
    <v>1630339000</v>
    <v>AMD</v>
    <v>ADVANCED MICRO DEVICES, INC. (XNAS:AMD)</v>
    <v>81616660</v>
    <v>36665798</v>
    <v>1969</v>
  </rv>
  <rv s="2">
    <v>1</v>
  </rv>
  <rv s="0">
    <v>https://www.bing.com/financeapi/forcetrigger?t=c2mtim&amp;q=XNAS%3aDUOL&amp;form=skydnc</v>
    <v>Learn more on Bing</v>
  </rv>
  <rv s="1">
    <v>0</v>
    <v>DUOLINGO, INC. (XNAS:DUOL)</v>
    <v>2</v>
    <v>3</v>
    <v>Finance</v>
    <v>4</v>
    <v>en-US</v>
    <v>c2mtim</v>
    <v>268435456</v>
    <v>1</v>
    <v>Powered by Refinitiv</v>
    <v>544.92999999999995</v>
    <v>87.89</v>
    <v>0.85309999999999997</v>
    <v>3.16</v>
    <v>3.1509000000000002E-2</v>
    <v>-0.43</v>
    <v>-4.1570000000000001E-3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104</v>
    <v>Software &amp; IT Services</v>
    <v>Stock</v>
    <v>46136.998336041404</v>
    <v>3</v>
    <v>98.6</v>
    <v>4839601003</v>
    <v>DUOLINGO, INC.</v>
    <v>DUOLINGO, INC.</v>
    <v>100.41500000000001</v>
    <v>11.829499999999999</v>
    <v>100.29</v>
    <v>103.45</v>
    <v>103.02</v>
    <v>46782030</v>
    <v>DUOL</v>
    <v>DUOLINGO, INC. (XNAS:DUOL)</v>
    <v>1589402</v>
    <v>1667974</v>
    <v>2011</v>
  </rv>
  <rv s="2">
    <v>4</v>
  </rv>
  <rv s="0">
    <v>https://www.bing.com/financeapi/forcetrigger?t=a1vmf2&amp;q=XNAS%3aINTC&amp;form=skydnc</v>
    <v>Learn more on Bing</v>
  </rv>
  <rv s="1">
    <v>0</v>
    <v>INTEL CORPORATION (XNAS:INTC)</v>
    <v>2</v>
    <v>3</v>
    <v>Finance</v>
    <v>4</v>
    <v>en-US</v>
    <v>a1vmf2</v>
    <v>268435456</v>
    <v>1</v>
    <v>Powered by Refinitiv</v>
    <v>85.22</v>
    <v>18.965</v>
    <v>1.9518</v>
    <v>15.76</v>
    <v>0.23599900000000001</v>
    <v>0.18</v>
    <v>2.1809999999999998E-3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85.22</v>
    <v>Semiconductors &amp; Semiconductor Equipment</v>
    <v>Stock</v>
    <v>46136.999987441406</v>
    <v>6</v>
    <v>79.62</v>
    <v>414598420000</v>
    <v>INTEL CORPORATION</v>
    <v>INTEL CORPORATION</v>
    <v>82.2</v>
    <v>0</v>
    <v>66.78</v>
    <v>82.54</v>
    <v>82.72</v>
    <v>5023000000</v>
    <v>INTC</v>
    <v>INTEL CORPORATION (XNAS:INTC)</v>
    <v>281405214</v>
    <v>107441376</v>
    <v>1989</v>
  </rv>
  <rv s="2">
    <v>7</v>
  </rv>
  <rv s="0">
    <v>https://www.bing.com/financeapi/forcetrigger?t=a1yv52&amp;q=XNAS%3aNVDA&amp;form=skydnc</v>
    <v>Learn more on Bing</v>
  </rv>
  <rv s="1">
    <v>0</v>
    <v>NVIDIA CORPORATION (XNAS:NVDA)</v>
    <v>2</v>
    <v>3</v>
    <v>Finance</v>
    <v>4</v>
    <v>en-US</v>
    <v>a1yv52</v>
    <v>268435456</v>
    <v>1</v>
    <v>Powered by Refinitiv</v>
    <v>212.18989999999999</v>
    <v>104.08</v>
    <v>2.2974000000000001</v>
    <v>8.6300000000000008</v>
    <v>4.3228000000000003E-2</v>
    <v>-0.17030000000000001</v>
    <v>-8.1769999999999998E-4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210.95</v>
    <v>Semiconductors &amp; Semiconductor Equipment</v>
    <v>Stock</v>
    <v>46136.999987453128</v>
    <v>9</v>
    <v>199.81</v>
    <v>5060961000000</v>
    <v>NVIDIA CORPORATION</v>
    <v>NVIDIA CORPORATION</v>
    <v>199.96</v>
    <v>40.728299999999997</v>
    <v>199.64</v>
    <v>208.27</v>
    <v>208.09970000000001</v>
    <v>24300000000</v>
    <v>NVDA</v>
    <v>NVIDIA CORPORATION (XNAS:NVDA)</v>
    <v>214134441</v>
    <v>155943478</v>
    <v>1998</v>
  </rv>
  <rv s="2">
    <v>10</v>
  </rv>
  <rv s="0">
    <v>https://www.bing.com/financeapi/forcetrigger?t=bqw82w&amp;q=XNYS%3aPHR&amp;form=skydnc</v>
    <v>Learn more on Bing</v>
  </rv>
  <rv s="1">
    <v>0</v>
    <v>PHREESIA, INC. (XNYS:PHR)</v>
    <v>2</v>
    <v>3</v>
    <v>Finance</v>
    <v>4</v>
    <v>en-US</v>
    <v>bqw82w</v>
    <v>268435456</v>
    <v>1</v>
    <v>Powered by Refinitiv</v>
    <v>32.76</v>
    <v>7.77</v>
    <v>0.92259999999999998</v>
    <v>0.69</v>
    <v>7.7965999999999994E-2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9.5500000000000007</v>
    <v>Software &amp; IT Services</v>
    <v>Stock</v>
    <v>46136.994222696092</v>
    <v>12</v>
    <v>8.7100000000000009</v>
    <v>579679592</v>
    <v>PHREESIA, INC.</v>
    <v>PHREESIA, INC.</v>
    <v>8.83</v>
    <v>255.7064</v>
    <v>8.85</v>
    <v>9.5399999999999991</v>
    <v>9.5399999999999991</v>
    <v>60763060</v>
    <v>PHR</v>
    <v>PHREESIA, INC. (XNYS:PHR)</v>
    <v>1462477</v>
    <v>2654378</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1.3122</v>
    <v>14.9</v>
    <v>0.111236</v>
    <v>1.05</v>
    <v>7.0540000000000004E-3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151.53989999999999</v>
    <v>18</v>
    <v>Semiconductors &amp; Semiconductor Equipment</v>
    <v>Stock</v>
    <v>46136.999974501559</v>
    <v>19</v>
    <v>143.58000000000001</v>
    <v>158822950000</v>
    <v>QUALCOMM INCORPORATED</v>
    <v>QUALCOMM INCORPORATED</v>
    <v>145.61000000000001</v>
    <v>27.673300000000001</v>
    <v>133.94999999999999</v>
    <v>148.85</v>
    <v>149.9</v>
    <v>1067000000</v>
    <v>QCOM</v>
    <v>QUALCOMM INCORPORATED (XNAS:QCOM)</v>
    <v>29449568</v>
    <v>12349250</v>
    <v>1991</v>
  </rv>
  <rv s="2">
    <v>20</v>
  </rv>
  <rv s="6">
    <v>10</v>
    <v>SHARKNINJA, INC. (XNYS:SN)</v>
    <v>11</v>
    <v>3</v>
    <v>Finance</v>
    <v>4</v>
    <v>en-US</v>
    <v>cag2ar</v>
    <v>268435456</v>
    <v>1</v>
    <v>Powered by Refinitiv</v>
    <v>133.99</v>
    <v>76.45</v>
    <v>1.4159999999999999</v>
    <v>1.05</v>
    <v>9.1549999999999999E-3</v>
    <v>-0.37</v>
    <v>-3.1969999999999998E-3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116.85</v>
    <v>Household Goods</v>
    <v>Stock</v>
    <v>46136.958333356248</v>
    <v>114.29</v>
    <v>16347453246</v>
    <v>SHARKNINJA, INC.</v>
    <v>SHARKNINJA, INC.</v>
    <v>115</v>
    <v>23.191299999999998</v>
    <v>114.69</v>
    <v>115.74</v>
    <v>115.37</v>
    <v>141242900</v>
    <v>SN</v>
    <v>SHARKNINJA, INC. (XNYS:SN)</v>
    <v>980286</v>
    <v>1810174</v>
    <v>2017</v>
  </rv>
  <rv s="2">
    <v>22</v>
  </rv>
  <rv s="0">
    <v>https://www.bing.com/financeapi/forcetrigger?t=a33knm&amp;q=10+Y+TSY+YLD+NDX&amp;form=skydnc</v>
    <v>Learn more on Bing</v>
  </rv>
  <rv s="7">
    <v>12</v>
    <v>10 Y TSY YLD NDX</v>
    <v>13</v>
    <v>14</v>
    <v>Finance</v>
    <v>15</v>
    <v>en-US</v>
    <v>a33knm</v>
    <v>268435456</v>
    <v>1</v>
    <v>Powered by Refinitiv</v>
    <v>46.29</v>
    <v>39.47</v>
    <v>-0.13</v>
    <v>-3.0070000000000001E-3</v>
    <v>US</v>
    <v>43.53</v>
    <v>Index</v>
    <v>24</v>
    <v>43</v>
    <v>10 Y TSY YLD NDX</v>
    <v>43.12</v>
    <v>43.23</v>
    <v>43.1</v>
    <v>TNX</v>
    <v>10 Y TSY YLD NDX</v>
  </rv>
  <rv s="2">
    <v>25</v>
  </rv>
  <rv s="0">
    <v>https://www.bing.com/financeapi/forcetrigger?t=a1mqec&amp;q=XNYS%3aABEV&amp;form=skydnc</v>
    <v>Learn more on Bing</v>
  </rv>
  <rv s="1">
    <v>0</v>
    <v>Ambev SA (XNYS:ABEV)</v>
    <v>2</v>
    <v>3</v>
    <v>Finance</v>
    <v>4</v>
    <v>en-US</v>
    <v>a1mqec</v>
    <v>268435456</v>
    <v>1</v>
    <v>Powered by Refinitiv</v>
    <v>3.24</v>
    <v>2.1</v>
    <v>0.62619999999999998</v>
    <v>-0.06</v>
    <v>-2.0407999999999999E-2</v>
    <v>0.02</v>
    <v>6.9440000000000005E-3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2.9194</v>
    <v>Beverages</v>
    <v>Stock</v>
    <v>46136.99329607578</v>
    <v>27</v>
    <v>2.87</v>
    <v>45399369600</v>
    <v>Ambev SA</v>
    <v>Ambev SA</v>
    <v>2.9</v>
    <v>16.288399999999999</v>
    <v>2.94</v>
    <v>2.88</v>
    <v>2.9</v>
    <v>15763670000</v>
    <v>ABEV</v>
    <v>Ambev SA (XNYS:ABEV)</v>
    <v>25853679</v>
    <v>26997196</v>
    <v>2005</v>
  </rv>
  <rv s="2">
    <v>28</v>
  </rv>
  <rv s="0">
    <v>https://www.bing.com/financeapi/forcetrigger?t=a221mw&amp;q=XNYS%3aRIO&amp;form=skydnc</v>
    <v>Learn more on Bing</v>
  </rv>
  <rv s="1">
    <v>0</v>
    <v>RIO TINTO PLC (XNYS:RIO)</v>
    <v>2</v>
    <v>3</v>
    <v>Finance</v>
    <v>4</v>
    <v>en-US</v>
    <v>a221mw</v>
    <v>268435456</v>
    <v>1</v>
    <v>Powered by Refinitiv</v>
    <v>101.53</v>
    <v>55.64</v>
    <v>0.56820000000000004</v>
    <v>0.76</v>
    <v>7.6880000000000004E-3</v>
    <v>0.184</v>
    <v>1.8470000000000001E-3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100.11199999999999</v>
    <v>Metals &amp; Mining</v>
    <v>Stock</v>
    <v>46136.998868575778</v>
    <v>30</v>
    <v>98.77</v>
    <v>162043356580</v>
    <v>RIO TINTO PLC</v>
    <v>RIO TINTO PLC</v>
    <v>99.48</v>
    <v>16.247199999999999</v>
    <v>98.85</v>
    <v>99.61</v>
    <v>99.793999999999997</v>
    <v>1626778000</v>
    <v>RIO</v>
    <v>RIO TINTO PLC (XNYS:RIO)</v>
    <v>1535492</v>
    <v>2881798</v>
    <v>1962</v>
  </rv>
  <rv s="2">
    <v>31</v>
  </rv>
  <rv s="0">
    <v>https://www.bing.com/financeapi/forcetrigger?t=a24xlh&amp;q=XNYS%3aUNH&amp;form=skydnc</v>
    <v>Learn more on Bing</v>
  </rv>
  <rv s="1">
    <v>0</v>
    <v>UNITEDHEALTH GROUP INCORPORATED (XNYS:UNH)</v>
    <v>2</v>
    <v>3</v>
    <v>Finance</v>
    <v>4</v>
    <v>en-US</v>
    <v>a24xlh</v>
    <v>268435456</v>
    <v>1</v>
    <v>Powered by Refinitiv</v>
    <v>424.12</v>
    <v>234.6</v>
    <v>0.5907</v>
    <v>0.36</v>
    <v>1.0150000000000001E-3</v>
    <v>-0.86580000000000001</v>
    <v>-2.4390000000000002E-3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358.28</v>
    <v>Healthcare Providers &amp; Services</v>
    <v>Stock</v>
    <v>46136.9998939</v>
    <v>33</v>
    <v>351.38499999999999</v>
    <v>322343028944</v>
    <v>UNITEDHEALTH GROUP INCORPORATED</v>
    <v>UNITEDHEALTH GROUP INCORPORATED</v>
    <v>356.49</v>
    <v>26.777699999999999</v>
    <v>354.56</v>
    <v>354.92</v>
    <v>354.05419999999998</v>
    <v>908213200</v>
    <v>UNH</v>
    <v>UNITEDHEALTH GROUP INCORPORATED (XNYS:UNH)</v>
    <v>8554577</v>
    <v>10087118</v>
    <v>2015</v>
  </rv>
  <rv s="2">
    <v>34</v>
  </rv>
  <rv s="0">
    <v>https://www.bing.com/financeapi/forcetrigger?t=a1nhlh&amp;q=XNAS%3aAMZN&amp;form=skydnc</v>
    <v>Learn more on Bing</v>
  </rv>
  <rv s="1">
    <v>0</v>
    <v>AMAZON.COM, INC. (XNAS:AMZN)</v>
    <v>2</v>
    <v>3</v>
    <v>Finance</v>
    <v>4</v>
    <v>en-US</v>
    <v>a1nhlh</v>
    <v>268435456</v>
    <v>1</v>
    <v>Powered by Refinitiv</v>
    <v>264.5</v>
    <v>178.85</v>
    <v>1.4643999999999999</v>
    <v>8.91</v>
    <v>3.4929999999999996E-2</v>
    <v>0.23</v>
    <v>8.7120000000000003E-4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264.5</v>
    <v>Diversified Retail</v>
    <v>Stock</v>
    <v>46136.99999747656</v>
    <v>36</v>
    <v>257.685</v>
    <v>2839051416100</v>
    <v>AMAZON.COM, INC.</v>
    <v>AMAZON.COM, INC.</v>
    <v>259.98</v>
    <v>35.564900000000002</v>
    <v>255.08</v>
    <v>263.99</v>
    <v>264.22000000000003</v>
    <v>10754390000</v>
    <v>AMZN</v>
    <v>AMAZON.COM, INC. (XNAS:AMZN)</v>
    <v>53777353</v>
    <v>45521357</v>
    <v>1996</v>
  </rv>
  <rv s="2">
    <v>37</v>
  </rv>
  <rv s="0">
    <v>https://www.bing.com/financeapi/forcetrigger?t=a1u3rw&amp;q=XNAS%3aGOOGL&amp;form=skydnc</v>
    <v>Learn more on Bing</v>
  </rv>
  <rv s="1">
    <v>0</v>
    <v>ALPHABET INC. (XNAS:GOOGL)</v>
    <v>2</v>
    <v>3</v>
    <v>Finance</v>
    <v>4</v>
    <v>en-US</v>
    <v>a1u3rw</v>
    <v>268435456</v>
    <v>1</v>
    <v>Powered by Refinitiv</v>
    <v>349</v>
    <v>147.84</v>
    <v>1.1596</v>
    <v>5.51</v>
    <v>1.6258999999999999E-2</v>
    <v>-0.81</v>
    <v>-2.3519999999999999E-3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345.27</v>
    <v>Software &amp; IT Services</v>
    <v>Stock</v>
    <v>46136.999993008591</v>
    <v>39</v>
    <v>335.39</v>
    <v>4166206799999</v>
    <v>ALPHABET INC.</v>
    <v>ALPHABET INC.</v>
    <v>338.72500000000002</v>
    <v>31.349599999999999</v>
    <v>338.89</v>
    <v>344.4</v>
    <v>343.59</v>
    <v>12097000000</v>
    <v>GOOGL</v>
    <v>ALPHABET INC. (XNAS:GOOGL)</v>
    <v>26426061</v>
    <v>27740066</v>
    <v>2015</v>
  </rv>
  <rv s="2">
    <v>40</v>
  </rv>
  <rv s="0">
    <v>https://www.bing.com/financeapi/forcetrigger?t=a269ec&amp;q=XNYS%3aXOM&amp;form=skydnc</v>
    <v>Learn more on Bing</v>
  </rv>
  <rv s="1">
    <v>0</v>
    <v>EXXON MOBIL CORPORATION (XNYS:XOM)</v>
    <v>2</v>
    <v>3</v>
    <v>Finance</v>
    <v>4</v>
    <v>en-US</v>
    <v>a269ec</v>
    <v>268435456</v>
    <v>1</v>
    <v>Powered by Refinitiv</v>
    <v>176.41</v>
    <v>101.185</v>
    <v>0.16819999999999999</v>
    <v>-1.62</v>
    <v>-1.0762000000000001E-2</v>
    <v>-0.04</v>
    <v>-2.6859999999999997E-4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150.30000000000001</v>
    <v>Oil &amp; Gas</v>
    <v>Stock</v>
    <v>46136.999583622659</v>
    <v>42</v>
    <v>146.95050000000001</v>
    <v>618953349600</v>
    <v>EXXON MOBIL CORPORATION</v>
    <v>EXXON MOBIL CORPORATION</v>
    <v>149.63999999999999</v>
    <v>22.532900000000001</v>
    <v>150.53</v>
    <v>148.91</v>
    <v>148.87</v>
    <v>4156560000</v>
    <v>XOM</v>
    <v>EXXON MOBIL CORPORATION (XNYS:XOM)</v>
    <v>13735857</v>
    <v>24033360</v>
    <v>1882</v>
  </rv>
  <rv s="2">
    <v>43</v>
  </rv>
  <rv s="0">
    <v>https://www.bing.com/financeapi/forcetrigger?t=a1mou2&amp;q=XNAS%3aAAPL&amp;form=skydnc</v>
    <v>Learn more on Bing</v>
  </rv>
  <rv s="1">
    <v>0</v>
    <v>APPLE INC. (XNAS:AAPL)</v>
    <v>2</v>
    <v>3</v>
    <v>Finance</v>
    <v>4</v>
    <v>en-US</v>
    <v>a1mou2</v>
    <v>268435456</v>
    <v>1</v>
    <v>Powered by Refinitiv</v>
    <v>288.62</v>
    <v>193.25</v>
    <v>1.0716000000000001</v>
    <v>-2.37</v>
    <v>-8.6680000000000004E-3</v>
    <v>-0.12</v>
    <v>-4.4269999999999997E-4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273.06</v>
    <v>Computers, Phones &amp; Household Electronics</v>
    <v>Stock</v>
    <v>46136.999919837501</v>
    <v>45</v>
    <v>269.64999999999998</v>
    <v>3979469808400</v>
    <v>APPLE INC.</v>
    <v>APPLE INC.</v>
    <v>272.755</v>
    <v>34.738500000000002</v>
    <v>273.43</v>
    <v>271.06</v>
    <v>270.94</v>
    <v>14681140000</v>
    <v>AAPL</v>
    <v>APPLE INC. (XNAS:AAPL)</v>
    <v>38157110</v>
    <v>43284430</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1.4283999999999999</v>
    <v>6.46</v>
    <v>2.7031999999999997E-2</v>
    <v>-0.28000000000000003</v>
    <v>-1.1409999999999999E-3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245.66</v>
    <v>50</v>
    <v>Software &amp; IT Services</v>
    <v>Stock</v>
    <v>46136.999796620315</v>
    <v>51</v>
    <v>238.42</v>
    <v>99206848000</v>
    <v>ADOBE INC.</v>
    <v>ADOBE INC.</v>
    <v>239.77</v>
    <v>13.928800000000001</v>
    <v>238.98</v>
    <v>245.44</v>
    <v>245.16</v>
    <v>404200000</v>
    <v>ADBE</v>
    <v>ADOBE INC. (XNAS:ADBE)</v>
    <v>6492913</v>
    <v>5414336</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7"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347.81</v>
      </c>
      <c r="D3" s="4" cm="1">
        <f t="array" aca="1" ref="D3" ca="1">_FV(B3,"52 week high",TRUE)</f>
        <v>352.99</v>
      </c>
      <c r="E3" s="4" cm="1">
        <f t="array" aca="1" ref="E3" ca="1">_FV(B3,"52 week low",TRUE)</f>
        <v>91.87</v>
      </c>
      <c r="F3" s="5" cm="1">
        <f t="array" aca="1" ref="F3" ca="1">_FV(B3,"Beta")</f>
        <v>2.3592</v>
      </c>
      <c r="G3" s="6" t="str" cm="1">
        <f t="array" aca="1" ref="G3" ca="1">_FV(B3,"Ticker symbol",TRUE)</f>
        <v>AMD</v>
      </c>
      <c r="H3" s="6" t="str" cm="1">
        <f t="array" aca="1" ref="H3" ca="1">_FV(B3,"Industry")</f>
        <v>Semiconductors &amp; Semiconductor Equipment</v>
      </c>
      <c r="I3" s="7" cm="1">
        <f t="array" aca="1" ref="I3" ca="1">_FV(B3,"Volume average",TRUE)</f>
        <v>36665798</v>
      </c>
    </row>
    <row r="4" spans="1:9" x14ac:dyDescent="0.2">
      <c r="B4" s="3" t="e" vm="2">
        <v>#VALUE!</v>
      </c>
      <c r="C4" s="4" cm="1">
        <f t="array" aca="1" ref="C4" ca="1">_FV(B4,"Price")</f>
        <v>103.45</v>
      </c>
      <c r="D4" s="4" cm="1">
        <f t="array" aca="1" ref="D4" ca="1">_FV(B4,"52 week high",TRUE)</f>
        <v>544.92999999999995</v>
      </c>
      <c r="E4" s="4" cm="1">
        <f t="array" aca="1" ref="E4" ca="1">_FV(B4,"52 week low",TRUE)</f>
        <v>87.89</v>
      </c>
      <c r="F4" s="5" cm="1">
        <f t="array" aca="1" ref="F4" ca="1">_FV(B4,"Beta")</f>
        <v>0.85309999999999997</v>
      </c>
      <c r="G4" s="6" t="str" cm="1">
        <f t="array" aca="1" ref="G4" ca="1">_FV(B4,"Ticker symbol",TRUE)</f>
        <v>DUOL</v>
      </c>
      <c r="H4" s="6" t="str" cm="1">
        <f t="array" aca="1" ref="H4" ca="1">_FV(B4,"Industry")</f>
        <v>Software &amp; IT Services</v>
      </c>
      <c r="I4" s="7" cm="1">
        <f t="array" aca="1" ref="I4" ca="1">_FV(B4,"Volume average",TRUE)</f>
        <v>1667974</v>
      </c>
    </row>
    <row r="5" spans="1:9" x14ac:dyDescent="0.2">
      <c r="B5" s="3" t="e" vm="3">
        <v>#VALUE!</v>
      </c>
      <c r="C5" s="4" cm="1">
        <f t="array" aca="1" ref="C5" ca="1">_FV(B5,"Price")</f>
        <v>82.54</v>
      </c>
      <c r="D5" s="4" cm="1">
        <f t="array" aca="1" ref="D5" ca="1">_FV(B5,"52 week high",TRUE)</f>
        <v>85.22</v>
      </c>
      <c r="E5" s="4" cm="1">
        <f t="array" aca="1" ref="E5" ca="1">_FV(B5,"52 week low",TRUE)</f>
        <v>18.965</v>
      </c>
      <c r="F5" s="5" cm="1">
        <f t="array" aca="1" ref="F5" ca="1">_FV(B5,"Beta")</f>
        <v>1.9518</v>
      </c>
      <c r="G5" s="6" t="str" cm="1">
        <f t="array" aca="1" ref="G5" ca="1">_FV(B5,"Ticker symbol",TRUE)</f>
        <v>INTC</v>
      </c>
      <c r="H5" s="6" t="str" cm="1">
        <f t="array" aca="1" ref="H5" ca="1">_FV(B5,"Industry")</f>
        <v>Semiconductors &amp; Semiconductor Equipment</v>
      </c>
      <c r="I5" s="7" cm="1">
        <f t="array" aca="1" ref="I5" ca="1">_FV(B5,"Volume average",TRUE)</f>
        <v>107441376</v>
      </c>
    </row>
    <row r="6" spans="1:9" x14ac:dyDescent="0.2">
      <c r="B6" s="3" t="e" vm="4">
        <v>#VALUE!</v>
      </c>
      <c r="C6" s="4" cm="1">
        <f t="array" aca="1" ref="C6" ca="1">_FV(B6,"Price")</f>
        <v>208.27</v>
      </c>
      <c r="D6" s="4" cm="1">
        <f t="array" aca="1" ref="D6" ca="1">_FV(B6,"52 week high",TRUE)</f>
        <v>212.18989999999999</v>
      </c>
      <c r="E6" s="4" cm="1">
        <f t="array" aca="1" ref="E6" ca="1">_FV(B6,"52 week low",TRUE)</f>
        <v>104.08</v>
      </c>
      <c r="F6" s="5" cm="1">
        <f t="array" aca="1" ref="F6" ca="1">_FV(B6,"Beta")</f>
        <v>2.2974000000000001</v>
      </c>
      <c r="G6" s="6" t="str" cm="1">
        <f t="array" aca="1" ref="G6" ca="1">_FV(B6,"Ticker symbol",TRUE)</f>
        <v>NVDA</v>
      </c>
      <c r="H6" s="6" t="str" cm="1">
        <f t="array" aca="1" ref="H6" ca="1">_FV(B6,"Industry")</f>
        <v>Semiconductors &amp; Semiconductor Equipment</v>
      </c>
      <c r="I6" s="7" cm="1">
        <f t="array" aca="1" ref="I6" ca="1">_FV(B6,"Volume average",TRUE)</f>
        <v>155943478</v>
      </c>
    </row>
    <row r="7" spans="1:9" x14ac:dyDescent="0.2">
      <c r="B7" s="3" t="e" vm="5">
        <v>#VALUE!</v>
      </c>
      <c r="C7" s="4" cm="1">
        <f t="array" aca="1" ref="C7" ca="1">_FV(B7,"Price")</f>
        <v>9.5399999999999991</v>
      </c>
      <c r="D7" s="4" cm="1">
        <f t="array" aca="1" ref="D7" ca="1">_FV(B7,"52 week high",TRUE)</f>
        <v>32.76</v>
      </c>
      <c r="E7" s="4" cm="1">
        <f t="array" aca="1" ref="E7" ca="1">_FV(B7,"52 week low",TRUE)</f>
        <v>7.77</v>
      </c>
      <c r="F7" s="5" cm="1">
        <f t="array" aca="1" ref="F7" ca="1">_FV(B7,"Beta")</f>
        <v>0.92259999999999998</v>
      </c>
      <c r="G7" s="6" t="str" cm="1">
        <f t="array" aca="1" ref="G7" ca="1">_FV(B7,"Ticker symbol",TRUE)</f>
        <v>PHR</v>
      </c>
      <c r="H7" s="6" t="str" cm="1">
        <f t="array" aca="1" ref="H7" ca="1">_FV(B7,"Industry")</f>
        <v>Software &amp; IT Services</v>
      </c>
      <c r="I7" s="7" cm="1">
        <f t="array" aca="1" ref="I7" ca="1">_FV(B7,"Volume average",TRUE)</f>
        <v>2654378</v>
      </c>
    </row>
    <row r="8" spans="1:9" x14ac:dyDescent="0.2">
      <c r="B8" s="3" t="e" vm="6">
        <v>#VALUE!</v>
      </c>
      <c r="C8" s="4" cm="1">
        <f t="array" aca="1" ref="C8" ca="1">_FV(B8,"Price")</f>
        <v>148.85</v>
      </c>
      <c r="D8" s="4" cm="1">
        <f t="array" aca="1" ref="D8" ca="1">_FV(B8,"52 week high",TRUE)</f>
        <v>205.95</v>
      </c>
      <c r="E8" s="4" cm="1">
        <f t="array" aca="1" ref="E8" ca="1">_FV(B8,"52 week low",TRUE)</f>
        <v>121.99</v>
      </c>
      <c r="F8" s="5" cm="1">
        <f t="array" aca="1" ref="F8" ca="1">_FV(B8,"Beta")</f>
        <v>1.3122</v>
      </c>
      <c r="G8" s="6" t="str" cm="1">
        <f t="array" aca="1" ref="G8" ca="1">_FV(B8,"Ticker symbol",TRUE)</f>
        <v>QCOM</v>
      </c>
      <c r="H8" s="6" t="str" cm="1">
        <f t="array" aca="1" ref="H8" ca="1">_FV(B8,"Industry")</f>
        <v>Semiconductors &amp; Semiconductor Equipment</v>
      </c>
      <c r="I8" s="7" cm="1">
        <f t="array" aca="1" ref="I8" ca="1">_FV(B8,"Volume average",TRUE)</f>
        <v>12349250</v>
      </c>
    </row>
    <row r="9" spans="1:9" x14ac:dyDescent="0.2">
      <c r="B9" s="3" t="e" vm="7">
        <v>#VALUE!</v>
      </c>
      <c r="C9" s="4" cm="1">
        <f t="array" aca="1" ref="C9" ca="1">_FV(B9,"Price")</f>
        <v>115.74</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1810174</v>
      </c>
    </row>
    <row r="10" spans="1:9" x14ac:dyDescent="0.2">
      <c r="A10" s="8" t="s">
        <v>8</v>
      </c>
      <c r="B10" s="3" t="e" vm="8">
        <v>#VALUE!</v>
      </c>
      <c r="C10" s="4" cm="1">
        <f t="array" aca="1" ref="C10" ca="1">_FV(B10,"Price")</f>
        <v>43.1</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2.88</v>
      </c>
      <c r="D11" s="4" cm="1">
        <f t="array" aca="1" ref="D11" ca="1">_FV(B11,"52 week high",TRUE)</f>
        <v>3.24</v>
      </c>
      <c r="E11" s="4" cm="1">
        <f t="array" aca="1" ref="E11" ca="1">_FV(B11,"52 week low",TRUE)</f>
        <v>2.1</v>
      </c>
      <c r="F11" s="5" cm="1">
        <f t="array" aca="1" ref="F11" ca="1">_FV(B11,"Beta")</f>
        <v>0.62619999999999998</v>
      </c>
      <c r="G11" s="6" t="str" cm="1">
        <f t="array" aca="1" ref="G11" ca="1">_FV(B11,"Ticker symbol",TRUE)</f>
        <v>ABEV</v>
      </c>
      <c r="H11" s="6" t="str" cm="1">
        <f t="array" aca="1" ref="H11" ca="1">_FV(B11,"Industry")</f>
        <v>Beverages</v>
      </c>
      <c r="I11" s="7" cm="1">
        <f t="array" aca="1" ref="I11" ca="1">_FV(B11,"Volume average",TRUE)</f>
        <v>26997196</v>
      </c>
    </row>
    <row r="12" spans="1:9" x14ac:dyDescent="0.2">
      <c r="B12" s="3" t="e" vm="10">
        <v>#VALUE!</v>
      </c>
      <c r="C12" s="4" cm="1">
        <f t="array" aca="1" ref="C12" ca="1">_FV(B12,"Price")</f>
        <v>99.61</v>
      </c>
      <c r="D12" s="4" cm="1">
        <f t="array" aca="1" ref="D12" ca="1">_FV(B12,"52 week high",TRUE)</f>
        <v>101.53</v>
      </c>
      <c r="E12" s="4" cm="1">
        <f t="array" aca="1" ref="E12" ca="1">_FV(B12,"52 week low",TRUE)</f>
        <v>55.64</v>
      </c>
      <c r="F12" s="5" cm="1">
        <f t="array" aca="1" ref="F12" ca="1">_FV(B12,"Beta")</f>
        <v>0.56820000000000004</v>
      </c>
      <c r="G12" s="6" t="str" cm="1">
        <f t="array" aca="1" ref="G12" ca="1">_FV(B12,"Ticker symbol",TRUE)</f>
        <v>RIO</v>
      </c>
      <c r="H12" s="6" t="str" cm="1">
        <f t="array" aca="1" ref="H12" ca="1">_FV(B12,"Industry")</f>
        <v>Metals &amp; Mining</v>
      </c>
      <c r="I12" s="7" cm="1">
        <f t="array" aca="1" ref="I12" ca="1">_FV(B12,"Volume average",TRUE)</f>
        <v>2881798</v>
      </c>
    </row>
    <row r="13" spans="1:9" x14ac:dyDescent="0.2">
      <c r="B13" s="3" t="e" vm="11">
        <v>#VALUE!</v>
      </c>
      <c r="C13" s="4" cm="1">
        <f t="array" aca="1" ref="C13" ca="1">_FV(B13,"Price")</f>
        <v>354.92</v>
      </c>
      <c r="D13" s="4" cm="1">
        <f t="array" aca="1" ref="D13" ca="1">_FV(B13,"52 week high",TRUE)</f>
        <v>424.12</v>
      </c>
      <c r="E13" s="4" cm="1">
        <f t="array" aca="1" ref="E13" ca="1">_FV(B13,"52 week low",TRUE)</f>
        <v>234.6</v>
      </c>
      <c r="F13" s="5" cm="1">
        <f t="array" aca="1" ref="F13" ca="1">_FV(B13,"Beta")</f>
        <v>0.5907</v>
      </c>
      <c r="G13" s="6" t="str" cm="1">
        <f t="array" aca="1" ref="G13" ca="1">_FV(B13,"Ticker symbol",TRUE)</f>
        <v>UNH</v>
      </c>
      <c r="H13" s="6" t="str" cm="1">
        <f t="array" aca="1" ref="H13" ca="1">_FV(B13,"Industry")</f>
        <v>Healthcare Providers &amp; Services</v>
      </c>
      <c r="I13" s="7" cm="1">
        <f t="array" aca="1" ref="I13" ca="1">_FV(B13,"Volume average",TRUE)</f>
        <v>10087118</v>
      </c>
    </row>
    <row r="14" spans="1:9" x14ac:dyDescent="0.2">
      <c r="B14" s="3" t="e" vm="12">
        <v>#VALUE!</v>
      </c>
      <c r="C14" s="4" cm="1">
        <f t="array" aca="1" ref="C14" ca="1">_FV(B14,"Price")</f>
        <v>263.99</v>
      </c>
      <c r="D14" s="4" cm="1">
        <f t="array" aca="1" ref="D14" ca="1">_FV(B14,"52 week high",TRUE)</f>
        <v>264.5</v>
      </c>
      <c r="E14" s="4" cm="1">
        <f t="array" aca="1" ref="E14" ca="1">_FV(B14,"52 week low",TRUE)</f>
        <v>178.85</v>
      </c>
      <c r="F14" s="5" cm="1">
        <f t="array" aca="1" ref="F14" ca="1">_FV(B14,"Beta")</f>
        <v>1.4643999999999999</v>
      </c>
      <c r="G14" s="6" t="str" cm="1">
        <f t="array" aca="1" ref="G14" ca="1">_FV(B14,"Ticker symbol",TRUE)</f>
        <v>AMZN</v>
      </c>
      <c r="H14" s="6" t="str" cm="1">
        <f t="array" aca="1" ref="H14" ca="1">_FV(B14,"Industry")</f>
        <v>Diversified Retail</v>
      </c>
      <c r="I14" s="7" cm="1">
        <f t="array" aca="1" ref="I14" ca="1">_FV(B14,"Volume average",TRUE)</f>
        <v>45521357</v>
      </c>
    </row>
    <row r="15" spans="1:9" x14ac:dyDescent="0.2">
      <c r="B15" s="3" t="e" vm="13">
        <v>#VALUE!</v>
      </c>
      <c r="C15" s="4" cm="1">
        <f t="array" aca="1" ref="C15" ca="1">_FV(B15,"Price")</f>
        <v>344.4</v>
      </c>
      <c r="D15" s="4" cm="1">
        <f t="array" aca="1" ref="D15" ca="1">_FV(B15,"52 week high",TRUE)</f>
        <v>349</v>
      </c>
      <c r="E15" s="4" cm="1">
        <f t="array" aca="1" ref="E15" ca="1">_FV(B15,"52 week low",TRUE)</f>
        <v>147.84</v>
      </c>
      <c r="F15" s="5" cm="1">
        <f t="array" aca="1" ref="F15" ca="1">_FV(B15,"Beta")</f>
        <v>1.1596</v>
      </c>
      <c r="G15" s="6" t="str" cm="1">
        <f t="array" aca="1" ref="G15" ca="1">_FV(B15,"Ticker symbol",TRUE)</f>
        <v>GOOGL</v>
      </c>
      <c r="H15" s="6" t="str" cm="1">
        <f t="array" aca="1" ref="H15" ca="1">_FV(B15,"Industry")</f>
        <v>Software &amp; IT Services</v>
      </c>
      <c r="I15" s="7" cm="1">
        <f t="array" aca="1" ref="I15" ca="1">_FV(B15,"Volume average",TRUE)</f>
        <v>27740066</v>
      </c>
    </row>
    <row r="16" spans="1:9" x14ac:dyDescent="0.2">
      <c r="B16" s="3" t="e" vm="14">
        <v>#VALUE!</v>
      </c>
      <c r="C16" s="4" cm="1">
        <f t="array" aca="1" ref="C16" ca="1">_FV(B16,"Price")</f>
        <v>148.91</v>
      </c>
      <c r="D16" s="4" cm="1">
        <f t="array" aca="1" ref="D16" ca="1">_FV(B16,"52 week high",TRUE)</f>
        <v>176.41</v>
      </c>
      <c r="E16" s="4" cm="1">
        <f t="array" aca="1" ref="E16" ca="1">_FV(B16,"52 week low",TRUE)</f>
        <v>101.185</v>
      </c>
      <c r="F16" s="5" cm="1">
        <f t="array" aca="1" ref="F16" ca="1">_FV(B16,"Beta")</f>
        <v>0.16819999999999999</v>
      </c>
      <c r="G16" s="6" t="str" cm="1">
        <f t="array" aca="1" ref="G16" ca="1">_FV(B16,"Ticker symbol",TRUE)</f>
        <v>XOM</v>
      </c>
      <c r="H16" s="6" t="str" cm="1">
        <f t="array" aca="1" ref="H16" ca="1">_FV(B16,"Industry")</f>
        <v>Oil &amp; Gas</v>
      </c>
      <c r="I16" s="7" cm="1">
        <f t="array" aca="1" ref="I16" ca="1">_FV(B16,"Volume average",TRUE)</f>
        <v>24033360</v>
      </c>
    </row>
    <row r="17" spans="2:9" x14ac:dyDescent="0.2">
      <c r="B17" s="3" t="e" vm="15">
        <v>#VALUE!</v>
      </c>
      <c r="C17" s="4" cm="1">
        <f t="array" aca="1" ref="C17" ca="1">_FV(B17,"Price")</f>
        <v>271.06</v>
      </c>
      <c r="D17" s="4" cm="1">
        <f t="array" aca="1" ref="D17" ca="1">_FV(B17,"52 week high",TRUE)</f>
        <v>288.62</v>
      </c>
      <c r="E17" s="4" cm="1">
        <f t="array" aca="1" ref="E17" ca="1">_FV(B17,"52 week low",TRUE)</f>
        <v>193.25</v>
      </c>
      <c r="F17" s="5" cm="1">
        <f t="array" aca="1" ref="F17" ca="1">_FV(B17,"Beta")</f>
        <v>1.0716000000000001</v>
      </c>
      <c r="G17" s="6" t="str" cm="1">
        <f t="array" aca="1" ref="G17" ca="1">_FV(B17,"Ticker symbol",TRUE)</f>
        <v>AAPL</v>
      </c>
      <c r="H17" s="6" t="str" cm="1">
        <f t="array" aca="1" ref="H17" ca="1">_FV(B17,"Industry")</f>
        <v>Computers, Phones &amp; Household Electronics</v>
      </c>
      <c r="I17" s="7" cm="1">
        <f t="array" aca="1" ref="I17" ca="1">_FV(B17,"Volume average",TRUE)</f>
        <v>43284430</v>
      </c>
    </row>
    <row r="18" spans="2:9" x14ac:dyDescent="0.2">
      <c r="B18" s="3" t="e" vm="16">
        <v>#VALUE!</v>
      </c>
      <c r="C18" s="4" cm="1">
        <f t="array" aca="1" ref="C18" ca="1">_FV(B18,"Price")</f>
        <v>245.44</v>
      </c>
      <c r="D18" s="4" cm="1">
        <f t="array" aca="1" ref="D18" ca="1">_FV(B18,"52 week high",TRUE)</f>
        <v>422.95</v>
      </c>
      <c r="E18" s="4" cm="1">
        <f t="array" aca="1" ref="E18" ca="1">_FV(B18,"52 week low",TRUE)</f>
        <v>224.13</v>
      </c>
      <c r="F18" s="5" cm="1">
        <f t="array" aca="1" ref="F18" ca="1">_FV(B18,"Beta")</f>
        <v>1.4283999999999999</v>
      </c>
      <c r="G18" s="6" t="str" cm="1">
        <f t="array" aca="1" ref="G18" ca="1">_FV(B18,"Ticker symbol",TRUE)</f>
        <v>ADBE</v>
      </c>
      <c r="H18" s="6" t="str" cm="1">
        <f t="array" aca="1" ref="H18" ca="1">_FV(B18,"Industry")</f>
        <v>Software &amp; IT Services</v>
      </c>
      <c r="I18" s="7" cm="1">
        <f t="array" aca="1" ref="I18" ca="1">_FV(B18,"Volume average",TRUE)</f>
        <v>5414336</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2026-04-26T22:26:00Z</dcterms:modified>
</cp:coreProperties>
</file>