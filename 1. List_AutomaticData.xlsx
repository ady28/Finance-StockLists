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AB957C7-969A-A54C-B8AF-BD45622DBB89}"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 l="1" a="1"/>
  <c r="H19" i="1" a="1"/>
  <c r="G19" i="1" a="1"/>
  <c r="F19" i="1" a="1"/>
  <c r="E19" i="1" a="1"/>
  <c r="D19" i="1" a="1"/>
  <c r="C19" i="1" a="1"/>
  <c r="I18" i="1" a="1"/>
  <c r="H18" i="1" a="1"/>
  <c r="G18" i="1" a="1"/>
  <c r="F18" i="1" a="1"/>
  <c r="E18" i="1" a="1"/>
  <c r="D18" i="1" a="1"/>
  <c r="C18" i="1" a="1"/>
  <c r="I17" i="1" a="1"/>
  <c r="H17" i="1" a="1"/>
  <c r="G17" i="1" a="1"/>
  <c r="F17" i="1" a="1"/>
  <c r="E17" i="1" a="1"/>
  <c r="D17" i="1" a="1"/>
  <c r="C17" i="1" a="1"/>
  <c r="I16" i="1" a="1"/>
  <c r="H16" i="1" a="1"/>
  <c r="G16" i="1" a="1"/>
  <c r="F16" i="1" a="1"/>
  <c r="E16" i="1" a="1"/>
  <c r="D16" i="1" a="1"/>
  <c r="C16" i="1" a="1"/>
  <c r="I15" i="1" a="1"/>
  <c r="H15" i="1" a="1"/>
  <c r="G15" i="1" a="1"/>
  <c r="F15" i="1" a="1"/>
  <c r="E15" i="1" a="1"/>
  <c r="D15" i="1" a="1"/>
  <c r="C15" i="1" a="1"/>
  <c r="I14" i="1" a="1"/>
  <c r="H14" i="1" a="1"/>
  <c r="G14" i="1" a="1"/>
  <c r="F14" i="1" a="1"/>
  <c r="E14" i="1" a="1"/>
  <c r="D14" i="1" a="1"/>
  <c r="C14" i="1" a="1"/>
  <c r="I13" i="1" a="1"/>
  <c r="H13" i="1" a="1"/>
  <c r="G13" i="1" a="1"/>
  <c r="F13" i="1" a="1"/>
  <c r="E13" i="1" a="1"/>
  <c r="D13" i="1" a="1"/>
  <c r="C13" i="1" a="1"/>
  <c r="I12" i="1" a="1"/>
  <c r="H12" i="1" a="1"/>
  <c r="G12" i="1" a="1"/>
  <c r="F12" i="1" a="1"/>
  <c r="E12" i="1" a="1"/>
  <c r="D12" i="1" a="1"/>
  <c r="C12" i="1" a="1"/>
  <c r="I11" i="1" a="1"/>
  <c r="H11" i="1" a="1"/>
  <c r="F11" i="1" a="1"/>
  <c r="G11" i="1" a="1"/>
  <c r="E11" i="1" a="1"/>
  <c r="D11" i="1" a="1"/>
  <c r="C11" i="1" a="1"/>
  <c r="E10" i="1" a="1"/>
  <c r="D10" i="1" a="1"/>
  <c r="G10" i="1" a="1"/>
  <c r="C10" i="1" a="1"/>
  <c r="I4" i="1" a="1"/>
  <c r="I5" i="1" a="1"/>
  <c r="I6" i="1" a="1"/>
  <c r="I7" i="1" a="1"/>
  <c r="I8" i="1" a="1"/>
  <c r="I9" i="1" a="1"/>
  <c r="I3" i="1" a="1"/>
  <c r="H3" i="1" a="1"/>
  <c r="H4" i="1" a="1"/>
  <c r="H5" i="1" a="1"/>
  <c r="H6" i="1" a="1"/>
  <c r="H7" i="1" a="1"/>
  <c r="H8" i="1" a="1"/>
  <c r="H9" i="1" a="1"/>
  <c r="G3" i="1" a="1"/>
  <c r="G4" i="1" a="1"/>
  <c r="G5" i="1" a="1"/>
  <c r="G6" i="1" a="1"/>
  <c r="G7" i="1" a="1"/>
  <c r="G8" i="1" a="1"/>
  <c r="G9" i="1" a="1"/>
  <c r="F3" i="1" a="1"/>
  <c r="F4" i="1" a="1"/>
  <c r="F5" i="1" a="1"/>
  <c r="F6" i="1" a="1"/>
  <c r="F7" i="1" a="1"/>
  <c r="F8" i="1" a="1"/>
  <c r="F9" i="1" a="1"/>
  <c r="E3" i="1" a="1"/>
  <c r="E4" i="1" a="1"/>
  <c r="E5" i="1" a="1"/>
  <c r="E6" i="1" a="1"/>
  <c r="E7" i="1" a="1"/>
  <c r="E8" i="1" a="1"/>
  <c r="E9" i="1" a="1"/>
  <c r="D3" i="1" a="1"/>
  <c r="D4" i="1" a="1"/>
  <c r="D5" i="1" a="1"/>
  <c r="D6" i="1" a="1"/>
  <c r="D7" i="1" a="1"/>
  <c r="D8" i="1" a="1"/>
  <c r="D9" i="1" a="1"/>
  <c r="C3" i="1" a="1"/>
  <c r="C4" i="1" a="1"/>
  <c r="C5" i="1" a="1"/>
  <c r="C6" i="1" a="1"/>
  <c r="C7" i="1" a="1"/>
  <c r="C8" i="1" a="1"/>
  <c r="C9" i="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bk>
      <extLst>
        <ext uri="{3e2802c4-a4d2-4d8b-9148-e3be6c30e623}">
          <xlrd:rvb i="56"/>
        </ext>
      </extLst>
    </bk>
  </futureMetadata>
  <cellMetadata count="1">
    <bk>
      <rc t="1" v="0"/>
    </bk>
  </cellMetadata>
  <valueMetadata count="17">
    <bk>
      <rc t="2" v="0"/>
    </bk>
    <bk>
      <rc t="2" v="1"/>
    </bk>
    <bk>
      <rc t="2" v="2"/>
    </bk>
    <bk>
      <rc t="2" v="3"/>
    </bk>
    <bk>
      <rc t="2" v="4"/>
    </bk>
    <bk>
      <rc t="2" v="5"/>
    </bk>
    <bk>
      <rc t="2" v="6"/>
    </bk>
    <bk>
      <rc t="2" v="7"/>
    </bk>
    <bk>
      <rc t="2" v="8"/>
    </bk>
    <bk>
      <rc t="2" v="9"/>
    </bk>
    <bk>
      <rc t="2" v="10"/>
    </bk>
    <bk>
      <rc t="2" v="11"/>
    </bk>
    <bk>
      <rc t="2" v="12"/>
    </bk>
    <bk>
      <rc t="2" v="13"/>
    </bk>
    <bk>
      <rc t="2" v="14"/>
    </bk>
    <bk>
      <rc t="2" v="15"/>
    </bk>
    <bk>
      <rc t="2" v="16"/>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<sst xmlns="http://schemas.openxmlformats.org/spreadsheetml/2006/main" count="9" uniqueCount="9">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</sst>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7">
  <rv s="0">
    <v>https://www.bing.com/financeapi/forcetrigger?t=a1ndww&amp;q=XNAS%3aAMD&amp;form=skydnc</v>
    <v>Learn more on Bing</v>
  </rv>
  <rv s="1">
    <v>0</v>
    <v>ADVANCED MICRO DEVICES, INC. (XNAS:AMD)</v>
    <v>2</v>
    <v>3</v>
    <v>Finance</v>
    <v>4</v>
    <v>en-US</v>
    <v>a1ndww</v>
    <v>268435456</v>
    <v>1</v>
    <v>Powered by Refinitiv</v>
    <v>658.52</v>
    <v>188.22</v>
    <v>2.4579</v>
    <v>-13.86</v>
    <v>-2.2792E-2</v>
    <v>2.0999999999999999E-3</v>
    <v>3.5340000000000004E-6</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601.77</v>
    <v>Semiconductors &amp; Semiconductor Equipment</v>
    <v>Stock</v>
    <v>46307.885064443748</v>
    <v>0</v>
    <v>586.54</v>
    <v>970081944000</v>
    <v>ADVANCED MICRO DEVICES, INC.</v>
    <v>ADVANCED MICRO DEVICES, INC.</v>
    <v>599.92999999999995</v>
    <v>151.6653</v>
    <v>608.1</v>
    <v>594.24</v>
    <v>594.24210000000005</v>
    <v>1632475000</v>
    <v>AMD</v>
    <v>ADVANCED MICRO DEVICES, INC. (XNAS:AMD)</v>
    <v>15260898</v>
    <v>21912889</v>
    <v>1969</v>
  </rv>
  <rv s="2">
    <v>1</v>
  </rv>
  <rv s="0">
    <v>https://www.bing.com/financeapi/forcetrigger?t=c2mtim&amp;q=XNAS%3aDUOL&amp;form=skydnc</v>
    <v>Learn more on Bing</v>
  </rv>
  <rv s="1">
    <v>0</v>
    <v>DUOLINGO, INC. (XNAS:DUOL)</v>
    <v>2</v>
    <v>3</v>
    <v>Finance</v>
    <v>4</v>
    <v>en-US</v>
    <v>c2mtim</v>
    <v>268435456</v>
    <v>1</v>
    <v>Powered by Refinitiv</v>
    <v>343.99799999999999</v>
    <v>87.89</v>
    <v>1.0680000000000001</v>
    <v>-2.1800000000000002</v>
    <v>-1.4541E-2</v>
    <v>-7.4884000000000004</v>
    <v>-5.0686000000000002E-2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150.495</v>
    <v>Software &amp; IT Services</v>
    <v>Stock</v>
    <v>46307.88233498828</v>
    <v>3</v>
    <v>147.5001</v>
    <v>6912203529</v>
    <v>DUOLINGO, INC.</v>
    <v>DUOLINGO, INC.</v>
    <v>149.85</v>
    <v>17.610099999999999</v>
    <v>149.91999999999999</v>
    <v>147.74</v>
    <v>140.2516</v>
    <v>46786270</v>
    <v>DUOL</v>
    <v>DUOLINGO, INC. (XNAS:DUOL)</v>
    <v>853775</v>
    <v>1030227</v>
    <v>2011</v>
  </rv>
  <rv s="2">
    <v>4</v>
  </rv>
  <rv s="0">
    <v>https://www.bing.com/financeapi/forcetrigger?t=a1vmf2&amp;q=XNAS%3aINTC&amp;form=skydnc</v>
    <v>Learn more on Bing</v>
  </rv>
  <rv s="1">
    <v>0</v>
    <v>INTEL CORPORATION (XNAS:INTC)</v>
    <v>2</v>
    <v>3</v>
    <v>Finance</v>
    <v>4</v>
    <v>en-US</v>
    <v>a1vmf2</v>
    <v>268435456</v>
    <v>1</v>
    <v>Powered by Refinitiv</v>
    <v>142.35</v>
    <v>32.89</v>
    <v>2.3353000000000002</v>
    <v>-3.35</v>
    <v>-3.1996000000000004E-2</v>
    <v>0.24990000000000001</v>
    <v>2.4660000000000003E-3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103.19</v>
    <v>Semiconductors &amp; Semiconductor Equipment</v>
    <v>Stock</v>
    <v>46307.885211967186</v>
    <v>6</v>
    <v>100.7103</v>
    <v>535641743150</v>
    <v>INTEL CORPORATION</v>
    <v>INTEL CORPORATION</v>
    <v>102.515</v>
    <v>0</v>
    <v>104.7</v>
    <v>101.35</v>
    <v>101.59990000000001</v>
    <v>5285069000</v>
    <v>INTC</v>
    <v>INTEL CORPORATION (XNAS:INTC)</v>
    <v>73615984</v>
    <v>108154739</v>
    <v>1989</v>
  </rv>
  <rv s="2">
    <v>7</v>
  </rv>
  <rv s="0">
    <v>https://www.bing.com/financeapi/forcetrigger?t=a1yv52&amp;q=XNAS%3aNVDA&amp;form=skydnc</v>
    <v>Learn more on Bing</v>
  </rv>
  <rv s="1">
    <v>0</v>
    <v>NVIDIA CORPORATION (XNAS:NVDA)</v>
    <v>2</v>
    <v>3</v>
    <v>Finance</v>
    <v>4</v>
    <v>en-US</v>
    <v>a1yv52</v>
    <v>268435456</v>
    <v>1</v>
    <v>Powered by Refinitiv</v>
    <v>243.37</v>
    <v>164.27</v>
    <v>2.1823000000000001</v>
    <v>-2.96</v>
    <v>-1.291E-2</v>
    <v>-0.01</v>
    <v>-4.4190000000000002E-5</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228.86</v>
    <v>Semiconductors &amp; Semiconductor Equipment</v>
    <v>Stock</v>
    <v>46307.885219282034</v>
    <v>9</v>
    <v>224.9</v>
    <v>5454312000000</v>
    <v>NVIDIA CORPORATION</v>
    <v>NVIDIA CORPORATION</v>
    <v>228.73</v>
    <v>28.609400000000001</v>
    <v>229.28</v>
    <v>226.32</v>
    <v>226.31</v>
    <v>24100000000</v>
    <v>NVDA</v>
    <v>NVIDIA CORPORATION (XNAS:NVDA)</v>
    <v>69970250</v>
    <v>108532316</v>
    <v>1998</v>
  </rv>
  <rv s="2">
    <v>10</v>
  </rv>
  <rv s="0">
    <v>https://www.bing.com/financeapi/forcetrigger?t=bqw82w&amp;q=XNYS%3aPHR&amp;form=skydnc</v>
    <v>Learn more on Bing</v>
  </rv>
  <rv s="1">
    <v>0</v>
    <v>PHREESIA, INC. (XNYS:PHR)</v>
    <v>2</v>
    <v>3</v>
    <v>Finance</v>
    <v>5</v>
    <v>en-US</v>
    <v>bqw82w</v>
    <v>268435456</v>
    <v>1</v>
    <v>Powered by Refinitiv</v>
    <v>24.07</v>
    <v>7.77</v>
    <v>0.79259999999999997</v>
    <v>0.01</v>
    <v>9.2509999999999999E-4</v>
    <v>-0.02</v>
    <v>-1.8479999999999998E-3</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11.02</v>
    <v>Software &amp; IT Services</v>
    <v>Stock</v>
    <v>46307.851047742966</v>
    <v>12</v>
    <v>10.49</v>
    <v>671607570</v>
    <v>PHREESIA, INC.</v>
    <v>PHREESIA, INC.</v>
    <v>10.49</v>
    <v>64.061599999999999</v>
    <v>10.81</v>
    <v>10.82</v>
    <v>10.8</v>
    <v>62070940</v>
    <v>PHR</v>
    <v>PHREESIA, INC. (XNYS:PHR)</v>
    <v>533230</v>
    <v>697289</v>
    <v>2005</v>
  </rv>
  <rv s="2">
    <v>13</v>
  </rv>
  <rv s="0">
    <v>http://en.wikipedia.org/wiki/Public_domain</v>
    <v>Public domain</v>
  </rv>
  <rv s="0">
    <v>http://en.wikipedia.org/wiki/Qualcomm</v>
    <v>Wikipedia</v>
  </rv>
  <rv s="3">
    <v>15</v>
    <v>16</v>
  </rv>
  <rv s="4">
    <v>10</v>
    <v>https://www.bing.com/th?id=AMMS_2b1c176dae370ecc0d55a1517537f595&amp;qlt=95</v>
    <v>17</v>
    <v>0</v>
    <v>https://www.bing.com/images/search?form=xlimg&amp;q=qualcomm</v>
    <v>Image of QUALCOMM INCORPORATED</v>
  </rv>
  <rv s="0">
    <v>https://www.bing.com/financeapi/forcetrigger?t=a21k2w&amp;q=XNAS%3aQCOM&amp;form=skydnc</v>
    <v>Learn more on Bing</v>
  </rv>
  <rv s="5">
    <v>6</v>
    <v>QUALCOMM INCORPORATED (XNAS:QCOM)</v>
    <v>8</v>
    <v>9</v>
    <v>Finance</v>
    <v>4</v>
    <v>en-US</v>
    <v>a21k2w</v>
    <v>268435456</v>
    <v>1</v>
    <v>Powered by Refinitiv</v>
    <v>259.92</v>
    <v>121.99</v>
    <v>1.6831</v>
    <v>-1.07</v>
    <v>-6.097E-3</v>
    <v>-0.21</v>
    <v>-1.204E-3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175.23</v>
    <v>18</v>
    <v>Semiconductors &amp; Semiconductor Equipment</v>
    <v>Stock</v>
    <v>46307.884348251566</v>
    <v>19</v>
    <v>172.1601</v>
    <v>183151500000</v>
    <v>QUALCOMM INCORPORATED</v>
    <v>QUALCOMM INCORPORATED</v>
    <v>175.185</v>
    <v>20.311599999999999</v>
    <v>175.5</v>
    <v>174.43</v>
    <v>174.22</v>
    <v>1050000000</v>
    <v>QCOM</v>
    <v>QUALCOMM INCORPORATED (XNAS:QCOM)</v>
    <v>6901314</v>
    <v>13926322</v>
    <v>1991</v>
  </rv>
  <rv s="2">
    <v>20</v>
  </rv>
  <rv s="6">
    <v>11</v>
    <v>SHARKNINJA, INC. (XNYS:SN)</v>
    <v>12</v>
    <v>3</v>
    <v>Finance</v>
    <v>4</v>
    <v>en-US</v>
    <v>cag2ar</v>
    <v>268435456</v>
    <v>1</v>
    <v>Powered by Refinitiv</v>
    <v>194.54</v>
    <v>83.12</v>
    <v>1.542</v>
    <v>4.9850000000000003</v>
    <v>2.6949000000000001E-2</v>
    <v>1.4608000000000001</v>
    <v>7.6890000000000005E-3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193.4999</v>
    <v>Household Goods</v>
    <v>Stock</v>
    <v>46307.884227661722</v>
    <v>184.57</v>
    <v>26760673494</v>
    <v>SHARKNINJA, INC.</v>
    <v>SHARKNINJA, INC.</v>
    <v>184.62</v>
    <v>38.815899999999999</v>
    <v>184.98</v>
    <v>189.965</v>
    <v>191.4408</v>
    <v>140871600</v>
    <v>SN</v>
    <v>SHARKNINJA, INC. (XNYS:SN)</v>
    <v>1507698</v>
    <v>1860478</v>
    <v>2017</v>
  </rv>
  <rv s="2">
    <v>22</v>
  </rv>
  <rv s="0">
    <v>https://www.bing.com/financeapi/forcetrigger?t=a33knm&amp;q=10+Y+TSY+YLD+NDX&amp;form=skydnc</v>
    <v>Learn more on Bing</v>
  </rv>
  <rv s="7">
    <v>13</v>
    <v>10 Y TSY YLD NDX</v>
    <v>14</v>
    <v>15</v>
    <v>Finance</v>
    <v>16</v>
    <v>en-US</v>
    <v>a33knm</v>
    <v>268435456</v>
    <v>1</v>
    <v>Powered by Refinitiv</v>
    <v>53.64</v>
    <v>39.47</v>
    <v>0.13</v>
    <v>2.4849999999999998E-3</v>
    <v>US</v>
    <v>52.8</v>
    <v>Index</v>
    <v>24</v>
    <v>52.34</v>
    <v>10 Y TSY YLD NDX</v>
    <v>52.36</v>
    <v>52.31</v>
    <v>52.44</v>
    <v>TNX</v>
    <v>10 Y TSY YLD NDX</v>
  </rv>
  <rv s="2">
    <v>25</v>
  </rv>
  <rv s="0">
    <v>https://www.bing.com/financeapi/forcetrigger?t=a1mqec&amp;q=XNYS%3aABEV&amp;form=skydnc</v>
    <v>Learn more on Bing</v>
  </rv>
  <rv s="1">
    <v>0</v>
    <v>Ambev SA (XNYS:ABEV)</v>
    <v>2</v>
    <v>3</v>
    <v>Finance</v>
    <v>5</v>
    <v>en-US</v>
    <v>a1mqec</v>
    <v>268435456</v>
    <v>1</v>
    <v>Powered by Refinitiv</v>
    <v>3.4499</v>
    <v>2.1</v>
    <v>0.5927</v>
    <v>0.04</v>
    <v>1.2539E-2</v>
    <v>0.01</v>
    <v>3.0959999999999998E-3</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3.24</v>
    <v>Beverages</v>
    <v>Stock</v>
    <v>46307.873844235939</v>
    <v>27</v>
    <v>3.17</v>
    <v>50015484100</v>
    <v>Ambev SA</v>
    <v>Ambev SA</v>
    <v>3.18</v>
    <v>16.0777</v>
    <v>3.19</v>
    <v>3.23</v>
    <v>3.24</v>
    <v>15484670000</v>
    <v>ABEV</v>
    <v>Ambev SA (XNYS:ABEV)</v>
    <v>10984666</v>
    <v>23020995</v>
    <v>2005</v>
  </rv>
  <rv s="2">
    <v>28</v>
  </rv>
  <rv s="0">
    <v>https://www.bing.com/financeapi/forcetrigger?t=a221mw&amp;q=XNYS%3aRIO&amp;form=skydnc</v>
    <v>Learn more on Bing</v>
  </rv>
  <rv s="1">
    <v>0</v>
    <v>RIO TINTO PLC (XNYS:RIO)</v>
    <v>2</v>
    <v>3</v>
    <v>Finance</v>
    <v>4</v>
    <v>en-US</v>
    <v>a221mw</v>
    <v>268435456</v>
    <v>1</v>
    <v>Powered by Refinitiv</v>
    <v>112.58</v>
    <v>66.489999999999995</v>
    <v>0.64700000000000002</v>
    <v>-0.46</v>
    <v>-4.8529999999999997E-3</v>
    <v>0</v>
    <v>0</v>
    <v>USD</v>
    <v>Rio Tinto plc is a global mining and materials company. Its business is finding, mining, and processing mineral resources. It operates across 34 countries and 6 continents, and its portfolio includes iron ore, aluminum, bauxite, alumina, copper, diamonds, titanium dioxide, lithium, salt and borates. Its Aluminium &amp; Lithium segment consists of bauxite mining, alumina refining, aluminum smelting and recycling, and mining and processing of lithium. Its Copper segment consists of mining and refining copper, gold, silver, molybdenum, other by-products and exploration activities. Its Iron Ore segment includes iron ore mining and salt and gypsum production in Western Australia, iron concentrate, and pellets from the Iron Ore Company of Canada. It owns and operates an integrated portfolio of iron ore assets in the Pilbara region of Western Australia comprising a network of 18 iron ore mines, four port terminals, a nearly 2,000 km rail network and other infrastructure (Pilbara Property).</v>
    <v>61230</v>
    <v>New York Stock Exchange</v>
    <v>XNYS</v>
    <v>XNYS</v>
    <v>6 St James's Square, LONDON, SW1Y 4AD GB</v>
    <v>94.734999999999999</v>
    <v>Metals &amp; Mining</v>
    <v>Stock</v>
    <v>46307.87530063594</v>
    <v>30</v>
    <v>94.14</v>
    <v>153459111600</v>
    <v>RIO TINTO PLC</v>
    <v>RIO TINTO PLC</v>
    <v>94.35</v>
    <v>12.776899999999999</v>
    <v>94.78</v>
    <v>94.32</v>
    <v>94.3</v>
    <v>1627005000</v>
    <v>RIO</v>
    <v>RIO TINTO PLC (XNYS:RIO)</v>
    <v>1208286</v>
    <v>1817205</v>
    <v>1962</v>
  </rv>
  <rv s="2">
    <v>31</v>
  </rv>
  <rv s="0">
    <v>https://www.bing.com/financeapi/forcetrigger?t=a24xlh&amp;q=XNYS%3aUNH&amp;form=skydnc</v>
    <v>Learn more on Bing</v>
  </rv>
  <rv s="1">
    <v>0</v>
    <v>UNITEDHEALTH GROUP INCORPORATED (XNYS:UNH)</v>
    <v>2</v>
    <v>3</v>
    <v>Finance</v>
    <v>4</v>
    <v>en-US</v>
    <v>a24xlh</v>
    <v>268435456</v>
    <v>1</v>
    <v>Powered by Refinitiv</v>
    <v>461.62</v>
    <v>255.965</v>
    <v>0.5464</v>
    <v>-1.05</v>
    <v>-2.7680000000000001E-3</v>
    <v>1.38</v>
    <v>3.6459999999999999E-3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382.98</v>
    <v>Healthcare Providers &amp; Services</v>
    <v>Stock</v>
    <v>46307.884951191409</v>
    <v>33</v>
    <v>373.67</v>
    <v>339515233100</v>
    <v>UNITEDHEALTH GROUP INCORPORATED</v>
    <v>UNITEDHEALTH GROUP INCORPORATED</v>
    <v>382.98</v>
    <v>24.3232</v>
    <v>379.3</v>
    <v>378.25</v>
    <v>379.9</v>
    <v>897594800</v>
    <v>UNH</v>
    <v>UNITEDHEALTH GROUP INCORPORATED (XNYS:UNH)</v>
    <v>5869976</v>
    <v>5320372</v>
    <v>2015</v>
  </rv>
  <rv s="2">
    <v>34</v>
  </rv>
  <rv s="0">
    <v>https://www.bing.com/financeapi/forcetrigger?t=a1nhlh&amp;q=XNAS%3aAMZN&amp;form=skydnc</v>
    <v>Learn more on Bing</v>
  </rv>
  <rv s="1">
    <v>0</v>
    <v>AMAZON.COM, INC. (XNAS:AMZN)</v>
    <v>2</v>
    <v>3</v>
    <v>Finance</v>
    <v>4</v>
    <v>en-US</v>
    <v>a1nhlh</v>
    <v>268435456</v>
    <v>1</v>
    <v>Powered by Refinitiv</v>
    <v>287.2</v>
    <v>196</v>
    <v>1.4942</v>
    <v>-2.9</v>
    <v>-1.1051E-2</v>
    <v>0.23</v>
    <v>8.8620000000000007E-4</v>
    <v>USD</v>
    <v>Amazon.com, Inc. offers a variety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1595000</v>
    <v>Nasdaq Stock Market</v>
    <v>XNAS</v>
    <v>XNAS</v>
    <v>410 Terry Avenue North, SEATTLE, WA, 98109 US</v>
    <v>263.7</v>
    <v>Diversified Retail</v>
    <v>Stock</v>
    <v>46307.885169339846</v>
    <v>36</v>
    <v>259.27</v>
    <v>2799371034299</v>
    <v>AMAZON.COM, INC.</v>
    <v>AMAZON.COM, INC.</v>
    <v>262.5</v>
    <v>20.875</v>
    <v>262.43</v>
    <v>259.52999999999997</v>
    <v>259.76</v>
    <v>10786310000</v>
    <v>AMZN</v>
    <v>AMAZON.COM, INC. (XNAS:AMZN)</v>
    <v>25346650</v>
    <v>35467025</v>
    <v>1996</v>
  </rv>
  <rv s="2">
    <v>37</v>
  </rv>
  <rv s="0">
    <v>https://www.bing.com/financeapi/forcetrigger?t=a1u3rw&amp;q=XNAS%3aGOOGL&amp;form=skydnc</v>
    <v>Learn more on Bing</v>
  </rv>
  <rv s="1">
    <v>0</v>
    <v>ALPHABET INC. (XNAS:GOOGL)</v>
    <v>2</v>
    <v>3</v>
    <v>Finance</v>
    <v>4</v>
    <v>en-US</v>
    <v>a1u3rw</v>
    <v>268435456</v>
    <v>1</v>
    <v>Powered by Refinitiv</v>
    <v>408.61</v>
    <v>239.71</v>
    <v>1.2018</v>
    <v>1.06</v>
    <v>3.0140000000000002E-3</v>
    <v>0.48</v>
    <v>1.361E-3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198933</v>
    <v>Nasdaq Stock Market</v>
    <v>XNAS</v>
    <v>XNAS</v>
    <v>1600 Amphitheatre Parkway, MOUNTAIN VIEW, CA, 94043 US</v>
    <v>356.5</v>
    <v>Software &amp; IT Services</v>
    <v>Stock</v>
    <v>46307.88506663125</v>
    <v>39</v>
    <v>350.5</v>
    <v>4313765600000</v>
    <v>ALPHABET INC.</v>
    <v>ALPHABET INC.</v>
    <v>351.86</v>
    <v>17.697900000000001</v>
    <v>351.66</v>
    <v>352.72</v>
    <v>353.2</v>
    <v>12230000000</v>
    <v>GOOGL</v>
    <v>ALPHABET INC. (XNAS:GOOGL)</v>
    <v>18171791</v>
    <v>26139390</v>
    <v>2015</v>
  </rv>
  <rv s="2">
    <v>40</v>
  </rv>
  <rv s="0">
    <v>https://www.bing.com/financeapi/forcetrigger?t=a269ec&amp;q=XNYS%3aXOM&amp;form=skydnc</v>
    <v>Learn more on Bing</v>
  </rv>
  <rv s="1">
    <v>0</v>
    <v>EXXONMOBIL HOLDINGS CORPORATION (XNYS:XOM)</v>
    <v>2</v>
    <v>3</v>
    <v>Finance</v>
    <v>4</v>
    <v>en-US</v>
    <v>a269ec</v>
    <v>268435456</v>
    <v>1</v>
    <v>Powered by Refinitiv</v>
    <v>176.41</v>
    <v>110.38500000000001</v>
    <v>0.1779</v>
    <v>3.1850000000000001</v>
    <v>1.8852999999999998E-2</v>
    <v>-0.05</v>
    <v>-2.9040000000000001E-4</v>
    <v>USD</v>
    <v>ExxonMobil Holdings Corporation is a holding company whose direct, wholly owned subsidiary and principal operating company is Exxon Mobil Corporation. Its principal business involves exploration and production of crude oil and natural gas; manufacture, trade, transport and sale of crude oil, natural gas, petroleum products, petrochemicals, and a wide variety of specialty products; and pursuit of lower-emission and other new business opportunities, including carbon capture and storage, hydrogen and ammonia, lower-emission fuels, Proxxima resin systems, carbon materials, low-carbon data centers, and lithium. Affiliates of the Company conduct research programs in support of these businesses. It operates or markets its products in the United States and most other countries of the world. Its Upstream businesses include unconventional, conventional, deepwater, heavy oil and liquefied natural gas. It also manufactures and distributes products derived from crude oil and other feedstocks.</v>
    <v>58000</v>
    <v>New York Stock Exchange</v>
    <v>XNYS</v>
    <v>XNYS</v>
    <v>22777 SPRINGWOODS VILLAGE PKWY, SPRING, TX, 77389-1425 US</v>
    <v>172.55</v>
    <v>Oil &amp; Gas</v>
    <v>Stock</v>
    <v>46307.884376075781</v>
    <v>42</v>
    <v>171.01</v>
    <v>707762853000</v>
    <v>EXXONMOBIL HOLDINGS CORPORATION</v>
    <v>EXXONMOBIL HOLDINGS CORPORATION</v>
    <v>171.01</v>
    <v>22.197099999999999</v>
    <v>168.94</v>
    <v>172.125</v>
    <v>172.1</v>
    <v>4111912000</v>
    <v>XOM</v>
    <v>EXXONMOBIL HOLDINGS CORPORATION (XNYS:XOM)</v>
    <v>8803682</v>
    <v>13401467</v>
    <v>2026</v>
  </rv>
  <rv s="2">
    <v>43</v>
  </rv>
  <rv s="0">
    <v>https://www.bing.com/financeapi/forcetrigger?t=a1mou2&amp;q=XNAS%3aAAPL&amp;form=skydnc</v>
    <v>Learn more on Bing</v>
  </rv>
  <rv s="1">
    <v>0</v>
    <v>APPLE INC. (XNAS:AAPL)</v>
    <v>2</v>
    <v>3</v>
    <v>Finance</v>
    <v>4</v>
    <v>en-US</v>
    <v>a1mou2</v>
    <v>268435456</v>
    <v>1</v>
    <v>Powered by Refinitiv</v>
    <v>345.34</v>
    <v>243.42</v>
    <v>1.0779000000000001</v>
    <v>4.33</v>
    <v>1.2862E-2</v>
    <v>-0.31990000000000002</v>
    <v>-9.3820000000000004E-4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342.63</v>
    <v>Computers, Phones &amp; Household Electronics</v>
    <v>Stock</v>
    <v>46307.885139455466</v>
    <v>45</v>
    <v>337.6</v>
    <v>4976177554600</v>
    <v>APPLE INC.</v>
    <v>APPLE INC.</v>
    <v>338.21499999999997</v>
    <v>39.234299999999998</v>
    <v>336.64</v>
    <v>340.97</v>
    <v>340.65010000000001</v>
    <v>14594180000</v>
    <v>AAPL</v>
    <v>APPLE INC. (XNAS:AAPL)</v>
    <v>25830229</v>
    <v>40677145</v>
    <v>1977</v>
  </rv>
  <rv s="2">
    <v>46</v>
  </rv>
  <rv s="0">
    <v>http://es.wikipedia.org/wiki/Adobe_(empresa)</v>
    <v>Wikipedia</v>
  </rv>
  <rv s="3">
    <v>15</v>
    <v>48</v>
  </rv>
  <rv s="4">
    <v>10</v>
    <v>https://www.bing.com/th?id=AMMS_503c684ccc667ad525fe1d703881df2c&amp;qlt=95</v>
    <v>49</v>
    <v>0</v>
    <v>https://www.bing.com/images/search?form=xlimg&amp;q=adobe+systems</v>
    <v>Image of ADOBE INC.</v>
  </rv>
  <rv s="0">
    <v>https://www.bing.com/financeapi/forcetrigger?t=a1mv7w&amp;q=XNAS%3aADBE&amp;form=skydnc</v>
    <v>Learn more on Bing</v>
  </rv>
  <rv s="5">
    <v>6</v>
    <v>ADOBE INC. (XNAS:ADBE)</v>
    <v>8</v>
    <v>9</v>
    <v>Finance</v>
    <v>4</v>
    <v>en-US</v>
    <v>a1mv7w</v>
    <v>268435456</v>
    <v>1</v>
    <v>Powered by Refinitiv</v>
    <v>363.7</v>
    <v>190.12</v>
    <v>1.3875</v>
    <v>-4.13</v>
    <v>-1.7047E-2</v>
    <v>-0.63</v>
    <v>-2.6459999999999999E-3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242.46</v>
    <v>50</v>
    <v>Software &amp; IT Services</v>
    <v>Stock</v>
    <v>46307.884700532028</v>
    <v>51</v>
    <v>232.85</v>
    <v>92684088000</v>
    <v>ADOBE INC.</v>
    <v>ADOBE INC.</v>
    <v>234.625</v>
    <v>13.2888</v>
    <v>242.27</v>
    <v>238.14</v>
    <v>237.51</v>
    <v>389200000</v>
    <v>ADBE</v>
    <v>ADOBE INC. (XNAS:ADBE)</v>
    <v>4515894</v>
    <v>5401609</v>
    <v>1997</v>
  </rv>
  <rv s="2">
    <v>52</v>
  </rv>
  <rv s="0">
    <v>https://www.bing.com/financeapi/forcetrigger?t=c1dbvh&amp;q=XNYS%3aPATH&amp;form=skydnc</v>
    <v>Learn more on Bing</v>
  </rv>
  <rv s="1">
    <v>0</v>
    <v>UIPATH, INC. (XNYS:PATH)</v>
    <v>2</v>
    <v>3</v>
    <v>Finance</v>
    <v>4</v>
    <v>en-US</v>
    <v>c1dbvh</v>
    <v>268435456</v>
    <v>1</v>
    <v>Powered by Refinitiv</v>
    <v>19.84</v>
    <v>9.2002000000000006</v>
    <v>1.0629999999999999</v>
    <v>-0.155</v>
    <v>-1.1498999999999999E-2</v>
    <v>-0.01</v>
    <v>-7.5079999999999993E-4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13.824999999999999</v>
    <v>Software &amp; IT Services</v>
    <v>Stock</v>
    <v>46307.884398460155</v>
    <v>54</v>
    <v>13.11</v>
    <v>6944395705</v>
    <v>UIPATH, INC.</v>
    <v>UIPATH, INC.</v>
    <v>13.64</v>
    <v>19.8703</v>
    <v>13.48</v>
    <v>13.324999999999999</v>
    <v>13.31</v>
    <v>521155400</v>
    <v>PATH</v>
    <v>UIPATH, INC. (XNYS:PATH)</v>
    <v>23412997</v>
    <v>46968664</v>
    <v>2015</v>
  </rv>
  <rv s="2">
    <v>55</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0</v>
      <v>0</v>
    </spb>
    <spb s="6">
      <v>7</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9"/>
  <sheetViews>
    <sheetView tabSelected="1" zoomScale="169" workbookViewId="0">
      <selection activeCell="C10" sqref="C10"/>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594.24</v>
      </c>
      <c r="D3" s="4" cm="1">
        <f t="array" aca="1" ref="D3" ca="1">_FV(B3,"52 week high",TRUE)</f>
        <v>658.52</v>
      </c>
      <c r="E3" s="4" cm="1">
        <f t="array" aca="1" ref="E3" ca="1">_FV(B3,"52 week low",TRUE)</f>
        <v>188.22</v>
      </c>
      <c r="F3" s="5" cm="1">
        <f t="array" aca="1" ref="F3" ca="1">_FV(B3,"Beta")</f>
        <v>2.4579</v>
      </c>
      <c r="G3" s="6" t="str" cm="1">
        <f t="array" aca="1" ref="G3" ca="1">_FV(B3,"Ticker symbol",TRUE)</f>
        <v>AMD</v>
      </c>
      <c r="H3" s="6" t="str" cm="1">
        <f t="array" aca="1" ref="H3" ca="1">_FV(B3,"Industry")</f>
        <v>Semiconductors &amp; Semiconductor Equipment</v>
      </c>
      <c r="I3" s="7" cm="1">
        <f t="array" aca="1" ref="I3" ca="1">_FV(B3,"Volume average",TRUE)</f>
        <v>21912889</v>
      </c>
    </row>
    <row r="4" spans="1:9" x14ac:dyDescent="0.2">
      <c r="B4" s="3" t="e" vm="2">
        <v>#VALUE!</v>
      </c>
      <c r="C4" s="4" cm="1">
        <f t="array" aca="1" ref="C4" ca="1">_FV(B4,"Price")</f>
        <v>147.74</v>
      </c>
      <c r="D4" s="4" cm="1">
        <f t="array" aca="1" ref="D4" ca="1">_FV(B4,"52 week high",TRUE)</f>
        <v>343.99799999999999</v>
      </c>
      <c r="E4" s="4" cm="1">
        <f t="array" aca="1" ref="E4" ca="1">_FV(B4,"52 week low",TRUE)</f>
        <v>87.89</v>
      </c>
      <c r="F4" s="5" cm="1">
        <f t="array" aca="1" ref="F4" ca="1">_FV(B4,"Beta")</f>
        <v>1.0680000000000001</v>
      </c>
      <c r="G4" s="6" t="str" cm="1">
        <f t="array" aca="1" ref="G4" ca="1">_FV(B4,"Ticker symbol",TRUE)</f>
        <v>DUOL</v>
      </c>
      <c r="H4" s="6" t="str" cm="1">
        <f t="array" aca="1" ref="H4" ca="1">_FV(B4,"Industry")</f>
        <v>Software &amp; IT Services</v>
      </c>
      <c r="I4" s="7" cm="1">
        <f t="array" aca="1" ref="I4" ca="1">_FV(B4,"Volume average",TRUE)</f>
        <v>1030227</v>
      </c>
    </row>
    <row r="5" spans="1:9" x14ac:dyDescent="0.2">
      <c r="B5" s="3" t="e" vm="3">
        <v>#VALUE!</v>
      </c>
      <c r="C5" s="4" cm="1">
        <f t="array" aca="1" ref="C5" ca="1">_FV(B5,"Price")</f>
        <v>101.35</v>
      </c>
      <c r="D5" s="4" cm="1">
        <f t="array" aca="1" ref="D5" ca="1">_FV(B5,"52 week high",TRUE)</f>
        <v>142.35</v>
      </c>
      <c r="E5" s="4" cm="1">
        <f t="array" aca="1" ref="E5" ca="1">_FV(B5,"52 week low",TRUE)</f>
        <v>32.89</v>
      </c>
      <c r="F5" s="5" cm="1">
        <f t="array" aca="1" ref="F5" ca="1">_FV(B5,"Beta")</f>
        <v>2.3353000000000002</v>
      </c>
      <c r="G5" s="6" t="str" cm="1">
        <f t="array" aca="1" ref="G5" ca="1">_FV(B5,"Ticker symbol",TRUE)</f>
        <v>INTC</v>
      </c>
      <c r="H5" s="6" t="str" cm="1">
        <f t="array" aca="1" ref="H5" ca="1">_FV(B5,"Industry")</f>
        <v>Semiconductors &amp; Semiconductor Equipment</v>
      </c>
      <c r="I5" s="7" cm="1">
        <f t="array" aca="1" ref="I5" ca="1">_FV(B5,"Volume average",TRUE)</f>
        <v>108154739</v>
      </c>
    </row>
    <row r="6" spans="1:9" x14ac:dyDescent="0.2">
      <c r="B6" s="3" t="e" vm="4">
        <v>#VALUE!</v>
      </c>
      <c r="C6" s="4" cm="1">
        <f t="array" aca="1" ref="C6" ca="1">_FV(B6,"Price")</f>
        <v>226.32</v>
      </c>
      <c r="D6" s="4" cm="1">
        <f t="array" aca="1" ref="D6" ca="1">_FV(B6,"52 week high",TRUE)</f>
        <v>243.37</v>
      </c>
      <c r="E6" s="4" cm="1">
        <f t="array" aca="1" ref="E6" ca="1">_FV(B6,"52 week low",TRUE)</f>
        <v>164.27</v>
      </c>
      <c r="F6" s="5" cm="1">
        <f t="array" aca="1" ref="F6" ca="1">_FV(B6,"Beta")</f>
        <v>2.1823000000000001</v>
      </c>
      <c r="G6" s="6" t="str" cm="1">
        <f t="array" aca="1" ref="G6" ca="1">_FV(B6,"Ticker symbol",TRUE)</f>
        <v>NVDA</v>
      </c>
      <c r="H6" s="6" t="str" cm="1">
        <f t="array" aca="1" ref="H6" ca="1">_FV(B6,"Industry")</f>
        <v>Semiconductors &amp; Semiconductor Equipment</v>
      </c>
      <c r="I6" s="7" cm="1">
        <f t="array" aca="1" ref="I6" ca="1">_FV(B6,"Volume average",TRUE)</f>
        <v>108532316</v>
      </c>
    </row>
    <row r="7" spans="1:9" x14ac:dyDescent="0.2">
      <c r="B7" s="3" t="e" vm="5">
        <v>#VALUE!</v>
      </c>
      <c r="C7" s="4" cm="1">
        <f t="array" aca="1" ref="C7" ca="1">_FV(B7,"Price")</f>
        <v>10.82</v>
      </c>
      <c r="D7" s="4" cm="1">
        <f t="array" aca="1" ref="D7" ca="1">_FV(B7,"52 week high",TRUE)</f>
        <v>24.07</v>
      </c>
      <c r="E7" s="4" cm="1">
        <f t="array" aca="1" ref="E7" ca="1">_FV(B7,"52 week low",TRUE)</f>
        <v>7.77</v>
      </c>
      <c r="F7" s="5" cm="1">
        <f t="array" aca="1" ref="F7" ca="1">_FV(B7,"Beta")</f>
        <v>0.79259999999999997</v>
      </c>
      <c r="G7" s="6" t="str" cm="1">
        <f t="array" aca="1" ref="G7" ca="1">_FV(B7,"Ticker symbol",TRUE)</f>
        <v>PHR</v>
      </c>
      <c r="H7" s="6" t="str" cm="1">
        <f t="array" aca="1" ref="H7" ca="1">_FV(B7,"Industry")</f>
        <v>Software &amp; IT Services</v>
      </c>
      <c r="I7" s="7" cm="1">
        <f t="array" aca="1" ref="I7" ca="1">_FV(B7,"Volume average",TRUE)</f>
        <v>697289</v>
      </c>
    </row>
    <row r="8" spans="1:9" x14ac:dyDescent="0.2">
      <c r="B8" s="3" t="e" vm="6">
        <v>#VALUE!</v>
      </c>
      <c r="C8" s="4" cm="1">
        <f t="array" aca="1" ref="C8" ca="1">_FV(B8,"Price")</f>
        <v>174.43</v>
      </c>
      <c r="D8" s="4" cm="1">
        <f t="array" aca="1" ref="D8" ca="1">_FV(B8,"52 week high",TRUE)</f>
        <v>259.92</v>
      </c>
      <c r="E8" s="4" cm="1">
        <f t="array" aca="1" ref="E8" ca="1">_FV(B8,"52 week low",TRUE)</f>
        <v>121.99</v>
      </c>
      <c r="F8" s="5" cm="1">
        <f t="array" aca="1" ref="F8" ca="1">_FV(B8,"Beta")</f>
        <v>1.6831</v>
      </c>
      <c r="G8" s="6" t="str" cm="1">
        <f t="array" aca="1" ref="G8" ca="1">_FV(B8,"Ticker symbol",TRUE)</f>
        <v>QCOM</v>
      </c>
      <c r="H8" s="6" t="str" cm="1">
        <f t="array" aca="1" ref="H8" ca="1">_FV(B8,"Industry")</f>
        <v>Semiconductors &amp; Semiconductor Equipment</v>
      </c>
      <c r="I8" s="7" cm="1">
        <f t="array" aca="1" ref="I8" ca="1">_FV(B8,"Volume average",TRUE)</f>
        <v>13926322</v>
      </c>
    </row>
    <row r="9" spans="1:9" x14ac:dyDescent="0.2">
      <c r="B9" s="3" t="e" vm="7">
        <v>#VALUE!</v>
      </c>
      <c r="C9" s="4" cm="1">
        <f t="array" aca="1" ref="C9" ca="1">_FV(B9,"Price")</f>
        <v>189.965</v>
      </c>
      <c r="D9" s="4" cm="1">
        <f t="array" aca="1" ref="D9" ca="1">_FV(B9,"52 week high",TRUE)</f>
        <v>194.54</v>
      </c>
      <c r="E9" s="4" cm="1">
        <f t="array" aca="1" ref="E9" ca="1">_FV(B9,"52 week low",TRUE)</f>
        <v>83.12</v>
      </c>
      <c r="F9" s="5" cm="1">
        <f t="array" aca="1" ref="F9" ca="1">_FV(B9,"Beta")</f>
        <v>1.542</v>
      </c>
      <c r="G9" s="6" t="str" cm="1">
        <f t="array" aca="1" ref="G9" ca="1">_FV(B9,"Ticker symbol",TRUE)</f>
        <v>SN</v>
      </c>
      <c r="H9" s="6" t="str" cm="1">
        <f t="array" aca="1" ref="H9" ca="1">_FV(B9,"Industry")</f>
        <v>Household Goods</v>
      </c>
      <c r="I9" s="7" cm="1">
        <f t="array" aca="1" ref="I9" ca="1">_FV(B9,"Volume average",TRUE)</f>
        <v>1860478</v>
      </c>
    </row>
    <row r="10" spans="1:9" x14ac:dyDescent="0.2">
      <c r="A10" s="8" t="s">
        <v>8</v>
      </c>
      <c r="B10" s="3" t="e" vm="8">
        <v>#VALUE!</v>
      </c>
      <c r="C10" s="4" cm="1">
        <f t="array" aca="1" ref="C10" ca="1">_FV(B10,"Price")</f>
        <v>52.44</v>
      </c>
      <c r="D10" s="4" cm="1">
        <f t="array" aca="1" ref="D10" ca="1">_FV(B10,"52 week high",TRUE)</f>
        <v>53.64</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3.23</v>
      </c>
      <c r="D11" s="4" cm="1">
        <f t="array" aca="1" ref="D11" ca="1">_FV(B11,"52 week high",TRUE)</f>
        <v>3.4499</v>
      </c>
      <c r="E11" s="4" cm="1">
        <f t="array" aca="1" ref="E11" ca="1">_FV(B11,"52 week low",TRUE)</f>
        <v>2.1</v>
      </c>
      <c r="F11" s="5" cm="1">
        <f t="array" aca="1" ref="F11" ca="1">_FV(B11,"Beta")</f>
        <v>0.5927</v>
      </c>
      <c r="G11" s="6" t="str" cm="1">
        <f t="array" aca="1" ref="G11" ca="1">_FV(B11,"Ticker symbol",TRUE)</f>
        <v>ABEV</v>
      </c>
      <c r="H11" s="6" t="str" cm="1">
        <f t="array" aca="1" ref="H11" ca="1">_FV(B11,"Industry")</f>
        <v>Beverages</v>
      </c>
      <c r="I11" s="7" cm="1">
        <f t="array" aca="1" ref="I11" ca="1">_FV(B11,"Volume average",TRUE)</f>
        <v>23020995</v>
      </c>
    </row>
    <row r="12" spans="1:9" x14ac:dyDescent="0.2">
      <c r="B12" s="3" t="e" vm="10">
        <v>#VALUE!</v>
      </c>
      <c r="C12" s="4" cm="1">
        <f t="array" aca="1" ref="C12" ca="1">_FV(B12,"Price")</f>
        <v>94.32</v>
      </c>
      <c r="D12" s="4" cm="1">
        <f t="array" aca="1" ref="D12" ca="1">_FV(B12,"52 week high",TRUE)</f>
        <v>112.58</v>
      </c>
      <c r="E12" s="4" cm="1">
        <f t="array" aca="1" ref="E12" ca="1">_FV(B12,"52 week low",TRUE)</f>
        <v>66.489999999999995</v>
      </c>
      <c r="F12" s="5" cm="1">
        <f t="array" aca="1" ref="F12" ca="1">_FV(B12,"Beta")</f>
        <v>0.64700000000000002</v>
      </c>
      <c r="G12" s="6" t="str" cm="1">
        <f t="array" aca="1" ref="G12" ca="1">_FV(B12,"Ticker symbol",TRUE)</f>
        <v>RIO</v>
      </c>
      <c r="H12" s="6" t="str" cm="1">
        <f t="array" aca="1" ref="H12" ca="1">_FV(B12,"Industry")</f>
        <v>Metals &amp; Mining</v>
      </c>
      <c r="I12" s="7" cm="1">
        <f t="array" aca="1" ref="I12" ca="1">_FV(B12,"Volume average",TRUE)</f>
        <v>1817205</v>
      </c>
    </row>
    <row r="13" spans="1:9" x14ac:dyDescent="0.2">
      <c r="B13" s="3" t="e" vm="11">
        <v>#VALUE!</v>
      </c>
      <c r="C13" s="4" cm="1">
        <f t="array" aca="1" ref="C13" ca="1">_FV(B13,"Price")</f>
        <v>378.25</v>
      </c>
      <c r="D13" s="4" cm="1">
        <f t="array" aca="1" ref="D13" ca="1">_FV(B13,"52 week high",TRUE)</f>
        <v>461.62</v>
      </c>
      <c r="E13" s="4" cm="1">
        <f t="array" aca="1" ref="E13" ca="1">_FV(B13,"52 week low",TRUE)</f>
        <v>255.965</v>
      </c>
      <c r="F13" s="5" cm="1">
        <f t="array" aca="1" ref="F13" ca="1">_FV(B13,"Beta")</f>
        <v>0.5464</v>
      </c>
      <c r="G13" s="6" t="str" cm="1">
        <f t="array" aca="1" ref="G13" ca="1">_FV(B13,"Ticker symbol",TRUE)</f>
        <v>UNH</v>
      </c>
      <c r="H13" s="6" t="str" cm="1">
        <f t="array" aca="1" ref="H13" ca="1">_FV(B13,"Industry")</f>
        <v>Healthcare Providers &amp; Services</v>
      </c>
      <c r="I13" s="7" cm="1">
        <f t="array" aca="1" ref="I13" ca="1">_FV(B13,"Volume average",TRUE)</f>
        <v>5320372</v>
      </c>
    </row>
    <row r="14" spans="1:9" x14ac:dyDescent="0.2">
      <c r="B14" s="3" t="e" vm="12">
        <v>#VALUE!</v>
      </c>
      <c r="C14" s="4" cm="1">
        <f t="array" aca="1" ref="C14" ca="1">_FV(B14,"Price")</f>
        <v>259.52999999999997</v>
      </c>
      <c r="D14" s="4" cm="1">
        <f t="array" aca="1" ref="D14" ca="1">_FV(B14,"52 week high",TRUE)</f>
        <v>287.2</v>
      </c>
      <c r="E14" s="4" cm="1">
        <f t="array" aca="1" ref="E14" ca="1">_FV(B14,"52 week low",TRUE)</f>
        <v>196</v>
      </c>
      <c r="F14" s="5" cm="1">
        <f t="array" aca="1" ref="F14" ca="1">_FV(B14,"Beta")</f>
        <v>1.4942</v>
      </c>
      <c r="G14" s="6" t="str" cm="1">
        <f t="array" aca="1" ref="G14" ca="1">_FV(B14,"Ticker symbol",TRUE)</f>
        <v>AMZN</v>
      </c>
      <c r="H14" s="6" t="str" cm="1">
        <f t="array" aca="1" ref="H14" ca="1">_FV(B14,"Industry")</f>
        <v>Diversified Retail</v>
      </c>
      <c r="I14" s="7" cm="1">
        <f t="array" aca="1" ref="I14" ca="1">_FV(B14,"Volume average",TRUE)</f>
        <v>35467025</v>
      </c>
    </row>
    <row r="15" spans="1:9" x14ac:dyDescent="0.2">
      <c r="B15" s="3" t="e" vm="13">
        <v>#VALUE!</v>
      </c>
      <c r="C15" s="4" cm="1">
        <f t="array" aca="1" ref="C15" ca="1">_FV(B15,"Price")</f>
        <v>352.72</v>
      </c>
      <c r="D15" s="4" cm="1">
        <f t="array" aca="1" ref="D15" ca="1">_FV(B15,"52 week high",TRUE)</f>
        <v>408.61</v>
      </c>
      <c r="E15" s="4" cm="1">
        <f t="array" aca="1" ref="E15" ca="1">_FV(B15,"52 week low",TRUE)</f>
        <v>239.71</v>
      </c>
      <c r="F15" s="5" cm="1">
        <f t="array" aca="1" ref="F15" ca="1">_FV(B15,"Beta")</f>
        <v>1.2018</v>
      </c>
      <c r="G15" s="6" t="str" cm="1">
        <f t="array" aca="1" ref="G15" ca="1">_FV(B15,"Ticker symbol",TRUE)</f>
        <v>GOOGL</v>
      </c>
      <c r="H15" s="6" t="str" cm="1">
        <f t="array" aca="1" ref="H15" ca="1">_FV(B15,"Industry")</f>
        <v>Software &amp; IT Services</v>
      </c>
      <c r="I15" s="7" cm="1">
        <f t="array" aca="1" ref="I15" ca="1">_FV(B15,"Volume average",TRUE)</f>
        <v>26139390</v>
      </c>
    </row>
    <row r="16" spans="1:9" x14ac:dyDescent="0.2">
      <c r="B16" s="3" t="e" vm="14">
        <v>#VALUE!</v>
      </c>
      <c r="C16" s="4" cm="1">
        <f t="array" aca="1" ref="C16" ca="1">_FV(B16,"Price")</f>
        <v>172.125</v>
      </c>
      <c r="D16" s="4" cm="1">
        <f t="array" aca="1" ref="D16" ca="1">_FV(B16,"52 week high",TRUE)</f>
        <v>176.41</v>
      </c>
      <c r="E16" s="4" cm="1">
        <f t="array" aca="1" ref="E16" ca="1">_FV(B16,"52 week low",TRUE)</f>
        <v>110.38500000000001</v>
      </c>
      <c r="F16" s="5" cm="1">
        <f t="array" aca="1" ref="F16" ca="1">_FV(B16,"Beta")</f>
        <v>0.1779</v>
      </c>
      <c r="G16" s="6" t="str" cm="1">
        <f t="array" aca="1" ref="G16" ca="1">_FV(B16,"Ticker symbol",TRUE)</f>
        <v>XOM</v>
      </c>
      <c r="H16" s="6" t="str" cm="1">
        <f t="array" aca="1" ref="H16" ca="1">_FV(B16,"Industry")</f>
        <v>Oil &amp; Gas</v>
      </c>
      <c r="I16" s="7" cm="1">
        <f t="array" aca="1" ref="I16" ca="1">_FV(B16,"Volume average",TRUE)</f>
        <v>13401467</v>
      </c>
    </row>
    <row r="17" spans="2:9" x14ac:dyDescent="0.2">
      <c r="B17" s="3" t="e" vm="15">
        <v>#VALUE!</v>
      </c>
      <c r="C17" s="4" cm="1">
        <f t="array" aca="1" ref="C17" ca="1">_FV(B17,"Price")</f>
        <v>340.97</v>
      </c>
      <c r="D17" s="4" cm="1">
        <f t="array" aca="1" ref="D17" ca="1">_FV(B17,"52 week high",TRUE)</f>
        <v>345.34</v>
      </c>
      <c r="E17" s="4" cm="1">
        <f t="array" aca="1" ref="E17" ca="1">_FV(B17,"52 week low",TRUE)</f>
        <v>243.42</v>
      </c>
      <c r="F17" s="5" cm="1">
        <f t="array" aca="1" ref="F17" ca="1">_FV(B17,"Beta")</f>
        <v>1.0779000000000001</v>
      </c>
      <c r="G17" s="6" t="str" cm="1">
        <f t="array" aca="1" ref="G17" ca="1">_FV(B17,"Ticker symbol",TRUE)</f>
        <v>AAPL</v>
      </c>
      <c r="H17" s="6" t="str" cm="1">
        <f t="array" aca="1" ref="H17" ca="1">_FV(B17,"Industry")</f>
        <v>Computers, Phones &amp; Household Electronics</v>
      </c>
      <c r="I17" s="7" cm="1">
        <f t="array" aca="1" ref="I17" ca="1">_FV(B17,"Volume average",TRUE)</f>
        <v>40677145</v>
      </c>
    </row>
    <row r="18" spans="2:9" x14ac:dyDescent="0.2">
      <c r="B18" s="3" t="e" vm="16">
        <v>#VALUE!</v>
      </c>
      <c r="C18" s="4" cm="1">
        <f t="array" aca="1" ref="C18" ca="1">_FV(B18,"Price")</f>
        <v>238.14</v>
      </c>
      <c r="D18" s="4" cm="1">
        <f t="array" aca="1" ref="D18" ca="1">_FV(B18,"52 week high",TRUE)</f>
        <v>363.7</v>
      </c>
      <c r="E18" s="4" cm="1">
        <f t="array" aca="1" ref="E18" ca="1">_FV(B18,"52 week low",TRUE)</f>
        <v>190.12</v>
      </c>
      <c r="F18" s="5" cm="1">
        <f t="array" aca="1" ref="F18" ca="1">_FV(B18,"Beta")</f>
        <v>1.3875</v>
      </c>
      <c r="G18" s="6" t="str" cm="1">
        <f t="array" aca="1" ref="G18" ca="1">_FV(B18,"Ticker symbol",TRUE)</f>
        <v>ADBE</v>
      </c>
      <c r="H18" s="6" t="str" cm="1">
        <f t="array" aca="1" ref="H18" ca="1">_FV(B18,"Industry")</f>
        <v>Software &amp; IT Services</v>
      </c>
      <c r="I18" s="7" cm="1">
        <f t="array" aca="1" ref="I18" ca="1">_FV(B18,"Volume average",TRUE)</f>
        <v>5401609</v>
      </c>
    </row>
    <row r="19" spans="2:9" x14ac:dyDescent="0.2">
      <c r="B19" s="3" t="e" vm="17">
        <v>#VALUE!</v>
      </c>
      <c r="C19" s="4" cm="1">
        <f t="array" aca="1" ref="C19" ca="1">_FV(B19,"Price")</f>
        <v>13.324999999999999</v>
      </c>
      <c r="D19" s="4" cm="1">
        <f t="array" aca="1" ref="D19" ca="1">_FV(B19,"52 week high",TRUE)</f>
        <v>19.84</v>
      </c>
      <c r="E19" s="4" cm="1">
        <f t="array" aca="1" ref="E19" ca="1">_FV(B19,"52 week low",TRUE)</f>
        <v>9.2002000000000006</v>
      </c>
      <c r="F19" s="5" cm="1">
        <f t="array" aca="1" ref="F19" ca="1">_FV(B19,"Beta")</f>
        <v>1.0629999999999999</v>
      </c>
      <c r="G19" s="6" t="str" cm="1">
        <f t="array" aca="1" ref="G19" ca="1">_FV(B19,"Ticker symbol",TRUE)</f>
        <v>PATH</v>
      </c>
      <c r="H19" s="6" t="str" cm="1">
        <f t="array" aca="1" ref="H19" ca="1">_FV(B19,"Industry")</f>
        <v>Software &amp; IT Services</v>
      </c>
      <c r="I19" s="7" cm="1">
        <f t="array" aca="1" ref="I19" ca="1">_FV(B19,"Volume average",TRUE)</f>
        <v>46968664</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2026-10-12T21:16:06Z</dcterms:modified>
</cp:coreProperties>
</file>