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38C5B75-EEFB-2944-8096-3AC8844F6326}"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 l="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<sst xmlns="http://schemas.openxmlformats.org/spreadsheetml/2006/main" count="9" uniqueCount="9">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</sst>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4">
  <rv s="0">
    <v>https://www.bing.com/financeapi/forcetrigger?t=a1ndww&amp;q=XNAS%3aAMD&amp;form=skydnc</v>
    <v>Learn more on Bing</v>
  </rv>
  <rv s="1">
    <v>0</v>
    <v>ADVANCED MICRO DEVICES, INC. (XNAS:AMD)</v>
    <v>2</v>
    <v>3</v>
    <v>Finance</v>
    <v>4</v>
    <v>en-US</v>
    <v>a1ndww</v>
    <v>268435456</v>
    <v>1</v>
    <v>Powered by Refinitiv</v>
    <v>352.99</v>
    <v>91.87</v>
    <v>2.3142</v>
    <v>-11.42</v>
    <v>-3.4126999999999998E-2</v>
    <v>0.28999999999999998</v>
    <v>8.9719999999999991E-4</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327.5</v>
    <v>Semiconductors &amp; Semiconductor Equipment</v>
    <v>Stock</v>
    <v>46140.886520856249</v>
    <v>0</v>
    <v>310</v>
    <v>526941868189</v>
    <v>ADVANCED MICRO DEVICES, INC.</v>
    <v>ADVANCED MICRO DEVICES, INC.</v>
    <v>311.86</v>
    <v>124.1015</v>
    <v>334.63</v>
    <v>323.20999999999998</v>
    <v>323.5</v>
    <v>1630339000</v>
    <v>AMD</v>
    <v>ADVANCED MICRO DEVICES, INC. (XNAS:AMD)</v>
    <v>42863165</v>
    <v>39173459</v>
    <v>1969</v>
  </rv>
  <rv s="2">
    <v>1</v>
  </rv>
  <rv s="0">
    <v>https://www.bing.com/financeapi/forcetrigger?t=c2mtim&amp;q=XNAS%3aDUOL&amp;form=skydnc</v>
    <v>Learn more on Bing</v>
  </rv>
  <rv s="1">
    <v>0</v>
    <v>DUOLINGO, INC. (XNAS:DUOL)</v>
    <v>2</v>
    <v>3</v>
    <v>Finance</v>
    <v>4</v>
    <v>en-US</v>
    <v>c2mtim</v>
    <v>268435456</v>
    <v>1</v>
    <v>Powered by Refinitiv</v>
    <v>544.92999999999995</v>
    <v>87.89</v>
    <v>0.85070000000000001</v>
    <v>2.94</v>
    <v>2.8461E-2</v>
    <v>0.22</v>
    <v>2.0709999999999999E-3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107.52500000000001</v>
    <v>Software &amp; IT Services</v>
    <v>Stock</v>
    <v>46140.886333228904</v>
    <v>3</v>
    <v>102.18</v>
    <v>4970122867</v>
    <v>DUOLINGO, INC.</v>
    <v>DUOLINGO, INC.</v>
    <v>102.18</v>
    <v>12.5313</v>
    <v>103.3</v>
    <v>106.24</v>
    <v>106.46</v>
    <v>46782030</v>
    <v>DUOL</v>
    <v>DUOLINGO, INC. (XNAS:DUOL)</v>
    <v>1482414</v>
    <v>1650869</v>
    <v>2011</v>
  </rv>
  <rv s="2">
    <v>4</v>
  </rv>
  <rv s="0">
    <v>https://www.bing.com/financeapi/forcetrigger?t=a1vmf2&amp;q=XNAS%3aINTC&amp;form=skydnc</v>
    <v>Learn more on Bing</v>
  </rv>
  <rv s="1">
    <v>0</v>
    <v>INTEL CORPORATION (XNAS:INTC)</v>
    <v>2</v>
    <v>3</v>
    <v>Finance</v>
    <v>4</v>
    <v>en-US</v>
    <v>a1vmf2</v>
    <v>268435456</v>
    <v>1</v>
    <v>Powered by Refinitiv</v>
    <v>87.1</v>
    <v>18.965</v>
    <v>1.9984</v>
    <v>-0.44</v>
    <v>-5.1770000000000002E-3</v>
    <v>0.74</v>
    <v>8.7549999999999989E-3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84.59</v>
    <v>Semiconductors &amp; Semiconductor Equipment</v>
    <v>Stock</v>
    <v>46140.886567048437</v>
    <v>6</v>
    <v>80.8</v>
    <v>424948300000</v>
    <v>INTEL CORPORATION</v>
    <v>INTEL CORPORATION</v>
    <v>81.28</v>
    <v>0</v>
    <v>84.99</v>
    <v>84.55</v>
    <v>85.26</v>
    <v>5026000000</v>
    <v>INTC</v>
    <v>INTEL CORPORATION (XNAS:INTC)</v>
    <v>144221836</v>
    <v>116375764</v>
    <v>1989</v>
  </rv>
  <rv s="2">
    <v>7</v>
  </rv>
  <rv s="0">
    <v>https://www.bing.com/financeapi/forcetrigger?t=a1yv52&amp;q=XNAS%3aNVDA&amp;form=skydnc</v>
    <v>Learn more on Bing</v>
  </rv>
  <rv s="1">
    <v>0</v>
    <v>NVIDIA CORPORATION (XNAS:NVDA)</v>
    <v>2</v>
    <v>3</v>
    <v>Finance</v>
    <v>4</v>
    <v>en-US</v>
    <v>a1yv52</v>
    <v>268435456</v>
    <v>1</v>
    <v>Powered by Refinitiv</v>
    <v>216.82499999999999</v>
    <v>104.08</v>
    <v>2.3296999999999999</v>
    <v>-3.54</v>
    <v>-1.6343E-2</v>
    <v>-0.78</v>
    <v>-3.6589999999999999E-3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214.73</v>
    <v>Semiconductors &amp; Semiconductor Equipment</v>
    <v>Stock</v>
    <v>46140.8864979625</v>
    <v>9</v>
    <v>208.2</v>
    <v>5177601000000</v>
    <v>NVIDIA CORPORATION</v>
    <v>NVIDIA CORPORATION</v>
    <v>209.49</v>
    <v>43.467700000000001</v>
    <v>216.61</v>
    <v>213.07</v>
    <v>212.39</v>
    <v>24300000000</v>
    <v>NVDA</v>
    <v>NVIDIA CORPORATION (XNAS:NVDA)</v>
    <v>179536091</v>
    <v>155504070</v>
    <v>1998</v>
  </rv>
  <rv s="2">
    <v>10</v>
  </rv>
  <rv s="0">
    <v>https://www.bing.com/financeapi/forcetrigger?t=bqw82w&amp;q=XNYS%3aPHR&amp;form=skydnc</v>
    <v>Learn more on Bing</v>
  </rv>
  <rv s="1">
    <v>0</v>
    <v>PHREESIA, INC. (XNYS:PHR)</v>
    <v>2</v>
    <v>3</v>
    <v>Finance</v>
    <v>5</v>
    <v>en-US</v>
    <v>bqw82w</v>
    <v>268435456</v>
    <v>1</v>
    <v>Powered by Refinitiv</v>
    <v>32.76</v>
    <v>7.77</v>
    <v>0.92959999999999998</v>
    <v>-0.2</v>
    <v>-2.0790000000000003E-2</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9.9060000000000006</v>
    <v>Software &amp; IT Services</v>
    <v>Stock</v>
    <v>46140.84033398125</v>
    <v>12</v>
    <v>9.36</v>
    <v>572388025</v>
    <v>PHREESIA, INC.</v>
    <v>PHREESIA, INC.</v>
    <v>9.67</v>
    <v>272.2543</v>
    <v>9.6199999999999992</v>
    <v>9.42</v>
    <v>9.42</v>
    <v>60763060</v>
    <v>PHR</v>
    <v>PHREESIA, INC. (XNYS:PHR)</v>
    <v>1021354</v>
    <v>2550708</v>
    <v>2005</v>
  </rv>
  <rv s="2">
    <v>13</v>
  </rv>
  <rv s="0">
    <v>http://en.wikipedia.org/wiki/Public_domain</v>
    <v>Public domain</v>
  </rv>
  <rv s="0">
    <v>http://en.wikipedia.org/wiki/Qualcomm</v>
    <v>Wikipedia</v>
  </rv>
  <rv s="3">
    <v>15</v>
    <v>16</v>
  </rv>
  <rv s="4">
    <v>10</v>
    <v>https://www.bing.com/th?id=AMMS_2b1c176dae370ecc0d55a1517537f595&amp;qlt=95</v>
    <v>17</v>
    <v>0</v>
    <v>https://www.bing.com/images/search?form=xlimg&amp;q=qualcomm</v>
    <v>Image of QUALCOMM INCORPORATED</v>
  </rv>
  <rv s="0">
    <v>https://www.bing.com/financeapi/forcetrigger?t=a21k2w&amp;q=XNAS%3aQCOM&amp;form=skydnc</v>
    <v>Learn more on Bing</v>
  </rv>
  <rv s="5">
    <v>6</v>
    <v>QUALCOMM INCORPORATED (XNAS:QCOM)</v>
    <v>8</v>
    <v>9</v>
    <v>Finance</v>
    <v>4</v>
    <v>en-US</v>
    <v>a21k2w</v>
    <v>268435456</v>
    <v>1</v>
    <v>Powered by Refinitiv</v>
    <v>205.95</v>
    <v>121.99</v>
    <v>1.3192999999999999</v>
    <v>-0.26</v>
    <v>-1.7299999999999998E-3</v>
    <v>0.11</v>
    <v>7.333000000000001E-4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151.5</v>
    <v>18</v>
    <v>Semiconductors &amp; Semiconductor Equipment</v>
    <v>Stock</v>
    <v>46140.886129455466</v>
    <v>19</v>
    <v>144.0001</v>
    <v>160050000000</v>
    <v>QUALCOMM INCORPORATED</v>
    <v>QUALCOMM INCORPORATED</v>
    <v>145.08000000000001</v>
    <v>30.9892</v>
    <v>150.26</v>
    <v>150</v>
    <v>150.11000000000001</v>
    <v>1067000000</v>
    <v>QCOM</v>
    <v>QUALCOMM INCORPORATED (XNAS:QCOM)</v>
    <v>22686175</v>
    <v>11660401</v>
    <v>1991</v>
  </rv>
  <rv s="2">
    <v>20</v>
  </rv>
  <rv s="6">
    <v>11</v>
    <v>SHARKNINJA, INC. (XNYS:SN)</v>
    <v>12</v>
    <v>3</v>
    <v>Finance</v>
    <v>5</v>
    <v>en-US</v>
    <v>cag2ar</v>
    <v>268435456</v>
    <v>1</v>
    <v>Powered by Refinitiv</v>
    <v>133.99</v>
    <v>76.45</v>
    <v>1.4159999999999999</v>
    <v>-2.19</v>
    <v>-1.8755000000000001E-2</v>
    <v>0</v>
    <v>0</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117.83</v>
    <v>Household Goods</v>
    <v>Stock</v>
    <v>46140.843953182812</v>
    <v>113.76</v>
    <v>16183611482</v>
    <v>SHARKNINJA, INC.</v>
    <v>SHARKNINJA, INC.</v>
    <v>116.52</v>
    <v>23.169</v>
    <v>116.77</v>
    <v>114.58</v>
    <v>114.58</v>
    <v>141242900</v>
    <v>SN</v>
    <v>SHARKNINJA, INC. (XNYS:SN)</v>
    <v>1237819</v>
    <v>1521551</v>
    <v>2017</v>
  </rv>
  <rv s="2">
    <v>22</v>
  </rv>
  <rv s="0">
    <v>https://www.bing.com/financeapi/forcetrigger?t=a33knm&amp;q=10+Y+TSY+YLD+NDX&amp;form=skydnc</v>
    <v>Learn more on Bing</v>
  </rv>
  <rv s="7">
    <v>13</v>
    <v>10 Y TSY YLD NDX</v>
    <v>14</v>
    <v>15</v>
    <v>Finance</v>
    <v>16</v>
    <v>en-US</v>
    <v>a33knm</v>
    <v>268435456</v>
    <v>1</v>
    <v>Powered by Refinitiv</v>
    <v>46.29</v>
    <v>39.47</v>
    <v>0.26</v>
    <v>6.0319999999999992E-3</v>
    <v>US</v>
    <v>43.5</v>
    <v>Index</v>
    <v>24</v>
    <v>43.1</v>
    <v>10 Y TSY YLD NDX</v>
    <v>43.12</v>
    <v>43.1</v>
    <v>43.36</v>
    <v>TNX</v>
    <v>10 Y TSY YLD NDX</v>
  </rv>
  <rv s="2">
    <v>25</v>
  </rv>
  <rv s="0">
    <v>https://www.bing.com/financeapi/forcetrigger?t=a1mqec&amp;q=XNYS%3aABEV&amp;form=skydnc</v>
    <v>Learn more on Bing</v>
  </rv>
  <rv s="1">
    <v>0</v>
    <v>Ambev SA (XNYS:ABEV)</v>
    <v>2</v>
    <v>3</v>
    <v>Finance</v>
    <v>5</v>
    <v>en-US</v>
    <v>a1mqec</v>
    <v>268435456</v>
    <v>1</v>
    <v>Powered by Refinitiv</v>
    <v>3.24</v>
    <v>2.1</v>
    <v>0.62729999999999997</v>
    <v>0.02</v>
    <v>6.9199999999999991E-3</v>
    <v>0.01</v>
    <v>3.4360000000000003E-3</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2.92</v>
    <v>Beverages</v>
    <v>Stock</v>
    <v>46140.873448448438</v>
    <v>27</v>
    <v>2.86</v>
    <v>45872279700</v>
    <v>Ambev SA</v>
    <v>Ambev SA</v>
    <v>2.89</v>
    <v>16.1219</v>
    <v>2.89</v>
    <v>2.91</v>
    <v>2.92</v>
    <v>15763670000</v>
    <v>ABEV</v>
    <v>Ambev SA (XNYS:ABEV)</v>
    <v>12088107</v>
    <v>26515608</v>
    <v>2005</v>
  </rv>
  <rv s="2">
    <v>28</v>
  </rv>
  <rv s="0">
    <v>https://www.bing.com/financeapi/forcetrigger?t=a221mw&amp;q=XNYS%3aRIO&amp;form=skydnc</v>
    <v>Learn more on Bing</v>
  </rv>
  <rv s="1">
    <v>0</v>
    <v>RIO TINTO PLC (XNYS:RIO)</v>
    <v>2</v>
    <v>3</v>
    <v>Finance</v>
    <v>4</v>
    <v>en-US</v>
    <v>a221mw</v>
    <v>268435456</v>
    <v>1</v>
    <v>Powered by Refinitiv</v>
    <v>101.53</v>
    <v>55.64</v>
    <v>0.57040000000000002</v>
    <v>-1.46</v>
    <v>-1.4607000000000002E-2</v>
    <v>0.5</v>
    <v>5.0770000000000008E-3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99.53</v>
    <v>Metals &amp; Mining</v>
    <v>Stock</v>
    <v>46140.88235251094</v>
    <v>30</v>
    <v>97.8</v>
    <v>160221365220</v>
    <v>RIO TINTO PLC</v>
    <v>RIO TINTO PLC</v>
    <v>99.53</v>
    <v>16.188099999999999</v>
    <v>99.95</v>
    <v>98.49</v>
    <v>98.99</v>
    <v>1626778000</v>
    <v>RIO</v>
    <v>RIO TINTO PLC (XNYS:RIO)</v>
    <v>3268106</v>
    <v>2625936</v>
    <v>1962</v>
  </rv>
  <rv s="2">
    <v>31</v>
  </rv>
  <rv s="0">
    <v>https://www.bing.com/financeapi/forcetrigger?t=a24xlh&amp;q=XNYS%3aUNH&amp;form=skydnc</v>
    <v>Learn more on Bing</v>
  </rv>
  <rv s="1">
    <v>0</v>
    <v>UNITEDHEALTH GROUP INCORPORATED (XNYS:UNH)</v>
    <v>2</v>
    <v>3</v>
    <v>Finance</v>
    <v>4</v>
    <v>en-US</v>
    <v>a24xlh</v>
    <v>268435456</v>
    <v>1</v>
    <v>Powered by Refinitiv</v>
    <v>424.12</v>
    <v>234.6</v>
    <v>0.59240000000000004</v>
    <v>12.04</v>
    <v>3.3944999999999996E-2</v>
    <v>-0.47</v>
    <v>-1.281E-3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369.63</v>
    <v>Healthcare Providers &amp; Services</v>
    <v>Stock</v>
    <v>46140.886522939065</v>
    <v>33</v>
    <v>355.72</v>
    <v>333069026836</v>
    <v>UNITEDHEALTH GROUP INCORPORATED</v>
    <v>UNITEDHEALTH GROUP INCORPORATED</v>
    <v>356.84</v>
    <v>27.6968</v>
    <v>354.69</v>
    <v>366.73</v>
    <v>366.3</v>
    <v>908213200</v>
    <v>UNH</v>
    <v>UNITEDHEALTH GROUP INCORPORATED (XNYS:UNH)</v>
    <v>10589953</v>
    <v>8942141</v>
    <v>2015</v>
  </rv>
  <rv s="2">
    <v>34</v>
  </rv>
  <rv s="0">
    <v>https://www.bing.com/financeapi/forcetrigger?t=a1nhlh&amp;q=XNAS%3aAMZN&amp;form=skydnc</v>
    <v>Learn more on Bing</v>
  </rv>
  <rv s="1">
    <v>0</v>
    <v>AMAZON.COM, INC. (XNAS:AMZN)</v>
    <v>2</v>
    <v>3</v>
    <v>Finance</v>
    <v>4</v>
    <v>en-US</v>
    <v>a1nhlh</v>
    <v>268435456</v>
    <v>1</v>
    <v>Powered by Refinitiv</v>
    <v>264.5</v>
    <v>178.85</v>
    <v>1.4541999999999999</v>
    <v>-1.42</v>
    <v>-5.4379999999999993E-3</v>
    <v>-0.57999999999999996</v>
    <v>-2.2330000000000002E-3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261.02999999999997</v>
    <v>Diversified Retail</v>
    <v>Stock</v>
    <v>46140.886507117968</v>
    <v>36</v>
    <v>256.63</v>
    <v>2792915083000</v>
    <v>AMAZON.COM, INC.</v>
    <v>AMAZON.COM, INC.</v>
    <v>258.39</v>
    <v>36.209299999999999</v>
    <v>261.12</v>
    <v>259.7</v>
    <v>259.12</v>
    <v>10754390000</v>
    <v>AMZN</v>
    <v>AMAZON.COM, INC. (XNAS:AMZN)</v>
    <v>42090829</v>
    <v>45463315</v>
    <v>1996</v>
  </rv>
  <rv s="2">
    <v>37</v>
  </rv>
  <rv s="0">
    <v>https://www.bing.com/financeapi/forcetrigger?t=a1u3rw&amp;q=XNAS%3aGOOGL&amp;form=skydnc</v>
    <v>Learn more on Bing</v>
  </rv>
  <rv s="1">
    <v>0</v>
    <v>ALPHABET INC. (XNAS:GOOGL)</v>
    <v>2</v>
    <v>3</v>
    <v>Finance</v>
    <v>4</v>
    <v>en-US</v>
    <v>a1u3rw</v>
    <v>268435456</v>
    <v>1</v>
    <v>Powered by Refinitiv</v>
    <v>353.18</v>
    <v>147.84</v>
    <v>1.1745000000000001</v>
    <v>-0.53</v>
    <v>-1.5129999999999998E-3</v>
    <v>-1.2504</v>
    <v>-3.5750000000000001E-3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352.42</v>
    <v>Software &amp; IT Services</v>
    <v>Stock</v>
    <v>46140.886498517968</v>
    <v>39</v>
    <v>346.12</v>
    <v>4231805486400</v>
    <v>ALPHABET INC.</v>
    <v>ALPHABET INC.</v>
    <v>348.55</v>
    <v>32.359900000000003</v>
    <v>350.34</v>
    <v>349.81</v>
    <v>348.52960000000002</v>
    <v>12097440000</v>
    <v>GOOGL</v>
    <v>ALPHABET INC. (XNAS:GOOGL)</v>
    <v>27746598</v>
    <v>27162587</v>
    <v>2015</v>
  </rv>
  <rv s="2">
    <v>40</v>
  </rv>
  <rv s="0">
    <v>https://www.bing.com/financeapi/forcetrigger?t=a269ec&amp;q=XNYS%3aXOM&amp;form=skydnc</v>
    <v>Learn more on Bing</v>
  </rv>
  <rv s="1">
    <v>0</v>
    <v>EXXON MOBIL CORPORATION (XNYS:XOM)</v>
    <v>2</v>
    <v>3</v>
    <v>Finance</v>
    <v>4</v>
    <v>en-US</v>
    <v>a269ec</v>
    <v>268435456</v>
    <v>1</v>
    <v>Powered by Refinitiv</v>
    <v>176.41</v>
    <v>101.185</v>
    <v>0.16320000000000001</v>
    <v>2.36</v>
    <v>1.5925999999999999E-2</v>
    <v>0.09</v>
    <v>5.978E-4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152.31</v>
    <v>Oil &amp; Gas</v>
    <v>Stock</v>
    <v>46140.885854027343</v>
    <v>42</v>
    <v>149.83000000000001</v>
    <v>625770108000</v>
    <v>EXXON MOBIL CORPORATION</v>
    <v>EXXON MOBIL CORPORATION</v>
    <v>151.53</v>
    <v>22.535699999999999</v>
    <v>148.19</v>
    <v>150.55000000000001</v>
    <v>150.65</v>
    <v>4156560000</v>
    <v>XOM</v>
    <v>EXXON MOBIL CORPORATION (XNYS:XOM)</v>
    <v>15159103</v>
    <v>21899433</v>
    <v>1882</v>
  </rv>
  <rv s="2">
    <v>43</v>
  </rv>
  <rv s="0">
    <v>https://www.bing.com/financeapi/forcetrigger?t=a1mou2&amp;q=XNAS%3aAAPL&amp;form=skydnc</v>
    <v>Learn more on Bing</v>
  </rv>
  <rv s="1">
    <v>0</v>
    <v>APPLE INC. (XNAS:AAPL)</v>
    <v>2</v>
    <v>3</v>
    <v>Finance</v>
    <v>4</v>
    <v>en-US</v>
    <v>a1mou2</v>
    <v>268435456</v>
    <v>1</v>
    <v>Powered by Refinitiv</v>
    <v>288.62</v>
    <v>193.25</v>
    <v>1.06</v>
    <v>3.1</v>
    <v>1.1584000000000001E-2</v>
    <v>-1.1200000000000001</v>
    <v>-4.1370000000000001E-3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273.23</v>
    <v>Computers, Phones &amp; Household Electronics</v>
    <v>Stock</v>
    <v>46140.886428066406</v>
    <v>45</v>
    <v>268.66000000000003</v>
    <v>3974331409399</v>
    <v>APPLE INC.</v>
    <v>APPLE INC.</v>
    <v>272.33499999999998</v>
    <v>34.392899999999997</v>
    <v>267.61</v>
    <v>270.70999999999998</v>
    <v>269.58999999999997</v>
    <v>14681140000</v>
    <v>AAPL</v>
    <v>APPLE INC. (XNAS:AAPL)</v>
    <v>39935448</v>
    <v>41541578</v>
    <v>1977</v>
  </rv>
  <rv s="2">
    <v>46</v>
  </rv>
  <rv s="0">
    <v>http://es.wikipedia.org/wiki/Adobe_(empresa)</v>
    <v>Wikipedia</v>
  </rv>
  <rv s="3">
    <v>15</v>
    <v>48</v>
  </rv>
  <rv s="4">
    <v>10</v>
    <v>https://www.bing.com/th?id=AMMS_503c684ccc667ad525fe1d703881df2c&amp;qlt=95</v>
    <v>49</v>
    <v>0</v>
    <v>https://www.bing.com/images/search?form=xlimg&amp;q=adobe+systems</v>
    <v>Image of ADOBE INC.</v>
  </rv>
  <rv s="0">
    <v>https://www.bing.com/financeapi/forcetrigger?t=a1mv7w&amp;q=XNAS%3aADBE&amp;form=skydnc</v>
    <v>Learn more on Bing</v>
  </rv>
  <rv s="5">
    <v>6</v>
    <v>ADOBE INC. (XNAS:ADBE)</v>
    <v>8</v>
    <v>9</v>
    <v>Finance</v>
    <v>4</v>
    <v>en-US</v>
    <v>a1mv7w</v>
    <v>268435456</v>
    <v>1</v>
    <v>Powered by Refinitiv</v>
    <v>422.95</v>
    <v>224.13</v>
    <v>1.4072</v>
    <v>3.78</v>
    <v>1.5795E-2</v>
    <v>-0.16</v>
    <v>-6.579E-4</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245.26</v>
    <v>50</v>
    <v>Software &amp; IT Services</v>
    <v>Stock</v>
    <v>46140.886537418752</v>
    <v>51</v>
    <v>241.16</v>
    <v>98256978000</v>
    <v>ADOBE INC.</v>
    <v>ADOBE INC.</v>
    <v>242.13</v>
    <v>14.1683</v>
    <v>239.31</v>
    <v>243.09</v>
    <v>243.04</v>
    <v>404200000</v>
    <v>ADBE</v>
    <v>ADOBE INC. (XNAS:ADBE)</v>
    <v>4636462</v>
    <v>5279677</v>
    <v>1997</v>
  </rv>
  <rv s="2">
    <v>52</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0</v>
      <v>0</v>
    </spb>
    <spb s="6">
      <v>7</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8"/>
  <sheetViews>
    <sheetView tabSelected="1" topLeftCell="A3" zoomScale="169" workbookViewId="0">
      <selection activeCell="C18" sqref="C18"/>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323.20999999999998</v>
      </c>
      <c r="D3" s="4" cm="1">
        <f t="array" aca="1" ref="D3" ca="1">_FV(B3,"52 week high",TRUE)</f>
        <v>352.99</v>
      </c>
      <c r="E3" s="4" cm="1">
        <f t="array" aca="1" ref="E3" ca="1">_FV(B3,"52 week low",TRUE)</f>
        <v>91.87</v>
      </c>
      <c r="F3" s="5" cm="1">
        <f t="array" aca="1" ref="F3" ca="1">_FV(B3,"Beta")</f>
        <v>2.3142</v>
      </c>
      <c r="G3" s="6" t="str" cm="1">
        <f t="array" aca="1" ref="G3" ca="1">_FV(B3,"Ticker symbol",TRUE)</f>
        <v>AMD</v>
      </c>
      <c r="H3" s="6" t="str" cm="1">
        <f t="array" aca="1" ref="H3" ca="1">_FV(B3,"Industry")</f>
        <v>Semiconductors &amp; Semiconductor Equipment</v>
      </c>
      <c r="I3" s="7" cm="1">
        <f t="array" aca="1" ref="I3" ca="1">_FV(B3,"Volume average",TRUE)</f>
        <v>39173459</v>
      </c>
    </row>
    <row r="4" spans="1:9" x14ac:dyDescent="0.2">
      <c r="B4" s="3" t="e" vm="2">
        <v>#VALUE!</v>
      </c>
      <c r="C4" s="4" cm="1">
        <f t="array" aca="1" ref="C4" ca="1">_FV(B4,"Price")</f>
        <v>106.24</v>
      </c>
      <c r="D4" s="4" cm="1">
        <f t="array" aca="1" ref="D4" ca="1">_FV(B4,"52 week high",TRUE)</f>
        <v>544.92999999999995</v>
      </c>
      <c r="E4" s="4" cm="1">
        <f t="array" aca="1" ref="E4" ca="1">_FV(B4,"52 week low",TRUE)</f>
        <v>87.89</v>
      </c>
      <c r="F4" s="5" cm="1">
        <f t="array" aca="1" ref="F4" ca="1">_FV(B4,"Beta")</f>
        <v>0.85070000000000001</v>
      </c>
      <c r="G4" s="6" t="str" cm="1">
        <f t="array" aca="1" ref="G4" ca="1">_FV(B4,"Ticker symbol",TRUE)</f>
        <v>DUOL</v>
      </c>
      <c r="H4" s="6" t="str" cm="1">
        <f t="array" aca="1" ref="H4" ca="1">_FV(B4,"Industry")</f>
        <v>Software &amp; IT Services</v>
      </c>
      <c r="I4" s="7" cm="1">
        <f t="array" aca="1" ref="I4" ca="1">_FV(B4,"Volume average",TRUE)</f>
        <v>1650869</v>
      </c>
    </row>
    <row r="5" spans="1:9" x14ac:dyDescent="0.2">
      <c r="B5" s="3" t="e" vm="3">
        <v>#VALUE!</v>
      </c>
      <c r="C5" s="4" cm="1">
        <f t="array" aca="1" ref="C5" ca="1">_FV(B5,"Price")</f>
        <v>84.55</v>
      </c>
      <c r="D5" s="4" cm="1">
        <f t="array" aca="1" ref="D5" ca="1">_FV(B5,"52 week high",TRUE)</f>
        <v>87.1</v>
      </c>
      <c r="E5" s="4" cm="1">
        <f t="array" aca="1" ref="E5" ca="1">_FV(B5,"52 week low",TRUE)</f>
        <v>18.965</v>
      </c>
      <c r="F5" s="5" cm="1">
        <f t="array" aca="1" ref="F5" ca="1">_FV(B5,"Beta")</f>
        <v>1.9984</v>
      </c>
      <c r="G5" s="6" t="str" cm="1">
        <f t="array" aca="1" ref="G5" ca="1">_FV(B5,"Ticker symbol",TRUE)</f>
        <v>INTC</v>
      </c>
      <c r="H5" s="6" t="str" cm="1">
        <f t="array" aca="1" ref="H5" ca="1">_FV(B5,"Industry")</f>
        <v>Semiconductors &amp; Semiconductor Equipment</v>
      </c>
      <c r="I5" s="7" cm="1">
        <f t="array" aca="1" ref="I5" ca="1">_FV(B5,"Volume average",TRUE)</f>
        <v>116375764</v>
      </c>
    </row>
    <row r="6" spans="1:9" x14ac:dyDescent="0.2">
      <c r="B6" s="3" t="e" vm="4">
        <v>#VALUE!</v>
      </c>
      <c r="C6" s="4" cm="1">
        <f t="array" aca="1" ref="C6" ca="1">_FV(B6,"Price")</f>
        <v>213.07</v>
      </c>
      <c r="D6" s="4" cm="1">
        <f t="array" aca="1" ref="D6" ca="1">_FV(B6,"52 week high",TRUE)</f>
        <v>216.82499999999999</v>
      </c>
      <c r="E6" s="4" cm="1">
        <f t="array" aca="1" ref="E6" ca="1">_FV(B6,"52 week low",TRUE)</f>
        <v>104.08</v>
      </c>
      <c r="F6" s="5" cm="1">
        <f t="array" aca="1" ref="F6" ca="1">_FV(B6,"Beta")</f>
        <v>2.3296999999999999</v>
      </c>
      <c r="G6" s="6" t="str" cm="1">
        <f t="array" aca="1" ref="G6" ca="1">_FV(B6,"Ticker symbol",TRUE)</f>
        <v>NVDA</v>
      </c>
      <c r="H6" s="6" t="str" cm="1">
        <f t="array" aca="1" ref="H6" ca="1">_FV(B6,"Industry")</f>
        <v>Semiconductors &amp; Semiconductor Equipment</v>
      </c>
      <c r="I6" s="7" cm="1">
        <f t="array" aca="1" ref="I6" ca="1">_FV(B6,"Volume average",TRUE)</f>
        <v>155504070</v>
      </c>
    </row>
    <row r="7" spans="1:9" x14ac:dyDescent="0.2">
      <c r="B7" s="3" t="e" vm="5">
        <v>#VALUE!</v>
      </c>
      <c r="C7" s="4" cm="1">
        <f t="array" aca="1" ref="C7" ca="1">_FV(B7,"Price")</f>
        <v>9.42</v>
      </c>
      <c r="D7" s="4" cm="1">
        <f t="array" aca="1" ref="D7" ca="1">_FV(B7,"52 week high",TRUE)</f>
        <v>32.76</v>
      </c>
      <c r="E7" s="4" cm="1">
        <f t="array" aca="1" ref="E7" ca="1">_FV(B7,"52 week low",TRUE)</f>
        <v>7.77</v>
      </c>
      <c r="F7" s="5" cm="1">
        <f t="array" aca="1" ref="F7" ca="1">_FV(B7,"Beta")</f>
        <v>0.92959999999999998</v>
      </c>
      <c r="G7" s="6" t="str" cm="1">
        <f t="array" aca="1" ref="G7" ca="1">_FV(B7,"Ticker symbol",TRUE)</f>
        <v>PHR</v>
      </c>
      <c r="H7" s="6" t="str" cm="1">
        <f t="array" aca="1" ref="H7" ca="1">_FV(B7,"Industry")</f>
        <v>Software &amp; IT Services</v>
      </c>
      <c r="I7" s="7" cm="1">
        <f t="array" aca="1" ref="I7" ca="1">_FV(B7,"Volume average",TRUE)</f>
        <v>2550708</v>
      </c>
    </row>
    <row r="8" spans="1:9" x14ac:dyDescent="0.2">
      <c r="B8" s="3" t="e" vm="6">
        <v>#VALUE!</v>
      </c>
      <c r="C8" s="4" cm="1">
        <f t="array" aca="1" ref="C8" ca="1">_FV(B8,"Price")</f>
        <v>150</v>
      </c>
      <c r="D8" s="4" cm="1">
        <f t="array" aca="1" ref="D8" ca="1">_FV(B8,"52 week high",TRUE)</f>
        <v>205.95</v>
      </c>
      <c r="E8" s="4" cm="1">
        <f t="array" aca="1" ref="E8" ca="1">_FV(B8,"52 week low",TRUE)</f>
        <v>121.99</v>
      </c>
      <c r="F8" s="5" cm="1">
        <f t="array" aca="1" ref="F8" ca="1">_FV(B8,"Beta")</f>
        <v>1.3192999999999999</v>
      </c>
      <c r="G8" s="6" t="str" cm="1">
        <f t="array" aca="1" ref="G8" ca="1">_FV(B8,"Ticker symbol",TRUE)</f>
        <v>QCOM</v>
      </c>
      <c r="H8" s="6" t="str" cm="1">
        <f t="array" aca="1" ref="H8" ca="1">_FV(B8,"Industry")</f>
        <v>Semiconductors &amp; Semiconductor Equipment</v>
      </c>
      <c r="I8" s="7" cm="1">
        <f t="array" aca="1" ref="I8" ca="1">_FV(B8,"Volume average",TRUE)</f>
        <v>11660401</v>
      </c>
    </row>
    <row r="9" spans="1:9" x14ac:dyDescent="0.2">
      <c r="B9" s="3" t="e" vm="7">
        <v>#VALUE!</v>
      </c>
      <c r="C9" s="4" cm="1">
        <f t="array" aca="1" ref="C9" ca="1">_FV(B9,"Price")</f>
        <v>114.58</v>
      </c>
      <c r="D9" s="4" cm="1">
        <f t="array" aca="1" ref="D9" ca="1">_FV(B9,"52 week high",TRUE)</f>
        <v>133.99</v>
      </c>
      <c r="E9" s="4" cm="1">
        <f t="array" aca="1" ref="E9" ca="1">_FV(B9,"52 week low",TRUE)</f>
        <v>76.45</v>
      </c>
      <c r="F9" s="5" cm="1">
        <f t="array" aca="1" ref="F9" ca="1">_FV(B9,"Beta")</f>
        <v>1.4159999999999999</v>
      </c>
      <c r="G9" s="6" t="str" cm="1">
        <f t="array" aca="1" ref="G9" ca="1">_FV(B9,"Ticker symbol",TRUE)</f>
        <v>SN</v>
      </c>
      <c r="H9" s="6" t="str" cm="1">
        <f t="array" aca="1" ref="H9" ca="1">_FV(B9,"Industry")</f>
        <v>Household Goods</v>
      </c>
      <c r="I9" s="7" cm="1">
        <f t="array" aca="1" ref="I9" ca="1">_FV(B9,"Volume average",TRUE)</f>
        <v>1521551</v>
      </c>
    </row>
    <row r="10" spans="1:9" x14ac:dyDescent="0.2">
      <c r="A10" s="8" t="s">
        <v>8</v>
      </c>
      <c r="B10" s="3" t="e" vm="8">
        <v>#VALUE!</v>
      </c>
      <c r="C10" s="4" cm="1">
        <f t="array" aca="1" ref="C10" ca="1">_FV(B10,"Price")</f>
        <v>43.36</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2.91</v>
      </c>
      <c r="D11" s="4" cm="1">
        <f t="array" aca="1" ref="D11" ca="1">_FV(B11,"52 week high",TRUE)</f>
        <v>3.24</v>
      </c>
      <c r="E11" s="4" cm="1">
        <f t="array" aca="1" ref="E11" ca="1">_FV(B11,"52 week low",TRUE)</f>
        <v>2.1</v>
      </c>
      <c r="F11" s="5" cm="1">
        <f t="array" aca="1" ref="F11" ca="1">_FV(B11,"Beta")</f>
        <v>0.62729999999999997</v>
      </c>
      <c r="G11" s="6" t="str" cm="1">
        <f t="array" aca="1" ref="G11" ca="1">_FV(B11,"Ticker symbol",TRUE)</f>
        <v>ABEV</v>
      </c>
      <c r="H11" s="6" t="str" cm="1">
        <f t="array" aca="1" ref="H11" ca="1">_FV(B11,"Industry")</f>
        <v>Beverages</v>
      </c>
      <c r="I11" s="7" cm="1">
        <f t="array" aca="1" ref="I11" ca="1">_FV(B11,"Volume average",TRUE)</f>
        <v>26515608</v>
      </c>
    </row>
    <row r="12" spans="1:9" x14ac:dyDescent="0.2">
      <c r="B12" s="3" t="e" vm="10">
        <v>#VALUE!</v>
      </c>
      <c r="C12" s="4" cm="1">
        <f t="array" aca="1" ref="C12" ca="1">_FV(B12,"Price")</f>
        <v>98.49</v>
      </c>
      <c r="D12" s="4" cm="1">
        <f t="array" aca="1" ref="D12" ca="1">_FV(B12,"52 week high",TRUE)</f>
        <v>101.53</v>
      </c>
      <c r="E12" s="4" cm="1">
        <f t="array" aca="1" ref="E12" ca="1">_FV(B12,"52 week low",TRUE)</f>
        <v>55.64</v>
      </c>
      <c r="F12" s="5" cm="1">
        <f t="array" aca="1" ref="F12" ca="1">_FV(B12,"Beta")</f>
        <v>0.57040000000000002</v>
      </c>
      <c r="G12" s="6" t="str" cm="1">
        <f t="array" aca="1" ref="G12" ca="1">_FV(B12,"Ticker symbol",TRUE)</f>
        <v>RIO</v>
      </c>
      <c r="H12" s="6" t="str" cm="1">
        <f t="array" aca="1" ref="H12" ca="1">_FV(B12,"Industry")</f>
        <v>Metals &amp; Mining</v>
      </c>
      <c r="I12" s="7" cm="1">
        <f t="array" aca="1" ref="I12" ca="1">_FV(B12,"Volume average",TRUE)</f>
        <v>2625936</v>
      </c>
    </row>
    <row r="13" spans="1:9" x14ac:dyDescent="0.2">
      <c r="B13" s="3" t="e" vm="11">
        <v>#VALUE!</v>
      </c>
      <c r="C13" s="4" cm="1">
        <f t="array" aca="1" ref="C13" ca="1">_FV(B13,"Price")</f>
        <v>366.73</v>
      </c>
      <c r="D13" s="4" cm="1">
        <f t="array" aca="1" ref="D13" ca="1">_FV(B13,"52 week high",TRUE)</f>
        <v>424.12</v>
      </c>
      <c r="E13" s="4" cm="1">
        <f t="array" aca="1" ref="E13" ca="1">_FV(B13,"52 week low",TRUE)</f>
        <v>234.6</v>
      </c>
      <c r="F13" s="5" cm="1">
        <f t="array" aca="1" ref="F13" ca="1">_FV(B13,"Beta")</f>
        <v>0.59240000000000004</v>
      </c>
      <c r="G13" s="6" t="str" cm="1">
        <f t="array" aca="1" ref="G13" ca="1">_FV(B13,"Ticker symbol",TRUE)</f>
        <v>UNH</v>
      </c>
      <c r="H13" s="6" t="str" cm="1">
        <f t="array" aca="1" ref="H13" ca="1">_FV(B13,"Industry")</f>
        <v>Healthcare Providers &amp; Services</v>
      </c>
      <c r="I13" s="7" cm="1">
        <f t="array" aca="1" ref="I13" ca="1">_FV(B13,"Volume average",TRUE)</f>
        <v>8942141</v>
      </c>
    </row>
    <row r="14" spans="1:9" x14ac:dyDescent="0.2">
      <c r="B14" s="3" t="e" vm="12">
        <v>#VALUE!</v>
      </c>
      <c r="C14" s="4" cm="1">
        <f t="array" aca="1" ref="C14" ca="1">_FV(B14,"Price")</f>
        <v>259.7</v>
      </c>
      <c r="D14" s="4" cm="1">
        <f t="array" aca="1" ref="D14" ca="1">_FV(B14,"52 week high",TRUE)</f>
        <v>264.5</v>
      </c>
      <c r="E14" s="4" cm="1">
        <f t="array" aca="1" ref="E14" ca="1">_FV(B14,"52 week low",TRUE)</f>
        <v>178.85</v>
      </c>
      <c r="F14" s="5" cm="1">
        <f t="array" aca="1" ref="F14" ca="1">_FV(B14,"Beta")</f>
        <v>1.4541999999999999</v>
      </c>
      <c r="G14" s="6" t="str" cm="1">
        <f t="array" aca="1" ref="G14" ca="1">_FV(B14,"Ticker symbol",TRUE)</f>
        <v>AMZN</v>
      </c>
      <c r="H14" s="6" t="str" cm="1">
        <f t="array" aca="1" ref="H14" ca="1">_FV(B14,"Industry")</f>
        <v>Diversified Retail</v>
      </c>
      <c r="I14" s="7" cm="1">
        <f t="array" aca="1" ref="I14" ca="1">_FV(B14,"Volume average",TRUE)</f>
        <v>45463315</v>
      </c>
    </row>
    <row r="15" spans="1:9" x14ac:dyDescent="0.2">
      <c r="B15" s="3" t="e" vm="13">
        <v>#VALUE!</v>
      </c>
      <c r="C15" s="4" cm="1">
        <f t="array" aca="1" ref="C15" ca="1">_FV(B15,"Price")</f>
        <v>349.81</v>
      </c>
      <c r="D15" s="4" cm="1">
        <f t="array" aca="1" ref="D15" ca="1">_FV(B15,"52 week high",TRUE)</f>
        <v>353.18</v>
      </c>
      <c r="E15" s="4" cm="1">
        <f t="array" aca="1" ref="E15" ca="1">_FV(B15,"52 week low",TRUE)</f>
        <v>147.84</v>
      </c>
      <c r="F15" s="5" cm="1">
        <f t="array" aca="1" ref="F15" ca="1">_FV(B15,"Beta")</f>
        <v>1.1745000000000001</v>
      </c>
      <c r="G15" s="6" t="str" cm="1">
        <f t="array" aca="1" ref="G15" ca="1">_FV(B15,"Ticker symbol",TRUE)</f>
        <v>GOOGL</v>
      </c>
      <c r="H15" s="6" t="str" cm="1">
        <f t="array" aca="1" ref="H15" ca="1">_FV(B15,"Industry")</f>
        <v>Software &amp; IT Services</v>
      </c>
      <c r="I15" s="7" cm="1">
        <f t="array" aca="1" ref="I15" ca="1">_FV(B15,"Volume average",TRUE)</f>
        <v>27162587</v>
      </c>
    </row>
    <row r="16" spans="1:9" x14ac:dyDescent="0.2">
      <c r="B16" s="3" t="e" vm="14">
        <v>#VALUE!</v>
      </c>
      <c r="C16" s="4" cm="1">
        <f t="array" aca="1" ref="C16" ca="1">_FV(B16,"Price")</f>
        <v>150.55000000000001</v>
      </c>
      <c r="D16" s="4" cm="1">
        <f t="array" aca="1" ref="D16" ca="1">_FV(B16,"52 week high",TRUE)</f>
        <v>176.41</v>
      </c>
      <c r="E16" s="4" cm="1">
        <f t="array" aca="1" ref="E16" ca="1">_FV(B16,"52 week low",TRUE)</f>
        <v>101.185</v>
      </c>
      <c r="F16" s="5" cm="1">
        <f t="array" aca="1" ref="F16" ca="1">_FV(B16,"Beta")</f>
        <v>0.16320000000000001</v>
      </c>
      <c r="G16" s="6" t="str" cm="1">
        <f t="array" aca="1" ref="G16" ca="1">_FV(B16,"Ticker symbol",TRUE)</f>
        <v>XOM</v>
      </c>
      <c r="H16" s="6" t="str" cm="1">
        <f t="array" aca="1" ref="H16" ca="1">_FV(B16,"Industry")</f>
        <v>Oil &amp; Gas</v>
      </c>
      <c r="I16" s="7" cm="1">
        <f t="array" aca="1" ref="I16" ca="1">_FV(B16,"Volume average",TRUE)</f>
        <v>21899433</v>
      </c>
    </row>
    <row r="17" spans="2:9" x14ac:dyDescent="0.2">
      <c r="B17" s="3" t="e" vm="15">
        <v>#VALUE!</v>
      </c>
      <c r="C17" s="4" cm="1">
        <f t="array" aca="1" ref="C17" ca="1">_FV(B17,"Price")</f>
        <v>270.70999999999998</v>
      </c>
      <c r="D17" s="4" cm="1">
        <f t="array" aca="1" ref="D17" ca="1">_FV(B17,"52 week high",TRUE)</f>
        <v>288.62</v>
      </c>
      <c r="E17" s="4" cm="1">
        <f t="array" aca="1" ref="E17" ca="1">_FV(B17,"52 week low",TRUE)</f>
        <v>193.25</v>
      </c>
      <c r="F17" s="5" cm="1">
        <f t="array" aca="1" ref="F17" ca="1">_FV(B17,"Beta")</f>
        <v>1.06</v>
      </c>
      <c r="G17" s="6" t="str" cm="1">
        <f t="array" aca="1" ref="G17" ca="1">_FV(B17,"Ticker symbol",TRUE)</f>
        <v>AAPL</v>
      </c>
      <c r="H17" s="6" t="str" cm="1">
        <f t="array" aca="1" ref="H17" ca="1">_FV(B17,"Industry")</f>
        <v>Computers, Phones &amp; Household Electronics</v>
      </c>
      <c r="I17" s="7" cm="1">
        <f t="array" aca="1" ref="I17" ca="1">_FV(B17,"Volume average",TRUE)</f>
        <v>41541578</v>
      </c>
    </row>
    <row r="18" spans="2:9" x14ac:dyDescent="0.2">
      <c r="B18" s="3" t="e" vm="16">
        <v>#VALUE!</v>
      </c>
      <c r="C18" s="4" cm="1">
        <f t="array" aca="1" ref="C18" ca="1">_FV(B18,"Price")</f>
        <v>243.09</v>
      </c>
      <c r="D18" s="4" cm="1">
        <f t="array" aca="1" ref="D18" ca="1">_FV(B18,"52 week high",TRUE)</f>
        <v>422.95</v>
      </c>
      <c r="E18" s="4" cm="1">
        <f t="array" aca="1" ref="E18" ca="1">_FV(B18,"52 week low",TRUE)</f>
        <v>224.13</v>
      </c>
      <c r="F18" s="5" cm="1">
        <f t="array" aca="1" ref="F18" ca="1">_FV(B18,"Beta")</f>
        <v>1.4072</v>
      </c>
      <c r="G18" s="6" t="str" cm="1">
        <f t="array" aca="1" ref="G18" ca="1">_FV(B18,"Ticker symbol",TRUE)</f>
        <v>ADBE</v>
      </c>
      <c r="H18" s="6" t="str" cm="1">
        <f t="array" aca="1" ref="H18" ca="1">_FV(B18,"Industry")</f>
        <v>Software &amp; IT Services</v>
      </c>
      <c r="I18" s="7" cm="1">
        <f t="array" aca="1" ref="I18" ca="1">_FV(B18,"Volume average",TRUE)</f>
        <v>5279677</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2026-04-28T21:17:55Z</dcterms:modified>
</cp:coreProperties>
</file>