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B745B58-889D-B942-B369-7A5880CA010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52" i="3" l="1"/>
  <c r="AA28"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72" i="3"/>
  <c r="Y172" i="3"/>
  <c r="X172" i="3"/>
  <c r="W172" i="3"/>
  <c r="V172" i="3"/>
  <c r="U172" i="3"/>
  <c r="T172" i="3"/>
  <c r="Z171" i="3"/>
  <c r="Y171" i="3"/>
  <c r="X171" i="3"/>
  <c r="W171" i="3"/>
  <c r="V171" i="3"/>
  <c r="U171" i="3"/>
  <c r="T171" i="3"/>
  <c r="Z168" i="3"/>
  <c r="Y168" i="3"/>
  <c r="X168" i="3"/>
  <c r="W168" i="3"/>
  <c r="V168" i="3"/>
  <c r="U168" i="3"/>
  <c r="T168" i="3"/>
  <c r="Z167" i="3"/>
  <c r="Y167" i="3"/>
  <c r="X167" i="3"/>
  <c r="W167" i="3"/>
  <c r="V167" i="3"/>
  <c r="U167" i="3"/>
  <c r="T167" i="3"/>
  <c r="Z151" i="3"/>
  <c r="Y151" i="3"/>
  <c r="X151" i="3"/>
  <c r="W151" i="3"/>
  <c r="V151" i="3"/>
  <c r="U151" i="3"/>
  <c r="T151" i="3"/>
  <c r="Z143" i="3"/>
  <c r="Y143" i="3"/>
  <c r="X143" i="3"/>
  <c r="W143" i="3"/>
  <c r="V143" i="3"/>
  <c r="U143" i="3"/>
  <c r="T143" i="3"/>
  <c r="Z142" i="3"/>
  <c r="Y142" i="3"/>
  <c r="X142" i="3"/>
  <c r="W142" i="3"/>
  <c r="V142" i="3"/>
  <c r="U142" i="3"/>
  <c r="T142" i="3"/>
  <c r="Z141" i="3"/>
  <c r="Y141" i="3"/>
  <c r="X141" i="3"/>
  <c r="U141" i="3"/>
  <c r="T141" i="3"/>
  <c r="Z140" i="3"/>
  <c r="Y140" i="3"/>
  <c r="X140" i="3"/>
  <c r="U140" i="3"/>
  <c r="T140" i="3"/>
  <c r="Z139" i="3"/>
  <c r="Y139" i="3"/>
  <c r="X139" i="3"/>
  <c r="W139" i="3"/>
  <c r="V139" i="3"/>
  <c r="U139" i="3"/>
  <c r="Z137" i="3"/>
  <c r="Y137" i="3"/>
  <c r="X137" i="3"/>
  <c r="W137" i="3"/>
  <c r="V137" i="3"/>
  <c r="U137" i="3"/>
  <c r="T137" i="3"/>
  <c r="Z136" i="3"/>
  <c r="Y136" i="3"/>
  <c r="X136" i="3"/>
  <c r="W136" i="3"/>
  <c r="V136" i="3"/>
  <c r="U136" i="3"/>
  <c r="T136" i="3"/>
  <c r="Z135" i="3"/>
  <c r="Z138" i="3" s="1"/>
  <c r="Y135" i="3"/>
  <c r="Y138" i="3" s="1"/>
  <c r="X135" i="3"/>
  <c r="X138" i="3" s="1"/>
  <c r="W135" i="3"/>
  <c r="W138" i="3" s="1"/>
  <c r="V135" i="3"/>
  <c r="V138" i="3" s="1"/>
  <c r="U135" i="3"/>
  <c r="U138" i="3" s="1"/>
  <c r="T135" i="3"/>
  <c r="T138"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T139" i="3" s="1"/>
  <c r="Z105" i="3"/>
  <c r="Y105" i="3"/>
  <c r="X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52" i="3"/>
  <c r="Z173" i="3" s="1"/>
  <c r="Y52" i="3"/>
  <c r="Y173" i="3" s="1"/>
  <c r="X52" i="3"/>
  <c r="X173" i="3" s="1"/>
  <c r="W52" i="3"/>
  <c r="W173" i="3" s="1"/>
  <c r="V52" i="3"/>
  <c r="V173" i="3" s="1"/>
  <c r="U52" i="3"/>
  <c r="U173" i="3" s="1"/>
  <c r="T52" i="3"/>
  <c r="T173" i="3" s="1"/>
  <c r="Z41" i="3"/>
  <c r="Y41" i="3"/>
  <c r="X41" i="3"/>
  <c r="W41" i="3"/>
  <c r="V41" i="3"/>
  <c r="U41" i="3"/>
  <c r="T41" i="3"/>
  <c r="Z35" i="3"/>
  <c r="Y35" i="3"/>
  <c r="X35" i="3"/>
  <c r="W35" i="3"/>
  <c r="V35" i="3"/>
  <c r="U35" i="3"/>
  <c r="T35" i="3"/>
  <c r="W28" i="3"/>
  <c r="W105" i="3" s="1"/>
  <c r="V28" i="3"/>
  <c r="V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G94" i="17"/>
  <c r="F94" i="17"/>
  <c r="E94" i="17"/>
  <c r="D94" i="17"/>
  <c r="C94" i="17"/>
  <c r="G91" i="17"/>
  <c r="F91" i="17"/>
  <c r="E91" i="17"/>
  <c r="D91" i="17"/>
  <c r="G90" i="17"/>
  <c r="F90" i="17"/>
  <c r="E90" i="17"/>
  <c r="D90" i="17"/>
  <c r="C91" i="17"/>
  <c r="C90" i="17"/>
  <c r="G89" i="17"/>
  <c r="F89" i="17"/>
  <c r="E89" i="17"/>
  <c r="D89" i="17"/>
  <c r="C89" i="17"/>
  <c r="G88" i="17"/>
  <c r="F88" i="17"/>
  <c r="E88" i="17"/>
  <c r="D88" i="17"/>
  <c r="C88" i="17"/>
  <c r="I13" i="1"/>
  <c r="H7" i="1"/>
  <c r="H6" i="1"/>
  <c r="C83" i="12"/>
  <c r="G36" i="12"/>
  <c r="F36" i="12"/>
  <c r="E36" i="12"/>
  <c r="D36" i="12"/>
  <c r="C36" i="12"/>
  <c r="F15" i="8"/>
  <c r="E15" i="8"/>
  <c r="D15" i="8"/>
  <c r="C15" i="8"/>
  <c r="G15" i="8"/>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B92" i="3"/>
  <c r="B91" i="3"/>
  <c r="AA57" i="3"/>
  <c r="M57" i="3"/>
  <c r="N57" i="3"/>
  <c r="Q108" i="3"/>
  <c r="G45" i="7" s="1"/>
  <c r="O57" i="3"/>
  <c r="P57" i="3"/>
  <c r="Q57" i="3"/>
  <c r="O52" i="3"/>
  <c r="P52" i="3"/>
  <c r="Q52" i="3"/>
  <c r="G42" i="7" s="1"/>
  <c r="AC63" i="3"/>
  <c r="AC61" i="3"/>
  <c r="AC58" i="3"/>
  <c r="AC55" i="3"/>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103" i="17" s="1"/>
  <c r="P198" i="3"/>
  <c r="F103" i="17" s="1"/>
  <c r="O198" i="3"/>
  <c r="E103" i="17" s="1"/>
  <c r="N198" i="3"/>
  <c r="D103" i="17" s="1"/>
  <c r="M198" i="3"/>
  <c r="C103" i="17" s="1"/>
  <c r="Q197" i="3"/>
  <c r="G102" i="17" s="1"/>
  <c r="P197" i="3"/>
  <c r="F102" i="17" s="1"/>
  <c r="O197" i="3"/>
  <c r="E102" i="17" s="1"/>
  <c r="N197" i="3"/>
  <c r="D102" i="17" s="1"/>
  <c r="M197" i="3"/>
  <c r="C102" i="17" s="1"/>
  <c r="Q195" i="3"/>
  <c r="G100" i="17" s="1"/>
  <c r="P195" i="3"/>
  <c r="F100" i="17" s="1"/>
  <c r="O195" i="3"/>
  <c r="E100" i="17" s="1"/>
  <c r="N195" i="3"/>
  <c r="D100"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C81" i="12" s="1"/>
  <c r="AC38" i="3"/>
  <c r="AA76" i="3"/>
  <c r="H9" i="1"/>
  <c r="H8"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Z77" i="3" l="1"/>
  <c r="Z147" i="3" s="1"/>
  <c r="Z148" i="3" s="1"/>
  <c r="Z146" i="3"/>
  <c r="Z166" i="3"/>
  <c r="Z169" i="3"/>
  <c r="Y77" i="3"/>
  <c r="Y147" i="3" s="1"/>
  <c r="Y148" i="3" s="1"/>
  <c r="Y146" i="3"/>
  <c r="Y166" i="3"/>
  <c r="Y169" i="3"/>
  <c r="X77" i="3"/>
  <c r="X147" i="3" s="1"/>
  <c r="X148" i="3" s="1"/>
  <c r="X146" i="3"/>
  <c r="X166" i="3"/>
  <c r="X169" i="3"/>
  <c r="W77" i="3"/>
  <c r="W147" i="3" s="1"/>
  <c r="W148" i="3" s="1"/>
  <c r="W146" i="3"/>
  <c r="V146" i="3"/>
  <c r="V77" i="3"/>
  <c r="V147" i="3" s="1"/>
  <c r="V148" i="3" s="1"/>
  <c r="U146" i="3"/>
  <c r="U77" i="3"/>
  <c r="U147" i="3" s="1"/>
  <c r="U148" i="3" s="1"/>
  <c r="U166" i="3"/>
  <c r="U169" i="3"/>
  <c r="T77" i="3"/>
  <c r="T147" i="3" s="1"/>
  <c r="T148" i="3" s="1"/>
  <c r="T166" i="3"/>
  <c r="T169" i="3"/>
  <c r="T146" i="3"/>
  <c r="W140" i="3"/>
  <c r="W141" i="3"/>
  <c r="W166" i="3"/>
  <c r="W169" i="3"/>
  <c r="V140" i="3"/>
  <c r="V141" i="3"/>
  <c r="V166" i="3"/>
  <c r="V169" i="3"/>
  <c r="Z10" i="3"/>
  <c r="Z68" i="3" s="1"/>
  <c r="Z69" i="3" s="1"/>
  <c r="Z99" i="3"/>
  <c r="Y10" i="3"/>
  <c r="Z90" i="3"/>
  <c r="Y99" i="3"/>
  <c r="X10" i="3"/>
  <c r="T16" i="6" s="1"/>
  <c r="X99" i="3"/>
  <c r="Y90" i="3"/>
  <c r="W10" i="3"/>
  <c r="W99" i="3"/>
  <c r="X90" i="3"/>
  <c r="V99" i="3"/>
  <c r="V10" i="3"/>
  <c r="W90" i="3"/>
  <c r="U10" i="3"/>
  <c r="U99" i="3"/>
  <c r="V90" i="3"/>
  <c r="U90" i="3"/>
  <c r="T90" i="3"/>
  <c r="T10" i="3"/>
  <c r="P16" i="6" s="1"/>
  <c r="T99" i="3"/>
  <c r="G11" i="21"/>
  <c r="B33" i="18"/>
  <c r="B103" i="17"/>
  <c r="B31" i="18"/>
  <c r="B102" i="17"/>
  <c r="B28" i="18"/>
  <c r="B100" i="17"/>
  <c r="B26" i="18"/>
  <c r="B99" i="17"/>
  <c r="B24" i="18"/>
  <c r="B98" i="17"/>
  <c r="C6" i="5"/>
  <c r="D12" i="5" s="1"/>
  <c r="H75" i="19"/>
  <c r="I68" i="20"/>
  <c r="E68" i="20"/>
  <c r="D68" i="20"/>
  <c r="AC52" i="3"/>
  <c r="H68" i="20"/>
  <c r="I60" i="20"/>
  <c r="E11" i="21"/>
  <c r="H60" i="20"/>
  <c r="G60" i="20"/>
  <c r="F60" i="20"/>
  <c r="E60" i="20"/>
  <c r="D60" i="20"/>
  <c r="C60" i="20"/>
  <c r="F11" i="21"/>
  <c r="AA108" i="3"/>
  <c r="AC59" i="3"/>
  <c r="AC108" i="3" s="1"/>
  <c r="AA168" i="3"/>
  <c r="AA167" i="3"/>
  <c r="AC53" i="3"/>
  <c r="C68" i="12"/>
  <c r="C47" i="12"/>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9" i="17"/>
  <c r="D99" i="17"/>
  <c r="C99" i="17"/>
  <c r="G98" i="17"/>
  <c r="F20" i="18"/>
  <c r="C20" i="18"/>
  <c r="F18" i="18"/>
  <c r="C18" i="18"/>
  <c r="F12" i="18"/>
  <c r="F10" i="18"/>
  <c r="C10" i="18"/>
  <c r="G106" i="17"/>
  <c r="F106" i="17"/>
  <c r="E106" i="17"/>
  <c r="D106" i="17"/>
  <c r="C106" i="17"/>
  <c r="C100" i="17"/>
  <c r="F99" i="17"/>
  <c r="E99" i="17"/>
  <c r="F98" i="17"/>
  <c r="E98" i="17"/>
  <c r="D98" i="17"/>
  <c r="C98"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W23" i="6" l="1"/>
  <c r="W22" i="6"/>
  <c r="Y68" i="3"/>
  <c r="Y69" i="3" s="1"/>
  <c r="Z93" i="3"/>
  <c r="X68" i="3"/>
  <c r="X69" i="3" s="1"/>
  <c r="Y93" i="3"/>
  <c r="W68" i="3"/>
  <c r="W69" i="3" s="1"/>
  <c r="X93" i="3"/>
  <c r="V68" i="3"/>
  <c r="V69" i="3" s="1"/>
  <c r="W93" i="3"/>
  <c r="U68" i="3"/>
  <c r="U69" i="3" s="1"/>
  <c r="V93" i="3"/>
  <c r="T68" i="3"/>
  <c r="T69" i="3" s="1"/>
  <c r="T93" i="3"/>
  <c r="U93" i="3"/>
  <c r="T22" i="6"/>
  <c r="T23" i="6"/>
  <c r="U23" i="6"/>
  <c r="U22" i="6"/>
  <c r="R22" i="6"/>
  <c r="R23" i="6"/>
  <c r="P23" i="6"/>
  <c r="P22" i="6"/>
  <c r="V22" i="6"/>
  <c r="V23" i="6"/>
  <c r="S23" i="6"/>
  <c r="S22" i="6"/>
  <c r="Q22" i="6"/>
  <c r="Q23" i="6"/>
  <c r="F18" i="16"/>
  <c r="V16" i="6"/>
  <c r="V26" i="6" s="1"/>
  <c r="C12" i="18"/>
  <c r="AA93" i="3"/>
  <c r="C13" i="18" s="1"/>
  <c r="AC10" i="3"/>
  <c r="AC68"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C80" i="12" s="1"/>
  <c r="AA141" i="3"/>
  <c r="G32" i="12"/>
  <c r="Q141" i="3"/>
  <c r="G46" i="17" s="1"/>
  <c r="F32" i="12"/>
  <c r="P141" i="3"/>
  <c r="F46" i="17" s="1"/>
  <c r="E32" i="12"/>
  <c r="O141" i="3"/>
  <c r="E46" i="17" s="1"/>
  <c r="D32" i="12"/>
  <c r="N141" i="3"/>
  <c r="D46" i="17" s="1"/>
  <c r="C32" i="12"/>
  <c r="M141" i="3"/>
  <c r="C46" i="17" s="1"/>
  <c r="AC107" i="3"/>
  <c r="AC152" i="3" s="1"/>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1" i="1" s="1"/>
  <c r="C54" i="12"/>
  <c r="I18" i="1" s="1"/>
  <c r="AC77" i="3"/>
  <c r="C5" i="10" s="1"/>
  <c r="C7" i="10" s="1"/>
  <c r="C17" i="10" s="1"/>
  <c r="AA147" i="3"/>
  <c r="AA148" i="3" s="1"/>
  <c r="C53" i="16"/>
  <c r="I72" i="17"/>
  <c r="C67" i="12"/>
  <c r="C46"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34" i="3"/>
  <c r="L68" i="19"/>
  <c r="Q134" i="3"/>
  <c r="L79" i="19" s="1"/>
  <c r="C18" i="16"/>
  <c r="I18" i="17"/>
  <c r="F52" i="16"/>
  <c r="I75" i="17"/>
  <c r="F53" i="16"/>
  <c r="I76" i="17"/>
  <c r="F54" i="16"/>
  <c r="I77" i="17"/>
  <c r="AC163" i="3"/>
  <c r="I6" i="17"/>
  <c r="C23" i="14"/>
  <c r="C56"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I91" i="17" l="1"/>
  <c r="C61" i="16"/>
  <c r="X11" i="6"/>
  <c r="AB12" i="6"/>
  <c r="H45" i="7"/>
  <c r="H21" i="8" s="1"/>
  <c r="H36" i="7"/>
  <c r="H12" i="6"/>
  <c r="H13" i="6"/>
  <c r="H15" i="6"/>
  <c r="H14" i="6"/>
  <c r="H13" i="7"/>
  <c r="H28" i="7" s="1"/>
  <c r="H42" i="7"/>
  <c r="J8" i="5"/>
  <c r="I6" i="6"/>
  <c r="I6" i="8"/>
  <c r="I7" i="7"/>
  <c r="I6" i="12"/>
  <c r="I13" i="12" s="1"/>
  <c r="C25" i="11"/>
  <c r="C49" i="12"/>
  <c r="C70"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7" i="12"/>
  <c r="C27" i="8"/>
  <c r="C28" i="8" s="1"/>
  <c r="F7" i="12"/>
  <c r="F27" i="8"/>
  <c r="F28" i="8" s="1"/>
  <c r="E7" i="12"/>
  <c r="E27" i="8"/>
  <c r="E28" i="8" s="1"/>
  <c r="AE6" i="5"/>
  <c r="C21" i="14" l="1"/>
  <c r="C75" i="12"/>
  <c r="I90" i="17"/>
  <c r="C60" i="16"/>
  <c r="H16" i="6"/>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2" i="12"/>
  <c r="C41" i="12"/>
  <c r="C15" i="11"/>
  <c r="I17" i="1" s="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C58" i="16" l="1"/>
  <c r="I88" i="17"/>
  <c r="H21" i="6"/>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C74" i="12" s="1"/>
  <c r="C77" i="12" s="1"/>
  <c r="C78" i="12" s="1"/>
  <c r="L6" i="6"/>
  <c r="D35" i="12"/>
  <c r="G35" i="12"/>
  <c r="H10" i="14"/>
  <c r="F35" i="12"/>
  <c r="E35" i="12"/>
  <c r="AA14" i="5"/>
  <c r="C59" i="16" l="1"/>
  <c r="I89" i="17"/>
  <c r="H15" i="7"/>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3" i="12"/>
  <c r="C57" i="12" s="1"/>
  <c r="C58"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I14" i="1" s="1"/>
  <c r="L34" i="8"/>
  <c r="L27" i="8"/>
  <c r="L7" i="12"/>
  <c r="K23" i="12"/>
  <c r="K18" i="12"/>
  <c r="K12" i="12"/>
  <c r="K28" i="12"/>
  <c r="L20"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<sst xmlns="http://schemas.openxmlformats.org/spreadsheetml/2006/main" count="793" uniqueCount="422">
  <si>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</si>
  <si>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</si>
  <si>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</si>
  <si>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</si>
  <si>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</si>
  <si>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</si>
  <si>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</si>
  <si>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</si>
  <si>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</si>
  <si>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</si>
  <si>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</si>
  <si>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</si>
  <si>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</si>
  <si>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</si>
  <si>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</si>
  <si>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</si>
  <si>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</si>
  <si>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</si>
  <si>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</si>
  <si>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</si>
  <si>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</si>
  <si>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</si>
  <si>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</si>
  <si>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</si>
  <si>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</si>
  <si>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</si>
  <si>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</si>
  <si>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</si>
  <si>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</si>
  <si>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</si>
  <si>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</si>
  <si>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</si>
  <si>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</si>
  <si>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</si>
  <si>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</si>
  <si>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</si>
  <si>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</si>
  <si>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</si>
  <si>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</si>
  <si>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</si>
  <si>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</si>
  <si>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</si>
  <si>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</si>
  <si>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</si>
  <si>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</si>
  <si>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</si>
  <si>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</si>
  <si>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</si>
  <si>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</si>
  <si>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</si>
  <si>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</si>
  <si>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</si>
  <si>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</si>
  <si>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</si>
  <si>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</si>
  <si>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</si>
  <si>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</si>
  <si>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</si>
  <si>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</si>
  <si>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</si>
  <si>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</si>
  <si>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</si>
  <si>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</si>
  <si>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</si>
  <si>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</si>
  <si>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</si>
  <si>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</si>
  <si>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</si>
  <si>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</si>
  <si>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</si>
  <si>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</si>
  <si>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</si>
  <si>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</si>
  <si>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</si>
  <si>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</si>
  <si>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</si>
  <si>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</si>
  <si>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</si>
  <si>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</si>
  <si>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</si>
  <si>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</si>
  <si>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</si>
  <si>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</si>
  <si>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</si>
  <si>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</si>
  <si>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</si>
  <si>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</si>
  <si>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</si>
  <si>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</si>
  <si>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</si>
  <si>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</si>
  <si>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</si>
  <si>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</si>
  <si>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</si>
  <si>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</si>
  <si>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</si>
  <si>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</si>
  <si>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</si>
  <si>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</si>
  <si>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</si>
  <si>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</si>
  <si>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</si>
  <si>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</si>
  <si>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</si>
  <si>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</si>
  <si>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</si>
  <si>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</si>
  <si>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</si>
  <si>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</si>
  <si>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</si>
  <si>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</si>
  <si>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</si>
  <si>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</si>
  <si>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</si>
  <si>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</si>
  <si>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</si>
  <si>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</si>
  <si>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</si>
  <si>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</si>
  <si>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</si>
  <si>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</si>
  <si>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</si>
  <si>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</si>
  <si>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</si>
  <si>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</si>
  <si>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</si>
  <si>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</si>
  <si>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</si>
  <si>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</si>
  <si>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</si>
  <si>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</si>
  <si>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</si>
  <si>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</si>
  <si>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</si>
  <si>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</si>
  <si>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</si>
  <si>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</si>
  <si>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</si>
  <si>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</si>
  <si>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</si>
  <si>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</si>
  <si>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</si>
  <si>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</si>
  <si>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</si>
  <si>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</si>
  <si>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</si>
  <si>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</si>
  <si>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</si>
  <si>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</si>
  <si>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</si>
  <si>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</si>
  <si>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</si>
  <si>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</si>
  <si>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</si>
  <si>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</si>
  <si>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</si>
  <si>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</si>
  <si>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</si>
  <si>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</si>
  <si>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</si>
  <si>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</si>
  <si>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</si>
  <si>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</si>
  <si>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</si>
  <si>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</si>
  <si>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</si>
  <si>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</si>
  <si>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</si>
  <si>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</si>
  <si>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</si>
  <si>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</si>
  <si>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</si>
  <si>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</si>
  <si>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</si>
  <si>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</si>
  <si>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</si>
  <si>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</si>
  <si>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</si>
  <si>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</si>
  <si>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</si>
  <si>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</si>
  <si>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</si>
  <si>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</si>
  <si>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</si>
  <si>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</si>
  <si>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</si>
  <si>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</si>
  <si>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</si>
  <si>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</si>
  <si>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</si>
  <si>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</si>
  <si>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</si>
  <si>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</si>
  <si>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</si>
  <si>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</si>
  <si>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</si>
  <si>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</si>
  <si>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</si>
  <si>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</si>
  <si>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</si>
  <si>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</si>
  <si>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</si>
  <si>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</si>
  <si>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</si>
  <si>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</si>
  <si>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</si>
  <si>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</si>
  <si>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</si>
  <si>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</si>
  <si>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</si>
  <si>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</si>
  <si>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</si>
  <si>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</si>
  <si>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</si>
  <si>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</si>
  <si>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</si>
  <si>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</si>
  <si>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</si>
  <si>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</si>
  <si>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</si>
  <si>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</si>
  <si>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</si>
  <si>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</si>
  <si>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</si>
  <si>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</si>
  <si>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</si>
  <si>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</si>
  <si>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</si>
  <si>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</si>
  <si>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</si>
  <si>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</si>
  <si>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</si>
  <si>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</si>
  <si>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</si>
  <si>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</si>
  <si>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</si>
  <si>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</si>
  <si>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</si>
  <si>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</si>
  <si>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</si>
  <si>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</si>
  <si>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</si>
  <si>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</si>
  <si>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</si>
  <si>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</si>
  <si>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</si>
  <si>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</si>
  <si>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</si>
  <si>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</si>
  <si>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</si>
  <si>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</si>
  <si>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</si>
  <si>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</si>
  <si>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</si>
  <si>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</si>
  <si>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</si>
  <si>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</si>
  <si>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</si>
  <si>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</si>
  <si>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</si>
  <si>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</si>
  <si>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</si>
  <si>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</si>
  <si>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</si>
  <si>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</si>
  <si>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</si>
  <si>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</si>
  <si>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</si>
  <si>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</si>
  <si>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</si>
  <si>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</si>
  <si>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</si>
  <si>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</si>
  <si>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</si>
  <si>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</si>
  <si>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</si>
  <si>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</si>
  <si>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</si>
  <si>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</si>
  <si>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</si>
  <si>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</si>
  <si>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</si>
  <si>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</si>
  <si>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</si>
  <si>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</si>
  <si>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</si>
  <si>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</si>
  <si>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</si>
  <si>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</si>
  <si>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</si>
  <si>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</si>
  <si>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</si>
  <si>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</si>
  <si>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</si>
  <si>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</si>
  <si>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</si>
  <si>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</si>
  <si>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</si>
  <si>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</si>
  <si>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</si>
  <si>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</si>
  <si>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</si>
  <si>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</si>
  <si>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</si>
  <si>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</si>
  <si>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</si>
  <si>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</si>
  <si>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</si>
  <si>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</si>
  <si>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</si>
  <si>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</si>
  <si>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</si>
  <si>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</si>
  <si>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</si>
  <si>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</si>
  <si>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</si>
  <si>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</si>
  <si>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</si>
  <si>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</si>
  <si>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</si>
  <si>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</si>
  <si>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</si>
  <si>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</si>
  <si>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</si>
  <si>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</si>
  <si>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</si>
  <si>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</si>
  <si>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</si>
  <si>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</si>
  <si>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</si>
  <si>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</si>
  <si>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</si>
  <si>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</si>
  <si>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</si>
  <si>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</si>
  <si>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</si>
  <si>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</si>
  <si>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</si>
  <si>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</si>
  <si>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</si>
  <si>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</si>
  <si>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</si>
  <si>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</si>
  <si>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</si>
  <si>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</si>
  <si>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</si>
  <si>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</si>
  <si>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</si>
  <si>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</si>
  <si>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</si>
  <si>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</si>
  <si>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</si>
  <si>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</si>
  <si>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</si>
  <si>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</si>
  <si>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</si>
  <si>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</si>
  <si>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</si>
  <si>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</si>
  <si>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</si>
  <si>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</si>
  <si>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</si>
  <si>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</si>
  <si>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</si>
  <si>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</si>
  <si>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</si>
  <si>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</si>
  <si>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</si>
  <si>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</si>
  <si>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</si>
  <si>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</si>
  <si>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</si>
  <si>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</si>
  <si>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</si>
  <si>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</si>
  <si>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</si>
  <si>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</si>
  <si>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</si>
  <si>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</si>
  <si>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</si>
  <si>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</si>
  <si>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30.09.2025</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</si>
  <si>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</si>
  <si>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</si>
  <si>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</si>
  <si>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</si>
  <si>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</si>
  <si>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</si>
  <si>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</si>
  <si>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</si>
  <si>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</si>
  <si>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</si>
  <si>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</si>
  <si>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</si>
  <si>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</si>
  <si>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</si>
  <si>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</si>
  <si>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</si>
  <si>
    <t>EV/Sales</t>
  </si>
  <si>
    <t>EV/Sales valuation</t>
  </si>
  <si>
    <t>Year 5 Sales</t>
  </si>
  <si>
    <t>Applied EV/Sales ratio</t>
  </si>
  <si>
    <t>EV/Sales price</t>
  </si>
  <si>
    <t>Reverse DCF rate</t>
  </si>
  <si>
    <t>Cost of Equity</t>
  </si>
  <si>
    <t>Discount rates used</t>
  </si>
  <si>
    <t>Links</t>
  </si>
  <si>
    <t>Financials -&gt;'!B13</t>
  </si>
  <si>
    <t>Analysis -&gt;'!B13</t>
  </si>
  <si>
    <t>Forecast -&gt;'!B13</t>
  </si>
  <si>
    <t>Valuation -&gt;'!B13</t>
  </si>
  <si>
    <t>Overview'!B3</t>
  </si>
  <si>
    <t>Reverse DCF price</t>
  </si>
  <si>
    <t>FCF ratios</t>
  </si>
  <si>
    <t>FCFF/Sales</t>
  </si>
  <si>
    <t>FCFE/Sales</t>
  </si>
  <si>
    <t>Other standard growth rates</t>
  </si>
  <si>
    <t>Q3 2026</t>
  </si>
  <si>
    <t>30.09.2026</t>
  </si>
  <si>
    <t>28.10.2026</t>
  </si>
  <si>
    <t>FY 2026 sales expected to be $14650M and diluted EPS of 6.29</t>
  </si>
  <si>
    <t>FY 2026 CapEx expected at 4% of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</si>
</sst>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7" fontId="9" fillId="19" borderId="0" xfId="0" applyNumberFormat="1" applyFont="1" applyFill="1"/>
    <xf numFmtId="38" fontId="9" fillId="19" borderId="0" xfId="0" applyNumberFormat="1" applyFont="1" applyFill="1"/>
    <xf numFmtId="0" fontId="9" fillId="19" borderId="0" xfId="0" applyFont="1" applyFill="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2346</c:v>
                </c:pt>
                <c:pt idx="1">
                  <c:v>2036</c:v>
                </c:pt>
                <c:pt idx="2">
                  <c:v>2638</c:v>
                </c:pt>
                <c:pt idx="3">
                  <c:v>2676</c:v>
                </c:pt>
                <c:pt idx="4">
                  <c:v>2880</c:v>
                </c:pt>
                <c:pt idx="5">
                  <c:v>2650</c:v>
                </c:pt>
                <c:pt idx="6">
                  <c:v>3274</c:v>
                </c:pt>
                <c:pt idx="7">
                  <c:v>4312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457</c:v>
                </c:pt>
                <c:pt idx="1">
                  <c:v>291</c:v>
                </c:pt>
                <c:pt idx="2">
                  <c:v>442</c:v>
                </c:pt>
                <c:pt idx="3">
                  <c:v>517</c:v>
                </c:pt>
                <c:pt idx="4">
                  <c:v>580</c:v>
                </c:pt>
                <c:pt idx="5">
                  <c:v>440</c:v>
                </c:pt>
                <c:pt idx="6">
                  <c:v>634</c:v>
                </c:pt>
                <c:pt idx="7">
                  <c:v>984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c:v>
                </c:pt>
                <c:pt idx="1">
                  <c:v>165</c:v>
                </c:pt>
                <c:pt idx="2">
                  <c:v>324</c:v>
                </c:pt>
                <c:pt idx="3">
                  <c:v>399</c:v>
                </c:pt>
                <c:pt idx="4">
                  <c:v>446</c:v>
                </c:pt>
                <c:pt idx="5">
                  <c:v>390</c:v>
                </c:pt>
                <c:pt idx="6">
                  <c:v>498</c:v>
                </c:pt>
                <c:pt idx="7">
                  <c:v>765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0.37084398976982097</c:v>
                </c:pt>
                <c:pt idx="1">
                  <c:v>0.33693516699410608</c:v>
                </c:pt>
                <c:pt idx="2">
                  <c:v>0.33965125094768767</c:v>
                </c:pt>
                <c:pt idx="3">
                  <c:v>0.37780269058295962</c:v>
                </c:pt>
                <c:pt idx="4">
                  <c:v>0.38923611111111112</c:v>
                </c:pt>
                <c:pt idx="5">
                  <c:v>0.37735849056603776</c:v>
                </c:pt>
                <c:pt idx="6">
                  <c:v>0.37721441661576055</c:v>
                </c:pt>
                <c:pt idx="7">
                  <c:v>0.38102968460111319</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0.1947996589940324</c:v>
                </c:pt>
                <c:pt idx="1">
                  <c:v>0.14292730844793713</c:v>
                </c:pt>
                <c:pt idx="2">
                  <c:v>0.16755117513267628</c:v>
                </c:pt>
                <c:pt idx="3">
                  <c:v>0.19319880418535126</c:v>
                </c:pt>
                <c:pt idx="4">
                  <c:v>0.2013888888888889</c:v>
                </c:pt>
                <c:pt idx="5">
                  <c:v>0.16603773584905659</c:v>
                </c:pt>
                <c:pt idx="6">
                  <c:v>0.19364691508857668</c:v>
                </c:pt>
                <c:pt idx="7">
                  <c:v>0.22820037105751392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6.2659846547314574E-2</c:v>
                </c:pt>
                <c:pt idx="1">
                  <c:v>8.1041257367387029E-2</c:v>
                </c:pt>
                <c:pt idx="2">
                  <c:v>0.12282031842304776</c:v>
                </c:pt>
                <c:pt idx="3">
                  <c:v>0.1491031390134529</c:v>
                </c:pt>
                <c:pt idx="4">
                  <c:v>0.15486111111111112</c:v>
                </c:pt>
                <c:pt idx="5">
                  <c:v>0.14716981132075471</c:v>
                </c:pt>
                <c:pt idx="6">
                  <c:v>0.15210751374465487</c:v>
                </c:pt>
                <c:pt idx="7">
                  <c:v>0.17741187384044527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1256</c:v>
                </c:pt>
                <c:pt idx="1">
                  <c:v>1185</c:v>
                </c:pt>
                <c:pt idx="2">
                  <c:v>1602</c:v>
                </c:pt>
                <c:pt idx="3">
                  <c:v>1712</c:v>
                </c:pt>
                <c:pt idx="4">
                  <c:v>1886</c:v>
                </c:pt>
                <c:pt idx="5">
                  <c:v>1814</c:v>
                </c:pt>
                <c:pt idx="6">
                  <c:v>2071</c:v>
                </c:pt>
                <c:pt idx="7">
                  <c:v>2989</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544</c:v>
                </c:pt>
                <c:pt idx="1">
                  <c:v>447</c:v>
                </c:pt>
                <c:pt idx="2">
                  <c:v>560</c:v>
                </c:pt>
                <c:pt idx="3">
                  <c:v>520</c:v>
                </c:pt>
                <c:pt idx="4">
                  <c:v>492</c:v>
                </c:pt>
                <c:pt idx="5">
                  <c:v>514</c:v>
                </c:pt>
                <c:pt idx="6">
                  <c:v>720</c:v>
                </c:pt>
                <c:pt idx="7">
                  <c:v>779</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547</c:v>
                </c:pt>
                <c:pt idx="1">
                  <c:v>404</c:v>
                </c:pt>
                <c:pt idx="2">
                  <c:v>476</c:v>
                </c:pt>
                <c:pt idx="3">
                  <c:v>444</c:v>
                </c:pt>
                <c:pt idx="4">
                  <c:v>502</c:v>
                </c:pt>
                <c:pt idx="5">
                  <c:v>321</c:v>
                </c:pt>
                <c:pt idx="6">
                  <c:v>484</c:v>
                </c:pt>
                <c:pt idx="7">
                  <c:v>545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352</c:v>
                </c:pt>
                <c:pt idx="1">
                  <c:v>253</c:v>
                </c:pt>
                <c:pt idx="2">
                  <c:v>264</c:v>
                </c:pt>
                <c:pt idx="3">
                  <c:v>448</c:v>
                </c:pt>
                <c:pt idx="4">
                  <c:v>903</c:v>
                </c:pt>
                <c:pt idx="5">
                  <c:v>635</c:v>
                </c:pt>
                <c:pt idx="6">
                  <c:v>912</c:v>
                </c:pt>
                <c:pt idx="7">
                  <c:v>632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1875</c:v>
                </c:pt>
                <c:pt idx="1">
                  <c:v>1611</c:v>
                </c:pt>
                <c:pt idx="2">
                  <c:v>2119</c:v>
                </c:pt>
                <c:pt idx="3">
                  <c:v>2168</c:v>
                </c:pt>
                <c:pt idx="4">
                  <c:v>2309</c:v>
                </c:pt>
                <c:pt idx="5">
                  <c:v>2091</c:v>
                </c:pt>
                <c:pt idx="6">
                  <c:v>2606</c:v>
                </c:pt>
                <c:pt idx="7">
                  <c:v>3637</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472</c:v>
                </c:pt>
                <c:pt idx="1">
                  <c:v>425</c:v>
                </c:pt>
                <c:pt idx="2">
                  <c:v>519</c:v>
                </c:pt>
                <c:pt idx="3">
                  <c:v>508</c:v>
                </c:pt>
                <c:pt idx="4">
                  <c:v>571</c:v>
                </c:pt>
                <c:pt idx="5">
                  <c:v>558</c:v>
                </c:pt>
                <c:pt idx="6">
                  <c:v>668</c:v>
                </c:pt>
                <c:pt idx="7">
                  <c:v>676</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https://www.bing.com/financeapi/forcetrigger?t=b19hc7&amp;q=XNYS%3aVRT&amp;form=skydnc</v>
    <v>Learn more on Bing</v>
  </rv>
  <rv s="1">
    <v>0</v>
    <v>VERTIV HOLDINGS CO (XNYS:VRT)</v>
    <v>2</v>
    <v>3</v>
    <v>Finance</v>
    <v>4</v>
    <v>en-US</v>
    <v>b19hc7</v>
    <v>268435456</v>
    <v>1</v>
    <v>Powered by Refinitiv</v>
    <v>379.935</v>
    <v>147.82</v>
    <v>2.1038999999999999</v>
    <v>32.42</v>
    <v>0.155447</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241.55</v>
    <v>Machinery, Equipment &amp; Components</v>
    <v>Stock</v>
    <v>46323.768517383593</v>
    <v>0</v>
    <v>228.82</v>
    <v>92774456436</v>
    <v>VERTIV HOLDINGS CO</v>
    <v>VERTIV HOLDINGS CO</v>
    <v>240.26</v>
    <v>54.533900000000003</v>
    <v>208.56</v>
    <v>240.98</v>
    <v>384988200</v>
    <v>VRT</v>
    <v>VERTIV HOLDINGS CO (XNYS:VRT)</v>
    <v>13546354</v>
    <v>5471268</v>
    <v>2016</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7.0000000000000007E-2</v>
    <v>1.4039999999999999E-3</v>
    <v>US</v>
    <v>50.07</v>
    <v>Index</v>
    <v>6</v>
    <v>49.72</v>
    <v>10 Y TSY YLD NDX</v>
    <v>49.76</v>
    <v>49.86</v>
    <v>49.93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4"/>
  <sheetViews>
    <sheetView tabSelected="1"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6" t="s">
        <v>17</v>
      </c>
      <c r="C2" s="247"/>
      <c r="E2" s="246" t="s">
        <v>280</v>
      </c>
      <c r="F2" s="247"/>
      <c r="H2" s="246" t="s">
        <v>318</v>
      </c>
      <c r="I2" s="247"/>
      <c r="K2" s="132" t="s">
        <v>406</v>
      </c>
    </row>
    <row r="3" spans="2:11" x14ac:dyDescent="0.2">
      <c r="B3" s="179" t="s">
        <v>11</v>
      </c>
      <c r="C3" s="211" t="e" vm="1">
        <v>#VALUE!</v>
      </c>
      <c r="D3" s="2"/>
      <c r="E3" s="179" t="s">
        <v>232</v>
      </c>
      <c r="F3" s="181">
        <f ca="1">Statement!AC147</f>
        <v>94705.14</v>
      </c>
      <c r="H3" s="179" t="str">
        <f>'AVG target price'!B5</f>
        <v>DCF price</v>
      </c>
      <c r="I3" s="205">
        <f>'AVG target price'!C5</f>
        <v>171.51806961556233</v>
      </c>
      <c r="K3" s="241" t="s">
        <v>407</v>
      </c>
    </row>
    <row r="4" spans="2:11" x14ac:dyDescent="0.2">
      <c r="B4" s="179" t="s">
        <v>0</v>
      </c>
      <c r="C4" s="183" t="str" cm="1">
        <f t="array" aca="1" ref="C4" ca="1">_FV(C3,"Ticker symbol",TRUE)</f>
        <v>VRT</v>
      </c>
      <c r="E4" s="180" t="s">
        <v>184</v>
      </c>
      <c r="F4" s="182">
        <f ca="1">Statement!AC148</f>
        <v>93921.14</v>
      </c>
      <c r="H4" s="179" t="str">
        <f>'AVG target price'!B6</f>
        <v>EV/EBIT price</v>
      </c>
      <c r="I4" s="205">
        <f>'AVG target price'!C6</f>
        <v>376.3238888837447</v>
      </c>
      <c r="K4" s="241" t="s">
        <v>408</v>
      </c>
    </row>
    <row r="5" spans="2:11" x14ac:dyDescent="0.2">
      <c r="B5" s="179" t="s">
        <v>1</v>
      </c>
      <c r="C5" s="202" cm="1">
        <f t="array" aca="1" ref="C5" ca="1">_FV(C3,"Price",TRUE)</f>
        <v>240.98</v>
      </c>
      <c r="E5" s="179" t="s">
        <v>236</v>
      </c>
      <c r="F5" s="183">
        <f>Statement!AC25</f>
        <v>5.35</v>
      </c>
      <c r="H5" s="179" t="str">
        <f>'AVG target price'!B7</f>
        <v>PS price</v>
      </c>
      <c r="I5" s="205">
        <f>'AVG target price'!C7</f>
        <v>259.36511174241161</v>
      </c>
      <c r="K5" s="241" t="s">
        <v>409</v>
      </c>
    </row>
    <row r="6" spans="2:11" x14ac:dyDescent="0.2">
      <c r="B6" s="179" t="s">
        <v>2</v>
      </c>
      <c r="C6" s="202" t="e" cm="1" vm="2">
        <f t="array" ref="C6">_FV(C3,"Price (Extended hours)",TRUE)</f>
        <v>#VALUE!</v>
      </c>
      <c r="E6" s="179" t="s">
        <v>230</v>
      </c>
      <c r="F6" s="184">
        <f ca="1">Statement!AC144</f>
        <v>45.04299065420561</v>
      </c>
      <c r="H6" s="179" t="str">
        <f>'AVG target price'!B8</f>
        <v>EV/FCFF price</v>
      </c>
      <c r="I6" s="205">
        <f>'AVG target price'!C8</f>
        <v>366.39329333972512</v>
      </c>
      <c r="K6" s="242" t="s">
        <v>410</v>
      </c>
    </row>
    <row r="7" spans="2:11" x14ac:dyDescent="0.2">
      <c r="B7" s="179" t="s">
        <v>3</v>
      </c>
      <c r="C7" s="6" cm="1">
        <f t="array" aca="1" ref="C7" ca="1">_FV(C3,"Change")</f>
        <v>32.42</v>
      </c>
      <c r="E7" s="180" t="s">
        <v>197</v>
      </c>
      <c r="F7" s="185">
        <f ca="1">Statement!AC145</f>
        <v>7.2113944800243974</v>
      </c>
      <c r="H7" s="179" t="str">
        <f>'AVG target price'!B9</f>
        <v>EV/Sales price</v>
      </c>
      <c r="I7" s="205">
        <f>'AVG target price'!C9</f>
        <v>297.18268464594667</v>
      </c>
    </row>
    <row r="8" spans="2:11" x14ac:dyDescent="0.2">
      <c r="B8" s="179" t="s">
        <v>4</v>
      </c>
      <c r="C8" s="6" t="e" cm="1" vm="3">
        <f t="array" ref="C8">_FV(C3,"Change (extended hours)",TRUE)</f>
        <v>#VALUE!</v>
      </c>
      <c r="E8" s="179" t="s">
        <v>258</v>
      </c>
      <c r="F8" s="186">
        <f ca="1">Statement!AC155</f>
        <v>3.2543112232345572E-2</v>
      </c>
      <c r="H8" s="178" t="str">
        <f>'AVG target price'!B10</f>
        <v>AVG price</v>
      </c>
      <c r="I8" s="206">
        <f>'AVG target price'!C10</f>
        <v>294.15660964547806</v>
      </c>
    </row>
    <row r="9" spans="2:11" x14ac:dyDescent="0.2">
      <c r="B9" s="179" t="s">
        <v>5</v>
      </c>
      <c r="C9" s="73" cm="1">
        <f t="array" aca="1" ref="C9" ca="1">_FV(C3,"Change (%)",TRUE)</f>
        <v>0.155447</v>
      </c>
      <c r="E9" s="179" t="s">
        <v>281</v>
      </c>
      <c r="F9" s="186">
        <f ca="1">Statement!AC156</f>
        <v>2.2201012532160346E-2</v>
      </c>
      <c r="H9" s="178" t="str">
        <f>'AVG target price'!B12</f>
        <v>Upside/Downside</v>
      </c>
      <c r="I9" s="207">
        <f ca="1">'AVG target price'!C12</f>
        <v>0.22066814526300135</v>
      </c>
    </row>
    <row r="10" spans="2:11" x14ac:dyDescent="0.2">
      <c r="B10" s="179" t="s">
        <v>6</v>
      </c>
      <c r="C10" s="73" t="e" cm="1" vm="4">
        <f t="array" ref="C10">_FV(C3,"Change % (extended hours)",TRUE)</f>
        <v>#VALUE!</v>
      </c>
      <c r="E10" s="179" t="s">
        <v>286</v>
      </c>
      <c r="F10" s="186">
        <f ca="1">Statement!AC158</f>
        <v>0</v>
      </c>
    </row>
    <row r="11" spans="2:11" x14ac:dyDescent="0.2">
      <c r="B11" s="179" t="s">
        <v>7</v>
      </c>
      <c r="C11" s="203" cm="1">
        <f t="array" aca="1" ref="C11" ca="1">_FV(C3,"52 week high",TRUE)</f>
        <v>379.935</v>
      </c>
      <c r="E11" s="180" t="s">
        <v>282</v>
      </c>
      <c r="F11" s="187">
        <f ca="1">Statement!AC157</f>
        <v>1.0374304921570256E-3</v>
      </c>
      <c r="H11" s="178" t="s">
        <v>359</v>
      </c>
      <c r="I11" s="206">
        <f>DDM!C26</f>
        <v>2</v>
      </c>
    </row>
    <row r="12" spans="2:11" x14ac:dyDescent="0.2">
      <c r="B12" s="179" t="s">
        <v>8</v>
      </c>
      <c r="C12" s="203" cm="1">
        <f t="array" aca="1" ref="C12" ca="1">_FV(C3,"52 week low",TRUE)</f>
        <v>147.82</v>
      </c>
      <c r="E12" s="179" t="s">
        <v>98</v>
      </c>
      <c r="F12" s="186">
        <f>Statement!AC121</f>
        <v>0.11548830811554332</v>
      </c>
    </row>
    <row r="13" spans="2:11" x14ac:dyDescent="0.2">
      <c r="B13" s="179" t="s">
        <v>9</v>
      </c>
      <c r="C13" s="203" cm="1">
        <f t="array" aca="1" ref="C13" ca="1">_FV(C3,"Beta")</f>
        <v>2.1038999999999999</v>
      </c>
      <c r="E13" s="179" t="s">
        <v>100</v>
      </c>
      <c r="F13" s="186">
        <f>Statement!AC123</f>
        <v>0.38149763722282803</v>
      </c>
      <c r="H13" s="245" t="s">
        <v>403</v>
      </c>
      <c r="I13" s="243">
        <f>'Reverse DCF'!C17</f>
        <v>0.44</v>
      </c>
    </row>
    <row r="14" spans="2:11" x14ac:dyDescent="0.2">
      <c r="B14" s="180" t="s">
        <v>10</v>
      </c>
      <c r="C14" s="204" cm="1">
        <f t="array" aca="1" ref="C14" ca="1">_FV(C3,"Volume average",TRUE)</f>
        <v>5471268</v>
      </c>
      <c r="E14" s="180" t="s">
        <v>101</v>
      </c>
      <c r="F14" s="187">
        <f>Statement!AC134</f>
        <v>0.44841961231175292</v>
      </c>
      <c r="H14" s="180" t="s">
        <v>412</v>
      </c>
      <c r="I14" s="244">
        <f>'Reverse DCF'!C16</f>
        <v>225.19643665502934</v>
      </c>
    </row>
    <row r="15" spans="2:11" x14ac:dyDescent="0.2">
      <c r="E15" s="179" t="s">
        <v>283</v>
      </c>
      <c r="F15" s="186">
        <f ca="1">Statement!AC170</f>
        <v>8.2783257592988092E-3</v>
      </c>
    </row>
    <row r="16" spans="2:11" x14ac:dyDescent="0.2">
      <c r="E16" s="180" t="s">
        <v>288</v>
      </c>
      <c r="F16" s="185">
        <f>Statement!AC169</f>
        <v>2.0363636363636362</v>
      </c>
      <c r="H16" s="246" t="s">
        <v>405</v>
      </c>
      <c r="I16" s="247"/>
    </row>
    <row r="17" spans="2:9" x14ac:dyDescent="0.2">
      <c r="B17" s="248" t="s">
        <v>87</v>
      </c>
      <c r="C17" s="248"/>
      <c r="E17" s="178" t="s">
        <v>289</v>
      </c>
      <c r="F17" s="188">
        <f>Statement!AC165</f>
        <v>2.5445292620865138E-2</v>
      </c>
      <c r="H17" s="179" t="s">
        <v>161</v>
      </c>
      <c r="I17" s="239">
        <f>DCF!C15</f>
        <v>0.12</v>
      </c>
    </row>
    <row r="18" spans="2:9" x14ac:dyDescent="0.2">
      <c r="B18" s="178" t="s">
        <v>12</v>
      </c>
      <c r="C18" s="69" t="s">
        <v>348</v>
      </c>
      <c r="E18" s="179" t="s">
        <v>290</v>
      </c>
      <c r="F18" s="184">
        <f>Statement!AC138</f>
        <v>123.82289167314124</v>
      </c>
      <c r="H18" s="180" t="s">
        <v>404</v>
      </c>
      <c r="I18" s="240">
        <f>Multiples!C54</f>
        <v>0.125</v>
      </c>
    </row>
    <row r="19" spans="2:9" x14ac:dyDescent="0.2">
      <c r="B19" s="178" t="s">
        <v>13</v>
      </c>
      <c r="C19" s="70">
        <v>1000000</v>
      </c>
      <c r="E19" s="179" t="s">
        <v>251</v>
      </c>
      <c r="F19" s="184">
        <f>Statement!AC140</f>
        <v>-0.14249363867684478</v>
      </c>
    </row>
    <row r="20" spans="2:9" x14ac:dyDescent="0.2">
      <c r="B20" s="178" t="s">
        <v>88</v>
      </c>
      <c r="C20" s="69" t="s">
        <v>357</v>
      </c>
      <c r="E20" s="180" t="s">
        <v>291</v>
      </c>
      <c r="F20" s="185">
        <f>Statement!AC141</f>
        <v>0.92894042015842038</v>
      </c>
    </row>
    <row r="21" spans="2:9" x14ac:dyDescent="0.2">
      <c r="B21" s="178" t="s">
        <v>89</v>
      </c>
      <c r="C21" s="69" t="s">
        <v>90</v>
      </c>
      <c r="I21" s="50"/>
    </row>
    <row r="22" spans="2:9" x14ac:dyDescent="0.2">
      <c r="B22" s="178" t="s">
        <v>91</v>
      </c>
      <c r="C22" s="69" t="s">
        <v>357</v>
      </c>
    </row>
    <row r="25" spans="2:9" x14ac:dyDescent="0.2">
      <c r="B25" s="248" t="s">
        <v>103</v>
      </c>
      <c r="C25" s="248"/>
      <c r="E25" s="246" t="s">
        <v>331</v>
      </c>
      <c r="F25" s="247"/>
    </row>
    <row r="26" spans="2:9" x14ac:dyDescent="0.2">
      <c r="B26" s="178" t="s">
        <v>104</v>
      </c>
      <c r="C26" s="164">
        <v>0.21</v>
      </c>
      <c r="E26" s="179" t="e" vm="5">
        <v>#VALUE!</v>
      </c>
      <c r="F26" s="213" cm="1">
        <f t="array" aca="1" ref="F26" ca="1">_FV(E26,"Price")</f>
        <v>49.93</v>
      </c>
    </row>
    <row r="27" spans="2:9" x14ac:dyDescent="0.2">
      <c r="B27" s="178" t="s">
        <v>168</v>
      </c>
      <c r="C27" s="215">
        <v>0.06</v>
      </c>
      <c r="E27" s="180" t="s">
        <v>332</v>
      </c>
      <c r="F27" s="214">
        <f ca="1">F26/1000</f>
        <v>4.9930000000000002E-2</v>
      </c>
    </row>
    <row r="28" spans="2:9" x14ac:dyDescent="0.2">
      <c r="B28" s="178" t="s">
        <v>336</v>
      </c>
      <c r="C28" s="215">
        <v>0.12</v>
      </c>
    </row>
    <row r="29" spans="2:9" x14ac:dyDescent="0.2">
      <c r="B29" s="178" t="s">
        <v>358</v>
      </c>
      <c r="C29" s="215">
        <v>0.125</v>
      </c>
    </row>
    <row r="33" spans="2:8" x14ac:dyDescent="0.2">
      <c r="B33" s="132" t="s">
        <v>326</v>
      </c>
      <c r="C33" s="132"/>
      <c r="D33" s="132"/>
      <c r="E33" s="132"/>
      <c r="F33" s="132"/>
      <c r="G33" s="132"/>
      <c r="H33" s="132"/>
    </row>
    <row r="35" spans="2:8" x14ac:dyDescent="0.2">
      <c r="B35" s="16" t="s">
        <v>327</v>
      </c>
      <c r="C35" s="1" t="s">
        <v>370</v>
      </c>
    </row>
    <row r="36" spans="2:8" x14ac:dyDescent="0.2">
      <c r="B36" s="16" t="s">
        <v>328</v>
      </c>
      <c r="C36" s="1" t="s">
        <v>369</v>
      </c>
    </row>
    <row r="39" spans="2:8" ht="6" customHeight="1" x14ac:dyDescent="0.2">
      <c r="B39" s="132"/>
      <c r="C39" s="132"/>
      <c r="D39" s="132"/>
      <c r="E39" s="132"/>
      <c r="F39" s="132"/>
      <c r="G39" s="132"/>
      <c r="H39" s="132"/>
    </row>
    <row r="42" spans="2:8" x14ac:dyDescent="0.2">
      <c r="B42" s="132" t="s">
        <v>329</v>
      </c>
      <c r="C42" s="132"/>
      <c r="D42" s="132"/>
      <c r="E42" s="132"/>
      <c r="F42" s="132"/>
      <c r="G42" s="132"/>
      <c r="H42" s="132"/>
    </row>
    <row r="44" spans="2:8" x14ac:dyDescent="0.2">
      <c r="B44" s="41" t="s">
        <v>330</v>
      </c>
      <c r="C44" s="41" t="s">
        <v>419</v>
      </c>
      <c r="D44" s="41"/>
      <c r="E44" s="41" t="s">
        <v>417</v>
      </c>
    </row>
    <row r="45" spans="2:8" x14ac:dyDescent="0.2">
      <c r="B45" s="1" t="s">
        <v>392</v>
      </c>
      <c r="C45" s="1" t="s">
        <v>420</v>
      </c>
    </row>
    <row r="46" spans="2:8" x14ac:dyDescent="0.2">
      <c r="B46" s="1" t="s">
        <v>392</v>
      </c>
      <c r="C46" s="1" t="s">
        <v>421</v>
      </c>
    </row>
    <row r="49" spans="2:8" x14ac:dyDescent="0.2">
      <c r="B49" s="41" t="s">
        <v>330</v>
      </c>
      <c r="C49" s="41" t="s">
        <v>391</v>
      </c>
      <c r="D49" s="41"/>
      <c r="E49" s="41" t="s">
        <v>84</v>
      </c>
    </row>
    <row r="50" spans="2:8" x14ac:dyDescent="0.2">
      <c r="B50" s="1" t="s">
        <v>392</v>
      </c>
      <c r="C50" s="1" t="s">
        <v>393</v>
      </c>
    </row>
    <row r="54" spans="2:8" ht="5" customHeight="1" x14ac:dyDescent="0.2">
      <c r="B54" s="132"/>
      <c r="C54" s="132"/>
      <c r="D54" s="132"/>
      <c r="E54" s="132"/>
      <c r="F54" s="132"/>
      <c r="G54" s="132"/>
      <c r="H54" s="132"/>
    </row>
    <row r="57" spans="2:8" x14ac:dyDescent="0.2">
      <c r="B57" s="132" t="s">
        <v>105</v>
      </c>
      <c r="C57" s="132"/>
      <c r="D57" s="132"/>
      <c r="E57" s="132"/>
      <c r="F57" s="132"/>
      <c r="G57" s="132"/>
      <c r="H57" s="132"/>
    </row>
    <row r="59" spans="2:8" x14ac:dyDescent="0.2">
      <c r="B59" s="41" t="s">
        <v>330</v>
      </c>
      <c r="C59" s="41" t="s">
        <v>349</v>
      </c>
      <c r="D59" s="41"/>
      <c r="E59" s="41" t="s">
        <v>353</v>
      </c>
    </row>
    <row r="64" spans="2:8" ht="5" customHeight="1" x14ac:dyDescent="0.2">
      <c r="B64" s="132"/>
      <c r="C64" s="132"/>
      <c r="D64" s="132"/>
      <c r="E64" s="132"/>
      <c r="F64" s="132"/>
      <c r="G64" s="132"/>
      <c r="H64"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A8285E3-EE3A-594B-A7E4-A6756D981DC3}"/>
    <hyperlink ref="K4" location="'Analysis -&gt;'!B13" display="'Analysis -&gt;'!B13" xr:uid="{51C95201-2E79-CB40-BE2F-DB0430E55621}"/>
    <hyperlink ref="K5" location="'Forecast -&gt;'!B13" display="'Forecast -&gt;'!B13" xr:uid="{5CC9E297-2810-F046-99BA-526EA0E694CA}"/>
    <hyperlink ref="K6" location="'Valuation -&gt;'!B13" display="'Valuation -&gt;'!B13" xr:uid="{814DC2F0-0B4A-F340-8A3F-90D55D30380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406</v>
      </c>
    </row>
    <row r="6" spans="2:8" x14ac:dyDescent="0.2">
      <c r="H6" s="241" t="s">
        <v>411</v>
      </c>
    </row>
    <row r="7" spans="2:8" x14ac:dyDescent="0.2">
      <c r="H7" s="241" t="s">
        <v>407</v>
      </c>
    </row>
    <row r="8" spans="2:8" x14ac:dyDescent="0.2">
      <c r="H8" s="241" t="s">
        <v>408</v>
      </c>
    </row>
    <row r="9" spans="2:8" x14ac:dyDescent="0.2">
      <c r="H9" s="241" t="s">
        <v>409</v>
      </c>
    </row>
    <row r="10" spans="2:8" x14ac:dyDescent="0.2">
      <c r="H10" s="242" t="s">
        <v>410</v>
      </c>
    </row>
    <row r="13" spans="2:8" s="4" customFormat="1" ht="49" x14ac:dyDescent="0.2">
      <c r="B13" s="3" t="s">
        <v>14</v>
      </c>
    </row>
  </sheetData>
  <hyperlinks>
    <hyperlink ref="H6" location="Overview!B3" display="Overview'!B3" xr:uid="{1E852F44-8DB8-F84B-B4B1-2F85B49EB2F7}"/>
    <hyperlink ref="H8" location="'Analysis -&gt;'!B13" display="'Analysis -&gt;'!B13" xr:uid="{74F55457-C2AE-6042-8E0D-AEC2CD0FCA13}"/>
    <hyperlink ref="H9" location="'Forecast -&gt;'!B13" display="'Forecast -&gt;'!B13" xr:uid="{46EDEF29-0E50-524C-A995-CE6847FAAF68}"/>
    <hyperlink ref="H10" location="'Valuation -&gt;'!B13" display="'Valuation -&gt;'!B13" xr:uid="{4B91D5F7-939C-B04B-A0A0-B76289CAE992}"/>
    <hyperlink ref="H7" location="'Financials -&gt;'!B13" display="'Financials -&gt;'!B13" xr:uid="{FBA75AB5-9B6C-3A48-9FBC-A1B9BEAA926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200" zoomScaleNormal="150" workbookViewId="0">
      <pane xSplit="2" ySplit="3" topLeftCell="Y124" activePane="bottomRight" state="frozen"/>
      <selection pane="topRight" activeCell="C1" sqref="C1"/>
      <selection pane="bottomLeft" activeCell="A4" sqref="A4"/>
      <selection pane="bottomRight" activeCell="X17" sqref="X1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372</v>
      </c>
      <c r="U2" s="10" t="s">
        <v>380</v>
      </c>
      <c r="V2" s="10" t="s">
        <v>378</v>
      </c>
      <c r="W2" s="197" t="s">
        <v>381</v>
      </c>
      <c r="X2" s="197" t="s">
        <v>371</v>
      </c>
      <c r="Y2" s="197" t="s">
        <v>379</v>
      </c>
      <c r="Z2" s="197" t="s">
        <v>377</v>
      </c>
      <c r="AA2" s="197" t="s">
        <v>418</v>
      </c>
      <c r="AB2" s="7"/>
      <c r="AD2" s="7"/>
      <c r="AE2" s="7"/>
    </row>
    <row r="3" spans="1:31" s="13" customFormat="1" x14ac:dyDescent="0.2">
      <c r="A3" s="11"/>
      <c r="B3" s="12" t="s">
        <v>16</v>
      </c>
      <c r="M3" s="13">
        <v>2021</v>
      </c>
      <c r="N3" s="13">
        <v>2022</v>
      </c>
      <c r="O3" s="13">
        <v>2023</v>
      </c>
      <c r="P3" s="13">
        <v>2024</v>
      </c>
      <c r="Q3" s="13">
        <v>2025</v>
      </c>
      <c r="R3" s="11"/>
      <c r="S3" s="11"/>
      <c r="T3" s="10" t="s">
        <v>350</v>
      </c>
      <c r="U3" s="10" t="s">
        <v>351</v>
      </c>
      <c r="V3" s="10" t="s">
        <v>85</v>
      </c>
      <c r="W3" s="197" t="s">
        <v>83</v>
      </c>
      <c r="X3" s="197" t="s">
        <v>82</v>
      </c>
      <c r="Y3" s="197" t="s">
        <v>86</v>
      </c>
      <c r="Z3" s="197" t="s">
        <v>84</v>
      </c>
      <c r="AA3" s="197" t="s">
        <v>417</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2346</v>
      </c>
      <c r="U5" s="18">
        <v>2036</v>
      </c>
      <c r="V5" s="18">
        <v>2638</v>
      </c>
      <c r="W5" s="18">
        <v>2676</v>
      </c>
      <c r="X5" s="18">
        <v>2880</v>
      </c>
      <c r="Y5" s="18">
        <v>2650</v>
      </c>
      <c r="Z5" s="18">
        <v>3274</v>
      </c>
      <c r="AA5" s="18">
        <v>4312</v>
      </c>
      <c r="AB5" s="16"/>
      <c r="AC5" s="18">
        <f>SUM(X5:AA5)</f>
        <v>13116</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1476</v>
      </c>
      <c r="U6" s="21">
        <v>1350</v>
      </c>
      <c r="V6" s="21">
        <v>1742</v>
      </c>
      <c r="W6" s="21">
        <v>1665</v>
      </c>
      <c r="X6" s="21">
        <v>1759</v>
      </c>
      <c r="Y6" s="21">
        <v>1650</v>
      </c>
      <c r="Z6" s="21">
        <v>2039</v>
      </c>
      <c r="AA6" s="21">
        <v>2669</v>
      </c>
      <c r="AC6" s="21">
        <f t="shared" ref="AC6:AC17" si="0">SUM(X6:AA6)</f>
        <v>8117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Z7" si="2">T5-T6</f>
        <v>870</v>
      </c>
      <c r="U7" s="22">
        <f t="shared" si="2"/>
        <v>686</v>
      </c>
      <c r="V7" s="22">
        <f t="shared" si="2"/>
        <v>896</v>
      </c>
      <c r="W7" s="22">
        <f t="shared" si="2"/>
        <v>1011</v>
      </c>
      <c r="X7" s="22">
        <f t="shared" si="2"/>
        <v>1121</v>
      </c>
      <c r="Y7" s="22">
        <f t="shared" si="2"/>
        <v>1000</v>
      </c>
      <c r="Z7" s="22">
        <f t="shared" si="2"/>
        <v>1235</v>
      </c>
      <c r="AA7" s="22">
        <f t="shared" ref="Z7:AA7" si="3">AA5-AA6</f>
        <v>1643</v>
      </c>
      <c r="AB7" s="16"/>
      <c r="AC7" s="22">
        <f t="shared" si="0"/>
        <v>4999</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362</v>
      </c>
      <c r="U8" s="21">
        <v>346</v>
      </c>
      <c r="V8" s="21">
        <v>396</v>
      </c>
      <c r="W8" s="21">
        <v>414</v>
      </c>
      <c r="X8" s="21">
        <v>462</v>
      </c>
      <c r="Y8" s="21">
        <v>457</v>
      </c>
      <c r="Z8" s="21">
        <v>494</v>
      </c>
      <c r="AA8" s="21">
        <v>557</v>
      </c>
      <c r="AC8" s="21">
        <f t="shared" si="0"/>
        <v>1970</v>
      </c>
    </row>
    <row r="9" spans="1:31" x14ac:dyDescent="0.2">
      <c r="B9" s="20" t="s">
        <v>374</v>
      </c>
      <c r="C9" s="21"/>
      <c r="D9" s="21"/>
      <c r="E9" s="21"/>
      <c r="F9" s="21"/>
      <c r="G9" s="21"/>
      <c r="H9" s="21"/>
      <c r="I9" s="21"/>
      <c r="J9" s="21"/>
      <c r="K9" s="21"/>
      <c r="L9" s="21"/>
      <c r="M9" s="21">
        <v>144</v>
      </c>
      <c r="N9" s="21">
        <v>216</v>
      </c>
      <c r="O9" s="21">
        <v>181</v>
      </c>
      <c r="P9" s="21">
        <v>184</v>
      </c>
      <c r="Q9" s="21">
        <v>200</v>
      </c>
      <c r="T9" s="21">
        <v>47</v>
      </c>
      <c r="U9" s="21">
        <v>46</v>
      </c>
      <c r="V9" s="21">
        <v>47</v>
      </c>
      <c r="W9" s="21">
        <v>48</v>
      </c>
      <c r="X9" s="21">
        <v>59</v>
      </c>
      <c r="Y9" s="21">
        <v>78</v>
      </c>
      <c r="Z9" s="21">
        <v>74</v>
      </c>
      <c r="AA9" s="21">
        <v>65</v>
      </c>
      <c r="AC9" s="21">
        <f t="shared" si="0"/>
        <v>276</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Z10" si="7">T7-T11</f>
        <v>413</v>
      </c>
      <c r="U10" s="25">
        <f t="shared" si="7"/>
        <v>395</v>
      </c>
      <c r="V10" s="25">
        <f t="shared" si="7"/>
        <v>454</v>
      </c>
      <c r="W10" s="25">
        <f t="shared" si="7"/>
        <v>494</v>
      </c>
      <c r="X10" s="25">
        <f t="shared" si="7"/>
        <v>541</v>
      </c>
      <c r="Y10" s="25">
        <f t="shared" si="7"/>
        <v>560</v>
      </c>
      <c r="Z10" s="25">
        <f t="shared" si="7"/>
        <v>601</v>
      </c>
      <c r="AA10" s="25">
        <f t="shared" ref="T10:AA10" si="8">AA7-AA11</f>
        <v>659</v>
      </c>
      <c r="AC10" s="21">
        <f t="shared" si="0"/>
        <v>2361</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457</v>
      </c>
      <c r="U11" s="18">
        <v>291</v>
      </c>
      <c r="V11" s="18">
        <v>442</v>
      </c>
      <c r="W11" s="18">
        <v>517</v>
      </c>
      <c r="X11" s="18">
        <v>580</v>
      </c>
      <c r="Y11" s="18">
        <v>440</v>
      </c>
      <c r="Z11" s="18">
        <v>634</v>
      </c>
      <c r="AA11" s="18">
        <v>984</v>
      </c>
      <c r="AB11" s="1"/>
      <c r="AC11" s="18">
        <f t="shared" si="0"/>
        <v>2638</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-31</v>
      </c>
      <c r="U12" s="62">
        <v>-25</v>
      </c>
      <c r="V12" s="62">
        <v>-21</v>
      </c>
      <c r="W12" s="62">
        <v>-23</v>
      </c>
      <c r="X12" s="62">
        <v>-17</v>
      </c>
      <c r="Y12" s="62">
        <v>4</v>
      </c>
      <c r="Z12" s="62">
        <v>-17</v>
      </c>
      <c r="AA12" s="62">
        <v>-6</v>
      </c>
      <c r="AC12" s="62">
        <f t="shared" si="0"/>
        <v>-36</v>
      </c>
    </row>
    <row r="13" spans="1:31" x14ac:dyDescent="0.2">
      <c r="B13" s="23" t="s">
        <v>25</v>
      </c>
      <c r="C13" s="21"/>
      <c r="D13" s="21"/>
      <c r="E13" s="21"/>
      <c r="F13" s="21"/>
      <c r="G13" s="21"/>
      <c r="H13" s="21"/>
      <c r="I13" s="21"/>
      <c r="J13" s="21"/>
      <c r="K13" s="21"/>
      <c r="L13" s="21"/>
      <c r="M13" s="62">
        <v>-90</v>
      </c>
      <c r="N13" s="62">
        <v>91</v>
      </c>
      <c r="O13" s="62">
        <v>-158</v>
      </c>
      <c r="P13" s="62">
        <v>-451</v>
      </c>
      <c r="Q13" s="62">
        <v>-2</v>
      </c>
      <c r="T13" s="62">
        <v>-181</v>
      </c>
      <c r="U13" s="62">
        <v>0</v>
      </c>
      <c r="V13" s="62">
        <v>0</v>
      </c>
      <c r="W13" s="62">
        <v>0</v>
      </c>
      <c r="X13" s="62">
        <v>0</v>
      </c>
      <c r="Y13" s="62">
        <v>-6</v>
      </c>
      <c r="Z13" s="62">
        <v>-1</v>
      </c>
      <c r="AA13" s="62">
        <v>17</v>
      </c>
      <c r="AC13" s="62">
        <f t="shared" si="0"/>
        <v>10</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245</v>
      </c>
      <c r="U14" s="18">
        <v>265</v>
      </c>
      <c r="V14" s="18">
        <v>421</v>
      </c>
      <c r="W14" s="18">
        <v>492</v>
      </c>
      <c r="X14" s="18">
        <v>563</v>
      </c>
      <c r="Y14" s="18">
        <v>438</v>
      </c>
      <c r="Z14" s="18">
        <v>620</v>
      </c>
      <c r="AA14" s="18">
        <v>995</v>
      </c>
      <c r="AB14" s="1"/>
      <c r="AC14" s="18">
        <f t="shared" si="0"/>
        <v>2616</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-98</v>
      </c>
      <c r="U15" s="62">
        <v>-101</v>
      </c>
      <c r="V15" s="62">
        <v>-97</v>
      </c>
      <c r="W15" s="62">
        <v>-94</v>
      </c>
      <c r="X15" s="62">
        <v>-118</v>
      </c>
      <c r="Y15" s="62">
        <v>-48</v>
      </c>
      <c r="Z15" s="62">
        <v>-122</v>
      </c>
      <c r="AA15" s="62">
        <v>-230</v>
      </c>
      <c r="AC15" s="62">
        <f t="shared" si="0"/>
        <v>-518</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147</v>
      </c>
      <c r="U17" s="18">
        <v>165</v>
      </c>
      <c r="V17" s="18">
        <v>324</v>
      </c>
      <c r="W17" s="18">
        <v>399</v>
      </c>
      <c r="X17" s="18">
        <v>446</v>
      </c>
      <c r="Y17" s="18">
        <v>390</v>
      </c>
      <c r="Z17" s="18">
        <v>498</v>
      </c>
      <c r="AA17" s="18">
        <v>765</v>
      </c>
      <c r="AB17" s="1"/>
      <c r="AC17" s="61">
        <f t="shared" si="0"/>
        <v>2099</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377</v>
      </c>
      <c r="U18" s="21">
        <v>381</v>
      </c>
      <c r="V18" s="21">
        <v>381</v>
      </c>
      <c r="W18" s="21">
        <v>382</v>
      </c>
      <c r="X18" s="21">
        <v>382</v>
      </c>
      <c r="Y18" s="21">
        <v>383</v>
      </c>
      <c r="Z18" s="21">
        <v>385</v>
      </c>
      <c r="AA18" s="21">
        <v>385</v>
      </c>
      <c r="AC18" s="62">
        <f>AVERAGE(X18:AA18)</f>
        <v>383.75</v>
      </c>
    </row>
    <row r="19" spans="1:31" x14ac:dyDescent="0.2">
      <c r="B19" s="23" t="s">
        <v>30</v>
      </c>
      <c r="C19" s="25">
        <f t="shared" ref="C19:Q19" si="9">C18*C$84</f>
        <v>0</v>
      </c>
      <c r="D19" s="25">
        <f t="shared" si="9"/>
        <v>0</v>
      </c>
      <c r="E19" s="25">
        <f t="shared" si="9"/>
        <v>0</v>
      </c>
      <c r="F19" s="25">
        <f t="shared" si="9"/>
        <v>0</v>
      </c>
      <c r="G19" s="25">
        <f t="shared" si="9"/>
        <v>0</v>
      </c>
      <c r="H19" s="25">
        <f t="shared" si="9"/>
        <v>0</v>
      </c>
      <c r="I19" s="25">
        <f t="shared" si="9"/>
        <v>0</v>
      </c>
      <c r="J19" s="25">
        <f t="shared" si="9"/>
        <v>0</v>
      </c>
      <c r="K19" s="25">
        <f t="shared" si="9"/>
        <v>0</v>
      </c>
      <c r="L19" s="25">
        <f t="shared" si="9"/>
        <v>0</v>
      </c>
      <c r="M19" s="25">
        <f t="shared" si="9"/>
        <v>356</v>
      </c>
      <c r="N19" s="25">
        <f t="shared" si="9"/>
        <v>377</v>
      </c>
      <c r="O19" s="25">
        <f t="shared" si="9"/>
        <v>380</v>
      </c>
      <c r="P19" s="25">
        <f t="shared" si="9"/>
        <v>376</v>
      </c>
      <c r="Q19" s="25">
        <f t="shared" si="9"/>
        <v>382</v>
      </c>
      <c r="T19" s="25">
        <f t="shared" ref="T19:Z19" si="10">T18*T$84</f>
        <v>377</v>
      </c>
      <c r="U19" s="25">
        <f t="shared" si="10"/>
        <v>381</v>
      </c>
      <c r="V19" s="25">
        <f t="shared" si="10"/>
        <v>381</v>
      </c>
      <c r="W19" s="25">
        <f t="shared" si="10"/>
        <v>382</v>
      </c>
      <c r="X19" s="25">
        <f t="shared" si="10"/>
        <v>382</v>
      </c>
      <c r="Y19" s="25">
        <f t="shared" si="10"/>
        <v>383</v>
      </c>
      <c r="Z19" s="25">
        <f t="shared" ref="Z19:AA19" si="11">Z18*Z$84</f>
        <v>385</v>
      </c>
      <c r="AA19" s="25">
        <f t="shared" si="11"/>
        <v>385</v>
      </c>
      <c r="AC19" s="25">
        <f>AC18*AC$84</f>
        <v>383.75</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386</v>
      </c>
      <c r="U20" s="21">
        <v>390</v>
      </c>
      <c r="V20" s="21">
        <v>390</v>
      </c>
      <c r="W20" s="21">
        <v>391</v>
      </c>
      <c r="X20" s="21">
        <v>392</v>
      </c>
      <c r="Y20" s="21">
        <v>392</v>
      </c>
      <c r="Z20" s="21">
        <v>393</v>
      </c>
      <c r="AA20" s="21">
        <v>393</v>
      </c>
      <c r="AC20" s="62">
        <f>AVERAGE(X20:AA20)</f>
        <v>392.5</v>
      </c>
    </row>
    <row r="21" spans="1:31" x14ac:dyDescent="0.2">
      <c r="B21" s="23" t="s">
        <v>32</v>
      </c>
      <c r="C21" s="25">
        <f t="shared" ref="C21:Q21" si="12">C20*C$84</f>
        <v>0</v>
      </c>
      <c r="D21" s="25">
        <f t="shared" si="12"/>
        <v>0</v>
      </c>
      <c r="E21" s="25">
        <f t="shared" si="12"/>
        <v>0</v>
      </c>
      <c r="F21" s="25">
        <f t="shared" si="12"/>
        <v>0</v>
      </c>
      <c r="G21" s="25">
        <f t="shared" si="12"/>
        <v>0</v>
      </c>
      <c r="H21" s="25">
        <f t="shared" si="12"/>
        <v>0</v>
      </c>
      <c r="I21" s="25">
        <f t="shared" si="12"/>
        <v>0</v>
      </c>
      <c r="J21" s="25">
        <f t="shared" si="12"/>
        <v>0</v>
      </c>
      <c r="K21" s="25">
        <f t="shared" si="12"/>
        <v>0</v>
      </c>
      <c r="L21" s="25">
        <f t="shared" si="12"/>
        <v>0</v>
      </c>
      <c r="M21" s="25">
        <f t="shared" si="12"/>
        <v>360</v>
      </c>
      <c r="N21" s="25">
        <f t="shared" si="12"/>
        <v>378</v>
      </c>
      <c r="O21" s="25">
        <f t="shared" si="12"/>
        <v>386</v>
      </c>
      <c r="P21" s="25">
        <f t="shared" si="12"/>
        <v>386</v>
      </c>
      <c r="Q21" s="25">
        <f t="shared" si="12"/>
        <v>391</v>
      </c>
      <c r="T21" s="25">
        <f t="shared" ref="T21:Z21" si="13">T20*T$84</f>
        <v>386</v>
      </c>
      <c r="U21" s="25">
        <f t="shared" si="13"/>
        <v>390</v>
      </c>
      <c r="V21" s="25">
        <f t="shared" si="13"/>
        <v>390</v>
      </c>
      <c r="W21" s="25">
        <f t="shared" si="13"/>
        <v>391</v>
      </c>
      <c r="X21" s="25">
        <f t="shared" si="13"/>
        <v>392</v>
      </c>
      <c r="Y21" s="25">
        <f t="shared" si="13"/>
        <v>392</v>
      </c>
      <c r="Z21" s="25">
        <f t="shared" ref="Z21:AA21" si="14">Z20*Z$84</f>
        <v>393</v>
      </c>
      <c r="AA21" s="25">
        <f t="shared" si="14"/>
        <v>393</v>
      </c>
      <c r="AC21" s="25">
        <f>AC20*AC$84</f>
        <v>392.5</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0.39</v>
      </c>
      <c r="U22" s="26">
        <v>0.43</v>
      </c>
      <c r="V22" s="26">
        <v>0.85</v>
      </c>
      <c r="W22" s="26">
        <v>1.04</v>
      </c>
      <c r="X22" s="26">
        <v>1.1599999999999999</v>
      </c>
      <c r="Y22" s="26">
        <v>1.02</v>
      </c>
      <c r="Z22" s="26">
        <v>1.29</v>
      </c>
      <c r="AA22" s="26">
        <v>1.99</v>
      </c>
      <c r="AC22" s="26">
        <f>SUM(X22:AA22)</f>
        <v>5.46</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5">T22/T$84</f>
        <v>0.39</v>
      </c>
      <c r="U23" s="65">
        <f t="shared" si="15"/>
        <v>0.43</v>
      </c>
      <c r="V23" s="65">
        <f t="shared" si="15"/>
        <v>0.85</v>
      </c>
      <c r="W23" s="65">
        <f t="shared" si="15"/>
        <v>1.04</v>
      </c>
      <c r="X23" s="65">
        <f t="shared" si="15"/>
        <v>1.1599999999999999</v>
      </c>
      <c r="Y23" s="65">
        <f t="shared" si="15"/>
        <v>1.02</v>
      </c>
      <c r="Z23" s="65">
        <f t="shared" ref="Z23:AA23" si="16">Z22/Z$84</f>
        <v>1.29</v>
      </c>
      <c r="AA23" s="65">
        <f t="shared" si="16"/>
        <v>1.99</v>
      </c>
      <c r="AC23" s="65">
        <f>AC22/AC$84</f>
        <v>5.46</v>
      </c>
    </row>
    <row r="24" spans="1:31" x14ac:dyDescent="0.2">
      <c r="B24" s="23" t="s">
        <v>35</v>
      </c>
      <c r="C24" s="26"/>
      <c r="D24" s="26"/>
      <c r="E24" s="26"/>
      <c r="F24" s="26"/>
      <c r="G24" s="26"/>
      <c r="H24" s="26"/>
      <c r="I24" s="26"/>
      <c r="J24" s="26"/>
      <c r="K24" s="26"/>
      <c r="L24" s="26"/>
      <c r="M24" s="26">
        <v>0.33</v>
      </c>
      <c r="N24" s="63">
        <v>-0.04</v>
      </c>
      <c r="O24" s="26">
        <v>1.19</v>
      </c>
      <c r="P24" s="26">
        <v>1.28</v>
      </c>
      <c r="Q24" s="26">
        <v>3.41</v>
      </c>
      <c r="T24" s="26">
        <v>0.38</v>
      </c>
      <c r="U24" s="63">
        <v>0.42</v>
      </c>
      <c r="V24" s="26">
        <v>0.83</v>
      </c>
      <c r="W24" s="26">
        <v>1.02</v>
      </c>
      <c r="X24" s="26">
        <v>1.1399999999999999</v>
      </c>
      <c r="Y24" s="26">
        <v>0.99</v>
      </c>
      <c r="Z24" s="26">
        <v>1.27</v>
      </c>
      <c r="AA24" s="26">
        <v>1.95</v>
      </c>
      <c r="AC24" s="26">
        <f>SUM(X24:AA24)</f>
        <v>5.35</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7">T24/T$84</f>
        <v>0.38</v>
      </c>
      <c r="U25" s="66">
        <f t="shared" si="17"/>
        <v>0.42</v>
      </c>
      <c r="V25" s="66">
        <f t="shared" si="17"/>
        <v>0.83</v>
      </c>
      <c r="W25" s="66">
        <f t="shared" si="17"/>
        <v>1.02</v>
      </c>
      <c r="X25" s="66">
        <f t="shared" si="17"/>
        <v>1.1399999999999999</v>
      </c>
      <c r="Y25" s="66">
        <f t="shared" si="17"/>
        <v>0.99</v>
      </c>
      <c r="Z25" s="66">
        <f t="shared" ref="Z25:AA25" si="18">Z24/Z$84</f>
        <v>1.27</v>
      </c>
      <c r="AA25" s="66">
        <f t="shared" si="18"/>
        <v>1.95</v>
      </c>
      <c r="AB25" s="1"/>
      <c r="AC25" s="66">
        <f>AC24/AC$84</f>
        <v>5.35</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1228</v>
      </c>
      <c r="U28" s="21">
        <v>1467</v>
      </c>
      <c r="V28" s="21">
        <f>1641+98</f>
        <v>1739</v>
      </c>
      <c r="W28" s="21">
        <f>1396+545</f>
        <v>1941</v>
      </c>
      <c r="X28" s="21">
        <v>1828</v>
      </c>
      <c r="Y28" s="21">
        <v>2501</v>
      </c>
      <c r="Z28" s="21">
        <v>3111</v>
      </c>
      <c r="AA28" s="21">
        <f>3513+199</f>
        <v>3712</v>
      </c>
      <c r="AC28" s="21">
        <f>AA28</f>
        <v>3712</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2363</v>
      </c>
      <c r="U29" s="21">
        <v>2311</v>
      </c>
      <c r="V29" s="21">
        <v>2831</v>
      </c>
      <c r="W29" s="21">
        <v>2811</v>
      </c>
      <c r="X29" s="21">
        <v>3109</v>
      </c>
      <c r="Y29" s="21">
        <v>3149</v>
      </c>
      <c r="Z29" s="21">
        <v>3750</v>
      </c>
      <c r="AA29" s="21">
        <v>4380</v>
      </c>
      <c r="AC29" s="21">
        <f t="shared" ref="AC29:AC49" si="19">AA29</f>
        <v>4380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1244</v>
      </c>
      <c r="U30" s="21">
        <v>1384</v>
      </c>
      <c r="V30" s="21">
        <v>1413</v>
      </c>
      <c r="W30" s="21">
        <v>1437</v>
      </c>
      <c r="X30" s="21">
        <v>1457</v>
      </c>
      <c r="Y30" s="21">
        <v>1835</v>
      </c>
      <c r="Z30" s="21">
        <v>2523</v>
      </c>
      <c r="AA30" s="21">
        <v>3288</v>
      </c>
      <c r="AC30" s="21">
        <f>AA30</f>
        <v>3288</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5102</v>
      </c>
      <c r="U31" s="33">
        <v>5462</v>
      </c>
      <c r="V31" s="33">
        <v>6302</v>
      </c>
      <c r="W31" s="33">
        <v>6549</v>
      </c>
      <c r="X31" s="33">
        <v>6820</v>
      </c>
      <c r="Y31" s="33">
        <v>7985</v>
      </c>
      <c r="Z31" s="33">
        <v>9985</v>
      </c>
      <c r="AA31" s="33">
        <v>12123</v>
      </c>
      <c r="AB31" s="1"/>
      <c r="AC31" s="33">
        <f t="shared" si="19"/>
        <v>12123</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625</v>
      </c>
      <c r="U32" s="21">
        <v>637</v>
      </c>
      <c r="V32" s="21">
        <v>666</v>
      </c>
      <c r="W32" s="21">
        <v>698</v>
      </c>
      <c r="X32" s="21">
        <v>922</v>
      </c>
      <c r="Y32" s="21">
        <v>998</v>
      </c>
      <c r="Z32" s="21">
        <v>1184</v>
      </c>
      <c r="AA32" s="21">
        <v>1325</v>
      </c>
      <c r="AC32" s="21">
        <f t="shared" si="19"/>
        <v>1325</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1321</v>
      </c>
      <c r="U34" s="21">
        <v>1340</v>
      </c>
      <c r="V34" s="21">
        <v>1374</v>
      </c>
      <c r="W34" s="221">
        <v>1444</v>
      </c>
      <c r="X34" s="21">
        <v>2034</v>
      </c>
      <c r="Y34" s="221">
        <v>2024</v>
      </c>
      <c r="Z34" s="221">
        <v>2283</v>
      </c>
      <c r="AA34" s="221">
        <v>2280</v>
      </c>
      <c r="AC34" s="21">
        <f t="shared" si="19"/>
        <v>2280</v>
      </c>
    </row>
    <row r="35" spans="1:31" s="34" customFormat="1" x14ac:dyDescent="0.2">
      <c r="A35" s="16"/>
      <c r="B35" s="32" t="s">
        <v>43</v>
      </c>
      <c r="C35" s="35"/>
      <c r="D35" s="35"/>
      <c r="E35" s="35"/>
      <c r="F35" s="35"/>
      <c r="G35" s="35"/>
      <c r="H35" s="35"/>
      <c r="I35" s="35"/>
      <c r="J35" s="35"/>
      <c r="K35" s="35"/>
      <c r="L35" s="35"/>
      <c r="M35" s="222">
        <f t="shared" ref="M35:O35" si="20">M36-M31</f>
        <v>4241</v>
      </c>
      <c r="N35" s="222">
        <f t="shared" si="20"/>
        <v>3937</v>
      </c>
      <c r="O35" s="222">
        <f t="shared" si="20"/>
        <v>3997</v>
      </c>
      <c r="P35" s="222">
        <f>P36-P31</f>
        <v>4031</v>
      </c>
      <c r="Q35" s="222">
        <f>Q36-Q31</f>
        <v>5392</v>
      </c>
      <c r="R35" s="1"/>
      <c r="S35" s="1"/>
      <c r="T35" s="222">
        <f t="shared" ref="T35:Z35" si="21">T36-T31</f>
        <v>4031</v>
      </c>
      <c r="U35" s="222">
        <f t="shared" si="21"/>
        <v>3989</v>
      </c>
      <c r="V35" s="222">
        <f t="shared" si="21"/>
        <v>4104</v>
      </c>
      <c r="W35" s="222">
        <f t="shared" si="21"/>
        <v>4267</v>
      </c>
      <c r="X35" s="222">
        <f t="shared" si="21"/>
        <v>5392</v>
      </c>
      <c r="Y35" s="222">
        <f t="shared" si="21"/>
        <v>5415</v>
      </c>
      <c r="Z35" s="222">
        <f t="shared" si="21"/>
        <v>5916</v>
      </c>
      <c r="AA35" s="222">
        <f t="shared" ref="Z35:AA35" si="22">AA36-AA31</f>
        <v>6052</v>
      </c>
      <c r="AB35" s="1"/>
      <c r="AC35" s="35">
        <f t="shared" si="19"/>
        <v>6052</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9133</v>
      </c>
      <c r="U36" s="18">
        <v>9451</v>
      </c>
      <c r="V36" s="18">
        <v>10406</v>
      </c>
      <c r="W36" s="18">
        <v>10816</v>
      </c>
      <c r="X36" s="18">
        <v>12212</v>
      </c>
      <c r="Y36" s="18">
        <v>13400</v>
      </c>
      <c r="Z36" s="18">
        <v>15901</v>
      </c>
      <c r="AA36" s="18">
        <v>18175</v>
      </c>
      <c r="AB36" s="1"/>
      <c r="AC36" s="18">
        <f t="shared" si="19"/>
        <v>18175</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1316</v>
      </c>
      <c r="U37" s="21">
        <v>1407</v>
      </c>
      <c r="V37" s="21">
        <v>1605</v>
      </c>
      <c r="W37" s="21">
        <v>1720</v>
      </c>
      <c r="X37" s="21">
        <v>1756</v>
      </c>
      <c r="Y37" s="21">
        <v>1952</v>
      </c>
      <c r="Z37" s="21">
        <v>2473</v>
      </c>
      <c r="AA37" s="21">
        <v>3245</v>
      </c>
      <c r="AC37" s="21">
        <f t="shared" si="19"/>
        <v>3245</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0</v>
      </c>
      <c r="Z38" s="21">
        <v>0</v>
      </c>
      <c r="AA38" s="21">
        <v>3</v>
      </c>
      <c r="AC38" s="21">
        <f t="shared" si="19"/>
        <v>3</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3097</v>
      </c>
      <c r="U39" s="33">
        <v>3184</v>
      </c>
      <c r="V39" s="33">
        <v>3615</v>
      </c>
      <c r="W39" s="33">
        <v>3577</v>
      </c>
      <c r="X39" s="33">
        <v>4407</v>
      </c>
      <c r="Y39" s="33">
        <v>5343</v>
      </c>
      <c r="Z39" s="33">
        <v>7243</v>
      </c>
      <c r="AA39" s="33">
        <v>8711</v>
      </c>
      <c r="AB39" s="1"/>
      <c r="AC39" s="33">
        <f t="shared" si="19"/>
        <v>8711</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2907</v>
      </c>
      <c r="U40" s="21">
        <v>2904</v>
      </c>
      <c r="V40" s="21">
        <v>2901</v>
      </c>
      <c r="W40" s="21">
        <v>2898</v>
      </c>
      <c r="X40" s="21">
        <v>2892</v>
      </c>
      <c r="Y40" s="21">
        <v>2922</v>
      </c>
      <c r="Z40" s="21">
        <v>2940</v>
      </c>
      <c r="AA40" s="21">
        <v>2925</v>
      </c>
      <c r="AC40" s="21">
        <f t="shared" si="19"/>
        <v>2925</v>
      </c>
    </row>
    <row r="41" spans="1:31" s="34" customFormat="1" x14ac:dyDescent="0.2">
      <c r="A41" s="16"/>
      <c r="B41" s="32" t="s">
        <v>47</v>
      </c>
      <c r="C41" s="35"/>
      <c r="D41" s="35"/>
      <c r="E41" s="35"/>
      <c r="F41" s="35"/>
      <c r="G41" s="35"/>
      <c r="H41" s="35"/>
      <c r="I41" s="35"/>
      <c r="J41" s="35"/>
      <c r="K41" s="35"/>
      <c r="L41" s="35"/>
      <c r="M41" s="222">
        <f t="shared" ref="M41:O41" si="23">M42-M39</f>
        <v>3667</v>
      </c>
      <c r="N41" s="222">
        <f t="shared" si="23"/>
        <v>3756</v>
      </c>
      <c r="O41" s="222">
        <f t="shared" si="23"/>
        <v>3679</v>
      </c>
      <c r="P41" s="222">
        <f>P42-P39</f>
        <v>3601</v>
      </c>
      <c r="Q41" s="222">
        <f>Q42-Q39</f>
        <v>3864</v>
      </c>
      <c r="R41" s="1"/>
      <c r="S41" s="1"/>
      <c r="T41" s="222">
        <f t="shared" ref="T41:Z41" si="24">T42-T39</f>
        <v>3601</v>
      </c>
      <c r="U41" s="222">
        <f t="shared" si="24"/>
        <v>3601</v>
      </c>
      <c r="V41" s="222">
        <f t="shared" si="24"/>
        <v>3666</v>
      </c>
      <c r="W41" s="222">
        <f t="shared" si="24"/>
        <v>3731</v>
      </c>
      <c r="X41" s="222">
        <f t="shared" si="24"/>
        <v>3864</v>
      </c>
      <c r="Y41" s="222">
        <f t="shared" si="24"/>
        <v>3812</v>
      </c>
      <c r="Z41" s="222">
        <f t="shared" si="24"/>
        <v>3900</v>
      </c>
      <c r="AA41" s="222">
        <f t="shared" ref="Z41:AA41" si="25">AA42-AA39</f>
        <v>3962</v>
      </c>
      <c r="AB41" s="1"/>
      <c r="AC41" s="35">
        <f t="shared" si="19"/>
        <v>3962</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6698</v>
      </c>
      <c r="U42" s="18">
        <v>6785</v>
      </c>
      <c r="V42" s="18">
        <v>7281</v>
      </c>
      <c r="W42" s="18">
        <v>7308</v>
      </c>
      <c r="X42" s="18">
        <v>8271</v>
      </c>
      <c r="Y42" s="18">
        <v>9155</v>
      </c>
      <c r="Z42" s="18">
        <v>11143</v>
      </c>
      <c r="AA42" s="18">
        <v>12673</v>
      </c>
      <c r="AB42" s="1"/>
      <c r="AC42" s="18">
        <f t="shared" si="19"/>
        <v>12673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21">
        <v>2821</v>
      </c>
      <c r="U45" s="21">
        <v>2830</v>
      </c>
      <c r="V45" s="21">
        <v>2858</v>
      </c>
      <c r="W45" s="21">
        <v>2883</v>
      </c>
      <c r="X45" s="221">
        <v>2895</v>
      </c>
      <c r="Y45" s="21">
        <v>2927</v>
      </c>
      <c r="Z45" s="21">
        <v>2955</v>
      </c>
      <c r="AA45" s="21">
        <v>2975</v>
      </c>
      <c r="AC45" s="62">
        <f t="shared" si="19"/>
        <v>2975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-238</v>
      </c>
      <c r="U46" s="62">
        <v>-88</v>
      </c>
      <c r="V46" s="62">
        <v>222</v>
      </c>
      <c r="W46" s="62">
        <v>606</v>
      </c>
      <c r="X46" s="62">
        <v>1028</v>
      </c>
      <c r="Y46" s="62">
        <v>1394</v>
      </c>
      <c r="Z46" s="62">
        <v>1868</v>
      </c>
      <c r="AA46" s="62">
        <v>2609</v>
      </c>
      <c r="AC46" s="62">
        <f t="shared" si="19"/>
        <v>2609</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2434</v>
      </c>
      <c r="U48" s="33">
        <v>2666</v>
      </c>
      <c r="V48" s="33">
        <v>3125</v>
      </c>
      <c r="W48" s="33">
        <v>3509</v>
      </c>
      <c r="X48" s="33">
        <v>3941</v>
      </c>
      <c r="Y48" s="33">
        <v>4245</v>
      </c>
      <c r="Z48" s="33">
        <v>4758</v>
      </c>
      <c r="AA48" s="33">
        <v>5502</v>
      </c>
      <c r="AB48" s="1"/>
      <c r="AC48" s="33">
        <f t="shared" si="19"/>
        <v>5502</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9133</v>
      </c>
      <c r="U49" s="37">
        <v>9451</v>
      </c>
      <c r="V49" s="37">
        <v>10406</v>
      </c>
      <c r="W49" s="37">
        <v>10816</v>
      </c>
      <c r="X49" s="37">
        <v>12212</v>
      </c>
      <c r="Y49" s="37">
        <v>13400</v>
      </c>
      <c r="Z49" s="37">
        <v>15901</v>
      </c>
      <c r="AA49" s="37">
        <v>18175</v>
      </c>
      <c r="AB49" s="1"/>
      <c r="AC49" s="37">
        <f t="shared" si="19"/>
        <v>18175</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21">
        <f>21+50</f>
        <v>71</v>
      </c>
      <c r="U52" s="21">
        <f>23+49</f>
        <v>72</v>
      </c>
      <c r="V52" s="21">
        <f>24+50</f>
        <v>74</v>
      </c>
      <c r="W52" s="21">
        <f>25+51</f>
        <v>76</v>
      </c>
      <c r="X52" s="21">
        <f>26+62</f>
        <v>88</v>
      </c>
      <c r="Y52" s="21">
        <f>28+80</f>
        <v>108</v>
      </c>
      <c r="Z52" s="21">
        <f>39+76</f>
        <v>115</v>
      </c>
      <c r="AA52" s="21">
        <f>40+68</f>
        <v>108</v>
      </c>
      <c r="AC52" s="62">
        <f>SUM(X52:AA52)</f>
        <v>419</v>
      </c>
    </row>
    <row r="53" spans="1:31" x14ac:dyDescent="0.2">
      <c r="B53" s="23" t="s">
        <v>55</v>
      </c>
      <c r="C53" s="62"/>
      <c r="D53" s="62"/>
      <c r="E53" s="62"/>
      <c r="F53" s="62"/>
      <c r="G53" s="62"/>
      <c r="H53" s="62"/>
      <c r="I53" s="62"/>
      <c r="J53" s="62"/>
      <c r="K53" s="62"/>
      <c r="L53" s="62"/>
      <c r="M53" s="21">
        <v>23</v>
      </c>
      <c r="N53" s="21">
        <v>25</v>
      </c>
      <c r="O53" s="21">
        <v>25</v>
      </c>
      <c r="P53" s="21">
        <v>35</v>
      </c>
      <c r="Q53" s="21">
        <v>46</v>
      </c>
      <c r="T53" s="21">
        <v>9</v>
      </c>
      <c r="U53" s="21">
        <v>11</v>
      </c>
      <c r="V53" s="21">
        <v>13</v>
      </c>
      <c r="W53" s="21">
        <v>14</v>
      </c>
      <c r="X53" s="21">
        <v>7</v>
      </c>
      <c r="Y53" s="21">
        <v>17</v>
      </c>
      <c r="Z53" s="21">
        <v>14</v>
      </c>
      <c r="AA53" s="21">
        <v>20</v>
      </c>
      <c r="AC53" s="62">
        <f t="shared" ref="AC53:AC57" si="26">SUM(X53:AA53)</f>
        <v>58</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-90</v>
      </c>
      <c r="U54" s="62">
        <v>82</v>
      </c>
      <c r="V54" s="62">
        <v>-462</v>
      </c>
      <c r="W54" s="62">
        <v>41</v>
      </c>
      <c r="X54" s="62">
        <v>-208</v>
      </c>
      <c r="Y54" s="62">
        <v>-58</v>
      </c>
      <c r="Z54" s="62">
        <v>-587</v>
      </c>
      <c r="AA54" s="264">
        <v>-587</v>
      </c>
      <c r="AC54" s="62">
        <f t="shared" si="26"/>
        <v>-1440</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-5</v>
      </c>
      <c r="U55" s="62">
        <v>-129</v>
      </c>
      <c r="V55" s="62">
        <v>-9</v>
      </c>
      <c r="W55" s="62">
        <v>-6</v>
      </c>
      <c r="X55" s="62">
        <v>-22</v>
      </c>
      <c r="Y55" s="62">
        <v>-384</v>
      </c>
      <c r="Z55" s="62">
        <v>-664</v>
      </c>
      <c r="AA55" s="264">
        <v>-664</v>
      </c>
      <c r="AC55" s="62">
        <f>SUM(X55:AA55)</f>
        <v>-1734</v>
      </c>
    </row>
    <row r="56" spans="1:31" x14ac:dyDescent="0.2">
      <c r="B56" s="23" t="s">
        <v>93</v>
      </c>
      <c r="C56" s="62"/>
      <c r="D56" s="62"/>
      <c r="E56" s="62"/>
      <c r="F56" s="62"/>
      <c r="G56" s="62"/>
      <c r="H56" s="62"/>
      <c r="I56" s="62"/>
      <c r="J56" s="62"/>
      <c r="K56" s="62"/>
      <c r="L56" s="62"/>
      <c r="M56" s="62">
        <v>105</v>
      </c>
      <c r="N56" s="62">
        <v>133</v>
      </c>
      <c r="O56" s="62">
        <v>-18</v>
      </c>
      <c r="P56" s="62">
        <v>343</v>
      </c>
      <c r="Q56" s="62">
        <v>381</v>
      </c>
      <c r="T56" s="62">
        <v>84</v>
      </c>
      <c r="U56" s="62">
        <v>87</v>
      </c>
      <c r="V56" s="62">
        <v>183</v>
      </c>
      <c r="W56" s="62">
        <v>93</v>
      </c>
      <c r="X56" s="62">
        <v>19</v>
      </c>
      <c r="Y56" s="62">
        <v>203</v>
      </c>
      <c r="Z56" s="62">
        <v>483</v>
      </c>
      <c r="AA56" s="264">
        <v>483</v>
      </c>
      <c r="AC56" s="62">
        <f t="shared" si="26"/>
        <v>1188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-17+63-10+19</f>
        <v>55</v>
      </c>
      <c r="U57" s="62">
        <f>-30+23-80+41</f>
        <v>-46</v>
      </c>
      <c r="V57" s="62">
        <f>6+148+36+8</f>
        <v>198</v>
      </c>
      <c r="W57" s="62">
        <f>-17-122+89-123</f>
        <v>-173</v>
      </c>
      <c r="X57" s="62">
        <f>-32+668+74+6</f>
        <v>716</v>
      </c>
      <c r="Y57" s="62">
        <f>-89+651-95</f>
        <v>467</v>
      </c>
      <c r="Z57" s="62">
        <f>-57+1172+118-14</f>
        <v>1219</v>
      </c>
      <c r="AA57" s="264">
        <f>-57+1172+118-14</f>
        <v>1219</v>
      </c>
      <c r="AC57" s="62">
        <f t="shared" si="26"/>
        <v>3621</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425</v>
      </c>
      <c r="U58" s="61">
        <v>303</v>
      </c>
      <c r="V58" s="61">
        <v>323</v>
      </c>
      <c r="W58" s="61">
        <v>509</v>
      </c>
      <c r="X58" s="61">
        <v>1005</v>
      </c>
      <c r="Y58" s="61">
        <v>766</v>
      </c>
      <c r="Z58" s="61">
        <v>1100</v>
      </c>
      <c r="AA58" s="61">
        <v>794</v>
      </c>
      <c r="AB58" s="1"/>
      <c r="AC58" s="61">
        <f>SUM(X58:AA58)</f>
        <v>3665</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-61</v>
      </c>
      <c r="U59" s="62">
        <v>-37</v>
      </c>
      <c r="V59" s="62">
        <v>-45</v>
      </c>
      <c r="W59" s="62">
        <v>-45</v>
      </c>
      <c r="X59" s="62">
        <v>-93</v>
      </c>
      <c r="Y59" s="62">
        <v>-113</v>
      </c>
      <c r="Z59" s="62">
        <v>-173</v>
      </c>
      <c r="AA59" s="62">
        <v>-139</v>
      </c>
      <c r="AC59" s="62">
        <f>SUM(X59:AA59)</f>
        <v>-518</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-2</v>
      </c>
      <c r="V60" s="62">
        <v>-1</v>
      </c>
      <c r="W60" s="62">
        <v>-2</v>
      </c>
      <c r="X60" s="62">
        <v>-2</v>
      </c>
      <c r="Y60" s="62">
        <v>-1</v>
      </c>
      <c r="Z60" s="62">
        <v>-1</v>
      </c>
      <c r="AA60" s="62">
        <v>-3</v>
      </c>
      <c r="AC60" s="62">
        <f t="shared" ref="AC60:AC65" si="27">SUM(X60:AA60)</f>
        <v>-7</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-81</v>
      </c>
      <c r="U61" s="61">
        <v>-39</v>
      </c>
      <c r="V61" s="61">
        <v>-144</v>
      </c>
      <c r="W61" s="61">
        <v>-710</v>
      </c>
      <c r="X61" s="61">
        <v>-634</v>
      </c>
      <c r="Y61" s="61">
        <v>-377</v>
      </c>
      <c r="Z61" s="61">
        <v>-404</v>
      </c>
      <c r="AA61" s="61">
        <v>-48</v>
      </c>
      <c r="AB61" s="1"/>
      <c r="AC61" s="61">
        <f t="shared" si="27"/>
        <v>-1463</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7"/>
        <v>0</v>
      </c>
    </row>
    <row r="63" spans="1:31" x14ac:dyDescent="0.2">
      <c r="B63" s="20" t="s">
        <v>277</v>
      </c>
      <c r="C63" s="62"/>
      <c r="D63" s="62"/>
      <c r="E63" s="62"/>
      <c r="F63" s="62"/>
      <c r="G63" s="62"/>
      <c r="H63" s="62"/>
      <c r="I63" s="62"/>
      <c r="J63" s="62"/>
      <c r="K63" s="62"/>
      <c r="L63" s="62"/>
      <c r="M63" s="62">
        <v>-4</v>
      </c>
      <c r="N63" s="62">
        <v>-4</v>
      </c>
      <c r="O63" s="62">
        <v>-10</v>
      </c>
      <c r="P63" s="62">
        <v>-42</v>
      </c>
      <c r="Q63" s="62">
        <v>-67</v>
      </c>
      <c r="T63" s="62">
        <v>-14</v>
      </c>
      <c r="U63" s="62">
        <v>-14</v>
      </c>
      <c r="V63" s="62">
        <v>-14</v>
      </c>
      <c r="W63" s="62">
        <v>-14</v>
      </c>
      <c r="X63" s="62">
        <v>-24</v>
      </c>
      <c r="Y63" s="62">
        <v>-24</v>
      </c>
      <c r="Z63" s="62">
        <v>-24</v>
      </c>
      <c r="AA63" s="62">
        <v>-24</v>
      </c>
      <c r="AC63" s="62">
        <f>SUM(X63:AA63)</f>
        <v>-96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-12</v>
      </c>
      <c r="U65" s="71">
        <v>-25</v>
      </c>
      <c r="V65" s="71">
        <v>-8</v>
      </c>
      <c r="W65" s="71">
        <v>-11</v>
      </c>
      <c r="X65" s="71">
        <v>-28</v>
      </c>
      <c r="Y65" s="71">
        <v>12</v>
      </c>
      <c r="Z65" s="71">
        <v>-15</v>
      </c>
      <c r="AA65" s="71">
        <v>-39</v>
      </c>
      <c r="AB65" s="1"/>
      <c r="AC65" s="71">
        <f t="shared" si="27"/>
        <v>-70</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 t="shared" si="28"/>
        <v>0</v>
      </c>
      <c r="M68" s="64">
        <f t="shared" si="28"/>
        <v>32</v>
      </c>
      <c r="N68" s="64">
        <f t="shared" si="28"/>
        <v>77</v>
      </c>
      <c r="O68" s="64">
        <f t="shared" si="28"/>
        <v>460</v>
      </c>
      <c r="P68" s="64">
        <f t="shared" si="28"/>
        <v>496</v>
      </c>
      <c r="Q68" s="64">
        <f t="shared" si="28"/>
        <v>1333</v>
      </c>
      <c r="T68" s="64">
        <f t="shared" ref="T68:Z68" si="29">T5-T6-T10+T12+T13+T15-T16</f>
        <v>147</v>
      </c>
      <c r="U68" s="64">
        <f t="shared" si="29"/>
        <v>165</v>
      </c>
      <c r="V68" s="64">
        <f t="shared" si="29"/>
        <v>324</v>
      </c>
      <c r="W68" s="64">
        <f t="shared" si="29"/>
        <v>400</v>
      </c>
      <c r="X68" s="64">
        <f t="shared" si="29"/>
        <v>445</v>
      </c>
      <c r="Y68" s="64">
        <f t="shared" si="29"/>
        <v>390</v>
      </c>
      <c r="Z68" s="64">
        <f t="shared" si="29"/>
        <v>494</v>
      </c>
      <c r="AA68" s="64">
        <f t="shared" ref="T68:AA68" si="30">AA5-AA6-AA10+AA12+AA13+AA15-AA16</f>
        <v>765</v>
      </c>
      <c r="AC68" s="64">
        <f>AC5-AC6-AC10+AC12+AC13+AC15-AC16</f>
        <v>2094</v>
      </c>
    </row>
    <row r="69" spans="1:31" s="41" customFormat="1" x14ac:dyDescent="0.2">
      <c r="A69" s="16"/>
      <c r="B69" s="17" t="s">
        <v>63</v>
      </c>
      <c r="C69" s="40">
        <f t="shared" ref="C69:Q69" si="31">C17-C68</f>
        <v>0</v>
      </c>
      <c r="D69" s="40">
        <f t="shared" si="31"/>
        <v>0</v>
      </c>
      <c r="E69" s="40">
        <f t="shared" si="31"/>
        <v>0</v>
      </c>
      <c r="F69" s="40">
        <f t="shared" si="31"/>
        <v>0</v>
      </c>
      <c r="G69" s="40">
        <f t="shared" si="31"/>
        <v>0</v>
      </c>
      <c r="H69" s="40">
        <f t="shared" si="31"/>
        <v>0</v>
      </c>
      <c r="I69" s="40">
        <f t="shared" si="31"/>
        <v>0</v>
      </c>
      <c r="J69" s="40">
        <f t="shared" si="31"/>
        <v>0</v>
      </c>
      <c r="K69" s="40">
        <f t="shared" si="31"/>
        <v>0</v>
      </c>
      <c r="L69" s="40">
        <f t="shared" si="31"/>
        <v>0</v>
      </c>
      <c r="M69" s="40">
        <f t="shared" si="31"/>
        <v>88</v>
      </c>
      <c r="N69" s="40">
        <f t="shared" si="31"/>
        <v>0</v>
      </c>
      <c r="O69" s="40">
        <f t="shared" si="31"/>
        <v>0</v>
      </c>
      <c r="P69" s="40">
        <f t="shared" si="31"/>
        <v>0</v>
      </c>
      <c r="Q69" s="40">
        <f t="shared" si="31"/>
        <v>0</v>
      </c>
      <c r="R69" s="1"/>
      <c r="S69" s="1"/>
      <c r="T69" s="40">
        <f t="shared" ref="T69:Z69" si="32">T17-T68</f>
        <v>0</v>
      </c>
      <c r="U69" s="40">
        <f t="shared" si="32"/>
        <v>0</v>
      </c>
      <c r="V69" s="40">
        <f t="shared" si="32"/>
        <v>0</v>
      </c>
      <c r="W69" s="40">
        <f t="shared" si="32"/>
        <v>-1</v>
      </c>
      <c r="X69" s="40">
        <f t="shared" si="32"/>
        <v>1</v>
      </c>
      <c r="Y69" s="40">
        <f t="shared" si="32"/>
        <v>0</v>
      </c>
      <c r="Z69" s="40">
        <f t="shared" si="32"/>
        <v>4</v>
      </c>
      <c r="AA69" s="40">
        <f t="shared" ref="Z69:AA69" si="33">AA17-AA68</f>
        <v>0</v>
      </c>
      <c r="AB69" s="16"/>
      <c r="AC69" s="40">
        <f>AC17-AC68</f>
        <v>5</v>
      </c>
      <c r="AD69" s="1"/>
      <c r="AE69" s="1"/>
    </row>
    <row r="70" spans="1:31" s="41" customFormat="1" x14ac:dyDescent="0.2">
      <c r="A70" s="16"/>
      <c r="B70" s="17" t="s">
        <v>64</v>
      </c>
      <c r="C70" s="42">
        <f t="shared" ref="C70:Q70" si="34">C36-(C42+C110)</f>
        <v>0</v>
      </c>
      <c r="D70" s="42">
        <f t="shared" si="34"/>
        <v>0</v>
      </c>
      <c r="E70" s="42">
        <f t="shared" si="34"/>
        <v>0</v>
      </c>
      <c r="F70" s="42">
        <f t="shared" si="34"/>
        <v>0</v>
      </c>
      <c r="G70" s="42">
        <f t="shared" si="34"/>
        <v>0</v>
      </c>
      <c r="H70" s="42">
        <f t="shared" si="34"/>
        <v>0</v>
      </c>
      <c r="I70" s="42">
        <f t="shared" si="34"/>
        <v>0</v>
      </c>
      <c r="J70" s="42">
        <f t="shared" si="34"/>
        <v>0</v>
      </c>
      <c r="K70" s="42">
        <f t="shared" si="34"/>
        <v>0</v>
      </c>
      <c r="L70" s="42">
        <f t="shared" si="34"/>
        <v>0</v>
      </c>
      <c r="M70" s="42">
        <f t="shared" si="34"/>
        <v>0</v>
      </c>
      <c r="N70" s="42">
        <f t="shared" si="34"/>
        <v>0</v>
      </c>
      <c r="O70" s="42">
        <f t="shared" si="34"/>
        <v>0</v>
      </c>
      <c r="P70" s="42">
        <f t="shared" si="34"/>
        <v>1</v>
      </c>
      <c r="Q70" s="42">
        <f t="shared" si="34"/>
        <v>0</v>
      </c>
      <c r="R70" s="1"/>
      <c r="S70" s="1"/>
      <c r="T70" s="42">
        <f t="shared" ref="T70:Z70" si="35">T36-(T42+T110)</f>
        <v>1</v>
      </c>
      <c r="U70" s="42">
        <f t="shared" si="35"/>
        <v>0</v>
      </c>
      <c r="V70" s="42">
        <f t="shared" si="35"/>
        <v>0</v>
      </c>
      <c r="W70" s="42">
        <f t="shared" si="35"/>
        <v>-1</v>
      </c>
      <c r="X70" s="42">
        <f t="shared" si="35"/>
        <v>0</v>
      </c>
      <c r="Y70" s="42">
        <f t="shared" si="35"/>
        <v>0</v>
      </c>
      <c r="Z70" s="42">
        <f t="shared" ref="Z70:AA70" si="36">Z36-(Z42+Z110)</f>
        <v>0</v>
      </c>
      <c r="AA70" s="42">
        <f t="shared" si="3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381</v>
      </c>
      <c r="U73" s="21">
        <v>381</v>
      </c>
      <c r="V73" s="21">
        <v>382</v>
      </c>
      <c r="W73" s="21">
        <v>382</v>
      </c>
      <c r="X73" s="21">
        <v>383</v>
      </c>
      <c r="Y73" s="21">
        <v>384</v>
      </c>
      <c r="Z73" s="21">
        <v>385</v>
      </c>
      <c r="AA73" s="265">
        <v>385</v>
      </c>
      <c r="AC73" s="24">
        <f>AA73</f>
        <v>385</v>
      </c>
    </row>
    <row r="74" spans="1:31" x14ac:dyDescent="0.2">
      <c r="B74" s="20" t="s">
        <v>67</v>
      </c>
      <c r="C74" s="25"/>
      <c r="D74" s="25"/>
      <c r="E74" s="25"/>
      <c r="F74" s="25"/>
      <c r="G74" s="25"/>
      <c r="H74" s="25"/>
      <c r="I74" s="25"/>
      <c r="J74" s="25"/>
      <c r="K74" s="25"/>
      <c r="L74" s="25"/>
      <c r="M74" s="25">
        <f t="shared" ref="M74:Q74" si="37">M73*M84</f>
        <v>376</v>
      </c>
      <c r="N74" s="25">
        <f t="shared" si="37"/>
        <v>378</v>
      </c>
      <c r="O74" s="25">
        <f t="shared" si="37"/>
        <v>382</v>
      </c>
      <c r="P74" s="25">
        <f t="shared" si="37"/>
        <v>381</v>
      </c>
      <c r="Q74" s="25">
        <f t="shared" si="37"/>
        <v>383</v>
      </c>
      <c r="T74" s="25">
        <f t="shared" ref="T74:U74" si="38">T73*T84</f>
        <v>381</v>
      </c>
      <c r="U74" s="25">
        <f t="shared" ref="U74:V74" si="39">U73*U84</f>
        <v>381</v>
      </c>
      <c r="V74" s="25">
        <f t="shared" ref="V74:Y74" si="40">V73*V84</f>
        <v>382</v>
      </c>
      <c r="W74" s="25">
        <f t="shared" si="40"/>
        <v>382</v>
      </c>
      <c r="X74" s="25">
        <f t="shared" si="40"/>
        <v>383</v>
      </c>
      <c r="Y74" s="25">
        <f t="shared" si="40"/>
        <v>384</v>
      </c>
      <c r="Z74" s="25">
        <f t="shared" ref="Z74:AA74" si="41">Z73*Z84</f>
        <v>385</v>
      </c>
      <c r="AA74" s="25">
        <f t="shared" si="41"/>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10</v>
      </c>
      <c r="U75" s="21">
        <v>9</v>
      </c>
      <c r="V75" s="21">
        <v>8</v>
      </c>
      <c r="W75" s="21">
        <v>9</v>
      </c>
      <c r="X75" s="21">
        <v>9</v>
      </c>
      <c r="Y75" s="21">
        <v>9</v>
      </c>
      <c r="Z75" s="21">
        <v>8</v>
      </c>
      <c r="AA75" s="265">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Z76" si="43">T75*T84</f>
        <v>10</v>
      </c>
      <c r="U76" s="25">
        <f t="shared" si="43"/>
        <v>9</v>
      </c>
      <c r="V76" s="25">
        <f t="shared" si="43"/>
        <v>8</v>
      </c>
      <c r="W76" s="25">
        <f t="shared" si="43"/>
        <v>9</v>
      </c>
      <c r="X76" s="25">
        <f t="shared" si="43"/>
        <v>9</v>
      </c>
      <c r="Y76" s="25">
        <f t="shared" si="43"/>
        <v>9</v>
      </c>
      <c r="Z76" s="25">
        <f t="shared" si="43"/>
        <v>8</v>
      </c>
      <c r="AA76" s="25">
        <f t="shared" ref="Z76:AA76" si="44">AA75*AA84</f>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Z77" si="46">T74+T76</f>
        <v>391</v>
      </c>
      <c r="U77" s="25">
        <f t="shared" si="46"/>
        <v>390</v>
      </c>
      <c r="V77" s="25">
        <f t="shared" si="46"/>
        <v>390</v>
      </c>
      <c r="W77" s="25">
        <f t="shared" si="46"/>
        <v>391</v>
      </c>
      <c r="X77" s="25">
        <f t="shared" si="46"/>
        <v>392</v>
      </c>
      <c r="Y77" s="25">
        <f t="shared" si="46"/>
        <v>393</v>
      </c>
      <c r="Z77" s="25">
        <f t="shared" si="46"/>
        <v>393</v>
      </c>
      <c r="AA77" s="25">
        <f t="shared" ref="Z77:AA77" si="47">AA74+AA76</f>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3.7499999999999999E-2</v>
      </c>
      <c r="U80" s="223">
        <v>3.7499999999999999E-2</v>
      </c>
      <c r="V80" s="223">
        <v>3.7499999999999999E-2</v>
      </c>
      <c r="W80" s="223">
        <v>3.7499999999999999E-2</v>
      </c>
      <c r="X80" s="223">
        <v>6.25E-2</v>
      </c>
      <c r="Y80" s="223">
        <v>6.25E-2</v>
      </c>
      <c r="Z80" s="223">
        <v>6.25E-2</v>
      </c>
      <c r="AA80" s="266">
        <v>6.25E-2</v>
      </c>
      <c r="AC80" s="72">
        <f>SUM(X80:AA80)</f>
        <v>0.25</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U81" si="50">T80/T84</f>
        <v>3.7499999999999999E-2</v>
      </c>
      <c r="U81" s="45">
        <f t="shared" ref="U81:V81" si="51">U80/U84</f>
        <v>3.7499999999999999E-2</v>
      </c>
      <c r="V81" s="45">
        <f t="shared" ref="V81:Y81" si="52">V80/V84</f>
        <v>3.7499999999999999E-2</v>
      </c>
      <c r="W81" s="45">
        <f t="shared" si="52"/>
        <v>3.7499999999999999E-2</v>
      </c>
      <c r="X81" s="45">
        <f t="shared" si="52"/>
        <v>6.25E-2</v>
      </c>
      <c r="Y81" s="45">
        <f t="shared" si="52"/>
        <v>6.25E-2</v>
      </c>
      <c r="Z81" s="45">
        <f t="shared" ref="Z81:AA81" si="53">Z80/Z84</f>
        <v>6.25E-2</v>
      </c>
      <c r="AA81" s="45">
        <f t="shared" si="53"/>
        <v>6.25E-2</v>
      </c>
      <c r="AC81" s="72">
        <f>SUM(X81:AA81)</f>
        <v>0.25</v>
      </c>
    </row>
    <row r="82" spans="1:31" x14ac:dyDescent="0.2">
      <c r="B82" s="20" t="s">
        <v>70</v>
      </c>
      <c r="C82" s="46">
        <f t="shared" ref="C82:Q82" si="54">IF(AND(C14&gt;0,C15&lt;0),-(C15)/C14,0)</f>
        <v>0</v>
      </c>
      <c r="D82" s="46">
        <f t="shared" si="54"/>
        <v>0</v>
      </c>
      <c r="E82" s="46">
        <f t="shared" si="54"/>
        <v>0</v>
      </c>
      <c r="F82" s="46">
        <f t="shared" si="54"/>
        <v>0</v>
      </c>
      <c r="G82" s="46">
        <f t="shared" si="54"/>
        <v>0</v>
      </c>
      <c r="H82" s="46">
        <f t="shared" si="54"/>
        <v>0</v>
      </c>
      <c r="I82" s="46">
        <f t="shared" si="54"/>
        <v>0</v>
      </c>
      <c r="J82" s="46">
        <f t="shared" si="54"/>
        <v>0</v>
      </c>
      <c r="K82" s="46">
        <f t="shared" si="54"/>
        <v>0</v>
      </c>
      <c r="L82" s="46">
        <f t="shared" si="54"/>
        <v>0</v>
      </c>
      <c r="M82" s="46">
        <f t="shared" si="54"/>
        <v>0.28313253012048195</v>
      </c>
      <c r="N82" s="46">
        <f t="shared" si="54"/>
        <v>0.53892215568862278</v>
      </c>
      <c r="O82" s="46">
        <f t="shared" si="54"/>
        <v>0.13883677298311445</v>
      </c>
      <c r="P82" s="46">
        <f t="shared" si="54"/>
        <v>0.35294117647058826</v>
      </c>
      <c r="Q82" s="46">
        <f t="shared" si="54"/>
        <v>0.23478760045924224</v>
      </c>
      <c r="T82" s="46">
        <f t="shared" ref="T82:Z82" si="55">IF(AND(T14&gt;0,T15&lt;0),-(T15)/T14,0)</f>
        <v>0.4</v>
      </c>
      <c r="U82" s="46">
        <f t="shared" si="55"/>
        <v>0.38113207547169814</v>
      </c>
      <c r="V82" s="46">
        <f t="shared" si="55"/>
        <v>0.23040380047505937</v>
      </c>
      <c r="W82" s="46">
        <f t="shared" si="55"/>
        <v>0.1910569105691057</v>
      </c>
      <c r="X82" s="46">
        <f t="shared" si="55"/>
        <v>0.20959147424511546</v>
      </c>
      <c r="Y82" s="46">
        <f t="shared" si="55"/>
        <v>0.1095890410958904</v>
      </c>
      <c r="Z82" s="46">
        <f t="shared" ref="Z82:AA82" si="56">IF(AND(Z14&gt;0,Z15&lt;0),-(Z15)/Z14,0)</f>
        <v>0.1967741935483871</v>
      </c>
      <c r="AA82" s="46">
        <f t="shared" si="56"/>
        <v>0.23115577889447236</v>
      </c>
      <c r="AC82" s="46">
        <f>IF(AND(AC14&gt;0,AC15&lt;0),-(AC15)/AC14,0)</f>
        <v>0.19801223241590213</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7">IF(L5=0,
IF(M5=0,0,IF(M5&gt;0,1,-1)),
(M5-L5)/ABS(L5)
)</f>
        <v>1</v>
      </c>
      <c r="N88" s="48">
        <f t="shared" si="57"/>
        <v>0.13885554221688676</v>
      </c>
      <c r="O88" s="48">
        <f t="shared" si="57"/>
        <v>0.20572733661278989</v>
      </c>
      <c r="P88" s="48">
        <f t="shared" si="57"/>
        <v>0.1674194958472971</v>
      </c>
      <c r="Q88" s="48">
        <f t="shared" si="57"/>
        <v>0.27683474787818274</v>
      </c>
      <c r="R88" s="1"/>
      <c r="S88" s="1"/>
      <c r="T88" s="48">
        <f t="shared" ref="T88:T94" si="58">IF(S5=0,
IF(T5=0,0,IF(T5&gt;0,1,-1)),
(T5-S5)/ABS(S5)
)</f>
        <v>1</v>
      </c>
      <c r="U88" s="48">
        <f t="shared" ref="U88:U94" si="59">IF(T5=0,
IF(U5=0,0,IF(U5&gt;0,1,-1)),
(U5-T5)/ABS(T5)
)</f>
        <v>-0.13213981244671782</v>
      </c>
      <c r="V88" s="48">
        <f t="shared" ref="V88:V94" si="60">IF(U5=0,
IF(V5=0,0,IF(V5&gt;0,1,-1)),
(V5-U5)/ABS(U5)
)</f>
        <v>0.29567779960707269</v>
      </c>
      <c r="W88" s="48">
        <f t="shared" ref="W88:W94" si="61">IF(V5=0,
IF(W5=0,0,IF(W5&gt;0,1,-1)),
(W5-V5)/ABS(V5)
)</f>
        <v>1.4404852160727824E-2</v>
      </c>
      <c r="X88" s="48">
        <f t="shared" ref="X88:X94" si="62">IF(W5=0,
IF(X5=0,0,IF(X5&gt;0,1,-1)),
(X5-W5)/ABS(W5)
)</f>
        <v>7.623318385650224E-2</v>
      </c>
      <c r="Y88" s="48">
        <f t="shared" ref="Y88:Y94" si="63">IF(X5=0,
IF(Y5=0,0,IF(Y5&gt;0,1,-1)),
(Y5-X5)/ABS(X5)
)</f>
        <v>-7.9861111111111105E-2</v>
      </c>
      <c r="Z88" s="48">
        <f t="shared" ref="Z88:Z94" si="64">IF(Y5=0,
IF(Z5=0,0,IF(Z5&gt;0,1,-1)),
(Z5-Y5)/ABS(Y5)
)</f>
        <v>0.23547169811320753</v>
      </c>
      <c r="AA88" s="48">
        <f t="shared" ref="T88:AA92" si="65">IF(Z5=0,
IF(AA5=0,0,IF(AA5&gt;0,1,-1)),
(AA5-Z5)/ABS(Z5)
)</f>
        <v>0.31704337202199145</v>
      </c>
      <c r="AB88" s="1"/>
      <c r="AC88" s="67"/>
      <c r="AD88" s="1"/>
      <c r="AE88" s="1"/>
    </row>
    <row r="89" spans="1:31" x14ac:dyDescent="0.2">
      <c r="B89" s="20" t="s">
        <v>20</v>
      </c>
      <c r="C89" s="49"/>
      <c r="D89" s="50"/>
      <c r="E89" s="50"/>
      <c r="F89" s="50"/>
      <c r="G89" s="50"/>
      <c r="H89" s="50"/>
      <c r="I89" s="50"/>
      <c r="J89" s="50"/>
      <c r="K89" s="50"/>
      <c r="L89" s="50"/>
      <c r="M89" s="50">
        <f t="shared" si="57"/>
        <v>1</v>
      </c>
      <c r="N89" s="50">
        <f t="shared" si="57"/>
        <v>0.17266187050359713</v>
      </c>
      <c r="O89" s="50">
        <f t="shared" si="57"/>
        <v>9.5214723926380362E-2</v>
      </c>
      <c r="P89" s="50">
        <f t="shared" si="57"/>
        <v>0.13779968630965719</v>
      </c>
      <c r="Q89" s="50">
        <f t="shared" si="57"/>
        <v>0.28298542733359588</v>
      </c>
      <c r="T89" s="50">
        <f t="shared" si="58"/>
        <v>1</v>
      </c>
      <c r="U89" s="50">
        <f t="shared" si="59"/>
        <v>-8.5365853658536592E-2</v>
      </c>
      <c r="V89" s="50">
        <f t="shared" si="60"/>
        <v>0.29037037037037039</v>
      </c>
      <c r="W89" s="50">
        <f t="shared" si="61"/>
        <v>-4.4202066590126293E-2</v>
      </c>
      <c r="X89" s="50">
        <f t="shared" si="62"/>
        <v>5.6456456456456458E-2</v>
      </c>
      <c r="Y89" s="50">
        <f t="shared" si="63"/>
        <v>-6.196702671972712E-2</v>
      </c>
      <c r="Z89" s="50">
        <f t="shared" si="64"/>
        <v>0.23575757575757575</v>
      </c>
      <c r="AA89" s="50">
        <f t="shared" si="65"/>
        <v>0.30897498773908777</v>
      </c>
      <c r="AC89" s="68"/>
    </row>
    <row r="90" spans="1:31" s="41" customFormat="1" x14ac:dyDescent="0.2">
      <c r="A90" s="16"/>
      <c r="B90" s="17" t="s">
        <v>21</v>
      </c>
      <c r="C90" s="47"/>
      <c r="D90" s="48"/>
      <c r="E90" s="48"/>
      <c r="F90" s="48"/>
      <c r="G90" s="48"/>
      <c r="H90" s="48"/>
      <c r="I90" s="48"/>
      <c r="J90" s="48"/>
      <c r="K90" s="48"/>
      <c r="L90" s="48"/>
      <c r="M90" s="48">
        <f t="shared" si="57"/>
        <v>1</v>
      </c>
      <c r="N90" s="48">
        <f t="shared" si="57"/>
        <v>6.1720288903479976E-2</v>
      </c>
      <c r="O90" s="48">
        <f t="shared" si="57"/>
        <v>0.48423005565862709</v>
      </c>
      <c r="P90" s="48">
        <f t="shared" si="57"/>
        <v>0.2225</v>
      </c>
      <c r="Q90" s="48">
        <f t="shared" si="57"/>
        <v>0.2661895023858214</v>
      </c>
      <c r="R90" s="1"/>
      <c r="S90" s="1"/>
      <c r="T90" s="48">
        <f t="shared" si="58"/>
        <v>1</v>
      </c>
      <c r="U90" s="48">
        <f t="shared" si="59"/>
        <v>-0.21149425287356322</v>
      </c>
      <c r="V90" s="48">
        <f t="shared" si="60"/>
        <v>0.30612244897959184</v>
      </c>
      <c r="W90" s="48">
        <f t="shared" si="61"/>
        <v>0.12834821428571427</v>
      </c>
      <c r="X90" s="48">
        <f t="shared" si="62"/>
        <v>0.10880316518298715</v>
      </c>
      <c r="Y90" s="48">
        <f t="shared" si="63"/>
        <v>-0.10793933987511151</v>
      </c>
      <c r="Z90" s="48">
        <f t="shared" si="64"/>
        <v>0.23499999999999999</v>
      </c>
      <c r="AA90" s="48">
        <f t="shared" si="65"/>
        <v>0.33036437246963563</v>
      </c>
      <c r="AB90" s="1"/>
      <c r="AC90" s="67"/>
      <c r="AD90" s="1"/>
      <c r="AE90" s="1"/>
    </row>
    <row r="91" spans="1:31" x14ac:dyDescent="0.2">
      <c r="B91" s="20" t="str">
        <f>B8</f>
        <v>SG&amp;A</v>
      </c>
      <c r="C91" s="49"/>
      <c r="D91" s="50"/>
      <c r="E91" s="50"/>
      <c r="F91" s="50"/>
      <c r="G91" s="50"/>
      <c r="H91" s="50"/>
      <c r="I91" s="50"/>
      <c r="J91" s="50"/>
      <c r="K91" s="50"/>
      <c r="L91" s="50"/>
      <c r="M91" s="50">
        <f t="shared" si="57"/>
        <v>1</v>
      </c>
      <c r="N91" s="50">
        <f t="shared" si="57"/>
        <v>6.2218214607754736E-2</v>
      </c>
      <c r="O91" s="50">
        <f t="shared" si="57"/>
        <v>0.11375212224108659</v>
      </c>
      <c r="P91" s="50">
        <f t="shared" si="57"/>
        <v>4.725609756097561E-2</v>
      </c>
      <c r="Q91" s="50">
        <f t="shared" si="57"/>
        <v>0.17758369723435224</v>
      </c>
      <c r="T91" s="50">
        <f t="shared" si="58"/>
        <v>1</v>
      </c>
      <c r="U91" s="50">
        <f t="shared" si="59"/>
        <v>-4.4198895027624308E-2</v>
      </c>
      <c r="V91" s="50">
        <f t="shared" si="60"/>
        <v>0.14450867052023122</v>
      </c>
      <c r="W91" s="50">
        <f t="shared" si="61"/>
        <v>4.5454545454545456E-2</v>
      </c>
      <c r="X91" s="50">
        <f t="shared" si="62"/>
        <v>0.11594202898550725</v>
      </c>
      <c r="Y91" s="50">
        <f t="shared" si="63"/>
        <v>-1.0822510822510822E-2</v>
      </c>
      <c r="Z91" s="50">
        <f t="shared" si="64"/>
        <v>8.0962800875273522E-2</v>
      </c>
      <c r="AA91" s="50">
        <f t="shared" si="65"/>
        <v>0.12753036437246965</v>
      </c>
      <c r="AC91" s="68"/>
    </row>
    <row r="92" spans="1:31" x14ac:dyDescent="0.2">
      <c r="B92" s="20" t="str">
        <f>B9</f>
        <v>Amortization</v>
      </c>
      <c r="C92" s="49"/>
      <c r="D92" s="50"/>
      <c r="E92" s="50"/>
      <c r="F92" s="50"/>
      <c r="G92" s="50"/>
      <c r="H92" s="50"/>
      <c r="I92" s="50"/>
      <c r="J92" s="50"/>
      <c r="K92" s="50"/>
      <c r="L92" s="50"/>
      <c r="M92" s="50">
        <f t="shared" si="57"/>
        <v>1</v>
      </c>
      <c r="N92" s="50">
        <f t="shared" si="57"/>
        <v>0.5</v>
      </c>
      <c r="O92" s="50">
        <f t="shared" si="57"/>
        <v>-0.16203703703703703</v>
      </c>
      <c r="P92" s="50">
        <f t="shared" si="57"/>
        <v>1.6574585635359115E-2</v>
      </c>
      <c r="Q92" s="50">
        <f t="shared" si="57"/>
        <v>8.6956521739130432E-2</v>
      </c>
      <c r="T92" s="50">
        <f t="shared" si="58"/>
        <v>1</v>
      </c>
      <c r="U92" s="50">
        <f t="shared" si="59"/>
        <v>-2.1276595744680851E-2</v>
      </c>
      <c r="V92" s="50">
        <f t="shared" si="60"/>
        <v>2.1739130434782608E-2</v>
      </c>
      <c r="W92" s="50">
        <f t="shared" si="61"/>
        <v>2.1276595744680851E-2</v>
      </c>
      <c r="X92" s="50">
        <f t="shared" si="62"/>
        <v>0.22916666666666666</v>
      </c>
      <c r="Y92" s="50">
        <f t="shared" si="63"/>
        <v>0.32203389830508472</v>
      </c>
      <c r="Z92" s="50">
        <f t="shared" si="64"/>
        <v>-5.128205128205128E-2</v>
      </c>
      <c r="AA92" s="50">
        <f t="shared" si="65"/>
        <v>-0.12162162162162163</v>
      </c>
      <c r="AC92" s="68"/>
    </row>
    <row r="93" spans="1:31" x14ac:dyDescent="0.2">
      <c r="B93" s="23" t="s">
        <v>22</v>
      </c>
      <c r="C93" s="49"/>
      <c r="D93" s="50"/>
      <c r="E93" s="50"/>
      <c r="F93" s="50"/>
      <c r="G93" s="50"/>
      <c r="H93" s="50"/>
      <c r="I93" s="50"/>
      <c r="J93" s="50"/>
      <c r="K93" s="50"/>
      <c r="L93" s="50"/>
      <c r="M93" s="50">
        <f t="shared" ref="M93:Q94" si="66">IF(L10=0,
IF(M10=0,0,IF(M10&gt;0,1,-1)),
(M10-L10)/ABS(L10)
)</f>
        <v>1</v>
      </c>
      <c r="N93" s="50">
        <f t="shared" si="66"/>
        <v>0.10372129849564529</v>
      </c>
      <c r="O93" s="50">
        <f t="shared" si="66"/>
        <v>9.6126255380200865E-2</v>
      </c>
      <c r="P93" s="50">
        <f t="shared" si="66"/>
        <v>2.5523560209424083E-2</v>
      </c>
      <c r="Q93" s="50">
        <f t="shared" si="66"/>
        <v>0.20293554562858968</v>
      </c>
      <c r="T93" s="50">
        <f t="shared" si="58"/>
        <v>1</v>
      </c>
      <c r="U93" s="50">
        <f t="shared" si="59"/>
        <v>-4.3583535108958835E-2</v>
      </c>
      <c r="V93" s="50">
        <f t="shared" si="60"/>
        <v>0.14936708860759493</v>
      </c>
      <c r="W93" s="50">
        <f t="shared" si="61"/>
        <v>8.8105726872246701E-2</v>
      </c>
      <c r="X93" s="50">
        <f t="shared" si="62"/>
        <v>9.5141700404858295E-2</v>
      </c>
      <c r="Y93" s="50">
        <f t="shared" si="63"/>
        <v>3.512014787430684E-2</v>
      </c>
      <c r="Z93" s="50">
        <f t="shared" si="64"/>
        <v>7.3214285714285718E-2</v>
      </c>
      <c r="AA93" s="50">
        <f t="shared" ref="AA93:AA94" si="67">IF(Z10=0,
IF(AA10=0,0,IF(AA10&gt;0,1,-1)),
(AA10-Z10)/ABS(Z10)
)</f>
        <v>9.6505823627287851E-2</v>
      </c>
      <c r="AC93" s="68"/>
    </row>
    <row r="94" spans="1:31" s="41" customFormat="1" x14ac:dyDescent="0.2">
      <c r="A94" s="16"/>
      <c r="B94" s="17" t="s">
        <v>23</v>
      </c>
      <c r="C94" s="47"/>
      <c r="D94" s="48"/>
      <c r="E94" s="48"/>
      <c r="F94" s="48"/>
      <c r="G94" s="48"/>
      <c r="H94" s="48"/>
      <c r="I94" s="48"/>
      <c r="J94" s="48"/>
      <c r="K94" s="48"/>
      <c r="L94" s="48"/>
      <c r="M94" s="48">
        <f t="shared" si="66"/>
        <v>1</v>
      </c>
      <c r="N94" s="48">
        <f t="shared" si="66"/>
        <v>-0.1423076923076923</v>
      </c>
      <c r="O94" s="48">
        <f t="shared" si="66"/>
        <v>2.9103139013452917</v>
      </c>
      <c r="P94" s="48">
        <f t="shared" si="66"/>
        <v>0.56766055045871555</v>
      </c>
      <c r="Q94" s="48">
        <f t="shared" si="66"/>
        <v>0.33869787856620337</v>
      </c>
      <c r="R94" s="1"/>
      <c r="S94" s="1"/>
      <c r="T94" s="48">
        <f t="shared" si="58"/>
        <v>1</v>
      </c>
      <c r="U94" s="48">
        <f t="shared" si="59"/>
        <v>-0.36323851203501095</v>
      </c>
      <c r="V94" s="48">
        <f t="shared" si="60"/>
        <v>0.51890034364261173</v>
      </c>
      <c r="W94" s="48">
        <f t="shared" si="61"/>
        <v>0.16968325791855204</v>
      </c>
      <c r="X94" s="48">
        <f t="shared" si="62"/>
        <v>0.1218568665377176</v>
      </c>
      <c r="Y94" s="48">
        <f t="shared" si="63"/>
        <v>-0.2413793103448276</v>
      </c>
      <c r="Z94" s="48">
        <f t="shared" si="64"/>
        <v>0.44090909090909092</v>
      </c>
      <c r="AA94" s="48">
        <f t="shared" si="67"/>
        <v>0.55205047318611988</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68">IF(S14=0,
IF(T14=0,0,IF(T14&gt;0,1,-1)),
(T14-S14)/ABS(S14)
)</f>
        <v>1</v>
      </c>
      <c r="U95" s="52">
        <f t="shared" ref="U95" si="69">IF(T14=0,
IF(U14=0,0,IF(U14&gt;0,1,-1)),
(U14-T14)/ABS(T14)
)</f>
        <v>8.1632653061224483E-2</v>
      </c>
      <c r="V95" s="52">
        <f t="shared" ref="V95" si="70">IF(U14=0,
IF(V14=0,0,IF(V14&gt;0,1,-1)),
(V14-U14)/ABS(U14)
)</f>
        <v>0.58867924528301885</v>
      </c>
      <c r="W95" s="52">
        <f t="shared" ref="W95" si="71">IF(V14=0,
IF(W14=0,0,IF(W14&gt;0,1,-1)),
(W14-V14)/ABS(V14)
)</f>
        <v>0.16864608076009502</v>
      </c>
      <c r="X95" s="52">
        <f t="shared" ref="X95" si="72">IF(W14=0,
IF(X14=0,0,IF(X14&gt;0,1,-1)),
(X14-W14)/ABS(W14)
)</f>
        <v>0.1443089430894309</v>
      </c>
      <c r="Y95" s="52">
        <f t="shared" ref="Y95" si="73">IF(X14=0,
IF(Y14=0,0,IF(Y14&gt;0,1,-1)),
(Y14-X14)/ABS(X14)
)</f>
        <v>-0.22202486678507993</v>
      </c>
      <c r="Z95" s="52">
        <f t="shared" ref="Z95" si="74">IF(Y14=0,
IF(Z14=0,0,IF(Z14&gt;0,1,-1)),
(Z14-Y14)/ABS(Y14)
)</f>
        <v>0.41552511415525112</v>
      </c>
      <c r="AA95" s="52">
        <f t="shared" ref="AA95" si="75">IF(Z14=0,
IF(AA14=0,0,IF(AA14&gt;0,1,-1)),
(AA14-Z14)/ABS(Z14)
)</f>
        <v>0.60483870967741937</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6">IF(S17=0,
IF(T17=0,0,IF(T17&gt;0,1,-1)),
(T17-S17)/ABS(S17)
)</f>
        <v>1</v>
      </c>
      <c r="U96" s="52">
        <f t="shared" ref="U96" si="77">IF(T17=0,
IF(U17=0,0,IF(U17&gt;0,1,-1)),
(U17-T17)/ABS(T17)
)</f>
        <v>0.12244897959183673</v>
      </c>
      <c r="V96" s="52">
        <f t="shared" ref="V96" si="78">IF(U17=0,
IF(V17=0,0,IF(V17&gt;0,1,-1)),
(V17-U17)/ABS(U17)
)</f>
        <v>0.96363636363636362</v>
      </c>
      <c r="W96" s="52">
        <f t="shared" ref="W96" si="79">IF(V17=0,
IF(W17=0,0,IF(W17&gt;0,1,-1)),
(W17-V17)/ABS(V17)
)</f>
        <v>0.23148148148148148</v>
      </c>
      <c r="X96" s="52">
        <f t="shared" ref="X96" si="80">IF(W17=0,
IF(X17=0,0,IF(X17&gt;0,1,-1)),
(X17-W17)/ABS(W17)
)</f>
        <v>0.11779448621553884</v>
      </c>
      <c r="Y96" s="52">
        <f t="shared" ref="Y96" si="81">IF(X17=0,
IF(Y17=0,0,IF(Y17&gt;0,1,-1)),
(Y17-X17)/ABS(X17)
)</f>
        <v>-0.12556053811659193</v>
      </c>
      <c r="Z96" s="52">
        <f t="shared" ref="Z96" si="82">IF(Y17=0,
IF(Z17=0,0,IF(Z17&gt;0,1,-1)),
(Z17-Y17)/ABS(Y17)
)</f>
        <v>0.27692307692307694</v>
      </c>
      <c r="AA96" s="52">
        <f t="shared" ref="AA96" si="83">IF(Z17=0,
IF(AA17=0,0,IF(AA17&gt;0,1,-1)),
(AA17-Z17)/ABS(Z17)
)</f>
        <v>0.53614457831325302</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Z99" si="84">T7/T5</f>
        <v>0.37084398976982097</v>
      </c>
      <c r="U99" s="50">
        <f t="shared" si="84"/>
        <v>0.33693516699410608</v>
      </c>
      <c r="V99" s="50">
        <f t="shared" si="84"/>
        <v>0.33965125094768767</v>
      </c>
      <c r="W99" s="50">
        <f t="shared" si="84"/>
        <v>0.37780269058295962</v>
      </c>
      <c r="X99" s="50">
        <f t="shared" si="84"/>
        <v>0.38923611111111112</v>
      </c>
      <c r="Y99" s="50">
        <f t="shared" si="84"/>
        <v>0.37735849056603776</v>
      </c>
      <c r="Z99" s="50">
        <f t="shared" si="84"/>
        <v>0.37721441661576055</v>
      </c>
      <c r="AA99" s="50">
        <f t="shared" ref="T99:AA99" si="85">AA7/AA5</f>
        <v>0.38102968460111319</v>
      </c>
      <c r="AC99" s="50">
        <f>AC7/AC5</f>
        <v>0.38113754193351629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Z100" si="86">T11/T5</f>
        <v>0.1947996589940324</v>
      </c>
      <c r="U100" s="50">
        <f t="shared" si="86"/>
        <v>0.14292730844793713</v>
      </c>
      <c r="V100" s="50">
        <f t="shared" si="86"/>
        <v>0.16755117513267628</v>
      </c>
      <c r="W100" s="50">
        <f t="shared" si="86"/>
        <v>0.19319880418535126</v>
      </c>
      <c r="X100" s="50">
        <f t="shared" si="86"/>
        <v>0.2013888888888889</v>
      </c>
      <c r="Y100" s="50">
        <f t="shared" si="86"/>
        <v>0.16603773584905659</v>
      </c>
      <c r="Z100" s="50">
        <f t="shared" si="86"/>
        <v>0.19364691508857668</v>
      </c>
      <c r="AA100" s="50">
        <f t="shared" ref="T100:AA100" si="87">AA11/AA5</f>
        <v>0.22820037105751392</v>
      </c>
      <c r="AC100" s="50">
        <f>AC11/AC5</f>
        <v>0.20112839280268374</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Z101" si="88">T109/T5</f>
        <v>6.2659846547314574E-2</v>
      </c>
      <c r="U101" s="55">
        <f t="shared" si="88"/>
        <v>8.1041257367387029E-2</v>
      </c>
      <c r="V101" s="55">
        <f t="shared" si="88"/>
        <v>0.12282031842304776</v>
      </c>
      <c r="W101" s="55">
        <f t="shared" si="88"/>
        <v>0.1491031390134529</v>
      </c>
      <c r="X101" s="55">
        <f t="shared" si="88"/>
        <v>0.15486111111111112</v>
      </c>
      <c r="Y101" s="55">
        <f t="shared" si="88"/>
        <v>0.14716981132075471</v>
      </c>
      <c r="Z101" s="55">
        <f t="shared" si="88"/>
        <v>0.15210751374465487</v>
      </c>
      <c r="AA101" s="55">
        <f t="shared" ref="T101:AA101" si="89">AA109/AA5</f>
        <v>0.17741187384044527</v>
      </c>
      <c r="AB101" s="1"/>
      <c r="AC101" s="55">
        <f>AC109/AC5</f>
        <v>0.16003354681305276</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0.28313253012048195</v>
      </c>
      <c r="N104" s="81">
        <f t="shared" si="90"/>
        <v>0.53892215568862278</v>
      </c>
      <c r="O104" s="81">
        <f t="shared" si="90"/>
        <v>0.13883677298311445</v>
      </c>
      <c r="P104" s="81">
        <f t="shared" si="90"/>
        <v>0.35294117647058826</v>
      </c>
      <c r="Q104" s="81">
        <f t="shared" si="90"/>
        <v>0.23478760045924224</v>
      </c>
      <c r="T104" s="81">
        <f t="shared" ref="T104:Z104" si="91">IF(AND(T82&gt;=0,T11&gt;=0),T82,0)</f>
        <v>0.4</v>
      </c>
      <c r="U104" s="81">
        <f t="shared" si="91"/>
        <v>0.38113207547169814</v>
      </c>
      <c r="V104" s="81">
        <f t="shared" si="91"/>
        <v>0.23040380047505937</v>
      </c>
      <c r="W104" s="81">
        <f t="shared" si="91"/>
        <v>0.1910569105691057</v>
      </c>
      <c r="X104" s="81">
        <f t="shared" si="91"/>
        <v>0.20959147424511546</v>
      </c>
      <c r="Y104" s="81">
        <f t="shared" si="91"/>
        <v>0.1095890410958904</v>
      </c>
      <c r="Z104" s="81">
        <f t="shared" ref="Z104:AA104" si="92">IF(AND(Z82&gt;=0,Z11&gt;=0),Z82,0)</f>
        <v>0.1967741935483871</v>
      </c>
      <c r="AA104" s="81">
        <f t="shared" si="92"/>
        <v>0.23115577889447236</v>
      </c>
      <c r="AC104" s="81">
        <f>IF(AND(AC82&gt;=0,AC11&gt;=0),AC82,0)</f>
        <v>0.19801223241590213</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3">T28+T33</f>
        <v>1228</v>
      </c>
      <c r="U105" s="25">
        <f t="shared" si="93"/>
        <v>1467</v>
      </c>
      <c r="V105" s="25">
        <f t="shared" si="93"/>
        <v>1739</v>
      </c>
      <c r="W105" s="25">
        <f t="shared" si="93"/>
        <v>1941</v>
      </c>
      <c r="X105" s="25">
        <f t="shared" si="93"/>
        <v>1828</v>
      </c>
      <c r="Y105" s="25">
        <f t="shared" si="93"/>
        <v>2501</v>
      </c>
      <c r="Z105" s="25">
        <f t="shared" ref="Z105:AA105" si="94">Z28+Z33</f>
        <v>3111</v>
      </c>
      <c r="AA105" s="25">
        <f t="shared" si="94"/>
        <v>3712</v>
      </c>
      <c r="AC105" s="25">
        <f>AA105</f>
        <v>3712</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5">T38+T40</f>
        <v>2928</v>
      </c>
      <c r="U106" s="25">
        <f t="shared" si="95"/>
        <v>2925</v>
      </c>
      <c r="V106" s="25">
        <f t="shared" si="95"/>
        <v>2922</v>
      </c>
      <c r="W106" s="25">
        <f t="shared" si="95"/>
        <v>2919</v>
      </c>
      <c r="X106" s="25">
        <f t="shared" si="95"/>
        <v>2913</v>
      </c>
      <c r="Y106" s="25">
        <f t="shared" si="95"/>
        <v>2922</v>
      </c>
      <c r="Z106" s="25">
        <f t="shared" ref="Z106:AA106" si="96">Z38+Z40</f>
        <v>2940</v>
      </c>
      <c r="AA106" s="25">
        <f t="shared" si="96"/>
        <v>2928</v>
      </c>
      <c r="AC106" s="25">
        <f>AA106</f>
        <v>2928</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2115.6437308868503</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7">T59+T60</f>
        <v>-64</v>
      </c>
      <c r="U108" s="126">
        <f t="shared" si="97"/>
        <v>-39</v>
      </c>
      <c r="V108" s="126">
        <f t="shared" si="97"/>
        <v>-46</v>
      </c>
      <c r="W108" s="126">
        <f t="shared" si="97"/>
        <v>-47</v>
      </c>
      <c r="X108" s="126">
        <f t="shared" si="97"/>
        <v>-95</v>
      </c>
      <c r="Y108" s="126">
        <f t="shared" si="97"/>
        <v>-114</v>
      </c>
      <c r="Z108" s="126">
        <f t="shared" ref="Z108:AA108" si="98">Z59+Z60</f>
        <v>-174</v>
      </c>
      <c r="AA108" s="126">
        <f t="shared" si="98"/>
        <v>-142</v>
      </c>
      <c r="AC108" s="126">
        <f>AC59+AC60</f>
        <v>-525</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9">T16+T17</f>
        <v>147</v>
      </c>
      <c r="U109" s="126">
        <f t="shared" si="99"/>
        <v>165</v>
      </c>
      <c r="V109" s="126">
        <f t="shared" si="99"/>
        <v>324</v>
      </c>
      <c r="W109" s="126">
        <f t="shared" si="99"/>
        <v>399</v>
      </c>
      <c r="X109" s="126">
        <f t="shared" si="99"/>
        <v>446</v>
      </c>
      <c r="Y109" s="126">
        <f t="shared" si="99"/>
        <v>390</v>
      </c>
      <c r="Z109" s="126">
        <f t="shared" ref="Z109:AA109" si="100">Z16+Z17</f>
        <v>498</v>
      </c>
      <c r="AA109" s="126">
        <f t="shared" si="100"/>
        <v>765</v>
      </c>
      <c r="AC109" s="126">
        <f>AC16+AC17</f>
        <v>2099</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1">T48+T47</f>
        <v>2434</v>
      </c>
      <c r="U110" s="126">
        <f t="shared" si="101"/>
        <v>2666</v>
      </c>
      <c r="V110" s="126">
        <f t="shared" si="101"/>
        <v>3125</v>
      </c>
      <c r="W110" s="126">
        <f t="shared" si="101"/>
        <v>3509</v>
      </c>
      <c r="X110" s="126">
        <f t="shared" si="101"/>
        <v>3941</v>
      </c>
      <c r="Y110" s="126">
        <f t="shared" si="101"/>
        <v>4245</v>
      </c>
      <c r="Z110" s="126">
        <f t="shared" ref="Z110:AA110" si="102">Z48+Z47</f>
        <v>4758</v>
      </c>
      <c r="AA110" s="126">
        <f t="shared" si="102"/>
        <v>5502</v>
      </c>
      <c r="AC110" s="126">
        <f>AC48+AC47</f>
        <v>5502</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113.61</v>
      </c>
      <c r="U114" s="26">
        <v>72.2</v>
      </c>
      <c r="V114" s="26">
        <v>128.41</v>
      </c>
      <c r="W114" s="26">
        <v>150.86000000000001</v>
      </c>
      <c r="X114" s="26">
        <v>162.01</v>
      </c>
      <c r="Y114" s="26">
        <v>250.58</v>
      </c>
      <c r="Z114" s="26">
        <v>334.82</v>
      </c>
      <c r="AA114" s="26">
        <v>241.31</v>
      </c>
      <c r="AC114" s="63">
        <f ca="1">Overview!C5</f>
        <v>240.98</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3">T114/T84</f>
        <v>113.61</v>
      </c>
      <c r="U115" s="65">
        <f t="shared" si="103"/>
        <v>72.2</v>
      </c>
      <c r="V115" s="65">
        <f t="shared" si="103"/>
        <v>128.41</v>
      </c>
      <c r="W115" s="65">
        <f t="shared" si="103"/>
        <v>150.86000000000001</v>
      </c>
      <c r="X115" s="65">
        <f t="shared" si="103"/>
        <v>162.01</v>
      </c>
      <c r="Y115" s="65">
        <f t="shared" si="103"/>
        <v>250.58</v>
      </c>
      <c r="Z115" s="65">
        <f t="shared" ref="Z115:AA115" si="104">Z114/Z84</f>
        <v>334.82</v>
      </c>
      <c r="AA115" s="65">
        <f t="shared" si="104"/>
        <v>241.31</v>
      </c>
      <c r="AC115" s="65">
        <f ca="1">AC114/AC84</f>
        <v>240.98</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0.16003354681305276</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0.72165061898211824</v>
      </c>
    </row>
    <row r="121" spans="1:31" x14ac:dyDescent="0.2">
      <c r="B121" s="32" t="s">
        <v>98</v>
      </c>
      <c r="M121" s="76">
        <f t="shared" ref="M121:P121" si="105">M119*M120</f>
        <v>1.7291066282420751E-2</v>
      </c>
      <c r="N121" s="76">
        <f t="shared" si="105"/>
        <v>1.085118376550169E-2</v>
      </c>
      <c r="O121" s="76">
        <f t="shared" si="105"/>
        <v>5.7507188398549819E-2</v>
      </c>
      <c r="P121" s="76">
        <f t="shared" si="105"/>
        <v>5.4308551406985657E-2</v>
      </c>
      <c r="Q121" s="76">
        <f>Q119*Q120</f>
        <v>0.1091549295774648</v>
      </c>
      <c r="T121" s="79"/>
      <c r="U121" s="79"/>
      <c r="V121" s="79"/>
      <c r="W121" s="79"/>
      <c r="X121" s="79"/>
      <c r="Y121" s="79"/>
      <c r="Z121" s="79"/>
      <c r="AA121" s="79"/>
      <c r="AC121" s="76">
        <f>AC119*AC120</f>
        <v>0.11548830811554332</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3.3033442384587421</v>
      </c>
    </row>
    <row r="123" spans="1:31" x14ac:dyDescent="0.2">
      <c r="B123" s="32" t="s">
        <v>100</v>
      </c>
      <c r="M123" s="76">
        <f t="shared" ref="M123:P123" si="106">M121*M122</f>
        <v>8.4626234132581107E-2</v>
      </c>
      <c r="N123" s="76">
        <f t="shared" si="106"/>
        <v>5.3398058252427175E-2</v>
      </c>
      <c r="O123" s="76">
        <f t="shared" si="106"/>
        <v>0.22828784119106701</v>
      </c>
      <c r="P123" s="76">
        <f t="shared" si="106"/>
        <v>0.2037797863599014</v>
      </c>
      <c r="Q123" s="76">
        <f>Q121*Q122</f>
        <v>0.33823902562801322</v>
      </c>
      <c r="T123" s="79"/>
      <c r="U123" s="79"/>
      <c r="V123" s="79"/>
      <c r="W123" s="79"/>
      <c r="X123" s="79"/>
      <c r="Y123" s="79"/>
      <c r="Z123" s="79"/>
      <c r="AA123" s="79"/>
      <c r="AC123" s="76">
        <f>AC121*AC122</f>
        <v>0.38149763722282803</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382</v>
      </c>
      <c r="C127" s="49"/>
      <c r="D127" s="49"/>
      <c r="E127" s="49"/>
      <c r="F127" s="49"/>
      <c r="G127" s="49"/>
      <c r="H127" s="49"/>
      <c r="I127" s="49"/>
      <c r="J127" s="49"/>
      <c r="K127" s="49"/>
      <c r="L127" s="49"/>
      <c r="M127" s="49"/>
      <c r="N127" s="49"/>
      <c r="O127" s="49"/>
      <c r="P127" s="49"/>
      <c r="Q127" s="49"/>
      <c r="T127" s="21">
        <v>1900</v>
      </c>
      <c r="U127" s="21">
        <v>2325</v>
      </c>
      <c r="V127" s="21">
        <v>2510</v>
      </c>
      <c r="W127" s="21">
        <v>2810</v>
      </c>
      <c r="X127" s="21">
        <v>2500</v>
      </c>
      <c r="Y127" s="21">
        <v>3250</v>
      </c>
      <c r="Z127" s="21">
        <v>3650</v>
      </c>
      <c r="AA127" s="21">
        <v>4313</v>
      </c>
      <c r="AC127" s="49"/>
    </row>
    <row r="128" spans="1:31" x14ac:dyDescent="0.2">
      <c r="B128" s="20" t="s">
        <v>383</v>
      </c>
      <c r="C128" s="49"/>
      <c r="D128" s="49"/>
      <c r="E128" s="49"/>
      <c r="F128" s="49"/>
      <c r="G128" s="49"/>
      <c r="H128" s="49"/>
      <c r="I128" s="49"/>
      <c r="J128" s="49"/>
      <c r="K128" s="49"/>
      <c r="L128" s="49"/>
      <c r="M128" s="49"/>
      <c r="N128" s="49"/>
      <c r="O128" s="49"/>
      <c r="P128" s="49"/>
      <c r="Q128" s="49"/>
      <c r="T128" s="21">
        <v>1950</v>
      </c>
      <c r="U128" s="21">
        <v>2375</v>
      </c>
      <c r="V128" s="21">
        <v>2590</v>
      </c>
      <c r="W128" s="21">
        <v>2890</v>
      </c>
      <c r="X128" s="21">
        <v>2700</v>
      </c>
      <c r="Y128" s="21">
        <v>3450</v>
      </c>
      <c r="Z128" s="21">
        <v>3850</v>
      </c>
      <c r="AA128" s="21">
        <v>4513</v>
      </c>
      <c r="AC128" s="49"/>
    </row>
    <row r="129" spans="2:29" x14ac:dyDescent="0.2">
      <c r="B129" s="20" t="s">
        <v>384</v>
      </c>
      <c r="C129" s="49"/>
      <c r="D129" s="49"/>
      <c r="E129" s="49"/>
      <c r="F129" s="49"/>
      <c r="G129" s="49"/>
      <c r="H129" s="49"/>
      <c r="I129" s="49"/>
      <c r="J129" s="49"/>
      <c r="K129" s="49"/>
      <c r="L129" s="49"/>
      <c r="M129" s="49"/>
      <c r="N129" s="49"/>
      <c r="O129" s="49"/>
      <c r="P129" s="49"/>
      <c r="Q129" s="49"/>
      <c r="T129" s="25">
        <f t="shared" ref="T129" si="107">U5</f>
        <v>2036</v>
      </c>
      <c r="U129" s="25">
        <f t="shared" ref="U129" si="108">V5</f>
        <v>2638</v>
      </c>
      <c r="V129" s="25">
        <f t="shared" ref="V129" si="109">W5</f>
        <v>2676</v>
      </c>
      <c r="W129" s="25">
        <f t="shared" ref="W129" si="110">X5</f>
        <v>2880</v>
      </c>
      <c r="X129" s="25">
        <f t="shared" ref="X129" si="111">Y5</f>
        <v>2650</v>
      </c>
      <c r="Y129" s="25">
        <f t="shared" ref="Y129" si="112">Z5</f>
        <v>3274</v>
      </c>
      <c r="Z129" s="25">
        <f t="shared" ref="Z129" si="113">AA5</f>
        <v>4312</v>
      </c>
      <c r="AA129" s="25">
        <f t="shared" ref="T129:AA129" si="114">AB5</f>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15">IF(T129&gt;T128, "BEAT", IF(T129&lt;T127, "MISSED", "MET"))</f>
        <v>BEAT</v>
      </c>
      <c r="U130" s="233" t="str">
        <f t="shared" si="115"/>
        <v>BEAT</v>
      </c>
      <c r="V130" s="233" t="str">
        <f t="shared" si="115"/>
        <v>BEAT</v>
      </c>
      <c r="W130" s="233" t="str">
        <f t="shared" si="115"/>
        <v>MET</v>
      </c>
      <c r="X130" s="233" t="str">
        <f t="shared" si="115"/>
        <v>MET</v>
      </c>
      <c r="Y130" s="233" t="str">
        <f>IF(Y129&gt;Y128, "BEAT", IF(Y129&lt;Y127, "MISSED", "MET"))</f>
        <v>MET</v>
      </c>
      <c r="Z130" s="233" t="str">
        <f>IF(Z129&gt;Z128, "BEAT", IF(Z129&lt;Z127, "MISSED", "MET"))</f>
        <v>BEAT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0.44841961231175292</v>
      </c>
    </row>
    <row r="135" spans="2:29" x14ac:dyDescent="0.2">
      <c r="B135" s="20" t="s">
        <v>135</v>
      </c>
      <c r="M135" s="118">
        <f t="shared" ref="M135:Q136" si="116">M29/M5*365</f>
        <v>112.17286914765906</v>
      </c>
      <c r="N135" s="118">
        <f t="shared" si="116"/>
        <v>121.13229093464511</v>
      </c>
      <c r="O135" s="118">
        <f t="shared" si="116"/>
        <v>116.20646947399096</v>
      </c>
      <c r="P135" s="118">
        <f t="shared" si="116"/>
        <v>107.65039940089865</v>
      </c>
      <c r="Q135" s="118">
        <f t="shared" si="116"/>
        <v>110.92717497556207</v>
      </c>
      <c r="T135" s="118">
        <f t="shared" ref="T135:Z135" si="117">T29/T5*90</f>
        <v>90.652173913043484</v>
      </c>
      <c r="U135" s="118">
        <f t="shared" si="117"/>
        <v>102.15618860510806</v>
      </c>
      <c r="V135" s="118">
        <f t="shared" si="117"/>
        <v>96.584533737680061</v>
      </c>
      <c r="W135" s="118">
        <f t="shared" si="117"/>
        <v>94.540358744394624</v>
      </c>
      <c r="X135" s="118">
        <f t="shared" si="117"/>
        <v>97.15625</v>
      </c>
      <c r="Y135" s="118">
        <f t="shared" si="117"/>
        <v>106.94716981132076</v>
      </c>
      <c r="Z135" s="118">
        <f t="shared" si="117"/>
        <v>103.08491142333537</v>
      </c>
      <c r="AA135" s="118">
        <f t="shared" ref="T135:AA135" si="118">AA29/AA5*90</f>
        <v>91.419294990723571</v>
      </c>
      <c r="AC135" s="118">
        <f>AC29/AC5*365</f>
        <v>121.88929551692588</v>
      </c>
    </row>
    <row r="136" spans="2:29" x14ac:dyDescent="0.2">
      <c r="B136" s="20" t="s">
        <v>136</v>
      </c>
      <c r="M136" s="118">
        <f t="shared" si="116"/>
        <v>64.702158273381301</v>
      </c>
      <c r="N136" s="118">
        <f t="shared" si="116"/>
        <v>73.626993865030684</v>
      </c>
      <c r="O136" s="118">
        <f t="shared" si="116"/>
        <v>72.296661438494283</v>
      </c>
      <c r="P136" s="118">
        <f t="shared" si="116"/>
        <v>89.417093343836157</v>
      </c>
      <c r="Q136" s="118">
        <f t="shared" si="116"/>
        <v>81.627782041442828</v>
      </c>
      <c r="T136" s="118">
        <f t="shared" ref="T136:Z136" si="119">T30/T6*365</f>
        <v>307.62872628726291</v>
      </c>
      <c r="U136" s="118">
        <f t="shared" si="119"/>
        <v>374.19259259259258</v>
      </c>
      <c r="V136" s="118">
        <f t="shared" si="119"/>
        <v>296.06486796785305</v>
      </c>
      <c r="W136" s="118">
        <f t="shared" si="119"/>
        <v>315.01801801801798</v>
      </c>
      <c r="X136" s="118">
        <f t="shared" si="119"/>
        <v>302.33371233655487</v>
      </c>
      <c r="Y136" s="118">
        <f t="shared" si="119"/>
        <v>405.92424242424238</v>
      </c>
      <c r="Z136" s="118">
        <f t="shared" si="119"/>
        <v>451.64051005394805</v>
      </c>
      <c r="AA136" s="118">
        <f t="shared" ref="T136:AA136" si="120">AA30/AA6*365</f>
        <v>449.65155488947175</v>
      </c>
      <c r="AC136" s="118">
        <f>AC30/AC6*365</f>
        <v>147.85265492176913</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Z137" si="121">T37/T6*90</f>
        <v>80.243902439024382</v>
      </c>
      <c r="U137" s="118">
        <f t="shared" si="121"/>
        <v>93.8</v>
      </c>
      <c r="V137" s="118">
        <f t="shared" si="121"/>
        <v>82.921928817451203</v>
      </c>
      <c r="W137" s="118">
        <f t="shared" si="121"/>
        <v>92.972972972972983</v>
      </c>
      <c r="X137" s="118">
        <f t="shared" si="121"/>
        <v>89.846503695281413</v>
      </c>
      <c r="Y137" s="118">
        <f t="shared" si="121"/>
        <v>106.47272727272728</v>
      </c>
      <c r="Z137" s="118">
        <f t="shared" si="121"/>
        <v>109.15644923982343</v>
      </c>
      <c r="AA137" s="118">
        <f t="shared" ref="T137:AA137" si="122">AA37/AA6*90</f>
        <v>109.4230048707381</v>
      </c>
      <c r="AC137" s="118">
        <f>AC37/AC6*365</f>
        <v>145.91905876555379</v>
      </c>
    </row>
    <row r="138" spans="2:29" x14ac:dyDescent="0.2">
      <c r="B138" s="20" t="s">
        <v>138</v>
      </c>
      <c r="M138" s="118">
        <f>M135+M136-M137</f>
        <v>86.649128140464811</v>
      </c>
      <c r="N138" s="118">
        <f t="shared" ref="N138:Q138" si="123">N135+N136-N137</f>
        <v>106.62186148679238</v>
      </c>
      <c r="O138" s="118">
        <f t="shared" si="123"/>
        <v>107.86454700031852</v>
      </c>
      <c r="P138" s="118">
        <f t="shared" si="123"/>
        <v>102.47513354820073</v>
      </c>
      <c r="Q138" s="118">
        <f t="shared" si="123"/>
        <v>94.175831921072415</v>
      </c>
      <c r="T138" s="118">
        <f t="shared" ref="T138:U138" si="124">T135+T136-T137</f>
        <v>318.03699776128201</v>
      </c>
      <c r="U138" s="118">
        <f t="shared" ref="U138:V138" si="125">U135+U136-U137</f>
        <v>382.54878119770063</v>
      </c>
      <c r="V138" s="118">
        <f t="shared" ref="V138:Y138" si="126">V135+V136-V137</f>
        <v>309.72747288808193</v>
      </c>
      <c r="W138" s="118">
        <f t="shared" si="126"/>
        <v>316.58540378943962</v>
      </c>
      <c r="X138" s="118">
        <f t="shared" si="126"/>
        <v>309.64345864127347</v>
      </c>
      <c r="Y138" s="118">
        <f t="shared" si="126"/>
        <v>406.39868496283589</v>
      </c>
      <c r="Z138" s="118">
        <f t="shared" ref="Z138:AA138" si="127">Z135+Z136-Z137</f>
        <v>445.56897223745995</v>
      </c>
      <c r="AA138" s="118">
        <f t="shared" si="127"/>
        <v>431.64784500945717</v>
      </c>
      <c r="AC138" s="118">
        <f t="shared" ref="AC138" si="128">AC135+AC136-AC137</f>
        <v>123.82289167314124</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9">T106/T48</f>
        <v>1.2029580936729662</v>
      </c>
      <c r="U139" s="118">
        <f t="shared" si="129"/>
        <v>1.0971492873218305</v>
      </c>
      <c r="V139" s="118">
        <f t="shared" si="129"/>
        <v>0.93503999999999998</v>
      </c>
      <c r="W139" s="118">
        <f t="shared" si="129"/>
        <v>0.8318609290396124</v>
      </c>
      <c r="X139" s="118">
        <f t="shared" si="129"/>
        <v>0.7391524993656432</v>
      </c>
      <c r="Y139" s="118">
        <f t="shared" si="129"/>
        <v>0.68833922261484104</v>
      </c>
      <c r="Z139" s="118">
        <f t="shared" ref="Z139:AA139" si="130">Z106/Z48</f>
        <v>0.61790668348045397</v>
      </c>
      <c r="AA139" s="118">
        <f t="shared" si="130"/>
        <v>0.53217011995637953</v>
      </c>
      <c r="AC139" s="118">
        <f>AC106/AC48</f>
        <v>0.53217011995637953</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31">(T106-T105)/T48</f>
        <v>0.69843878389482339</v>
      </c>
      <c r="U140" s="173">
        <f t="shared" si="131"/>
        <v>0.54688672168042007</v>
      </c>
      <c r="V140" s="173">
        <f t="shared" si="131"/>
        <v>0.37856000000000001</v>
      </c>
      <c r="W140" s="173">
        <f t="shared" si="131"/>
        <v>0.27871188372755773</v>
      </c>
      <c r="X140" s="173">
        <f t="shared" si="131"/>
        <v>0.27531083481349911</v>
      </c>
      <c r="Y140" s="173">
        <f t="shared" si="131"/>
        <v>9.9175500588928156E-2</v>
      </c>
      <c r="Z140" s="173">
        <f t="shared" ref="Z140:AA140" si="132">(Z106-Z105)/Z48</f>
        <v>-3.5939470365699874E-2</v>
      </c>
      <c r="AA140" s="173">
        <f t="shared" si="132"/>
        <v>-0.14249363867684478</v>
      </c>
      <c r="AC140" s="173">
        <f>(AC106-AC105)/AC48</f>
        <v>-0.14249363867684478</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33">(T105+T29)/T39</f>
        <v>1.1595092024539877</v>
      </c>
      <c r="U141" s="118">
        <f t="shared" si="133"/>
        <v>1.1865577889447236</v>
      </c>
      <c r="V141" s="118">
        <f t="shared" si="133"/>
        <v>1.26417704011065</v>
      </c>
      <c r="W141" s="118">
        <f t="shared" si="133"/>
        <v>1.3284875594073247</v>
      </c>
      <c r="X141" s="118">
        <f t="shared" si="133"/>
        <v>1.1202632176083505</v>
      </c>
      <c r="Y141" s="118">
        <f t="shared" si="133"/>
        <v>1.0574583567284297</v>
      </c>
      <c r="Z141" s="118">
        <f t="shared" ref="Z141:AA141" si="134">(Z105+Z29)/Z39</f>
        <v>0.94725942289106724</v>
      </c>
      <c r="AA141" s="118">
        <f t="shared" si="134"/>
        <v>0.92894042015842038</v>
      </c>
      <c r="AC141" s="118">
        <f>(AC105+AC29)/AC39</f>
        <v>0.92894042015842038</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35">T31/T39</f>
        <v>1.6474007103648691</v>
      </c>
      <c r="U142" s="118">
        <f t="shared" si="135"/>
        <v>1.7154522613065326</v>
      </c>
      <c r="V142" s="118">
        <f t="shared" si="135"/>
        <v>1.7432918395573997</v>
      </c>
      <c r="W142" s="118">
        <f t="shared" si="135"/>
        <v>1.8308638523902712</v>
      </c>
      <c r="X142" s="118">
        <f t="shared" si="135"/>
        <v>1.5475380077149989</v>
      </c>
      <c r="Y142" s="118">
        <f t="shared" si="135"/>
        <v>1.4944787572524798</v>
      </c>
      <c r="Z142" s="118">
        <f t="shared" ref="Z142:AA142" si="136">Z31/Z39</f>
        <v>1.3785724147452714</v>
      </c>
      <c r="AA142" s="118">
        <f t="shared" si="136"/>
        <v>1.3916886694983355</v>
      </c>
      <c r="AC142" s="118">
        <f>AC31/AC39</f>
        <v>1.3916886694983355</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37">IF(T12&gt;=0,"N/A",IF(T11&lt;=0,"N/A",T11/-T12))</f>
        <v>14.741935483870968</v>
      </c>
      <c r="U143" s="175">
        <f t="shared" si="137"/>
        <v>11.64</v>
      </c>
      <c r="V143" s="175">
        <f t="shared" si="137"/>
        <v>21.047619047619047</v>
      </c>
      <c r="W143" s="175">
        <f t="shared" si="137"/>
        <v>22.478260869565219</v>
      </c>
      <c r="X143" s="175">
        <f t="shared" si="137"/>
        <v>34.117647058823529</v>
      </c>
      <c r="Y143" s="175" t="str">
        <f t="shared" si="137"/>
        <v>N/A</v>
      </c>
      <c r="Z143" s="175">
        <f t="shared" ref="Z143:AA143" si="138">IF(Z12&gt;=0,"N/A",IF(Z11&lt;=0,"N/A",Z11/-Z12))</f>
        <v>37.294117647058826</v>
      </c>
      <c r="AA143" s="175">
        <f t="shared" si="138"/>
        <v>164</v>
      </c>
      <c r="AC143" s="175">
        <f>IF(AC12&gt;=0,"N/A",IF(AC11&lt;=0,"N/A",AC11/-AC12))</f>
        <v>73.277777777777771</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45.04299065420561</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7.2113944800243974</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17.783652423993427</v>
      </c>
      <c r="U146" s="72">
        <f>U115/(Statement!U48/Statement!U74)</f>
        <v>10.31815453863466</v>
      </c>
      <c r="V146" s="72">
        <f>V115/(Statement!V48/Statement!V74)</f>
        <v>15.696838400000001</v>
      </c>
      <c r="W146" s="72">
        <f>W115/(Statement!W48/Statement!W74)</f>
        <v>16.423060701054432</v>
      </c>
      <c r="X146" s="72">
        <f>X115/(Statement!X48/Statement!X74)</f>
        <v>15.744691702613549</v>
      </c>
      <c r="Y146" s="72">
        <f>Y115/(Statement!Y48/Statement!Y74)</f>
        <v>22.667307420494701</v>
      </c>
      <c r="Z146" s="72">
        <f>Z115/(Statement!Z48/Statement!Z74)</f>
        <v>27.092412778478351</v>
      </c>
      <c r="AA146" s="72">
        <f>AA115/(Statement!AA48/Statement!AA74)</f>
        <v>16.885559796437658</v>
      </c>
      <c r="AC146" s="72">
        <f ca="1">AC115/(Statement!AC48/Statement!AC74)</f>
        <v>16.862468193384224</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44421.51</v>
      </c>
      <c r="U147" s="141">
        <f>Statement!U115*Statement!U77</f>
        <v>28158</v>
      </c>
      <c r="V147" s="141">
        <f>Statement!V115*Statement!V77</f>
        <v>50079.9</v>
      </c>
      <c r="W147" s="141">
        <f>Statement!W115*Statement!W77</f>
        <v>58986.26</v>
      </c>
      <c r="X147" s="141">
        <f>Statement!X115*Statement!X77</f>
        <v>63507.92</v>
      </c>
      <c r="Y147" s="141">
        <f>Statement!Y115*Statement!Y77</f>
        <v>98477.94</v>
      </c>
      <c r="Z147" s="141">
        <f>Statement!Z115*Statement!Z77</f>
        <v>131584.26</v>
      </c>
      <c r="AA147" s="141">
        <f>Statement!AA115*Statement!AA77</f>
        <v>94834.83</v>
      </c>
      <c r="AC147" s="141">
        <f ca="1">Statement!AC115*Statement!AC77</f>
        <v>94705.14</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9">T147+T106-T105+T47+T44</f>
        <v>46121.51</v>
      </c>
      <c r="U148" s="141">
        <f t="shared" si="139"/>
        <v>29616</v>
      </c>
      <c r="V148" s="141">
        <f t="shared" si="139"/>
        <v>51262.9</v>
      </c>
      <c r="W148" s="141">
        <f t="shared" si="139"/>
        <v>59964.26</v>
      </c>
      <c r="X148" s="141">
        <f t="shared" si="139"/>
        <v>64592.92</v>
      </c>
      <c r="Y148" s="141">
        <f t="shared" si="139"/>
        <v>98898.94</v>
      </c>
      <c r="Z148" s="141">
        <f t="shared" ref="Z148:AA148" si="140">Z147+Z106-Z105+Z47+Z44</f>
        <v>131413.26</v>
      </c>
      <c r="AA148" s="141">
        <f t="shared" si="140"/>
        <v>94050.83</v>
      </c>
      <c r="AC148" s="141">
        <f ca="1">AC147+AC106-AC105+AC47+AC44</f>
        <v>93921.14</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7.1608066483684052</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35.603161485974219</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41">T58-T53+T108+T64</f>
        <v>352</v>
      </c>
      <c r="U151" s="64">
        <f t="shared" si="141"/>
        <v>253</v>
      </c>
      <c r="V151" s="64">
        <f t="shared" si="141"/>
        <v>264</v>
      </c>
      <c r="W151" s="64">
        <f t="shared" si="141"/>
        <v>448</v>
      </c>
      <c r="X151" s="64">
        <f t="shared" si="141"/>
        <v>903</v>
      </c>
      <c r="Y151" s="64">
        <f t="shared" si="141"/>
        <v>635</v>
      </c>
      <c r="Z151" s="64">
        <f t="shared" ref="Z151:AA151" si="142">Z58-Z53+Z108+Z64</f>
        <v>912</v>
      </c>
      <c r="AA151" s="64">
        <f t="shared" si="142"/>
        <v>632</v>
      </c>
      <c r="AC151" s="64">
        <f>AC58-AC53+AC108+AC64</f>
        <v>3082</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AC107+AC52+AC108+AC54+AC56+AC57+AC55</f>
        <v>3644.6437308868499</v>
      </c>
    </row>
    <row r="153" spans="2:29" x14ac:dyDescent="0.2">
      <c r="B153" s="20" t="s">
        <v>256</v>
      </c>
      <c r="M153" s="72">
        <f>M147/M151</f>
        <v>91.476634615384611</v>
      </c>
      <c r="N153" s="72">
        <f t="shared" ref="N153:Q153" si="143">N147/N151</f>
        <v>-17.913979238754326</v>
      </c>
      <c r="O153" s="72">
        <f t="shared" si="143"/>
        <v>25.149311740890688</v>
      </c>
      <c r="P153" s="72">
        <f t="shared" si="143"/>
        <v>40.383190909090914</v>
      </c>
      <c r="Q153" s="72">
        <f t="shared" si="143"/>
        <v>34.477698154180239</v>
      </c>
      <c r="T153" s="49"/>
      <c r="U153" s="49"/>
      <c r="V153" s="49"/>
      <c r="W153" s="49"/>
      <c r="X153" s="49"/>
      <c r="Y153" s="49"/>
      <c r="Z153" s="49"/>
      <c r="AA153" s="49"/>
      <c r="AC153" s="72">
        <f t="shared" ref="AC153:AC154" ca="1" si="144">AC147/AC151</f>
        <v>30.728468526930563</v>
      </c>
    </row>
    <row r="154" spans="2:29" x14ac:dyDescent="0.2">
      <c r="B154" s="20" t="s">
        <v>257</v>
      </c>
      <c r="M154" s="72">
        <f>M148/M152</f>
        <v>60.728064496538316</v>
      </c>
      <c r="N154" s="72">
        <f t="shared" ref="N154:Q154" si="145">N148/N152</f>
        <v>-52.243580165927057</v>
      </c>
      <c r="O154" s="72">
        <f t="shared" si="145"/>
        <v>21.800913605547873</v>
      </c>
      <c r="P154" s="72">
        <f t="shared" si="145"/>
        <v>42.215348624347172</v>
      </c>
      <c r="Q154" s="72">
        <f t="shared" si="145"/>
        <v>35.445068643578196</v>
      </c>
      <c r="T154" s="49"/>
      <c r="U154" s="49"/>
      <c r="V154" s="49"/>
      <c r="W154" s="49"/>
      <c r="X154" s="49"/>
      <c r="Y154" s="49"/>
      <c r="Z154" s="49"/>
      <c r="AA154" s="49"/>
      <c r="AC154" s="72">
        <f t="shared" ca="1" si="144"/>
        <v>25.769635370408675</v>
      </c>
    </row>
    <row r="155" spans="2:29" x14ac:dyDescent="0.2">
      <c r="B155" s="20" t="s">
        <v>258</v>
      </c>
      <c r="M155" s="74">
        <f>M151/M147</f>
        <v>1.0931753274533114E-2</v>
      </c>
      <c r="N155" s="74">
        <f t="shared" ref="N155:Q155" si="146">N151/N147</f>
        <v>-5.5822326612763026E-2</v>
      </c>
      <c r="O155" s="74">
        <f t="shared" si="146"/>
        <v>3.9762519559296057E-2</v>
      </c>
      <c r="P155" s="74">
        <f t="shared" si="146"/>
        <v>2.4762778212627169E-2</v>
      </c>
      <c r="Q155" s="74">
        <f t="shared" si="146"/>
        <v>2.9004256476987438E-2</v>
      </c>
      <c r="T155" s="49"/>
      <c r="U155" s="49"/>
      <c r="V155" s="49"/>
      <c r="W155" s="49"/>
      <c r="X155" s="49"/>
      <c r="Y155" s="49"/>
      <c r="Z155" s="49"/>
      <c r="AA155" s="49"/>
      <c r="AC155" s="74">
        <f t="shared" ref="AC155" ca="1" si="147">AC151/AC147</f>
        <v>3.2543112232345572E-2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2.2201012532160346E-2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1.0374304921570256E-3</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1.0136725419549561E-3</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0.27787768609994279</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0.23498017688319608</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3.1148604802076575E-2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3.1148604802076575E-2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48">T105/T74</f>
        <v>3.2230971128608923</v>
      </c>
      <c r="U166" s="72">
        <f t="shared" si="148"/>
        <v>3.8503937007874014</v>
      </c>
      <c r="V166" s="72">
        <f t="shared" si="148"/>
        <v>4.5523560209424083</v>
      </c>
      <c r="W166" s="72">
        <f t="shared" si="148"/>
        <v>5.0811518324607325</v>
      </c>
      <c r="X166" s="72">
        <f t="shared" si="148"/>
        <v>4.7728459530026113</v>
      </c>
      <c r="Y166" s="72">
        <f t="shared" si="148"/>
        <v>6.513020833333333</v>
      </c>
      <c r="Z166" s="72">
        <f t="shared" ref="Z166:AA166" si="149">Z105/Z74</f>
        <v>8.0805194805194809</v>
      </c>
      <c r="AA166" s="72">
        <f t="shared" si="149"/>
        <v>9.6415584415584412</v>
      </c>
      <c r="AC166" s="72">
        <f>AC105/AC74</f>
        <v>9.6415584415584412</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50">T53/T58</f>
        <v>2.1176470588235293E-2</v>
      </c>
      <c r="U167" s="149">
        <f t="shared" si="150"/>
        <v>3.6303630363036306E-2</v>
      </c>
      <c r="V167" s="149">
        <f t="shared" si="150"/>
        <v>4.0247678018575851E-2</v>
      </c>
      <c r="W167" s="149">
        <f t="shared" si="150"/>
        <v>2.75049115913556E-2</v>
      </c>
      <c r="X167" s="149">
        <f t="shared" si="150"/>
        <v>6.965174129353234E-3</v>
      </c>
      <c r="Y167" s="149">
        <f t="shared" si="150"/>
        <v>2.2193211488250653E-2</v>
      </c>
      <c r="Z167" s="149">
        <f t="shared" ref="Z167:AA167" si="151">Z53/Z58</f>
        <v>1.2727272727272728E-2</v>
      </c>
      <c r="AA167" s="149">
        <f t="shared" si="151"/>
        <v>2.5188916876574308E-2</v>
      </c>
      <c r="AC167" s="149">
        <f>AC53/AC58</f>
        <v>1.582537517053206E-2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Z168" si="152">T53/T5</f>
        <v>3.8363171355498722E-3</v>
      </c>
      <c r="U168" s="149">
        <f t="shared" si="152"/>
        <v>5.4027504911591355E-3</v>
      </c>
      <c r="V168" s="149">
        <f t="shared" si="152"/>
        <v>4.9279757391963606E-3</v>
      </c>
      <c r="W168" s="149">
        <f t="shared" si="152"/>
        <v>5.2316890881913304E-3</v>
      </c>
      <c r="X168" s="149">
        <f t="shared" si="152"/>
        <v>2.4305555555555556E-3</v>
      </c>
      <c r="Y168" s="149">
        <f t="shared" si="152"/>
        <v>6.4150943396226413E-3</v>
      </c>
      <c r="Z168" s="149">
        <f t="shared" si="152"/>
        <v>4.2761148442272447E-3</v>
      </c>
      <c r="AA168" s="149">
        <f t="shared" ref="T168:AA168" si="153">AA53/AA5</f>
        <v>4.6382189239332098E-3</v>
      </c>
      <c r="AC168" s="149">
        <f>AC53/AC5</f>
        <v>4.4220799024092712E-3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54">(T105-T106)/T74</f>
        <v>-4.4619422572178475</v>
      </c>
      <c r="U169" s="72">
        <f t="shared" si="154"/>
        <v>-3.826771653543307</v>
      </c>
      <c r="V169" s="72">
        <f t="shared" si="154"/>
        <v>-3.0968586387434556</v>
      </c>
      <c r="W169" s="72">
        <f t="shared" si="154"/>
        <v>-2.5602094240837698</v>
      </c>
      <c r="X169" s="72">
        <f t="shared" si="154"/>
        <v>-2.8328981723237598</v>
      </c>
      <c r="Y169" s="72">
        <f t="shared" si="154"/>
        <v>-1.0963541666666667</v>
      </c>
      <c r="Z169" s="72">
        <f t="shared" ref="Z169:AA169" si="155">(Z105-Z106)/Z74</f>
        <v>0.44415584415584414</v>
      </c>
      <c r="AA169" s="72">
        <f t="shared" si="155"/>
        <v>2.0363636363636362</v>
      </c>
      <c r="AC169" s="72">
        <f>(AC105-AC106)/AC74</f>
        <v>2.0363636363636362</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8.2783257592988092E-3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Z171" si="156">-T108/T5</f>
        <v>2.7280477408354646E-2</v>
      </c>
      <c r="U171" s="149">
        <f t="shared" si="156"/>
        <v>1.9155206286836934E-2</v>
      </c>
      <c r="V171" s="149">
        <f t="shared" si="156"/>
        <v>1.7437452615617893E-2</v>
      </c>
      <c r="W171" s="149">
        <f t="shared" si="156"/>
        <v>1.7563527653213753E-2</v>
      </c>
      <c r="X171" s="149">
        <f t="shared" si="156"/>
        <v>3.2986111111111112E-2</v>
      </c>
      <c r="Y171" s="149">
        <f t="shared" si="156"/>
        <v>4.3018867924528303E-2</v>
      </c>
      <c r="Z171" s="149">
        <f t="shared" si="156"/>
        <v>5.3145998778252899E-2</v>
      </c>
      <c r="AA171" s="149">
        <f t="shared" ref="T171:AA171" si="157">-AA108/AA5</f>
        <v>3.2931354359925787E-2</v>
      </c>
      <c r="AC171" s="149">
        <f>-AC108/AC5</f>
        <v>4.0027447392497716E-2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58">-(T108/T58)</f>
        <v>0.15058823529411763</v>
      </c>
      <c r="U172" s="149">
        <f t="shared" si="158"/>
        <v>0.12871287128712872</v>
      </c>
      <c r="V172" s="149">
        <f t="shared" si="158"/>
        <v>0.14241486068111456</v>
      </c>
      <c r="W172" s="149">
        <f t="shared" si="158"/>
        <v>9.2337917485265222E-2</v>
      </c>
      <c r="X172" s="149">
        <f t="shared" si="158"/>
        <v>9.4527363184079602E-2</v>
      </c>
      <c r="Y172" s="149">
        <f t="shared" si="158"/>
        <v>0.14882506527415143</v>
      </c>
      <c r="Z172" s="149">
        <f t="shared" ref="Z172:AA172" si="159">-(Z108/Z58)</f>
        <v>0.15818181818181817</v>
      </c>
      <c r="AA172" s="149">
        <f t="shared" si="159"/>
        <v>0.17884130982367757</v>
      </c>
      <c r="AC172" s="149">
        <f>-(AC108/AC58)</f>
        <v>0.1432469304229195</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60">-T108/T52</f>
        <v>0.90140845070422537</v>
      </c>
      <c r="U173" s="149">
        <f t="shared" si="160"/>
        <v>0.54166666666666663</v>
      </c>
      <c r="V173" s="149">
        <f t="shared" si="160"/>
        <v>0.6216216216216216</v>
      </c>
      <c r="W173" s="149">
        <f t="shared" si="160"/>
        <v>0.61842105263157898</v>
      </c>
      <c r="X173" s="149">
        <f t="shared" si="160"/>
        <v>1.0795454545454546</v>
      </c>
      <c r="Y173" s="149">
        <f t="shared" si="160"/>
        <v>1.0555555555555556</v>
      </c>
      <c r="Z173" s="149">
        <f t="shared" ref="Z173:AA173" si="161">-Z108/Z52</f>
        <v>1.5130434782608695</v>
      </c>
      <c r="AA173" s="149">
        <f t="shared" si="161"/>
        <v>1.3148148148148149</v>
      </c>
      <c r="AC173" s="149">
        <f>-AC108/AC52</f>
        <v>1.2529832935560858</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0.72165061898211824</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1.109931766489765</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-0.29719484457922668</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2.7799915218312843</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1256</v>
      </c>
      <c r="U181" s="21">
        <v>1185</v>
      </c>
      <c r="V181" s="21">
        <v>1602</v>
      </c>
      <c r="W181" s="21">
        <v>1712</v>
      </c>
      <c r="X181" s="21">
        <v>1886</v>
      </c>
      <c r="Y181" s="21">
        <v>1814</v>
      </c>
      <c r="Z181" s="21">
        <v>2071</v>
      </c>
      <c r="AA181" s="21">
        <v>2989</v>
      </c>
      <c r="AC181" s="62">
        <f>SUM(X181:AA181)</f>
        <v>8760</v>
      </c>
    </row>
    <row r="182" spans="1:31" x14ac:dyDescent="0.2">
      <c r="B182" s="20" t="s">
        <v>385</v>
      </c>
      <c r="C182" s="62"/>
      <c r="D182" s="62"/>
      <c r="E182" s="62"/>
      <c r="F182" s="62"/>
      <c r="G182" s="62"/>
      <c r="H182" s="62"/>
      <c r="I182" s="62"/>
      <c r="J182" s="62"/>
      <c r="K182" s="62"/>
      <c r="L182" s="62"/>
      <c r="M182" s="21">
        <v>1609</v>
      </c>
      <c r="N182" s="21">
        <v>1601</v>
      </c>
      <c r="O182" s="21">
        <v>1528</v>
      </c>
      <c r="P182" s="21">
        <v>1718</v>
      </c>
      <c r="Q182" s="21">
        <v>2019</v>
      </c>
      <c r="T182" s="21">
        <v>544</v>
      </c>
      <c r="U182" s="21">
        <v>447</v>
      </c>
      <c r="V182" s="21">
        <v>560</v>
      </c>
      <c r="W182" s="21">
        <v>520</v>
      </c>
      <c r="X182" s="21">
        <v>492</v>
      </c>
      <c r="Y182" s="21">
        <v>514</v>
      </c>
      <c r="Z182" s="21">
        <v>720</v>
      </c>
      <c r="AA182" s="21">
        <v>779</v>
      </c>
      <c r="AC182" s="62">
        <f t="shared" ref="AC182:AC189" si="162">SUM(X182:AA182)</f>
        <v>2505</v>
      </c>
    </row>
    <row r="183" spans="1:31" x14ac:dyDescent="0.2">
      <c r="B183" s="20" t="s">
        <v>386</v>
      </c>
      <c r="C183" s="62"/>
      <c r="D183" s="62"/>
      <c r="E183" s="62"/>
      <c r="F183" s="62"/>
      <c r="G183" s="62"/>
      <c r="H183" s="62"/>
      <c r="I183" s="62"/>
      <c r="J183" s="62"/>
      <c r="K183" s="62"/>
      <c r="L183" s="62"/>
      <c r="M183" s="21">
        <v>1202</v>
      </c>
      <c r="N183" s="21">
        <v>1362</v>
      </c>
      <c r="O183" s="21">
        <v>1491</v>
      </c>
      <c r="P183" s="21">
        <v>1793</v>
      </c>
      <c r="Q183" s="21">
        <v>1824</v>
      </c>
      <c r="T183" s="21">
        <v>547</v>
      </c>
      <c r="U183" s="21">
        <v>404</v>
      </c>
      <c r="V183" s="21">
        <v>476</v>
      </c>
      <c r="W183" s="21">
        <v>444</v>
      </c>
      <c r="X183" s="21">
        <v>502</v>
      </c>
      <c r="Y183" s="21">
        <v>321</v>
      </c>
      <c r="Z183" s="21">
        <v>484</v>
      </c>
      <c r="AA183" s="21">
        <v>545</v>
      </c>
      <c r="AC183" s="62">
        <f t="shared" si="162"/>
        <v>1852</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387</v>
      </c>
      <c r="C185" s="62"/>
      <c r="D185" s="62"/>
      <c r="E185" s="62"/>
      <c r="F185" s="62"/>
      <c r="G185" s="62"/>
      <c r="H185" s="62"/>
      <c r="I185" s="62"/>
      <c r="J185" s="62"/>
      <c r="K185" s="62"/>
      <c r="L185" s="62"/>
      <c r="M185" s="21">
        <f>2900+659</f>
        <v>3559</v>
      </c>
      <c r="N185" s="21">
        <f>3475+736</f>
        <v>4211</v>
      </c>
      <c r="O185" s="21">
        <v>5271</v>
      </c>
      <c r="P185" s="21">
        <v>6245</v>
      </c>
      <c r="Q185" s="21">
        <v>8207</v>
      </c>
      <c r="T185" s="21">
        <v>1875</v>
      </c>
      <c r="U185" s="21">
        <v>1611</v>
      </c>
      <c r="V185" s="21">
        <v>2119</v>
      </c>
      <c r="W185" s="21">
        <v>2168</v>
      </c>
      <c r="X185" s="21">
        <v>2309</v>
      </c>
      <c r="Y185" s="21">
        <v>2091</v>
      </c>
      <c r="Z185" s="21">
        <v>2606</v>
      </c>
      <c r="AA185" s="21">
        <v>3637</v>
      </c>
      <c r="AC185" s="62">
        <f t="shared" si="162"/>
        <v>10643</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472</v>
      </c>
      <c r="U186" s="21">
        <v>425</v>
      </c>
      <c r="V186" s="21">
        <v>519</v>
      </c>
      <c r="W186" s="21">
        <v>508</v>
      </c>
      <c r="X186" s="21">
        <v>571</v>
      </c>
      <c r="Y186" s="21">
        <v>558</v>
      </c>
      <c r="Z186" s="21">
        <v>668</v>
      </c>
      <c r="AA186" s="21">
        <v>676</v>
      </c>
      <c r="AC186" s="62">
        <f t="shared" si="162"/>
        <v>2473</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389</v>
      </c>
      <c r="C188" s="62"/>
      <c r="D188" s="62"/>
      <c r="E188" s="62"/>
      <c r="F188" s="62"/>
      <c r="G188" s="62"/>
      <c r="H188" s="62"/>
      <c r="I188" s="62"/>
      <c r="J188" s="62"/>
      <c r="K188" s="62"/>
      <c r="L188" s="62"/>
      <c r="M188" s="21">
        <v>2700</v>
      </c>
      <c r="N188" s="21">
        <v>3219</v>
      </c>
      <c r="O188" s="21">
        <v>3576</v>
      </c>
      <c r="P188" s="21">
        <v>4099</v>
      </c>
      <c r="Q188" s="21">
        <v>5447</v>
      </c>
      <c r="T188" s="21">
        <v>1224</v>
      </c>
      <c r="U188" s="21">
        <v>1112</v>
      </c>
      <c r="V188" s="21">
        <v>1470</v>
      </c>
      <c r="W188" s="21">
        <v>1398</v>
      </c>
      <c r="X188" s="21">
        <v>1466</v>
      </c>
      <c r="Y188" s="21">
        <v>1348</v>
      </c>
      <c r="Z188" s="21">
        <v>1668</v>
      </c>
      <c r="AA188" s="21">
        <v>2292</v>
      </c>
      <c r="AC188" s="62">
        <f t="shared" si="162"/>
        <v>6774</v>
      </c>
    </row>
    <row r="189" spans="1:31" x14ac:dyDescent="0.2">
      <c r="B189" s="20" t="s">
        <v>390</v>
      </c>
      <c r="C189" s="62"/>
      <c r="D189" s="62"/>
      <c r="E189" s="62"/>
      <c r="F189" s="62"/>
      <c r="G189" s="62"/>
      <c r="H189" s="62"/>
      <c r="I189" s="62"/>
      <c r="J189" s="62"/>
      <c r="K189" s="62"/>
      <c r="L189" s="62"/>
      <c r="M189" s="21">
        <v>776</v>
      </c>
      <c r="N189" s="21">
        <v>856</v>
      </c>
      <c r="O189" s="21">
        <v>887</v>
      </c>
      <c r="P189" s="21">
        <v>978</v>
      </c>
      <c r="Q189" s="21">
        <v>1068</v>
      </c>
      <c r="T189" s="21">
        <v>252</v>
      </c>
      <c r="U189" s="21">
        <v>237</v>
      </c>
      <c r="V189" s="21">
        <v>271</v>
      </c>
      <c r="W189" s="21">
        <v>267</v>
      </c>
      <c r="X189" s="21">
        <v>292</v>
      </c>
      <c r="Y189" s="21">
        <v>301</v>
      </c>
      <c r="Z189" s="21">
        <v>372</v>
      </c>
      <c r="AA189" s="21">
        <v>378</v>
      </c>
      <c r="AC189" s="62">
        <f t="shared" si="162"/>
        <v>1343</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63">IF(L181=0,
IF(M181=0,0,IF(M181&gt;0,1,-1)),
(M181-L181)/ABS(L181)
)</f>
        <v>1</v>
      </c>
      <c r="N193" s="81">
        <f t="shared" si="163"/>
        <v>0.24782807498856882</v>
      </c>
      <c r="O193" s="81">
        <f t="shared" si="163"/>
        <v>0.40894100403078049</v>
      </c>
      <c r="P193" s="81">
        <f t="shared" si="163"/>
        <v>0.1706111833550065</v>
      </c>
      <c r="Q193" s="81">
        <f t="shared" si="163"/>
        <v>0.41879582315041103</v>
      </c>
      <c r="T193" s="81">
        <f t="shared" ref="T193:T195" si="164">IF(S181=0,
IF(T181=0,0,IF(T181&gt;0,1,-1)),
(T181-S181)/ABS(S181)
)</f>
        <v>1</v>
      </c>
      <c r="U193" s="81">
        <f t="shared" ref="U193:U195" si="165">IF(T181=0,
IF(U181=0,0,IF(U181&gt;0,1,-1)),
(U181-T181)/ABS(T181)
)</f>
        <v>-5.6528662420382167E-2</v>
      </c>
      <c r="V193" s="81">
        <f t="shared" ref="V193:V195" si="166">IF(U181=0,
IF(V181=0,0,IF(V181&gt;0,1,-1)),
(V181-U181)/ABS(U181)
)</f>
        <v>0.35189873417721518</v>
      </c>
      <c r="W193" s="81">
        <f t="shared" ref="W193:W195" si="167">IF(V181=0,
IF(W181=0,0,IF(W181&gt;0,1,-1)),
(W181-V181)/ABS(V181)
)</f>
        <v>6.8664169787765295E-2</v>
      </c>
      <c r="X193" s="81">
        <f t="shared" ref="X193:X195" si="168">IF(W181=0,
IF(X181=0,0,IF(X181&gt;0,1,-1)),
(X181-W181)/ABS(W181)
)</f>
        <v>0.10163551401869159</v>
      </c>
      <c r="Y193" s="81">
        <f t="shared" ref="Y193:Y195" si="169">IF(X181=0,
IF(Y181=0,0,IF(Y181&gt;0,1,-1)),
(Y181-X181)/ABS(X181)
)</f>
        <v>-3.8176033934252389E-2</v>
      </c>
      <c r="Z193" s="81">
        <f t="shared" ref="Z193:Z195" si="170">IF(Y181=0,
IF(Z181=0,0,IF(Z181&gt;0,1,-1)),
(Z181-Y181)/ABS(Y181)
)</f>
        <v>0.14167585446527012</v>
      </c>
      <c r="AA193" s="81">
        <f t="shared" ref="T193:AA195" si="171">IF(Z181=0,
IF(AA181=0,0,IF(AA181&gt;0,1,-1)),
(AA181-Z181)/ABS(Z181)
)</f>
        <v>0.44326412361178175</v>
      </c>
      <c r="AC193" s="49"/>
    </row>
    <row r="194" spans="2:29" x14ac:dyDescent="0.2">
      <c r="B194" s="20" t="str">
        <f t="shared" ref="B194:B195" si="172">B182</f>
        <v>Asia Pacific</v>
      </c>
      <c r="M194" s="81">
        <f t="shared" si="163"/>
        <v>1</v>
      </c>
      <c r="N194" s="81">
        <f t="shared" si="163"/>
        <v>-4.972032318210068E-3</v>
      </c>
      <c r="O194" s="81">
        <f t="shared" si="163"/>
        <v>-4.5596502186133668E-2</v>
      </c>
      <c r="P194" s="81">
        <f t="shared" si="163"/>
        <v>0.1243455497382199</v>
      </c>
      <c r="Q194" s="81">
        <f t="shared" si="163"/>
        <v>0.17520372526193248</v>
      </c>
      <c r="T194" s="81">
        <f t="shared" si="164"/>
        <v>1</v>
      </c>
      <c r="U194" s="81">
        <f t="shared" si="165"/>
        <v>-0.17830882352941177</v>
      </c>
      <c r="V194" s="81">
        <f t="shared" si="166"/>
        <v>0.25279642058165547</v>
      </c>
      <c r="W194" s="81">
        <f t="shared" si="167"/>
        <v>-7.1428571428571425E-2</v>
      </c>
      <c r="X194" s="81">
        <f t="shared" si="168"/>
        <v>-5.3846153846153849E-2</v>
      </c>
      <c r="Y194" s="81">
        <f t="shared" si="169"/>
        <v>4.4715447154471545E-2</v>
      </c>
      <c r="Z194" s="81">
        <f t="shared" si="170"/>
        <v>0.40077821011673154</v>
      </c>
      <c r="AA194" s="81">
        <f t="shared" si="171"/>
        <v>8.1944444444444445E-2</v>
      </c>
      <c r="AC194" s="49"/>
    </row>
    <row r="195" spans="2:29" x14ac:dyDescent="0.2">
      <c r="B195" s="20" t="str">
        <f t="shared" si="172"/>
        <v>Europe Middle East Africa</v>
      </c>
      <c r="M195" s="81">
        <f t="shared" si="163"/>
        <v>1</v>
      </c>
      <c r="N195" s="81">
        <f t="shared" si="163"/>
        <v>0.13311148086522462</v>
      </c>
      <c r="O195" s="81">
        <f t="shared" si="163"/>
        <v>9.4713656387665199E-2</v>
      </c>
      <c r="P195" s="81">
        <f t="shared" si="163"/>
        <v>0.20254862508383636</v>
      </c>
      <c r="Q195" s="81">
        <f t="shared" si="163"/>
        <v>1.7289459007250419E-2</v>
      </c>
      <c r="T195" s="81">
        <f t="shared" si="164"/>
        <v>1</v>
      </c>
      <c r="U195" s="81">
        <f t="shared" si="165"/>
        <v>-0.26142595978062155</v>
      </c>
      <c r="V195" s="81">
        <f t="shared" si="166"/>
        <v>0.17821782178217821</v>
      </c>
      <c r="W195" s="81">
        <f t="shared" si="167"/>
        <v>-6.7226890756302518E-2</v>
      </c>
      <c r="X195" s="81">
        <f t="shared" si="168"/>
        <v>0.13063063063063063</v>
      </c>
      <c r="Y195" s="81">
        <f t="shared" si="169"/>
        <v>-0.3605577689243028</v>
      </c>
      <c r="Z195" s="81">
        <f t="shared" si="170"/>
        <v>0.50778816199376942</v>
      </c>
      <c r="AA195" s="81">
        <f t="shared" si="171"/>
        <v>0.12603305785123967</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73">IF(L185=0,
IF(M185=0,0,IF(M185&gt;0,1,-1)),
(M185-L185)/ABS(L185)
)</f>
        <v>1</v>
      </c>
      <c r="N197" s="81">
        <f t="shared" si="173"/>
        <v>0.18319752739533576</v>
      </c>
      <c r="O197" s="81">
        <f t="shared" si="173"/>
        <v>0.25172168131085254</v>
      </c>
      <c r="P197" s="81">
        <f t="shared" si="173"/>
        <v>0.18478467084044772</v>
      </c>
      <c r="Q197" s="81">
        <f t="shared" si="173"/>
        <v>0.31417133706965572</v>
      </c>
      <c r="T197" s="81">
        <f t="shared" ref="T197:T198" si="174">IF(S185=0,
IF(T185=0,0,IF(T185&gt;0,1,-1)),
(T185-S185)/ABS(S185)
)</f>
        <v>1</v>
      </c>
      <c r="U197" s="81">
        <f t="shared" ref="U197:U198" si="175">IF(T185=0,
IF(U185=0,0,IF(U185&gt;0,1,-1)),
(U185-T185)/ABS(T185)
)</f>
        <v>-0.14080000000000001</v>
      </c>
      <c r="V197" s="81">
        <f t="shared" ref="V197:V198" si="176">IF(U185=0,
IF(V185=0,0,IF(V185&gt;0,1,-1)),
(V185-U185)/ABS(U185)
)</f>
        <v>0.31533209186840472</v>
      </c>
      <c r="W197" s="81">
        <f t="shared" ref="W197:W198" si="177">IF(V185=0,
IF(W185=0,0,IF(W185&gt;0,1,-1)),
(W185-V185)/ABS(V185)
)</f>
        <v>2.3124115148655026E-2</v>
      </c>
      <c r="X197" s="81">
        <f t="shared" ref="X197:X198" si="178">IF(W185=0,
IF(X185=0,0,IF(X185&gt;0,1,-1)),
(X185-W185)/ABS(W185)
)</f>
        <v>6.5036900369003683E-2</v>
      </c>
      <c r="Y197" s="81">
        <f t="shared" ref="Y197:Y198" si="179">IF(X185=0,
IF(Y185=0,0,IF(Y185&gt;0,1,-1)),
(Y185-X185)/ABS(X185)
)</f>
        <v>-9.441316587267215E-2</v>
      </c>
      <c r="Z197" s="81">
        <f t="shared" ref="Z197:Z198" si="180">IF(Y185=0,
IF(Z185=0,0,IF(Z185&gt;0,1,-1)),
(Z185-Y185)/ABS(Y185)
)</f>
        <v>0.24629363940698232</v>
      </c>
      <c r="AA197" s="81">
        <f t="shared" ref="T197:AA198" si="181">IF(Z185=0,
IF(AA185=0,0,IF(AA185&gt;0,1,-1)),
(AA185-Z185)/ABS(Z185)
)</f>
        <v>0.3956254796623177</v>
      </c>
      <c r="AC197" s="49"/>
    </row>
    <row r="198" spans="2:29" x14ac:dyDescent="0.2">
      <c r="B198" s="20" t="str">
        <f>B186</f>
        <v>Services</v>
      </c>
      <c r="M198" s="81">
        <f t="shared" si="173"/>
        <v>1</v>
      </c>
      <c r="N198" s="81">
        <f t="shared" si="173"/>
        <v>2.9186935371785964E-2</v>
      </c>
      <c r="O198" s="81">
        <f t="shared" si="173"/>
        <v>7.4949358541525998E-2</v>
      </c>
      <c r="P198" s="81">
        <f t="shared" si="173"/>
        <v>0.10992462311557789</v>
      </c>
      <c r="Q198" s="81">
        <f t="shared" si="173"/>
        <v>0.14487832484436899</v>
      </c>
      <c r="T198" s="81">
        <f t="shared" si="174"/>
        <v>1</v>
      </c>
      <c r="U198" s="81">
        <f t="shared" si="175"/>
        <v>-9.9576271186440676E-2</v>
      </c>
      <c r="V198" s="81">
        <f t="shared" si="176"/>
        <v>0.22117647058823531</v>
      </c>
      <c r="W198" s="81">
        <f t="shared" si="177"/>
        <v>-2.119460500963391E-2</v>
      </c>
      <c r="X198" s="81">
        <f t="shared" si="178"/>
        <v>0.12401574803149606</v>
      </c>
      <c r="Y198" s="81">
        <f t="shared" si="179"/>
        <v>-2.276707530647986E-2</v>
      </c>
      <c r="Z198" s="81">
        <f t="shared" si="180"/>
        <v>0.1971326164874552</v>
      </c>
      <c r="AA198" s="81">
        <f t="shared" si="181"/>
        <v>1.1976047904191617E-2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82">100*(1+((O115-$M115)/ABS($M115)))</f>
        <v>192.35082098518222</v>
      </c>
      <c r="P206" s="141">
        <f t="shared" si="182"/>
        <v>454.98598317981578</v>
      </c>
      <c r="Q206" s="141">
        <f t="shared" si="182"/>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83">100*(1+((O25-$M25)/ABS($M25)))</f>
        <v>360.60606060606057</v>
      </c>
      <c r="P208" s="141">
        <f t="shared" si="183"/>
        <v>387.87878787878782</v>
      </c>
      <c r="Q208" s="141">
        <f t="shared" si="183"/>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406</v>
      </c>
    </row>
    <row r="6" spans="2:8" x14ac:dyDescent="0.2">
      <c r="H6" s="241" t="s">
        <v>411</v>
      </c>
    </row>
    <row r="7" spans="2:8" x14ac:dyDescent="0.2">
      <c r="H7" s="241" t="s">
        <v>407</v>
      </c>
    </row>
    <row r="8" spans="2:8" x14ac:dyDescent="0.2">
      <c r="H8" s="241" t="s">
        <v>408</v>
      </c>
    </row>
    <row r="9" spans="2:8" x14ac:dyDescent="0.2">
      <c r="H9" s="241" t="s">
        <v>409</v>
      </c>
    </row>
    <row r="10" spans="2:8" x14ac:dyDescent="0.2">
      <c r="H10" s="242" t="s">
        <v>410</v>
      </c>
    </row>
    <row r="13" spans="2:8" s="4" customFormat="1" ht="49" x14ac:dyDescent="0.2">
      <c r="B13" s="3" t="s">
        <v>225</v>
      </c>
    </row>
  </sheetData>
  <hyperlinks>
    <hyperlink ref="H6" location="Overview!B3" display="Overview'!B3" xr:uid="{165CA364-CE28-7B40-8DC8-495CD79B56D8}"/>
    <hyperlink ref="H8" location="'Analysis -&gt;'!B13" display="'Analysis -&gt;'!B13" xr:uid="{1E17AE2D-6F9F-FB4B-9F98-91F9ECC6D663}"/>
    <hyperlink ref="H9" location="'Forecast -&gt;'!B13" display="'Forecast -&gt;'!B13" xr:uid="{B5721EC4-EFBA-B54E-8878-7238E7102253}"/>
    <hyperlink ref="H10" location="'Valuation -&gt;'!B13" display="'Valuation -&gt;'!B13" xr:uid="{59376C6C-13F5-D143-BDF2-35EC403E4D48}"/>
    <hyperlink ref="H7" location="'Financials -&gt;'!B13" display="'Financials -&gt;'!B13" xr:uid="{FA2FBECD-26EC-4547-8A51-73C73AD518C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1" zoomScale="173" workbookViewId="0">
      <selection activeCell="B58" sqref="B58:B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9" t="s">
        <v>226</v>
      </c>
      <c r="C4" s="249"/>
      <c r="E4" s="249" t="s">
        <v>233</v>
      </c>
      <c r="F4" s="249"/>
      <c r="G4" s="249"/>
    </row>
    <row r="5" spans="2:7" x14ac:dyDescent="0.2">
      <c r="B5" s="20" t="s">
        <v>1</v>
      </c>
      <c r="C5" s="166">
        <f ca="1">Overview!C5</f>
        <v>240.98</v>
      </c>
      <c r="E5" s="12"/>
      <c r="F5" s="132" t="s">
        <v>234</v>
      </c>
      <c r="G5" s="132" t="s">
        <v>235</v>
      </c>
    </row>
    <row r="6" spans="2:7" x14ac:dyDescent="0.2">
      <c r="B6" s="20" t="s">
        <v>232</v>
      </c>
      <c r="C6" s="167">
        <f ca="1">Statement!AC147</f>
        <v>94705.14</v>
      </c>
      <c r="E6" s="20" t="s">
        <v>19</v>
      </c>
      <c r="F6" s="172">
        <f>IF(Statement!M5&lt;=0,"N/A",_xlfn.RRI(4,Statement!M5,Statement!Q5))</f>
        <v>0.19610648624590454</v>
      </c>
      <c r="G6" s="172" t="str">
        <f>IF(Statement!H5&lt;=0,"N/A",_xlfn.RRI(9,Statement!H5,Statement!Q5))</f>
        <v>N/A</v>
      </c>
    </row>
    <row r="7" spans="2:7" x14ac:dyDescent="0.2">
      <c r="B7" s="20" t="s">
        <v>184</v>
      </c>
      <c r="C7" s="167">
        <f ca="1">Statement!AC148</f>
        <v>93921.14</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45.04299065420561</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7.2113944800243974</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16.862468193384224</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7.1608066483684052</v>
      </c>
    </row>
    <row r="12" spans="2:7" x14ac:dyDescent="0.2">
      <c r="B12" s="20" t="s">
        <v>200</v>
      </c>
      <c r="C12" s="168">
        <f ca="1">Statement!AC150</f>
        <v>35.603161485974219</v>
      </c>
    </row>
    <row r="15" spans="2:7" x14ac:dyDescent="0.2">
      <c r="B15" s="249" t="s">
        <v>74</v>
      </c>
      <c r="C15" s="249"/>
      <c r="E15" s="249" t="s">
        <v>239</v>
      </c>
      <c r="F15" s="249"/>
    </row>
    <row r="16" spans="2:7" x14ac:dyDescent="0.2">
      <c r="B16" s="20" t="s">
        <v>75</v>
      </c>
      <c r="C16" s="169">
        <f>Statement!AC99</f>
        <v>0.38113754193351629</v>
      </c>
      <c r="E16" s="20" t="s">
        <v>28</v>
      </c>
      <c r="F16" s="167">
        <f>Statement!AC17</f>
        <v>2099</v>
      </c>
    </row>
    <row r="17" spans="2:6" x14ac:dyDescent="0.2">
      <c r="B17" s="20" t="s">
        <v>76</v>
      </c>
      <c r="C17" s="169">
        <f>Statement!AC100</f>
        <v>0.20112839280268374</v>
      </c>
      <c r="E17" s="20" t="s">
        <v>240</v>
      </c>
      <c r="F17" s="167">
        <f>Statement!AC58</f>
        <v>3665</v>
      </c>
    </row>
    <row r="18" spans="2:6" x14ac:dyDescent="0.2">
      <c r="B18" s="20" t="s">
        <v>77</v>
      </c>
      <c r="C18" s="169">
        <f>Statement!AC101</f>
        <v>0.16003354681305276</v>
      </c>
      <c r="E18" s="20" t="s">
        <v>247</v>
      </c>
      <c r="F18" s="171">
        <f>IF(OR(F16&lt;=0, F17&lt;=0),"N/A",F16-F17)</f>
        <v>-1566</v>
      </c>
    </row>
    <row r="21" spans="2:6" x14ac:dyDescent="0.2">
      <c r="B21" s="249" t="s">
        <v>238</v>
      </c>
      <c r="C21" s="249"/>
      <c r="E21" s="249" t="s">
        <v>242</v>
      </c>
      <c r="F21" s="249"/>
    </row>
    <row r="22" spans="2:6" x14ac:dyDescent="0.2">
      <c r="B22" s="20" t="s">
        <v>96</v>
      </c>
      <c r="C22" s="169">
        <f>Statement!AC119</f>
        <v>0.16003354681305276</v>
      </c>
      <c r="E22" s="20" t="s">
        <v>98</v>
      </c>
      <c r="F22" s="169">
        <f>C24</f>
        <v>0.11548830811554332</v>
      </c>
    </row>
    <row r="23" spans="2:6" x14ac:dyDescent="0.2">
      <c r="B23" s="20" t="s">
        <v>97</v>
      </c>
      <c r="C23" s="168">
        <f>Statement!AC120</f>
        <v>0.72165061898211824</v>
      </c>
      <c r="E23" s="20" t="s">
        <v>100</v>
      </c>
      <c r="F23" s="169">
        <f>C26</f>
        <v>0.38149763722282803</v>
      </c>
    </row>
    <row r="24" spans="2:6" x14ac:dyDescent="0.2">
      <c r="B24" s="32" t="s">
        <v>98</v>
      </c>
      <c r="C24" s="170">
        <f>Statement!AC121</f>
        <v>0.11548830811554332</v>
      </c>
      <c r="E24" s="20" t="s">
        <v>101</v>
      </c>
      <c r="F24" s="169">
        <f>Statement!AC134</f>
        <v>0.44841961231175292</v>
      </c>
    </row>
    <row r="25" spans="2:6" x14ac:dyDescent="0.2">
      <c r="B25" s="20" t="s">
        <v>99</v>
      </c>
      <c r="C25" s="168">
        <f>Statement!AC122</f>
        <v>3.3033442384587421</v>
      </c>
    </row>
    <row r="26" spans="2:6" x14ac:dyDescent="0.2">
      <c r="B26" s="32" t="s">
        <v>100</v>
      </c>
      <c r="C26" s="170">
        <f>Statement!AC123</f>
        <v>0.38149763722282803</v>
      </c>
    </row>
    <row r="29" spans="2:6" x14ac:dyDescent="0.2">
      <c r="B29" s="249" t="s">
        <v>243</v>
      </c>
      <c r="C29" s="249"/>
      <c r="E29" s="249" t="s">
        <v>249</v>
      </c>
      <c r="F29" s="249"/>
    </row>
    <row r="30" spans="2:6" x14ac:dyDescent="0.2">
      <c r="B30" s="20" t="s">
        <v>135</v>
      </c>
      <c r="C30" s="168">
        <f>Statement!AC135</f>
        <v>121.88929551692588</v>
      </c>
      <c r="E30" s="20" t="s">
        <v>250</v>
      </c>
      <c r="F30" s="174">
        <f>Statement!AC139</f>
        <v>0.53217011995637953</v>
      </c>
    </row>
    <row r="31" spans="2:6" x14ac:dyDescent="0.2">
      <c r="B31" s="20" t="s">
        <v>136</v>
      </c>
      <c r="C31" s="168">
        <f>Statement!AC136</f>
        <v>147.85265492176913</v>
      </c>
      <c r="E31" s="20" t="s">
        <v>251</v>
      </c>
      <c r="F31" s="174">
        <f>Statement!AC140</f>
        <v>-0.14249363867684478</v>
      </c>
    </row>
    <row r="32" spans="2:6" x14ac:dyDescent="0.2">
      <c r="B32" s="20" t="s">
        <v>137</v>
      </c>
      <c r="C32" s="168">
        <f>Statement!AC137</f>
        <v>145.91905876555379</v>
      </c>
      <c r="E32" s="20" t="s">
        <v>246</v>
      </c>
      <c r="F32" s="174">
        <f>Statement!AC142</f>
        <v>1.3916886694983355</v>
      </c>
    </row>
    <row r="33" spans="2:6" x14ac:dyDescent="0.2">
      <c r="B33" s="20" t="s">
        <v>138</v>
      </c>
      <c r="C33" s="168">
        <f>Statement!AC138</f>
        <v>123.82289167314124</v>
      </c>
      <c r="E33" s="20" t="s">
        <v>245</v>
      </c>
      <c r="F33" s="174">
        <f>Statement!AC141</f>
        <v>0.92894042015842038</v>
      </c>
    </row>
    <row r="34" spans="2:6" x14ac:dyDescent="0.2">
      <c r="E34" s="20" t="s">
        <v>252</v>
      </c>
      <c r="F34" s="176">
        <f>Statement!AC143</f>
        <v>73.277777777777771</v>
      </c>
    </row>
    <row r="37" spans="2:6" x14ac:dyDescent="0.2">
      <c r="B37" s="249" t="s">
        <v>261</v>
      </c>
      <c r="C37" s="249"/>
      <c r="E37" s="249" t="s">
        <v>264</v>
      </c>
      <c r="F37" s="249"/>
    </row>
    <row r="38" spans="2:6" x14ac:dyDescent="0.2">
      <c r="B38" s="20" t="s">
        <v>259</v>
      </c>
      <c r="C38" s="169">
        <f ca="1">Statement!AC156</f>
        <v>2.2201012532160346E-2</v>
      </c>
      <c r="E38" s="20" t="s">
        <v>263</v>
      </c>
      <c r="F38" s="169">
        <f>Statement!AC162</f>
        <v>3.1148604802076575E-2</v>
      </c>
    </row>
    <row r="39" spans="2:6" x14ac:dyDescent="0.2">
      <c r="B39" s="54" t="s">
        <v>262</v>
      </c>
      <c r="C39" s="209">
        <f ca="1">Statement!AC155</f>
        <v>3.2543112232345572E-2</v>
      </c>
      <c r="E39" s="20" t="s">
        <v>265</v>
      </c>
      <c r="F39" s="169">
        <f>Statement!AC163</f>
        <v>0</v>
      </c>
    </row>
    <row r="40" spans="2:6" x14ac:dyDescent="0.2">
      <c r="B40" s="20" t="s">
        <v>260</v>
      </c>
      <c r="C40" s="169">
        <f ca="1">Statement!AC157</f>
        <v>1.0374304921570256E-3</v>
      </c>
      <c r="E40" s="20" t="s">
        <v>266</v>
      </c>
      <c r="F40" s="169">
        <f>Statement!AC164</f>
        <v>3.1148604802076575E-2</v>
      </c>
    </row>
    <row r="41" spans="2:6" x14ac:dyDescent="0.2">
      <c r="B41" s="20" t="s">
        <v>285</v>
      </c>
      <c r="C41" s="169">
        <f ca="1">Statement!AC158</f>
        <v>0</v>
      </c>
    </row>
    <row r="42" spans="2:6" x14ac:dyDescent="0.2">
      <c r="B42" s="20" t="s">
        <v>287</v>
      </c>
      <c r="C42" s="169">
        <f ca="1">Statement!AC159</f>
        <v>1.0136725419549561E-3</v>
      </c>
    </row>
    <row r="45" spans="2:6" x14ac:dyDescent="0.2">
      <c r="B45" s="249" t="s">
        <v>272</v>
      </c>
      <c r="C45" s="249"/>
      <c r="E45" s="249" t="s">
        <v>278</v>
      </c>
      <c r="F45" s="249"/>
    </row>
    <row r="46" spans="2:6" x14ac:dyDescent="0.2">
      <c r="B46" s="20" t="s">
        <v>270</v>
      </c>
      <c r="C46" s="169">
        <f>Statement!AC165</f>
        <v>2.5445292620865138E-2</v>
      </c>
      <c r="E46" s="20" t="s">
        <v>271</v>
      </c>
      <c r="F46" s="168">
        <f>Statement!AC166</f>
        <v>9.6415584415584412</v>
      </c>
    </row>
    <row r="47" spans="2:6" x14ac:dyDescent="0.2">
      <c r="E47" s="20" t="s">
        <v>279</v>
      </c>
      <c r="F47" s="168">
        <f>Statement!AC169</f>
        <v>2.0363636363636362</v>
      </c>
    </row>
    <row r="48" spans="2:6" x14ac:dyDescent="0.2">
      <c r="E48" s="20" t="s">
        <v>284</v>
      </c>
      <c r="F48" s="169">
        <f ca="1">Statement!AC170</f>
        <v>8.2783257592988092E-3</v>
      </c>
    </row>
    <row r="51" spans="2:6" x14ac:dyDescent="0.2">
      <c r="B51" s="249" t="s">
        <v>275</v>
      </c>
      <c r="C51" s="249"/>
      <c r="E51" s="249" t="s">
        <v>296</v>
      </c>
      <c r="F51" s="249"/>
    </row>
    <row r="52" spans="2:6" x14ac:dyDescent="0.2">
      <c r="B52" s="20" t="s">
        <v>273</v>
      </c>
      <c r="C52" s="169">
        <f>Statement!AC167</f>
        <v>1.582537517053206E-2</v>
      </c>
      <c r="E52" s="20" t="s">
        <v>297</v>
      </c>
      <c r="F52" s="169">
        <f>Statement!AC171</f>
        <v>4.0027447392497716E-2</v>
      </c>
    </row>
    <row r="53" spans="2:6" x14ac:dyDescent="0.2">
      <c r="B53" s="20" t="s">
        <v>274</v>
      </c>
      <c r="C53" s="169">
        <f>Statement!AC168</f>
        <v>4.4220799024092712E-3</v>
      </c>
      <c r="E53" s="20" t="s">
        <v>294</v>
      </c>
      <c r="F53" s="169">
        <f>Statement!AC172</f>
        <v>0.1432469304229195</v>
      </c>
    </row>
    <row r="54" spans="2:6" x14ac:dyDescent="0.2">
      <c r="E54" s="20" t="s">
        <v>295</v>
      </c>
      <c r="F54" s="169">
        <f>Statement!AC173</f>
        <v>1.2529832935560858</v>
      </c>
    </row>
    <row r="57" spans="2:6" x14ac:dyDescent="0.2">
      <c r="B57" s="249" t="s">
        <v>413</v>
      </c>
      <c r="C57" s="249"/>
    </row>
    <row r="58" spans="2:6" x14ac:dyDescent="0.2">
      <c r="B58" s="20" t="s">
        <v>256</v>
      </c>
      <c r="C58" s="168">
        <f ca="1">Statement!AC153</f>
        <v>30.728468526930563</v>
      </c>
    </row>
    <row r="59" spans="2:6" x14ac:dyDescent="0.2">
      <c r="B59" s="20" t="s">
        <v>257</v>
      </c>
      <c r="C59" s="168">
        <f ca="1">Statement!AC154</f>
        <v>25.769635370408675</v>
      </c>
    </row>
    <row r="60" spans="2:6" x14ac:dyDescent="0.2">
      <c r="B60" s="20" t="s">
        <v>414</v>
      </c>
      <c r="C60" s="169">
        <f>Statement!AC160</f>
        <v>0.27787768609994279</v>
      </c>
    </row>
    <row r="61" spans="2:6" x14ac:dyDescent="0.2">
      <c r="B61" s="20" t="s">
        <v>415</v>
      </c>
      <c r="C61" s="169">
        <f>Statement!AC161</f>
        <v>0.23498017688319608</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6"/>
  <sheetViews>
    <sheetView zoomScale="159" zoomScaleNormal="230" workbookViewId="0">
      <pane xSplit="2" ySplit="3" topLeftCell="C89" activePane="bottomRight" state="frozen"/>
      <selection pane="topRight" activeCell="C1" sqref="C1"/>
      <selection pane="bottomLeft" activeCell="A4" sqref="A4"/>
      <selection pane="bottomRight" activeCell="C94" sqref="C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240.98</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94705.14</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93921.14</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45.04299065420561</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7.2113944800243974</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16.862468193384224</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7.1608066483684052</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35.603161485974219</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0.38113754193351629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0.20112839280268374</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0.16003354681305276</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2099</v>
      </c>
    </row>
    <row r="22" spans="2:9" x14ac:dyDescent="0.2">
      <c r="B22" s="20" t="s">
        <v>240</v>
      </c>
      <c r="C22" s="171">
        <f>Statement!M58</f>
        <v>211</v>
      </c>
      <c r="D22" s="171">
        <f>Statement!N58</f>
        <v>-153</v>
      </c>
      <c r="E22" s="171">
        <f>Statement!O58</f>
        <v>901</v>
      </c>
      <c r="F22" s="171">
        <f>Statement!P58</f>
        <v>1319</v>
      </c>
      <c r="G22" s="171">
        <f>Statement!Q58</f>
        <v>2114</v>
      </c>
      <c r="I22" s="171">
        <f>Statement!AC58</f>
        <v>3665</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-1566</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0.16003354681305276</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0.72165061898211824</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0.11548830811554332</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3.3033442384587421</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0.38149763722282803</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0.11548830811554332</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0.38149763722282803</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0.44841961231175292</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121.88929551692588</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147.85265492176913</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145.91905876555379</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123.82289167314124</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0.53217011995637953</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-0.14249363867684478</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0.92894042015842038</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1.3916886694983355</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73.277777777777771</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2.2201012532160346E-2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3.2543112232345572E-2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1.0374304921570256E-3</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1.0136725419549561E-3</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3.1148604802076575E-2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3.1148604802076575E-2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9.6415584415584412</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2.0363636363636362</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8.2783257592988092E-3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1.582537517053206E-2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4.4220799024092712E-3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4.0027447392497716E-2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0.1432469304229195</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1.2529832935560858</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7" spans="2:9" ht="17" thickBot="1" x14ac:dyDescent="0.25">
      <c r="B87" s="14" t="s">
        <v>413</v>
      </c>
      <c r="C87" s="14"/>
      <c r="D87" s="14"/>
      <c r="E87" s="14"/>
      <c r="F87" s="14"/>
      <c r="G87" s="14"/>
      <c r="I87" s="14"/>
    </row>
    <row r="88" spans="2:9" x14ac:dyDescent="0.2">
      <c r="B88" s="20" t="s">
        <v>256</v>
      </c>
      <c r="C88" s="168">
        <f>Statement!M153</f>
        <v>91.476634615384611</v>
      </c>
      <c r="D88" s="168">
        <f>Statement!N153</f>
        <v>-17.913979238754326</v>
      </c>
      <c r="E88" s="168">
        <f>Statement!O153</f>
        <v>25.149311740890688</v>
      </c>
      <c r="F88" s="168">
        <f>Statement!P153</f>
        <v>40.383190909090914</v>
      </c>
      <c r="G88" s="168">
        <f>Statement!Q153</f>
        <v>34.477698154180239</v>
      </c>
      <c r="I88" s="168">
        <f ca="1">Statement!AC153</f>
        <v>30.728468526930563</v>
      </c>
    </row>
    <row r="89" spans="2:9" x14ac:dyDescent="0.2">
      <c r="B89" s="20" t="s">
        <v>257</v>
      </c>
      <c r="C89" s="168">
        <f>Statement!M154</f>
        <v>60.728064496538316</v>
      </c>
      <c r="D89" s="168">
        <f>Statement!N154</f>
        <v>-52.243580165927057</v>
      </c>
      <c r="E89" s="168">
        <f>Statement!O154</f>
        <v>21.800913605547873</v>
      </c>
      <c r="F89" s="168">
        <f>Statement!P154</f>
        <v>42.215348624347172</v>
      </c>
      <c r="G89" s="168">
        <f>Statement!Q154</f>
        <v>35.445068643578196</v>
      </c>
      <c r="I89" s="168">
        <f ca="1">Statement!AC154</f>
        <v>25.769635370408675</v>
      </c>
    </row>
    <row r="90" spans="2:9" x14ac:dyDescent="0.2">
      <c r="B90" s="20" t="s">
        <v>414</v>
      </c>
      <c r="C90" s="190">
        <f>Statement!M160</f>
        <v>3.9692985627986135E-2</v>
      </c>
      <c r="D90" s="190">
        <f>Statement!N160</f>
        <v>-2.7262761897147381E-2</v>
      </c>
      <c r="E90" s="190">
        <f>Statement!O160</f>
        <v>0.13899669735665512</v>
      </c>
      <c r="F90" s="190">
        <f>Statement!P160</f>
        <v>0.13636163401955889</v>
      </c>
      <c r="G90" s="190">
        <f>Statement!Q160</f>
        <v>0.17813672445352755</v>
      </c>
      <c r="I90" s="190">
        <f>Statement!AC160</f>
        <v>0.27787768609994279</v>
      </c>
    </row>
    <row r="91" spans="2:9" x14ac:dyDescent="0.2">
      <c r="B91" s="20" t="s">
        <v>415</v>
      </c>
      <c r="C91" s="190">
        <f>Statement!M161</f>
        <v>2.0808323329331732E-2</v>
      </c>
      <c r="D91" s="190">
        <f>Statement!N161</f>
        <v>-5.0773014757554462E-2</v>
      </c>
      <c r="E91" s="190">
        <f>Statement!O161</f>
        <v>0.10797027538977123</v>
      </c>
      <c r="F91" s="190">
        <f>Statement!P161</f>
        <v>0.13729405891163254</v>
      </c>
      <c r="G91" s="190">
        <f>Statement!Q161</f>
        <v>0.18005865102639296</v>
      </c>
      <c r="I91" s="190">
        <f>Statement!AC161</f>
        <v>0.23498017688319608</v>
      </c>
    </row>
    <row r="93" spans="2:9" ht="17" thickBot="1" x14ac:dyDescent="0.25">
      <c r="B93" s="14" t="s">
        <v>416</v>
      </c>
      <c r="C93" s="14"/>
      <c r="D93" s="14"/>
      <c r="E93" s="14"/>
      <c r="F93" s="14"/>
      <c r="G93" s="14"/>
      <c r="I93" s="14"/>
    </row>
    <row r="94" spans="2:9" x14ac:dyDescent="0.2">
      <c r="B94" s="20" t="s">
        <v>277</v>
      </c>
      <c r="C94" s="169">
        <f>Statement!M202</f>
        <v>-1</v>
      </c>
      <c r="D94" s="169">
        <f>Statement!N202</f>
        <v>0</v>
      </c>
      <c r="E94" s="169">
        <f>Statement!O202</f>
        <v>1.5</v>
      </c>
      <c r="F94" s="169">
        <f>Statement!P202</f>
        <v>3.2</v>
      </c>
      <c r="G94" s="169">
        <f>Statement!Q202</f>
        <v>0.59523809523809523</v>
      </c>
      <c r="I94" s="191"/>
    </row>
    <row r="97" spans="2:9" ht="17" thickBot="1" x14ac:dyDescent="0.25">
      <c r="B97" s="14" t="s">
        <v>303</v>
      </c>
      <c r="C97" s="14"/>
      <c r="D97" s="14"/>
      <c r="E97" s="14"/>
      <c r="F97" s="14"/>
      <c r="G97" s="14"/>
      <c r="I97" s="14"/>
    </row>
    <row r="98" spans="2:9" x14ac:dyDescent="0.2">
      <c r="B98" s="20" t="str">
        <f>Statement!B193</f>
        <v>Americas</v>
      </c>
      <c r="C98" s="169">
        <f>Statement!M193</f>
        <v>1</v>
      </c>
      <c r="D98" s="169">
        <f>Statement!N193</f>
        <v>0.24782807498856882</v>
      </c>
      <c r="E98" s="169">
        <f>Statement!O193</f>
        <v>0.40894100403078049</v>
      </c>
      <c r="F98" s="169">
        <f>Statement!P193</f>
        <v>0.1706111833550065</v>
      </c>
      <c r="G98" s="169">
        <f>Statement!Q193</f>
        <v>0.41879582315041103</v>
      </c>
      <c r="I98" s="191"/>
    </row>
    <row r="99" spans="2:9" x14ac:dyDescent="0.2">
      <c r="B99" s="20" t="str">
        <f>Statement!B194</f>
        <v>Asia Pacific</v>
      </c>
      <c r="C99" s="169">
        <f>Statement!M194</f>
        <v>1</v>
      </c>
      <c r="D99" s="169">
        <f>Statement!N194</f>
        <v>-4.972032318210068E-3</v>
      </c>
      <c r="E99" s="169">
        <f>Statement!O194</f>
        <v>-4.5596502186133668E-2</v>
      </c>
      <c r="F99" s="169">
        <f>Statement!P194</f>
        <v>0.1243455497382199</v>
      </c>
      <c r="G99" s="169">
        <f>Statement!Q194</f>
        <v>0.17520372526193248</v>
      </c>
      <c r="I99" s="191"/>
    </row>
    <row r="100" spans="2:9" x14ac:dyDescent="0.2">
      <c r="B100" s="20" t="str">
        <f>Statement!B195</f>
        <v>Europe Middle East Africa</v>
      </c>
      <c r="C100" s="169">
        <f>Statement!M195</f>
        <v>1</v>
      </c>
      <c r="D100" s="169">
        <f>Statement!N195</f>
        <v>0.13311148086522462</v>
      </c>
      <c r="E100" s="169">
        <f>Statement!O195</f>
        <v>9.4713656387665199E-2</v>
      </c>
      <c r="F100" s="169">
        <f>Statement!P195</f>
        <v>0.20254862508383636</v>
      </c>
      <c r="G100" s="169">
        <f>Statement!Q195</f>
        <v>1.7289459007250419E-2</v>
      </c>
      <c r="I100" s="191"/>
    </row>
    <row r="101" spans="2:9" x14ac:dyDescent="0.2">
      <c r="B101" s="20"/>
      <c r="C101" s="169"/>
      <c r="D101" s="169"/>
      <c r="E101" s="169"/>
      <c r="F101" s="169"/>
      <c r="G101" s="169"/>
      <c r="I101" s="191"/>
    </row>
    <row r="102" spans="2:9" x14ac:dyDescent="0.2">
      <c r="B102" s="20" t="str">
        <f>Statement!B197</f>
        <v>Products</v>
      </c>
      <c r="C102" s="169">
        <f>Statement!M197</f>
        <v>1</v>
      </c>
      <c r="D102" s="169">
        <f>Statement!N197</f>
        <v>0.18319752739533576</v>
      </c>
      <c r="E102" s="169">
        <f>Statement!O197</f>
        <v>0.25172168131085254</v>
      </c>
      <c r="F102" s="169">
        <f>Statement!P197</f>
        <v>0.18478467084044772</v>
      </c>
      <c r="G102" s="169">
        <f>Statement!Q197</f>
        <v>0.31417133706965572</v>
      </c>
      <c r="I102" s="191"/>
    </row>
    <row r="103" spans="2:9" x14ac:dyDescent="0.2">
      <c r="B103" s="20" t="str">
        <f>Statement!B198</f>
        <v>Services</v>
      </c>
      <c r="C103" s="169">
        <f>Statement!M198</f>
        <v>1</v>
      </c>
      <c r="D103" s="169">
        <f>Statement!N198</f>
        <v>2.9186935371785964E-2</v>
      </c>
      <c r="E103" s="169">
        <f>Statement!O198</f>
        <v>7.4949358541525998E-2</v>
      </c>
      <c r="F103" s="169">
        <f>Statement!P198</f>
        <v>0.10992462311557789</v>
      </c>
      <c r="G103" s="169">
        <f>Statement!Q198</f>
        <v>0.14487832484436899</v>
      </c>
      <c r="I103" s="191"/>
    </row>
    <row r="105" spans="2:9" ht="17" thickBot="1" x14ac:dyDescent="0.25">
      <c r="B105" s="14" t="s">
        <v>416</v>
      </c>
      <c r="C105" s="14"/>
      <c r="D105" s="14"/>
      <c r="E105" s="14"/>
      <c r="F105" s="14"/>
      <c r="G105" s="14"/>
      <c r="I105" s="14"/>
    </row>
    <row r="106" spans="2:9" x14ac:dyDescent="0.2">
      <c r="B106" s="20" t="s">
        <v>277</v>
      </c>
      <c r="C106" s="169">
        <f>Statement!M202</f>
        <v>-1</v>
      </c>
      <c r="D106" s="169">
        <f>Statement!N202</f>
        <v>0</v>
      </c>
      <c r="E106" s="169">
        <f>Statement!O202</f>
        <v>1.5</v>
      </c>
      <c r="F106" s="169">
        <f>Statement!P202</f>
        <v>3.2</v>
      </c>
      <c r="G106" s="169">
        <f>Statement!Q202</f>
        <v>0.59523809523809523</v>
      </c>
      <c r="I106"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0" t="s">
        <v>306</v>
      </c>
      <c r="D3" s="251"/>
      <c r="F3" s="252" t="s">
        <v>307</v>
      </c>
      <c r="G3" s="251"/>
    </row>
    <row r="4" spans="2:7" x14ac:dyDescent="0.2">
      <c r="B4" s="8"/>
      <c r="C4" s="10" t="str">
        <f>Statement!Z2</f>
        <v>30.06.2026</v>
      </c>
      <c r="D4" s="197" t="str">
        <f>Statement!AA2</f>
        <v>30.09.2026</v>
      </c>
      <c r="F4" s="198" t="str">
        <f>Statement!W2</f>
        <v>30.09.2025</v>
      </c>
      <c r="G4" s="197" t="str">
        <f>Statement!AA2</f>
        <v>30.09.2026</v>
      </c>
    </row>
    <row r="5" spans="2:7" x14ac:dyDescent="0.2">
      <c r="B5" s="8" t="s">
        <v>312</v>
      </c>
      <c r="C5" s="10" t="str">
        <f>Statement!Z3</f>
        <v>Q2 2026</v>
      </c>
      <c r="D5" s="197" t="str">
        <f>Statement!AA3</f>
        <v>Q3 2026</v>
      </c>
      <c r="F5" s="198" t="str">
        <f>Statement!W3</f>
        <v>Q3 2025</v>
      </c>
      <c r="G5" s="197" t="str">
        <f>Statement!AA3</f>
        <v>Q3 2026</v>
      </c>
    </row>
    <row r="6" spans="2:7" x14ac:dyDescent="0.2">
      <c r="B6" s="199" t="s">
        <v>19</v>
      </c>
      <c r="C6" s="193">
        <f>Statement!Z5</f>
        <v>3274</v>
      </c>
      <c r="D6" s="192">
        <f>Statement!AA5</f>
        <v>4312</v>
      </c>
      <c r="F6" s="193">
        <f>Statement!W5</f>
        <v>2676</v>
      </c>
      <c r="G6" s="192">
        <f>Statement!AA5</f>
        <v>4312</v>
      </c>
    </row>
    <row r="7" spans="2:7" x14ac:dyDescent="0.2">
      <c r="B7" s="200" t="s">
        <v>308</v>
      </c>
      <c r="C7" s="253">
        <f>Statement!AA88</f>
        <v>0.31704337202199145</v>
      </c>
      <c r="D7" s="254"/>
      <c r="F7" s="253">
        <f>IF(F6=0,
IF(G6=0,0,IF(G6&gt;0,1,-1)),
(G6-F6)/ABS(F6)
)</f>
        <v>0.6113602391629297</v>
      </c>
      <c r="G7" s="254"/>
    </row>
    <row r="8" spans="2:7" x14ac:dyDescent="0.2">
      <c r="B8" s="201" t="s">
        <v>20</v>
      </c>
      <c r="C8" s="194">
        <f>Statement!Z6</f>
        <v>2039</v>
      </c>
      <c r="D8" s="192">
        <f>Statement!AA6</f>
        <v>2669</v>
      </c>
      <c r="F8" s="194">
        <f>Statement!W6</f>
        <v>1665</v>
      </c>
      <c r="G8" s="192">
        <f>Statement!AA6</f>
        <v>2669</v>
      </c>
    </row>
    <row r="9" spans="2:7" x14ac:dyDescent="0.2">
      <c r="B9" s="200" t="s">
        <v>308</v>
      </c>
      <c r="C9" s="253">
        <f>Statement!AA89</f>
        <v>0.30897498773908777</v>
      </c>
      <c r="D9" s="254"/>
      <c r="F9" s="253">
        <f>IF(F8=0,
IF(G8=0,0,IF(G8&gt;0,1,-1)),
(G8-F8)/ABS(F8)
)</f>
        <v>0.60300300300300302</v>
      </c>
      <c r="G9" s="254"/>
    </row>
    <row r="10" spans="2:7" x14ac:dyDescent="0.2">
      <c r="B10" s="201" t="s">
        <v>21</v>
      </c>
      <c r="C10" s="194">
        <f>Statement!Z7</f>
        <v>1235</v>
      </c>
      <c r="D10" s="192">
        <f>Statement!AA7</f>
        <v>1643</v>
      </c>
      <c r="F10" s="194">
        <f>Statement!W7</f>
        <v>1011</v>
      </c>
      <c r="G10" s="192">
        <f>Statement!AA7</f>
        <v>1643</v>
      </c>
    </row>
    <row r="11" spans="2:7" x14ac:dyDescent="0.2">
      <c r="B11" s="200" t="s">
        <v>308</v>
      </c>
      <c r="C11" s="253">
        <f>Statement!AA90</f>
        <v>0.33036437246963563</v>
      </c>
      <c r="D11" s="254"/>
      <c r="F11" s="253">
        <f>IF(F10=0,
IF(G10=0,0,IF(G10&gt;0,1,-1)),
(G10-F10)/ABS(F10)
)</f>
        <v>0.62512363996043518</v>
      </c>
      <c r="G11" s="254"/>
    </row>
    <row r="12" spans="2:7" x14ac:dyDescent="0.2">
      <c r="B12" s="201" t="s">
        <v>22</v>
      </c>
      <c r="C12" s="194">
        <f>Statement!Z10</f>
        <v>601</v>
      </c>
      <c r="D12" s="192">
        <f>Statement!AA10</f>
        <v>659</v>
      </c>
      <c r="F12" s="194">
        <f>Statement!W10</f>
        <v>494</v>
      </c>
      <c r="G12" s="192">
        <f>Statement!AA10</f>
        <v>659</v>
      </c>
    </row>
    <row r="13" spans="2:7" x14ac:dyDescent="0.2">
      <c r="B13" s="200" t="s">
        <v>308</v>
      </c>
      <c r="C13" s="253">
        <f>Statement!AA93</f>
        <v>9.6505823627287851E-2</v>
      </c>
      <c r="D13" s="254"/>
      <c r="F13" s="253">
        <f>IF(F12=0,
IF(G12=0,0,IF(G12&gt;0,1,-1)),
(G12-F12)/ABS(F12)
)</f>
        <v>0.33400809716599189</v>
      </c>
      <c r="G13" s="254"/>
    </row>
    <row r="14" spans="2:7" x14ac:dyDescent="0.2">
      <c r="B14" s="201" t="s">
        <v>309</v>
      </c>
      <c r="C14" s="194">
        <f>Statement!Z11</f>
        <v>634</v>
      </c>
      <c r="D14" s="192">
        <f>Statement!AA11</f>
        <v>984</v>
      </c>
      <c r="F14" s="194">
        <f>Statement!W11</f>
        <v>517</v>
      </c>
      <c r="G14" s="192">
        <f>Statement!AA11</f>
        <v>984</v>
      </c>
    </row>
    <row r="15" spans="2:7" x14ac:dyDescent="0.2">
      <c r="B15" s="200" t="s">
        <v>308</v>
      </c>
      <c r="C15" s="253">
        <f>Statement!AA94</f>
        <v>0.55205047318611988</v>
      </c>
      <c r="D15" s="254"/>
      <c r="F15" s="253">
        <f>IF(F14=0,
IF(G14=0,0,IF(G14&gt;0,1,-1)),
(G14-F14)/ABS(F14)
)</f>
        <v>0.90328820116054154</v>
      </c>
      <c r="G15" s="254"/>
    </row>
    <row r="16" spans="2:7" x14ac:dyDescent="0.2">
      <c r="B16" s="201" t="s">
        <v>28</v>
      </c>
      <c r="C16" s="194">
        <f>Statement!Z17</f>
        <v>498</v>
      </c>
      <c r="D16" s="192">
        <f>Statement!AA17</f>
        <v>765</v>
      </c>
      <c r="F16" s="194">
        <f>Statement!W17</f>
        <v>399</v>
      </c>
      <c r="G16" s="192">
        <f>Statement!AA17</f>
        <v>765</v>
      </c>
    </row>
    <row r="17" spans="2:7" x14ac:dyDescent="0.2">
      <c r="B17" s="200" t="s">
        <v>308</v>
      </c>
      <c r="C17" s="253">
        <f>Statement!AA96</f>
        <v>0.53614457831325302</v>
      </c>
      <c r="D17" s="254"/>
      <c r="F17" s="253">
        <f>IF(F16=0,
IF(G16=0,0,IF(G16&gt;0,1,-1)),
(G16-F16)/ABS(F16)
)</f>
        <v>0.91729323308270672</v>
      </c>
      <c r="G17" s="254"/>
    </row>
    <row r="18" spans="2:7" x14ac:dyDescent="0.2">
      <c r="B18" s="201" t="s">
        <v>310</v>
      </c>
      <c r="C18" s="194">
        <f>Statement!Z21</f>
        <v>393</v>
      </c>
      <c r="D18" s="192">
        <f>Statement!AA21</f>
        <v>393</v>
      </c>
      <c r="F18" s="194">
        <f>Statement!W21</f>
        <v>391</v>
      </c>
      <c r="G18" s="192">
        <f>Statement!AA21</f>
        <v>393</v>
      </c>
    </row>
    <row r="19" spans="2:7" x14ac:dyDescent="0.2">
      <c r="B19" s="200" t="s">
        <v>308</v>
      </c>
      <c r="C19" s="253">
        <f>IF(C18=0,
IF(D18=0,0,IF(D18&gt;0,1,-1)),
(D18-C18)/ABS(C18)
)</f>
        <v>0</v>
      </c>
      <c r="D19" s="254"/>
      <c r="F19" s="253">
        <f>IF(F18=0,
IF(G18=0,0,IF(G18&gt;0,1,-1)),
(G18-F18)/ABS(F18)
)</f>
        <v>5.1150895140664966E-3</v>
      </c>
      <c r="G19" s="254"/>
    </row>
    <row r="20" spans="2:7" x14ac:dyDescent="0.2">
      <c r="B20" s="201" t="s">
        <v>35</v>
      </c>
      <c r="C20" s="195">
        <f>Statement!Z25</f>
        <v>1.27</v>
      </c>
      <c r="D20" s="196">
        <f>Statement!AA25</f>
        <v>1.95</v>
      </c>
      <c r="F20" s="195">
        <f>Statement!W25</f>
        <v>1.02</v>
      </c>
      <c r="G20" s="196">
        <f>Statement!AA25</f>
        <v>1.95</v>
      </c>
    </row>
    <row r="21" spans="2:7" x14ac:dyDescent="0.2">
      <c r="B21" s="200" t="s">
        <v>308</v>
      </c>
      <c r="C21" s="253">
        <f>IF(C20=0,
IF(D20=0,0,IF(D20&gt;0,1,-1)),
(D20-C20)/ABS(C20)
)</f>
        <v>0.53543307086614167</v>
      </c>
      <c r="D21" s="254"/>
      <c r="F21" s="253">
        <f>IF(F20=0,
IF(G20=0,0,IF(G20&gt;0,1,-1)),
(G20-F20)/ABS(F20)
)</f>
        <v>0.91176470588235281</v>
      </c>
      <c r="G21" s="254"/>
    </row>
    <row r="23" spans="2:7" x14ac:dyDescent="0.2">
      <c r="B23" s="8" t="s">
        <v>311</v>
      </c>
      <c r="C23" s="10" t="str">
        <f>C5</f>
        <v>Q2 2026</v>
      </c>
      <c r="D23" s="197" t="str">
        <f>D5</f>
        <v>Q3 2026</v>
      </c>
      <c r="F23" s="198" t="str">
        <f>F5</f>
        <v>Q3 2025</v>
      </c>
      <c r="G23" s="197" t="str">
        <f>G5</f>
        <v>Q3 2026</v>
      </c>
    </row>
    <row r="24" spans="2:7" x14ac:dyDescent="0.2">
      <c r="B24" s="20" t="str">
        <f>Statement!B193</f>
        <v>Americas</v>
      </c>
      <c r="C24" s="194">
        <f>Statement!Z181</f>
        <v>2071</v>
      </c>
      <c r="D24" s="192">
        <f>Statement!AA181</f>
        <v>2989</v>
      </c>
      <c r="F24" s="194">
        <f>Statement!W181</f>
        <v>1712</v>
      </c>
      <c r="G24" s="192">
        <f>Statement!AA181</f>
        <v>2989</v>
      </c>
    </row>
    <row r="25" spans="2:7" x14ac:dyDescent="0.2">
      <c r="B25" s="200" t="s">
        <v>308</v>
      </c>
      <c r="C25" s="253">
        <f>IF(C24=0,
IF(D24=0,0,IF(D24&gt;0,1,-1)),
(D24-C24)/ABS(C24)
)</f>
        <v>0.44326412361178175</v>
      </c>
      <c r="D25" s="254"/>
      <c r="F25" s="253">
        <f>IF(F24=0,
IF(G24=0,0,IF(G24&gt;0,1,-1)),
(G24-F24)/ABS(F24)
)</f>
        <v>0.74591121495327106</v>
      </c>
      <c r="G25" s="254"/>
    </row>
    <row r="26" spans="2:7" x14ac:dyDescent="0.2">
      <c r="B26" s="20" t="str">
        <f>Statement!B194</f>
        <v>Asia Pacific</v>
      </c>
      <c r="C26" s="194">
        <f>Statement!Z182</f>
        <v>720</v>
      </c>
      <c r="D26" s="192">
        <f>Statement!AA182</f>
        <v>779</v>
      </c>
      <c r="F26" s="194">
        <f>Statement!W182</f>
        <v>520</v>
      </c>
      <c r="G26" s="192">
        <f>Statement!AA182</f>
        <v>779</v>
      </c>
    </row>
    <row r="27" spans="2:7" x14ac:dyDescent="0.2">
      <c r="B27" s="200" t="s">
        <v>308</v>
      </c>
      <c r="C27" s="253">
        <f>IF(C26=0,
IF(D26=0,0,IF(D26&gt;0,1,-1)),
(D26-C26)/ABS(C26)
)</f>
        <v>8.1944444444444445E-2</v>
      </c>
      <c r="D27" s="254"/>
      <c r="F27" s="253">
        <f>IF(F26=0,
IF(G26=0,0,IF(G26&gt;0,1,-1)),
(G26-F26)/ABS(F26)
)</f>
        <v>0.49807692307692308</v>
      </c>
      <c r="G27" s="254"/>
    </row>
    <row r="28" spans="2:7" x14ac:dyDescent="0.2">
      <c r="B28" s="20" t="str">
        <f>Statement!B195</f>
        <v>Europe Middle East Africa</v>
      </c>
      <c r="C28" s="194">
        <f>Statement!Z183</f>
        <v>484</v>
      </c>
      <c r="D28" s="192">
        <f>Statement!AA183</f>
        <v>545</v>
      </c>
      <c r="F28" s="194">
        <f>Statement!W183</f>
        <v>444</v>
      </c>
      <c r="G28" s="192">
        <f>Statement!AA183</f>
        <v>545</v>
      </c>
    </row>
    <row r="29" spans="2:7" x14ac:dyDescent="0.2">
      <c r="B29" s="200" t="s">
        <v>308</v>
      </c>
      <c r="C29" s="253">
        <f>IF(C28=0,
IF(D28=0,0,IF(D28&gt;0,1,-1)),
(D28-C28)/ABS(C28)
)</f>
        <v>0.12603305785123967</v>
      </c>
      <c r="D29" s="254"/>
      <c r="F29" s="253">
        <f>IF(F28=0,
IF(G28=0,0,IF(G28&gt;0,1,-1)),
(G28-F28)/ABS(F28)
)</f>
        <v>0.22747747747747749</v>
      </c>
      <c r="G29" s="254"/>
    </row>
    <row r="31" spans="2:7" x14ac:dyDescent="0.2">
      <c r="B31" s="20" t="str">
        <f>Statement!B197</f>
        <v>Products</v>
      </c>
      <c r="C31" s="194">
        <f>Statement!Z185</f>
        <v>2606</v>
      </c>
      <c r="D31" s="224">
        <f>Statement!AA185</f>
        <v>3637</v>
      </c>
      <c r="F31" s="194">
        <f>Statement!W185</f>
        <v>2168</v>
      </c>
      <c r="G31" s="224">
        <f>Statement!AA185</f>
        <v>3637</v>
      </c>
    </row>
    <row r="32" spans="2:7" x14ac:dyDescent="0.2">
      <c r="B32" s="200" t="s">
        <v>308</v>
      </c>
      <c r="C32" s="253">
        <f>IF(C31=0,
IF(D31=0,0,IF(D31&gt;0,1,-1)),
(D31-C31)/ABS(C31)
)</f>
        <v>0.3956254796623177</v>
      </c>
      <c r="D32" s="254"/>
      <c r="F32" s="253">
        <f>IF(F31=0,
IF(G31=0,0,IF(G31&gt;0,1,-1)),
(G31-F31)/ABS(F31)
)</f>
        <v>0.67758302583025831</v>
      </c>
      <c r="G32" s="254"/>
    </row>
    <row r="33" spans="2:7" x14ac:dyDescent="0.2">
      <c r="B33" s="20" t="str">
        <f>Statement!B198</f>
        <v>Services</v>
      </c>
      <c r="C33" s="194">
        <f>Statement!Z186</f>
        <v>668</v>
      </c>
      <c r="D33" s="224">
        <f>Statement!AA186</f>
        <v>676</v>
      </c>
      <c r="F33" s="194">
        <f>Statement!W186</f>
        <v>508</v>
      </c>
      <c r="G33" s="224">
        <f>Statement!AA186</f>
        <v>676</v>
      </c>
    </row>
    <row r="34" spans="2:7" x14ac:dyDescent="0.2">
      <c r="B34" s="200" t="s">
        <v>308</v>
      </c>
      <c r="C34" s="253">
        <f>IF(C33=0,
IF(D33=0,0,IF(D33&gt;0,1,-1)),
(D33-C33)/ABS(C33)
)</f>
        <v>1.1976047904191617E-2</v>
      </c>
      <c r="D34" s="254"/>
      <c r="F34" s="253">
        <f>IF(F33=0,
IF(G33=0,0,IF(G33&gt;0,1,-1)),
(G33-F33)/ABS(F33)
)</f>
        <v>0.33070866141732286</v>
      </c>
      <c r="G34" s="254"/>
    </row>
  </sheetData>
  <mergeCells count="28">
    <mergeCell ref="C32:D32"/>
    <mergeCell ref="F32:G32"/>
    <mergeCell ref="C34:D34"/>
    <mergeCell ref="F34:G3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31.12.2024</v>
      </c>
      <c r="D55" s="10" t="str">
        <f>Statement!U2</f>
        <v>31.03.2025</v>
      </c>
      <c r="E55" s="10" t="str">
        <f>Statement!V2</f>
        <v>30.06.2025</v>
      </c>
      <c r="F55" s="10" t="str">
        <f>Statement!W2</f>
        <v>30.09.2025</v>
      </c>
      <c r="G55" s="10" t="str">
        <f>Statement!X2</f>
        <v>31.12.2025</v>
      </c>
      <c r="H55" s="10" t="str">
        <f>Statement!Y2</f>
        <v>31.03.2026</v>
      </c>
      <c r="I55" s="10" t="str">
        <f>Statement!Z2</f>
        <v>30.06.2026</v>
      </c>
      <c r="J55" s="10" t="str">
        <f>Statement!AA2</f>
        <v>30.09.2026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2346</v>
      </c>
      <c r="D57" s="64">
        <f>Statement!U5</f>
        <v>2036</v>
      </c>
      <c r="E57" s="64">
        <f>Statement!V5</f>
        <v>2638</v>
      </c>
      <c r="F57" s="64">
        <f>Statement!W5</f>
        <v>2676</v>
      </c>
      <c r="G57" s="64">
        <f>Statement!X5</f>
        <v>2880</v>
      </c>
      <c r="H57" s="64">
        <f>Statement!Y5</f>
        <v>2650</v>
      </c>
      <c r="I57" s="64">
        <f>Statement!Z5</f>
        <v>3274</v>
      </c>
      <c r="J57" s="64">
        <f>Statement!AA5</f>
        <v>4312</v>
      </c>
    </row>
    <row r="58" spans="2:10" x14ac:dyDescent="0.2">
      <c r="B58" s="20" t="s">
        <v>23</v>
      </c>
      <c r="C58" s="64">
        <f>Statement!T11</f>
        <v>457</v>
      </c>
      <c r="D58" s="64">
        <f>Statement!U11</f>
        <v>291</v>
      </c>
      <c r="E58" s="64">
        <f>Statement!V11</f>
        <v>442</v>
      </c>
      <c r="F58" s="64">
        <f>Statement!W11</f>
        <v>517</v>
      </c>
      <c r="G58" s="64">
        <f>Statement!X11</f>
        <v>580</v>
      </c>
      <c r="H58" s="64">
        <f>Statement!Y11</f>
        <v>440</v>
      </c>
      <c r="I58" s="64">
        <f>Statement!Z11</f>
        <v>634</v>
      </c>
      <c r="J58" s="64">
        <f>Statement!AA11</f>
        <v>984</v>
      </c>
    </row>
    <row r="59" spans="2:10" x14ac:dyDescent="0.2">
      <c r="B59" s="20" t="s">
        <v>28</v>
      </c>
      <c r="C59" s="64">
        <f>Statement!T17</f>
        <v>147</v>
      </c>
      <c r="D59" s="64">
        <f>Statement!U17</f>
        <v>165</v>
      </c>
      <c r="E59" s="64">
        <f>Statement!V17</f>
        <v>324</v>
      </c>
      <c r="F59" s="64">
        <f>Statement!W17</f>
        <v>399</v>
      </c>
      <c r="G59" s="64">
        <f>Statement!X17</f>
        <v>446</v>
      </c>
      <c r="H59" s="64">
        <f>Statement!Y17</f>
        <v>390</v>
      </c>
      <c r="I59" s="64">
        <f>Statement!Z17</f>
        <v>498</v>
      </c>
      <c r="J59" s="64">
        <f>Statement!AA17</f>
        <v>765</v>
      </c>
    </row>
    <row r="60" spans="2:10" x14ac:dyDescent="0.2">
      <c r="B60" s="20" t="s">
        <v>75</v>
      </c>
      <c r="C60" s="58">
        <f>Statement!T99</f>
        <v>0.37084398976982097</v>
      </c>
      <c r="D60" s="58">
        <f>Statement!U99</f>
        <v>0.33693516699410608</v>
      </c>
      <c r="E60" s="58">
        <f>Statement!V99</f>
        <v>0.33965125094768767</v>
      </c>
      <c r="F60" s="58">
        <f>Statement!W99</f>
        <v>0.37780269058295962</v>
      </c>
      <c r="G60" s="58">
        <f>Statement!X99</f>
        <v>0.38923611111111112</v>
      </c>
      <c r="H60" s="58">
        <f>Statement!Y99</f>
        <v>0.37735849056603776</v>
      </c>
      <c r="I60" s="58">
        <f>Statement!Z99</f>
        <v>0.37721441661576055</v>
      </c>
      <c r="J60" s="58">
        <f>Statement!AA99</f>
        <v>0.38102968460111319</v>
      </c>
    </row>
    <row r="61" spans="2:10" x14ac:dyDescent="0.2">
      <c r="B61" s="20" t="s">
        <v>76</v>
      </c>
      <c r="C61" s="58">
        <f>Statement!T100</f>
        <v>0.1947996589940324</v>
      </c>
      <c r="D61" s="58">
        <f>Statement!U100</f>
        <v>0.14292730844793713</v>
      </c>
      <c r="E61" s="58">
        <f>Statement!V100</f>
        <v>0.16755117513267628</v>
      </c>
      <c r="F61" s="58">
        <f>Statement!W100</f>
        <v>0.19319880418535126</v>
      </c>
      <c r="G61" s="58">
        <f>Statement!X100</f>
        <v>0.2013888888888889</v>
      </c>
      <c r="H61" s="58">
        <f>Statement!Y100</f>
        <v>0.16603773584905659</v>
      </c>
      <c r="I61" s="58">
        <f>Statement!Z100</f>
        <v>0.19364691508857668</v>
      </c>
      <c r="J61" s="58">
        <f>Statement!AA100</f>
        <v>0.22820037105751392</v>
      </c>
    </row>
    <row r="62" spans="2:10" x14ac:dyDescent="0.2">
      <c r="B62" s="20" t="s">
        <v>77</v>
      </c>
      <c r="C62" s="58">
        <f>Statement!T101</f>
        <v>6.2659846547314574E-2</v>
      </c>
      <c r="D62" s="58">
        <f>Statement!U101</f>
        <v>8.1041257367387029E-2</v>
      </c>
      <c r="E62" s="58">
        <f>Statement!V101</f>
        <v>0.12282031842304776</v>
      </c>
      <c r="F62" s="58">
        <f>Statement!W101</f>
        <v>0.1491031390134529</v>
      </c>
      <c r="G62" s="58">
        <f>Statement!X101</f>
        <v>0.15486111111111112</v>
      </c>
      <c r="H62" s="58">
        <f>Statement!Y101</f>
        <v>0.14716981132075471</v>
      </c>
      <c r="I62" s="58">
        <f>Statement!Z101</f>
        <v>0.15210751374465487</v>
      </c>
      <c r="J62" s="58">
        <f>Statement!AA101</f>
        <v>0.17741187384044527</v>
      </c>
    </row>
    <row r="63" spans="2:10" x14ac:dyDescent="0.2">
      <c r="B63" s="20" t="str">
        <f>"Revenue "&amp;Statement!B181</f>
        <v>Revenue Americas</v>
      </c>
      <c r="C63" s="64">
        <f>Statement!T181</f>
        <v>1256</v>
      </c>
      <c r="D63" s="64">
        <f>Statement!U181</f>
        <v>1185</v>
      </c>
      <c r="E63" s="64">
        <f>Statement!V181</f>
        <v>1602</v>
      </c>
      <c r="F63" s="64">
        <f>Statement!W181</f>
        <v>1712</v>
      </c>
      <c r="G63" s="64">
        <f>Statement!X181</f>
        <v>1886</v>
      </c>
      <c r="H63" s="64">
        <f>Statement!Y181</f>
        <v>1814</v>
      </c>
      <c r="I63" s="64">
        <f>Statement!Z181</f>
        <v>2071</v>
      </c>
      <c r="J63" s="64">
        <f>Statement!AA181</f>
        <v>2989</v>
      </c>
    </row>
    <row r="64" spans="2:10" x14ac:dyDescent="0.2">
      <c r="B64" s="20" t="str">
        <f>"Revenue "&amp;Statement!B182</f>
        <v>Revenue Asia Pacific</v>
      </c>
      <c r="C64" s="64">
        <f>Statement!T182</f>
        <v>544</v>
      </c>
      <c r="D64" s="64">
        <f>Statement!U182</f>
        <v>447</v>
      </c>
      <c r="E64" s="64">
        <f>Statement!V182</f>
        <v>560</v>
      </c>
      <c r="F64" s="64">
        <f>Statement!W182</f>
        <v>520</v>
      </c>
      <c r="G64" s="64">
        <f>Statement!X182</f>
        <v>492</v>
      </c>
      <c r="H64" s="64">
        <f>Statement!Y182</f>
        <v>514</v>
      </c>
      <c r="I64" s="64">
        <f>Statement!Z182</f>
        <v>720</v>
      </c>
      <c r="J64" s="64">
        <f>Statement!AA182</f>
        <v>779</v>
      </c>
    </row>
    <row r="65" spans="2:10" x14ac:dyDescent="0.2">
      <c r="B65" s="20" t="str">
        <f>"Revenue "&amp;Statement!B183</f>
        <v>Revenue Europe Middle East Africa</v>
      </c>
      <c r="C65" s="64">
        <f>Statement!T183</f>
        <v>547</v>
      </c>
      <c r="D65" s="64">
        <f>Statement!U183</f>
        <v>404</v>
      </c>
      <c r="E65" s="64">
        <f>Statement!V183</f>
        <v>476</v>
      </c>
      <c r="F65" s="64">
        <f>Statement!W183</f>
        <v>444</v>
      </c>
      <c r="G65" s="64">
        <f>Statement!X183</f>
        <v>502</v>
      </c>
      <c r="H65" s="64">
        <f>Statement!Y183</f>
        <v>321</v>
      </c>
      <c r="I65" s="64">
        <f>Statement!Z183</f>
        <v>484</v>
      </c>
      <c r="J65" s="64">
        <f>Statement!AA183</f>
        <v>545</v>
      </c>
    </row>
    <row r="66" spans="2:10" x14ac:dyDescent="0.2">
      <c r="B66" s="20" t="str">
        <f>"Revenue "&amp;Statement!B185</f>
        <v>Revenue Products</v>
      </c>
      <c r="C66" s="64">
        <f>Statement!T185</f>
        <v>1875</v>
      </c>
      <c r="D66" s="64">
        <f>Statement!U185</f>
        <v>1611</v>
      </c>
      <c r="E66" s="64">
        <f>Statement!V185</f>
        <v>2119</v>
      </c>
      <c r="F66" s="64">
        <f>Statement!W185</f>
        <v>2168</v>
      </c>
      <c r="G66" s="64">
        <f>Statement!X185</f>
        <v>2309</v>
      </c>
      <c r="H66" s="64">
        <f>Statement!Y185</f>
        <v>2091</v>
      </c>
      <c r="I66" s="64">
        <f>Statement!Z185</f>
        <v>2606</v>
      </c>
      <c r="J66" s="64">
        <f>Statement!AA185</f>
        <v>3637</v>
      </c>
    </row>
    <row r="67" spans="2:10" x14ac:dyDescent="0.2">
      <c r="B67" s="20" t="str">
        <f>"Revenue "&amp;Statement!B186</f>
        <v>Revenue Services</v>
      </c>
      <c r="C67" s="64">
        <f>Statement!T186</f>
        <v>472</v>
      </c>
      <c r="D67" s="64">
        <f>Statement!U186</f>
        <v>425</v>
      </c>
      <c r="E67" s="64">
        <f>Statement!V186</f>
        <v>519</v>
      </c>
      <c r="F67" s="64">
        <f>Statement!W186</f>
        <v>508</v>
      </c>
      <c r="G67" s="64">
        <f>Statement!X186</f>
        <v>571</v>
      </c>
      <c r="H67" s="64">
        <f>Statement!Y186</f>
        <v>558</v>
      </c>
      <c r="I67" s="64">
        <f>Statement!Z186</f>
        <v>668</v>
      </c>
      <c r="J67" s="64">
        <f>Statement!AA186</f>
        <v>676</v>
      </c>
    </row>
    <row r="68" spans="2:10" x14ac:dyDescent="0.2">
      <c r="B68" s="20" t="s">
        <v>254</v>
      </c>
      <c r="C68" s="64">
        <f>Statement!T151</f>
        <v>352</v>
      </c>
      <c r="D68" s="64">
        <f>Statement!U151</f>
        <v>253</v>
      </c>
      <c r="E68" s="64">
        <f>Statement!V151</f>
        <v>264</v>
      </c>
      <c r="F68" s="64">
        <f>Statement!W151</f>
        <v>448</v>
      </c>
      <c r="G68" s="64">
        <f>Statement!X151</f>
        <v>903</v>
      </c>
      <c r="H68" s="64">
        <f>Statement!Y151</f>
        <v>635</v>
      </c>
      <c r="I68" s="64">
        <f>Statement!Z151</f>
        <v>912</v>
      </c>
      <c r="J68" s="64">
        <f>Statement!AA151</f>
        <v>632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8" style="1" customWidth="1"/>
    <col min="9" max="16384" width="10.83203125" style="1"/>
  </cols>
  <sheetData>
    <row r="5" spans="2:8" x14ac:dyDescent="0.2">
      <c r="H5" s="132" t="s">
        <v>406</v>
      </c>
    </row>
    <row r="6" spans="2:8" x14ac:dyDescent="0.2">
      <c r="H6" s="241" t="s">
        <v>411</v>
      </c>
    </row>
    <row r="7" spans="2:8" x14ac:dyDescent="0.2">
      <c r="H7" s="241" t="s">
        <v>407</v>
      </c>
    </row>
    <row r="8" spans="2:8" x14ac:dyDescent="0.2">
      <c r="H8" s="241" t="s">
        <v>408</v>
      </c>
    </row>
    <row r="9" spans="2:8" x14ac:dyDescent="0.2">
      <c r="H9" s="241" t="s">
        <v>409</v>
      </c>
    </row>
    <row r="10" spans="2:8" x14ac:dyDescent="0.2">
      <c r="H10" s="242" t="s">
        <v>410</v>
      </c>
    </row>
    <row r="13" spans="2:8" s="4" customFormat="1" ht="49" x14ac:dyDescent="0.2">
      <c r="B13" s="3" t="s">
        <v>107</v>
      </c>
    </row>
  </sheetData>
  <hyperlinks>
    <hyperlink ref="H6" location="Overview!B3" display="Overview'!B3" xr:uid="{2D767D2C-0293-444E-88C1-B0BF50BCE6B4}"/>
    <hyperlink ref="H8" location="'Analysis -&gt;'!B13" display="'Analysis -&gt;'!B13" xr:uid="{5B8BD37B-D046-A741-A995-03A8C14F1E03}"/>
    <hyperlink ref="H9" location="'Forecast -&gt;'!B13" display="'Forecast -&gt;'!B13" xr:uid="{720D1750-C435-3B46-A626-43D1D89EFE35}"/>
    <hyperlink ref="H10" location="'Valuation -&gt;'!B13" display="'Valuation -&gt;'!B13" xr:uid="{54771850-A26D-7747-8CD6-6DB1335E38A0}"/>
    <hyperlink ref="H7" location="'Financials -&gt;'!B13" display="'Financials -&gt;'!B13" xr:uid="{4577DAA1-E8D7-1C49-BCE8-9481AD6714C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W2" zoomScale="184" zoomScaleNormal="75" workbookViewId="0">
      <selection activeCell="J12" sqref="J12"/>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9" t="s">
        <v>109</v>
      </c>
      <c r="D2" s="249"/>
      <c r="E2" s="249"/>
      <c r="F2" s="249"/>
      <c r="G2" s="258"/>
      <c r="H2" s="259" t="s">
        <v>110</v>
      </c>
      <c r="I2" s="249"/>
      <c r="J2" s="249"/>
      <c r="K2" s="249"/>
      <c r="L2" s="249"/>
      <c r="O2" s="5"/>
      <c r="S2" s="249" t="s">
        <v>109</v>
      </c>
      <c r="T2" s="249"/>
      <c r="U2" s="249"/>
      <c r="V2" s="249"/>
      <c r="W2" s="249"/>
      <c r="X2" s="249"/>
      <c r="Y2" s="249"/>
      <c r="Z2" s="249"/>
      <c r="AA2" s="249" t="s">
        <v>110</v>
      </c>
      <c r="AB2" s="249"/>
      <c r="AC2" s="249"/>
      <c r="AE2" s="85" t="s">
        <v>111</v>
      </c>
    </row>
    <row r="3" spans="1:31" ht="10" customHeight="1" x14ac:dyDescent="0.2">
      <c r="O3" s="5"/>
    </row>
    <row r="4" spans="1:31" ht="16" customHeight="1" x14ac:dyDescent="0.2">
      <c r="A4" s="86"/>
      <c r="B4" s="60"/>
      <c r="C4" s="255" t="s">
        <v>112</v>
      </c>
      <c r="D4" s="255"/>
      <c r="E4" s="255"/>
      <c r="F4" s="255"/>
      <c r="G4" s="255"/>
      <c r="H4" s="255"/>
      <c r="I4" s="255"/>
      <c r="J4" s="255"/>
      <c r="K4" s="255"/>
      <c r="L4" s="255"/>
      <c r="O4" s="5"/>
      <c r="S4" s="256" t="s">
        <v>112</v>
      </c>
      <c r="T4" s="257"/>
      <c r="U4" s="257"/>
      <c r="V4" s="257"/>
      <c r="W4" s="257"/>
      <c r="X4" s="257"/>
      <c r="Y4" s="257"/>
      <c r="Z4" s="257"/>
      <c r="AA4" s="257"/>
      <c r="AB4" s="257"/>
      <c r="AC4" s="257"/>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12392.57</v>
      </c>
      <c r="I6" s="64">
        <f t="shared" si="1"/>
        <v>17349.597999999998</v>
      </c>
      <c r="J6" s="64">
        <f t="shared" si="1"/>
        <v>22554.4774</v>
      </c>
      <c r="K6" s="64">
        <f t="shared" si="1"/>
        <v>28193.096750000001</v>
      </c>
      <c r="L6" s="64">
        <f t="shared" si="1"/>
        <v>32422.061262499999</v>
      </c>
      <c r="N6" s="90" t="s">
        <v>388</v>
      </c>
      <c r="O6" s="5"/>
      <c r="Q6" s="90" t="s">
        <v>388</v>
      </c>
      <c r="R6" s="1" t="str">
        <f>B6</f>
        <v>Products</v>
      </c>
      <c r="S6" s="88">
        <f>Statement!T185</f>
        <v>1875</v>
      </c>
      <c r="T6" s="88">
        <f>Statement!U185</f>
        <v>1611</v>
      </c>
      <c r="U6" s="88">
        <f>Statement!V185</f>
        <v>2119</v>
      </c>
      <c r="V6" s="88">
        <f>Statement!W185</f>
        <v>2168</v>
      </c>
      <c r="W6" s="88">
        <f>Statement!X185</f>
        <v>2309</v>
      </c>
      <c r="X6" s="88">
        <f>Statement!Y185</f>
        <v>2091</v>
      </c>
      <c r="Y6" s="88">
        <f>Statement!Z185</f>
        <v>2606</v>
      </c>
      <c r="Z6" s="89">
        <f>Statement!AA185</f>
        <v>3637</v>
      </c>
      <c r="AA6" s="64">
        <f>Z6*(1+AA12)</f>
        <v>3818.8500000000004</v>
      </c>
      <c r="AB6" s="64"/>
      <c r="AC6" s="64"/>
      <c r="AE6" s="64">
        <f>SUM(X6:AA6)</f>
        <v>12152.85</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472</v>
      </c>
      <c r="T7" s="88">
        <f>Statement!U186</f>
        <v>425</v>
      </c>
      <c r="U7" s="88">
        <f>Statement!V186</f>
        <v>519</v>
      </c>
      <c r="V7" s="88">
        <f>Statement!W186</f>
        <v>508</v>
      </c>
      <c r="W7" s="88">
        <f>Statement!X186</f>
        <v>571</v>
      </c>
      <c r="X7" s="88">
        <f>Statement!Y186</f>
        <v>558</v>
      </c>
      <c r="Y7" s="88">
        <f>Statement!Z186</f>
        <v>668</v>
      </c>
      <c r="Z7" s="89">
        <f>Statement!AA186</f>
        <v>676</v>
      </c>
      <c r="AA7" s="64">
        <f>Z7*(1+AA13)</f>
        <v>682.76</v>
      </c>
      <c r="AB7" s="64"/>
      <c r="AC7" s="64"/>
      <c r="AE7" s="64">
        <f t="shared" ref="AE7" si="3">SUM(X7:AA7)</f>
        <v>2584.7600000000002</v>
      </c>
    </row>
    <row r="8" spans="1:31" x14ac:dyDescent="0.2">
      <c r="B8" s="16" t="s">
        <v>117</v>
      </c>
      <c r="C8" s="92">
        <f>Statement!M5</f>
        <v>4998</v>
      </c>
      <c r="D8" s="92">
        <f>Statement!N5</f>
        <v>5692</v>
      </c>
      <c r="E8" s="92">
        <f>Statement!O5</f>
        <v>6863</v>
      </c>
      <c r="F8" s="92">
        <f>Statement!P5</f>
        <v>8012</v>
      </c>
      <c r="G8" s="93">
        <f>Statement!Q5</f>
        <v>10230</v>
      </c>
      <c r="H8" s="94">
        <f>SUM(H6:H7)</f>
        <v>14840.4</v>
      </c>
      <c r="I8" s="94">
        <f>SUM(I6:I7)</f>
        <v>20311.472299999998</v>
      </c>
      <c r="J8" s="94">
        <f>SUM(J6:J7)</f>
        <v>25960.632845</v>
      </c>
      <c r="K8" s="94">
        <f>SUM(K6:K7)</f>
        <v>32007.990848400001</v>
      </c>
      <c r="L8" s="94">
        <f>SUM(L6:L7)</f>
        <v>36542.146888771997</v>
      </c>
      <c r="O8" s="5"/>
      <c r="R8" s="16" t="s">
        <v>117</v>
      </c>
      <c r="S8" s="92">
        <f>Statement!T5</f>
        <v>2346</v>
      </c>
      <c r="T8" s="92">
        <f>Statement!U5</f>
        <v>2036</v>
      </c>
      <c r="U8" s="92">
        <f>Statement!V5</f>
        <v>2638</v>
      </c>
      <c r="V8" s="92">
        <f>Statement!W5</f>
        <v>2676</v>
      </c>
      <c r="W8" s="92">
        <f>Statement!X5</f>
        <v>2880</v>
      </c>
      <c r="X8" s="92">
        <f>Statement!Y5</f>
        <v>2650</v>
      </c>
      <c r="Y8" s="92">
        <f>Statement!Z5</f>
        <v>3274</v>
      </c>
      <c r="Z8" s="93">
        <f>Statement!AA5</f>
        <v>4312</v>
      </c>
      <c r="AA8" s="94">
        <f>SUM(AA6:AA7)</f>
        <v>4501.6100000000006</v>
      </c>
      <c r="AB8" s="94"/>
      <c r="AC8" s="94"/>
      <c r="AE8" s="94">
        <f>SUM(X8:AA8)</f>
        <v>14737.61</v>
      </c>
    </row>
    <row r="9" spans="1:31" x14ac:dyDescent="0.2">
      <c r="O9" s="5"/>
      <c r="Q9" s="91"/>
    </row>
    <row r="10" spans="1:31" x14ac:dyDescent="0.2">
      <c r="C10" s="255" t="s">
        <v>118</v>
      </c>
      <c r="D10" s="255"/>
      <c r="E10" s="255"/>
      <c r="F10" s="255"/>
      <c r="G10" s="255"/>
      <c r="H10" s="255"/>
      <c r="I10" s="255"/>
      <c r="J10" s="255"/>
      <c r="K10" s="255"/>
      <c r="L10" s="255"/>
      <c r="O10" s="5"/>
      <c r="Q10" s="91"/>
      <c r="S10" s="256" t="s">
        <v>118</v>
      </c>
      <c r="T10" s="257"/>
      <c r="U10" s="257"/>
      <c r="V10" s="257"/>
      <c r="W10" s="257"/>
      <c r="X10" s="257"/>
      <c r="Y10" s="257"/>
      <c r="Z10" s="257"/>
      <c r="AA10" s="257"/>
      <c r="AB10" s="257"/>
      <c r="AC10" s="257"/>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Q4 2024</v>
      </c>
      <c r="T11" s="12" t="str">
        <f t="shared" si="5"/>
        <v>Q1 2025</v>
      </c>
      <c r="U11" s="12" t="str">
        <f t="shared" si="5"/>
        <v>Q2 2025</v>
      </c>
      <c r="V11" s="12" t="str">
        <f t="shared" si="5"/>
        <v>Q3 2025</v>
      </c>
      <c r="W11" s="12" t="str">
        <f t="shared" si="5"/>
        <v>Q4 2025</v>
      </c>
      <c r="X11" s="12" t="str">
        <f t="shared" si="5"/>
        <v>Q1 2026</v>
      </c>
      <c r="Y11" s="12" t="str">
        <f t="shared" si="5"/>
        <v>Q2 2026</v>
      </c>
      <c r="Z11" s="12" t="str">
        <f t="shared" si="5"/>
        <v>Q3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0.51</v>
      </c>
      <c r="I12" s="97">
        <v>0.4</v>
      </c>
      <c r="J12" s="97">
        <v>0.3</v>
      </c>
      <c r="K12" s="97">
        <v>0.25</v>
      </c>
      <c r="L12" s="97">
        <v>0.15</v>
      </c>
      <c r="O12" s="5"/>
      <c r="Q12" s="91"/>
      <c r="R12" s="1" t="str">
        <f>R6</f>
        <v>Products</v>
      </c>
      <c r="S12" s="47"/>
      <c r="T12" s="95">
        <f t="shared" ref="T12:Z13" si="7">T6/S6-1</f>
        <v>-0.14080000000000004</v>
      </c>
      <c r="U12" s="95">
        <f t="shared" si="7"/>
        <v>0.31533209186840461</v>
      </c>
      <c r="V12" s="95">
        <f t="shared" si="7"/>
        <v>2.3124115148654978E-2</v>
      </c>
      <c r="W12" s="95">
        <f t="shared" si="7"/>
        <v>6.503690036900367E-2</v>
      </c>
      <c r="X12" s="95">
        <f t="shared" si="7"/>
        <v>-9.4413165872672122E-2</v>
      </c>
      <c r="Y12" s="95">
        <f t="shared" si="7"/>
        <v>0.24629363940698235</v>
      </c>
      <c r="Z12" s="96">
        <f t="shared" si="7"/>
        <v>0.39562547966231776</v>
      </c>
      <c r="AA12" s="97">
        <v>0.05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-9.9576271186440635E-2</v>
      </c>
      <c r="U13" s="95">
        <f t="shared" si="7"/>
        <v>0.22117647058823531</v>
      </c>
      <c r="V13" s="95">
        <f t="shared" si="7"/>
        <v>-2.1194605009633882E-2</v>
      </c>
      <c r="W13" s="95">
        <f t="shared" si="7"/>
        <v>0.12401574803149606</v>
      </c>
      <c r="X13" s="95">
        <f t="shared" si="7"/>
        <v>-2.2767075306479811E-2</v>
      </c>
      <c r="Y13" s="95">
        <f t="shared" si="7"/>
        <v>0.19713261648745517</v>
      </c>
      <c r="Z13" s="96">
        <f t="shared" si="7"/>
        <v>1.1976047904191711E-2</v>
      </c>
      <c r="AA13" s="97">
        <v>0.01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0.45067448680351907</v>
      </c>
      <c r="I14" s="103">
        <f t="shared" si="8"/>
        <v>0.36866070321554667</v>
      </c>
      <c r="J14" s="103">
        <f t="shared" si="8"/>
        <v>0.27812659080356283</v>
      </c>
      <c r="K14" s="103">
        <f t="shared" si="8"/>
        <v>0.23294339700831745</v>
      </c>
      <c r="L14" s="103">
        <f t="shared" si="8"/>
        <v>0.14165700252312607</v>
      </c>
      <c r="O14" s="5"/>
      <c r="Q14" s="91"/>
      <c r="R14" s="16" t="str">
        <f>R8</f>
        <v>Total</v>
      </c>
      <c r="S14" s="47"/>
      <c r="T14" s="103">
        <f t="shared" ref="T14:AA14" si="9">T8/S8-1</f>
        <v>-0.1321398124467178</v>
      </c>
      <c r="U14" s="103">
        <f t="shared" si="9"/>
        <v>0.29567779960707274</v>
      </c>
      <c r="V14" s="103">
        <f t="shared" si="9"/>
        <v>1.4404852160727843E-2</v>
      </c>
      <c r="W14" s="103">
        <f t="shared" si="9"/>
        <v>7.623318385650224E-2</v>
      </c>
      <c r="X14" s="103">
        <f t="shared" si="9"/>
        <v>-7.986111111111116E-2</v>
      </c>
      <c r="Y14" s="103">
        <f t="shared" si="9"/>
        <v>0.23547169811320745</v>
      </c>
      <c r="Z14" s="104">
        <f t="shared" si="9"/>
        <v>0.3170433720219914</v>
      </c>
      <c r="AA14" s="103">
        <f t="shared" si="9"/>
        <v>4.3972634508348873E-2</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3" zoomScale="178" zoomScaleNormal="100" workbookViewId="0">
      <selection activeCell="X6" sqref="X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9" t="s">
        <v>109</v>
      </c>
      <c r="D2" s="249"/>
      <c r="E2" s="249"/>
      <c r="F2" s="249"/>
      <c r="G2" s="258"/>
      <c r="H2" s="259" t="s">
        <v>110</v>
      </c>
      <c r="I2" s="249"/>
      <c r="J2" s="249"/>
      <c r="K2" s="249"/>
      <c r="L2" s="249"/>
      <c r="P2" s="249" t="s">
        <v>109</v>
      </c>
      <c r="Q2" s="249"/>
      <c r="R2" s="249"/>
      <c r="S2" s="249"/>
      <c r="T2" s="249"/>
      <c r="U2" s="249"/>
      <c r="V2" s="249"/>
      <c r="W2" s="249"/>
      <c r="X2" s="249" t="s">
        <v>110</v>
      </c>
      <c r="Y2" s="249"/>
      <c r="Z2" s="249"/>
      <c r="AB2" s="85" t="s">
        <v>111</v>
      </c>
    </row>
    <row r="3" spans="1:28" ht="10" customHeight="1" x14ac:dyDescent="0.2"/>
    <row r="4" spans="1:28" ht="16" customHeight="1" x14ac:dyDescent="0.2">
      <c r="A4" s="86"/>
      <c r="B4" s="60"/>
      <c r="C4" s="255" t="s">
        <v>112</v>
      </c>
      <c r="D4" s="255"/>
      <c r="E4" s="255"/>
      <c r="F4" s="255"/>
      <c r="G4" s="255"/>
      <c r="H4" s="255"/>
      <c r="I4" s="255"/>
      <c r="J4" s="255"/>
      <c r="K4" s="255"/>
      <c r="L4" s="255"/>
      <c r="P4" s="257" t="s">
        <v>112</v>
      </c>
      <c r="Q4" s="257"/>
      <c r="R4" s="257"/>
      <c r="S4" s="257"/>
      <c r="T4" s="257"/>
      <c r="U4" s="257"/>
      <c r="V4" s="257"/>
      <c r="W4" s="257"/>
      <c r="X4" s="257"/>
      <c r="Y4" s="257"/>
      <c r="Z4" s="25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14840.4</v>
      </c>
      <c r="I6" s="92">
        <f>Revenue!I8</f>
        <v>20311.472299999998</v>
      </c>
      <c r="J6" s="92">
        <f>Revenue!J8</f>
        <v>25960.632845</v>
      </c>
      <c r="K6" s="92">
        <f>Revenue!K8</f>
        <v>32007.990848400001</v>
      </c>
      <c r="L6" s="92">
        <f>Revenue!L8</f>
        <v>36542.146888771997</v>
      </c>
      <c r="N6" s="91"/>
      <c r="O6" s="16" t="s">
        <v>19</v>
      </c>
      <c r="P6" s="92">
        <f>Revenue!S8</f>
        <v>2346</v>
      </c>
      <c r="Q6" s="92">
        <f>Revenue!T8</f>
        <v>2036</v>
      </c>
      <c r="R6" s="92">
        <f>Revenue!U8</f>
        <v>2638</v>
      </c>
      <c r="S6" s="92">
        <f>Revenue!V8</f>
        <v>2676</v>
      </c>
      <c r="T6" s="92">
        <f>Revenue!W8</f>
        <v>2880</v>
      </c>
      <c r="U6" s="92">
        <f>Revenue!X8</f>
        <v>2650</v>
      </c>
      <c r="V6" s="92">
        <f>Revenue!Y8</f>
        <v>3274</v>
      </c>
      <c r="W6" s="93">
        <f>Revenue!Z8</f>
        <v>4312</v>
      </c>
      <c r="X6" s="92">
        <f>Revenue!AA8</f>
        <v>4501.6100000000006</v>
      </c>
      <c r="Y6" s="94"/>
      <c r="Z6" s="94"/>
      <c r="AB6" s="92">
        <f>Revenue!AE8</f>
        <v>14737.61</v>
      </c>
    </row>
    <row r="7" spans="1:28" x14ac:dyDescent="0.2">
      <c r="N7" s="91"/>
    </row>
    <row r="8" spans="1:28" x14ac:dyDescent="0.2">
      <c r="N8" s="91"/>
    </row>
    <row r="9" spans="1:28" x14ac:dyDescent="0.2">
      <c r="C9" s="255" t="s">
        <v>121</v>
      </c>
      <c r="D9" s="255"/>
      <c r="E9" s="255"/>
      <c r="F9" s="255"/>
      <c r="G9" s="255"/>
      <c r="H9" s="255"/>
      <c r="I9" s="255"/>
      <c r="J9" s="255"/>
      <c r="K9" s="255"/>
      <c r="L9" s="255"/>
      <c r="N9" s="91"/>
      <c r="P9" s="257" t="s">
        <v>122</v>
      </c>
      <c r="Q9" s="257"/>
      <c r="R9" s="257"/>
      <c r="S9" s="257"/>
      <c r="T9" s="257"/>
      <c r="U9" s="257"/>
      <c r="V9" s="257"/>
      <c r="W9" s="257"/>
      <c r="X9" s="257"/>
      <c r="Y9" s="257"/>
      <c r="Z9" s="257"/>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9201.0479999999989</v>
      </c>
      <c r="I11" s="108">
        <f t="shared" ref="I11:L11" si="3">SUM(I12:I13)</f>
        <v>12593.112826</v>
      </c>
      <c r="J11" s="108">
        <f t="shared" si="3"/>
        <v>15316.77337855</v>
      </c>
      <c r="K11" s="108">
        <f t="shared" si="3"/>
        <v>18884.714600555999</v>
      </c>
      <c r="L11" s="108">
        <f t="shared" si="3"/>
        <v>21194.445195487759</v>
      </c>
      <c r="N11" s="91"/>
      <c r="O11" s="16" t="str">
        <f t="shared" ref="O11:O16" si="4">B11</f>
        <v>COGS</v>
      </c>
      <c r="P11" s="106">
        <f>Statement!T6</f>
        <v>1476</v>
      </c>
      <c r="Q11" s="106">
        <f>Statement!U6</f>
        <v>1350</v>
      </c>
      <c r="R11" s="106">
        <f>Statement!V6</f>
        <v>1742</v>
      </c>
      <c r="S11" s="106">
        <f>Statement!W6</f>
        <v>1665</v>
      </c>
      <c r="T11" s="106">
        <f>Statement!X6</f>
        <v>1759</v>
      </c>
      <c r="U11" s="106">
        <f>Statement!Y6</f>
        <v>1650</v>
      </c>
      <c r="V11" s="106">
        <f>Statement!Z6</f>
        <v>2039</v>
      </c>
      <c r="W11" s="107">
        <f>Statement!AA6</f>
        <v>2669</v>
      </c>
      <c r="X11" s="108">
        <f>SUM(X12:X13)</f>
        <v>2745.9821000000002</v>
      </c>
      <c r="Y11" s="108"/>
      <c r="Z11" s="108"/>
      <c r="AB11" s="108">
        <f t="shared" ref="AB11:AB16" si="5">SUM(U11:X11)</f>
        <v>9103.9821000000011</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7717.0079999999998</v>
      </c>
      <c r="I12" s="25">
        <f t="shared" ref="I12:L12" si="6">I6*I22</f>
        <v>10561.965596</v>
      </c>
      <c r="J12" s="25">
        <f t="shared" si="6"/>
        <v>12980.3164225</v>
      </c>
      <c r="K12" s="25">
        <f t="shared" si="6"/>
        <v>16003.9954242</v>
      </c>
      <c r="L12" s="25">
        <f t="shared" si="6"/>
        <v>18271.073444385998</v>
      </c>
      <c r="M12" s="39"/>
      <c r="N12" s="236"/>
      <c r="O12" s="39" t="str">
        <f>B12</f>
        <v>Products COGS</v>
      </c>
      <c r="P12" s="234">
        <f>Statement!T188</f>
        <v>1224</v>
      </c>
      <c r="Q12" s="234">
        <f>Statement!U188</f>
        <v>1112</v>
      </c>
      <c r="R12" s="234">
        <f>Statement!V188</f>
        <v>1470</v>
      </c>
      <c r="S12" s="234">
        <f>Statement!W188</f>
        <v>1398</v>
      </c>
      <c r="T12" s="234">
        <f>Statement!X188</f>
        <v>1466</v>
      </c>
      <c r="U12" s="234">
        <f>Statement!Y188</f>
        <v>1348</v>
      </c>
      <c r="V12" s="234">
        <f>Statement!Z188</f>
        <v>1668</v>
      </c>
      <c r="W12" s="235">
        <f>Statement!AA188</f>
        <v>2292</v>
      </c>
      <c r="X12" s="25">
        <f t="shared" ref="X12:X13" si="7">X22*X$6</f>
        <v>2250.8050000000003</v>
      </c>
      <c r="Y12" s="25"/>
      <c r="Z12" s="25"/>
      <c r="AA12" s="39"/>
      <c r="AB12" s="25">
        <f t="shared" si="5"/>
        <v>7558.8050000000003</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1484.04</v>
      </c>
      <c r="I13" s="25">
        <f t="shared" ref="I13:L13" si="8">I6*I23</f>
        <v>2031.1472299999998</v>
      </c>
      <c r="J13" s="25">
        <f t="shared" si="8"/>
        <v>2336.4569560499999</v>
      </c>
      <c r="K13" s="25">
        <f t="shared" si="8"/>
        <v>2880.7191763559999</v>
      </c>
      <c r="L13" s="25">
        <f t="shared" si="8"/>
        <v>2923.3717511017599</v>
      </c>
      <c r="M13" s="39"/>
      <c r="N13" s="236"/>
      <c r="O13" s="39" t="str">
        <f>B13</f>
        <v>Services COGS</v>
      </c>
      <c r="P13" s="234">
        <f>Statement!T189</f>
        <v>252</v>
      </c>
      <c r="Q13" s="234">
        <f>Statement!U189</f>
        <v>237</v>
      </c>
      <c r="R13" s="234">
        <f>Statement!V189</f>
        <v>271</v>
      </c>
      <c r="S13" s="234">
        <f>Statement!W189</f>
        <v>267</v>
      </c>
      <c r="T13" s="234">
        <f>Statement!X189</f>
        <v>292</v>
      </c>
      <c r="U13" s="234">
        <f>Statement!Y189</f>
        <v>301</v>
      </c>
      <c r="V13" s="234">
        <f>Statement!Z189</f>
        <v>372</v>
      </c>
      <c r="W13" s="235">
        <f>Statement!AA189</f>
        <v>378</v>
      </c>
      <c r="X13" s="25">
        <f t="shared" si="7"/>
        <v>495.17710000000005</v>
      </c>
      <c r="Y13" s="25"/>
      <c r="Z13" s="25"/>
      <c r="AA13" s="39"/>
      <c r="AB13" s="25">
        <f t="shared" si="5"/>
        <v>1546.1771000000001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2226.06</v>
      </c>
      <c r="I14" s="24">
        <f>I6*I24</f>
        <v>2843.6061220000001</v>
      </c>
      <c r="J14" s="24">
        <f>J6*J24</f>
        <v>3634.4885983000004</v>
      </c>
      <c r="K14" s="24">
        <f>K6*K24</f>
        <v>4481.1187187760006</v>
      </c>
      <c r="L14" s="24">
        <f>L6*L24</f>
        <v>5115.9005644280796</v>
      </c>
      <c r="N14" s="91"/>
      <c r="O14" s="39" t="str">
        <f t="shared" si="4"/>
        <v>SG&amp;A</v>
      </c>
      <c r="P14" s="98">
        <f>Statement!T8</f>
        <v>362</v>
      </c>
      <c r="Q14" s="98">
        <f>Statement!U8</f>
        <v>346</v>
      </c>
      <c r="R14" s="98">
        <f>Statement!V8</f>
        <v>396</v>
      </c>
      <c r="S14" s="98">
        <f>Statement!W8</f>
        <v>414</v>
      </c>
      <c r="T14" s="98">
        <f>Statement!X8</f>
        <v>462</v>
      </c>
      <c r="U14" s="98">
        <f>Statement!Y8</f>
        <v>457</v>
      </c>
      <c r="V14" s="98">
        <f>Statement!Z8</f>
        <v>494</v>
      </c>
      <c r="W14" s="99">
        <f>Statement!AA8</f>
        <v>557</v>
      </c>
      <c r="X14" s="25">
        <f>X24*X$6</f>
        <v>405.14490000000006</v>
      </c>
      <c r="Y14" s="24"/>
      <c r="Z14" s="24"/>
      <c r="AB14" s="24">
        <f t="shared" si="5"/>
        <v>1913.1449</v>
      </c>
    </row>
    <row r="15" spans="1:28" x14ac:dyDescent="0.2">
      <c r="B15" s="1" t="str">
        <f>Statement!B9</f>
        <v>Amortization</v>
      </c>
      <c r="C15" s="98">
        <f>Statement!M9</f>
        <v>144</v>
      </c>
      <c r="D15" s="98">
        <f>Statement!N9</f>
        <v>216</v>
      </c>
      <c r="E15" s="98">
        <f>Statement!O9</f>
        <v>181</v>
      </c>
      <c r="F15" s="98">
        <f>Statement!P9</f>
        <v>184</v>
      </c>
      <c r="G15" s="99">
        <f>Statement!Q9</f>
        <v>200</v>
      </c>
      <c r="H15" s="24">
        <f>H6*H25</f>
        <v>296.80799999999999</v>
      </c>
      <c r="I15" s="24">
        <f>I6*I25</f>
        <v>406.22944599999994</v>
      </c>
      <c r="J15" s="24">
        <f>J6*J25</f>
        <v>519.21265689999996</v>
      </c>
      <c r="K15" s="24">
        <f>K6*K25</f>
        <v>640.15981696799997</v>
      </c>
      <c r="L15" s="24">
        <f>L6*L25</f>
        <v>730.84293777543996</v>
      </c>
      <c r="M15" s="90"/>
      <c r="N15" s="90"/>
      <c r="O15" s="39" t="str">
        <f t="shared" si="4"/>
        <v>Amortization</v>
      </c>
      <c r="P15" s="98">
        <f>Statement!T9</f>
        <v>47</v>
      </c>
      <c r="Q15" s="98">
        <f>Statement!U9</f>
        <v>46</v>
      </c>
      <c r="R15" s="98">
        <f>Statement!V9</f>
        <v>47</v>
      </c>
      <c r="S15" s="98">
        <f>Statement!W9</f>
        <v>48</v>
      </c>
      <c r="T15" s="98">
        <f>Statement!X9</f>
        <v>59</v>
      </c>
      <c r="U15" s="98">
        <f>Statement!Y9</f>
        <v>78</v>
      </c>
      <c r="V15" s="98">
        <f>Statement!Z9</f>
        <v>74</v>
      </c>
      <c r="W15" s="99">
        <f>Statement!AA9</f>
        <v>65</v>
      </c>
      <c r="X15" s="25">
        <f>X25*X$6</f>
        <v>315.11270000000007</v>
      </c>
      <c r="Y15" s="24"/>
      <c r="Z15" s="24"/>
      <c r="AB15" s="24">
        <f t="shared" si="5"/>
        <v>532.11270000000013</v>
      </c>
    </row>
    <row r="16" spans="1:28" x14ac:dyDescent="0.2">
      <c r="B16" s="16" t="s">
        <v>22</v>
      </c>
      <c r="C16" s="106">
        <f>Statement!M10</f>
        <v>1263</v>
      </c>
      <c r="D16" s="106">
        <f>Statement!N10</f>
        <v>1394</v>
      </c>
      <c r="E16" s="106">
        <f>Statement!O10</f>
        <v>1528</v>
      </c>
      <c r="F16" s="106">
        <f>Statement!P10</f>
        <v>1567</v>
      </c>
      <c r="G16" s="107">
        <f>Statement!Q10</f>
        <v>1885</v>
      </c>
      <c r="H16" s="108">
        <f>SUM(H14:H15)</f>
        <v>2522.8679999999999</v>
      </c>
      <c r="I16" s="108">
        <f>SUM(I14:I15)</f>
        <v>3249.835568</v>
      </c>
      <c r="J16" s="108">
        <f>SUM(J14:J15)</f>
        <v>4153.7012552000006</v>
      </c>
      <c r="K16" s="108">
        <f>SUM(K14:K15)</f>
        <v>5121.2785357440007</v>
      </c>
      <c r="L16" s="108">
        <f>SUM(L14:L15)</f>
        <v>5846.7435022035197</v>
      </c>
      <c r="M16" s="90"/>
      <c r="N16" s="90"/>
      <c r="O16" s="16" t="str">
        <f t="shared" si="4"/>
        <v>OpEx</v>
      </c>
      <c r="P16" s="106">
        <f>Statement!T10</f>
        <v>413</v>
      </c>
      <c r="Q16" s="106">
        <f>Statement!U10</f>
        <v>395</v>
      </c>
      <c r="R16" s="106">
        <f>Statement!V10</f>
        <v>454</v>
      </c>
      <c r="S16" s="106">
        <f>Statement!W10</f>
        <v>494</v>
      </c>
      <c r="T16" s="106">
        <f>Statement!X10</f>
        <v>541</v>
      </c>
      <c r="U16" s="106">
        <f>Statement!Y10</f>
        <v>560</v>
      </c>
      <c r="V16" s="106">
        <f>Statement!Z10</f>
        <v>601</v>
      </c>
      <c r="W16" s="107">
        <f>Statement!AA10</f>
        <v>659</v>
      </c>
      <c r="X16" s="108">
        <f>SUM(X14:X15)</f>
        <v>720.25760000000014</v>
      </c>
      <c r="Y16" s="108"/>
      <c r="Z16" s="108"/>
      <c r="AB16" s="108">
        <f t="shared" si="5"/>
        <v>2540.2575999999999</v>
      </c>
    </row>
    <row r="19" spans="2:26" x14ac:dyDescent="0.2">
      <c r="C19" s="255" t="s">
        <v>124</v>
      </c>
      <c r="D19" s="255"/>
      <c r="E19" s="255"/>
      <c r="F19" s="255"/>
      <c r="G19" s="255"/>
      <c r="H19" s="255"/>
      <c r="I19" s="255"/>
      <c r="J19" s="255"/>
      <c r="K19" s="255"/>
      <c r="L19" s="255"/>
      <c r="P19" s="257" t="s">
        <v>124</v>
      </c>
      <c r="Q19" s="257"/>
      <c r="R19" s="257"/>
      <c r="S19" s="257"/>
      <c r="T19" s="257"/>
      <c r="U19" s="257"/>
      <c r="V19" s="257"/>
      <c r="W19" s="257"/>
      <c r="X19" s="257"/>
      <c r="Y19" s="257"/>
      <c r="Z19" s="257"/>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Q4 2024</v>
      </c>
      <c r="Q20" s="12" t="str">
        <f t="shared" si="10"/>
        <v>Q1 2025</v>
      </c>
      <c r="R20" s="12" t="str">
        <f t="shared" si="10"/>
        <v>Q2 2025</v>
      </c>
      <c r="S20" s="12" t="str">
        <f t="shared" si="10"/>
        <v>Q3 2025</v>
      </c>
      <c r="T20" s="12" t="str">
        <f t="shared" si="10"/>
        <v>Q4 2025</v>
      </c>
      <c r="U20" s="12" t="str">
        <f t="shared" si="10"/>
        <v>Q1 2026</v>
      </c>
      <c r="V20" s="12" t="str">
        <f t="shared" si="10"/>
        <v>Q2 2026</v>
      </c>
      <c r="W20" s="12" t="str">
        <f t="shared" si="10"/>
        <v>Q3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0.61999999999999988</v>
      </c>
      <c r="I21" s="95">
        <f t="shared" ref="I21:L21" si="12">I11/I$6</f>
        <v>0.62000000000000011</v>
      </c>
      <c r="J21" s="95">
        <f t="shared" si="12"/>
        <v>0.59</v>
      </c>
      <c r="K21" s="95">
        <f t="shared" si="12"/>
        <v>0.59</v>
      </c>
      <c r="L21" s="95">
        <f t="shared" si="12"/>
        <v>0.58000000000000007</v>
      </c>
      <c r="O21" s="16" t="str">
        <f>O11</f>
        <v>COGS</v>
      </c>
      <c r="P21" s="103">
        <f t="shared" ref="P21:W21" si="13">P11/P$6</f>
        <v>0.62915601023017897</v>
      </c>
      <c r="Q21" s="103">
        <f t="shared" si="13"/>
        <v>0.66306483300589392</v>
      </c>
      <c r="R21" s="103">
        <f t="shared" si="13"/>
        <v>0.66034874905231233</v>
      </c>
      <c r="S21" s="103">
        <f t="shared" si="13"/>
        <v>0.62219730941704032</v>
      </c>
      <c r="T21" s="103">
        <f t="shared" si="13"/>
        <v>0.61076388888888888</v>
      </c>
      <c r="U21" s="103">
        <f t="shared" si="13"/>
        <v>0.62264150943396224</v>
      </c>
      <c r="V21" s="103">
        <f t="shared" si="13"/>
        <v>0.62278558338423951</v>
      </c>
      <c r="W21" s="104">
        <f t="shared" si="13"/>
        <v>0.61897031539888681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0.52173913043478259</v>
      </c>
      <c r="Q22" s="95">
        <f t="shared" ref="Q22:W22" si="16">Q12/Q$6</f>
        <v>0.5461689587426326</v>
      </c>
      <c r="R22" s="95">
        <f t="shared" si="16"/>
        <v>0.55724033358605007</v>
      </c>
      <c r="S22" s="95">
        <f t="shared" si="16"/>
        <v>0.52242152466367708</v>
      </c>
      <c r="T22" s="95">
        <f t="shared" si="16"/>
        <v>0.50902777777777775</v>
      </c>
      <c r="U22" s="95">
        <f t="shared" si="16"/>
        <v>0.50867924528301889</v>
      </c>
      <c r="V22" s="95">
        <f t="shared" si="16"/>
        <v>0.50946854001221742</v>
      </c>
      <c r="W22" s="96">
        <f t="shared" si="16"/>
        <v>0.53153988868274582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0.10741687979539642</v>
      </c>
      <c r="Q23" s="95">
        <f t="shared" si="18"/>
        <v>0.11640471512770137</v>
      </c>
      <c r="R23" s="95">
        <f t="shared" si="18"/>
        <v>0.10272934040940106</v>
      </c>
      <c r="S23" s="95">
        <f t="shared" si="18"/>
        <v>9.9775784753363225E-2</v>
      </c>
      <c r="T23" s="95">
        <f t="shared" si="18"/>
        <v>0.10138888888888889</v>
      </c>
      <c r="U23" s="95">
        <f t="shared" si="18"/>
        <v>0.11358490566037736</v>
      </c>
      <c r="V23" s="95">
        <f t="shared" si="18"/>
        <v>0.11362248014660965</v>
      </c>
      <c r="W23" s="96">
        <f t="shared" si="18"/>
        <v>8.7662337662337664E-2</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0.15430520034100598</v>
      </c>
      <c r="Q24" s="95">
        <f t="shared" si="20"/>
        <v>0.16994106090373282</v>
      </c>
      <c r="R24" s="95">
        <f t="shared" si="20"/>
        <v>0.15011372251705837</v>
      </c>
      <c r="S24" s="95">
        <f t="shared" si="20"/>
        <v>0.1547085201793722</v>
      </c>
      <c r="T24" s="95">
        <f t="shared" si="20"/>
        <v>0.16041666666666668</v>
      </c>
      <c r="U24" s="95">
        <f t="shared" si="20"/>
        <v>0.17245283018867924</v>
      </c>
      <c r="V24" s="95">
        <f t="shared" si="20"/>
        <v>0.15088576664630421</v>
      </c>
      <c r="W24" s="96">
        <f t="shared" si="20"/>
        <v>0.12917439703153988</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2.0034100596760442E-2</v>
      </c>
      <c r="Q25" s="95">
        <f t="shared" si="20"/>
        <v>2.2593320235756387E-2</v>
      </c>
      <c r="R25" s="95">
        <f t="shared" si="20"/>
        <v>1.7816527672479151E-2</v>
      </c>
      <c r="S25" s="95">
        <f t="shared" si="20"/>
        <v>1.7937219730941704E-2</v>
      </c>
      <c r="T25" s="95">
        <f t="shared" si="20"/>
        <v>2.0486111111111111E-2</v>
      </c>
      <c r="U25" s="95">
        <f t="shared" si="20"/>
        <v>2.9433962264150942E-2</v>
      </c>
      <c r="V25" s="95">
        <f t="shared" si="20"/>
        <v>2.2602321319486866E-2</v>
      </c>
      <c r="W25" s="96">
        <f t="shared" si="20"/>
        <v>1.5074211502782932E-2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0.17</v>
      </c>
      <c r="I26" s="103">
        <f t="shared" si="22"/>
        <v>0.16</v>
      </c>
      <c r="J26" s="103">
        <f t="shared" si="22"/>
        <v>0.16000000000000003</v>
      </c>
      <c r="K26" s="103">
        <f t="shared" si="22"/>
        <v>0.16000000000000003</v>
      </c>
      <c r="L26" s="103">
        <f t="shared" si="22"/>
        <v>0.16</v>
      </c>
      <c r="O26" s="16" t="str">
        <f t="shared" ref="O26" si="23">O16</f>
        <v>OpEx</v>
      </c>
      <c r="P26" s="103">
        <f t="shared" ref="P26:V26" si="24">P16/P$6</f>
        <v>0.17604433077578857</v>
      </c>
      <c r="Q26" s="103">
        <f t="shared" si="24"/>
        <v>0.19400785854616895</v>
      </c>
      <c r="R26" s="103">
        <f t="shared" si="24"/>
        <v>0.17210007581501138</v>
      </c>
      <c r="S26" s="103">
        <f t="shared" si="24"/>
        <v>0.18460388639760836</v>
      </c>
      <c r="T26" s="103">
        <f t="shared" si="24"/>
        <v>0.18784722222222222</v>
      </c>
      <c r="U26" s="103">
        <f t="shared" si="24"/>
        <v>0.21132075471698114</v>
      </c>
      <c r="V26" s="103">
        <f t="shared" si="24"/>
        <v>0.18356750152718387</v>
      </c>
      <c r="W26" s="104">
        <f t="shared" ref="W26:X26" si="25">W16/W$6</f>
        <v>0.15282931354359927</v>
      </c>
      <c r="X26" s="103">
        <f t="shared" si="25"/>
        <v>0.16</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J43" sqref="J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9" t="s">
        <v>109</v>
      </c>
      <c r="D3" s="249"/>
      <c r="E3" s="249"/>
      <c r="F3" s="249"/>
      <c r="G3" s="258"/>
      <c r="H3" s="259" t="s">
        <v>110</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112</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14840.4</v>
      </c>
      <c r="I7" s="92">
        <f>Revenue!I8</f>
        <v>20311.472299999998</v>
      </c>
      <c r="J7" s="92">
        <f>Revenue!J8</f>
        <v>25960.632845</v>
      </c>
      <c r="K7" s="92">
        <f>Revenue!K8</f>
        <v>32007.990848400001</v>
      </c>
      <c r="L7" s="92">
        <f>Revenue!L8</f>
        <v>36542.146888771997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9201.0479999999989</v>
      </c>
      <c r="I8" s="112">
        <f>'COGS &amp; OpEx'!I11</f>
        <v>12593.112826</v>
      </c>
      <c r="J8" s="112">
        <f>'COGS &amp; OpEx'!J11</f>
        <v>15316.77337855</v>
      </c>
      <c r="K8" s="112">
        <f>'COGS &amp; OpEx'!K11</f>
        <v>18884.714600555999</v>
      </c>
      <c r="L8" s="112">
        <f>'COGS &amp; OpEx'!L11</f>
        <v>21194.445195487759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5" t="s">
        <v>128</v>
      </c>
      <c r="D11" s="255"/>
      <c r="E11" s="255"/>
      <c r="F11" s="255"/>
      <c r="G11" s="255"/>
      <c r="H11" s="255"/>
      <c r="I11" s="255"/>
      <c r="J11" s="255"/>
      <c r="K11" s="255"/>
      <c r="L11" s="255"/>
      <c r="N11" s="91"/>
      <c r="P11" s="260"/>
      <c r="Q11" s="260"/>
      <c r="R11" s="260"/>
      <c r="S11" s="260"/>
      <c r="T11" s="260"/>
      <c r="U11" s="260"/>
      <c r="V11" s="260"/>
      <c r="W11" s="260"/>
      <c r="X11" s="260"/>
      <c r="Y11" s="260"/>
      <c r="Z11" s="260"/>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4675.7424657534248</v>
      </c>
      <c r="I13" s="25">
        <f>I20*I7/365</f>
        <v>6399.5049712328764</v>
      </c>
      <c r="J13" s="25">
        <f>J20*J7/365</f>
        <v>8179.3774717123288</v>
      </c>
      <c r="K13" s="25">
        <f>K20*K7/365</f>
        <v>10084.709445386303</v>
      </c>
      <c r="L13" s="25">
        <f>L20*L7/365</f>
        <v>11513.279156736382</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2520.8350684931506</v>
      </c>
      <c r="I14" s="126">
        <f t="shared" ref="I14:L14" si="2">I21*I8/365</f>
        <v>3450.1678975342465</v>
      </c>
      <c r="J14" s="126">
        <f t="shared" si="2"/>
        <v>4196.3762680958907</v>
      </c>
      <c r="K14" s="126">
        <f t="shared" si="2"/>
        <v>5173.8944111112323</v>
      </c>
      <c r="L14" s="126">
        <f t="shared" si="2"/>
        <v>5806.6973138322619</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3025.0020821917801</v>
      </c>
      <c r="I15" s="24">
        <f>I22*I8/365</f>
        <v>4140.201477041096</v>
      </c>
      <c r="J15" s="24">
        <f>J22*J8/365</f>
        <v>5035.6515217150691</v>
      </c>
      <c r="K15" s="24">
        <f>K22*K8/365</f>
        <v>6208.6732933334788</v>
      </c>
      <c r="L15" s="24">
        <f>L22*L8/365</f>
        <v>6968.0367765987148</v>
      </c>
      <c r="N15" s="91"/>
      <c r="P15" s="117"/>
      <c r="Q15" s="117"/>
      <c r="R15" s="117"/>
      <c r="S15" s="117"/>
      <c r="T15" s="117"/>
      <c r="U15" s="117"/>
      <c r="V15" s="117"/>
      <c r="W15" s="117"/>
      <c r="X15" s="25"/>
      <c r="Y15" s="24"/>
      <c r="Z15" s="24"/>
      <c r="AB15" s="24"/>
    </row>
    <row r="16" spans="1:28" x14ac:dyDescent="0.2">
      <c r="D16" s="24"/>
    </row>
    <row r="18" spans="2:12" x14ac:dyDescent="0.2">
      <c r="C18" s="255" t="s">
        <v>133</v>
      </c>
      <c r="D18" s="255"/>
      <c r="E18" s="255"/>
      <c r="F18" s="255"/>
      <c r="G18" s="255"/>
      <c r="H18" s="255"/>
      <c r="I18" s="255"/>
      <c r="J18" s="255"/>
      <c r="K18" s="255"/>
      <c r="L18" s="255"/>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60"/>
      <c r="C25" s="260"/>
    </row>
    <row r="26" spans="2:12" x14ac:dyDescent="0.2">
      <c r="B26" s="109"/>
      <c r="C26" s="255" t="s">
        <v>139</v>
      </c>
      <c r="D26" s="255"/>
      <c r="E26" s="255"/>
      <c r="F26" s="255"/>
      <c r="G26" s="255"/>
      <c r="H26" s="255"/>
      <c r="I26" s="255"/>
      <c r="J26" s="255"/>
      <c r="K26" s="255"/>
      <c r="L26" s="255"/>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-1566.7424657534248</v>
      </c>
      <c r="I28" s="126">
        <f t="shared" ref="I28:L29" si="7">-(I13-H13)</f>
        <v>-1723.7625054794516</v>
      </c>
      <c r="J28" s="126">
        <f t="shared" si="7"/>
        <v>-1779.8725004794524</v>
      </c>
      <c r="K28" s="126">
        <f t="shared" si="7"/>
        <v>-1905.3319736739741</v>
      </c>
      <c r="L28" s="126">
        <f t="shared" si="7"/>
        <v>-1428.5697113500792</v>
      </c>
    </row>
    <row r="29" spans="2:12" x14ac:dyDescent="0.2">
      <c r="B29" s="1" t="s">
        <v>141</v>
      </c>
      <c r="C29" s="114">
        <f>Statement!M55</f>
        <v>-126</v>
      </c>
      <c r="D29" s="114">
        <f>Statement!N55</f>
        <v>-211</v>
      </c>
      <c r="E29" s="114">
        <f>Statement!O55</f>
        <v>-54</v>
      </c>
      <c r="F29" s="114">
        <f>Statement!P55</f>
        <v>-369</v>
      </c>
      <c r="G29" s="115">
        <f>Statement!Q55</f>
        <v>-165</v>
      </c>
      <c r="H29" s="126">
        <f>-(H14-G14)</f>
        <v>-1063.8350684931506</v>
      </c>
      <c r="I29" s="126">
        <f t="shared" si="7"/>
        <v>-929.33282904109592</v>
      </c>
      <c r="J29" s="126">
        <f t="shared" si="7"/>
        <v>-746.20837056164419</v>
      </c>
      <c r="K29" s="126">
        <f t="shared" si="7"/>
        <v>-977.51814301534159</v>
      </c>
      <c r="L29" s="126">
        <f t="shared" si="7"/>
        <v>-632.80290272102957</v>
      </c>
    </row>
    <row r="30" spans="2:12" x14ac:dyDescent="0.2">
      <c r="B30" s="1" t="s">
        <v>142</v>
      </c>
      <c r="C30" s="114">
        <f>Statement!M56</f>
        <v>105</v>
      </c>
      <c r="D30" s="114">
        <f>Statement!N56</f>
        <v>133</v>
      </c>
      <c r="E30" s="114">
        <f>Statement!O56</f>
        <v>-18</v>
      </c>
      <c r="F30" s="114">
        <f>Statement!P56</f>
        <v>343</v>
      </c>
      <c r="G30" s="115">
        <f>Statement!Q56</f>
        <v>381</v>
      </c>
      <c r="H30" s="64">
        <f>H15-G15</f>
        <v>1269.0020821917801</v>
      </c>
      <c r="I30" s="64">
        <f t="shared" ref="I30:L30" si="8">I15-H15</f>
        <v>1115.1993948493159</v>
      </c>
      <c r="J30" s="64">
        <f t="shared" si="8"/>
        <v>895.45004467397303</v>
      </c>
      <c r="K30" s="64">
        <f t="shared" si="8"/>
        <v>1173.0217716184097</v>
      </c>
      <c r="L30" s="64">
        <f t="shared" si="8"/>
        <v>759.36348326523603</v>
      </c>
    </row>
    <row r="31" spans="2:12" x14ac:dyDescent="0.2">
      <c r="B31" s="109"/>
      <c r="C31" s="109"/>
    </row>
    <row r="32" spans="2:12" x14ac:dyDescent="0.2">
      <c r="B32" s="109"/>
      <c r="C32" s="109"/>
    </row>
    <row r="33" spans="2:12" x14ac:dyDescent="0.2">
      <c r="B33" s="109"/>
      <c r="C33" s="255" t="s">
        <v>143</v>
      </c>
      <c r="D33" s="255"/>
      <c r="E33" s="255"/>
      <c r="F33" s="255"/>
      <c r="G33" s="255"/>
      <c r="H33" s="255"/>
      <c r="I33" s="255"/>
      <c r="J33" s="255"/>
      <c r="K33" s="255"/>
      <c r="L33" s="255"/>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-322.7474520547953</v>
      </c>
      <c r="I35" s="126">
        <f t="shared" ref="I35:L35" si="10">I36+I28+I29+I30</f>
        <v>-116.09287867123157</v>
      </c>
      <c r="J35" s="126">
        <f t="shared" si="10"/>
        <v>186.61347278287667</v>
      </c>
      <c r="K35" s="126">
        <f t="shared" si="10"/>
        <v>210.65110583309411</v>
      </c>
      <c r="L35" s="126">
        <f t="shared" si="10"/>
        <v>890.51968252044708</v>
      </c>
    </row>
    <row r="36" spans="2:12" x14ac:dyDescent="0.2">
      <c r="B36" s="1" t="s">
        <v>145</v>
      </c>
      <c r="C36" s="120">
        <f>C35-C28-C29-C30</f>
        <v>5</v>
      </c>
      <c r="D36" s="120">
        <f t="shared" ref="D36:G36" si="11">D35-D28-D29-D30</f>
        <v>5</v>
      </c>
      <c r="E36" s="120">
        <f t="shared" si="11"/>
        <v>416</v>
      </c>
      <c r="F36" s="120">
        <f t="shared" si="11"/>
        <v>421</v>
      </c>
      <c r="G36" s="121">
        <f t="shared" si="11"/>
        <v>671</v>
      </c>
      <c r="H36" s="64">
        <f>H7*H37</f>
        <v>1038.828</v>
      </c>
      <c r="I36" s="64">
        <f>I7*I37</f>
        <v>1421.8030610000001</v>
      </c>
      <c r="J36" s="64">
        <f>J7*J37</f>
        <v>1817.2442991500002</v>
      </c>
      <c r="K36" s="64">
        <f>K7*K37</f>
        <v>1920.479450904</v>
      </c>
      <c r="L36" s="64">
        <f>L7*L37</f>
        <v>2192.5288133263198</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55" t="s">
        <v>146</v>
      </c>
      <c r="D40" s="255"/>
      <c r="E40" s="255"/>
      <c r="F40" s="255"/>
      <c r="G40" s="255"/>
      <c r="H40" s="255"/>
      <c r="I40" s="255"/>
      <c r="J40" s="255"/>
      <c r="K40" s="255"/>
      <c r="L40" s="255"/>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445.21199999999999</v>
      </c>
      <c r="I42" s="25">
        <f>I7*I43</f>
        <v>609.34416899999985</v>
      </c>
      <c r="J42" s="25">
        <f>J7*J43</f>
        <v>752.85835250500008</v>
      </c>
      <c r="K42" s="25">
        <f>K7*K43</f>
        <v>896.22374375520008</v>
      </c>
      <c r="L42" s="25">
        <f>L7*L43</f>
        <v>986.63796599684395</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0.03</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0.74999999999999989</v>
      </c>
      <c r="J44" s="123">
        <f t="shared" si="13"/>
        <v>0.9666666666666669</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593.61599999999999</v>
      </c>
      <c r="I45" s="25">
        <f>I7*I46</f>
        <v>812.45889199999988</v>
      </c>
      <c r="J45" s="25">
        <f>J7*J46</f>
        <v>778.81898534999993</v>
      </c>
      <c r="K45" s="25">
        <f>K7*K46</f>
        <v>768.19178036160008</v>
      </c>
      <c r="L45" s="25">
        <f>L7*L46</f>
        <v>840.46937844175591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0.04</v>
      </c>
      <c r="J46" s="97">
        <v>0.03</v>
      </c>
      <c r="K46" s="97">
        <v>2.4E-2</v>
      </c>
      <c r="L46" s="97">
        <v>2.3E-2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4" zoomScale="183" workbookViewId="0">
      <selection activeCell="H10" sqref="H1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9" t="s">
        <v>109</v>
      </c>
      <c r="D2" s="249"/>
      <c r="E2" s="249"/>
      <c r="F2" s="249"/>
      <c r="G2" s="258"/>
      <c r="H2" s="259" t="s">
        <v>110</v>
      </c>
      <c r="I2" s="249"/>
      <c r="J2" s="249"/>
      <c r="K2" s="249"/>
      <c r="L2" s="249"/>
      <c r="S2" s="260"/>
      <c r="T2" s="260"/>
      <c r="U2" s="260"/>
      <c r="V2" s="260"/>
      <c r="W2" s="260"/>
      <c r="X2" s="260"/>
      <c r="Y2" s="260"/>
      <c r="Z2" s="260"/>
      <c r="AA2" s="260"/>
      <c r="AB2" s="260"/>
      <c r="AC2" s="260"/>
      <c r="AE2" s="109"/>
    </row>
    <row r="3" spans="1:31" ht="10" customHeight="1" x14ac:dyDescent="0.2"/>
    <row r="4" spans="1:31" ht="16" customHeight="1" x14ac:dyDescent="0.2">
      <c r="A4" s="86"/>
      <c r="B4" s="60"/>
      <c r="C4" s="255" t="s">
        <v>18</v>
      </c>
      <c r="D4" s="255"/>
      <c r="E4" s="255"/>
      <c r="F4" s="255"/>
      <c r="G4" s="255"/>
      <c r="H4" s="255"/>
      <c r="I4" s="255"/>
      <c r="J4" s="255"/>
      <c r="K4" s="255"/>
      <c r="L4" s="255"/>
      <c r="S4" s="260"/>
      <c r="T4" s="260"/>
      <c r="U4" s="260"/>
      <c r="V4" s="260"/>
      <c r="W4" s="260"/>
      <c r="X4" s="260"/>
      <c r="Y4" s="260"/>
      <c r="Z4" s="260"/>
      <c r="AA4" s="260"/>
      <c r="AB4" s="260"/>
      <c r="AC4" s="260"/>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14840.4</v>
      </c>
      <c r="I6" s="92">
        <f>Revenue!I8</f>
        <v>20311.472299999998</v>
      </c>
      <c r="J6" s="92">
        <f>Revenue!J8</f>
        <v>25960.632845</v>
      </c>
      <c r="K6" s="92">
        <f>Revenue!K8</f>
        <v>32007.990848400001</v>
      </c>
      <c r="L6" s="92">
        <f>Revenue!L8</f>
        <v>36542.146888771997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9201.0479999999989</v>
      </c>
      <c r="I7" s="112">
        <f>'COGS &amp; OpEx'!I11</f>
        <v>12593.112826</v>
      </c>
      <c r="J7" s="112">
        <f>'COGS &amp; OpEx'!J11</f>
        <v>15316.77337855</v>
      </c>
      <c r="K7" s="112">
        <f>'COGS &amp; OpEx'!K11</f>
        <v>18884.714600555999</v>
      </c>
      <c r="L7" s="112">
        <f>'COGS &amp; OpEx'!L11</f>
        <v>21194.445195487759</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5639.3520000000008</v>
      </c>
      <c r="I8" s="94">
        <f t="shared" si="1"/>
        <v>7718.3594739999971</v>
      </c>
      <c r="J8" s="94">
        <f t="shared" si="1"/>
        <v>10643.85946645</v>
      </c>
      <c r="K8" s="94">
        <f t="shared" si="1"/>
        <v>13123.276247844002</v>
      </c>
      <c r="L8" s="94">
        <f t="shared" si="1"/>
        <v>15347.701693284238</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2522.8679999999999</v>
      </c>
      <c r="I9" s="112">
        <f>'COGS &amp; OpEx'!I16</f>
        <v>3249.835568</v>
      </c>
      <c r="J9" s="112">
        <f>'COGS &amp; OpEx'!J16</f>
        <v>4153.7012552000006</v>
      </c>
      <c r="K9" s="112">
        <f>'COGS &amp; OpEx'!K16</f>
        <v>5121.2785357440007</v>
      </c>
      <c r="L9" s="112">
        <f>'COGS &amp; OpEx'!L16</f>
        <v>5846.7435022035197</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3116.4840000000008</v>
      </c>
      <c r="I10" s="94">
        <f t="shared" si="2"/>
        <v>4468.5239059999967</v>
      </c>
      <c r="J10" s="94">
        <f t="shared" si="2"/>
        <v>6490.1582112499991</v>
      </c>
      <c r="K10" s="94">
        <f t="shared" si="2"/>
        <v>8001.9977121000011</v>
      </c>
      <c r="L10" s="94">
        <f t="shared" si="2"/>
        <v>9500.9581910807174</v>
      </c>
      <c r="N10" s="90"/>
      <c r="Q10" s="90"/>
      <c r="S10" s="88"/>
      <c r="T10" s="88"/>
      <c r="U10" s="88"/>
      <c r="V10" s="88"/>
      <c r="W10" s="88"/>
      <c r="X10" s="88"/>
      <c r="Y10" s="88"/>
      <c r="Z10" s="88"/>
      <c r="AA10" s="64"/>
      <c r="AB10" s="64"/>
      <c r="AC10" s="64"/>
      <c r="AE10" s="64"/>
    </row>
    <row r="13" spans="1:31" x14ac:dyDescent="0.2">
      <c r="C13" s="255" t="s">
        <v>154</v>
      </c>
      <c r="D13" s="255"/>
      <c r="E13" s="255"/>
      <c r="F13" s="255"/>
      <c r="G13" s="255"/>
      <c r="H13" s="255"/>
      <c r="I13" s="255"/>
      <c r="J13" s="255"/>
      <c r="K13" s="255"/>
      <c r="L13" s="25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55" t="s">
        <v>155</v>
      </c>
      <c r="D18" s="255"/>
      <c r="E18" s="255"/>
      <c r="F18" s="255"/>
      <c r="G18" s="255"/>
      <c r="H18" s="255"/>
      <c r="I18" s="255"/>
      <c r="J18" s="255"/>
      <c r="K18" s="255"/>
      <c r="L18" s="255"/>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445.21199999999999</v>
      </c>
      <c r="I20" s="88">
        <f>'WC &amp; Investments'!I42</f>
        <v>609.34416899999985</v>
      </c>
      <c r="J20" s="88">
        <f>'WC &amp; Investments'!J42</f>
        <v>752.85835250500008</v>
      </c>
      <c r="K20" s="88">
        <f>'WC &amp; Investments'!K42</f>
        <v>896.22374375520008</v>
      </c>
      <c r="L20" s="88">
        <f>'WC &amp; Investments'!L42</f>
        <v>986.63796599684395</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593.61599999999999</v>
      </c>
      <c r="I21" s="88">
        <f>'WC &amp; Investments'!I45</f>
        <v>812.45889199999988</v>
      </c>
      <c r="J21" s="88">
        <f>'WC &amp; Investments'!J45</f>
        <v>778.81898534999993</v>
      </c>
      <c r="K21" s="88">
        <f>'WC &amp; Investments'!K45</f>
        <v>768.19178036160008</v>
      </c>
      <c r="L21" s="88">
        <f>'WC &amp; Investments'!L45</f>
        <v>840.46937844175591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-322.7474520547953</v>
      </c>
      <c r="I22" s="88">
        <f>'WC &amp; Investments'!I35</f>
        <v>-116.09287867123157</v>
      </c>
      <c r="J22" s="88">
        <f>'WC &amp; Investments'!J35</f>
        <v>186.61347278287667</v>
      </c>
      <c r="K22" s="88">
        <f>'WC &amp; Investments'!K35</f>
        <v>210.65110583309411</v>
      </c>
      <c r="L22" s="88">
        <f>'WC &amp; Investments'!L35</f>
        <v>890.51968252044708</v>
      </c>
      <c r="N22" s="1" t="s">
        <v>156</v>
      </c>
    </row>
    <row r="25" spans="2:14" x14ac:dyDescent="0.2">
      <c r="C25" s="255" t="s">
        <v>255</v>
      </c>
      <c r="D25" s="255"/>
      <c r="E25" s="255"/>
      <c r="F25" s="255"/>
      <c r="G25" s="255"/>
      <c r="H25" s="255"/>
      <c r="I25" s="255"/>
      <c r="J25" s="255"/>
      <c r="K25" s="255"/>
      <c r="L25" s="255"/>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2462.0223600000008</v>
      </c>
      <c r="I27" s="126">
        <f t="shared" si="6"/>
        <v>3530.1338857399974</v>
      </c>
      <c r="J27" s="126">
        <f t="shared" si="6"/>
        <v>5127.2249868874997</v>
      </c>
      <c r="K27" s="126">
        <f t="shared" si="6"/>
        <v>6321.5781925590009</v>
      </c>
      <c r="L27" s="126">
        <f t="shared" si="6"/>
        <v>7505.7569709537674</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1990.8709079452055</v>
      </c>
      <c r="I28" s="94">
        <f t="shared" si="7"/>
        <v>3210.9262840687657</v>
      </c>
      <c r="J28" s="94">
        <f t="shared" si="7"/>
        <v>5287.8778268253764</v>
      </c>
      <c r="K28" s="94">
        <f t="shared" si="7"/>
        <v>6660.2612617856958</v>
      </c>
      <c r="L28" s="94">
        <f t="shared" si="7"/>
        <v>8542.4452410293034</v>
      </c>
    </row>
    <row r="31" spans="2:14" x14ac:dyDescent="0.2">
      <c r="C31" s="255" t="s">
        <v>74</v>
      </c>
      <c r="D31" s="255"/>
      <c r="E31" s="255"/>
      <c r="F31" s="255"/>
      <c r="G31" s="255"/>
      <c r="H31" s="255"/>
      <c r="I31" s="255"/>
      <c r="J31" s="255"/>
      <c r="K31" s="255"/>
      <c r="L31" s="255"/>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0.38000000000000006</v>
      </c>
      <c r="I33" s="210">
        <f t="shared" ref="I33:L33" si="9">I8/I6</f>
        <v>0.37999999999999989</v>
      </c>
      <c r="J33" s="210">
        <f t="shared" si="9"/>
        <v>0.41</v>
      </c>
      <c r="K33" s="210">
        <f t="shared" si="9"/>
        <v>0.41000000000000003</v>
      </c>
      <c r="L33" s="210">
        <f t="shared" si="9"/>
        <v>0.42</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0.21000000000000005</v>
      </c>
      <c r="I34" s="210">
        <f t="shared" ref="I34:L34" si="10">I10/I6</f>
        <v>0.21999999999999986</v>
      </c>
      <c r="J34" s="210">
        <f t="shared" si="10"/>
        <v>0.24999999999999997</v>
      </c>
      <c r="K34" s="210">
        <f t="shared" si="10"/>
        <v>0.25000000000000006</v>
      </c>
      <c r="L34" s="210">
        <f t="shared" si="10"/>
        <v>0.25999999999999995</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83203125" style="1" customWidth="1"/>
    <col min="9" max="16384" width="10.83203125" style="1"/>
  </cols>
  <sheetData>
    <row r="5" spans="2:8" x14ac:dyDescent="0.2">
      <c r="H5" s="132" t="s">
        <v>406</v>
      </c>
    </row>
    <row r="6" spans="2:8" x14ac:dyDescent="0.2">
      <c r="H6" s="241" t="s">
        <v>411</v>
      </c>
    </row>
    <row r="7" spans="2:8" x14ac:dyDescent="0.2">
      <c r="H7" s="241" t="s">
        <v>407</v>
      </c>
    </row>
    <row r="8" spans="2:8" x14ac:dyDescent="0.2">
      <c r="H8" s="241" t="s">
        <v>408</v>
      </c>
    </row>
    <row r="9" spans="2:8" x14ac:dyDescent="0.2">
      <c r="H9" s="241" t="s">
        <v>409</v>
      </c>
    </row>
    <row r="10" spans="2:8" x14ac:dyDescent="0.2">
      <c r="H10" s="242" t="s">
        <v>410</v>
      </c>
    </row>
    <row r="13" spans="2:8" s="4" customFormat="1" ht="49" x14ac:dyDescent="0.2">
      <c r="B13" s="3" t="s">
        <v>160</v>
      </c>
    </row>
  </sheetData>
  <hyperlinks>
    <hyperlink ref="H6" location="Overview!B3" display="Overview'!B3" xr:uid="{015C8B52-1C0C-DB42-8BAA-0C0382212135}"/>
    <hyperlink ref="H8" location="'Analysis -&gt;'!B13" display="'Analysis -&gt;'!B13" xr:uid="{BFD7282A-5263-9F45-9A26-534106C9377D}"/>
    <hyperlink ref="H9" location="'Forecast -&gt;'!B13" display="'Forecast -&gt;'!B13" xr:uid="{90BAE1C4-C36D-554D-9516-059B8AEC76C2}"/>
    <hyperlink ref="H10" location="'Valuation -&gt;'!B13" display="'Valuation -&gt;'!B13" xr:uid="{686F9DB5-AAAB-C241-9905-3694B99C7DA1}"/>
    <hyperlink ref="H7" location="'Financials -&gt;'!B13" display="'Financials -&gt;'!B13" xr:uid="{36547003-7E4B-EA47-9462-9D97554A9D6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9" t="s">
        <v>162</v>
      </c>
      <c r="C4" s="249"/>
    </row>
    <row r="5" spans="1:3" ht="17" customHeight="1" x14ac:dyDescent="0.2">
      <c r="B5" s="1" t="s">
        <v>163</v>
      </c>
      <c r="C5" s="136">
        <f>Statement!AC77</f>
        <v>393</v>
      </c>
    </row>
    <row r="6" spans="1:3" ht="17" customHeight="1" x14ac:dyDescent="0.2">
      <c r="B6" s="1" t="s">
        <v>1</v>
      </c>
      <c r="C6" s="133">
        <f ca="1">Overview!C5</f>
        <v>240.98</v>
      </c>
    </row>
    <row r="7" spans="1:3" ht="17" customHeight="1" x14ac:dyDescent="0.2">
      <c r="B7" s="1" t="s">
        <v>164</v>
      </c>
      <c r="C7" s="134">
        <f ca="1">C5*C6</f>
        <v>94705.14</v>
      </c>
    </row>
    <row r="8" spans="1:3" ht="17" customHeight="1" x14ac:dyDescent="0.2">
      <c r="B8" s="1" t="s">
        <v>165</v>
      </c>
      <c r="C8" s="112">
        <f>Statement!AC106</f>
        <v>2928</v>
      </c>
    </row>
    <row r="9" spans="1:3" ht="17" customHeight="1" x14ac:dyDescent="0.2">
      <c r="B9" s="1" t="s">
        <v>166</v>
      </c>
      <c r="C9" s="135">
        <f ca="1">Overview!F27</f>
        <v>4.9930000000000002E-2</v>
      </c>
    </row>
    <row r="10" spans="1:3" ht="17" customHeight="1" x14ac:dyDescent="0.2">
      <c r="B10" s="1" t="s">
        <v>9</v>
      </c>
      <c r="C10" s="133">
        <f ca="1">Overview!C13</f>
        <v>2.1038999999999999</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0.06</v>
      </c>
    </row>
    <row r="14" spans="1:3" ht="17" customHeight="1" x14ac:dyDescent="0.2"/>
    <row r="15" spans="1:3" ht="17" customHeight="1" x14ac:dyDescent="0.2">
      <c r="B15" s="249" t="s">
        <v>169</v>
      </c>
      <c r="C15" s="249"/>
    </row>
    <row r="16" spans="1:3" ht="17" customHeight="1" x14ac:dyDescent="0.2">
      <c r="B16" s="1" t="s">
        <v>170</v>
      </c>
      <c r="C16" s="46">
        <f ca="1">C8/(C8+C7)</f>
        <v>2.9989816982225501E-2</v>
      </c>
    </row>
    <row r="17" spans="2:3" ht="17" customHeight="1" x14ac:dyDescent="0.2">
      <c r="B17" s="1" t="s">
        <v>171</v>
      </c>
      <c r="C17" s="46">
        <f ca="1">C7/(C8+C7)</f>
        <v>0.97001018301777453</v>
      </c>
    </row>
    <row r="18" spans="2:3" ht="17" customHeight="1" x14ac:dyDescent="0.2">
      <c r="B18" s="1" t="s">
        <v>172</v>
      </c>
      <c r="C18" s="46">
        <f>C13*(1-C12)</f>
        <v>4.7399999999999998E-2</v>
      </c>
    </row>
    <row r="19" spans="2:3" ht="17" customHeight="1" x14ac:dyDescent="0.2">
      <c r="B19" s="1" t="s">
        <v>173</v>
      </c>
      <c r="C19" s="46">
        <f ca="1">C9+C10*C11</f>
        <v>0.1446055</v>
      </c>
    </row>
    <row r="20" spans="2:3" ht="17" customHeight="1" x14ac:dyDescent="0.2">
      <c r="B20" s="1" t="s">
        <v>161</v>
      </c>
      <c r="C20" s="46">
        <f ca="1">(C17*C19)+(C16*C18)</f>
        <v>0.14169032484533428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213" zoomScaleNormal="121" workbookViewId="0">
      <selection activeCell="C21" sqref="C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9" t="s">
        <v>109</v>
      </c>
      <c r="D3" s="249"/>
      <c r="E3" s="249"/>
      <c r="F3" s="249"/>
      <c r="G3" s="258"/>
      <c r="H3" s="259" t="s">
        <v>110</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176</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1990.8709079452055</v>
      </c>
      <c r="I7" s="112">
        <f>'FCF &amp; Other'!I28</f>
        <v>3210.9262840687657</v>
      </c>
      <c r="J7" s="112">
        <f>'FCF &amp; Other'!J28</f>
        <v>5287.8778268253764</v>
      </c>
      <c r="K7" s="112">
        <f>'FCF &amp; Other'!K28</f>
        <v>6660.2612617856958</v>
      </c>
      <c r="L7" s="112">
        <f>'FCF &amp; Other'!L28</f>
        <v>8542.4452410293034</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87132.941458498899</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1777.563310665362</v>
      </c>
      <c r="I10" s="126">
        <f t="shared" ref="I10:L10" si="0">I7/(1+$C$15)^I9</f>
        <v>2559.7307749272682</v>
      </c>
      <c r="J10" s="126">
        <f t="shared" si="0"/>
        <v>3763.8069899848069</v>
      </c>
      <c r="K10" s="126">
        <f t="shared" si="0"/>
        <v>4232.7164387641815</v>
      </c>
      <c r="L10" s="126">
        <f t="shared" si="0"/>
        <v>4847.2128432655691</v>
      </c>
      <c r="N10" s="91"/>
    </row>
    <row r="11" spans="1:28" x14ac:dyDescent="0.2">
      <c r="B11" s="1" t="s">
        <v>179</v>
      </c>
      <c r="C11" s="137"/>
      <c r="D11" s="137"/>
      <c r="E11" s="137"/>
      <c r="F11" s="137"/>
      <c r="G11" s="138"/>
      <c r="H11" s="137"/>
      <c r="I11" s="137"/>
      <c r="J11" s="137"/>
      <c r="K11" s="137"/>
      <c r="L11" s="126">
        <f>L8/(1+C15)^L9</f>
        <v>49441.57100130881</v>
      </c>
    </row>
    <row r="13" spans="1:28" x14ac:dyDescent="0.2">
      <c r="B13" s="249" t="s">
        <v>180</v>
      </c>
      <c r="C13" s="249"/>
    </row>
    <row r="14" spans="1:28" x14ac:dyDescent="0.2">
      <c r="B14" s="1" t="s">
        <v>181</v>
      </c>
      <c r="C14" s="140">
        <v>0.02</v>
      </c>
    </row>
    <row r="15" spans="1:28" x14ac:dyDescent="0.2">
      <c r="B15" s="1" t="s">
        <v>161</v>
      </c>
      <c r="C15" s="135">
        <f>IF(Overview!C28&gt;0,Overview!C28,WACC!C20)</f>
        <v>0.12</v>
      </c>
    </row>
    <row r="18" spans="2:3" x14ac:dyDescent="0.2">
      <c r="B18" s="249" t="s">
        <v>182</v>
      </c>
      <c r="C18" s="249"/>
    </row>
    <row r="19" spans="2:3" x14ac:dyDescent="0.2">
      <c r="B19" s="1" t="s">
        <v>183</v>
      </c>
      <c r="C19" s="64">
        <f>SUM(H10:L10)</f>
        <v>17181.030357607189</v>
      </c>
    </row>
    <row r="20" spans="2:3" x14ac:dyDescent="0.2">
      <c r="B20" s="1" t="s">
        <v>179</v>
      </c>
      <c r="C20" s="64">
        <f>L11</f>
        <v>49441.57100130881</v>
      </c>
    </row>
    <row r="21" spans="2:3" x14ac:dyDescent="0.2">
      <c r="B21" s="16" t="s">
        <v>184</v>
      </c>
      <c r="C21" s="94">
        <f>C19+C20</f>
        <v>66622.601358915999</v>
      </c>
    </row>
    <row r="22" spans="2:3" x14ac:dyDescent="0.2">
      <c r="B22" s="1" t="s">
        <v>185</v>
      </c>
      <c r="C22" s="88">
        <f>Statement!AC105</f>
        <v>3712</v>
      </c>
    </row>
    <row r="23" spans="2:3" x14ac:dyDescent="0.2">
      <c r="B23" s="1" t="s">
        <v>186</v>
      </c>
      <c r="C23" s="88">
        <f>Statement!AC106</f>
        <v>2928</v>
      </c>
    </row>
    <row r="24" spans="2:3" x14ac:dyDescent="0.2">
      <c r="B24" s="16" t="s">
        <v>187</v>
      </c>
      <c r="C24" s="94">
        <f>C21+C22-C23</f>
        <v>67406.601358915999</v>
      </c>
    </row>
    <row r="25" spans="2:3" x14ac:dyDescent="0.2">
      <c r="B25" s="1" t="s">
        <v>66</v>
      </c>
      <c r="C25" s="88">
        <f>Statement!AC77</f>
        <v>393</v>
      </c>
    </row>
    <row r="26" spans="2:3" x14ac:dyDescent="0.2">
      <c r="B26" s="237" t="s">
        <v>188</v>
      </c>
      <c r="C26" s="238">
        <f>C24/C25</f>
        <v>171.51806961556233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20" zoomScale="192" zoomScaleNormal="100" workbookViewId="0">
      <selection activeCell="C42" sqref="C4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9" t="s">
        <v>109</v>
      </c>
      <c r="D2" s="249"/>
      <c r="E2" s="249"/>
      <c r="F2" s="249"/>
      <c r="G2" s="258"/>
      <c r="H2" s="259" t="s">
        <v>110</v>
      </c>
      <c r="I2" s="249"/>
      <c r="J2" s="249"/>
      <c r="K2" s="249"/>
      <c r="L2" s="249"/>
    </row>
    <row r="3" spans="1:14" ht="10" customHeight="1" x14ac:dyDescent="0.2"/>
    <row r="4" spans="1:14" ht="16" customHeight="1" x14ac:dyDescent="0.2">
      <c r="A4" s="86"/>
      <c r="B4" s="60"/>
      <c r="C4" s="255" t="s">
        <v>190</v>
      </c>
      <c r="D4" s="255"/>
      <c r="E4" s="255"/>
      <c r="F4" s="255"/>
      <c r="G4" s="255"/>
      <c r="H4" s="255"/>
      <c r="I4" s="255"/>
      <c r="J4" s="255"/>
      <c r="K4" s="255"/>
      <c r="L4" s="255"/>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14840.4</v>
      </c>
      <c r="I6" s="92">
        <f>Revenue!I8</f>
        <v>20311.472299999998</v>
      </c>
      <c r="J6" s="92">
        <f>Revenue!J8</f>
        <v>25960.632845</v>
      </c>
      <c r="K6" s="92">
        <f>Revenue!K8</f>
        <v>32007.990848400001</v>
      </c>
      <c r="L6" s="92">
        <f>Revenue!L8</f>
        <v>36542.146888771997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3116.4840000000008</v>
      </c>
      <c r="I7" s="92">
        <f>'FCF &amp; Other'!I10</f>
        <v>4468.5239059999967</v>
      </c>
      <c r="J7" s="92">
        <f>'FCF &amp; Other'!J10</f>
        <v>6490.1582112499991</v>
      </c>
      <c r="K7" s="92">
        <f>'FCF &amp; Other'!K10</f>
        <v>8001.9977121000011</v>
      </c>
      <c r="L7" s="92">
        <f>'FCF &amp; Other'!L10</f>
        <v>9500.9581910807174</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1990.8709079452055</v>
      </c>
      <c r="I8" s="92">
        <f>'FCF &amp; Other'!I28</f>
        <v>3210.9262840687657</v>
      </c>
      <c r="J8" s="92">
        <f>'FCF &amp; Other'!J28</f>
        <v>5287.8778268253764</v>
      </c>
      <c r="K8" s="92">
        <f>'FCF &amp; Other'!K28</f>
        <v>6660.2612617856958</v>
      </c>
      <c r="L8" s="92">
        <f>'FCF &amp; Other'!L28</f>
        <v>8542.4452410293034</v>
      </c>
      <c r="N8" s="91"/>
    </row>
    <row r="9" spans="1:14" x14ac:dyDescent="0.2">
      <c r="B9" s="16" t="s">
        <v>313</v>
      </c>
      <c r="C9" s="137"/>
      <c r="D9" s="137"/>
      <c r="E9" s="137"/>
      <c r="F9" s="137"/>
      <c r="G9" s="138"/>
      <c r="H9" s="92">
        <f>DCF!H10</f>
        <v>1777.563310665362</v>
      </c>
      <c r="I9" s="92">
        <f>DCF!I10</f>
        <v>2559.7307749272682</v>
      </c>
      <c r="J9" s="92">
        <f>DCF!J10</f>
        <v>3763.8069899848069</v>
      </c>
      <c r="K9" s="92">
        <f>DCF!K10</f>
        <v>4232.7164387641815</v>
      </c>
      <c r="L9" s="92">
        <f>DCF!L10</f>
        <v>4847.2128432655691</v>
      </c>
      <c r="N9" s="91"/>
    </row>
    <row r="10" spans="1:14" x14ac:dyDescent="0.2">
      <c r="N10" s="91"/>
    </row>
    <row r="11" spans="1:14" x14ac:dyDescent="0.2">
      <c r="C11" s="255" t="s">
        <v>118</v>
      </c>
      <c r="D11" s="255"/>
      <c r="E11" s="255"/>
      <c r="F11" s="255"/>
      <c r="G11" s="255"/>
      <c r="H11" s="255"/>
      <c r="I11" s="255"/>
      <c r="J11" s="255"/>
      <c r="K11" s="255"/>
      <c r="L11" s="255"/>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0.45067448680351901</v>
      </c>
      <c r="I13" s="95">
        <f t="shared" si="1"/>
        <v>0.36866070321554661</v>
      </c>
      <c r="J13" s="95">
        <f t="shared" si="1"/>
        <v>0.27812659080356295</v>
      </c>
      <c r="K13" s="95">
        <f t="shared" si="1"/>
        <v>0.23294339700831745</v>
      </c>
      <c r="L13" s="95">
        <f t="shared" si="1"/>
        <v>0.1416570025231261</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0.70299672131147584</v>
      </c>
      <c r="I14" s="95">
        <f t="shared" si="2"/>
        <v>0.43383502241628563</v>
      </c>
      <c r="J14" s="95">
        <f t="shared" si="2"/>
        <v>0.45241658045859495</v>
      </c>
      <c r="K14" s="95">
        <f t="shared" si="2"/>
        <v>0.23294339700831776</v>
      </c>
      <c r="L14" s="95">
        <f t="shared" si="2"/>
        <v>0.18732328262405079</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9.2481281115959185E-2</v>
      </c>
      <c r="I15" s="95">
        <f t="shared" si="3"/>
        <v>0.61282495577917173</v>
      </c>
      <c r="J15" s="95">
        <f t="shared" si="3"/>
        <v>0.64683874963481736</v>
      </c>
      <c r="K15" s="95">
        <f t="shared" si="3"/>
        <v>0.25953387727648047</v>
      </c>
      <c r="L15" s="95">
        <f t="shared" si="3"/>
        <v>0.28259912115504182</v>
      </c>
      <c r="N15" s="91"/>
    </row>
    <row r="16" spans="1:14" x14ac:dyDescent="0.2">
      <c r="N16" s="91"/>
    </row>
    <row r="17" spans="2:14" x14ac:dyDescent="0.2">
      <c r="C17" s="255" t="s">
        <v>192</v>
      </c>
      <c r="D17" s="255"/>
      <c r="E17" s="255"/>
      <c r="F17" s="255"/>
      <c r="G17" s="255"/>
      <c r="H17" s="255"/>
      <c r="I17" s="255"/>
      <c r="J17" s="255"/>
      <c r="K17" s="255"/>
      <c r="L17" s="255"/>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55" t="s">
        <v>195</v>
      </c>
      <c r="D22" s="255"/>
      <c r="E22" s="255"/>
      <c r="F22" s="255"/>
      <c r="G22" s="255"/>
      <c r="H22" s="255"/>
      <c r="I22" s="255"/>
      <c r="J22" s="255"/>
      <c r="K22" s="255"/>
      <c r="L22" s="255"/>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55" t="s">
        <v>196</v>
      </c>
      <c r="D27" s="255"/>
      <c r="E27" s="255"/>
      <c r="F27" s="255"/>
      <c r="G27" s="255"/>
      <c r="H27" s="255"/>
      <c r="I27" s="255"/>
      <c r="J27" s="255"/>
      <c r="K27" s="255"/>
      <c r="L27" s="255"/>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B36" s="16" t="s">
        <v>398</v>
      </c>
      <c r="C36" s="144">
        <f>C33/C6</f>
        <v>2.3055622248899557</v>
      </c>
      <c r="D36" s="144">
        <f t="shared" ref="D36:G36" si="14">D33/D6</f>
        <v>1.4219044272663386</v>
      </c>
      <c r="E36" s="144">
        <f t="shared" si="14"/>
        <v>3.0162581961241441</v>
      </c>
      <c r="F36" s="144">
        <f t="shared" si="14"/>
        <v>5.685654018971543</v>
      </c>
      <c r="G36" s="145">
        <f t="shared" si="14"/>
        <v>6.2982316715542526</v>
      </c>
      <c r="H36" s="137"/>
      <c r="I36" s="137"/>
      <c r="J36" s="137"/>
      <c r="K36" s="137"/>
      <c r="L36" s="137"/>
      <c r="N36" s="91"/>
    </row>
    <row r="37" spans="2:14" x14ac:dyDescent="0.2">
      <c r="N37" s="91"/>
    </row>
    <row r="38" spans="2:14" x14ac:dyDescent="0.2">
      <c r="N38" s="91"/>
    </row>
    <row r="39" spans="2:14" x14ac:dyDescent="0.2">
      <c r="B39" s="249" t="s">
        <v>201</v>
      </c>
      <c r="C39" s="249"/>
      <c r="N39" s="91"/>
    </row>
    <row r="40" spans="2:14" x14ac:dyDescent="0.2">
      <c r="B40" s="1" t="s">
        <v>202</v>
      </c>
      <c r="C40" s="64">
        <f>L7</f>
        <v>9500.9581910807174</v>
      </c>
    </row>
    <row r="41" spans="2:14" x14ac:dyDescent="0.2">
      <c r="B41" s="1" t="s">
        <v>161</v>
      </c>
      <c r="C41" s="135">
        <f>IF(Overview!C28&gt;0,Overview!C28,WACC!C20)</f>
        <v>0.12</v>
      </c>
    </row>
    <row r="42" spans="2:14" x14ac:dyDescent="0.2">
      <c r="B42" s="39" t="s">
        <v>203</v>
      </c>
      <c r="C42" s="105">
        <v>25</v>
      </c>
    </row>
    <row r="43" spans="2:14" x14ac:dyDescent="0.2">
      <c r="B43" s="1" t="s">
        <v>394</v>
      </c>
      <c r="C43" s="24">
        <f>(C40*C42)</f>
        <v>237523.95477701793</v>
      </c>
    </row>
    <row r="44" spans="2:14" x14ac:dyDescent="0.2">
      <c r="B44" s="1" t="s">
        <v>395</v>
      </c>
      <c r="C44" s="24">
        <f>C43/(1+C41)^5</f>
        <v>134777.47081697005</v>
      </c>
    </row>
    <row r="45" spans="2:14" x14ac:dyDescent="0.2">
      <c r="B45" s="16" t="s">
        <v>396</v>
      </c>
      <c r="C45" s="108">
        <f>SUM(H9:K9)+C44</f>
        <v>147111.28833131166</v>
      </c>
    </row>
    <row r="46" spans="2:14" x14ac:dyDescent="0.2">
      <c r="B46" s="1" t="s">
        <v>185</v>
      </c>
      <c r="C46" s="88">
        <f>Statement!AC105</f>
        <v>3712</v>
      </c>
    </row>
    <row r="47" spans="2:14" x14ac:dyDescent="0.2">
      <c r="B47" s="1" t="s">
        <v>186</v>
      </c>
      <c r="C47" s="88">
        <f>Statement!AC106</f>
        <v>2928</v>
      </c>
    </row>
    <row r="48" spans="2:14" x14ac:dyDescent="0.2">
      <c r="B48" s="16" t="s">
        <v>187</v>
      </c>
      <c r="C48" s="94">
        <f>C45+C46-C47</f>
        <v>147895.28833131166</v>
      </c>
    </row>
    <row r="49" spans="2:3" x14ac:dyDescent="0.2">
      <c r="B49" s="1" t="s">
        <v>66</v>
      </c>
      <c r="C49" s="88">
        <f>Statement!AC77</f>
        <v>393</v>
      </c>
    </row>
    <row r="50" spans="2:3" x14ac:dyDescent="0.2">
      <c r="B50" s="237" t="s">
        <v>205</v>
      </c>
      <c r="C50" s="238">
        <f>C48/C49</f>
        <v>376.3238888837447</v>
      </c>
    </row>
    <row r="52" spans="2:3" x14ac:dyDescent="0.2">
      <c r="B52" s="249" t="s">
        <v>206</v>
      </c>
      <c r="C52" s="249"/>
    </row>
    <row r="53" spans="2:3" x14ac:dyDescent="0.2">
      <c r="B53" s="1" t="s">
        <v>207</v>
      </c>
      <c r="C53" s="64">
        <f>L6</f>
        <v>36542.146888771997</v>
      </c>
    </row>
    <row r="54" spans="2:3" x14ac:dyDescent="0.2">
      <c r="B54" s="1" t="s">
        <v>337</v>
      </c>
      <c r="C54" s="135">
        <f>IF(Overview!C29&gt;0,Overview!C29,WACC!C19)</f>
        <v>0.125</v>
      </c>
    </row>
    <row r="55" spans="2:3" x14ac:dyDescent="0.2">
      <c r="B55" s="39" t="s">
        <v>208</v>
      </c>
      <c r="C55" s="105">
        <v>5</v>
      </c>
    </row>
    <row r="56" spans="2:3" x14ac:dyDescent="0.2">
      <c r="B56" s="1" t="s">
        <v>204</v>
      </c>
      <c r="C56" s="24">
        <f>L19</f>
        <v>390.92180391000005</v>
      </c>
    </row>
    <row r="57" spans="2:3" x14ac:dyDescent="0.2">
      <c r="B57" s="1" t="s">
        <v>188</v>
      </c>
      <c r="C57" s="24">
        <f>(C53*C55)/C56</f>
        <v>467.38435312737005</v>
      </c>
    </row>
    <row r="58" spans="2:3" x14ac:dyDescent="0.2">
      <c r="B58" s="237" t="s">
        <v>205</v>
      </c>
      <c r="C58" s="238">
        <f>C57/(1+C54)^5</f>
        <v>259.36511174241161</v>
      </c>
    </row>
    <row r="60" spans="2:3" x14ac:dyDescent="0.2">
      <c r="B60" s="249" t="s">
        <v>315</v>
      </c>
      <c r="C60" s="249"/>
    </row>
    <row r="61" spans="2:3" x14ac:dyDescent="0.2">
      <c r="B61" s="1" t="s">
        <v>397</v>
      </c>
      <c r="C61" s="64">
        <f>L8</f>
        <v>8542.4452410293034</v>
      </c>
    </row>
    <row r="62" spans="2:3" x14ac:dyDescent="0.2">
      <c r="B62" s="1" t="s">
        <v>161</v>
      </c>
      <c r="C62" s="135">
        <f>IF(Overview!C28&gt;0,Overview!C28,WACC!C20)</f>
        <v>0.12</v>
      </c>
    </row>
    <row r="63" spans="2:3" x14ac:dyDescent="0.2">
      <c r="B63" s="39" t="s">
        <v>338</v>
      </c>
      <c r="C63" s="105">
        <v>27</v>
      </c>
    </row>
    <row r="64" spans="2:3" x14ac:dyDescent="0.2">
      <c r="B64" s="1" t="s">
        <v>394</v>
      </c>
      <c r="C64" s="24">
        <f>(C61*C63)</f>
        <v>230646.02150779119</v>
      </c>
    </row>
    <row r="65" spans="2:3" x14ac:dyDescent="0.2">
      <c r="B65" s="1" t="s">
        <v>395</v>
      </c>
      <c r="C65" s="24">
        <f>C64/(1+C62)^5</f>
        <v>130874.74676817036</v>
      </c>
    </row>
    <row r="66" spans="2:3" x14ac:dyDescent="0.2">
      <c r="B66" s="16" t="s">
        <v>396</v>
      </c>
      <c r="C66" s="108">
        <f>SUM(H9:K9)+C65</f>
        <v>143208.56428251197</v>
      </c>
    </row>
    <row r="67" spans="2:3" x14ac:dyDescent="0.2">
      <c r="B67" s="1" t="s">
        <v>185</v>
      </c>
      <c r="C67" s="88">
        <f>Statement!AC105</f>
        <v>3712</v>
      </c>
    </row>
    <row r="68" spans="2:3" x14ac:dyDescent="0.2">
      <c r="B68" s="1" t="s">
        <v>186</v>
      </c>
      <c r="C68" s="88">
        <f>Statement!AC106</f>
        <v>2928</v>
      </c>
    </row>
    <row r="69" spans="2:3" x14ac:dyDescent="0.2">
      <c r="B69" s="16" t="s">
        <v>187</v>
      </c>
      <c r="C69" s="94">
        <f>C66+C67-C68</f>
        <v>143992.56428251197</v>
      </c>
    </row>
    <row r="70" spans="2:3" x14ac:dyDescent="0.2">
      <c r="B70" s="1" t="s">
        <v>66</v>
      </c>
      <c r="C70" s="88">
        <f>Statement!AC77</f>
        <v>393</v>
      </c>
    </row>
    <row r="71" spans="2:3" x14ac:dyDescent="0.2">
      <c r="B71" s="237" t="s">
        <v>205</v>
      </c>
      <c r="C71" s="238">
        <f>C69/C70</f>
        <v>366.39329333972512</v>
      </c>
    </row>
    <row r="73" spans="2:3" x14ac:dyDescent="0.2">
      <c r="B73" s="249" t="s">
        <v>399</v>
      </c>
      <c r="C73" s="249"/>
    </row>
    <row r="74" spans="2:3" x14ac:dyDescent="0.2">
      <c r="B74" s="1" t="s">
        <v>400</v>
      </c>
      <c r="C74" s="64">
        <f>L6</f>
        <v>36542.146888771997</v>
      </c>
    </row>
    <row r="75" spans="2:3" x14ac:dyDescent="0.2">
      <c r="B75" s="1" t="s">
        <v>161</v>
      </c>
      <c r="C75" s="135">
        <f>IF(Overview!C28&gt;0,Overview!C28,WACC!C20)</f>
        <v>0.12</v>
      </c>
    </row>
    <row r="76" spans="2:3" x14ac:dyDescent="0.2">
      <c r="B76" s="39" t="s">
        <v>401</v>
      </c>
      <c r="C76" s="105">
        <v>5</v>
      </c>
    </row>
    <row r="77" spans="2:3" x14ac:dyDescent="0.2">
      <c r="B77" s="1" t="s">
        <v>394</v>
      </c>
      <c r="C77" s="24">
        <f>(C74*C76)</f>
        <v>182710.73444385998</v>
      </c>
    </row>
    <row r="78" spans="2:3" x14ac:dyDescent="0.2">
      <c r="B78" s="1" t="s">
        <v>395</v>
      </c>
      <c r="C78" s="24">
        <f>C77/(1+C75)^5</f>
        <v>103674.97755151543</v>
      </c>
    </row>
    <row r="79" spans="2:3" x14ac:dyDescent="0.2">
      <c r="B79" s="16" t="s">
        <v>396</v>
      </c>
      <c r="C79" s="108">
        <f>SUM(H9:K9)+C78</f>
        <v>116008.79506585705</v>
      </c>
    </row>
    <row r="80" spans="2:3" x14ac:dyDescent="0.2">
      <c r="B80" s="1" t="s">
        <v>185</v>
      </c>
      <c r="C80" s="88">
        <f>Statement!AC105</f>
        <v>3712</v>
      </c>
    </row>
    <row r="81" spans="2:3" x14ac:dyDescent="0.2">
      <c r="B81" s="1" t="s">
        <v>186</v>
      </c>
      <c r="C81" s="88">
        <f>Statement!AC106</f>
        <v>2928</v>
      </c>
    </row>
    <row r="82" spans="2:3" x14ac:dyDescent="0.2">
      <c r="B82" s="16" t="s">
        <v>187</v>
      </c>
      <c r="C82" s="94">
        <f>C79+C80-C81</f>
        <v>116792.79506585705</v>
      </c>
    </row>
    <row r="83" spans="2:3" x14ac:dyDescent="0.2">
      <c r="B83" s="1" t="s">
        <v>66</v>
      </c>
      <c r="C83" s="88">
        <f>Statement!AC77</f>
        <v>393</v>
      </c>
    </row>
    <row r="84" spans="2:3" x14ac:dyDescent="0.2">
      <c r="B84" s="237" t="s">
        <v>205</v>
      </c>
      <c r="C84" s="238">
        <f>C82/C83</f>
        <v>297.18268464594667</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9" t="s">
        <v>210</v>
      </c>
      <c r="C4" s="249"/>
      <c r="N4" s="91"/>
    </row>
    <row r="5" spans="1:14" x14ac:dyDescent="0.2">
      <c r="B5" s="1" t="s">
        <v>211</v>
      </c>
      <c r="C5" s="133">
        <f>DCF!C26</f>
        <v>171.51806961556233</v>
      </c>
    </row>
    <row r="6" spans="1:14" x14ac:dyDescent="0.2">
      <c r="B6" s="1" t="s">
        <v>212</v>
      </c>
      <c r="C6" s="133">
        <f>Multiples!C50</f>
        <v>376.3238888837447</v>
      </c>
    </row>
    <row r="7" spans="1:14" x14ac:dyDescent="0.2">
      <c r="B7" s="1" t="s">
        <v>213</v>
      </c>
      <c r="C7" s="133">
        <f>Multiples!C58</f>
        <v>259.36511174241161</v>
      </c>
    </row>
    <row r="8" spans="1:14" x14ac:dyDescent="0.2">
      <c r="B8" s="1" t="s">
        <v>316</v>
      </c>
      <c r="C8" s="133">
        <f>Multiples!C71</f>
        <v>366.39329333972512</v>
      </c>
    </row>
    <row r="9" spans="1:14" x14ac:dyDescent="0.2">
      <c r="B9" s="1" t="s">
        <v>402</v>
      </c>
      <c r="C9" s="133">
        <f>Multiples!C84</f>
        <v>297.18268464594667</v>
      </c>
    </row>
    <row r="10" spans="1:14" x14ac:dyDescent="0.2">
      <c r="B10" s="237" t="s">
        <v>214</v>
      </c>
      <c r="C10" s="238">
        <f>AVERAGE(C5:C9)</f>
        <v>294.15660964547806</v>
      </c>
    </row>
    <row r="11" spans="1:14" x14ac:dyDescent="0.2">
      <c r="B11" s="1" t="s">
        <v>215</v>
      </c>
      <c r="C11" s="133">
        <f ca="1">Overview!C5</f>
        <v>240.98</v>
      </c>
    </row>
    <row r="12" spans="1:14" x14ac:dyDescent="0.2">
      <c r="B12" s="1" t="s">
        <v>216</v>
      </c>
      <c r="C12" s="149">
        <f ca="1">(C10-C11)/C11</f>
        <v>0.22066814526300135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9" t="s">
        <v>109</v>
      </c>
      <c r="D2" s="249"/>
      <c r="E2" s="249"/>
      <c r="F2" s="249"/>
      <c r="G2" s="258"/>
      <c r="H2" s="259" t="s">
        <v>110</v>
      </c>
      <c r="I2" s="249"/>
      <c r="J2" s="249"/>
      <c r="K2" s="249"/>
      <c r="L2" s="249"/>
    </row>
    <row r="3" spans="1:14" ht="10" customHeight="1" x14ac:dyDescent="0.2"/>
    <row r="4" spans="1:14" ht="16" customHeight="1" x14ac:dyDescent="0.2">
      <c r="A4" s="86"/>
      <c r="B4" s="60"/>
      <c r="C4" s="255" t="s">
        <v>190</v>
      </c>
      <c r="D4" s="255"/>
      <c r="E4" s="255"/>
      <c r="F4" s="255"/>
      <c r="G4" s="255"/>
      <c r="H4" s="255"/>
      <c r="I4" s="255"/>
      <c r="J4" s="255"/>
      <c r="K4" s="255"/>
      <c r="L4" s="255"/>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55" t="s">
        <v>118</v>
      </c>
      <c r="D9" s="255"/>
      <c r="E9" s="255"/>
      <c r="F9" s="255"/>
      <c r="G9" s="255"/>
      <c r="H9" s="255"/>
      <c r="I9" s="255"/>
      <c r="J9" s="255"/>
      <c r="K9" s="255"/>
      <c r="L9" s="255"/>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55" t="s">
        <v>362</v>
      </c>
      <c r="D14" s="255"/>
      <c r="E14" s="255"/>
      <c r="F14" s="255"/>
      <c r="G14" s="255"/>
      <c r="H14" s="255"/>
      <c r="I14" s="255"/>
      <c r="J14" s="255"/>
      <c r="K14" s="255"/>
      <c r="L14" s="255"/>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9" t="s">
        <v>364</v>
      </c>
      <c r="C20" s="249"/>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0.125</v>
      </c>
    </row>
    <row r="25" spans="2:14" x14ac:dyDescent="0.2">
      <c r="B25" s="39" t="s">
        <v>368</v>
      </c>
      <c r="C25" s="231">
        <v>0.02</v>
      </c>
    </row>
    <row r="26" spans="2:14" x14ac:dyDescent="0.2">
      <c r="B26" s="237" t="s">
        <v>205</v>
      </c>
      <c r="C26" s="238">
        <f>C23/(C24-C25)</f>
        <v>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9" t="s">
        <v>109</v>
      </c>
      <c r="D3" s="249"/>
      <c r="E3" s="249"/>
      <c r="F3" s="249"/>
      <c r="G3" s="258"/>
      <c r="H3" s="259" t="s">
        <v>110</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176</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2624.1677152698048</v>
      </c>
      <c r="I7" s="126">
        <f t="shared" ref="I7:L7" si="0">H7*(1+$C$17)</f>
        <v>3778.8015099885188</v>
      </c>
      <c r="J7" s="126">
        <f t="shared" si="0"/>
        <v>5441.4741743834666</v>
      </c>
      <c r="K7" s="126">
        <f t="shared" si="0"/>
        <v>7835.7228111121913</v>
      </c>
      <c r="L7" s="126">
        <f t="shared" si="0"/>
        <v>11283.440848001555</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115091.09664961588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2343.006888633754</v>
      </c>
      <c r="I10" s="126">
        <f t="shared" ref="I10:L10" si="1">I7/(1+$C$21)^I9</f>
        <v>3012.4374282433978</v>
      </c>
      <c r="J10" s="126">
        <f t="shared" si="1"/>
        <v>3873.1338363129394</v>
      </c>
      <c r="K10" s="126">
        <f t="shared" si="1"/>
        <v>4979.7435038309213</v>
      </c>
      <c r="L10" s="126">
        <f t="shared" si="1"/>
        <v>6402.5273620683274</v>
      </c>
      <c r="N10" s="91"/>
    </row>
    <row r="11" spans="1:28" x14ac:dyDescent="0.2">
      <c r="B11" s="1" t="s">
        <v>179</v>
      </c>
      <c r="C11" s="137"/>
      <c r="D11" s="137"/>
      <c r="E11" s="137"/>
      <c r="F11" s="137"/>
      <c r="G11" s="138"/>
      <c r="H11" s="137"/>
      <c r="I11" s="137"/>
      <c r="J11" s="137"/>
      <c r="K11" s="137"/>
      <c r="L11" s="126">
        <f>L8/(1+C21)^L9</f>
        <v>65305.77909309695</v>
      </c>
    </row>
    <row r="13" spans="1:28" ht="17" thickBot="1" x14ac:dyDescent="0.25"/>
    <row r="14" spans="1:28" x14ac:dyDescent="0.2">
      <c r="B14" s="261" t="s">
        <v>218</v>
      </c>
      <c r="C14" s="262"/>
    </row>
    <row r="15" spans="1:28" x14ac:dyDescent="0.2">
      <c r="B15" s="150" t="s">
        <v>219</v>
      </c>
      <c r="C15" s="151">
        <f ca="1">Overview!C5</f>
        <v>240.98</v>
      </c>
    </row>
    <row r="16" spans="1:28" x14ac:dyDescent="0.2">
      <c r="B16" s="150" t="s">
        <v>220</v>
      </c>
      <c r="C16" s="151">
        <f>C36</f>
        <v>225.19643665502934</v>
      </c>
    </row>
    <row r="17" spans="2:9" ht="17" thickBot="1" x14ac:dyDescent="0.25">
      <c r="B17" s="152" t="s">
        <v>317</v>
      </c>
      <c r="C17" s="153">
        <v>0.44</v>
      </c>
      <c r="E17" s="263" t="s">
        <v>221</v>
      </c>
      <c r="F17" s="263"/>
      <c r="G17" s="263"/>
      <c r="H17" s="263"/>
      <c r="I17" s="263"/>
    </row>
    <row r="18" spans="2:9" ht="17" thickBot="1" x14ac:dyDescent="0.25"/>
    <row r="19" spans="2:9" x14ac:dyDescent="0.2">
      <c r="B19" s="261" t="s">
        <v>180</v>
      </c>
      <c r="C19" s="262"/>
    </row>
    <row r="20" spans="2:9" x14ac:dyDescent="0.2">
      <c r="B20" s="154" t="s">
        <v>181</v>
      </c>
      <c r="C20" s="155">
        <v>0.02</v>
      </c>
    </row>
    <row r="21" spans="2:9" x14ac:dyDescent="0.2">
      <c r="B21" s="154" t="s">
        <v>161</v>
      </c>
      <c r="C21" s="216">
        <f>IF(Overview!C28&gt;0,Overview!C28,WACC!C20)</f>
        <v>0.12</v>
      </c>
    </row>
    <row r="22" spans="2:9" x14ac:dyDescent="0.2">
      <c r="B22" s="154" t="s">
        <v>66</v>
      </c>
      <c r="C22" s="217">
        <f>Statement!AC74</f>
        <v>385</v>
      </c>
    </row>
    <row r="23" spans="2:9" x14ac:dyDescent="0.2">
      <c r="B23" s="154" t="s">
        <v>222</v>
      </c>
      <c r="C23" s="156">
        <f ca="1">C15*C22</f>
        <v>92777.3</v>
      </c>
    </row>
    <row r="24" spans="2:9" x14ac:dyDescent="0.2">
      <c r="B24" s="154" t="s">
        <v>174</v>
      </c>
      <c r="C24" s="217">
        <f>Statement!AC105</f>
        <v>3712</v>
      </c>
    </row>
    <row r="25" spans="2:9" x14ac:dyDescent="0.2">
      <c r="B25" s="154" t="s">
        <v>165</v>
      </c>
      <c r="C25" s="217">
        <f>Statement!AC106</f>
        <v>2928</v>
      </c>
    </row>
    <row r="26" spans="2:9" ht="17" thickBot="1" x14ac:dyDescent="0.25">
      <c r="B26" s="152" t="s">
        <v>223</v>
      </c>
      <c r="C26" s="157">
        <f ca="1">C23+C25-C24</f>
        <v>91993.3</v>
      </c>
    </row>
    <row r="27" spans="2:9" ht="17" thickBot="1" x14ac:dyDescent="0.25"/>
    <row r="28" spans="2:9" x14ac:dyDescent="0.2">
      <c r="B28" s="261" t="s">
        <v>182</v>
      </c>
      <c r="C28" s="262"/>
    </row>
    <row r="29" spans="2:9" x14ac:dyDescent="0.2">
      <c r="B29" s="154" t="s">
        <v>183</v>
      </c>
      <c r="C29" s="156">
        <f>SUM(H10:L10)</f>
        <v>20610.849019089343</v>
      </c>
    </row>
    <row r="30" spans="2:9" x14ac:dyDescent="0.2">
      <c r="B30" s="154" t="s">
        <v>179</v>
      </c>
      <c r="C30" s="156">
        <f>L11</f>
        <v>65305.77909309695</v>
      </c>
    </row>
    <row r="31" spans="2:9" x14ac:dyDescent="0.2">
      <c r="B31" s="158" t="s">
        <v>184</v>
      </c>
      <c r="C31" s="159">
        <f>C29+C30</f>
        <v>85916.628112186299</v>
      </c>
    </row>
    <row r="32" spans="2:9" x14ac:dyDescent="0.2">
      <c r="B32" s="154" t="s">
        <v>185</v>
      </c>
      <c r="C32" s="160">
        <f>C24</f>
        <v>3712</v>
      </c>
    </row>
    <row r="33" spans="2:3" x14ac:dyDescent="0.2">
      <c r="B33" s="154" t="s">
        <v>186</v>
      </c>
      <c r="C33" s="160">
        <f>C25</f>
        <v>2928</v>
      </c>
    </row>
    <row r="34" spans="2:3" x14ac:dyDescent="0.2">
      <c r="B34" s="158" t="s">
        <v>187</v>
      </c>
      <c r="C34" s="159">
        <f>C31+C32-C33</f>
        <v>86700.628112186299</v>
      </c>
    </row>
    <row r="35" spans="2:3" x14ac:dyDescent="0.2">
      <c r="B35" s="154" t="s">
        <v>66</v>
      </c>
      <c r="C35" s="156">
        <f>C22</f>
        <v>385</v>
      </c>
    </row>
    <row r="36" spans="2:3" ht="17" thickBot="1" x14ac:dyDescent="0.25">
      <c r="B36" s="161" t="s">
        <v>188</v>
      </c>
      <c r="C36" s="162">
        <f>C34/C35</f>
        <v>225.19643665502934</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2026-10-28T18:29:34Z</dcterms:modified>
</cp:coreProperties>
</file>