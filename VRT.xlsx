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defaultThemeVersion="202300"/>
  <mc:AlternateContent xmlns:mc="http://schemas.openxmlformats.org/markup-compatibility/2006">
    <mc:Choice Requires="x15">
      <x15ac:absPath xmlns:x15ac="http://schemas.microsoft.com/office/spreadsheetml/2010/11/ac" url="/Volumes/KINGSTON/MyStockData/Finance-StockLists/"/>
    </mc:Choice>
  </mc:AlternateContent>
  <xr:revisionPtr revIDLastSave="0" documentId="13_ncr:1_{FCE1E6A0-07FE-9B4F-945A-417095AD1570}" xr6:coauthVersionLast="47" xr6:coauthVersionMax="47" xr10:uidLastSave="{00000000-0000-0000-0000-000000000000}"/>
  <bookViews>
    <workbookView xWindow="0" yWindow="0" windowWidth="25600" windowHeight="14400" xr2:uid="{AEC0C047-6E16-294C-82BD-58123BA913A1}"/>
  </bookViews>
  <sheets>
    <sheet name="Overview" sheetId="1" r:id="rId1"/>
    <sheet name="Financials -&gt;" sheetId="2" r:id="rId2"/>
    <sheet name="Statement" sheetId="3" r:id="rId3"/>
    <sheet name="Analysis -&gt;" sheetId="15" r:id="rId4"/>
    <sheet name="Basic" sheetId="16" r:id="rId5"/>
    <sheet name="Yearly Analysis" sheetId="17" r:id="rId6"/>
    <sheet name="Quarter analysis" sheetId="18" r:id="rId7"/>
    <sheet name="Graphs Year" sheetId="19" r:id="rId8"/>
    <sheet name="Graphs Quarter" sheetId="20" r:id="rId9"/>
    <sheet name="Forecast -&gt;" sheetId="4" r:id="rId10"/>
    <sheet name="Revenue" sheetId="5" r:id="rId11"/>
    <sheet name="COGS &amp; OpEx" sheetId="6" r:id="rId12"/>
    <sheet name="WC &amp; Investments" sheetId="7" r:id="rId13"/>
    <sheet name="FCF &amp; Other" sheetId="8" r:id="rId14"/>
    <sheet name="Valuation -&gt;" sheetId="9" r:id="rId15"/>
    <sheet name="WACC" sheetId="10" r:id="rId16"/>
    <sheet name="DCF" sheetId="11" r:id="rId17"/>
    <sheet name="Multiples" sheetId="12" r:id="rId18"/>
    <sheet name="AVG target price" sheetId="13" r:id="rId19"/>
    <sheet name="DDM" sheetId="21" r:id="rId20"/>
    <sheet name="Reverse DCF" sheetId="14" r:id="rId21"/>
  </sheets>
  <externalReferences>
    <externalReference r:id="rId22"/>
    <externalReference r:id="rId23"/>
  </externalReferenc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52" i="3" l="1"/>
  <c r="I13" i="1"/>
  <c r="H7" i="1"/>
  <c r="H6" i="1"/>
  <c r="C83" i="12"/>
  <c r="C81" i="12"/>
  <c r="C80" i="12"/>
  <c r="C75" i="12"/>
  <c r="C74" i="12"/>
  <c r="C77" i="12" s="1"/>
  <c r="G36" i="12"/>
  <c r="F36" i="12"/>
  <c r="E36" i="12"/>
  <c r="D36" i="12"/>
  <c r="C36" i="12"/>
  <c r="F15" i="8"/>
  <c r="E15" i="8"/>
  <c r="D15" i="8"/>
  <c r="C15" i="8"/>
  <c r="G15" i="8"/>
  <c r="W23" i="6"/>
  <c r="V23" i="6"/>
  <c r="U23" i="6"/>
  <c r="T23" i="6"/>
  <c r="S23" i="6"/>
  <c r="R23" i="6"/>
  <c r="Q23" i="6"/>
  <c r="P23" i="6"/>
  <c r="W22" i="6"/>
  <c r="V22" i="6"/>
  <c r="U22" i="6"/>
  <c r="T22" i="6"/>
  <c r="S22" i="6"/>
  <c r="R22" i="6"/>
  <c r="Q22" i="6"/>
  <c r="P22" i="6"/>
  <c r="W13" i="6"/>
  <c r="V13" i="6"/>
  <c r="U13" i="6"/>
  <c r="T13" i="6"/>
  <c r="S13" i="6"/>
  <c r="R13" i="6"/>
  <c r="Q13" i="6"/>
  <c r="P13" i="6"/>
  <c r="W12" i="6"/>
  <c r="V12" i="6"/>
  <c r="U12" i="6"/>
  <c r="T12" i="6"/>
  <c r="S12" i="6"/>
  <c r="R12" i="6"/>
  <c r="Q12" i="6"/>
  <c r="P12" i="6"/>
  <c r="O23" i="6"/>
  <c r="O22" i="6"/>
  <c r="O13" i="6"/>
  <c r="O12" i="6"/>
  <c r="G23" i="6"/>
  <c r="F23" i="6"/>
  <c r="E23" i="6"/>
  <c r="D23" i="6"/>
  <c r="C23" i="6"/>
  <c r="G22" i="6"/>
  <c r="F22" i="6"/>
  <c r="E22" i="6"/>
  <c r="D22" i="6"/>
  <c r="C22" i="6"/>
  <c r="G21" i="6"/>
  <c r="F21" i="6"/>
  <c r="E21" i="6"/>
  <c r="D21" i="6"/>
  <c r="B23" i="6"/>
  <c r="B22" i="6"/>
  <c r="G13" i="6"/>
  <c r="F13" i="6"/>
  <c r="E13" i="6"/>
  <c r="D13" i="6"/>
  <c r="C13" i="6"/>
  <c r="G12" i="6"/>
  <c r="F12" i="6"/>
  <c r="E12" i="6"/>
  <c r="D12" i="6"/>
  <c r="C12" i="6"/>
  <c r="B13" i="6"/>
  <c r="B12" i="6"/>
  <c r="AC189" i="3"/>
  <c r="AC188" i="3"/>
  <c r="B67" i="20"/>
  <c r="B66" i="20"/>
  <c r="B65" i="20"/>
  <c r="B64" i="20"/>
  <c r="B63" i="20"/>
  <c r="B76" i="19"/>
  <c r="B75" i="19"/>
  <c r="B74" i="19"/>
  <c r="B73" i="19"/>
  <c r="B72" i="19"/>
  <c r="B198" i="3"/>
  <c r="B197" i="3"/>
  <c r="B195" i="3"/>
  <c r="B194" i="3"/>
  <c r="B193" i="3"/>
  <c r="M185" i="3"/>
  <c r="N185" i="3"/>
  <c r="D6" i="5" s="1"/>
  <c r="AA129" i="3"/>
  <c r="AA130" i="3" s="1"/>
  <c r="Z129" i="3"/>
  <c r="Z130" i="3" s="1"/>
  <c r="Y129" i="3"/>
  <c r="Y130" i="3" s="1"/>
  <c r="X129" i="3"/>
  <c r="X130" i="3" s="1"/>
  <c r="W129" i="3"/>
  <c r="W130" i="3" s="1"/>
  <c r="V129" i="3"/>
  <c r="V130" i="3" s="1"/>
  <c r="U129" i="3"/>
  <c r="U130" i="3" s="1"/>
  <c r="T129" i="3"/>
  <c r="T130" i="3" s="1"/>
  <c r="B92" i="3"/>
  <c r="B91" i="3"/>
  <c r="T57" i="3"/>
  <c r="T52" i="3"/>
  <c r="X57" i="3"/>
  <c r="X52" i="3"/>
  <c r="U57" i="3"/>
  <c r="U52" i="3"/>
  <c r="Y57" i="3"/>
  <c r="Y52" i="3"/>
  <c r="W57" i="3"/>
  <c r="AA57" i="3"/>
  <c r="W52" i="3"/>
  <c r="V57" i="3"/>
  <c r="V52" i="3"/>
  <c r="AA52" i="3"/>
  <c r="Z57" i="3"/>
  <c r="Z52" i="3"/>
  <c r="M57" i="3"/>
  <c r="N57" i="3"/>
  <c r="Q108" i="3"/>
  <c r="G45" i="7" s="1"/>
  <c r="O57" i="3"/>
  <c r="P57" i="3"/>
  <c r="Q57" i="3"/>
  <c r="O52" i="3"/>
  <c r="P52" i="3"/>
  <c r="Q52" i="3"/>
  <c r="G42" i="7" s="1"/>
  <c r="W28" i="3"/>
  <c r="W105" i="3" s="1"/>
  <c r="X28" i="3"/>
  <c r="X105" i="3" s="1"/>
  <c r="AC63" i="3"/>
  <c r="AC61" i="3"/>
  <c r="AC58" i="3"/>
  <c r="AC55" i="3"/>
  <c r="Z198" i="3"/>
  <c r="Y198" i="3"/>
  <c r="X198" i="3"/>
  <c r="W198" i="3"/>
  <c r="V198" i="3"/>
  <c r="U198" i="3"/>
  <c r="T198" i="3"/>
  <c r="Z197" i="3"/>
  <c r="Y197" i="3"/>
  <c r="X197" i="3"/>
  <c r="W197" i="3"/>
  <c r="V197" i="3"/>
  <c r="U197" i="3"/>
  <c r="T197" i="3"/>
  <c r="Z195" i="3"/>
  <c r="Y195" i="3"/>
  <c r="X195" i="3"/>
  <c r="W195" i="3"/>
  <c r="V195" i="3"/>
  <c r="U195" i="3"/>
  <c r="T195" i="3"/>
  <c r="Z194" i="3"/>
  <c r="Y194" i="3"/>
  <c r="X194" i="3"/>
  <c r="W194" i="3"/>
  <c r="V194" i="3"/>
  <c r="U194" i="3"/>
  <c r="T194" i="3"/>
  <c r="Z193" i="3"/>
  <c r="Y193" i="3"/>
  <c r="X193" i="3"/>
  <c r="W193" i="3"/>
  <c r="V193" i="3"/>
  <c r="U193" i="3"/>
  <c r="T193" i="3"/>
  <c r="Z168" i="3"/>
  <c r="Y168" i="3"/>
  <c r="X168" i="3"/>
  <c r="W168" i="3"/>
  <c r="V168" i="3"/>
  <c r="U168" i="3"/>
  <c r="T168" i="3"/>
  <c r="Z167" i="3"/>
  <c r="Y167" i="3"/>
  <c r="X167" i="3"/>
  <c r="W167" i="3"/>
  <c r="V167" i="3"/>
  <c r="U167" i="3"/>
  <c r="T167" i="3"/>
  <c r="Z143" i="3"/>
  <c r="Y143" i="3"/>
  <c r="X143" i="3"/>
  <c r="W143" i="3"/>
  <c r="V143" i="3"/>
  <c r="U143" i="3"/>
  <c r="T143" i="3"/>
  <c r="Z142" i="3"/>
  <c r="Y142" i="3"/>
  <c r="X142" i="3"/>
  <c r="W142" i="3"/>
  <c r="V142" i="3"/>
  <c r="U142" i="3"/>
  <c r="T142" i="3"/>
  <c r="Z137" i="3"/>
  <c r="Y137" i="3"/>
  <c r="X137" i="3"/>
  <c r="W137" i="3"/>
  <c r="V137" i="3"/>
  <c r="U137" i="3"/>
  <c r="T137" i="3"/>
  <c r="Z136" i="3"/>
  <c r="Y136" i="3"/>
  <c r="X136" i="3"/>
  <c r="W136" i="3"/>
  <c r="V136" i="3"/>
  <c r="U136" i="3"/>
  <c r="T136" i="3"/>
  <c r="Z135" i="3"/>
  <c r="Y135" i="3"/>
  <c r="X135" i="3"/>
  <c r="W135" i="3"/>
  <c r="V135" i="3"/>
  <c r="U135" i="3"/>
  <c r="T135" i="3"/>
  <c r="Z115" i="3"/>
  <c r="Y115" i="3"/>
  <c r="X115" i="3"/>
  <c r="W115" i="3"/>
  <c r="V115" i="3"/>
  <c r="U115" i="3"/>
  <c r="T115" i="3"/>
  <c r="Z110" i="3"/>
  <c r="Z70" i="3" s="1"/>
  <c r="Y110" i="3"/>
  <c r="Y70" i="3" s="1"/>
  <c r="X110" i="3"/>
  <c r="X70" i="3" s="1"/>
  <c r="W110" i="3"/>
  <c r="W70" i="3" s="1"/>
  <c r="V110" i="3"/>
  <c r="V70" i="3" s="1"/>
  <c r="U110" i="3"/>
  <c r="U70" i="3" s="1"/>
  <c r="T110" i="3"/>
  <c r="T70" i="3" s="1"/>
  <c r="Z109" i="3"/>
  <c r="Z101" i="3" s="1"/>
  <c r="Y109" i="3"/>
  <c r="Y101" i="3" s="1"/>
  <c r="X109" i="3"/>
  <c r="X101" i="3" s="1"/>
  <c r="W109" i="3"/>
  <c r="W101" i="3" s="1"/>
  <c r="V109" i="3"/>
  <c r="V101" i="3" s="1"/>
  <c r="U109" i="3"/>
  <c r="U101" i="3" s="1"/>
  <c r="T109" i="3"/>
  <c r="T101" i="3" s="1"/>
  <c r="Z108" i="3"/>
  <c r="Y108" i="3"/>
  <c r="X108" i="3"/>
  <c r="X151" i="3" s="1"/>
  <c r="W108" i="3"/>
  <c r="W151" i="3" s="1"/>
  <c r="V108" i="3"/>
  <c r="U108" i="3"/>
  <c r="T108" i="3"/>
  <c r="T151" i="3" s="1"/>
  <c r="Z100" i="3"/>
  <c r="Y100" i="3"/>
  <c r="X100" i="3"/>
  <c r="W100" i="3"/>
  <c r="V100" i="3"/>
  <c r="U100" i="3"/>
  <c r="T100" i="3"/>
  <c r="Z96" i="3"/>
  <c r="Y96" i="3"/>
  <c r="X96" i="3"/>
  <c r="W96" i="3"/>
  <c r="V96" i="3"/>
  <c r="U96" i="3"/>
  <c r="T96" i="3"/>
  <c r="Z95" i="3"/>
  <c r="Y95" i="3"/>
  <c r="X95" i="3"/>
  <c r="W95" i="3"/>
  <c r="V95" i="3"/>
  <c r="U95" i="3"/>
  <c r="T95" i="3"/>
  <c r="Z94" i="3"/>
  <c r="Y94" i="3"/>
  <c r="X94" i="3"/>
  <c r="W94" i="3"/>
  <c r="V94" i="3"/>
  <c r="U94" i="3"/>
  <c r="T94" i="3"/>
  <c r="Z92" i="3"/>
  <c r="Y92" i="3"/>
  <c r="X92" i="3"/>
  <c r="W92" i="3"/>
  <c r="V92" i="3"/>
  <c r="U92" i="3"/>
  <c r="T92" i="3"/>
  <c r="Z91" i="3"/>
  <c r="Y91" i="3"/>
  <c r="X91" i="3"/>
  <c r="W91" i="3"/>
  <c r="V91" i="3"/>
  <c r="U91" i="3"/>
  <c r="T91" i="3"/>
  <c r="Z89" i="3"/>
  <c r="Y89" i="3"/>
  <c r="X89" i="3"/>
  <c r="W89" i="3"/>
  <c r="V89" i="3"/>
  <c r="U89" i="3"/>
  <c r="T89" i="3"/>
  <c r="Z88" i="3"/>
  <c r="Y88" i="3"/>
  <c r="X88" i="3"/>
  <c r="W88" i="3"/>
  <c r="V88" i="3"/>
  <c r="U88" i="3"/>
  <c r="T88" i="3"/>
  <c r="Z82" i="3"/>
  <c r="Z104" i="3" s="1"/>
  <c r="Y82" i="3"/>
  <c r="Y104" i="3" s="1"/>
  <c r="X82" i="3"/>
  <c r="X104" i="3" s="1"/>
  <c r="W82" i="3"/>
  <c r="W104" i="3" s="1"/>
  <c r="V82" i="3"/>
  <c r="V104" i="3" s="1"/>
  <c r="U82" i="3"/>
  <c r="U104" i="3" s="1"/>
  <c r="T82" i="3"/>
  <c r="T104" i="3" s="1"/>
  <c r="Z81" i="3"/>
  <c r="Y81" i="3"/>
  <c r="X81" i="3"/>
  <c r="W81" i="3"/>
  <c r="V81" i="3"/>
  <c r="U81" i="3"/>
  <c r="T81" i="3"/>
  <c r="Z76" i="3"/>
  <c r="Y76" i="3"/>
  <c r="X76" i="3"/>
  <c r="W76" i="3"/>
  <c r="V76" i="3"/>
  <c r="U76" i="3"/>
  <c r="T76" i="3"/>
  <c r="Z74" i="3"/>
  <c r="Y74" i="3"/>
  <c r="X74" i="3"/>
  <c r="W74" i="3"/>
  <c r="V74" i="3"/>
  <c r="U74" i="3"/>
  <c r="T74" i="3"/>
  <c r="Z41" i="3"/>
  <c r="Y41" i="3"/>
  <c r="X41" i="3"/>
  <c r="W41" i="3"/>
  <c r="V41" i="3"/>
  <c r="U41" i="3"/>
  <c r="T41" i="3"/>
  <c r="Z106" i="3"/>
  <c r="Y106" i="3"/>
  <c r="X106" i="3"/>
  <c r="W106" i="3"/>
  <c r="V106" i="3"/>
  <c r="U106" i="3"/>
  <c r="T106" i="3"/>
  <c r="Z35" i="3"/>
  <c r="Y35" i="3"/>
  <c r="X35" i="3"/>
  <c r="W35" i="3"/>
  <c r="V35" i="3"/>
  <c r="U35" i="3"/>
  <c r="T35" i="3"/>
  <c r="Z105" i="3"/>
  <c r="Y105" i="3"/>
  <c r="V105" i="3"/>
  <c r="U105" i="3"/>
  <c r="T105" i="3"/>
  <c r="Z25" i="3"/>
  <c r="Y25" i="3"/>
  <c r="X25" i="3"/>
  <c r="W25" i="3"/>
  <c r="V25" i="3"/>
  <c r="U25" i="3"/>
  <c r="T25" i="3"/>
  <c r="Z23" i="3"/>
  <c r="Y23" i="3"/>
  <c r="X23" i="3"/>
  <c r="W23" i="3"/>
  <c r="V23" i="3"/>
  <c r="U23" i="3"/>
  <c r="T23" i="3"/>
  <c r="Z21" i="3"/>
  <c r="Y21" i="3"/>
  <c r="X21" i="3"/>
  <c r="W21" i="3"/>
  <c r="V21" i="3"/>
  <c r="U21" i="3"/>
  <c r="T21" i="3"/>
  <c r="Z19" i="3"/>
  <c r="Y19" i="3"/>
  <c r="X19" i="3"/>
  <c r="W19" i="3"/>
  <c r="V19" i="3"/>
  <c r="U19" i="3"/>
  <c r="T19" i="3"/>
  <c r="Z7" i="3"/>
  <c r="Y7" i="3"/>
  <c r="Y10" i="3" s="1"/>
  <c r="X7" i="3"/>
  <c r="X10" i="3" s="1"/>
  <c r="W7" i="3"/>
  <c r="W10" i="3" s="1"/>
  <c r="V7" i="3"/>
  <c r="V10" i="3" s="1"/>
  <c r="U7" i="3"/>
  <c r="U10" i="3" s="1"/>
  <c r="T7" i="3"/>
  <c r="T10" i="3" s="1"/>
  <c r="AA115" i="3"/>
  <c r="L5" i="21"/>
  <c r="K5" i="21"/>
  <c r="J5" i="21"/>
  <c r="I5" i="21"/>
  <c r="H5" i="21"/>
  <c r="G5" i="21"/>
  <c r="F5" i="21"/>
  <c r="E5" i="21"/>
  <c r="D5" i="21"/>
  <c r="C5" i="21"/>
  <c r="Z7" i="5"/>
  <c r="AA7" i="5" s="1"/>
  <c r="Y7" i="5"/>
  <c r="X7" i="5"/>
  <c r="W7" i="5"/>
  <c r="V7" i="5"/>
  <c r="U7" i="5"/>
  <c r="T7" i="5"/>
  <c r="S7" i="5"/>
  <c r="Z6" i="5"/>
  <c r="AA6" i="5" s="1"/>
  <c r="Y6" i="5"/>
  <c r="X6" i="5"/>
  <c r="W6" i="5"/>
  <c r="V6" i="5"/>
  <c r="U6" i="5"/>
  <c r="T6" i="5"/>
  <c r="S6" i="5"/>
  <c r="G7" i="5"/>
  <c r="H7" i="5" s="1"/>
  <c r="I7" i="5" s="1"/>
  <c r="J7" i="5" s="1"/>
  <c r="K7" i="5" s="1"/>
  <c r="L7" i="5" s="1"/>
  <c r="F7" i="5"/>
  <c r="E7" i="5"/>
  <c r="D7" i="5"/>
  <c r="C7" i="5"/>
  <c r="G6" i="5"/>
  <c r="H6" i="5" s="1"/>
  <c r="F6" i="5"/>
  <c r="E6" i="5"/>
  <c r="B7" i="5"/>
  <c r="B6" i="5"/>
  <c r="J67" i="20"/>
  <c r="I67" i="20"/>
  <c r="H67" i="20"/>
  <c r="G67" i="20"/>
  <c r="F67" i="20"/>
  <c r="E67" i="20"/>
  <c r="D67" i="20"/>
  <c r="C67" i="20"/>
  <c r="J66" i="20"/>
  <c r="I66" i="20"/>
  <c r="H66" i="20"/>
  <c r="G66" i="20"/>
  <c r="F66" i="20"/>
  <c r="E66" i="20"/>
  <c r="D66" i="20"/>
  <c r="C66" i="20"/>
  <c r="J65" i="20"/>
  <c r="I65" i="20"/>
  <c r="H65" i="20"/>
  <c r="G65" i="20"/>
  <c r="F65" i="20"/>
  <c r="E65" i="20"/>
  <c r="D65" i="20"/>
  <c r="L76" i="19"/>
  <c r="K76" i="19"/>
  <c r="J76" i="19"/>
  <c r="I76" i="19"/>
  <c r="H76" i="19"/>
  <c r="G76" i="19"/>
  <c r="F76" i="19"/>
  <c r="E76" i="19"/>
  <c r="D76" i="19"/>
  <c r="C76" i="19"/>
  <c r="L75" i="19"/>
  <c r="K75" i="19"/>
  <c r="J75" i="19"/>
  <c r="I75" i="19"/>
  <c r="G75" i="19"/>
  <c r="F75" i="19"/>
  <c r="E75" i="19"/>
  <c r="D75" i="19"/>
  <c r="C75" i="19"/>
  <c r="L74" i="19"/>
  <c r="K74" i="19"/>
  <c r="J74" i="19"/>
  <c r="I74" i="19"/>
  <c r="H74" i="19"/>
  <c r="G74" i="19"/>
  <c r="F74" i="19"/>
  <c r="E74" i="19"/>
  <c r="D74" i="19"/>
  <c r="G33" i="18"/>
  <c r="F33" i="18"/>
  <c r="D33" i="18"/>
  <c r="C33" i="18"/>
  <c r="F34" i="18"/>
  <c r="G31" i="18"/>
  <c r="F31" i="18"/>
  <c r="F32" i="18" s="1"/>
  <c r="D31" i="18"/>
  <c r="C31" i="18"/>
  <c r="C32" i="18" s="1"/>
  <c r="AA198" i="3"/>
  <c r="AA197" i="3"/>
  <c r="AA195" i="3"/>
  <c r="Q198" i="3"/>
  <c r="G94" i="17" s="1"/>
  <c r="P198" i="3"/>
  <c r="F94" i="17" s="1"/>
  <c r="O198" i="3"/>
  <c r="E94" i="17" s="1"/>
  <c r="N198" i="3"/>
  <c r="D94" i="17" s="1"/>
  <c r="M198" i="3"/>
  <c r="C94" i="17" s="1"/>
  <c r="Q197" i="3"/>
  <c r="G93" i="17" s="1"/>
  <c r="P197" i="3"/>
  <c r="F93" i="17" s="1"/>
  <c r="O197" i="3"/>
  <c r="E93" i="17" s="1"/>
  <c r="N197" i="3"/>
  <c r="D93" i="17" s="1"/>
  <c r="M197" i="3"/>
  <c r="C93" i="17" s="1"/>
  <c r="Q195" i="3"/>
  <c r="G91" i="17" s="1"/>
  <c r="P195" i="3"/>
  <c r="F91" i="17" s="1"/>
  <c r="O195" i="3"/>
  <c r="E91" i="17" s="1"/>
  <c r="N195" i="3"/>
  <c r="D91" i="17" s="1"/>
  <c r="Q106" i="3"/>
  <c r="P106" i="3"/>
  <c r="O106" i="3"/>
  <c r="E31" i="12" s="1"/>
  <c r="N106" i="3"/>
  <c r="D31" i="12" s="1"/>
  <c r="M106" i="3"/>
  <c r="P25" i="3"/>
  <c r="F6" i="21" s="1"/>
  <c r="P23" i="3"/>
  <c r="H82" i="19"/>
  <c r="G82" i="19"/>
  <c r="F82" i="19"/>
  <c r="E82" i="19"/>
  <c r="D82" i="19"/>
  <c r="C82" i="19"/>
  <c r="H81" i="19"/>
  <c r="G81" i="19"/>
  <c r="F81" i="19"/>
  <c r="E81" i="19"/>
  <c r="D81" i="19"/>
  <c r="C81" i="19"/>
  <c r="H80" i="19"/>
  <c r="G80" i="19"/>
  <c r="F80" i="19"/>
  <c r="E80" i="19"/>
  <c r="D80" i="19"/>
  <c r="C80" i="19"/>
  <c r="Q174" i="3"/>
  <c r="P174" i="3"/>
  <c r="O174" i="3"/>
  <c r="N174" i="3"/>
  <c r="M174" i="3"/>
  <c r="AC33" i="3"/>
  <c r="Q207" i="3"/>
  <c r="L81" i="19" s="1"/>
  <c r="P207" i="3"/>
  <c r="K81" i="19" s="1"/>
  <c r="O207" i="3"/>
  <c r="J81" i="19" s="1"/>
  <c r="N207" i="3"/>
  <c r="I81" i="19" s="1"/>
  <c r="G10" i="16"/>
  <c r="Q115" i="3"/>
  <c r="P115" i="3"/>
  <c r="O115" i="3"/>
  <c r="N115" i="3"/>
  <c r="M115" i="3"/>
  <c r="F26" i="1" a="1"/>
  <c r="J64" i="20"/>
  <c r="I64" i="20"/>
  <c r="H64" i="20"/>
  <c r="G64" i="20"/>
  <c r="F64" i="20"/>
  <c r="E64" i="20"/>
  <c r="D64" i="20"/>
  <c r="J63" i="20"/>
  <c r="I63" i="20"/>
  <c r="H63" i="20"/>
  <c r="G63" i="20"/>
  <c r="F63" i="20"/>
  <c r="E63" i="20"/>
  <c r="D63" i="20"/>
  <c r="C65" i="20"/>
  <c r="C64" i="20"/>
  <c r="C63" i="20"/>
  <c r="J59" i="20"/>
  <c r="I59" i="20"/>
  <c r="H59" i="20"/>
  <c r="G59" i="20"/>
  <c r="F59" i="20"/>
  <c r="E59" i="20"/>
  <c r="D59" i="20"/>
  <c r="C59" i="20"/>
  <c r="J58" i="20"/>
  <c r="I58" i="20"/>
  <c r="H58" i="20"/>
  <c r="G58" i="20"/>
  <c r="F58" i="20"/>
  <c r="E58" i="20"/>
  <c r="D58" i="20"/>
  <c r="C58" i="20"/>
  <c r="J57" i="20"/>
  <c r="I57" i="20"/>
  <c r="H57" i="20"/>
  <c r="G57" i="20"/>
  <c r="F57" i="20"/>
  <c r="E57" i="20"/>
  <c r="D57" i="20"/>
  <c r="C57" i="20"/>
  <c r="J56" i="20"/>
  <c r="I56" i="20"/>
  <c r="H56" i="20"/>
  <c r="G56" i="20"/>
  <c r="F56" i="20"/>
  <c r="E56" i="20"/>
  <c r="D56" i="20"/>
  <c r="J55" i="20"/>
  <c r="I55" i="20"/>
  <c r="H55" i="20"/>
  <c r="G55" i="20"/>
  <c r="F55" i="20"/>
  <c r="E55" i="20"/>
  <c r="D55" i="20"/>
  <c r="C56" i="20"/>
  <c r="C55" i="20"/>
  <c r="G79" i="19"/>
  <c r="F79" i="19"/>
  <c r="E79" i="19"/>
  <c r="D79" i="19"/>
  <c r="C79" i="19"/>
  <c r="G78" i="19"/>
  <c r="F78" i="19"/>
  <c r="E78" i="19"/>
  <c r="D78" i="19"/>
  <c r="C78" i="19"/>
  <c r="G77" i="19"/>
  <c r="F77" i="19"/>
  <c r="E77" i="19"/>
  <c r="D77" i="19"/>
  <c r="C77" i="19"/>
  <c r="C74" i="19"/>
  <c r="L73" i="19"/>
  <c r="K73" i="19"/>
  <c r="J73" i="19"/>
  <c r="I73" i="19"/>
  <c r="H73" i="19"/>
  <c r="G73" i="19"/>
  <c r="F73" i="19"/>
  <c r="E73" i="19"/>
  <c r="D73" i="19"/>
  <c r="C73" i="19"/>
  <c r="L72" i="19"/>
  <c r="K72" i="19"/>
  <c r="J72" i="19"/>
  <c r="I72" i="19"/>
  <c r="H72" i="19"/>
  <c r="G72" i="19"/>
  <c r="F72" i="19"/>
  <c r="E72" i="19"/>
  <c r="D72" i="19"/>
  <c r="C72" i="19"/>
  <c r="G71" i="19"/>
  <c r="F71" i="19"/>
  <c r="E71" i="19"/>
  <c r="D71" i="19"/>
  <c r="G70" i="19"/>
  <c r="F70" i="19"/>
  <c r="E70" i="19"/>
  <c r="D70" i="19"/>
  <c r="G69" i="19"/>
  <c r="F69" i="19"/>
  <c r="E69" i="19"/>
  <c r="D69" i="19"/>
  <c r="C71" i="19"/>
  <c r="C70" i="19"/>
  <c r="C69" i="19"/>
  <c r="G68" i="19"/>
  <c r="F68" i="19"/>
  <c r="E68" i="19"/>
  <c r="D68" i="19"/>
  <c r="G67" i="19"/>
  <c r="F67" i="19"/>
  <c r="E67" i="19"/>
  <c r="D67" i="19"/>
  <c r="C68" i="19"/>
  <c r="C67" i="19"/>
  <c r="L66" i="19"/>
  <c r="K66" i="19"/>
  <c r="J66" i="19"/>
  <c r="I66" i="19"/>
  <c r="H66" i="19"/>
  <c r="G66" i="19"/>
  <c r="F66" i="19"/>
  <c r="E66" i="19"/>
  <c r="D66" i="19"/>
  <c r="C66" i="19"/>
  <c r="L65" i="19"/>
  <c r="K65" i="19"/>
  <c r="J65" i="19"/>
  <c r="I65" i="19"/>
  <c r="H65" i="19"/>
  <c r="G65" i="19"/>
  <c r="F65" i="19"/>
  <c r="E65" i="19"/>
  <c r="D65" i="19"/>
  <c r="C65" i="19"/>
  <c r="L64" i="19"/>
  <c r="K64" i="19"/>
  <c r="J64" i="19"/>
  <c r="I64" i="19"/>
  <c r="H64" i="19"/>
  <c r="G64" i="19"/>
  <c r="F64" i="19"/>
  <c r="E64" i="19"/>
  <c r="D64" i="19"/>
  <c r="C64" i="19"/>
  <c r="H63" i="19"/>
  <c r="G63" i="19"/>
  <c r="F63" i="19"/>
  <c r="E63" i="19"/>
  <c r="D63" i="19"/>
  <c r="L62" i="19"/>
  <c r="K62" i="19"/>
  <c r="J62" i="19"/>
  <c r="I62" i="19"/>
  <c r="H62" i="19"/>
  <c r="G62" i="19"/>
  <c r="F62" i="19"/>
  <c r="E62" i="19"/>
  <c r="D62" i="19"/>
  <c r="C63" i="19"/>
  <c r="C62" i="19"/>
  <c r="G7" i="16"/>
  <c r="F7" i="16"/>
  <c r="L70" i="3"/>
  <c r="K70" i="3"/>
  <c r="J70" i="3"/>
  <c r="I70" i="3"/>
  <c r="H70" i="3"/>
  <c r="G70" i="3"/>
  <c r="F70" i="3"/>
  <c r="E70" i="3"/>
  <c r="D70" i="3"/>
  <c r="C70" i="3"/>
  <c r="Q202" i="3"/>
  <c r="P202" i="3"/>
  <c r="O202" i="3"/>
  <c r="N202" i="3"/>
  <c r="M202" i="3"/>
  <c r="AC83" i="3"/>
  <c r="AC44" i="3"/>
  <c r="AC64" i="3"/>
  <c r="AA110" i="3"/>
  <c r="Q110" i="3"/>
  <c r="P110" i="3"/>
  <c r="O110" i="3"/>
  <c r="N110" i="3"/>
  <c r="M110" i="3"/>
  <c r="AC47" i="3"/>
  <c r="AA109" i="3"/>
  <c r="Q109" i="3"/>
  <c r="P109" i="3"/>
  <c r="O109" i="3"/>
  <c r="N109" i="3"/>
  <c r="M109" i="3"/>
  <c r="AC16" i="3"/>
  <c r="C13" i="10"/>
  <c r="C12" i="10"/>
  <c r="C11" i="10"/>
  <c r="G29" i="7"/>
  <c r="F29" i="7"/>
  <c r="E29" i="7"/>
  <c r="D29" i="7"/>
  <c r="C29" i="7"/>
  <c r="G14" i="7"/>
  <c r="F14" i="7"/>
  <c r="E14" i="7"/>
  <c r="D14" i="7"/>
  <c r="C14" i="7"/>
  <c r="AA106" i="3"/>
  <c r="AC106" i="3" s="1"/>
  <c r="AC38" i="3"/>
  <c r="AA76" i="3"/>
  <c r="H9" i="1"/>
  <c r="H8" i="1"/>
  <c r="H5" i="1"/>
  <c r="H4" i="1"/>
  <c r="H3" i="1"/>
  <c r="G28" i="18"/>
  <c r="F28" i="18"/>
  <c r="D28" i="18"/>
  <c r="C28" i="18"/>
  <c r="G26" i="18"/>
  <c r="F26" i="18"/>
  <c r="D26" i="18"/>
  <c r="C26" i="18"/>
  <c r="G24" i="18"/>
  <c r="F24" i="18"/>
  <c r="D24" i="18"/>
  <c r="C24" i="18"/>
  <c r="AA194" i="3"/>
  <c r="AA193" i="3"/>
  <c r="G16" i="18"/>
  <c r="F16" i="18"/>
  <c r="D16" i="18"/>
  <c r="C16" i="18"/>
  <c r="G14" i="18"/>
  <c r="F14" i="18"/>
  <c r="D14" i="18"/>
  <c r="C14" i="18"/>
  <c r="G8" i="18"/>
  <c r="F8" i="18"/>
  <c r="D8" i="18"/>
  <c r="C8" i="18"/>
  <c r="G6" i="18"/>
  <c r="F6" i="18"/>
  <c r="D6" i="18"/>
  <c r="C6" i="18"/>
  <c r="G5" i="18"/>
  <c r="G4" i="18"/>
  <c r="F5" i="18"/>
  <c r="F4" i="18"/>
  <c r="D5" i="18"/>
  <c r="D4" i="18"/>
  <c r="C5" i="18"/>
  <c r="C4" i="18"/>
  <c r="M195" i="3"/>
  <c r="Q194" i="3"/>
  <c r="P194" i="3"/>
  <c r="O194" i="3"/>
  <c r="N194" i="3"/>
  <c r="M194" i="3"/>
  <c r="Q193" i="3"/>
  <c r="P193" i="3"/>
  <c r="O193" i="3"/>
  <c r="N193" i="3"/>
  <c r="M193" i="3"/>
  <c r="G22" i="17"/>
  <c r="F22" i="17"/>
  <c r="E22" i="17"/>
  <c r="D22" i="17"/>
  <c r="C22" i="17"/>
  <c r="G21" i="17"/>
  <c r="F21" i="17"/>
  <c r="E21" i="17"/>
  <c r="D21" i="17"/>
  <c r="C21" i="17"/>
  <c r="G6" i="17"/>
  <c r="F6" i="17"/>
  <c r="E6" i="17"/>
  <c r="D6" i="17"/>
  <c r="C6" i="17"/>
  <c r="I3" i="17"/>
  <c r="C3" i="17"/>
  <c r="G2" i="17"/>
  <c r="F2" i="17"/>
  <c r="E2" i="17"/>
  <c r="D2" i="17"/>
  <c r="C2" i="17"/>
  <c r="P108" i="3"/>
  <c r="F45" i="7" s="1"/>
  <c r="O108" i="3"/>
  <c r="E45" i="7" s="1"/>
  <c r="N108" i="3"/>
  <c r="D45" i="7" s="1"/>
  <c r="M108" i="3"/>
  <c r="C45" i="7" s="1"/>
  <c r="AA136" i="3"/>
  <c r="Q136" i="3"/>
  <c r="P136" i="3"/>
  <c r="O136" i="3"/>
  <c r="N136" i="3"/>
  <c r="M136" i="3"/>
  <c r="AC30" i="3"/>
  <c r="Q168" i="3"/>
  <c r="P168" i="3"/>
  <c r="O168" i="3"/>
  <c r="N168" i="3"/>
  <c r="M168" i="3"/>
  <c r="Q167" i="3"/>
  <c r="P167" i="3"/>
  <c r="O167" i="3"/>
  <c r="N167" i="3"/>
  <c r="M167" i="3"/>
  <c r="AA143" i="3"/>
  <c r="Q143" i="3"/>
  <c r="P143" i="3"/>
  <c r="O143" i="3"/>
  <c r="N143" i="3"/>
  <c r="M143" i="3"/>
  <c r="AA142" i="3"/>
  <c r="Q142" i="3"/>
  <c r="P142" i="3"/>
  <c r="O142" i="3"/>
  <c r="N142" i="3"/>
  <c r="M142" i="3"/>
  <c r="AA137" i="3"/>
  <c r="Q137" i="3"/>
  <c r="P137" i="3"/>
  <c r="O137" i="3"/>
  <c r="N137" i="3"/>
  <c r="M137" i="3"/>
  <c r="G9" i="16"/>
  <c r="F6" i="16"/>
  <c r="G6" i="16"/>
  <c r="AC60" i="3"/>
  <c r="AC75" i="3"/>
  <c r="P76" i="3"/>
  <c r="O76" i="3"/>
  <c r="N76" i="3"/>
  <c r="M76" i="3"/>
  <c r="Q76" i="3"/>
  <c r="G24" i="12"/>
  <c r="F24" i="12"/>
  <c r="E24" i="12"/>
  <c r="D24" i="12"/>
  <c r="C24" i="12"/>
  <c r="L15" i="8"/>
  <c r="K15" i="8"/>
  <c r="J15" i="8"/>
  <c r="I15" i="8"/>
  <c r="H15" i="8"/>
  <c r="F42" i="7"/>
  <c r="E42" i="7"/>
  <c r="D42" i="7"/>
  <c r="C42" i="7"/>
  <c r="G30" i="7"/>
  <c r="F30" i="7"/>
  <c r="E30" i="7"/>
  <c r="D30" i="7"/>
  <c r="C30" i="7"/>
  <c r="G28" i="7"/>
  <c r="F28" i="7"/>
  <c r="E28" i="7"/>
  <c r="D28" i="7"/>
  <c r="C28" i="7"/>
  <c r="G15" i="7"/>
  <c r="F15" i="7"/>
  <c r="E15" i="7"/>
  <c r="D15" i="7"/>
  <c r="C15" i="7"/>
  <c r="L23" i="7"/>
  <c r="K23" i="7"/>
  <c r="J23" i="7"/>
  <c r="I23" i="7"/>
  <c r="H23" i="7"/>
  <c r="AB5" i="6"/>
  <c r="W15" i="6"/>
  <c r="V15" i="6"/>
  <c r="U15" i="6"/>
  <c r="T15" i="6"/>
  <c r="S15" i="6"/>
  <c r="R15" i="6"/>
  <c r="Q15" i="6"/>
  <c r="P15" i="6"/>
  <c r="W14" i="6"/>
  <c r="V14" i="6"/>
  <c r="U14" i="6"/>
  <c r="T14" i="6"/>
  <c r="S14" i="6"/>
  <c r="R14" i="6"/>
  <c r="Q14" i="6"/>
  <c r="P14" i="6"/>
  <c r="W11" i="6"/>
  <c r="V11" i="6"/>
  <c r="U11" i="6"/>
  <c r="T11" i="6"/>
  <c r="S11" i="6"/>
  <c r="R11" i="6"/>
  <c r="Q11" i="6"/>
  <c r="P11" i="6"/>
  <c r="O16" i="6"/>
  <c r="O11" i="6"/>
  <c r="B26" i="6"/>
  <c r="B21" i="6"/>
  <c r="G15" i="6"/>
  <c r="F15" i="6"/>
  <c r="E15" i="6"/>
  <c r="D15" i="6"/>
  <c r="C15" i="6"/>
  <c r="G14" i="6"/>
  <c r="F14" i="6"/>
  <c r="E14" i="6"/>
  <c r="D14" i="6"/>
  <c r="C14" i="6"/>
  <c r="B15" i="6"/>
  <c r="B14" i="6"/>
  <c r="G11" i="6"/>
  <c r="F11" i="6"/>
  <c r="E11" i="6"/>
  <c r="D11" i="6"/>
  <c r="C11" i="6"/>
  <c r="B5" i="6"/>
  <c r="Z20" i="6"/>
  <c r="Y20" i="6"/>
  <c r="X20" i="6"/>
  <c r="Z10" i="6"/>
  <c r="Y10" i="6"/>
  <c r="X10" i="6"/>
  <c r="Z8" i="5"/>
  <c r="Y8" i="5"/>
  <c r="X8" i="5"/>
  <c r="W8" i="5"/>
  <c r="V8" i="5"/>
  <c r="U8" i="5"/>
  <c r="T8" i="5"/>
  <c r="S8" i="5"/>
  <c r="Z5" i="5"/>
  <c r="Y5" i="5"/>
  <c r="X5" i="5"/>
  <c r="W5" i="5"/>
  <c r="V5" i="5"/>
  <c r="U5" i="5"/>
  <c r="T5" i="5"/>
  <c r="S5" i="5"/>
  <c r="R5" i="5"/>
  <c r="G8" i="5"/>
  <c r="F8" i="5"/>
  <c r="E8" i="5"/>
  <c r="D8" i="5"/>
  <c r="C8" i="5"/>
  <c r="C5" i="5"/>
  <c r="R14" i="5"/>
  <c r="B14" i="5"/>
  <c r="AC11" i="5"/>
  <c r="AB11" i="5"/>
  <c r="AA11" i="5"/>
  <c r="AA82" i="3"/>
  <c r="O82" i="3"/>
  <c r="N82" i="3"/>
  <c r="M82" i="3"/>
  <c r="L82" i="3"/>
  <c r="K82" i="3"/>
  <c r="J82" i="3"/>
  <c r="I82" i="3"/>
  <c r="H82" i="3"/>
  <c r="G82" i="3"/>
  <c r="F82" i="3"/>
  <c r="E82" i="3"/>
  <c r="D82" i="3"/>
  <c r="C82" i="3"/>
  <c r="P82" i="3"/>
  <c r="Q82" i="3"/>
  <c r="P122" i="3"/>
  <c r="O122" i="3"/>
  <c r="N122" i="3"/>
  <c r="M122" i="3"/>
  <c r="Q122" i="3"/>
  <c r="P120" i="3"/>
  <c r="O120" i="3"/>
  <c r="N120" i="3"/>
  <c r="M120" i="3"/>
  <c r="Q120" i="3"/>
  <c r="AC186" i="3"/>
  <c r="AC185" i="3"/>
  <c r="AC183" i="3"/>
  <c r="AC182" i="3"/>
  <c r="AC181" i="3"/>
  <c r="AA100" i="3"/>
  <c r="AC80" i="3"/>
  <c r="AA81" i="3"/>
  <c r="Q81" i="3"/>
  <c r="G7" i="21" s="1"/>
  <c r="P81" i="3"/>
  <c r="F7" i="21" s="1"/>
  <c r="O81" i="3"/>
  <c r="E7" i="21" s="1"/>
  <c r="N81" i="3"/>
  <c r="D7" i="21" s="1"/>
  <c r="M81" i="3"/>
  <c r="C7" i="21" s="1"/>
  <c r="AC49" i="3"/>
  <c r="AC48" i="3"/>
  <c r="AC46" i="3"/>
  <c r="AC45" i="3"/>
  <c r="AC43" i="3"/>
  <c r="AC42" i="3"/>
  <c r="AC40" i="3"/>
  <c r="AC39" i="3"/>
  <c r="AC37" i="3"/>
  <c r="AC36" i="3"/>
  <c r="AC34" i="3"/>
  <c r="AC32" i="3"/>
  <c r="AC31" i="3"/>
  <c r="AC29" i="3"/>
  <c r="AA41" i="3"/>
  <c r="AA35" i="3"/>
  <c r="O41" i="3"/>
  <c r="N41" i="3"/>
  <c r="M41" i="3"/>
  <c r="M35" i="3"/>
  <c r="O35" i="3"/>
  <c r="N35" i="3"/>
  <c r="P41" i="3"/>
  <c r="Q41" i="3"/>
  <c r="P35" i="3"/>
  <c r="Q35" i="3"/>
  <c r="AA96" i="3"/>
  <c r="AA95" i="3"/>
  <c r="AA94" i="3"/>
  <c r="AA92" i="3"/>
  <c r="AA91" i="3"/>
  <c r="AA89" i="3"/>
  <c r="AA88" i="3"/>
  <c r="AC24" i="3"/>
  <c r="AC22" i="3"/>
  <c r="AC20" i="3"/>
  <c r="AC18" i="3"/>
  <c r="AC17" i="3"/>
  <c r="AC15" i="3"/>
  <c r="AC14" i="3"/>
  <c r="AC13" i="3"/>
  <c r="AC12" i="3"/>
  <c r="AC11" i="3"/>
  <c r="AC9" i="3"/>
  <c r="AC8" i="3"/>
  <c r="AC6" i="3"/>
  <c r="AC5" i="3"/>
  <c r="AA25" i="3"/>
  <c r="AA23" i="3"/>
  <c r="AA21" i="3"/>
  <c r="AA19" i="3"/>
  <c r="AA7" i="3"/>
  <c r="AA10" i="3" s="1"/>
  <c r="Q100" i="3"/>
  <c r="P100" i="3"/>
  <c r="O100" i="3"/>
  <c r="N100" i="3"/>
  <c r="M100" i="3"/>
  <c r="Q96" i="3"/>
  <c r="P96" i="3"/>
  <c r="O96" i="3"/>
  <c r="N96" i="3"/>
  <c r="M96" i="3"/>
  <c r="Q95" i="3"/>
  <c r="P95" i="3"/>
  <c r="O95" i="3"/>
  <c r="N95" i="3"/>
  <c r="M95" i="3"/>
  <c r="Q94" i="3"/>
  <c r="P94" i="3"/>
  <c r="O94" i="3"/>
  <c r="N94" i="3"/>
  <c r="M94" i="3"/>
  <c r="Q92" i="3"/>
  <c r="P92" i="3"/>
  <c r="O92" i="3"/>
  <c r="N92" i="3"/>
  <c r="M92" i="3"/>
  <c r="Q91" i="3"/>
  <c r="P91" i="3"/>
  <c r="O91" i="3"/>
  <c r="N91" i="3"/>
  <c r="M91" i="3"/>
  <c r="Q89" i="3"/>
  <c r="P89" i="3"/>
  <c r="O89" i="3"/>
  <c r="N89" i="3"/>
  <c r="M89" i="3"/>
  <c r="Q88" i="3"/>
  <c r="P88" i="3"/>
  <c r="O88" i="3"/>
  <c r="N88" i="3"/>
  <c r="M88" i="3"/>
  <c r="M25" i="3"/>
  <c r="C6" i="21" s="1"/>
  <c r="N25" i="3"/>
  <c r="D6" i="21" s="1"/>
  <c r="O25" i="3"/>
  <c r="E6" i="21" s="1"/>
  <c r="Q25" i="3"/>
  <c r="G6" i="21" s="1"/>
  <c r="Q23" i="3"/>
  <c r="O23" i="3"/>
  <c r="N23" i="3"/>
  <c r="M23" i="3"/>
  <c r="Q21" i="3"/>
  <c r="P21" i="3"/>
  <c r="O21" i="3"/>
  <c r="N21" i="3"/>
  <c r="M21" i="3"/>
  <c r="Q19" i="3"/>
  <c r="P19" i="3"/>
  <c r="O19" i="3"/>
  <c r="N19" i="3"/>
  <c r="M19" i="3"/>
  <c r="Q7" i="3"/>
  <c r="Q10" i="3" s="1"/>
  <c r="L21" i="3"/>
  <c r="K21" i="3"/>
  <c r="J21" i="3"/>
  <c r="I21" i="3"/>
  <c r="H21" i="3"/>
  <c r="G21" i="3"/>
  <c r="F21" i="3"/>
  <c r="E21" i="3"/>
  <c r="D21" i="3"/>
  <c r="C21" i="3"/>
  <c r="L19" i="3"/>
  <c r="K19" i="3"/>
  <c r="J19" i="3"/>
  <c r="I19" i="3"/>
  <c r="H19" i="3"/>
  <c r="G19" i="3"/>
  <c r="F19" i="3"/>
  <c r="E19" i="3"/>
  <c r="D19" i="3"/>
  <c r="C19" i="3"/>
  <c r="P7" i="3"/>
  <c r="P10" i="3" s="1"/>
  <c r="O7" i="3"/>
  <c r="O10" i="3" s="1"/>
  <c r="N7" i="3"/>
  <c r="N10" i="3" s="1"/>
  <c r="M7" i="3"/>
  <c r="M10" i="3" s="1"/>
  <c r="L7" i="3"/>
  <c r="K7" i="3"/>
  <c r="J7" i="3"/>
  <c r="I7" i="3"/>
  <c r="H7" i="3"/>
  <c r="G7" i="3"/>
  <c r="F7" i="3"/>
  <c r="E7" i="3"/>
  <c r="D7" i="3"/>
  <c r="C7" i="3"/>
  <c r="C8" i="1" a="1"/>
  <c r="C9" i="1" a="1"/>
  <c r="C10" i="1" a="1"/>
  <c r="C14" i="1" a="1"/>
  <c r="C13" i="1" a="1"/>
  <c r="C12" i="1" a="1"/>
  <c r="C11" i="1" a="1"/>
  <c r="C7" i="1" a="1"/>
  <c r="C6" i="1" a="1"/>
  <c r="C5" i="1" a="1"/>
  <c r="C4" i="1" a="1"/>
  <c r="C78" i="12" l="1"/>
  <c r="G11" i="21"/>
  <c r="B33" i="18"/>
  <c r="B94" i="17"/>
  <c r="B31" i="18"/>
  <c r="B93" i="17"/>
  <c r="B28" i="18"/>
  <c r="B91" i="17"/>
  <c r="B26" i="18"/>
  <c r="B90" i="17"/>
  <c r="B24" i="18"/>
  <c r="B89" i="17"/>
  <c r="C6" i="5"/>
  <c r="D12" i="5" s="1"/>
  <c r="H75" i="19"/>
  <c r="Z171" i="3"/>
  <c r="Z151" i="3"/>
  <c r="I68" i="20" s="1"/>
  <c r="V173" i="3"/>
  <c r="V172" i="3"/>
  <c r="V151" i="3"/>
  <c r="E68" i="20" s="1"/>
  <c r="V171" i="3"/>
  <c r="U172" i="3"/>
  <c r="U171" i="3"/>
  <c r="U151" i="3"/>
  <c r="D68" i="20" s="1"/>
  <c r="V146" i="3"/>
  <c r="T146" i="3"/>
  <c r="U146" i="3"/>
  <c r="T173" i="3"/>
  <c r="T172" i="3"/>
  <c r="T171" i="3"/>
  <c r="X172" i="3"/>
  <c r="X171" i="3"/>
  <c r="X173" i="3"/>
  <c r="AC52" i="3"/>
  <c r="U173" i="3"/>
  <c r="Y173" i="3"/>
  <c r="Y172" i="3"/>
  <c r="Y171" i="3"/>
  <c r="Y151" i="3"/>
  <c r="H68" i="20" s="1"/>
  <c r="Z173" i="3"/>
  <c r="Z172" i="3"/>
  <c r="W173" i="3"/>
  <c r="W172" i="3"/>
  <c r="W171" i="3"/>
  <c r="Z138" i="3"/>
  <c r="Z99" i="3"/>
  <c r="I60" i="20" s="1"/>
  <c r="Z10" i="3"/>
  <c r="Z93" i="3" s="1"/>
  <c r="E11" i="21"/>
  <c r="Y138" i="3"/>
  <c r="Y68" i="3"/>
  <c r="Y69" i="3" s="1"/>
  <c r="X68" i="3"/>
  <c r="X69" i="3" s="1"/>
  <c r="Y93" i="3"/>
  <c r="W68" i="3"/>
  <c r="W69" i="3" s="1"/>
  <c r="X93" i="3"/>
  <c r="V68" i="3"/>
  <c r="V69" i="3" s="1"/>
  <c r="W93" i="3"/>
  <c r="U68" i="3"/>
  <c r="U69" i="3" s="1"/>
  <c r="V93" i="3"/>
  <c r="T68" i="3"/>
  <c r="T69" i="3" s="1"/>
  <c r="U93" i="3"/>
  <c r="T93" i="3"/>
  <c r="Y99" i="3"/>
  <c r="H60" i="20" s="1"/>
  <c r="Z90" i="3"/>
  <c r="X99" i="3"/>
  <c r="G60" i="20" s="1"/>
  <c r="Y90" i="3"/>
  <c r="W99" i="3"/>
  <c r="F60" i="20" s="1"/>
  <c r="X90" i="3"/>
  <c r="V99" i="3"/>
  <c r="E60" i="20" s="1"/>
  <c r="W90" i="3"/>
  <c r="U99" i="3"/>
  <c r="D60" i="20" s="1"/>
  <c r="V90" i="3"/>
  <c r="T99" i="3"/>
  <c r="C60" i="20" s="1"/>
  <c r="U90" i="3"/>
  <c r="T90" i="3"/>
  <c r="X138" i="3"/>
  <c r="W138" i="3"/>
  <c r="V138" i="3"/>
  <c r="U138" i="3"/>
  <c r="T138" i="3"/>
  <c r="V77" i="3"/>
  <c r="V147" i="3" s="1"/>
  <c r="V148" i="3" s="1"/>
  <c r="U77" i="3"/>
  <c r="U147" i="3" s="1"/>
  <c r="U148" i="3" s="1"/>
  <c r="T77" i="3"/>
  <c r="T147" i="3" s="1"/>
  <c r="T148" i="3" s="1"/>
  <c r="Z77" i="3"/>
  <c r="Z147" i="3" s="1"/>
  <c r="Z148" i="3" s="1"/>
  <c r="Z146" i="3"/>
  <c r="Y77" i="3"/>
  <c r="Y147" i="3" s="1"/>
  <c r="Y148" i="3" s="1"/>
  <c r="Y146" i="3"/>
  <c r="X77" i="3"/>
  <c r="X147" i="3" s="1"/>
  <c r="X148" i="3" s="1"/>
  <c r="X146" i="3"/>
  <c r="W77" i="3"/>
  <c r="W147" i="3" s="1"/>
  <c r="W148" i="3" s="1"/>
  <c r="W146" i="3"/>
  <c r="F11" i="21"/>
  <c r="AA108" i="3"/>
  <c r="AC59" i="3"/>
  <c r="AC108" i="3" s="1"/>
  <c r="AA168" i="3"/>
  <c r="AA167" i="3"/>
  <c r="AC53" i="3"/>
  <c r="C68" i="12"/>
  <c r="C47" i="12"/>
  <c r="Z139" i="3"/>
  <c r="Z140" i="3"/>
  <c r="Y139" i="3"/>
  <c r="Y140" i="3"/>
  <c r="X139" i="3"/>
  <c r="X140" i="3"/>
  <c r="W139" i="3"/>
  <c r="W140" i="3"/>
  <c r="V139" i="3"/>
  <c r="V140" i="3"/>
  <c r="U139" i="3"/>
  <c r="U140" i="3"/>
  <c r="T139" i="3"/>
  <c r="T140" i="3"/>
  <c r="Z166" i="3"/>
  <c r="Z169" i="3"/>
  <c r="Z141" i="3"/>
  <c r="Y141" i="3"/>
  <c r="Y166" i="3"/>
  <c r="Y169" i="3"/>
  <c r="X141" i="3"/>
  <c r="X166" i="3"/>
  <c r="X169" i="3"/>
  <c r="W141" i="3"/>
  <c r="W166" i="3"/>
  <c r="W169" i="3"/>
  <c r="V141" i="3"/>
  <c r="V166" i="3"/>
  <c r="V169" i="3"/>
  <c r="U141" i="3"/>
  <c r="U166" i="3"/>
  <c r="U169" i="3"/>
  <c r="T141" i="3"/>
  <c r="T166" i="3"/>
  <c r="T169" i="3"/>
  <c r="D11" i="21"/>
  <c r="C21" i="21"/>
  <c r="C23" i="21" s="1"/>
  <c r="G16" i="21"/>
  <c r="F16" i="21"/>
  <c r="G12" i="21"/>
  <c r="E16" i="21"/>
  <c r="F12" i="21"/>
  <c r="E12" i="21"/>
  <c r="D16" i="21"/>
  <c r="C16" i="21"/>
  <c r="D12" i="21"/>
  <c r="L15" i="21"/>
  <c r="L10" i="21"/>
  <c r="K15" i="21"/>
  <c r="K10" i="21"/>
  <c r="J15" i="21"/>
  <c r="J10" i="21"/>
  <c r="I10" i="21"/>
  <c r="I15" i="21"/>
  <c r="H10" i="21"/>
  <c r="H15" i="21"/>
  <c r="G10" i="21"/>
  <c r="G15" i="21"/>
  <c r="F15" i="21"/>
  <c r="F10" i="21"/>
  <c r="E15" i="21"/>
  <c r="E10" i="21"/>
  <c r="D15" i="21"/>
  <c r="D10" i="21"/>
  <c r="C15" i="21"/>
  <c r="C10" i="21"/>
  <c r="AA8" i="5"/>
  <c r="C34" i="18"/>
  <c r="I6" i="5"/>
  <c r="C5" i="12"/>
  <c r="C6" i="11"/>
  <c r="AC174" i="3"/>
  <c r="D3" i="17"/>
  <c r="D5" i="5"/>
  <c r="I63" i="19"/>
  <c r="AC175" i="3"/>
  <c r="Q175" i="3"/>
  <c r="P175" i="3"/>
  <c r="O175" i="3"/>
  <c r="N175" i="3"/>
  <c r="M175" i="3"/>
  <c r="AA105" i="3"/>
  <c r="Q105" i="3"/>
  <c r="P105" i="3"/>
  <c r="O105" i="3"/>
  <c r="N105" i="3"/>
  <c r="M105" i="3"/>
  <c r="Q208" i="3"/>
  <c r="L82" i="19" s="1"/>
  <c r="P208" i="3"/>
  <c r="K82" i="19" s="1"/>
  <c r="O208" i="3"/>
  <c r="J82" i="19" s="1"/>
  <c r="N208" i="3"/>
  <c r="I82" i="19" s="1"/>
  <c r="Q206" i="3"/>
  <c r="L80" i="19" s="1"/>
  <c r="P206" i="3"/>
  <c r="K80" i="19" s="1"/>
  <c r="O206" i="3"/>
  <c r="J80" i="19" s="1"/>
  <c r="N206" i="3"/>
  <c r="I80" i="19" s="1"/>
  <c r="F31" i="12"/>
  <c r="C23" i="11"/>
  <c r="C25" i="14"/>
  <c r="F10" i="16"/>
  <c r="Q157" i="3"/>
  <c r="P157" i="3"/>
  <c r="O157" i="3"/>
  <c r="N157" i="3"/>
  <c r="Q156" i="3"/>
  <c r="P156" i="3"/>
  <c r="O156" i="3"/>
  <c r="N156" i="3"/>
  <c r="M157" i="3"/>
  <c r="M156" i="3"/>
  <c r="Q145" i="3"/>
  <c r="P145" i="3"/>
  <c r="O145" i="3"/>
  <c r="N145" i="3"/>
  <c r="M145" i="3"/>
  <c r="Q144" i="3"/>
  <c r="P144" i="3"/>
  <c r="O144" i="3"/>
  <c r="N144" i="3"/>
  <c r="M144" i="3"/>
  <c r="G68" i="20"/>
  <c r="F68" i="20"/>
  <c r="C68" i="20"/>
  <c r="J61" i="20"/>
  <c r="I61" i="20"/>
  <c r="H61" i="20"/>
  <c r="G61" i="20"/>
  <c r="F61" i="20"/>
  <c r="E61" i="20"/>
  <c r="D61" i="20"/>
  <c r="C61" i="20"/>
  <c r="F27" i="1" s="1"/>
  <c r="C9" i="10" s="1"/>
  <c r="L70" i="19"/>
  <c r="K70" i="19"/>
  <c r="J70" i="19"/>
  <c r="I70" i="19"/>
  <c r="H70" i="19"/>
  <c r="G34" i="8"/>
  <c r="F34" i="8"/>
  <c r="E34" i="8"/>
  <c r="D34" i="8"/>
  <c r="C34" i="8"/>
  <c r="G8" i="16"/>
  <c r="F8" i="16"/>
  <c r="AA70" i="3"/>
  <c r="O70" i="3"/>
  <c r="N70" i="3"/>
  <c r="M70" i="3"/>
  <c r="P70" i="3"/>
  <c r="Q70" i="3"/>
  <c r="Q68" i="3"/>
  <c r="P68" i="3"/>
  <c r="O68" i="3"/>
  <c r="N68" i="3"/>
  <c r="M68" i="3"/>
  <c r="L68" i="3"/>
  <c r="K68" i="3"/>
  <c r="J68" i="3"/>
  <c r="I68" i="3"/>
  <c r="H68" i="3"/>
  <c r="G68" i="3"/>
  <c r="F68" i="3"/>
  <c r="E68" i="3"/>
  <c r="D68" i="3"/>
  <c r="C68" i="3"/>
  <c r="AA68" i="3"/>
  <c r="Q151" i="3"/>
  <c r="Q161" i="3" s="1"/>
  <c r="P151" i="3"/>
  <c r="P161" i="3" s="1"/>
  <c r="O151" i="3"/>
  <c r="O161" i="3" s="1"/>
  <c r="N151" i="3"/>
  <c r="N161" i="3" s="1"/>
  <c r="M151" i="3"/>
  <c r="M161" i="3" s="1"/>
  <c r="AC110" i="3"/>
  <c r="Q119" i="3"/>
  <c r="P119" i="3"/>
  <c r="O119" i="3"/>
  <c r="N119" i="3"/>
  <c r="M119" i="3"/>
  <c r="AA101" i="3"/>
  <c r="J62" i="20" s="1"/>
  <c r="I62" i="20"/>
  <c r="H62" i="20"/>
  <c r="G62" i="20"/>
  <c r="F62" i="20"/>
  <c r="E62" i="20"/>
  <c r="D62" i="20"/>
  <c r="C62" i="20"/>
  <c r="Q101" i="3"/>
  <c r="L71" i="19" s="1"/>
  <c r="P101" i="3"/>
  <c r="K71" i="19" s="1"/>
  <c r="O101" i="3"/>
  <c r="J71" i="19" s="1"/>
  <c r="N101" i="3"/>
  <c r="I71" i="19" s="1"/>
  <c r="M101" i="3"/>
  <c r="H71" i="19" s="1"/>
  <c r="AC109" i="3"/>
  <c r="G35" i="7"/>
  <c r="AC62" i="3"/>
  <c r="G31" i="12"/>
  <c r="E35" i="7"/>
  <c r="F35" i="7"/>
  <c r="D35" i="7"/>
  <c r="C35" i="7"/>
  <c r="AC82" i="3"/>
  <c r="AC104" i="3" s="1"/>
  <c r="AA139" i="3"/>
  <c r="Q139" i="3"/>
  <c r="N139" i="3"/>
  <c r="P139" i="3"/>
  <c r="O139" i="3"/>
  <c r="M139" i="3"/>
  <c r="C31" i="12"/>
  <c r="G90" i="17"/>
  <c r="D90" i="17"/>
  <c r="C90" i="17"/>
  <c r="G89" i="17"/>
  <c r="F20" i="18"/>
  <c r="C20" i="18"/>
  <c r="F18" i="18"/>
  <c r="C18" i="18"/>
  <c r="F12" i="18"/>
  <c r="F10" i="18"/>
  <c r="C10" i="18"/>
  <c r="G97" i="17"/>
  <c r="F97" i="17"/>
  <c r="E97" i="17"/>
  <c r="D97" i="17"/>
  <c r="C97" i="17"/>
  <c r="C91" i="17"/>
  <c r="F90" i="17"/>
  <c r="E90" i="17"/>
  <c r="F89" i="17"/>
  <c r="E89" i="17"/>
  <c r="D89" i="17"/>
  <c r="C89" i="17"/>
  <c r="AC28" i="3"/>
  <c r="G20" i="18"/>
  <c r="D20" i="18"/>
  <c r="G18" i="18"/>
  <c r="D18" i="18"/>
  <c r="C17" i="18"/>
  <c r="AA104" i="3"/>
  <c r="C15" i="18"/>
  <c r="G12" i="18"/>
  <c r="D12" i="18"/>
  <c r="C9" i="18"/>
  <c r="G10" i="18"/>
  <c r="C7" i="18"/>
  <c r="D10" i="18"/>
  <c r="G23" i="18"/>
  <c r="F23" i="18"/>
  <c r="C23" i="18"/>
  <c r="F27" i="18"/>
  <c r="C27" i="18"/>
  <c r="C25" i="18"/>
  <c r="F29" i="18"/>
  <c r="C29" i="18"/>
  <c r="F25" i="18"/>
  <c r="F17" i="18"/>
  <c r="F15" i="18"/>
  <c r="D23" i="18"/>
  <c r="F9" i="18"/>
  <c r="F7" i="18"/>
  <c r="G85" i="17"/>
  <c r="F85" i="17"/>
  <c r="E85" i="17"/>
  <c r="D85" i="17"/>
  <c r="C85" i="17"/>
  <c r="G84" i="17"/>
  <c r="F84" i="17"/>
  <c r="E84" i="17"/>
  <c r="D84" i="17"/>
  <c r="C84" i="17"/>
  <c r="G81" i="17"/>
  <c r="F81" i="17"/>
  <c r="E81" i="17"/>
  <c r="D81" i="17"/>
  <c r="C81" i="17"/>
  <c r="G80" i="17"/>
  <c r="F80" i="17"/>
  <c r="E80" i="17"/>
  <c r="D80" i="17"/>
  <c r="C80" i="17"/>
  <c r="G72" i="17"/>
  <c r="F72" i="17"/>
  <c r="E72" i="17"/>
  <c r="D72" i="17"/>
  <c r="G71" i="17"/>
  <c r="F71" i="17"/>
  <c r="E71" i="17"/>
  <c r="D71" i="17"/>
  <c r="C72" i="17"/>
  <c r="C71" i="17"/>
  <c r="G48" i="17"/>
  <c r="F48" i="17"/>
  <c r="E48" i="17"/>
  <c r="D48" i="17"/>
  <c r="G47" i="17"/>
  <c r="F47" i="17"/>
  <c r="E47" i="17"/>
  <c r="D47" i="17"/>
  <c r="C48" i="17"/>
  <c r="C47" i="17"/>
  <c r="G40" i="17"/>
  <c r="F40" i="17"/>
  <c r="E40" i="17"/>
  <c r="D40" i="17"/>
  <c r="G39" i="17"/>
  <c r="F39" i="17"/>
  <c r="E39" i="17"/>
  <c r="D39" i="17"/>
  <c r="C40" i="17"/>
  <c r="C39" i="17"/>
  <c r="G29" i="17"/>
  <c r="F29" i="17"/>
  <c r="E29" i="17"/>
  <c r="D29" i="17"/>
  <c r="G27" i="17"/>
  <c r="F27" i="17"/>
  <c r="E27" i="17"/>
  <c r="D27" i="17"/>
  <c r="C29" i="17"/>
  <c r="C27" i="17"/>
  <c r="I22" i="17"/>
  <c r="I21" i="17"/>
  <c r="G17" i="17"/>
  <c r="F17" i="17"/>
  <c r="E17" i="17"/>
  <c r="D17" i="17"/>
  <c r="C17" i="17"/>
  <c r="Q173" i="3"/>
  <c r="G77" i="17" s="1"/>
  <c r="P173" i="3"/>
  <c r="F77" i="17" s="1"/>
  <c r="O173" i="3"/>
  <c r="E77" i="17" s="1"/>
  <c r="N173" i="3"/>
  <c r="D77" i="17" s="1"/>
  <c r="M173" i="3"/>
  <c r="C77" i="17" s="1"/>
  <c r="Q172" i="3"/>
  <c r="G76" i="17" s="1"/>
  <c r="P172" i="3"/>
  <c r="F76" i="17" s="1"/>
  <c r="O172" i="3"/>
  <c r="E76" i="17" s="1"/>
  <c r="N172" i="3"/>
  <c r="D76" i="17" s="1"/>
  <c r="M172" i="3"/>
  <c r="C76" i="17" s="1"/>
  <c r="Q171" i="3"/>
  <c r="G75" i="17" s="1"/>
  <c r="P171" i="3"/>
  <c r="F75" i="17" s="1"/>
  <c r="O171" i="3"/>
  <c r="E75" i="17" s="1"/>
  <c r="N171" i="3"/>
  <c r="D75" i="17" s="1"/>
  <c r="M171" i="3"/>
  <c r="C75" i="17" s="1"/>
  <c r="D23" i="17"/>
  <c r="E23" i="17"/>
  <c r="F23" i="17"/>
  <c r="G23" i="17"/>
  <c r="C23" i="17"/>
  <c r="AC136" i="3"/>
  <c r="I39" i="17" s="1"/>
  <c r="AC78" i="3"/>
  <c r="Q79" i="3"/>
  <c r="P79" i="3"/>
  <c r="N79" i="3"/>
  <c r="M79" i="3"/>
  <c r="O79" i="3"/>
  <c r="AC143" i="3"/>
  <c r="AC142" i="3"/>
  <c r="AC139" i="3"/>
  <c r="AA135" i="3"/>
  <c r="AC137" i="3"/>
  <c r="AC135" i="3"/>
  <c r="Q135" i="3"/>
  <c r="P135" i="3"/>
  <c r="O135" i="3"/>
  <c r="N135" i="3"/>
  <c r="M135" i="3"/>
  <c r="F9" i="16"/>
  <c r="F17" i="16"/>
  <c r="AC57" i="3"/>
  <c r="F16" i="16"/>
  <c r="AC76" i="3"/>
  <c r="O26" i="6"/>
  <c r="O21" i="6"/>
  <c r="AC56" i="3"/>
  <c r="AC54" i="3"/>
  <c r="O104" i="3"/>
  <c r="O107" i="3" s="1"/>
  <c r="O152" i="3" s="1"/>
  <c r="N104" i="3"/>
  <c r="N107" i="3" s="1"/>
  <c r="N152" i="3" s="1"/>
  <c r="M104" i="3"/>
  <c r="M107" i="3" s="1"/>
  <c r="M152" i="3" s="1"/>
  <c r="L104" i="3"/>
  <c r="K104" i="3"/>
  <c r="J104" i="3"/>
  <c r="I104" i="3"/>
  <c r="H104" i="3"/>
  <c r="G104" i="3"/>
  <c r="F104" i="3"/>
  <c r="E104" i="3"/>
  <c r="D104" i="3"/>
  <c r="C104" i="3"/>
  <c r="C6" i="14"/>
  <c r="G19" i="12"/>
  <c r="F19" i="12"/>
  <c r="E19" i="12"/>
  <c r="D19" i="12"/>
  <c r="C19" i="12"/>
  <c r="G6" i="12"/>
  <c r="F6" i="12"/>
  <c r="E6" i="12"/>
  <c r="D6" i="12"/>
  <c r="C6" i="12"/>
  <c r="C8" i="10"/>
  <c r="C18" i="10"/>
  <c r="E7" i="8"/>
  <c r="E6" i="8"/>
  <c r="C5" i="8"/>
  <c r="C32" i="8" s="1"/>
  <c r="E13" i="7"/>
  <c r="C13" i="7"/>
  <c r="D7" i="7"/>
  <c r="U16" i="6"/>
  <c r="T16" i="6"/>
  <c r="P16" i="6"/>
  <c r="O15" i="6"/>
  <c r="O25" i="6" s="1"/>
  <c r="O14" i="6"/>
  <c r="O24" i="6" s="1"/>
  <c r="W6" i="6"/>
  <c r="T6" i="6"/>
  <c r="V5" i="6"/>
  <c r="S5" i="6"/>
  <c r="P5" i="6"/>
  <c r="B24" i="6"/>
  <c r="E16" i="6"/>
  <c r="D16" i="6"/>
  <c r="G6" i="6"/>
  <c r="E6" i="6"/>
  <c r="C6" i="6"/>
  <c r="R6" i="5"/>
  <c r="G21" i="8"/>
  <c r="E21" i="8"/>
  <c r="G20" i="8"/>
  <c r="F20" i="8"/>
  <c r="C20" i="8"/>
  <c r="F7" i="8"/>
  <c r="C7" i="8"/>
  <c r="F6" i="8"/>
  <c r="F13" i="7"/>
  <c r="D13" i="7"/>
  <c r="F7" i="7"/>
  <c r="C6" i="7"/>
  <c r="R16" i="6"/>
  <c r="U6" i="6"/>
  <c r="R6" i="6"/>
  <c r="P6" i="6"/>
  <c r="Q5" i="6"/>
  <c r="G16" i="6"/>
  <c r="C16" i="6"/>
  <c r="C5" i="6"/>
  <c r="R7" i="5"/>
  <c r="F21" i="8"/>
  <c r="D21" i="8"/>
  <c r="C21" i="8"/>
  <c r="E20" i="8"/>
  <c r="D20" i="8"/>
  <c r="G7" i="8"/>
  <c r="D7" i="8"/>
  <c r="G6" i="8"/>
  <c r="D6" i="8"/>
  <c r="C6" i="8"/>
  <c r="G13" i="7"/>
  <c r="G7" i="7"/>
  <c r="E7" i="7"/>
  <c r="C7" i="7"/>
  <c r="W16" i="6"/>
  <c r="S16" i="6"/>
  <c r="Q16" i="6"/>
  <c r="V6" i="6"/>
  <c r="S6" i="6"/>
  <c r="Q6" i="6"/>
  <c r="W5" i="6"/>
  <c r="U5" i="6"/>
  <c r="T5" i="6"/>
  <c r="R5" i="6"/>
  <c r="B25" i="6"/>
  <c r="F16" i="6"/>
  <c r="F6" i="6"/>
  <c r="D6" i="6"/>
  <c r="D25" i="6" s="1"/>
  <c r="G8" i="7"/>
  <c r="E8" i="7"/>
  <c r="F8" i="7"/>
  <c r="C8" i="7"/>
  <c r="D8" i="7"/>
  <c r="G44" i="7"/>
  <c r="F44" i="7"/>
  <c r="E44" i="7"/>
  <c r="D44" i="7"/>
  <c r="C44" i="7"/>
  <c r="AB9" i="6"/>
  <c r="AB10" i="6"/>
  <c r="S11" i="5"/>
  <c r="C11" i="5"/>
  <c r="Z14" i="5"/>
  <c r="Y14" i="5"/>
  <c r="X14" i="5"/>
  <c r="W14" i="5"/>
  <c r="V14" i="5"/>
  <c r="U14" i="5"/>
  <c r="T14" i="5"/>
  <c r="G14" i="5"/>
  <c r="F14" i="5"/>
  <c r="E14" i="5"/>
  <c r="D14" i="5"/>
  <c r="Z13" i="5"/>
  <c r="Y13" i="5"/>
  <c r="X13" i="5"/>
  <c r="W13" i="5"/>
  <c r="V13" i="5"/>
  <c r="U13" i="5"/>
  <c r="T13" i="5"/>
  <c r="G13" i="5"/>
  <c r="F13" i="5"/>
  <c r="E13" i="5"/>
  <c r="D13" i="5"/>
  <c r="B13" i="5"/>
  <c r="Z12" i="5"/>
  <c r="Y12" i="5"/>
  <c r="X12" i="5"/>
  <c r="W12" i="5"/>
  <c r="V12" i="5"/>
  <c r="U12" i="5"/>
  <c r="T12" i="5"/>
  <c r="G12" i="5"/>
  <c r="F12" i="5"/>
  <c r="E12" i="5"/>
  <c r="B12" i="5"/>
  <c r="Z11" i="5"/>
  <c r="Y11" i="5"/>
  <c r="X11" i="5"/>
  <c r="W11" i="5"/>
  <c r="V11" i="5"/>
  <c r="U11" i="5"/>
  <c r="T11" i="5"/>
  <c r="P104" i="3"/>
  <c r="P107" i="3" s="1"/>
  <c r="P152" i="3" s="1"/>
  <c r="Q104" i="3"/>
  <c r="AC122" i="3"/>
  <c r="AC120" i="3"/>
  <c r="AC100" i="3"/>
  <c r="AA99" i="3"/>
  <c r="J60" i="20" s="1"/>
  <c r="AC81" i="3"/>
  <c r="AC73" i="3"/>
  <c r="AA74" i="3"/>
  <c r="M74" i="3"/>
  <c r="N74" i="3"/>
  <c r="O74" i="3"/>
  <c r="P74" i="3"/>
  <c r="Q74" i="3"/>
  <c r="AC41" i="3"/>
  <c r="AC35" i="3"/>
  <c r="AA90" i="3"/>
  <c r="C11" i="18" s="1"/>
  <c r="AC7" i="3"/>
  <c r="AC99" i="3" s="1"/>
  <c r="Q99" i="3"/>
  <c r="P99" i="3"/>
  <c r="O99" i="3"/>
  <c r="N99" i="3"/>
  <c r="M99" i="3"/>
  <c r="Q93" i="3"/>
  <c r="G83" i="17" s="1"/>
  <c r="P93" i="3"/>
  <c r="F83" i="17" s="1"/>
  <c r="O93" i="3"/>
  <c r="E83" i="17" s="1"/>
  <c r="N93" i="3"/>
  <c r="D83" i="17" s="1"/>
  <c r="M93" i="3"/>
  <c r="C83" i="17" s="1"/>
  <c r="AC25" i="3"/>
  <c r="F5" i="1" s="1"/>
  <c r="AC23" i="3"/>
  <c r="AC21" i="3"/>
  <c r="AC19" i="3"/>
  <c r="Q90" i="3"/>
  <c r="G82" i="17" s="1"/>
  <c r="O90" i="3"/>
  <c r="E82" i="17" s="1"/>
  <c r="M90" i="3"/>
  <c r="C82" i="17" s="1"/>
  <c r="P90" i="3"/>
  <c r="F82" i="17" s="1"/>
  <c r="N90" i="3"/>
  <c r="D82" i="17" s="1"/>
  <c r="C10" i="10" s="1"/>
  <c r="C11" i="13" s="1"/>
  <c r="F18" i="16" l="1"/>
  <c r="V16" i="6"/>
  <c r="V26" i="6" s="1"/>
  <c r="C12" i="18"/>
  <c r="AA93" i="3"/>
  <c r="C13" i="18" s="1"/>
  <c r="AC10" i="3"/>
  <c r="AC68" i="3" s="1"/>
  <c r="Z68" i="3"/>
  <c r="Z69" i="3" s="1"/>
  <c r="H8" i="5"/>
  <c r="AA151" i="3"/>
  <c r="J68" i="20" s="1"/>
  <c r="AA173" i="3"/>
  <c r="AA172" i="3"/>
  <c r="AA171" i="3"/>
  <c r="AC74" i="3"/>
  <c r="C22" i="14" s="1"/>
  <c r="C35" i="14" s="1"/>
  <c r="AA146" i="3"/>
  <c r="AC167" i="3"/>
  <c r="AC168" i="3"/>
  <c r="X6" i="6"/>
  <c r="AE8" i="5"/>
  <c r="AB6" i="6" s="1"/>
  <c r="J6" i="5"/>
  <c r="D6" i="11"/>
  <c r="D5" i="12"/>
  <c r="Q177" i="3"/>
  <c r="Q176" i="3"/>
  <c r="P177" i="3"/>
  <c r="P176" i="3"/>
  <c r="O177" i="3"/>
  <c r="O176" i="3"/>
  <c r="N177" i="3"/>
  <c r="N176" i="3"/>
  <c r="M177" i="3"/>
  <c r="M176" i="3"/>
  <c r="E3" i="17"/>
  <c r="J63" i="19"/>
  <c r="E5" i="5"/>
  <c r="D6" i="14"/>
  <c r="D6" i="7"/>
  <c r="D5" i="6"/>
  <c r="D5" i="8"/>
  <c r="D11" i="5"/>
  <c r="G53" i="17"/>
  <c r="F53" i="17"/>
  <c r="E53" i="17"/>
  <c r="D53" i="17"/>
  <c r="G51" i="17"/>
  <c r="F51" i="17"/>
  <c r="E51" i="17"/>
  <c r="D51" i="17"/>
  <c r="C51" i="17"/>
  <c r="C53" i="17"/>
  <c r="Q146" i="3"/>
  <c r="P146" i="3"/>
  <c r="O146" i="3"/>
  <c r="N146" i="3"/>
  <c r="M146" i="3"/>
  <c r="AC151" i="3"/>
  <c r="AC164" i="3" s="1"/>
  <c r="M77" i="3"/>
  <c r="M147" i="3" s="1"/>
  <c r="N77" i="3"/>
  <c r="N147" i="3" s="1"/>
  <c r="O77" i="3"/>
  <c r="O147" i="3" s="1"/>
  <c r="P77" i="3"/>
  <c r="P147" i="3" s="1"/>
  <c r="Q77" i="3"/>
  <c r="Q147" i="3" s="1"/>
  <c r="F22" i="8"/>
  <c r="AC70" i="3"/>
  <c r="Q162" i="3"/>
  <c r="L67" i="19"/>
  <c r="Q164" i="3"/>
  <c r="P162" i="3"/>
  <c r="K67" i="19"/>
  <c r="P164" i="3"/>
  <c r="O162" i="3"/>
  <c r="J67" i="19"/>
  <c r="O164" i="3"/>
  <c r="N162" i="3"/>
  <c r="I67" i="19"/>
  <c r="N164" i="3"/>
  <c r="M162" i="3"/>
  <c r="H67" i="19"/>
  <c r="M164" i="3"/>
  <c r="G16" i="17"/>
  <c r="G33" i="8"/>
  <c r="L69" i="19"/>
  <c r="F16" i="17"/>
  <c r="F33" i="8"/>
  <c r="K69" i="19"/>
  <c r="E16" i="17"/>
  <c r="E33" i="8"/>
  <c r="J69" i="19"/>
  <c r="D16" i="17"/>
  <c r="D33" i="8"/>
  <c r="I69" i="19"/>
  <c r="C16" i="17"/>
  <c r="C33" i="8"/>
  <c r="H69" i="19"/>
  <c r="C19" i="10"/>
  <c r="E22" i="8"/>
  <c r="C22" i="8"/>
  <c r="G44" i="17"/>
  <c r="F44" i="17"/>
  <c r="E44" i="17"/>
  <c r="D44" i="17"/>
  <c r="C44" i="17"/>
  <c r="G26" i="17"/>
  <c r="F26" i="17"/>
  <c r="E26" i="17"/>
  <c r="D26" i="17"/>
  <c r="C26" i="17"/>
  <c r="G18" i="17"/>
  <c r="F18" i="17"/>
  <c r="E18" i="17"/>
  <c r="D18" i="17"/>
  <c r="C18" i="17"/>
  <c r="G22" i="8"/>
  <c r="D22" i="8"/>
  <c r="P121" i="3"/>
  <c r="K77" i="19" s="1"/>
  <c r="O121" i="3"/>
  <c r="J77" i="19" s="1"/>
  <c r="N121" i="3"/>
  <c r="I77" i="19" s="1"/>
  <c r="M121" i="3"/>
  <c r="H77" i="19" s="1"/>
  <c r="Q121" i="3"/>
  <c r="L77" i="19" s="1"/>
  <c r="Q69" i="3"/>
  <c r="O134" i="3"/>
  <c r="J79" i="19" s="1"/>
  <c r="N134" i="3"/>
  <c r="I79" i="19" s="1"/>
  <c r="M134" i="3"/>
  <c r="H79" i="19" s="1"/>
  <c r="K68" i="19"/>
  <c r="P134" i="3"/>
  <c r="K79" i="19" s="1"/>
  <c r="AC79" i="3"/>
  <c r="AC101" i="3"/>
  <c r="AC119" i="3"/>
  <c r="I26" i="17" s="1"/>
  <c r="C31" i="16"/>
  <c r="F21" i="18"/>
  <c r="C19" i="18"/>
  <c r="C21" i="18"/>
  <c r="F19" i="18"/>
  <c r="F11" i="18"/>
  <c r="F13" i="18"/>
  <c r="Q163" i="3"/>
  <c r="G59" i="17" s="1"/>
  <c r="P163" i="3"/>
  <c r="F59" i="17" s="1"/>
  <c r="O163" i="3"/>
  <c r="E59" i="17" s="1"/>
  <c r="N163" i="3"/>
  <c r="D59" i="17" s="1"/>
  <c r="M163" i="3"/>
  <c r="C59" i="17" s="1"/>
  <c r="AC171" i="3"/>
  <c r="AC172" i="3"/>
  <c r="AC173" i="3"/>
  <c r="I23" i="17"/>
  <c r="G22" i="7"/>
  <c r="D22" i="7"/>
  <c r="E21" i="7"/>
  <c r="C21" i="7"/>
  <c r="F34" i="16"/>
  <c r="I48" i="17"/>
  <c r="F32" i="16"/>
  <c r="I47" i="17"/>
  <c r="F30" i="16"/>
  <c r="I44" i="17"/>
  <c r="C32" i="16"/>
  <c r="I40" i="17"/>
  <c r="C30" i="16"/>
  <c r="I38" i="17"/>
  <c r="Q138" i="3"/>
  <c r="G41" i="17" s="1"/>
  <c r="G38" i="17"/>
  <c r="P138" i="3"/>
  <c r="F41" i="17" s="1"/>
  <c r="F38" i="17"/>
  <c r="O138" i="3"/>
  <c r="E41" i="17" s="1"/>
  <c r="E38" i="17"/>
  <c r="N138" i="3"/>
  <c r="D41" i="17" s="1"/>
  <c r="D38" i="17"/>
  <c r="M138" i="3"/>
  <c r="C41" i="17" s="1"/>
  <c r="C38" i="17"/>
  <c r="C25" i="16"/>
  <c r="I29" i="17"/>
  <c r="C23" i="16"/>
  <c r="I27" i="17"/>
  <c r="C17" i="16"/>
  <c r="I17" i="17"/>
  <c r="C16" i="16"/>
  <c r="I16" i="17"/>
  <c r="AA169" i="3"/>
  <c r="Q169" i="3"/>
  <c r="G67" i="17" s="1"/>
  <c r="P169" i="3"/>
  <c r="F67" i="17" s="1"/>
  <c r="O169" i="3"/>
  <c r="E67" i="17" s="1"/>
  <c r="N169" i="3"/>
  <c r="D67" i="17" s="1"/>
  <c r="M169" i="3"/>
  <c r="C67" i="17" s="1"/>
  <c r="AA138" i="3"/>
  <c r="C33" i="14"/>
  <c r="D30" i="12"/>
  <c r="F29" i="12"/>
  <c r="E20" i="12"/>
  <c r="H19" i="12"/>
  <c r="I19" i="12" s="1"/>
  <c r="J19" i="12" s="1"/>
  <c r="K19" i="12" s="1"/>
  <c r="L19" i="12" s="1"/>
  <c r="AA140" i="3"/>
  <c r="AA166" i="3"/>
  <c r="Q140" i="3"/>
  <c r="G45" i="17" s="1"/>
  <c r="Q166" i="3"/>
  <c r="G66" i="17" s="1"/>
  <c r="P140" i="3"/>
  <c r="F45" i="17" s="1"/>
  <c r="P166" i="3"/>
  <c r="F66" i="17" s="1"/>
  <c r="O140" i="3"/>
  <c r="E45" i="17" s="1"/>
  <c r="O166" i="3"/>
  <c r="E66" i="17" s="1"/>
  <c r="N140" i="3"/>
  <c r="D45" i="17" s="1"/>
  <c r="N166" i="3"/>
  <c r="D66" i="17" s="1"/>
  <c r="M140" i="3"/>
  <c r="C45" i="17" s="1"/>
  <c r="M166" i="3"/>
  <c r="C66" i="17" s="1"/>
  <c r="AC138" i="3"/>
  <c r="I41" i="17" s="1"/>
  <c r="C9" i="17"/>
  <c r="D9" i="17"/>
  <c r="E9" i="17"/>
  <c r="G10" i="17"/>
  <c r="F10" i="17"/>
  <c r="E10" i="17"/>
  <c r="D10" i="17"/>
  <c r="C10" i="17"/>
  <c r="G9" i="17"/>
  <c r="F9" i="17"/>
  <c r="C5" i="16"/>
  <c r="T25" i="6"/>
  <c r="T24" i="6"/>
  <c r="G24" i="6"/>
  <c r="AC105" i="3"/>
  <c r="AA141" i="3"/>
  <c r="G32" i="12"/>
  <c r="Q141" i="3"/>
  <c r="G46" i="17" s="1"/>
  <c r="F32" i="12"/>
  <c r="P141" i="3"/>
  <c r="F46" i="17" s="1"/>
  <c r="E32" i="12"/>
  <c r="O141" i="3"/>
  <c r="E46" i="17" s="1"/>
  <c r="D32" i="12"/>
  <c r="N141" i="3"/>
  <c r="D46" i="17" s="1"/>
  <c r="C32" i="12"/>
  <c r="M141" i="3"/>
  <c r="C46" i="17" s="1"/>
  <c r="AC107" i="3"/>
  <c r="Q107" i="3"/>
  <c r="Q152" i="3" s="1"/>
  <c r="E46" i="7"/>
  <c r="W10" i="6"/>
  <c r="U10" i="6"/>
  <c r="R10" i="6"/>
  <c r="AA77" i="3"/>
  <c r="F20" i="12"/>
  <c r="D20" i="12"/>
  <c r="G13" i="12"/>
  <c r="C30" i="12"/>
  <c r="E29" i="12"/>
  <c r="D29" i="12"/>
  <c r="G20" i="12"/>
  <c r="F13" i="12"/>
  <c r="E13" i="12"/>
  <c r="D13" i="12"/>
  <c r="G30" i="12"/>
  <c r="G8" i="8"/>
  <c r="D8" i="8"/>
  <c r="C46" i="7"/>
  <c r="G43" i="7"/>
  <c r="C43" i="7"/>
  <c r="D36" i="7"/>
  <c r="D37" i="7" s="1"/>
  <c r="V21" i="6"/>
  <c r="S21" i="6"/>
  <c r="Q21" i="6"/>
  <c r="R12" i="5"/>
  <c r="Q24" i="6"/>
  <c r="F25" i="6"/>
  <c r="F30" i="12"/>
  <c r="E30" i="12"/>
  <c r="G29" i="12"/>
  <c r="C29" i="12"/>
  <c r="D24" i="6"/>
  <c r="S25" i="6"/>
  <c r="Q25" i="6"/>
  <c r="G46" i="7"/>
  <c r="C15" i="14"/>
  <c r="AC114" i="3"/>
  <c r="AC115" i="3" s="1"/>
  <c r="C6" i="10"/>
  <c r="E26" i="6"/>
  <c r="E9" i="8"/>
  <c r="D9" i="8"/>
  <c r="D26" i="6"/>
  <c r="G26" i="6"/>
  <c r="G9" i="8"/>
  <c r="C9" i="8"/>
  <c r="C26" i="6"/>
  <c r="F26" i="6"/>
  <c r="F9" i="8"/>
  <c r="U24" i="6"/>
  <c r="P24" i="6"/>
  <c r="U26" i="6"/>
  <c r="T26" i="6"/>
  <c r="P26" i="6"/>
  <c r="G25" i="6"/>
  <c r="E24" i="6"/>
  <c r="C24" i="6"/>
  <c r="U25" i="6"/>
  <c r="P25" i="6"/>
  <c r="W25" i="6"/>
  <c r="V25" i="6"/>
  <c r="W24" i="6"/>
  <c r="V24" i="6"/>
  <c r="S24" i="6"/>
  <c r="W26" i="6"/>
  <c r="S26" i="6"/>
  <c r="Q26" i="6"/>
  <c r="E25" i="6"/>
  <c r="C25" i="6"/>
  <c r="F24" i="6"/>
  <c r="Q10" i="6"/>
  <c r="C19" i="8"/>
  <c r="C14" i="8"/>
  <c r="C8" i="8"/>
  <c r="F46" i="7"/>
  <c r="S10" i="6"/>
  <c r="P10" i="6"/>
  <c r="F8" i="8"/>
  <c r="C26" i="8"/>
  <c r="G36" i="7"/>
  <c r="G37" i="7" s="1"/>
  <c r="F20" i="7"/>
  <c r="C12" i="7"/>
  <c r="R13" i="5"/>
  <c r="E8" i="8"/>
  <c r="F43" i="7"/>
  <c r="D43" i="7"/>
  <c r="C41" i="7"/>
  <c r="C34" i="7"/>
  <c r="C27" i="7"/>
  <c r="F22" i="7"/>
  <c r="F21" i="7"/>
  <c r="D21" i="7"/>
  <c r="G20" i="7"/>
  <c r="D46" i="7"/>
  <c r="E43" i="7"/>
  <c r="F36" i="7"/>
  <c r="F37" i="7" s="1"/>
  <c r="G21" i="7"/>
  <c r="C20" i="7"/>
  <c r="C19" i="7"/>
  <c r="E36" i="7"/>
  <c r="E37" i="7" s="1"/>
  <c r="C36" i="7"/>
  <c r="C37" i="7" s="1"/>
  <c r="E22" i="7"/>
  <c r="C22" i="7"/>
  <c r="E20" i="7"/>
  <c r="D20" i="7"/>
  <c r="W21" i="6"/>
  <c r="T21" i="6"/>
  <c r="R21" i="6"/>
  <c r="P21" i="6"/>
  <c r="U21" i="6"/>
  <c r="C21" i="6"/>
  <c r="C20" i="6"/>
  <c r="C10" i="6"/>
  <c r="W20" i="6"/>
  <c r="V20" i="6"/>
  <c r="U20" i="6"/>
  <c r="T20" i="6"/>
  <c r="S20" i="6"/>
  <c r="R20" i="6"/>
  <c r="Q20" i="6"/>
  <c r="P20" i="6"/>
  <c r="V10" i="6"/>
  <c r="T10" i="6"/>
  <c r="R25" i="6"/>
  <c r="R24" i="6"/>
  <c r="R26" i="6"/>
  <c r="AA69" i="3"/>
  <c r="P69" i="3"/>
  <c r="M69" i="3"/>
  <c r="L69" i="3"/>
  <c r="O69" i="3"/>
  <c r="N69" i="3"/>
  <c r="K69" i="3"/>
  <c r="J69" i="3"/>
  <c r="I69" i="3"/>
  <c r="H69" i="3"/>
  <c r="G69" i="3"/>
  <c r="F69" i="3"/>
  <c r="E69" i="3"/>
  <c r="D69" i="3"/>
  <c r="C69" i="3"/>
  <c r="X12" i="6" l="1"/>
  <c r="X13" i="6"/>
  <c r="AB13" i="6" s="1"/>
  <c r="H6" i="12"/>
  <c r="H13" i="12" s="1"/>
  <c r="H6" i="6"/>
  <c r="H7" i="7"/>
  <c r="H6" i="8"/>
  <c r="I8" i="5"/>
  <c r="I71" i="17"/>
  <c r="C52" i="16"/>
  <c r="C24" i="21"/>
  <c r="C26" i="21" s="1"/>
  <c r="I11" i="1" s="1"/>
  <c r="C54" i="12"/>
  <c r="I18" i="1" s="1"/>
  <c r="AC77" i="3"/>
  <c r="C5" i="10" s="1"/>
  <c r="C7" i="10" s="1"/>
  <c r="C17" i="10" s="1"/>
  <c r="AA147" i="3"/>
  <c r="AA148" i="3" s="1"/>
  <c r="C53" i="16"/>
  <c r="I72" i="17"/>
  <c r="C67" i="12"/>
  <c r="C46" i="12"/>
  <c r="X15" i="6"/>
  <c r="AB15" i="6" s="1"/>
  <c r="X14" i="6"/>
  <c r="K6" i="5"/>
  <c r="E5" i="12"/>
  <c r="E6" i="11"/>
  <c r="AC177" i="3"/>
  <c r="AC176" i="3"/>
  <c r="AC161" i="3"/>
  <c r="AC162" i="3"/>
  <c r="F5" i="5"/>
  <c r="F3" i="17"/>
  <c r="K63" i="19"/>
  <c r="E5" i="6"/>
  <c r="E6" i="7"/>
  <c r="E11" i="5"/>
  <c r="E5" i="8"/>
  <c r="E6" i="14"/>
  <c r="D19" i="7"/>
  <c r="D27" i="7"/>
  <c r="D12" i="7"/>
  <c r="D34" i="7"/>
  <c r="D41" i="7"/>
  <c r="D20" i="6"/>
  <c r="D10" i="6"/>
  <c r="D32" i="8"/>
  <c r="D19" i="8"/>
  <c r="D26" i="8"/>
  <c r="D14" i="8"/>
  <c r="Q165" i="3"/>
  <c r="G63" i="17" s="1"/>
  <c r="D11" i="17"/>
  <c r="G58" i="17"/>
  <c r="E60" i="17"/>
  <c r="D58" i="17"/>
  <c r="D60" i="17"/>
  <c r="C58" i="17"/>
  <c r="N165" i="3"/>
  <c r="D63" i="17" s="1"/>
  <c r="C11" i="17"/>
  <c r="C60" i="17"/>
  <c r="P165" i="3"/>
  <c r="F63" i="17" s="1"/>
  <c r="G11" i="17"/>
  <c r="E11" i="17"/>
  <c r="M165" i="3"/>
  <c r="C63" i="17" s="1"/>
  <c r="O165" i="3"/>
  <c r="E63" i="17" s="1"/>
  <c r="F11" i="17"/>
  <c r="C22" i="11"/>
  <c r="C24" i="14"/>
  <c r="AC69" i="3"/>
  <c r="M159" i="3"/>
  <c r="C55" i="17" s="1"/>
  <c r="M148" i="3"/>
  <c r="M170" i="3"/>
  <c r="C68" i="17" s="1"/>
  <c r="M153" i="3"/>
  <c r="M155" i="3"/>
  <c r="C52" i="17" s="1"/>
  <c r="M158" i="3"/>
  <c r="C54" i="17" s="1"/>
  <c r="C7" i="17"/>
  <c r="N148" i="3"/>
  <c r="N153" i="3"/>
  <c r="N170" i="3"/>
  <c r="D68" i="17" s="1"/>
  <c r="N158" i="3"/>
  <c r="D54" i="17" s="1"/>
  <c r="D7" i="17"/>
  <c r="N159" i="3"/>
  <c r="D55" i="17" s="1"/>
  <c r="N155" i="3"/>
  <c r="D52" i="17" s="1"/>
  <c r="O155" i="3"/>
  <c r="E52" i="17" s="1"/>
  <c r="O170" i="3"/>
  <c r="E68" i="17" s="1"/>
  <c r="O158" i="3"/>
  <c r="E54" i="17" s="1"/>
  <c r="E7" i="17"/>
  <c r="O148" i="3"/>
  <c r="O159" i="3"/>
  <c r="E55" i="17" s="1"/>
  <c r="O153" i="3"/>
  <c r="P153" i="3"/>
  <c r="P170" i="3"/>
  <c r="F68" i="17" s="1"/>
  <c r="P158" i="3"/>
  <c r="F54" i="17" s="1"/>
  <c r="P148" i="3"/>
  <c r="P155" i="3"/>
  <c r="F52" i="17" s="1"/>
  <c r="P159" i="3"/>
  <c r="F55" i="17" s="1"/>
  <c r="F7" i="17"/>
  <c r="Q170" i="3"/>
  <c r="G68" i="17" s="1"/>
  <c r="Q158" i="3"/>
  <c r="G54" i="17" s="1"/>
  <c r="G7" i="17"/>
  <c r="Q148" i="3"/>
  <c r="Q159" i="3"/>
  <c r="G55" i="17" s="1"/>
  <c r="Q153" i="3"/>
  <c r="Q155" i="3"/>
  <c r="G52" i="17" s="1"/>
  <c r="AC157" i="3"/>
  <c r="AC156" i="3"/>
  <c r="AC146" i="3"/>
  <c r="AC145" i="3"/>
  <c r="AC144" i="3"/>
  <c r="G60" i="17"/>
  <c r="F58" i="17"/>
  <c r="F60" i="17"/>
  <c r="E58" i="17"/>
  <c r="P123" i="3"/>
  <c r="F28" i="17"/>
  <c r="F33" i="17" s="1"/>
  <c r="O123" i="3"/>
  <c r="E28" i="17"/>
  <c r="E33" i="17" s="1"/>
  <c r="N123" i="3"/>
  <c r="D28" i="17"/>
  <c r="D33" i="17" s="1"/>
  <c r="M123" i="3"/>
  <c r="C28" i="17"/>
  <c r="C33" i="17" s="1"/>
  <c r="Q123" i="3"/>
  <c r="O160" i="3"/>
  <c r="J68" i="19"/>
  <c r="N160" i="3"/>
  <c r="I68" i="19"/>
  <c r="M160" i="3"/>
  <c r="H68" i="19"/>
  <c r="G28" i="17"/>
  <c r="G33" i="17" s="1"/>
  <c r="E35" i="17"/>
  <c r="D35" i="17"/>
  <c r="C35" i="17"/>
  <c r="F35" i="17"/>
  <c r="P160" i="3"/>
  <c r="AC121" i="3"/>
  <c r="I28" i="17" s="1"/>
  <c r="I33" i="17" s="1"/>
  <c r="C22" i="16"/>
  <c r="AC134" i="3"/>
  <c r="L68" i="19"/>
  <c r="Q134" i="3"/>
  <c r="L79" i="19" s="1"/>
  <c r="C18" i="16"/>
  <c r="I18" i="17"/>
  <c r="F52" i="16"/>
  <c r="I75" i="17"/>
  <c r="F53" i="16"/>
  <c r="I76" i="17"/>
  <c r="F54" i="16"/>
  <c r="I77" i="17"/>
  <c r="AC163" i="3"/>
  <c r="I6" i="17"/>
  <c r="C23" i="14"/>
  <c r="C56" i="12"/>
  <c r="C33" i="16"/>
  <c r="F18" i="1"/>
  <c r="AC166" i="3"/>
  <c r="AC169" i="3"/>
  <c r="I67" i="17" s="1"/>
  <c r="C33" i="12"/>
  <c r="D33" i="12"/>
  <c r="F33" i="12"/>
  <c r="E33" i="12"/>
  <c r="G33" i="12"/>
  <c r="AC141" i="3"/>
  <c r="I46" i="17" s="1"/>
  <c r="AC140" i="3"/>
  <c r="I45" i="17" s="1"/>
  <c r="D10" i="8"/>
  <c r="G10" i="8"/>
  <c r="C12" i="12"/>
  <c r="C23" i="12"/>
  <c r="C18" i="12"/>
  <c r="C28" i="12"/>
  <c r="C10" i="8"/>
  <c r="F10" i="8"/>
  <c r="E10" i="8"/>
  <c r="E23" i="7"/>
  <c r="D23" i="7"/>
  <c r="F23" i="7"/>
  <c r="G23" i="7"/>
  <c r="C23" i="7"/>
  <c r="X11" i="6" l="1"/>
  <c r="AB12" i="6"/>
  <c r="H45" i="7"/>
  <c r="H21" i="8" s="1"/>
  <c r="H36" i="7"/>
  <c r="H12" i="6"/>
  <c r="H13" i="6"/>
  <c r="H15" i="6"/>
  <c r="H14" i="6"/>
  <c r="H13" i="7"/>
  <c r="H28" i="7" s="1"/>
  <c r="H42" i="7"/>
  <c r="J8" i="5"/>
  <c r="I6" i="6"/>
  <c r="I6" i="8"/>
  <c r="I7" i="7"/>
  <c r="I6" i="12"/>
  <c r="I13" i="12" s="1"/>
  <c r="C25" i="11"/>
  <c r="C49" i="12"/>
  <c r="C70" i="12"/>
  <c r="AC147" i="3"/>
  <c r="AC165" i="3"/>
  <c r="F17" i="1" s="1"/>
  <c r="AB14" i="6"/>
  <c r="X16" i="6"/>
  <c r="L6" i="5"/>
  <c r="F5" i="12"/>
  <c r="F6" i="11"/>
  <c r="G3" i="17"/>
  <c r="L63" i="19"/>
  <c r="G5" i="5"/>
  <c r="F5" i="8"/>
  <c r="F6" i="14"/>
  <c r="F6" i="7"/>
  <c r="F5" i="6"/>
  <c r="F11" i="5"/>
  <c r="E10" i="6"/>
  <c r="E20" i="6"/>
  <c r="E12" i="7"/>
  <c r="E34" i="7"/>
  <c r="E27" i="7"/>
  <c r="E41" i="7"/>
  <c r="E19" i="7"/>
  <c r="E14" i="8"/>
  <c r="E26" i="8"/>
  <c r="E19" i="8"/>
  <c r="E32" i="8"/>
  <c r="D28" i="12"/>
  <c r="D12" i="12"/>
  <c r="D18" i="12"/>
  <c r="D23" i="12"/>
  <c r="Q149" i="3"/>
  <c r="G12" i="17" s="1"/>
  <c r="Q150" i="3"/>
  <c r="G13" i="17" s="1"/>
  <c r="C8" i="17"/>
  <c r="D8" i="17"/>
  <c r="E8" i="17"/>
  <c r="F8" i="17"/>
  <c r="G8" i="17"/>
  <c r="C32" i="14"/>
  <c r="M149" i="3"/>
  <c r="C12" i="17" s="1"/>
  <c r="M150" i="3"/>
  <c r="C13" i="17" s="1"/>
  <c r="M154" i="3"/>
  <c r="N149" i="3"/>
  <c r="D12" i="17" s="1"/>
  <c r="N150" i="3"/>
  <c r="D13" i="17" s="1"/>
  <c r="N154" i="3"/>
  <c r="O149" i="3"/>
  <c r="E12" i="17" s="1"/>
  <c r="O150" i="3"/>
  <c r="E13" i="17" s="1"/>
  <c r="O154" i="3"/>
  <c r="P149" i="3"/>
  <c r="F12" i="17" s="1"/>
  <c r="P150" i="3"/>
  <c r="F13" i="17" s="1"/>
  <c r="P154" i="3"/>
  <c r="C24" i="16"/>
  <c r="F22" i="16" s="1"/>
  <c r="F12" i="1"/>
  <c r="AC123" i="3"/>
  <c r="I30" i="17" s="1"/>
  <c r="I34" i="17" s="1"/>
  <c r="I10" i="17"/>
  <c r="I9" i="17"/>
  <c r="I53" i="17"/>
  <c r="I51" i="17"/>
  <c r="F30" i="17"/>
  <c r="F34" i="17" s="1"/>
  <c r="K78" i="19"/>
  <c r="E30" i="17"/>
  <c r="E34" i="17" s="1"/>
  <c r="J78" i="19"/>
  <c r="D30" i="17"/>
  <c r="D34" i="17" s="1"/>
  <c r="I78" i="19"/>
  <c r="C30" i="17"/>
  <c r="C34" i="17" s="1"/>
  <c r="H78" i="19"/>
  <c r="G30" i="17"/>
  <c r="G34" i="17" s="1"/>
  <c r="L78" i="19"/>
  <c r="I35" i="17"/>
  <c r="AC160" i="3"/>
  <c r="G35" i="17"/>
  <c r="Q160" i="3"/>
  <c r="I11" i="17"/>
  <c r="C10" i="16"/>
  <c r="F38" i="16"/>
  <c r="I58" i="17"/>
  <c r="F39" i="16"/>
  <c r="I59" i="17"/>
  <c r="F40" i="16"/>
  <c r="I60" i="17"/>
  <c r="F46" i="16"/>
  <c r="I66" i="17"/>
  <c r="C8" i="16"/>
  <c r="F6" i="1"/>
  <c r="C9" i="16"/>
  <c r="F7" i="1"/>
  <c r="C40" i="16"/>
  <c r="F11" i="1"/>
  <c r="F47" i="16"/>
  <c r="F16" i="1"/>
  <c r="F33" i="16"/>
  <c r="F20" i="1"/>
  <c r="F31" i="16"/>
  <c r="F19" i="1"/>
  <c r="F24" i="16"/>
  <c r="F14" i="1"/>
  <c r="C38" i="16"/>
  <c r="F9" i="1"/>
  <c r="C26" i="14"/>
  <c r="Q154" i="3"/>
  <c r="D27" i="8"/>
  <c r="D28" i="8" s="1"/>
  <c r="G27" i="8"/>
  <c r="G28" i="8" s="1"/>
  <c r="G7" i="14" s="1"/>
  <c r="G7" i="12"/>
  <c r="D7" i="12"/>
  <c r="C16" i="10"/>
  <c r="C20" i="10" s="1"/>
  <c r="C21" i="14" s="1"/>
  <c r="C7" i="12"/>
  <c r="C27" i="8"/>
  <c r="C28" i="8" s="1"/>
  <c r="F7" i="12"/>
  <c r="F27" i="8"/>
  <c r="F28" i="8" s="1"/>
  <c r="E7" i="12"/>
  <c r="E27" i="8"/>
  <c r="E28" i="8" s="1"/>
  <c r="AE6" i="5"/>
  <c r="H16" i="6" l="1"/>
  <c r="AB11" i="6"/>
  <c r="X21" i="6"/>
  <c r="H11" i="6"/>
  <c r="I13" i="6"/>
  <c r="I12" i="6"/>
  <c r="I11" i="6" s="1"/>
  <c r="I21" i="6" s="1"/>
  <c r="H20" i="8"/>
  <c r="H44" i="7"/>
  <c r="L8" i="5"/>
  <c r="K8" i="5"/>
  <c r="J6" i="12"/>
  <c r="J13" i="12" s="1"/>
  <c r="J6" i="8"/>
  <c r="J7" i="7"/>
  <c r="J6" i="6"/>
  <c r="I14" i="6"/>
  <c r="I15" i="6"/>
  <c r="I13" i="7"/>
  <c r="I28" i="7" s="1"/>
  <c r="I42" i="7"/>
  <c r="I36" i="7"/>
  <c r="I45" i="7"/>
  <c r="I21" i="8" s="1"/>
  <c r="H9" i="8"/>
  <c r="H26" i="6"/>
  <c r="I7" i="17"/>
  <c r="AC153" i="3"/>
  <c r="AC159" i="3"/>
  <c r="AC155" i="3"/>
  <c r="AC148" i="3"/>
  <c r="AC158" i="3"/>
  <c r="AC170" i="3"/>
  <c r="F48" i="16" s="1"/>
  <c r="F3" i="1"/>
  <c r="C6" i="16"/>
  <c r="I63" i="17"/>
  <c r="C46" i="16"/>
  <c r="X26" i="6"/>
  <c r="AB16" i="6"/>
  <c r="G5" i="12"/>
  <c r="G6" i="11"/>
  <c r="H7" i="14"/>
  <c r="H5" i="5"/>
  <c r="G11" i="5"/>
  <c r="G5" i="6"/>
  <c r="G5" i="8"/>
  <c r="G6" i="7"/>
  <c r="G6" i="14"/>
  <c r="F19" i="8"/>
  <c r="F14" i="8"/>
  <c r="F26" i="8"/>
  <c r="F32" i="8"/>
  <c r="F27" i="7"/>
  <c r="F34" i="7"/>
  <c r="F41" i="7"/>
  <c r="F12" i="7"/>
  <c r="F19" i="7"/>
  <c r="F20" i="6"/>
  <c r="F10" i="6"/>
  <c r="E23" i="12"/>
  <c r="E18" i="12"/>
  <c r="E12" i="12"/>
  <c r="E28" i="12"/>
  <c r="F14" i="12"/>
  <c r="C62" i="12"/>
  <c r="C41" i="12"/>
  <c r="C15" i="11"/>
  <c r="I17" i="1" s="1"/>
  <c r="C26" i="16"/>
  <c r="F23" i="16" s="1"/>
  <c r="F13" i="1"/>
  <c r="G14" i="12"/>
  <c r="E14" i="12"/>
  <c r="C34" i="12"/>
  <c r="D14" i="12"/>
  <c r="D7" i="11"/>
  <c r="D8" i="12"/>
  <c r="G7" i="11"/>
  <c r="G8" i="12"/>
  <c r="G34" i="12"/>
  <c r="D7" i="14"/>
  <c r="D34" i="12"/>
  <c r="C7" i="11"/>
  <c r="C8" i="12"/>
  <c r="C7" i="14"/>
  <c r="F34" i="12"/>
  <c r="F7" i="11"/>
  <c r="F8" i="12"/>
  <c r="F7" i="14"/>
  <c r="E34" i="12"/>
  <c r="E7" i="11"/>
  <c r="E8" i="12"/>
  <c r="E7" i="14"/>
  <c r="AE7" i="5"/>
  <c r="H14" i="5"/>
  <c r="H21" i="6" l="1"/>
  <c r="H7" i="8"/>
  <c r="H8" i="8" s="1"/>
  <c r="H8" i="7"/>
  <c r="J13" i="6"/>
  <c r="J12" i="6"/>
  <c r="J11" i="6" s="1"/>
  <c r="J21" i="6" s="1"/>
  <c r="K6" i="12"/>
  <c r="K13" i="12" s="1"/>
  <c r="K7" i="7"/>
  <c r="K6" i="8"/>
  <c r="K6" i="6"/>
  <c r="I16" i="6"/>
  <c r="J13" i="7"/>
  <c r="J28" i="7" s="1"/>
  <c r="J36" i="7"/>
  <c r="J42" i="7"/>
  <c r="J20" i="8" s="1"/>
  <c r="J45" i="7"/>
  <c r="J15" i="6"/>
  <c r="J14" i="6"/>
  <c r="I44" i="7"/>
  <c r="I20" i="8"/>
  <c r="C42" i="16"/>
  <c r="I55" i="17"/>
  <c r="I52" i="17"/>
  <c r="C39" i="16"/>
  <c r="F8" i="1"/>
  <c r="F4" i="1"/>
  <c r="I8" i="17"/>
  <c r="I54" i="17"/>
  <c r="F10" i="1"/>
  <c r="C41" i="16"/>
  <c r="I68" i="17"/>
  <c r="F15" i="1"/>
  <c r="AC149" i="3"/>
  <c r="C7" i="16"/>
  <c r="AC150" i="3"/>
  <c r="AC154" i="3"/>
  <c r="I7" i="14"/>
  <c r="I10" i="14" s="1"/>
  <c r="H5" i="12"/>
  <c r="H6" i="11"/>
  <c r="H11" i="5"/>
  <c r="I5" i="5"/>
  <c r="H6" i="14"/>
  <c r="G10" i="6"/>
  <c r="G20" i="6"/>
  <c r="H5" i="6"/>
  <c r="G19" i="8"/>
  <c r="G14" i="8"/>
  <c r="G26" i="8"/>
  <c r="H5" i="8"/>
  <c r="G32" i="8"/>
  <c r="G19" i="7"/>
  <c r="G34" i="7"/>
  <c r="G41" i="7"/>
  <c r="G12" i="7"/>
  <c r="G27" i="7"/>
  <c r="H6" i="7"/>
  <c r="F12" i="12"/>
  <c r="F28" i="12"/>
  <c r="F23" i="12"/>
  <c r="F18" i="12"/>
  <c r="F15" i="12"/>
  <c r="E15" i="12"/>
  <c r="G15" i="12"/>
  <c r="C35" i="12"/>
  <c r="D15" i="12"/>
  <c r="I7" i="8"/>
  <c r="I8" i="8" s="1"/>
  <c r="I33" i="8" s="1"/>
  <c r="I8" i="7"/>
  <c r="L6" i="8"/>
  <c r="L7" i="7"/>
  <c r="L6" i="12"/>
  <c r="L6" i="6"/>
  <c r="D35" i="12"/>
  <c r="G35" i="12"/>
  <c r="H10" i="14"/>
  <c r="F35" i="12"/>
  <c r="E35" i="12"/>
  <c r="AA14" i="5"/>
  <c r="H15" i="7" l="1"/>
  <c r="H30" i="7" s="1"/>
  <c r="H14" i="7"/>
  <c r="H29" i="7" s="1"/>
  <c r="H35" i="7" s="1"/>
  <c r="H22" i="8" s="1"/>
  <c r="H33" i="8"/>
  <c r="H10" i="8"/>
  <c r="K12" i="6"/>
  <c r="K13" i="6"/>
  <c r="L13" i="6"/>
  <c r="L12" i="6"/>
  <c r="J16" i="6"/>
  <c r="K42" i="7"/>
  <c r="K36" i="7"/>
  <c r="K45" i="7"/>
  <c r="K21" i="8" s="1"/>
  <c r="K13" i="7"/>
  <c r="K28" i="7" s="1"/>
  <c r="K15" i="6"/>
  <c r="K14" i="6"/>
  <c r="K16" i="6" s="1"/>
  <c r="I9" i="8"/>
  <c r="I10" i="8" s="1"/>
  <c r="I34" i="8" s="1"/>
  <c r="I26" i="6"/>
  <c r="J21" i="8"/>
  <c r="J44" i="7"/>
  <c r="C11" i="16"/>
  <c r="I12" i="17"/>
  <c r="C12" i="16"/>
  <c r="I13" i="17"/>
  <c r="J7" i="14"/>
  <c r="I5" i="12"/>
  <c r="I6" i="11"/>
  <c r="I15" i="7"/>
  <c r="I14" i="7"/>
  <c r="I11" i="5"/>
  <c r="J5" i="5"/>
  <c r="I6" i="14"/>
  <c r="G28" i="12"/>
  <c r="G12" i="12"/>
  <c r="G23" i="12"/>
  <c r="G18" i="12"/>
  <c r="H20" i="6"/>
  <c r="H10" i="6"/>
  <c r="I5" i="6"/>
  <c r="H19" i="8"/>
  <c r="H14" i="8"/>
  <c r="I5" i="8"/>
  <c r="H26" i="8"/>
  <c r="H32" i="8"/>
  <c r="H12" i="7"/>
  <c r="H19" i="7"/>
  <c r="I6" i="7"/>
  <c r="H27" i="7"/>
  <c r="H34" i="7"/>
  <c r="H41" i="7"/>
  <c r="J7" i="8"/>
  <c r="J8" i="8" s="1"/>
  <c r="J8" i="7"/>
  <c r="L36" i="7"/>
  <c r="L42" i="7"/>
  <c r="L13" i="7"/>
  <c r="L45" i="7"/>
  <c r="L21" i="8" s="1"/>
  <c r="L13" i="12"/>
  <c r="C53" i="12"/>
  <c r="C57" i="12" s="1"/>
  <c r="C58" i="12" s="1"/>
  <c r="C7" i="13" s="1"/>
  <c r="I5" i="1" s="1"/>
  <c r="L14" i="6"/>
  <c r="L15" i="6"/>
  <c r="I14" i="5"/>
  <c r="J14" i="5"/>
  <c r="I30" i="7" l="1"/>
  <c r="I29" i="7"/>
  <c r="I35" i="7" s="1"/>
  <c r="I22" i="8" s="1"/>
  <c r="L11" i="6"/>
  <c r="L21" i="6" s="1"/>
  <c r="H7" i="12"/>
  <c r="H14" i="12" s="1"/>
  <c r="H27" i="8"/>
  <c r="H28" i="8" s="1"/>
  <c r="H34" i="8"/>
  <c r="K11" i="6"/>
  <c r="J26" i="6"/>
  <c r="J9" i="8"/>
  <c r="J10" i="8" s="1"/>
  <c r="K9" i="8"/>
  <c r="K26" i="6"/>
  <c r="L28" i="7"/>
  <c r="K44" i="7"/>
  <c r="K20" i="8"/>
  <c r="J10" i="14"/>
  <c r="K7" i="14"/>
  <c r="J6" i="11"/>
  <c r="J5" i="12"/>
  <c r="J33" i="8"/>
  <c r="J15" i="7"/>
  <c r="J30" i="7" s="1"/>
  <c r="J14" i="7"/>
  <c r="J29" i="7" s="1"/>
  <c r="H23" i="12"/>
  <c r="H28" i="12"/>
  <c r="H12" i="12"/>
  <c r="H18" i="12"/>
  <c r="K5" i="5"/>
  <c r="J11" i="5"/>
  <c r="J6" i="14"/>
  <c r="I20" i="6"/>
  <c r="I10" i="6"/>
  <c r="J5" i="6"/>
  <c r="I14" i="8"/>
  <c r="J5" i="8"/>
  <c r="I19" i="8"/>
  <c r="I26" i="8"/>
  <c r="I32" i="8"/>
  <c r="I12" i="7"/>
  <c r="I34" i="7"/>
  <c r="I41" i="7"/>
  <c r="I19" i="7"/>
  <c r="I27" i="7"/>
  <c r="J6" i="7"/>
  <c r="L44" i="7"/>
  <c r="L20" i="8"/>
  <c r="I7" i="12"/>
  <c r="I27" i="8"/>
  <c r="L16" i="6"/>
  <c r="H8" i="12" l="1"/>
  <c r="H15" i="12" s="1"/>
  <c r="H7" i="11"/>
  <c r="H10" i="11" s="1"/>
  <c r="H9" i="12" s="1"/>
  <c r="K21" i="6"/>
  <c r="K8" i="7"/>
  <c r="K7" i="8"/>
  <c r="K8" i="8" s="1"/>
  <c r="I28" i="8"/>
  <c r="K10" i="14"/>
  <c r="L7" i="14"/>
  <c r="K5" i="12"/>
  <c r="K6" i="11"/>
  <c r="J35" i="7"/>
  <c r="J22" i="8" s="1"/>
  <c r="J34" i="8"/>
  <c r="J27" i="8"/>
  <c r="J7" i="12"/>
  <c r="J14" i="12" s="1"/>
  <c r="L7" i="8"/>
  <c r="L8" i="8" s="1"/>
  <c r="L33" i="8" s="1"/>
  <c r="L8" i="7"/>
  <c r="I12" i="12"/>
  <c r="I23" i="12"/>
  <c r="I28" i="12"/>
  <c r="I18" i="12"/>
  <c r="L5" i="5"/>
  <c r="K11" i="5"/>
  <c r="K6" i="14"/>
  <c r="J10" i="6"/>
  <c r="J20" i="6"/>
  <c r="K5" i="6"/>
  <c r="K5" i="8"/>
  <c r="J14" i="8"/>
  <c r="J19" i="8"/>
  <c r="J26" i="8"/>
  <c r="J32" i="8"/>
  <c r="K6" i="7"/>
  <c r="J27" i="7"/>
  <c r="J19" i="7"/>
  <c r="J12" i="7"/>
  <c r="J41" i="7"/>
  <c r="J34" i="7"/>
  <c r="I14" i="12"/>
  <c r="L9" i="8"/>
  <c r="L26" i="6"/>
  <c r="K14" i="5"/>
  <c r="K15" i="7" l="1"/>
  <c r="K30" i="7" s="1"/>
  <c r="K14" i="7"/>
  <c r="K29" i="7" s="1"/>
  <c r="K35" i="7" s="1"/>
  <c r="K22" i="8" s="1"/>
  <c r="K33" i="8"/>
  <c r="K10" i="8"/>
  <c r="I7" i="11"/>
  <c r="I10" i="11" s="1"/>
  <c r="I9" i="12" s="1"/>
  <c r="I8" i="12"/>
  <c r="I15" i="12" s="1"/>
  <c r="L10" i="14"/>
  <c r="C29" i="14" s="1"/>
  <c r="L8" i="14"/>
  <c r="L11" i="14" s="1"/>
  <c r="C30" i="14" s="1"/>
  <c r="L5" i="12"/>
  <c r="L6" i="11"/>
  <c r="J28" i="8"/>
  <c r="L10" i="8"/>
  <c r="L14" i="7"/>
  <c r="L15" i="7"/>
  <c r="J12" i="12"/>
  <c r="J28" i="12"/>
  <c r="J23" i="12"/>
  <c r="J18" i="12"/>
  <c r="L11" i="5"/>
  <c r="L6" i="14"/>
  <c r="K10" i="6"/>
  <c r="K20" i="6"/>
  <c r="L5" i="6"/>
  <c r="K14" i="8"/>
  <c r="K19" i="8"/>
  <c r="L5" i="8"/>
  <c r="K26" i="8"/>
  <c r="K32" i="8"/>
  <c r="L6" i="7"/>
  <c r="K41" i="7"/>
  <c r="K34" i="7"/>
  <c r="K27" i="7"/>
  <c r="K19" i="7"/>
  <c r="K12" i="7"/>
  <c r="L14" i="5"/>
  <c r="L30" i="7" l="1"/>
  <c r="L29" i="7"/>
  <c r="L35" i="7" s="1"/>
  <c r="L22" i="8" s="1"/>
  <c r="K34" i="8"/>
  <c r="K27" i="8"/>
  <c r="K28" i="8" s="1"/>
  <c r="K7" i="12"/>
  <c r="K14" i="12" s="1"/>
  <c r="J7" i="11"/>
  <c r="J10" i="11" s="1"/>
  <c r="J9" i="12" s="1"/>
  <c r="J8" i="12"/>
  <c r="J15" i="12" s="1"/>
  <c r="C31" i="14"/>
  <c r="C34" i="14" s="1"/>
  <c r="C36" i="14" s="1"/>
  <c r="C16" i="14" s="1"/>
  <c r="I14" i="1" s="1"/>
  <c r="L34" i="8"/>
  <c r="L27" i="8"/>
  <c r="L7" i="12"/>
  <c r="K23" i="12"/>
  <c r="K18" i="12"/>
  <c r="K12" i="12"/>
  <c r="K28" i="12"/>
  <c r="L20" i="6"/>
  <c r="L10" i="6"/>
  <c r="L26" i="8"/>
  <c r="L19" i="8"/>
  <c r="L14" i="8"/>
  <c r="L32" i="8"/>
  <c r="L34" i="7"/>
  <c r="L41" i="7"/>
  <c r="L19" i="7"/>
  <c r="L27" i="7"/>
  <c r="L12" i="7"/>
  <c r="AC65" i="3"/>
  <c r="L28" i="8" l="1"/>
  <c r="K7" i="11"/>
  <c r="K10" i="11" s="1"/>
  <c r="K9" i="12" s="1"/>
  <c r="C79" i="12" s="1"/>
  <c r="C82" i="12" s="1"/>
  <c r="C84" i="12" s="1"/>
  <c r="C9" i="13" s="1"/>
  <c r="I7" i="1" s="1"/>
  <c r="K8" i="12"/>
  <c r="K15" i="12" s="1"/>
  <c r="L14" i="12"/>
  <c r="C40" i="12"/>
  <c r="C43" i="12" s="1"/>
  <c r="C44" i="12" s="1"/>
  <c r="L28" i="12"/>
  <c r="L23" i="12"/>
  <c r="L18" i="12"/>
  <c r="L12" i="12"/>
  <c r="C45" i="12" l="1"/>
  <c r="C48" i="12" s="1"/>
  <c r="C50" i="12" s="1"/>
  <c r="C6" i="13" s="1"/>
  <c r="I4" i="1" s="1"/>
  <c r="L7" i="11"/>
  <c r="L8" i="12"/>
  <c r="L8" i="11" l="1"/>
  <c r="L11" i="11" s="1"/>
  <c r="C20" i="11" s="1"/>
  <c r="L10" i="11"/>
  <c r="C61" i="12"/>
  <c r="C64" i="12" s="1"/>
  <c r="C65" i="12" s="1"/>
  <c r="C66" i="12" s="1"/>
  <c r="C69" i="12" s="1"/>
  <c r="L15" i="12"/>
  <c r="C19" i="11" l="1"/>
  <c r="C21" i="11" s="1"/>
  <c r="C24" i="11" s="1"/>
  <c r="C26" i="11" s="1"/>
  <c r="C5" i="13" s="1"/>
  <c r="L9" i="12"/>
  <c r="C71" i="12"/>
  <c r="C8" i="13" s="1"/>
  <c r="I6" i="1" s="1"/>
  <c r="C10" i="13" l="1"/>
  <c r="I3" i="1"/>
  <c r="C12" i="13" l="1"/>
  <c r="I9" i="1" s="1"/>
  <c r="I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tc={22B2B3EF-EBF6-0D4F-BF74-BA371A77FD6F}</author>
    <author>tc={8A10573A-B1E5-5443-A272-E27CCC9C056F}</author>
  </authors>
  <commentList>
    <comment ref="B83" authorId="0" shapeId="0" xr:uid="{22B2B3EF-EBF6-0D4F-BF74-BA371A77FD6F}">
      <text>
        <t>[Threaded comment]
Your version of Excel allows you to read this threaded comment; however, any edits to it will get removed if the file is opened in a newer version of Excel. Learn more: https://go.microsoft.com/fwlink/?linkid=870924
Comment:
    Actual number</t>
      </text>
    </comment>
    <comment ref="B114" authorId="1" shapeId="0" xr:uid="{8A10573A-B1E5-5443-A272-E27CCC9C056F}">
      <text>
        <t>[Threaded comment]
Your version of Excel allows you to read this threaded comment; however, any edits to it will get removed if the file is opened in a newer version of Excel. Learn more: https://go.microsoft.com/fwlink/?linkid=870924
Comment:
    Take the closing price of the last day of the period. In case the price has seen heavy fluctuations make an average of the last days. Info found at Yahoo Finance in the Historical Data section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tc={87FCD2F5-1815-1140-9144-DCAA38F9CA74}</author>
  </authors>
  <commentList>
    <comment ref="B35" authorId="0" shapeId="0" xr:uid="{87FCD2F5-1815-1140-9144-DCAA38F9CA74}">
      <text>
        <t>[Threaded comment]
Your version of Excel allows you to read this threaded comment; however, any edits to it will get removed if the file is opened in a newer version of Excel. Learn more: https://go.microsoft.com/fwlink/?linkid=870924
Comment:
    We use here the inverted signg as are used in the CashFlow statement which means we will Add the change in NWC to the NOPAT instead of subtracting it</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2"/>
        </ext>
      </extLst>
    </bk>
    <bk>
      <extLst>
        <ext uri="{3e2802c4-a4d2-4d8b-9148-e3be6c30e623}">
          <xlrd:rvb i="5"/>
        </ext>
      </extLst>
    </bk>
  </futureMetadata>
  <cellMetadata count="1">
    <bk>
      <rc t="1" v="0"/>
    </bk>
  </cellMetadata>
  <valueMetadata count="2">
    <bk>
      <rc t="2" v="0"/>
    </bk>
    <bk>
      <rc t="2" v="1"/>
    </bk>
  </valueMetadata>
</metadata>
</file>

<file path=xl/sharedStrings.xml><?xml version="1.0" encoding="utf-8"?>
<sst xmlns="http://schemas.openxmlformats.org/spreadsheetml/2006/main" count="774" uniqueCount="415">
  <si>
    <t>Ticker</t>
  </si>
  <si>
    <t>Price</t>
  </si>
  <si>
    <t>Price Extended Hours</t>
  </si>
  <si>
    <t>Day change</t>
  </si>
  <si>
    <t>Day change extended</t>
  </si>
  <si>
    <t>Day change %</t>
  </si>
  <si>
    <t>Day change extended %</t>
  </si>
  <si>
    <t>52 week high</t>
  </si>
  <si>
    <t>52 week low</t>
  </si>
  <si>
    <t>Beta</t>
  </si>
  <si>
    <t>Avg volume</t>
  </si>
  <si>
    <t>Company</t>
  </si>
  <si>
    <t>Units</t>
  </si>
  <si>
    <t>Units conversion</t>
  </si>
  <si>
    <t>Financials -&gt;</t>
  </si>
  <si>
    <t>Date</t>
  </si>
  <si>
    <t>FY</t>
  </si>
  <si>
    <t>Automatic Data</t>
  </si>
  <si>
    <t>Income statement</t>
  </si>
  <si>
    <t>Revenue</t>
  </si>
  <si>
    <t>COGS</t>
  </si>
  <si>
    <t>Gross Profit</t>
  </si>
  <si>
    <t>OpEx</t>
  </si>
  <si>
    <t>Operating income</t>
  </si>
  <si>
    <t>Interest income/expense</t>
  </si>
  <si>
    <t>Other income/expense</t>
  </si>
  <si>
    <t>Income before taxes</t>
  </si>
  <si>
    <t>Income tax expense/benefit</t>
  </si>
  <si>
    <t>Net income</t>
  </si>
  <si>
    <t>Basic Shares outstanding avg</t>
  </si>
  <si>
    <t>Basic Shares outstanding avg adjusted</t>
  </si>
  <si>
    <t>Diluted Shares outstanding avg</t>
  </si>
  <si>
    <t>Diluted Shares outstanding avg adjusted</t>
  </si>
  <si>
    <t>Basic EPS</t>
  </si>
  <si>
    <t>Basic EPS adjusted</t>
  </si>
  <si>
    <t>Diluted EPS</t>
  </si>
  <si>
    <t>Diluted EPS adjusted</t>
  </si>
  <si>
    <t>Balance sheet</t>
  </si>
  <si>
    <t>Cash and cash equivalents</t>
  </si>
  <si>
    <t>Acc receivable</t>
  </si>
  <si>
    <t>Current assets</t>
  </si>
  <si>
    <t>PP&amp;E</t>
  </si>
  <si>
    <t>Goodwill</t>
  </si>
  <si>
    <t>Long term assets</t>
  </si>
  <si>
    <t>Total assets</t>
  </si>
  <si>
    <t>Acc payable</t>
  </si>
  <si>
    <t>Current liabilities</t>
  </si>
  <si>
    <t>Long term liabilities</t>
  </si>
  <si>
    <t>Total liabilities</t>
  </si>
  <si>
    <t>Paid in capital</t>
  </si>
  <si>
    <t>Treasury stock</t>
  </si>
  <si>
    <t>Stockholder equity</t>
  </si>
  <si>
    <t>Total liabilities and equity</t>
  </si>
  <si>
    <t>Cashflow statement</t>
  </si>
  <si>
    <t>D&amp;A</t>
  </si>
  <si>
    <t>Stock-based compensation</t>
  </si>
  <si>
    <t>Operating cashflow</t>
  </si>
  <si>
    <t>CapEx</t>
  </si>
  <si>
    <t>Investing cashflow</t>
  </si>
  <si>
    <t>Repurchase stock</t>
  </si>
  <si>
    <t>Financing cashflow</t>
  </si>
  <si>
    <t>Sanity checks</t>
  </si>
  <si>
    <t>Calculated Net Income</t>
  </si>
  <si>
    <t>Check Net Income</t>
  </si>
  <si>
    <t>Check balance</t>
  </si>
  <si>
    <t>Other data</t>
  </si>
  <si>
    <t>Shares outstanding</t>
  </si>
  <si>
    <t>Split adjusted shares outstanding</t>
  </si>
  <si>
    <t>Dividends per share</t>
  </si>
  <si>
    <t>Split adjusted dividends per share</t>
  </si>
  <si>
    <t>Tax rate</t>
  </si>
  <si>
    <t>Employees</t>
  </si>
  <si>
    <t>Stock split factor</t>
  </si>
  <si>
    <t>Growth rates Income Statement</t>
  </si>
  <si>
    <t>Margins</t>
  </si>
  <si>
    <t>Gross margin</t>
  </si>
  <si>
    <t>Operating margin</t>
  </si>
  <si>
    <t>Net margin</t>
  </si>
  <si>
    <t>Revenue and Costs breakdown</t>
  </si>
  <si>
    <t>Market data</t>
  </si>
  <si>
    <t>Last market price for period</t>
  </si>
  <si>
    <t>TTM/YTD</t>
  </si>
  <si>
    <t>Q4 2025</t>
  </si>
  <si>
    <t>Q3 2025</t>
  </si>
  <si>
    <t>Q2 2026</t>
  </si>
  <si>
    <t>Q2 2025</t>
  </si>
  <si>
    <t>Q1 2026</t>
  </si>
  <si>
    <t>Unit data and other info</t>
  </si>
  <si>
    <t>Has operating lease</t>
  </si>
  <si>
    <t>Has finance lease</t>
  </si>
  <si>
    <t>No</t>
  </si>
  <si>
    <t>Has debt</t>
  </si>
  <si>
    <t>Change in accounts receivable</t>
  </si>
  <si>
    <t>Change in accounts payable</t>
  </si>
  <si>
    <t>Change in other operating NWC</t>
  </si>
  <si>
    <t>Capitalized software</t>
  </si>
  <si>
    <t>Profit Margin (Earnings/Revenue)</t>
  </si>
  <si>
    <t>Asset Turnover (Revenue/Total assets)</t>
  </si>
  <si>
    <t>ROA</t>
  </si>
  <si>
    <t>Equity Multiplier (Total assets/Equity)</t>
  </si>
  <si>
    <t>ROE</t>
  </si>
  <si>
    <t>ROIC</t>
  </si>
  <si>
    <t>DuPont Identity and performance</t>
  </si>
  <si>
    <t>Constants</t>
  </si>
  <si>
    <t>Default tax rate</t>
  </si>
  <si>
    <t>Adjustments</t>
  </si>
  <si>
    <t>Company metrics</t>
  </si>
  <si>
    <t>Forecast -&gt;</t>
  </si>
  <si>
    <t>Revenue forecast</t>
  </si>
  <si>
    <t>History</t>
  </si>
  <si>
    <t>Forecast</t>
  </si>
  <si>
    <t>TTM</t>
  </si>
  <si>
    <t>Revenues</t>
  </si>
  <si>
    <t>Revenues (thousand)</t>
  </si>
  <si>
    <t>FQ1</t>
  </si>
  <si>
    <t>FQ2</t>
  </si>
  <si>
    <t>FQ3</t>
  </si>
  <si>
    <t>Total</t>
  </si>
  <si>
    <t>Growth rates</t>
  </si>
  <si>
    <t>Revenue growth %</t>
  </si>
  <si>
    <t>COGS &amp; OpEx forecast</t>
  </si>
  <si>
    <t>COGS and OpEx</t>
  </si>
  <si>
    <t>COGS &amp; OpEx</t>
  </si>
  <si>
    <t>Expenses (thousand)</t>
  </si>
  <si>
    <t>Expenses % of Revenue</t>
  </si>
  <si>
    <t>% of revenue</t>
  </si>
  <si>
    <t>Expenses (tnousand)</t>
  </si>
  <si>
    <t>Working Capital, Capex, D&amp;A</t>
  </si>
  <si>
    <t>Working Capital</t>
  </si>
  <si>
    <t>$ (thousand)</t>
  </si>
  <si>
    <t>Accounts receivable</t>
  </si>
  <si>
    <t>Inventory</t>
  </si>
  <si>
    <t>Accounts payable</t>
  </si>
  <si>
    <t>WC metrics and drivers</t>
  </si>
  <si>
    <t>Days</t>
  </si>
  <si>
    <t>DSO</t>
  </si>
  <si>
    <t>DIO</t>
  </si>
  <si>
    <t>DPO</t>
  </si>
  <si>
    <t>Net trade cycle</t>
  </si>
  <si>
    <t>Change in SIP NWC</t>
  </si>
  <si>
    <t>Change in acc receivable</t>
  </si>
  <si>
    <t>Change in inventory</t>
  </si>
  <si>
    <t>Change in acc payable</t>
  </si>
  <si>
    <t>Total change in NWC and less SIP</t>
  </si>
  <si>
    <t>Total change in NWC</t>
  </si>
  <si>
    <t>Change in NWC less SIP</t>
  </si>
  <si>
    <t>Investments</t>
  </si>
  <si>
    <t>% of Revenue</t>
  </si>
  <si>
    <t>% of CapEx</t>
  </si>
  <si>
    <t>Results</t>
  </si>
  <si>
    <t>From Revenue Sheet</t>
  </si>
  <si>
    <t>From COGS and OpEx Sheet</t>
  </si>
  <si>
    <t>Gross profit</t>
  </si>
  <si>
    <t>EBIT</t>
  </si>
  <si>
    <t>Drivers</t>
  </si>
  <si>
    <t>Cash Flow Statement</t>
  </si>
  <si>
    <t>From WC &amp; Investments Sheet</t>
  </si>
  <si>
    <t>Change in NWC</t>
  </si>
  <si>
    <t>NOPAT</t>
  </si>
  <si>
    <t>From Statements and Overview sheet</t>
  </si>
  <si>
    <t>Valuation -&gt;</t>
  </si>
  <si>
    <t>WACC</t>
  </si>
  <si>
    <t>Inputs</t>
  </si>
  <si>
    <t>Shares Outstanding</t>
  </si>
  <si>
    <t>Equity</t>
  </si>
  <si>
    <t>Debt</t>
  </si>
  <si>
    <t>Risk free rate</t>
  </si>
  <si>
    <t>Market risk premium</t>
  </si>
  <si>
    <t>Cost of debt</t>
  </si>
  <si>
    <t>Calculations</t>
  </si>
  <si>
    <t>Debt/(Debt+Equity)</t>
  </si>
  <si>
    <t>Equity/(Debt+Equity)</t>
  </si>
  <si>
    <t>Cost of debt with tax</t>
  </si>
  <si>
    <t>Cost of equity</t>
  </si>
  <si>
    <t>Cash</t>
  </si>
  <si>
    <t>DCF</t>
  </si>
  <si>
    <t>PV of FCF</t>
  </si>
  <si>
    <t>Perpetual cashflow</t>
  </si>
  <si>
    <t>Period</t>
  </si>
  <si>
    <t>PV of Perpetual cashflow</t>
  </si>
  <si>
    <t>Input parameters</t>
  </si>
  <si>
    <t>Perpetual growth</t>
  </si>
  <si>
    <t>Result</t>
  </si>
  <si>
    <t>Total PV of Unlevered FCF</t>
  </si>
  <si>
    <t>Enterprise value</t>
  </si>
  <si>
    <t>(+) Cash</t>
  </si>
  <si>
    <t>(-) Debt</t>
  </si>
  <si>
    <t>Equity value</t>
  </si>
  <si>
    <t>Price per share</t>
  </si>
  <si>
    <t>Multiples valuations</t>
  </si>
  <si>
    <t>Revenues, earnings cash</t>
  </si>
  <si>
    <t>% Growth</t>
  </si>
  <si>
    <t>Shares</t>
  </si>
  <si>
    <t>Avg diluted shares</t>
  </si>
  <si>
    <t>Dilution rate</t>
  </si>
  <si>
    <t>Historical price</t>
  </si>
  <si>
    <t>Historical ratios</t>
  </si>
  <si>
    <t>PS</t>
  </si>
  <si>
    <t>Market Cap</t>
  </si>
  <si>
    <t>EV</t>
  </si>
  <si>
    <t>EV/EBIT</t>
  </si>
  <si>
    <t>EV/EBIT valuation</t>
  </si>
  <si>
    <t>Year 5 EBIT</t>
  </si>
  <si>
    <t>Applied EV/EBIT ratio</t>
  </si>
  <si>
    <t>Shares outstanding diluted</t>
  </si>
  <si>
    <t>PV of price per share</t>
  </si>
  <si>
    <t>PS valuation</t>
  </si>
  <si>
    <t>Year 5 sales</t>
  </si>
  <si>
    <t>Applied PS ratio</t>
  </si>
  <si>
    <t>AVG target price</t>
  </si>
  <si>
    <t>AVG  target price</t>
  </si>
  <si>
    <t>DCF price</t>
  </si>
  <si>
    <t>EV/EBIT price</t>
  </si>
  <si>
    <t>PS price</t>
  </si>
  <si>
    <t>AVG price</t>
  </si>
  <si>
    <t>Current price</t>
  </si>
  <si>
    <t>Upside/Downside</t>
  </si>
  <si>
    <t>Reverse DCF</t>
  </si>
  <si>
    <t>Growth adjustment</t>
  </si>
  <si>
    <t>Current Price</t>
  </si>
  <si>
    <t>Calculated Price</t>
  </si>
  <si>
    <t>Modify until Calculated Price is very close to Current Price</t>
  </si>
  <si>
    <t>Market cap</t>
  </si>
  <si>
    <t>Enterprise Value</t>
  </si>
  <si>
    <t>Company guidance next Quarter</t>
  </si>
  <si>
    <t>Analysis -&gt;</t>
  </si>
  <si>
    <t>Overview</t>
  </si>
  <si>
    <t>Dilutive shares</t>
  </si>
  <si>
    <t>Split adjusted dilutive shares</t>
  </si>
  <si>
    <t>Split adjusted diluted shares</t>
  </si>
  <si>
    <t>PE</t>
  </si>
  <si>
    <t>PB</t>
  </si>
  <si>
    <t>Market capitalization</t>
  </si>
  <si>
    <t>CAGR</t>
  </si>
  <si>
    <t>5Y</t>
  </si>
  <si>
    <t>10Y</t>
  </si>
  <si>
    <t>EPS</t>
  </si>
  <si>
    <t>Dividend</t>
  </si>
  <si>
    <t>DuPont Identity</t>
  </si>
  <si>
    <t>Earnings quality</t>
  </si>
  <si>
    <t>Operating cash</t>
  </si>
  <si>
    <t>Metrics and ratios</t>
  </si>
  <si>
    <t>Performance indicators</t>
  </si>
  <si>
    <t>Cash conversion cycle</t>
  </si>
  <si>
    <t>Debt to Equity</t>
  </si>
  <si>
    <t>Quick ratio</t>
  </si>
  <si>
    <t>Current ratio</t>
  </si>
  <si>
    <t>Cash accruals</t>
  </si>
  <si>
    <t>Net debt to equity</t>
  </si>
  <si>
    <t>Liquidity ratios</t>
  </si>
  <si>
    <t>Debt/Equity</t>
  </si>
  <si>
    <t>Net Debt/Equity</t>
  </si>
  <si>
    <t>Interest coverage</t>
  </si>
  <si>
    <t>EV/Revenue</t>
  </si>
  <si>
    <t>FCFE</t>
  </si>
  <si>
    <t>FCFF</t>
  </si>
  <si>
    <t>P/FCF</t>
  </si>
  <si>
    <t>EV/FCF</t>
  </si>
  <si>
    <t>FCF Yield</t>
  </si>
  <si>
    <t>Earnings yield</t>
  </si>
  <si>
    <t>Dividend yield</t>
  </si>
  <si>
    <t>Earnings yields</t>
  </si>
  <si>
    <t>FCF yield</t>
  </si>
  <si>
    <t>Dividend payout ratio</t>
  </si>
  <si>
    <t>Payout ratios</t>
  </si>
  <si>
    <t>Buyback payout ratio</t>
  </si>
  <si>
    <t>Full payout ratio</t>
  </si>
  <si>
    <t>TTM/YTD data</t>
  </si>
  <si>
    <t>Shares held by insiders</t>
  </si>
  <si>
    <t>Split adjusted shares held by insiders</t>
  </si>
  <si>
    <t>Insider ownership</t>
  </si>
  <si>
    <t>Cash per share</t>
  </si>
  <si>
    <t>Ownership</t>
  </si>
  <si>
    <t>Stock based compensation % OCF</t>
  </si>
  <si>
    <t>Stock based compensation % Revenue</t>
  </si>
  <si>
    <t>Stock based compensation</t>
  </si>
  <si>
    <t>Total payout ratio</t>
  </si>
  <si>
    <t>Dividends</t>
  </si>
  <si>
    <t>Cash holdings</t>
  </si>
  <si>
    <t>Net cash per share</t>
  </si>
  <si>
    <t>At a glance</t>
  </si>
  <si>
    <t>Earnings Yield</t>
  </si>
  <si>
    <t>Dividend Yield</t>
  </si>
  <si>
    <t>Net Cash/Market Cap</t>
  </si>
  <si>
    <t>Net cash to market cap</t>
  </si>
  <si>
    <t>Buyback yield</t>
  </si>
  <si>
    <t>Buyback Yield</t>
  </si>
  <si>
    <t>Total shareholder yield</t>
  </si>
  <si>
    <t>Net Cash/Share</t>
  </si>
  <si>
    <t>Insider Ownership</t>
  </si>
  <si>
    <t>Net Trade Cycle</t>
  </si>
  <si>
    <t>Quick Ratio</t>
  </si>
  <si>
    <t>Capex</t>
  </si>
  <si>
    <t>CapEx to Revenue</t>
  </si>
  <si>
    <t>CapEx to OCF</t>
  </si>
  <si>
    <t>CapEx to D&amp;A</t>
  </si>
  <si>
    <t>CapEx usage</t>
  </si>
  <si>
    <t>Capex to Revenue</t>
  </si>
  <si>
    <t>Performance Indicators</t>
  </si>
  <si>
    <t>Stock Based Compensation</t>
  </si>
  <si>
    <t>CapEx Usage</t>
  </si>
  <si>
    <t>Operating Income</t>
  </si>
  <si>
    <t>Net Income</t>
  </si>
  <si>
    <t>Growth rates breakdown</t>
  </si>
  <si>
    <t>Growth rate breakdown</t>
  </si>
  <si>
    <t>Other growth rates</t>
  </si>
  <si>
    <t>Latest 2 quarters</t>
  </si>
  <si>
    <t>YoY</t>
  </si>
  <si>
    <t>Growth</t>
  </si>
  <si>
    <t>Operating profit</t>
  </si>
  <si>
    <t>Diluted shares outstanding</t>
  </si>
  <si>
    <t>Revenue breakdown</t>
  </si>
  <si>
    <t>Income statement growth</t>
  </si>
  <si>
    <t>PV of FCFF</t>
  </si>
  <si>
    <t>EV/FCFF</t>
  </si>
  <si>
    <t>EV/FCFF valuation</t>
  </si>
  <si>
    <t>EV/FCFF price</t>
  </si>
  <si>
    <t>FCFF Growth</t>
  </si>
  <si>
    <t>Valuation</t>
  </si>
  <si>
    <t>Non-controlling interest</t>
  </si>
  <si>
    <t>Net income with non-controlling</t>
  </si>
  <si>
    <t>Equity with non-controlling</t>
  </si>
  <si>
    <t>Dividends to minority interest</t>
  </si>
  <si>
    <t>Preferred stock</t>
  </si>
  <si>
    <t>Accumulated income/loss</t>
  </si>
  <si>
    <t>%</t>
  </si>
  <si>
    <t>Info</t>
  </si>
  <si>
    <t>Mission:</t>
  </si>
  <si>
    <t>Auditor:</t>
  </si>
  <si>
    <t>Notes</t>
  </si>
  <si>
    <t>Date:</t>
  </si>
  <si>
    <t>10 Year Bond Yield</t>
  </si>
  <si>
    <t>Percentage</t>
  </si>
  <si>
    <t>Last market price for period adjusted</t>
  </si>
  <si>
    <t>FCFF/Sales (FCFF Margin)</t>
  </si>
  <si>
    <t>FCFE/Sales (FCFE Margin)</t>
  </si>
  <si>
    <t>Manual WACC</t>
  </si>
  <si>
    <t>Discount rate</t>
  </si>
  <si>
    <t>Applied EV/FCFF ratio</t>
  </si>
  <si>
    <t>Common size growth rates</t>
  </si>
  <si>
    <t>Price 5y</t>
  </si>
  <si>
    <t>Revenue 5y</t>
  </si>
  <si>
    <t>EPS 5y</t>
  </si>
  <si>
    <t>Marketable securities and investments</t>
  </si>
  <si>
    <t>Debt/EBIT</t>
  </si>
  <si>
    <t>Net Debt/EBIT</t>
  </si>
  <si>
    <t>Sales/Invested Capital</t>
  </si>
  <si>
    <t>Sales/Assets</t>
  </si>
  <si>
    <t>M</t>
  </si>
  <si>
    <t>29.11.2024</t>
  </si>
  <si>
    <t>Q4 2024</t>
  </si>
  <si>
    <t>Q1 2025</t>
  </si>
  <si>
    <t>Services</t>
  </si>
  <si>
    <t>FY 2024</t>
  </si>
  <si>
    <t>Services Growth Rate</t>
  </si>
  <si>
    <t>SG&amp;A</t>
  </si>
  <si>
    <t>Americas</t>
  </si>
  <si>
    <t>Yes</t>
  </si>
  <si>
    <t>Manual Cost of Equity</t>
  </si>
  <si>
    <t>DDM price</t>
  </si>
  <si>
    <t>Dividend discount model</t>
  </si>
  <si>
    <t>Dividend per share</t>
  </si>
  <si>
    <t>Ratios</t>
  </si>
  <si>
    <t>Payout</t>
  </si>
  <si>
    <t>DDM valuation</t>
  </si>
  <si>
    <t>Latest dividend</t>
  </si>
  <si>
    <t>Year 1 growth rate</t>
  </si>
  <si>
    <t>Year 1 dividend</t>
  </si>
  <si>
    <t>Perpetual dividend growth</t>
  </si>
  <si>
    <t>Ernst &amp; Young</t>
  </si>
  <si>
    <t>Empower the digital world by providing critical digital infrastructure and continuity solutions that ensure vital applications run continuously, perform optimally and grow with business needs</t>
  </si>
  <si>
    <t>31.12.2025</t>
  </si>
  <si>
    <t>31.12.2024</t>
  </si>
  <si>
    <t>31.12.2023</t>
  </si>
  <si>
    <t>Amortization</t>
  </si>
  <si>
    <t>31.12.2022</t>
  </si>
  <si>
    <t>31.12.2021</t>
  </si>
  <si>
    <t>30.06.2026</t>
  </si>
  <si>
    <t>30.06.2025</t>
  </si>
  <si>
    <t>31.03.2026</t>
  </si>
  <si>
    <t>31.03.2025</t>
  </si>
  <si>
    <t>Q3 2024</t>
  </si>
  <si>
    <t>30.09.2025</t>
  </si>
  <si>
    <t>30.09.2024</t>
  </si>
  <si>
    <t>Revenue Lower</t>
  </si>
  <si>
    <t>Revenue Upper</t>
  </si>
  <si>
    <t>Actual Revenue</t>
  </si>
  <si>
    <t>Asia Pacific</t>
  </si>
  <si>
    <t>Europe Middle East Africa</t>
  </si>
  <si>
    <t>Products</t>
  </si>
  <si>
    <t>Products Growth Rate</t>
  </si>
  <si>
    <t>Products COGS</t>
  </si>
  <si>
    <t>Services COGS</t>
  </si>
  <si>
    <t>27.07.2026</t>
  </si>
  <si>
    <t>-</t>
  </si>
  <si>
    <t>FY 2026 sales expected to be $14B</t>
  </si>
  <si>
    <t>Terminal EV</t>
  </si>
  <si>
    <t>PV of Terminal EV</t>
  </si>
  <si>
    <t>Total EV</t>
  </si>
  <si>
    <t>Year 5 FCFF</t>
  </si>
  <si>
    <t>EV/Sales</t>
  </si>
  <si>
    <t>EV/Sales valuation</t>
  </si>
  <si>
    <t>Year 5 Sales</t>
  </si>
  <si>
    <t>Applied EV/Sales ratio</t>
  </si>
  <si>
    <t>EV/Sales price</t>
  </si>
  <si>
    <t>Reverse DCF rate</t>
  </si>
  <si>
    <t>Cost of Equity</t>
  </si>
  <si>
    <t>Discount rates used</t>
  </si>
  <si>
    <t>Links</t>
  </si>
  <si>
    <t>Financials -&gt;'!B13</t>
  </si>
  <si>
    <t>Analysis -&gt;'!B13</t>
  </si>
  <si>
    <t>Forecast -&gt;'!B13</t>
  </si>
  <si>
    <t>Valuation -&gt;'!B13</t>
  </si>
  <si>
    <t>Overview'!B3</t>
  </si>
  <si>
    <t>Reverse DCF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</si>
</sst>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164" formatCode="_([$$-409]* #,##0.00_);_([$$-409]* \(#,##0.00\);_([$$-409]* &quot;-&quot;??_);_(@_)"/>
    <numFmt numFmtId="165" formatCode="0.00_);[Red]\(0.00\)"/>
    <numFmt numFmtId="166" formatCode="#,##0.0_);[Red]\(#,##0.0\)"/>
    <numFmt numFmtId="167" formatCode="0.00_);\(0.00\)"/>
    <numFmt numFmtId="168" formatCode="0.0%"/>
    <numFmt numFmtId="169" formatCode="#,##0.0_);\(#,##0.0\)"/>
    <numFmt numFmtId="170" formatCode="0.0"/>
  </numFmts>
  <fonts count="26" x14ac:knownFonts="1">
    <font>
      <sz val="12"/>
      <color theme="1"/>
      <name val="Aptos Narrow"/>
      <family val="2"/>
      <scheme val="minor"/>
    </font>
    <font>
      <sz val="12"/>
      <color theme="1"/>
      <name val="Aptos Narrow"/>
      <family val="2"/>
      <scheme val="minor"/>
    </font>
    <font>
      <sz val="12"/>
      <color rgb="FF000000"/>
      <name val="Aptos Narrow"/>
      <family val="2"/>
      <scheme val="minor"/>
    </font>
    <font>
      <b/>
      <sz val="40"/>
      <color rgb="FF002060"/>
      <name val="Arial"/>
      <family val="2"/>
      <charset val="204"/>
    </font>
    <font>
      <b/>
      <sz val="12"/>
      <color theme="0"/>
      <name val="Aptos Narrow"/>
      <scheme val="minor"/>
    </font>
    <font>
      <b/>
      <sz val="12"/>
      <color theme="0" tint="-4.9989318521683403E-2"/>
      <name val="Aptos Narrow"/>
      <scheme val="minor"/>
    </font>
    <font>
      <b/>
      <sz val="12"/>
      <color rgb="FFF2F2F2"/>
      <name val="Aptos Narrow"/>
      <scheme val="minor"/>
    </font>
    <font>
      <b/>
      <sz val="12"/>
      <color theme="1"/>
      <name val="Aptos Narrow"/>
      <scheme val="minor"/>
    </font>
    <font>
      <b/>
      <sz val="12"/>
      <color rgb="FF0070C0"/>
      <name val="Aptos Narrow"/>
      <scheme val="minor"/>
    </font>
    <font>
      <sz val="12"/>
      <color rgb="FF0070C0"/>
      <name val="Aptos Narrow"/>
      <scheme val="minor"/>
    </font>
    <font>
      <sz val="12"/>
      <color theme="1"/>
      <name val="Aptos Narrow"/>
      <scheme val="minor"/>
    </font>
    <font>
      <sz val="12"/>
      <color rgb="FF0070C0"/>
      <name val="Aptos Narrow"/>
      <family val="2"/>
      <scheme val="minor"/>
    </font>
    <font>
      <sz val="12"/>
      <color theme="9"/>
      <name val="Aptos Narrow"/>
      <scheme val="minor"/>
    </font>
    <font>
      <b/>
      <sz val="12"/>
      <color rgb="FF002060"/>
      <name val="Arial"/>
      <family val="2"/>
      <charset val="204"/>
    </font>
    <font>
      <sz val="9"/>
      <name val="Arial"/>
      <family val="2"/>
      <charset val="204"/>
    </font>
    <font>
      <b/>
      <sz val="12"/>
      <color rgb="FFFFFFFF"/>
      <name val="Aptos Narrow"/>
      <scheme val="minor"/>
    </font>
    <font>
      <sz val="12"/>
      <color theme="9"/>
      <name val="Aptos Narrow"/>
      <family val="2"/>
      <scheme val="minor"/>
    </font>
    <font>
      <b/>
      <sz val="12"/>
      <color theme="9"/>
      <name val="Aptos Narrow"/>
      <scheme val="minor"/>
    </font>
    <font>
      <i/>
      <sz val="12"/>
      <color theme="1"/>
      <name val="Aptos Narrow"/>
      <scheme val="minor"/>
    </font>
    <font>
      <sz val="12"/>
      <color rgb="FF4EA72E"/>
      <name val="Aptos Narrow"/>
      <family val="2"/>
      <scheme val="minor"/>
    </font>
    <font>
      <b/>
      <i/>
      <sz val="12"/>
      <color theme="1"/>
      <name val="Aptos Narrow"/>
      <scheme val="minor"/>
    </font>
    <font>
      <b/>
      <sz val="12"/>
      <color rgb="FF4EA72E"/>
      <name val="Aptos Narrow"/>
      <scheme val="minor"/>
    </font>
    <font>
      <b/>
      <sz val="12"/>
      <color rgb="FF000000"/>
      <name val="Aptos Narrow"/>
      <scheme val="minor"/>
    </font>
    <font>
      <i/>
      <sz val="12"/>
      <color rgb="FF000000"/>
      <name val="Aptos Narrow"/>
      <scheme val="minor"/>
    </font>
    <font>
      <sz val="12"/>
      <color rgb="FF4EA72E"/>
      <name val="Aptos Narrow"/>
      <scheme val="minor"/>
    </font>
    <font>
      <u/>
      <sz val="12"/>
      <color theme="10"/>
      <name val="Aptos Narrow"/>
      <family val="2"/>
      <scheme val="minor"/>
    </font>
  </fonts>
  <fills count="19">
    <fill>
      <patternFill patternType="none"/>
    </fill>
    <fill>
      <patternFill patternType="gray125"/>
    </fill>
    <fill>
      <patternFill patternType="solid">
        <fgColor theme="0"/>
        <bgColor indexed="64"/>
      </patternFill>
    </fill>
    <fill>
      <patternFill patternType="solid">
        <fgColor rgb="FFFFFAD5"/>
        <bgColor indexed="64"/>
      </patternFill>
    </fill>
    <fill>
      <patternFill patternType="solid">
        <fgColor rgb="FF002060"/>
        <bgColor indexed="64"/>
      </patternFill>
    </fill>
    <fill>
      <patternFill patternType="solid">
        <fgColor rgb="FF002060"/>
        <bgColor rgb="FF000000"/>
      </patternFill>
    </fill>
    <fill>
      <patternFill patternType="solid">
        <fgColor theme="3" tint="0.49998474074526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rgb="FFFFFFFF"/>
        <bgColor rgb="FF000000"/>
      </patternFill>
    </fill>
    <fill>
      <patternFill patternType="solid">
        <fgColor theme="0" tint="-0.249977111117893"/>
        <bgColor indexed="64"/>
      </patternFill>
    </fill>
    <fill>
      <patternFill patternType="solid">
        <fgColor theme="0"/>
        <bgColor rgb="FF000000"/>
      </patternFill>
    </fill>
    <fill>
      <patternFill patternType="solid">
        <fgColor rgb="FFADADAD"/>
        <bgColor rgb="FF000000"/>
      </patternFill>
    </fill>
    <fill>
      <patternFill patternType="solid">
        <fgColor rgb="FFFFFAD5"/>
        <bgColor rgb="FF000000"/>
      </patternFill>
    </fill>
    <fill>
      <patternFill patternType="solid">
        <fgColor theme="3" tint="0.89999084444715716"/>
        <bgColor indexed="64"/>
      </patternFill>
    </fill>
    <fill>
      <patternFill patternType="solid">
        <fgColor theme="3" tint="0.749992370372631"/>
        <bgColor indexed="64"/>
      </patternFill>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0"/>
      </bottom>
      <diagonal/>
    </border>
    <border>
      <left/>
      <right/>
      <top/>
      <bottom style="thin">
        <color theme="2"/>
      </bottom>
      <diagonal/>
    </border>
    <border>
      <left style="thin">
        <color theme="0"/>
      </left>
      <right/>
      <top/>
      <bottom style="thin">
        <color theme="0"/>
      </bottom>
      <diagonal/>
    </border>
    <border>
      <left/>
      <right style="thick">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9" fontId="1" fillId="0" borderId="0" applyFont="0" applyFill="0" applyBorder="0" applyAlignment="0" applyProtection="0"/>
    <xf numFmtId="0" fontId="25" fillId="0" borderId="0" applyNumberFormat="0" applyFill="0" applyBorder="0" applyAlignment="0" applyProtection="0"/>
  </cellStyleXfs>
  <cellXfs count="264">
    <xf numFmtId="0" fontId="0" fillId="0" borderId="0" xfId="0"/>
    <xf numFmtId="0" fontId="0" fillId="2" borderId="0" xfId="0" applyFill="1"/>
    <xf numFmtId="164" fontId="0" fillId="2" borderId="0" xfId="0" applyNumberFormat="1" applyFill="1"/>
    <xf numFmtId="0" fontId="3" fillId="2" borderId="0" xfId="0" applyFont="1" applyFill="1" applyAlignment="1">
      <alignment vertical="top"/>
    </xf>
    <xf numFmtId="0" fontId="0" fillId="2" borderId="0" xfId="0" applyFill="1" applyAlignment="1">
      <alignment vertical="top"/>
    </xf>
    <xf numFmtId="0" fontId="0" fillId="2" borderId="4" xfId="0" applyFill="1" applyBorder="1"/>
    <xf numFmtId="39" fontId="0" fillId="2" borderId="4" xfId="0" applyNumberFormat="1" applyFill="1" applyBorder="1" applyAlignment="1">
      <alignment horizontal="left"/>
    </xf>
    <xf numFmtId="0" fontId="5" fillId="2" borderId="0" xfId="0" applyFont="1" applyFill="1" applyAlignment="1">
      <alignment horizontal="right"/>
    </xf>
    <xf numFmtId="0" fontId="4" fillId="4" borderId="0" xfId="0" applyFont="1" applyFill="1" applyAlignment="1">
      <alignment horizontal="left"/>
    </xf>
    <xf numFmtId="0" fontId="6" fillId="5" borderId="0" xfId="0" applyFont="1" applyFill="1" applyAlignment="1">
      <alignment horizontal="right"/>
    </xf>
    <xf numFmtId="0" fontId="5" fillId="4" borderId="0" xfId="0" applyFont="1" applyFill="1" applyAlignment="1">
      <alignment horizontal="right"/>
    </xf>
    <xf numFmtId="0" fontId="5" fillId="2" borderId="0" xfId="0" applyFont="1" applyFill="1"/>
    <xf numFmtId="0" fontId="4" fillId="4" borderId="0" xfId="0" applyFont="1" applyFill="1"/>
    <xf numFmtId="0" fontId="5" fillId="4" borderId="0" xfId="0" applyFont="1" applyFill="1"/>
    <xf numFmtId="0" fontId="4" fillId="6" borderId="7" xfId="0" applyFont="1" applyFill="1" applyBorder="1"/>
    <xf numFmtId="0" fontId="5" fillId="6" borderId="7" xfId="0" applyFont="1" applyFill="1" applyBorder="1"/>
    <xf numFmtId="0" fontId="7" fillId="2" borderId="0" xfId="0" applyFont="1" applyFill="1"/>
    <xf numFmtId="0" fontId="7" fillId="7" borderId="8" xfId="0" applyFont="1" applyFill="1" applyBorder="1"/>
    <xf numFmtId="38" fontId="8" fillId="8" borderId="8" xfId="0" applyNumberFormat="1" applyFont="1" applyFill="1" applyBorder="1"/>
    <xf numFmtId="0" fontId="7" fillId="8" borderId="8" xfId="0" applyFont="1" applyFill="1" applyBorder="1"/>
    <xf numFmtId="0" fontId="0" fillId="7" borderId="0" xfId="0" applyFill="1"/>
    <xf numFmtId="38" fontId="9" fillId="2" borderId="0" xfId="0" applyNumberFormat="1" applyFont="1" applyFill="1"/>
    <xf numFmtId="38" fontId="7" fillId="8" borderId="8" xfId="0" applyNumberFormat="1" applyFont="1" applyFill="1" applyBorder="1"/>
    <xf numFmtId="0" fontId="10" fillId="7" borderId="0" xfId="0" applyFont="1" applyFill="1"/>
    <xf numFmtId="38" fontId="0" fillId="2" borderId="0" xfId="0" applyNumberFormat="1" applyFill="1"/>
    <xf numFmtId="38" fontId="10" fillId="2" borderId="0" xfId="0" applyNumberFormat="1" applyFont="1" applyFill="1"/>
    <xf numFmtId="165" fontId="9" fillId="2" borderId="0" xfId="0" applyNumberFormat="1" applyFont="1" applyFill="1"/>
    <xf numFmtId="165" fontId="10" fillId="2" borderId="0" xfId="0" applyNumberFormat="1" applyFont="1" applyFill="1"/>
    <xf numFmtId="0" fontId="10" fillId="7" borderId="7" xfId="0" applyFont="1" applyFill="1" applyBorder="1"/>
    <xf numFmtId="165" fontId="10" fillId="2" borderId="7" xfId="0" applyNumberFormat="1" applyFont="1" applyFill="1" applyBorder="1"/>
    <xf numFmtId="0" fontId="0" fillId="2" borderId="7" xfId="0" applyFill="1" applyBorder="1"/>
    <xf numFmtId="0" fontId="10" fillId="2" borderId="7" xfId="0" applyFont="1" applyFill="1" applyBorder="1"/>
    <xf numFmtId="0" fontId="7" fillId="7" borderId="0" xfId="0" applyFont="1" applyFill="1"/>
    <xf numFmtId="38" fontId="8" fillId="8" borderId="0" xfId="0" applyNumberFormat="1" applyFont="1" applyFill="1"/>
    <xf numFmtId="0" fontId="7" fillId="8" borderId="0" xfId="0" applyFont="1" applyFill="1"/>
    <xf numFmtId="38" fontId="7" fillId="8" borderId="0" xfId="0" applyNumberFormat="1" applyFont="1" applyFill="1"/>
    <xf numFmtId="0" fontId="7" fillId="7" borderId="7" xfId="0" applyFont="1" applyFill="1" applyBorder="1"/>
    <xf numFmtId="38" fontId="8" fillId="8" borderId="7" xfId="0" applyNumberFormat="1" applyFont="1" applyFill="1" applyBorder="1"/>
    <xf numFmtId="0" fontId="7" fillId="8" borderId="7" xfId="0" applyFont="1" applyFill="1" applyBorder="1"/>
    <xf numFmtId="0" fontId="10" fillId="2" borderId="0" xfId="0" applyFont="1" applyFill="1"/>
    <xf numFmtId="41" fontId="7" fillId="9" borderId="8" xfId="0" applyNumberFormat="1" applyFont="1" applyFill="1" applyBorder="1"/>
    <xf numFmtId="0" fontId="7" fillId="2" borderId="8" xfId="0" applyFont="1" applyFill="1" applyBorder="1"/>
    <xf numFmtId="41" fontId="7" fillId="10" borderId="8" xfId="0" applyNumberFormat="1" applyFont="1" applyFill="1" applyBorder="1"/>
    <xf numFmtId="38" fontId="11" fillId="2" borderId="0" xfId="0" applyNumberFormat="1" applyFont="1" applyFill="1"/>
    <xf numFmtId="2" fontId="11" fillId="2" borderId="0" xfId="0" applyNumberFormat="1" applyFont="1" applyFill="1"/>
    <xf numFmtId="2" fontId="10" fillId="2" borderId="0" xfId="0" applyNumberFormat="1" applyFont="1" applyFill="1"/>
    <xf numFmtId="10" fontId="10" fillId="2" borderId="0" xfId="0" applyNumberFormat="1" applyFont="1" applyFill="1"/>
    <xf numFmtId="0" fontId="7" fillId="11" borderId="0" xfId="0" applyFont="1" applyFill="1"/>
    <xf numFmtId="9" fontId="7" fillId="2" borderId="8" xfId="1" applyFont="1" applyFill="1" applyBorder="1"/>
    <xf numFmtId="0" fontId="0" fillId="11" borderId="0" xfId="0" applyFill="1"/>
    <xf numFmtId="9" fontId="0" fillId="2" borderId="0" xfId="1" applyFont="1" applyFill="1"/>
    <xf numFmtId="0" fontId="7" fillId="7" borderId="9" xfId="0" applyFont="1" applyFill="1" applyBorder="1"/>
    <xf numFmtId="9" fontId="7" fillId="2" borderId="9" xfId="1" applyFont="1" applyFill="1" applyBorder="1"/>
    <xf numFmtId="0" fontId="7" fillId="2" borderId="9" xfId="0" applyFont="1" applyFill="1" applyBorder="1"/>
    <xf numFmtId="0" fontId="0" fillId="7" borderId="8" xfId="0" applyFill="1" applyBorder="1"/>
    <xf numFmtId="9" fontId="0" fillId="2" borderId="8" xfId="1" applyFont="1" applyFill="1" applyBorder="1"/>
    <xf numFmtId="0" fontId="0" fillId="2" borderId="8" xfId="0" applyFill="1" applyBorder="1"/>
    <xf numFmtId="166" fontId="10" fillId="2" borderId="0" xfId="0" applyNumberFormat="1" applyFont="1" applyFill="1"/>
    <xf numFmtId="9" fontId="0" fillId="2" borderId="0" xfId="0" applyNumberFormat="1" applyFill="1"/>
    <xf numFmtId="0" fontId="5" fillId="4" borderId="0" xfId="0" applyFont="1" applyFill="1" applyAlignment="1">
      <alignment horizontal="center"/>
    </xf>
    <xf numFmtId="0" fontId="2" fillId="12" borderId="0" xfId="0" applyFont="1" applyFill="1"/>
    <xf numFmtId="37" fontId="8" fillId="8" borderId="8" xfId="0" applyNumberFormat="1" applyFont="1" applyFill="1" applyBorder="1"/>
    <xf numFmtId="37" fontId="9" fillId="2" borderId="0" xfId="0" applyNumberFormat="1" applyFont="1" applyFill="1"/>
    <xf numFmtId="167" fontId="9" fillId="2" borderId="0" xfId="0" applyNumberFormat="1" applyFont="1" applyFill="1"/>
    <xf numFmtId="37" fontId="0" fillId="2" borderId="0" xfId="0" applyNumberFormat="1" applyFill="1"/>
    <xf numFmtId="167" fontId="10" fillId="2" borderId="0" xfId="0" applyNumberFormat="1" applyFont="1" applyFill="1"/>
    <xf numFmtId="167" fontId="10" fillId="2" borderId="7" xfId="0" applyNumberFormat="1" applyFont="1" applyFill="1" applyBorder="1"/>
    <xf numFmtId="0" fontId="7" fillId="13" borderId="0" xfId="0" applyFont="1" applyFill="1"/>
    <xf numFmtId="0" fontId="0" fillId="13" borderId="0" xfId="0" applyFill="1"/>
    <xf numFmtId="0" fontId="0" fillId="3" borderId="10" xfId="0" applyFill="1" applyBorder="1"/>
    <xf numFmtId="3" fontId="0" fillId="3" borderId="10" xfId="0" applyNumberFormat="1" applyFill="1" applyBorder="1" applyAlignment="1">
      <alignment horizontal="left"/>
    </xf>
    <xf numFmtId="37" fontId="8" fillId="8" borderId="7" xfId="0" applyNumberFormat="1" applyFont="1" applyFill="1" applyBorder="1"/>
    <xf numFmtId="2" fontId="0" fillId="2" borderId="0" xfId="0" applyNumberFormat="1" applyFill="1"/>
    <xf numFmtId="168" fontId="0" fillId="2" borderId="4" xfId="1" applyNumberFormat="1" applyFont="1" applyFill="1" applyBorder="1" applyAlignment="1">
      <alignment horizontal="left"/>
    </xf>
    <xf numFmtId="168" fontId="10" fillId="2" borderId="0" xfId="1" applyNumberFormat="1" applyFont="1" applyFill="1"/>
    <xf numFmtId="2" fontId="10" fillId="2" borderId="0" xfId="1" applyNumberFormat="1" applyFont="1" applyFill="1"/>
    <xf numFmtId="168" fontId="7" fillId="2" borderId="0" xfId="1" applyNumberFormat="1" applyFont="1" applyFill="1"/>
    <xf numFmtId="168" fontId="0" fillId="13" borderId="0" xfId="1" applyNumberFormat="1" applyFont="1" applyFill="1"/>
    <xf numFmtId="2" fontId="0" fillId="13" borderId="0" xfId="1" applyNumberFormat="1" applyFont="1" applyFill="1"/>
    <xf numFmtId="168" fontId="7" fillId="13" borderId="0" xfId="1" applyNumberFormat="1" applyFont="1" applyFill="1"/>
    <xf numFmtId="2" fontId="10" fillId="13" borderId="0" xfId="1" applyNumberFormat="1" applyFont="1" applyFill="1"/>
    <xf numFmtId="10" fontId="10" fillId="2" borderId="0" xfId="1" applyNumberFormat="1" applyFont="1" applyFill="1"/>
    <xf numFmtId="0" fontId="13" fillId="2" borderId="0" xfId="0" applyFont="1" applyFill="1" applyAlignment="1">
      <alignment vertical="top"/>
    </xf>
    <xf numFmtId="0" fontId="14" fillId="2" borderId="0" xfId="0" applyFont="1" applyFill="1" applyAlignment="1">
      <alignment vertical="top"/>
    </xf>
    <xf numFmtId="0" fontId="14" fillId="2" borderId="4" xfId="0" applyFont="1" applyFill="1" applyBorder="1" applyAlignment="1">
      <alignment vertical="top"/>
    </xf>
    <xf numFmtId="0" fontId="4" fillId="4" borderId="11" xfId="0" applyFont="1" applyFill="1" applyBorder="1" applyAlignment="1">
      <alignment horizontal="center"/>
    </xf>
    <xf numFmtId="0" fontId="2" fillId="12" borderId="0" xfId="0" applyFont="1" applyFill="1" applyAlignment="1">
      <alignment vertical="top"/>
    </xf>
    <xf numFmtId="0" fontId="4" fillId="4" borderId="11" xfId="0" applyFont="1" applyFill="1" applyBorder="1" applyAlignment="1">
      <alignment horizontal="left"/>
    </xf>
    <xf numFmtId="37" fontId="16" fillId="2" borderId="0" xfId="0" applyNumberFormat="1" applyFont="1" applyFill="1"/>
    <xf numFmtId="37" fontId="16" fillId="2" borderId="14" xfId="0" applyNumberFormat="1" applyFont="1" applyFill="1" applyBorder="1"/>
    <xf numFmtId="0" fontId="0" fillId="2" borderId="0" xfId="0" applyFill="1" applyAlignment="1">
      <alignment horizontal="left"/>
    </xf>
    <xf numFmtId="0" fontId="0" fillId="2" borderId="0" xfId="0" applyFill="1" applyAlignment="1">
      <alignment horizontal="center"/>
    </xf>
    <xf numFmtId="37" fontId="17" fillId="2" borderId="0" xfId="0" applyNumberFormat="1" applyFont="1" applyFill="1"/>
    <xf numFmtId="37" fontId="17" fillId="2" borderId="14" xfId="0" applyNumberFormat="1" applyFont="1" applyFill="1" applyBorder="1"/>
    <xf numFmtId="37" fontId="7" fillId="2" borderId="0" xfId="0" applyNumberFormat="1" applyFont="1" applyFill="1"/>
    <xf numFmtId="168" fontId="18" fillId="2" borderId="0" xfId="1" applyNumberFormat="1" applyFont="1" applyFill="1"/>
    <xf numFmtId="168" fontId="18" fillId="2" borderId="14" xfId="1" applyNumberFormat="1" applyFont="1" applyFill="1" applyBorder="1"/>
    <xf numFmtId="168" fontId="18" fillId="3" borderId="0" xfId="1" applyNumberFormat="1" applyFont="1" applyFill="1"/>
    <xf numFmtId="38" fontId="19" fillId="12" borderId="0" xfId="0" applyNumberFormat="1" applyFont="1" applyFill="1"/>
    <xf numFmtId="38" fontId="19" fillId="12" borderId="14" xfId="0" applyNumberFormat="1" applyFont="1" applyFill="1" applyBorder="1"/>
    <xf numFmtId="38" fontId="16" fillId="2" borderId="0" xfId="0" applyNumberFormat="1" applyFont="1" applyFill="1"/>
    <xf numFmtId="38" fontId="16" fillId="2" borderId="14" xfId="0" applyNumberFormat="1" applyFont="1" applyFill="1" applyBorder="1"/>
    <xf numFmtId="170" fontId="0" fillId="3" borderId="0" xfId="0" applyNumberFormat="1" applyFill="1"/>
    <xf numFmtId="168" fontId="20" fillId="2" borderId="0" xfId="1" applyNumberFormat="1" applyFont="1" applyFill="1"/>
    <xf numFmtId="168" fontId="20" fillId="2" borderId="14" xfId="1" applyNumberFormat="1" applyFont="1" applyFill="1" applyBorder="1"/>
    <xf numFmtId="2" fontId="0" fillId="3" borderId="0" xfId="0" applyNumberFormat="1" applyFill="1"/>
    <xf numFmtId="38" fontId="21" fillId="12" borderId="0" xfId="0" applyNumberFormat="1" applyFont="1" applyFill="1"/>
    <xf numFmtId="38" fontId="21" fillId="12" borderId="14" xfId="0" applyNumberFormat="1" applyFont="1" applyFill="1" applyBorder="1"/>
    <xf numFmtId="38" fontId="7" fillId="2" borderId="0" xfId="0" applyNumberFormat="1" applyFont="1" applyFill="1"/>
    <xf numFmtId="0" fontId="4" fillId="2" borderId="0" xfId="0" applyFont="1" applyFill="1" applyAlignment="1">
      <alignment horizontal="center"/>
    </xf>
    <xf numFmtId="0" fontId="4" fillId="2" borderId="0" xfId="0" applyFont="1" applyFill="1" applyAlignment="1">
      <alignment horizontal="left"/>
    </xf>
    <xf numFmtId="0" fontId="4" fillId="2" borderId="0" xfId="0" applyFont="1" applyFill="1"/>
    <xf numFmtId="37" fontId="12" fillId="2" borderId="0" xfId="0" applyNumberFormat="1" applyFont="1" applyFill="1"/>
    <xf numFmtId="37" fontId="12" fillId="2" borderId="14" xfId="0" applyNumberFormat="1" applyFont="1" applyFill="1" applyBorder="1"/>
    <xf numFmtId="37" fontId="19" fillId="12" borderId="0" xfId="0" applyNumberFormat="1" applyFont="1" applyFill="1"/>
    <xf numFmtId="37" fontId="19" fillId="12" borderId="14" xfId="0" applyNumberFormat="1" applyFont="1" applyFill="1" applyBorder="1"/>
    <xf numFmtId="38" fontId="21" fillId="14" borderId="0" xfId="0" applyNumberFormat="1" applyFont="1" applyFill="1"/>
    <xf numFmtId="38" fontId="19" fillId="14" borderId="0" xfId="0" applyNumberFormat="1" applyFont="1" applyFill="1"/>
    <xf numFmtId="169" fontId="0" fillId="12" borderId="0" xfId="0" applyNumberFormat="1" applyFill="1"/>
    <xf numFmtId="169" fontId="0" fillId="12" borderId="14" xfId="0" applyNumberFormat="1" applyFill="1" applyBorder="1"/>
    <xf numFmtId="37" fontId="0" fillId="12" borderId="0" xfId="0" applyNumberFormat="1" applyFill="1"/>
    <xf numFmtId="37" fontId="0" fillId="12" borderId="14" xfId="0" applyNumberFormat="1" applyFill="1" applyBorder="1"/>
    <xf numFmtId="0" fontId="18" fillId="2" borderId="0" xfId="0" applyFont="1" applyFill="1"/>
    <xf numFmtId="168" fontId="18" fillId="12" borderId="0" xfId="1" applyNumberFormat="1" applyFont="1" applyFill="1"/>
    <xf numFmtId="168" fontId="18" fillId="12" borderId="14" xfId="1" applyNumberFormat="1" applyFont="1" applyFill="1" applyBorder="1"/>
    <xf numFmtId="169" fontId="0" fillId="14" borderId="0" xfId="0" applyNumberFormat="1" applyFill="1"/>
    <xf numFmtId="37" fontId="10" fillId="2" borderId="0" xfId="0" applyNumberFormat="1" applyFont="1" applyFill="1"/>
    <xf numFmtId="37" fontId="7" fillId="2" borderId="14" xfId="0" applyNumberFormat="1" applyFont="1" applyFill="1" applyBorder="1"/>
    <xf numFmtId="0" fontId="2" fillId="12" borderId="0" xfId="0" applyFont="1" applyFill="1" applyAlignment="1">
      <alignment horizontal="left"/>
    </xf>
    <xf numFmtId="10" fontId="16" fillId="2" borderId="0" xfId="0" applyNumberFormat="1" applyFont="1" applyFill="1"/>
    <xf numFmtId="10" fontId="16" fillId="2" borderId="14" xfId="0" applyNumberFormat="1" applyFont="1" applyFill="1" applyBorder="1"/>
    <xf numFmtId="37" fontId="10" fillId="2" borderId="14" xfId="0" applyNumberFormat="1" applyFont="1" applyFill="1" applyBorder="1"/>
    <xf numFmtId="0" fontId="4" fillId="4" borderId="0" xfId="0" applyFont="1" applyFill="1" applyAlignment="1">
      <alignment horizontal="center"/>
    </xf>
    <xf numFmtId="4" fontId="12" fillId="2" borderId="0" xfId="0" applyNumberFormat="1" applyFont="1" applyFill="1"/>
    <xf numFmtId="3" fontId="10" fillId="2" borderId="0" xfId="0" applyNumberFormat="1" applyFont="1" applyFill="1"/>
    <xf numFmtId="10" fontId="12" fillId="2" borderId="0" xfId="1" applyNumberFormat="1" applyFont="1" applyFill="1"/>
    <xf numFmtId="3" fontId="12" fillId="2" borderId="0" xfId="0" applyNumberFormat="1" applyFont="1" applyFill="1"/>
    <xf numFmtId="0" fontId="22" fillId="15" borderId="0" xfId="0" applyFont="1" applyFill="1"/>
    <xf numFmtId="37" fontId="10" fillId="11" borderId="14" xfId="0" applyNumberFormat="1" applyFont="1" applyFill="1" applyBorder="1"/>
    <xf numFmtId="0" fontId="0" fillId="3" borderId="0" xfId="0" applyFill="1"/>
    <xf numFmtId="10" fontId="10" fillId="3" borderId="0" xfId="1" applyNumberFormat="1" applyFont="1" applyFill="1"/>
    <xf numFmtId="3" fontId="0" fillId="2" borderId="0" xfId="0" applyNumberFormat="1" applyFill="1"/>
    <xf numFmtId="0" fontId="16" fillId="2" borderId="0" xfId="0" applyFont="1" applyFill="1"/>
    <xf numFmtId="0" fontId="16" fillId="2" borderId="14" xfId="0" applyFont="1" applyFill="1" applyBorder="1"/>
    <xf numFmtId="2" fontId="7" fillId="2" borderId="0" xfId="0" applyNumberFormat="1" applyFont="1" applyFill="1"/>
    <xf numFmtId="2" fontId="7" fillId="2" borderId="14" xfId="0" applyNumberFormat="1" applyFont="1" applyFill="1" applyBorder="1"/>
    <xf numFmtId="3" fontId="0" fillId="2" borderId="14" xfId="0" applyNumberFormat="1" applyFill="1" applyBorder="1"/>
    <xf numFmtId="3" fontId="16" fillId="2" borderId="0" xfId="0" applyNumberFormat="1" applyFont="1" applyFill="1"/>
    <xf numFmtId="3" fontId="16" fillId="2" borderId="14" xfId="0" applyNumberFormat="1" applyFont="1" applyFill="1" applyBorder="1"/>
    <xf numFmtId="168" fontId="0" fillId="2" borderId="0" xfId="1" applyNumberFormat="1" applyFont="1" applyFill="1"/>
    <xf numFmtId="0" fontId="0" fillId="9" borderId="19" xfId="0" applyFill="1" applyBorder="1"/>
    <xf numFmtId="167" fontId="0" fillId="9" borderId="20" xfId="0" applyNumberFormat="1" applyFill="1" applyBorder="1"/>
    <xf numFmtId="0" fontId="0" fillId="2" borderId="21" xfId="0" applyFill="1" applyBorder="1"/>
    <xf numFmtId="10" fontId="10" fillId="3" borderId="22" xfId="1" applyNumberFormat="1" applyFont="1" applyFill="1" applyBorder="1"/>
    <xf numFmtId="0" fontId="0" fillId="2" borderId="19" xfId="0" applyFill="1" applyBorder="1"/>
    <xf numFmtId="10" fontId="10" fillId="3" borderId="20" xfId="1" applyNumberFormat="1" applyFont="1" applyFill="1" applyBorder="1"/>
    <xf numFmtId="37" fontId="0" fillId="2" borderId="20" xfId="0" applyNumberFormat="1" applyFill="1" applyBorder="1"/>
    <xf numFmtId="37" fontId="10" fillId="2" borderId="22" xfId="0" applyNumberFormat="1" applyFont="1" applyFill="1" applyBorder="1"/>
    <xf numFmtId="0" fontId="7" fillId="2" borderId="19" xfId="0" applyFont="1" applyFill="1" applyBorder="1"/>
    <xf numFmtId="37" fontId="7" fillId="2" borderId="20" xfId="0" applyNumberFormat="1" applyFont="1" applyFill="1" applyBorder="1"/>
    <xf numFmtId="38" fontId="0" fillId="2" borderId="20" xfId="0" applyNumberFormat="1" applyFill="1" applyBorder="1"/>
    <xf numFmtId="0" fontId="0" fillId="9" borderId="23" xfId="0" applyFill="1" applyBorder="1"/>
    <xf numFmtId="167" fontId="0" fillId="9" borderId="24" xfId="0" applyNumberFormat="1" applyFill="1" applyBorder="1"/>
    <xf numFmtId="10" fontId="18" fillId="3" borderId="0" xfId="1" applyNumberFormat="1" applyFont="1" applyFill="1"/>
    <xf numFmtId="9" fontId="0" fillId="3" borderId="10" xfId="1" applyFont="1" applyFill="1" applyBorder="1" applyAlignment="1">
      <alignment horizontal="left"/>
    </xf>
    <xf numFmtId="0" fontId="0" fillId="6" borderId="7" xfId="0" applyFill="1" applyBorder="1"/>
    <xf numFmtId="2" fontId="10" fillId="17" borderId="0" xfId="0" applyNumberFormat="1" applyFont="1" applyFill="1"/>
    <xf numFmtId="3" fontId="0" fillId="17" borderId="0" xfId="0" applyNumberFormat="1" applyFill="1"/>
    <xf numFmtId="2" fontId="0" fillId="17" borderId="0" xfId="0" applyNumberFormat="1" applyFill="1"/>
    <xf numFmtId="168" fontId="10" fillId="17" borderId="0" xfId="1" applyNumberFormat="1" applyFont="1" applyFill="1"/>
    <xf numFmtId="168" fontId="7" fillId="17" borderId="0" xfId="1" applyNumberFormat="1" applyFont="1" applyFill="1"/>
    <xf numFmtId="37" fontId="0" fillId="17" borderId="0" xfId="0" applyNumberFormat="1" applyFill="1"/>
    <xf numFmtId="168" fontId="10" fillId="17" borderId="0" xfId="1" applyNumberFormat="1" applyFont="1" applyFill="1" applyAlignment="1">
      <alignment horizontal="right"/>
    </xf>
    <xf numFmtId="169" fontId="10" fillId="12" borderId="0" xfId="0" applyNumberFormat="1" applyFont="1" applyFill="1"/>
    <xf numFmtId="167" fontId="0" fillId="17" borderId="0" xfId="0" applyNumberFormat="1" applyFill="1"/>
    <xf numFmtId="2" fontId="0" fillId="2" borderId="0" xfId="0" applyNumberFormat="1" applyFill="1" applyAlignment="1">
      <alignment horizontal="right"/>
    </xf>
    <xf numFmtId="167" fontId="0" fillId="17" borderId="0" xfId="0" applyNumberFormat="1" applyFill="1" applyAlignment="1">
      <alignment horizontal="right"/>
    </xf>
    <xf numFmtId="170" fontId="0" fillId="2" borderId="0" xfId="0" applyNumberFormat="1" applyFill="1"/>
    <xf numFmtId="0" fontId="0" fillId="7" borderId="10" xfId="0" applyFill="1" applyBorder="1"/>
    <xf numFmtId="0" fontId="0" fillId="7" borderId="25" xfId="0" applyFill="1" applyBorder="1"/>
    <xf numFmtId="0" fontId="0" fillId="7" borderId="26" xfId="0" applyFill="1" applyBorder="1"/>
    <xf numFmtId="3" fontId="0" fillId="17" borderId="4" xfId="0" applyNumberFormat="1" applyFill="1" applyBorder="1"/>
    <xf numFmtId="3" fontId="0" fillId="17" borderId="6" xfId="0" applyNumberFormat="1" applyFill="1" applyBorder="1"/>
    <xf numFmtId="0" fontId="0" fillId="17" borderId="4" xfId="0" applyFill="1" applyBorder="1"/>
    <xf numFmtId="2" fontId="0" fillId="17" borderId="4" xfId="0" applyNumberFormat="1" applyFill="1" applyBorder="1"/>
    <xf numFmtId="2" fontId="0" fillId="17" borderId="6" xfId="0" applyNumberFormat="1" applyFill="1" applyBorder="1"/>
    <xf numFmtId="168" fontId="0" fillId="17" borderId="4" xfId="1" applyNumberFormat="1" applyFont="1" applyFill="1" applyBorder="1"/>
    <xf numFmtId="168" fontId="0" fillId="17" borderId="6" xfId="1" applyNumberFormat="1" applyFont="1" applyFill="1" applyBorder="1"/>
    <xf numFmtId="168" fontId="0" fillId="17" borderId="16" xfId="1" applyNumberFormat="1" applyFont="1" applyFill="1" applyBorder="1"/>
    <xf numFmtId="37" fontId="0" fillId="17" borderId="0" xfId="0" applyNumberFormat="1" applyFill="1" applyAlignment="1">
      <alignment horizontal="right"/>
    </xf>
    <xf numFmtId="168" fontId="0" fillId="17" borderId="0" xfId="1" applyNumberFormat="1" applyFont="1" applyFill="1"/>
    <xf numFmtId="0" fontId="2" fillId="15" borderId="0" xfId="0" applyFont="1" applyFill="1"/>
    <xf numFmtId="3" fontId="0" fillId="18" borderId="4" xfId="0" applyNumberFormat="1" applyFill="1" applyBorder="1"/>
    <xf numFmtId="3" fontId="0" fillId="18" borderId="25" xfId="0" applyNumberFormat="1" applyFill="1" applyBorder="1"/>
    <xf numFmtId="3" fontId="0" fillId="18" borderId="27" xfId="0" applyNumberFormat="1" applyFill="1" applyBorder="1"/>
    <xf numFmtId="2" fontId="0" fillId="18" borderId="27" xfId="0" applyNumberFormat="1" applyFill="1" applyBorder="1"/>
    <xf numFmtId="2" fontId="0" fillId="18" borderId="4" xfId="0" applyNumberFormat="1" applyFill="1" applyBorder="1"/>
    <xf numFmtId="0" fontId="5" fillId="4" borderId="4" xfId="0" applyFont="1" applyFill="1" applyBorder="1" applyAlignment="1">
      <alignment horizontal="right"/>
    </xf>
    <xf numFmtId="0" fontId="5" fillId="4" borderId="3" xfId="0" applyFont="1" applyFill="1" applyBorder="1" applyAlignment="1">
      <alignment horizontal="right"/>
    </xf>
    <xf numFmtId="0" fontId="0" fillId="7" borderId="6" xfId="0" applyFill="1" applyBorder="1"/>
    <xf numFmtId="0" fontId="18" fillId="7" borderId="16" xfId="0" applyFont="1" applyFill="1" applyBorder="1" applyAlignment="1">
      <alignment horizontal="left" indent="1"/>
    </xf>
    <xf numFmtId="0" fontId="0" fillId="7" borderId="16" xfId="0" applyFill="1" applyBorder="1"/>
    <xf numFmtId="39" fontId="0" fillId="17" borderId="4" xfId="0" applyNumberFormat="1" applyFill="1" applyBorder="1" applyAlignment="1">
      <alignment horizontal="left"/>
    </xf>
    <xf numFmtId="4" fontId="0" fillId="17" borderId="4" xfId="0" applyNumberFormat="1" applyFill="1" applyBorder="1" applyAlignment="1">
      <alignment horizontal="left"/>
    </xf>
    <xf numFmtId="3" fontId="0" fillId="17" borderId="6" xfId="0" applyNumberFormat="1" applyFill="1" applyBorder="1" applyAlignment="1">
      <alignment horizontal="left"/>
    </xf>
    <xf numFmtId="2" fontId="0" fillId="17" borderId="25" xfId="0" applyNumberFormat="1" applyFill="1" applyBorder="1"/>
    <xf numFmtId="2" fontId="0" fillId="17" borderId="10" xfId="0" applyNumberFormat="1" applyFill="1" applyBorder="1"/>
    <xf numFmtId="168" fontId="0" fillId="17" borderId="10" xfId="1" applyNumberFormat="1" applyFont="1" applyFill="1" applyBorder="1"/>
    <xf numFmtId="2" fontId="10" fillId="17" borderId="0" xfId="1" applyNumberFormat="1" applyFont="1" applyFill="1"/>
    <xf numFmtId="168" fontId="10" fillId="17" borderId="8" xfId="1" applyNumberFormat="1" applyFont="1" applyFill="1" applyBorder="1"/>
    <xf numFmtId="10" fontId="0" fillId="2" borderId="0" xfId="0" applyNumberFormat="1" applyFill="1"/>
    <xf numFmtId="0" fontId="0" fillId="17" borderId="4" xfId="0" applyFill="1" applyBorder="1" applyAlignment="1">
      <alignment shrinkToFit="1"/>
    </xf>
    <xf numFmtId="10" fontId="0" fillId="2" borderId="0" xfId="1" applyNumberFormat="1" applyFont="1" applyFill="1"/>
    <xf numFmtId="39" fontId="0" fillId="17" borderId="4" xfId="0" applyNumberFormat="1" applyFill="1" applyBorder="1" applyAlignment="1">
      <alignment horizontal="right"/>
    </xf>
    <xf numFmtId="10" fontId="0" fillId="17" borderId="6" xfId="1" applyNumberFormat="1" applyFont="1" applyFill="1" applyBorder="1"/>
    <xf numFmtId="10" fontId="0" fillId="3" borderId="10" xfId="1" applyNumberFormat="1" applyFont="1" applyFill="1" applyBorder="1" applyAlignment="1">
      <alignment horizontal="left"/>
    </xf>
    <xf numFmtId="10" fontId="12" fillId="2" borderId="20" xfId="1" applyNumberFormat="1" applyFont="1" applyFill="1" applyBorder="1"/>
    <xf numFmtId="3" fontId="12" fillId="2" borderId="20" xfId="0" applyNumberFormat="1" applyFont="1" applyFill="1" applyBorder="1"/>
    <xf numFmtId="2" fontId="0" fillId="2" borderId="0" xfId="1" applyNumberFormat="1" applyFont="1" applyFill="1"/>
    <xf numFmtId="2" fontId="0" fillId="2" borderId="0" xfId="1" applyNumberFormat="1" applyFont="1" applyFill="1" applyAlignment="1">
      <alignment horizontal="right"/>
    </xf>
    <xf numFmtId="1" fontId="0" fillId="2" borderId="0" xfId="0" applyNumberFormat="1" applyFill="1"/>
    <xf numFmtId="38" fontId="9" fillId="12" borderId="0" xfId="0" applyNumberFormat="1" applyFont="1" applyFill="1"/>
    <xf numFmtId="37" fontId="7" fillId="8" borderId="0" xfId="0" applyNumberFormat="1" applyFont="1" applyFill="1"/>
    <xf numFmtId="0" fontId="9" fillId="2" borderId="0" xfId="0" applyFont="1" applyFill="1"/>
    <xf numFmtId="3" fontId="0" fillId="18" borderId="2" xfId="0" applyNumberFormat="1" applyFill="1" applyBorder="1"/>
    <xf numFmtId="10" fontId="23" fillId="16" borderId="0" xfId="0" applyNumberFormat="1" applyFont="1" applyFill="1"/>
    <xf numFmtId="10" fontId="23" fillId="12" borderId="0" xfId="0" applyNumberFormat="1" applyFont="1" applyFill="1"/>
    <xf numFmtId="10" fontId="23" fillId="12" borderId="14" xfId="0" applyNumberFormat="1" applyFont="1" applyFill="1" applyBorder="1"/>
    <xf numFmtId="39" fontId="17" fillId="2" borderId="0" xfId="0" applyNumberFormat="1" applyFont="1" applyFill="1"/>
    <xf numFmtId="39" fontId="17" fillId="2" borderId="14" xfId="0" applyNumberFormat="1" applyFont="1" applyFill="1" applyBorder="1"/>
    <xf numFmtId="39" fontId="0" fillId="2" borderId="0" xfId="0" applyNumberFormat="1" applyFill="1"/>
    <xf numFmtId="10" fontId="0" fillId="3" borderId="0" xfId="1" applyNumberFormat="1" applyFont="1" applyFill="1"/>
    <xf numFmtId="39" fontId="10" fillId="2" borderId="0" xfId="0" applyNumberFormat="1" applyFont="1" applyFill="1"/>
    <xf numFmtId="0" fontId="0" fillId="9" borderId="0" xfId="0" applyFill="1" applyAlignment="1">
      <alignment horizontal="right"/>
    </xf>
    <xf numFmtId="38" fontId="24" fillId="12" borderId="0" xfId="0" applyNumberFormat="1" applyFont="1" applyFill="1"/>
    <xf numFmtId="38" fontId="24" fillId="12" borderId="14" xfId="0" applyNumberFormat="1" applyFont="1" applyFill="1" applyBorder="1"/>
    <xf numFmtId="0" fontId="10" fillId="2" borderId="0" xfId="0" applyFont="1" applyFill="1" applyAlignment="1">
      <alignment horizontal="center"/>
    </xf>
    <xf numFmtId="0" fontId="7" fillId="9" borderId="15" xfId="0" applyFont="1" applyFill="1" applyBorder="1"/>
    <xf numFmtId="167" fontId="7" fillId="9" borderId="16" xfId="0" applyNumberFormat="1" applyFont="1" applyFill="1" applyBorder="1"/>
    <xf numFmtId="168" fontId="0" fillId="17" borderId="25" xfId="1" applyNumberFormat="1" applyFont="1" applyFill="1" applyBorder="1"/>
    <xf numFmtId="168" fontId="0" fillId="17" borderId="26" xfId="1" applyNumberFormat="1" applyFont="1" applyFill="1" applyBorder="1"/>
    <xf numFmtId="0" fontId="25" fillId="8" borderId="25" xfId="2" quotePrefix="1" applyFill="1" applyBorder="1" applyAlignment="1">
      <alignment horizontal="center"/>
    </xf>
    <xf numFmtId="0" fontId="25" fillId="8" borderId="26" xfId="2" quotePrefix="1" applyFill="1" applyBorder="1" applyAlignment="1">
      <alignment horizontal="center"/>
    </xf>
    <xf numFmtId="168" fontId="0" fillId="17" borderId="2" xfId="1" applyNumberFormat="1" applyFont="1" applyFill="1" applyBorder="1"/>
    <xf numFmtId="2" fontId="0" fillId="17" borderId="6" xfId="1" applyNumberFormat="1" applyFont="1" applyFill="1" applyBorder="1"/>
    <xf numFmtId="0" fontId="0" fillId="7" borderId="27" xfId="0" applyFill="1" applyBorder="1"/>
    <xf numFmtId="0" fontId="4" fillId="4" borderId="1" xfId="0" applyFont="1" applyFill="1" applyBorder="1" applyAlignment="1">
      <alignment horizontal="center"/>
    </xf>
    <xf numFmtId="0" fontId="4" fillId="4" borderId="2" xfId="0" applyFont="1" applyFill="1" applyBorder="1" applyAlignment="1">
      <alignment horizontal="center"/>
    </xf>
    <xf numFmtId="0" fontId="4" fillId="4" borderId="10" xfId="0" applyFont="1" applyFill="1" applyBorder="1" applyAlignment="1">
      <alignment horizontal="center"/>
    </xf>
    <xf numFmtId="0" fontId="4" fillId="4" borderId="0" xfId="0" applyFont="1" applyFill="1" applyAlignment="1">
      <alignment horizontal="center"/>
    </xf>
    <xf numFmtId="0" fontId="5" fillId="4" borderId="0" xfId="0" applyFont="1" applyFill="1" applyAlignment="1">
      <alignment horizontal="center"/>
    </xf>
    <xf numFmtId="0" fontId="5" fillId="4" borderId="4" xfId="0" applyFont="1" applyFill="1" applyBorder="1" applyAlignment="1">
      <alignment horizontal="center"/>
    </xf>
    <xf numFmtId="0" fontId="5" fillId="4" borderId="3" xfId="0" applyFont="1" applyFill="1" applyBorder="1" applyAlignment="1">
      <alignment horizontal="center"/>
    </xf>
    <xf numFmtId="168" fontId="18" fillId="17" borderId="5" xfId="1" applyNumberFormat="1" applyFont="1" applyFill="1" applyBorder="1" applyAlignment="1">
      <alignment horizontal="center"/>
    </xf>
    <xf numFmtId="168" fontId="18" fillId="17" borderId="6" xfId="1" applyNumberFormat="1" applyFont="1" applyFill="1" applyBorder="1" applyAlignment="1">
      <alignment horizontal="center"/>
    </xf>
    <xf numFmtId="0" fontId="15" fillId="5" borderId="12" xfId="0" applyFont="1" applyFill="1" applyBorder="1" applyAlignment="1">
      <alignment horizontal="center"/>
    </xf>
    <xf numFmtId="0" fontId="4" fillId="4" borderId="13" xfId="0" applyFont="1" applyFill="1" applyBorder="1" applyAlignment="1">
      <alignment horizontal="center"/>
    </xf>
    <xf numFmtId="0" fontId="4" fillId="4" borderId="11" xfId="0" applyFont="1" applyFill="1" applyBorder="1" applyAlignment="1">
      <alignment horizontal="center"/>
    </xf>
    <xf numFmtId="0" fontId="4" fillId="4" borderId="4" xfId="0" applyFont="1" applyFill="1" applyBorder="1" applyAlignment="1">
      <alignment horizontal="center"/>
    </xf>
    <xf numFmtId="0" fontId="4" fillId="4" borderId="3" xfId="0" applyFont="1" applyFill="1" applyBorder="1" applyAlignment="1">
      <alignment horizontal="center"/>
    </xf>
    <xf numFmtId="0" fontId="4" fillId="2" borderId="0" xfId="0" applyFont="1" applyFill="1" applyAlignment="1">
      <alignment horizontal="center"/>
    </xf>
    <xf numFmtId="0" fontId="4" fillId="4" borderId="17" xfId="0" applyFont="1" applyFill="1" applyBorder="1" applyAlignment="1">
      <alignment horizontal="center"/>
    </xf>
    <xf numFmtId="0" fontId="4" fillId="4" borderId="18" xfId="0" applyFont="1" applyFill="1" applyBorder="1" applyAlignment="1">
      <alignment horizontal="center"/>
    </xf>
    <xf numFmtId="0" fontId="0" fillId="2" borderId="0" xfId="0" applyFill="1" applyAlignment="1">
      <alignment horizontal="left"/>
    </xf>
  </cellXfs>
  <cellStyles count="3">
    <cellStyle name="Hyperlink" xfId="2" builtinId="8"/>
    <cellStyle name="Normal" xfId="0" builtinId="0"/>
    <cellStyle name="Percent" xfId="1" builtinId="5"/>
  </cellStyles>
  <dxfs count="3">
    <dxf>
      <fill>
        <patternFill>
          <bgColor theme="9" tint="0.59996337778862885"/>
        </patternFill>
      </fill>
    </dxf>
    <dxf>
      <fill>
        <patternFill>
          <bgColor theme="0"/>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 Id="rId30" Type="http://schemas.microsoft.com/office/2017/06/relationships/richStyles" Target="richData/richStyles.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Year'!$H$62:$L$62</c:f>
              <c:strCache>
                <c:ptCount val="5"/>
                <c:pt idx="0">
                  <c:v>31.12.2021</c:v>
                </c:pt>
                <c:pt idx="1">
                  <c:v>31.12.2022</c:v>
                </c:pt>
                <c:pt idx="2">
                  <c:v>31.12.2023</c:v>
                </c:pt>
                <c:pt idx="3">
                  <c:v>31.12.2024</c:v>
                </c:pt>
                <c:pt idx="4">
                  <c:v>31.12.2025</c:v>
                </c:pt>
              </c:strCache>
            </c:strRef>
          </c:cat>
          <c:val>
            <c:numRef>
              <c:f>'Graphs Year'!$H$64:$L$64</c:f>
              <c:numCache>
                <c:formatCode>#,##0_);[Red]\(#,##0\)</c:formatCode>
                <c:ptCount val="5"/>
                <c:pt idx="0">
                  <c:v>4998</c:v>
                </c:pt>
                <c:pt idx="1">
                  <c:v>5692</c:v>
                </c:pt>
                <c:pt idx="2">
                  <c:v>6863</c:v>
                </c:pt>
                <c:pt idx="3">
                  <c:v>8012</c:v>
                </c:pt>
                <c:pt idx="4">
                  <c:v>10230</c:v>
                </c:pt>
              </c:numCache>
            </c:numRef>
          </c:val>
          <c:extLst>
            <c:ext xmlns:c16="http://schemas.microsoft.com/office/drawing/2014/chart" uri="{C3380CC4-5D6E-409C-BE32-E72D297353CC}">
              <c16:uniqueId val="{00000000-FBD8-F544-8D7A-E766A179560A}"/>
            </c:ext>
          </c:extLst>
        </c:ser>
        <c:ser>
          <c:idx val="1"/>
          <c:order val="1"/>
          <c:tx>
            <c:v>EBIT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Year'!$H$62:$L$62</c:f>
              <c:strCache>
                <c:ptCount val="5"/>
                <c:pt idx="0">
                  <c:v>31.12.2021</c:v>
                </c:pt>
                <c:pt idx="1">
                  <c:v>31.12.2022</c:v>
                </c:pt>
                <c:pt idx="2">
                  <c:v>31.12.2023</c:v>
                </c:pt>
                <c:pt idx="3">
                  <c:v>31.12.2024</c:v>
                </c:pt>
                <c:pt idx="4">
                  <c:v>31.12.2025</c:v>
                </c:pt>
              </c:strCache>
            </c:strRef>
          </c:cat>
          <c:val>
            <c:numRef>
              <c:f>'Graphs Year'!$H$65:$L$65</c:f>
              <c:numCache>
                <c:formatCode>#,##0_);\(#,##0\)</c:formatCode>
                <c:ptCount val="5"/>
                <c:pt idx="0">
                  <c:v>260</c:v>
                </c:pt>
                <c:pt idx="1">
                  <c:v>223</c:v>
                </c:pt>
                <c:pt idx="2">
                  <c:v>872</c:v>
                </c:pt>
                <c:pt idx="3">
                  <c:v>1367</c:v>
                </c:pt>
                <c:pt idx="4">
                  <c:v>1830</c:v>
                </c:pt>
              </c:numCache>
            </c:numRef>
          </c:val>
          <c:extLst>
            <c:ext xmlns:c16="http://schemas.microsoft.com/office/drawing/2014/chart" uri="{C3380CC4-5D6E-409C-BE32-E72D297353CC}">
              <c16:uniqueId val="{00000001-FBD8-F544-8D7A-E766A179560A}"/>
            </c:ext>
          </c:extLst>
        </c:ser>
        <c:ser>
          <c:idx val="2"/>
          <c:order val="2"/>
          <c:tx>
            <c:v>Net 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Year'!$H$62:$L$62</c:f>
              <c:strCache>
                <c:ptCount val="5"/>
                <c:pt idx="0">
                  <c:v>31.12.2021</c:v>
                </c:pt>
                <c:pt idx="1">
                  <c:v>31.12.2022</c:v>
                </c:pt>
                <c:pt idx="2">
                  <c:v>31.12.2023</c:v>
                </c:pt>
                <c:pt idx="3">
                  <c:v>31.12.2024</c:v>
                </c:pt>
                <c:pt idx="4">
                  <c:v>31.12.2025</c:v>
                </c:pt>
              </c:strCache>
            </c:strRef>
          </c:cat>
          <c:val>
            <c:numRef>
              <c:f>'Graphs Year'!$H$66:$L$66</c:f>
              <c:numCache>
                <c:formatCode>#,##0_);\(#,##0\)</c:formatCode>
                <c:ptCount val="5"/>
                <c:pt idx="0">
                  <c:v>120</c:v>
                </c:pt>
                <c:pt idx="1">
                  <c:v>77</c:v>
                </c:pt>
                <c:pt idx="2">
                  <c:v>460</c:v>
                </c:pt>
                <c:pt idx="3">
                  <c:v>496</c:v>
                </c:pt>
                <c:pt idx="4">
                  <c:v>1333</c:v>
                </c:pt>
              </c:numCache>
            </c:numRef>
          </c:val>
          <c:extLst>
            <c:ext xmlns:c16="http://schemas.microsoft.com/office/drawing/2014/chart" uri="{C3380CC4-5D6E-409C-BE32-E72D297353CC}">
              <c16:uniqueId val="{00000002-FBD8-F544-8D7A-E766A179560A}"/>
            </c:ext>
          </c:extLst>
        </c:ser>
        <c:dLbls>
          <c:showLegendKey val="0"/>
          <c:showVal val="0"/>
          <c:showCatName val="0"/>
          <c:showSerName val="0"/>
          <c:showPercent val="0"/>
          <c:showBubbleSize val="0"/>
        </c:dLbls>
        <c:gapWidth val="75"/>
        <c:overlap val="-25"/>
        <c:axId val="53038591"/>
        <c:axId val="53037247"/>
      </c:barChart>
      <c:catAx>
        <c:axId val="53038591"/>
        <c:scaling>
          <c:orientation val="minMax"/>
        </c:scaling>
        <c:delete val="1"/>
        <c:axPos val="b"/>
        <c:numFmt formatCode="General" sourceLinked="1"/>
        <c:majorTickMark val="none"/>
        <c:minorTickMark val="none"/>
        <c:tickLblPos val="nextTo"/>
        <c:crossAx val="53037247"/>
        <c:crosses val="autoZero"/>
        <c:auto val="1"/>
        <c:lblAlgn val="ctr"/>
        <c:lblOffset val="100"/>
        <c:noMultiLvlLbl val="0"/>
      </c:catAx>
      <c:valAx>
        <c:axId val="53037247"/>
        <c:scaling>
          <c:orientation val="minMax"/>
        </c:scaling>
        <c:delete val="0"/>
        <c:axPos val="l"/>
        <c:majorGridlines>
          <c:spPr>
            <a:ln w="9525" cap="flat" cmpd="sng" algn="ctr">
              <a:solidFill>
                <a:schemeClr val="lt1">
                  <a:lumMod val="95000"/>
                  <a:alpha val="10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038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FCFE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Year'!$H$67:$L$67</c:f>
              <c:numCache>
                <c:formatCode>#,##0_);\(#,##0\)</c:formatCode>
                <c:ptCount val="5"/>
                <c:pt idx="0">
                  <c:v>104</c:v>
                </c:pt>
                <c:pt idx="1">
                  <c:v>-289</c:v>
                </c:pt>
                <c:pt idx="2">
                  <c:v>741</c:v>
                </c:pt>
                <c:pt idx="3">
                  <c:v>1100</c:v>
                </c:pt>
                <c:pt idx="4">
                  <c:v>1842</c:v>
                </c:pt>
              </c:numCache>
            </c:numRef>
          </c:val>
          <c:extLst>
            <c:ext xmlns:c16="http://schemas.microsoft.com/office/drawing/2014/chart" uri="{C3380CC4-5D6E-409C-BE32-E72D297353CC}">
              <c16:uniqueId val="{00000000-BB17-2F4C-8690-419106F20D70}"/>
            </c:ext>
          </c:extLst>
        </c:ser>
        <c:ser>
          <c:idx val="1"/>
          <c:order val="1"/>
          <c:tx>
            <c:v>FCFF</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Year'!$H$68:$L$68</c:f>
              <c:numCache>
                <c:formatCode>#,##0_);\(#,##0\)</c:formatCode>
                <c:ptCount val="5"/>
                <c:pt idx="0">
                  <c:v>198.3855421686747</c:v>
                </c:pt>
                <c:pt idx="1">
                  <c:v>-155.17964071856289</c:v>
                </c:pt>
                <c:pt idx="2">
                  <c:v>953.93433395872421</c:v>
                </c:pt>
                <c:pt idx="3">
                  <c:v>1092.5294117647059</c:v>
                </c:pt>
                <c:pt idx="4">
                  <c:v>1822.3386911595867</c:v>
                </c:pt>
              </c:numCache>
            </c:numRef>
          </c:val>
          <c:extLst>
            <c:ext xmlns:c16="http://schemas.microsoft.com/office/drawing/2014/chart" uri="{C3380CC4-5D6E-409C-BE32-E72D297353CC}">
              <c16:uniqueId val="{00000001-BB17-2F4C-8690-419106F20D70}"/>
            </c:ext>
          </c:extLst>
        </c:ser>
        <c:dLbls>
          <c:showLegendKey val="0"/>
          <c:showVal val="0"/>
          <c:showCatName val="0"/>
          <c:showSerName val="0"/>
          <c:showPercent val="0"/>
          <c:showBubbleSize val="0"/>
        </c:dLbls>
        <c:gapWidth val="100"/>
        <c:overlap val="-24"/>
        <c:axId val="2187135"/>
        <c:axId val="58967807"/>
      </c:barChart>
      <c:catAx>
        <c:axId val="2187135"/>
        <c:scaling>
          <c:orientation val="minMax"/>
        </c:scaling>
        <c:delete val="1"/>
        <c:axPos val="b"/>
        <c:majorTickMark val="none"/>
        <c:minorTickMark val="none"/>
        <c:tickLblPos val="nextTo"/>
        <c:crossAx val="58967807"/>
        <c:crosses val="autoZero"/>
        <c:auto val="1"/>
        <c:lblAlgn val="ctr"/>
        <c:lblOffset val="100"/>
        <c:noMultiLvlLbl val="0"/>
      </c:catAx>
      <c:valAx>
        <c:axId val="58967807"/>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87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261592300962376E-2"/>
          <c:y val="2.5428331875182269E-2"/>
          <c:w val="0.87129396325459318"/>
          <c:h val="0.79224482356372117"/>
        </c:manualLayout>
      </c:layout>
      <c:barChart>
        <c:barDir val="col"/>
        <c:grouping val="clustered"/>
        <c:varyColors val="0"/>
        <c:ser>
          <c:idx val="0"/>
          <c:order val="0"/>
          <c:tx>
            <c:v>Gross margin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Year'!$H$69:$L$69</c:f>
              <c:numCache>
                <c:formatCode>0%</c:formatCode>
                <c:ptCount val="5"/>
                <c:pt idx="0">
                  <c:v>0.30472188875550221</c:v>
                </c:pt>
                <c:pt idx="1">
                  <c:v>0.28408292340126495</c:v>
                </c:pt>
                <c:pt idx="2">
                  <c:v>0.34970129680897566</c:v>
                </c:pt>
                <c:pt idx="3">
                  <c:v>0.36620069895157265</c:v>
                </c:pt>
                <c:pt idx="4">
                  <c:v>0.36314760508308896</c:v>
                </c:pt>
              </c:numCache>
            </c:numRef>
          </c:val>
          <c:extLst>
            <c:ext xmlns:c16="http://schemas.microsoft.com/office/drawing/2014/chart" uri="{C3380CC4-5D6E-409C-BE32-E72D297353CC}">
              <c16:uniqueId val="{00000000-F190-BE4A-9FEF-2CC4F95DC82E}"/>
            </c:ext>
          </c:extLst>
        </c:ser>
        <c:ser>
          <c:idx val="1"/>
          <c:order val="1"/>
          <c:tx>
            <c:v>EBIT 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Year'!$H$70:$L$70</c:f>
              <c:numCache>
                <c:formatCode>0%</c:formatCode>
                <c:ptCount val="5"/>
                <c:pt idx="0">
                  <c:v>5.202080832332933E-2</c:v>
                </c:pt>
                <c:pt idx="1">
                  <c:v>3.9177793394237527E-2</c:v>
                </c:pt>
                <c:pt idx="2">
                  <c:v>0.1270581378405945</c:v>
                </c:pt>
                <c:pt idx="3">
                  <c:v>0.17061907139291063</c:v>
                </c:pt>
                <c:pt idx="4">
                  <c:v>0.17888563049853373</c:v>
                </c:pt>
              </c:numCache>
            </c:numRef>
          </c:val>
          <c:extLst>
            <c:ext xmlns:c16="http://schemas.microsoft.com/office/drawing/2014/chart" uri="{C3380CC4-5D6E-409C-BE32-E72D297353CC}">
              <c16:uniqueId val="{00000001-F190-BE4A-9FEF-2CC4F95DC82E}"/>
            </c:ext>
          </c:extLst>
        </c:ser>
        <c:ser>
          <c:idx val="2"/>
          <c:order val="2"/>
          <c:tx>
            <c:v>Net margin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Year'!$H$71:$L$71</c:f>
              <c:numCache>
                <c:formatCode>0%</c:formatCode>
                <c:ptCount val="5"/>
                <c:pt idx="0">
                  <c:v>2.4009603841536616E-2</c:v>
                </c:pt>
                <c:pt idx="1">
                  <c:v>1.3527758257203091E-2</c:v>
                </c:pt>
                <c:pt idx="2">
                  <c:v>6.7026081888387004E-2</c:v>
                </c:pt>
                <c:pt idx="3">
                  <c:v>6.1907139291063402E-2</c:v>
                </c:pt>
                <c:pt idx="4">
                  <c:v>0.13030303030303031</c:v>
                </c:pt>
              </c:numCache>
            </c:numRef>
          </c:val>
          <c:extLst>
            <c:ext xmlns:c16="http://schemas.microsoft.com/office/drawing/2014/chart" uri="{C3380CC4-5D6E-409C-BE32-E72D297353CC}">
              <c16:uniqueId val="{00000002-F190-BE4A-9FEF-2CC4F95DC82E}"/>
            </c:ext>
          </c:extLst>
        </c:ser>
        <c:dLbls>
          <c:showLegendKey val="0"/>
          <c:showVal val="0"/>
          <c:showCatName val="0"/>
          <c:showSerName val="0"/>
          <c:showPercent val="0"/>
          <c:showBubbleSize val="0"/>
        </c:dLbls>
        <c:gapWidth val="100"/>
        <c:overlap val="-24"/>
        <c:axId val="91790783"/>
        <c:axId val="91797055"/>
      </c:barChart>
      <c:catAx>
        <c:axId val="91790783"/>
        <c:scaling>
          <c:orientation val="minMax"/>
        </c:scaling>
        <c:delete val="1"/>
        <c:axPos val="b"/>
        <c:majorTickMark val="none"/>
        <c:minorTickMark val="none"/>
        <c:tickLblPos val="nextTo"/>
        <c:crossAx val="91797055"/>
        <c:crosses val="autoZero"/>
        <c:auto val="1"/>
        <c:lblAlgn val="ctr"/>
        <c:lblOffset val="100"/>
        <c:noMultiLvlLbl val="0"/>
      </c:catAx>
      <c:valAx>
        <c:axId val="9179705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790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Americas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Year'!$H$72:$L$72</c:f>
              <c:numCache>
                <c:formatCode>#,##0_);\(#,##0\)</c:formatCode>
                <c:ptCount val="5"/>
                <c:pt idx="0">
                  <c:v>2187</c:v>
                </c:pt>
                <c:pt idx="1">
                  <c:v>2729</c:v>
                </c:pt>
                <c:pt idx="2">
                  <c:v>3845</c:v>
                </c:pt>
                <c:pt idx="3">
                  <c:v>4501</c:v>
                </c:pt>
                <c:pt idx="4">
                  <c:v>6386</c:v>
                </c:pt>
              </c:numCache>
            </c:numRef>
          </c:val>
          <c:extLst>
            <c:ext xmlns:c16="http://schemas.microsoft.com/office/drawing/2014/chart" uri="{C3380CC4-5D6E-409C-BE32-E72D297353CC}">
              <c16:uniqueId val="{00000000-CDE5-154C-8153-319428CD8714}"/>
            </c:ext>
          </c:extLst>
        </c:ser>
        <c:ser>
          <c:idx val="1"/>
          <c:order val="1"/>
          <c:tx>
            <c:v>APAC</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Year'!$H$73:$L$73</c:f>
              <c:numCache>
                <c:formatCode>#,##0_);\(#,##0\)</c:formatCode>
                <c:ptCount val="5"/>
                <c:pt idx="0">
                  <c:v>1609</c:v>
                </c:pt>
                <c:pt idx="1">
                  <c:v>1601</c:v>
                </c:pt>
                <c:pt idx="2">
                  <c:v>1528</c:v>
                </c:pt>
                <c:pt idx="3">
                  <c:v>1718</c:v>
                </c:pt>
                <c:pt idx="4">
                  <c:v>2019</c:v>
                </c:pt>
              </c:numCache>
            </c:numRef>
          </c:val>
          <c:extLst>
            <c:ext xmlns:c16="http://schemas.microsoft.com/office/drawing/2014/chart" uri="{C3380CC4-5D6E-409C-BE32-E72D297353CC}">
              <c16:uniqueId val="{00000000-CA7B-6544-82FA-B0E23A5D0C43}"/>
            </c:ext>
          </c:extLst>
        </c:ser>
        <c:ser>
          <c:idx val="2"/>
          <c:order val="2"/>
          <c:tx>
            <c:v>EMEA</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Year'!$H$74:$L$74</c:f>
              <c:numCache>
                <c:formatCode>#,##0_);\(#,##0\)</c:formatCode>
                <c:ptCount val="5"/>
                <c:pt idx="0">
                  <c:v>1202</c:v>
                </c:pt>
                <c:pt idx="1">
                  <c:v>1362</c:v>
                </c:pt>
                <c:pt idx="2">
                  <c:v>1491</c:v>
                </c:pt>
                <c:pt idx="3">
                  <c:v>1793</c:v>
                </c:pt>
                <c:pt idx="4">
                  <c:v>1824</c:v>
                </c:pt>
              </c:numCache>
            </c:numRef>
          </c:val>
          <c:extLst>
            <c:ext xmlns:c16="http://schemas.microsoft.com/office/drawing/2014/chart" uri="{C3380CC4-5D6E-409C-BE32-E72D297353CC}">
              <c16:uniqueId val="{00000001-CA7B-6544-82FA-B0E23A5D0C43}"/>
            </c:ext>
          </c:extLst>
        </c:ser>
        <c:dLbls>
          <c:showLegendKey val="0"/>
          <c:showVal val="0"/>
          <c:showCatName val="0"/>
          <c:showSerName val="0"/>
          <c:showPercent val="0"/>
          <c:showBubbleSize val="0"/>
        </c:dLbls>
        <c:gapWidth val="150"/>
        <c:overlap val="100"/>
        <c:axId val="57928639"/>
        <c:axId val="57930431"/>
      </c:barChart>
      <c:catAx>
        <c:axId val="57928639"/>
        <c:scaling>
          <c:orientation val="minMax"/>
        </c:scaling>
        <c:delete val="1"/>
        <c:axPos val="b"/>
        <c:majorTickMark val="none"/>
        <c:minorTickMark val="none"/>
        <c:tickLblPos val="nextTo"/>
        <c:crossAx val="57930431"/>
        <c:crosses val="autoZero"/>
        <c:auto val="1"/>
        <c:lblAlgn val="ctr"/>
        <c:lblOffset val="100"/>
        <c:noMultiLvlLbl val="0"/>
      </c:catAx>
      <c:valAx>
        <c:axId val="5793043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92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ROA</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Year'!$H$77:$L$77</c:f>
              <c:numCache>
                <c:formatCode>0.00%</c:formatCode>
                <c:ptCount val="5"/>
                <c:pt idx="0">
                  <c:v>1.7291066282420751E-2</c:v>
                </c:pt>
                <c:pt idx="1">
                  <c:v>1.085118376550169E-2</c:v>
                </c:pt>
                <c:pt idx="2">
                  <c:v>5.7507188398549819E-2</c:v>
                </c:pt>
                <c:pt idx="3">
                  <c:v>5.4308551406985657E-2</c:v>
                </c:pt>
                <c:pt idx="4">
                  <c:v>0.1091549295774648</c:v>
                </c:pt>
              </c:numCache>
            </c:numRef>
          </c:val>
          <c:extLst>
            <c:ext xmlns:c16="http://schemas.microsoft.com/office/drawing/2014/chart" uri="{C3380CC4-5D6E-409C-BE32-E72D297353CC}">
              <c16:uniqueId val="{00000000-5130-D94B-93C9-EC406C04EEFA}"/>
            </c:ext>
          </c:extLst>
        </c:ser>
        <c:ser>
          <c:idx val="1"/>
          <c:order val="1"/>
          <c:tx>
            <c:v>ROE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Year'!$H$78:$L$78</c:f>
              <c:numCache>
                <c:formatCode>0.00%</c:formatCode>
                <c:ptCount val="5"/>
                <c:pt idx="0">
                  <c:v>8.4626234132581107E-2</c:v>
                </c:pt>
                <c:pt idx="1">
                  <c:v>5.3398058252427175E-2</c:v>
                </c:pt>
                <c:pt idx="2">
                  <c:v>0.22828784119106701</c:v>
                </c:pt>
                <c:pt idx="3">
                  <c:v>0.2037797863599014</c:v>
                </c:pt>
                <c:pt idx="4">
                  <c:v>0.33823902562801322</c:v>
                </c:pt>
              </c:numCache>
            </c:numRef>
          </c:val>
          <c:extLst>
            <c:ext xmlns:c16="http://schemas.microsoft.com/office/drawing/2014/chart" uri="{C3380CC4-5D6E-409C-BE32-E72D297353CC}">
              <c16:uniqueId val="{00000001-5130-D94B-93C9-EC406C04EEFA}"/>
            </c:ext>
          </c:extLst>
        </c:ser>
        <c:ser>
          <c:idx val="2"/>
          <c:order val="2"/>
          <c:tx>
            <c:v>ROIC</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Year'!$H$79:$L$79</c:f>
              <c:numCache>
                <c:formatCode>0.00%</c:formatCode>
                <c:ptCount val="5"/>
                <c:pt idx="0">
                  <c:v>4.7162333544705136E-2</c:v>
                </c:pt>
                <c:pt idx="1">
                  <c:v>2.3517922982945361E-2</c:v>
                </c:pt>
                <c:pt idx="2">
                  <c:v>0.17982144012421558</c:v>
                </c:pt>
                <c:pt idx="3">
                  <c:v>0.21396454082358629</c:v>
                </c:pt>
                <c:pt idx="4">
                  <c:v>0.27861891984870407</c:v>
                </c:pt>
              </c:numCache>
            </c:numRef>
          </c:val>
          <c:extLst>
            <c:ext xmlns:c16="http://schemas.microsoft.com/office/drawing/2014/chart" uri="{C3380CC4-5D6E-409C-BE32-E72D297353CC}">
              <c16:uniqueId val="{00000002-5130-D94B-93C9-EC406C04EEFA}"/>
            </c:ext>
          </c:extLst>
        </c:ser>
        <c:dLbls>
          <c:showLegendKey val="0"/>
          <c:showVal val="0"/>
          <c:showCatName val="0"/>
          <c:showSerName val="0"/>
          <c:showPercent val="0"/>
          <c:showBubbleSize val="0"/>
        </c:dLbls>
        <c:gapWidth val="100"/>
        <c:overlap val="-24"/>
        <c:axId val="92276031"/>
        <c:axId val="92282303"/>
      </c:barChart>
      <c:catAx>
        <c:axId val="92276031"/>
        <c:scaling>
          <c:orientation val="minMax"/>
        </c:scaling>
        <c:delete val="1"/>
        <c:axPos val="b"/>
        <c:majorTickMark val="none"/>
        <c:minorTickMark val="none"/>
        <c:tickLblPos val="nextTo"/>
        <c:crossAx val="92282303"/>
        <c:crosses val="autoZero"/>
        <c:auto val="1"/>
        <c:lblAlgn val="ctr"/>
        <c:lblOffset val="100"/>
        <c:noMultiLvlLbl val="0"/>
      </c:catAx>
      <c:valAx>
        <c:axId val="922823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276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Price 5y</c:v>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'Graphs Year'!$H$80:$L$80</c:f>
              <c:numCache>
                <c:formatCode>0</c:formatCode>
                <c:ptCount val="5"/>
                <c:pt idx="0">
                  <c:v>100</c:v>
                </c:pt>
                <c:pt idx="1">
                  <c:v>54.705646776131367</c:v>
                </c:pt>
                <c:pt idx="2">
                  <c:v>192.35082098518222</c:v>
                </c:pt>
                <c:pt idx="3">
                  <c:v>454.98598317981578</c:v>
                </c:pt>
                <c:pt idx="4">
                  <c:v>648.81858229875854</c:v>
                </c:pt>
              </c:numCache>
            </c:numRef>
          </c:val>
          <c:smooth val="0"/>
          <c:extLst>
            <c:ext xmlns:c16="http://schemas.microsoft.com/office/drawing/2014/chart" uri="{C3380CC4-5D6E-409C-BE32-E72D297353CC}">
              <c16:uniqueId val="{00000000-E1C7-E644-B67E-BC4064FDD059}"/>
            </c:ext>
          </c:extLst>
        </c:ser>
        <c:ser>
          <c:idx val="1"/>
          <c:order val="1"/>
          <c:tx>
            <c:v>Revenue 5y</c:v>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'Graphs Year'!$H$81:$L$81</c:f>
              <c:numCache>
                <c:formatCode>0</c:formatCode>
                <c:ptCount val="5"/>
                <c:pt idx="0">
                  <c:v>100</c:v>
                </c:pt>
                <c:pt idx="1">
                  <c:v>113.88555422168866</c:v>
                </c:pt>
                <c:pt idx="2">
                  <c:v>137.31492597038817</c:v>
                </c:pt>
                <c:pt idx="3">
                  <c:v>160.30412164865945</c:v>
                </c:pt>
                <c:pt idx="4">
                  <c:v>204.68187274909963</c:v>
                </c:pt>
              </c:numCache>
            </c:numRef>
          </c:val>
          <c:smooth val="0"/>
          <c:extLst>
            <c:ext xmlns:c16="http://schemas.microsoft.com/office/drawing/2014/chart" uri="{C3380CC4-5D6E-409C-BE32-E72D297353CC}">
              <c16:uniqueId val="{00000001-E1C7-E644-B67E-BC4064FDD059}"/>
            </c:ext>
          </c:extLst>
        </c:ser>
        <c:ser>
          <c:idx val="2"/>
          <c:order val="2"/>
          <c:tx>
            <c:v>EPS 5y</c:v>
          </c:tx>
          <c:spPr>
            <a:ln w="34925" cap="rnd">
              <a:solidFill>
                <a:schemeClr val="accent3"/>
              </a:solidFill>
              <a:round/>
            </a:ln>
            <a:effectLst>
              <a:outerShdw blurRad="57150" dist="19050" dir="5400000" algn="ctr" rotWithShape="0">
                <a:srgbClr val="000000">
                  <a:alpha val="63000"/>
                </a:srgbClr>
              </a:outerShdw>
            </a:effectLst>
          </c:spPr>
          <c:marker>
            <c:symbol val="none"/>
          </c:marker>
          <c:val>
            <c:numRef>
              <c:f>'Graphs Year'!$H$82:$L$82</c:f>
              <c:numCache>
                <c:formatCode>0</c:formatCode>
                <c:ptCount val="5"/>
                <c:pt idx="0">
                  <c:v>100</c:v>
                </c:pt>
                <c:pt idx="1">
                  <c:v>-12.12121212121211</c:v>
                </c:pt>
                <c:pt idx="2">
                  <c:v>360.60606060606057</c:v>
                </c:pt>
                <c:pt idx="3">
                  <c:v>387.87878787878782</c:v>
                </c:pt>
                <c:pt idx="4">
                  <c:v>1033.3333333333335</c:v>
                </c:pt>
              </c:numCache>
            </c:numRef>
          </c:val>
          <c:smooth val="0"/>
          <c:extLst>
            <c:ext xmlns:c16="http://schemas.microsoft.com/office/drawing/2014/chart" uri="{C3380CC4-5D6E-409C-BE32-E72D297353CC}">
              <c16:uniqueId val="{00000002-E1C7-E644-B67E-BC4064FDD059}"/>
            </c:ext>
          </c:extLst>
        </c:ser>
        <c:dLbls>
          <c:showLegendKey val="0"/>
          <c:showVal val="0"/>
          <c:showCatName val="0"/>
          <c:showSerName val="0"/>
          <c:showPercent val="0"/>
          <c:showBubbleSize val="0"/>
        </c:dLbls>
        <c:smooth val="0"/>
        <c:axId val="1656736831"/>
        <c:axId val="1848533759"/>
      </c:lineChart>
      <c:catAx>
        <c:axId val="1656736831"/>
        <c:scaling>
          <c:orientation val="minMax"/>
        </c:scaling>
        <c:delete val="1"/>
        <c:axPos val="b"/>
        <c:majorTickMark val="none"/>
        <c:minorTickMark val="none"/>
        <c:tickLblPos val="nextTo"/>
        <c:crossAx val="1848533759"/>
        <c:crosses val="autoZero"/>
        <c:auto val="1"/>
        <c:lblAlgn val="ctr"/>
        <c:lblOffset val="100"/>
        <c:noMultiLvlLbl val="0"/>
      </c:catAx>
      <c:valAx>
        <c:axId val="184853375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6736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Products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Year'!$H$75:$L$75</c:f>
              <c:numCache>
                <c:formatCode>#,##0_);\(#,##0\)</c:formatCode>
                <c:ptCount val="5"/>
                <c:pt idx="0">
                  <c:v>3559</c:v>
                </c:pt>
                <c:pt idx="1">
                  <c:v>4211</c:v>
                </c:pt>
                <c:pt idx="2">
                  <c:v>5271</c:v>
                </c:pt>
                <c:pt idx="3">
                  <c:v>6245</c:v>
                </c:pt>
                <c:pt idx="4">
                  <c:v>8207</c:v>
                </c:pt>
              </c:numCache>
            </c:numRef>
          </c:val>
          <c:extLst>
            <c:ext xmlns:c16="http://schemas.microsoft.com/office/drawing/2014/chart" uri="{C3380CC4-5D6E-409C-BE32-E72D297353CC}">
              <c16:uniqueId val="{00000000-33C2-674C-B31F-A3CA086A4D2C}"/>
            </c:ext>
          </c:extLst>
        </c:ser>
        <c:ser>
          <c:idx val="1"/>
          <c:order val="1"/>
          <c:tx>
            <c:v>Services</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Year'!$H$76:$L$76</c:f>
              <c:numCache>
                <c:formatCode>#,##0_);\(#,##0\)</c:formatCode>
                <c:ptCount val="5"/>
                <c:pt idx="0">
                  <c:v>1439</c:v>
                </c:pt>
                <c:pt idx="1">
                  <c:v>1481</c:v>
                </c:pt>
                <c:pt idx="2">
                  <c:v>1592</c:v>
                </c:pt>
                <c:pt idx="3">
                  <c:v>1767</c:v>
                </c:pt>
                <c:pt idx="4">
                  <c:v>2023</c:v>
                </c:pt>
              </c:numCache>
            </c:numRef>
          </c:val>
          <c:extLst>
            <c:ext xmlns:c16="http://schemas.microsoft.com/office/drawing/2014/chart" uri="{C3380CC4-5D6E-409C-BE32-E72D297353CC}">
              <c16:uniqueId val="{00000001-33C2-674C-B31F-A3CA086A4D2C}"/>
            </c:ext>
          </c:extLst>
        </c:ser>
        <c:dLbls>
          <c:showLegendKey val="0"/>
          <c:showVal val="0"/>
          <c:showCatName val="0"/>
          <c:showSerName val="0"/>
          <c:showPercent val="0"/>
          <c:showBubbleSize val="0"/>
        </c:dLbls>
        <c:gapWidth val="150"/>
        <c:overlap val="100"/>
        <c:axId val="57928639"/>
        <c:axId val="57930431"/>
      </c:barChart>
      <c:catAx>
        <c:axId val="57928639"/>
        <c:scaling>
          <c:orientation val="minMax"/>
        </c:scaling>
        <c:delete val="1"/>
        <c:axPos val="b"/>
        <c:majorTickMark val="none"/>
        <c:minorTickMark val="none"/>
        <c:tickLblPos val="nextTo"/>
        <c:crossAx val="57930431"/>
        <c:crosses val="autoZero"/>
        <c:auto val="1"/>
        <c:lblAlgn val="ctr"/>
        <c:lblOffset val="100"/>
        <c:noMultiLvlLbl val="0"/>
      </c:catAx>
      <c:valAx>
        <c:axId val="5793043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92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Quarter'!$C$57:$J$57</c:f>
              <c:numCache>
                <c:formatCode>#,##0_);\(#,##0\)</c:formatCode>
                <c:ptCount val="8"/>
                <c:pt idx="0">
                  <c:v>2074</c:v>
                </c:pt>
                <c:pt idx="1">
                  <c:v>2346</c:v>
                </c:pt>
                <c:pt idx="2">
                  <c:v>2036</c:v>
                </c:pt>
                <c:pt idx="3">
                  <c:v>2638</c:v>
                </c:pt>
                <c:pt idx="4">
                  <c:v>2676</c:v>
                </c:pt>
                <c:pt idx="5">
                  <c:v>2880</c:v>
                </c:pt>
                <c:pt idx="6">
                  <c:v>2650</c:v>
                </c:pt>
                <c:pt idx="7">
                  <c:v>3274</c:v>
                </c:pt>
              </c:numCache>
            </c:numRef>
          </c:val>
          <c:extLst>
            <c:ext xmlns:c16="http://schemas.microsoft.com/office/drawing/2014/chart" uri="{C3380CC4-5D6E-409C-BE32-E72D297353CC}">
              <c16:uniqueId val="{00000000-A52F-B540-A9D4-A0F6D2821008}"/>
            </c:ext>
          </c:extLst>
        </c:ser>
        <c:ser>
          <c:idx val="1"/>
          <c:order val="1"/>
          <c:tx>
            <c:v>EBIT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Quarter'!$C$58:$J$58</c:f>
              <c:numCache>
                <c:formatCode>#,##0_);\(#,##0\)</c:formatCode>
                <c:ptCount val="8"/>
                <c:pt idx="0">
                  <c:v>372</c:v>
                </c:pt>
                <c:pt idx="1">
                  <c:v>457</c:v>
                </c:pt>
                <c:pt idx="2">
                  <c:v>291</c:v>
                </c:pt>
                <c:pt idx="3">
                  <c:v>442</c:v>
                </c:pt>
                <c:pt idx="4">
                  <c:v>517</c:v>
                </c:pt>
                <c:pt idx="5">
                  <c:v>580</c:v>
                </c:pt>
                <c:pt idx="6">
                  <c:v>440</c:v>
                </c:pt>
                <c:pt idx="7">
                  <c:v>634</c:v>
                </c:pt>
              </c:numCache>
            </c:numRef>
          </c:val>
          <c:extLst>
            <c:ext xmlns:c16="http://schemas.microsoft.com/office/drawing/2014/chart" uri="{C3380CC4-5D6E-409C-BE32-E72D297353CC}">
              <c16:uniqueId val="{00000001-A52F-B540-A9D4-A0F6D2821008}"/>
            </c:ext>
          </c:extLst>
        </c:ser>
        <c:ser>
          <c:idx val="2"/>
          <c:order val="2"/>
          <c:tx>
            <c:v>Net 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Quarter'!$C$59:$J$59</c:f>
              <c:numCache>
                <c:formatCode>#,##0_);\(#,##0\)</c:formatCode>
                <c:ptCount val="8"/>
                <c:pt idx="0">
                  <c:v>177</c:v>
                </c:pt>
                <c:pt idx="1">
                  <c:v>147</c:v>
                </c:pt>
                <c:pt idx="2">
                  <c:v>165</c:v>
                </c:pt>
                <c:pt idx="3">
                  <c:v>324</c:v>
                </c:pt>
                <c:pt idx="4">
                  <c:v>399</c:v>
                </c:pt>
                <c:pt idx="5">
                  <c:v>446</c:v>
                </c:pt>
                <c:pt idx="6">
                  <c:v>390</c:v>
                </c:pt>
                <c:pt idx="7">
                  <c:v>498</c:v>
                </c:pt>
              </c:numCache>
            </c:numRef>
          </c:val>
          <c:extLst>
            <c:ext xmlns:c16="http://schemas.microsoft.com/office/drawing/2014/chart" uri="{C3380CC4-5D6E-409C-BE32-E72D297353CC}">
              <c16:uniqueId val="{00000002-A52F-B540-A9D4-A0F6D2821008}"/>
            </c:ext>
          </c:extLst>
        </c:ser>
        <c:dLbls>
          <c:showLegendKey val="0"/>
          <c:showVal val="0"/>
          <c:showCatName val="0"/>
          <c:showSerName val="0"/>
          <c:showPercent val="0"/>
          <c:showBubbleSize val="0"/>
        </c:dLbls>
        <c:gapWidth val="100"/>
        <c:overlap val="-24"/>
        <c:axId val="1076387263"/>
        <c:axId val="1076391295"/>
      </c:barChart>
      <c:catAx>
        <c:axId val="1076387263"/>
        <c:scaling>
          <c:orientation val="minMax"/>
        </c:scaling>
        <c:delete val="1"/>
        <c:axPos val="b"/>
        <c:majorTickMark val="none"/>
        <c:minorTickMark val="none"/>
        <c:tickLblPos val="nextTo"/>
        <c:crossAx val="1076391295"/>
        <c:crosses val="autoZero"/>
        <c:auto val="1"/>
        <c:lblAlgn val="ctr"/>
        <c:lblOffset val="100"/>
        <c:noMultiLvlLbl val="0"/>
      </c:catAx>
      <c:valAx>
        <c:axId val="107639129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6387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Gross margin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Quarter'!$C$60:$J$60</c:f>
              <c:numCache>
                <c:formatCode>0%</c:formatCode>
                <c:ptCount val="8"/>
                <c:pt idx="0">
                  <c:v>0.36499517839922857</c:v>
                </c:pt>
                <c:pt idx="1">
                  <c:v>0.37084398976982097</c:v>
                </c:pt>
                <c:pt idx="2">
                  <c:v>0.33693516699410608</c:v>
                </c:pt>
                <c:pt idx="3">
                  <c:v>0.33965125094768767</c:v>
                </c:pt>
                <c:pt idx="4">
                  <c:v>0.37780269058295962</c:v>
                </c:pt>
                <c:pt idx="5">
                  <c:v>0.38923611111111112</c:v>
                </c:pt>
                <c:pt idx="6">
                  <c:v>0.37735849056603776</c:v>
                </c:pt>
                <c:pt idx="7">
                  <c:v>0.37721441661576055</c:v>
                </c:pt>
              </c:numCache>
            </c:numRef>
          </c:val>
          <c:extLst>
            <c:ext xmlns:c16="http://schemas.microsoft.com/office/drawing/2014/chart" uri="{C3380CC4-5D6E-409C-BE32-E72D297353CC}">
              <c16:uniqueId val="{00000000-A048-6D48-B3EA-D7065FE0E79C}"/>
            </c:ext>
          </c:extLst>
        </c:ser>
        <c:ser>
          <c:idx val="1"/>
          <c:order val="1"/>
          <c:tx>
            <c:v>EBIT 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Quarter'!$C$61:$J$61</c:f>
              <c:numCache>
                <c:formatCode>0%</c:formatCode>
                <c:ptCount val="8"/>
                <c:pt idx="0">
                  <c:v>0.17936354869816779</c:v>
                </c:pt>
                <c:pt idx="1">
                  <c:v>0.1947996589940324</c:v>
                </c:pt>
                <c:pt idx="2">
                  <c:v>0.14292730844793713</c:v>
                </c:pt>
                <c:pt idx="3">
                  <c:v>0.16755117513267628</c:v>
                </c:pt>
                <c:pt idx="4">
                  <c:v>0.19319880418535126</c:v>
                </c:pt>
                <c:pt idx="5">
                  <c:v>0.2013888888888889</c:v>
                </c:pt>
                <c:pt idx="6">
                  <c:v>0.16603773584905659</c:v>
                </c:pt>
                <c:pt idx="7">
                  <c:v>0.19364691508857668</c:v>
                </c:pt>
              </c:numCache>
            </c:numRef>
          </c:val>
          <c:extLst>
            <c:ext xmlns:c16="http://schemas.microsoft.com/office/drawing/2014/chart" uri="{C3380CC4-5D6E-409C-BE32-E72D297353CC}">
              <c16:uniqueId val="{00000001-A048-6D48-B3EA-D7065FE0E79C}"/>
            </c:ext>
          </c:extLst>
        </c:ser>
        <c:ser>
          <c:idx val="2"/>
          <c:order val="2"/>
          <c:tx>
            <c:v>Net margin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Quarter'!$C$62:$J$62</c:f>
              <c:numCache>
                <c:formatCode>0%</c:formatCode>
                <c:ptCount val="8"/>
                <c:pt idx="0">
                  <c:v>8.5342333654773381E-2</c:v>
                </c:pt>
                <c:pt idx="1">
                  <c:v>6.2659846547314574E-2</c:v>
                </c:pt>
                <c:pt idx="2">
                  <c:v>8.1041257367387029E-2</c:v>
                </c:pt>
                <c:pt idx="3">
                  <c:v>0.12282031842304776</c:v>
                </c:pt>
                <c:pt idx="4">
                  <c:v>0.1491031390134529</c:v>
                </c:pt>
                <c:pt idx="5">
                  <c:v>0.15486111111111112</c:v>
                </c:pt>
                <c:pt idx="6">
                  <c:v>0.14716981132075471</c:v>
                </c:pt>
                <c:pt idx="7">
                  <c:v>0.15210751374465487</c:v>
                </c:pt>
              </c:numCache>
            </c:numRef>
          </c:val>
          <c:extLst>
            <c:ext xmlns:c16="http://schemas.microsoft.com/office/drawing/2014/chart" uri="{C3380CC4-5D6E-409C-BE32-E72D297353CC}">
              <c16:uniqueId val="{00000002-A048-6D48-B3EA-D7065FE0E79C}"/>
            </c:ext>
          </c:extLst>
        </c:ser>
        <c:dLbls>
          <c:showLegendKey val="0"/>
          <c:showVal val="0"/>
          <c:showCatName val="0"/>
          <c:showSerName val="0"/>
          <c:showPercent val="0"/>
          <c:showBubbleSize val="0"/>
        </c:dLbls>
        <c:gapWidth val="100"/>
        <c:overlap val="-24"/>
        <c:axId val="1157457983"/>
        <c:axId val="1157451711"/>
      </c:barChart>
      <c:catAx>
        <c:axId val="1157457983"/>
        <c:scaling>
          <c:orientation val="minMax"/>
        </c:scaling>
        <c:delete val="1"/>
        <c:axPos val="b"/>
        <c:majorTickMark val="none"/>
        <c:minorTickMark val="none"/>
        <c:tickLblPos val="nextTo"/>
        <c:crossAx val="1157451711"/>
        <c:crosses val="autoZero"/>
        <c:auto val="1"/>
        <c:lblAlgn val="ctr"/>
        <c:lblOffset val="100"/>
        <c:noMultiLvlLbl val="0"/>
      </c:catAx>
      <c:valAx>
        <c:axId val="115745171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7457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Americas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Quarter'!$C$63:$J$63</c:f>
              <c:numCache>
                <c:formatCode>#,##0_);\(#,##0\)</c:formatCode>
                <c:ptCount val="8"/>
                <c:pt idx="0">
                  <c:v>1199</c:v>
                </c:pt>
                <c:pt idx="1">
                  <c:v>1256</c:v>
                </c:pt>
                <c:pt idx="2">
                  <c:v>1185</c:v>
                </c:pt>
                <c:pt idx="3">
                  <c:v>1602</c:v>
                </c:pt>
                <c:pt idx="4">
                  <c:v>1712</c:v>
                </c:pt>
                <c:pt idx="5">
                  <c:v>1886</c:v>
                </c:pt>
                <c:pt idx="6">
                  <c:v>1814</c:v>
                </c:pt>
                <c:pt idx="7">
                  <c:v>2071</c:v>
                </c:pt>
              </c:numCache>
            </c:numRef>
          </c:val>
          <c:extLst>
            <c:ext xmlns:c16="http://schemas.microsoft.com/office/drawing/2014/chart" uri="{C3380CC4-5D6E-409C-BE32-E72D297353CC}">
              <c16:uniqueId val="{00000000-2E19-FD44-9C5E-C1716B02A7E3}"/>
            </c:ext>
          </c:extLst>
        </c:ser>
        <c:ser>
          <c:idx val="1"/>
          <c:order val="1"/>
          <c:tx>
            <c:v>APAC</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Quarter'!$C$64:$J$64</c:f>
              <c:numCache>
                <c:formatCode>#,##0_);\(#,##0\)</c:formatCode>
                <c:ptCount val="8"/>
                <c:pt idx="0">
                  <c:v>432</c:v>
                </c:pt>
                <c:pt idx="1">
                  <c:v>544</c:v>
                </c:pt>
                <c:pt idx="2">
                  <c:v>447</c:v>
                </c:pt>
                <c:pt idx="3">
                  <c:v>560</c:v>
                </c:pt>
                <c:pt idx="4">
                  <c:v>520</c:v>
                </c:pt>
                <c:pt idx="5">
                  <c:v>492</c:v>
                </c:pt>
                <c:pt idx="6">
                  <c:v>514</c:v>
                </c:pt>
                <c:pt idx="7">
                  <c:v>720</c:v>
                </c:pt>
              </c:numCache>
            </c:numRef>
          </c:val>
          <c:extLst>
            <c:ext xmlns:c16="http://schemas.microsoft.com/office/drawing/2014/chart" uri="{C3380CC4-5D6E-409C-BE32-E72D297353CC}">
              <c16:uniqueId val="{00000001-2E19-FD44-9C5E-C1716B02A7E3}"/>
            </c:ext>
          </c:extLst>
        </c:ser>
        <c:ser>
          <c:idx val="2"/>
          <c:order val="2"/>
          <c:tx>
            <c:v>EMEA</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Quarter'!$C$65:$J$65</c:f>
              <c:numCache>
                <c:formatCode>#,##0_);\(#,##0\)</c:formatCode>
                <c:ptCount val="8"/>
                <c:pt idx="0">
                  <c:v>443</c:v>
                </c:pt>
                <c:pt idx="1">
                  <c:v>547</c:v>
                </c:pt>
                <c:pt idx="2">
                  <c:v>404</c:v>
                </c:pt>
                <c:pt idx="3">
                  <c:v>476</c:v>
                </c:pt>
                <c:pt idx="4">
                  <c:v>444</c:v>
                </c:pt>
                <c:pt idx="5">
                  <c:v>502</c:v>
                </c:pt>
                <c:pt idx="6">
                  <c:v>321</c:v>
                </c:pt>
                <c:pt idx="7">
                  <c:v>484</c:v>
                </c:pt>
              </c:numCache>
            </c:numRef>
          </c:val>
          <c:extLst>
            <c:ext xmlns:c16="http://schemas.microsoft.com/office/drawing/2014/chart" uri="{C3380CC4-5D6E-409C-BE32-E72D297353CC}">
              <c16:uniqueId val="{00000002-2E19-FD44-9C5E-C1716B02A7E3}"/>
            </c:ext>
          </c:extLst>
        </c:ser>
        <c:dLbls>
          <c:showLegendKey val="0"/>
          <c:showVal val="0"/>
          <c:showCatName val="0"/>
          <c:showSerName val="0"/>
          <c:showPercent val="0"/>
          <c:showBubbleSize val="0"/>
        </c:dLbls>
        <c:gapWidth val="100"/>
        <c:overlap val="100"/>
        <c:axId val="1156718463"/>
        <c:axId val="1156723391"/>
      </c:barChart>
      <c:catAx>
        <c:axId val="1156718463"/>
        <c:scaling>
          <c:orientation val="minMax"/>
        </c:scaling>
        <c:delete val="1"/>
        <c:axPos val="b"/>
        <c:majorTickMark val="none"/>
        <c:minorTickMark val="none"/>
        <c:tickLblPos val="nextTo"/>
        <c:crossAx val="1156723391"/>
        <c:crosses val="autoZero"/>
        <c:auto val="1"/>
        <c:lblAlgn val="ctr"/>
        <c:lblOffset val="100"/>
        <c:noMultiLvlLbl val="0"/>
      </c:catAx>
      <c:valAx>
        <c:axId val="115672339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718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FCFE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val>
            <c:numRef>
              <c:f>'Graphs Quarter'!$C$68:$J$68</c:f>
              <c:numCache>
                <c:formatCode>#,##0_);\(#,##0\)</c:formatCode>
                <c:ptCount val="8"/>
                <c:pt idx="0">
                  <c:v>328</c:v>
                </c:pt>
                <c:pt idx="1">
                  <c:v>352</c:v>
                </c:pt>
                <c:pt idx="2">
                  <c:v>253</c:v>
                </c:pt>
                <c:pt idx="3">
                  <c:v>264</c:v>
                </c:pt>
                <c:pt idx="4">
                  <c:v>448</c:v>
                </c:pt>
                <c:pt idx="5">
                  <c:v>903</c:v>
                </c:pt>
                <c:pt idx="6">
                  <c:v>635</c:v>
                </c:pt>
                <c:pt idx="7">
                  <c:v>912</c:v>
                </c:pt>
              </c:numCache>
            </c:numRef>
          </c:val>
          <c:smooth val="0"/>
          <c:extLst>
            <c:ext xmlns:c16="http://schemas.microsoft.com/office/drawing/2014/chart" uri="{C3380CC4-5D6E-409C-BE32-E72D297353CC}">
              <c16:uniqueId val="{00000000-2537-A641-96D5-AEFA40A2B2D6}"/>
            </c:ext>
          </c:extLst>
        </c:ser>
        <c:dLbls>
          <c:showLegendKey val="0"/>
          <c:showVal val="0"/>
          <c:showCatName val="0"/>
          <c:showSerName val="0"/>
          <c:showPercent val="0"/>
          <c:showBubbleSize val="0"/>
        </c:dLbls>
        <c:smooth val="0"/>
        <c:axId val="1163393471"/>
        <c:axId val="1163381375"/>
      </c:lineChart>
      <c:catAx>
        <c:axId val="1163393471"/>
        <c:scaling>
          <c:orientation val="minMax"/>
        </c:scaling>
        <c:delete val="1"/>
        <c:axPos val="b"/>
        <c:majorTickMark val="none"/>
        <c:minorTickMark val="none"/>
        <c:tickLblPos val="nextTo"/>
        <c:crossAx val="1163381375"/>
        <c:crosses val="autoZero"/>
        <c:auto val="1"/>
        <c:lblAlgn val="ctr"/>
        <c:lblOffset val="100"/>
        <c:noMultiLvlLbl val="0"/>
      </c:catAx>
      <c:valAx>
        <c:axId val="116338137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39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Products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Quarter'!$C$66:$J$66</c:f>
              <c:numCache>
                <c:formatCode>#,##0_);\(#,##0\)</c:formatCode>
                <c:ptCount val="8"/>
                <c:pt idx="0">
                  <c:v>1616</c:v>
                </c:pt>
                <c:pt idx="1">
                  <c:v>1875</c:v>
                </c:pt>
                <c:pt idx="2">
                  <c:v>1611</c:v>
                </c:pt>
                <c:pt idx="3">
                  <c:v>2119</c:v>
                </c:pt>
                <c:pt idx="4">
                  <c:v>2168</c:v>
                </c:pt>
                <c:pt idx="5">
                  <c:v>2309</c:v>
                </c:pt>
                <c:pt idx="6">
                  <c:v>2091</c:v>
                </c:pt>
                <c:pt idx="7">
                  <c:v>2606</c:v>
                </c:pt>
              </c:numCache>
            </c:numRef>
          </c:val>
          <c:extLst>
            <c:ext xmlns:c16="http://schemas.microsoft.com/office/drawing/2014/chart" uri="{C3380CC4-5D6E-409C-BE32-E72D297353CC}">
              <c16:uniqueId val="{00000000-8D4A-E04A-9A5A-7A343640BBBF}"/>
            </c:ext>
          </c:extLst>
        </c:ser>
        <c:ser>
          <c:idx val="1"/>
          <c:order val="1"/>
          <c:tx>
            <c:v>Services</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Quarter'!$C$67:$J$67</c:f>
              <c:numCache>
                <c:formatCode>#,##0_);\(#,##0\)</c:formatCode>
                <c:ptCount val="8"/>
                <c:pt idx="0">
                  <c:v>458</c:v>
                </c:pt>
                <c:pt idx="1">
                  <c:v>472</c:v>
                </c:pt>
                <c:pt idx="2">
                  <c:v>425</c:v>
                </c:pt>
                <c:pt idx="3">
                  <c:v>519</c:v>
                </c:pt>
                <c:pt idx="4">
                  <c:v>508</c:v>
                </c:pt>
                <c:pt idx="5">
                  <c:v>571</c:v>
                </c:pt>
                <c:pt idx="6">
                  <c:v>558</c:v>
                </c:pt>
                <c:pt idx="7">
                  <c:v>668</c:v>
                </c:pt>
              </c:numCache>
            </c:numRef>
          </c:val>
          <c:extLst>
            <c:ext xmlns:c16="http://schemas.microsoft.com/office/drawing/2014/chart" uri="{C3380CC4-5D6E-409C-BE32-E72D297353CC}">
              <c16:uniqueId val="{00000001-8D4A-E04A-9A5A-7A343640BBBF}"/>
            </c:ext>
          </c:extLst>
        </c:ser>
        <c:dLbls>
          <c:showLegendKey val="0"/>
          <c:showVal val="0"/>
          <c:showCatName val="0"/>
          <c:showSerName val="0"/>
          <c:showPercent val="0"/>
          <c:showBubbleSize val="0"/>
        </c:dLbls>
        <c:gapWidth val="100"/>
        <c:overlap val="100"/>
        <c:axId val="1156718463"/>
        <c:axId val="1156723391"/>
      </c:barChart>
      <c:catAx>
        <c:axId val="1156718463"/>
        <c:scaling>
          <c:orientation val="minMax"/>
        </c:scaling>
        <c:delete val="1"/>
        <c:axPos val="b"/>
        <c:majorTickMark val="none"/>
        <c:minorTickMark val="none"/>
        <c:tickLblPos val="nextTo"/>
        <c:crossAx val="1156723391"/>
        <c:crosses val="autoZero"/>
        <c:auto val="1"/>
        <c:lblAlgn val="ctr"/>
        <c:lblOffset val="100"/>
        <c:noMultiLvlLbl val="0"/>
      </c:catAx>
      <c:valAx>
        <c:axId val="115672339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718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22364</xdr:colOff>
      <xdr:row>2</xdr:row>
      <xdr:rowOff>10227</xdr:rowOff>
    </xdr:from>
    <xdr:to>
      <xdr:col>5</xdr:col>
      <xdr:colOff>528767</xdr:colOff>
      <xdr:row>15</xdr:row>
      <xdr:rowOff>157515</xdr:rowOff>
    </xdr:to>
    <xdr:graphicFrame macro="">
      <xdr:nvGraphicFramePr>
        <xdr:cNvPr id="2" name="Chart 1">
          <a:extLst>
            <a:ext uri="{FF2B5EF4-FFF2-40B4-BE49-F238E27FC236}">
              <a16:creationId xmlns:a16="http://schemas.microsoft.com/office/drawing/2014/main" id="{9AAB82B6-E718-1553-9A8A-71AB1CB30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717270</xdr:colOff>
      <xdr:row>2</xdr:row>
      <xdr:rowOff>10221</xdr:rowOff>
    </xdr:from>
    <xdr:to>
      <xdr:col>11</xdr:col>
      <xdr:colOff>353043</xdr:colOff>
      <xdr:row>15</xdr:row>
      <xdr:rowOff>157509</xdr:rowOff>
    </xdr:to>
    <xdr:graphicFrame macro="">
      <xdr:nvGraphicFramePr>
        <xdr:cNvPr id="3" name="Chart 2">
          <a:extLst>
            <a:ext uri="{FF2B5EF4-FFF2-40B4-BE49-F238E27FC236}">
              <a16:creationId xmlns:a16="http://schemas.microsoft.com/office/drawing/2014/main" id="{C193E931-8DC7-D7CC-D47C-6903365BAA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22365</xdr:colOff>
      <xdr:row>16</xdr:row>
      <xdr:rowOff>177959</xdr:rowOff>
    </xdr:from>
    <xdr:to>
      <xdr:col>5</xdr:col>
      <xdr:colOff>528768</xdr:colOff>
      <xdr:row>30</xdr:row>
      <xdr:rowOff>125562</xdr:rowOff>
    </xdr:to>
    <xdr:graphicFrame macro="">
      <xdr:nvGraphicFramePr>
        <xdr:cNvPr id="4" name="Chart 3">
          <a:extLst>
            <a:ext uri="{FF2B5EF4-FFF2-40B4-BE49-F238E27FC236}">
              <a16:creationId xmlns:a16="http://schemas.microsoft.com/office/drawing/2014/main" id="{7C1A4ED0-7A66-D55A-012D-14A8004B4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725258</xdr:colOff>
      <xdr:row>16</xdr:row>
      <xdr:rowOff>169971</xdr:rowOff>
    </xdr:from>
    <xdr:to>
      <xdr:col>11</xdr:col>
      <xdr:colOff>361031</xdr:colOff>
      <xdr:row>30</xdr:row>
      <xdr:rowOff>117574</xdr:rowOff>
    </xdr:to>
    <xdr:graphicFrame macro="">
      <xdr:nvGraphicFramePr>
        <xdr:cNvPr id="5" name="Chart 4">
          <a:extLst>
            <a:ext uri="{FF2B5EF4-FFF2-40B4-BE49-F238E27FC236}">
              <a16:creationId xmlns:a16="http://schemas.microsoft.com/office/drawing/2014/main" id="{BF106170-16E4-9CE8-051D-B7F6A8CA0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22364</xdr:colOff>
      <xdr:row>45</xdr:row>
      <xdr:rowOff>130035</xdr:rowOff>
    </xdr:from>
    <xdr:to>
      <xdr:col>5</xdr:col>
      <xdr:colOff>519183</xdr:colOff>
      <xdr:row>59</xdr:row>
      <xdr:rowOff>15974</xdr:rowOff>
    </xdr:to>
    <xdr:graphicFrame macro="">
      <xdr:nvGraphicFramePr>
        <xdr:cNvPr id="6" name="Chart 5">
          <a:extLst>
            <a:ext uri="{FF2B5EF4-FFF2-40B4-BE49-F238E27FC236}">
              <a16:creationId xmlns:a16="http://schemas.microsoft.com/office/drawing/2014/main" id="{1D0A5BEF-EF3A-9CEE-94C8-768A2579A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709282</xdr:colOff>
      <xdr:row>31</xdr:row>
      <xdr:rowOff>54154</xdr:rowOff>
    </xdr:from>
    <xdr:to>
      <xdr:col>11</xdr:col>
      <xdr:colOff>345056</xdr:colOff>
      <xdr:row>45</xdr:row>
      <xdr:rowOff>1757</xdr:rowOff>
    </xdr:to>
    <xdr:graphicFrame macro="">
      <xdr:nvGraphicFramePr>
        <xdr:cNvPr id="7" name="Chart 6">
          <a:extLst>
            <a:ext uri="{FF2B5EF4-FFF2-40B4-BE49-F238E27FC236}">
              <a16:creationId xmlns:a16="http://schemas.microsoft.com/office/drawing/2014/main" id="{F0680505-B7C9-318D-14CF-8CEACBFA9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23961</xdr:colOff>
      <xdr:row>31</xdr:row>
      <xdr:rowOff>63899</xdr:rowOff>
    </xdr:from>
    <xdr:to>
      <xdr:col>5</xdr:col>
      <xdr:colOff>522377</xdr:colOff>
      <xdr:row>45</xdr:row>
      <xdr:rowOff>3516</xdr:rowOff>
    </xdr:to>
    <xdr:graphicFrame macro="">
      <xdr:nvGraphicFramePr>
        <xdr:cNvPr id="8" name="Chart 7">
          <a:extLst>
            <a:ext uri="{FF2B5EF4-FFF2-40B4-BE49-F238E27FC236}">
              <a16:creationId xmlns:a16="http://schemas.microsoft.com/office/drawing/2014/main" id="{7B79BD33-A762-1B44-B0F7-15D4B723C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1578</xdr:colOff>
      <xdr:row>1</xdr:row>
      <xdr:rowOff>174488</xdr:rowOff>
    </xdr:from>
    <xdr:to>
      <xdr:col>5</xdr:col>
      <xdr:colOff>629478</xdr:colOff>
      <xdr:row>15</xdr:row>
      <xdr:rowOff>46383</xdr:rowOff>
    </xdr:to>
    <xdr:graphicFrame macro="">
      <xdr:nvGraphicFramePr>
        <xdr:cNvPr id="2" name="Chart 1">
          <a:extLst>
            <a:ext uri="{FF2B5EF4-FFF2-40B4-BE49-F238E27FC236}">
              <a16:creationId xmlns:a16="http://schemas.microsoft.com/office/drawing/2014/main" id="{71232299-7FA9-0039-D056-D8E3B8535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814063</xdr:colOff>
      <xdr:row>1</xdr:row>
      <xdr:rowOff>174486</xdr:rowOff>
    </xdr:from>
    <xdr:to>
      <xdr:col>11</xdr:col>
      <xdr:colOff>416498</xdr:colOff>
      <xdr:row>15</xdr:row>
      <xdr:rowOff>46381</xdr:rowOff>
    </xdr:to>
    <xdr:graphicFrame macro="">
      <xdr:nvGraphicFramePr>
        <xdr:cNvPr id="3" name="Chart 2">
          <a:extLst>
            <a:ext uri="{FF2B5EF4-FFF2-40B4-BE49-F238E27FC236}">
              <a16:creationId xmlns:a16="http://schemas.microsoft.com/office/drawing/2014/main" id="{596D588C-4223-6A47-5C25-B5CE03A95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9465</xdr:colOff>
      <xdr:row>16</xdr:row>
      <xdr:rowOff>947</xdr:rowOff>
    </xdr:from>
    <xdr:to>
      <xdr:col>5</xdr:col>
      <xdr:colOff>646831</xdr:colOff>
      <xdr:row>29</xdr:row>
      <xdr:rowOff>77936</xdr:rowOff>
    </xdr:to>
    <xdr:graphicFrame macro="">
      <xdr:nvGraphicFramePr>
        <xdr:cNvPr id="4" name="Chart 3">
          <a:extLst>
            <a:ext uri="{FF2B5EF4-FFF2-40B4-BE49-F238E27FC236}">
              <a16:creationId xmlns:a16="http://schemas.microsoft.com/office/drawing/2014/main" id="{3C7CD02C-4465-C3A2-3510-E1D80F197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814063</xdr:colOff>
      <xdr:row>16</xdr:row>
      <xdr:rowOff>8838</xdr:rowOff>
    </xdr:from>
    <xdr:to>
      <xdr:col>11</xdr:col>
      <xdr:colOff>416498</xdr:colOff>
      <xdr:row>29</xdr:row>
      <xdr:rowOff>85827</xdr:rowOff>
    </xdr:to>
    <xdr:graphicFrame macro="">
      <xdr:nvGraphicFramePr>
        <xdr:cNvPr id="5" name="Chart 4">
          <a:extLst>
            <a:ext uri="{FF2B5EF4-FFF2-40B4-BE49-F238E27FC236}">
              <a16:creationId xmlns:a16="http://schemas.microsoft.com/office/drawing/2014/main" id="{7B2EB754-366B-7BD3-2DC6-930FE8A3D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7889</xdr:colOff>
      <xdr:row>30</xdr:row>
      <xdr:rowOff>15777</xdr:rowOff>
    </xdr:from>
    <xdr:to>
      <xdr:col>5</xdr:col>
      <xdr:colOff>645255</xdr:colOff>
      <xdr:row>43</xdr:row>
      <xdr:rowOff>92766</xdr:rowOff>
    </xdr:to>
    <xdr:graphicFrame macro="">
      <xdr:nvGraphicFramePr>
        <xdr:cNvPr id="6" name="Chart 5">
          <a:extLst>
            <a:ext uri="{FF2B5EF4-FFF2-40B4-BE49-F238E27FC236}">
              <a16:creationId xmlns:a16="http://schemas.microsoft.com/office/drawing/2014/main" id="{9D956394-3F44-9C42-8827-B8389E114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128348</xdr:colOff>
      <xdr:row>16</xdr:row>
      <xdr:rowOff>20266</xdr:rowOff>
    </xdr:from>
    <xdr:to>
      <xdr:col>3</xdr:col>
      <xdr:colOff>716064</xdr:colOff>
      <xdr:row>16</xdr:row>
      <xdr:rowOff>216170</xdr:rowOff>
    </xdr:to>
    <xdr:sp macro="" textlink="">
      <xdr:nvSpPr>
        <xdr:cNvPr id="2" name="Right Arrow 1">
          <a:extLst>
            <a:ext uri="{FF2B5EF4-FFF2-40B4-BE49-F238E27FC236}">
              <a16:creationId xmlns:a16="http://schemas.microsoft.com/office/drawing/2014/main" id="{02CDC1E2-04C0-0B4F-AADE-DCF6B72A8310}"/>
            </a:ext>
          </a:extLst>
        </xdr:cNvPr>
        <xdr:cNvSpPr/>
      </xdr:nvSpPr>
      <xdr:spPr>
        <a:xfrm rot="10800000">
          <a:off x="3544648" y="3258766"/>
          <a:ext cx="587716" cy="19590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Volumes/KINGSTON/MyStockData/Finance-StockLists/1.%20List_ManualData.xlsx" TargetMode="External"/><Relationship Id="rId1" Type="http://schemas.openxmlformats.org/officeDocument/2006/relationships/externalLinkPath" Target="1.%20List_ManualDat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Volumes/KINGSTON/MyStockData/Finance-StockLists/QCOM.xlsx" TargetMode="External"/><Relationship Id="rId1" Type="http://schemas.openxmlformats.org/officeDocument/2006/relationships/externalLinkPath" Target="QCO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2">
          <cell r="C12">
            <v>4.4999999999999998E-2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Financials -&gt;"/>
      <sheetName val="Statement"/>
      <sheetName val="Analysis -&gt;"/>
      <sheetName val="Basic"/>
      <sheetName val="Yearly Analysis"/>
      <sheetName val="Quarter analysis"/>
      <sheetName val="Graphs Year"/>
      <sheetName val="Graphs Quarter"/>
      <sheetName val="Forecast -&gt;"/>
      <sheetName val="Revenue"/>
      <sheetName val="COGS &amp; OpEx"/>
      <sheetName val="WC &amp; Investments"/>
      <sheetName val="FCF &amp; Other"/>
      <sheetName val="Valuation -&gt;"/>
      <sheetName val="WACC"/>
      <sheetName val="DCF"/>
      <sheetName val="Multiples"/>
      <sheetName val="AVG target price"/>
      <sheetName val="DDM"/>
      <sheetName val="Reverse DCF"/>
    </sheetNames>
    <sheetDataSet>
      <sheetData sheetId="0"/>
      <sheetData sheetId="1"/>
      <sheetData sheetId="2"/>
      <sheetData sheetId="3"/>
      <sheetData sheetId="4"/>
      <sheetData sheetId="5"/>
      <sheetData sheetId="6"/>
      <sheetData sheetId="7"/>
      <sheetData sheetId="8"/>
      <sheetData sheetId="9"/>
      <sheetData sheetId="10">
        <row r="5">
          <cell r="C5">
            <v>2021</v>
          </cell>
          <cell r="D5">
            <v>2022</v>
          </cell>
          <cell r="E5">
            <v>2023</v>
          </cell>
          <cell r="F5">
            <v>2024</v>
          </cell>
          <cell r="G5">
            <v>2025</v>
          </cell>
          <cell r="H5">
            <v>2026</v>
          </cell>
          <cell r="I5">
            <v>2027</v>
          </cell>
          <cell r="J5">
            <v>2028</v>
          </cell>
          <cell r="K5">
            <v>2029</v>
          </cell>
          <cell r="L5">
            <v>2030</v>
          </cell>
        </row>
      </sheetData>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person displayName="adi dumitras" id="{A0F62302-F8D3-B346-B5DF-839B413AE710}" userId="b24535bb88af1c42"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
  <rv s="0">
    <v>https://www.bing.com/financeapi/forcetrigger?t=b19hc7&amp;q=XNYS%3aVRT&amp;form=skydnc</v>
    <v>Learn more on Bing</v>
  </rv>
  <rv s="1">
    <v>0</v>
    <v>VERTIV HOLDINGS CO (XNYS:VRT)</v>
    <v>2</v>
    <v>3</v>
    <v>Finance</v>
    <v>4</v>
    <v>en-US</v>
    <v>b19hc7</v>
    <v>268435456</v>
    <v>1</v>
    <v>Powered by Refinitiv</v>
    <v>379.935</v>
    <v>147.82</v>
    <v>2.1187999999999998</v>
    <v>-1.2849999999999999</v>
    <v>-6.5700000000000003E-3</v>
    <v>0.19</v>
    <v>9.7780000000000002E-4</v>
    <v>USD</v>
    <v>Vertiv Holdings Co. provides mission-critical digital infrastructure technologies and lifecycle services primarily for data centers, communication networks, and commercial and industrial environments. The Company operates in three business segments: the Americas; Asia Pacific, and Europe, Middle East &amp; Africa. The Company's offerings include alternate current (AC) and direct current (DC) power management, thermal management, low/medium voltage switchgear, busbar, air cooled and liquid cooled thermal management products, integrated modular solutions, racks, single phase UPS, rack power distribution, rack thermal systems, configurable integrated solutions, energy storage solutions, hardware, software for managing IT equipment, management systems for monitoring and controlling digital infrastructure, and services. It also provides preventative maintenance, acceptance testing, engineering and consulting, remote monitoring, training, spare parts, specialized fluid management, and others.</v>
    <v>34000</v>
    <v>New York Stock Exchange</v>
    <v>XNYS</v>
    <v>XNYS</v>
    <v>505 N. Cleveland Ave., WESTERVILLE, OH, 43082 US</v>
    <v>196.73</v>
    <v>Machinery, Equipment &amp; Components</v>
    <v>Stock</v>
    <v>46318.953736689065</v>
    <v>0</v>
    <v>187.24</v>
    <v>74805132201</v>
    <v>VERTIV HOLDINGS CO</v>
    <v>VERTIV HOLDINGS CO</v>
    <v>191.6</v>
    <v>43.971400000000003</v>
    <v>195.59</v>
    <v>194.30500000000001</v>
    <v>194.51</v>
    <v>384988200</v>
    <v>VRT</v>
    <v>VERTIV HOLDINGS CO (XNYS:VRT)</v>
    <v>7393446</v>
    <v>5265947</v>
    <v>2016</v>
  </rv>
  <rv s="2">
    <v>1</v>
  </rv>
  <rv s="0">
    <v>https://www.bing.com/financeapi/forcetrigger?t=a33knm&amp;q=10+Y+TSY+YLD+NDX&amp;form=skydnc</v>
    <v>Learn more on Bing</v>
  </rv>
  <rv s="3">
    <v>5</v>
    <v>10 Y TSY YLD NDX</v>
    <v>6</v>
    <v>7</v>
    <v>Finance</v>
    <v>8</v>
    <v>en-US</v>
    <v>a33knm</v>
    <v>268435456</v>
    <v>1</v>
    <v>Powered by Refinitiv</v>
    <v>53.64</v>
    <v>39.47</v>
    <v>-1.93</v>
    <v>-3.7505000000000004E-2</v>
    <v>US</v>
    <v>50.54</v>
    <v>Index</v>
    <v>3</v>
    <v>49.39</v>
    <v>10 Y TSY YLD NDX</v>
    <v>50.4</v>
    <v>51.46</v>
    <v>49.53</v>
    <v>TNX</v>
    <v>10 Y TSY YLD NDX</v>
  </rv>
  <rv s="2">
    <v>4</v>
  </rv>
</rvData>
</file>

<file path=xl/richData/rdrichvaluestructure.xml><?xml version="1.0" encoding="utf-8"?>
<rvStructures xmlns="http://schemas.microsoft.com/office/spreadsheetml/2017/richdata" count="4">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_Display" t="spb"/>
    <k n="_DisplayString" t="s"/>
    <k n="_Flags" t="spb"/>
    <k n="_Format" t="spb"/>
    <k n="_Icon" t="s"/>
    <k n="_SubLabel" t="spb"/>
    <k n="%EntityCulture" t="s"/>
    <k n="%EntityId" t="s"/>
    <k n="%EntityServiceId"/>
    <k n="%IsRefreshable" t="b"/>
    <k n="%ProviderInfo" t="s"/>
    <k n="52 week high"/>
    <k n="52 week low"/>
    <k n="Change"/>
    <k n="Change (%)"/>
    <k n="Country/region" t="s"/>
    <k n="High"/>
    <k n="Instrument type" t="s"/>
    <k n="LearnMoreOnLink" t="r"/>
    <k n="Low"/>
    <k n="Name" t="s"/>
    <k n="Open"/>
    <k n="Previous close"/>
    <k n="Price"/>
    <k n="Ticker symbol" t="s"/>
    <k n="UniqueName" t="s"/>
  </s>
</rvStructures>
</file>

<file path=xl/richData/rdsupportingpropertybag.xml><?xml version="1.0" encoding="utf-8"?>
<supportingPropertyBags xmlns="http://schemas.microsoft.com/office/spreadsheetml/2017/richdata2">
  <spbArrays count="2">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spbArrays>
  <spbData count="9">
    <spb s="0">
      <v>0</v>
      <v>Name</v>
      <v>LearnMoreOnLink</v>
    </spb>
    <spb s="1">
      <v>0</v>
      <v>0</v>
      <v>0</v>
    </spb>
    <spb s="2">
      <v>1</v>
      <v>1</v>
      <v>1</v>
      <v>1</v>
    </spb>
    <spb s="3">
      <v>1</v>
      <v>2</v>
      <v>2</v>
      <v>1</v>
      <v>3</v>
      <v>1</v>
      <v>1</v>
      <v>1</v>
      <v>4</v>
      <v>4</v>
      <v>5</v>
      <v>6</v>
      <v>1</v>
      <v>1</v>
      <v>1</v>
      <v>4</v>
      <v>7</v>
      <v>8</v>
      <v>9</v>
      <v>4</v>
      <v>1</v>
      <v>1</v>
      <v>5</v>
    </spb>
    <spb s="4">
      <v>at close</v>
      <v>from previous close</v>
      <v>from previous close</v>
      <v>Source: Nasdaq Last Sale</v>
      <v>GMT</v>
      <v>Real-Time Nasdaq Last Sale</v>
      <v>from close</v>
      <v>from close</v>
    </spb>
    <spb s="0">
      <v>1</v>
      <v>Name</v>
      <v>LearnMoreOnLink</v>
    </spb>
    <spb s="5">
      <v>1</v>
      <v>1</v>
      <v>1</v>
    </spb>
    <spb s="6">
      <v>1</v>
      <v>1</v>
      <v>3</v>
      <v>1</v>
      <v>1</v>
      <v>1</v>
      <v>5</v>
      <v>1</v>
      <v>1</v>
      <v>1</v>
      <v>9</v>
    </spb>
    <spb s="7">
      <v>from previous close</v>
      <v>from previous close</v>
    </spb>
  </spbData>
</supportingPropertyBags>
</file>

<file path=xl/richData/rdsupportingpropertybagstructure.xml><?xml version="1.0" encoding="utf-8"?>
<spbStructures xmlns="http://schemas.microsoft.com/office/spreadsheetml/2017/richdata2" count="8">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UniqueName" t="spb"/>
    <k n="`%ProviderInfo" t="spb"/>
    <k n="LearnMoreOnLink" t="spb"/>
  </s>
  <s>
    <k n="Low" t="i"/>
    <k n="High" t="i"/>
    <k n="Name" t="i"/>
    <k n="Open" t="i"/>
    <k n="Price" t="i"/>
    <k n="Change" t="i"/>
    <k n="Change (%)" t="i"/>
    <k n="52 week low" t="i"/>
    <k n="52 week high" t="i"/>
    <k n="Previous close" t="i"/>
    <k n="`%EntityServiceId" t="i"/>
  </s>
  <s>
    <k n="Change" t="s"/>
    <k n="Change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83" dT="2026-02-17T21:45:28.65" personId="{A0F62302-F8D3-B346-B5DF-839B413AE710}" id="{22B2B3EF-EBF6-0D4F-BF74-BA371A77FD6F}">
    <text>Actual number</text>
  </threadedComment>
  <threadedComment ref="B114" dT="2026-04-25T21:52:20.00" personId="{A0F62302-F8D3-B346-B5DF-839B413AE710}" id="{8A10573A-B1E5-5443-A272-E27CCC9C056F}">
    <text>Take the closing price of the last day of the period. In case the price has seen heavy fluctuations make an average of the last days. Info found at Yahoo Finance in the Historical Data section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B35" dT="2026-04-25T20:40:52.15" personId="{A0F62302-F8D3-B346-B5DF-839B413AE710}" id="{87FCD2F5-1815-1140-9144-DCAA38F9CA74}">
    <text>We use here the inverted signg as are used in the CashFlow statement which means we will Add the change in NWC to the NOPAT instead of subtracting it</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6044FD4-8F6D-C44C-A931-2F82C76276B7}">
  <we:reference id="wa200001365" version="2.5.0.0" store="en-US" storeType="OMEX"/>
  <we:alternateReferences>
    <we:reference id="wa200001365" version="2.5.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_xldudf_ALPHAVANTAGE_EQUITYQUOTE</we:customFunctionIds>
        <we:customFunctionIds>_xldudf_ALPHAVANTAGE_EQUITYTIMESERIES</we:customFunctionIds>
        <we:customFunctionIds>_xldudf_ALPHAVANTAGE_INTRADAYEQUITYSERIESUPDATING</we:customFunctionIds>
        <we:customFunctionIds>_xldudf_ALPHAVANTAGE_EXCHANGERATE</we:customFunctionIds>
        <we:customFunctionIds>_xldudf_ALPHAVANTAGE_EXCHANGERATEUPDATING</we:customFunctionIds>
        <we:customFunctionIds>_xldudf_ALPHAVANTAGE_EXCHANGERATESERIES</we:customFunctionIds>
        <we:customFunctionIds>_xldudf_ALPHAVANTAGE_EXCHANGERATESERIESUPDATING</we:customFunctionIds>
        <we:customFunctionIds>_xldudf_ALPHAVANTAGE_TECHNICALINDICATOR</we:customFunctionIds>
        <we:customFunctionIds>_xldudf_ALPHAVANTAGE_SYMBOLSEARCH</we:customFunctionIds>
        <we:customFunctionIds>_xldudf_ALPHAVANTAGE_COMMODITYTIMESERIES</we:customFunctionIds>
        <we:customFunctionIds>_xldudf_ALPHAVANTAGE_AVAILABLECRYPTOCURRENCIES</we:customFunctionIds>
        <we:customFunctionIds>_xldudf_ALPHAVANTAGE_AVAILABLEPHYSICALCURRENCIES</we:customFunctionIds>
        <we:customFunctionIds>_xldudf_ALPHAVANTAGE_COMPANYOVERVIEW</we:customFunctionIds>
        <we:customFunctionIds>_xldudf_ALPHAVANTAGE_COMPANYEARNINGS</we:customFunctionIds>
        <we:customFunctionIds>_xldudf_ALPHAVANTAGE_COMPANYFILINGS</we:customFunctionIds>
        <we:customFunctionIds>_xldudf_ALPHAVANTAGE_LISTINGSTATUS</we:customFunctionIds>
        <we:customFunctionIds>_xldudf_ALPHAVANTAGE_EARNINGSCALENDAR</we:customFunctionIds>
        <we:customFunctionIds>_xldudf_ALPHAVANTAGE_ECONOMICINDICATOR</we:customFunctionIds>
        <we:customFunctionIds>_xldudf_ALPHAVANTAGE_TREASURYYIELD</we:customFunctionIds>
      </we:customFunctionIdList>
    </a:ext>
  </we:extLst>
</we:webextension>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B172E-7ADE-4B4A-B533-F037BCFCDCB0}">
  <dimension ref="B1:K59"/>
  <sheetViews>
    <sheetView tabSelected="1" zoomScale="160" zoomScaleNormal="160" workbookViewId="0">
      <selection activeCell="B3" sqref="B3"/>
    </sheetView>
  </sheetViews>
  <sheetFormatPr baseColWidth="10" defaultRowHeight="16" x14ac:dyDescent="0.2"/>
  <cols>
    <col min="1" max="1" width="2" style="1" customWidth="1"/>
    <col min="2" max="2" width="20.6640625" style="1" customWidth="1"/>
    <col min="3" max="3" width="25.83203125" style="1" customWidth="1"/>
    <col min="4" max="4" width="2" style="1" customWidth="1"/>
    <col min="5" max="5" width="19.1640625" style="1" customWidth="1"/>
    <col min="6" max="6" width="14.5" style="1" customWidth="1"/>
    <col min="7" max="7" width="1.6640625" style="1" customWidth="1"/>
    <col min="8" max="8" width="15.83203125" style="1" customWidth="1"/>
    <col min="9" max="9" width="8.6640625" style="1" customWidth="1"/>
    <col min="10" max="10" width="2" style="1" customWidth="1"/>
    <col min="11" max="11" width="16.5" style="1" customWidth="1"/>
    <col min="12" max="16384" width="10.83203125" style="1"/>
  </cols>
  <sheetData>
    <row r="1" spans="2:11" ht="11" customHeight="1" x14ac:dyDescent="0.2"/>
    <row r="2" spans="2:11" x14ac:dyDescent="0.2">
      <c r="B2" s="246" t="s">
        <v>17</v>
      </c>
      <c r="C2" s="247"/>
      <c r="E2" s="246" t="s">
        <v>280</v>
      </c>
      <c r="F2" s="247"/>
      <c r="H2" s="246" t="s">
        <v>318</v>
      </c>
      <c r="I2" s="247"/>
      <c r="K2" s="132" t="s">
        <v>408</v>
      </c>
    </row>
    <row r="3" spans="2:11" x14ac:dyDescent="0.2">
      <c r="B3" s="179" t="s">
        <v>11</v>
      </c>
      <c r="C3" s="211" t="e" vm="1">
        <v>#VALUE!</v>
      </c>
      <c r="D3" s="2"/>
      <c r="E3" s="179" t="s">
        <v>232</v>
      </c>
      <c r="F3" s="181">
        <f ca="1">Statement!AC147</f>
        <v>76361.865000000005</v>
      </c>
      <c r="H3" s="179" t="str">
        <f>'AVG target price'!B5</f>
        <v>DCF price</v>
      </c>
      <c r="I3" s="205">
        <f>'AVG target price'!C5</f>
        <v>163.70032761345942</v>
      </c>
      <c r="K3" s="241" t="s">
        <v>409</v>
      </c>
    </row>
    <row r="4" spans="2:11" x14ac:dyDescent="0.2">
      <c r="B4" s="179" t="s">
        <v>0</v>
      </c>
      <c r="C4" s="183" t="str" cm="1">
        <f t="array" aca="1" ref="C4" ca="1">_FV(C3,"Ticker symbol",TRUE)</f>
        <v>VRT</v>
      </c>
      <c r="E4" s="180" t="s">
        <v>184</v>
      </c>
      <c r="F4" s="182">
        <f ca="1">Statement!AC148</f>
        <v>76190.865000000005</v>
      </c>
      <c r="H4" s="179" t="str">
        <f>'AVG target price'!B6</f>
        <v>EV/EBIT price</v>
      </c>
      <c r="I4" s="205">
        <f>'AVG target price'!C6</f>
        <v>346.07885804065</v>
      </c>
      <c r="K4" s="241" t="s">
        <v>410</v>
      </c>
    </row>
    <row r="5" spans="2:11" x14ac:dyDescent="0.2">
      <c r="B5" s="179" t="s">
        <v>1</v>
      </c>
      <c r="C5" s="202" cm="1">
        <f t="array" aca="1" ref="C5" ca="1">_FV(C3,"Price",TRUE)</f>
        <v>194.30500000000001</v>
      </c>
      <c r="E5" s="179" t="s">
        <v>236</v>
      </c>
      <c r="F5" s="183">
        <f>Statement!AC25</f>
        <v>4.42</v>
      </c>
      <c r="H5" s="179" t="str">
        <f>'AVG target price'!B7</f>
        <v>PS price</v>
      </c>
      <c r="I5" s="205">
        <f>'AVG target price'!C7</f>
        <v>238.80422150261779</v>
      </c>
      <c r="K5" s="241" t="s">
        <v>411</v>
      </c>
    </row>
    <row r="6" spans="2:11" x14ac:dyDescent="0.2">
      <c r="B6" s="179" t="s">
        <v>2</v>
      </c>
      <c r="C6" s="202" cm="1">
        <f t="array" aca="1" ref="C6" ca="1">_FV(C3,"Price (Extended hours)",TRUE)</f>
        <v>194.51</v>
      </c>
      <c r="E6" s="179" t="s">
        <v>230</v>
      </c>
      <c r="F6" s="184">
        <f ca="1">Statement!AC144</f>
        <v>43.960407239819006</v>
      </c>
      <c r="H6" s="179" t="str">
        <f>'AVG target price'!B8</f>
        <v>EV/FCFF price</v>
      </c>
      <c r="I6" s="205">
        <f>'AVG target price'!C8</f>
        <v>337.19515754169737</v>
      </c>
      <c r="K6" s="242" t="s">
        <v>412</v>
      </c>
    </row>
    <row r="7" spans="2:11" x14ac:dyDescent="0.2">
      <c r="B7" s="179" t="s">
        <v>3</v>
      </c>
      <c r="C7" s="6" cm="1">
        <f t="array" aca="1" ref="C7" ca="1">_FV(C3,"Change")</f>
        <v>-1.2849999999999999</v>
      </c>
      <c r="E7" s="180" t="s">
        <v>197</v>
      </c>
      <c r="F7" s="185">
        <f ca="1">Statement!AC145</f>
        <v>6.6348048780487812</v>
      </c>
      <c r="H7" s="179" t="str">
        <f>'AVG target price'!B9</f>
        <v>EV/Sales price</v>
      </c>
      <c r="I7" s="205">
        <f>'AVG target price'!C9</f>
        <v>273.20422602641992</v>
      </c>
    </row>
    <row r="8" spans="2:11" x14ac:dyDescent="0.2">
      <c r="B8" s="179" t="s">
        <v>4</v>
      </c>
      <c r="C8" s="6" cm="1">
        <f t="array" aca="1" ref="C8" ca="1">_FV(C3,"Change (extended hours)",TRUE)</f>
        <v>0.19</v>
      </c>
      <c r="E8" s="179" t="s">
        <v>258</v>
      </c>
      <c r="F8" s="186">
        <f ca="1">Statement!AC155</f>
        <v>3.7950880324884674E-2</v>
      </c>
      <c r="H8" s="178" t="str">
        <f>'AVG target price'!B10</f>
        <v>AVG price</v>
      </c>
      <c r="I8" s="206">
        <f>'AVG target price'!C10</f>
        <v>271.79655814496891</v>
      </c>
    </row>
    <row r="9" spans="2:11" x14ac:dyDescent="0.2">
      <c r="B9" s="179" t="s">
        <v>5</v>
      </c>
      <c r="C9" s="73" cm="1">
        <f t="array" aca="1" ref="C9" ca="1">_FV(C3,"Change (%)",TRUE)</f>
        <v>-6.5700000000000003E-3</v>
      </c>
      <c r="E9" s="179" t="s">
        <v>281</v>
      </c>
      <c r="F9" s="186">
        <f ca="1">Statement!AC156</f>
        <v>2.2747741952085638E-2</v>
      </c>
      <c r="H9" s="178" t="str">
        <f>'AVG target price'!B12</f>
        <v>Upside/Downside</v>
      </c>
      <c r="I9" s="207">
        <f ca="1">'AVG target price'!C12</f>
        <v>0.39881401994271326</v>
      </c>
    </row>
    <row r="10" spans="2:11" x14ac:dyDescent="0.2">
      <c r="B10" s="179" t="s">
        <v>6</v>
      </c>
      <c r="C10" s="73" cm="1">
        <f t="array" aca="1" ref="C10" ca="1">_FV(C3,"Change % (extended hours)",TRUE)</f>
        <v>9.7780000000000002E-4</v>
      </c>
      <c r="E10" s="179" t="s">
        <v>286</v>
      </c>
      <c r="F10" s="186">
        <f ca="1">Statement!AC158</f>
        <v>0</v>
      </c>
    </row>
    <row r="11" spans="2:11" x14ac:dyDescent="0.2">
      <c r="B11" s="179" t="s">
        <v>7</v>
      </c>
      <c r="C11" s="203" cm="1">
        <f t="array" aca="1" ref="C11" ca="1">_FV(C3,"52 week high",TRUE)</f>
        <v>379.935</v>
      </c>
      <c r="E11" s="180" t="s">
        <v>282</v>
      </c>
      <c r="F11" s="187">
        <f ca="1">Statement!AC157</f>
        <v>1.1579732894161242E-3</v>
      </c>
      <c r="H11" s="178" t="s">
        <v>359</v>
      </c>
      <c r="I11" s="206">
        <f>DDM!C26</f>
        <v>2.1</v>
      </c>
    </row>
    <row r="12" spans="2:11" x14ac:dyDescent="0.2">
      <c r="B12" s="179" t="s">
        <v>8</v>
      </c>
      <c r="C12" s="203" cm="1">
        <f t="array" aca="1" ref="C12" ca="1">_FV(C3,"52 week low",TRUE)</f>
        <v>147.82</v>
      </c>
      <c r="E12" s="179" t="s">
        <v>98</v>
      </c>
      <c r="F12" s="186">
        <f>Statement!AC121</f>
        <v>0.10898685617256777</v>
      </c>
    </row>
    <row r="13" spans="2:11" x14ac:dyDescent="0.2">
      <c r="B13" s="179" t="s">
        <v>9</v>
      </c>
      <c r="C13" s="203" cm="1">
        <f t="array" aca="1" ref="C13" ca="1">_FV(C3,"Beta")</f>
        <v>2.1187999999999998</v>
      </c>
      <c r="E13" s="179" t="s">
        <v>100</v>
      </c>
      <c r="F13" s="186">
        <f>Statement!AC123</f>
        <v>0.36422866750735605</v>
      </c>
      <c r="H13" s="245" t="s">
        <v>405</v>
      </c>
      <c r="I13" s="243">
        <f>'Reverse DCF'!C17</f>
        <v>0.39500000000000002</v>
      </c>
    </row>
    <row r="14" spans="2:11" x14ac:dyDescent="0.2">
      <c r="B14" s="180" t="s">
        <v>10</v>
      </c>
      <c r="C14" s="204" cm="1">
        <f t="array" aca="1" ref="C14" ca="1">_FV(C3,"Volume average",TRUE)</f>
        <v>5265947</v>
      </c>
      <c r="E14" s="180" t="s">
        <v>101</v>
      </c>
      <c r="F14" s="187">
        <f>Statement!AC134</f>
        <v>0.38772932950804095</v>
      </c>
      <c r="H14" s="180" t="s">
        <v>414</v>
      </c>
      <c r="I14" s="244">
        <f>'Reverse DCF'!C16</f>
        <v>204.94318402936929</v>
      </c>
    </row>
    <row r="15" spans="2:11" x14ac:dyDescent="0.2">
      <c r="E15" s="179" t="s">
        <v>283</v>
      </c>
      <c r="F15" s="186">
        <f ca="1">Statement!AC170</f>
        <v>2.2393376589217666E-3</v>
      </c>
    </row>
    <row r="16" spans="2:11" x14ac:dyDescent="0.2">
      <c r="E16" s="180" t="s">
        <v>288</v>
      </c>
      <c r="F16" s="185">
        <f>Statement!AC169</f>
        <v>0.44415584415584414</v>
      </c>
      <c r="H16" s="246" t="s">
        <v>407</v>
      </c>
      <c r="I16" s="247"/>
    </row>
    <row r="17" spans="2:9" x14ac:dyDescent="0.2">
      <c r="B17" s="248" t="s">
        <v>87</v>
      </c>
      <c r="C17" s="248"/>
      <c r="E17" s="178" t="s">
        <v>289</v>
      </c>
      <c r="F17" s="188">
        <f>Statement!AC165</f>
        <v>2.5445292620865138E-2</v>
      </c>
      <c r="H17" s="179" t="s">
        <v>161</v>
      </c>
      <c r="I17" s="239">
        <f>DCF!C15</f>
        <v>0.115</v>
      </c>
    </row>
    <row r="18" spans="2:9" x14ac:dyDescent="0.2">
      <c r="B18" s="178" t="s">
        <v>12</v>
      </c>
      <c r="C18" s="69" t="s">
        <v>348</v>
      </c>
      <c r="E18" s="179" t="s">
        <v>290</v>
      </c>
      <c r="F18" s="184">
        <f>Statement!AC138</f>
        <v>121.79481880602383</v>
      </c>
      <c r="H18" s="180" t="s">
        <v>406</v>
      </c>
      <c r="I18" s="240">
        <f>Multiples!C54</f>
        <v>0.12</v>
      </c>
    </row>
    <row r="19" spans="2:9" x14ac:dyDescent="0.2">
      <c r="B19" s="178" t="s">
        <v>13</v>
      </c>
      <c r="C19" s="70">
        <v>1000000</v>
      </c>
      <c r="E19" s="179" t="s">
        <v>251</v>
      </c>
      <c r="F19" s="184">
        <f>Statement!AC140</f>
        <v>-3.5939470365699874E-2</v>
      </c>
    </row>
    <row r="20" spans="2:9" x14ac:dyDescent="0.2">
      <c r="B20" s="178" t="s">
        <v>88</v>
      </c>
      <c r="C20" s="69" t="s">
        <v>357</v>
      </c>
      <c r="E20" s="180" t="s">
        <v>291</v>
      </c>
      <c r="F20" s="185">
        <f>Statement!AC141</f>
        <v>0.94725942289106724</v>
      </c>
    </row>
    <row r="21" spans="2:9" x14ac:dyDescent="0.2">
      <c r="B21" s="178" t="s">
        <v>89</v>
      </c>
      <c r="C21" s="69" t="s">
        <v>90</v>
      </c>
      <c r="I21" s="50"/>
    </row>
    <row r="22" spans="2:9" x14ac:dyDescent="0.2">
      <c r="B22" s="178" t="s">
        <v>91</v>
      </c>
      <c r="C22" s="69" t="s">
        <v>357</v>
      </c>
    </row>
    <row r="25" spans="2:9" x14ac:dyDescent="0.2">
      <c r="B25" s="248" t="s">
        <v>103</v>
      </c>
      <c r="C25" s="248"/>
      <c r="E25" s="246" t="s">
        <v>331</v>
      </c>
      <c r="F25" s="247"/>
    </row>
    <row r="26" spans="2:9" x14ac:dyDescent="0.2">
      <c r="B26" s="178" t="s">
        <v>104</v>
      </c>
      <c r="C26" s="164">
        <v>0.21</v>
      </c>
      <c r="E26" s="179" t="e" vm="2">
        <v>#VALUE!</v>
      </c>
      <c r="F26" s="213" cm="1">
        <f t="array" aca="1" ref="F26" ca="1">_FV(E26,"Price")</f>
        <v>49.53</v>
      </c>
    </row>
    <row r="27" spans="2:9" x14ac:dyDescent="0.2">
      <c r="B27" s="178" t="s">
        <v>168</v>
      </c>
      <c r="C27" s="215">
        <v>5.7000000000000002E-2</v>
      </c>
      <c r="E27" s="180" t="s">
        <v>332</v>
      </c>
      <c r="F27" s="214">
        <f ca="1">F26/1000</f>
        <v>4.9530000000000005E-2</v>
      </c>
    </row>
    <row r="28" spans="2:9" x14ac:dyDescent="0.2">
      <c r="B28" s="178" t="s">
        <v>336</v>
      </c>
      <c r="C28" s="215">
        <v>0.115</v>
      </c>
    </row>
    <row r="29" spans="2:9" x14ac:dyDescent="0.2">
      <c r="B29" s="178" t="s">
        <v>358</v>
      </c>
      <c r="C29" s="215">
        <v>0.12</v>
      </c>
    </row>
    <row r="33" spans="2:8" x14ac:dyDescent="0.2">
      <c r="B33" s="132" t="s">
        <v>326</v>
      </c>
      <c r="C33" s="132"/>
      <c r="D33" s="132"/>
      <c r="E33" s="132"/>
      <c r="F33" s="132"/>
      <c r="G33" s="132"/>
      <c r="H33" s="132"/>
    </row>
    <row r="35" spans="2:8" x14ac:dyDescent="0.2">
      <c r="B35" s="16" t="s">
        <v>327</v>
      </c>
      <c r="C35" s="1" t="s">
        <v>370</v>
      </c>
    </row>
    <row r="36" spans="2:8" x14ac:dyDescent="0.2">
      <c r="B36" s="16" t="s">
        <v>328</v>
      </c>
      <c r="C36" s="1" t="s">
        <v>369</v>
      </c>
    </row>
    <row r="39" spans="2:8" ht="6" customHeight="1" x14ac:dyDescent="0.2">
      <c r="B39" s="132"/>
      <c r="C39" s="132"/>
      <c r="D39" s="132"/>
      <c r="E39" s="132"/>
      <c r="F39" s="132"/>
      <c r="G39" s="132"/>
      <c r="H39" s="132"/>
    </row>
    <row r="42" spans="2:8" x14ac:dyDescent="0.2">
      <c r="B42" s="132" t="s">
        <v>329</v>
      </c>
      <c r="C42" s="132"/>
      <c r="D42" s="132"/>
      <c r="E42" s="132"/>
      <c r="F42" s="132"/>
      <c r="G42" s="132"/>
      <c r="H42" s="132"/>
    </row>
    <row r="44" spans="2:8" x14ac:dyDescent="0.2">
      <c r="B44" s="41" t="s">
        <v>330</v>
      </c>
      <c r="C44" s="41" t="s">
        <v>393</v>
      </c>
      <c r="D44" s="41"/>
      <c r="E44" s="41" t="s">
        <v>84</v>
      </c>
    </row>
    <row r="45" spans="2:8" x14ac:dyDescent="0.2">
      <c r="B45" s="1" t="s">
        <v>394</v>
      </c>
      <c r="C45" s="1" t="s">
        <v>395</v>
      </c>
    </row>
    <row r="49" spans="2:8" ht="5" customHeight="1" x14ac:dyDescent="0.2">
      <c r="B49" s="132"/>
      <c r="C49" s="132"/>
      <c r="D49" s="132"/>
      <c r="E49" s="132"/>
      <c r="F49" s="132"/>
      <c r="G49" s="132"/>
      <c r="H49" s="132"/>
    </row>
    <row r="52" spans="2:8" x14ac:dyDescent="0.2">
      <c r="B52" s="132" t="s">
        <v>105</v>
      </c>
      <c r="C52" s="132"/>
      <c r="D52" s="132"/>
      <c r="E52" s="132"/>
      <c r="F52" s="132"/>
      <c r="G52" s="132"/>
      <c r="H52" s="132"/>
    </row>
    <row r="54" spans="2:8" x14ac:dyDescent="0.2">
      <c r="B54" s="41" t="s">
        <v>330</v>
      </c>
      <c r="C54" s="41" t="s">
        <v>349</v>
      </c>
      <c r="D54" s="41"/>
      <c r="E54" s="41" t="s">
        <v>353</v>
      </c>
    </row>
    <row r="59" spans="2:8" ht="5" customHeight="1" x14ac:dyDescent="0.2">
      <c r="B59" s="132"/>
      <c r="C59" s="132"/>
      <c r="D59" s="132"/>
      <c r="E59" s="132"/>
      <c r="F59" s="132"/>
      <c r="G59" s="132"/>
      <c r="H59" s="132"/>
    </row>
  </sheetData>
  <mergeCells count="7">
    <mergeCell ref="B2:C2"/>
    <mergeCell ref="B17:C17"/>
    <mergeCell ref="B25:C25"/>
    <mergeCell ref="E2:F2"/>
    <mergeCell ref="H2:I2"/>
    <mergeCell ref="E25:F25"/>
    <mergeCell ref="H16:I16"/>
  </mergeCells>
  <conditionalFormatting sqref="C7:C10">
    <cfRule type="cellIs" dxfId="2" priority="4" operator="lessThan">
      <formula>0</formula>
    </cfRule>
    <cfRule type="cellIs" dxfId="1" priority="5" operator="equal">
      <formula>0</formula>
    </cfRule>
    <cfRule type="cellIs" dxfId="0" priority="6" operator="greaterThan">
      <formula>0</formula>
    </cfRule>
  </conditionalFormatting>
  <hyperlinks>
    <hyperlink ref="K3" location="'Financials -&gt;'!B13" display="'Financials -&gt;'!B13" xr:uid="{9A8285E3-EE3A-594B-A7E4-A6756D981DC3}"/>
    <hyperlink ref="K4" location="'Analysis -&gt;'!B13" display="'Analysis -&gt;'!B13" xr:uid="{51C95201-2E79-CB40-BE2F-DB0430E55621}"/>
    <hyperlink ref="K5" location="'Forecast -&gt;'!B13" display="'Forecast -&gt;'!B13" xr:uid="{5CC9E297-2810-F046-99BA-526EA0E694CA}"/>
    <hyperlink ref="K6" location="'Valuation -&gt;'!B13" display="'Valuation -&gt;'!B13" xr:uid="{814DC2F0-0B4A-F340-8A3F-90D55D30380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35612-A5F6-ED42-8E7B-33A97D1D2D90}">
  <sheetPr>
    <tabColor theme="6" tint="0.59999389629810485"/>
  </sheetPr>
  <dimension ref="B5:H13"/>
  <sheetViews>
    <sheetView workbookViewId="0">
      <selection activeCell="H5" sqref="H5:H10"/>
    </sheetView>
  </sheetViews>
  <sheetFormatPr baseColWidth="10" defaultRowHeight="16" x14ac:dyDescent="0.2"/>
  <cols>
    <col min="1" max="7" width="10.83203125" style="1"/>
    <col min="8" max="8" width="18.1640625" style="1" customWidth="1"/>
    <col min="9" max="16384" width="10.83203125" style="1"/>
  </cols>
  <sheetData>
    <row r="5" spans="2:8" x14ac:dyDescent="0.2">
      <c r="H5" s="132" t="s">
        <v>408</v>
      </c>
    </row>
    <row r="6" spans="2:8" x14ac:dyDescent="0.2">
      <c r="H6" s="241" t="s">
        <v>413</v>
      </c>
    </row>
    <row r="7" spans="2:8" x14ac:dyDescent="0.2">
      <c r="H7" s="241" t="s">
        <v>409</v>
      </c>
    </row>
    <row r="8" spans="2:8" x14ac:dyDescent="0.2">
      <c r="H8" s="241" t="s">
        <v>410</v>
      </c>
    </row>
    <row r="9" spans="2:8" x14ac:dyDescent="0.2">
      <c r="H9" s="241" t="s">
        <v>411</v>
      </c>
    </row>
    <row r="10" spans="2:8" x14ac:dyDescent="0.2">
      <c r="H10" s="242" t="s">
        <v>412</v>
      </c>
    </row>
    <row r="13" spans="2:8" s="4" customFormat="1" ht="49" x14ac:dyDescent="0.2">
      <c r="B13" s="3" t="s">
        <v>14</v>
      </c>
    </row>
  </sheetData>
  <hyperlinks>
    <hyperlink ref="H6" location="Overview!B3" display="Overview'!B3" xr:uid="{1E852F44-8DB8-F84B-B4B1-2F85B49EB2F7}"/>
    <hyperlink ref="H8" location="'Analysis -&gt;'!B13" display="'Analysis -&gt;'!B13" xr:uid="{74F55457-C2AE-6042-8E0D-AEC2CD0FCA13}"/>
    <hyperlink ref="H9" location="'Forecast -&gt;'!B13" display="'Forecast -&gt;'!B13" xr:uid="{46EDEF29-0E50-524C-A995-CE6847FAAF68}"/>
    <hyperlink ref="H10" location="'Valuation -&gt;'!B13" display="'Valuation -&gt;'!B13" xr:uid="{4B91D5F7-939C-B04B-A0A0-B76289CAE992}"/>
    <hyperlink ref="H7" location="'Financials -&gt;'!B13" display="'Financials -&gt;'!B13" xr:uid="{FBA75AB5-9B6C-3A48-9FBC-A1B9BEAA926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8B83C-60BF-4548-84AB-1D4A73B251A4}">
  <dimension ref="A1:AE213"/>
  <sheetViews>
    <sheetView zoomScale="163" zoomScaleNormal="150" workbookViewId="0">
      <pane xSplit="2" ySplit="3" topLeftCell="J4" activePane="bottomRight" state="frozen"/>
      <selection pane="topRight" activeCell="C1" sqref="C1"/>
      <selection pane="bottomLeft" activeCell="A4" sqref="A4"/>
      <selection pane="bottomRight" activeCell="AC152" sqref="AC152"/>
    </sheetView>
  </sheetViews>
  <sheetFormatPr baseColWidth="10" defaultRowHeight="16" x14ac:dyDescent="0.2"/>
  <cols>
    <col min="1" max="1" width="3.6640625" style="1" customWidth="1"/>
    <col min="2" max="2" width="33.83203125" style="20" customWidth="1"/>
    <col min="3" max="8" width="12" style="1" customWidth="1"/>
    <col min="9" max="9" width="10.83203125" style="1" customWidth="1"/>
    <col min="10" max="10" width="12" style="1" customWidth="1"/>
    <col min="11" max="12" width="10.83203125" style="1" customWidth="1"/>
    <col min="13" max="13" width="10.6640625" style="1" customWidth="1"/>
    <col min="14" max="14" width="10.83203125" style="1" customWidth="1"/>
    <col min="15" max="16" width="12" style="1" bestFit="1" customWidth="1"/>
    <col min="17" max="17" width="11.33203125" style="1" bestFit="1" customWidth="1"/>
    <col min="18" max="18" width="2.83203125" style="1" customWidth="1"/>
    <col min="19" max="19" width="3.5" style="1" customWidth="1"/>
    <col min="20" max="27" width="10.83203125" style="1"/>
    <col min="28" max="28" width="9" style="1" customWidth="1"/>
    <col min="29" max="16384" width="10.83203125" style="1"/>
  </cols>
  <sheetData>
    <row r="1" spans="1:31" x14ac:dyDescent="0.2">
      <c r="B1" s="1"/>
    </row>
    <row r="2" spans="1:31" s="10" customFormat="1" x14ac:dyDescent="0.2">
      <c r="A2" s="7"/>
      <c r="B2" s="8" t="s">
        <v>15</v>
      </c>
      <c r="C2" s="9"/>
      <c r="D2" s="9"/>
      <c r="E2" s="9"/>
      <c r="F2" s="9"/>
      <c r="G2" s="9"/>
      <c r="H2" s="9"/>
      <c r="I2" s="9"/>
      <c r="M2" s="10" t="s">
        <v>376</v>
      </c>
      <c r="N2" s="10" t="s">
        <v>375</v>
      </c>
      <c r="O2" s="10" t="s">
        <v>373</v>
      </c>
      <c r="P2" s="10" t="s">
        <v>372</v>
      </c>
      <c r="Q2" s="10" t="s">
        <v>371</v>
      </c>
      <c r="R2" s="7"/>
      <c r="S2" s="7"/>
      <c r="T2" s="10" t="s">
        <v>383</v>
      </c>
      <c r="U2" s="10" t="s">
        <v>372</v>
      </c>
      <c r="V2" s="10" t="s">
        <v>380</v>
      </c>
      <c r="W2" s="10" t="s">
        <v>378</v>
      </c>
      <c r="X2" s="197" t="s">
        <v>382</v>
      </c>
      <c r="Y2" s="197" t="s">
        <v>371</v>
      </c>
      <c r="Z2" s="197" t="s">
        <v>379</v>
      </c>
      <c r="AA2" s="197" t="s">
        <v>377</v>
      </c>
      <c r="AB2" s="7"/>
      <c r="AD2" s="7"/>
      <c r="AE2" s="7"/>
    </row>
    <row r="3" spans="1:31" s="13" customFormat="1" x14ac:dyDescent="0.2">
      <c r="A3" s="11"/>
      <c r="B3" s="12" t="s">
        <v>16</v>
      </c>
      <c r="M3" s="13">
        <v>2021</v>
      </c>
      <c r="N3" s="13">
        <v>2022</v>
      </c>
      <c r="O3" s="13">
        <v>2023</v>
      </c>
      <c r="P3" s="13">
        <v>2024</v>
      </c>
      <c r="Q3" s="13">
        <v>2025</v>
      </c>
      <c r="R3" s="11"/>
      <c r="S3" s="11"/>
      <c r="T3" s="10" t="s">
        <v>381</v>
      </c>
      <c r="U3" s="10" t="s">
        <v>350</v>
      </c>
      <c r="V3" s="10" t="s">
        <v>351</v>
      </c>
      <c r="W3" s="10" t="s">
        <v>85</v>
      </c>
      <c r="X3" s="197" t="s">
        <v>83</v>
      </c>
      <c r="Y3" s="197" t="s">
        <v>82</v>
      </c>
      <c r="Z3" s="197" t="s">
        <v>86</v>
      </c>
      <c r="AA3" s="197" t="s">
        <v>84</v>
      </c>
      <c r="AB3" s="11"/>
      <c r="AC3" s="59" t="s">
        <v>81</v>
      </c>
      <c r="AD3" s="11"/>
      <c r="AE3" s="11"/>
    </row>
    <row r="4" spans="1:31" s="15" customFormat="1" ht="17" thickBot="1" x14ac:dyDescent="0.25">
      <c r="A4" s="11"/>
      <c r="B4" s="14" t="s">
        <v>18</v>
      </c>
      <c r="R4" s="11"/>
      <c r="S4" s="11"/>
      <c r="AB4" s="11"/>
      <c r="AD4" s="11"/>
      <c r="AE4" s="11"/>
    </row>
    <row r="5" spans="1:31" s="19" customFormat="1" x14ac:dyDescent="0.2">
      <c r="A5" s="16"/>
      <c r="B5" s="17" t="s">
        <v>19</v>
      </c>
      <c r="C5" s="18"/>
      <c r="D5" s="18"/>
      <c r="E5" s="18"/>
      <c r="F5" s="18"/>
      <c r="G5" s="18"/>
      <c r="H5" s="18"/>
      <c r="I5" s="18"/>
      <c r="J5" s="18"/>
      <c r="K5" s="18"/>
      <c r="L5" s="18"/>
      <c r="M5" s="18">
        <v>4998</v>
      </c>
      <c r="N5" s="18">
        <v>5692</v>
      </c>
      <c r="O5" s="18">
        <v>6863</v>
      </c>
      <c r="P5" s="18">
        <v>8012</v>
      </c>
      <c r="Q5" s="18">
        <v>10230</v>
      </c>
      <c r="R5" s="16"/>
      <c r="S5" s="16"/>
      <c r="T5" s="18">
        <v>2074</v>
      </c>
      <c r="U5" s="18">
        <v>2346</v>
      </c>
      <c r="V5" s="18">
        <v>2036</v>
      </c>
      <c r="W5" s="18">
        <v>2638</v>
      </c>
      <c r="X5" s="18">
        <v>2676</v>
      </c>
      <c r="Y5" s="18">
        <v>2880</v>
      </c>
      <c r="Z5" s="18">
        <v>2650</v>
      </c>
      <c r="AA5" s="18">
        <v>3274</v>
      </c>
      <c r="AB5" s="16"/>
      <c r="AC5" s="18">
        <f>SUM(X5:AA5)</f>
        <v>11480</v>
      </c>
      <c r="AD5" s="16"/>
      <c r="AE5" s="16"/>
    </row>
    <row r="6" spans="1:31" x14ac:dyDescent="0.2">
      <c r="B6" s="20" t="s">
        <v>20</v>
      </c>
      <c r="C6" s="21"/>
      <c r="D6" s="21"/>
      <c r="E6" s="21"/>
      <c r="F6" s="21"/>
      <c r="G6" s="21"/>
      <c r="H6" s="21"/>
      <c r="I6" s="21"/>
      <c r="J6" s="21"/>
      <c r="K6" s="21"/>
      <c r="L6" s="21"/>
      <c r="M6" s="21">
        <v>3475</v>
      </c>
      <c r="N6" s="21">
        <v>4075</v>
      </c>
      <c r="O6" s="21">
        <v>4463</v>
      </c>
      <c r="P6" s="21">
        <v>5078</v>
      </c>
      <c r="Q6" s="21">
        <v>6515</v>
      </c>
      <c r="T6" s="21">
        <v>1317</v>
      </c>
      <c r="U6" s="21">
        <v>1476</v>
      </c>
      <c r="V6" s="21">
        <v>1350</v>
      </c>
      <c r="W6" s="21">
        <v>1742</v>
      </c>
      <c r="X6" s="21">
        <v>1665</v>
      </c>
      <c r="Y6" s="21">
        <v>1759</v>
      </c>
      <c r="Z6" s="21">
        <v>1650</v>
      </c>
      <c r="AA6" s="21">
        <v>2039</v>
      </c>
      <c r="AC6" s="21">
        <f t="shared" ref="AC6:AC17" si="0">SUM(X6:AA6)</f>
        <v>7113</v>
      </c>
    </row>
    <row r="7" spans="1:31" s="19" customFormat="1" x14ac:dyDescent="0.2">
      <c r="A7" s="16"/>
      <c r="B7" s="17" t="s">
        <v>21</v>
      </c>
      <c r="C7" s="22">
        <f t="shared" ref="C7:Q7" si="1">C5-C6</f>
        <v>0</v>
      </c>
      <c r="D7" s="22">
        <f t="shared" si="1"/>
        <v>0</v>
      </c>
      <c r="E7" s="22">
        <f t="shared" si="1"/>
        <v>0</v>
      </c>
      <c r="F7" s="22">
        <f t="shared" si="1"/>
        <v>0</v>
      </c>
      <c r="G7" s="22">
        <f t="shared" si="1"/>
        <v>0</v>
      </c>
      <c r="H7" s="22">
        <f t="shared" si="1"/>
        <v>0</v>
      </c>
      <c r="I7" s="22">
        <f t="shared" si="1"/>
        <v>0</v>
      </c>
      <c r="J7" s="22">
        <f t="shared" si="1"/>
        <v>0</v>
      </c>
      <c r="K7" s="22">
        <f t="shared" si="1"/>
        <v>0</v>
      </c>
      <c r="L7" s="22">
        <f t="shared" si="1"/>
        <v>0</v>
      </c>
      <c r="M7" s="22">
        <f t="shared" si="1"/>
        <v>1523</v>
      </c>
      <c r="N7" s="22">
        <f t="shared" si="1"/>
        <v>1617</v>
      </c>
      <c r="O7" s="22">
        <f t="shared" si="1"/>
        <v>2400</v>
      </c>
      <c r="P7" s="22">
        <f t="shared" si="1"/>
        <v>2934</v>
      </c>
      <c r="Q7" s="22">
        <f t="shared" si="1"/>
        <v>3715</v>
      </c>
      <c r="R7" s="16"/>
      <c r="S7" s="16"/>
      <c r="T7" s="22">
        <f t="shared" ref="T7:Y7" si="2">T5-T6</f>
        <v>757</v>
      </c>
      <c r="U7" s="22">
        <f t="shared" si="2"/>
        <v>870</v>
      </c>
      <c r="V7" s="22">
        <f t="shared" si="2"/>
        <v>686</v>
      </c>
      <c r="W7" s="22">
        <f t="shared" si="2"/>
        <v>896</v>
      </c>
      <c r="X7" s="22">
        <f t="shared" si="2"/>
        <v>1011</v>
      </c>
      <c r="Y7" s="22">
        <f t="shared" si="2"/>
        <v>1121</v>
      </c>
      <c r="Z7" s="22">
        <f t="shared" ref="Z7:AA7" si="3">Z5-Z6</f>
        <v>1000</v>
      </c>
      <c r="AA7" s="22">
        <f t="shared" si="3"/>
        <v>1235</v>
      </c>
      <c r="AB7" s="16"/>
      <c r="AC7" s="22">
        <f t="shared" si="0"/>
        <v>4367</v>
      </c>
      <c r="AD7" s="16"/>
      <c r="AE7" s="16"/>
    </row>
    <row r="8" spans="1:31" x14ac:dyDescent="0.2">
      <c r="B8" s="20" t="s">
        <v>355</v>
      </c>
      <c r="C8" s="21"/>
      <c r="D8" s="21"/>
      <c r="E8" s="21"/>
      <c r="F8" s="21"/>
      <c r="G8" s="21"/>
      <c r="H8" s="21"/>
      <c r="I8" s="21"/>
      <c r="J8" s="21"/>
      <c r="K8" s="21"/>
      <c r="L8" s="21"/>
      <c r="M8" s="21">
        <v>1109</v>
      </c>
      <c r="N8" s="21">
        <v>1178</v>
      </c>
      <c r="O8" s="21">
        <v>1312</v>
      </c>
      <c r="P8" s="21">
        <v>1374</v>
      </c>
      <c r="Q8" s="21">
        <v>1618</v>
      </c>
      <c r="T8" s="21">
        <v>335</v>
      </c>
      <c r="U8" s="21">
        <v>362</v>
      </c>
      <c r="V8" s="21">
        <v>346</v>
      </c>
      <c r="W8" s="21">
        <v>396</v>
      </c>
      <c r="X8" s="21">
        <v>414</v>
      </c>
      <c r="Y8" s="21">
        <v>462</v>
      </c>
      <c r="Z8" s="21">
        <v>457</v>
      </c>
      <c r="AA8" s="21">
        <v>494</v>
      </c>
      <c r="AC8" s="21">
        <f t="shared" si="0"/>
        <v>1827</v>
      </c>
    </row>
    <row r="9" spans="1:31" x14ac:dyDescent="0.2">
      <c r="B9" s="20" t="s">
        <v>374</v>
      </c>
      <c r="C9" s="21"/>
      <c r="D9" s="21"/>
      <c r="E9" s="21"/>
      <c r="F9" s="21"/>
      <c r="G9" s="21"/>
      <c r="H9" s="21"/>
      <c r="I9" s="21"/>
      <c r="J9" s="21"/>
      <c r="K9" s="21"/>
      <c r="L9" s="21"/>
      <c r="M9" s="21">
        <v>144</v>
      </c>
      <c r="N9" s="21">
        <v>216</v>
      </c>
      <c r="O9" s="21">
        <v>181</v>
      </c>
      <c r="P9" s="21">
        <v>184</v>
      </c>
      <c r="Q9" s="21">
        <v>200</v>
      </c>
      <c r="T9" s="21">
        <v>45</v>
      </c>
      <c r="U9" s="21">
        <v>47</v>
      </c>
      <c r="V9" s="21">
        <v>46</v>
      </c>
      <c r="W9" s="21">
        <v>47</v>
      </c>
      <c r="X9" s="21">
        <v>48</v>
      </c>
      <c r="Y9" s="21">
        <v>59</v>
      </c>
      <c r="Z9" s="21">
        <v>78</v>
      </c>
      <c r="AA9" s="21">
        <v>74</v>
      </c>
      <c r="AC9" s="21">
        <f t="shared" si="0"/>
        <v>259</v>
      </c>
    </row>
    <row r="10" spans="1:31" x14ac:dyDescent="0.2">
      <c r="B10" s="23" t="s">
        <v>22</v>
      </c>
      <c r="C10" s="21"/>
      <c r="D10" s="21"/>
      <c r="E10" s="21"/>
      <c r="F10" s="21"/>
      <c r="G10" s="21"/>
      <c r="H10" s="21"/>
      <c r="I10" s="21"/>
      <c r="J10" s="21"/>
      <c r="K10" s="21"/>
      <c r="L10" s="21"/>
      <c r="M10" s="25">
        <f t="shared" ref="M10" si="4">M7-M11</f>
        <v>1263</v>
      </c>
      <c r="N10" s="25">
        <f t="shared" ref="N10" si="5">N7-N11</f>
        <v>1394</v>
      </c>
      <c r="O10" s="25">
        <f t="shared" ref="O10:P10" si="6">O7-O11</f>
        <v>1528</v>
      </c>
      <c r="P10" s="25">
        <f t="shared" si="6"/>
        <v>1567</v>
      </c>
      <c r="Q10" s="25">
        <f>Q7-Q11</f>
        <v>1885</v>
      </c>
      <c r="T10" s="25">
        <f t="shared" ref="T10:AA10" si="7">T7-T11</f>
        <v>385</v>
      </c>
      <c r="U10" s="25">
        <f t="shared" si="7"/>
        <v>413</v>
      </c>
      <c r="V10" s="25">
        <f t="shared" si="7"/>
        <v>395</v>
      </c>
      <c r="W10" s="25">
        <f t="shared" si="7"/>
        <v>454</v>
      </c>
      <c r="X10" s="25">
        <f t="shared" si="7"/>
        <v>494</v>
      </c>
      <c r="Y10" s="25">
        <f t="shared" si="7"/>
        <v>541</v>
      </c>
      <c r="Z10" s="25">
        <f t="shared" si="7"/>
        <v>560</v>
      </c>
      <c r="AA10" s="25">
        <f t="shared" si="7"/>
        <v>601</v>
      </c>
      <c r="AC10" s="21">
        <f t="shared" si="0"/>
        <v>2196</v>
      </c>
    </row>
    <row r="11" spans="1:31" s="19" customFormat="1" x14ac:dyDescent="0.2">
      <c r="A11" s="16"/>
      <c r="B11" s="17" t="s">
        <v>23</v>
      </c>
      <c r="C11" s="18"/>
      <c r="D11" s="18"/>
      <c r="E11" s="18"/>
      <c r="F11" s="18"/>
      <c r="G11" s="18"/>
      <c r="H11" s="18"/>
      <c r="I11" s="18"/>
      <c r="J11" s="18"/>
      <c r="K11" s="18"/>
      <c r="L11" s="18"/>
      <c r="M11" s="18">
        <v>260</v>
      </c>
      <c r="N11" s="18">
        <v>223</v>
      </c>
      <c r="O11" s="18">
        <v>872</v>
      </c>
      <c r="P11" s="18">
        <v>1367</v>
      </c>
      <c r="Q11" s="18">
        <v>1830</v>
      </c>
      <c r="R11" s="16"/>
      <c r="S11" s="16"/>
      <c r="T11" s="18">
        <v>372</v>
      </c>
      <c r="U11" s="18">
        <v>457</v>
      </c>
      <c r="V11" s="18">
        <v>291</v>
      </c>
      <c r="W11" s="18">
        <v>442</v>
      </c>
      <c r="X11" s="18">
        <v>517</v>
      </c>
      <c r="Y11" s="18">
        <v>580</v>
      </c>
      <c r="Z11" s="18">
        <v>440</v>
      </c>
      <c r="AA11" s="18">
        <v>634</v>
      </c>
      <c r="AB11" s="1"/>
      <c r="AC11" s="18">
        <f t="shared" si="0"/>
        <v>2171</v>
      </c>
      <c r="AD11" s="1"/>
      <c r="AE11" s="1"/>
    </row>
    <row r="12" spans="1:31" x14ac:dyDescent="0.2">
      <c r="B12" s="23" t="s">
        <v>24</v>
      </c>
      <c r="C12" s="21"/>
      <c r="D12" s="21"/>
      <c r="E12" s="21"/>
      <c r="F12" s="21"/>
      <c r="G12" s="21"/>
      <c r="H12" s="21"/>
      <c r="I12" s="21"/>
      <c r="J12" s="21"/>
      <c r="K12" s="21"/>
      <c r="L12" s="21"/>
      <c r="M12" s="62">
        <v>-91</v>
      </c>
      <c r="N12" s="62">
        <v>-147</v>
      </c>
      <c r="O12" s="62">
        <v>-180</v>
      </c>
      <c r="P12" s="62">
        <v>-150</v>
      </c>
      <c r="Q12" s="62">
        <v>-86</v>
      </c>
      <c r="T12" s="62">
        <v>-36</v>
      </c>
      <c r="U12" s="62">
        <v>-31</v>
      </c>
      <c r="V12" s="62">
        <v>-25</v>
      </c>
      <c r="W12" s="62">
        <v>-21</v>
      </c>
      <c r="X12" s="62">
        <v>-23</v>
      </c>
      <c r="Y12" s="62">
        <v>-17</v>
      </c>
      <c r="Z12" s="62">
        <v>4</v>
      </c>
      <c r="AA12" s="62">
        <v>-17</v>
      </c>
      <c r="AC12" s="62">
        <f t="shared" si="0"/>
        <v>-53</v>
      </c>
    </row>
    <row r="13" spans="1:31" x14ac:dyDescent="0.2">
      <c r="B13" s="23" t="s">
        <v>25</v>
      </c>
      <c r="C13" s="21"/>
      <c r="D13" s="21"/>
      <c r="E13" s="21"/>
      <c r="F13" s="21"/>
      <c r="G13" s="21"/>
      <c r="H13" s="21"/>
      <c r="I13" s="21"/>
      <c r="J13" s="21"/>
      <c r="K13" s="21"/>
      <c r="L13" s="21"/>
      <c r="M13" s="62">
        <v>-90</v>
      </c>
      <c r="N13" s="62">
        <v>91</v>
      </c>
      <c r="O13" s="62">
        <v>-158</v>
      </c>
      <c r="P13" s="62">
        <v>-451</v>
      </c>
      <c r="Q13" s="62">
        <v>-2</v>
      </c>
      <c r="T13" s="62">
        <v>0</v>
      </c>
      <c r="U13" s="62">
        <v>-181</v>
      </c>
      <c r="V13" s="62">
        <v>0</v>
      </c>
      <c r="W13" s="62">
        <v>0</v>
      </c>
      <c r="X13" s="62">
        <v>0</v>
      </c>
      <c r="Y13" s="62">
        <v>0</v>
      </c>
      <c r="Z13" s="62">
        <v>-6</v>
      </c>
      <c r="AA13" s="62">
        <v>-1</v>
      </c>
      <c r="AC13" s="62">
        <f t="shared" si="0"/>
        <v>-7</v>
      </c>
    </row>
    <row r="14" spans="1:31" s="19" customFormat="1" x14ac:dyDescent="0.2">
      <c r="A14" s="16"/>
      <c r="B14" s="17" t="s">
        <v>26</v>
      </c>
      <c r="C14" s="18"/>
      <c r="D14" s="18"/>
      <c r="E14" s="18"/>
      <c r="F14" s="18"/>
      <c r="G14" s="18"/>
      <c r="H14" s="18"/>
      <c r="I14" s="18"/>
      <c r="J14" s="18"/>
      <c r="K14" s="18"/>
      <c r="L14" s="18"/>
      <c r="M14" s="18">
        <v>166</v>
      </c>
      <c r="N14" s="18">
        <v>167</v>
      </c>
      <c r="O14" s="18">
        <v>533</v>
      </c>
      <c r="P14" s="18">
        <v>765</v>
      </c>
      <c r="Q14" s="18">
        <v>1742</v>
      </c>
      <c r="R14" s="1"/>
      <c r="S14" s="1"/>
      <c r="T14" s="18">
        <v>269</v>
      </c>
      <c r="U14" s="18">
        <v>245</v>
      </c>
      <c r="V14" s="18">
        <v>265</v>
      </c>
      <c r="W14" s="18">
        <v>421</v>
      </c>
      <c r="X14" s="18">
        <v>492</v>
      </c>
      <c r="Y14" s="18">
        <v>563</v>
      </c>
      <c r="Z14" s="18">
        <v>438</v>
      </c>
      <c r="AA14" s="18">
        <v>620</v>
      </c>
      <c r="AB14" s="1"/>
      <c r="AC14" s="18">
        <f t="shared" si="0"/>
        <v>2113</v>
      </c>
      <c r="AD14" s="1"/>
      <c r="AE14" s="1"/>
    </row>
    <row r="15" spans="1:31" x14ac:dyDescent="0.2">
      <c r="B15" s="23" t="s">
        <v>27</v>
      </c>
      <c r="C15" s="21"/>
      <c r="D15" s="21"/>
      <c r="E15" s="21"/>
      <c r="F15" s="21"/>
      <c r="G15" s="21"/>
      <c r="H15" s="21"/>
      <c r="I15" s="21"/>
      <c r="J15" s="21"/>
      <c r="K15" s="21"/>
      <c r="L15" s="21"/>
      <c r="M15" s="62">
        <v>-47</v>
      </c>
      <c r="N15" s="62">
        <v>-90</v>
      </c>
      <c r="O15" s="62">
        <v>-74</v>
      </c>
      <c r="P15" s="62">
        <v>-270</v>
      </c>
      <c r="Q15" s="62">
        <v>-409</v>
      </c>
      <c r="T15" s="62">
        <v>-92</v>
      </c>
      <c r="U15" s="62">
        <v>-98</v>
      </c>
      <c r="V15" s="62">
        <v>-101</v>
      </c>
      <c r="W15" s="62">
        <v>-97</v>
      </c>
      <c r="X15" s="62">
        <v>-94</v>
      </c>
      <c r="Y15" s="62">
        <v>-118</v>
      </c>
      <c r="Z15" s="62">
        <v>-48</v>
      </c>
      <c r="AA15" s="62">
        <v>-122</v>
      </c>
      <c r="AC15" s="62">
        <f t="shared" si="0"/>
        <v>-382</v>
      </c>
    </row>
    <row r="16" spans="1:31" x14ac:dyDescent="0.2">
      <c r="B16" s="23" t="s">
        <v>319</v>
      </c>
      <c r="C16" s="21"/>
      <c r="D16" s="21"/>
      <c r="E16" s="21"/>
      <c r="F16" s="21"/>
      <c r="G16" s="21"/>
      <c r="H16" s="21"/>
      <c r="I16" s="21"/>
      <c r="J16" s="21"/>
      <c r="K16" s="21"/>
      <c r="L16" s="21"/>
      <c r="M16" s="62">
        <v>0</v>
      </c>
      <c r="N16" s="62">
        <v>0</v>
      </c>
      <c r="O16" s="62">
        <v>0</v>
      </c>
      <c r="P16" s="62">
        <v>0</v>
      </c>
      <c r="Q16" s="62">
        <v>0</v>
      </c>
      <c r="T16" s="62">
        <v>0</v>
      </c>
      <c r="U16" s="62">
        <v>0</v>
      </c>
      <c r="V16" s="62">
        <v>0</v>
      </c>
      <c r="W16" s="62">
        <v>0</v>
      </c>
      <c r="X16" s="62">
        <v>0</v>
      </c>
      <c r="Y16" s="62">
        <v>0</v>
      </c>
      <c r="Z16" s="62">
        <v>0</v>
      </c>
      <c r="AA16" s="62">
        <v>0</v>
      </c>
      <c r="AC16" s="62">
        <f t="shared" si="0"/>
        <v>0</v>
      </c>
    </row>
    <row r="17" spans="1:31" s="19" customFormat="1" x14ac:dyDescent="0.2">
      <c r="A17" s="16"/>
      <c r="B17" s="17" t="s">
        <v>28</v>
      </c>
      <c r="C17" s="18"/>
      <c r="D17" s="18"/>
      <c r="E17" s="18"/>
      <c r="F17" s="18"/>
      <c r="G17" s="18"/>
      <c r="H17" s="18"/>
      <c r="I17" s="18"/>
      <c r="J17" s="18"/>
      <c r="K17" s="18"/>
      <c r="L17" s="18"/>
      <c r="M17" s="18">
        <v>120</v>
      </c>
      <c r="N17" s="18">
        <v>77</v>
      </c>
      <c r="O17" s="18">
        <v>460</v>
      </c>
      <c r="P17" s="18">
        <v>496</v>
      </c>
      <c r="Q17" s="18">
        <v>1333</v>
      </c>
      <c r="R17" s="60"/>
      <c r="S17" s="60"/>
      <c r="T17" s="18">
        <v>177</v>
      </c>
      <c r="U17" s="18">
        <v>147</v>
      </c>
      <c r="V17" s="18">
        <v>165</v>
      </c>
      <c r="W17" s="18">
        <v>324</v>
      </c>
      <c r="X17" s="18">
        <v>399</v>
      </c>
      <c r="Y17" s="18">
        <v>446</v>
      </c>
      <c r="Z17" s="18">
        <v>390</v>
      </c>
      <c r="AA17" s="18">
        <v>498</v>
      </c>
      <c r="AB17" s="1"/>
      <c r="AC17" s="61">
        <f t="shared" si="0"/>
        <v>1733</v>
      </c>
      <c r="AD17" s="1"/>
      <c r="AE17" s="1"/>
    </row>
    <row r="18" spans="1:31" x14ac:dyDescent="0.2">
      <c r="B18" s="23" t="s">
        <v>29</v>
      </c>
      <c r="C18" s="21"/>
      <c r="D18" s="21"/>
      <c r="E18" s="21"/>
      <c r="F18" s="21"/>
      <c r="G18" s="21"/>
      <c r="H18" s="21"/>
      <c r="I18" s="21"/>
      <c r="J18" s="21"/>
      <c r="K18" s="21"/>
      <c r="L18" s="21"/>
      <c r="M18" s="21">
        <v>356</v>
      </c>
      <c r="N18" s="21">
        <v>377</v>
      </c>
      <c r="O18" s="21">
        <v>380</v>
      </c>
      <c r="P18" s="21">
        <v>376</v>
      </c>
      <c r="Q18" s="21">
        <v>382</v>
      </c>
      <c r="R18" s="60"/>
      <c r="S18" s="60"/>
      <c r="T18" s="21">
        <v>375</v>
      </c>
      <c r="U18" s="21">
        <v>377</v>
      </c>
      <c r="V18" s="21">
        <v>381</v>
      </c>
      <c r="W18" s="21">
        <v>381</v>
      </c>
      <c r="X18" s="21">
        <v>382</v>
      </c>
      <c r="Y18" s="21">
        <v>382</v>
      </c>
      <c r="Z18" s="21">
        <v>383</v>
      </c>
      <c r="AA18" s="21">
        <v>385</v>
      </c>
      <c r="AC18" s="62">
        <f>AVERAGE(X18:AA18)</f>
        <v>383</v>
      </c>
    </row>
    <row r="19" spans="1:31" x14ac:dyDescent="0.2">
      <c r="B19" s="23" t="s">
        <v>30</v>
      </c>
      <c r="C19" s="25">
        <f t="shared" ref="C19:Q19" si="8">C18*C$84</f>
        <v>0</v>
      </c>
      <c r="D19" s="25">
        <f t="shared" si="8"/>
        <v>0</v>
      </c>
      <c r="E19" s="25">
        <f t="shared" si="8"/>
        <v>0</v>
      </c>
      <c r="F19" s="25">
        <f t="shared" si="8"/>
        <v>0</v>
      </c>
      <c r="G19" s="25">
        <f t="shared" si="8"/>
        <v>0</v>
      </c>
      <c r="H19" s="25">
        <f t="shared" si="8"/>
        <v>0</v>
      </c>
      <c r="I19" s="25">
        <f t="shared" si="8"/>
        <v>0</v>
      </c>
      <c r="J19" s="25">
        <f t="shared" si="8"/>
        <v>0</v>
      </c>
      <c r="K19" s="25">
        <f t="shared" si="8"/>
        <v>0</v>
      </c>
      <c r="L19" s="25">
        <f t="shared" si="8"/>
        <v>0</v>
      </c>
      <c r="M19" s="25">
        <f t="shared" si="8"/>
        <v>356</v>
      </c>
      <c r="N19" s="25">
        <f t="shared" si="8"/>
        <v>377</v>
      </c>
      <c r="O19" s="25">
        <f t="shared" si="8"/>
        <v>380</v>
      </c>
      <c r="P19" s="25">
        <f t="shared" si="8"/>
        <v>376</v>
      </c>
      <c r="Q19" s="25">
        <f t="shared" si="8"/>
        <v>382</v>
      </c>
      <c r="T19" s="25">
        <f t="shared" ref="T19:Z19" si="9">T18*T$84</f>
        <v>375</v>
      </c>
      <c r="U19" s="25">
        <f t="shared" si="9"/>
        <v>377</v>
      </c>
      <c r="V19" s="25">
        <f t="shared" si="9"/>
        <v>381</v>
      </c>
      <c r="W19" s="25">
        <f t="shared" si="9"/>
        <v>381</v>
      </c>
      <c r="X19" s="25">
        <f t="shared" si="9"/>
        <v>382</v>
      </c>
      <c r="Y19" s="25">
        <f t="shared" si="9"/>
        <v>382</v>
      </c>
      <c r="Z19" s="25">
        <f t="shared" si="9"/>
        <v>383</v>
      </c>
      <c r="AA19" s="25">
        <f t="shared" ref="AA19" si="10">AA18*AA$84</f>
        <v>385</v>
      </c>
      <c r="AC19" s="25">
        <f>AC18*AC$84</f>
        <v>383</v>
      </c>
    </row>
    <row r="20" spans="1:31" x14ac:dyDescent="0.2">
      <c r="B20" s="23" t="s">
        <v>31</v>
      </c>
      <c r="C20" s="21"/>
      <c r="D20" s="21"/>
      <c r="E20" s="21"/>
      <c r="F20" s="21"/>
      <c r="G20" s="21"/>
      <c r="H20" s="21"/>
      <c r="I20" s="21"/>
      <c r="J20" s="21"/>
      <c r="K20" s="21"/>
      <c r="L20" s="21"/>
      <c r="M20" s="21">
        <v>360</v>
      </c>
      <c r="N20" s="21">
        <v>378</v>
      </c>
      <c r="O20" s="21">
        <v>386</v>
      </c>
      <c r="P20" s="21">
        <v>386</v>
      </c>
      <c r="Q20" s="21">
        <v>391</v>
      </c>
      <c r="T20" s="21">
        <v>384</v>
      </c>
      <c r="U20" s="21">
        <v>386</v>
      </c>
      <c r="V20" s="21">
        <v>390</v>
      </c>
      <c r="W20" s="21">
        <v>390</v>
      </c>
      <c r="X20" s="21">
        <v>391</v>
      </c>
      <c r="Y20" s="21">
        <v>392</v>
      </c>
      <c r="Z20" s="21">
        <v>392</v>
      </c>
      <c r="AA20" s="21">
        <v>393</v>
      </c>
      <c r="AC20" s="62">
        <f>AVERAGE(X20:AA20)</f>
        <v>392</v>
      </c>
    </row>
    <row r="21" spans="1:31" x14ac:dyDescent="0.2">
      <c r="B21" s="23" t="s">
        <v>32</v>
      </c>
      <c r="C21" s="25">
        <f t="shared" ref="C21:Q21" si="11">C20*C$84</f>
        <v>0</v>
      </c>
      <c r="D21" s="25">
        <f t="shared" si="11"/>
        <v>0</v>
      </c>
      <c r="E21" s="25">
        <f t="shared" si="11"/>
        <v>0</v>
      </c>
      <c r="F21" s="25">
        <f t="shared" si="11"/>
        <v>0</v>
      </c>
      <c r="G21" s="25">
        <f t="shared" si="11"/>
        <v>0</v>
      </c>
      <c r="H21" s="25">
        <f t="shared" si="11"/>
        <v>0</v>
      </c>
      <c r="I21" s="25">
        <f t="shared" si="11"/>
        <v>0</v>
      </c>
      <c r="J21" s="25">
        <f t="shared" si="11"/>
        <v>0</v>
      </c>
      <c r="K21" s="25">
        <f t="shared" si="11"/>
        <v>0</v>
      </c>
      <c r="L21" s="25">
        <f t="shared" si="11"/>
        <v>0</v>
      </c>
      <c r="M21" s="25">
        <f t="shared" si="11"/>
        <v>360</v>
      </c>
      <c r="N21" s="25">
        <f t="shared" si="11"/>
        <v>378</v>
      </c>
      <c r="O21" s="25">
        <f t="shared" si="11"/>
        <v>386</v>
      </c>
      <c r="P21" s="25">
        <f t="shared" si="11"/>
        <v>386</v>
      </c>
      <c r="Q21" s="25">
        <f t="shared" si="11"/>
        <v>391</v>
      </c>
      <c r="T21" s="25">
        <f t="shared" ref="T21:Z21" si="12">T20*T$84</f>
        <v>384</v>
      </c>
      <c r="U21" s="25">
        <f t="shared" si="12"/>
        <v>386</v>
      </c>
      <c r="V21" s="25">
        <f t="shared" si="12"/>
        <v>390</v>
      </c>
      <c r="W21" s="25">
        <f t="shared" si="12"/>
        <v>390</v>
      </c>
      <c r="X21" s="25">
        <f t="shared" si="12"/>
        <v>391</v>
      </c>
      <c r="Y21" s="25">
        <f t="shared" si="12"/>
        <v>392</v>
      </c>
      <c r="Z21" s="25">
        <f t="shared" si="12"/>
        <v>392</v>
      </c>
      <c r="AA21" s="25">
        <f t="shared" ref="AA21" si="13">AA20*AA$84</f>
        <v>393</v>
      </c>
      <c r="AC21" s="25">
        <f>AC20*AC$84</f>
        <v>392</v>
      </c>
    </row>
    <row r="22" spans="1:31" x14ac:dyDescent="0.2">
      <c r="B22" s="23" t="s">
        <v>33</v>
      </c>
      <c r="C22" s="26"/>
      <c r="D22" s="26"/>
      <c r="E22" s="26"/>
      <c r="F22" s="26"/>
      <c r="G22" s="26"/>
      <c r="H22" s="26"/>
      <c r="I22" s="26"/>
      <c r="J22" s="26"/>
      <c r="K22" s="26"/>
      <c r="L22" s="26"/>
      <c r="M22" s="26">
        <v>0.34</v>
      </c>
      <c r="N22" s="26">
        <v>0.2</v>
      </c>
      <c r="O22" s="26">
        <v>1.21</v>
      </c>
      <c r="P22" s="26">
        <v>1.32</v>
      </c>
      <c r="Q22" s="26">
        <v>3.49</v>
      </c>
      <c r="T22" s="26">
        <v>0.47</v>
      </c>
      <c r="U22" s="26">
        <v>0.39</v>
      </c>
      <c r="V22" s="26">
        <v>0.43</v>
      </c>
      <c r="W22" s="26">
        <v>0.85</v>
      </c>
      <c r="X22" s="26">
        <v>1.04</v>
      </c>
      <c r="Y22" s="26">
        <v>1.1599999999999999</v>
      </c>
      <c r="Z22" s="26">
        <v>1.02</v>
      </c>
      <c r="AA22" s="26">
        <v>1.29</v>
      </c>
      <c r="AC22" s="26">
        <f>SUM(X22:AA22)</f>
        <v>4.51</v>
      </c>
    </row>
    <row r="23" spans="1:31" x14ac:dyDescent="0.2">
      <c r="B23" s="23" t="s">
        <v>34</v>
      </c>
      <c r="C23" s="27"/>
      <c r="D23" s="27"/>
      <c r="E23" s="27"/>
      <c r="F23" s="27"/>
      <c r="G23" s="27"/>
      <c r="H23" s="27"/>
      <c r="I23" s="27"/>
      <c r="J23" s="27"/>
      <c r="K23" s="27"/>
      <c r="L23" s="27"/>
      <c r="M23" s="65">
        <f>M22/M$84</f>
        <v>0.34</v>
      </c>
      <c r="N23" s="65">
        <f>N22/N$84</f>
        <v>0.2</v>
      </c>
      <c r="O23" s="65">
        <f>O22/O$84</f>
        <v>1.21</v>
      </c>
      <c r="P23" s="65">
        <f>P22/P$84</f>
        <v>1.32</v>
      </c>
      <c r="Q23" s="65">
        <f>Q22/Q$84</f>
        <v>3.49</v>
      </c>
      <c r="T23" s="65">
        <f t="shared" ref="T23:Z23" si="14">T22/T$84</f>
        <v>0.47</v>
      </c>
      <c r="U23" s="65">
        <f t="shared" si="14"/>
        <v>0.39</v>
      </c>
      <c r="V23" s="65">
        <f t="shared" si="14"/>
        <v>0.43</v>
      </c>
      <c r="W23" s="65">
        <f t="shared" si="14"/>
        <v>0.85</v>
      </c>
      <c r="X23" s="65">
        <f t="shared" si="14"/>
        <v>1.04</v>
      </c>
      <c r="Y23" s="65">
        <f t="shared" si="14"/>
        <v>1.1599999999999999</v>
      </c>
      <c r="Z23" s="65">
        <f t="shared" si="14"/>
        <v>1.02</v>
      </c>
      <c r="AA23" s="65">
        <f t="shared" ref="AA23" si="15">AA22/AA$84</f>
        <v>1.29</v>
      </c>
      <c r="AC23" s="65">
        <f>AC22/AC$84</f>
        <v>4.51</v>
      </c>
    </row>
    <row r="24" spans="1:31" x14ac:dyDescent="0.2">
      <c r="B24" s="23" t="s">
        <v>35</v>
      </c>
      <c r="C24" s="26"/>
      <c r="D24" s="26"/>
      <c r="E24" s="26"/>
      <c r="F24" s="26"/>
      <c r="G24" s="26"/>
      <c r="H24" s="26"/>
      <c r="I24" s="26"/>
      <c r="J24" s="26"/>
      <c r="K24" s="26"/>
      <c r="L24" s="26"/>
      <c r="M24" s="26">
        <v>0.33</v>
      </c>
      <c r="N24" s="63">
        <v>-0.04</v>
      </c>
      <c r="O24" s="26">
        <v>1.19</v>
      </c>
      <c r="P24" s="26">
        <v>1.28</v>
      </c>
      <c r="Q24" s="26">
        <v>3.41</v>
      </c>
      <c r="T24" s="63">
        <v>0.46</v>
      </c>
      <c r="U24" s="26">
        <v>0.38</v>
      </c>
      <c r="V24" s="63">
        <v>0.42</v>
      </c>
      <c r="W24" s="26">
        <v>0.83</v>
      </c>
      <c r="X24" s="26">
        <v>1.02</v>
      </c>
      <c r="Y24" s="26">
        <v>1.1399999999999999</v>
      </c>
      <c r="Z24" s="26">
        <v>0.99</v>
      </c>
      <c r="AA24" s="26">
        <v>1.27</v>
      </c>
      <c r="AC24" s="26">
        <f>SUM(X24:AA24)</f>
        <v>4.42</v>
      </c>
    </row>
    <row r="25" spans="1:31" s="30" customFormat="1" ht="17" thickBot="1" x14ac:dyDescent="0.25">
      <c r="A25" s="1"/>
      <c r="B25" s="28" t="s">
        <v>36</v>
      </c>
      <c r="C25" s="29"/>
      <c r="D25" s="29"/>
      <c r="E25" s="29"/>
      <c r="F25" s="29"/>
      <c r="G25" s="29"/>
      <c r="H25" s="29"/>
      <c r="I25" s="29"/>
      <c r="J25" s="29"/>
      <c r="K25" s="29"/>
      <c r="L25" s="29"/>
      <c r="M25" s="66">
        <f>M24/M$84</f>
        <v>0.33</v>
      </c>
      <c r="N25" s="66">
        <f>N24/N$84</f>
        <v>-0.04</v>
      </c>
      <c r="O25" s="66">
        <f>O24/O$84</f>
        <v>1.19</v>
      </c>
      <c r="P25" s="66">
        <f>P24/P$84</f>
        <v>1.28</v>
      </c>
      <c r="Q25" s="66">
        <f>Q24/Q$84</f>
        <v>3.41</v>
      </c>
      <c r="R25" s="1"/>
      <c r="S25" s="1"/>
      <c r="T25" s="66">
        <f t="shared" ref="T25:Z25" si="16">T24/T$84</f>
        <v>0.46</v>
      </c>
      <c r="U25" s="66">
        <f t="shared" si="16"/>
        <v>0.38</v>
      </c>
      <c r="V25" s="66">
        <f t="shared" si="16"/>
        <v>0.42</v>
      </c>
      <c r="W25" s="66">
        <f t="shared" si="16"/>
        <v>0.83</v>
      </c>
      <c r="X25" s="66">
        <f t="shared" si="16"/>
        <v>1.02</v>
      </c>
      <c r="Y25" s="66">
        <f t="shared" si="16"/>
        <v>1.1399999999999999</v>
      </c>
      <c r="Z25" s="66">
        <f t="shared" si="16"/>
        <v>0.99</v>
      </c>
      <c r="AA25" s="66">
        <f t="shared" ref="AA25" si="17">AA24/AA$84</f>
        <v>1.27</v>
      </c>
      <c r="AB25" s="1"/>
      <c r="AC25" s="66">
        <f>AC24/AC$84</f>
        <v>4.42</v>
      </c>
      <c r="AD25" s="1"/>
      <c r="AE25" s="1"/>
    </row>
    <row r="26" spans="1:31" s="30" customFormat="1" ht="17" thickBot="1" x14ac:dyDescent="0.25">
      <c r="A26" s="1"/>
      <c r="B26" s="31"/>
      <c r="J26" s="31"/>
      <c r="K26" s="31"/>
      <c r="L26" s="31"/>
      <c r="M26" s="31"/>
      <c r="N26" s="31"/>
      <c r="O26" s="31"/>
      <c r="P26" s="31"/>
      <c r="R26" s="1"/>
      <c r="S26" s="1"/>
      <c r="AB26" s="1"/>
      <c r="AD26" s="1"/>
      <c r="AE26" s="1"/>
    </row>
    <row r="27" spans="1:31" s="15" customFormat="1" ht="17" thickBot="1" x14ac:dyDescent="0.25">
      <c r="A27" s="11"/>
      <c r="B27" s="14" t="s">
        <v>37</v>
      </c>
      <c r="R27" s="1"/>
      <c r="S27" s="1"/>
      <c r="AB27" s="1"/>
      <c r="AD27" s="1"/>
      <c r="AE27" s="1"/>
    </row>
    <row r="28" spans="1:31" x14ac:dyDescent="0.2">
      <c r="B28" s="20" t="s">
        <v>38</v>
      </c>
      <c r="C28" s="21"/>
      <c r="D28" s="21"/>
      <c r="E28" s="21"/>
      <c r="F28" s="21"/>
      <c r="G28" s="21"/>
      <c r="H28" s="21"/>
      <c r="I28" s="21"/>
      <c r="J28" s="21"/>
      <c r="K28" s="21"/>
      <c r="L28" s="21"/>
      <c r="M28" s="21">
        <v>439</v>
      </c>
      <c r="N28" s="21">
        <v>261</v>
      </c>
      <c r="O28" s="21">
        <v>780</v>
      </c>
      <c r="P28" s="21">
        <v>1228</v>
      </c>
      <c r="Q28" s="21">
        <v>1828</v>
      </c>
      <c r="T28" s="21">
        <v>909</v>
      </c>
      <c r="U28" s="21">
        <v>1228</v>
      </c>
      <c r="V28" s="21">
        <v>1467</v>
      </c>
      <c r="W28" s="21">
        <f>1641+98</f>
        <v>1739</v>
      </c>
      <c r="X28" s="21">
        <f>1396+545</f>
        <v>1941</v>
      </c>
      <c r="Y28" s="21">
        <v>1828</v>
      </c>
      <c r="Z28" s="21">
        <v>2501</v>
      </c>
      <c r="AA28" s="21">
        <v>3111</v>
      </c>
      <c r="AC28" s="21">
        <f>AA28</f>
        <v>3111</v>
      </c>
    </row>
    <row r="29" spans="1:31" x14ac:dyDescent="0.2">
      <c r="B29" s="20" t="s">
        <v>39</v>
      </c>
      <c r="C29" s="21"/>
      <c r="D29" s="21"/>
      <c r="E29" s="21"/>
      <c r="F29" s="21"/>
      <c r="G29" s="21"/>
      <c r="H29" s="21"/>
      <c r="I29" s="21"/>
      <c r="J29" s="21"/>
      <c r="K29" s="21"/>
      <c r="L29" s="21"/>
      <c r="M29" s="21">
        <v>1536</v>
      </c>
      <c r="N29" s="21">
        <v>1889</v>
      </c>
      <c r="O29" s="21">
        <v>2185</v>
      </c>
      <c r="P29" s="21">
        <v>2363</v>
      </c>
      <c r="Q29" s="21">
        <v>3109</v>
      </c>
      <c r="T29" s="21">
        <v>2329</v>
      </c>
      <c r="U29" s="21">
        <v>2363</v>
      </c>
      <c r="V29" s="21">
        <v>2311</v>
      </c>
      <c r="W29" s="21">
        <v>2831</v>
      </c>
      <c r="X29" s="21">
        <v>2811</v>
      </c>
      <c r="Y29" s="21">
        <v>3109</v>
      </c>
      <c r="Z29" s="21">
        <v>3149</v>
      </c>
      <c r="AA29" s="21">
        <v>3750</v>
      </c>
      <c r="AC29" s="21">
        <f t="shared" ref="AC29:AC49" si="18">AA29</f>
        <v>3750</v>
      </c>
    </row>
    <row r="30" spans="1:31" x14ac:dyDescent="0.2">
      <c r="B30" s="20" t="s">
        <v>131</v>
      </c>
      <c r="C30" s="21"/>
      <c r="D30" s="21"/>
      <c r="E30" s="21"/>
      <c r="F30" s="21"/>
      <c r="G30" s="21"/>
      <c r="H30" s="21"/>
      <c r="I30" s="21"/>
      <c r="J30" s="21"/>
      <c r="K30" s="21"/>
      <c r="L30" s="21"/>
      <c r="M30" s="21">
        <v>616</v>
      </c>
      <c r="N30" s="21">
        <v>822</v>
      </c>
      <c r="O30" s="21">
        <v>884</v>
      </c>
      <c r="P30" s="21">
        <v>1244</v>
      </c>
      <c r="Q30" s="21">
        <v>1457</v>
      </c>
      <c r="T30" s="21">
        <v>1255</v>
      </c>
      <c r="U30" s="21">
        <v>1244</v>
      </c>
      <c r="V30" s="21">
        <v>1384</v>
      </c>
      <c r="W30" s="21">
        <v>1413</v>
      </c>
      <c r="X30" s="21">
        <v>1437</v>
      </c>
      <c r="Y30" s="21">
        <v>1457</v>
      </c>
      <c r="Z30" s="21">
        <v>1835</v>
      </c>
      <c r="AA30" s="21">
        <v>2523</v>
      </c>
      <c r="AC30" s="21">
        <f>AA30</f>
        <v>2523</v>
      </c>
    </row>
    <row r="31" spans="1:31" s="34" customFormat="1" x14ac:dyDescent="0.2">
      <c r="A31" s="16"/>
      <c r="B31" s="32" t="s">
        <v>40</v>
      </c>
      <c r="C31" s="33"/>
      <c r="D31" s="33"/>
      <c r="E31" s="33"/>
      <c r="F31" s="33"/>
      <c r="G31" s="33"/>
      <c r="H31" s="33"/>
      <c r="I31" s="33"/>
      <c r="J31" s="33"/>
      <c r="K31" s="33"/>
      <c r="L31" s="33"/>
      <c r="M31" s="33">
        <v>2699</v>
      </c>
      <c r="N31" s="33">
        <v>3159</v>
      </c>
      <c r="O31" s="33">
        <v>4002</v>
      </c>
      <c r="P31" s="33">
        <v>5102</v>
      </c>
      <c r="Q31" s="33">
        <v>6820</v>
      </c>
      <c r="R31" s="1"/>
      <c r="S31" s="1"/>
      <c r="T31" s="33">
        <v>4805</v>
      </c>
      <c r="U31" s="33">
        <v>5102</v>
      </c>
      <c r="V31" s="33">
        <v>5462</v>
      </c>
      <c r="W31" s="33">
        <v>6302</v>
      </c>
      <c r="X31" s="33">
        <v>6549</v>
      </c>
      <c r="Y31" s="33">
        <v>6820</v>
      </c>
      <c r="Z31" s="33">
        <v>7985</v>
      </c>
      <c r="AA31" s="33">
        <v>9985</v>
      </c>
      <c r="AB31" s="1"/>
      <c r="AC31" s="33">
        <f t="shared" si="18"/>
        <v>9985</v>
      </c>
      <c r="AD31" s="1"/>
      <c r="AE31" s="1"/>
    </row>
    <row r="32" spans="1:31" x14ac:dyDescent="0.2">
      <c r="B32" s="20" t="s">
        <v>41</v>
      </c>
      <c r="C32" s="21"/>
      <c r="D32" s="21"/>
      <c r="E32" s="21"/>
      <c r="F32" s="21"/>
      <c r="G32" s="21"/>
      <c r="H32" s="21"/>
      <c r="I32" s="21"/>
      <c r="J32" s="21"/>
      <c r="K32" s="21"/>
      <c r="L32" s="21"/>
      <c r="M32" s="21">
        <v>489</v>
      </c>
      <c r="N32" s="21">
        <v>489</v>
      </c>
      <c r="O32" s="21">
        <v>560</v>
      </c>
      <c r="P32" s="21">
        <v>625</v>
      </c>
      <c r="Q32" s="21">
        <v>922</v>
      </c>
      <c r="T32" s="21">
        <v>593</v>
      </c>
      <c r="U32" s="21">
        <v>625</v>
      </c>
      <c r="V32" s="21">
        <v>637</v>
      </c>
      <c r="W32" s="21">
        <v>666</v>
      </c>
      <c r="X32" s="21">
        <v>698</v>
      </c>
      <c r="Y32" s="21">
        <v>922</v>
      </c>
      <c r="Z32" s="21">
        <v>998</v>
      </c>
      <c r="AA32" s="21">
        <v>1184</v>
      </c>
      <c r="AC32" s="21">
        <f t="shared" si="18"/>
        <v>1184</v>
      </c>
    </row>
    <row r="33" spans="1:31" x14ac:dyDescent="0.2">
      <c r="B33" s="20" t="s">
        <v>343</v>
      </c>
      <c r="C33" s="21"/>
      <c r="D33" s="21"/>
      <c r="E33" s="21"/>
      <c r="F33" s="21"/>
      <c r="G33" s="21"/>
      <c r="H33" s="21"/>
      <c r="I33" s="21"/>
      <c r="J33" s="21"/>
      <c r="K33" s="21"/>
      <c r="L33" s="21"/>
      <c r="M33" s="21">
        <v>0</v>
      </c>
      <c r="N33" s="21">
        <v>0</v>
      </c>
      <c r="O33" s="21">
        <v>0</v>
      </c>
      <c r="P33" s="21">
        <v>0</v>
      </c>
      <c r="Q33" s="21">
        <v>0</v>
      </c>
      <c r="T33" s="21">
        <v>0</v>
      </c>
      <c r="U33" s="21">
        <v>0</v>
      </c>
      <c r="V33" s="21">
        <v>0</v>
      </c>
      <c r="W33" s="21">
        <v>0</v>
      </c>
      <c r="X33" s="21">
        <v>0</v>
      </c>
      <c r="Y33" s="21">
        <v>0</v>
      </c>
      <c r="Z33" s="21">
        <v>0</v>
      </c>
      <c r="AA33" s="21">
        <v>0</v>
      </c>
      <c r="AC33" s="21">
        <f t="shared" si="18"/>
        <v>0</v>
      </c>
    </row>
    <row r="34" spans="1:31" x14ac:dyDescent="0.2">
      <c r="B34" s="20" t="s">
        <v>42</v>
      </c>
      <c r="C34" s="21"/>
      <c r="D34" s="21"/>
      <c r="E34" s="21"/>
      <c r="F34" s="21"/>
      <c r="G34" s="21"/>
      <c r="H34" s="21"/>
      <c r="I34" s="21"/>
      <c r="J34" s="21"/>
      <c r="K34" s="21"/>
      <c r="L34" s="21"/>
      <c r="M34" s="21">
        <v>1330</v>
      </c>
      <c r="N34" s="21">
        <v>1285</v>
      </c>
      <c r="O34" s="21">
        <v>1330</v>
      </c>
      <c r="P34" s="21">
        <v>1321</v>
      </c>
      <c r="Q34" s="21">
        <v>2034</v>
      </c>
      <c r="T34" s="21">
        <v>1349</v>
      </c>
      <c r="U34" s="21">
        <v>1321</v>
      </c>
      <c r="V34" s="21">
        <v>1340</v>
      </c>
      <c r="W34" s="21">
        <v>1374</v>
      </c>
      <c r="X34" s="221">
        <v>1444</v>
      </c>
      <c r="Y34" s="21">
        <v>2034</v>
      </c>
      <c r="Z34" s="221">
        <v>2024</v>
      </c>
      <c r="AA34" s="221">
        <v>2283</v>
      </c>
      <c r="AC34" s="21">
        <f t="shared" si="18"/>
        <v>2283</v>
      </c>
    </row>
    <row r="35" spans="1:31" s="34" customFormat="1" x14ac:dyDescent="0.2">
      <c r="A35" s="16"/>
      <c r="B35" s="32" t="s">
        <v>43</v>
      </c>
      <c r="C35" s="35"/>
      <c r="D35" s="35"/>
      <c r="E35" s="35"/>
      <c r="F35" s="35"/>
      <c r="G35" s="35"/>
      <c r="H35" s="35"/>
      <c r="I35" s="35"/>
      <c r="J35" s="35"/>
      <c r="K35" s="35"/>
      <c r="L35" s="35"/>
      <c r="M35" s="222">
        <f t="shared" ref="M35:O35" si="19">M36-M31</f>
        <v>4241</v>
      </c>
      <c r="N35" s="222">
        <f t="shared" si="19"/>
        <v>3937</v>
      </c>
      <c r="O35" s="222">
        <f t="shared" si="19"/>
        <v>3997</v>
      </c>
      <c r="P35" s="222">
        <f>P36-P31</f>
        <v>4031</v>
      </c>
      <c r="Q35" s="222">
        <f>Q36-Q31</f>
        <v>5392</v>
      </c>
      <c r="R35" s="1"/>
      <c r="S35" s="1"/>
      <c r="T35" s="222">
        <f t="shared" ref="T35:Y35" si="20">T36-T31</f>
        <v>4086</v>
      </c>
      <c r="U35" s="222">
        <f t="shared" si="20"/>
        <v>4031</v>
      </c>
      <c r="V35" s="222">
        <f t="shared" si="20"/>
        <v>3989</v>
      </c>
      <c r="W35" s="222">
        <f t="shared" si="20"/>
        <v>4104</v>
      </c>
      <c r="X35" s="222">
        <f t="shared" si="20"/>
        <v>4267</v>
      </c>
      <c r="Y35" s="222">
        <f t="shared" si="20"/>
        <v>5392</v>
      </c>
      <c r="Z35" s="222">
        <f t="shared" ref="Z35:AA35" si="21">Z36-Z31</f>
        <v>5415</v>
      </c>
      <c r="AA35" s="222">
        <f t="shared" si="21"/>
        <v>5916</v>
      </c>
      <c r="AB35" s="1"/>
      <c r="AC35" s="35">
        <f t="shared" si="18"/>
        <v>5916</v>
      </c>
      <c r="AD35" s="1"/>
      <c r="AE35" s="1"/>
    </row>
    <row r="36" spans="1:31" s="19" customFormat="1" x14ac:dyDescent="0.2">
      <c r="A36" s="16"/>
      <c r="B36" s="17" t="s">
        <v>44</v>
      </c>
      <c r="C36" s="18"/>
      <c r="D36" s="18"/>
      <c r="E36" s="18"/>
      <c r="F36" s="18"/>
      <c r="G36" s="18"/>
      <c r="H36" s="18"/>
      <c r="I36" s="18"/>
      <c r="J36" s="18"/>
      <c r="K36" s="18"/>
      <c r="L36" s="18"/>
      <c r="M36" s="18">
        <v>6940</v>
      </c>
      <c r="N36" s="18">
        <v>7096</v>
      </c>
      <c r="O36" s="18">
        <v>7999</v>
      </c>
      <c r="P36" s="18">
        <v>9133</v>
      </c>
      <c r="Q36" s="18">
        <v>12212</v>
      </c>
      <c r="R36" s="1"/>
      <c r="S36" s="1"/>
      <c r="T36" s="18">
        <v>8891</v>
      </c>
      <c r="U36" s="18">
        <v>9133</v>
      </c>
      <c r="V36" s="18">
        <v>9451</v>
      </c>
      <c r="W36" s="18">
        <v>10406</v>
      </c>
      <c r="X36" s="18">
        <v>10816</v>
      </c>
      <c r="Y36" s="18">
        <v>12212</v>
      </c>
      <c r="Z36" s="18">
        <v>13400</v>
      </c>
      <c r="AA36" s="18">
        <v>15901</v>
      </c>
      <c r="AB36" s="1"/>
      <c r="AC36" s="18">
        <f t="shared" si="18"/>
        <v>15901</v>
      </c>
      <c r="AD36" s="1"/>
      <c r="AE36" s="1"/>
    </row>
    <row r="37" spans="1:31" x14ac:dyDescent="0.2">
      <c r="B37" s="20" t="s">
        <v>45</v>
      </c>
      <c r="C37" s="21"/>
      <c r="D37" s="21"/>
      <c r="E37" s="21"/>
      <c r="F37" s="21"/>
      <c r="G37" s="21"/>
      <c r="H37" s="21"/>
      <c r="I37" s="21"/>
      <c r="J37" s="21"/>
      <c r="K37" s="21"/>
      <c r="L37" s="21"/>
      <c r="M37" s="21">
        <v>859</v>
      </c>
      <c r="N37" s="21">
        <v>984</v>
      </c>
      <c r="O37" s="21">
        <v>986</v>
      </c>
      <c r="P37" s="21">
        <v>1316</v>
      </c>
      <c r="Q37" s="21">
        <v>1756</v>
      </c>
      <c r="T37" s="21">
        <v>1240</v>
      </c>
      <c r="U37" s="21">
        <v>1316</v>
      </c>
      <c r="V37" s="21">
        <v>1407</v>
      </c>
      <c r="W37" s="21">
        <v>1605</v>
      </c>
      <c r="X37" s="21">
        <v>1720</v>
      </c>
      <c r="Y37" s="21">
        <v>1756</v>
      </c>
      <c r="Z37" s="21">
        <v>1952</v>
      </c>
      <c r="AA37" s="21">
        <v>2473</v>
      </c>
      <c r="AC37" s="21">
        <f t="shared" si="18"/>
        <v>2473</v>
      </c>
    </row>
    <row r="38" spans="1:31" x14ac:dyDescent="0.2">
      <c r="B38" s="20" t="s">
        <v>165</v>
      </c>
      <c r="C38" s="21"/>
      <c r="D38" s="21"/>
      <c r="E38" s="21"/>
      <c r="F38" s="21"/>
      <c r="G38" s="21"/>
      <c r="H38" s="21"/>
      <c r="I38" s="21"/>
      <c r="J38" s="21"/>
      <c r="K38" s="21"/>
      <c r="L38" s="21"/>
      <c r="M38" s="21">
        <v>22</v>
      </c>
      <c r="N38" s="21">
        <v>22</v>
      </c>
      <c r="O38" s="21">
        <v>22</v>
      </c>
      <c r="P38" s="21">
        <v>21</v>
      </c>
      <c r="Q38" s="21">
        <v>21</v>
      </c>
      <c r="T38" s="21">
        <v>21</v>
      </c>
      <c r="U38" s="21">
        <v>21</v>
      </c>
      <c r="V38" s="21">
        <v>21</v>
      </c>
      <c r="W38" s="21">
        <v>21</v>
      </c>
      <c r="X38" s="21">
        <v>21</v>
      </c>
      <c r="Y38" s="21">
        <v>21</v>
      </c>
      <c r="Z38" s="21">
        <v>0</v>
      </c>
      <c r="AA38" s="21">
        <v>0</v>
      </c>
      <c r="AC38" s="21">
        <f t="shared" si="18"/>
        <v>0</v>
      </c>
    </row>
    <row r="39" spans="1:31" s="34" customFormat="1" x14ac:dyDescent="0.2">
      <c r="A39" s="16"/>
      <c r="B39" s="32" t="s">
        <v>46</v>
      </c>
      <c r="C39" s="33"/>
      <c r="D39" s="33"/>
      <c r="E39" s="33"/>
      <c r="F39" s="33"/>
      <c r="G39" s="33"/>
      <c r="H39" s="33"/>
      <c r="I39" s="33"/>
      <c r="J39" s="33"/>
      <c r="K39" s="33"/>
      <c r="L39" s="33"/>
      <c r="M39" s="33">
        <v>1855</v>
      </c>
      <c r="N39" s="33">
        <v>1898</v>
      </c>
      <c r="O39" s="33">
        <v>2305</v>
      </c>
      <c r="P39" s="33">
        <v>3097</v>
      </c>
      <c r="Q39" s="33">
        <v>4407</v>
      </c>
      <c r="R39" s="60"/>
      <c r="S39" s="60"/>
      <c r="T39" s="33">
        <v>3489</v>
      </c>
      <c r="U39" s="33">
        <v>3097</v>
      </c>
      <c r="V39" s="33">
        <v>3184</v>
      </c>
      <c r="W39" s="33">
        <v>3615</v>
      </c>
      <c r="X39" s="33">
        <v>3577</v>
      </c>
      <c r="Y39" s="33">
        <v>4407</v>
      </c>
      <c r="Z39" s="33">
        <v>5343</v>
      </c>
      <c r="AA39" s="33">
        <v>7243</v>
      </c>
      <c r="AB39" s="1"/>
      <c r="AC39" s="33">
        <f t="shared" si="18"/>
        <v>7243</v>
      </c>
      <c r="AD39" s="1"/>
      <c r="AE39" s="1"/>
    </row>
    <row r="40" spans="1:31" x14ac:dyDescent="0.2">
      <c r="B40" s="20" t="s">
        <v>165</v>
      </c>
      <c r="C40" s="21"/>
      <c r="D40" s="21"/>
      <c r="E40" s="21"/>
      <c r="F40" s="21"/>
      <c r="G40" s="21"/>
      <c r="H40" s="21"/>
      <c r="I40" s="21"/>
      <c r="J40" s="21"/>
      <c r="K40" s="21"/>
      <c r="L40" s="21"/>
      <c r="M40" s="21">
        <v>2951</v>
      </c>
      <c r="N40" s="21">
        <v>3169</v>
      </c>
      <c r="O40" s="21">
        <v>2919</v>
      </c>
      <c r="P40" s="21">
        <v>2907</v>
      </c>
      <c r="Q40" s="21">
        <v>2892</v>
      </c>
      <c r="T40" s="21">
        <v>2910</v>
      </c>
      <c r="U40" s="21">
        <v>2907</v>
      </c>
      <c r="V40" s="21">
        <v>2904</v>
      </c>
      <c r="W40" s="21">
        <v>2901</v>
      </c>
      <c r="X40" s="21">
        <v>2898</v>
      </c>
      <c r="Y40" s="21">
        <v>2892</v>
      </c>
      <c r="Z40" s="21">
        <v>2922</v>
      </c>
      <c r="AA40" s="21">
        <v>2940</v>
      </c>
      <c r="AC40" s="21">
        <f t="shared" si="18"/>
        <v>2940</v>
      </c>
    </row>
    <row r="41" spans="1:31" s="34" customFormat="1" x14ac:dyDescent="0.2">
      <c r="A41" s="16"/>
      <c r="B41" s="32" t="s">
        <v>47</v>
      </c>
      <c r="C41" s="35"/>
      <c r="D41" s="35"/>
      <c r="E41" s="35"/>
      <c r="F41" s="35"/>
      <c r="G41" s="35"/>
      <c r="H41" s="35"/>
      <c r="I41" s="35"/>
      <c r="J41" s="35"/>
      <c r="K41" s="35"/>
      <c r="L41" s="35"/>
      <c r="M41" s="222">
        <f t="shared" ref="M41:O41" si="22">M42-M39</f>
        <v>3667</v>
      </c>
      <c r="N41" s="222">
        <f t="shared" si="22"/>
        <v>3756</v>
      </c>
      <c r="O41" s="222">
        <f t="shared" si="22"/>
        <v>3679</v>
      </c>
      <c r="P41" s="222">
        <f>P42-P39</f>
        <v>3601</v>
      </c>
      <c r="Q41" s="222">
        <f>Q42-Q39</f>
        <v>3864</v>
      </c>
      <c r="R41" s="1"/>
      <c r="S41" s="1"/>
      <c r="T41" s="222">
        <f t="shared" ref="T41:Y41" si="23">T42-T39</f>
        <v>3589</v>
      </c>
      <c r="U41" s="222">
        <f t="shared" si="23"/>
        <v>3601</v>
      </c>
      <c r="V41" s="222">
        <f t="shared" si="23"/>
        <v>3601</v>
      </c>
      <c r="W41" s="222">
        <f t="shared" si="23"/>
        <v>3666</v>
      </c>
      <c r="X41" s="222">
        <f t="shared" si="23"/>
        <v>3731</v>
      </c>
      <c r="Y41" s="222">
        <f t="shared" si="23"/>
        <v>3864</v>
      </c>
      <c r="Z41" s="222">
        <f t="shared" ref="Z41:AA41" si="24">Z42-Z39</f>
        <v>3812</v>
      </c>
      <c r="AA41" s="222">
        <f t="shared" si="24"/>
        <v>3900</v>
      </c>
      <c r="AB41" s="1"/>
      <c r="AC41" s="35">
        <f t="shared" si="18"/>
        <v>3900</v>
      </c>
      <c r="AD41" s="1"/>
      <c r="AE41" s="1"/>
    </row>
    <row r="42" spans="1:31" s="19" customFormat="1" x14ac:dyDescent="0.2">
      <c r="A42" s="16"/>
      <c r="B42" s="17" t="s">
        <v>48</v>
      </c>
      <c r="C42" s="18"/>
      <c r="D42" s="18"/>
      <c r="E42" s="18"/>
      <c r="F42" s="18"/>
      <c r="G42" s="18"/>
      <c r="H42" s="18"/>
      <c r="I42" s="18"/>
      <c r="J42" s="18"/>
      <c r="K42" s="18"/>
      <c r="L42" s="18"/>
      <c r="M42" s="18">
        <v>5522</v>
      </c>
      <c r="N42" s="18">
        <v>5654</v>
      </c>
      <c r="O42" s="18">
        <v>5984</v>
      </c>
      <c r="P42" s="18">
        <v>6698</v>
      </c>
      <c r="Q42" s="18">
        <v>8271</v>
      </c>
      <c r="R42" s="1"/>
      <c r="S42" s="1"/>
      <c r="T42" s="18">
        <v>7078</v>
      </c>
      <c r="U42" s="18">
        <v>6698</v>
      </c>
      <c r="V42" s="18">
        <v>6785</v>
      </c>
      <c r="W42" s="18">
        <v>7281</v>
      </c>
      <c r="X42" s="18">
        <v>7308</v>
      </c>
      <c r="Y42" s="18">
        <v>8271</v>
      </c>
      <c r="Z42" s="18">
        <v>9155</v>
      </c>
      <c r="AA42" s="18">
        <v>11143</v>
      </c>
      <c r="AB42" s="1"/>
      <c r="AC42" s="18">
        <f t="shared" si="18"/>
        <v>11143</v>
      </c>
      <c r="AD42" s="1"/>
      <c r="AE42" s="1"/>
    </row>
    <row r="43" spans="1:31" x14ac:dyDescent="0.2">
      <c r="B43" s="20" t="s">
        <v>50</v>
      </c>
      <c r="C43" s="21"/>
      <c r="D43" s="21"/>
      <c r="E43" s="21"/>
      <c r="F43" s="21"/>
      <c r="G43" s="21"/>
      <c r="H43" s="21"/>
      <c r="I43" s="21"/>
      <c r="J43" s="21"/>
      <c r="K43" s="21"/>
      <c r="L43" s="21"/>
      <c r="M43" s="62">
        <v>0</v>
      </c>
      <c r="N43" s="62">
        <v>0</v>
      </c>
      <c r="O43" s="62">
        <v>0</v>
      </c>
      <c r="P43" s="62">
        <v>0</v>
      </c>
      <c r="Q43" s="62">
        <v>0</v>
      </c>
      <c r="T43" s="62">
        <v>0</v>
      </c>
      <c r="U43" s="62">
        <v>0</v>
      </c>
      <c r="V43" s="62">
        <v>0</v>
      </c>
      <c r="W43" s="62">
        <v>0</v>
      </c>
      <c r="X43" s="62">
        <v>0</v>
      </c>
      <c r="Y43" s="62">
        <v>0</v>
      </c>
      <c r="Z43" s="62">
        <v>0</v>
      </c>
      <c r="AA43" s="62">
        <v>0</v>
      </c>
      <c r="AC43" s="62">
        <f t="shared" si="18"/>
        <v>0</v>
      </c>
    </row>
    <row r="44" spans="1:31" x14ac:dyDescent="0.2">
      <c r="B44" s="20" t="s">
        <v>323</v>
      </c>
      <c r="C44" s="21"/>
      <c r="D44" s="21"/>
      <c r="E44" s="21"/>
      <c r="F44" s="21"/>
      <c r="G44" s="21"/>
      <c r="H44" s="21"/>
      <c r="I44" s="21"/>
      <c r="J44" s="21"/>
      <c r="K44" s="21"/>
      <c r="L44" s="21"/>
      <c r="M44" s="62">
        <v>0</v>
      </c>
      <c r="N44" s="62">
        <v>0</v>
      </c>
      <c r="O44" s="62">
        <v>0</v>
      </c>
      <c r="P44" s="62">
        <v>0</v>
      </c>
      <c r="Q44" s="62">
        <v>0</v>
      </c>
      <c r="T44" s="62">
        <v>0</v>
      </c>
      <c r="U44" s="62">
        <v>0</v>
      </c>
      <c r="V44" s="62">
        <v>0</v>
      </c>
      <c r="W44" s="62">
        <v>0</v>
      </c>
      <c r="X44" s="62">
        <v>0</v>
      </c>
      <c r="Y44" s="62">
        <v>0</v>
      </c>
      <c r="Z44" s="62">
        <v>0</v>
      </c>
      <c r="AA44" s="62">
        <v>0</v>
      </c>
      <c r="AC44" s="62">
        <f t="shared" si="18"/>
        <v>0</v>
      </c>
    </row>
    <row r="45" spans="1:31" x14ac:dyDescent="0.2">
      <c r="B45" s="20" t="s">
        <v>49</v>
      </c>
      <c r="C45" s="21"/>
      <c r="D45" s="21"/>
      <c r="E45" s="21"/>
      <c r="F45" s="21"/>
      <c r="G45" s="21"/>
      <c r="H45" s="21"/>
      <c r="I45" s="21"/>
      <c r="J45" s="21"/>
      <c r="K45" s="21"/>
      <c r="L45" s="21"/>
      <c r="M45" s="221">
        <v>2598</v>
      </c>
      <c r="N45" s="221">
        <v>2631</v>
      </c>
      <c r="O45" s="221">
        <v>2711</v>
      </c>
      <c r="P45" s="221">
        <v>2821</v>
      </c>
      <c r="Q45" s="221">
        <v>2895</v>
      </c>
      <c r="T45" s="21">
        <v>2152</v>
      </c>
      <c r="U45" s="221">
        <v>2821</v>
      </c>
      <c r="V45" s="21">
        <v>2830</v>
      </c>
      <c r="W45" s="21">
        <v>2858</v>
      </c>
      <c r="X45" s="21">
        <v>2883</v>
      </c>
      <c r="Y45" s="221">
        <v>2895</v>
      </c>
      <c r="Z45" s="21">
        <v>2927</v>
      </c>
      <c r="AA45" s="21">
        <v>2955</v>
      </c>
      <c r="AC45" s="62">
        <f t="shared" si="18"/>
        <v>2955</v>
      </c>
    </row>
    <row r="46" spans="1:31" x14ac:dyDescent="0.2">
      <c r="B46" s="20" t="s">
        <v>324</v>
      </c>
      <c r="C46" s="21"/>
      <c r="D46" s="21"/>
      <c r="E46" s="21"/>
      <c r="F46" s="21"/>
      <c r="G46" s="21"/>
      <c r="H46" s="21"/>
      <c r="I46" s="21"/>
      <c r="J46" s="21"/>
      <c r="K46" s="21"/>
      <c r="L46" s="21"/>
      <c r="M46" s="62">
        <v>-1215</v>
      </c>
      <c r="N46" s="62">
        <v>-1143</v>
      </c>
      <c r="O46" s="62">
        <v>-692</v>
      </c>
      <c r="P46" s="62">
        <v>-238</v>
      </c>
      <c r="Q46" s="62">
        <v>1028</v>
      </c>
      <c r="T46" s="62">
        <v>-371</v>
      </c>
      <c r="U46" s="62">
        <v>-238</v>
      </c>
      <c r="V46" s="62">
        <v>-88</v>
      </c>
      <c r="W46" s="62">
        <v>222</v>
      </c>
      <c r="X46" s="62">
        <v>606</v>
      </c>
      <c r="Y46" s="62">
        <v>1028</v>
      </c>
      <c r="Z46" s="62">
        <v>1394</v>
      </c>
      <c r="AA46" s="62">
        <v>1868</v>
      </c>
      <c r="AC46" s="62">
        <f t="shared" si="18"/>
        <v>1868</v>
      </c>
    </row>
    <row r="47" spans="1:31" x14ac:dyDescent="0.2">
      <c r="B47" s="20" t="s">
        <v>319</v>
      </c>
      <c r="C47" s="21"/>
      <c r="D47" s="21"/>
      <c r="E47" s="21"/>
      <c r="F47" s="21"/>
      <c r="G47" s="21"/>
      <c r="H47" s="21"/>
      <c r="I47" s="21"/>
      <c r="J47" s="21"/>
      <c r="K47" s="21"/>
      <c r="L47" s="21"/>
      <c r="M47" s="62">
        <v>0</v>
      </c>
      <c r="N47" s="62">
        <v>0</v>
      </c>
      <c r="O47" s="62">
        <v>0</v>
      </c>
      <c r="P47" s="62">
        <v>0</v>
      </c>
      <c r="Q47" s="62">
        <v>0</v>
      </c>
      <c r="T47" s="62">
        <v>0</v>
      </c>
      <c r="U47" s="62">
        <v>0</v>
      </c>
      <c r="V47" s="62">
        <v>0</v>
      </c>
      <c r="W47" s="62">
        <v>0</v>
      </c>
      <c r="X47" s="62">
        <v>0</v>
      </c>
      <c r="Y47" s="62">
        <v>0</v>
      </c>
      <c r="Z47" s="62">
        <v>0</v>
      </c>
      <c r="AA47" s="62">
        <v>0</v>
      </c>
      <c r="AC47" s="62">
        <f t="shared" si="18"/>
        <v>0</v>
      </c>
    </row>
    <row r="48" spans="1:31" s="34" customFormat="1" x14ac:dyDescent="0.2">
      <c r="A48" s="16"/>
      <c r="B48" s="32" t="s">
        <v>51</v>
      </c>
      <c r="C48" s="33"/>
      <c r="D48" s="33"/>
      <c r="E48" s="33"/>
      <c r="F48" s="33"/>
      <c r="G48" s="33"/>
      <c r="H48" s="33"/>
      <c r="I48" s="33"/>
      <c r="J48" s="33"/>
      <c r="K48" s="33"/>
      <c r="L48" s="33"/>
      <c r="M48" s="33">
        <v>1418</v>
      </c>
      <c r="N48" s="33">
        <v>1442</v>
      </c>
      <c r="O48" s="33">
        <v>2015</v>
      </c>
      <c r="P48" s="33">
        <v>2434</v>
      </c>
      <c r="Q48" s="33">
        <v>3941</v>
      </c>
      <c r="R48" s="1"/>
      <c r="S48" s="1"/>
      <c r="T48" s="33">
        <v>1814</v>
      </c>
      <c r="U48" s="33">
        <v>2434</v>
      </c>
      <c r="V48" s="33">
        <v>2666</v>
      </c>
      <c r="W48" s="33">
        <v>3125</v>
      </c>
      <c r="X48" s="33">
        <v>3509</v>
      </c>
      <c r="Y48" s="33">
        <v>3941</v>
      </c>
      <c r="Z48" s="33">
        <v>4245</v>
      </c>
      <c r="AA48" s="33">
        <v>4758</v>
      </c>
      <c r="AB48" s="1"/>
      <c r="AC48" s="33">
        <f t="shared" si="18"/>
        <v>4758</v>
      </c>
      <c r="AD48" s="1"/>
      <c r="AE48" s="1"/>
    </row>
    <row r="49" spans="1:31" s="38" customFormat="1" ht="17" thickBot="1" x14ac:dyDescent="0.25">
      <c r="A49" s="16"/>
      <c r="B49" s="36" t="s">
        <v>52</v>
      </c>
      <c r="C49" s="37"/>
      <c r="D49" s="37"/>
      <c r="E49" s="37"/>
      <c r="F49" s="37"/>
      <c r="G49" s="37"/>
      <c r="H49" s="37"/>
      <c r="I49" s="37"/>
      <c r="J49" s="37"/>
      <c r="K49" s="37"/>
      <c r="L49" s="37"/>
      <c r="M49" s="37">
        <v>6940</v>
      </c>
      <c r="N49" s="37">
        <v>7096</v>
      </c>
      <c r="O49" s="37">
        <v>7999</v>
      </c>
      <c r="P49" s="37">
        <v>9133</v>
      </c>
      <c r="Q49" s="37">
        <v>12212</v>
      </c>
      <c r="R49" s="1"/>
      <c r="S49" s="1"/>
      <c r="T49" s="37">
        <v>8891</v>
      </c>
      <c r="U49" s="37">
        <v>9133</v>
      </c>
      <c r="V49" s="37">
        <v>9451</v>
      </c>
      <c r="W49" s="37">
        <v>10406</v>
      </c>
      <c r="X49" s="37">
        <v>10816</v>
      </c>
      <c r="Y49" s="37">
        <v>12212</v>
      </c>
      <c r="Z49" s="37">
        <v>13400</v>
      </c>
      <c r="AA49" s="37">
        <v>15901</v>
      </c>
      <c r="AB49" s="1"/>
      <c r="AC49" s="37">
        <f t="shared" si="18"/>
        <v>15901</v>
      </c>
      <c r="AD49" s="1"/>
      <c r="AE49" s="1"/>
    </row>
    <row r="50" spans="1:31" x14ac:dyDescent="0.2">
      <c r="B50" s="1"/>
    </row>
    <row r="51" spans="1:31" s="15" customFormat="1" ht="17" thickBot="1" x14ac:dyDescent="0.25">
      <c r="A51" s="11"/>
      <c r="B51" s="14" t="s">
        <v>53</v>
      </c>
      <c r="R51" s="1"/>
      <c r="S51" s="1"/>
      <c r="AB51" s="1"/>
      <c r="AD51" s="1"/>
      <c r="AE51" s="1"/>
    </row>
    <row r="52" spans="1:31" x14ac:dyDescent="0.2">
      <c r="B52" s="20" t="s">
        <v>54</v>
      </c>
      <c r="C52" s="62"/>
      <c r="D52" s="62"/>
      <c r="E52" s="62"/>
      <c r="F52" s="62"/>
      <c r="G52" s="62"/>
      <c r="H52" s="62"/>
      <c r="I52" s="62"/>
      <c r="J52" s="62"/>
      <c r="K52" s="62"/>
      <c r="L52" s="62"/>
      <c r="M52" s="21">
        <v>229</v>
      </c>
      <c r="N52" s="21">
        <v>302</v>
      </c>
      <c r="O52" s="21">
        <f>74+197</f>
        <v>271</v>
      </c>
      <c r="P52" s="21">
        <f>82+195</f>
        <v>277</v>
      </c>
      <c r="Q52" s="21">
        <f>97+212</f>
        <v>309</v>
      </c>
      <c r="T52" s="62">
        <f>21+48</f>
        <v>69</v>
      </c>
      <c r="U52" s="21">
        <f>21+50</f>
        <v>71</v>
      </c>
      <c r="V52" s="21">
        <f>23+49</f>
        <v>72</v>
      </c>
      <c r="W52" s="21">
        <f>24+50</f>
        <v>74</v>
      </c>
      <c r="X52" s="21">
        <f>25+51</f>
        <v>76</v>
      </c>
      <c r="Y52" s="21">
        <f>26+62</f>
        <v>88</v>
      </c>
      <c r="Z52" s="21">
        <f>28+80</f>
        <v>108</v>
      </c>
      <c r="AA52" s="21">
        <f>39+76</f>
        <v>115</v>
      </c>
      <c r="AC52" s="62">
        <f>SUM(X52:AA52)</f>
        <v>387</v>
      </c>
    </row>
    <row r="53" spans="1:31" x14ac:dyDescent="0.2">
      <c r="B53" s="23" t="s">
        <v>55</v>
      </c>
      <c r="C53" s="62"/>
      <c r="D53" s="62"/>
      <c r="E53" s="62"/>
      <c r="F53" s="62"/>
      <c r="G53" s="62"/>
      <c r="H53" s="62"/>
      <c r="I53" s="62"/>
      <c r="J53" s="62"/>
      <c r="K53" s="62"/>
      <c r="L53" s="62"/>
      <c r="M53" s="21">
        <v>23</v>
      </c>
      <c r="N53" s="21">
        <v>25</v>
      </c>
      <c r="O53" s="21">
        <v>25</v>
      </c>
      <c r="P53" s="21">
        <v>35</v>
      </c>
      <c r="Q53" s="21">
        <v>46</v>
      </c>
      <c r="T53" s="62">
        <v>8</v>
      </c>
      <c r="U53" s="21">
        <v>9</v>
      </c>
      <c r="V53" s="21">
        <v>11</v>
      </c>
      <c r="W53" s="21">
        <v>13</v>
      </c>
      <c r="X53" s="21">
        <v>14</v>
      </c>
      <c r="Y53" s="21">
        <v>7</v>
      </c>
      <c r="Z53" s="21">
        <v>17</v>
      </c>
      <c r="AA53" s="21">
        <v>14</v>
      </c>
      <c r="AC53" s="62">
        <f t="shared" ref="AC53:AC57" si="25">SUM(X53:AA53)</f>
        <v>52</v>
      </c>
    </row>
    <row r="54" spans="1:31" x14ac:dyDescent="0.2">
      <c r="B54" s="23" t="s">
        <v>92</v>
      </c>
      <c r="C54" s="62"/>
      <c r="D54" s="62"/>
      <c r="E54" s="62"/>
      <c r="F54" s="62"/>
      <c r="G54" s="62"/>
      <c r="H54" s="62"/>
      <c r="I54" s="62"/>
      <c r="J54" s="62"/>
      <c r="K54" s="62"/>
      <c r="L54" s="62"/>
      <c r="M54" s="62">
        <v>-117</v>
      </c>
      <c r="N54" s="62">
        <v>-376</v>
      </c>
      <c r="O54" s="62">
        <v>-277</v>
      </c>
      <c r="P54" s="62">
        <v>-280</v>
      </c>
      <c r="Q54" s="62">
        <v>-548</v>
      </c>
      <c r="T54" s="62">
        <v>-75</v>
      </c>
      <c r="U54" s="62">
        <v>-90</v>
      </c>
      <c r="V54" s="62">
        <v>82</v>
      </c>
      <c r="W54" s="62">
        <v>-462</v>
      </c>
      <c r="X54" s="62">
        <v>41</v>
      </c>
      <c r="Y54" s="62">
        <v>-208</v>
      </c>
      <c r="Z54" s="62">
        <v>-58</v>
      </c>
      <c r="AA54" s="62">
        <v>-587</v>
      </c>
      <c r="AC54" s="62">
        <f t="shared" si="25"/>
        <v>-812</v>
      </c>
    </row>
    <row r="55" spans="1:31" x14ac:dyDescent="0.2">
      <c r="B55" s="23" t="s">
        <v>141</v>
      </c>
      <c r="C55" s="62"/>
      <c r="D55" s="62"/>
      <c r="E55" s="62"/>
      <c r="F55" s="62"/>
      <c r="G55" s="62"/>
      <c r="H55" s="62"/>
      <c r="I55" s="62"/>
      <c r="J55" s="62"/>
      <c r="K55" s="62"/>
      <c r="L55" s="62"/>
      <c r="M55" s="62">
        <v>-126</v>
      </c>
      <c r="N55" s="62">
        <v>-211</v>
      </c>
      <c r="O55" s="62">
        <v>-54</v>
      </c>
      <c r="P55" s="62">
        <v>-369</v>
      </c>
      <c r="Q55" s="62">
        <v>-165</v>
      </c>
      <c r="T55" s="62">
        <v>-141</v>
      </c>
      <c r="U55" s="62">
        <v>-5</v>
      </c>
      <c r="V55" s="62">
        <v>-129</v>
      </c>
      <c r="W55" s="62">
        <v>-9</v>
      </c>
      <c r="X55" s="62">
        <v>-6</v>
      </c>
      <c r="Y55" s="62">
        <v>-22</v>
      </c>
      <c r="Z55" s="62">
        <v>-384</v>
      </c>
      <c r="AA55" s="62">
        <v>-664</v>
      </c>
      <c r="AC55" s="62">
        <f>SUM(X55:AA55)</f>
        <v>-1076</v>
      </c>
    </row>
    <row r="56" spans="1:31" x14ac:dyDescent="0.2">
      <c r="B56" s="23" t="s">
        <v>93</v>
      </c>
      <c r="C56" s="62"/>
      <c r="D56" s="62"/>
      <c r="E56" s="62"/>
      <c r="F56" s="62"/>
      <c r="G56" s="62"/>
      <c r="H56" s="62"/>
      <c r="I56" s="62"/>
      <c r="J56" s="62"/>
      <c r="K56" s="62"/>
      <c r="L56" s="62"/>
      <c r="M56" s="62">
        <v>105</v>
      </c>
      <c r="N56" s="62">
        <v>133</v>
      </c>
      <c r="O56" s="62">
        <v>-18</v>
      </c>
      <c r="P56" s="62">
        <v>343</v>
      </c>
      <c r="Q56" s="62">
        <v>381</v>
      </c>
      <c r="T56" s="62">
        <v>129</v>
      </c>
      <c r="U56" s="62">
        <v>84</v>
      </c>
      <c r="V56" s="62">
        <v>87</v>
      </c>
      <c r="W56" s="62">
        <v>183</v>
      </c>
      <c r="X56" s="62">
        <v>93</v>
      </c>
      <c r="Y56" s="62">
        <v>19</v>
      </c>
      <c r="Z56" s="62">
        <v>203</v>
      </c>
      <c r="AA56" s="62">
        <v>483</v>
      </c>
      <c r="AC56" s="62">
        <f t="shared" si="25"/>
        <v>798</v>
      </c>
    </row>
    <row r="57" spans="1:31" x14ac:dyDescent="0.2">
      <c r="B57" s="23" t="s">
        <v>94</v>
      </c>
      <c r="C57" s="62"/>
      <c r="D57" s="62"/>
      <c r="E57" s="62"/>
      <c r="F57" s="62"/>
      <c r="G57" s="62"/>
      <c r="H57" s="62"/>
      <c r="I57" s="62"/>
      <c r="J57" s="62"/>
      <c r="K57" s="62"/>
      <c r="L57" s="62"/>
      <c r="M57" s="62">
        <f>2+12-9</f>
        <v>5</v>
      </c>
      <c r="N57" s="62">
        <f>-29+46-12</f>
        <v>5</v>
      </c>
      <c r="O57" s="62">
        <f>5+274+92+45</f>
        <v>416</v>
      </c>
      <c r="P57" s="62">
        <f>-64+435+7+43</f>
        <v>421</v>
      </c>
      <c r="Q57" s="62">
        <f>-73+718+93-67</f>
        <v>671</v>
      </c>
      <c r="T57" s="62">
        <f>-16+117+26+34</f>
        <v>161</v>
      </c>
      <c r="U57" s="62">
        <f>-17+63-10+19</f>
        <v>55</v>
      </c>
      <c r="V57" s="62">
        <f>-30+23-80+41</f>
        <v>-46</v>
      </c>
      <c r="W57" s="62">
        <f>6+148+36+8</f>
        <v>198</v>
      </c>
      <c r="X57" s="62">
        <f>-17-122+89-123</f>
        <v>-173</v>
      </c>
      <c r="Y57" s="62">
        <f>-32+668+74+6</f>
        <v>716</v>
      </c>
      <c r="Z57" s="62">
        <f>-89+651-95</f>
        <v>467</v>
      </c>
      <c r="AA57" s="62">
        <f>-57+1172+118-14</f>
        <v>1219</v>
      </c>
      <c r="AC57" s="62">
        <f t="shared" si="25"/>
        <v>2229</v>
      </c>
    </row>
    <row r="58" spans="1:31" s="19" customFormat="1" x14ac:dyDescent="0.2">
      <c r="A58" s="16"/>
      <c r="B58" s="17" t="s">
        <v>56</v>
      </c>
      <c r="C58" s="61"/>
      <c r="D58" s="61"/>
      <c r="E58" s="61"/>
      <c r="F58" s="61"/>
      <c r="G58" s="61"/>
      <c r="H58" s="61"/>
      <c r="I58" s="61"/>
      <c r="J58" s="61"/>
      <c r="K58" s="61"/>
      <c r="L58" s="61"/>
      <c r="M58" s="18">
        <v>211</v>
      </c>
      <c r="N58" s="61">
        <v>-153</v>
      </c>
      <c r="O58" s="18">
        <v>901</v>
      </c>
      <c r="P58" s="18">
        <v>1319</v>
      </c>
      <c r="Q58" s="18">
        <v>2114</v>
      </c>
      <c r="R58" s="1"/>
      <c r="S58" s="1"/>
      <c r="T58" s="61">
        <v>375</v>
      </c>
      <c r="U58" s="61">
        <v>425</v>
      </c>
      <c r="V58" s="61">
        <v>303</v>
      </c>
      <c r="W58" s="61">
        <v>323</v>
      </c>
      <c r="X58" s="61">
        <v>509</v>
      </c>
      <c r="Y58" s="61">
        <v>1005</v>
      </c>
      <c r="Z58" s="61">
        <v>766</v>
      </c>
      <c r="AA58" s="61">
        <v>1100</v>
      </c>
      <c r="AB58" s="1"/>
      <c r="AC58" s="61">
        <f>SUM(X58:AA58)</f>
        <v>3380</v>
      </c>
      <c r="AD58" s="1"/>
      <c r="AE58" s="1"/>
    </row>
    <row r="59" spans="1:31" x14ac:dyDescent="0.2">
      <c r="B59" s="20" t="s">
        <v>57</v>
      </c>
      <c r="C59" s="62"/>
      <c r="D59" s="62"/>
      <c r="E59" s="62"/>
      <c r="F59" s="62"/>
      <c r="G59" s="62"/>
      <c r="H59" s="62"/>
      <c r="I59" s="62"/>
      <c r="J59" s="62"/>
      <c r="K59" s="62"/>
      <c r="L59" s="62"/>
      <c r="M59" s="62">
        <v>-73</v>
      </c>
      <c r="N59" s="62">
        <v>-100</v>
      </c>
      <c r="O59" s="62">
        <v>-128</v>
      </c>
      <c r="P59" s="62">
        <v>-167</v>
      </c>
      <c r="Q59" s="62">
        <v>-220</v>
      </c>
      <c r="T59" s="62">
        <v>-36</v>
      </c>
      <c r="U59" s="62">
        <v>-61</v>
      </c>
      <c r="V59" s="62">
        <v>-37</v>
      </c>
      <c r="W59" s="62">
        <v>-45</v>
      </c>
      <c r="X59" s="62">
        <v>-45</v>
      </c>
      <c r="Y59" s="62">
        <v>-93</v>
      </c>
      <c r="Z59" s="62">
        <v>-113</v>
      </c>
      <c r="AA59" s="62">
        <v>-173</v>
      </c>
      <c r="AC59" s="62">
        <f>SUM(X59:AA59)</f>
        <v>-424</v>
      </c>
    </row>
    <row r="60" spans="1:31" x14ac:dyDescent="0.2">
      <c r="B60" s="20" t="s">
        <v>95</v>
      </c>
      <c r="C60" s="62"/>
      <c r="D60" s="62"/>
      <c r="E60" s="62"/>
      <c r="F60" s="62"/>
      <c r="G60" s="62"/>
      <c r="H60" s="62"/>
      <c r="I60" s="62"/>
      <c r="J60" s="62"/>
      <c r="K60" s="62"/>
      <c r="L60" s="62"/>
      <c r="M60" s="62">
        <v>-11</v>
      </c>
      <c r="N60" s="62">
        <v>-11</v>
      </c>
      <c r="O60" s="62">
        <v>-7</v>
      </c>
      <c r="P60" s="62">
        <v>-17</v>
      </c>
      <c r="Q60" s="62">
        <v>-6</v>
      </c>
      <c r="T60" s="62">
        <v>-3</v>
      </c>
      <c r="U60" s="62">
        <v>-3</v>
      </c>
      <c r="V60" s="62">
        <v>-2</v>
      </c>
      <c r="W60" s="62">
        <v>-1</v>
      </c>
      <c r="X60" s="62">
        <v>-2</v>
      </c>
      <c r="Y60" s="62">
        <v>-2</v>
      </c>
      <c r="Z60" s="62">
        <v>-1</v>
      </c>
      <c r="AA60" s="62">
        <v>-1</v>
      </c>
      <c r="AC60" s="62">
        <f t="shared" ref="AC60:AC65" si="26">SUM(X60:AA60)</f>
        <v>-6</v>
      </c>
    </row>
    <row r="61" spans="1:31" s="19" customFormat="1" x14ac:dyDescent="0.2">
      <c r="A61" s="16"/>
      <c r="B61" s="17" t="s">
        <v>58</v>
      </c>
      <c r="C61" s="61"/>
      <c r="D61" s="61"/>
      <c r="E61" s="61"/>
      <c r="F61" s="61"/>
      <c r="G61" s="61"/>
      <c r="H61" s="61"/>
      <c r="I61" s="61"/>
      <c r="J61" s="61"/>
      <c r="K61" s="61"/>
      <c r="L61" s="61"/>
      <c r="M61" s="61">
        <v>-1217</v>
      </c>
      <c r="N61" s="61">
        <v>-112</v>
      </c>
      <c r="O61" s="61">
        <v>-139</v>
      </c>
      <c r="P61" s="61">
        <v>-202</v>
      </c>
      <c r="Q61" s="61">
        <v>-1501</v>
      </c>
      <c r="R61" s="1"/>
      <c r="S61" s="1"/>
      <c r="T61" s="61">
        <v>-39</v>
      </c>
      <c r="U61" s="61">
        <v>-81</v>
      </c>
      <c r="V61" s="61">
        <v>-39</v>
      </c>
      <c r="W61" s="61">
        <v>-144</v>
      </c>
      <c r="X61" s="61">
        <v>-710</v>
      </c>
      <c r="Y61" s="61">
        <v>-634</v>
      </c>
      <c r="Z61" s="61">
        <v>-377</v>
      </c>
      <c r="AA61" s="61">
        <v>-404</v>
      </c>
      <c r="AB61" s="1"/>
      <c r="AC61" s="61">
        <f t="shared" si="26"/>
        <v>-2125</v>
      </c>
      <c r="AD61" s="1"/>
      <c r="AE61" s="1"/>
    </row>
    <row r="62" spans="1:31" x14ac:dyDescent="0.2">
      <c r="B62" s="20" t="s">
        <v>59</v>
      </c>
      <c r="C62" s="62"/>
      <c r="D62" s="62"/>
      <c r="E62" s="62"/>
      <c r="F62" s="62"/>
      <c r="G62" s="62"/>
      <c r="H62" s="62"/>
      <c r="I62" s="62"/>
      <c r="J62" s="62"/>
      <c r="K62" s="62"/>
      <c r="L62" s="62"/>
      <c r="M62" s="62">
        <v>0</v>
      </c>
      <c r="N62" s="62">
        <v>0</v>
      </c>
      <c r="O62" s="62">
        <v>0</v>
      </c>
      <c r="P62" s="62">
        <v>-600</v>
      </c>
      <c r="Q62" s="62">
        <v>0</v>
      </c>
      <c r="T62" s="62">
        <v>0</v>
      </c>
      <c r="U62" s="62">
        <v>0</v>
      </c>
      <c r="V62" s="62">
        <v>0</v>
      </c>
      <c r="W62" s="62">
        <v>0</v>
      </c>
      <c r="X62" s="62">
        <v>0</v>
      </c>
      <c r="Y62" s="62">
        <v>0</v>
      </c>
      <c r="Z62" s="62">
        <v>0</v>
      </c>
      <c r="AA62" s="62">
        <v>0</v>
      </c>
      <c r="AC62" s="62">
        <f t="shared" si="26"/>
        <v>0</v>
      </c>
    </row>
    <row r="63" spans="1:31" x14ac:dyDescent="0.2">
      <c r="B63" s="20" t="s">
        <v>277</v>
      </c>
      <c r="C63" s="62"/>
      <c r="D63" s="62"/>
      <c r="E63" s="62"/>
      <c r="F63" s="62"/>
      <c r="G63" s="62"/>
      <c r="H63" s="62"/>
      <c r="I63" s="62"/>
      <c r="J63" s="62"/>
      <c r="K63" s="62"/>
      <c r="L63" s="62"/>
      <c r="M63" s="62">
        <v>-4</v>
      </c>
      <c r="N63" s="62">
        <v>-4</v>
      </c>
      <c r="O63" s="62">
        <v>-10</v>
      </c>
      <c r="P63" s="62">
        <v>-42</v>
      </c>
      <c r="Q63" s="62">
        <v>-67</v>
      </c>
      <c r="T63" s="62">
        <v>-9</v>
      </c>
      <c r="U63" s="62">
        <v>-14</v>
      </c>
      <c r="V63" s="62">
        <v>-14</v>
      </c>
      <c r="W63" s="62">
        <v>-14</v>
      </c>
      <c r="X63" s="62">
        <v>-14</v>
      </c>
      <c r="Y63" s="62">
        <v>-24</v>
      </c>
      <c r="Z63" s="62">
        <v>-24</v>
      </c>
      <c r="AA63" s="62">
        <v>-24</v>
      </c>
      <c r="AC63" s="62">
        <f>SUM(X63:AA63)</f>
        <v>-86</v>
      </c>
    </row>
    <row r="64" spans="1:31" x14ac:dyDescent="0.2">
      <c r="B64" s="20" t="s">
        <v>322</v>
      </c>
      <c r="C64" s="62"/>
      <c r="D64" s="62"/>
      <c r="E64" s="62"/>
      <c r="F64" s="62"/>
      <c r="G64" s="62"/>
      <c r="H64" s="62"/>
      <c r="I64" s="62"/>
      <c r="J64" s="62"/>
      <c r="K64" s="62"/>
      <c r="L64" s="62"/>
      <c r="M64" s="62">
        <v>0</v>
      </c>
      <c r="N64" s="62">
        <v>0</v>
      </c>
      <c r="O64" s="62">
        <v>0</v>
      </c>
      <c r="P64" s="62">
        <v>0</v>
      </c>
      <c r="Q64" s="62">
        <v>0</v>
      </c>
      <c r="T64" s="62">
        <v>0</v>
      </c>
      <c r="U64" s="62">
        <v>0</v>
      </c>
      <c r="V64" s="62">
        <v>0</v>
      </c>
      <c r="W64" s="62">
        <v>0</v>
      </c>
      <c r="X64" s="62">
        <v>0</v>
      </c>
      <c r="Y64" s="62">
        <v>0</v>
      </c>
      <c r="Z64" s="62">
        <v>0</v>
      </c>
      <c r="AA64" s="62">
        <v>0</v>
      </c>
      <c r="AC64" s="62">
        <f>SUM(X64:AA64)</f>
        <v>0</v>
      </c>
    </row>
    <row r="65" spans="1:31" s="19" customFormat="1" ht="17" thickBot="1" x14ac:dyDescent="0.25">
      <c r="A65" s="16"/>
      <c r="B65" s="36" t="s">
        <v>60</v>
      </c>
      <c r="C65" s="71"/>
      <c r="D65" s="71"/>
      <c r="E65" s="71"/>
      <c r="F65" s="71"/>
      <c r="G65" s="71"/>
      <c r="H65" s="71"/>
      <c r="I65" s="71"/>
      <c r="J65" s="71"/>
      <c r="K65" s="71"/>
      <c r="L65" s="71"/>
      <c r="M65" s="71">
        <v>915</v>
      </c>
      <c r="N65" s="71">
        <v>100</v>
      </c>
      <c r="O65" s="71">
        <v>-248</v>
      </c>
      <c r="P65" s="71">
        <v>-652</v>
      </c>
      <c r="Q65" s="71">
        <v>-72</v>
      </c>
      <c r="R65" s="1"/>
      <c r="S65" s="1"/>
      <c r="T65" s="71">
        <v>-14</v>
      </c>
      <c r="U65" s="71">
        <v>-12</v>
      </c>
      <c r="V65" s="71">
        <v>-25</v>
      </c>
      <c r="W65" s="71">
        <v>-8</v>
      </c>
      <c r="X65" s="71">
        <v>-11</v>
      </c>
      <c r="Y65" s="71">
        <v>-28</v>
      </c>
      <c r="Z65" s="71">
        <v>12</v>
      </c>
      <c r="AA65" s="71">
        <v>-15</v>
      </c>
      <c r="AB65" s="1"/>
      <c r="AC65" s="71">
        <f t="shared" si="26"/>
        <v>-42</v>
      </c>
      <c r="AD65" s="1"/>
      <c r="AE65" s="1"/>
    </row>
    <row r="66" spans="1:31" x14ac:dyDescent="0.2">
      <c r="B66" s="1"/>
    </row>
    <row r="67" spans="1:31" s="15" customFormat="1" ht="17" thickBot="1" x14ac:dyDescent="0.25">
      <c r="A67" s="11"/>
      <c r="B67" s="14" t="s">
        <v>61</v>
      </c>
      <c r="R67" s="1"/>
      <c r="S67" s="1"/>
      <c r="AB67" s="1"/>
      <c r="AD67" s="1"/>
      <c r="AE67" s="1"/>
    </row>
    <row r="68" spans="1:31" x14ac:dyDescent="0.2">
      <c r="B68" s="20" t="s">
        <v>62</v>
      </c>
      <c r="C68" s="64">
        <f t="shared" ref="C68:Q68" si="27">C5-C6-C10+C12+C13+C15-C16</f>
        <v>0</v>
      </c>
      <c r="D68" s="64">
        <f t="shared" si="27"/>
        <v>0</v>
      </c>
      <c r="E68" s="64">
        <f t="shared" si="27"/>
        <v>0</v>
      </c>
      <c r="F68" s="64">
        <f t="shared" si="27"/>
        <v>0</v>
      </c>
      <c r="G68" s="64">
        <f t="shared" si="27"/>
        <v>0</v>
      </c>
      <c r="H68" s="64">
        <f t="shared" si="27"/>
        <v>0</v>
      </c>
      <c r="I68" s="64">
        <f t="shared" si="27"/>
        <v>0</v>
      </c>
      <c r="J68" s="64">
        <f t="shared" si="27"/>
        <v>0</v>
      </c>
      <c r="K68" s="64">
        <f t="shared" si="27"/>
        <v>0</v>
      </c>
      <c r="L68" s="64">
        <f t="shared" si="27"/>
        <v>0</v>
      </c>
      <c r="M68" s="64">
        <f t="shared" si="27"/>
        <v>32</v>
      </c>
      <c r="N68" s="64">
        <f t="shared" si="27"/>
        <v>77</v>
      </c>
      <c r="O68" s="64">
        <f t="shared" si="27"/>
        <v>460</v>
      </c>
      <c r="P68" s="64">
        <f t="shared" si="27"/>
        <v>496</v>
      </c>
      <c r="Q68" s="64">
        <f t="shared" si="27"/>
        <v>1333</v>
      </c>
      <c r="T68" s="64">
        <f t="shared" ref="T68:AA68" si="28">T5-T6-T10+T12+T13+T15-T16</f>
        <v>244</v>
      </c>
      <c r="U68" s="64">
        <f t="shared" si="28"/>
        <v>147</v>
      </c>
      <c r="V68" s="64">
        <f t="shared" si="28"/>
        <v>165</v>
      </c>
      <c r="W68" s="64">
        <f t="shared" si="28"/>
        <v>324</v>
      </c>
      <c r="X68" s="64">
        <f t="shared" si="28"/>
        <v>400</v>
      </c>
      <c r="Y68" s="64">
        <f t="shared" si="28"/>
        <v>445</v>
      </c>
      <c r="Z68" s="64">
        <f t="shared" si="28"/>
        <v>390</v>
      </c>
      <c r="AA68" s="64">
        <f t="shared" si="28"/>
        <v>494</v>
      </c>
      <c r="AC68" s="64">
        <f>AC5-AC6-AC10+AC12+AC13+AC15-AC16</f>
        <v>1729</v>
      </c>
    </row>
    <row r="69" spans="1:31" s="41" customFormat="1" x14ac:dyDescent="0.2">
      <c r="A69" s="16"/>
      <c r="B69" s="17" t="s">
        <v>63</v>
      </c>
      <c r="C69" s="40">
        <f t="shared" ref="C69:Q69" si="29">C17-C68</f>
        <v>0</v>
      </c>
      <c r="D69" s="40">
        <f t="shared" si="29"/>
        <v>0</v>
      </c>
      <c r="E69" s="40">
        <f t="shared" si="29"/>
        <v>0</v>
      </c>
      <c r="F69" s="40">
        <f t="shared" si="29"/>
        <v>0</v>
      </c>
      <c r="G69" s="40">
        <f t="shared" si="29"/>
        <v>0</v>
      </c>
      <c r="H69" s="40">
        <f t="shared" si="29"/>
        <v>0</v>
      </c>
      <c r="I69" s="40">
        <f t="shared" si="29"/>
        <v>0</v>
      </c>
      <c r="J69" s="40">
        <f t="shared" si="29"/>
        <v>0</v>
      </c>
      <c r="K69" s="40">
        <f t="shared" si="29"/>
        <v>0</v>
      </c>
      <c r="L69" s="40">
        <f t="shared" si="29"/>
        <v>0</v>
      </c>
      <c r="M69" s="40">
        <f t="shared" si="29"/>
        <v>88</v>
      </c>
      <c r="N69" s="40">
        <f t="shared" si="29"/>
        <v>0</v>
      </c>
      <c r="O69" s="40">
        <f t="shared" si="29"/>
        <v>0</v>
      </c>
      <c r="P69" s="40">
        <f t="shared" si="29"/>
        <v>0</v>
      </c>
      <c r="Q69" s="40">
        <f t="shared" si="29"/>
        <v>0</v>
      </c>
      <c r="R69" s="1"/>
      <c r="S69" s="1"/>
      <c r="T69" s="40">
        <f t="shared" ref="T69:Y69" si="30">T17-T68</f>
        <v>-67</v>
      </c>
      <c r="U69" s="40">
        <f t="shared" si="30"/>
        <v>0</v>
      </c>
      <c r="V69" s="40">
        <f t="shared" si="30"/>
        <v>0</v>
      </c>
      <c r="W69" s="40">
        <f t="shared" si="30"/>
        <v>0</v>
      </c>
      <c r="X69" s="40">
        <f t="shared" si="30"/>
        <v>-1</v>
      </c>
      <c r="Y69" s="40">
        <f t="shared" si="30"/>
        <v>1</v>
      </c>
      <c r="Z69" s="40">
        <f t="shared" ref="Z69:AA69" si="31">Z17-Z68</f>
        <v>0</v>
      </c>
      <c r="AA69" s="40">
        <f t="shared" si="31"/>
        <v>4</v>
      </c>
      <c r="AB69" s="16"/>
      <c r="AC69" s="40">
        <f>AC17-AC68</f>
        <v>4</v>
      </c>
      <c r="AD69" s="1"/>
      <c r="AE69" s="1"/>
    </row>
    <row r="70" spans="1:31" s="41" customFormat="1" x14ac:dyDescent="0.2">
      <c r="A70" s="16"/>
      <c r="B70" s="17" t="s">
        <v>64</v>
      </c>
      <c r="C70" s="42">
        <f t="shared" ref="C70:Q70" si="32">C36-(C42+C110)</f>
        <v>0</v>
      </c>
      <c r="D70" s="42">
        <f t="shared" si="32"/>
        <v>0</v>
      </c>
      <c r="E70" s="42">
        <f t="shared" si="32"/>
        <v>0</v>
      </c>
      <c r="F70" s="42">
        <f t="shared" si="32"/>
        <v>0</v>
      </c>
      <c r="G70" s="42">
        <f t="shared" si="32"/>
        <v>0</v>
      </c>
      <c r="H70" s="42">
        <f t="shared" si="32"/>
        <v>0</v>
      </c>
      <c r="I70" s="42">
        <f t="shared" si="32"/>
        <v>0</v>
      </c>
      <c r="J70" s="42">
        <f t="shared" si="32"/>
        <v>0</v>
      </c>
      <c r="K70" s="42">
        <f t="shared" si="32"/>
        <v>0</v>
      </c>
      <c r="L70" s="42">
        <f t="shared" si="32"/>
        <v>0</v>
      </c>
      <c r="M70" s="42">
        <f t="shared" si="32"/>
        <v>0</v>
      </c>
      <c r="N70" s="42">
        <f t="shared" si="32"/>
        <v>0</v>
      </c>
      <c r="O70" s="42">
        <f t="shared" si="32"/>
        <v>0</v>
      </c>
      <c r="P70" s="42">
        <f t="shared" si="32"/>
        <v>1</v>
      </c>
      <c r="Q70" s="42">
        <f t="shared" si="32"/>
        <v>0</v>
      </c>
      <c r="R70" s="1"/>
      <c r="S70" s="1"/>
      <c r="T70" s="42">
        <f t="shared" ref="T70:Z70" si="33">T36-(T42+T110)</f>
        <v>-1</v>
      </c>
      <c r="U70" s="42">
        <f t="shared" si="33"/>
        <v>1</v>
      </c>
      <c r="V70" s="42">
        <f t="shared" si="33"/>
        <v>0</v>
      </c>
      <c r="W70" s="42">
        <f t="shared" si="33"/>
        <v>0</v>
      </c>
      <c r="X70" s="42">
        <f t="shared" si="33"/>
        <v>-1</v>
      </c>
      <c r="Y70" s="42">
        <f t="shared" si="33"/>
        <v>0</v>
      </c>
      <c r="Z70" s="42">
        <f t="shared" si="33"/>
        <v>0</v>
      </c>
      <c r="AA70" s="42">
        <f t="shared" ref="AA70" si="34">AA36-(AA42+AA110)</f>
        <v>0</v>
      </c>
      <c r="AB70" s="16"/>
      <c r="AC70" s="42">
        <f>AC36-(AC42+AC110)</f>
        <v>0</v>
      </c>
      <c r="AD70" s="1"/>
      <c r="AE70" s="1"/>
    </row>
    <row r="71" spans="1:31" x14ac:dyDescent="0.2">
      <c r="B71" s="39"/>
      <c r="J71" s="39"/>
      <c r="K71" s="39"/>
      <c r="L71" s="39"/>
      <c r="M71" s="39"/>
      <c r="N71" s="39"/>
      <c r="O71" s="39"/>
      <c r="P71" s="39"/>
    </row>
    <row r="72" spans="1:31" s="15" customFormat="1" ht="17" thickBot="1" x14ac:dyDescent="0.25">
      <c r="A72" s="11"/>
      <c r="B72" s="14" t="s">
        <v>65</v>
      </c>
      <c r="R72" s="1"/>
      <c r="S72" s="1"/>
      <c r="AB72" s="1"/>
      <c r="AD72" s="1"/>
      <c r="AE72" s="1"/>
    </row>
    <row r="73" spans="1:31" x14ac:dyDescent="0.2">
      <c r="B73" s="20" t="s">
        <v>66</v>
      </c>
      <c r="C73" s="43"/>
      <c r="D73" s="43"/>
      <c r="E73" s="43"/>
      <c r="F73" s="43"/>
      <c r="G73" s="43"/>
      <c r="H73" s="43"/>
      <c r="I73" s="43"/>
      <c r="J73" s="21"/>
      <c r="K73" s="21"/>
      <c r="L73" s="21"/>
      <c r="M73" s="43">
        <v>376</v>
      </c>
      <c r="N73" s="43">
        <v>378</v>
      </c>
      <c r="O73" s="21">
        <v>382</v>
      </c>
      <c r="P73" s="21">
        <v>381</v>
      </c>
      <c r="Q73" s="21">
        <v>383</v>
      </c>
      <c r="T73" s="21">
        <v>375</v>
      </c>
      <c r="U73" s="21">
        <v>381</v>
      </c>
      <c r="V73" s="21">
        <v>381</v>
      </c>
      <c r="W73" s="21">
        <v>382</v>
      </c>
      <c r="X73" s="21">
        <v>382</v>
      </c>
      <c r="Y73" s="21">
        <v>383</v>
      </c>
      <c r="Z73" s="21">
        <v>384</v>
      </c>
      <c r="AA73" s="21">
        <v>385</v>
      </c>
      <c r="AC73" s="24">
        <f>AA73</f>
        <v>385</v>
      </c>
    </row>
    <row r="74" spans="1:31" x14ac:dyDescent="0.2">
      <c r="B74" s="20" t="s">
        <v>67</v>
      </c>
      <c r="C74" s="25"/>
      <c r="D74" s="25"/>
      <c r="E74" s="25"/>
      <c r="F74" s="25"/>
      <c r="G74" s="25"/>
      <c r="H74" s="25"/>
      <c r="I74" s="25"/>
      <c r="J74" s="25"/>
      <c r="K74" s="25"/>
      <c r="L74" s="25"/>
      <c r="M74" s="25">
        <f t="shared" ref="M74:Q74" si="35">M73*M84</f>
        <v>376</v>
      </c>
      <c r="N74" s="25">
        <f t="shared" si="35"/>
        <v>378</v>
      </c>
      <c r="O74" s="25">
        <f t="shared" si="35"/>
        <v>382</v>
      </c>
      <c r="P74" s="25">
        <f t="shared" si="35"/>
        <v>381</v>
      </c>
      <c r="Q74" s="25">
        <f t="shared" si="35"/>
        <v>383</v>
      </c>
      <c r="T74" s="25">
        <f t="shared" ref="T74" si="36">T73*T84</f>
        <v>375</v>
      </c>
      <c r="U74" s="25">
        <f t="shared" ref="U74" si="37">U73*U84</f>
        <v>381</v>
      </c>
      <c r="V74" s="25">
        <f t="shared" ref="V74" si="38">V73*V84</f>
        <v>381</v>
      </c>
      <c r="W74" s="25">
        <f t="shared" ref="W74" si="39">W73*W84</f>
        <v>382</v>
      </c>
      <c r="X74" s="25">
        <f t="shared" ref="X74:Z74" si="40">X73*X84</f>
        <v>382</v>
      </c>
      <c r="Y74" s="25">
        <f t="shared" si="40"/>
        <v>383</v>
      </c>
      <c r="Z74" s="25">
        <f t="shared" si="40"/>
        <v>384</v>
      </c>
      <c r="AA74" s="25">
        <f t="shared" ref="AA74" si="41">AA73*AA84</f>
        <v>385</v>
      </c>
      <c r="AC74" s="24">
        <f>AA74</f>
        <v>385</v>
      </c>
    </row>
    <row r="75" spans="1:31" x14ac:dyDescent="0.2">
      <c r="B75" s="20" t="s">
        <v>227</v>
      </c>
      <c r="C75" s="25"/>
      <c r="D75" s="25"/>
      <c r="E75" s="25"/>
      <c r="F75" s="25"/>
      <c r="G75" s="25"/>
      <c r="H75" s="25"/>
      <c r="I75" s="25"/>
      <c r="J75" s="25"/>
      <c r="K75" s="25"/>
      <c r="L75" s="25"/>
      <c r="M75" s="21">
        <v>5</v>
      </c>
      <c r="N75" s="21">
        <v>1</v>
      </c>
      <c r="O75" s="21">
        <v>6</v>
      </c>
      <c r="P75" s="21">
        <v>10</v>
      </c>
      <c r="Q75" s="21">
        <v>9</v>
      </c>
      <c r="T75" s="21">
        <v>9</v>
      </c>
      <c r="U75" s="21">
        <v>10</v>
      </c>
      <c r="V75" s="21">
        <v>9</v>
      </c>
      <c r="W75" s="21">
        <v>8</v>
      </c>
      <c r="X75" s="21">
        <v>9</v>
      </c>
      <c r="Y75" s="21">
        <v>9</v>
      </c>
      <c r="Z75" s="21">
        <v>9</v>
      </c>
      <c r="AA75" s="21">
        <v>8</v>
      </c>
      <c r="AC75" s="21">
        <f>AA75</f>
        <v>8</v>
      </c>
    </row>
    <row r="76" spans="1:31" x14ac:dyDescent="0.2">
      <c r="B76" s="20" t="s">
        <v>228</v>
      </c>
      <c r="C76" s="25"/>
      <c r="D76" s="25"/>
      <c r="E76" s="25"/>
      <c r="F76" s="25"/>
      <c r="G76" s="25"/>
      <c r="H76" s="25"/>
      <c r="I76" s="25"/>
      <c r="J76" s="25"/>
      <c r="K76" s="25"/>
      <c r="L76" s="25"/>
      <c r="M76" s="25">
        <f t="shared" ref="M76:P76" si="42">M75*M84</f>
        <v>5</v>
      </c>
      <c r="N76" s="25">
        <f t="shared" si="42"/>
        <v>1</v>
      </c>
      <c r="O76" s="25">
        <f t="shared" si="42"/>
        <v>6</v>
      </c>
      <c r="P76" s="25">
        <f t="shared" si="42"/>
        <v>10</v>
      </c>
      <c r="Q76" s="25">
        <f>Q75*Q84</f>
        <v>9</v>
      </c>
      <c r="T76" s="25">
        <f t="shared" ref="T76:Y76" si="43">T75*T84</f>
        <v>9</v>
      </c>
      <c r="U76" s="25">
        <f t="shared" si="43"/>
        <v>10</v>
      </c>
      <c r="V76" s="25">
        <f t="shared" si="43"/>
        <v>9</v>
      </c>
      <c r="W76" s="25">
        <f t="shared" si="43"/>
        <v>8</v>
      </c>
      <c r="X76" s="25">
        <f t="shared" si="43"/>
        <v>9</v>
      </c>
      <c r="Y76" s="25">
        <f t="shared" si="43"/>
        <v>9</v>
      </c>
      <c r="Z76" s="25">
        <f t="shared" ref="Z76:AA76" si="44">Z75*Z84</f>
        <v>9</v>
      </c>
      <c r="AA76" s="25">
        <f t="shared" si="44"/>
        <v>8</v>
      </c>
      <c r="AC76" s="24">
        <f>AA76</f>
        <v>8</v>
      </c>
    </row>
    <row r="77" spans="1:31" x14ac:dyDescent="0.2">
      <c r="B77" s="20" t="s">
        <v>229</v>
      </c>
      <c r="C77" s="25"/>
      <c r="D77" s="25"/>
      <c r="E77" s="25"/>
      <c r="F77" s="25"/>
      <c r="G77" s="25"/>
      <c r="H77" s="25"/>
      <c r="I77" s="25"/>
      <c r="J77" s="25"/>
      <c r="K77" s="25"/>
      <c r="L77" s="25"/>
      <c r="M77" s="25">
        <f t="shared" ref="M77:P77" si="45">M74+M76</f>
        <v>381</v>
      </c>
      <c r="N77" s="25">
        <f t="shared" si="45"/>
        <v>379</v>
      </c>
      <c r="O77" s="25">
        <f t="shared" si="45"/>
        <v>388</v>
      </c>
      <c r="P77" s="25">
        <f t="shared" si="45"/>
        <v>391</v>
      </c>
      <c r="Q77" s="25">
        <f>Q74+Q76</f>
        <v>392</v>
      </c>
      <c r="T77" s="25">
        <f t="shared" ref="T77:Y77" si="46">T74+T76</f>
        <v>384</v>
      </c>
      <c r="U77" s="25">
        <f t="shared" si="46"/>
        <v>391</v>
      </c>
      <c r="V77" s="25">
        <f t="shared" si="46"/>
        <v>390</v>
      </c>
      <c r="W77" s="25">
        <f t="shared" si="46"/>
        <v>390</v>
      </c>
      <c r="X77" s="25">
        <f t="shared" si="46"/>
        <v>391</v>
      </c>
      <c r="Y77" s="25">
        <f t="shared" si="46"/>
        <v>392</v>
      </c>
      <c r="Z77" s="25">
        <f t="shared" ref="Z77:AA77" si="47">Z74+Z76</f>
        <v>393</v>
      </c>
      <c r="AA77" s="25">
        <f t="shared" si="47"/>
        <v>393</v>
      </c>
      <c r="AC77" s="24">
        <f>AA77</f>
        <v>393</v>
      </c>
    </row>
    <row r="78" spans="1:31" x14ac:dyDescent="0.2">
      <c r="B78" s="20" t="s">
        <v>268</v>
      </c>
      <c r="C78" s="25"/>
      <c r="D78" s="25"/>
      <c r="E78" s="25"/>
      <c r="F78" s="25"/>
      <c r="G78" s="25"/>
      <c r="H78" s="25"/>
      <c r="I78" s="25"/>
      <c r="J78" s="25"/>
      <c r="K78" s="25"/>
      <c r="L78" s="25"/>
      <c r="M78" s="21">
        <v>18</v>
      </c>
      <c r="N78" s="21">
        <v>38</v>
      </c>
      <c r="O78" s="21">
        <v>21</v>
      </c>
      <c r="P78" s="21">
        <v>19</v>
      </c>
      <c r="Q78" s="21">
        <v>10</v>
      </c>
      <c r="T78" s="68"/>
      <c r="U78" s="68"/>
      <c r="V78" s="68"/>
      <c r="W78" s="68"/>
      <c r="X78" s="68"/>
      <c r="Y78" s="68"/>
      <c r="Z78" s="68"/>
      <c r="AA78" s="68"/>
      <c r="AC78" s="24">
        <f>Q78</f>
        <v>10</v>
      </c>
    </row>
    <row r="79" spans="1:31" x14ac:dyDescent="0.2">
      <c r="B79" s="20" t="s">
        <v>269</v>
      </c>
      <c r="C79" s="25"/>
      <c r="D79" s="25"/>
      <c r="E79" s="25"/>
      <c r="F79" s="25"/>
      <c r="G79" s="25"/>
      <c r="H79" s="25"/>
      <c r="I79" s="25"/>
      <c r="J79" s="25"/>
      <c r="K79" s="25"/>
      <c r="L79" s="25"/>
      <c r="M79" s="25">
        <f t="shared" ref="M79:P79" si="48">M78*M84</f>
        <v>18</v>
      </c>
      <c r="N79" s="25">
        <f t="shared" si="48"/>
        <v>38</v>
      </c>
      <c r="O79" s="25">
        <f t="shared" si="48"/>
        <v>21</v>
      </c>
      <c r="P79" s="25">
        <f t="shared" si="48"/>
        <v>19</v>
      </c>
      <c r="Q79" s="25">
        <f>Q78*Q84</f>
        <v>10</v>
      </c>
      <c r="T79" s="68"/>
      <c r="U79" s="68"/>
      <c r="V79" s="68"/>
      <c r="W79" s="68"/>
      <c r="X79" s="68"/>
      <c r="Y79" s="68"/>
      <c r="Z79" s="68"/>
      <c r="AA79" s="68"/>
      <c r="AC79" s="24">
        <f>Q79</f>
        <v>10</v>
      </c>
    </row>
    <row r="80" spans="1:31" x14ac:dyDescent="0.2">
      <c r="B80" s="23" t="s">
        <v>68</v>
      </c>
      <c r="C80" s="44"/>
      <c r="D80" s="44"/>
      <c r="E80" s="44"/>
      <c r="F80" s="44"/>
      <c r="G80" s="44"/>
      <c r="H80" s="44"/>
      <c r="I80" s="44"/>
      <c r="J80" s="44"/>
      <c r="K80" s="44"/>
      <c r="L80" s="44"/>
      <c r="M80" s="44">
        <v>0.01</v>
      </c>
      <c r="N80" s="44">
        <v>0.01</v>
      </c>
      <c r="O80" s="44">
        <v>2.5000000000000001E-2</v>
      </c>
      <c r="P80" s="44">
        <v>0.112</v>
      </c>
      <c r="Q80" s="44">
        <v>0.17499999999999999</v>
      </c>
      <c r="T80" s="223">
        <v>2.5000000000000001E-2</v>
      </c>
      <c r="U80" s="223">
        <v>3.7499999999999999E-2</v>
      </c>
      <c r="V80" s="223">
        <v>3.7499999999999999E-2</v>
      </c>
      <c r="W80" s="223">
        <v>3.7499999999999999E-2</v>
      </c>
      <c r="X80" s="223">
        <v>3.7499999999999999E-2</v>
      </c>
      <c r="Y80" s="223">
        <v>6.25E-2</v>
      </c>
      <c r="Z80" s="223">
        <v>6.25E-2</v>
      </c>
      <c r="AA80" s="223">
        <v>6.25E-2</v>
      </c>
      <c r="AC80" s="72">
        <f>SUM(X80:AA80)</f>
        <v>0.22500000000000001</v>
      </c>
    </row>
    <row r="81" spans="1:31" x14ac:dyDescent="0.2">
      <c r="B81" s="23" t="s">
        <v>69</v>
      </c>
      <c r="C81" s="39"/>
      <c r="D81" s="45"/>
      <c r="E81" s="45"/>
      <c r="F81" s="45"/>
      <c r="G81" s="45"/>
      <c r="H81" s="45"/>
      <c r="I81" s="45"/>
      <c r="J81" s="45"/>
      <c r="K81" s="45"/>
      <c r="L81" s="45"/>
      <c r="M81" s="45">
        <f t="shared" ref="M81:Q81" si="49">M80/M84</f>
        <v>0.01</v>
      </c>
      <c r="N81" s="45">
        <f t="shared" si="49"/>
        <v>0.01</v>
      </c>
      <c r="O81" s="45">
        <f t="shared" si="49"/>
        <v>2.5000000000000001E-2</v>
      </c>
      <c r="P81" s="45">
        <f t="shared" si="49"/>
        <v>0.112</v>
      </c>
      <c r="Q81" s="45">
        <f t="shared" si="49"/>
        <v>0.17499999999999999</v>
      </c>
      <c r="T81" s="45">
        <f t="shared" ref="T81" si="50">T80/T84</f>
        <v>2.5000000000000001E-2</v>
      </c>
      <c r="U81" s="45">
        <f t="shared" ref="U81" si="51">U80/U84</f>
        <v>3.7499999999999999E-2</v>
      </c>
      <c r="V81" s="45">
        <f t="shared" ref="V81" si="52">V80/V84</f>
        <v>3.7499999999999999E-2</v>
      </c>
      <c r="W81" s="45">
        <f t="shared" ref="W81" si="53">W80/W84</f>
        <v>3.7499999999999999E-2</v>
      </c>
      <c r="X81" s="45">
        <f t="shared" ref="X81:Z81" si="54">X80/X84</f>
        <v>3.7499999999999999E-2</v>
      </c>
      <c r="Y81" s="45">
        <f t="shared" si="54"/>
        <v>6.25E-2</v>
      </c>
      <c r="Z81" s="45">
        <f t="shared" si="54"/>
        <v>6.25E-2</v>
      </c>
      <c r="AA81" s="45">
        <f t="shared" ref="AA81" si="55">AA80/AA84</f>
        <v>6.25E-2</v>
      </c>
      <c r="AC81" s="72">
        <f>SUM(X81:AA81)</f>
        <v>0.22500000000000001</v>
      </c>
    </row>
    <row r="82" spans="1:31" x14ac:dyDescent="0.2">
      <c r="B82" s="20" t="s">
        <v>70</v>
      </c>
      <c r="C82" s="46">
        <f t="shared" ref="C82:Q82" si="56">IF(AND(C14&gt;0,C15&lt;0),-(C15)/C14,0)</f>
        <v>0</v>
      </c>
      <c r="D82" s="46">
        <f t="shared" si="56"/>
        <v>0</v>
      </c>
      <c r="E82" s="46">
        <f t="shared" si="56"/>
        <v>0</v>
      </c>
      <c r="F82" s="46">
        <f t="shared" si="56"/>
        <v>0</v>
      </c>
      <c r="G82" s="46">
        <f t="shared" si="56"/>
        <v>0</v>
      </c>
      <c r="H82" s="46">
        <f t="shared" si="56"/>
        <v>0</v>
      </c>
      <c r="I82" s="46">
        <f t="shared" si="56"/>
        <v>0</v>
      </c>
      <c r="J82" s="46">
        <f t="shared" si="56"/>
        <v>0</v>
      </c>
      <c r="K82" s="46">
        <f t="shared" si="56"/>
        <v>0</v>
      </c>
      <c r="L82" s="46">
        <f t="shared" si="56"/>
        <v>0</v>
      </c>
      <c r="M82" s="46">
        <f t="shared" si="56"/>
        <v>0.28313253012048195</v>
      </c>
      <c r="N82" s="46">
        <f t="shared" si="56"/>
        <v>0.53892215568862278</v>
      </c>
      <c r="O82" s="46">
        <f t="shared" si="56"/>
        <v>0.13883677298311445</v>
      </c>
      <c r="P82" s="46">
        <f t="shared" si="56"/>
        <v>0.35294117647058826</v>
      </c>
      <c r="Q82" s="46">
        <f t="shared" si="56"/>
        <v>0.23478760045924224</v>
      </c>
      <c r="T82" s="46">
        <f t="shared" ref="T82:Z82" si="57">IF(AND(T14&gt;0,T15&lt;0),-(T15)/T14,0)</f>
        <v>0.34200743494423791</v>
      </c>
      <c r="U82" s="46">
        <f t="shared" si="57"/>
        <v>0.4</v>
      </c>
      <c r="V82" s="46">
        <f t="shared" si="57"/>
        <v>0.38113207547169814</v>
      </c>
      <c r="W82" s="46">
        <f t="shared" si="57"/>
        <v>0.23040380047505937</v>
      </c>
      <c r="X82" s="46">
        <f t="shared" si="57"/>
        <v>0.1910569105691057</v>
      </c>
      <c r="Y82" s="46">
        <f t="shared" si="57"/>
        <v>0.20959147424511546</v>
      </c>
      <c r="Z82" s="46">
        <f t="shared" si="57"/>
        <v>0.1095890410958904</v>
      </c>
      <c r="AA82" s="46">
        <f t="shared" ref="AA82" si="58">IF(AND(AA14&gt;0,AA15&lt;0),-(AA15)/AA14,0)</f>
        <v>0.1967741935483871</v>
      </c>
      <c r="AC82" s="46">
        <f>IF(AND(AC14&gt;0,AC15&lt;0),-(AC15)/AC14,0)</f>
        <v>0.18078561287269285</v>
      </c>
    </row>
    <row r="83" spans="1:31" x14ac:dyDescent="0.2">
      <c r="B83" s="20" t="s">
        <v>71</v>
      </c>
      <c r="C83" s="21"/>
      <c r="D83" s="21"/>
      <c r="E83" s="21"/>
      <c r="F83" s="21"/>
      <c r="G83" s="21"/>
      <c r="H83" s="21"/>
      <c r="I83" s="21"/>
      <c r="J83" s="21"/>
      <c r="K83" s="21"/>
      <c r="L83" s="21"/>
      <c r="M83" s="21">
        <v>24000</v>
      </c>
      <c r="N83" s="21">
        <v>27000</v>
      </c>
      <c r="O83" s="21">
        <v>27000</v>
      </c>
      <c r="P83" s="21">
        <v>31000</v>
      </c>
      <c r="Q83" s="21">
        <v>34000</v>
      </c>
      <c r="T83" s="68"/>
      <c r="U83" s="68"/>
      <c r="V83" s="68"/>
      <c r="W83" s="68"/>
      <c r="X83" s="68"/>
      <c r="Y83" s="68"/>
      <c r="Z83" s="68"/>
      <c r="AA83" s="68"/>
      <c r="AC83" s="21">
        <f>Q83</f>
        <v>34000</v>
      </c>
    </row>
    <row r="84" spans="1:31" x14ac:dyDescent="0.2">
      <c r="B84" s="20" t="s">
        <v>72</v>
      </c>
      <c r="C84" s="21"/>
      <c r="D84" s="21"/>
      <c r="E84" s="21"/>
      <c r="F84" s="21"/>
      <c r="G84" s="21"/>
      <c r="H84" s="21"/>
      <c r="I84" s="21"/>
      <c r="J84" s="21"/>
      <c r="K84" s="21"/>
      <c r="L84" s="21"/>
      <c r="M84" s="21">
        <v>1</v>
      </c>
      <c r="N84" s="21">
        <v>1</v>
      </c>
      <c r="O84" s="21">
        <v>1</v>
      </c>
      <c r="P84" s="21">
        <v>1</v>
      </c>
      <c r="Q84" s="21">
        <v>1</v>
      </c>
      <c r="T84" s="21">
        <v>1</v>
      </c>
      <c r="U84" s="21">
        <v>1</v>
      </c>
      <c r="V84" s="21">
        <v>1</v>
      </c>
      <c r="W84" s="21">
        <v>1</v>
      </c>
      <c r="X84" s="21">
        <v>1</v>
      </c>
      <c r="Y84" s="21">
        <v>1</v>
      </c>
      <c r="Z84" s="21">
        <v>1</v>
      </c>
      <c r="AA84" s="21">
        <v>1</v>
      </c>
      <c r="AC84" s="21">
        <v>1</v>
      </c>
    </row>
    <row r="86" spans="1:31" x14ac:dyDescent="0.2">
      <c r="B86" s="1"/>
    </row>
    <row r="87" spans="1:31" s="15" customFormat="1" ht="17" thickBot="1" x14ac:dyDescent="0.25">
      <c r="A87" s="11"/>
      <c r="B87" s="14" t="s">
        <v>73</v>
      </c>
      <c r="R87" s="1"/>
      <c r="S87" s="1"/>
      <c r="AB87" s="1"/>
      <c r="AD87" s="1"/>
      <c r="AE87" s="1"/>
    </row>
    <row r="88" spans="1:31" s="41" customFormat="1" x14ac:dyDescent="0.2">
      <c r="A88" s="16"/>
      <c r="B88" s="17" t="s">
        <v>19</v>
      </c>
      <c r="C88" s="47"/>
      <c r="D88" s="48"/>
      <c r="E88" s="48"/>
      <c r="F88" s="48"/>
      <c r="G88" s="48"/>
      <c r="H88" s="48"/>
      <c r="I88" s="48"/>
      <c r="J88" s="48"/>
      <c r="K88" s="48"/>
      <c r="L88" s="48"/>
      <c r="M88" s="48">
        <f t="shared" ref="M88:Q92" si="59">IF(L5=0,
IF(M5=0,0,IF(M5&gt;0,1,-1)),
(M5-L5)/ABS(L5)
)</f>
        <v>1</v>
      </c>
      <c r="N88" s="48">
        <f t="shared" si="59"/>
        <v>0.13885554221688676</v>
      </c>
      <c r="O88" s="48">
        <f t="shared" si="59"/>
        <v>0.20572733661278989</v>
      </c>
      <c r="P88" s="48">
        <f t="shared" si="59"/>
        <v>0.1674194958472971</v>
      </c>
      <c r="Q88" s="48">
        <f t="shared" si="59"/>
        <v>0.27683474787818274</v>
      </c>
      <c r="R88" s="1"/>
      <c r="S88" s="1"/>
      <c r="T88" s="48">
        <f t="shared" ref="T88:AA92" si="60">IF(S5=0,
IF(T5=0,0,IF(T5&gt;0,1,-1)),
(T5-S5)/ABS(S5)
)</f>
        <v>1</v>
      </c>
      <c r="U88" s="48">
        <f t="shared" si="60"/>
        <v>0.13114754098360656</v>
      </c>
      <c r="V88" s="48">
        <f t="shared" si="60"/>
        <v>-0.13213981244671782</v>
      </c>
      <c r="W88" s="48">
        <f t="shared" si="60"/>
        <v>0.29567779960707269</v>
      </c>
      <c r="X88" s="48">
        <f t="shared" si="60"/>
        <v>1.4404852160727824E-2</v>
      </c>
      <c r="Y88" s="48">
        <f t="shared" si="60"/>
        <v>7.623318385650224E-2</v>
      </c>
      <c r="Z88" s="48">
        <f t="shared" si="60"/>
        <v>-7.9861111111111105E-2</v>
      </c>
      <c r="AA88" s="48">
        <f t="shared" si="60"/>
        <v>0.23547169811320753</v>
      </c>
      <c r="AB88" s="1"/>
      <c r="AC88" s="67"/>
      <c r="AD88" s="1"/>
      <c r="AE88" s="1"/>
    </row>
    <row r="89" spans="1:31" x14ac:dyDescent="0.2">
      <c r="B89" s="20" t="s">
        <v>20</v>
      </c>
      <c r="C89" s="49"/>
      <c r="D89" s="50"/>
      <c r="E89" s="50"/>
      <c r="F89" s="50"/>
      <c r="G89" s="50"/>
      <c r="H89" s="50"/>
      <c r="I89" s="50"/>
      <c r="J89" s="50"/>
      <c r="K89" s="50"/>
      <c r="L89" s="50"/>
      <c r="M89" s="50">
        <f t="shared" si="59"/>
        <v>1</v>
      </c>
      <c r="N89" s="50">
        <f t="shared" si="59"/>
        <v>0.17266187050359713</v>
      </c>
      <c r="O89" s="50">
        <f t="shared" si="59"/>
        <v>9.5214723926380362E-2</v>
      </c>
      <c r="P89" s="50">
        <f t="shared" si="59"/>
        <v>0.13779968630965719</v>
      </c>
      <c r="Q89" s="50">
        <f t="shared" si="59"/>
        <v>0.28298542733359588</v>
      </c>
      <c r="T89" s="50">
        <f t="shared" si="60"/>
        <v>1</v>
      </c>
      <c r="U89" s="50">
        <f t="shared" si="60"/>
        <v>0.12072892938496584</v>
      </c>
      <c r="V89" s="50">
        <f t="shared" si="60"/>
        <v>-8.5365853658536592E-2</v>
      </c>
      <c r="W89" s="50">
        <f t="shared" si="60"/>
        <v>0.29037037037037039</v>
      </c>
      <c r="X89" s="50">
        <f t="shared" si="60"/>
        <v>-4.4202066590126293E-2</v>
      </c>
      <c r="Y89" s="50">
        <f t="shared" si="60"/>
        <v>5.6456456456456458E-2</v>
      </c>
      <c r="Z89" s="50">
        <f t="shared" si="60"/>
        <v>-6.196702671972712E-2</v>
      </c>
      <c r="AA89" s="50">
        <f t="shared" si="60"/>
        <v>0.23575757575757575</v>
      </c>
      <c r="AC89" s="68"/>
    </row>
    <row r="90" spans="1:31" s="41" customFormat="1" x14ac:dyDescent="0.2">
      <c r="A90" s="16"/>
      <c r="B90" s="17" t="s">
        <v>21</v>
      </c>
      <c r="C90" s="47"/>
      <c r="D90" s="48"/>
      <c r="E90" s="48"/>
      <c r="F90" s="48"/>
      <c r="G90" s="48"/>
      <c r="H90" s="48"/>
      <c r="I90" s="48"/>
      <c r="J90" s="48"/>
      <c r="K90" s="48"/>
      <c r="L90" s="48"/>
      <c r="M90" s="48">
        <f t="shared" si="59"/>
        <v>1</v>
      </c>
      <c r="N90" s="48">
        <f t="shared" si="59"/>
        <v>6.1720288903479976E-2</v>
      </c>
      <c r="O90" s="48">
        <f t="shared" si="59"/>
        <v>0.48423005565862709</v>
      </c>
      <c r="P90" s="48">
        <f t="shared" si="59"/>
        <v>0.2225</v>
      </c>
      <c r="Q90" s="48">
        <f t="shared" si="59"/>
        <v>0.2661895023858214</v>
      </c>
      <c r="R90" s="1"/>
      <c r="S90" s="1"/>
      <c r="T90" s="48">
        <f t="shared" si="60"/>
        <v>1</v>
      </c>
      <c r="U90" s="48">
        <f t="shared" si="60"/>
        <v>0.14927344782034346</v>
      </c>
      <c r="V90" s="48">
        <f t="shared" si="60"/>
        <v>-0.21149425287356322</v>
      </c>
      <c r="W90" s="48">
        <f t="shared" si="60"/>
        <v>0.30612244897959184</v>
      </c>
      <c r="X90" s="48">
        <f t="shared" si="60"/>
        <v>0.12834821428571427</v>
      </c>
      <c r="Y90" s="48">
        <f t="shared" si="60"/>
        <v>0.10880316518298715</v>
      </c>
      <c r="Z90" s="48">
        <f t="shared" si="60"/>
        <v>-0.10793933987511151</v>
      </c>
      <c r="AA90" s="48">
        <f t="shared" si="60"/>
        <v>0.23499999999999999</v>
      </c>
      <c r="AB90" s="1"/>
      <c r="AC90" s="67"/>
      <c r="AD90" s="1"/>
      <c r="AE90" s="1"/>
    </row>
    <row r="91" spans="1:31" x14ac:dyDescent="0.2">
      <c r="B91" s="20" t="str">
        <f>B8</f>
        <v>SG&amp;A</v>
      </c>
      <c r="C91" s="49"/>
      <c r="D91" s="50"/>
      <c r="E91" s="50"/>
      <c r="F91" s="50"/>
      <c r="G91" s="50"/>
      <c r="H91" s="50"/>
      <c r="I91" s="50"/>
      <c r="J91" s="50"/>
      <c r="K91" s="50"/>
      <c r="L91" s="50"/>
      <c r="M91" s="50">
        <f t="shared" si="59"/>
        <v>1</v>
      </c>
      <c r="N91" s="50">
        <f t="shared" si="59"/>
        <v>6.2218214607754736E-2</v>
      </c>
      <c r="O91" s="50">
        <f t="shared" si="59"/>
        <v>0.11375212224108659</v>
      </c>
      <c r="P91" s="50">
        <f t="shared" si="59"/>
        <v>4.725609756097561E-2</v>
      </c>
      <c r="Q91" s="50">
        <f t="shared" si="59"/>
        <v>0.17758369723435224</v>
      </c>
      <c r="T91" s="50">
        <f t="shared" si="60"/>
        <v>1</v>
      </c>
      <c r="U91" s="50">
        <f t="shared" si="60"/>
        <v>8.0597014925373134E-2</v>
      </c>
      <c r="V91" s="50">
        <f t="shared" si="60"/>
        <v>-4.4198895027624308E-2</v>
      </c>
      <c r="W91" s="50">
        <f t="shared" si="60"/>
        <v>0.14450867052023122</v>
      </c>
      <c r="X91" s="50">
        <f t="shared" si="60"/>
        <v>4.5454545454545456E-2</v>
      </c>
      <c r="Y91" s="50">
        <f t="shared" si="60"/>
        <v>0.11594202898550725</v>
      </c>
      <c r="Z91" s="50">
        <f t="shared" si="60"/>
        <v>-1.0822510822510822E-2</v>
      </c>
      <c r="AA91" s="50">
        <f t="shared" si="60"/>
        <v>8.0962800875273522E-2</v>
      </c>
      <c r="AC91" s="68"/>
    </row>
    <row r="92" spans="1:31" x14ac:dyDescent="0.2">
      <c r="B92" s="20" t="str">
        <f>B9</f>
        <v>Amortization</v>
      </c>
      <c r="C92" s="49"/>
      <c r="D92" s="50"/>
      <c r="E92" s="50"/>
      <c r="F92" s="50"/>
      <c r="G92" s="50"/>
      <c r="H92" s="50"/>
      <c r="I92" s="50"/>
      <c r="J92" s="50"/>
      <c r="K92" s="50"/>
      <c r="L92" s="50"/>
      <c r="M92" s="50">
        <f t="shared" si="59"/>
        <v>1</v>
      </c>
      <c r="N92" s="50">
        <f t="shared" si="59"/>
        <v>0.5</v>
      </c>
      <c r="O92" s="50">
        <f t="shared" si="59"/>
        <v>-0.16203703703703703</v>
      </c>
      <c r="P92" s="50">
        <f t="shared" si="59"/>
        <v>1.6574585635359115E-2</v>
      </c>
      <c r="Q92" s="50">
        <f t="shared" si="59"/>
        <v>8.6956521739130432E-2</v>
      </c>
      <c r="T92" s="50">
        <f t="shared" si="60"/>
        <v>1</v>
      </c>
      <c r="U92" s="50">
        <f t="shared" si="60"/>
        <v>4.4444444444444446E-2</v>
      </c>
      <c r="V92" s="50">
        <f t="shared" si="60"/>
        <v>-2.1276595744680851E-2</v>
      </c>
      <c r="W92" s="50">
        <f t="shared" si="60"/>
        <v>2.1739130434782608E-2</v>
      </c>
      <c r="X92" s="50">
        <f t="shared" si="60"/>
        <v>2.1276595744680851E-2</v>
      </c>
      <c r="Y92" s="50">
        <f t="shared" si="60"/>
        <v>0.22916666666666666</v>
      </c>
      <c r="Z92" s="50">
        <f t="shared" si="60"/>
        <v>0.32203389830508472</v>
      </c>
      <c r="AA92" s="50">
        <f t="shared" si="60"/>
        <v>-5.128205128205128E-2</v>
      </c>
      <c r="AC92" s="68"/>
    </row>
    <row r="93" spans="1:31" x14ac:dyDescent="0.2">
      <c r="B93" s="23" t="s">
        <v>22</v>
      </c>
      <c r="C93" s="49"/>
      <c r="D93" s="50"/>
      <c r="E93" s="50"/>
      <c r="F93" s="50"/>
      <c r="G93" s="50"/>
      <c r="H93" s="50"/>
      <c r="I93" s="50"/>
      <c r="J93" s="50"/>
      <c r="K93" s="50"/>
      <c r="L93" s="50"/>
      <c r="M93" s="50">
        <f t="shared" ref="M93:Q94" si="61">IF(L10=0,
IF(M10=0,0,IF(M10&gt;0,1,-1)),
(M10-L10)/ABS(L10)
)</f>
        <v>1</v>
      </c>
      <c r="N93" s="50">
        <f t="shared" si="61"/>
        <v>0.10372129849564529</v>
      </c>
      <c r="O93" s="50">
        <f t="shared" si="61"/>
        <v>9.6126255380200865E-2</v>
      </c>
      <c r="P93" s="50">
        <f t="shared" si="61"/>
        <v>2.5523560209424083E-2</v>
      </c>
      <c r="Q93" s="50">
        <f t="shared" si="61"/>
        <v>0.20293554562858968</v>
      </c>
      <c r="T93" s="50">
        <f t="shared" ref="T93:T94" si="62">IF(S10=0,
IF(T10=0,0,IF(T10&gt;0,1,-1)),
(T10-S10)/ABS(S10)
)</f>
        <v>1</v>
      </c>
      <c r="U93" s="50">
        <f t="shared" ref="U93:U94" si="63">IF(T10=0,
IF(U10=0,0,IF(U10&gt;0,1,-1)),
(U10-T10)/ABS(T10)
)</f>
        <v>7.2727272727272724E-2</v>
      </c>
      <c r="V93" s="50">
        <f t="shared" ref="V93:V94" si="64">IF(U10=0,
IF(V10=0,0,IF(V10&gt;0,1,-1)),
(V10-U10)/ABS(U10)
)</f>
        <v>-4.3583535108958835E-2</v>
      </c>
      <c r="W93" s="50">
        <f t="shared" ref="W93:W94" si="65">IF(V10=0,
IF(W10=0,0,IF(W10&gt;0,1,-1)),
(W10-V10)/ABS(V10)
)</f>
        <v>0.14936708860759493</v>
      </c>
      <c r="X93" s="50">
        <f t="shared" ref="X93:X94" si="66">IF(W10=0,
IF(X10=0,0,IF(X10&gt;0,1,-1)),
(X10-W10)/ABS(W10)
)</f>
        <v>8.8105726872246701E-2</v>
      </c>
      <c r="Y93" s="50">
        <f t="shared" ref="Y93:Y94" si="67">IF(X10=0,
IF(Y10=0,0,IF(Y10&gt;0,1,-1)),
(Y10-X10)/ABS(X10)
)</f>
        <v>9.5141700404858295E-2</v>
      </c>
      <c r="Z93" s="50">
        <f t="shared" ref="Z93:Z94" si="68">IF(Y10=0,
IF(Z10=0,0,IF(Z10&gt;0,1,-1)),
(Z10-Y10)/ABS(Y10)
)</f>
        <v>3.512014787430684E-2</v>
      </c>
      <c r="AA93" s="50">
        <f t="shared" ref="AA93:AA94" si="69">IF(Z10=0,
IF(AA10=0,0,IF(AA10&gt;0,1,-1)),
(AA10-Z10)/ABS(Z10)
)</f>
        <v>7.3214285714285718E-2</v>
      </c>
      <c r="AC93" s="68"/>
    </row>
    <row r="94" spans="1:31" s="41" customFormat="1" x14ac:dyDescent="0.2">
      <c r="A94" s="16"/>
      <c r="B94" s="17" t="s">
        <v>23</v>
      </c>
      <c r="C94" s="47"/>
      <c r="D94" s="48"/>
      <c r="E94" s="48"/>
      <c r="F94" s="48"/>
      <c r="G94" s="48"/>
      <c r="H94" s="48"/>
      <c r="I94" s="48"/>
      <c r="J94" s="48"/>
      <c r="K94" s="48"/>
      <c r="L94" s="48"/>
      <c r="M94" s="48">
        <f t="shared" si="61"/>
        <v>1</v>
      </c>
      <c r="N94" s="48">
        <f t="shared" si="61"/>
        <v>-0.1423076923076923</v>
      </c>
      <c r="O94" s="48">
        <f t="shared" si="61"/>
        <v>2.9103139013452917</v>
      </c>
      <c r="P94" s="48">
        <f t="shared" si="61"/>
        <v>0.56766055045871555</v>
      </c>
      <c r="Q94" s="48">
        <f t="shared" si="61"/>
        <v>0.33869787856620337</v>
      </c>
      <c r="R94" s="1"/>
      <c r="S94" s="1"/>
      <c r="T94" s="48">
        <f t="shared" si="62"/>
        <v>1</v>
      </c>
      <c r="U94" s="48">
        <f t="shared" si="63"/>
        <v>0.22849462365591397</v>
      </c>
      <c r="V94" s="48">
        <f t="shared" si="64"/>
        <v>-0.36323851203501095</v>
      </c>
      <c r="W94" s="48">
        <f t="shared" si="65"/>
        <v>0.51890034364261173</v>
      </c>
      <c r="X94" s="48">
        <f t="shared" si="66"/>
        <v>0.16968325791855204</v>
      </c>
      <c r="Y94" s="48">
        <f t="shared" si="67"/>
        <v>0.1218568665377176</v>
      </c>
      <c r="Z94" s="48">
        <f t="shared" si="68"/>
        <v>-0.2413793103448276</v>
      </c>
      <c r="AA94" s="48">
        <f t="shared" si="69"/>
        <v>0.44090909090909092</v>
      </c>
      <c r="AB94" s="1"/>
      <c r="AC94" s="67"/>
      <c r="AD94" s="1"/>
      <c r="AE94" s="1"/>
    </row>
    <row r="95" spans="1:31" s="53" customFormat="1" x14ac:dyDescent="0.2">
      <c r="A95" s="16"/>
      <c r="B95" s="51" t="s">
        <v>26</v>
      </c>
      <c r="C95" s="47"/>
      <c r="D95" s="52"/>
      <c r="E95" s="52"/>
      <c r="F95" s="52"/>
      <c r="G95" s="52"/>
      <c r="H95" s="52"/>
      <c r="I95" s="52"/>
      <c r="J95" s="52"/>
      <c r="K95" s="52"/>
      <c r="L95" s="52"/>
      <c r="M95" s="52">
        <f>IF(L14=0,
IF(M14=0,0,IF(M14&gt;0,1,-1)),
(M14-L14)/ABS(L14)
)</f>
        <v>1</v>
      </c>
      <c r="N95" s="52">
        <f>IF(M14=0,
IF(N14=0,0,IF(N14&gt;0,1,-1)),
(N14-M14)/ABS(M14)
)</f>
        <v>6.024096385542169E-3</v>
      </c>
      <c r="O95" s="52">
        <f>IF(N14=0,
IF(O14=0,0,IF(O14&gt;0,1,-1)),
(O14-N14)/ABS(N14)
)</f>
        <v>2.191616766467066</v>
      </c>
      <c r="P95" s="52">
        <f>IF(O14=0,
IF(P14=0,0,IF(P14&gt;0,1,-1)),
(P14-O14)/ABS(O14)
)</f>
        <v>0.4352720450281426</v>
      </c>
      <c r="Q95" s="52">
        <f>IF(P14=0,
IF(Q14=0,0,IF(Q14&gt;0,1,-1)),
(Q14-P14)/ABS(P14)
)</f>
        <v>1.2771241830065359</v>
      </c>
      <c r="R95" s="1"/>
      <c r="S95" s="1"/>
      <c r="T95" s="52">
        <f t="shared" ref="T95" si="70">IF(S14=0,
IF(T14=0,0,IF(T14&gt;0,1,-1)),
(T14-S14)/ABS(S14)
)</f>
        <v>1</v>
      </c>
      <c r="U95" s="52">
        <f t="shared" ref="U95" si="71">IF(T14=0,
IF(U14=0,0,IF(U14&gt;0,1,-1)),
(U14-T14)/ABS(T14)
)</f>
        <v>-8.9219330855018583E-2</v>
      </c>
      <c r="V95" s="52">
        <f t="shared" ref="V95" si="72">IF(U14=0,
IF(V14=0,0,IF(V14&gt;0,1,-1)),
(V14-U14)/ABS(U14)
)</f>
        <v>8.1632653061224483E-2</v>
      </c>
      <c r="W95" s="52">
        <f t="shared" ref="W95" si="73">IF(V14=0,
IF(W14=0,0,IF(W14&gt;0,1,-1)),
(W14-V14)/ABS(V14)
)</f>
        <v>0.58867924528301885</v>
      </c>
      <c r="X95" s="52">
        <f t="shared" ref="X95" si="74">IF(W14=0,
IF(X14=0,0,IF(X14&gt;0,1,-1)),
(X14-W14)/ABS(W14)
)</f>
        <v>0.16864608076009502</v>
      </c>
      <c r="Y95" s="52">
        <f t="shared" ref="Y95" si="75">IF(X14=0,
IF(Y14=0,0,IF(Y14&gt;0,1,-1)),
(Y14-X14)/ABS(X14)
)</f>
        <v>0.1443089430894309</v>
      </c>
      <c r="Z95" s="52">
        <f t="shared" ref="Z95" si="76">IF(Y14=0,
IF(Z14=0,0,IF(Z14&gt;0,1,-1)),
(Z14-Y14)/ABS(Y14)
)</f>
        <v>-0.22202486678507993</v>
      </c>
      <c r="AA95" s="52">
        <f t="shared" ref="AA95" si="77">IF(Z14=0,
IF(AA14=0,0,IF(AA14&gt;0,1,-1)),
(AA14-Z14)/ABS(Z14)
)</f>
        <v>0.41552511415525112</v>
      </c>
      <c r="AB95" s="1"/>
      <c r="AC95" s="67"/>
      <c r="AD95" s="1"/>
      <c r="AE95" s="1"/>
    </row>
    <row r="96" spans="1:31" s="53" customFormat="1" x14ac:dyDescent="0.2">
      <c r="A96" s="16"/>
      <c r="B96" s="51" t="s">
        <v>28</v>
      </c>
      <c r="C96" s="47"/>
      <c r="D96" s="52"/>
      <c r="E96" s="52"/>
      <c r="F96" s="52"/>
      <c r="G96" s="52"/>
      <c r="H96" s="52"/>
      <c r="I96" s="52"/>
      <c r="J96" s="52"/>
      <c r="K96" s="52"/>
      <c r="L96" s="52"/>
      <c r="M96" s="52">
        <f>IF(L17=0,
IF(M17=0,0,IF(M17&gt;0,1,-1)),
(M17-L17)/ABS(L17)
)</f>
        <v>1</v>
      </c>
      <c r="N96" s="52">
        <f>IF(M17=0,
IF(N17=0,0,IF(N17&gt;0,1,-1)),
(N17-M17)/ABS(M17)
)</f>
        <v>-0.35833333333333334</v>
      </c>
      <c r="O96" s="52">
        <f>IF(N17=0,
IF(O17=0,0,IF(O17&gt;0,1,-1)),
(O17-N17)/ABS(N17)
)</f>
        <v>4.9740259740259738</v>
      </c>
      <c r="P96" s="52">
        <f>IF(O17=0,
IF(P17=0,0,IF(P17&gt;0,1,-1)),
(P17-O17)/ABS(O17)
)</f>
        <v>7.8260869565217397E-2</v>
      </c>
      <c r="Q96" s="52">
        <f>IF(P17=0,
IF(Q17=0,0,IF(Q17&gt;0,1,-1)),
(Q17-P17)/ABS(P17)
)</f>
        <v>1.6875</v>
      </c>
      <c r="R96" s="1"/>
      <c r="S96" s="1"/>
      <c r="T96" s="52">
        <f t="shared" ref="T96" si="78">IF(S17=0,
IF(T17=0,0,IF(T17&gt;0,1,-1)),
(T17-S17)/ABS(S17)
)</f>
        <v>1</v>
      </c>
      <c r="U96" s="52">
        <f t="shared" ref="U96" si="79">IF(T17=0,
IF(U17=0,0,IF(U17&gt;0,1,-1)),
(U17-T17)/ABS(T17)
)</f>
        <v>-0.16949152542372881</v>
      </c>
      <c r="V96" s="52">
        <f t="shared" ref="V96" si="80">IF(U17=0,
IF(V17=0,0,IF(V17&gt;0,1,-1)),
(V17-U17)/ABS(U17)
)</f>
        <v>0.12244897959183673</v>
      </c>
      <c r="W96" s="52">
        <f t="shared" ref="W96" si="81">IF(V17=0,
IF(W17=0,0,IF(W17&gt;0,1,-1)),
(W17-V17)/ABS(V17)
)</f>
        <v>0.96363636363636362</v>
      </c>
      <c r="X96" s="52">
        <f t="shared" ref="X96" si="82">IF(W17=0,
IF(X17=0,0,IF(X17&gt;0,1,-1)),
(X17-W17)/ABS(W17)
)</f>
        <v>0.23148148148148148</v>
      </c>
      <c r="Y96" s="52">
        <f t="shared" ref="Y96" si="83">IF(X17=0,
IF(Y17=0,0,IF(Y17&gt;0,1,-1)),
(Y17-X17)/ABS(X17)
)</f>
        <v>0.11779448621553884</v>
      </c>
      <c r="Z96" s="52">
        <f t="shared" ref="Z96" si="84">IF(Y17=0,
IF(Z17=0,0,IF(Z17&gt;0,1,-1)),
(Z17-Y17)/ABS(Y17)
)</f>
        <v>-0.12556053811659193</v>
      </c>
      <c r="AA96" s="52">
        <f t="shared" ref="AA96" si="85">IF(Z17=0,
IF(AA17=0,0,IF(AA17&gt;0,1,-1)),
(AA17-Z17)/ABS(Z17)
)</f>
        <v>0.27692307692307694</v>
      </c>
      <c r="AB96" s="1"/>
      <c r="AC96" s="67"/>
      <c r="AD96" s="1"/>
      <c r="AE96" s="1"/>
    </row>
    <row r="97" spans="1:31" x14ac:dyDescent="0.2">
      <c r="B97" s="1"/>
    </row>
    <row r="98" spans="1:31" s="15" customFormat="1" ht="17" thickBot="1" x14ac:dyDescent="0.25">
      <c r="A98" s="11"/>
      <c r="B98" s="14" t="s">
        <v>74</v>
      </c>
      <c r="R98" s="1"/>
      <c r="S98" s="1"/>
      <c r="AB98" s="1"/>
      <c r="AD98" s="1"/>
      <c r="AE98" s="1"/>
    </row>
    <row r="99" spans="1:31" x14ac:dyDescent="0.2">
      <c r="B99" s="20" t="s">
        <v>75</v>
      </c>
      <c r="C99" s="50"/>
      <c r="D99" s="50"/>
      <c r="E99" s="50"/>
      <c r="F99" s="50"/>
      <c r="G99" s="50"/>
      <c r="H99" s="50"/>
      <c r="I99" s="50"/>
      <c r="J99" s="50"/>
      <c r="K99" s="50"/>
      <c r="L99" s="50"/>
      <c r="M99" s="50">
        <f>M7/M5</f>
        <v>0.30472188875550221</v>
      </c>
      <c r="N99" s="50">
        <f>N7/N5</f>
        <v>0.28408292340126495</v>
      </c>
      <c r="O99" s="50">
        <f>O7/O5</f>
        <v>0.34970129680897566</v>
      </c>
      <c r="P99" s="50">
        <f>P7/P5</f>
        <v>0.36620069895157265</v>
      </c>
      <c r="Q99" s="50">
        <f>Q7/Q5</f>
        <v>0.36314760508308896</v>
      </c>
      <c r="T99" s="50">
        <f t="shared" ref="T99:AA99" si="86">T7/T5</f>
        <v>0.36499517839922857</v>
      </c>
      <c r="U99" s="50">
        <f t="shared" si="86"/>
        <v>0.37084398976982097</v>
      </c>
      <c r="V99" s="50">
        <f t="shared" si="86"/>
        <v>0.33693516699410608</v>
      </c>
      <c r="W99" s="50">
        <f t="shared" si="86"/>
        <v>0.33965125094768767</v>
      </c>
      <c r="X99" s="50">
        <f t="shared" si="86"/>
        <v>0.37780269058295962</v>
      </c>
      <c r="Y99" s="50">
        <f t="shared" si="86"/>
        <v>0.38923611111111112</v>
      </c>
      <c r="Z99" s="50">
        <f t="shared" si="86"/>
        <v>0.37735849056603776</v>
      </c>
      <c r="AA99" s="50">
        <f t="shared" si="86"/>
        <v>0.37721441661576055</v>
      </c>
      <c r="AC99" s="50">
        <f>AC7/AC5</f>
        <v>0.38040069686411149</v>
      </c>
    </row>
    <row r="100" spans="1:31" x14ac:dyDescent="0.2">
      <c r="B100" s="20" t="s">
        <v>76</v>
      </c>
      <c r="C100" s="50"/>
      <c r="D100" s="50"/>
      <c r="E100" s="50"/>
      <c r="F100" s="50"/>
      <c r="G100" s="50"/>
      <c r="H100" s="50"/>
      <c r="I100" s="50"/>
      <c r="J100" s="50"/>
      <c r="K100" s="50"/>
      <c r="L100" s="50"/>
      <c r="M100" s="50">
        <f>M11/M5</f>
        <v>5.202080832332933E-2</v>
      </c>
      <c r="N100" s="50">
        <f>N11/N5</f>
        <v>3.9177793394237527E-2</v>
      </c>
      <c r="O100" s="50">
        <f>O11/O5</f>
        <v>0.1270581378405945</v>
      </c>
      <c r="P100" s="50">
        <f>P11/P5</f>
        <v>0.17061907139291063</v>
      </c>
      <c r="Q100" s="50">
        <f>Q11/Q5</f>
        <v>0.17888563049853373</v>
      </c>
      <c r="T100" s="50">
        <f t="shared" ref="T100:AA100" si="87">T11/T5</f>
        <v>0.17936354869816779</v>
      </c>
      <c r="U100" s="50">
        <f t="shared" si="87"/>
        <v>0.1947996589940324</v>
      </c>
      <c r="V100" s="50">
        <f t="shared" si="87"/>
        <v>0.14292730844793713</v>
      </c>
      <c r="W100" s="50">
        <f t="shared" si="87"/>
        <v>0.16755117513267628</v>
      </c>
      <c r="X100" s="50">
        <f t="shared" si="87"/>
        <v>0.19319880418535126</v>
      </c>
      <c r="Y100" s="50">
        <f t="shared" si="87"/>
        <v>0.2013888888888889</v>
      </c>
      <c r="Z100" s="50">
        <f t="shared" si="87"/>
        <v>0.16603773584905659</v>
      </c>
      <c r="AA100" s="50">
        <f t="shared" si="87"/>
        <v>0.19364691508857668</v>
      </c>
      <c r="AC100" s="50">
        <f>AC11/AC5</f>
        <v>0.18911149825783971</v>
      </c>
    </row>
    <row r="101" spans="1:31" s="56" customFormat="1" x14ac:dyDescent="0.2">
      <c r="A101" s="1"/>
      <c r="B101" s="54" t="s">
        <v>77</v>
      </c>
      <c r="C101" s="55"/>
      <c r="D101" s="55"/>
      <c r="E101" s="55"/>
      <c r="F101" s="55"/>
      <c r="G101" s="55"/>
      <c r="H101" s="55"/>
      <c r="I101" s="55"/>
      <c r="J101" s="55"/>
      <c r="K101" s="55"/>
      <c r="L101" s="55"/>
      <c r="M101" s="55">
        <f>M109/M5</f>
        <v>2.4009603841536616E-2</v>
      </c>
      <c r="N101" s="55">
        <f>N109/N5</f>
        <v>1.3527758257203091E-2</v>
      </c>
      <c r="O101" s="55">
        <f>O109/O5</f>
        <v>6.7026081888387004E-2</v>
      </c>
      <c r="P101" s="55">
        <f>P109/P5</f>
        <v>6.1907139291063402E-2</v>
      </c>
      <c r="Q101" s="55">
        <f>Q109/Q5</f>
        <v>0.13030303030303031</v>
      </c>
      <c r="R101" s="1"/>
      <c r="S101" s="1"/>
      <c r="T101" s="55">
        <f t="shared" ref="T101:AA101" si="88">T109/T5</f>
        <v>8.5342333654773381E-2</v>
      </c>
      <c r="U101" s="55">
        <f t="shared" si="88"/>
        <v>6.2659846547314574E-2</v>
      </c>
      <c r="V101" s="55">
        <f t="shared" si="88"/>
        <v>8.1041257367387029E-2</v>
      </c>
      <c r="W101" s="55">
        <f t="shared" si="88"/>
        <v>0.12282031842304776</v>
      </c>
      <c r="X101" s="55">
        <f t="shared" si="88"/>
        <v>0.1491031390134529</v>
      </c>
      <c r="Y101" s="55">
        <f t="shared" si="88"/>
        <v>0.15486111111111112</v>
      </c>
      <c r="Z101" s="55">
        <f t="shared" si="88"/>
        <v>0.14716981132075471</v>
      </c>
      <c r="AA101" s="55">
        <f t="shared" si="88"/>
        <v>0.15210751374465487</v>
      </c>
      <c r="AB101" s="1"/>
      <c r="AC101" s="55">
        <f>AC109/AC5</f>
        <v>0.15095818815331011</v>
      </c>
      <c r="AD101" s="1"/>
      <c r="AE101" s="1"/>
    </row>
    <row r="102" spans="1:31" x14ac:dyDescent="0.2">
      <c r="B102" s="1"/>
    </row>
    <row r="103" spans="1:31" s="15" customFormat="1" ht="17" thickBot="1" x14ac:dyDescent="0.25">
      <c r="A103" s="11"/>
      <c r="B103" s="14" t="s">
        <v>105</v>
      </c>
      <c r="R103" s="1"/>
      <c r="S103" s="1"/>
      <c r="AB103" s="1"/>
      <c r="AD103" s="1"/>
      <c r="AE103" s="1"/>
    </row>
    <row r="104" spans="1:31" x14ac:dyDescent="0.2">
      <c r="B104" s="20" t="s">
        <v>70</v>
      </c>
      <c r="C104" s="81">
        <f t="shared" ref="C104:Q104" si="89">IF(AND(C82&gt;=0,C11&gt;=0),C82,0)</f>
        <v>0</v>
      </c>
      <c r="D104" s="81">
        <f t="shared" si="89"/>
        <v>0</v>
      </c>
      <c r="E104" s="81">
        <f t="shared" si="89"/>
        <v>0</v>
      </c>
      <c r="F104" s="81">
        <f t="shared" si="89"/>
        <v>0</v>
      </c>
      <c r="G104" s="81">
        <f t="shared" si="89"/>
        <v>0</v>
      </c>
      <c r="H104" s="81">
        <f t="shared" si="89"/>
        <v>0</v>
      </c>
      <c r="I104" s="81">
        <f t="shared" si="89"/>
        <v>0</v>
      </c>
      <c r="J104" s="81">
        <f t="shared" si="89"/>
        <v>0</v>
      </c>
      <c r="K104" s="81">
        <f t="shared" si="89"/>
        <v>0</v>
      </c>
      <c r="L104" s="81">
        <f t="shared" si="89"/>
        <v>0</v>
      </c>
      <c r="M104" s="81">
        <f t="shared" si="89"/>
        <v>0.28313253012048195</v>
      </c>
      <c r="N104" s="81">
        <f t="shared" si="89"/>
        <v>0.53892215568862278</v>
      </c>
      <c r="O104" s="81">
        <f t="shared" si="89"/>
        <v>0.13883677298311445</v>
      </c>
      <c r="P104" s="81">
        <f t="shared" si="89"/>
        <v>0.35294117647058826</v>
      </c>
      <c r="Q104" s="81">
        <f t="shared" si="89"/>
        <v>0.23478760045924224</v>
      </c>
      <c r="T104" s="81">
        <f t="shared" ref="T104:Z104" si="90">IF(AND(T82&gt;=0,T11&gt;=0),T82,0)</f>
        <v>0.34200743494423791</v>
      </c>
      <c r="U104" s="81">
        <f t="shared" si="90"/>
        <v>0.4</v>
      </c>
      <c r="V104" s="81">
        <f t="shared" si="90"/>
        <v>0.38113207547169814</v>
      </c>
      <c r="W104" s="81">
        <f t="shared" si="90"/>
        <v>0.23040380047505937</v>
      </c>
      <c r="X104" s="81">
        <f t="shared" si="90"/>
        <v>0.1910569105691057</v>
      </c>
      <c r="Y104" s="81">
        <f t="shared" si="90"/>
        <v>0.20959147424511546</v>
      </c>
      <c r="Z104" s="81">
        <f t="shared" si="90"/>
        <v>0.1095890410958904</v>
      </c>
      <c r="AA104" s="81">
        <f t="shared" ref="AA104" si="91">IF(AND(AA82&gt;=0,AA11&gt;=0),AA82,0)</f>
        <v>0.1967741935483871</v>
      </c>
      <c r="AC104" s="81">
        <f>IF(AND(AC82&gt;=0,AC11&gt;=0),AC82,0)</f>
        <v>0.18078561287269285</v>
      </c>
    </row>
    <row r="105" spans="1:31" x14ac:dyDescent="0.2">
      <c r="B105" s="20" t="s">
        <v>174</v>
      </c>
      <c r="C105" s="25"/>
      <c r="D105" s="25"/>
      <c r="E105" s="25"/>
      <c r="F105" s="25"/>
      <c r="G105" s="25"/>
      <c r="H105" s="25"/>
      <c r="I105" s="25"/>
      <c r="J105" s="25"/>
      <c r="K105" s="25"/>
      <c r="L105" s="25"/>
      <c r="M105" s="25">
        <f>M28+M33</f>
        <v>439</v>
      </c>
      <c r="N105" s="25">
        <f>N28+N33</f>
        <v>261</v>
      </c>
      <c r="O105" s="25">
        <f>O28+O33</f>
        <v>780</v>
      </c>
      <c r="P105" s="25">
        <f>P28+P33</f>
        <v>1228</v>
      </c>
      <c r="Q105" s="25">
        <f>Q28+Q33</f>
        <v>1828</v>
      </c>
      <c r="T105" s="25">
        <f t="shared" ref="T105:Z105" si="92">T28+T33</f>
        <v>909</v>
      </c>
      <c r="U105" s="25">
        <f t="shared" si="92"/>
        <v>1228</v>
      </c>
      <c r="V105" s="25">
        <f t="shared" si="92"/>
        <v>1467</v>
      </c>
      <c r="W105" s="25">
        <f t="shared" si="92"/>
        <v>1739</v>
      </c>
      <c r="X105" s="25">
        <f t="shared" si="92"/>
        <v>1941</v>
      </c>
      <c r="Y105" s="25">
        <f t="shared" si="92"/>
        <v>1828</v>
      </c>
      <c r="Z105" s="25">
        <f t="shared" si="92"/>
        <v>2501</v>
      </c>
      <c r="AA105" s="25">
        <f t="shared" ref="AA105" si="93">AA28+AA33</f>
        <v>3111</v>
      </c>
      <c r="AC105" s="25">
        <f>AA105</f>
        <v>3111</v>
      </c>
    </row>
    <row r="106" spans="1:31" x14ac:dyDescent="0.2">
      <c r="B106" s="20" t="s">
        <v>165</v>
      </c>
      <c r="C106" s="25">
        <v>0</v>
      </c>
      <c r="D106" s="25">
        <v>0</v>
      </c>
      <c r="E106" s="25">
        <v>0</v>
      </c>
      <c r="F106" s="25">
        <v>0</v>
      </c>
      <c r="G106" s="25">
        <v>0</v>
      </c>
      <c r="H106" s="25">
        <v>0</v>
      </c>
      <c r="I106" s="25">
        <v>0</v>
      </c>
      <c r="J106" s="25">
        <v>0</v>
      </c>
      <c r="K106" s="25">
        <v>0</v>
      </c>
      <c r="L106" s="25">
        <v>0</v>
      </c>
      <c r="M106" s="25">
        <f>M38+M40</f>
        <v>2973</v>
      </c>
      <c r="N106" s="25">
        <f>N38+N40</f>
        <v>3191</v>
      </c>
      <c r="O106" s="25">
        <f>O38+O40</f>
        <v>2941</v>
      </c>
      <c r="P106" s="25">
        <f>P38+P40</f>
        <v>2928</v>
      </c>
      <c r="Q106" s="25">
        <f>Q38+Q40</f>
        <v>2913</v>
      </c>
      <c r="T106" s="25">
        <f t="shared" ref="T106:Z106" si="94">T38+T40</f>
        <v>2931</v>
      </c>
      <c r="U106" s="25">
        <f t="shared" si="94"/>
        <v>2928</v>
      </c>
      <c r="V106" s="25">
        <f t="shared" si="94"/>
        <v>2925</v>
      </c>
      <c r="W106" s="25">
        <f t="shared" si="94"/>
        <v>2922</v>
      </c>
      <c r="X106" s="25">
        <f t="shared" si="94"/>
        <v>2919</v>
      </c>
      <c r="Y106" s="25">
        <f t="shared" si="94"/>
        <v>2913</v>
      </c>
      <c r="Z106" s="25">
        <f t="shared" si="94"/>
        <v>2922</v>
      </c>
      <c r="AA106" s="25">
        <f t="shared" ref="AA106" si="95">AA38+AA40</f>
        <v>2940</v>
      </c>
      <c r="AC106" s="25">
        <f>AA106</f>
        <v>2940</v>
      </c>
    </row>
    <row r="107" spans="1:31" x14ac:dyDescent="0.2">
      <c r="B107" s="20" t="s">
        <v>158</v>
      </c>
      <c r="C107" s="25"/>
      <c r="D107" s="25"/>
      <c r="E107" s="25"/>
      <c r="F107" s="25"/>
      <c r="G107" s="25"/>
      <c r="H107" s="25"/>
      <c r="I107" s="25"/>
      <c r="J107" s="25"/>
      <c r="K107" s="25"/>
      <c r="L107" s="25"/>
      <c r="M107" s="126">
        <f>M11*(1-M104)</f>
        <v>186.3855421686747</v>
      </c>
      <c r="N107" s="126">
        <f>N11*(1-N104)</f>
        <v>102.82035928143712</v>
      </c>
      <c r="O107" s="126">
        <f>O11*(1-O104)</f>
        <v>750.93433395872421</v>
      </c>
      <c r="P107" s="126">
        <f>P11*(1-P104)</f>
        <v>884.52941176470574</v>
      </c>
      <c r="Q107" s="25">
        <f>Q11*(1-Q104)</f>
        <v>1400.3386911595867</v>
      </c>
      <c r="T107" s="67"/>
      <c r="U107" s="67"/>
      <c r="V107" s="67"/>
      <c r="W107" s="67"/>
      <c r="X107" s="67"/>
      <c r="Y107" s="67"/>
      <c r="Z107" s="67"/>
      <c r="AA107" s="67"/>
      <c r="AC107" s="25">
        <f>AC11*(1-AC104)</f>
        <v>1778.514434453384</v>
      </c>
    </row>
    <row r="108" spans="1:31" x14ac:dyDescent="0.2">
      <c r="B108" s="20" t="s">
        <v>292</v>
      </c>
      <c r="C108" s="25"/>
      <c r="D108" s="25"/>
      <c r="E108" s="25"/>
      <c r="F108" s="25"/>
      <c r="G108" s="25"/>
      <c r="H108" s="25"/>
      <c r="I108" s="25"/>
      <c r="J108" s="25"/>
      <c r="K108" s="25"/>
      <c r="L108" s="25"/>
      <c r="M108" s="126">
        <f>M59+M60</f>
        <v>-84</v>
      </c>
      <c r="N108" s="126">
        <f>N59+N60</f>
        <v>-111</v>
      </c>
      <c r="O108" s="126">
        <f>O59+O60</f>
        <v>-135</v>
      </c>
      <c r="P108" s="126">
        <f>P59+P60</f>
        <v>-184</v>
      </c>
      <c r="Q108" s="126">
        <f>Q59+Q60</f>
        <v>-226</v>
      </c>
      <c r="T108" s="126">
        <f t="shared" ref="T108:Z108" si="96">T59+T60</f>
        <v>-39</v>
      </c>
      <c r="U108" s="126">
        <f t="shared" si="96"/>
        <v>-64</v>
      </c>
      <c r="V108" s="126">
        <f t="shared" si="96"/>
        <v>-39</v>
      </c>
      <c r="W108" s="126">
        <f t="shared" si="96"/>
        <v>-46</v>
      </c>
      <c r="X108" s="126">
        <f t="shared" si="96"/>
        <v>-47</v>
      </c>
      <c r="Y108" s="126">
        <f t="shared" si="96"/>
        <v>-95</v>
      </c>
      <c r="Z108" s="126">
        <f t="shared" si="96"/>
        <v>-114</v>
      </c>
      <c r="AA108" s="126">
        <f t="shared" ref="AA108" si="97">AA59+AA60</f>
        <v>-174</v>
      </c>
      <c r="AC108" s="126">
        <f>AC59+AC60</f>
        <v>-430</v>
      </c>
    </row>
    <row r="109" spans="1:31" x14ac:dyDescent="0.2">
      <c r="B109" s="20" t="s">
        <v>320</v>
      </c>
      <c r="C109" s="25"/>
      <c r="D109" s="25"/>
      <c r="E109" s="25"/>
      <c r="F109" s="25"/>
      <c r="G109" s="25"/>
      <c r="H109" s="25"/>
      <c r="I109" s="25"/>
      <c r="J109" s="25"/>
      <c r="K109" s="25"/>
      <c r="L109" s="25"/>
      <c r="M109" s="126">
        <f>M16+M17</f>
        <v>120</v>
      </c>
      <c r="N109" s="126">
        <f>N16+N17</f>
        <v>77</v>
      </c>
      <c r="O109" s="126">
        <f>O16+O17</f>
        <v>460</v>
      </c>
      <c r="P109" s="126">
        <f>P16+P17</f>
        <v>496</v>
      </c>
      <c r="Q109" s="126">
        <f>Q16+Q17</f>
        <v>1333</v>
      </c>
      <c r="T109" s="126">
        <f t="shared" ref="T109:Z109" si="98">T16+T17</f>
        <v>177</v>
      </c>
      <c r="U109" s="126">
        <f t="shared" si="98"/>
        <v>147</v>
      </c>
      <c r="V109" s="126">
        <f t="shared" si="98"/>
        <v>165</v>
      </c>
      <c r="W109" s="126">
        <f t="shared" si="98"/>
        <v>324</v>
      </c>
      <c r="X109" s="126">
        <f t="shared" si="98"/>
        <v>399</v>
      </c>
      <c r="Y109" s="126">
        <f t="shared" si="98"/>
        <v>446</v>
      </c>
      <c r="Z109" s="126">
        <f t="shared" si="98"/>
        <v>390</v>
      </c>
      <c r="AA109" s="126">
        <f t="shared" ref="AA109" si="99">AA16+AA17</f>
        <v>498</v>
      </c>
      <c r="AC109" s="126">
        <f>AC16+AC17</f>
        <v>1733</v>
      </c>
    </row>
    <row r="110" spans="1:31" x14ac:dyDescent="0.2">
      <c r="B110" s="20" t="s">
        <v>321</v>
      </c>
      <c r="C110" s="25"/>
      <c r="D110" s="25"/>
      <c r="E110" s="25"/>
      <c r="F110" s="25"/>
      <c r="G110" s="25"/>
      <c r="H110" s="25"/>
      <c r="I110" s="25"/>
      <c r="J110" s="25"/>
      <c r="K110" s="25"/>
      <c r="L110" s="25"/>
      <c r="M110" s="126">
        <f>M48+M47</f>
        <v>1418</v>
      </c>
      <c r="N110" s="126">
        <f>N48+N47</f>
        <v>1442</v>
      </c>
      <c r="O110" s="126">
        <f>O48+O47</f>
        <v>2015</v>
      </c>
      <c r="P110" s="126">
        <f>P48+P47</f>
        <v>2434</v>
      </c>
      <c r="Q110" s="126">
        <f>Q48+Q47</f>
        <v>3941</v>
      </c>
      <c r="T110" s="126">
        <f t="shared" ref="T110:Z110" si="100">T48+T47</f>
        <v>1814</v>
      </c>
      <c r="U110" s="126">
        <f t="shared" si="100"/>
        <v>2434</v>
      </c>
      <c r="V110" s="126">
        <f t="shared" si="100"/>
        <v>2666</v>
      </c>
      <c r="W110" s="126">
        <f t="shared" si="100"/>
        <v>3125</v>
      </c>
      <c r="X110" s="126">
        <f t="shared" si="100"/>
        <v>3509</v>
      </c>
      <c r="Y110" s="126">
        <f t="shared" si="100"/>
        <v>3941</v>
      </c>
      <c r="Z110" s="126">
        <f t="shared" si="100"/>
        <v>4245</v>
      </c>
      <c r="AA110" s="126">
        <f t="shared" ref="AA110" si="101">AA48+AA47</f>
        <v>4758</v>
      </c>
      <c r="AC110" s="126">
        <f>AC48+AC47</f>
        <v>4758</v>
      </c>
    </row>
    <row r="111" spans="1:31" x14ac:dyDescent="0.2">
      <c r="C111" s="57"/>
      <c r="D111" s="57"/>
      <c r="E111" s="57"/>
      <c r="F111" s="57"/>
      <c r="G111" s="57"/>
      <c r="H111" s="57"/>
      <c r="I111" s="57"/>
      <c r="J111" s="57"/>
      <c r="K111" s="57"/>
    </row>
    <row r="112" spans="1:31" x14ac:dyDescent="0.2">
      <c r="B112" s="1"/>
    </row>
    <row r="113" spans="1:31" s="15" customFormat="1" ht="17" thickBot="1" x14ac:dyDescent="0.25">
      <c r="A113" s="11"/>
      <c r="B113" s="14" t="s">
        <v>79</v>
      </c>
      <c r="R113" s="1"/>
      <c r="S113" s="1"/>
      <c r="AB113" s="1"/>
      <c r="AD113" s="1"/>
      <c r="AE113" s="1"/>
    </row>
    <row r="114" spans="1:31" x14ac:dyDescent="0.2">
      <c r="B114" s="20" t="s">
        <v>80</v>
      </c>
      <c r="C114" s="26"/>
      <c r="D114" s="26"/>
      <c r="E114" s="26"/>
      <c r="F114" s="26"/>
      <c r="G114" s="26"/>
      <c r="H114" s="26"/>
      <c r="I114" s="26"/>
      <c r="J114" s="26"/>
      <c r="K114" s="26"/>
      <c r="L114" s="26"/>
      <c r="M114" s="26">
        <v>24.97</v>
      </c>
      <c r="N114" s="26">
        <v>13.66</v>
      </c>
      <c r="O114" s="26">
        <v>48.03</v>
      </c>
      <c r="P114" s="26">
        <v>113.61</v>
      </c>
      <c r="Q114" s="26">
        <v>162.01</v>
      </c>
      <c r="T114" s="26">
        <v>99.49</v>
      </c>
      <c r="U114" s="26">
        <v>113.61</v>
      </c>
      <c r="V114" s="26">
        <v>72.2</v>
      </c>
      <c r="W114" s="26">
        <v>128.41</v>
      </c>
      <c r="X114" s="26">
        <v>150.86000000000001</v>
      </c>
      <c r="Y114" s="26">
        <v>162.01</v>
      </c>
      <c r="Z114" s="26">
        <v>250.58</v>
      </c>
      <c r="AA114" s="26">
        <v>334.82</v>
      </c>
      <c r="AC114" s="63">
        <f ca="1">Overview!C5</f>
        <v>194.30500000000001</v>
      </c>
    </row>
    <row r="115" spans="1:31" x14ac:dyDescent="0.2">
      <c r="B115" s="20" t="s">
        <v>333</v>
      </c>
      <c r="C115" s="26"/>
      <c r="D115" s="26"/>
      <c r="E115" s="26"/>
      <c r="F115" s="26"/>
      <c r="G115" s="26"/>
      <c r="H115" s="26"/>
      <c r="I115" s="26"/>
      <c r="J115" s="26"/>
      <c r="K115" s="26"/>
      <c r="L115" s="26"/>
      <c r="M115" s="65">
        <f>M114/M84</f>
        <v>24.97</v>
      </c>
      <c r="N115" s="65">
        <f>N114/N84</f>
        <v>13.66</v>
      </c>
      <c r="O115" s="65">
        <f>O114/O84</f>
        <v>48.03</v>
      </c>
      <c r="P115" s="65">
        <f>P114/P84</f>
        <v>113.61</v>
      </c>
      <c r="Q115" s="65">
        <f>Q114/Q84</f>
        <v>162.01</v>
      </c>
      <c r="T115" s="65">
        <f t="shared" ref="T115:Z115" si="102">T114/T84</f>
        <v>99.49</v>
      </c>
      <c r="U115" s="65">
        <f t="shared" si="102"/>
        <v>113.61</v>
      </c>
      <c r="V115" s="65">
        <f t="shared" si="102"/>
        <v>72.2</v>
      </c>
      <c r="W115" s="65">
        <f t="shared" si="102"/>
        <v>128.41</v>
      </c>
      <c r="X115" s="65">
        <f t="shared" si="102"/>
        <v>150.86000000000001</v>
      </c>
      <c r="Y115" s="65">
        <f t="shared" si="102"/>
        <v>162.01</v>
      </c>
      <c r="Z115" s="65">
        <f t="shared" si="102"/>
        <v>250.58</v>
      </c>
      <c r="AA115" s="65">
        <f t="shared" ref="AA115" si="103">AA114/AA84</f>
        <v>334.82</v>
      </c>
      <c r="AC115" s="65">
        <f ca="1">AC114/AC84</f>
        <v>194.30500000000001</v>
      </c>
    </row>
    <row r="117" spans="1:31" x14ac:dyDescent="0.2">
      <c r="B117" s="1"/>
    </row>
    <row r="118" spans="1:31" ht="17" thickBot="1" x14ac:dyDescent="0.25">
      <c r="B118" s="14" t="s">
        <v>102</v>
      </c>
      <c r="C118" s="15"/>
      <c r="D118" s="15"/>
      <c r="E118" s="15"/>
      <c r="F118" s="15"/>
      <c r="G118" s="15"/>
      <c r="H118" s="15"/>
      <c r="I118" s="15"/>
      <c r="J118" s="15"/>
      <c r="K118" s="15"/>
      <c r="L118" s="15"/>
      <c r="M118" s="15"/>
      <c r="N118" s="15"/>
      <c r="O118" s="15"/>
      <c r="P118" s="15"/>
      <c r="Q118" s="15"/>
      <c r="T118" s="15"/>
      <c r="U118" s="15"/>
      <c r="V118" s="15"/>
      <c r="W118" s="15"/>
      <c r="X118" s="15"/>
      <c r="Y118" s="15"/>
      <c r="Z118" s="15"/>
      <c r="AA118" s="15"/>
      <c r="AC118" s="15"/>
    </row>
    <row r="119" spans="1:31" x14ac:dyDescent="0.2">
      <c r="B119" s="20" t="s">
        <v>96</v>
      </c>
      <c r="M119" s="74">
        <f>M109/M5</f>
        <v>2.4009603841536616E-2</v>
      </c>
      <c r="N119" s="74">
        <f>N109/N5</f>
        <v>1.3527758257203091E-2</v>
      </c>
      <c r="O119" s="74">
        <f>O109/O5</f>
        <v>6.7026081888387004E-2</v>
      </c>
      <c r="P119" s="74">
        <f>P109/P5</f>
        <v>6.1907139291063402E-2</v>
      </c>
      <c r="Q119" s="74">
        <f>Q109/Q5</f>
        <v>0.13030303030303031</v>
      </c>
      <c r="T119" s="77"/>
      <c r="U119" s="77"/>
      <c r="V119" s="77"/>
      <c r="W119" s="77"/>
      <c r="X119" s="77"/>
      <c r="Y119" s="77"/>
      <c r="Z119" s="77"/>
      <c r="AA119" s="77"/>
      <c r="AC119" s="74">
        <f>AC109/AC5</f>
        <v>0.15095818815331011</v>
      </c>
    </row>
    <row r="120" spans="1:31" x14ac:dyDescent="0.2">
      <c r="B120" s="20" t="s">
        <v>97</v>
      </c>
      <c r="M120" s="75">
        <f>M5/M36</f>
        <v>0.72017291066282418</v>
      </c>
      <c r="N120" s="75">
        <f>N5/N36</f>
        <v>0.80214205186020293</v>
      </c>
      <c r="O120" s="75">
        <f>O5/O36</f>
        <v>0.85798224778097265</v>
      </c>
      <c r="P120" s="75">
        <f>P5/P36</f>
        <v>0.87725829409832479</v>
      </c>
      <c r="Q120" s="75">
        <f>Q5/Q36</f>
        <v>0.83770062233868325</v>
      </c>
      <c r="T120" s="78"/>
      <c r="U120" s="78"/>
      <c r="V120" s="78"/>
      <c r="W120" s="78"/>
      <c r="X120" s="78"/>
      <c r="Y120" s="78"/>
      <c r="Z120" s="78"/>
      <c r="AA120" s="78"/>
      <c r="AC120" s="75">
        <f>AC5/AC36</f>
        <v>0.72196717187598269</v>
      </c>
    </row>
    <row r="121" spans="1:31" x14ac:dyDescent="0.2">
      <c r="B121" s="32" t="s">
        <v>98</v>
      </c>
      <c r="M121" s="76">
        <f t="shared" ref="M121:P121" si="104">M119*M120</f>
        <v>1.7291066282420751E-2</v>
      </c>
      <c r="N121" s="76">
        <f t="shared" si="104"/>
        <v>1.085118376550169E-2</v>
      </c>
      <c r="O121" s="76">
        <f t="shared" si="104"/>
        <v>5.7507188398549819E-2</v>
      </c>
      <c r="P121" s="76">
        <f t="shared" si="104"/>
        <v>5.4308551406985657E-2</v>
      </c>
      <c r="Q121" s="76">
        <f>Q119*Q120</f>
        <v>0.1091549295774648</v>
      </c>
      <c r="T121" s="79"/>
      <c r="U121" s="79"/>
      <c r="V121" s="79"/>
      <c r="W121" s="79"/>
      <c r="X121" s="79"/>
      <c r="Y121" s="79"/>
      <c r="Z121" s="79"/>
      <c r="AA121" s="79"/>
      <c r="AC121" s="76">
        <f>AC119*AC120</f>
        <v>0.10898685617256777</v>
      </c>
    </row>
    <row r="122" spans="1:31" x14ac:dyDescent="0.2">
      <c r="B122" s="20" t="s">
        <v>99</v>
      </c>
      <c r="M122" s="75">
        <f>M36/M48</f>
        <v>4.8942172073342736</v>
      </c>
      <c r="N122" s="75">
        <f>N36/N48</f>
        <v>4.9209431345353671</v>
      </c>
      <c r="O122" s="75">
        <f>O36/O48</f>
        <v>3.9697270471464021</v>
      </c>
      <c r="P122" s="75">
        <f>P36/P48</f>
        <v>3.7522596548890714</v>
      </c>
      <c r="Q122" s="75">
        <f>Q36/Q48</f>
        <v>3.0987059122050242</v>
      </c>
      <c r="T122" s="80"/>
      <c r="U122" s="80"/>
      <c r="V122" s="80"/>
      <c r="W122" s="80"/>
      <c r="X122" s="80"/>
      <c r="Y122" s="80"/>
      <c r="Z122" s="80"/>
      <c r="AA122" s="80"/>
      <c r="AC122" s="75">
        <f>AC36/AC48</f>
        <v>3.3419503993274486</v>
      </c>
    </row>
    <row r="123" spans="1:31" x14ac:dyDescent="0.2">
      <c r="B123" s="32" t="s">
        <v>100</v>
      </c>
      <c r="M123" s="76">
        <f t="shared" ref="M123:P123" si="105">M121*M122</f>
        <v>8.4626234132581107E-2</v>
      </c>
      <c r="N123" s="76">
        <f t="shared" si="105"/>
        <v>5.3398058252427175E-2</v>
      </c>
      <c r="O123" s="76">
        <f t="shared" si="105"/>
        <v>0.22828784119106701</v>
      </c>
      <c r="P123" s="76">
        <f t="shared" si="105"/>
        <v>0.2037797863599014</v>
      </c>
      <c r="Q123" s="76">
        <f>Q121*Q122</f>
        <v>0.33823902562801322</v>
      </c>
      <c r="T123" s="79"/>
      <c r="U123" s="79"/>
      <c r="V123" s="79"/>
      <c r="W123" s="79"/>
      <c r="X123" s="79"/>
      <c r="Y123" s="79"/>
      <c r="Z123" s="79"/>
      <c r="AA123" s="79"/>
      <c r="AC123" s="76">
        <f>AC121*AC122</f>
        <v>0.36422866750735605</v>
      </c>
    </row>
    <row r="125" spans="1:31" x14ac:dyDescent="0.2">
      <c r="B125" s="1"/>
    </row>
    <row r="126" spans="1:31" ht="17" thickBot="1" x14ac:dyDescent="0.25">
      <c r="B126" s="14" t="s">
        <v>224</v>
      </c>
      <c r="C126" s="165"/>
      <c r="D126" s="165"/>
      <c r="E126" s="165"/>
      <c r="F126" s="165"/>
      <c r="G126" s="165"/>
      <c r="H126" s="165"/>
      <c r="I126" s="165"/>
      <c r="J126" s="165"/>
      <c r="K126" s="165"/>
      <c r="L126" s="165"/>
      <c r="M126" s="165"/>
      <c r="N126" s="165"/>
      <c r="O126" s="165"/>
      <c r="P126" s="165"/>
      <c r="Q126" s="165"/>
      <c r="T126" s="165"/>
      <c r="U126" s="165"/>
      <c r="V126" s="165"/>
      <c r="W126" s="165"/>
      <c r="X126" s="165"/>
      <c r="Y126" s="165"/>
      <c r="Z126" s="165"/>
      <c r="AA126" s="165"/>
      <c r="AC126" s="165"/>
    </row>
    <row r="127" spans="1:31" x14ac:dyDescent="0.2">
      <c r="B127" s="20" t="s">
        <v>384</v>
      </c>
      <c r="C127" s="49"/>
      <c r="D127" s="49"/>
      <c r="E127" s="49"/>
      <c r="F127" s="49"/>
      <c r="G127" s="49"/>
      <c r="H127" s="49"/>
      <c r="I127" s="49"/>
      <c r="J127" s="49"/>
      <c r="K127" s="49"/>
      <c r="L127" s="49"/>
      <c r="M127" s="49"/>
      <c r="N127" s="49"/>
      <c r="O127" s="49"/>
      <c r="P127" s="49"/>
      <c r="Q127" s="49"/>
      <c r="T127" s="21">
        <v>2115</v>
      </c>
      <c r="U127" s="21">
        <v>1900</v>
      </c>
      <c r="V127" s="21">
        <v>2325</v>
      </c>
      <c r="W127" s="21">
        <v>2510</v>
      </c>
      <c r="X127" s="21">
        <v>2810</v>
      </c>
      <c r="Y127" s="21">
        <v>2500</v>
      </c>
      <c r="Z127" s="21">
        <v>3250</v>
      </c>
      <c r="AA127" s="21">
        <v>3650</v>
      </c>
      <c r="AC127" s="49"/>
    </row>
    <row r="128" spans="1:31" x14ac:dyDescent="0.2">
      <c r="B128" s="20" t="s">
        <v>385</v>
      </c>
      <c r="C128" s="49"/>
      <c r="D128" s="49"/>
      <c r="E128" s="49"/>
      <c r="F128" s="49"/>
      <c r="G128" s="49"/>
      <c r="H128" s="49"/>
      <c r="I128" s="49"/>
      <c r="J128" s="49"/>
      <c r="K128" s="49"/>
      <c r="L128" s="49"/>
      <c r="M128" s="49"/>
      <c r="N128" s="49"/>
      <c r="O128" s="49"/>
      <c r="P128" s="49"/>
      <c r="Q128" s="49"/>
      <c r="T128" s="21">
        <v>2165</v>
      </c>
      <c r="U128" s="21">
        <v>1950</v>
      </c>
      <c r="V128" s="21">
        <v>2375</v>
      </c>
      <c r="W128" s="21">
        <v>2590</v>
      </c>
      <c r="X128" s="21">
        <v>2890</v>
      </c>
      <c r="Y128" s="21">
        <v>2700</v>
      </c>
      <c r="Z128" s="21">
        <v>3450</v>
      </c>
      <c r="AA128" s="21">
        <v>3850</v>
      </c>
      <c r="AC128" s="49"/>
    </row>
    <row r="129" spans="2:29" x14ac:dyDescent="0.2">
      <c r="B129" s="20" t="s">
        <v>386</v>
      </c>
      <c r="C129" s="49"/>
      <c r="D129" s="49"/>
      <c r="E129" s="49"/>
      <c r="F129" s="49"/>
      <c r="G129" s="49"/>
      <c r="H129" s="49"/>
      <c r="I129" s="49"/>
      <c r="J129" s="49"/>
      <c r="K129" s="49"/>
      <c r="L129" s="49"/>
      <c r="M129" s="49"/>
      <c r="N129" s="49"/>
      <c r="O129" s="49"/>
      <c r="P129" s="49"/>
      <c r="Q129" s="49"/>
      <c r="T129" s="25">
        <f t="shared" ref="T129:AA129" si="106">U5</f>
        <v>2346</v>
      </c>
      <c r="U129" s="25">
        <f t="shared" si="106"/>
        <v>2036</v>
      </c>
      <c r="V129" s="25">
        <f t="shared" si="106"/>
        <v>2638</v>
      </c>
      <c r="W129" s="25">
        <f t="shared" si="106"/>
        <v>2676</v>
      </c>
      <c r="X129" s="25">
        <f t="shared" si="106"/>
        <v>2880</v>
      </c>
      <c r="Y129" s="25">
        <f t="shared" si="106"/>
        <v>2650</v>
      </c>
      <c r="Z129" s="25">
        <f t="shared" si="106"/>
        <v>3274</v>
      </c>
      <c r="AA129" s="25">
        <f t="shared" si="106"/>
        <v>0</v>
      </c>
      <c r="AC129" s="49"/>
    </row>
    <row r="130" spans="2:29" x14ac:dyDescent="0.2">
      <c r="B130" s="20" t="s">
        <v>182</v>
      </c>
      <c r="C130" s="49"/>
      <c r="D130" s="49"/>
      <c r="E130" s="49"/>
      <c r="F130" s="49"/>
      <c r="G130" s="49"/>
      <c r="H130" s="49"/>
      <c r="I130" s="49"/>
      <c r="J130" s="49"/>
      <c r="K130" s="49"/>
      <c r="L130" s="49"/>
      <c r="M130" s="49"/>
      <c r="N130" s="49"/>
      <c r="O130" s="49"/>
      <c r="P130" s="49"/>
      <c r="Q130" s="49"/>
      <c r="T130" s="233" t="str">
        <f t="shared" ref="T130:Y130" si="107">IF(T129&gt;T128, "BEAT", IF(T129&lt;T127, "MISSED", "MET"))</f>
        <v>BEAT</v>
      </c>
      <c r="U130" s="233" t="str">
        <f t="shared" si="107"/>
        <v>BEAT</v>
      </c>
      <c r="V130" s="233" t="str">
        <f t="shared" si="107"/>
        <v>BEAT</v>
      </c>
      <c r="W130" s="233" t="str">
        <f t="shared" si="107"/>
        <v>BEAT</v>
      </c>
      <c r="X130" s="233" t="str">
        <f t="shared" si="107"/>
        <v>MET</v>
      </c>
      <c r="Y130" s="233" t="str">
        <f t="shared" si="107"/>
        <v>MET</v>
      </c>
      <c r="Z130" s="233" t="str">
        <f>IF(Z129&gt;Z128, "BEAT", IF(Z129&lt;Z127, "MISSED", "MET"))</f>
        <v>MET</v>
      </c>
      <c r="AA130" s="233" t="str">
        <f>IF(AA129&gt;AA128, "BEAT", IF(AA129&lt;AA127, "MISSED", "MET"))</f>
        <v>MISSED</v>
      </c>
      <c r="AC130" s="49"/>
    </row>
    <row r="132" spans="2:29" x14ac:dyDescent="0.2">
      <c r="B132" s="1"/>
    </row>
    <row r="133" spans="2:29" ht="17" thickBot="1" x14ac:dyDescent="0.25">
      <c r="B133" s="14" t="s">
        <v>241</v>
      </c>
      <c r="C133" s="165"/>
      <c r="D133" s="165"/>
      <c r="E133" s="165"/>
      <c r="F133" s="165"/>
      <c r="G133" s="165"/>
      <c r="H133" s="165"/>
      <c r="I133" s="165"/>
      <c r="J133" s="165"/>
      <c r="K133" s="165"/>
      <c r="L133" s="165"/>
      <c r="M133" s="165"/>
      <c r="N133" s="165"/>
      <c r="O133" s="165"/>
      <c r="P133" s="165"/>
      <c r="Q133" s="165"/>
      <c r="T133" s="165"/>
      <c r="U133" s="165"/>
      <c r="V133" s="165"/>
      <c r="W133" s="165"/>
      <c r="X133" s="165"/>
      <c r="Y133" s="165"/>
      <c r="Z133" s="165"/>
      <c r="AA133" s="165"/>
      <c r="AC133" s="165"/>
    </row>
    <row r="134" spans="2:29" x14ac:dyDescent="0.2">
      <c r="B134" s="20" t="s">
        <v>101</v>
      </c>
      <c r="C134" s="81"/>
      <c r="D134" s="81"/>
      <c r="E134" s="81"/>
      <c r="F134" s="81"/>
      <c r="G134" s="81"/>
      <c r="H134" s="81"/>
      <c r="I134" s="81"/>
      <c r="J134" s="81"/>
      <c r="K134" s="81"/>
      <c r="L134" s="81"/>
      <c r="M134" s="81">
        <f>M107/(M106+M110-M105)</f>
        <v>4.7162333544705136E-2</v>
      </c>
      <c r="N134" s="81">
        <f>N107/(N106+N110-N105)</f>
        <v>2.3517922982945361E-2</v>
      </c>
      <c r="O134" s="81">
        <f>O107/(O106+O110-O105)</f>
        <v>0.17982144012421558</v>
      </c>
      <c r="P134" s="81">
        <f>P107/(P106+P110-P105)</f>
        <v>0.21396454082358629</v>
      </c>
      <c r="Q134" s="81">
        <f>Q107/(Q106+Q110-Q105)</f>
        <v>0.27861891984870407</v>
      </c>
      <c r="T134" s="49"/>
      <c r="U134" s="49"/>
      <c r="V134" s="49"/>
      <c r="W134" s="49"/>
      <c r="X134" s="49"/>
      <c r="Y134" s="49"/>
      <c r="Z134" s="49"/>
      <c r="AA134" s="49"/>
      <c r="AC134" s="81">
        <f>AC107/(AC106+AC110-AC105)</f>
        <v>0.38772932950804095</v>
      </c>
    </row>
    <row r="135" spans="2:29" x14ac:dyDescent="0.2">
      <c r="B135" s="20" t="s">
        <v>135</v>
      </c>
      <c r="M135" s="118">
        <f t="shared" ref="M135:Q136" si="108">M29/M5*365</f>
        <v>112.17286914765906</v>
      </c>
      <c r="N135" s="118">
        <f t="shared" si="108"/>
        <v>121.13229093464511</v>
      </c>
      <c r="O135" s="118">
        <f t="shared" si="108"/>
        <v>116.20646947399096</v>
      </c>
      <c r="P135" s="118">
        <f t="shared" si="108"/>
        <v>107.65039940089865</v>
      </c>
      <c r="Q135" s="118">
        <f t="shared" si="108"/>
        <v>110.92717497556207</v>
      </c>
      <c r="T135" s="118">
        <f t="shared" ref="T135:AA135" si="109">T29/T5*90</f>
        <v>101.06557377049181</v>
      </c>
      <c r="U135" s="118">
        <f t="shared" si="109"/>
        <v>90.652173913043484</v>
      </c>
      <c r="V135" s="118">
        <f t="shared" si="109"/>
        <v>102.15618860510806</v>
      </c>
      <c r="W135" s="118">
        <f t="shared" si="109"/>
        <v>96.584533737680061</v>
      </c>
      <c r="X135" s="118">
        <f t="shared" si="109"/>
        <v>94.540358744394624</v>
      </c>
      <c r="Y135" s="118">
        <f t="shared" si="109"/>
        <v>97.15625</v>
      </c>
      <c r="Z135" s="118">
        <f t="shared" si="109"/>
        <v>106.94716981132076</v>
      </c>
      <c r="AA135" s="118">
        <f t="shared" si="109"/>
        <v>103.08491142333537</v>
      </c>
      <c r="AC135" s="118">
        <f>AC29/AC5*365</f>
        <v>119.22909407665504</v>
      </c>
    </row>
    <row r="136" spans="2:29" x14ac:dyDescent="0.2">
      <c r="B136" s="20" t="s">
        <v>136</v>
      </c>
      <c r="M136" s="118">
        <f t="shared" si="108"/>
        <v>64.702158273381301</v>
      </c>
      <c r="N136" s="118">
        <f t="shared" si="108"/>
        <v>73.626993865030684</v>
      </c>
      <c r="O136" s="118">
        <f t="shared" si="108"/>
        <v>72.296661438494283</v>
      </c>
      <c r="P136" s="118">
        <f t="shared" si="108"/>
        <v>89.417093343836157</v>
      </c>
      <c r="Q136" s="118">
        <f t="shared" si="108"/>
        <v>81.627782041442828</v>
      </c>
      <c r="T136" s="118">
        <f t="shared" ref="T136:AA136" si="110">T30/T6*365</f>
        <v>347.81700835231584</v>
      </c>
      <c r="U136" s="118">
        <f t="shared" si="110"/>
        <v>307.62872628726291</v>
      </c>
      <c r="V136" s="118">
        <f t="shared" si="110"/>
        <v>374.19259259259258</v>
      </c>
      <c r="W136" s="118">
        <f t="shared" si="110"/>
        <v>296.06486796785305</v>
      </c>
      <c r="X136" s="118">
        <f t="shared" si="110"/>
        <v>315.01801801801798</v>
      </c>
      <c r="Y136" s="118">
        <f t="shared" si="110"/>
        <v>302.33371233655487</v>
      </c>
      <c r="Z136" s="118">
        <f t="shared" si="110"/>
        <v>405.92424242424238</v>
      </c>
      <c r="AA136" s="118">
        <f t="shared" si="110"/>
        <v>451.64051005394805</v>
      </c>
      <c r="AC136" s="118">
        <f>AC30/AC6*365</f>
        <v>129.46646984394769</v>
      </c>
    </row>
    <row r="137" spans="2:29" x14ac:dyDescent="0.2">
      <c r="B137" s="20" t="s">
        <v>137</v>
      </c>
      <c r="M137" s="118">
        <f>M37/M6*365</f>
        <v>90.225899280575547</v>
      </c>
      <c r="N137" s="118">
        <f>N37/N6*365</f>
        <v>88.137423312883428</v>
      </c>
      <c r="O137" s="118">
        <f>O37/O6*365</f>
        <v>80.638583912166709</v>
      </c>
      <c r="P137" s="118">
        <f>P37/P6*365</f>
        <v>94.592359196534076</v>
      </c>
      <c r="Q137" s="118">
        <f>Q37/Q6*365</f>
        <v>98.379125095932466</v>
      </c>
      <c r="T137" s="118">
        <f t="shared" ref="T137:AA137" si="111">T37/T6*90</f>
        <v>84.738041002277896</v>
      </c>
      <c r="U137" s="118">
        <f t="shared" si="111"/>
        <v>80.243902439024382</v>
      </c>
      <c r="V137" s="118">
        <f t="shared" si="111"/>
        <v>93.8</v>
      </c>
      <c r="W137" s="118">
        <f t="shared" si="111"/>
        <v>82.921928817451203</v>
      </c>
      <c r="X137" s="118">
        <f t="shared" si="111"/>
        <v>92.972972972972983</v>
      </c>
      <c r="Y137" s="118">
        <f t="shared" si="111"/>
        <v>89.846503695281413</v>
      </c>
      <c r="Z137" s="118">
        <f t="shared" si="111"/>
        <v>106.47272727272728</v>
      </c>
      <c r="AA137" s="118">
        <f t="shared" si="111"/>
        <v>109.15644923982343</v>
      </c>
      <c r="AC137" s="118">
        <f>AC37/AC6*365</f>
        <v>126.90074511457892</v>
      </c>
    </row>
    <row r="138" spans="2:29" x14ac:dyDescent="0.2">
      <c r="B138" s="20" t="s">
        <v>138</v>
      </c>
      <c r="M138" s="118">
        <f>M135+M136-M137</f>
        <v>86.649128140464811</v>
      </c>
      <c r="N138" s="118">
        <f t="shared" ref="N138:Q138" si="112">N135+N136-N137</f>
        <v>106.62186148679238</v>
      </c>
      <c r="O138" s="118">
        <f t="shared" si="112"/>
        <v>107.86454700031852</v>
      </c>
      <c r="P138" s="118">
        <f t="shared" si="112"/>
        <v>102.47513354820073</v>
      </c>
      <c r="Q138" s="118">
        <f t="shared" si="112"/>
        <v>94.175831921072415</v>
      </c>
      <c r="T138" s="118">
        <f t="shared" ref="T138" si="113">T135+T136-T137</f>
        <v>364.14454112052977</v>
      </c>
      <c r="U138" s="118">
        <f t="shared" ref="U138" si="114">U135+U136-U137</f>
        <v>318.03699776128201</v>
      </c>
      <c r="V138" s="118">
        <f t="shared" ref="V138" si="115">V135+V136-V137</f>
        <v>382.54878119770063</v>
      </c>
      <c r="W138" s="118">
        <f t="shared" ref="W138" si="116">W135+W136-W137</f>
        <v>309.72747288808193</v>
      </c>
      <c r="X138" s="118">
        <f t="shared" ref="X138:Z138" si="117">X135+X136-X137</f>
        <v>316.58540378943962</v>
      </c>
      <c r="Y138" s="118">
        <f t="shared" si="117"/>
        <v>309.64345864127347</v>
      </c>
      <c r="Z138" s="118">
        <f t="shared" si="117"/>
        <v>406.39868496283589</v>
      </c>
      <c r="AA138" s="118">
        <f t="shared" ref="AA138" si="118">AA135+AA136-AA137</f>
        <v>445.56897223745995</v>
      </c>
      <c r="AC138" s="118">
        <f t="shared" ref="AC138" si="119">AC135+AC136-AC137</f>
        <v>121.79481880602383</v>
      </c>
    </row>
    <row r="139" spans="2:29" x14ac:dyDescent="0.2">
      <c r="B139" s="20" t="s">
        <v>244</v>
      </c>
      <c r="M139" s="118">
        <f>M106/M48</f>
        <v>2.0966149506346969</v>
      </c>
      <c r="N139" s="118">
        <f>N106/N48</f>
        <v>2.2128987517337033</v>
      </c>
      <c r="O139" s="118">
        <f>O106/O48</f>
        <v>1.4595533498759306</v>
      </c>
      <c r="P139" s="118">
        <f>P106/P48</f>
        <v>1.2029580936729662</v>
      </c>
      <c r="Q139" s="118">
        <f>Q106/Q48</f>
        <v>0.7391524993656432</v>
      </c>
      <c r="T139" s="118">
        <f t="shared" ref="T139:Z139" si="120">T106/T48</f>
        <v>1.6157662624035281</v>
      </c>
      <c r="U139" s="118">
        <f t="shared" si="120"/>
        <v>1.2029580936729662</v>
      </c>
      <c r="V139" s="118">
        <f t="shared" si="120"/>
        <v>1.0971492873218305</v>
      </c>
      <c r="W139" s="118">
        <f t="shared" si="120"/>
        <v>0.93503999999999998</v>
      </c>
      <c r="X139" s="118">
        <f t="shared" si="120"/>
        <v>0.8318609290396124</v>
      </c>
      <c r="Y139" s="118">
        <f t="shared" si="120"/>
        <v>0.7391524993656432</v>
      </c>
      <c r="Z139" s="118">
        <f t="shared" si="120"/>
        <v>0.68833922261484104</v>
      </c>
      <c r="AA139" s="118">
        <f t="shared" ref="AA139" si="121">AA106/AA48</f>
        <v>0.61790668348045397</v>
      </c>
      <c r="AC139" s="118">
        <f>AC106/AC48</f>
        <v>0.61790668348045397</v>
      </c>
    </row>
    <row r="140" spans="2:29" x14ac:dyDescent="0.2">
      <c r="B140" s="20" t="s">
        <v>248</v>
      </c>
      <c r="M140" s="173">
        <f>(M106-M105)/M48</f>
        <v>1.7870239774330043</v>
      </c>
      <c r="N140" s="173">
        <f>(N106-N105)/N48</f>
        <v>2.0319001386962552</v>
      </c>
      <c r="O140" s="173">
        <f>(O106-O105)/O48</f>
        <v>1.0724565756823821</v>
      </c>
      <c r="P140" s="173">
        <f>(P106-P105)/P48</f>
        <v>0.69843878389482339</v>
      </c>
      <c r="Q140" s="173">
        <f>(Q106-Q105)/Q48</f>
        <v>0.27531083481349911</v>
      </c>
      <c r="T140" s="173">
        <f t="shared" ref="T140:Z140" si="122">(T106-T105)/T48</f>
        <v>1.1146637265711135</v>
      </c>
      <c r="U140" s="173">
        <f t="shared" si="122"/>
        <v>0.69843878389482339</v>
      </c>
      <c r="V140" s="173">
        <f t="shared" si="122"/>
        <v>0.54688672168042007</v>
      </c>
      <c r="W140" s="173">
        <f t="shared" si="122"/>
        <v>0.37856000000000001</v>
      </c>
      <c r="X140" s="173">
        <f t="shared" si="122"/>
        <v>0.27871188372755773</v>
      </c>
      <c r="Y140" s="173">
        <f t="shared" si="122"/>
        <v>0.27531083481349911</v>
      </c>
      <c r="Z140" s="173">
        <f t="shared" si="122"/>
        <v>9.9175500588928156E-2</v>
      </c>
      <c r="AA140" s="173">
        <f t="shared" ref="AA140" si="123">(AA106-AA105)/AA48</f>
        <v>-3.5939470365699874E-2</v>
      </c>
      <c r="AC140" s="173">
        <f>(AC106-AC105)/AC48</f>
        <v>-3.5939470365699874E-2</v>
      </c>
    </row>
    <row r="141" spans="2:29" x14ac:dyDescent="0.2">
      <c r="B141" s="20" t="s">
        <v>245</v>
      </c>
      <c r="M141" s="118">
        <f>(M105+M29)/M39</f>
        <v>1.0646900269541779</v>
      </c>
      <c r="N141" s="118">
        <f>(N105+N29)/N39</f>
        <v>1.1327713382507902</v>
      </c>
      <c r="O141" s="118">
        <f>(O105+O29)/O39</f>
        <v>1.2863340563991323</v>
      </c>
      <c r="P141" s="118">
        <f>(P105+P29)/P39</f>
        <v>1.1595092024539877</v>
      </c>
      <c r="Q141" s="118">
        <f>(Q105+Q29)/Q39</f>
        <v>1.1202632176083505</v>
      </c>
      <c r="T141" s="118">
        <f t="shared" ref="T141:Z141" si="124">(T105+T29)/T39</f>
        <v>0.92805961593579822</v>
      </c>
      <c r="U141" s="118">
        <f t="shared" si="124"/>
        <v>1.1595092024539877</v>
      </c>
      <c r="V141" s="118">
        <f t="shared" si="124"/>
        <v>1.1865577889447236</v>
      </c>
      <c r="W141" s="118">
        <f t="shared" si="124"/>
        <v>1.26417704011065</v>
      </c>
      <c r="X141" s="118">
        <f t="shared" si="124"/>
        <v>1.3284875594073247</v>
      </c>
      <c r="Y141" s="118">
        <f t="shared" si="124"/>
        <v>1.1202632176083505</v>
      </c>
      <c r="Z141" s="118">
        <f t="shared" si="124"/>
        <v>1.0574583567284297</v>
      </c>
      <c r="AA141" s="118">
        <f t="shared" ref="AA141" si="125">(AA105+AA29)/AA39</f>
        <v>0.94725942289106724</v>
      </c>
      <c r="AC141" s="118">
        <f>(AC105+AC29)/AC39</f>
        <v>0.94725942289106724</v>
      </c>
    </row>
    <row r="142" spans="2:29" x14ac:dyDescent="0.2">
      <c r="B142" s="20" t="s">
        <v>246</v>
      </c>
      <c r="M142" s="118">
        <f>M31/M39</f>
        <v>1.4549865229110512</v>
      </c>
      <c r="N142" s="118">
        <f>N31/N39</f>
        <v>1.6643835616438356</v>
      </c>
      <c r="O142" s="118">
        <f>O31/O39</f>
        <v>1.7362255965292841</v>
      </c>
      <c r="P142" s="118">
        <f>P31/P39</f>
        <v>1.6474007103648691</v>
      </c>
      <c r="Q142" s="118">
        <f>Q31/Q39</f>
        <v>1.5475380077149989</v>
      </c>
      <c r="T142" s="118">
        <f t="shared" ref="T142:Z142" si="126">T31/T39</f>
        <v>1.3771854399541417</v>
      </c>
      <c r="U142" s="118">
        <f t="shared" si="126"/>
        <v>1.6474007103648691</v>
      </c>
      <c r="V142" s="118">
        <f t="shared" si="126"/>
        <v>1.7154522613065326</v>
      </c>
      <c r="W142" s="118">
        <f t="shared" si="126"/>
        <v>1.7432918395573997</v>
      </c>
      <c r="X142" s="118">
        <f t="shared" si="126"/>
        <v>1.8308638523902712</v>
      </c>
      <c r="Y142" s="118">
        <f t="shared" si="126"/>
        <v>1.5475380077149989</v>
      </c>
      <c r="Z142" s="118">
        <f t="shared" si="126"/>
        <v>1.4944787572524798</v>
      </c>
      <c r="AA142" s="118">
        <f t="shared" ref="AA142" si="127">AA31/AA39</f>
        <v>1.3785724147452714</v>
      </c>
      <c r="AC142" s="118">
        <f>AC31/AC39</f>
        <v>1.3785724147452714</v>
      </c>
    </row>
    <row r="143" spans="2:29" x14ac:dyDescent="0.2">
      <c r="B143" s="20" t="s">
        <v>252</v>
      </c>
      <c r="M143" s="175">
        <f>IF(M12&gt;=0,"N/A",IF(M11&lt;=0,"N/A",M11/-M12))</f>
        <v>2.8571428571428572</v>
      </c>
      <c r="N143" s="175">
        <f>IF(N12&gt;=0,"N/A",IF(N11&lt;=0,"N/A",N11/-N12))</f>
        <v>1.5170068027210883</v>
      </c>
      <c r="O143" s="175">
        <f>IF(O12&gt;=0,"N/A",IF(O11&lt;=0,"N/A",O11/-O12))</f>
        <v>4.8444444444444441</v>
      </c>
      <c r="P143" s="175">
        <f>IF(P12&gt;=0,"N/A",IF(P11&lt;=0,"N/A",P11/-P12))</f>
        <v>9.1133333333333333</v>
      </c>
      <c r="Q143" s="175">
        <f>IF(Q12&gt;=0,"N/A",IF(Q11&lt;=0,"N/A",Q11/-Q12))</f>
        <v>21.279069767441861</v>
      </c>
      <c r="T143" s="175">
        <f t="shared" ref="T143:Z143" si="128">IF(T12&gt;=0,"N/A",IF(T11&lt;=0,"N/A",T11/-T12))</f>
        <v>10.333333333333334</v>
      </c>
      <c r="U143" s="175">
        <f t="shared" si="128"/>
        <v>14.741935483870968</v>
      </c>
      <c r="V143" s="175">
        <f t="shared" si="128"/>
        <v>11.64</v>
      </c>
      <c r="W143" s="175">
        <f t="shared" si="128"/>
        <v>21.047619047619047</v>
      </c>
      <c r="X143" s="175">
        <f t="shared" si="128"/>
        <v>22.478260869565219</v>
      </c>
      <c r="Y143" s="175">
        <f t="shared" si="128"/>
        <v>34.117647058823529</v>
      </c>
      <c r="Z143" s="175" t="str">
        <f t="shared" si="128"/>
        <v>N/A</v>
      </c>
      <c r="AA143" s="175">
        <f t="shared" ref="AA143" si="129">IF(AA12&gt;=0,"N/A",IF(AA11&lt;=0,"N/A",AA11/-AA12))</f>
        <v>37.294117647058826</v>
      </c>
      <c r="AC143" s="175">
        <f>IF(AC12&gt;=0,"N/A",IF(AC11&lt;=0,"N/A",AC11/-AC12))</f>
        <v>40.962264150943398</v>
      </c>
    </row>
    <row r="144" spans="2:29" x14ac:dyDescent="0.2">
      <c r="B144" s="20" t="s">
        <v>230</v>
      </c>
      <c r="M144" s="72">
        <f>M115/Statement!M25</f>
        <v>75.666666666666657</v>
      </c>
      <c r="N144" s="72">
        <f>N115/Statement!N25</f>
        <v>-341.5</v>
      </c>
      <c r="O144" s="72">
        <f>O115/Statement!O25</f>
        <v>40.361344537815128</v>
      </c>
      <c r="P144" s="72">
        <f>P115/Statement!P25</f>
        <v>88.7578125</v>
      </c>
      <c r="Q144" s="72">
        <f>Q115/Statement!Q25</f>
        <v>47.510263929618766</v>
      </c>
      <c r="T144" s="49"/>
      <c r="U144" s="49"/>
      <c r="V144" s="49"/>
      <c r="W144" s="49"/>
      <c r="X144" s="49"/>
      <c r="Y144" s="49"/>
      <c r="Z144" s="49"/>
      <c r="AA144" s="49"/>
      <c r="AC144" s="72">
        <f ca="1">AC115/Statement!AC25</f>
        <v>43.960407239819006</v>
      </c>
    </row>
    <row r="145" spans="2:29" x14ac:dyDescent="0.2">
      <c r="B145" s="20" t="s">
        <v>197</v>
      </c>
      <c r="M145" s="72">
        <f>M115/(Statement!M5/Statement!M21)</f>
        <v>1.7985594237695077</v>
      </c>
      <c r="N145" s="72">
        <f>N115/(Statement!N5/Statement!N21)</f>
        <v>0.90714687280393536</v>
      </c>
      <c r="O145" s="72">
        <f>O115/(Statement!O5/Statement!O21)</f>
        <v>2.7013813201223953</v>
      </c>
      <c r="P145" s="72">
        <f>P115/(Statement!P5/Statement!P21)</f>
        <v>5.4734722915626559</v>
      </c>
      <c r="Q145" s="72">
        <f>Q115/(Statement!Q5/Statement!Q21)</f>
        <v>6.1921710654936462</v>
      </c>
      <c r="T145" s="49"/>
      <c r="U145" s="49"/>
      <c r="V145" s="49"/>
      <c r="W145" s="49"/>
      <c r="X145" s="49"/>
      <c r="Y145" s="49"/>
      <c r="Z145" s="49"/>
      <c r="AA145" s="49"/>
      <c r="AC145" s="72">
        <f ca="1">AC115/(Statement!AC5/Statement!AC21)</f>
        <v>6.6348048780487812</v>
      </c>
    </row>
    <row r="146" spans="2:29" x14ac:dyDescent="0.2">
      <c r="B146" s="20" t="s">
        <v>231</v>
      </c>
      <c r="M146" s="72">
        <f>M115/(Statement!M48/Statement!M74)</f>
        <v>6.6211001410437227</v>
      </c>
      <c r="N146" s="72">
        <f>N115/(Statement!N48/Statement!N74)</f>
        <v>3.5807766990291263</v>
      </c>
      <c r="O146" s="72">
        <f>O115/(Statement!O48/Statement!O74)</f>
        <v>9.1054392059553351</v>
      </c>
      <c r="P146" s="72">
        <f>P115/(Statement!P48/Statement!P74)</f>
        <v>17.783652423993427</v>
      </c>
      <c r="Q146" s="72">
        <f>Q115/(Statement!Q48/Statement!Q74)</f>
        <v>15.744691702613549</v>
      </c>
      <c r="T146" s="72">
        <f>T115/(Statement!T48/Statement!T74)</f>
        <v>20.567116868798234</v>
      </c>
      <c r="U146" s="72">
        <f>U115/(Statement!U48/Statement!U74)</f>
        <v>17.783652423993427</v>
      </c>
      <c r="V146" s="72">
        <f>V115/(Statement!V48/Statement!V74)</f>
        <v>10.31815453863466</v>
      </c>
      <c r="W146" s="72">
        <f>W115/(Statement!W48/Statement!W74)</f>
        <v>15.696838400000001</v>
      </c>
      <c r="X146" s="72">
        <f>X115/(Statement!X48/Statement!X74)</f>
        <v>16.423060701054432</v>
      </c>
      <c r="Y146" s="72">
        <f>Y115/(Statement!Y48/Statement!Y74)</f>
        <v>15.744691702613549</v>
      </c>
      <c r="Z146" s="72">
        <f>Z115/(Statement!Z48/Statement!Z74)</f>
        <v>22.667307420494701</v>
      </c>
      <c r="AA146" s="72">
        <f>AA115/(Statement!AA48/Statement!AA74)</f>
        <v>27.092412778478351</v>
      </c>
      <c r="AC146" s="72">
        <f ca="1">AC115/(Statement!AC48/Statement!AC74)</f>
        <v>15.722451660361497</v>
      </c>
    </row>
    <row r="147" spans="2:29" x14ac:dyDescent="0.2">
      <c r="B147" s="20" t="s">
        <v>232</v>
      </c>
      <c r="M147" s="141">
        <f>Statement!M115*Statement!M77</f>
        <v>9513.57</v>
      </c>
      <c r="N147" s="141">
        <f>Statement!N115*Statement!N77</f>
        <v>5177.1400000000003</v>
      </c>
      <c r="O147" s="141">
        <f>Statement!O115*Statement!O77</f>
        <v>18635.64</v>
      </c>
      <c r="P147" s="141">
        <f>Statement!P115*Statement!P77</f>
        <v>44421.51</v>
      </c>
      <c r="Q147" s="141">
        <f>Statement!Q115*Statement!Q77</f>
        <v>63507.92</v>
      </c>
      <c r="T147" s="141">
        <f>Statement!T115*Statement!T77</f>
        <v>38204.159999999996</v>
      </c>
      <c r="U147" s="141">
        <f>Statement!U115*Statement!U77</f>
        <v>44421.51</v>
      </c>
      <c r="V147" s="141">
        <f>Statement!V115*Statement!V77</f>
        <v>28158</v>
      </c>
      <c r="W147" s="141">
        <f>Statement!W115*Statement!W77</f>
        <v>50079.9</v>
      </c>
      <c r="X147" s="141">
        <f>Statement!X115*Statement!X77</f>
        <v>58986.26</v>
      </c>
      <c r="Y147" s="141">
        <f>Statement!Y115*Statement!Y77</f>
        <v>63507.92</v>
      </c>
      <c r="Z147" s="141">
        <f>Statement!Z115*Statement!Z77</f>
        <v>98477.94</v>
      </c>
      <c r="AA147" s="141">
        <f>Statement!AA115*Statement!AA77</f>
        <v>131584.26</v>
      </c>
      <c r="AC147" s="141">
        <f ca="1">Statement!AC115*Statement!AC77</f>
        <v>76361.865000000005</v>
      </c>
    </row>
    <row r="148" spans="2:29" x14ac:dyDescent="0.2">
      <c r="B148" s="20" t="s">
        <v>184</v>
      </c>
      <c r="M148" s="141">
        <f>M147+M106-M105+M47+M44</f>
        <v>12047.57</v>
      </c>
      <c r="N148" s="141">
        <f>N147+N106-N105+N47+N44</f>
        <v>8107.1399999999994</v>
      </c>
      <c r="O148" s="141">
        <f>O147+O106-O105+O47+O44</f>
        <v>20796.64</v>
      </c>
      <c r="P148" s="141">
        <f>P147+P106-P105+P47+P44</f>
        <v>46121.51</v>
      </c>
      <c r="Q148" s="141">
        <f>Q147+Q106-Q105+Q47+Q44</f>
        <v>64592.92</v>
      </c>
      <c r="T148" s="141">
        <f t="shared" ref="T148:Z148" si="130">T147+T106-T105+T47+T44</f>
        <v>40226.159999999996</v>
      </c>
      <c r="U148" s="141">
        <f t="shared" si="130"/>
        <v>46121.51</v>
      </c>
      <c r="V148" s="141">
        <f t="shared" si="130"/>
        <v>29616</v>
      </c>
      <c r="W148" s="141">
        <f t="shared" si="130"/>
        <v>51262.9</v>
      </c>
      <c r="X148" s="141">
        <f t="shared" si="130"/>
        <v>59964.26</v>
      </c>
      <c r="Y148" s="141">
        <f t="shared" si="130"/>
        <v>64592.92</v>
      </c>
      <c r="Z148" s="141">
        <f t="shared" si="130"/>
        <v>98898.94</v>
      </c>
      <c r="AA148" s="141">
        <f t="shared" ref="AA148" si="131">AA147+AA106-AA105+AA47+AA44</f>
        <v>131413.26</v>
      </c>
      <c r="AC148" s="141">
        <f ca="1">AC147+AC106-AC105+AC47+AC44</f>
        <v>76190.865000000005</v>
      </c>
    </row>
    <row r="149" spans="2:29" x14ac:dyDescent="0.2">
      <c r="B149" s="20" t="s">
        <v>253</v>
      </c>
      <c r="M149" s="177">
        <f>M148/M5</f>
        <v>2.4104781912765105</v>
      </c>
      <c r="N149" s="177">
        <f>N148/N5</f>
        <v>1.424304286718201</v>
      </c>
      <c r="O149" s="177">
        <f>O148/O5</f>
        <v>3.0302549905289231</v>
      </c>
      <c r="P149" s="177">
        <f>P148/P5</f>
        <v>5.756553919121318</v>
      </c>
      <c r="Q149" s="177">
        <f>Q148/Q5</f>
        <v>6.3140684261974585</v>
      </c>
      <c r="T149" s="49"/>
      <c r="U149" s="49"/>
      <c r="V149" s="49"/>
      <c r="W149" s="49"/>
      <c r="X149" s="49"/>
      <c r="Y149" s="49"/>
      <c r="Z149" s="49"/>
      <c r="AA149" s="49"/>
      <c r="AC149" s="177">
        <f ca="1">AC148/AC5</f>
        <v>6.6368349303135892</v>
      </c>
    </row>
    <row r="150" spans="2:29" x14ac:dyDescent="0.2">
      <c r="B150" s="20" t="s">
        <v>200</v>
      </c>
      <c r="M150" s="177">
        <f>M148/M11</f>
        <v>46.336807692307694</v>
      </c>
      <c r="N150" s="177">
        <f>N148/N11</f>
        <v>36.354887892376681</v>
      </c>
      <c r="O150" s="177">
        <f>O148/O11</f>
        <v>23.849357798165137</v>
      </c>
      <c r="P150" s="177">
        <f>P148/P11</f>
        <v>33.73921726408193</v>
      </c>
      <c r="Q150" s="177">
        <f>Q148/Q11</f>
        <v>35.296677595628417</v>
      </c>
      <c r="T150" s="49"/>
      <c r="U150" s="49"/>
      <c r="V150" s="49"/>
      <c r="W150" s="49"/>
      <c r="X150" s="49"/>
      <c r="Y150" s="49"/>
      <c r="Z150" s="49"/>
      <c r="AA150" s="49"/>
      <c r="AC150" s="177">
        <f ca="1">AC148/AC11</f>
        <v>35.094824965453711</v>
      </c>
    </row>
    <row r="151" spans="2:29" x14ac:dyDescent="0.2">
      <c r="B151" s="20" t="s">
        <v>254</v>
      </c>
      <c r="M151" s="64">
        <f>M58-M53+M108+M64</f>
        <v>104</v>
      </c>
      <c r="N151" s="64">
        <f>N58-N53+N108+N64</f>
        <v>-289</v>
      </c>
      <c r="O151" s="64">
        <f>O58-O53+O108+O64</f>
        <v>741</v>
      </c>
      <c r="P151" s="64">
        <f>P58-P53+P108+P64</f>
        <v>1100</v>
      </c>
      <c r="Q151" s="64">
        <f>Q58-Q53+Q108+Q64</f>
        <v>1842</v>
      </c>
      <c r="T151" s="64">
        <f t="shared" ref="T151:Z151" si="132">T58-T53+T108+T64</f>
        <v>328</v>
      </c>
      <c r="U151" s="64">
        <f t="shared" si="132"/>
        <v>352</v>
      </c>
      <c r="V151" s="64">
        <f t="shared" si="132"/>
        <v>253</v>
      </c>
      <c r="W151" s="64">
        <f t="shared" si="132"/>
        <v>264</v>
      </c>
      <c r="X151" s="64">
        <f t="shared" si="132"/>
        <v>448</v>
      </c>
      <c r="Y151" s="64">
        <f t="shared" si="132"/>
        <v>903</v>
      </c>
      <c r="Z151" s="64">
        <f t="shared" si="132"/>
        <v>635</v>
      </c>
      <c r="AA151" s="64">
        <f t="shared" ref="AA151" si="133">AA58-AA53+AA108+AA64</f>
        <v>912</v>
      </c>
      <c r="AC151" s="64">
        <f>AC58-AC53+AC108+AC64</f>
        <v>2898</v>
      </c>
    </row>
    <row r="152" spans="2:29" x14ac:dyDescent="0.2">
      <c r="B152" s="20" t="s">
        <v>255</v>
      </c>
      <c r="M152" s="64">
        <f>M107+M52+M108+M54+M56+M57+M55</f>
        <v>198.3855421686747</v>
      </c>
      <c r="N152" s="64">
        <f>N107+N52+N108+N54+N56+N57+N55</f>
        <v>-155.17964071856289</v>
      </c>
      <c r="O152" s="64">
        <f>O107+O52+O108+O54+O56+O57+O55</f>
        <v>953.93433395872421</v>
      </c>
      <c r="P152" s="64">
        <f>P107+P52+P108+P54+P56+P57+P55</f>
        <v>1092.5294117647059</v>
      </c>
      <c r="Q152" s="64">
        <f>Q107+Q52+Q108+Q54+Q56+Q57+Q55</f>
        <v>1822.3386911595867</v>
      </c>
      <c r="T152" s="49"/>
      <c r="U152" s="49"/>
      <c r="V152" s="49"/>
      <c r="W152" s="49"/>
      <c r="X152" s="49"/>
      <c r="Y152" s="49"/>
      <c r="Z152" s="49"/>
      <c r="AA152" s="49"/>
      <c r="AC152" s="64">
        <f>AC107+AC52+AC108+AC54+AC56+AC57+AC55</f>
        <v>2874.5144344533837</v>
      </c>
    </row>
    <row r="153" spans="2:29" x14ac:dyDescent="0.2">
      <c r="B153" s="20" t="s">
        <v>256</v>
      </c>
      <c r="M153" s="72">
        <f>M147/M151</f>
        <v>91.476634615384611</v>
      </c>
      <c r="N153" s="72">
        <f t="shared" ref="N153:Q153" si="134">N147/N151</f>
        <v>-17.913979238754326</v>
      </c>
      <c r="O153" s="72">
        <f t="shared" si="134"/>
        <v>25.149311740890688</v>
      </c>
      <c r="P153" s="72">
        <f t="shared" si="134"/>
        <v>40.383190909090914</v>
      </c>
      <c r="Q153" s="72">
        <f t="shared" si="134"/>
        <v>34.477698154180239</v>
      </c>
      <c r="T153" s="49"/>
      <c r="U153" s="49"/>
      <c r="V153" s="49"/>
      <c r="W153" s="49"/>
      <c r="X153" s="49"/>
      <c r="Y153" s="49"/>
      <c r="Z153" s="49"/>
      <c r="AA153" s="49"/>
      <c r="AC153" s="72">
        <f t="shared" ref="AC153:AC154" ca="1" si="135">AC147/AC151</f>
        <v>26.349849896480332</v>
      </c>
    </row>
    <row r="154" spans="2:29" x14ac:dyDescent="0.2">
      <c r="B154" s="20" t="s">
        <v>257</v>
      </c>
      <c r="M154" s="72">
        <f>M148/M152</f>
        <v>60.728064496538316</v>
      </c>
      <c r="N154" s="72">
        <f t="shared" ref="N154:Q154" si="136">N148/N152</f>
        <v>-52.243580165927057</v>
      </c>
      <c r="O154" s="72">
        <f t="shared" si="136"/>
        <v>21.800913605547873</v>
      </c>
      <c r="P154" s="72">
        <f t="shared" si="136"/>
        <v>42.215348624347172</v>
      </c>
      <c r="Q154" s="72">
        <f t="shared" si="136"/>
        <v>35.445068643578196</v>
      </c>
      <c r="T154" s="49"/>
      <c r="U154" s="49"/>
      <c r="V154" s="49"/>
      <c r="W154" s="49"/>
      <c r="X154" s="49"/>
      <c r="Y154" s="49"/>
      <c r="Z154" s="49"/>
      <c r="AA154" s="49"/>
      <c r="AC154" s="72">
        <f t="shared" ca="1" si="135"/>
        <v>26.50564703617097</v>
      </c>
    </row>
    <row r="155" spans="2:29" x14ac:dyDescent="0.2">
      <c r="B155" s="20" t="s">
        <v>258</v>
      </c>
      <c r="M155" s="74">
        <f>M151/M147</f>
        <v>1.0931753274533114E-2</v>
      </c>
      <c r="N155" s="74">
        <f t="shared" ref="N155:Q155" si="137">N151/N147</f>
        <v>-5.5822326612763026E-2</v>
      </c>
      <c r="O155" s="74">
        <f t="shared" si="137"/>
        <v>3.9762519559296057E-2</v>
      </c>
      <c r="P155" s="74">
        <f t="shared" si="137"/>
        <v>2.4762778212627169E-2</v>
      </c>
      <c r="Q155" s="74">
        <f t="shared" si="137"/>
        <v>2.9004256476987438E-2</v>
      </c>
      <c r="T155" s="49"/>
      <c r="U155" s="49"/>
      <c r="V155" s="49"/>
      <c r="W155" s="49"/>
      <c r="X155" s="49"/>
      <c r="Y155" s="49"/>
      <c r="Z155" s="49"/>
      <c r="AA155" s="49"/>
      <c r="AC155" s="74">
        <f t="shared" ref="AC155" ca="1" si="138">AC151/AC147</f>
        <v>3.7950880324884674E-2</v>
      </c>
    </row>
    <row r="156" spans="2:29" x14ac:dyDescent="0.2">
      <c r="B156" s="20" t="s">
        <v>259</v>
      </c>
      <c r="M156" s="74">
        <f>M25/M115</f>
        <v>1.3215859030837005E-2</v>
      </c>
      <c r="N156" s="74">
        <f>N25/N115</f>
        <v>-2.9282576866764276E-3</v>
      </c>
      <c r="O156" s="74">
        <f>O25/O115</f>
        <v>2.4776181553195917E-2</v>
      </c>
      <c r="P156" s="74">
        <f>P25/P115</f>
        <v>1.1266613854414225E-2</v>
      </c>
      <c r="Q156" s="74">
        <f>Q25/Q115</f>
        <v>2.1048083451638791E-2</v>
      </c>
      <c r="T156" s="49"/>
      <c r="U156" s="49"/>
      <c r="V156" s="49"/>
      <c r="W156" s="49"/>
      <c r="X156" s="49"/>
      <c r="Y156" s="49"/>
      <c r="Z156" s="49"/>
      <c r="AA156" s="49"/>
      <c r="AC156" s="74">
        <f ca="1">AC25/AC115</f>
        <v>2.2747741952085638E-2</v>
      </c>
    </row>
    <row r="157" spans="2:29" x14ac:dyDescent="0.2">
      <c r="B157" s="20" t="s">
        <v>260</v>
      </c>
      <c r="M157" s="149">
        <f>M81/M115</f>
        <v>4.0048057669203049E-4</v>
      </c>
      <c r="N157" s="149">
        <f>N81/N115</f>
        <v>7.320644216691069E-4</v>
      </c>
      <c r="O157" s="149">
        <f>O81/O115</f>
        <v>5.2050801582344372E-4</v>
      </c>
      <c r="P157" s="149">
        <f>P81/P115</f>
        <v>9.8582871226124457E-4</v>
      </c>
      <c r="Q157" s="149">
        <f>Q81/Q115</f>
        <v>1.0801802357879144E-3</v>
      </c>
      <c r="T157" s="49"/>
      <c r="U157" s="49"/>
      <c r="V157" s="49"/>
      <c r="W157" s="49"/>
      <c r="X157" s="49"/>
      <c r="Y157" s="49"/>
      <c r="Z157" s="49"/>
      <c r="AA157" s="49"/>
      <c r="AC157" s="149">
        <f ca="1">AC81/AC115</f>
        <v>1.1579732894161242E-3</v>
      </c>
    </row>
    <row r="158" spans="2:29" x14ac:dyDescent="0.2">
      <c r="B158" s="20" t="s">
        <v>285</v>
      </c>
      <c r="M158" s="149">
        <f>-M62/M147</f>
        <v>0</v>
      </c>
      <c r="N158" s="149">
        <f>-N62/N147</f>
        <v>0</v>
      </c>
      <c r="O158" s="149">
        <f>-O62/O147</f>
        <v>0</v>
      </c>
      <c r="P158" s="149">
        <f>-P62/P147</f>
        <v>1.3506969934160274E-2</v>
      </c>
      <c r="Q158" s="149">
        <f>-Q62/Q147</f>
        <v>0</v>
      </c>
      <c r="T158" s="49"/>
      <c r="U158" s="49"/>
      <c r="V158" s="49"/>
      <c r="W158" s="49"/>
      <c r="X158" s="49"/>
      <c r="Y158" s="49"/>
      <c r="Z158" s="49"/>
      <c r="AA158" s="49"/>
      <c r="AC158" s="149">
        <f ca="1">-AC62/AC147</f>
        <v>0</v>
      </c>
    </row>
    <row r="159" spans="2:29" x14ac:dyDescent="0.2">
      <c r="B159" s="20" t="s">
        <v>287</v>
      </c>
      <c r="M159" s="149">
        <f>-(M62+M63)/M147</f>
        <v>4.2045204902050443E-4</v>
      </c>
      <c r="N159" s="149">
        <f>-(N62+N63)/N147</f>
        <v>7.7262735796211808E-4</v>
      </c>
      <c r="O159" s="149">
        <f>-(O62+O63)/O147</f>
        <v>5.3660620187983882E-4</v>
      </c>
      <c r="P159" s="149">
        <f>-(P62+P63)/P147</f>
        <v>1.4452457829551494E-2</v>
      </c>
      <c r="Q159" s="149">
        <f>-(Q62+Q63)/Q147</f>
        <v>1.054986527664581E-3</v>
      </c>
      <c r="T159" s="49"/>
      <c r="U159" s="49"/>
      <c r="V159" s="49"/>
      <c r="W159" s="49"/>
      <c r="X159" s="49"/>
      <c r="Y159" s="49"/>
      <c r="Z159" s="49"/>
      <c r="AA159" s="49"/>
      <c r="AC159" s="149">
        <f ca="1">-(AC62+AC63)/AC147</f>
        <v>1.1262166003934032E-3</v>
      </c>
    </row>
    <row r="160" spans="2:29" x14ac:dyDescent="0.2">
      <c r="B160" s="20" t="s">
        <v>334</v>
      </c>
      <c r="M160" s="149">
        <f>M152/M5</f>
        <v>3.9692985627986135E-2</v>
      </c>
      <c r="N160" s="149">
        <f>N152/N5</f>
        <v>-2.7262761897147381E-2</v>
      </c>
      <c r="O160" s="149">
        <f>O152/O5</f>
        <v>0.13899669735665512</v>
      </c>
      <c r="P160" s="149">
        <f>P152/P5</f>
        <v>0.13636163401955889</v>
      </c>
      <c r="Q160" s="149">
        <f>Q152/Q5</f>
        <v>0.17813672445352755</v>
      </c>
      <c r="T160" s="49"/>
      <c r="U160" s="49"/>
      <c r="V160" s="49"/>
      <c r="W160" s="49"/>
      <c r="X160" s="49"/>
      <c r="Y160" s="49"/>
      <c r="Z160" s="49"/>
      <c r="AA160" s="49"/>
      <c r="AC160" s="149">
        <f>AC152/AC5</f>
        <v>0.25039324341928432</v>
      </c>
    </row>
    <row r="161" spans="2:29" x14ac:dyDescent="0.2">
      <c r="B161" s="20" t="s">
        <v>335</v>
      </c>
      <c r="M161" s="149">
        <f>M151/M5</f>
        <v>2.0808323329331732E-2</v>
      </c>
      <c r="N161" s="149">
        <f>N151/N5</f>
        <v>-5.0773014757554462E-2</v>
      </c>
      <c r="O161" s="149">
        <f>O151/O5</f>
        <v>0.10797027538977123</v>
      </c>
      <c r="P161" s="149">
        <f>P151/P5</f>
        <v>0.13729405891163254</v>
      </c>
      <c r="Q161" s="149">
        <f>Q151/Q5</f>
        <v>0.18005865102639296</v>
      </c>
      <c r="T161" s="49"/>
      <c r="U161" s="49"/>
      <c r="V161" s="49"/>
      <c r="W161" s="49"/>
      <c r="X161" s="49"/>
      <c r="Y161" s="49"/>
      <c r="Z161" s="49"/>
      <c r="AA161" s="49"/>
      <c r="AC161" s="149">
        <f>AC151/AC5</f>
        <v>0.2524390243902439</v>
      </c>
    </row>
    <row r="162" spans="2:29" x14ac:dyDescent="0.2">
      <c r="B162" s="20" t="s">
        <v>263</v>
      </c>
      <c r="M162" s="149">
        <f>-M63/M151</f>
        <v>3.8461538461538464E-2</v>
      </c>
      <c r="N162" s="149">
        <f>-N63/N151</f>
        <v>-1.384083044982699E-2</v>
      </c>
      <c r="O162" s="149">
        <f>-O63/O151</f>
        <v>1.3495276653171391E-2</v>
      </c>
      <c r="P162" s="149">
        <f>-P63/P151</f>
        <v>3.8181818181818185E-2</v>
      </c>
      <c r="Q162" s="149">
        <f>-Q63/Q151</f>
        <v>3.6373507057546148E-2</v>
      </c>
      <c r="T162" s="49"/>
      <c r="U162" s="49"/>
      <c r="V162" s="49"/>
      <c r="W162" s="49"/>
      <c r="X162" s="49"/>
      <c r="Y162" s="49"/>
      <c r="Z162" s="49"/>
      <c r="AA162" s="49"/>
      <c r="AC162" s="149">
        <f>-AC63/AC151</f>
        <v>2.9675638371290544E-2</v>
      </c>
    </row>
    <row r="163" spans="2:29" x14ac:dyDescent="0.2">
      <c r="B163" s="20" t="s">
        <v>265</v>
      </c>
      <c r="M163" s="149">
        <f>-M62/M151</f>
        <v>0</v>
      </c>
      <c r="N163" s="149">
        <f>-N62/N151</f>
        <v>0</v>
      </c>
      <c r="O163" s="149">
        <f>-O62/O151</f>
        <v>0</v>
      </c>
      <c r="P163" s="149">
        <f>-P62/P151</f>
        <v>0.54545454545454541</v>
      </c>
      <c r="Q163" s="149">
        <f>-Q62/Q151</f>
        <v>0</v>
      </c>
      <c r="T163" s="49"/>
      <c r="U163" s="49"/>
      <c r="V163" s="49"/>
      <c r="W163" s="49"/>
      <c r="X163" s="49"/>
      <c r="Y163" s="49"/>
      <c r="Z163" s="49"/>
      <c r="AA163" s="49"/>
      <c r="AC163" s="149">
        <f>-AC62/AC151</f>
        <v>0</v>
      </c>
    </row>
    <row r="164" spans="2:29" x14ac:dyDescent="0.2">
      <c r="B164" s="20" t="s">
        <v>276</v>
      </c>
      <c r="M164" s="149">
        <f>(-M63-M62)/M151</f>
        <v>3.8461538461538464E-2</v>
      </c>
      <c r="N164" s="149">
        <f>(-N63-N62)/N151</f>
        <v>-1.384083044982699E-2</v>
      </c>
      <c r="O164" s="149">
        <f>(-O63-O62)/O151</f>
        <v>1.3495276653171391E-2</v>
      </c>
      <c r="P164" s="149">
        <f>(-P63-P62)/P151</f>
        <v>0.58363636363636362</v>
      </c>
      <c r="Q164" s="149">
        <f>(-Q63-Q62)/Q151</f>
        <v>3.6373507057546148E-2</v>
      </c>
      <c r="T164" s="49"/>
      <c r="U164" s="49"/>
      <c r="V164" s="49"/>
      <c r="W164" s="49"/>
      <c r="X164" s="49"/>
      <c r="Y164" s="49"/>
      <c r="Z164" s="49"/>
      <c r="AA164" s="49"/>
      <c r="AC164" s="149">
        <f>(-AC63-AC62)/AC151</f>
        <v>2.9675638371290544E-2</v>
      </c>
    </row>
    <row r="165" spans="2:29" x14ac:dyDescent="0.2">
      <c r="B165" s="20" t="s">
        <v>270</v>
      </c>
      <c r="M165" s="149">
        <f>M79/M77</f>
        <v>4.7244094488188976E-2</v>
      </c>
      <c r="N165" s="149">
        <f>N79/N77</f>
        <v>0.10026385224274406</v>
      </c>
      <c r="O165" s="149">
        <f>O79/O77</f>
        <v>5.4123711340206188E-2</v>
      </c>
      <c r="P165" s="149">
        <f>P79/P77</f>
        <v>4.859335038363171E-2</v>
      </c>
      <c r="Q165" s="149">
        <f>Q79/Q77</f>
        <v>2.5510204081632654E-2</v>
      </c>
      <c r="T165" s="49"/>
      <c r="U165" s="49"/>
      <c r="V165" s="49"/>
      <c r="W165" s="49"/>
      <c r="X165" s="49"/>
      <c r="Y165" s="49"/>
      <c r="Z165" s="49"/>
      <c r="AA165" s="49"/>
      <c r="AC165" s="149">
        <f>AC79/AC77</f>
        <v>2.5445292620865138E-2</v>
      </c>
    </row>
    <row r="166" spans="2:29" x14ac:dyDescent="0.2">
      <c r="B166" s="20" t="s">
        <v>271</v>
      </c>
      <c r="M166" s="72">
        <f>M105/M74</f>
        <v>1.1675531914893618</v>
      </c>
      <c r="N166" s="72">
        <f>N105/N74</f>
        <v>0.69047619047619047</v>
      </c>
      <c r="O166" s="72">
        <f>O105/O74</f>
        <v>2.0418848167539267</v>
      </c>
      <c r="P166" s="72">
        <f>P105/P74</f>
        <v>3.2230971128608923</v>
      </c>
      <c r="Q166" s="72">
        <f>Q105/Q74</f>
        <v>4.7728459530026113</v>
      </c>
      <c r="T166" s="72">
        <f t="shared" ref="T166:Z166" si="139">T105/T74</f>
        <v>2.4239999999999999</v>
      </c>
      <c r="U166" s="72">
        <f t="shared" si="139"/>
        <v>3.2230971128608923</v>
      </c>
      <c r="V166" s="72">
        <f t="shared" si="139"/>
        <v>3.8503937007874014</v>
      </c>
      <c r="W166" s="72">
        <f t="shared" si="139"/>
        <v>4.5523560209424083</v>
      </c>
      <c r="X166" s="72">
        <f t="shared" si="139"/>
        <v>5.0811518324607325</v>
      </c>
      <c r="Y166" s="72">
        <f t="shared" si="139"/>
        <v>4.7728459530026113</v>
      </c>
      <c r="Z166" s="72">
        <f t="shared" si="139"/>
        <v>6.513020833333333</v>
      </c>
      <c r="AA166" s="72">
        <f t="shared" ref="AA166" si="140">AA105/AA74</f>
        <v>8.0805194805194809</v>
      </c>
      <c r="AC166" s="72">
        <f>AC105/AC74</f>
        <v>8.0805194805194809</v>
      </c>
    </row>
    <row r="167" spans="2:29" x14ac:dyDescent="0.2">
      <c r="B167" s="20" t="s">
        <v>273</v>
      </c>
      <c r="M167" s="149">
        <f>M53/M58</f>
        <v>0.10900473933649289</v>
      </c>
      <c r="N167" s="149">
        <f>N53/N58</f>
        <v>-0.16339869281045752</v>
      </c>
      <c r="O167" s="149">
        <f>O53/O58</f>
        <v>2.774694783573807E-2</v>
      </c>
      <c r="P167" s="149">
        <f>P53/P58</f>
        <v>2.6535253980288095E-2</v>
      </c>
      <c r="Q167" s="149">
        <f>Q53/Q58</f>
        <v>2.1759697256385997E-2</v>
      </c>
      <c r="T167" s="149">
        <f t="shared" ref="T167:Z167" si="141">T53/T58</f>
        <v>2.1333333333333333E-2</v>
      </c>
      <c r="U167" s="149">
        <f t="shared" si="141"/>
        <v>2.1176470588235293E-2</v>
      </c>
      <c r="V167" s="149">
        <f t="shared" si="141"/>
        <v>3.6303630363036306E-2</v>
      </c>
      <c r="W167" s="149">
        <f t="shared" si="141"/>
        <v>4.0247678018575851E-2</v>
      </c>
      <c r="X167" s="149">
        <f t="shared" si="141"/>
        <v>2.75049115913556E-2</v>
      </c>
      <c r="Y167" s="149">
        <f t="shared" si="141"/>
        <v>6.965174129353234E-3</v>
      </c>
      <c r="Z167" s="149">
        <f t="shared" si="141"/>
        <v>2.2193211488250653E-2</v>
      </c>
      <c r="AA167" s="149">
        <f t="shared" ref="AA167" si="142">AA53/AA58</f>
        <v>1.2727272727272728E-2</v>
      </c>
      <c r="AC167" s="149">
        <f>AC53/AC58</f>
        <v>1.5384615384615385E-2</v>
      </c>
    </row>
    <row r="168" spans="2:29" x14ac:dyDescent="0.2">
      <c r="B168" s="20" t="s">
        <v>274</v>
      </c>
      <c r="M168" s="149">
        <f>M53/M5</f>
        <v>4.6018407362945178E-3</v>
      </c>
      <c r="N168" s="149">
        <f>N53/N5</f>
        <v>4.392129304286718E-3</v>
      </c>
      <c r="O168" s="149">
        <f>O53/O5</f>
        <v>3.6427218417601631E-3</v>
      </c>
      <c r="P168" s="149">
        <f>P53/P5</f>
        <v>4.3684473290064906E-3</v>
      </c>
      <c r="Q168" s="149">
        <f>Q53/Q5</f>
        <v>4.4965786901270772E-3</v>
      </c>
      <c r="T168" s="149">
        <f t="shared" ref="T168:AA168" si="143">T53/T5</f>
        <v>3.8572806171648989E-3</v>
      </c>
      <c r="U168" s="149">
        <f t="shared" si="143"/>
        <v>3.8363171355498722E-3</v>
      </c>
      <c r="V168" s="149">
        <f t="shared" si="143"/>
        <v>5.4027504911591355E-3</v>
      </c>
      <c r="W168" s="149">
        <f t="shared" si="143"/>
        <v>4.9279757391963606E-3</v>
      </c>
      <c r="X168" s="149">
        <f t="shared" si="143"/>
        <v>5.2316890881913304E-3</v>
      </c>
      <c r="Y168" s="149">
        <f t="shared" si="143"/>
        <v>2.4305555555555556E-3</v>
      </c>
      <c r="Z168" s="149">
        <f t="shared" si="143"/>
        <v>6.4150943396226413E-3</v>
      </c>
      <c r="AA168" s="149">
        <f t="shared" si="143"/>
        <v>4.2761148442272447E-3</v>
      </c>
      <c r="AC168" s="149">
        <f>AC53/AC5</f>
        <v>4.5296167247386764E-3</v>
      </c>
    </row>
    <row r="169" spans="2:29" x14ac:dyDescent="0.2">
      <c r="B169" s="20" t="s">
        <v>279</v>
      </c>
      <c r="M169" s="72">
        <f>(M105-M106)/M74</f>
        <v>-6.7393617021276597</v>
      </c>
      <c r="N169" s="72">
        <f>(N105-N106)/N74</f>
        <v>-7.7513227513227516</v>
      </c>
      <c r="O169" s="72">
        <f>(O105-O106)/O74</f>
        <v>-5.657068062827225</v>
      </c>
      <c r="P169" s="72">
        <f>(P105-P106)/P74</f>
        <v>-4.4619422572178475</v>
      </c>
      <c r="Q169" s="72">
        <f>(Q105-Q106)/Q74</f>
        <v>-2.8328981723237598</v>
      </c>
      <c r="T169" s="72">
        <f t="shared" ref="T169:Z169" si="144">(T105-T106)/T74</f>
        <v>-5.3920000000000003</v>
      </c>
      <c r="U169" s="72">
        <f t="shared" si="144"/>
        <v>-4.4619422572178475</v>
      </c>
      <c r="V169" s="72">
        <f t="shared" si="144"/>
        <v>-3.826771653543307</v>
      </c>
      <c r="W169" s="72">
        <f t="shared" si="144"/>
        <v>-3.0968586387434556</v>
      </c>
      <c r="X169" s="72">
        <f t="shared" si="144"/>
        <v>-2.5602094240837698</v>
      </c>
      <c r="Y169" s="72">
        <f t="shared" si="144"/>
        <v>-2.8328981723237598</v>
      </c>
      <c r="Z169" s="72">
        <f t="shared" si="144"/>
        <v>-1.0963541666666667</v>
      </c>
      <c r="AA169" s="72">
        <f t="shared" ref="AA169" si="145">(AA105-AA106)/AA74</f>
        <v>0.44415584415584414</v>
      </c>
      <c r="AC169" s="72">
        <f>(AC105-AC106)/AC74</f>
        <v>0.44415584415584414</v>
      </c>
    </row>
    <row r="170" spans="2:29" x14ac:dyDescent="0.2">
      <c r="B170" s="20" t="s">
        <v>284</v>
      </c>
      <c r="M170" s="149">
        <f>(M105-M106)/M147</f>
        <v>-0.26635637305448956</v>
      </c>
      <c r="N170" s="149">
        <f>(N105-N106)/N147</f>
        <v>-0.56594953970725148</v>
      </c>
      <c r="O170" s="149">
        <f>(O105-O106)/O147</f>
        <v>-0.11596060022623318</v>
      </c>
      <c r="P170" s="149">
        <f>(P105-P106)/P147</f>
        <v>-3.8269748146787443E-2</v>
      </c>
      <c r="Q170" s="149">
        <f>(Q105-Q106)/Q147</f>
        <v>-1.708448332113538E-2</v>
      </c>
      <c r="T170" s="49"/>
      <c r="U170" s="49"/>
      <c r="V170" s="49"/>
      <c r="W170" s="49"/>
      <c r="X170" s="49"/>
      <c r="Y170" s="49"/>
      <c r="Z170" s="49"/>
      <c r="AA170" s="49"/>
      <c r="AC170" s="149">
        <f ca="1">(AC105-AC106)/AC147</f>
        <v>2.2393376589217666E-3</v>
      </c>
    </row>
    <row r="171" spans="2:29" x14ac:dyDescent="0.2">
      <c r="B171" s="20" t="s">
        <v>293</v>
      </c>
      <c r="M171" s="149">
        <f>-M108/M5</f>
        <v>1.680672268907563E-2</v>
      </c>
      <c r="N171" s="149">
        <f>-N108/N5</f>
        <v>1.950105411103303E-2</v>
      </c>
      <c r="O171" s="149">
        <f>-O108/O5</f>
        <v>1.967069794550488E-2</v>
      </c>
      <c r="P171" s="149">
        <f>-P108/P5</f>
        <v>2.2965551672491265E-2</v>
      </c>
      <c r="Q171" s="149">
        <f>-Q108/Q5</f>
        <v>2.2091886608015639E-2</v>
      </c>
      <c r="T171" s="149">
        <f t="shared" ref="T171:AA171" si="146">-T108/T5</f>
        <v>1.8804243008678882E-2</v>
      </c>
      <c r="U171" s="149">
        <f t="shared" si="146"/>
        <v>2.7280477408354646E-2</v>
      </c>
      <c r="V171" s="149">
        <f t="shared" si="146"/>
        <v>1.9155206286836934E-2</v>
      </c>
      <c r="W171" s="149">
        <f t="shared" si="146"/>
        <v>1.7437452615617893E-2</v>
      </c>
      <c r="X171" s="149">
        <f t="shared" si="146"/>
        <v>1.7563527653213753E-2</v>
      </c>
      <c r="Y171" s="149">
        <f t="shared" si="146"/>
        <v>3.2986111111111112E-2</v>
      </c>
      <c r="Z171" s="149">
        <f t="shared" si="146"/>
        <v>4.3018867924528303E-2</v>
      </c>
      <c r="AA171" s="149">
        <f t="shared" si="146"/>
        <v>5.3145998778252899E-2</v>
      </c>
      <c r="AC171" s="149">
        <f>-AC108/AC5</f>
        <v>3.7456445993031356E-2</v>
      </c>
    </row>
    <row r="172" spans="2:29" x14ac:dyDescent="0.2">
      <c r="B172" s="20" t="s">
        <v>294</v>
      </c>
      <c r="M172" s="149">
        <f>-(M108/M58)</f>
        <v>0.3981042654028436</v>
      </c>
      <c r="N172" s="149">
        <f>-(N108/N58)</f>
        <v>-0.72549019607843135</v>
      </c>
      <c r="O172" s="149">
        <f>-(O108/O58)</f>
        <v>0.14983351831298558</v>
      </c>
      <c r="P172" s="149">
        <f>-(P108/P58)</f>
        <v>0.13949962092494314</v>
      </c>
      <c r="Q172" s="149">
        <f>-(Q108/Q58)</f>
        <v>0.10690633869441817</v>
      </c>
      <c r="T172" s="149">
        <f t="shared" ref="T172:Z172" si="147">-(T108/T58)</f>
        <v>0.104</v>
      </c>
      <c r="U172" s="149">
        <f t="shared" si="147"/>
        <v>0.15058823529411763</v>
      </c>
      <c r="V172" s="149">
        <f t="shared" si="147"/>
        <v>0.12871287128712872</v>
      </c>
      <c r="W172" s="149">
        <f t="shared" si="147"/>
        <v>0.14241486068111456</v>
      </c>
      <c r="X172" s="149">
        <f t="shared" si="147"/>
        <v>9.2337917485265222E-2</v>
      </c>
      <c r="Y172" s="149">
        <f t="shared" si="147"/>
        <v>9.4527363184079602E-2</v>
      </c>
      <c r="Z172" s="149">
        <f t="shared" si="147"/>
        <v>0.14882506527415143</v>
      </c>
      <c r="AA172" s="149">
        <f t="shared" ref="AA172" si="148">-(AA108/AA58)</f>
        <v>0.15818181818181817</v>
      </c>
      <c r="AC172" s="149">
        <f>-(AC108/AC58)</f>
        <v>0.12721893491124261</v>
      </c>
    </row>
    <row r="173" spans="2:29" x14ac:dyDescent="0.2">
      <c r="B173" s="20" t="s">
        <v>295</v>
      </c>
      <c r="M173" s="149">
        <f>-M108/M52</f>
        <v>0.36681222707423583</v>
      </c>
      <c r="N173" s="149">
        <f>-N108/N52</f>
        <v>0.36754966887417218</v>
      </c>
      <c r="O173" s="149">
        <f>-O108/O52</f>
        <v>0.49815498154981552</v>
      </c>
      <c r="P173" s="149">
        <f>-P108/P52</f>
        <v>0.66425992779783394</v>
      </c>
      <c r="Q173" s="149">
        <f>-Q108/Q52</f>
        <v>0.73139158576051777</v>
      </c>
      <c r="T173" s="149">
        <f t="shared" ref="T173:Z173" si="149">-T108/T52</f>
        <v>0.56521739130434778</v>
      </c>
      <c r="U173" s="149">
        <f t="shared" si="149"/>
        <v>0.90140845070422537</v>
      </c>
      <c r="V173" s="149">
        <f t="shared" si="149"/>
        <v>0.54166666666666663</v>
      </c>
      <c r="W173" s="149">
        <f t="shared" si="149"/>
        <v>0.6216216216216216</v>
      </c>
      <c r="X173" s="149">
        <f t="shared" si="149"/>
        <v>0.61842105263157898</v>
      </c>
      <c r="Y173" s="149">
        <f t="shared" si="149"/>
        <v>1.0795454545454546</v>
      </c>
      <c r="Z173" s="149">
        <f t="shared" si="149"/>
        <v>1.0555555555555556</v>
      </c>
      <c r="AA173" s="149">
        <f t="shared" ref="AA173" si="150">-AA108/AA52</f>
        <v>1.5130434782608695</v>
      </c>
      <c r="AC173" s="149">
        <f>-AC108/AC52</f>
        <v>1.1111111111111112</v>
      </c>
    </row>
    <row r="174" spans="2:29" x14ac:dyDescent="0.2">
      <c r="B174" s="20" t="s">
        <v>347</v>
      </c>
      <c r="M174" s="218">
        <f>M5/M36</f>
        <v>0.72017291066282418</v>
      </c>
      <c r="N174" s="218">
        <f>N5/N36</f>
        <v>0.80214205186020293</v>
      </c>
      <c r="O174" s="218">
        <f>O5/O36</f>
        <v>0.85798224778097265</v>
      </c>
      <c r="P174" s="218">
        <f>P5/P36</f>
        <v>0.87725829409832479</v>
      </c>
      <c r="Q174" s="218">
        <f>Q5/Q36</f>
        <v>0.83770062233868325</v>
      </c>
      <c r="T174" s="49"/>
      <c r="U174" s="49"/>
      <c r="V174" s="49"/>
      <c r="W174" s="49"/>
      <c r="X174" s="49"/>
      <c r="Y174" s="49"/>
      <c r="Z174" s="49"/>
      <c r="AA174" s="49"/>
      <c r="AC174" s="218">
        <f>AC5/AC36</f>
        <v>0.72196717187598269</v>
      </c>
    </row>
    <row r="175" spans="2:29" x14ac:dyDescent="0.2">
      <c r="B175" s="20" t="s">
        <v>344</v>
      </c>
      <c r="M175" s="219">
        <f>IF(AND(M11&gt;0,M106&gt;0),M106/M11,"N/A")</f>
        <v>11.434615384615384</v>
      </c>
      <c r="N175" s="219">
        <f>IF(AND(N11&gt;0,N106&gt;0),N106/N11,"N/A")</f>
        <v>14.309417040358744</v>
      </c>
      <c r="O175" s="219">
        <f>IF(AND(O11&gt;0,O106&gt;0),O106/O11,"N/A")</f>
        <v>3.3727064220183487</v>
      </c>
      <c r="P175" s="219">
        <f>IF(AND(P11&gt;0,P106&gt;0),P106/P11,"N/A")</f>
        <v>2.1419166057059256</v>
      </c>
      <c r="Q175" s="219">
        <f>IF(AND(Q11&gt;0,Q106&gt;0),Q106/Q11,"N/A")</f>
        <v>1.5918032786885246</v>
      </c>
      <c r="T175" s="49"/>
      <c r="U175" s="49"/>
      <c r="V175" s="49"/>
      <c r="W175" s="49"/>
      <c r="X175" s="49"/>
      <c r="Y175" s="49"/>
      <c r="Z175" s="49"/>
      <c r="AA175" s="49"/>
      <c r="AC175" s="219">
        <f>IF(AND(AC11&gt;0,AC106&gt;0),AC106/AC11,"N/A")</f>
        <v>1.3542146476278212</v>
      </c>
    </row>
    <row r="176" spans="2:29" x14ac:dyDescent="0.2">
      <c r="B176" s="20" t="s">
        <v>345</v>
      </c>
      <c r="M176" s="219">
        <f>IF(AND(M11&gt;0,M106&gt;0),(M106-M105)/M11,"N/A")</f>
        <v>9.7461538461538453</v>
      </c>
      <c r="N176" s="219">
        <f>IF(AND(N11&gt;0,N106&gt;0),(N106-N105)/N11,"N/A")</f>
        <v>13.139013452914797</v>
      </c>
      <c r="O176" s="219">
        <f>IF(AND(O11&gt;0,O106&gt;0),(O106-O105)/O11,"N/A")</f>
        <v>2.4782110091743119</v>
      </c>
      <c r="P176" s="219">
        <f>IF(AND(P11&gt;0,P106&gt;0),(P106-P105)/P11,"N/A")</f>
        <v>1.2435991221653255</v>
      </c>
      <c r="Q176" s="219">
        <f>IF(AND(Q11&gt;0,Q106&gt;0),(Q106-Q105)/Q11,"N/A")</f>
        <v>0.59289617486338797</v>
      </c>
      <c r="T176" s="49"/>
      <c r="U176" s="49"/>
      <c r="V176" s="49"/>
      <c r="W176" s="49"/>
      <c r="X176" s="49"/>
      <c r="Y176" s="49"/>
      <c r="Z176" s="49"/>
      <c r="AA176" s="49"/>
      <c r="AC176" s="219">
        <f>IF(AND(AC11&gt;0,AC106&gt;0),(AC106-AC105)/AC11,"N/A")</f>
        <v>-7.8765545831414097E-2</v>
      </c>
    </row>
    <row r="177" spans="1:31" x14ac:dyDescent="0.2">
      <c r="B177" s="20" t="s">
        <v>346</v>
      </c>
      <c r="M177" s="219">
        <f>M5/(M106+M110-M105)</f>
        <v>1.2646761133603239</v>
      </c>
      <c r="N177" s="219">
        <f>N5/(N106+N110-N105)</f>
        <v>1.3019213174748399</v>
      </c>
      <c r="O177" s="219">
        <f>O5/(O106+O110-O105)</f>
        <v>1.6434386973180077</v>
      </c>
      <c r="P177" s="219">
        <f>P5/(P106+P110-P105)</f>
        <v>1.93807450411224</v>
      </c>
      <c r="Q177" s="219">
        <f>Q5/(Q106+Q110-Q105)</f>
        <v>2.0354158376442499</v>
      </c>
      <c r="T177" s="49"/>
      <c r="U177" s="49"/>
      <c r="V177" s="49"/>
      <c r="W177" s="49"/>
      <c r="X177" s="49"/>
      <c r="Y177" s="49"/>
      <c r="Z177" s="49"/>
      <c r="AA177" s="49"/>
      <c r="AC177" s="219">
        <f>AC5/(AC106+AC110-AC105)</f>
        <v>2.5027250926531504</v>
      </c>
    </row>
    <row r="179" spans="1:31" x14ac:dyDescent="0.2">
      <c r="B179" s="1"/>
    </row>
    <row r="180" spans="1:31" s="15" customFormat="1" ht="17" thickBot="1" x14ac:dyDescent="0.25">
      <c r="A180" s="11"/>
      <c r="B180" s="14" t="s">
        <v>78</v>
      </c>
      <c r="R180" s="1"/>
      <c r="S180" s="1"/>
      <c r="AB180" s="1"/>
      <c r="AD180" s="1"/>
      <c r="AE180" s="1"/>
    </row>
    <row r="181" spans="1:31" x14ac:dyDescent="0.2">
      <c r="B181" s="20" t="s">
        <v>356</v>
      </c>
      <c r="C181" s="62"/>
      <c r="D181" s="62"/>
      <c r="E181" s="62"/>
      <c r="F181" s="62"/>
      <c r="G181" s="62"/>
      <c r="H181" s="62"/>
      <c r="I181" s="62"/>
      <c r="J181" s="62"/>
      <c r="K181" s="62"/>
      <c r="L181" s="62"/>
      <c r="M181" s="21">
        <v>2187</v>
      </c>
      <c r="N181" s="21">
        <v>2729</v>
      </c>
      <c r="O181" s="21">
        <v>3845</v>
      </c>
      <c r="P181" s="21">
        <v>4501</v>
      </c>
      <c r="Q181" s="21">
        <v>6386</v>
      </c>
      <c r="T181" s="21">
        <v>1199</v>
      </c>
      <c r="U181" s="21">
        <v>1256</v>
      </c>
      <c r="V181" s="21">
        <v>1185</v>
      </c>
      <c r="W181" s="21">
        <v>1602</v>
      </c>
      <c r="X181" s="21">
        <v>1712</v>
      </c>
      <c r="Y181" s="21">
        <v>1886</v>
      </c>
      <c r="Z181" s="21">
        <v>1814</v>
      </c>
      <c r="AA181" s="21">
        <v>2071</v>
      </c>
      <c r="AC181" s="62">
        <f>SUM(X181:AA181)</f>
        <v>7483</v>
      </c>
    </row>
    <row r="182" spans="1:31" x14ac:dyDescent="0.2">
      <c r="B182" s="20" t="s">
        <v>387</v>
      </c>
      <c r="C182" s="62"/>
      <c r="D182" s="62"/>
      <c r="E182" s="62"/>
      <c r="F182" s="62"/>
      <c r="G182" s="62"/>
      <c r="H182" s="62"/>
      <c r="I182" s="62"/>
      <c r="J182" s="62"/>
      <c r="K182" s="62"/>
      <c r="L182" s="62"/>
      <c r="M182" s="21">
        <v>1609</v>
      </c>
      <c r="N182" s="21">
        <v>1601</v>
      </c>
      <c r="O182" s="21">
        <v>1528</v>
      </c>
      <c r="P182" s="21">
        <v>1718</v>
      </c>
      <c r="Q182" s="21">
        <v>2019</v>
      </c>
      <c r="T182" s="21">
        <v>432</v>
      </c>
      <c r="U182" s="21">
        <v>544</v>
      </c>
      <c r="V182" s="21">
        <v>447</v>
      </c>
      <c r="W182" s="21">
        <v>560</v>
      </c>
      <c r="X182" s="21">
        <v>520</v>
      </c>
      <c r="Y182" s="21">
        <v>492</v>
      </c>
      <c r="Z182" s="21">
        <v>514</v>
      </c>
      <c r="AA182" s="21">
        <v>720</v>
      </c>
      <c r="AC182" s="62">
        <f t="shared" ref="AC182:AC189" si="151">SUM(X182:AA182)</f>
        <v>2246</v>
      </c>
    </row>
    <row r="183" spans="1:31" x14ac:dyDescent="0.2">
      <c r="B183" s="20" t="s">
        <v>388</v>
      </c>
      <c r="C183" s="62"/>
      <c r="D183" s="62"/>
      <c r="E183" s="62"/>
      <c r="F183" s="62"/>
      <c r="G183" s="62"/>
      <c r="H183" s="62"/>
      <c r="I183" s="62"/>
      <c r="J183" s="62"/>
      <c r="K183" s="62"/>
      <c r="L183" s="62"/>
      <c r="M183" s="21">
        <v>1202</v>
      </c>
      <c r="N183" s="21">
        <v>1362</v>
      </c>
      <c r="O183" s="21">
        <v>1491</v>
      </c>
      <c r="P183" s="21">
        <v>1793</v>
      </c>
      <c r="Q183" s="21">
        <v>1824</v>
      </c>
      <c r="T183" s="21">
        <v>443</v>
      </c>
      <c r="U183" s="21">
        <v>547</v>
      </c>
      <c r="V183" s="21">
        <v>404</v>
      </c>
      <c r="W183" s="21">
        <v>476</v>
      </c>
      <c r="X183" s="21">
        <v>444</v>
      </c>
      <c r="Y183" s="21">
        <v>502</v>
      </c>
      <c r="Z183" s="21">
        <v>321</v>
      </c>
      <c r="AA183" s="21">
        <v>484</v>
      </c>
      <c r="AC183" s="62">
        <f t="shared" si="151"/>
        <v>1751</v>
      </c>
    </row>
    <row r="184" spans="1:31" x14ac:dyDescent="0.2">
      <c r="C184" s="21"/>
      <c r="D184" s="21"/>
      <c r="E184" s="21"/>
      <c r="F184" s="21"/>
      <c r="G184" s="21"/>
      <c r="H184" s="21"/>
      <c r="I184" s="21"/>
      <c r="J184" s="21"/>
      <c r="K184" s="21"/>
      <c r="L184" s="21"/>
      <c r="M184" s="21"/>
      <c r="N184" s="21"/>
      <c r="O184" s="21"/>
      <c r="P184" s="21"/>
      <c r="Q184" s="21"/>
      <c r="AC184" s="62"/>
    </row>
    <row r="185" spans="1:31" x14ac:dyDescent="0.2">
      <c r="B185" s="20" t="s">
        <v>389</v>
      </c>
      <c r="C185" s="62"/>
      <c r="D185" s="62"/>
      <c r="E185" s="62"/>
      <c r="F185" s="62"/>
      <c r="G185" s="62"/>
      <c r="H185" s="62"/>
      <c r="I185" s="62"/>
      <c r="J185" s="62"/>
      <c r="K185" s="62"/>
      <c r="L185" s="62"/>
      <c r="M185" s="21">
        <f>2900+659</f>
        <v>3559</v>
      </c>
      <c r="N185" s="21">
        <f>3475+736</f>
        <v>4211</v>
      </c>
      <c r="O185" s="21">
        <v>5271</v>
      </c>
      <c r="P185" s="21">
        <v>6245</v>
      </c>
      <c r="Q185" s="21">
        <v>8207</v>
      </c>
      <c r="T185" s="21">
        <v>1616</v>
      </c>
      <c r="U185" s="21">
        <v>1875</v>
      </c>
      <c r="V185" s="21">
        <v>1611</v>
      </c>
      <c r="W185" s="21">
        <v>2119</v>
      </c>
      <c r="X185" s="21">
        <v>2168</v>
      </c>
      <c r="Y185" s="21">
        <v>2309</v>
      </c>
      <c r="Z185" s="21">
        <v>2091</v>
      </c>
      <c r="AA185" s="21">
        <v>2606</v>
      </c>
      <c r="AC185" s="62">
        <f t="shared" si="151"/>
        <v>9174</v>
      </c>
    </row>
    <row r="186" spans="1:31" x14ac:dyDescent="0.2">
      <c r="B186" s="20" t="s">
        <v>352</v>
      </c>
      <c r="C186" s="62"/>
      <c r="D186" s="62"/>
      <c r="E186" s="62"/>
      <c r="F186" s="62"/>
      <c r="G186" s="62"/>
      <c r="H186" s="62"/>
      <c r="I186" s="62"/>
      <c r="J186" s="62"/>
      <c r="K186" s="62"/>
      <c r="L186" s="62"/>
      <c r="M186" s="21">
        <v>1439</v>
      </c>
      <c r="N186" s="21">
        <v>1481</v>
      </c>
      <c r="O186" s="21">
        <v>1592</v>
      </c>
      <c r="P186" s="21">
        <v>1767</v>
      </c>
      <c r="Q186" s="21">
        <v>2023</v>
      </c>
      <c r="T186" s="21">
        <v>458</v>
      </c>
      <c r="U186" s="21">
        <v>472</v>
      </c>
      <c r="V186" s="21">
        <v>425</v>
      </c>
      <c r="W186" s="21">
        <v>519</v>
      </c>
      <c r="X186" s="21">
        <v>508</v>
      </c>
      <c r="Y186" s="21">
        <v>571</v>
      </c>
      <c r="Z186" s="21">
        <v>558</v>
      </c>
      <c r="AA186" s="21">
        <v>668</v>
      </c>
      <c r="AC186" s="62">
        <f t="shared" si="151"/>
        <v>2305</v>
      </c>
    </row>
    <row r="187" spans="1:31" x14ac:dyDescent="0.2">
      <c r="C187" s="62"/>
      <c r="D187" s="62"/>
      <c r="E187" s="62"/>
      <c r="F187" s="62"/>
      <c r="G187" s="62"/>
      <c r="H187" s="62"/>
      <c r="I187" s="62"/>
      <c r="J187" s="62"/>
      <c r="K187" s="62"/>
      <c r="L187" s="62"/>
      <c r="M187" s="21"/>
      <c r="N187" s="21"/>
      <c r="O187" s="21"/>
      <c r="P187" s="21"/>
      <c r="Q187" s="21"/>
      <c r="T187" s="21"/>
      <c r="U187" s="21"/>
      <c r="V187" s="21"/>
      <c r="W187" s="21"/>
      <c r="X187" s="21"/>
      <c r="Y187" s="21"/>
      <c r="Z187" s="21"/>
      <c r="AA187" s="21"/>
      <c r="AC187" s="62"/>
    </row>
    <row r="188" spans="1:31" x14ac:dyDescent="0.2">
      <c r="B188" s="20" t="s">
        <v>391</v>
      </c>
      <c r="C188" s="62"/>
      <c r="D188" s="62"/>
      <c r="E188" s="62"/>
      <c r="F188" s="62"/>
      <c r="G188" s="62"/>
      <c r="H188" s="62"/>
      <c r="I188" s="62"/>
      <c r="J188" s="62"/>
      <c r="K188" s="62"/>
      <c r="L188" s="62"/>
      <c r="M188" s="21">
        <v>2700</v>
      </c>
      <c r="N188" s="21">
        <v>3219</v>
      </c>
      <c r="O188" s="21">
        <v>3576</v>
      </c>
      <c r="P188" s="21">
        <v>4099</v>
      </c>
      <c r="Q188" s="21">
        <v>5447</v>
      </c>
      <c r="T188" s="21">
        <v>1066</v>
      </c>
      <c r="U188" s="21">
        <v>1224</v>
      </c>
      <c r="V188" s="21">
        <v>1112</v>
      </c>
      <c r="W188" s="21">
        <v>1470</v>
      </c>
      <c r="X188" s="21">
        <v>1398</v>
      </c>
      <c r="Y188" s="21">
        <v>1466</v>
      </c>
      <c r="Z188" s="21">
        <v>1348</v>
      </c>
      <c r="AA188" s="21">
        <v>1668</v>
      </c>
      <c r="AC188" s="62">
        <f t="shared" si="151"/>
        <v>5880</v>
      </c>
    </row>
    <row r="189" spans="1:31" x14ac:dyDescent="0.2">
      <c r="B189" s="20" t="s">
        <v>392</v>
      </c>
      <c r="C189" s="62"/>
      <c r="D189" s="62"/>
      <c r="E189" s="62"/>
      <c r="F189" s="62"/>
      <c r="G189" s="62"/>
      <c r="H189" s="62"/>
      <c r="I189" s="62"/>
      <c r="J189" s="62"/>
      <c r="K189" s="62"/>
      <c r="L189" s="62"/>
      <c r="M189" s="21">
        <v>776</v>
      </c>
      <c r="N189" s="21">
        <v>856</v>
      </c>
      <c r="O189" s="21">
        <v>887</v>
      </c>
      <c r="P189" s="21">
        <v>978</v>
      </c>
      <c r="Q189" s="21">
        <v>1068</v>
      </c>
      <c r="T189" s="21">
        <v>251</v>
      </c>
      <c r="U189" s="21">
        <v>252</v>
      </c>
      <c r="V189" s="21">
        <v>237</v>
      </c>
      <c r="W189" s="21">
        <v>271</v>
      </c>
      <c r="X189" s="21">
        <v>267</v>
      </c>
      <c r="Y189" s="21">
        <v>292</v>
      </c>
      <c r="Z189" s="21">
        <v>301</v>
      </c>
      <c r="AA189" s="21">
        <v>372</v>
      </c>
      <c r="AC189" s="62">
        <f t="shared" si="151"/>
        <v>1232</v>
      </c>
    </row>
    <row r="190" spans="1:31" x14ac:dyDescent="0.2">
      <c r="C190" s="21"/>
      <c r="D190" s="21"/>
      <c r="E190" s="21"/>
      <c r="F190" s="21"/>
      <c r="G190" s="21"/>
      <c r="H190" s="21"/>
      <c r="I190" s="21"/>
      <c r="J190" s="21"/>
      <c r="K190" s="21"/>
      <c r="L190" s="21"/>
      <c r="M190" s="21"/>
    </row>
    <row r="191" spans="1:31" x14ac:dyDescent="0.2">
      <c r="B191" s="1"/>
    </row>
    <row r="192" spans="1:31" ht="17" thickBot="1" x14ac:dyDescent="0.25">
      <c r="B192" s="14" t="s">
        <v>304</v>
      </c>
      <c r="C192" s="165"/>
      <c r="D192" s="165"/>
      <c r="E192" s="165"/>
      <c r="F192" s="165"/>
      <c r="G192" s="165"/>
      <c r="H192" s="165"/>
      <c r="I192" s="165"/>
      <c r="J192" s="165"/>
      <c r="K192" s="165"/>
      <c r="L192" s="165"/>
      <c r="M192" s="165"/>
      <c r="N192" s="165"/>
      <c r="O192" s="165"/>
      <c r="P192" s="165"/>
      <c r="Q192" s="165"/>
      <c r="T192" s="165"/>
      <c r="U192" s="165"/>
      <c r="V192" s="165"/>
      <c r="W192" s="165"/>
      <c r="X192" s="165"/>
      <c r="Y192" s="165"/>
      <c r="Z192" s="165"/>
      <c r="AA192" s="165"/>
      <c r="AC192" s="165"/>
    </row>
    <row r="193" spans="2:29" x14ac:dyDescent="0.2">
      <c r="B193" s="20" t="str">
        <f>B181</f>
        <v>Americas</v>
      </c>
      <c r="C193" s="81"/>
      <c r="D193" s="81"/>
      <c r="E193" s="81"/>
      <c r="F193" s="81"/>
      <c r="G193" s="81"/>
      <c r="H193" s="81"/>
      <c r="I193" s="81"/>
      <c r="J193" s="81"/>
      <c r="K193" s="81"/>
      <c r="L193" s="81"/>
      <c r="M193" s="81">
        <f t="shared" ref="M193:Q195" si="152">IF(L181=0,
IF(M181=0,0,IF(M181&gt;0,1,-1)),
(M181-L181)/ABS(L181)
)</f>
        <v>1</v>
      </c>
      <c r="N193" s="81">
        <f t="shared" si="152"/>
        <v>0.24782807498856882</v>
      </c>
      <c r="O193" s="81">
        <f t="shared" si="152"/>
        <v>0.40894100403078049</v>
      </c>
      <c r="P193" s="81">
        <f t="shared" si="152"/>
        <v>0.1706111833550065</v>
      </c>
      <c r="Q193" s="81">
        <f t="shared" si="152"/>
        <v>0.41879582315041103</v>
      </c>
      <c r="T193" s="81">
        <f t="shared" ref="T193:AA195" si="153">IF(S181=0,
IF(T181=0,0,IF(T181&gt;0,1,-1)),
(T181-S181)/ABS(S181)
)</f>
        <v>1</v>
      </c>
      <c r="U193" s="81">
        <f t="shared" si="153"/>
        <v>4.7539616346955797E-2</v>
      </c>
      <c r="V193" s="81">
        <f t="shared" si="153"/>
        <v>-5.6528662420382167E-2</v>
      </c>
      <c r="W193" s="81">
        <f t="shared" si="153"/>
        <v>0.35189873417721518</v>
      </c>
      <c r="X193" s="81">
        <f t="shared" si="153"/>
        <v>6.8664169787765295E-2</v>
      </c>
      <c r="Y193" s="81">
        <f t="shared" si="153"/>
        <v>0.10163551401869159</v>
      </c>
      <c r="Z193" s="81">
        <f t="shared" si="153"/>
        <v>-3.8176033934252389E-2</v>
      </c>
      <c r="AA193" s="81">
        <f t="shared" si="153"/>
        <v>0.14167585446527012</v>
      </c>
      <c r="AC193" s="49"/>
    </row>
    <row r="194" spans="2:29" x14ac:dyDescent="0.2">
      <c r="B194" s="20" t="str">
        <f t="shared" ref="B194:B195" si="154">B182</f>
        <v>Asia Pacific</v>
      </c>
      <c r="M194" s="81">
        <f t="shared" si="152"/>
        <v>1</v>
      </c>
      <c r="N194" s="81">
        <f t="shared" si="152"/>
        <v>-4.972032318210068E-3</v>
      </c>
      <c r="O194" s="81">
        <f t="shared" si="152"/>
        <v>-4.5596502186133668E-2</v>
      </c>
      <c r="P194" s="81">
        <f t="shared" si="152"/>
        <v>0.1243455497382199</v>
      </c>
      <c r="Q194" s="81">
        <f t="shared" si="152"/>
        <v>0.17520372526193248</v>
      </c>
      <c r="T194" s="81">
        <f t="shared" si="153"/>
        <v>1</v>
      </c>
      <c r="U194" s="81">
        <f t="shared" si="153"/>
        <v>0.25925925925925924</v>
      </c>
      <c r="V194" s="81">
        <f t="shared" si="153"/>
        <v>-0.17830882352941177</v>
      </c>
      <c r="W194" s="81">
        <f t="shared" si="153"/>
        <v>0.25279642058165547</v>
      </c>
      <c r="X194" s="81">
        <f t="shared" si="153"/>
        <v>-7.1428571428571425E-2</v>
      </c>
      <c r="Y194" s="81">
        <f t="shared" si="153"/>
        <v>-5.3846153846153849E-2</v>
      </c>
      <c r="Z194" s="81">
        <f t="shared" si="153"/>
        <v>4.4715447154471545E-2</v>
      </c>
      <c r="AA194" s="81">
        <f t="shared" si="153"/>
        <v>0.40077821011673154</v>
      </c>
      <c r="AC194" s="49"/>
    </row>
    <row r="195" spans="2:29" x14ac:dyDescent="0.2">
      <c r="B195" s="20" t="str">
        <f t="shared" si="154"/>
        <v>Europe Middle East Africa</v>
      </c>
      <c r="M195" s="81">
        <f t="shared" si="152"/>
        <v>1</v>
      </c>
      <c r="N195" s="81">
        <f t="shared" si="152"/>
        <v>0.13311148086522462</v>
      </c>
      <c r="O195" s="81">
        <f t="shared" si="152"/>
        <v>9.4713656387665199E-2</v>
      </c>
      <c r="P195" s="81">
        <f t="shared" si="152"/>
        <v>0.20254862508383636</v>
      </c>
      <c r="Q195" s="81">
        <f t="shared" si="152"/>
        <v>1.7289459007250419E-2</v>
      </c>
      <c r="T195" s="81">
        <f t="shared" si="153"/>
        <v>1</v>
      </c>
      <c r="U195" s="81">
        <f t="shared" si="153"/>
        <v>0.23476297968397292</v>
      </c>
      <c r="V195" s="81">
        <f t="shared" si="153"/>
        <v>-0.26142595978062155</v>
      </c>
      <c r="W195" s="81">
        <f t="shared" si="153"/>
        <v>0.17821782178217821</v>
      </c>
      <c r="X195" s="81">
        <f t="shared" si="153"/>
        <v>-6.7226890756302518E-2</v>
      </c>
      <c r="Y195" s="81">
        <f t="shared" si="153"/>
        <v>0.13063063063063063</v>
      </c>
      <c r="Z195" s="81">
        <f t="shared" si="153"/>
        <v>-0.3605577689243028</v>
      </c>
      <c r="AA195" s="81">
        <f t="shared" si="153"/>
        <v>0.50778816199376942</v>
      </c>
      <c r="AC195" s="49"/>
    </row>
    <row r="196" spans="2:29" x14ac:dyDescent="0.2">
      <c r="M196" s="81"/>
      <c r="N196" s="81"/>
      <c r="O196" s="81"/>
      <c r="P196" s="81"/>
      <c r="Q196" s="81"/>
      <c r="T196" s="81"/>
      <c r="U196" s="81"/>
      <c r="V196" s="81"/>
      <c r="W196" s="81"/>
      <c r="X196" s="81"/>
      <c r="Y196" s="81"/>
      <c r="Z196" s="81"/>
      <c r="AA196" s="81"/>
      <c r="AC196" s="49"/>
    </row>
    <row r="197" spans="2:29" x14ac:dyDescent="0.2">
      <c r="B197" s="20" t="str">
        <f>B185</f>
        <v>Products</v>
      </c>
      <c r="M197" s="81">
        <f t="shared" ref="M197:Q198" si="155">IF(L185=0,
IF(M185=0,0,IF(M185&gt;0,1,-1)),
(M185-L185)/ABS(L185)
)</f>
        <v>1</v>
      </c>
      <c r="N197" s="81">
        <f t="shared" si="155"/>
        <v>0.18319752739533576</v>
      </c>
      <c r="O197" s="81">
        <f t="shared" si="155"/>
        <v>0.25172168131085254</v>
      </c>
      <c r="P197" s="81">
        <f t="shared" si="155"/>
        <v>0.18478467084044772</v>
      </c>
      <c r="Q197" s="81">
        <f t="shared" si="155"/>
        <v>0.31417133706965572</v>
      </c>
      <c r="T197" s="81">
        <f t="shared" ref="T197:AA198" si="156">IF(S185=0,
IF(T185=0,0,IF(T185&gt;0,1,-1)),
(T185-S185)/ABS(S185)
)</f>
        <v>1</v>
      </c>
      <c r="U197" s="81">
        <f t="shared" si="156"/>
        <v>0.16027227722772278</v>
      </c>
      <c r="V197" s="81">
        <f t="shared" si="156"/>
        <v>-0.14080000000000001</v>
      </c>
      <c r="W197" s="81">
        <f t="shared" si="156"/>
        <v>0.31533209186840472</v>
      </c>
      <c r="X197" s="81">
        <f t="shared" si="156"/>
        <v>2.3124115148655026E-2</v>
      </c>
      <c r="Y197" s="81">
        <f t="shared" si="156"/>
        <v>6.5036900369003683E-2</v>
      </c>
      <c r="Z197" s="81">
        <f t="shared" si="156"/>
        <v>-9.441316587267215E-2</v>
      </c>
      <c r="AA197" s="81">
        <f t="shared" si="156"/>
        <v>0.24629363940698232</v>
      </c>
      <c r="AC197" s="49"/>
    </row>
    <row r="198" spans="2:29" x14ac:dyDescent="0.2">
      <c r="B198" s="20" t="str">
        <f>B186</f>
        <v>Services</v>
      </c>
      <c r="M198" s="81">
        <f t="shared" si="155"/>
        <v>1</v>
      </c>
      <c r="N198" s="81">
        <f t="shared" si="155"/>
        <v>2.9186935371785964E-2</v>
      </c>
      <c r="O198" s="81">
        <f t="shared" si="155"/>
        <v>7.4949358541525998E-2</v>
      </c>
      <c r="P198" s="81">
        <f t="shared" si="155"/>
        <v>0.10992462311557789</v>
      </c>
      <c r="Q198" s="81">
        <f t="shared" si="155"/>
        <v>0.14487832484436899</v>
      </c>
      <c r="T198" s="81">
        <f t="shared" si="156"/>
        <v>1</v>
      </c>
      <c r="U198" s="81">
        <f t="shared" si="156"/>
        <v>3.0567685589519649E-2</v>
      </c>
      <c r="V198" s="81">
        <f t="shared" si="156"/>
        <v>-9.9576271186440676E-2</v>
      </c>
      <c r="W198" s="81">
        <f t="shared" si="156"/>
        <v>0.22117647058823531</v>
      </c>
      <c r="X198" s="81">
        <f t="shared" si="156"/>
        <v>-2.119460500963391E-2</v>
      </c>
      <c r="Y198" s="81">
        <f t="shared" si="156"/>
        <v>0.12401574803149606</v>
      </c>
      <c r="Z198" s="81">
        <f t="shared" si="156"/>
        <v>-2.276707530647986E-2</v>
      </c>
      <c r="AA198" s="81">
        <f t="shared" si="156"/>
        <v>0.1971326164874552</v>
      </c>
      <c r="AC198" s="49"/>
    </row>
    <row r="200" spans="2:29" x14ac:dyDescent="0.2">
      <c r="B200" s="1"/>
    </row>
    <row r="201" spans="2:29" ht="17" thickBot="1" x14ac:dyDescent="0.25">
      <c r="B201" s="14" t="s">
        <v>305</v>
      </c>
      <c r="C201" s="165"/>
      <c r="D201" s="165"/>
      <c r="E201" s="165"/>
      <c r="F201" s="165"/>
      <c r="G201" s="165"/>
      <c r="H201" s="165"/>
      <c r="I201" s="165"/>
      <c r="J201" s="165"/>
      <c r="K201" s="165"/>
      <c r="L201" s="165"/>
      <c r="M201" s="165"/>
      <c r="N201" s="165"/>
      <c r="O201" s="165"/>
      <c r="P201" s="165"/>
      <c r="Q201" s="165"/>
      <c r="T201" s="165"/>
      <c r="U201" s="165"/>
      <c r="V201" s="165"/>
      <c r="W201" s="165"/>
      <c r="X201" s="165"/>
      <c r="Y201" s="165"/>
      <c r="Z201" s="165"/>
      <c r="AA201" s="165"/>
      <c r="AC201" s="165"/>
    </row>
    <row r="202" spans="2:29" x14ac:dyDescent="0.2">
      <c r="B202" s="20" t="s">
        <v>277</v>
      </c>
      <c r="C202" s="81"/>
      <c r="D202" s="81"/>
      <c r="E202" s="81"/>
      <c r="F202" s="81"/>
      <c r="G202" s="81"/>
      <c r="H202" s="81"/>
      <c r="I202" s="81"/>
      <c r="J202" s="81"/>
      <c r="K202" s="81"/>
      <c r="L202" s="81"/>
      <c r="M202" s="81">
        <f>IF(L63=0,
IF(M63=0,0,IF(M63&gt;0,1,-1)),
(M63-L63)/L63
)</f>
        <v>-1</v>
      </c>
      <c r="N202" s="81">
        <f>IF(M63=0,
IF(N63=0,0,IF(N63&gt;0,1,-1)),
(N63-M63)/M63
)</f>
        <v>0</v>
      </c>
      <c r="O202" s="81">
        <f>IF(N63=0,
IF(O63=0,0,IF(O63&gt;0,1,-1)),
(O63-N63)/N63
)</f>
        <v>1.5</v>
      </c>
      <c r="P202" s="81">
        <f>IF(O63=0,
IF(P63=0,0,IF(P63&gt;0,1,-1)),
(P63-O63)/O63
)</f>
        <v>3.2</v>
      </c>
      <c r="Q202" s="81">
        <f>IF(P63=0,
IF(Q63=0,0,IF(Q63&gt;0,1,-1)),
(Q63-P63)/P63
)</f>
        <v>0.59523809523809523</v>
      </c>
      <c r="T202" s="49"/>
      <c r="U202" s="49"/>
      <c r="V202" s="49"/>
      <c r="W202" s="49"/>
      <c r="X202" s="49"/>
      <c r="Y202" s="49"/>
      <c r="Z202" s="49"/>
      <c r="AA202" s="49"/>
      <c r="AC202" s="49"/>
    </row>
    <row r="204" spans="2:29" x14ac:dyDescent="0.2">
      <c r="B204" s="1"/>
    </row>
    <row r="205" spans="2:29" ht="17" thickBot="1" x14ac:dyDescent="0.25">
      <c r="B205" s="14" t="s">
        <v>339</v>
      </c>
      <c r="C205" s="165"/>
      <c r="D205" s="165"/>
      <c r="E205" s="165"/>
      <c r="F205" s="165"/>
      <c r="G205" s="165"/>
      <c r="H205" s="165"/>
      <c r="I205" s="165"/>
      <c r="J205" s="165"/>
      <c r="K205" s="165"/>
      <c r="L205" s="165"/>
      <c r="M205" s="165"/>
      <c r="N205" s="165"/>
      <c r="O205" s="165"/>
      <c r="P205" s="165"/>
      <c r="Q205" s="165"/>
      <c r="T205" s="165"/>
      <c r="U205" s="165"/>
      <c r="V205" s="165"/>
      <c r="W205" s="165"/>
      <c r="X205" s="165"/>
      <c r="Y205" s="165"/>
      <c r="Z205" s="165"/>
      <c r="AA205" s="165"/>
      <c r="AC205" s="165"/>
    </row>
    <row r="206" spans="2:29" x14ac:dyDescent="0.2">
      <c r="B206" s="20" t="s">
        <v>340</v>
      </c>
      <c r="M206" s="141">
        <v>100</v>
      </c>
      <c r="N206" s="141">
        <f>100*(1+((N115-$M115)/ABS($M115)))</f>
        <v>54.705646776131367</v>
      </c>
      <c r="O206" s="141">
        <f t="shared" ref="O206:Q206" si="157">100*(1+((O115-$M115)/ABS($M115)))</f>
        <v>192.35082098518222</v>
      </c>
      <c r="P206" s="141">
        <f t="shared" si="157"/>
        <v>454.98598317981578</v>
      </c>
      <c r="Q206" s="141">
        <f t="shared" si="157"/>
        <v>648.81858229875854</v>
      </c>
      <c r="T206" s="49"/>
      <c r="U206" s="49"/>
      <c r="V206" s="49"/>
      <c r="W206" s="49"/>
      <c r="X206" s="49"/>
      <c r="Y206" s="49"/>
      <c r="Z206" s="49"/>
      <c r="AA206" s="49"/>
      <c r="AC206" s="49"/>
    </row>
    <row r="207" spans="2:29" x14ac:dyDescent="0.2">
      <c r="B207" s="20" t="s">
        <v>341</v>
      </c>
      <c r="M207" s="141">
        <v>100</v>
      </c>
      <c r="N207" s="141">
        <f>100*(1+((N5-$M5)/ABS($M5)))</f>
        <v>113.88555422168866</v>
      </c>
      <c r="O207" s="141">
        <f>100*(1+((O5-$M5)/ABS($M5)))</f>
        <v>137.31492597038817</v>
      </c>
      <c r="P207" s="141">
        <f>100*(1+((P5-$M5)/ABS($M5)))</f>
        <v>160.30412164865945</v>
      </c>
      <c r="Q207" s="141">
        <f>100*(1+((Q5-$M5)/ABS($M5)))</f>
        <v>204.68187274909963</v>
      </c>
      <c r="T207" s="49"/>
      <c r="U207" s="49"/>
      <c r="V207" s="49"/>
      <c r="W207" s="49"/>
      <c r="X207" s="49"/>
      <c r="Y207" s="49"/>
      <c r="Z207" s="49"/>
      <c r="AA207" s="49"/>
      <c r="AC207" s="49"/>
    </row>
    <row r="208" spans="2:29" x14ac:dyDescent="0.2">
      <c r="B208" s="20" t="s">
        <v>342</v>
      </c>
      <c r="M208" s="141">
        <v>100</v>
      </c>
      <c r="N208" s="141">
        <f>100*(1+((N25-$M25)/ABS($M25)))</f>
        <v>-12.12121212121211</v>
      </c>
      <c r="O208" s="141">
        <f t="shared" ref="O208:Q208" si="158">100*(1+((O25-$M25)/ABS($M25)))</f>
        <v>360.60606060606057</v>
      </c>
      <c r="P208" s="141">
        <f t="shared" si="158"/>
        <v>387.87878787878782</v>
      </c>
      <c r="Q208" s="141">
        <f t="shared" si="158"/>
        <v>1033.3333333333335</v>
      </c>
      <c r="T208" s="49"/>
      <c r="U208" s="49"/>
      <c r="V208" s="49"/>
      <c r="W208" s="49"/>
      <c r="X208" s="49"/>
      <c r="Y208" s="49"/>
      <c r="Z208" s="49"/>
      <c r="AA208" s="49"/>
      <c r="AC208" s="49"/>
    </row>
    <row r="210" spans="1:31" x14ac:dyDescent="0.2">
      <c r="B210" s="1"/>
    </row>
    <row r="211" spans="1:31" s="15" customFormat="1" ht="17" thickBot="1" x14ac:dyDescent="0.25">
      <c r="A211" s="11"/>
      <c r="B211" s="14" t="s">
        <v>106</v>
      </c>
      <c r="R211" s="1"/>
      <c r="S211" s="1"/>
      <c r="AB211" s="1"/>
      <c r="AD211" s="1"/>
      <c r="AE211" s="1"/>
    </row>
    <row r="212" spans="1:31" x14ac:dyDescent="0.2">
      <c r="C212" s="62"/>
      <c r="D212" s="62"/>
      <c r="E212" s="62"/>
      <c r="F212" s="62"/>
      <c r="G212" s="62"/>
      <c r="H212" s="62"/>
      <c r="I212" s="62"/>
      <c r="J212" s="62"/>
      <c r="K212" s="62"/>
      <c r="L212" s="62"/>
      <c r="M212" s="62"/>
      <c r="N212" s="62"/>
      <c r="O212" s="62"/>
      <c r="P212" s="62"/>
      <c r="Q212" s="62"/>
      <c r="T212" s="62"/>
      <c r="U212" s="62"/>
      <c r="V212" s="62"/>
      <c r="W212" s="62"/>
      <c r="X212" s="62"/>
      <c r="Y212" s="62"/>
      <c r="Z212" s="62"/>
      <c r="AA212" s="62"/>
      <c r="AC212" s="62"/>
    </row>
    <row r="213" spans="1:31" x14ac:dyDescent="0.2">
      <c r="B213" s="1"/>
    </row>
  </sheetData>
  <pageMargins left="0.7" right="0.7" top="0.75" bottom="0.75" header="0.3" footer="0.3"/>
  <ignoredErrors>
    <ignoredError sqref="AC22 AC80 AC65 AC52:AC56 AC58:AC61 AC5:AC9 AC63:AC64 AC10:AC18" formulaRange="1"/>
    <ignoredError sqref="AC19:AC20 AC23:AC24" formula="1" formulaRange="1"/>
    <ignoredError sqref="M122:Q122" formula="1"/>
  </ignoredError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210FB-34E3-D04A-8896-321D81878D88}">
  <sheetPr>
    <tabColor theme="6" tint="0.59999389629810485"/>
  </sheetPr>
  <dimension ref="B5:H13"/>
  <sheetViews>
    <sheetView workbookViewId="0">
      <selection activeCell="H10" sqref="H10"/>
    </sheetView>
  </sheetViews>
  <sheetFormatPr baseColWidth="10" defaultRowHeight="16" x14ac:dyDescent="0.2"/>
  <cols>
    <col min="1" max="7" width="10.83203125" style="1"/>
    <col min="8" max="8" width="17.6640625" style="1" customWidth="1"/>
    <col min="9" max="16384" width="10.83203125" style="1"/>
  </cols>
  <sheetData>
    <row r="5" spans="2:8" x14ac:dyDescent="0.2">
      <c r="H5" s="132" t="s">
        <v>408</v>
      </c>
    </row>
    <row r="6" spans="2:8" x14ac:dyDescent="0.2">
      <c r="H6" s="241" t="s">
        <v>413</v>
      </c>
    </row>
    <row r="7" spans="2:8" x14ac:dyDescent="0.2">
      <c r="H7" s="241" t="s">
        <v>409</v>
      </c>
    </row>
    <row r="8" spans="2:8" x14ac:dyDescent="0.2">
      <c r="H8" s="241" t="s">
        <v>410</v>
      </c>
    </row>
    <row r="9" spans="2:8" x14ac:dyDescent="0.2">
      <c r="H9" s="241" t="s">
        <v>411</v>
      </c>
    </row>
    <row r="10" spans="2:8" x14ac:dyDescent="0.2">
      <c r="H10" s="242" t="s">
        <v>412</v>
      </c>
    </row>
    <row r="13" spans="2:8" s="4" customFormat="1" ht="49" x14ac:dyDescent="0.2">
      <c r="B13" s="3" t="s">
        <v>225</v>
      </c>
    </row>
  </sheetData>
  <hyperlinks>
    <hyperlink ref="H6" location="Overview!B3" display="Overview'!B3" xr:uid="{165CA364-CE28-7B40-8DC8-495CD79B56D8}"/>
    <hyperlink ref="H8" location="'Analysis -&gt;'!B13" display="'Analysis -&gt;'!B13" xr:uid="{1E17AE2D-6F9F-FB4B-9F98-91F9ECC6D663}"/>
    <hyperlink ref="H9" location="'Forecast -&gt;'!B13" display="'Forecast -&gt;'!B13" xr:uid="{B5721EC4-EFBA-B54E-8878-7238E7102253}"/>
    <hyperlink ref="H10" location="'Valuation -&gt;'!B13" display="'Valuation -&gt;'!B13" xr:uid="{59376C6C-13F5-D143-BDF2-35EC403E4D48}"/>
    <hyperlink ref="H7" location="'Financials -&gt;'!B13" display="'Financials -&gt;'!B13" xr:uid="{FA2FBECD-26EC-4547-8A51-73C73AD518C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0C07F-23F5-F443-9A67-3073516055F8}">
  <dimension ref="B1:G54"/>
  <sheetViews>
    <sheetView zoomScale="173" workbookViewId="0">
      <selection activeCell="F54" sqref="F54"/>
    </sheetView>
  </sheetViews>
  <sheetFormatPr baseColWidth="10" defaultRowHeight="16" x14ac:dyDescent="0.2"/>
  <cols>
    <col min="1" max="1" width="3.1640625" style="1" customWidth="1"/>
    <col min="2" max="2" width="32.5" style="1" customWidth="1"/>
    <col min="3" max="3" width="10.83203125" style="1"/>
    <col min="4" max="4" width="5" style="1" customWidth="1"/>
    <col min="5" max="5" width="22.83203125" style="1" customWidth="1"/>
    <col min="6" max="16384" width="10.83203125" style="1"/>
  </cols>
  <sheetData>
    <row r="1" spans="2:7" x14ac:dyDescent="0.2">
      <c r="B1" s="82" t="s">
        <v>267</v>
      </c>
    </row>
    <row r="4" spans="2:7" x14ac:dyDescent="0.2">
      <c r="B4" s="249" t="s">
        <v>226</v>
      </c>
      <c r="C4" s="249"/>
      <c r="E4" s="249" t="s">
        <v>233</v>
      </c>
      <c r="F4" s="249"/>
      <c r="G4" s="249"/>
    </row>
    <row r="5" spans="2:7" x14ac:dyDescent="0.2">
      <c r="B5" s="20" t="s">
        <v>1</v>
      </c>
      <c r="C5" s="166">
        <f ca="1">Overview!C5</f>
        <v>194.30500000000001</v>
      </c>
      <c r="E5" s="12"/>
      <c r="F5" s="132" t="s">
        <v>234</v>
      </c>
      <c r="G5" s="132" t="s">
        <v>235</v>
      </c>
    </row>
    <row r="6" spans="2:7" x14ac:dyDescent="0.2">
      <c r="B6" s="20" t="s">
        <v>232</v>
      </c>
      <c r="C6" s="167">
        <f ca="1">Statement!AC147</f>
        <v>76361.865000000005</v>
      </c>
      <c r="E6" s="20" t="s">
        <v>19</v>
      </c>
      <c r="F6" s="172">
        <f>IF(Statement!M5&lt;=0,"N/A",_xlfn.RRI(4,Statement!M5,Statement!Q5))</f>
        <v>0.19610648624590454</v>
      </c>
      <c r="G6" s="172" t="str">
        <f>IF(Statement!H5&lt;=0,"N/A",_xlfn.RRI(9,Statement!H5,Statement!Q5))</f>
        <v>N/A</v>
      </c>
    </row>
    <row r="7" spans="2:7" x14ac:dyDescent="0.2">
      <c r="B7" s="20" t="s">
        <v>184</v>
      </c>
      <c r="C7" s="167">
        <f ca="1">Statement!AC148</f>
        <v>76190.865000000005</v>
      </c>
      <c r="E7" s="20" t="s">
        <v>28</v>
      </c>
      <c r="F7" s="172">
        <f>IF(OR(Statement!M17&lt;=0, Statement!Q17&lt;=0), "N/A", _xlfn.RRI(4, Statement!M17, Statement!Q17))</f>
        <v>0.82562773878514006</v>
      </c>
      <c r="G7" s="172" t="str">
        <f>IF(OR(Statement!H17&lt;=0, Statement!Q17&lt;=0), "N/A", _xlfn.RRI(9, Statement!H17, Statement!Q17))</f>
        <v>N/A</v>
      </c>
    </row>
    <row r="8" spans="2:7" x14ac:dyDescent="0.2">
      <c r="B8" s="20" t="s">
        <v>230</v>
      </c>
      <c r="C8" s="168">
        <f ca="1">Statement!AC144</f>
        <v>43.960407239819006</v>
      </c>
      <c r="E8" s="20" t="s">
        <v>236</v>
      </c>
      <c r="F8" s="172">
        <f>IF(OR(Statement!M25&lt;=0, Statement!Q25&lt;=0), "N/A", _xlfn.RRI(4, Statement!M25, Statement!Q25))</f>
        <v>0.79291668899152112</v>
      </c>
      <c r="G8" s="172" t="str">
        <f>IF(OR(Statement!H25&lt;=0, Statement!Q25&lt;=0), "N/A", _xlfn.RRI(9, Statement!H25, Statement!Q25))</f>
        <v>N/A</v>
      </c>
    </row>
    <row r="9" spans="2:7" x14ac:dyDescent="0.2">
      <c r="B9" s="20" t="s">
        <v>197</v>
      </c>
      <c r="C9" s="168">
        <f ca="1">Statement!AC145</f>
        <v>6.6348048780487812</v>
      </c>
      <c r="E9" s="20" t="s">
        <v>237</v>
      </c>
      <c r="F9" s="172">
        <f>IF(Statement!M81&lt;=0,"N/A",_xlfn.RRI(4,Statement!M81,Statement!Q81))</f>
        <v>1.0453117446175235</v>
      </c>
      <c r="G9" s="172" t="str">
        <f>IF(Statement!H81&lt;=0,"N/A",_xlfn.RRI(9,Statement!H81,Statement!Q81))</f>
        <v>N/A</v>
      </c>
    </row>
    <row r="10" spans="2:7" x14ac:dyDescent="0.2">
      <c r="B10" s="20" t="s">
        <v>231</v>
      </c>
      <c r="C10" s="168">
        <f ca="1">Statement!AC146</f>
        <v>15.722451660361497</v>
      </c>
      <c r="E10" s="20" t="s">
        <v>1</v>
      </c>
      <c r="F10" s="172">
        <f>IF(Statement!M115&lt;=0,"N/A",_xlfn.RRI(4,Statement!M115,Statement!Q115))</f>
        <v>0.59599240358482874</v>
      </c>
      <c r="G10" s="172" t="str">
        <f>IF(Statement!H115&lt;=0,"N/A",_xlfn.RRI(9,Statement!H115,Statement!Q115))</f>
        <v>N/A</v>
      </c>
    </row>
    <row r="11" spans="2:7" x14ac:dyDescent="0.2">
      <c r="B11" s="20" t="s">
        <v>253</v>
      </c>
      <c r="C11" s="168">
        <f ca="1">Statement!AC149</f>
        <v>6.6368349303135892</v>
      </c>
    </row>
    <row r="12" spans="2:7" x14ac:dyDescent="0.2">
      <c r="B12" s="20" t="s">
        <v>200</v>
      </c>
      <c r="C12" s="168">
        <f ca="1">Statement!AC150</f>
        <v>35.094824965453711</v>
      </c>
    </row>
    <row r="15" spans="2:7" x14ac:dyDescent="0.2">
      <c r="B15" s="249" t="s">
        <v>74</v>
      </c>
      <c r="C15" s="249"/>
      <c r="E15" s="249" t="s">
        <v>239</v>
      </c>
      <c r="F15" s="249"/>
    </row>
    <row r="16" spans="2:7" x14ac:dyDescent="0.2">
      <c r="B16" s="20" t="s">
        <v>75</v>
      </c>
      <c r="C16" s="169">
        <f>Statement!AC99</f>
        <v>0.38040069686411149</v>
      </c>
      <c r="E16" s="20" t="s">
        <v>28</v>
      </c>
      <c r="F16" s="167">
        <f>Statement!AC17</f>
        <v>1733</v>
      </c>
    </row>
    <row r="17" spans="2:6" x14ac:dyDescent="0.2">
      <c r="B17" s="20" t="s">
        <v>76</v>
      </c>
      <c r="C17" s="169">
        <f>Statement!AC100</f>
        <v>0.18911149825783971</v>
      </c>
      <c r="E17" s="20" t="s">
        <v>240</v>
      </c>
      <c r="F17" s="167">
        <f>Statement!AC58</f>
        <v>3380</v>
      </c>
    </row>
    <row r="18" spans="2:6" x14ac:dyDescent="0.2">
      <c r="B18" s="20" t="s">
        <v>77</v>
      </c>
      <c r="C18" s="169">
        <f>Statement!AC101</f>
        <v>0.15095818815331011</v>
      </c>
      <c r="E18" s="20" t="s">
        <v>247</v>
      </c>
      <c r="F18" s="171">
        <f>IF(OR(F16&lt;=0, F17&lt;=0),"N/A",F16-F17)</f>
        <v>-1647</v>
      </c>
    </row>
    <row r="21" spans="2:6" x14ac:dyDescent="0.2">
      <c r="B21" s="249" t="s">
        <v>238</v>
      </c>
      <c r="C21" s="249"/>
      <c r="E21" s="249" t="s">
        <v>242</v>
      </c>
      <c r="F21" s="249"/>
    </row>
    <row r="22" spans="2:6" x14ac:dyDescent="0.2">
      <c r="B22" s="20" t="s">
        <v>96</v>
      </c>
      <c r="C22" s="169">
        <f>Statement!AC119</f>
        <v>0.15095818815331011</v>
      </c>
      <c r="E22" s="20" t="s">
        <v>98</v>
      </c>
      <c r="F22" s="169">
        <f>C24</f>
        <v>0.10898685617256777</v>
      </c>
    </row>
    <row r="23" spans="2:6" x14ac:dyDescent="0.2">
      <c r="B23" s="20" t="s">
        <v>97</v>
      </c>
      <c r="C23" s="168">
        <f>Statement!AC120</f>
        <v>0.72196717187598269</v>
      </c>
      <c r="E23" s="20" t="s">
        <v>100</v>
      </c>
      <c r="F23" s="169">
        <f>C26</f>
        <v>0.36422866750735605</v>
      </c>
    </row>
    <row r="24" spans="2:6" x14ac:dyDescent="0.2">
      <c r="B24" s="32" t="s">
        <v>98</v>
      </c>
      <c r="C24" s="170">
        <f>Statement!AC121</f>
        <v>0.10898685617256777</v>
      </c>
      <c r="E24" s="20" t="s">
        <v>101</v>
      </c>
      <c r="F24" s="169">
        <f>Statement!AC134</f>
        <v>0.38772932950804095</v>
      </c>
    </row>
    <row r="25" spans="2:6" x14ac:dyDescent="0.2">
      <c r="B25" s="20" t="s">
        <v>99</v>
      </c>
      <c r="C25" s="168">
        <f>Statement!AC122</f>
        <v>3.3419503993274486</v>
      </c>
    </row>
    <row r="26" spans="2:6" x14ac:dyDescent="0.2">
      <c r="B26" s="32" t="s">
        <v>100</v>
      </c>
      <c r="C26" s="170">
        <f>Statement!AC123</f>
        <v>0.36422866750735605</v>
      </c>
    </row>
    <row r="29" spans="2:6" x14ac:dyDescent="0.2">
      <c r="B29" s="249" t="s">
        <v>243</v>
      </c>
      <c r="C29" s="249"/>
      <c r="E29" s="249" t="s">
        <v>249</v>
      </c>
      <c r="F29" s="249"/>
    </row>
    <row r="30" spans="2:6" x14ac:dyDescent="0.2">
      <c r="B30" s="20" t="s">
        <v>135</v>
      </c>
      <c r="C30" s="168">
        <f>Statement!AC135</f>
        <v>119.22909407665504</v>
      </c>
      <c r="E30" s="20" t="s">
        <v>250</v>
      </c>
      <c r="F30" s="174">
        <f>Statement!AC139</f>
        <v>0.61790668348045397</v>
      </c>
    </row>
    <row r="31" spans="2:6" x14ac:dyDescent="0.2">
      <c r="B31" s="20" t="s">
        <v>136</v>
      </c>
      <c r="C31" s="168">
        <f>Statement!AC136</f>
        <v>129.46646984394769</v>
      </c>
      <c r="E31" s="20" t="s">
        <v>251</v>
      </c>
      <c r="F31" s="174">
        <f>Statement!AC140</f>
        <v>-3.5939470365699874E-2</v>
      </c>
    </row>
    <row r="32" spans="2:6" x14ac:dyDescent="0.2">
      <c r="B32" s="20" t="s">
        <v>137</v>
      </c>
      <c r="C32" s="168">
        <f>Statement!AC137</f>
        <v>126.90074511457892</v>
      </c>
      <c r="E32" s="20" t="s">
        <v>246</v>
      </c>
      <c r="F32" s="174">
        <f>Statement!AC142</f>
        <v>1.3785724147452714</v>
      </c>
    </row>
    <row r="33" spans="2:6" x14ac:dyDescent="0.2">
      <c r="B33" s="20" t="s">
        <v>138</v>
      </c>
      <c r="C33" s="168">
        <f>Statement!AC138</f>
        <v>121.79481880602383</v>
      </c>
      <c r="E33" s="20" t="s">
        <v>245</v>
      </c>
      <c r="F33" s="174">
        <f>Statement!AC141</f>
        <v>0.94725942289106724</v>
      </c>
    </row>
    <row r="34" spans="2:6" x14ac:dyDescent="0.2">
      <c r="E34" s="20" t="s">
        <v>252</v>
      </c>
      <c r="F34" s="176">
        <f>Statement!AC143</f>
        <v>40.962264150943398</v>
      </c>
    </row>
    <row r="37" spans="2:6" x14ac:dyDescent="0.2">
      <c r="B37" s="249" t="s">
        <v>261</v>
      </c>
      <c r="C37" s="249"/>
      <c r="E37" s="249" t="s">
        <v>264</v>
      </c>
      <c r="F37" s="249"/>
    </row>
    <row r="38" spans="2:6" x14ac:dyDescent="0.2">
      <c r="B38" s="20" t="s">
        <v>259</v>
      </c>
      <c r="C38" s="169">
        <f ca="1">Statement!AC156</f>
        <v>2.2747741952085638E-2</v>
      </c>
      <c r="E38" s="20" t="s">
        <v>263</v>
      </c>
      <c r="F38" s="169">
        <f>Statement!AC162</f>
        <v>2.9675638371290544E-2</v>
      </c>
    </row>
    <row r="39" spans="2:6" x14ac:dyDescent="0.2">
      <c r="B39" s="54" t="s">
        <v>262</v>
      </c>
      <c r="C39" s="209">
        <f ca="1">Statement!AC155</f>
        <v>3.7950880324884674E-2</v>
      </c>
      <c r="E39" s="20" t="s">
        <v>265</v>
      </c>
      <c r="F39" s="169">
        <f>Statement!AC163</f>
        <v>0</v>
      </c>
    </row>
    <row r="40" spans="2:6" x14ac:dyDescent="0.2">
      <c r="B40" s="20" t="s">
        <v>260</v>
      </c>
      <c r="C40" s="169">
        <f ca="1">Statement!AC157</f>
        <v>1.1579732894161242E-3</v>
      </c>
      <c r="E40" s="20" t="s">
        <v>266</v>
      </c>
      <c r="F40" s="169">
        <f>Statement!AC164</f>
        <v>2.9675638371290544E-2</v>
      </c>
    </row>
    <row r="41" spans="2:6" x14ac:dyDescent="0.2">
      <c r="B41" s="20" t="s">
        <v>285</v>
      </c>
      <c r="C41" s="169">
        <f ca="1">Statement!AC158</f>
        <v>0</v>
      </c>
    </row>
    <row r="42" spans="2:6" x14ac:dyDescent="0.2">
      <c r="B42" s="20" t="s">
        <v>287</v>
      </c>
      <c r="C42" s="169">
        <f ca="1">Statement!AC159</f>
        <v>1.1262166003934032E-3</v>
      </c>
    </row>
    <row r="45" spans="2:6" x14ac:dyDescent="0.2">
      <c r="B45" s="249" t="s">
        <v>272</v>
      </c>
      <c r="C45" s="249"/>
      <c r="E45" s="249" t="s">
        <v>278</v>
      </c>
      <c r="F45" s="249"/>
    </row>
    <row r="46" spans="2:6" x14ac:dyDescent="0.2">
      <c r="B46" s="20" t="s">
        <v>270</v>
      </c>
      <c r="C46" s="169">
        <f>Statement!AC165</f>
        <v>2.5445292620865138E-2</v>
      </c>
      <c r="E46" s="20" t="s">
        <v>271</v>
      </c>
      <c r="F46" s="168">
        <f>Statement!AC166</f>
        <v>8.0805194805194809</v>
      </c>
    </row>
    <row r="47" spans="2:6" x14ac:dyDescent="0.2">
      <c r="E47" s="20" t="s">
        <v>279</v>
      </c>
      <c r="F47" s="168">
        <f>Statement!AC169</f>
        <v>0.44415584415584414</v>
      </c>
    </row>
    <row r="48" spans="2:6" x14ac:dyDescent="0.2">
      <c r="E48" s="20" t="s">
        <v>284</v>
      </c>
      <c r="F48" s="169">
        <f ca="1">Statement!AC170</f>
        <v>2.2393376589217666E-3</v>
      </c>
    </row>
    <row r="51" spans="2:6" x14ac:dyDescent="0.2">
      <c r="B51" s="249" t="s">
        <v>275</v>
      </c>
      <c r="C51" s="249"/>
      <c r="E51" s="249" t="s">
        <v>296</v>
      </c>
      <c r="F51" s="249"/>
    </row>
    <row r="52" spans="2:6" x14ac:dyDescent="0.2">
      <c r="B52" s="20" t="s">
        <v>273</v>
      </c>
      <c r="C52" s="169">
        <f>Statement!AC167</f>
        <v>1.5384615384615385E-2</v>
      </c>
      <c r="E52" s="20" t="s">
        <v>297</v>
      </c>
      <c r="F52" s="169">
        <f>Statement!AC171</f>
        <v>3.7456445993031356E-2</v>
      </c>
    </row>
    <row r="53" spans="2:6" x14ac:dyDescent="0.2">
      <c r="B53" s="20" t="s">
        <v>274</v>
      </c>
      <c r="C53" s="169">
        <f>Statement!AC168</f>
        <v>4.5296167247386764E-3</v>
      </c>
      <c r="E53" s="20" t="s">
        <v>294</v>
      </c>
      <c r="F53" s="169">
        <f>Statement!AC172</f>
        <v>0.12721893491124261</v>
      </c>
    </row>
    <row r="54" spans="2:6" x14ac:dyDescent="0.2">
      <c r="E54" s="20" t="s">
        <v>295</v>
      </c>
      <c r="F54" s="169">
        <f>Statement!AC173</f>
        <v>1.1111111111111112</v>
      </c>
    </row>
  </sheetData>
  <mergeCells count="14">
    <mergeCell ref="B51:C51"/>
    <mergeCell ref="B4:C4"/>
    <mergeCell ref="E4:G4"/>
    <mergeCell ref="B15:C15"/>
    <mergeCell ref="B21:C21"/>
    <mergeCell ref="E15:F15"/>
    <mergeCell ref="E21:F21"/>
    <mergeCell ref="B37:C37"/>
    <mergeCell ref="E37:F37"/>
    <mergeCell ref="B45:C45"/>
    <mergeCell ref="E45:F45"/>
    <mergeCell ref="B29:C29"/>
    <mergeCell ref="E29:F29"/>
    <mergeCell ref="E51:F51"/>
  </mergeCells>
  <pageMargins left="0.7" right="0.7" top="0.75" bottom="0.75" header="0.3" footer="0.3"/>
  <ignoredErrors>
    <ignoredError sqref="F33"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EC990-97E1-EA42-B427-9F214546EBED}">
  <dimension ref="B1:I97"/>
  <sheetViews>
    <sheetView zoomScale="159" zoomScaleNormal="230" workbookViewId="0">
      <pane xSplit="2" ySplit="3" topLeftCell="C4" activePane="bottomRight" state="frozen"/>
      <selection pane="topRight" activeCell="C1" sqref="C1"/>
      <selection pane="bottomLeft" activeCell="A4" sqref="A4"/>
      <selection pane="bottomRight" activeCell="F92" sqref="F92"/>
    </sheetView>
  </sheetViews>
  <sheetFormatPr baseColWidth="10" defaultRowHeight="16" x14ac:dyDescent="0.2"/>
  <cols>
    <col min="1" max="1" width="3.33203125" style="1" customWidth="1"/>
    <col min="2" max="2" width="31.1640625" style="1" customWidth="1"/>
    <col min="3" max="7" width="10.83203125" style="1"/>
    <col min="8" max="8" width="2.5" style="1" customWidth="1"/>
    <col min="9" max="16384" width="10.83203125" style="1"/>
  </cols>
  <sheetData>
    <row r="1" spans="2:9" ht="11" customHeight="1" x14ac:dyDescent="0.2"/>
    <row r="2" spans="2:9" x14ac:dyDescent="0.2">
      <c r="B2" s="10"/>
      <c r="C2" s="10" t="str">
        <f>Statement!M2</f>
        <v>31.12.2021</v>
      </c>
      <c r="D2" s="10" t="str">
        <f>Statement!N2</f>
        <v>31.12.2022</v>
      </c>
      <c r="E2" s="10" t="str">
        <f>Statement!O2</f>
        <v>31.12.2023</v>
      </c>
      <c r="F2" s="10" t="str">
        <f>Statement!P2</f>
        <v>31.12.2024</v>
      </c>
      <c r="G2" s="10" t="str">
        <f>Statement!Q2</f>
        <v>31.12.2025</v>
      </c>
      <c r="I2" s="10"/>
    </row>
    <row r="3" spans="2:9" x14ac:dyDescent="0.2">
      <c r="B3" s="10"/>
      <c r="C3" s="10">
        <f>Statement!M3</f>
        <v>2021</v>
      </c>
      <c r="D3" s="10">
        <f>Statement!N3</f>
        <v>2022</v>
      </c>
      <c r="E3" s="10">
        <f>Statement!O3</f>
        <v>2023</v>
      </c>
      <c r="F3" s="10">
        <f>Statement!P3</f>
        <v>2024</v>
      </c>
      <c r="G3" s="10">
        <f>Statement!Q3</f>
        <v>2025</v>
      </c>
      <c r="I3" s="10" t="str">
        <f>Statement!AC3</f>
        <v>TTM/YTD</v>
      </c>
    </row>
    <row r="5" spans="2:9" ht="17" thickBot="1" x14ac:dyDescent="0.25">
      <c r="B5" s="14" t="s">
        <v>226</v>
      </c>
      <c r="C5" s="14"/>
      <c r="D5" s="14"/>
      <c r="E5" s="14"/>
      <c r="F5" s="14"/>
      <c r="G5" s="14"/>
      <c r="I5" s="14"/>
    </row>
    <row r="6" spans="2:9" x14ac:dyDescent="0.2">
      <c r="B6" s="20" t="s">
        <v>1</v>
      </c>
      <c r="C6" s="166">
        <f>Statement!M114</f>
        <v>24.97</v>
      </c>
      <c r="D6" s="166">
        <f>Statement!N114</f>
        <v>13.66</v>
      </c>
      <c r="E6" s="166">
        <f>Statement!O114</f>
        <v>48.03</v>
      </c>
      <c r="F6" s="166">
        <f>Statement!P114</f>
        <v>113.61</v>
      </c>
      <c r="G6" s="166">
        <f>Statement!Q114</f>
        <v>162.01</v>
      </c>
      <c r="I6" s="166">
        <f ca="1">Statement!AC114</f>
        <v>194.30500000000001</v>
      </c>
    </row>
    <row r="7" spans="2:9" x14ac:dyDescent="0.2">
      <c r="B7" s="20" t="s">
        <v>232</v>
      </c>
      <c r="C7" s="167">
        <f>Statement!M147</f>
        <v>9513.57</v>
      </c>
      <c r="D7" s="167">
        <f>Statement!N147</f>
        <v>5177.1400000000003</v>
      </c>
      <c r="E7" s="167">
        <f>Statement!O147</f>
        <v>18635.64</v>
      </c>
      <c r="F7" s="167">
        <f>Statement!P147</f>
        <v>44421.51</v>
      </c>
      <c r="G7" s="167">
        <f>Statement!Q147</f>
        <v>63507.92</v>
      </c>
      <c r="I7" s="167">
        <f ca="1">Statement!AC147</f>
        <v>76361.865000000005</v>
      </c>
    </row>
    <row r="8" spans="2:9" x14ac:dyDescent="0.2">
      <c r="B8" s="20" t="s">
        <v>184</v>
      </c>
      <c r="C8" s="167">
        <f>Statement!M148</f>
        <v>12047.57</v>
      </c>
      <c r="D8" s="167">
        <f>Statement!N148</f>
        <v>8107.1399999999994</v>
      </c>
      <c r="E8" s="167">
        <f>Statement!O148</f>
        <v>20796.64</v>
      </c>
      <c r="F8" s="167">
        <f>Statement!P148</f>
        <v>46121.51</v>
      </c>
      <c r="G8" s="167">
        <f>Statement!Q148</f>
        <v>64592.92</v>
      </c>
      <c r="I8" s="167">
        <f ca="1">Statement!AC148</f>
        <v>76190.865000000005</v>
      </c>
    </row>
    <row r="9" spans="2:9" x14ac:dyDescent="0.2">
      <c r="B9" s="20" t="s">
        <v>230</v>
      </c>
      <c r="C9" s="168">
        <f>Statement!M144</f>
        <v>75.666666666666657</v>
      </c>
      <c r="D9" s="168">
        <f>Statement!N144</f>
        <v>-341.5</v>
      </c>
      <c r="E9" s="168">
        <f>Statement!O144</f>
        <v>40.361344537815128</v>
      </c>
      <c r="F9" s="168">
        <f>Statement!P144</f>
        <v>88.7578125</v>
      </c>
      <c r="G9" s="168">
        <f>Statement!Q144</f>
        <v>47.510263929618766</v>
      </c>
      <c r="I9" s="168">
        <f ca="1">Statement!AC144</f>
        <v>43.960407239819006</v>
      </c>
    </row>
    <row r="10" spans="2:9" x14ac:dyDescent="0.2">
      <c r="B10" s="20" t="s">
        <v>197</v>
      </c>
      <c r="C10" s="168">
        <f>Statement!M145</f>
        <v>1.7985594237695077</v>
      </c>
      <c r="D10" s="168">
        <f>Statement!N145</f>
        <v>0.90714687280393536</v>
      </c>
      <c r="E10" s="168">
        <f>Statement!O145</f>
        <v>2.7013813201223953</v>
      </c>
      <c r="F10" s="168">
        <f>Statement!P145</f>
        <v>5.4734722915626559</v>
      </c>
      <c r="G10" s="168">
        <f>Statement!Q145</f>
        <v>6.1921710654936462</v>
      </c>
      <c r="I10" s="168">
        <f ca="1">Statement!AC145</f>
        <v>6.6348048780487812</v>
      </c>
    </row>
    <row r="11" spans="2:9" x14ac:dyDescent="0.2">
      <c r="B11" s="20" t="s">
        <v>231</v>
      </c>
      <c r="C11" s="168">
        <f>Statement!M146</f>
        <v>6.6211001410437227</v>
      </c>
      <c r="D11" s="168">
        <f>Statement!N146</f>
        <v>3.5807766990291263</v>
      </c>
      <c r="E11" s="168">
        <f>Statement!O146</f>
        <v>9.1054392059553351</v>
      </c>
      <c r="F11" s="168">
        <f>Statement!P146</f>
        <v>17.783652423993427</v>
      </c>
      <c r="G11" s="168">
        <f>Statement!Q146</f>
        <v>15.744691702613549</v>
      </c>
      <c r="I11" s="168">
        <f ca="1">Statement!AC146</f>
        <v>15.722451660361497</v>
      </c>
    </row>
    <row r="12" spans="2:9" x14ac:dyDescent="0.2">
      <c r="B12" s="20" t="s">
        <v>253</v>
      </c>
      <c r="C12" s="168">
        <f>Statement!M149</f>
        <v>2.4104781912765105</v>
      </c>
      <c r="D12" s="168">
        <f>Statement!N149</f>
        <v>1.424304286718201</v>
      </c>
      <c r="E12" s="168">
        <f>Statement!O149</f>
        <v>3.0302549905289231</v>
      </c>
      <c r="F12" s="168">
        <f>Statement!P149</f>
        <v>5.756553919121318</v>
      </c>
      <c r="G12" s="168">
        <f>Statement!Q149</f>
        <v>6.3140684261974585</v>
      </c>
      <c r="I12" s="168">
        <f ca="1">Statement!AC149</f>
        <v>6.6368349303135892</v>
      </c>
    </row>
    <row r="13" spans="2:9" x14ac:dyDescent="0.2">
      <c r="B13" s="20" t="s">
        <v>200</v>
      </c>
      <c r="C13" s="168">
        <f>Statement!M150</f>
        <v>46.336807692307694</v>
      </c>
      <c r="D13" s="168">
        <f>Statement!N150</f>
        <v>36.354887892376681</v>
      </c>
      <c r="E13" s="168">
        <f>Statement!O150</f>
        <v>23.849357798165137</v>
      </c>
      <c r="F13" s="168">
        <f>Statement!P150</f>
        <v>33.73921726408193</v>
      </c>
      <c r="G13" s="168">
        <f>Statement!Q150</f>
        <v>35.296677595628417</v>
      </c>
      <c r="I13" s="168">
        <f ca="1">Statement!AC150</f>
        <v>35.094824965453711</v>
      </c>
    </row>
    <row r="15" spans="2:9" ht="17" thickBot="1" x14ac:dyDescent="0.25">
      <c r="B15" s="14" t="s">
        <v>74</v>
      </c>
      <c r="C15" s="14"/>
      <c r="D15" s="14"/>
      <c r="E15" s="14"/>
      <c r="F15" s="14"/>
      <c r="G15" s="14"/>
      <c r="I15" s="14"/>
    </row>
    <row r="16" spans="2:9" x14ac:dyDescent="0.2">
      <c r="B16" s="20" t="s">
        <v>75</v>
      </c>
      <c r="C16" s="169">
        <f>Statement!M99</f>
        <v>0.30472188875550221</v>
      </c>
      <c r="D16" s="169">
        <f>Statement!N99</f>
        <v>0.28408292340126495</v>
      </c>
      <c r="E16" s="169">
        <f>Statement!O99</f>
        <v>0.34970129680897566</v>
      </c>
      <c r="F16" s="169">
        <f>Statement!P99</f>
        <v>0.36620069895157265</v>
      </c>
      <c r="G16" s="169">
        <f>Statement!Q99</f>
        <v>0.36314760508308896</v>
      </c>
      <c r="I16" s="169">
        <f>Statement!AC99</f>
        <v>0.38040069686411149</v>
      </c>
    </row>
    <row r="17" spans="2:9" x14ac:dyDescent="0.2">
      <c r="B17" s="20" t="s">
        <v>76</v>
      </c>
      <c r="C17" s="169">
        <f>Statement!M100</f>
        <v>5.202080832332933E-2</v>
      </c>
      <c r="D17" s="169">
        <f>Statement!N100</f>
        <v>3.9177793394237527E-2</v>
      </c>
      <c r="E17" s="169">
        <f>Statement!O100</f>
        <v>0.1270581378405945</v>
      </c>
      <c r="F17" s="169">
        <f>Statement!P100</f>
        <v>0.17061907139291063</v>
      </c>
      <c r="G17" s="169">
        <f>Statement!Q100</f>
        <v>0.17888563049853373</v>
      </c>
      <c r="I17" s="169">
        <f>Statement!AC100</f>
        <v>0.18911149825783971</v>
      </c>
    </row>
    <row r="18" spans="2:9" x14ac:dyDescent="0.2">
      <c r="B18" s="20" t="s">
        <v>77</v>
      </c>
      <c r="C18" s="169">
        <f>Statement!M101</f>
        <v>2.4009603841536616E-2</v>
      </c>
      <c r="D18" s="169">
        <f>Statement!N101</f>
        <v>1.3527758257203091E-2</v>
      </c>
      <c r="E18" s="169">
        <f>Statement!O101</f>
        <v>6.7026081888387004E-2</v>
      </c>
      <c r="F18" s="169">
        <f>Statement!P101</f>
        <v>6.1907139291063402E-2</v>
      </c>
      <c r="G18" s="169">
        <f>Statement!Q101</f>
        <v>0.13030303030303031</v>
      </c>
      <c r="I18" s="169">
        <f>Statement!AC101</f>
        <v>0.15095818815331011</v>
      </c>
    </row>
    <row r="20" spans="2:9" ht="17" thickBot="1" x14ac:dyDescent="0.25">
      <c r="B20" s="14" t="s">
        <v>239</v>
      </c>
      <c r="C20" s="14"/>
      <c r="D20" s="14"/>
      <c r="E20" s="14"/>
      <c r="F20" s="14"/>
      <c r="G20" s="14"/>
      <c r="I20" s="14"/>
    </row>
    <row r="21" spans="2:9" x14ac:dyDescent="0.2">
      <c r="B21" s="20" t="s">
        <v>28</v>
      </c>
      <c r="C21" s="171">
        <f>Statement!M17</f>
        <v>120</v>
      </c>
      <c r="D21" s="171">
        <f>Statement!N17</f>
        <v>77</v>
      </c>
      <c r="E21" s="171">
        <f>Statement!O17</f>
        <v>460</v>
      </c>
      <c r="F21" s="171">
        <f>Statement!P17</f>
        <v>496</v>
      </c>
      <c r="G21" s="171">
        <f>Statement!Q17</f>
        <v>1333</v>
      </c>
      <c r="I21" s="171">
        <f>Statement!AC17</f>
        <v>1733</v>
      </c>
    </row>
    <row r="22" spans="2:9" x14ac:dyDescent="0.2">
      <c r="B22" s="20" t="s">
        <v>240</v>
      </c>
      <c r="C22" s="171">
        <f>Statement!M58</f>
        <v>211</v>
      </c>
      <c r="D22" s="171">
        <f>Statement!N58</f>
        <v>-153</v>
      </c>
      <c r="E22" s="171">
        <f>Statement!O58</f>
        <v>901</v>
      </c>
      <c r="F22" s="171">
        <f>Statement!P58</f>
        <v>1319</v>
      </c>
      <c r="G22" s="171">
        <f>Statement!Q58</f>
        <v>2114</v>
      </c>
      <c r="I22" s="171">
        <f>Statement!AC58</f>
        <v>3380</v>
      </c>
    </row>
    <row r="23" spans="2:9" x14ac:dyDescent="0.2">
      <c r="B23" s="20" t="s">
        <v>247</v>
      </c>
      <c r="C23" s="189">
        <f>IF(OR(C21&lt;=0, C22&lt;=0),"N/A",C21-C22)</f>
        <v>-91</v>
      </c>
      <c r="D23" s="189" t="str">
        <f t="shared" ref="D23:I23" si="0">IF(OR(D21&lt;=0, D22&lt;=0),"N/A",D21-D22)</f>
        <v>N/A</v>
      </c>
      <c r="E23" s="189">
        <f t="shared" si="0"/>
        <v>-441</v>
      </c>
      <c r="F23" s="189">
        <f t="shared" si="0"/>
        <v>-823</v>
      </c>
      <c r="G23" s="189">
        <f t="shared" si="0"/>
        <v>-781</v>
      </c>
      <c r="I23" s="189">
        <f t="shared" si="0"/>
        <v>-1647</v>
      </c>
    </row>
    <row r="25" spans="2:9" ht="17" thickBot="1" x14ac:dyDescent="0.25">
      <c r="B25" s="14" t="s">
        <v>238</v>
      </c>
      <c r="C25" s="14"/>
      <c r="D25" s="14"/>
      <c r="E25" s="14"/>
      <c r="F25" s="14"/>
      <c r="G25" s="14"/>
      <c r="I25" s="14"/>
    </row>
    <row r="26" spans="2:9" x14ac:dyDescent="0.2">
      <c r="B26" s="20" t="s">
        <v>96</v>
      </c>
      <c r="C26" s="169">
        <f>Statement!M119</f>
        <v>2.4009603841536616E-2</v>
      </c>
      <c r="D26" s="169">
        <f>Statement!N119</f>
        <v>1.3527758257203091E-2</v>
      </c>
      <c r="E26" s="169">
        <f>Statement!O119</f>
        <v>6.7026081888387004E-2</v>
      </c>
      <c r="F26" s="169">
        <f>Statement!P119</f>
        <v>6.1907139291063402E-2</v>
      </c>
      <c r="G26" s="169">
        <f>Statement!Q119</f>
        <v>0.13030303030303031</v>
      </c>
      <c r="I26" s="169">
        <f>Statement!AC119</f>
        <v>0.15095818815331011</v>
      </c>
    </row>
    <row r="27" spans="2:9" x14ac:dyDescent="0.2">
      <c r="B27" s="20" t="s">
        <v>97</v>
      </c>
      <c r="C27" s="208">
        <f>Statement!M120</f>
        <v>0.72017291066282418</v>
      </c>
      <c r="D27" s="208">
        <f>Statement!N120</f>
        <v>0.80214205186020293</v>
      </c>
      <c r="E27" s="208">
        <f>Statement!O120</f>
        <v>0.85798224778097265</v>
      </c>
      <c r="F27" s="208">
        <f>Statement!P120</f>
        <v>0.87725829409832479</v>
      </c>
      <c r="G27" s="208">
        <f>Statement!Q120</f>
        <v>0.83770062233868325</v>
      </c>
      <c r="I27" s="208">
        <f>Statement!AC120</f>
        <v>0.72196717187598269</v>
      </c>
    </row>
    <row r="28" spans="2:9" x14ac:dyDescent="0.2">
      <c r="B28" s="32" t="s">
        <v>98</v>
      </c>
      <c r="C28" s="170">
        <f>Statement!M121</f>
        <v>1.7291066282420751E-2</v>
      </c>
      <c r="D28" s="170">
        <f>Statement!N121</f>
        <v>1.085118376550169E-2</v>
      </c>
      <c r="E28" s="170">
        <f>Statement!O121</f>
        <v>5.7507188398549819E-2</v>
      </c>
      <c r="F28" s="170">
        <f>Statement!P121</f>
        <v>5.4308551406985657E-2</v>
      </c>
      <c r="G28" s="170">
        <f>Statement!Q121</f>
        <v>0.1091549295774648</v>
      </c>
      <c r="I28" s="170">
        <f>Statement!AC121</f>
        <v>0.10898685617256777</v>
      </c>
    </row>
    <row r="29" spans="2:9" x14ac:dyDescent="0.2">
      <c r="B29" s="20" t="s">
        <v>99</v>
      </c>
      <c r="C29" s="208">
        <f>Statement!M122</f>
        <v>4.8942172073342736</v>
      </c>
      <c r="D29" s="208">
        <f>Statement!N122</f>
        <v>4.9209431345353671</v>
      </c>
      <c r="E29" s="208">
        <f>Statement!O122</f>
        <v>3.9697270471464021</v>
      </c>
      <c r="F29" s="208">
        <f>Statement!P122</f>
        <v>3.7522596548890714</v>
      </c>
      <c r="G29" s="208">
        <f>Statement!Q122</f>
        <v>3.0987059122050242</v>
      </c>
      <c r="I29" s="208">
        <f>Statement!AC122</f>
        <v>3.3419503993274486</v>
      </c>
    </row>
    <row r="30" spans="2:9" x14ac:dyDescent="0.2">
      <c r="B30" s="32" t="s">
        <v>100</v>
      </c>
      <c r="C30" s="170">
        <f>Statement!M123</f>
        <v>8.4626234132581107E-2</v>
      </c>
      <c r="D30" s="170">
        <f>Statement!N123</f>
        <v>5.3398058252427175E-2</v>
      </c>
      <c r="E30" s="170">
        <f>Statement!O123</f>
        <v>0.22828784119106701</v>
      </c>
      <c r="F30" s="170">
        <f>Statement!P123</f>
        <v>0.2037797863599014</v>
      </c>
      <c r="G30" s="170">
        <f>Statement!Q123</f>
        <v>0.33823902562801322</v>
      </c>
      <c r="I30" s="170">
        <f>Statement!AC123</f>
        <v>0.36422866750735605</v>
      </c>
    </row>
    <row r="32" spans="2:9" ht="17" thickBot="1" x14ac:dyDescent="0.25">
      <c r="B32" s="14" t="s">
        <v>298</v>
      </c>
      <c r="C32" s="14"/>
      <c r="D32" s="14"/>
      <c r="E32" s="14"/>
      <c r="F32" s="14"/>
      <c r="G32" s="14"/>
      <c r="I32" s="14"/>
    </row>
    <row r="33" spans="2:9" x14ac:dyDescent="0.2">
      <c r="B33" s="20" t="s">
        <v>98</v>
      </c>
      <c r="C33" s="169">
        <f>C28</f>
        <v>1.7291066282420751E-2</v>
      </c>
      <c r="D33" s="169">
        <f t="shared" ref="D33:G33" si="1">D28</f>
        <v>1.085118376550169E-2</v>
      </c>
      <c r="E33" s="169">
        <f t="shared" si="1"/>
        <v>5.7507188398549819E-2</v>
      </c>
      <c r="F33" s="169">
        <f t="shared" si="1"/>
        <v>5.4308551406985657E-2</v>
      </c>
      <c r="G33" s="169">
        <f t="shared" si="1"/>
        <v>0.1091549295774648</v>
      </c>
      <c r="I33" s="169">
        <f>I28</f>
        <v>0.10898685617256777</v>
      </c>
    </row>
    <row r="34" spans="2:9" x14ac:dyDescent="0.2">
      <c r="B34" s="20" t="s">
        <v>100</v>
      </c>
      <c r="C34" s="169">
        <f>C30</f>
        <v>8.4626234132581107E-2</v>
      </c>
      <c r="D34" s="169">
        <f t="shared" ref="D34:G34" si="2">D30</f>
        <v>5.3398058252427175E-2</v>
      </c>
      <c r="E34" s="169">
        <f t="shared" si="2"/>
        <v>0.22828784119106701</v>
      </c>
      <c r="F34" s="169">
        <f t="shared" si="2"/>
        <v>0.2037797863599014</v>
      </c>
      <c r="G34" s="169">
        <f t="shared" si="2"/>
        <v>0.33823902562801322</v>
      </c>
      <c r="I34" s="169">
        <f>I30</f>
        <v>0.36422866750735605</v>
      </c>
    </row>
    <row r="35" spans="2:9" x14ac:dyDescent="0.2">
      <c r="B35" s="20" t="s">
        <v>101</v>
      </c>
      <c r="C35" s="169">
        <f>Statement!M134</f>
        <v>4.7162333544705136E-2</v>
      </c>
      <c r="D35" s="169">
        <f>Statement!N134</f>
        <v>2.3517922982945361E-2</v>
      </c>
      <c r="E35" s="169">
        <f>Statement!O134</f>
        <v>0.17982144012421558</v>
      </c>
      <c r="F35" s="169">
        <f>Statement!P134</f>
        <v>0.21396454082358629</v>
      </c>
      <c r="G35" s="169">
        <f>Statement!Q134</f>
        <v>0.27861891984870407</v>
      </c>
      <c r="I35" s="169">
        <f>Statement!AC134</f>
        <v>0.38772932950804095</v>
      </c>
    </row>
    <row r="37" spans="2:9" ht="17" thickBot="1" x14ac:dyDescent="0.25">
      <c r="B37" s="14" t="s">
        <v>243</v>
      </c>
      <c r="C37" s="14"/>
      <c r="D37" s="14"/>
      <c r="E37" s="14"/>
      <c r="F37" s="14"/>
      <c r="G37" s="14"/>
      <c r="I37" s="14"/>
    </row>
    <row r="38" spans="2:9" x14ac:dyDescent="0.2">
      <c r="B38" s="20" t="s">
        <v>135</v>
      </c>
      <c r="C38" s="168">
        <f>Statement!M135</f>
        <v>112.17286914765906</v>
      </c>
      <c r="D38" s="168">
        <f>Statement!N135</f>
        <v>121.13229093464511</v>
      </c>
      <c r="E38" s="168">
        <f>Statement!O135</f>
        <v>116.20646947399096</v>
      </c>
      <c r="F38" s="168">
        <f>Statement!P135</f>
        <v>107.65039940089865</v>
      </c>
      <c r="G38" s="168">
        <f>Statement!Q135</f>
        <v>110.92717497556207</v>
      </c>
      <c r="I38" s="168">
        <f>Statement!AC135</f>
        <v>119.22909407665504</v>
      </c>
    </row>
    <row r="39" spans="2:9" x14ac:dyDescent="0.2">
      <c r="B39" s="20" t="s">
        <v>136</v>
      </c>
      <c r="C39" s="168">
        <f>Statement!M136</f>
        <v>64.702158273381301</v>
      </c>
      <c r="D39" s="168">
        <f>Statement!N136</f>
        <v>73.626993865030684</v>
      </c>
      <c r="E39" s="168">
        <f>Statement!O136</f>
        <v>72.296661438494283</v>
      </c>
      <c r="F39" s="168">
        <f>Statement!P136</f>
        <v>89.417093343836157</v>
      </c>
      <c r="G39" s="168">
        <f>Statement!Q136</f>
        <v>81.627782041442828</v>
      </c>
      <c r="I39" s="168">
        <f>Statement!AC136</f>
        <v>129.46646984394769</v>
      </c>
    </row>
    <row r="40" spans="2:9" x14ac:dyDescent="0.2">
      <c r="B40" s="20" t="s">
        <v>137</v>
      </c>
      <c r="C40" s="168">
        <f>Statement!M137</f>
        <v>90.225899280575547</v>
      </c>
      <c r="D40" s="168">
        <f>Statement!N137</f>
        <v>88.137423312883428</v>
      </c>
      <c r="E40" s="168">
        <f>Statement!O137</f>
        <v>80.638583912166709</v>
      </c>
      <c r="F40" s="168">
        <f>Statement!P137</f>
        <v>94.592359196534076</v>
      </c>
      <c r="G40" s="168">
        <f>Statement!Q137</f>
        <v>98.379125095932466</v>
      </c>
      <c r="I40" s="168">
        <f>Statement!AC137</f>
        <v>126.90074511457892</v>
      </c>
    </row>
    <row r="41" spans="2:9" x14ac:dyDescent="0.2">
      <c r="B41" s="20" t="s">
        <v>138</v>
      </c>
      <c r="C41" s="168">
        <f>Statement!M138</f>
        <v>86.649128140464811</v>
      </c>
      <c r="D41" s="168">
        <f>Statement!N138</f>
        <v>106.62186148679238</v>
      </c>
      <c r="E41" s="168">
        <f>Statement!O138</f>
        <v>107.86454700031852</v>
      </c>
      <c r="F41" s="168">
        <f>Statement!P138</f>
        <v>102.47513354820073</v>
      </c>
      <c r="G41" s="168">
        <f>Statement!Q138</f>
        <v>94.175831921072415</v>
      </c>
      <c r="I41" s="168">
        <f>Statement!AC138</f>
        <v>121.79481880602383</v>
      </c>
    </row>
    <row r="43" spans="2:9" ht="17" thickBot="1" x14ac:dyDescent="0.25">
      <c r="B43" s="14" t="s">
        <v>249</v>
      </c>
      <c r="C43" s="14"/>
      <c r="D43" s="14"/>
      <c r="E43" s="14"/>
      <c r="F43" s="14"/>
      <c r="G43" s="14"/>
      <c r="I43" s="14"/>
    </row>
    <row r="44" spans="2:9" x14ac:dyDescent="0.2">
      <c r="B44" s="20" t="s">
        <v>250</v>
      </c>
      <c r="C44" s="174">
        <f>Statement!M139</f>
        <v>2.0966149506346969</v>
      </c>
      <c r="D44" s="174">
        <f>Statement!N139</f>
        <v>2.2128987517337033</v>
      </c>
      <c r="E44" s="174">
        <f>Statement!O139</f>
        <v>1.4595533498759306</v>
      </c>
      <c r="F44" s="174">
        <f>Statement!P139</f>
        <v>1.2029580936729662</v>
      </c>
      <c r="G44" s="174">
        <f>Statement!Q139</f>
        <v>0.7391524993656432</v>
      </c>
      <c r="I44" s="174">
        <f>Statement!AC139</f>
        <v>0.61790668348045397</v>
      </c>
    </row>
    <row r="45" spans="2:9" x14ac:dyDescent="0.2">
      <c r="B45" s="20" t="s">
        <v>251</v>
      </c>
      <c r="C45" s="174">
        <f>Statement!M140</f>
        <v>1.7870239774330043</v>
      </c>
      <c r="D45" s="174">
        <f>Statement!N140</f>
        <v>2.0319001386962552</v>
      </c>
      <c r="E45" s="174">
        <f>Statement!O140</f>
        <v>1.0724565756823821</v>
      </c>
      <c r="F45" s="174">
        <f>Statement!P140</f>
        <v>0.69843878389482339</v>
      </c>
      <c r="G45" s="174">
        <f>Statement!Q140</f>
        <v>0.27531083481349911</v>
      </c>
      <c r="I45" s="174">
        <f>Statement!AC140</f>
        <v>-3.5939470365699874E-2</v>
      </c>
    </row>
    <row r="46" spans="2:9" x14ac:dyDescent="0.2">
      <c r="B46" s="20" t="s">
        <v>245</v>
      </c>
      <c r="C46" s="174">
        <f>Statement!M141</f>
        <v>1.0646900269541779</v>
      </c>
      <c r="D46" s="174">
        <f>Statement!N141</f>
        <v>1.1327713382507902</v>
      </c>
      <c r="E46" s="174">
        <f>Statement!O141</f>
        <v>1.2863340563991323</v>
      </c>
      <c r="F46" s="174">
        <f>Statement!P141</f>
        <v>1.1595092024539877</v>
      </c>
      <c r="G46" s="174">
        <f>Statement!Q141</f>
        <v>1.1202632176083505</v>
      </c>
      <c r="I46" s="174">
        <f>Statement!AC141</f>
        <v>0.94725942289106724</v>
      </c>
    </row>
    <row r="47" spans="2:9" x14ac:dyDescent="0.2">
      <c r="B47" s="20" t="s">
        <v>246</v>
      </c>
      <c r="C47" s="174">
        <f>Statement!M142</f>
        <v>1.4549865229110512</v>
      </c>
      <c r="D47" s="174">
        <f>Statement!N142</f>
        <v>1.6643835616438356</v>
      </c>
      <c r="E47" s="174">
        <f>Statement!O142</f>
        <v>1.7362255965292841</v>
      </c>
      <c r="F47" s="174">
        <f>Statement!P142</f>
        <v>1.6474007103648691</v>
      </c>
      <c r="G47" s="174">
        <f>Statement!Q142</f>
        <v>1.5475380077149989</v>
      </c>
      <c r="I47" s="174">
        <f>Statement!AC142</f>
        <v>1.3785724147452714</v>
      </c>
    </row>
    <row r="48" spans="2:9" x14ac:dyDescent="0.2">
      <c r="B48" s="20" t="s">
        <v>252</v>
      </c>
      <c r="C48" s="176">
        <f>Statement!M143</f>
        <v>2.8571428571428572</v>
      </c>
      <c r="D48" s="176">
        <f>Statement!N143</f>
        <v>1.5170068027210883</v>
      </c>
      <c r="E48" s="176">
        <f>Statement!O143</f>
        <v>4.8444444444444441</v>
      </c>
      <c r="F48" s="176">
        <f>Statement!P143</f>
        <v>9.1133333333333333</v>
      </c>
      <c r="G48" s="176">
        <f>Statement!Q143</f>
        <v>21.279069767441861</v>
      </c>
      <c r="I48" s="176">
        <f>Statement!AC143</f>
        <v>40.962264150943398</v>
      </c>
    </row>
    <row r="50" spans="2:9" ht="17" thickBot="1" x14ac:dyDescent="0.25">
      <c r="B50" s="14" t="s">
        <v>261</v>
      </c>
      <c r="C50" s="14"/>
      <c r="D50" s="14"/>
      <c r="E50" s="14"/>
      <c r="F50" s="14"/>
      <c r="G50" s="14"/>
      <c r="I50" s="14"/>
    </row>
    <row r="51" spans="2:9" x14ac:dyDescent="0.2">
      <c r="B51" s="20" t="s">
        <v>259</v>
      </c>
      <c r="C51" s="169">
        <f>Statement!M156</f>
        <v>1.3215859030837005E-2</v>
      </c>
      <c r="D51" s="169">
        <f>Statement!N156</f>
        <v>-2.9282576866764276E-3</v>
      </c>
      <c r="E51" s="169">
        <f>Statement!O156</f>
        <v>2.4776181553195917E-2</v>
      </c>
      <c r="F51" s="169">
        <f>Statement!P156</f>
        <v>1.1266613854414225E-2</v>
      </c>
      <c r="G51" s="169">
        <f>Statement!Q156</f>
        <v>2.1048083451638791E-2</v>
      </c>
      <c r="I51" s="169">
        <f ca="1">Statement!AC156</f>
        <v>2.2747741952085638E-2</v>
      </c>
    </row>
    <row r="52" spans="2:9" x14ac:dyDescent="0.2">
      <c r="B52" s="20" t="s">
        <v>262</v>
      </c>
      <c r="C52" s="169">
        <f>Statement!M155</f>
        <v>1.0931753274533114E-2</v>
      </c>
      <c r="D52" s="169">
        <f>Statement!N155</f>
        <v>-5.5822326612763026E-2</v>
      </c>
      <c r="E52" s="169">
        <f>Statement!O155</f>
        <v>3.9762519559296057E-2</v>
      </c>
      <c r="F52" s="169">
        <f>Statement!P155</f>
        <v>2.4762778212627169E-2</v>
      </c>
      <c r="G52" s="169">
        <f>Statement!Q155</f>
        <v>2.9004256476987438E-2</v>
      </c>
      <c r="I52" s="169">
        <f ca="1">Statement!AC155</f>
        <v>3.7950880324884674E-2</v>
      </c>
    </row>
    <row r="53" spans="2:9" x14ac:dyDescent="0.2">
      <c r="B53" s="20" t="s">
        <v>260</v>
      </c>
      <c r="C53" s="169">
        <f>Statement!M157</f>
        <v>4.0048057669203049E-4</v>
      </c>
      <c r="D53" s="169">
        <f>Statement!N157</f>
        <v>7.320644216691069E-4</v>
      </c>
      <c r="E53" s="169">
        <f>Statement!O157</f>
        <v>5.2050801582344372E-4</v>
      </c>
      <c r="F53" s="169">
        <f>Statement!P157</f>
        <v>9.8582871226124457E-4</v>
      </c>
      <c r="G53" s="169">
        <f>Statement!Q157</f>
        <v>1.0801802357879144E-3</v>
      </c>
      <c r="I53" s="169">
        <f ca="1">Statement!AC157</f>
        <v>1.1579732894161242E-3</v>
      </c>
    </row>
    <row r="54" spans="2:9" x14ac:dyDescent="0.2">
      <c r="B54" s="20" t="s">
        <v>285</v>
      </c>
      <c r="C54" s="169">
        <f>Statement!M158</f>
        <v>0</v>
      </c>
      <c r="D54" s="169">
        <f>Statement!N158</f>
        <v>0</v>
      </c>
      <c r="E54" s="169">
        <f>Statement!O158</f>
        <v>0</v>
      </c>
      <c r="F54" s="169">
        <f>Statement!P158</f>
        <v>1.3506969934160274E-2</v>
      </c>
      <c r="G54" s="169">
        <f>Statement!Q158</f>
        <v>0</v>
      </c>
      <c r="I54" s="169">
        <f ca="1">Statement!AC158</f>
        <v>0</v>
      </c>
    </row>
    <row r="55" spans="2:9" x14ac:dyDescent="0.2">
      <c r="B55" s="20" t="s">
        <v>287</v>
      </c>
      <c r="C55" s="169">
        <f>Statement!M159</f>
        <v>4.2045204902050443E-4</v>
      </c>
      <c r="D55" s="169">
        <f>Statement!N159</f>
        <v>7.7262735796211808E-4</v>
      </c>
      <c r="E55" s="169">
        <f>Statement!O159</f>
        <v>5.3660620187983882E-4</v>
      </c>
      <c r="F55" s="169">
        <f>Statement!P159</f>
        <v>1.4452457829551494E-2</v>
      </c>
      <c r="G55" s="169">
        <f>Statement!Q159</f>
        <v>1.054986527664581E-3</v>
      </c>
      <c r="I55" s="169">
        <f ca="1">Statement!AC159</f>
        <v>1.1262166003934032E-3</v>
      </c>
    </row>
    <row r="57" spans="2:9" ht="17" thickBot="1" x14ac:dyDescent="0.25">
      <c r="B57" s="14" t="s">
        <v>264</v>
      </c>
      <c r="C57" s="14"/>
      <c r="D57" s="14"/>
      <c r="E57" s="14"/>
      <c r="F57" s="14"/>
      <c r="G57" s="14"/>
      <c r="I57" s="14"/>
    </row>
    <row r="58" spans="2:9" x14ac:dyDescent="0.2">
      <c r="B58" s="20" t="s">
        <v>263</v>
      </c>
      <c r="C58" s="169">
        <f>Statement!M162</f>
        <v>3.8461538461538464E-2</v>
      </c>
      <c r="D58" s="169">
        <f>Statement!N162</f>
        <v>-1.384083044982699E-2</v>
      </c>
      <c r="E58" s="169">
        <f>Statement!O162</f>
        <v>1.3495276653171391E-2</v>
      </c>
      <c r="F58" s="169">
        <f>Statement!P162</f>
        <v>3.8181818181818185E-2</v>
      </c>
      <c r="G58" s="169">
        <f>Statement!Q162</f>
        <v>3.6373507057546148E-2</v>
      </c>
      <c r="I58" s="169">
        <f>Statement!AC162</f>
        <v>2.9675638371290544E-2</v>
      </c>
    </row>
    <row r="59" spans="2:9" x14ac:dyDescent="0.2">
      <c r="B59" s="20" t="s">
        <v>265</v>
      </c>
      <c r="C59" s="169">
        <f>Statement!M163</f>
        <v>0</v>
      </c>
      <c r="D59" s="169">
        <f>Statement!N163</f>
        <v>0</v>
      </c>
      <c r="E59" s="169">
        <f>Statement!O163</f>
        <v>0</v>
      </c>
      <c r="F59" s="169">
        <f>Statement!P163</f>
        <v>0.54545454545454541</v>
      </c>
      <c r="G59" s="169">
        <f>Statement!Q163</f>
        <v>0</v>
      </c>
      <c r="I59" s="169">
        <f>Statement!AC163</f>
        <v>0</v>
      </c>
    </row>
    <row r="60" spans="2:9" x14ac:dyDescent="0.2">
      <c r="B60" s="20" t="s">
        <v>266</v>
      </c>
      <c r="C60" s="169">
        <f>Statement!M164</f>
        <v>3.8461538461538464E-2</v>
      </c>
      <c r="D60" s="169">
        <f>Statement!N164</f>
        <v>-1.384083044982699E-2</v>
      </c>
      <c r="E60" s="169">
        <f>Statement!O164</f>
        <v>1.3495276653171391E-2</v>
      </c>
      <c r="F60" s="169">
        <f>Statement!P164</f>
        <v>0.58363636363636362</v>
      </c>
      <c r="G60" s="169">
        <f>Statement!Q164</f>
        <v>3.6373507057546148E-2</v>
      </c>
      <c r="I60" s="169">
        <f>Statement!AC164</f>
        <v>2.9675638371290544E-2</v>
      </c>
    </row>
    <row r="62" spans="2:9" ht="17" thickBot="1" x14ac:dyDescent="0.25">
      <c r="B62" s="14" t="s">
        <v>272</v>
      </c>
      <c r="C62" s="14"/>
      <c r="D62" s="14"/>
      <c r="E62" s="14"/>
      <c r="F62" s="14"/>
      <c r="G62" s="14"/>
      <c r="I62" s="14"/>
    </row>
    <row r="63" spans="2:9" x14ac:dyDescent="0.2">
      <c r="B63" s="20" t="s">
        <v>270</v>
      </c>
      <c r="C63" s="169">
        <f>Statement!M165</f>
        <v>4.7244094488188976E-2</v>
      </c>
      <c r="D63" s="169">
        <f>Statement!N165</f>
        <v>0.10026385224274406</v>
      </c>
      <c r="E63" s="169">
        <f>Statement!O165</f>
        <v>5.4123711340206188E-2</v>
      </c>
      <c r="F63" s="169">
        <f>Statement!P165</f>
        <v>4.859335038363171E-2</v>
      </c>
      <c r="G63" s="169">
        <f>Statement!Q165</f>
        <v>2.5510204081632654E-2</v>
      </c>
      <c r="I63" s="169">
        <f>Statement!AC165</f>
        <v>2.5445292620865138E-2</v>
      </c>
    </row>
    <row r="65" spans="2:9" ht="17" thickBot="1" x14ac:dyDescent="0.25">
      <c r="B65" s="14" t="s">
        <v>278</v>
      </c>
      <c r="C65" s="14"/>
      <c r="D65" s="14"/>
      <c r="E65" s="14"/>
      <c r="F65" s="14"/>
      <c r="G65" s="14"/>
      <c r="I65" s="14"/>
    </row>
    <row r="66" spans="2:9" x14ac:dyDescent="0.2">
      <c r="B66" s="20" t="s">
        <v>271</v>
      </c>
      <c r="C66" s="168">
        <f>Statement!M166</f>
        <v>1.1675531914893618</v>
      </c>
      <c r="D66" s="168">
        <f>Statement!N166</f>
        <v>0.69047619047619047</v>
      </c>
      <c r="E66" s="168">
        <f>Statement!O166</f>
        <v>2.0418848167539267</v>
      </c>
      <c r="F66" s="168">
        <f>Statement!P166</f>
        <v>3.2230971128608923</v>
      </c>
      <c r="G66" s="168">
        <f>Statement!Q166</f>
        <v>4.7728459530026113</v>
      </c>
      <c r="I66" s="168">
        <f>Statement!AC166</f>
        <v>8.0805194805194809</v>
      </c>
    </row>
    <row r="67" spans="2:9" x14ac:dyDescent="0.2">
      <c r="B67" s="20" t="s">
        <v>279</v>
      </c>
      <c r="C67" s="168">
        <f>Statement!M169</f>
        <v>-6.7393617021276597</v>
      </c>
      <c r="D67" s="168">
        <f>Statement!N169</f>
        <v>-7.7513227513227516</v>
      </c>
      <c r="E67" s="168">
        <f>Statement!O169</f>
        <v>-5.657068062827225</v>
      </c>
      <c r="F67" s="168">
        <f>Statement!P169</f>
        <v>-4.4619422572178475</v>
      </c>
      <c r="G67" s="168">
        <f>Statement!Q169</f>
        <v>-2.8328981723237598</v>
      </c>
      <c r="I67" s="168">
        <f>Statement!AC169</f>
        <v>0.44415584415584414</v>
      </c>
    </row>
    <row r="68" spans="2:9" x14ac:dyDescent="0.2">
      <c r="B68" s="20" t="s">
        <v>284</v>
      </c>
      <c r="C68" s="190">
        <f>Statement!M170</f>
        <v>-0.26635637305448956</v>
      </c>
      <c r="D68" s="190">
        <f>Statement!N170</f>
        <v>-0.56594953970725148</v>
      </c>
      <c r="E68" s="190">
        <f>Statement!O170</f>
        <v>-0.11596060022623318</v>
      </c>
      <c r="F68" s="190">
        <f>Statement!P170</f>
        <v>-3.8269748146787443E-2</v>
      </c>
      <c r="G68" s="190">
        <f>Statement!Q170</f>
        <v>-1.708448332113538E-2</v>
      </c>
      <c r="I68" s="190">
        <f ca="1">Statement!AC170</f>
        <v>2.2393376589217666E-3</v>
      </c>
    </row>
    <row r="70" spans="2:9" ht="17" thickBot="1" x14ac:dyDescent="0.25">
      <c r="B70" s="14" t="s">
        <v>299</v>
      </c>
      <c r="C70" s="14"/>
      <c r="D70" s="14"/>
      <c r="E70" s="14"/>
      <c r="F70" s="14"/>
      <c r="G70" s="14"/>
      <c r="I70" s="14"/>
    </row>
    <row r="71" spans="2:9" x14ac:dyDescent="0.2">
      <c r="B71" s="20" t="s">
        <v>273</v>
      </c>
      <c r="C71" s="169">
        <f>Statement!M167</f>
        <v>0.10900473933649289</v>
      </c>
      <c r="D71" s="169">
        <f>Statement!N167</f>
        <v>-0.16339869281045752</v>
      </c>
      <c r="E71" s="169">
        <f>Statement!O167</f>
        <v>2.774694783573807E-2</v>
      </c>
      <c r="F71" s="169">
        <f>Statement!P167</f>
        <v>2.6535253980288095E-2</v>
      </c>
      <c r="G71" s="169">
        <f>Statement!Q167</f>
        <v>2.1759697256385997E-2</v>
      </c>
      <c r="I71" s="169">
        <f>Statement!AC167</f>
        <v>1.5384615384615385E-2</v>
      </c>
    </row>
    <row r="72" spans="2:9" x14ac:dyDescent="0.2">
      <c r="B72" s="20" t="s">
        <v>274</v>
      </c>
      <c r="C72" s="169">
        <f>Statement!M168</f>
        <v>4.6018407362945178E-3</v>
      </c>
      <c r="D72" s="169">
        <f>Statement!N168</f>
        <v>4.392129304286718E-3</v>
      </c>
      <c r="E72" s="169">
        <f>Statement!O168</f>
        <v>3.6427218417601631E-3</v>
      </c>
      <c r="F72" s="169">
        <f>Statement!P168</f>
        <v>4.3684473290064906E-3</v>
      </c>
      <c r="G72" s="169">
        <f>Statement!Q168</f>
        <v>4.4965786901270772E-3</v>
      </c>
      <c r="I72" s="169">
        <f>Statement!AC168</f>
        <v>4.5296167247386764E-3</v>
      </c>
    </row>
    <row r="74" spans="2:9" ht="17" thickBot="1" x14ac:dyDescent="0.25">
      <c r="B74" s="14" t="s">
        <v>300</v>
      </c>
      <c r="C74" s="14"/>
      <c r="D74" s="14"/>
      <c r="E74" s="14"/>
      <c r="F74" s="14"/>
      <c r="G74" s="14"/>
      <c r="I74" s="14"/>
    </row>
    <row r="75" spans="2:9" x14ac:dyDescent="0.2">
      <c r="B75" s="20" t="s">
        <v>297</v>
      </c>
      <c r="C75" s="169">
        <f>Statement!M171</f>
        <v>1.680672268907563E-2</v>
      </c>
      <c r="D75" s="169">
        <f>Statement!N171</f>
        <v>1.950105411103303E-2</v>
      </c>
      <c r="E75" s="169">
        <f>Statement!O171</f>
        <v>1.967069794550488E-2</v>
      </c>
      <c r="F75" s="169">
        <f>Statement!P171</f>
        <v>2.2965551672491265E-2</v>
      </c>
      <c r="G75" s="169">
        <f>Statement!Q171</f>
        <v>2.2091886608015639E-2</v>
      </c>
      <c r="I75" s="169">
        <f>Statement!AC171</f>
        <v>3.7456445993031356E-2</v>
      </c>
    </row>
    <row r="76" spans="2:9" x14ac:dyDescent="0.2">
      <c r="B76" s="20" t="s">
        <v>294</v>
      </c>
      <c r="C76" s="169">
        <f>Statement!M172</f>
        <v>0.3981042654028436</v>
      </c>
      <c r="D76" s="169">
        <f>Statement!N172</f>
        <v>-0.72549019607843135</v>
      </c>
      <c r="E76" s="169">
        <f>Statement!O172</f>
        <v>0.14983351831298558</v>
      </c>
      <c r="F76" s="169">
        <f>Statement!P172</f>
        <v>0.13949962092494314</v>
      </c>
      <c r="G76" s="169">
        <f>Statement!Q172</f>
        <v>0.10690633869441817</v>
      </c>
      <c r="I76" s="169">
        <f>Statement!AC172</f>
        <v>0.12721893491124261</v>
      </c>
    </row>
    <row r="77" spans="2:9" x14ac:dyDescent="0.2">
      <c r="B77" s="20" t="s">
        <v>295</v>
      </c>
      <c r="C77" s="169">
        <f>Statement!M173</f>
        <v>0.36681222707423583</v>
      </c>
      <c r="D77" s="169">
        <f>Statement!N173</f>
        <v>0.36754966887417218</v>
      </c>
      <c r="E77" s="169">
        <f>Statement!O173</f>
        <v>0.49815498154981552</v>
      </c>
      <c r="F77" s="169">
        <f>Statement!P173</f>
        <v>0.66425992779783394</v>
      </c>
      <c r="G77" s="169">
        <f>Statement!Q173</f>
        <v>0.73139158576051777</v>
      </c>
      <c r="I77" s="169">
        <f>Statement!AC173</f>
        <v>1.1111111111111112</v>
      </c>
    </row>
    <row r="79" spans="2:9" ht="17" thickBot="1" x14ac:dyDescent="0.25">
      <c r="B79" s="14" t="s">
        <v>118</v>
      </c>
      <c r="C79" s="14"/>
      <c r="D79" s="14"/>
      <c r="E79" s="14"/>
      <c r="F79" s="14"/>
      <c r="G79" s="14"/>
      <c r="I79" s="14"/>
    </row>
    <row r="80" spans="2:9" x14ac:dyDescent="0.2">
      <c r="B80" s="20" t="s">
        <v>19</v>
      </c>
      <c r="C80" s="169">
        <f>Statement!M88</f>
        <v>1</v>
      </c>
      <c r="D80" s="169">
        <f>Statement!N88</f>
        <v>0.13885554221688676</v>
      </c>
      <c r="E80" s="169">
        <f>Statement!O88</f>
        <v>0.20572733661278989</v>
      </c>
      <c r="F80" s="169">
        <f>Statement!P88</f>
        <v>0.1674194958472971</v>
      </c>
      <c r="G80" s="169">
        <f>Statement!Q88</f>
        <v>0.27683474787818274</v>
      </c>
      <c r="I80" s="191"/>
    </row>
    <row r="81" spans="2:9" x14ac:dyDescent="0.2">
      <c r="B81" s="20" t="s">
        <v>20</v>
      </c>
      <c r="C81" s="169">
        <f>Statement!M89</f>
        <v>1</v>
      </c>
      <c r="D81" s="169">
        <f>Statement!N89</f>
        <v>0.17266187050359713</v>
      </c>
      <c r="E81" s="169">
        <f>Statement!O89</f>
        <v>9.5214723926380362E-2</v>
      </c>
      <c r="F81" s="169">
        <f>Statement!P89</f>
        <v>0.13779968630965719</v>
      </c>
      <c r="G81" s="169">
        <f>Statement!Q89</f>
        <v>0.28298542733359588</v>
      </c>
      <c r="I81" s="191"/>
    </row>
    <row r="82" spans="2:9" x14ac:dyDescent="0.2">
      <c r="B82" s="20" t="s">
        <v>21</v>
      </c>
      <c r="C82" s="169">
        <f>Statement!M90</f>
        <v>1</v>
      </c>
      <c r="D82" s="169">
        <f>Statement!N90</f>
        <v>6.1720288903479976E-2</v>
      </c>
      <c r="E82" s="169">
        <f>Statement!O90</f>
        <v>0.48423005565862709</v>
      </c>
      <c r="F82" s="169">
        <f>Statement!P90</f>
        <v>0.2225</v>
      </c>
      <c r="G82" s="169">
        <f>Statement!Q90</f>
        <v>0.2661895023858214</v>
      </c>
      <c r="I82" s="191"/>
    </row>
    <row r="83" spans="2:9" x14ac:dyDescent="0.2">
      <c r="B83" s="20" t="s">
        <v>22</v>
      </c>
      <c r="C83" s="169">
        <f>Statement!M93</f>
        <v>1</v>
      </c>
      <c r="D83" s="169">
        <f>Statement!N93</f>
        <v>0.10372129849564529</v>
      </c>
      <c r="E83" s="169">
        <f>Statement!O93</f>
        <v>9.6126255380200865E-2</v>
      </c>
      <c r="F83" s="169">
        <f>Statement!P93</f>
        <v>2.5523560209424083E-2</v>
      </c>
      <c r="G83" s="169">
        <f>Statement!Q93</f>
        <v>0.20293554562858968</v>
      </c>
      <c r="I83" s="191"/>
    </row>
    <row r="84" spans="2:9" x14ac:dyDescent="0.2">
      <c r="B84" s="20" t="s">
        <v>301</v>
      </c>
      <c r="C84" s="169">
        <f>Statement!M94</f>
        <v>1</v>
      </c>
      <c r="D84" s="169">
        <f>Statement!N94</f>
        <v>-0.1423076923076923</v>
      </c>
      <c r="E84" s="169">
        <f>Statement!O94</f>
        <v>2.9103139013452917</v>
      </c>
      <c r="F84" s="169">
        <f>Statement!P94</f>
        <v>0.56766055045871555</v>
      </c>
      <c r="G84" s="169">
        <f>Statement!Q94</f>
        <v>0.33869787856620337</v>
      </c>
      <c r="I84" s="191"/>
    </row>
    <row r="85" spans="2:9" x14ac:dyDescent="0.2">
      <c r="B85" s="20" t="s">
        <v>302</v>
      </c>
      <c r="C85" s="169">
        <f>Statement!M96</f>
        <v>1</v>
      </c>
      <c r="D85" s="169">
        <f>Statement!N96</f>
        <v>-0.35833333333333334</v>
      </c>
      <c r="E85" s="169">
        <f>Statement!O96</f>
        <v>4.9740259740259738</v>
      </c>
      <c r="F85" s="169">
        <f>Statement!P96</f>
        <v>7.8260869565217397E-2</v>
      </c>
      <c r="G85" s="169">
        <f>Statement!Q96</f>
        <v>1.6875</v>
      </c>
      <c r="I85" s="191"/>
    </row>
    <row r="88" spans="2:9" ht="17" thickBot="1" x14ac:dyDescent="0.25">
      <c r="B88" s="14" t="s">
        <v>303</v>
      </c>
      <c r="C88" s="14"/>
      <c r="D88" s="14"/>
      <c r="E88" s="14"/>
      <c r="F88" s="14"/>
      <c r="G88" s="14"/>
      <c r="I88" s="14"/>
    </row>
    <row r="89" spans="2:9" x14ac:dyDescent="0.2">
      <c r="B89" s="20" t="str">
        <f>Statement!B193</f>
        <v>Americas</v>
      </c>
      <c r="C89" s="169">
        <f>Statement!M193</f>
        <v>1</v>
      </c>
      <c r="D89" s="169">
        <f>Statement!N193</f>
        <v>0.24782807498856882</v>
      </c>
      <c r="E89" s="169">
        <f>Statement!O193</f>
        <v>0.40894100403078049</v>
      </c>
      <c r="F89" s="169">
        <f>Statement!P193</f>
        <v>0.1706111833550065</v>
      </c>
      <c r="G89" s="169">
        <f>Statement!Q193</f>
        <v>0.41879582315041103</v>
      </c>
      <c r="I89" s="191"/>
    </row>
    <row r="90" spans="2:9" x14ac:dyDescent="0.2">
      <c r="B90" s="20" t="str">
        <f>Statement!B194</f>
        <v>Asia Pacific</v>
      </c>
      <c r="C90" s="169">
        <f>Statement!M194</f>
        <v>1</v>
      </c>
      <c r="D90" s="169">
        <f>Statement!N194</f>
        <v>-4.972032318210068E-3</v>
      </c>
      <c r="E90" s="169">
        <f>Statement!O194</f>
        <v>-4.5596502186133668E-2</v>
      </c>
      <c r="F90" s="169">
        <f>Statement!P194</f>
        <v>0.1243455497382199</v>
      </c>
      <c r="G90" s="169">
        <f>Statement!Q194</f>
        <v>0.17520372526193248</v>
      </c>
      <c r="I90" s="191"/>
    </row>
    <row r="91" spans="2:9" x14ac:dyDescent="0.2">
      <c r="B91" s="20" t="str">
        <f>Statement!B195</f>
        <v>Europe Middle East Africa</v>
      </c>
      <c r="C91" s="169">
        <f>Statement!M195</f>
        <v>1</v>
      </c>
      <c r="D91" s="169">
        <f>Statement!N195</f>
        <v>0.13311148086522462</v>
      </c>
      <c r="E91" s="169">
        <f>Statement!O195</f>
        <v>9.4713656387665199E-2</v>
      </c>
      <c r="F91" s="169">
        <f>Statement!P195</f>
        <v>0.20254862508383636</v>
      </c>
      <c r="G91" s="169">
        <f>Statement!Q195</f>
        <v>1.7289459007250419E-2</v>
      </c>
      <c r="I91" s="191"/>
    </row>
    <row r="92" spans="2:9" x14ac:dyDescent="0.2">
      <c r="B92" s="20"/>
      <c r="C92" s="169"/>
      <c r="D92" s="169"/>
      <c r="E92" s="169"/>
      <c r="F92" s="169"/>
      <c r="G92" s="169"/>
      <c r="I92" s="191"/>
    </row>
    <row r="93" spans="2:9" x14ac:dyDescent="0.2">
      <c r="B93" s="20" t="str">
        <f>Statement!B197</f>
        <v>Products</v>
      </c>
      <c r="C93" s="169">
        <f>Statement!M197</f>
        <v>1</v>
      </c>
      <c r="D93" s="169">
        <f>Statement!N197</f>
        <v>0.18319752739533576</v>
      </c>
      <c r="E93" s="169">
        <f>Statement!O197</f>
        <v>0.25172168131085254</v>
      </c>
      <c r="F93" s="169">
        <f>Statement!P197</f>
        <v>0.18478467084044772</v>
      </c>
      <c r="G93" s="169">
        <f>Statement!Q197</f>
        <v>0.31417133706965572</v>
      </c>
      <c r="I93" s="191"/>
    </row>
    <row r="94" spans="2:9" x14ac:dyDescent="0.2">
      <c r="B94" s="20" t="str">
        <f>Statement!B198</f>
        <v>Services</v>
      </c>
      <c r="C94" s="169">
        <f>Statement!M198</f>
        <v>1</v>
      </c>
      <c r="D94" s="169">
        <f>Statement!N198</f>
        <v>2.9186935371785964E-2</v>
      </c>
      <c r="E94" s="169">
        <f>Statement!O198</f>
        <v>7.4949358541525998E-2</v>
      </c>
      <c r="F94" s="169">
        <f>Statement!P198</f>
        <v>0.10992462311557789</v>
      </c>
      <c r="G94" s="169">
        <f>Statement!Q198</f>
        <v>0.14487832484436899</v>
      </c>
      <c r="I94" s="191"/>
    </row>
    <row r="96" spans="2:9" ht="17" thickBot="1" x14ac:dyDescent="0.25">
      <c r="B96" s="14" t="s">
        <v>305</v>
      </c>
      <c r="C96" s="14"/>
      <c r="D96" s="14"/>
      <c r="E96" s="14"/>
      <c r="F96" s="14"/>
      <c r="G96" s="14"/>
      <c r="I96" s="14"/>
    </row>
    <row r="97" spans="2:9" x14ac:dyDescent="0.2">
      <c r="B97" s="20" t="s">
        <v>277</v>
      </c>
      <c r="C97" s="169">
        <f>Statement!M202</f>
        <v>-1</v>
      </c>
      <c r="D97" s="169">
        <f>Statement!N202</f>
        <v>0</v>
      </c>
      <c r="E97" s="169">
        <f>Statement!O202</f>
        <v>1.5</v>
      </c>
      <c r="F97" s="169">
        <f>Statement!P202</f>
        <v>3.2</v>
      </c>
      <c r="G97" s="169">
        <f>Statement!Q202</f>
        <v>0.59523809523809523</v>
      </c>
      <c r="I97" s="19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3F86-70CC-F54A-91FC-45975067BFCE}">
  <dimension ref="B1:G34"/>
  <sheetViews>
    <sheetView topLeftCell="A29" zoomScale="180" workbookViewId="0">
      <selection activeCell="C31" sqref="C31"/>
    </sheetView>
  </sheetViews>
  <sheetFormatPr baseColWidth="10" defaultRowHeight="16" x14ac:dyDescent="0.2"/>
  <cols>
    <col min="1" max="1" width="3.6640625" style="1" customWidth="1"/>
    <col min="2" max="2" width="26.5" style="1" customWidth="1"/>
    <col min="3" max="3" width="11.33203125" style="1" customWidth="1"/>
    <col min="4" max="4" width="11.83203125" style="1" customWidth="1"/>
    <col min="5" max="5" width="2.83203125" style="1" customWidth="1"/>
    <col min="6" max="6" width="11.6640625" style="1" customWidth="1"/>
    <col min="7" max="7" width="11.83203125" style="1" customWidth="1"/>
    <col min="8" max="16384" width="10.83203125" style="1"/>
  </cols>
  <sheetData>
    <row r="1" spans="2:7" ht="12" customHeight="1" x14ac:dyDescent="0.2"/>
    <row r="3" spans="2:7" x14ac:dyDescent="0.2">
      <c r="B3" s="8"/>
      <c r="C3" s="250" t="s">
        <v>306</v>
      </c>
      <c r="D3" s="251"/>
      <c r="F3" s="252" t="s">
        <v>307</v>
      </c>
      <c r="G3" s="251"/>
    </row>
    <row r="4" spans="2:7" x14ac:dyDescent="0.2">
      <c r="B4" s="8"/>
      <c r="C4" s="10" t="str">
        <f>Statement!Z2</f>
        <v>31.03.2026</v>
      </c>
      <c r="D4" s="197" t="str">
        <f>Statement!AA2</f>
        <v>30.06.2026</v>
      </c>
      <c r="F4" s="198" t="str">
        <f>Statement!W2</f>
        <v>30.06.2025</v>
      </c>
      <c r="G4" s="197" t="str">
        <f>Statement!AA2</f>
        <v>30.06.2026</v>
      </c>
    </row>
    <row r="5" spans="2:7" x14ac:dyDescent="0.2">
      <c r="B5" s="8" t="s">
        <v>312</v>
      </c>
      <c r="C5" s="10" t="str">
        <f>Statement!Z3</f>
        <v>Q1 2026</v>
      </c>
      <c r="D5" s="197" t="str">
        <f>Statement!AA3</f>
        <v>Q2 2026</v>
      </c>
      <c r="F5" s="198" t="str">
        <f>Statement!W3</f>
        <v>Q2 2025</v>
      </c>
      <c r="G5" s="197" t="str">
        <f>Statement!AA3</f>
        <v>Q2 2026</v>
      </c>
    </row>
    <row r="6" spans="2:7" x14ac:dyDescent="0.2">
      <c r="B6" s="199" t="s">
        <v>19</v>
      </c>
      <c r="C6" s="193">
        <f>Statement!Z5</f>
        <v>2650</v>
      </c>
      <c r="D6" s="192">
        <f>Statement!AA5</f>
        <v>3274</v>
      </c>
      <c r="F6" s="193">
        <f>Statement!W5</f>
        <v>2638</v>
      </c>
      <c r="G6" s="192">
        <f>Statement!AA5</f>
        <v>3274</v>
      </c>
    </row>
    <row r="7" spans="2:7" x14ac:dyDescent="0.2">
      <c r="B7" s="200" t="s">
        <v>308</v>
      </c>
      <c r="C7" s="253">
        <f>Statement!AA88</f>
        <v>0.23547169811320753</v>
      </c>
      <c r="D7" s="254"/>
      <c r="F7" s="253">
        <f>IF(F6=0,
IF(G6=0,0,IF(G6&gt;0,1,-1)),
(G6-F6)/ABS(F6)
)</f>
        <v>0.24109173616376042</v>
      </c>
      <c r="G7" s="254"/>
    </row>
    <row r="8" spans="2:7" x14ac:dyDescent="0.2">
      <c r="B8" s="201" t="s">
        <v>20</v>
      </c>
      <c r="C8" s="194">
        <f>Statement!Z6</f>
        <v>1650</v>
      </c>
      <c r="D8" s="192">
        <f>Statement!AA6</f>
        <v>2039</v>
      </c>
      <c r="F8" s="194">
        <f>Statement!W6</f>
        <v>1742</v>
      </c>
      <c r="G8" s="192">
        <f>Statement!AA6</f>
        <v>2039</v>
      </c>
    </row>
    <row r="9" spans="2:7" x14ac:dyDescent="0.2">
      <c r="B9" s="200" t="s">
        <v>308</v>
      </c>
      <c r="C9" s="253">
        <f>Statement!AA89</f>
        <v>0.23575757575757575</v>
      </c>
      <c r="D9" s="254"/>
      <c r="F9" s="253">
        <f>IF(F8=0,
IF(G8=0,0,IF(G8&gt;0,1,-1)),
(G8-F8)/ABS(F8)
)</f>
        <v>0.17049368541905854</v>
      </c>
      <c r="G9" s="254"/>
    </row>
    <row r="10" spans="2:7" x14ac:dyDescent="0.2">
      <c r="B10" s="201" t="s">
        <v>21</v>
      </c>
      <c r="C10" s="194">
        <f>Statement!Z7</f>
        <v>1000</v>
      </c>
      <c r="D10" s="192">
        <f>Statement!AA7</f>
        <v>1235</v>
      </c>
      <c r="F10" s="194">
        <f>Statement!W7</f>
        <v>896</v>
      </c>
      <c r="G10" s="192">
        <f>Statement!AA7</f>
        <v>1235</v>
      </c>
    </row>
    <row r="11" spans="2:7" x14ac:dyDescent="0.2">
      <c r="B11" s="200" t="s">
        <v>308</v>
      </c>
      <c r="C11" s="253">
        <f>Statement!AA90</f>
        <v>0.23499999999999999</v>
      </c>
      <c r="D11" s="254"/>
      <c r="F11" s="253">
        <f>IF(F10=0,
IF(G10=0,0,IF(G10&gt;0,1,-1)),
(G10-F10)/ABS(F10)
)</f>
        <v>0.3783482142857143</v>
      </c>
      <c r="G11" s="254"/>
    </row>
    <row r="12" spans="2:7" x14ac:dyDescent="0.2">
      <c r="B12" s="201" t="s">
        <v>22</v>
      </c>
      <c r="C12" s="194">
        <f>Statement!Z10</f>
        <v>560</v>
      </c>
      <c r="D12" s="192">
        <f>Statement!AA10</f>
        <v>601</v>
      </c>
      <c r="F12" s="194">
        <f>Statement!W10</f>
        <v>454</v>
      </c>
      <c r="G12" s="192">
        <f>Statement!AA10</f>
        <v>601</v>
      </c>
    </row>
    <row r="13" spans="2:7" x14ac:dyDescent="0.2">
      <c r="B13" s="200" t="s">
        <v>308</v>
      </c>
      <c r="C13" s="253">
        <f>Statement!AA93</f>
        <v>7.3214285714285718E-2</v>
      </c>
      <c r="D13" s="254"/>
      <c r="F13" s="253">
        <f>IF(F12=0,
IF(G12=0,0,IF(G12&gt;0,1,-1)),
(G12-F12)/ABS(F12)
)</f>
        <v>0.32378854625550663</v>
      </c>
      <c r="G13" s="254"/>
    </row>
    <row r="14" spans="2:7" x14ac:dyDescent="0.2">
      <c r="B14" s="201" t="s">
        <v>309</v>
      </c>
      <c r="C14" s="194">
        <f>Statement!Z11</f>
        <v>440</v>
      </c>
      <c r="D14" s="192">
        <f>Statement!AA11</f>
        <v>634</v>
      </c>
      <c r="F14" s="194">
        <f>Statement!W11</f>
        <v>442</v>
      </c>
      <c r="G14" s="192">
        <f>Statement!AA11</f>
        <v>634</v>
      </c>
    </row>
    <row r="15" spans="2:7" x14ac:dyDescent="0.2">
      <c r="B15" s="200" t="s">
        <v>308</v>
      </c>
      <c r="C15" s="253">
        <f>Statement!AA94</f>
        <v>0.44090909090909092</v>
      </c>
      <c r="D15" s="254"/>
      <c r="F15" s="253">
        <f>IF(F14=0,
IF(G14=0,0,IF(G14&gt;0,1,-1)),
(G14-F14)/ABS(F14)
)</f>
        <v>0.43438914027149322</v>
      </c>
      <c r="G15" s="254"/>
    </row>
    <row r="16" spans="2:7" x14ac:dyDescent="0.2">
      <c r="B16" s="201" t="s">
        <v>28</v>
      </c>
      <c r="C16" s="194">
        <f>Statement!Z17</f>
        <v>390</v>
      </c>
      <c r="D16" s="192">
        <f>Statement!AA17</f>
        <v>498</v>
      </c>
      <c r="F16" s="194">
        <f>Statement!W17</f>
        <v>324</v>
      </c>
      <c r="G16" s="192">
        <f>Statement!AA17</f>
        <v>498</v>
      </c>
    </row>
    <row r="17" spans="2:7" x14ac:dyDescent="0.2">
      <c r="B17" s="200" t="s">
        <v>308</v>
      </c>
      <c r="C17" s="253">
        <f>Statement!AA96</f>
        <v>0.27692307692307694</v>
      </c>
      <c r="D17" s="254"/>
      <c r="F17" s="253">
        <f>IF(F16=0,
IF(G16=0,0,IF(G16&gt;0,1,-1)),
(G16-F16)/ABS(F16)
)</f>
        <v>0.53703703703703709</v>
      </c>
      <c r="G17" s="254"/>
    </row>
    <row r="18" spans="2:7" x14ac:dyDescent="0.2">
      <c r="B18" s="201" t="s">
        <v>310</v>
      </c>
      <c r="C18" s="194">
        <f>Statement!Z21</f>
        <v>392</v>
      </c>
      <c r="D18" s="192">
        <f>Statement!AA21</f>
        <v>393</v>
      </c>
      <c r="F18" s="194">
        <f>Statement!W21</f>
        <v>390</v>
      </c>
      <c r="G18" s="192">
        <f>Statement!AA21</f>
        <v>393</v>
      </c>
    </row>
    <row r="19" spans="2:7" x14ac:dyDescent="0.2">
      <c r="B19" s="200" t="s">
        <v>308</v>
      </c>
      <c r="C19" s="253">
        <f>IF(C18=0,
IF(D18=0,0,IF(D18&gt;0,1,-1)),
(D18-C18)/ABS(C18)
)</f>
        <v>2.5510204081632651E-3</v>
      </c>
      <c r="D19" s="254"/>
      <c r="F19" s="253">
        <f>IF(F18=0,
IF(G18=0,0,IF(G18&gt;0,1,-1)),
(G18-F18)/ABS(F18)
)</f>
        <v>7.6923076923076927E-3</v>
      </c>
      <c r="G19" s="254"/>
    </row>
    <row r="20" spans="2:7" x14ac:dyDescent="0.2">
      <c r="B20" s="201" t="s">
        <v>35</v>
      </c>
      <c r="C20" s="195">
        <f>Statement!Z25</f>
        <v>0.99</v>
      </c>
      <c r="D20" s="196">
        <f>Statement!AA25</f>
        <v>1.27</v>
      </c>
      <c r="F20" s="195">
        <f>Statement!W25</f>
        <v>0.83</v>
      </c>
      <c r="G20" s="196">
        <f>Statement!AA25</f>
        <v>1.27</v>
      </c>
    </row>
    <row r="21" spans="2:7" x14ac:dyDescent="0.2">
      <c r="B21" s="200" t="s">
        <v>308</v>
      </c>
      <c r="C21" s="253">
        <f>IF(C20=0,
IF(D20=0,0,IF(D20&gt;0,1,-1)),
(D20-C20)/ABS(C20)
)</f>
        <v>0.28282828282828287</v>
      </c>
      <c r="D21" s="254"/>
      <c r="F21" s="253">
        <f>IF(F20=0,
IF(G20=0,0,IF(G20&gt;0,1,-1)),
(G20-F20)/ABS(F20)
)</f>
        <v>0.53012048192771088</v>
      </c>
      <c r="G21" s="254"/>
    </row>
    <row r="23" spans="2:7" x14ac:dyDescent="0.2">
      <c r="B23" s="8" t="s">
        <v>311</v>
      </c>
      <c r="C23" s="10" t="str">
        <f>C5</f>
        <v>Q1 2026</v>
      </c>
      <c r="D23" s="197" t="str">
        <f>D5</f>
        <v>Q2 2026</v>
      </c>
      <c r="F23" s="198" t="str">
        <f>F5</f>
        <v>Q2 2025</v>
      </c>
      <c r="G23" s="197" t="str">
        <f>G5</f>
        <v>Q2 2026</v>
      </c>
    </row>
    <row r="24" spans="2:7" x14ac:dyDescent="0.2">
      <c r="B24" s="20" t="str">
        <f>Statement!B193</f>
        <v>Americas</v>
      </c>
      <c r="C24" s="194">
        <f>Statement!Z181</f>
        <v>1814</v>
      </c>
      <c r="D24" s="192">
        <f>Statement!AA181</f>
        <v>2071</v>
      </c>
      <c r="F24" s="194">
        <f>Statement!W181</f>
        <v>1602</v>
      </c>
      <c r="G24" s="192">
        <f>Statement!AA181</f>
        <v>2071</v>
      </c>
    </row>
    <row r="25" spans="2:7" x14ac:dyDescent="0.2">
      <c r="B25" s="200" t="s">
        <v>308</v>
      </c>
      <c r="C25" s="253">
        <f>IF(C24=0,
IF(D24=0,0,IF(D24&gt;0,1,-1)),
(D24-C24)/ABS(C24)
)</f>
        <v>0.14167585446527012</v>
      </c>
      <c r="D25" s="254"/>
      <c r="F25" s="253">
        <f>IF(F24=0,
IF(G24=0,0,IF(G24&gt;0,1,-1)),
(G24-F24)/ABS(F24)
)</f>
        <v>0.29275905118601747</v>
      </c>
      <c r="G25" s="254"/>
    </row>
    <row r="26" spans="2:7" x14ac:dyDescent="0.2">
      <c r="B26" s="20" t="str">
        <f>Statement!B194</f>
        <v>Asia Pacific</v>
      </c>
      <c r="C26" s="194">
        <f>Statement!Z182</f>
        <v>514</v>
      </c>
      <c r="D26" s="192">
        <f>Statement!AA182</f>
        <v>720</v>
      </c>
      <c r="F26" s="194">
        <f>Statement!W182</f>
        <v>560</v>
      </c>
      <c r="G26" s="192">
        <f>Statement!AA182</f>
        <v>720</v>
      </c>
    </row>
    <row r="27" spans="2:7" x14ac:dyDescent="0.2">
      <c r="B27" s="200" t="s">
        <v>308</v>
      </c>
      <c r="C27" s="253">
        <f>IF(C26=0,
IF(D26=0,0,IF(D26&gt;0,1,-1)),
(D26-C26)/ABS(C26)
)</f>
        <v>0.40077821011673154</v>
      </c>
      <c r="D27" s="254"/>
      <c r="F27" s="253">
        <f>IF(F26=0,
IF(G26=0,0,IF(G26&gt;0,1,-1)),
(G26-F26)/ABS(F26)
)</f>
        <v>0.2857142857142857</v>
      </c>
      <c r="G27" s="254"/>
    </row>
    <row r="28" spans="2:7" x14ac:dyDescent="0.2">
      <c r="B28" s="20" t="str">
        <f>Statement!B195</f>
        <v>Europe Middle East Africa</v>
      </c>
      <c r="C28" s="194">
        <f>Statement!Z183</f>
        <v>321</v>
      </c>
      <c r="D28" s="192">
        <f>Statement!AA183</f>
        <v>484</v>
      </c>
      <c r="F28" s="194">
        <f>Statement!W183</f>
        <v>476</v>
      </c>
      <c r="G28" s="192">
        <f>Statement!AA183</f>
        <v>484</v>
      </c>
    </row>
    <row r="29" spans="2:7" x14ac:dyDescent="0.2">
      <c r="B29" s="200" t="s">
        <v>308</v>
      </c>
      <c r="C29" s="253">
        <f>IF(C28=0,
IF(D28=0,0,IF(D28&gt;0,1,-1)),
(D28-C28)/ABS(C28)
)</f>
        <v>0.50778816199376942</v>
      </c>
      <c r="D29" s="254"/>
      <c r="F29" s="253">
        <f>IF(F28=0,
IF(G28=0,0,IF(G28&gt;0,1,-1)),
(G28-F28)/ABS(F28)
)</f>
        <v>1.680672268907563E-2</v>
      </c>
      <c r="G29" s="254"/>
    </row>
    <row r="31" spans="2:7" x14ac:dyDescent="0.2">
      <c r="B31" s="20" t="str">
        <f>Statement!B197</f>
        <v>Products</v>
      </c>
      <c r="C31" s="194">
        <f>Statement!Z185</f>
        <v>2091</v>
      </c>
      <c r="D31" s="224">
        <f>Statement!AA185</f>
        <v>2606</v>
      </c>
      <c r="F31" s="194">
        <f>Statement!W185</f>
        <v>2119</v>
      </c>
      <c r="G31" s="224">
        <f>Statement!AA185</f>
        <v>2606</v>
      </c>
    </row>
    <row r="32" spans="2:7" x14ac:dyDescent="0.2">
      <c r="B32" s="200" t="s">
        <v>308</v>
      </c>
      <c r="C32" s="253">
        <f>IF(C31=0,
IF(D31=0,0,IF(D31&gt;0,1,-1)),
(D31-C31)/ABS(C31)
)</f>
        <v>0.24629363940698232</v>
      </c>
      <c r="D32" s="254"/>
      <c r="F32" s="253">
        <f>IF(F31=0,
IF(G31=0,0,IF(G31&gt;0,1,-1)),
(G31-F31)/ABS(F31)
)</f>
        <v>0.22982538933459179</v>
      </c>
      <c r="G32" s="254"/>
    </row>
    <row r="33" spans="2:7" x14ac:dyDescent="0.2">
      <c r="B33" s="20" t="str">
        <f>Statement!B198</f>
        <v>Services</v>
      </c>
      <c r="C33" s="194">
        <f>Statement!Z186</f>
        <v>558</v>
      </c>
      <c r="D33" s="224">
        <f>Statement!AA186</f>
        <v>668</v>
      </c>
      <c r="F33" s="194">
        <f>Statement!W186</f>
        <v>519</v>
      </c>
      <c r="G33" s="224">
        <f>Statement!AA186</f>
        <v>668</v>
      </c>
    </row>
    <row r="34" spans="2:7" x14ac:dyDescent="0.2">
      <c r="B34" s="200" t="s">
        <v>308</v>
      </c>
      <c r="C34" s="253">
        <f>IF(C33=0,
IF(D33=0,0,IF(D33&gt;0,1,-1)),
(D33-C33)/ABS(C33)
)</f>
        <v>0.1971326164874552</v>
      </c>
      <c r="D34" s="254"/>
      <c r="F34" s="253">
        <f>IF(F33=0,
IF(G33=0,0,IF(G33&gt;0,1,-1)),
(G33-F33)/ABS(F33)
)</f>
        <v>0.28709055876685935</v>
      </c>
      <c r="G34" s="254"/>
    </row>
  </sheetData>
  <mergeCells count="28">
    <mergeCell ref="C32:D32"/>
    <mergeCell ref="F32:G32"/>
    <mergeCell ref="C34:D34"/>
    <mergeCell ref="F34:G34"/>
    <mergeCell ref="C25:D25"/>
    <mergeCell ref="F25:G25"/>
    <mergeCell ref="C27:D27"/>
    <mergeCell ref="F27:G27"/>
    <mergeCell ref="C29:D29"/>
    <mergeCell ref="F29:G29"/>
    <mergeCell ref="C17:D17"/>
    <mergeCell ref="F17:G17"/>
    <mergeCell ref="F19:G19"/>
    <mergeCell ref="C19:D19"/>
    <mergeCell ref="C21:D21"/>
    <mergeCell ref="F21:G21"/>
    <mergeCell ref="C11:D11"/>
    <mergeCell ref="F11:G11"/>
    <mergeCell ref="C13:D13"/>
    <mergeCell ref="F13:G13"/>
    <mergeCell ref="C15:D15"/>
    <mergeCell ref="F15:G15"/>
    <mergeCell ref="C3:D3"/>
    <mergeCell ref="F3:G3"/>
    <mergeCell ref="C7:D7"/>
    <mergeCell ref="F7:G7"/>
    <mergeCell ref="C9:D9"/>
    <mergeCell ref="F9:G9"/>
  </mergeCells>
  <pageMargins left="0.7" right="0.7" top="0.75" bottom="0.75" header="0.3" footer="0.3"/>
  <ignoredErrors>
    <ignoredError sqref="F8 F10 F12 F14 F16 F18 C20 F20 C26 F26 C28 F2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D4CD5-3D15-DF4B-A135-ED758F2E1A8D}">
  <dimension ref="B62:L82"/>
  <sheetViews>
    <sheetView topLeftCell="A50" zoomScale="159" workbookViewId="0">
      <selection activeCell="B76" sqref="B76"/>
    </sheetView>
  </sheetViews>
  <sheetFormatPr baseColWidth="10" defaultRowHeight="16" x14ac:dyDescent="0.2"/>
  <cols>
    <col min="1" max="1" width="2.6640625" style="1" customWidth="1"/>
    <col min="2" max="2" width="37" style="1" customWidth="1"/>
    <col min="3" max="16384" width="10.83203125" style="1"/>
  </cols>
  <sheetData>
    <row r="62" spans="2:12" x14ac:dyDescent="0.2">
      <c r="B62" s="10"/>
      <c r="C62" s="10">
        <f>Statement!H2</f>
        <v>0</v>
      </c>
      <c r="D62" s="10">
        <f>Statement!I2</f>
        <v>0</v>
      </c>
      <c r="E62" s="10">
        <f>Statement!J2</f>
        <v>0</v>
      </c>
      <c r="F62" s="10">
        <f>Statement!K2</f>
        <v>0</v>
      </c>
      <c r="G62" s="10">
        <f>Statement!L2</f>
        <v>0</v>
      </c>
      <c r="H62" s="10" t="str">
        <f>Statement!M2</f>
        <v>31.12.2021</v>
      </c>
      <c r="I62" s="10" t="str">
        <f>Statement!N2</f>
        <v>31.12.2022</v>
      </c>
      <c r="J62" s="10" t="str">
        <f>Statement!O2</f>
        <v>31.12.2023</v>
      </c>
      <c r="K62" s="10" t="str">
        <f>Statement!P2</f>
        <v>31.12.2024</v>
      </c>
      <c r="L62" s="10" t="str">
        <f>Statement!Q2</f>
        <v>31.12.2025</v>
      </c>
    </row>
    <row r="63" spans="2:12" x14ac:dyDescent="0.2">
      <c r="B63" s="10"/>
      <c r="C63" s="10">
        <f>Statement!H3</f>
        <v>0</v>
      </c>
      <c r="D63" s="10">
        <f>Statement!I3</f>
        <v>0</v>
      </c>
      <c r="E63" s="10">
        <f>Statement!J3</f>
        <v>0</v>
      </c>
      <c r="F63" s="10">
        <f>Statement!K3</f>
        <v>0</v>
      </c>
      <c r="G63" s="10">
        <f>Statement!L3</f>
        <v>0</v>
      </c>
      <c r="H63" s="10">
        <f>Statement!M3</f>
        <v>2021</v>
      </c>
      <c r="I63" s="10">
        <f>Statement!N3</f>
        <v>2022</v>
      </c>
      <c r="J63" s="10">
        <f>Statement!O3</f>
        <v>2023</v>
      </c>
      <c r="K63" s="10">
        <f>Statement!P3</f>
        <v>2024</v>
      </c>
      <c r="L63" s="10">
        <f>Statement!Q3</f>
        <v>2025</v>
      </c>
    </row>
    <row r="64" spans="2:12" x14ac:dyDescent="0.2">
      <c r="B64" s="20" t="s">
        <v>19</v>
      </c>
      <c r="C64" s="64">
        <f>Statement!H5</f>
        <v>0</v>
      </c>
      <c r="D64" s="64">
        <f>Statement!I5</f>
        <v>0</v>
      </c>
      <c r="E64" s="64">
        <f>Statement!J5</f>
        <v>0</v>
      </c>
      <c r="F64" s="64">
        <f>Statement!K5</f>
        <v>0</v>
      </c>
      <c r="G64" s="64">
        <f>Statement!L5</f>
        <v>0</v>
      </c>
      <c r="H64" s="24">
        <f>Statement!M5</f>
        <v>4998</v>
      </c>
      <c r="I64" s="24">
        <f>Statement!N5</f>
        <v>5692</v>
      </c>
      <c r="J64" s="24">
        <f>Statement!O5</f>
        <v>6863</v>
      </c>
      <c r="K64" s="24">
        <f>Statement!P5</f>
        <v>8012</v>
      </c>
      <c r="L64" s="24">
        <f>Statement!Q5</f>
        <v>10230</v>
      </c>
    </row>
    <row r="65" spans="2:12" x14ac:dyDescent="0.2">
      <c r="B65" s="20" t="s">
        <v>23</v>
      </c>
      <c r="C65" s="64">
        <f>Statement!H11</f>
        <v>0</v>
      </c>
      <c r="D65" s="64">
        <f>Statement!I11</f>
        <v>0</v>
      </c>
      <c r="E65" s="64">
        <f>Statement!J11</f>
        <v>0</v>
      </c>
      <c r="F65" s="64">
        <f>Statement!K11</f>
        <v>0</v>
      </c>
      <c r="G65" s="64">
        <f>Statement!L11</f>
        <v>0</v>
      </c>
      <c r="H65" s="64">
        <f>Statement!M11</f>
        <v>260</v>
      </c>
      <c r="I65" s="64">
        <f>Statement!N11</f>
        <v>223</v>
      </c>
      <c r="J65" s="64">
        <f>Statement!O11</f>
        <v>872</v>
      </c>
      <c r="K65" s="64">
        <f>Statement!P11</f>
        <v>1367</v>
      </c>
      <c r="L65" s="64">
        <f>Statement!Q11</f>
        <v>1830</v>
      </c>
    </row>
    <row r="66" spans="2:12" x14ac:dyDescent="0.2">
      <c r="B66" s="20" t="s">
        <v>28</v>
      </c>
      <c r="C66" s="64">
        <f>Statement!H17</f>
        <v>0</v>
      </c>
      <c r="D66" s="64">
        <f>Statement!I17</f>
        <v>0</v>
      </c>
      <c r="E66" s="64">
        <f>Statement!J17</f>
        <v>0</v>
      </c>
      <c r="F66" s="64">
        <f>Statement!K17</f>
        <v>0</v>
      </c>
      <c r="G66" s="64">
        <f>Statement!L17</f>
        <v>0</v>
      </c>
      <c r="H66" s="64">
        <f>Statement!M17</f>
        <v>120</v>
      </c>
      <c r="I66" s="64">
        <f>Statement!N17</f>
        <v>77</v>
      </c>
      <c r="J66" s="64">
        <f>Statement!O17</f>
        <v>460</v>
      </c>
      <c r="K66" s="64">
        <f>Statement!P17</f>
        <v>496</v>
      </c>
      <c r="L66" s="64">
        <f>Statement!Q17</f>
        <v>1333</v>
      </c>
    </row>
    <row r="67" spans="2:12" x14ac:dyDescent="0.2">
      <c r="B67" s="20" t="s">
        <v>254</v>
      </c>
      <c r="C67" s="64">
        <f>Statement!H151</f>
        <v>0</v>
      </c>
      <c r="D67" s="64">
        <f>Statement!I151</f>
        <v>0</v>
      </c>
      <c r="E67" s="64">
        <f>Statement!J151</f>
        <v>0</v>
      </c>
      <c r="F67" s="64">
        <f>Statement!K151</f>
        <v>0</v>
      </c>
      <c r="G67" s="64">
        <f>Statement!L151</f>
        <v>0</v>
      </c>
      <c r="H67" s="64">
        <f>Statement!M151</f>
        <v>104</v>
      </c>
      <c r="I67" s="64">
        <f>Statement!N151</f>
        <v>-289</v>
      </c>
      <c r="J67" s="64">
        <f>Statement!O151</f>
        <v>741</v>
      </c>
      <c r="K67" s="64">
        <f>Statement!P151</f>
        <v>1100</v>
      </c>
      <c r="L67" s="64">
        <f>Statement!Q151</f>
        <v>1842</v>
      </c>
    </row>
    <row r="68" spans="2:12" x14ac:dyDescent="0.2">
      <c r="B68" s="20" t="s">
        <v>255</v>
      </c>
      <c r="C68" s="64">
        <f>Statement!H152</f>
        <v>0</v>
      </c>
      <c r="D68" s="64">
        <f>Statement!I152</f>
        <v>0</v>
      </c>
      <c r="E68" s="64">
        <f>Statement!J152</f>
        <v>0</v>
      </c>
      <c r="F68" s="64">
        <f>Statement!K152</f>
        <v>0</v>
      </c>
      <c r="G68" s="64">
        <f>Statement!L152</f>
        <v>0</v>
      </c>
      <c r="H68" s="64">
        <f>Statement!M152</f>
        <v>198.3855421686747</v>
      </c>
      <c r="I68" s="64">
        <f>Statement!N152</f>
        <v>-155.17964071856289</v>
      </c>
      <c r="J68" s="64">
        <f>Statement!O152</f>
        <v>953.93433395872421</v>
      </c>
      <c r="K68" s="64">
        <f>Statement!P152</f>
        <v>1092.5294117647059</v>
      </c>
      <c r="L68" s="64">
        <f>Statement!Q152</f>
        <v>1822.3386911595867</v>
      </c>
    </row>
    <row r="69" spans="2:12" x14ac:dyDescent="0.2">
      <c r="B69" s="20" t="s">
        <v>75</v>
      </c>
      <c r="C69" s="58">
        <f>Statement!H99</f>
        <v>0</v>
      </c>
      <c r="D69" s="58">
        <f>Statement!I99</f>
        <v>0</v>
      </c>
      <c r="E69" s="58">
        <f>Statement!J99</f>
        <v>0</v>
      </c>
      <c r="F69" s="58">
        <f>Statement!K99</f>
        <v>0</v>
      </c>
      <c r="G69" s="58">
        <f>Statement!L99</f>
        <v>0</v>
      </c>
      <c r="H69" s="58">
        <f>Statement!M99</f>
        <v>0.30472188875550221</v>
      </c>
      <c r="I69" s="58">
        <f>Statement!N99</f>
        <v>0.28408292340126495</v>
      </c>
      <c r="J69" s="58">
        <f>Statement!O99</f>
        <v>0.34970129680897566</v>
      </c>
      <c r="K69" s="58">
        <f>Statement!P99</f>
        <v>0.36620069895157265</v>
      </c>
      <c r="L69" s="58">
        <f>Statement!Q99</f>
        <v>0.36314760508308896</v>
      </c>
    </row>
    <row r="70" spans="2:12" x14ac:dyDescent="0.2">
      <c r="B70" s="20" t="s">
        <v>76</v>
      </c>
      <c r="C70" s="58">
        <f>Statement!H100</f>
        <v>0</v>
      </c>
      <c r="D70" s="58">
        <f>Statement!I100</f>
        <v>0</v>
      </c>
      <c r="E70" s="58">
        <f>Statement!J100</f>
        <v>0</v>
      </c>
      <c r="F70" s="58">
        <f>Statement!K100</f>
        <v>0</v>
      </c>
      <c r="G70" s="58">
        <f>Statement!L100</f>
        <v>0</v>
      </c>
      <c r="H70" s="58">
        <f>Statement!M100</f>
        <v>5.202080832332933E-2</v>
      </c>
      <c r="I70" s="58">
        <f>Statement!N100</f>
        <v>3.9177793394237527E-2</v>
      </c>
      <c r="J70" s="58">
        <f>Statement!O100</f>
        <v>0.1270581378405945</v>
      </c>
      <c r="K70" s="58">
        <f>Statement!P100</f>
        <v>0.17061907139291063</v>
      </c>
      <c r="L70" s="58">
        <f>Statement!Q100</f>
        <v>0.17888563049853373</v>
      </c>
    </row>
    <row r="71" spans="2:12" x14ac:dyDescent="0.2">
      <c r="B71" s="20" t="s">
        <v>77</v>
      </c>
      <c r="C71" s="58">
        <f>Statement!H101</f>
        <v>0</v>
      </c>
      <c r="D71" s="58">
        <f>Statement!I101</f>
        <v>0</v>
      </c>
      <c r="E71" s="58">
        <f>Statement!J101</f>
        <v>0</v>
      </c>
      <c r="F71" s="58">
        <f>Statement!K101</f>
        <v>0</v>
      </c>
      <c r="G71" s="58">
        <f>Statement!L101</f>
        <v>0</v>
      </c>
      <c r="H71" s="58">
        <f>Statement!M101</f>
        <v>2.4009603841536616E-2</v>
      </c>
      <c r="I71" s="58">
        <f>Statement!N101</f>
        <v>1.3527758257203091E-2</v>
      </c>
      <c r="J71" s="58">
        <f>Statement!O101</f>
        <v>6.7026081888387004E-2</v>
      </c>
      <c r="K71" s="58">
        <f>Statement!P101</f>
        <v>6.1907139291063402E-2</v>
      </c>
      <c r="L71" s="58">
        <f>Statement!Q101</f>
        <v>0.13030303030303031</v>
      </c>
    </row>
    <row r="72" spans="2:12" x14ac:dyDescent="0.2">
      <c r="B72" s="20" t="str">
        <f>"Revenue "&amp;Statement!B181</f>
        <v>Revenue Americas</v>
      </c>
      <c r="C72" s="64">
        <f>Statement!H181</f>
        <v>0</v>
      </c>
      <c r="D72" s="64">
        <f>Statement!I181</f>
        <v>0</v>
      </c>
      <c r="E72" s="64">
        <f>Statement!J181</f>
        <v>0</v>
      </c>
      <c r="F72" s="64">
        <f>Statement!K181</f>
        <v>0</v>
      </c>
      <c r="G72" s="64">
        <f>Statement!L181</f>
        <v>0</v>
      </c>
      <c r="H72" s="64">
        <f>Statement!M181</f>
        <v>2187</v>
      </c>
      <c r="I72" s="64">
        <f>Statement!N181</f>
        <v>2729</v>
      </c>
      <c r="J72" s="64">
        <f>Statement!O181</f>
        <v>3845</v>
      </c>
      <c r="K72" s="64">
        <f>Statement!P181</f>
        <v>4501</v>
      </c>
      <c r="L72" s="64">
        <f>Statement!Q181</f>
        <v>6386</v>
      </c>
    </row>
    <row r="73" spans="2:12" x14ac:dyDescent="0.2">
      <c r="B73" s="20" t="str">
        <f>"Revenue "&amp;Statement!B182</f>
        <v>Revenue Asia Pacific</v>
      </c>
      <c r="C73" s="64">
        <f>Statement!H182</f>
        <v>0</v>
      </c>
      <c r="D73" s="64">
        <f>Statement!I182</f>
        <v>0</v>
      </c>
      <c r="E73" s="64">
        <f>Statement!J182</f>
        <v>0</v>
      </c>
      <c r="F73" s="64">
        <f>Statement!K182</f>
        <v>0</v>
      </c>
      <c r="G73" s="64">
        <f>Statement!L182</f>
        <v>0</v>
      </c>
      <c r="H73" s="64">
        <f>Statement!M182</f>
        <v>1609</v>
      </c>
      <c r="I73" s="64">
        <f>Statement!N182</f>
        <v>1601</v>
      </c>
      <c r="J73" s="64">
        <f>Statement!O182</f>
        <v>1528</v>
      </c>
      <c r="K73" s="64">
        <f>Statement!P182</f>
        <v>1718</v>
      </c>
      <c r="L73" s="64">
        <f>Statement!Q182</f>
        <v>2019</v>
      </c>
    </row>
    <row r="74" spans="2:12" x14ac:dyDescent="0.2">
      <c r="B74" s="20" t="str">
        <f>"Revenue "&amp;Statement!B183</f>
        <v>Revenue Europe Middle East Africa</v>
      </c>
      <c r="C74" s="64">
        <f>Statement!H183</f>
        <v>0</v>
      </c>
      <c r="D74" s="64">
        <f>Statement!I183</f>
        <v>0</v>
      </c>
      <c r="E74" s="64">
        <f>Statement!J183</f>
        <v>0</v>
      </c>
      <c r="F74" s="64">
        <f>Statement!K183</f>
        <v>0</v>
      </c>
      <c r="G74" s="64">
        <f>Statement!L183</f>
        <v>0</v>
      </c>
      <c r="H74" s="64">
        <f>Statement!M183</f>
        <v>1202</v>
      </c>
      <c r="I74" s="64">
        <f>Statement!N183</f>
        <v>1362</v>
      </c>
      <c r="J74" s="64">
        <f>Statement!O183</f>
        <v>1491</v>
      </c>
      <c r="K74" s="64">
        <f>Statement!P183</f>
        <v>1793</v>
      </c>
      <c r="L74" s="64">
        <f>Statement!Q183</f>
        <v>1824</v>
      </c>
    </row>
    <row r="75" spans="2:12" x14ac:dyDescent="0.2">
      <c r="B75" s="20" t="str">
        <f>"Revenue "&amp;Statement!B185</f>
        <v>Revenue Products</v>
      </c>
      <c r="C75" s="64">
        <f>Statement!H185</f>
        <v>0</v>
      </c>
      <c r="D75" s="64">
        <f>Statement!I185</f>
        <v>0</v>
      </c>
      <c r="E75" s="64">
        <f>Statement!J185</f>
        <v>0</v>
      </c>
      <c r="F75" s="64">
        <f>Statement!K185</f>
        <v>0</v>
      </c>
      <c r="G75" s="64">
        <f>Statement!L185</f>
        <v>0</v>
      </c>
      <c r="H75" s="64">
        <f>Statement!M185</f>
        <v>3559</v>
      </c>
      <c r="I75" s="64">
        <f>Statement!N185</f>
        <v>4211</v>
      </c>
      <c r="J75" s="64">
        <f>Statement!O185</f>
        <v>5271</v>
      </c>
      <c r="K75" s="64">
        <f>Statement!P185</f>
        <v>6245</v>
      </c>
      <c r="L75" s="64">
        <f>Statement!Q185</f>
        <v>8207</v>
      </c>
    </row>
    <row r="76" spans="2:12" x14ac:dyDescent="0.2">
      <c r="B76" s="20" t="str">
        <f>"Revenue "&amp;Statement!B186</f>
        <v>Revenue Services</v>
      </c>
      <c r="C76" s="64">
        <f>Statement!H186</f>
        <v>0</v>
      </c>
      <c r="D76" s="64">
        <f>Statement!I186</f>
        <v>0</v>
      </c>
      <c r="E76" s="64">
        <f>Statement!J186</f>
        <v>0</v>
      </c>
      <c r="F76" s="64">
        <f>Statement!K186</f>
        <v>0</v>
      </c>
      <c r="G76" s="64">
        <f>Statement!L186</f>
        <v>0</v>
      </c>
      <c r="H76" s="64">
        <f>Statement!M186</f>
        <v>1439</v>
      </c>
      <c r="I76" s="64">
        <f>Statement!N186</f>
        <v>1481</v>
      </c>
      <c r="J76" s="64">
        <f>Statement!O186</f>
        <v>1592</v>
      </c>
      <c r="K76" s="64">
        <f>Statement!P186</f>
        <v>1767</v>
      </c>
      <c r="L76" s="64">
        <f>Statement!Q186</f>
        <v>2023</v>
      </c>
    </row>
    <row r="77" spans="2:12" x14ac:dyDescent="0.2">
      <c r="B77" s="20" t="s">
        <v>98</v>
      </c>
      <c r="C77" s="212">
        <f>Statement!H121</f>
        <v>0</v>
      </c>
      <c r="D77" s="212">
        <f>Statement!I121</f>
        <v>0</v>
      </c>
      <c r="E77" s="212">
        <f>Statement!J121</f>
        <v>0</v>
      </c>
      <c r="F77" s="212">
        <f>Statement!K121</f>
        <v>0</v>
      </c>
      <c r="G77" s="212">
        <f>Statement!L121</f>
        <v>0</v>
      </c>
      <c r="H77" s="212">
        <f>Statement!M121</f>
        <v>1.7291066282420751E-2</v>
      </c>
      <c r="I77" s="212">
        <f>Statement!N121</f>
        <v>1.085118376550169E-2</v>
      </c>
      <c r="J77" s="212">
        <f>Statement!O121</f>
        <v>5.7507188398549819E-2</v>
      </c>
      <c r="K77" s="212">
        <f>Statement!P121</f>
        <v>5.4308551406985657E-2</v>
      </c>
      <c r="L77" s="212">
        <f>Statement!Q121</f>
        <v>0.1091549295774648</v>
      </c>
    </row>
    <row r="78" spans="2:12" x14ac:dyDescent="0.2">
      <c r="B78" s="20" t="s">
        <v>100</v>
      </c>
      <c r="C78" s="212">
        <f>Statement!H123</f>
        <v>0</v>
      </c>
      <c r="D78" s="212">
        <f>Statement!I123</f>
        <v>0</v>
      </c>
      <c r="E78" s="212">
        <f>Statement!J123</f>
        <v>0</v>
      </c>
      <c r="F78" s="212">
        <f>Statement!K123</f>
        <v>0</v>
      </c>
      <c r="G78" s="212">
        <f>Statement!L123</f>
        <v>0</v>
      </c>
      <c r="H78" s="212">
        <f>Statement!M123</f>
        <v>8.4626234132581107E-2</v>
      </c>
      <c r="I78" s="212">
        <f>Statement!N123</f>
        <v>5.3398058252427175E-2</v>
      </c>
      <c r="J78" s="212">
        <f>Statement!O123</f>
        <v>0.22828784119106701</v>
      </c>
      <c r="K78" s="212">
        <f>Statement!P123</f>
        <v>0.2037797863599014</v>
      </c>
      <c r="L78" s="212">
        <f>Statement!Q123</f>
        <v>0.33823902562801322</v>
      </c>
    </row>
    <row r="79" spans="2:12" x14ac:dyDescent="0.2">
      <c r="B79" s="20" t="s">
        <v>101</v>
      </c>
      <c r="C79" s="212">
        <f>Statement!H134</f>
        <v>0</v>
      </c>
      <c r="D79" s="212">
        <f>Statement!I134</f>
        <v>0</v>
      </c>
      <c r="E79" s="212">
        <f>Statement!J134</f>
        <v>0</v>
      </c>
      <c r="F79" s="212">
        <f>Statement!K134</f>
        <v>0</v>
      </c>
      <c r="G79" s="212">
        <f>Statement!L134</f>
        <v>0</v>
      </c>
      <c r="H79" s="212">
        <f>Statement!M134</f>
        <v>4.7162333544705136E-2</v>
      </c>
      <c r="I79" s="212">
        <f>Statement!N134</f>
        <v>2.3517922982945361E-2</v>
      </c>
      <c r="J79" s="212">
        <f>Statement!O134</f>
        <v>0.17982144012421558</v>
      </c>
      <c r="K79" s="212">
        <f>Statement!P134</f>
        <v>0.21396454082358629</v>
      </c>
      <c r="L79" s="212">
        <f>Statement!Q134</f>
        <v>0.27861891984870407</v>
      </c>
    </row>
    <row r="80" spans="2:12" x14ac:dyDescent="0.2">
      <c r="B80" s="20" t="s">
        <v>340</v>
      </c>
      <c r="C80" s="220">
        <f>Statement!H206</f>
        <v>0</v>
      </c>
      <c r="D80" s="220">
        <f>Statement!I206</f>
        <v>0</v>
      </c>
      <c r="E80" s="220">
        <f>Statement!J206</f>
        <v>0</v>
      </c>
      <c r="F80" s="220">
        <f>Statement!K206</f>
        <v>0</v>
      </c>
      <c r="G80" s="220">
        <f>Statement!L206</f>
        <v>0</v>
      </c>
      <c r="H80" s="220">
        <f>Statement!M206</f>
        <v>100</v>
      </c>
      <c r="I80" s="220">
        <f>Statement!N206</f>
        <v>54.705646776131367</v>
      </c>
      <c r="J80" s="220">
        <f>Statement!O206</f>
        <v>192.35082098518222</v>
      </c>
      <c r="K80" s="220">
        <f>Statement!P206</f>
        <v>454.98598317981578</v>
      </c>
      <c r="L80" s="220">
        <f>Statement!Q206</f>
        <v>648.81858229875854</v>
      </c>
    </row>
    <row r="81" spans="2:12" x14ac:dyDescent="0.2">
      <c r="B81" s="20" t="s">
        <v>341</v>
      </c>
      <c r="C81" s="220">
        <f>Statement!H207</f>
        <v>0</v>
      </c>
      <c r="D81" s="220">
        <f>Statement!I207</f>
        <v>0</v>
      </c>
      <c r="E81" s="220">
        <f>Statement!J207</f>
        <v>0</v>
      </c>
      <c r="F81" s="220">
        <f>Statement!K207</f>
        <v>0</v>
      </c>
      <c r="G81" s="220">
        <f>Statement!L207</f>
        <v>0</v>
      </c>
      <c r="H81" s="220">
        <f>Statement!M207</f>
        <v>100</v>
      </c>
      <c r="I81" s="220">
        <f>Statement!N207</f>
        <v>113.88555422168866</v>
      </c>
      <c r="J81" s="220">
        <f>Statement!O207</f>
        <v>137.31492597038817</v>
      </c>
      <c r="K81" s="220">
        <f>Statement!P207</f>
        <v>160.30412164865945</v>
      </c>
      <c r="L81" s="220">
        <f>Statement!Q207</f>
        <v>204.68187274909963</v>
      </c>
    </row>
    <row r="82" spans="2:12" x14ac:dyDescent="0.2">
      <c r="B82" s="20" t="s">
        <v>342</v>
      </c>
      <c r="C82" s="220">
        <f>Statement!H208</f>
        <v>0</v>
      </c>
      <c r="D82" s="220">
        <f>Statement!I208</f>
        <v>0</v>
      </c>
      <c r="E82" s="220">
        <f>Statement!J208</f>
        <v>0</v>
      </c>
      <c r="F82" s="220">
        <f>Statement!K208</f>
        <v>0</v>
      </c>
      <c r="G82" s="220">
        <f>Statement!L208</f>
        <v>0</v>
      </c>
      <c r="H82" s="220">
        <f>Statement!M208</f>
        <v>100</v>
      </c>
      <c r="I82" s="220">
        <f>Statement!N208</f>
        <v>-12.12121212121211</v>
      </c>
      <c r="J82" s="220">
        <f>Statement!O208</f>
        <v>360.60606060606057</v>
      </c>
      <c r="K82" s="220">
        <f>Statement!P208</f>
        <v>387.87878787878782</v>
      </c>
      <c r="L82" s="220">
        <f>Statement!Q208</f>
        <v>1033.3333333333335</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C9119-3B3B-094C-BA34-9489CF595CBC}">
  <dimension ref="B55:J68"/>
  <sheetViews>
    <sheetView zoomScale="161" workbookViewId="0">
      <selection activeCell="B64" sqref="B64"/>
    </sheetView>
  </sheetViews>
  <sheetFormatPr baseColWidth="10" defaultRowHeight="16" x14ac:dyDescent="0.2"/>
  <cols>
    <col min="1" max="1" width="2.6640625" style="1" customWidth="1"/>
    <col min="2" max="2" width="20" style="1" customWidth="1"/>
    <col min="3" max="16384" width="10.83203125" style="1"/>
  </cols>
  <sheetData>
    <row r="55" spans="2:10" x14ac:dyDescent="0.2">
      <c r="B55" s="10"/>
      <c r="C55" s="10" t="str">
        <f>Statement!T2</f>
        <v>30.09.2024</v>
      </c>
      <c r="D55" s="10" t="str">
        <f>Statement!U2</f>
        <v>31.12.2024</v>
      </c>
      <c r="E55" s="10" t="str">
        <f>Statement!V2</f>
        <v>31.03.2025</v>
      </c>
      <c r="F55" s="10" t="str">
        <f>Statement!W2</f>
        <v>30.06.2025</v>
      </c>
      <c r="G55" s="10" t="str">
        <f>Statement!X2</f>
        <v>30.09.2025</v>
      </c>
      <c r="H55" s="10" t="str">
        <f>Statement!Y2</f>
        <v>31.12.2025</v>
      </c>
      <c r="I55" s="10" t="str">
        <f>Statement!Z2</f>
        <v>31.03.2026</v>
      </c>
      <c r="J55" s="10" t="str">
        <f>Statement!AA2</f>
        <v>30.06.2026</v>
      </c>
    </row>
    <row r="56" spans="2:10" x14ac:dyDescent="0.2">
      <c r="B56" s="10"/>
      <c r="C56" s="10" t="str">
        <f>Statement!T3</f>
        <v>Q3 2024</v>
      </c>
      <c r="D56" s="10" t="str">
        <f>Statement!U3</f>
        <v>Q4 2024</v>
      </c>
      <c r="E56" s="10" t="str">
        <f>Statement!V3</f>
        <v>Q1 2025</v>
      </c>
      <c r="F56" s="10" t="str">
        <f>Statement!W3</f>
        <v>Q2 2025</v>
      </c>
      <c r="G56" s="10" t="str">
        <f>Statement!X3</f>
        <v>Q3 2025</v>
      </c>
      <c r="H56" s="10" t="str">
        <f>Statement!Y3</f>
        <v>Q4 2025</v>
      </c>
      <c r="I56" s="10" t="str">
        <f>Statement!Z3</f>
        <v>Q1 2026</v>
      </c>
      <c r="J56" s="10" t="str">
        <f>Statement!AA3</f>
        <v>Q2 2026</v>
      </c>
    </row>
    <row r="57" spans="2:10" x14ac:dyDescent="0.2">
      <c r="B57" s="20" t="s">
        <v>19</v>
      </c>
      <c r="C57" s="64">
        <f>Statement!T5</f>
        <v>2074</v>
      </c>
      <c r="D57" s="64">
        <f>Statement!U5</f>
        <v>2346</v>
      </c>
      <c r="E57" s="64">
        <f>Statement!V5</f>
        <v>2036</v>
      </c>
      <c r="F57" s="64">
        <f>Statement!W5</f>
        <v>2638</v>
      </c>
      <c r="G57" s="64">
        <f>Statement!X5</f>
        <v>2676</v>
      </c>
      <c r="H57" s="64">
        <f>Statement!Y5</f>
        <v>2880</v>
      </c>
      <c r="I57" s="64">
        <f>Statement!Z5</f>
        <v>2650</v>
      </c>
      <c r="J57" s="64">
        <f>Statement!AA5</f>
        <v>3274</v>
      </c>
    </row>
    <row r="58" spans="2:10" x14ac:dyDescent="0.2">
      <c r="B58" s="20" t="s">
        <v>23</v>
      </c>
      <c r="C58" s="64">
        <f>Statement!T11</f>
        <v>372</v>
      </c>
      <c r="D58" s="64">
        <f>Statement!U11</f>
        <v>457</v>
      </c>
      <c r="E58" s="64">
        <f>Statement!V11</f>
        <v>291</v>
      </c>
      <c r="F58" s="64">
        <f>Statement!W11</f>
        <v>442</v>
      </c>
      <c r="G58" s="64">
        <f>Statement!X11</f>
        <v>517</v>
      </c>
      <c r="H58" s="64">
        <f>Statement!Y11</f>
        <v>580</v>
      </c>
      <c r="I58" s="64">
        <f>Statement!Z11</f>
        <v>440</v>
      </c>
      <c r="J58" s="64">
        <f>Statement!AA11</f>
        <v>634</v>
      </c>
    </row>
    <row r="59" spans="2:10" x14ac:dyDescent="0.2">
      <c r="B59" s="20" t="s">
        <v>28</v>
      </c>
      <c r="C59" s="64">
        <f>Statement!T17</f>
        <v>177</v>
      </c>
      <c r="D59" s="64">
        <f>Statement!U17</f>
        <v>147</v>
      </c>
      <c r="E59" s="64">
        <f>Statement!V17</f>
        <v>165</v>
      </c>
      <c r="F59" s="64">
        <f>Statement!W17</f>
        <v>324</v>
      </c>
      <c r="G59" s="64">
        <f>Statement!X17</f>
        <v>399</v>
      </c>
      <c r="H59" s="64">
        <f>Statement!Y17</f>
        <v>446</v>
      </c>
      <c r="I59" s="64">
        <f>Statement!Z17</f>
        <v>390</v>
      </c>
      <c r="J59" s="64">
        <f>Statement!AA17</f>
        <v>498</v>
      </c>
    </row>
    <row r="60" spans="2:10" x14ac:dyDescent="0.2">
      <c r="B60" s="20" t="s">
        <v>75</v>
      </c>
      <c r="C60" s="58">
        <f>Statement!T99</f>
        <v>0.36499517839922857</v>
      </c>
      <c r="D60" s="58">
        <f>Statement!U99</f>
        <v>0.37084398976982097</v>
      </c>
      <c r="E60" s="58">
        <f>Statement!V99</f>
        <v>0.33693516699410608</v>
      </c>
      <c r="F60" s="58">
        <f>Statement!W99</f>
        <v>0.33965125094768767</v>
      </c>
      <c r="G60" s="58">
        <f>Statement!X99</f>
        <v>0.37780269058295962</v>
      </c>
      <c r="H60" s="58">
        <f>Statement!Y99</f>
        <v>0.38923611111111112</v>
      </c>
      <c r="I60" s="58">
        <f>Statement!Z99</f>
        <v>0.37735849056603776</v>
      </c>
      <c r="J60" s="58">
        <f>Statement!AA99</f>
        <v>0.37721441661576055</v>
      </c>
    </row>
    <row r="61" spans="2:10" x14ac:dyDescent="0.2">
      <c r="B61" s="20" t="s">
        <v>76</v>
      </c>
      <c r="C61" s="58">
        <f>Statement!T100</f>
        <v>0.17936354869816779</v>
      </c>
      <c r="D61" s="58">
        <f>Statement!U100</f>
        <v>0.1947996589940324</v>
      </c>
      <c r="E61" s="58">
        <f>Statement!V100</f>
        <v>0.14292730844793713</v>
      </c>
      <c r="F61" s="58">
        <f>Statement!W100</f>
        <v>0.16755117513267628</v>
      </c>
      <c r="G61" s="58">
        <f>Statement!X100</f>
        <v>0.19319880418535126</v>
      </c>
      <c r="H61" s="58">
        <f>Statement!Y100</f>
        <v>0.2013888888888889</v>
      </c>
      <c r="I61" s="58">
        <f>Statement!Z100</f>
        <v>0.16603773584905659</v>
      </c>
      <c r="J61" s="58">
        <f>Statement!AA100</f>
        <v>0.19364691508857668</v>
      </c>
    </row>
    <row r="62" spans="2:10" x14ac:dyDescent="0.2">
      <c r="B62" s="20" t="s">
        <v>77</v>
      </c>
      <c r="C62" s="58">
        <f>Statement!T101</f>
        <v>8.5342333654773381E-2</v>
      </c>
      <c r="D62" s="58">
        <f>Statement!U101</f>
        <v>6.2659846547314574E-2</v>
      </c>
      <c r="E62" s="58">
        <f>Statement!V101</f>
        <v>8.1041257367387029E-2</v>
      </c>
      <c r="F62" s="58">
        <f>Statement!W101</f>
        <v>0.12282031842304776</v>
      </c>
      <c r="G62" s="58">
        <f>Statement!X101</f>
        <v>0.1491031390134529</v>
      </c>
      <c r="H62" s="58">
        <f>Statement!Y101</f>
        <v>0.15486111111111112</v>
      </c>
      <c r="I62" s="58">
        <f>Statement!Z101</f>
        <v>0.14716981132075471</v>
      </c>
      <c r="J62" s="58">
        <f>Statement!AA101</f>
        <v>0.15210751374465487</v>
      </c>
    </row>
    <row r="63" spans="2:10" x14ac:dyDescent="0.2">
      <c r="B63" s="20" t="str">
        <f>"Revenue "&amp;Statement!B181</f>
        <v>Revenue Americas</v>
      </c>
      <c r="C63" s="64">
        <f>Statement!T181</f>
        <v>1199</v>
      </c>
      <c r="D63" s="64">
        <f>Statement!U181</f>
        <v>1256</v>
      </c>
      <c r="E63" s="64">
        <f>Statement!V181</f>
        <v>1185</v>
      </c>
      <c r="F63" s="64">
        <f>Statement!W181</f>
        <v>1602</v>
      </c>
      <c r="G63" s="64">
        <f>Statement!X181</f>
        <v>1712</v>
      </c>
      <c r="H63" s="64">
        <f>Statement!Y181</f>
        <v>1886</v>
      </c>
      <c r="I63" s="64">
        <f>Statement!Z181</f>
        <v>1814</v>
      </c>
      <c r="J63" s="64">
        <f>Statement!AA181</f>
        <v>2071</v>
      </c>
    </row>
    <row r="64" spans="2:10" x14ac:dyDescent="0.2">
      <c r="B64" s="20" t="str">
        <f>"Revenue "&amp;Statement!B182</f>
        <v>Revenue Asia Pacific</v>
      </c>
      <c r="C64" s="64">
        <f>Statement!T182</f>
        <v>432</v>
      </c>
      <c r="D64" s="64">
        <f>Statement!U182</f>
        <v>544</v>
      </c>
      <c r="E64" s="64">
        <f>Statement!V182</f>
        <v>447</v>
      </c>
      <c r="F64" s="64">
        <f>Statement!W182</f>
        <v>560</v>
      </c>
      <c r="G64" s="64">
        <f>Statement!X182</f>
        <v>520</v>
      </c>
      <c r="H64" s="64">
        <f>Statement!Y182</f>
        <v>492</v>
      </c>
      <c r="I64" s="64">
        <f>Statement!Z182</f>
        <v>514</v>
      </c>
      <c r="J64" s="64">
        <f>Statement!AA182</f>
        <v>720</v>
      </c>
    </row>
    <row r="65" spans="2:10" x14ac:dyDescent="0.2">
      <c r="B65" s="20" t="str">
        <f>"Revenue "&amp;Statement!B183</f>
        <v>Revenue Europe Middle East Africa</v>
      </c>
      <c r="C65" s="64">
        <f>Statement!T183</f>
        <v>443</v>
      </c>
      <c r="D65" s="64">
        <f>Statement!U183</f>
        <v>547</v>
      </c>
      <c r="E65" s="64">
        <f>Statement!V183</f>
        <v>404</v>
      </c>
      <c r="F65" s="64">
        <f>Statement!W183</f>
        <v>476</v>
      </c>
      <c r="G65" s="64">
        <f>Statement!X183</f>
        <v>444</v>
      </c>
      <c r="H65" s="64">
        <f>Statement!Y183</f>
        <v>502</v>
      </c>
      <c r="I65" s="64">
        <f>Statement!Z183</f>
        <v>321</v>
      </c>
      <c r="J65" s="64">
        <f>Statement!AA183</f>
        <v>484</v>
      </c>
    </row>
    <row r="66" spans="2:10" x14ac:dyDescent="0.2">
      <c r="B66" s="20" t="str">
        <f>"Revenue "&amp;Statement!B185</f>
        <v>Revenue Products</v>
      </c>
      <c r="C66" s="64">
        <f>Statement!T185</f>
        <v>1616</v>
      </c>
      <c r="D66" s="64">
        <f>Statement!U185</f>
        <v>1875</v>
      </c>
      <c r="E66" s="64">
        <f>Statement!V185</f>
        <v>1611</v>
      </c>
      <c r="F66" s="64">
        <f>Statement!W185</f>
        <v>2119</v>
      </c>
      <c r="G66" s="64">
        <f>Statement!X185</f>
        <v>2168</v>
      </c>
      <c r="H66" s="64">
        <f>Statement!Y185</f>
        <v>2309</v>
      </c>
      <c r="I66" s="64">
        <f>Statement!Z185</f>
        <v>2091</v>
      </c>
      <c r="J66" s="64">
        <f>Statement!AA185</f>
        <v>2606</v>
      </c>
    </row>
    <row r="67" spans="2:10" x14ac:dyDescent="0.2">
      <c r="B67" s="20" t="str">
        <f>"Revenue "&amp;Statement!B186</f>
        <v>Revenue Services</v>
      </c>
      <c r="C67" s="64">
        <f>Statement!T186</f>
        <v>458</v>
      </c>
      <c r="D67" s="64">
        <f>Statement!U186</f>
        <v>472</v>
      </c>
      <c r="E67" s="64">
        <f>Statement!V186</f>
        <v>425</v>
      </c>
      <c r="F67" s="64">
        <f>Statement!W186</f>
        <v>519</v>
      </c>
      <c r="G67" s="64">
        <f>Statement!X186</f>
        <v>508</v>
      </c>
      <c r="H67" s="64">
        <f>Statement!Y186</f>
        <v>571</v>
      </c>
      <c r="I67" s="64">
        <f>Statement!Z186</f>
        <v>558</v>
      </c>
      <c r="J67" s="64">
        <f>Statement!AA186</f>
        <v>668</v>
      </c>
    </row>
    <row r="68" spans="2:10" x14ac:dyDescent="0.2">
      <c r="B68" s="20" t="s">
        <v>254</v>
      </c>
      <c r="C68" s="64">
        <f>Statement!T151</f>
        <v>328</v>
      </c>
      <c r="D68" s="64">
        <f>Statement!U151</f>
        <v>352</v>
      </c>
      <c r="E68" s="64">
        <f>Statement!V151</f>
        <v>253</v>
      </c>
      <c r="F68" s="64">
        <f>Statement!W151</f>
        <v>264</v>
      </c>
      <c r="G68" s="64">
        <f>Statement!X151</f>
        <v>448</v>
      </c>
      <c r="H68" s="64">
        <f>Statement!Y151</f>
        <v>903</v>
      </c>
      <c r="I68" s="64">
        <f>Statement!Z151</f>
        <v>635</v>
      </c>
      <c r="J68" s="64">
        <f>Statement!AA151</f>
        <v>912</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4B610-4F16-C34E-B8D9-992F7812B5AD}">
  <sheetPr>
    <tabColor theme="6" tint="0.59999389629810485"/>
  </sheetPr>
  <dimension ref="B5:H13"/>
  <sheetViews>
    <sheetView workbookViewId="0">
      <selection activeCell="B13" sqref="B13"/>
    </sheetView>
  </sheetViews>
  <sheetFormatPr baseColWidth="10" defaultRowHeight="16" x14ac:dyDescent="0.2"/>
  <cols>
    <col min="1" max="7" width="10.83203125" style="1"/>
    <col min="8" max="8" width="18" style="1" customWidth="1"/>
    <col min="9" max="16384" width="10.83203125" style="1"/>
  </cols>
  <sheetData>
    <row r="5" spans="2:8" x14ac:dyDescent="0.2">
      <c r="H5" s="132" t="s">
        <v>408</v>
      </c>
    </row>
    <row r="6" spans="2:8" x14ac:dyDescent="0.2">
      <c r="H6" s="241" t="s">
        <v>413</v>
      </c>
    </row>
    <row r="7" spans="2:8" x14ac:dyDescent="0.2">
      <c r="H7" s="241" t="s">
        <v>409</v>
      </c>
    </row>
    <row r="8" spans="2:8" x14ac:dyDescent="0.2">
      <c r="H8" s="241" t="s">
        <v>410</v>
      </c>
    </row>
    <row r="9" spans="2:8" x14ac:dyDescent="0.2">
      <c r="H9" s="241" t="s">
        <v>411</v>
      </c>
    </row>
    <row r="10" spans="2:8" x14ac:dyDescent="0.2">
      <c r="H10" s="242" t="s">
        <v>412</v>
      </c>
    </row>
    <row r="13" spans="2:8" s="4" customFormat="1" ht="49" x14ac:dyDescent="0.2">
      <c r="B13" s="3" t="s">
        <v>107</v>
      </c>
    </row>
  </sheetData>
  <hyperlinks>
    <hyperlink ref="H6" location="Overview!B3" display="Overview'!B3" xr:uid="{2D767D2C-0293-444E-88C1-B0BF50BCE6B4}"/>
    <hyperlink ref="H8" location="'Analysis -&gt;'!B13" display="'Analysis -&gt;'!B13" xr:uid="{5B8BD37B-D046-A741-A995-03A8C14F1E03}"/>
    <hyperlink ref="H9" location="'Forecast -&gt;'!B13" display="'Forecast -&gt;'!B13" xr:uid="{720D1750-C435-3B46-A626-43D1D89EFE35}"/>
    <hyperlink ref="H10" location="'Valuation -&gt;'!B13" display="'Valuation -&gt;'!B13" xr:uid="{54771850-A26D-7747-8CD6-6DB1335E38A0}"/>
    <hyperlink ref="H7" location="'Financials -&gt;'!B13" display="'Financials -&gt;'!B13" xr:uid="{4577DAA1-E8D7-1C49-BCE8-9481AD6714C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282D1-ADA2-D843-8696-3FC058E17FA6}">
  <dimension ref="A1:AE16"/>
  <sheetViews>
    <sheetView zoomScale="184" zoomScaleNormal="75" workbookViewId="0">
      <selection activeCell="C7" sqref="C7"/>
    </sheetView>
  </sheetViews>
  <sheetFormatPr baseColWidth="10" defaultRowHeight="16" x14ac:dyDescent="0.2"/>
  <cols>
    <col min="1" max="1" width="2" style="83" customWidth="1"/>
    <col min="2" max="2" width="29"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36.83203125" style="1" customWidth="1"/>
    <col min="18" max="18" width="27.6640625" style="1" customWidth="1"/>
    <col min="19" max="29" width="10.83203125" style="1"/>
    <col min="30" max="30" width="2" style="1" customWidth="1"/>
    <col min="31" max="31" width="12.33203125" style="1" customWidth="1"/>
    <col min="32" max="16384" width="10.83203125" style="1"/>
  </cols>
  <sheetData>
    <row r="1" spans="1:31" s="83" customFormat="1" ht="18" customHeight="1" x14ac:dyDescent="0.2">
      <c r="A1" s="4"/>
      <c r="B1" s="82" t="s">
        <v>108</v>
      </c>
      <c r="O1" s="84"/>
    </row>
    <row r="2" spans="1:31" x14ac:dyDescent="0.2">
      <c r="A2" s="4"/>
      <c r="C2" s="249" t="s">
        <v>109</v>
      </c>
      <c r="D2" s="249"/>
      <c r="E2" s="249"/>
      <c r="F2" s="249"/>
      <c r="G2" s="258"/>
      <c r="H2" s="259" t="s">
        <v>110</v>
      </c>
      <c r="I2" s="249"/>
      <c r="J2" s="249"/>
      <c r="K2" s="249"/>
      <c r="L2" s="249"/>
      <c r="O2" s="5"/>
      <c r="S2" s="249" t="s">
        <v>109</v>
      </c>
      <c r="T2" s="249"/>
      <c r="U2" s="249"/>
      <c r="V2" s="249"/>
      <c r="W2" s="249"/>
      <c r="X2" s="249"/>
      <c r="Y2" s="249"/>
      <c r="Z2" s="249"/>
      <c r="AA2" s="249" t="s">
        <v>110</v>
      </c>
      <c r="AB2" s="249"/>
      <c r="AC2" s="249"/>
      <c r="AE2" s="85" t="s">
        <v>111</v>
      </c>
    </row>
    <row r="3" spans="1:31" ht="10" customHeight="1" x14ac:dyDescent="0.2">
      <c r="O3" s="5"/>
    </row>
    <row r="4" spans="1:31" ht="16" customHeight="1" x14ac:dyDescent="0.2">
      <c r="A4" s="86"/>
      <c r="B4" s="60"/>
      <c r="C4" s="255" t="s">
        <v>112</v>
      </c>
      <c r="D4" s="255"/>
      <c r="E4" s="255"/>
      <c r="F4" s="255"/>
      <c r="G4" s="255"/>
      <c r="H4" s="255"/>
      <c r="I4" s="255"/>
      <c r="J4" s="255"/>
      <c r="K4" s="255"/>
      <c r="L4" s="255"/>
      <c r="O4" s="5"/>
      <c r="S4" s="256" t="s">
        <v>112</v>
      </c>
      <c r="T4" s="257"/>
      <c r="U4" s="257"/>
      <c r="V4" s="257"/>
      <c r="W4" s="257"/>
      <c r="X4" s="257"/>
      <c r="Y4" s="257"/>
      <c r="Z4" s="257"/>
      <c r="AA4" s="257"/>
      <c r="AB4" s="257"/>
      <c r="AC4" s="257"/>
      <c r="AE4" s="87"/>
    </row>
    <row r="5" spans="1:31" x14ac:dyDescent="0.2">
      <c r="B5" s="16" t="s">
        <v>113</v>
      </c>
      <c r="C5" s="12">
        <f>Statement!M3</f>
        <v>2021</v>
      </c>
      <c r="D5" s="12">
        <f>Statement!N3</f>
        <v>2022</v>
      </c>
      <c r="E5" s="12">
        <f>Statement!O3</f>
        <v>2023</v>
      </c>
      <c r="F5" s="12">
        <f>Statement!P3</f>
        <v>2024</v>
      </c>
      <c r="G5" s="12">
        <f>Statement!Q3</f>
        <v>2025</v>
      </c>
      <c r="H5" s="12">
        <f>G5+1</f>
        <v>2026</v>
      </c>
      <c r="I5" s="12">
        <f t="shared" ref="I5:L5" si="0">H5+1</f>
        <v>2027</v>
      </c>
      <c r="J5" s="12">
        <f t="shared" si="0"/>
        <v>2028</v>
      </c>
      <c r="K5" s="12">
        <f t="shared" si="0"/>
        <v>2029</v>
      </c>
      <c r="L5" s="12">
        <f t="shared" si="0"/>
        <v>2030</v>
      </c>
      <c r="O5" s="5"/>
      <c r="R5" s="16" t="str">
        <f>B5</f>
        <v>Revenues (thousand)</v>
      </c>
      <c r="S5" s="12" t="str">
        <f>Statement!T3</f>
        <v>Q3 2024</v>
      </c>
      <c r="T5" s="12" t="str">
        <f>Statement!U3</f>
        <v>Q4 2024</v>
      </c>
      <c r="U5" s="12" t="str">
        <f>Statement!V3</f>
        <v>Q1 2025</v>
      </c>
      <c r="V5" s="12" t="str">
        <f>Statement!W3</f>
        <v>Q2 2025</v>
      </c>
      <c r="W5" s="12" t="str">
        <f>Statement!X3</f>
        <v>Q3 2025</v>
      </c>
      <c r="X5" s="12" t="str">
        <f>Statement!Y3</f>
        <v>Q4 2025</v>
      </c>
      <c r="Y5" s="12" t="str">
        <f>Statement!Z3</f>
        <v>Q1 2026</v>
      </c>
      <c r="Z5" s="12" t="str">
        <f>Statement!AA3</f>
        <v>Q2 2026</v>
      </c>
      <c r="AA5" s="12" t="s">
        <v>114</v>
      </c>
      <c r="AB5" s="12" t="s">
        <v>115</v>
      </c>
      <c r="AC5" s="12" t="s">
        <v>116</v>
      </c>
      <c r="AE5" s="8" t="s">
        <v>114</v>
      </c>
    </row>
    <row r="6" spans="1:31" x14ac:dyDescent="0.2">
      <c r="B6" s="1" t="str">
        <f>Statement!B185</f>
        <v>Products</v>
      </c>
      <c r="C6" s="88">
        <f>Statement!M185</f>
        <v>3559</v>
      </c>
      <c r="D6" s="88">
        <f>Statement!N185</f>
        <v>4211</v>
      </c>
      <c r="E6" s="88">
        <f>Statement!O185</f>
        <v>5271</v>
      </c>
      <c r="F6" s="88">
        <f>Statement!P185</f>
        <v>6245</v>
      </c>
      <c r="G6" s="89">
        <f>Statement!Q185</f>
        <v>8207</v>
      </c>
      <c r="H6" s="64">
        <f t="shared" ref="H6:L7" si="1">G6*(1+H12)</f>
        <v>11325.66</v>
      </c>
      <c r="I6" s="64">
        <f t="shared" si="1"/>
        <v>15402.897599999998</v>
      </c>
      <c r="J6" s="64">
        <f t="shared" si="1"/>
        <v>20023.766879999999</v>
      </c>
      <c r="K6" s="64">
        <f t="shared" si="1"/>
        <v>25029.708599999998</v>
      </c>
      <c r="L6" s="64">
        <f t="shared" si="1"/>
        <v>28784.164889999996</v>
      </c>
      <c r="N6" s="90" t="s">
        <v>390</v>
      </c>
      <c r="O6" s="5"/>
      <c r="Q6" s="90" t="s">
        <v>390</v>
      </c>
      <c r="R6" s="1" t="str">
        <f>B6</f>
        <v>Products</v>
      </c>
      <c r="S6" s="88">
        <f>Statement!T185</f>
        <v>1616</v>
      </c>
      <c r="T6" s="88">
        <f>Statement!U185</f>
        <v>1875</v>
      </c>
      <c r="U6" s="88">
        <f>Statement!V185</f>
        <v>1611</v>
      </c>
      <c r="V6" s="88">
        <f>Statement!W185</f>
        <v>2119</v>
      </c>
      <c r="W6" s="88">
        <f>Statement!X185</f>
        <v>2168</v>
      </c>
      <c r="X6" s="88">
        <f>Statement!Y185</f>
        <v>2309</v>
      </c>
      <c r="Y6" s="88">
        <f>Statement!Z185</f>
        <v>2091</v>
      </c>
      <c r="Z6" s="89">
        <f>Statement!AA185</f>
        <v>2606</v>
      </c>
      <c r="AA6" s="64">
        <f>Z6*(1+AA12)</f>
        <v>2996.8999999999996</v>
      </c>
      <c r="AB6" s="64"/>
      <c r="AC6" s="64"/>
      <c r="AE6" s="64">
        <f>SUM(X6:AA6)</f>
        <v>10002.9</v>
      </c>
    </row>
    <row r="7" spans="1:31" x14ac:dyDescent="0.2">
      <c r="B7" s="1" t="str">
        <f>Statement!B186</f>
        <v>Services</v>
      </c>
      <c r="C7" s="88">
        <f>Statement!M186</f>
        <v>1439</v>
      </c>
      <c r="D7" s="88">
        <f>Statement!N186</f>
        <v>1481</v>
      </c>
      <c r="E7" s="88">
        <f>Statement!O186</f>
        <v>1592</v>
      </c>
      <c r="F7" s="88">
        <f>Statement!P186</f>
        <v>1767</v>
      </c>
      <c r="G7" s="89">
        <f>Statement!Q186</f>
        <v>2023</v>
      </c>
      <c r="H7" s="64">
        <f t="shared" si="1"/>
        <v>2447.83</v>
      </c>
      <c r="I7" s="64">
        <f t="shared" si="1"/>
        <v>2961.8742999999999</v>
      </c>
      <c r="J7" s="64">
        <f t="shared" si="1"/>
        <v>3406.1554449999999</v>
      </c>
      <c r="K7" s="64">
        <f t="shared" si="1"/>
        <v>3814.8940984000001</v>
      </c>
      <c r="L7" s="64">
        <f t="shared" si="1"/>
        <v>4120.0856262719999</v>
      </c>
      <c r="N7" s="90" t="s">
        <v>354</v>
      </c>
      <c r="O7" s="5"/>
      <c r="Q7" s="90" t="s">
        <v>354</v>
      </c>
      <c r="R7" s="1" t="str">
        <f t="shared" ref="R7" si="2">B7</f>
        <v>Services</v>
      </c>
      <c r="S7" s="88">
        <f>Statement!T186</f>
        <v>458</v>
      </c>
      <c r="T7" s="88">
        <f>Statement!U186</f>
        <v>472</v>
      </c>
      <c r="U7" s="88">
        <f>Statement!V186</f>
        <v>425</v>
      </c>
      <c r="V7" s="88">
        <f>Statement!W186</f>
        <v>519</v>
      </c>
      <c r="W7" s="88">
        <f>Statement!X186</f>
        <v>508</v>
      </c>
      <c r="X7" s="88">
        <f>Statement!Y186</f>
        <v>571</v>
      </c>
      <c r="Y7" s="88">
        <f>Statement!Z186</f>
        <v>558</v>
      </c>
      <c r="Z7" s="89">
        <f>Statement!AA186</f>
        <v>668</v>
      </c>
      <c r="AA7" s="64">
        <f>Z7*(1+AA13)</f>
        <v>734.80000000000007</v>
      </c>
      <c r="AB7" s="64"/>
      <c r="AC7" s="64"/>
      <c r="AE7" s="64">
        <f t="shared" ref="AE7" si="3">SUM(X7:AA7)</f>
        <v>2531.8000000000002</v>
      </c>
    </row>
    <row r="8" spans="1:31" x14ac:dyDescent="0.2">
      <c r="B8" s="16" t="s">
        <v>117</v>
      </c>
      <c r="C8" s="92">
        <f>Statement!M5</f>
        <v>4998</v>
      </c>
      <c r="D8" s="92">
        <f>Statement!N5</f>
        <v>5692</v>
      </c>
      <c r="E8" s="92">
        <f>Statement!O5</f>
        <v>6863</v>
      </c>
      <c r="F8" s="92">
        <f>Statement!P5</f>
        <v>8012</v>
      </c>
      <c r="G8" s="93">
        <f>Statement!Q5</f>
        <v>10230</v>
      </c>
      <c r="H8" s="94">
        <f>SUM(H6:H7)</f>
        <v>13773.49</v>
      </c>
      <c r="I8" s="94">
        <f>SUM(I6:I7)</f>
        <v>18364.7719</v>
      </c>
      <c r="J8" s="94">
        <f>SUM(J6:J7)</f>
        <v>23429.922325</v>
      </c>
      <c r="K8" s="94">
        <f>SUM(K6:K7)</f>
        <v>28844.602698399998</v>
      </c>
      <c r="L8" s="94">
        <f>SUM(L6:L7)</f>
        <v>32904.250516271997</v>
      </c>
      <c r="O8" s="5"/>
      <c r="R8" s="16" t="s">
        <v>117</v>
      </c>
      <c r="S8" s="92">
        <f>Statement!T5</f>
        <v>2074</v>
      </c>
      <c r="T8" s="92">
        <f>Statement!U5</f>
        <v>2346</v>
      </c>
      <c r="U8" s="92">
        <f>Statement!V5</f>
        <v>2036</v>
      </c>
      <c r="V8" s="92">
        <f>Statement!W5</f>
        <v>2638</v>
      </c>
      <c r="W8" s="92">
        <f>Statement!X5</f>
        <v>2676</v>
      </c>
      <c r="X8" s="92">
        <f>Statement!Y5</f>
        <v>2880</v>
      </c>
      <c r="Y8" s="92">
        <f>Statement!Z5</f>
        <v>2650</v>
      </c>
      <c r="Z8" s="93">
        <f>Statement!AA5</f>
        <v>3274</v>
      </c>
      <c r="AA8" s="94">
        <f>SUM(AA6:AA7)</f>
        <v>3731.7</v>
      </c>
      <c r="AB8" s="94"/>
      <c r="AC8" s="94"/>
      <c r="AE8" s="94">
        <f>SUM(X8:AA8)</f>
        <v>12535.7</v>
      </c>
    </row>
    <row r="9" spans="1:31" x14ac:dyDescent="0.2">
      <c r="O9" s="5"/>
      <c r="Q9" s="91"/>
    </row>
    <row r="10" spans="1:31" x14ac:dyDescent="0.2">
      <c r="C10" s="255" t="s">
        <v>118</v>
      </c>
      <c r="D10" s="255"/>
      <c r="E10" s="255"/>
      <c r="F10" s="255"/>
      <c r="G10" s="255"/>
      <c r="H10" s="255"/>
      <c r="I10" s="255"/>
      <c r="J10" s="255"/>
      <c r="K10" s="255"/>
      <c r="L10" s="255"/>
      <c r="O10" s="5"/>
      <c r="Q10" s="91"/>
      <c r="S10" s="256" t="s">
        <v>118</v>
      </c>
      <c r="T10" s="257"/>
      <c r="U10" s="257"/>
      <c r="V10" s="257"/>
      <c r="W10" s="257"/>
      <c r="X10" s="257"/>
      <c r="Y10" s="257"/>
      <c r="Z10" s="257"/>
      <c r="AA10" s="257"/>
      <c r="AB10" s="257"/>
      <c r="AC10" s="257"/>
    </row>
    <row r="11" spans="1:31" x14ac:dyDescent="0.2">
      <c r="B11" s="16" t="s">
        <v>119</v>
      </c>
      <c r="C11" s="12">
        <f t="shared" ref="C11:L11" si="4">C5</f>
        <v>2021</v>
      </c>
      <c r="D11" s="12">
        <f t="shared" si="4"/>
        <v>2022</v>
      </c>
      <c r="E11" s="12">
        <f t="shared" si="4"/>
        <v>2023</v>
      </c>
      <c r="F11" s="12">
        <f t="shared" si="4"/>
        <v>2024</v>
      </c>
      <c r="G11" s="12">
        <f t="shared" si="4"/>
        <v>2025</v>
      </c>
      <c r="H11" s="12">
        <f t="shared" si="4"/>
        <v>2026</v>
      </c>
      <c r="I11" s="12">
        <f t="shared" si="4"/>
        <v>2027</v>
      </c>
      <c r="J11" s="12">
        <f t="shared" si="4"/>
        <v>2028</v>
      </c>
      <c r="K11" s="12">
        <f t="shared" si="4"/>
        <v>2029</v>
      </c>
      <c r="L11" s="12">
        <f t="shared" si="4"/>
        <v>2030</v>
      </c>
      <c r="O11" s="5"/>
      <c r="Q11" s="91"/>
      <c r="R11" s="16" t="s">
        <v>119</v>
      </c>
      <c r="S11" s="12" t="str">
        <f t="shared" ref="S11:AC11" si="5">S5</f>
        <v>Q3 2024</v>
      </c>
      <c r="T11" s="12" t="str">
        <f t="shared" si="5"/>
        <v>Q4 2024</v>
      </c>
      <c r="U11" s="12" t="str">
        <f t="shared" si="5"/>
        <v>Q1 2025</v>
      </c>
      <c r="V11" s="12" t="str">
        <f t="shared" si="5"/>
        <v>Q2 2025</v>
      </c>
      <c r="W11" s="12" t="str">
        <f t="shared" si="5"/>
        <v>Q3 2025</v>
      </c>
      <c r="X11" s="12" t="str">
        <f t="shared" si="5"/>
        <v>Q4 2025</v>
      </c>
      <c r="Y11" s="12" t="str">
        <f t="shared" si="5"/>
        <v>Q1 2026</v>
      </c>
      <c r="Z11" s="12" t="str">
        <f t="shared" si="5"/>
        <v>Q2 2026</v>
      </c>
      <c r="AA11" s="12" t="str">
        <f t="shared" si="5"/>
        <v>FQ1</v>
      </c>
      <c r="AB11" s="12" t="str">
        <f t="shared" si="5"/>
        <v>FQ2</v>
      </c>
      <c r="AC11" s="12" t="str">
        <f t="shared" si="5"/>
        <v>FQ3</v>
      </c>
    </row>
    <row r="12" spans="1:31" x14ac:dyDescent="0.2">
      <c r="B12" s="1" t="str">
        <f>B6</f>
        <v>Products</v>
      </c>
      <c r="C12" s="47"/>
      <c r="D12" s="95">
        <f t="shared" ref="D12:G13" si="6">D6/C6-1</f>
        <v>0.18319752739533568</v>
      </c>
      <c r="E12" s="95">
        <f t="shared" si="6"/>
        <v>0.25172168131085249</v>
      </c>
      <c r="F12" s="95">
        <f t="shared" si="6"/>
        <v>0.1847846708404477</v>
      </c>
      <c r="G12" s="96">
        <f t="shared" si="6"/>
        <v>0.31417133706965572</v>
      </c>
      <c r="H12" s="97">
        <v>0.38</v>
      </c>
      <c r="I12" s="97">
        <v>0.36</v>
      </c>
      <c r="J12" s="97">
        <v>0.3</v>
      </c>
      <c r="K12" s="97">
        <v>0.25</v>
      </c>
      <c r="L12" s="97">
        <v>0.15</v>
      </c>
      <c r="O12" s="5"/>
      <c r="Q12" s="91"/>
      <c r="R12" s="1" t="str">
        <f>R6</f>
        <v>Products</v>
      </c>
      <c r="S12" s="47"/>
      <c r="T12" s="95">
        <f t="shared" ref="T12:Z13" si="7">T6/S6-1</f>
        <v>0.16027227722772275</v>
      </c>
      <c r="U12" s="95">
        <f t="shared" si="7"/>
        <v>-0.14080000000000004</v>
      </c>
      <c r="V12" s="95">
        <f t="shared" si="7"/>
        <v>0.31533209186840461</v>
      </c>
      <c r="W12" s="95">
        <f t="shared" si="7"/>
        <v>2.3124115148654978E-2</v>
      </c>
      <c r="X12" s="95">
        <f t="shared" si="7"/>
        <v>6.503690036900367E-2</v>
      </c>
      <c r="Y12" s="95">
        <f t="shared" si="7"/>
        <v>-9.4413165872672122E-2</v>
      </c>
      <c r="Z12" s="96">
        <f t="shared" si="7"/>
        <v>0.24629363940698235</v>
      </c>
      <c r="AA12" s="97">
        <v>0.15</v>
      </c>
      <c r="AB12" s="95"/>
      <c r="AC12" s="95"/>
    </row>
    <row r="13" spans="1:31" x14ac:dyDescent="0.2">
      <c r="B13" s="1" t="str">
        <f>B7</f>
        <v>Services</v>
      </c>
      <c r="C13" s="47"/>
      <c r="D13" s="95">
        <f t="shared" si="6"/>
        <v>2.918693537178596E-2</v>
      </c>
      <c r="E13" s="95">
        <f t="shared" si="6"/>
        <v>7.4949358541525957E-2</v>
      </c>
      <c r="F13" s="95">
        <f t="shared" si="6"/>
        <v>0.10992462311557794</v>
      </c>
      <c r="G13" s="96">
        <f t="shared" si="6"/>
        <v>0.14487832484436902</v>
      </c>
      <c r="H13" s="97">
        <v>0.21</v>
      </c>
      <c r="I13" s="97">
        <v>0.21</v>
      </c>
      <c r="J13" s="97">
        <v>0.15</v>
      </c>
      <c r="K13" s="97">
        <v>0.12</v>
      </c>
      <c r="L13" s="97">
        <v>0.08</v>
      </c>
      <c r="O13" s="5"/>
      <c r="Q13" s="91"/>
      <c r="R13" s="1" t="str">
        <f>R7</f>
        <v>Services</v>
      </c>
      <c r="S13" s="47"/>
      <c r="T13" s="95">
        <f t="shared" si="7"/>
        <v>3.0567685589519611E-2</v>
      </c>
      <c r="U13" s="95">
        <f t="shared" si="7"/>
        <v>-9.9576271186440635E-2</v>
      </c>
      <c r="V13" s="95">
        <f t="shared" si="7"/>
        <v>0.22117647058823531</v>
      </c>
      <c r="W13" s="95">
        <f t="shared" si="7"/>
        <v>-2.1194605009633882E-2</v>
      </c>
      <c r="X13" s="95">
        <f t="shared" si="7"/>
        <v>0.12401574803149606</v>
      </c>
      <c r="Y13" s="95">
        <f t="shared" si="7"/>
        <v>-2.2767075306479811E-2</v>
      </c>
      <c r="Z13" s="96">
        <f t="shared" si="7"/>
        <v>0.19713261648745517</v>
      </c>
      <c r="AA13" s="97">
        <v>0.1</v>
      </c>
      <c r="AB13" s="95"/>
      <c r="AC13" s="95"/>
    </row>
    <row r="14" spans="1:31" x14ac:dyDescent="0.2">
      <c r="B14" s="16" t="str">
        <f>B8</f>
        <v>Total</v>
      </c>
      <c r="C14" s="47"/>
      <c r="D14" s="103">
        <f t="shared" ref="D14:L14" si="8">D8/C8-1</f>
        <v>0.13885554221688667</v>
      </c>
      <c r="E14" s="103">
        <f t="shared" si="8"/>
        <v>0.20572733661278986</v>
      </c>
      <c r="F14" s="103">
        <f t="shared" si="8"/>
        <v>0.16741949584729721</v>
      </c>
      <c r="G14" s="104">
        <f t="shared" si="8"/>
        <v>0.27683474787818274</v>
      </c>
      <c r="H14" s="103">
        <f t="shared" si="8"/>
        <v>0.34638220918866081</v>
      </c>
      <c r="I14" s="103">
        <f t="shared" si="8"/>
        <v>0.33334194165748832</v>
      </c>
      <c r="J14" s="103">
        <f t="shared" si="8"/>
        <v>0.27580796824380927</v>
      </c>
      <c r="K14" s="103">
        <f t="shared" si="8"/>
        <v>0.23110108084406544</v>
      </c>
      <c r="L14" s="103">
        <f t="shared" si="8"/>
        <v>0.14074202582437323</v>
      </c>
      <c r="O14" s="5"/>
      <c r="Q14" s="91"/>
      <c r="R14" s="16" t="str">
        <f>R8</f>
        <v>Total</v>
      </c>
      <c r="S14" s="47"/>
      <c r="T14" s="103">
        <f t="shared" ref="T14:AA14" si="9">T8/S8-1</f>
        <v>0.13114754098360648</v>
      </c>
      <c r="U14" s="103">
        <f t="shared" si="9"/>
        <v>-0.1321398124467178</v>
      </c>
      <c r="V14" s="103">
        <f t="shared" si="9"/>
        <v>0.29567779960707274</v>
      </c>
      <c r="W14" s="103">
        <f t="shared" si="9"/>
        <v>1.4404852160727843E-2</v>
      </c>
      <c r="X14" s="103">
        <f t="shared" si="9"/>
        <v>7.623318385650224E-2</v>
      </c>
      <c r="Y14" s="103">
        <f t="shared" si="9"/>
        <v>-7.986111111111116E-2</v>
      </c>
      <c r="Z14" s="104">
        <f t="shared" si="9"/>
        <v>0.23547169811320745</v>
      </c>
      <c r="AA14" s="103">
        <f t="shared" si="9"/>
        <v>0.13979841172877205</v>
      </c>
      <c r="AB14" s="103"/>
      <c r="AC14" s="103"/>
    </row>
    <row r="15" spans="1:31" x14ac:dyDescent="0.2">
      <c r="O15" s="5"/>
      <c r="Q15" s="91"/>
    </row>
    <row r="16" spans="1:31" x14ac:dyDescent="0.2">
      <c r="O16" s="5"/>
      <c r="Q16" s="91"/>
    </row>
  </sheetData>
  <mergeCells count="8">
    <mergeCell ref="C10:L10"/>
    <mergeCell ref="S10:AC10"/>
    <mergeCell ref="C2:G2"/>
    <mergeCell ref="H2:L2"/>
    <mergeCell ref="S2:Z2"/>
    <mergeCell ref="AA2:AC2"/>
    <mergeCell ref="C4:L4"/>
    <mergeCell ref="S4:AC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DC400-6556-6848-BEEB-E2541EF30223}">
  <dimension ref="A1:AB26"/>
  <sheetViews>
    <sheetView topLeftCell="D5" zoomScale="178" zoomScaleNormal="100" workbookViewId="0">
      <selection activeCell="H23" sqref="H23"/>
    </sheetView>
  </sheetViews>
  <sheetFormatPr baseColWidth="10" defaultRowHeight="16" x14ac:dyDescent="0.2"/>
  <cols>
    <col min="1" max="1" width="2" style="83"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120</v>
      </c>
    </row>
    <row r="2" spans="1:28" x14ac:dyDescent="0.2">
      <c r="A2" s="4"/>
      <c r="C2" s="249" t="s">
        <v>109</v>
      </c>
      <c r="D2" s="249"/>
      <c r="E2" s="249"/>
      <c r="F2" s="249"/>
      <c r="G2" s="258"/>
      <c r="H2" s="259" t="s">
        <v>110</v>
      </c>
      <c r="I2" s="249"/>
      <c r="J2" s="249"/>
      <c r="K2" s="249"/>
      <c r="L2" s="249"/>
      <c r="P2" s="249" t="s">
        <v>109</v>
      </c>
      <c r="Q2" s="249"/>
      <c r="R2" s="249"/>
      <c r="S2" s="249"/>
      <c r="T2" s="249"/>
      <c r="U2" s="249"/>
      <c r="V2" s="249"/>
      <c r="W2" s="249"/>
      <c r="X2" s="249" t="s">
        <v>110</v>
      </c>
      <c r="Y2" s="249"/>
      <c r="Z2" s="249"/>
      <c r="AB2" s="85" t="s">
        <v>111</v>
      </c>
    </row>
    <row r="3" spans="1:28" ht="10" customHeight="1" x14ac:dyDescent="0.2"/>
    <row r="4" spans="1:28" ht="16" customHeight="1" x14ac:dyDescent="0.2">
      <c r="A4" s="86"/>
      <c r="B4" s="60"/>
      <c r="C4" s="255" t="s">
        <v>112</v>
      </c>
      <c r="D4" s="255"/>
      <c r="E4" s="255"/>
      <c r="F4" s="255"/>
      <c r="G4" s="255"/>
      <c r="H4" s="255"/>
      <c r="I4" s="255"/>
      <c r="J4" s="255"/>
      <c r="K4" s="255"/>
      <c r="L4" s="255"/>
      <c r="P4" s="257" t="s">
        <v>112</v>
      </c>
      <c r="Q4" s="257"/>
      <c r="R4" s="257"/>
      <c r="S4" s="257"/>
      <c r="T4" s="257"/>
      <c r="U4" s="257"/>
      <c r="V4" s="257"/>
      <c r="W4" s="257"/>
      <c r="X4" s="257"/>
      <c r="Y4" s="257"/>
      <c r="Z4" s="257"/>
      <c r="AB4" s="87"/>
    </row>
    <row r="5" spans="1:28" x14ac:dyDescent="0.2">
      <c r="B5" s="16" t="str">
        <f>Revenue!B5</f>
        <v>Revenues (thousand)</v>
      </c>
      <c r="C5" s="12">
        <f>Revenue!C5</f>
        <v>2021</v>
      </c>
      <c r="D5" s="12">
        <f>Revenue!D5</f>
        <v>2022</v>
      </c>
      <c r="E5" s="12">
        <f>Revenue!E5</f>
        <v>2023</v>
      </c>
      <c r="F5" s="12">
        <f>Revenue!F5</f>
        <v>2024</v>
      </c>
      <c r="G5" s="12">
        <f>Revenue!G5</f>
        <v>2025</v>
      </c>
      <c r="H5" s="12">
        <f>G5+1</f>
        <v>2026</v>
      </c>
      <c r="I5" s="12">
        <f t="shared" ref="I5:L5" si="0">H5+1</f>
        <v>2027</v>
      </c>
      <c r="J5" s="12">
        <f t="shared" si="0"/>
        <v>2028</v>
      </c>
      <c r="K5" s="12">
        <f t="shared" si="0"/>
        <v>2029</v>
      </c>
      <c r="L5" s="12">
        <f t="shared" si="0"/>
        <v>2030</v>
      </c>
      <c r="O5" s="16" t="s">
        <v>113</v>
      </c>
      <c r="P5" s="12" t="str">
        <f>Revenue!S5</f>
        <v>Q3 2024</v>
      </c>
      <c r="Q5" s="12" t="str">
        <f>Revenue!T5</f>
        <v>Q4 2024</v>
      </c>
      <c r="R5" s="12" t="str">
        <f>Revenue!U5</f>
        <v>Q1 2025</v>
      </c>
      <c r="S5" s="12" t="str">
        <f>Revenue!V5</f>
        <v>Q2 2025</v>
      </c>
      <c r="T5" s="12" t="str">
        <f>Revenue!W5</f>
        <v>Q3 2025</v>
      </c>
      <c r="U5" s="12" t="str">
        <f>Revenue!X5</f>
        <v>Q4 2025</v>
      </c>
      <c r="V5" s="12" t="str">
        <f>Revenue!Y5</f>
        <v>Q1 2026</v>
      </c>
      <c r="W5" s="12" t="str">
        <f>Revenue!Z5</f>
        <v>Q2 2026</v>
      </c>
      <c r="X5" s="12" t="s">
        <v>114</v>
      </c>
      <c r="Y5" s="12" t="s">
        <v>115</v>
      </c>
      <c r="Z5" s="12" t="s">
        <v>116</v>
      </c>
      <c r="AB5" s="87" t="str">
        <f>Revenue!AE5</f>
        <v>FQ1</v>
      </c>
    </row>
    <row r="6" spans="1:28" x14ac:dyDescent="0.2">
      <c r="B6" s="16" t="s">
        <v>19</v>
      </c>
      <c r="C6" s="92">
        <f>Revenue!C8</f>
        <v>4998</v>
      </c>
      <c r="D6" s="92">
        <f>Revenue!D8</f>
        <v>5692</v>
      </c>
      <c r="E6" s="92">
        <f>Revenue!E8</f>
        <v>6863</v>
      </c>
      <c r="F6" s="92">
        <f>Revenue!F8</f>
        <v>8012</v>
      </c>
      <c r="G6" s="93">
        <f>Revenue!G8</f>
        <v>10230</v>
      </c>
      <c r="H6" s="92">
        <f>Revenue!H8</f>
        <v>13773.49</v>
      </c>
      <c r="I6" s="92">
        <f>Revenue!I8</f>
        <v>18364.7719</v>
      </c>
      <c r="J6" s="92">
        <f>Revenue!J8</f>
        <v>23429.922325</v>
      </c>
      <c r="K6" s="92">
        <f>Revenue!K8</f>
        <v>28844.602698399998</v>
      </c>
      <c r="L6" s="92">
        <f>Revenue!L8</f>
        <v>32904.250516271997</v>
      </c>
      <c r="N6" s="91"/>
      <c r="O6" s="16" t="s">
        <v>19</v>
      </c>
      <c r="P6" s="92">
        <f>Revenue!S8</f>
        <v>2074</v>
      </c>
      <c r="Q6" s="92">
        <f>Revenue!T8</f>
        <v>2346</v>
      </c>
      <c r="R6" s="92">
        <f>Revenue!U8</f>
        <v>2036</v>
      </c>
      <c r="S6" s="92">
        <f>Revenue!V8</f>
        <v>2638</v>
      </c>
      <c r="T6" s="92">
        <f>Revenue!W8</f>
        <v>2676</v>
      </c>
      <c r="U6" s="92">
        <f>Revenue!X8</f>
        <v>2880</v>
      </c>
      <c r="V6" s="92">
        <f>Revenue!Y8</f>
        <v>2650</v>
      </c>
      <c r="W6" s="93">
        <f>Revenue!Z8</f>
        <v>3274</v>
      </c>
      <c r="X6" s="92">
        <f>Revenue!AA8</f>
        <v>3731.7</v>
      </c>
      <c r="Y6" s="94"/>
      <c r="Z6" s="94"/>
      <c r="AB6" s="92">
        <f>Revenue!AE8</f>
        <v>12535.7</v>
      </c>
    </row>
    <row r="7" spans="1:28" x14ac:dyDescent="0.2">
      <c r="N7" s="91"/>
    </row>
    <row r="8" spans="1:28" x14ac:dyDescent="0.2">
      <c r="N8" s="91"/>
    </row>
    <row r="9" spans="1:28" x14ac:dyDescent="0.2">
      <c r="C9" s="255" t="s">
        <v>121</v>
      </c>
      <c r="D9" s="255"/>
      <c r="E9" s="255"/>
      <c r="F9" s="255"/>
      <c r="G9" s="255"/>
      <c r="H9" s="255"/>
      <c r="I9" s="255"/>
      <c r="J9" s="255"/>
      <c r="K9" s="255"/>
      <c r="L9" s="255"/>
      <c r="N9" s="91"/>
      <c r="P9" s="257" t="s">
        <v>122</v>
      </c>
      <c r="Q9" s="257"/>
      <c r="R9" s="257"/>
      <c r="S9" s="257"/>
      <c r="T9" s="257"/>
      <c r="U9" s="257"/>
      <c r="V9" s="257"/>
      <c r="W9" s="257"/>
      <c r="X9" s="257"/>
      <c r="Y9" s="257"/>
      <c r="Z9" s="257"/>
      <c r="AB9" s="87">
        <f>AB4</f>
        <v>0</v>
      </c>
    </row>
    <row r="10" spans="1:28" x14ac:dyDescent="0.2">
      <c r="B10" s="16" t="s">
        <v>126</v>
      </c>
      <c r="C10" s="12">
        <f t="shared" ref="C10:L10" si="1">C5</f>
        <v>2021</v>
      </c>
      <c r="D10" s="12">
        <f t="shared" si="1"/>
        <v>2022</v>
      </c>
      <c r="E10" s="12">
        <f t="shared" si="1"/>
        <v>2023</v>
      </c>
      <c r="F10" s="12">
        <f t="shared" si="1"/>
        <v>2024</v>
      </c>
      <c r="G10" s="12">
        <f t="shared" si="1"/>
        <v>2025</v>
      </c>
      <c r="H10" s="12">
        <f t="shared" si="1"/>
        <v>2026</v>
      </c>
      <c r="I10" s="12">
        <f t="shared" si="1"/>
        <v>2027</v>
      </c>
      <c r="J10" s="12">
        <f t="shared" si="1"/>
        <v>2028</v>
      </c>
      <c r="K10" s="12">
        <f t="shared" si="1"/>
        <v>2029</v>
      </c>
      <c r="L10" s="12">
        <f t="shared" si="1"/>
        <v>2030</v>
      </c>
      <c r="N10" s="91"/>
      <c r="O10" s="16" t="s">
        <v>123</v>
      </c>
      <c r="P10" s="12" t="str">
        <f t="shared" ref="P10:Z10" si="2">P5</f>
        <v>Q3 2024</v>
      </c>
      <c r="Q10" s="12" t="str">
        <f t="shared" si="2"/>
        <v>Q4 2024</v>
      </c>
      <c r="R10" s="12" t="str">
        <f t="shared" si="2"/>
        <v>Q1 2025</v>
      </c>
      <c r="S10" s="12" t="str">
        <f t="shared" si="2"/>
        <v>Q2 2025</v>
      </c>
      <c r="T10" s="12" t="str">
        <f t="shared" si="2"/>
        <v>Q3 2025</v>
      </c>
      <c r="U10" s="12" t="str">
        <f t="shared" si="2"/>
        <v>Q4 2025</v>
      </c>
      <c r="V10" s="12" t="str">
        <f t="shared" si="2"/>
        <v>Q1 2026</v>
      </c>
      <c r="W10" s="12" t="str">
        <f t="shared" si="2"/>
        <v>Q2 2026</v>
      </c>
      <c r="X10" s="12" t="str">
        <f t="shared" si="2"/>
        <v>FQ1</v>
      </c>
      <c r="Y10" s="12" t="str">
        <f t="shared" si="2"/>
        <v>FQ2</v>
      </c>
      <c r="Z10" s="12" t="str">
        <f t="shared" si="2"/>
        <v>FQ3</v>
      </c>
      <c r="AB10" s="8" t="str">
        <f>AB5</f>
        <v>FQ1</v>
      </c>
    </row>
    <row r="11" spans="1:28" x14ac:dyDescent="0.2">
      <c r="B11" s="16" t="s">
        <v>20</v>
      </c>
      <c r="C11" s="106">
        <f>Statement!M6</f>
        <v>3475</v>
      </c>
      <c r="D11" s="106">
        <f>Statement!N6</f>
        <v>4075</v>
      </c>
      <c r="E11" s="106">
        <f>Statement!O6</f>
        <v>4463</v>
      </c>
      <c r="F11" s="106">
        <f>Statement!P6</f>
        <v>5078</v>
      </c>
      <c r="G11" s="107">
        <f>Statement!Q6</f>
        <v>6515</v>
      </c>
      <c r="H11" s="108">
        <f>SUM(H12:H13)</f>
        <v>8539.5637999999999</v>
      </c>
      <c r="I11" s="108">
        <f t="shared" ref="I11:L11" si="3">SUM(I12:I13)</f>
        <v>11386.158578</v>
      </c>
      <c r="J11" s="108">
        <f t="shared" si="3"/>
        <v>13823.65417175</v>
      </c>
      <c r="K11" s="108">
        <f t="shared" si="3"/>
        <v>17018.315592055998</v>
      </c>
      <c r="L11" s="108">
        <f t="shared" si="3"/>
        <v>19084.465299437757</v>
      </c>
      <c r="N11" s="91"/>
      <c r="O11" s="16" t="str">
        <f t="shared" ref="O11:O16" si="4">B11</f>
        <v>COGS</v>
      </c>
      <c r="P11" s="106">
        <f>Statement!T6</f>
        <v>1317</v>
      </c>
      <c r="Q11" s="106">
        <f>Statement!U6</f>
        <v>1476</v>
      </c>
      <c r="R11" s="106">
        <f>Statement!V6</f>
        <v>1350</v>
      </c>
      <c r="S11" s="106">
        <f>Statement!W6</f>
        <v>1742</v>
      </c>
      <c r="T11" s="106">
        <f>Statement!X6</f>
        <v>1665</v>
      </c>
      <c r="U11" s="106">
        <f>Statement!Y6</f>
        <v>1759</v>
      </c>
      <c r="V11" s="106">
        <f>Statement!Z6</f>
        <v>1650</v>
      </c>
      <c r="W11" s="107">
        <f>Statement!AA6</f>
        <v>2039</v>
      </c>
      <c r="X11" s="108">
        <f>SUM(X12:X13)</f>
        <v>2276.337</v>
      </c>
      <c r="Y11" s="108"/>
      <c r="Z11" s="108"/>
      <c r="AB11" s="108">
        <f t="shared" ref="AB11:AB16" si="5">SUM(U11:X11)</f>
        <v>7724.3369999999995</v>
      </c>
    </row>
    <row r="12" spans="1:28" x14ac:dyDescent="0.2">
      <c r="B12" s="39" t="str">
        <f>Statement!B188</f>
        <v>Products COGS</v>
      </c>
      <c r="C12" s="98">
        <f>Statement!M188</f>
        <v>2700</v>
      </c>
      <c r="D12" s="98">
        <f>Statement!N188</f>
        <v>3219</v>
      </c>
      <c r="E12" s="98">
        <f>Statement!O188</f>
        <v>3576</v>
      </c>
      <c r="F12" s="98">
        <f>Statement!P188</f>
        <v>4099</v>
      </c>
      <c r="G12" s="99">
        <f>Statement!Q188</f>
        <v>5447</v>
      </c>
      <c r="H12" s="25">
        <f>H6*H22</f>
        <v>7162.2147999999997</v>
      </c>
      <c r="I12" s="25">
        <f t="shared" ref="I12:L12" si="6">I6*I22</f>
        <v>9549.6813880000009</v>
      </c>
      <c r="J12" s="25">
        <f t="shared" si="6"/>
        <v>11714.9611625</v>
      </c>
      <c r="K12" s="25">
        <f t="shared" si="6"/>
        <v>14422.301349199999</v>
      </c>
      <c r="L12" s="25">
        <f t="shared" si="6"/>
        <v>16452.125258135999</v>
      </c>
      <c r="M12" s="39"/>
      <c r="N12" s="236"/>
      <c r="O12" s="39" t="str">
        <f>B12</f>
        <v>Products COGS</v>
      </c>
      <c r="P12" s="234">
        <f>Statement!T188</f>
        <v>1066</v>
      </c>
      <c r="Q12" s="234">
        <f>Statement!U188</f>
        <v>1224</v>
      </c>
      <c r="R12" s="234">
        <f>Statement!V188</f>
        <v>1112</v>
      </c>
      <c r="S12" s="234">
        <f>Statement!W188</f>
        <v>1470</v>
      </c>
      <c r="T12" s="234">
        <f>Statement!X188</f>
        <v>1398</v>
      </c>
      <c r="U12" s="234">
        <f>Statement!Y188</f>
        <v>1466</v>
      </c>
      <c r="V12" s="234">
        <f>Statement!Z188</f>
        <v>1348</v>
      </c>
      <c r="W12" s="235">
        <f>Statement!AA188</f>
        <v>1668</v>
      </c>
      <c r="X12" s="25">
        <f t="shared" ref="X12:X13" si="7">X22*X$6</f>
        <v>1865.85</v>
      </c>
      <c r="Y12" s="25"/>
      <c r="Z12" s="25"/>
      <c r="AA12" s="39"/>
      <c r="AB12" s="25">
        <f t="shared" si="5"/>
        <v>6347.85</v>
      </c>
    </row>
    <row r="13" spans="1:28" x14ac:dyDescent="0.2">
      <c r="B13" s="39" t="str">
        <f>Statement!B189</f>
        <v>Services COGS</v>
      </c>
      <c r="C13" s="98">
        <f>Statement!M189</f>
        <v>776</v>
      </c>
      <c r="D13" s="98">
        <f>Statement!N189</f>
        <v>856</v>
      </c>
      <c r="E13" s="98">
        <f>Statement!O189</f>
        <v>887</v>
      </c>
      <c r="F13" s="98">
        <f>Statement!P189</f>
        <v>978</v>
      </c>
      <c r="G13" s="99">
        <f>Statement!Q189</f>
        <v>1068</v>
      </c>
      <c r="H13" s="25">
        <f>H6*H23</f>
        <v>1377.3490000000002</v>
      </c>
      <c r="I13" s="25">
        <f t="shared" ref="I13:L13" si="8">I6*I23</f>
        <v>1836.4771900000001</v>
      </c>
      <c r="J13" s="25">
        <f t="shared" si="8"/>
        <v>2108.6930092499997</v>
      </c>
      <c r="K13" s="25">
        <f t="shared" si="8"/>
        <v>2596.0142428559998</v>
      </c>
      <c r="L13" s="25">
        <f t="shared" si="8"/>
        <v>2632.3400413017598</v>
      </c>
      <c r="M13" s="39"/>
      <c r="N13" s="236"/>
      <c r="O13" s="39" t="str">
        <f>B13</f>
        <v>Services COGS</v>
      </c>
      <c r="P13" s="234">
        <f>Statement!T189</f>
        <v>251</v>
      </c>
      <c r="Q13" s="234">
        <f>Statement!U189</f>
        <v>252</v>
      </c>
      <c r="R13" s="234">
        <f>Statement!V189</f>
        <v>237</v>
      </c>
      <c r="S13" s="234">
        <f>Statement!W189</f>
        <v>271</v>
      </c>
      <c r="T13" s="234">
        <f>Statement!X189</f>
        <v>267</v>
      </c>
      <c r="U13" s="234">
        <f>Statement!Y189</f>
        <v>292</v>
      </c>
      <c r="V13" s="234">
        <f>Statement!Z189</f>
        <v>301</v>
      </c>
      <c r="W13" s="235">
        <f>Statement!AA189</f>
        <v>372</v>
      </c>
      <c r="X13" s="25">
        <f t="shared" si="7"/>
        <v>410.48699999999997</v>
      </c>
      <c r="Y13" s="25"/>
      <c r="Z13" s="25"/>
      <c r="AA13" s="39"/>
      <c r="AB13" s="25">
        <f t="shared" si="5"/>
        <v>1375.4870000000001</v>
      </c>
    </row>
    <row r="14" spans="1:28" x14ac:dyDescent="0.2">
      <c r="B14" s="1" t="str">
        <f>Statement!B8</f>
        <v>SG&amp;A</v>
      </c>
      <c r="C14" s="98">
        <f>Statement!M8</f>
        <v>1109</v>
      </c>
      <c r="D14" s="98">
        <f>Statement!N8</f>
        <v>1178</v>
      </c>
      <c r="E14" s="98">
        <f>Statement!O8</f>
        <v>1312</v>
      </c>
      <c r="F14" s="98">
        <f>Statement!P8</f>
        <v>1374</v>
      </c>
      <c r="G14" s="99">
        <f>Statement!Q8</f>
        <v>1618</v>
      </c>
      <c r="H14" s="24">
        <f>H6*H24</f>
        <v>2066.0234999999998</v>
      </c>
      <c r="I14" s="24">
        <f>I6*I24</f>
        <v>2571.0680660000003</v>
      </c>
      <c r="J14" s="24">
        <f>J6*J24</f>
        <v>3280.1891255</v>
      </c>
      <c r="K14" s="24">
        <f>K6*K24</f>
        <v>4038.244377776</v>
      </c>
      <c r="L14" s="24">
        <f>L6*L24</f>
        <v>4606.5950722780799</v>
      </c>
      <c r="N14" s="91"/>
      <c r="O14" s="39" t="str">
        <f t="shared" si="4"/>
        <v>SG&amp;A</v>
      </c>
      <c r="P14" s="98">
        <f>Statement!T8</f>
        <v>335</v>
      </c>
      <c r="Q14" s="98">
        <f>Statement!U8</f>
        <v>362</v>
      </c>
      <c r="R14" s="98">
        <f>Statement!V8</f>
        <v>346</v>
      </c>
      <c r="S14" s="98">
        <f>Statement!W8</f>
        <v>396</v>
      </c>
      <c r="T14" s="98">
        <f>Statement!X8</f>
        <v>414</v>
      </c>
      <c r="U14" s="98">
        <f>Statement!Y8</f>
        <v>462</v>
      </c>
      <c r="V14" s="98">
        <f>Statement!Z8</f>
        <v>457</v>
      </c>
      <c r="W14" s="99">
        <f>Statement!AA8</f>
        <v>494</v>
      </c>
      <c r="X14" s="25">
        <f>X24*X$6</f>
        <v>335.85299999999995</v>
      </c>
      <c r="Y14" s="24"/>
      <c r="Z14" s="24"/>
      <c r="AB14" s="24">
        <f t="shared" si="5"/>
        <v>1748.8530000000001</v>
      </c>
    </row>
    <row r="15" spans="1:28" x14ac:dyDescent="0.2">
      <c r="B15" s="1" t="str">
        <f>Statement!B9</f>
        <v>Amortization</v>
      </c>
      <c r="C15" s="98">
        <f>Statement!M9</f>
        <v>144</v>
      </c>
      <c r="D15" s="98">
        <f>Statement!N9</f>
        <v>216</v>
      </c>
      <c r="E15" s="98">
        <f>Statement!O9</f>
        <v>181</v>
      </c>
      <c r="F15" s="98">
        <f>Statement!P9</f>
        <v>184</v>
      </c>
      <c r="G15" s="99">
        <f>Statement!Q9</f>
        <v>200</v>
      </c>
      <c r="H15" s="24">
        <f>H6*H25</f>
        <v>275.46980000000002</v>
      </c>
      <c r="I15" s="24">
        <f>I6*I25</f>
        <v>367.29543799999999</v>
      </c>
      <c r="J15" s="24">
        <f>J6*J25</f>
        <v>468.59844650000002</v>
      </c>
      <c r="K15" s="24">
        <f>K6*K25</f>
        <v>576.89205396800003</v>
      </c>
      <c r="L15" s="24">
        <f>L6*L25</f>
        <v>658.08501032543995</v>
      </c>
      <c r="M15" s="90"/>
      <c r="N15" s="90"/>
      <c r="O15" s="39" t="str">
        <f t="shared" si="4"/>
        <v>Amortization</v>
      </c>
      <c r="P15" s="98">
        <f>Statement!T9</f>
        <v>45</v>
      </c>
      <c r="Q15" s="98">
        <f>Statement!U9</f>
        <v>47</v>
      </c>
      <c r="R15" s="98">
        <f>Statement!V9</f>
        <v>46</v>
      </c>
      <c r="S15" s="98">
        <f>Statement!W9</f>
        <v>47</v>
      </c>
      <c r="T15" s="98">
        <f>Statement!X9</f>
        <v>48</v>
      </c>
      <c r="U15" s="98">
        <f>Statement!Y9</f>
        <v>59</v>
      </c>
      <c r="V15" s="98">
        <f>Statement!Z9</f>
        <v>78</v>
      </c>
      <c r="W15" s="99">
        <f>Statement!AA9</f>
        <v>74</v>
      </c>
      <c r="X15" s="25">
        <f>X25*X$6</f>
        <v>261.21899999999999</v>
      </c>
      <c r="Y15" s="24"/>
      <c r="Z15" s="24"/>
      <c r="AB15" s="24">
        <f t="shared" si="5"/>
        <v>472.21899999999999</v>
      </c>
    </row>
    <row r="16" spans="1:28" x14ac:dyDescent="0.2">
      <c r="B16" s="16" t="s">
        <v>22</v>
      </c>
      <c r="C16" s="106">
        <f>Statement!M10</f>
        <v>1263</v>
      </c>
      <c r="D16" s="106">
        <f>Statement!N10</f>
        <v>1394</v>
      </c>
      <c r="E16" s="106">
        <f>Statement!O10</f>
        <v>1528</v>
      </c>
      <c r="F16" s="106">
        <f>Statement!P10</f>
        <v>1567</v>
      </c>
      <c r="G16" s="107">
        <f>Statement!Q10</f>
        <v>1885</v>
      </c>
      <c r="H16" s="108">
        <f>SUM(H14:H15)</f>
        <v>2341.4932999999996</v>
      </c>
      <c r="I16" s="108">
        <f>SUM(I14:I15)</f>
        <v>2938.3635040000004</v>
      </c>
      <c r="J16" s="108">
        <f>SUM(J14:J15)</f>
        <v>3748.7875720000002</v>
      </c>
      <c r="K16" s="108">
        <f>SUM(K14:K15)</f>
        <v>4615.1364317440002</v>
      </c>
      <c r="L16" s="108">
        <f>SUM(L14:L15)</f>
        <v>5264.6800826035196</v>
      </c>
      <c r="M16" s="90"/>
      <c r="N16" s="90"/>
      <c r="O16" s="16" t="str">
        <f t="shared" si="4"/>
        <v>OpEx</v>
      </c>
      <c r="P16" s="106">
        <f>Statement!T10</f>
        <v>385</v>
      </c>
      <c r="Q16" s="106">
        <f>Statement!U10</f>
        <v>413</v>
      </c>
      <c r="R16" s="106">
        <f>Statement!V10</f>
        <v>395</v>
      </c>
      <c r="S16" s="106">
        <f>Statement!W10</f>
        <v>454</v>
      </c>
      <c r="T16" s="106">
        <f>Statement!X10</f>
        <v>494</v>
      </c>
      <c r="U16" s="106">
        <f>Statement!Y10</f>
        <v>541</v>
      </c>
      <c r="V16" s="106">
        <f>Statement!Z10</f>
        <v>560</v>
      </c>
      <c r="W16" s="107">
        <f>Statement!AA10</f>
        <v>601</v>
      </c>
      <c r="X16" s="108">
        <f>SUM(X14:X15)</f>
        <v>597.07199999999989</v>
      </c>
      <c r="Y16" s="108"/>
      <c r="Z16" s="108"/>
      <c r="AB16" s="108">
        <f t="shared" si="5"/>
        <v>2299.0720000000001</v>
      </c>
    </row>
    <row r="19" spans="2:26" x14ac:dyDescent="0.2">
      <c r="C19" s="255" t="s">
        <v>124</v>
      </c>
      <c r="D19" s="255"/>
      <c r="E19" s="255"/>
      <c r="F19" s="255"/>
      <c r="G19" s="255"/>
      <c r="H19" s="255"/>
      <c r="I19" s="255"/>
      <c r="J19" s="255"/>
      <c r="K19" s="255"/>
      <c r="L19" s="255"/>
      <c r="P19" s="257" t="s">
        <v>124</v>
      </c>
      <c r="Q19" s="257"/>
      <c r="R19" s="257"/>
      <c r="S19" s="257"/>
      <c r="T19" s="257"/>
      <c r="U19" s="257"/>
      <c r="V19" s="257"/>
      <c r="W19" s="257"/>
      <c r="X19" s="257"/>
      <c r="Y19" s="257"/>
      <c r="Z19" s="257"/>
    </row>
    <row r="20" spans="2:26" x14ac:dyDescent="0.2">
      <c r="B20" s="16" t="s">
        <v>125</v>
      </c>
      <c r="C20" s="12">
        <f t="shared" ref="C20:L20" si="9">C5</f>
        <v>2021</v>
      </c>
      <c r="D20" s="12">
        <f t="shared" si="9"/>
        <v>2022</v>
      </c>
      <c r="E20" s="12">
        <f t="shared" si="9"/>
        <v>2023</v>
      </c>
      <c r="F20" s="12">
        <f t="shared" si="9"/>
        <v>2024</v>
      </c>
      <c r="G20" s="12">
        <f t="shared" si="9"/>
        <v>2025</v>
      </c>
      <c r="H20" s="12">
        <f t="shared" si="9"/>
        <v>2026</v>
      </c>
      <c r="I20" s="12">
        <f t="shared" si="9"/>
        <v>2027</v>
      </c>
      <c r="J20" s="12">
        <f t="shared" si="9"/>
        <v>2028</v>
      </c>
      <c r="K20" s="12">
        <f t="shared" si="9"/>
        <v>2029</v>
      </c>
      <c r="L20" s="12">
        <f t="shared" si="9"/>
        <v>2030</v>
      </c>
      <c r="O20" s="16" t="s">
        <v>125</v>
      </c>
      <c r="P20" s="12" t="str">
        <f t="shared" ref="P20:Z20" si="10">P5</f>
        <v>Q3 2024</v>
      </c>
      <c r="Q20" s="12" t="str">
        <f t="shared" si="10"/>
        <v>Q4 2024</v>
      </c>
      <c r="R20" s="12" t="str">
        <f t="shared" si="10"/>
        <v>Q1 2025</v>
      </c>
      <c r="S20" s="12" t="str">
        <f t="shared" si="10"/>
        <v>Q2 2025</v>
      </c>
      <c r="T20" s="12" t="str">
        <f t="shared" si="10"/>
        <v>Q3 2025</v>
      </c>
      <c r="U20" s="12" t="str">
        <f t="shared" si="10"/>
        <v>Q4 2025</v>
      </c>
      <c r="V20" s="12" t="str">
        <f t="shared" si="10"/>
        <v>Q1 2026</v>
      </c>
      <c r="W20" s="12" t="str">
        <f t="shared" si="10"/>
        <v>Q2 2026</v>
      </c>
      <c r="X20" s="12" t="str">
        <f t="shared" si="10"/>
        <v>FQ1</v>
      </c>
      <c r="Y20" s="12" t="str">
        <f t="shared" si="10"/>
        <v>FQ2</v>
      </c>
      <c r="Z20" s="12" t="str">
        <f t="shared" si="10"/>
        <v>FQ3</v>
      </c>
    </row>
    <row r="21" spans="2:26" x14ac:dyDescent="0.2">
      <c r="B21" s="16" t="str">
        <f>B11</f>
        <v>COGS</v>
      </c>
      <c r="C21" s="103">
        <f>C11/C$6</f>
        <v>0.69527811124449779</v>
      </c>
      <c r="D21" s="103">
        <f t="shared" ref="D21:G21" si="11">D11/D$6</f>
        <v>0.71591707659873505</v>
      </c>
      <c r="E21" s="103">
        <f t="shared" si="11"/>
        <v>0.65029870319102434</v>
      </c>
      <c r="F21" s="103">
        <f t="shared" si="11"/>
        <v>0.63379930104842741</v>
      </c>
      <c r="G21" s="104">
        <f t="shared" si="11"/>
        <v>0.63685239491691104</v>
      </c>
      <c r="H21" s="95">
        <f>H11/H$6</f>
        <v>0.62</v>
      </c>
      <c r="I21" s="95">
        <f t="shared" ref="I21:L21" si="12">I11/I$6</f>
        <v>0.62</v>
      </c>
      <c r="J21" s="95">
        <f t="shared" si="12"/>
        <v>0.59000000000000008</v>
      </c>
      <c r="K21" s="95">
        <f t="shared" si="12"/>
        <v>0.59</v>
      </c>
      <c r="L21" s="95">
        <f t="shared" si="12"/>
        <v>0.57999999999999996</v>
      </c>
      <c r="O21" s="16" t="str">
        <f>O11</f>
        <v>COGS</v>
      </c>
      <c r="P21" s="103">
        <f t="shared" ref="P21:W21" si="13">P11/P$6</f>
        <v>0.63500482160077143</v>
      </c>
      <c r="Q21" s="103">
        <f t="shared" si="13"/>
        <v>0.62915601023017897</v>
      </c>
      <c r="R21" s="103">
        <f t="shared" si="13"/>
        <v>0.66306483300589392</v>
      </c>
      <c r="S21" s="103">
        <f t="shared" si="13"/>
        <v>0.66034874905231233</v>
      </c>
      <c r="T21" s="103">
        <f t="shared" si="13"/>
        <v>0.62219730941704032</v>
      </c>
      <c r="U21" s="103">
        <f t="shared" si="13"/>
        <v>0.61076388888888888</v>
      </c>
      <c r="V21" s="103">
        <f t="shared" si="13"/>
        <v>0.62264150943396224</v>
      </c>
      <c r="W21" s="104">
        <f t="shared" si="13"/>
        <v>0.62278558338423951</v>
      </c>
      <c r="X21" s="95">
        <f t="shared" ref="X21" si="14">X11/X$6</f>
        <v>0.61</v>
      </c>
      <c r="Y21" s="95"/>
      <c r="Z21" s="95"/>
    </row>
    <row r="22" spans="2:26" x14ac:dyDescent="0.2">
      <c r="B22" s="39" t="str">
        <f>B12</f>
        <v>Products COGS</v>
      </c>
      <c r="C22" s="95">
        <f t="shared" ref="C22:G22" si="15">C12/C$6</f>
        <v>0.54021608643457386</v>
      </c>
      <c r="D22" s="95">
        <f t="shared" si="15"/>
        <v>0.56553056921995781</v>
      </c>
      <c r="E22" s="95">
        <f t="shared" si="15"/>
        <v>0.52105493224537369</v>
      </c>
      <c r="F22" s="95">
        <f t="shared" si="15"/>
        <v>0.51160758861707434</v>
      </c>
      <c r="G22" s="96">
        <f t="shared" si="15"/>
        <v>0.53245356793743892</v>
      </c>
      <c r="H22" s="97">
        <v>0.52</v>
      </c>
      <c r="I22" s="97">
        <v>0.52</v>
      </c>
      <c r="J22" s="97">
        <v>0.5</v>
      </c>
      <c r="K22" s="97">
        <v>0.5</v>
      </c>
      <c r="L22" s="97">
        <v>0.5</v>
      </c>
      <c r="O22" s="39" t="str">
        <f>B22</f>
        <v>Products COGS</v>
      </c>
      <c r="P22" s="95">
        <f>P12/P$6</f>
        <v>0.51398264223722279</v>
      </c>
      <c r="Q22" s="95">
        <f t="shared" ref="Q22:W22" si="16">Q12/Q$6</f>
        <v>0.52173913043478259</v>
      </c>
      <c r="R22" s="95">
        <f t="shared" si="16"/>
        <v>0.5461689587426326</v>
      </c>
      <c r="S22" s="95">
        <f t="shared" si="16"/>
        <v>0.55724033358605007</v>
      </c>
      <c r="T22" s="95">
        <f t="shared" si="16"/>
        <v>0.52242152466367708</v>
      </c>
      <c r="U22" s="95">
        <f t="shared" si="16"/>
        <v>0.50902777777777775</v>
      </c>
      <c r="V22" s="95">
        <f t="shared" si="16"/>
        <v>0.50867924528301889</v>
      </c>
      <c r="W22" s="96">
        <f t="shared" si="16"/>
        <v>0.50946854001221742</v>
      </c>
      <c r="X22" s="97">
        <v>0.5</v>
      </c>
      <c r="Y22" s="97"/>
      <c r="Z22" s="97"/>
    </row>
    <row r="23" spans="2:26" x14ac:dyDescent="0.2">
      <c r="B23" s="39" t="str">
        <f>B13</f>
        <v>Services COGS</v>
      </c>
      <c r="C23" s="95">
        <f t="shared" ref="C23:G23" si="17">C13/C$6</f>
        <v>0.15526210484193678</v>
      </c>
      <c r="D23" s="95">
        <f t="shared" si="17"/>
        <v>0.15038650737877723</v>
      </c>
      <c r="E23" s="95">
        <f t="shared" si="17"/>
        <v>0.12924377094565059</v>
      </c>
      <c r="F23" s="95">
        <f t="shared" si="17"/>
        <v>0.12206689965052421</v>
      </c>
      <c r="G23" s="96">
        <f t="shared" si="17"/>
        <v>0.10439882697947214</v>
      </c>
      <c r="H23" s="97">
        <v>0.1</v>
      </c>
      <c r="I23" s="97">
        <v>0.1</v>
      </c>
      <c r="J23" s="97">
        <v>0.09</v>
      </c>
      <c r="K23" s="97">
        <v>0.09</v>
      </c>
      <c r="L23" s="97">
        <v>0.08</v>
      </c>
      <c r="O23" s="39" t="str">
        <f>B23</f>
        <v>Services COGS</v>
      </c>
      <c r="P23" s="95">
        <f t="shared" ref="P23:W23" si="18">P13/P$6</f>
        <v>0.1210221793635487</v>
      </c>
      <c r="Q23" s="95">
        <f t="shared" si="18"/>
        <v>0.10741687979539642</v>
      </c>
      <c r="R23" s="95">
        <f t="shared" si="18"/>
        <v>0.11640471512770137</v>
      </c>
      <c r="S23" s="95">
        <f t="shared" si="18"/>
        <v>0.10272934040940106</v>
      </c>
      <c r="T23" s="95">
        <f t="shared" si="18"/>
        <v>9.9775784753363225E-2</v>
      </c>
      <c r="U23" s="95">
        <f t="shared" si="18"/>
        <v>0.10138888888888889</v>
      </c>
      <c r="V23" s="95">
        <f t="shared" si="18"/>
        <v>0.11358490566037736</v>
      </c>
      <c r="W23" s="96">
        <f t="shared" si="18"/>
        <v>0.11362248014660965</v>
      </c>
      <c r="X23" s="97">
        <v>0.11</v>
      </c>
      <c r="Y23" s="97"/>
      <c r="Z23" s="97"/>
    </row>
    <row r="24" spans="2:26" x14ac:dyDescent="0.2">
      <c r="B24" s="1" t="str">
        <f>B14</f>
        <v>SG&amp;A</v>
      </c>
      <c r="C24" s="95">
        <f t="shared" ref="C24:G25" si="19">C14/C$6</f>
        <v>0.22188875550220089</v>
      </c>
      <c r="D24" s="95">
        <f t="shared" si="19"/>
        <v>0.20695713281799016</v>
      </c>
      <c r="E24" s="95">
        <f t="shared" si="19"/>
        <v>0.19117004225557335</v>
      </c>
      <c r="F24" s="95">
        <f t="shared" si="19"/>
        <v>0.17149276085871193</v>
      </c>
      <c r="G24" s="96">
        <f t="shared" si="19"/>
        <v>0.1581622678396872</v>
      </c>
      <c r="H24" s="97">
        <v>0.15</v>
      </c>
      <c r="I24" s="97">
        <v>0.14000000000000001</v>
      </c>
      <c r="J24" s="97">
        <v>0.14000000000000001</v>
      </c>
      <c r="K24" s="97">
        <v>0.14000000000000001</v>
      </c>
      <c r="L24" s="97">
        <v>0.14000000000000001</v>
      </c>
      <c r="O24" s="1" t="str">
        <f>O14</f>
        <v>SG&amp;A</v>
      </c>
      <c r="P24" s="95">
        <f t="shared" ref="P24:W25" si="20">P14/P$6</f>
        <v>0.16152362584378013</v>
      </c>
      <c r="Q24" s="95">
        <f t="shared" si="20"/>
        <v>0.15430520034100598</v>
      </c>
      <c r="R24" s="95">
        <f t="shared" si="20"/>
        <v>0.16994106090373282</v>
      </c>
      <c r="S24" s="95">
        <f t="shared" si="20"/>
        <v>0.15011372251705837</v>
      </c>
      <c r="T24" s="95">
        <f t="shared" si="20"/>
        <v>0.1547085201793722</v>
      </c>
      <c r="U24" s="95">
        <f t="shared" si="20"/>
        <v>0.16041666666666668</v>
      </c>
      <c r="V24" s="95">
        <f t="shared" si="20"/>
        <v>0.17245283018867924</v>
      </c>
      <c r="W24" s="96">
        <f t="shared" si="20"/>
        <v>0.15088576664630421</v>
      </c>
      <c r="X24" s="97">
        <v>0.09</v>
      </c>
      <c r="Y24" s="97"/>
      <c r="Z24" s="97"/>
    </row>
    <row r="25" spans="2:26" x14ac:dyDescent="0.2">
      <c r="B25" s="1" t="str">
        <f>B15</f>
        <v>Amortization</v>
      </c>
      <c r="C25" s="95">
        <f t="shared" si="19"/>
        <v>2.8811524609843937E-2</v>
      </c>
      <c r="D25" s="95">
        <f t="shared" si="19"/>
        <v>3.7947997189037248E-2</v>
      </c>
      <c r="E25" s="95">
        <f t="shared" si="19"/>
        <v>2.6373306134343581E-2</v>
      </c>
      <c r="F25" s="95">
        <f t="shared" si="19"/>
        <v>2.2965551672491265E-2</v>
      </c>
      <c r="G25" s="96">
        <f t="shared" si="19"/>
        <v>1.9550342130987292E-2</v>
      </c>
      <c r="H25" s="97">
        <v>0.02</v>
      </c>
      <c r="I25" s="97">
        <v>0.02</v>
      </c>
      <c r="J25" s="97">
        <v>0.02</v>
      </c>
      <c r="K25" s="97">
        <v>0.02</v>
      </c>
      <c r="L25" s="97">
        <v>0.02</v>
      </c>
      <c r="O25" s="1" t="str">
        <f>O15</f>
        <v>Amortization</v>
      </c>
      <c r="P25" s="95">
        <f t="shared" si="20"/>
        <v>2.1697203471552556E-2</v>
      </c>
      <c r="Q25" s="95">
        <f t="shared" si="20"/>
        <v>2.0034100596760442E-2</v>
      </c>
      <c r="R25" s="95">
        <f t="shared" si="20"/>
        <v>2.2593320235756387E-2</v>
      </c>
      <c r="S25" s="95">
        <f t="shared" si="20"/>
        <v>1.7816527672479151E-2</v>
      </c>
      <c r="T25" s="95">
        <f t="shared" si="20"/>
        <v>1.7937219730941704E-2</v>
      </c>
      <c r="U25" s="95">
        <f t="shared" si="20"/>
        <v>2.0486111111111111E-2</v>
      </c>
      <c r="V25" s="95">
        <f t="shared" si="20"/>
        <v>2.9433962264150942E-2</v>
      </c>
      <c r="W25" s="96">
        <f t="shared" si="20"/>
        <v>2.2602321319486866E-2</v>
      </c>
      <c r="X25" s="97">
        <v>7.0000000000000007E-2</v>
      </c>
      <c r="Y25" s="97"/>
      <c r="Z25" s="97"/>
    </row>
    <row r="26" spans="2:26" x14ac:dyDescent="0.2">
      <c r="B26" s="16" t="str">
        <f t="shared" ref="B26" si="21">B16</f>
        <v>OpEx</v>
      </c>
      <c r="C26" s="103">
        <f>C16/C$6</f>
        <v>0.25270108043217288</v>
      </c>
      <c r="D26" s="103">
        <f t="shared" ref="D26:L26" si="22">D16/D$6</f>
        <v>0.24490513000702741</v>
      </c>
      <c r="E26" s="103">
        <f t="shared" si="22"/>
        <v>0.22264315896838116</v>
      </c>
      <c r="F26" s="103">
        <f t="shared" si="22"/>
        <v>0.19558162755866201</v>
      </c>
      <c r="G26" s="104">
        <f t="shared" si="22"/>
        <v>0.18426197458455523</v>
      </c>
      <c r="H26" s="103">
        <f t="shared" si="22"/>
        <v>0.16999999999999998</v>
      </c>
      <c r="I26" s="103">
        <f t="shared" si="22"/>
        <v>0.16000000000000003</v>
      </c>
      <c r="J26" s="103">
        <f t="shared" si="22"/>
        <v>0.16</v>
      </c>
      <c r="K26" s="103">
        <f t="shared" si="22"/>
        <v>0.16000000000000003</v>
      </c>
      <c r="L26" s="103">
        <f t="shared" si="22"/>
        <v>0.16</v>
      </c>
      <c r="O26" s="16" t="str">
        <f t="shared" ref="O26" si="23">O16</f>
        <v>OpEx</v>
      </c>
      <c r="P26" s="103">
        <f t="shared" ref="P26:V26" si="24">P16/P$6</f>
        <v>0.18563162970106076</v>
      </c>
      <c r="Q26" s="103">
        <f t="shared" si="24"/>
        <v>0.17604433077578857</v>
      </c>
      <c r="R26" s="103">
        <f t="shared" si="24"/>
        <v>0.19400785854616895</v>
      </c>
      <c r="S26" s="103">
        <f t="shared" si="24"/>
        <v>0.17210007581501138</v>
      </c>
      <c r="T26" s="103">
        <f t="shared" si="24"/>
        <v>0.18460388639760836</v>
      </c>
      <c r="U26" s="103">
        <f t="shared" si="24"/>
        <v>0.18784722222222222</v>
      </c>
      <c r="V26" s="103">
        <f t="shared" si="24"/>
        <v>0.21132075471698114</v>
      </c>
      <c r="W26" s="104">
        <f t="shared" ref="W26:X26" si="25">W16/W$6</f>
        <v>0.18356750152718387</v>
      </c>
      <c r="X26" s="103">
        <f t="shared" si="25"/>
        <v>0.15999999999999998</v>
      </c>
      <c r="Y26" s="16"/>
      <c r="Z26" s="16"/>
    </row>
  </sheetData>
  <mergeCells count="10">
    <mergeCell ref="C9:L9"/>
    <mergeCell ref="P9:Z9"/>
    <mergeCell ref="C19:L19"/>
    <mergeCell ref="P19:Z19"/>
    <mergeCell ref="C2:G2"/>
    <mergeCell ref="H2:L2"/>
    <mergeCell ref="P2:W2"/>
    <mergeCell ref="X2:Z2"/>
    <mergeCell ref="C4:L4"/>
    <mergeCell ref="P4:Z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A4AF9-34CA-DC41-86C9-B346AEC194A1}">
  <dimension ref="A1:AB46"/>
  <sheetViews>
    <sheetView topLeftCell="A36" zoomScale="189" zoomScaleNormal="100" workbookViewId="0">
      <selection activeCell="H20" sqref="H20"/>
    </sheetView>
  </sheetViews>
  <sheetFormatPr baseColWidth="10" defaultRowHeight="16" x14ac:dyDescent="0.2"/>
  <cols>
    <col min="1" max="1" width="2" style="83"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127</v>
      </c>
    </row>
    <row r="2" spans="1:28" s="83" customFormat="1" ht="18" customHeight="1" x14ac:dyDescent="0.2">
      <c r="A2" s="4"/>
      <c r="B2" s="82"/>
    </row>
    <row r="3" spans="1:28" x14ac:dyDescent="0.2">
      <c r="A3" s="4"/>
      <c r="C3" s="249" t="s">
        <v>109</v>
      </c>
      <c r="D3" s="249"/>
      <c r="E3" s="249"/>
      <c r="F3" s="249"/>
      <c r="G3" s="258"/>
      <c r="H3" s="259" t="s">
        <v>110</v>
      </c>
      <c r="I3" s="249"/>
      <c r="J3" s="249"/>
      <c r="K3" s="249"/>
      <c r="L3" s="249"/>
      <c r="P3" s="260"/>
      <c r="Q3" s="260"/>
      <c r="R3" s="260"/>
      <c r="S3" s="260"/>
      <c r="T3" s="260"/>
      <c r="U3" s="260"/>
      <c r="V3" s="260"/>
      <c r="W3" s="260"/>
      <c r="X3" s="260"/>
      <c r="Y3" s="260"/>
      <c r="Z3" s="260"/>
      <c r="AB3" s="109"/>
    </row>
    <row r="4" spans="1:28" ht="10" customHeight="1" x14ac:dyDescent="0.2"/>
    <row r="5" spans="1:28" ht="16" customHeight="1" x14ac:dyDescent="0.2">
      <c r="A5" s="86"/>
      <c r="B5" s="60"/>
      <c r="C5" s="255" t="s">
        <v>112</v>
      </c>
      <c r="D5" s="255"/>
      <c r="E5" s="255"/>
      <c r="F5" s="255"/>
      <c r="G5" s="255"/>
      <c r="H5" s="255"/>
      <c r="I5" s="255"/>
      <c r="J5" s="255"/>
      <c r="K5" s="255"/>
      <c r="L5" s="255"/>
      <c r="P5" s="260"/>
      <c r="Q5" s="260"/>
      <c r="R5" s="260"/>
      <c r="S5" s="260"/>
      <c r="T5" s="260"/>
      <c r="U5" s="260"/>
      <c r="V5" s="260"/>
      <c r="W5" s="260"/>
      <c r="X5" s="260"/>
      <c r="Y5" s="260"/>
      <c r="Z5" s="260"/>
      <c r="AB5" s="110"/>
    </row>
    <row r="6" spans="1:28" x14ac:dyDescent="0.2">
      <c r="B6" s="16" t="s">
        <v>113</v>
      </c>
      <c r="C6" s="12">
        <f>Revenue!C5</f>
        <v>2021</v>
      </c>
      <c r="D6" s="12">
        <f>Revenue!D5</f>
        <v>2022</v>
      </c>
      <c r="E6" s="12">
        <f>Revenue!E5</f>
        <v>2023</v>
      </c>
      <c r="F6" s="12">
        <f>Revenue!F5</f>
        <v>2024</v>
      </c>
      <c r="G6" s="12">
        <f>Revenue!G5</f>
        <v>2025</v>
      </c>
      <c r="H6" s="12">
        <f>G6+1</f>
        <v>2026</v>
      </c>
      <c r="I6" s="12">
        <f t="shared" ref="I6:L6" si="0">H6+1</f>
        <v>2027</v>
      </c>
      <c r="J6" s="12">
        <f t="shared" si="0"/>
        <v>2028</v>
      </c>
      <c r="K6" s="12">
        <f t="shared" si="0"/>
        <v>2029</v>
      </c>
      <c r="L6" s="12">
        <f t="shared" si="0"/>
        <v>2030</v>
      </c>
      <c r="O6" s="16"/>
      <c r="P6" s="111"/>
      <c r="Q6" s="111"/>
      <c r="R6" s="111"/>
      <c r="S6" s="111"/>
      <c r="T6" s="111"/>
      <c r="U6" s="111"/>
      <c r="V6" s="111"/>
      <c r="W6" s="111"/>
      <c r="X6" s="111"/>
      <c r="Y6" s="111"/>
      <c r="Z6" s="111"/>
      <c r="AB6" s="110"/>
    </row>
    <row r="7" spans="1:28" x14ac:dyDescent="0.2">
      <c r="B7" s="16" t="s">
        <v>19</v>
      </c>
      <c r="C7" s="92">
        <f>Revenue!C8</f>
        <v>4998</v>
      </c>
      <c r="D7" s="92">
        <f>Revenue!D8</f>
        <v>5692</v>
      </c>
      <c r="E7" s="92">
        <f>Revenue!E8</f>
        <v>6863</v>
      </c>
      <c r="F7" s="92">
        <f>Revenue!F8</f>
        <v>8012</v>
      </c>
      <c r="G7" s="93">
        <f>Revenue!G8</f>
        <v>10230</v>
      </c>
      <c r="H7" s="92">
        <f>Revenue!H8</f>
        <v>13773.49</v>
      </c>
      <c r="I7" s="92">
        <f>Revenue!I8</f>
        <v>18364.7719</v>
      </c>
      <c r="J7" s="92">
        <f>Revenue!J8</f>
        <v>23429.922325</v>
      </c>
      <c r="K7" s="92">
        <f>Revenue!K8</f>
        <v>28844.602698399998</v>
      </c>
      <c r="L7" s="92">
        <f>Revenue!L8</f>
        <v>32904.250516271997</v>
      </c>
      <c r="N7" s="91"/>
      <c r="O7" s="16"/>
      <c r="P7" s="92"/>
      <c r="Q7" s="92"/>
      <c r="R7" s="92"/>
      <c r="S7" s="92"/>
      <c r="T7" s="92"/>
      <c r="U7" s="92"/>
      <c r="V7" s="92"/>
      <c r="W7" s="92"/>
      <c r="X7" s="94"/>
      <c r="Y7" s="94"/>
      <c r="Z7" s="94"/>
      <c r="AB7" s="94"/>
    </row>
    <row r="8" spans="1:28" x14ac:dyDescent="0.2">
      <c r="B8" s="39" t="s">
        <v>20</v>
      </c>
      <c r="C8" s="112">
        <f>'COGS &amp; OpEx'!C11</f>
        <v>3475</v>
      </c>
      <c r="D8" s="112">
        <f>'COGS &amp; OpEx'!D11</f>
        <v>4075</v>
      </c>
      <c r="E8" s="112">
        <f>'COGS &amp; OpEx'!E11</f>
        <v>4463</v>
      </c>
      <c r="F8" s="112">
        <f>'COGS &amp; OpEx'!F11</f>
        <v>5078</v>
      </c>
      <c r="G8" s="113">
        <f>'COGS &amp; OpEx'!G11</f>
        <v>6515</v>
      </c>
      <c r="H8" s="112">
        <f>'COGS &amp; OpEx'!H11</f>
        <v>8539.5637999999999</v>
      </c>
      <c r="I8" s="112">
        <f>'COGS &amp; OpEx'!I11</f>
        <v>11386.158578</v>
      </c>
      <c r="J8" s="112">
        <f>'COGS &amp; OpEx'!J11</f>
        <v>13823.65417175</v>
      </c>
      <c r="K8" s="112">
        <f>'COGS &amp; OpEx'!K11</f>
        <v>17018.315592055998</v>
      </c>
      <c r="L8" s="112">
        <f>'COGS &amp; OpEx'!L11</f>
        <v>19084.465299437757</v>
      </c>
      <c r="N8" s="91"/>
      <c r="O8" s="16"/>
      <c r="P8" s="92"/>
      <c r="Q8" s="92"/>
      <c r="R8" s="92"/>
      <c r="S8" s="92"/>
      <c r="T8" s="92"/>
      <c r="U8" s="92"/>
      <c r="V8" s="92"/>
      <c r="W8" s="92"/>
      <c r="X8" s="94"/>
      <c r="Y8" s="94"/>
      <c r="Z8" s="94"/>
      <c r="AB8" s="94"/>
    </row>
    <row r="9" spans="1:28" x14ac:dyDescent="0.2">
      <c r="N9" s="91"/>
    </row>
    <row r="10" spans="1:28" x14ac:dyDescent="0.2">
      <c r="N10" s="91"/>
    </row>
    <row r="11" spans="1:28" x14ac:dyDescent="0.2">
      <c r="C11" s="255" t="s">
        <v>128</v>
      </c>
      <c r="D11" s="255"/>
      <c r="E11" s="255"/>
      <c r="F11" s="255"/>
      <c r="G11" s="255"/>
      <c r="H11" s="255"/>
      <c r="I11" s="255"/>
      <c r="J11" s="255"/>
      <c r="K11" s="255"/>
      <c r="L11" s="255"/>
      <c r="N11" s="91"/>
      <c r="P11" s="260"/>
      <c r="Q11" s="260"/>
      <c r="R11" s="260"/>
      <c r="S11" s="260"/>
      <c r="T11" s="260"/>
      <c r="U11" s="260"/>
      <c r="V11" s="260"/>
      <c r="W11" s="260"/>
      <c r="X11" s="260"/>
      <c r="Y11" s="260"/>
      <c r="Z11" s="260"/>
      <c r="AB11" s="110"/>
    </row>
    <row r="12" spans="1:28" x14ac:dyDescent="0.2">
      <c r="B12" s="16" t="s">
        <v>129</v>
      </c>
      <c r="C12" s="12">
        <f t="shared" ref="C12:L12" si="1">C6</f>
        <v>2021</v>
      </c>
      <c r="D12" s="12">
        <f t="shared" si="1"/>
        <v>2022</v>
      </c>
      <c r="E12" s="12">
        <f t="shared" si="1"/>
        <v>2023</v>
      </c>
      <c r="F12" s="12">
        <f t="shared" si="1"/>
        <v>2024</v>
      </c>
      <c r="G12" s="12">
        <f t="shared" si="1"/>
        <v>2025</v>
      </c>
      <c r="H12" s="12">
        <f t="shared" si="1"/>
        <v>2026</v>
      </c>
      <c r="I12" s="12">
        <f t="shared" si="1"/>
        <v>2027</v>
      </c>
      <c r="J12" s="12">
        <f t="shared" si="1"/>
        <v>2028</v>
      </c>
      <c r="K12" s="12">
        <f t="shared" si="1"/>
        <v>2029</v>
      </c>
      <c r="L12" s="12">
        <f t="shared" si="1"/>
        <v>2030</v>
      </c>
      <c r="N12" s="91"/>
      <c r="O12" s="16"/>
      <c r="P12" s="111"/>
      <c r="Q12" s="111"/>
      <c r="R12" s="111"/>
      <c r="S12" s="111"/>
      <c r="T12" s="111"/>
      <c r="U12" s="111"/>
      <c r="V12" s="111"/>
      <c r="W12" s="111"/>
      <c r="X12" s="111"/>
      <c r="Y12" s="111"/>
      <c r="Z12" s="111"/>
      <c r="AB12" s="110"/>
    </row>
    <row r="13" spans="1:28" x14ac:dyDescent="0.2">
      <c r="B13" s="39" t="s">
        <v>130</v>
      </c>
      <c r="C13" s="114">
        <f>Statement!M29</f>
        <v>1536</v>
      </c>
      <c r="D13" s="114">
        <f>Statement!N29</f>
        <v>1889</v>
      </c>
      <c r="E13" s="114">
        <f>Statement!O29</f>
        <v>2185</v>
      </c>
      <c r="F13" s="114">
        <f>Statement!P29</f>
        <v>2363</v>
      </c>
      <c r="G13" s="115">
        <f>Statement!Q29</f>
        <v>3109</v>
      </c>
      <c r="H13" s="25">
        <f>H20*H7/365</f>
        <v>4339.5927397260266</v>
      </c>
      <c r="I13" s="25">
        <f>I20*I7/365</f>
        <v>5786.1610095890401</v>
      </c>
      <c r="J13" s="25">
        <f>J20*J7/365</f>
        <v>7382.0303215753429</v>
      </c>
      <c r="K13" s="25">
        <f>K20*K7/365</f>
        <v>9088.0255077150669</v>
      </c>
      <c r="L13" s="25">
        <f>L20*L7/365</f>
        <v>10367.092628414464</v>
      </c>
      <c r="N13" s="91"/>
      <c r="O13" s="16"/>
      <c r="P13" s="116"/>
      <c r="Q13" s="116"/>
      <c r="R13" s="116"/>
      <c r="S13" s="116"/>
      <c r="T13" s="116"/>
      <c r="U13" s="116"/>
      <c r="V13" s="116"/>
      <c r="W13" s="116"/>
      <c r="X13" s="108"/>
      <c r="Y13" s="108"/>
      <c r="Z13" s="108"/>
      <c r="AB13" s="24"/>
    </row>
    <row r="14" spans="1:28" x14ac:dyDescent="0.2">
      <c r="B14" s="39" t="s">
        <v>131</v>
      </c>
      <c r="C14" s="114">
        <f>Statement!M30</f>
        <v>616</v>
      </c>
      <c r="D14" s="114">
        <f>Statement!N30</f>
        <v>822</v>
      </c>
      <c r="E14" s="114">
        <f>Statement!O30</f>
        <v>884</v>
      </c>
      <c r="F14" s="114">
        <f>Statement!P30</f>
        <v>1244</v>
      </c>
      <c r="G14" s="115">
        <f>Statement!Q30</f>
        <v>1457</v>
      </c>
      <c r="H14" s="126">
        <f>H21*H8/365</f>
        <v>2339.6065205479454</v>
      </c>
      <c r="I14" s="126">
        <f t="shared" ref="I14:L14" si="2">I21*I8/365</f>
        <v>3119.4955008219181</v>
      </c>
      <c r="J14" s="126">
        <f t="shared" si="2"/>
        <v>3787.3025128082195</v>
      </c>
      <c r="K14" s="126">
        <f t="shared" si="2"/>
        <v>4662.5522170016429</v>
      </c>
      <c r="L14" s="126">
        <f t="shared" si="2"/>
        <v>5228.6206299829473</v>
      </c>
      <c r="N14" s="91"/>
      <c r="O14" s="16"/>
      <c r="P14" s="116"/>
      <c r="Q14" s="116"/>
      <c r="R14" s="116"/>
      <c r="S14" s="116"/>
      <c r="T14" s="116"/>
      <c r="U14" s="116"/>
      <c r="V14" s="116"/>
      <c r="W14" s="116"/>
      <c r="X14" s="108"/>
      <c r="Y14" s="108"/>
      <c r="Z14" s="108"/>
      <c r="AB14" s="24"/>
    </row>
    <row r="15" spans="1:28" x14ac:dyDescent="0.2">
      <c r="B15" s="1" t="s">
        <v>132</v>
      </c>
      <c r="C15" s="114">
        <f>Statement!M37</f>
        <v>859</v>
      </c>
      <c r="D15" s="114">
        <f>Statement!N37</f>
        <v>984</v>
      </c>
      <c r="E15" s="114">
        <f>Statement!O37</f>
        <v>986</v>
      </c>
      <c r="F15" s="114">
        <f>Statement!P37</f>
        <v>1316</v>
      </c>
      <c r="G15" s="115">
        <f>Statement!Q37</f>
        <v>1756</v>
      </c>
      <c r="H15" s="24">
        <f>H22*H8/365</f>
        <v>2807.527824657534</v>
      </c>
      <c r="I15" s="24">
        <f>I22*I8/365</f>
        <v>3743.3946009863016</v>
      </c>
      <c r="J15" s="24">
        <f>J22*J8/365</f>
        <v>4544.7630153698628</v>
      </c>
      <c r="K15" s="24">
        <f>K22*K8/365</f>
        <v>5595.0626604019726</v>
      </c>
      <c r="L15" s="24">
        <f>L22*L8/365</f>
        <v>6274.3447559795368</v>
      </c>
      <c r="N15" s="91"/>
      <c r="P15" s="117"/>
      <c r="Q15" s="117"/>
      <c r="R15" s="117"/>
      <c r="S15" s="117"/>
      <c r="T15" s="117"/>
      <c r="U15" s="117"/>
      <c r="V15" s="117"/>
      <c r="W15" s="117"/>
      <c r="X15" s="25"/>
      <c r="Y15" s="24"/>
      <c r="Z15" s="24"/>
      <c r="AB15" s="24"/>
    </row>
    <row r="16" spans="1:28" x14ac:dyDescent="0.2">
      <c r="D16" s="24"/>
    </row>
    <row r="18" spans="2:12" x14ac:dyDescent="0.2">
      <c r="C18" s="255" t="s">
        <v>133</v>
      </c>
      <c r="D18" s="255"/>
      <c r="E18" s="255"/>
      <c r="F18" s="255"/>
      <c r="G18" s="255"/>
      <c r="H18" s="255"/>
      <c r="I18" s="255"/>
      <c r="J18" s="255"/>
      <c r="K18" s="255"/>
      <c r="L18" s="255"/>
    </row>
    <row r="19" spans="2:12" x14ac:dyDescent="0.2">
      <c r="B19" s="16" t="s">
        <v>134</v>
      </c>
      <c r="C19" s="12">
        <f t="shared" ref="C19:L19" si="3">C6</f>
        <v>2021</v>
      </c>
      <c r="D19" s="12">
        <f t="shared" si="3"/>
        <v>2022</v>
      </c>
      <c r="E19" s="12">
        <f t="shared" si="3"/>
        <v>2023</v>
      </c>
      <c r="F19" s="12">
        <f t="shared" si="3"/>
        <v>2024</v>
      </c>
      <c r="G19" s="12">
        <f t="shared" si="3"/>
        <v>2025</v>
      </c>
      <c r="H19" s="12">
        <f t="shared" si="3"/>
        <v>2026</v>
      </c>
      <c r="I19" s="12">
        <f t="shared" si="3"/>
        <v>2027</v>
      </c>
      <c r="J19" s="12">
        <f t="shared" si="3"/>
        <v>2028</v>
      </c>
      <c r="K19" s="12">
        <f t="shared" si="3"/>
        <v>2029</v>
      </c>
      <c r="L19" s="12">
        <f t="shared" si="3"/>
        <v>2030</v>
      </c>
    </row>
    <row r="20" spans="2:12" x14ac:dyDescent="0.2">
      <c r="B20" s="1" t="s">
        <v>135</v>
      </c>
      <c r="C20" s="118">
        <f>C13/C7*365</f>
        <v>112.17286914765906</v>
      </c>
      <c r="D20" s="118">
        <f>D13/D7*365</f>
        <v>121.13229093464511</v>
      </c>
      <c r="E20" s="118">
        <f>E13/E7*365</f>
        <v>116.20646947399096</v>
      </c>
      <c r="F20" s="118">
        <f>F13/F7*365</f>
        <v>107.65039940089865</v>
      </c>
      <c r="G20" s="119">
        <f>G13/G7*365</f>
        <v>110.92717497556207</v>
      </c>
      <c r="H20" s="102">
        <v>115</v>
      </c>
      <c r="I20" s="102">
        <v>115</v>
      </c>
      <c r="J20" s="102">
        <v>115</v>
      </c>
      <c r="K20" s="102">
        <v>115</v>
      </c>
      <c r="L20" s="102">
        <v>115</v>
      </c>
    </row>
    <row r="21" spans="2:12" x14ac:dyDescent="0.2">
      <c r="B21" s="1" t="s">
        <v>136</v>
      </c>
      <c r="C21" s="118">
        <f>C14/C8*365</f>
        <v>64.702158273381301</v>
      </c>
      <c r="D21" s="118">
        <f t="shared" ref="D21:G21" si="4">D14/D8*365</f>
        <v>73.626993865030684</v>
      </c>
      <c r="E21" s="118">
        <f t="shared" si="4"/>
        <v>72.296661438494283</v>
      </c>
      <c r="F21" s="118">
        <f t="shared" si="4"/>
        <v>89.417093343836157</v>
      </c>
      <c r="G21" s="119">
        <f t="shared" si="4"/>
        <v>81.627782041442828</v>
      </c>
      <c r="H21" s="102">
        <v>100</v>
      </c>
      <c r="I21" s="102">
        <v>100</v>
      </c>
      <c r="J21" s="102">
        <v>100</v>
      </c>
      <c r="K21" s="102">
        <v>100</v>
      </c>
      <c r="L21" s="102">
        <v>100</v>
      </c>
    </row>
    <row r="22" spans="2:12" x14ac:dyDescent="0.2">
      <c r="B22" s="1" t="s">
        <v>137</v>
      </c>
      <c r="C22" s="118">
        <f>C15/C8*365</f>
        <v>90.225899280575547</v>
      </c>
      <c r="D22" s="118">
        <f>D15/D8*365</f>
        <v>88.137423312883428</v>
      </c>
      <c r="E22" s="118">
        <f>E15/E8*365</f>
        <v>80.638583912166709</v>
      </c>
      <c r="F22" s="118">
        <f>F15/F8*365</f>
        <v>94.592359196534076</v>
      </c>
      <c r="G22" s="119">
        <f>G15/G8*365</f>
        <v>98.379125095932466</v>
      </c>
      <c r="H22" s="102">
        <v>120</v>
      </c>
      <c r="I22" s="102">
        <v>120</v>
      </c>
      <c r="J22" s="102">
        <v>120</v>
      </c>
      <c r="K22" s="102">
        <v>120</v>
      </c>
      <c r="L22" s="102">
        <v>120</v>
      </c>
    </row>
    <row r="23" spans="2:12" x14ac:dyDescent="0.2">
      <c r="B23" s="1" t="s">
        <v>138</v>
      </c>
      <c r="C23" s="118">
        <f>C20+C21-C22</f>
        <v>86.649128140464811</v>
      </c>
      <c r="D23" s="118">
        <f t="shared" ref="D23:L23" si="5">D20+D21-D22</f>
        <v>106.62186148679238</v>
      </c>
      <c r="E23" s="118">
        <f t="shared" si="5"/>
        <v>107.86454700031852</v>
      </c>
      <c r="F23" s="118">
        <f t="shared" si="5"/>
        <v>102.47513354820073</v>
      </c>
      <c r="G23" s="119">
        <f t="shared" si="5"/>
        <v>94.175831921072415</v>
      </c>
      <c r="H23" s="118">
        <f t="shared" si="5"/>
        <v>95</v>
      </c>
      <c r="I23" s="118">
        <f t="shared" si="5"/>
        <v>95</v>
      </c>
      <c r="J23" s="118">
        <f t="shared" si="5"/>
        <v>95</v>
      </c>
      <c r="K23" s="118">
        <f t="shared" si="5"/>
        <v>95</v>
      </c>
      <c r="L23" s="118">
        <f t="shared" si="5"/>
        <v>95</v>
      </c>
    </row>
    <row r="25" spans="2:12" x14ac:dyDescent="0.2">
      <c r="B25" s="260"/>
      <c r="C25" s="260"/>
    </row>
    <row r="26" spans="2:12" x14ac:dyDescent="0.2">
      <c r="B26" s="109"/>
      <c r="C26" s="255" t="s">
        <v>139</v>
      </c>
      <c r="D26" s="255"/>
      <c r="E26" s="255"/>
      <c r="F26" s="255"/>
      <c r="G26" s="255"/>
      <c r="H26" s="255"/>
      <c r="I26" s="255"/>
      <c r="J26" s="255"/>
      <c r="K26" s="255"/>
      <c r="L26" s="255"/>
    </row>
    <row r="27" spans="2:12" x14ac:dyDescent="0.2">
      <c r="B27" s="16" t="s">
        <v>129</v>
      </c>
      <c r="C27" s="12">
        <f t="shared" ref="C27:L27" si="6">C6</f>
        <v>2021</v>
      </c>
      <c r="D27" s="12">
        <f t="shared" si="6"/>
        <v>2022</v>
      </c>
      <c r="E27" s="12">
        <f t="shared" si="6"/>
        <v>2023</v>
      </c>
      <c r="F27" s="12">
        <f t="shared" si="6"/>
        <v>2024</v>
      </c>
      <c r="G27" s="12">
        <f t="shared" si="6"/>
        <v>2025</v>
      </c>
      <c r="H27" s="12">
        <f t="shared" si="6"/>
        <v>2026</v>
      </c>
      <c r="I27" s="12">
        <f t="shared" si="6"/>
        <v>2027</v>
      </c>
      <c r="J27" s="12">
        <f t="shared" si="6"/>
        <v>2028</v>
      </c>
      <c r="K27" s="12">
        <f t="shared" si="6"/>
        <v>2029</v>
      </c>
      <c r="L27" s="12">
        <f t="shared" si="6"/>
        <v>2030</v>
      </c>
    </row>
    <row r="28" spans="2:12" x14ac:dyDescent="0.2">
      <c r="B28" s="1" t="s">
        <v>140</v>
      </c>
      <c r="C28" s="114">
        <f>Statement!M54</f>
        <v>-117</v>
      </c>
      <c r="D28" s="114">
        <f>Statement!N54</f>
        <v>-376</v>
      </c>
      <c r="E28" s="114">
        <f>Statement!O54</f>
        <v>-277</v>
      </c>
      <c r="F28" s="114">
        <f>Statement!P54</f>
        <v>-280</v>
      </c>
      <c r="G28" s="115">
        <f>Statement!Q54</f>
        <v>-548</v>
      </c>
      <c r="H28" s="126">
        <f>-(H13-G13)</f>
        <v>-1230.5927397260266</v>
      </c>
      <c r="I28" s="126">
        <f t="shared" ref="I28:L29" si="7">-(I13-H13)</f>
        <v>-1446.5682698630135</v>
      </c>
      <c r="J28" s="126">
        <f t="shared" si="7"/>
        <v>-1595.8693119863028</v>
      </c>
      <c r="K28" s="126">
        <f t="shared" si="7"/>
        <v>-1705.995186139724</v>
      </c>
      <c r="L28" s="126">
        <f t="shared" si="7"/>
        <v>-1279.0671206993975</v>
      </c>
    </row>
    <row r="29" spans="2:12" x14ac:dyDescent="0.2">
      <c r="B29" s="1" t="s">
        <v>141</v>
      </c>
      <c r="C29" s="114">
        <f>Statement!M55</f>
        <v>-126</v>
      </c>
      <c r="D29" s="114">
        <f>Statement!N55</f>
        <v>-211</v>
      </c>
      <c r="E29" s="114">
        <f>Statement!O55</f>
        <v>-54</v>
      </c>
      <c r="F29" s="114">
        <f>Statement!P55</f>
        <v>-369</v>
      </c>
      <c r="G29" s="115">
        <f>Statement!Q55</f>
        <v>-165</v>
      </c>
      <c r="H29" s="126">
        <f>-(H14-G14)</f>
        <v>-882.60652054794537</v>
      </c>
      <c r="I29" s="126">
        <f t="shared" si="7"/>
        <v>-779.88898027397272</v>
      </c>
      <c r="J29" s="126">
        <f t="shared" si="7"/>
        <v>-667.8070119863014</v>
      </c>
      <c r="K29" s="126">
        <f t="shared" si="7"/>
        <v>-875.24970419342344</v>
      </c>
      <c r="L29" s="126">
        <f t="shared" si="7"/>
        <v>-566.06841298130439</v>
      </c>
    </row>
    <row r="30" spans="2:12" x14ac:dyDescent="0.2">
      <c r="B30" s="1" t="s">
        <v>142</v>
      </c>
      <c r="C30" s="114">
        <f>Statement!M56</f>
        <v>105</v>
      </c>
      <c r="D30" s="114">
        <f>Statement!N56</f>
        <v>133</v>
      </c>
      <c r="E30" s="114">
        <f>Statement!O56</f>
        <v>-18</v>
      </c>
      <c r="F30" s="114">
        <f>Statement!P56</f>
        <v>343</v>
      </c>
      <c r="G30" s="115">
        <f>Statement!Q56</f>
        <v>381</v>
      </c>
      <c r="H30" s="64">
        <f>H15-G15</f>
        <v>1051.527824657534</v>
      </c>
      <c r="I30" s="64">
        <f t="shared" ref="I30:L30" si="8">I15-H15</f>
        <v>935.86677632876763</v>
      </c>
      <c r="J30" s="64">
        <f t="shared" si="8"/>
        <v>801.36841438356123</v>
      </c>
      <c r="K30" s="64">
        <f t="shared" si="8"/>
        <v>1050.2996450321098</v>
      </c>
      <c r="L30" s="64">
        <f t="shared" si="8"/>
        <v>679.28209557756418</v>
      </c>
    </row>
    <row r="31" spans="2:12" x14ac:dyDescent="0.2">
      <c r="B31" s="109"/>
      <c r="C31" s="109"/>
    </row>
    <row r="32" spans="2:12" x14ac:dyDescent="0.2">
      <c r="B32" s="109"/>
      <c r="C32" s="109"/>
    </row>
    <row r="33" spans="2:12" x14ac:dyDescent="0.2">
      <c r="B33" s="109"/>
      <c r="C33" s="255" t="s">
        <v>143</v>
      </c>
      <c r="D33" s="255"/>
      <c r="E33" s="255"/>
      <c r="F33" s="255"/>
      <c r="G33" s="255"/>
      <c r="H33" s="255"/>
      <c r="I33" s="255"/>
      <c r="J33" s="255"/>
      <c r="K33" s="255"/>
      <c r="L33" s="255"/>
    </row>
    <row r="34" spans="2:12" x14ac:dyDescent="0.2">
      <c r="B34" s="16" t="s">
        <v>129</v>
      </c>
      <c r="C34" s="12">
        <f t="shared" ref="C34:L34" si="9">C6</f>
        <v>2021</v>
      </c>
      <c r="D34" s="12">
        <f t="shared" si="9"/>
        <v>2022</v>
      </c>
      <c r="E34" s="12">
        <f t="shared" si="9"/>
        <v>2023</v>
      </c>
      <c r="F34" s="12">
        <f t="shared" si="9"/>
        <v>2024</v>
      </c>
      <c r="G34" s="12">
        <f t="shared" si="9"/>
        <v>2025</v>
      </c>
      <c r="H34" s="12">
        <f t="shared" si="9"/>
        <v>2026</v>
      </c>
      <c r="I34" s="12">
        <f t="shared" si="9"/>
        <v>2027</v>
      </c>
      <c r="J34" s="12">
        <f t="shared" si="9"/>
        <v>2028</v>
      </c>
      <c r="K34" s="12">
        <f t="shared" si="9"/>
        <v>2029</v>
      </c>
      <c r="L34" s="12">
        <f t="shared" si="9"/>
        <v>2030</v>
      </c>
    </row>
    <row r="35" spans="2:12" x14ac:dyDescent="0.2">
      <c r="B35" s="1" t="s">
        <v>144</v>
      </c>
      <c r="C35" s="114">
        <f>Statement!M54+Statement!M55+Statement!M56+Statement!M57</f>
        <v>-133</v>
      </c>
      <c r="D35" s="114">
        <f>Statement!N54+Statement!N55+Statement!N56+Statement!N57</f>
        <v>-449</v>
      </c>
      <c r="E35" s="114">
        <f>Statement!O54+Statement!O55+Statement!O56+Statement!O57</f>
        <v>67</v>
      </c>
      <c r="F35" s="114">
        <f>Statement!P54+Statement!P55+Statement!P56+Statement!P57</f>
        <v>115</v>
      </c>
      <c r="G35" s="115">
        <f>Statement!Q54+Statement!Q55+Statement!Q56+Statement!Q57</f>
        <v>339</v>
      </c>
      <c r="H35" s="126">
        <f>H36+H28+H29+H30</f>
        <v>-97.527135616438045</v>
      </c>
      <c r="I35" s="126">
        <f t="shared" ref="I35:L35" si="10">I36+I28+I29+I30</f>
        <v>-5.05644080821844</v>
      </c>
      <c r="J35" s="126">
        <f t="shared" si="10"/>
        <v>177.78665316095703</v>
      </c>
      <c r="K35" s="126">
        <f t="shared" si="10"/>
        <v>199.73091660296222</v>
      </c>
      <c r="L35" s="126">
        <f t="shared" si="10"/>
        <v>808.40159287318215</v>
      </c>
    </row>
    <row r="36" spans="2:12" x14ac:dyDescent="0.2">
      <c r="B36" s="1" t="s">
        <v>145</v>
      </c>
      <c r="C36" s="120">
        <f>C35-C28-C29-C30</f>
        <v>5</v>
      </c>
      <c r="D36" s="120">
        <f t="shared" ref="D36:G36" si="11">D35-D28-D29-D30</f>
        <v>5</v>
      </c>
      <c r="E36" s="120">
        <f t="shared" si="11"/>
        <v>416</v>
      </c>
      <c r="F36" s="120">
        <f t="shared" si="11"/>
        <v>421</v>
      </c>
      <c r="G36" s="121">
        <f t="shared" si="11"/>
        <v>671</v>
      </c>
      <c r="H36" s="64">
        <f>H7*H37</f>
        <v>964.14430000000004</v>
      </c>
      <c r="I36" s="64">
        <f>I7*I37</f>
        <v>1285.5340330000001</v>
      </c>
      <c r="J36" s="64">
        <f>J7*J37</f>
        <v>1640.09456275</v>
      </c>
      <c r="K36" s="64">
        <f>K7*K37</f>
        <v>1730.6761619039999</v>
      </c>
      <c r="L36" s="64">
        <f>L7*L37</f>
        <v>1974.2550309763199</v>
      </c>
    </row>
    <row r="37" spans="2:12" x14ac:dyDescent="0.2">
      <c r="B37" s="122" t="s">
        <v>125</v>
      </c>
      <c r="C37" s="123">
        <f>C36/C7</f>
        <v>1.0004001600640256E-3</v>
      </c>
      <c r="D37" s="123">
        <f>D36/D7</f>
        <v>8.7842586085734359E-4</v>
      </c>
      <c r="E37" s="123">
        <f>E36/E7</f>
        <v>6.0614891446889113E-2</v>
      </c>
      <c r="F37" s="123">
        <f>F36/F7</f>
        <v>5.2546180728906641E-2</v>
      </c>
      <c r="G37" s="124">
        <f>G36/G7</f>
        <v>6.5591397849462371E-2</v>
      </c>
      <c r="H37" s="97">
        <v>7.0000000000000007E-2</v>
      </c>
      <c r="I37" s="97">
        <v>7.0000000000000007E-2</v>
      </c>
      <c r="J37" s="97">
        <v>7.0000000000000007E-2</v>
      </c>
      <c r="K37" s="97">
        <v>0.06</v>
      </c>
      <c r="L37" s="97">
        <v>0.06</v>
      </c>
    </row>
    <row r="38" spans="2:12" x14ac:dyDescent="0.2">
      <c r="C38" s="64"/>
    </row>
    <row r="39" spans="2:12" x14ac:dyDescent="0.2">
      <c r="C39" s="125"/>
    </row>
    <row r="40" spans="2:12" x14ac:dyDescent="0.2">
      <c r="C40" s="255" t="s">
        <v>146</v>
      </c>
      <c r="D40" s="255"/>
      <c r="E40" s="255"/>
      <c r="F40" s="255"/>
      <c r="G40" s="255"/>
      <c r="H40" s="255"/>
      <c r="I40" s="255"/>
      <c r="J40" s="255"/>
      <c r="K40" s="255"/>
      <c r="L40" s="255"/>
    </row>
    <row r="41" spans="2:12" x14ac:dyDescent="0.2">
      <c r="B41" s="16" t="s">
        <v>129</v>
      </c>
      <c r="C41" s="12">
        <f t="shared" ref="C41:L41" si="12">C6</f>
        <v>2021</v>
      </c>
      <c r="D41" s="12">
        <f t="shared" si="12"/>
        <v>2022</v>
      </c>
      <c r="E41" s="12">
        <f t="shared" si="12"/>
        <v>2023</v>
      </c>
      <c r="F41" s="12">
        <f t="shared" si="12"/>
        <v>2024</v>
      </c>
      <c r="G41" s="12">
        <f t="shared" si="12"/>
        <v>2025</v>
      </c>
      <c r="H41" s="12">
        <f t="shared" si="12"/>
        <v>2026</v>
      </c>
      <c r="I41" s="12">
        <f t="shared" si="12"/>
        <v>2027</v>
      </c>
      <c r="J41" s="12">
        <f t="shared" si="12"/>
        <v>2028</v>
      </c>
      <c r="K41" s="12">
        <f t="shared" si="12"/>
        <v>2029</v>
      </c>
      <c r="L41" s="12">
        <f t="shared" si="12"/>
        <v>2030</v>
      </c>
    </row>
    <row r="42" spans="2:12" x14ac:dyDescent="0.2">
      <c r="B42" s="1" t="s">
        <v>54</v>
      </c>
      <c r="C42" s="114">
        <f>Statement!M52</f>
        <v>229</v>
      </c>
      <c r="D42" s="114">
        <f>Statement!N52</f>
        <v>302</v>
      </c>
      <c r="E42" s="114">
        <f>Statement!O52</f>
        <v>271</v>
      </c>
      <c r="F42" s="114">
        <f>Statement!P52</f>
        <v>277</v>
      </c>
      <c r="G42" s="115">
        <f>Statement!Q52</f>
        <v>309</v>
      </c>
      <c r="H42" s="25">
        <f>H7*H43</f>
        <v>413.2047</v>
      </c>
      <c r="I42" s="25">
        <f>I7*I43</f>
        <v>514.21361320000005</v>
      </c>
      <c r="J42" s="25">
        <f>J7*J43</f>
        <v>679.46774742499997</v>
      </c>
      <c r="K42" s="25">
        <f>K7*K43</f>
        <v>807.64887555519999</v>
      </c>
      <c r="L42" s="25">
        <f>L7*L43</f>
        <v>888.41476393934397</v>
      </c>
    </row>
    <row r="43" spans="2:12" x14ac:dyDescent="0.2">
      <c r="B43" s="122" t="s">
        <v>147</v>
      </c>
      <c r="C43" s="123">
        <f>C42/C7</f>
        <v>4.5818327330932371E-2</v>
      </c>
      <c r="D43" s="123">
        <f>D42/D7</f>
        <v>5.3056921995783553E-2</v>
      </c>
      <c r="E43" s="123">
        <f>E42/E7</f>
        <v>3.9487104764680168E-2</v>
      </c>
      <c r="F43" s="123">
        <f>F42/F7</f>
        <v>3.4573140289565651E-2</v>
      </c>
      <c r="G43" s="124">
        <f>G42/G7</f>
        <v>3.0205278592375366E-2</v>
      </c>
      <c r="H43" s="97">
        <v>0.03</v>
      </c>
      <c r="I43" s="97">
        <v>2.8000000000000001E-2</v>
      </c>
      <c r="J43" s="97">
        <v>2.9000000000000001E-2</v>
      </c>
      <c r="K43" s="97">
        <v>2.8000000000000001E-2</v>
      </c>
      <c r="L43" s="97">
        <v>2.7E-2</v>
      </c>
    </row>
    <row r="44" spans="2:12" x14ac:dyDescent="0.2">
      <c r="B44" s="122" t="s">
        <v>148</v>
      </c>
      <c r="C44" s="123">
        <f>C42/C45</f>
        <v>2.7261904761904763</v>
      </c>
      <c r="D44" s="123">
        <f t="shared" ref="D44:L44" si="13">D42/D45</f>
        <v>2.7207207207207209</v>
      </c>
      <c r="E44" s="123">
        <f t="shared" si="13"/>
        <v>2.0074074074074075</v>
      </c>
      <c r="F44" s="123">
        <f t="shared" si="13"/>
        <v>1.5054347826086956</v>
      </c>
      <c r="G44" s="124">
        <f t="shared" si="13"/>
        <v>1.3672566371681416</v>
      </c>
      <c r="H44" s="123">
        <f t="shared" si="13"/>
        <v>0.75</v>
      </c>
      <c r="I44" s="123">
        <f t="shared" si="13"/>
        <v>0.875</v>
      </c>
      <c r="J44" s="123">
        <f t="shared" si="13"/>
        <v>1.0740740740740742</v>
      </c>
      <c r="K44" s="123">
        <f t="shared" si="13"/>
        <v>1.1666666666666667</v>
      </c>
      <c r="L44" s="123">
        <f t="shared" si="13"/>
        <v>1.173913043478261</v>
      </c>
    </row>
    <row r="45" spans="2:12" x14ac:dyDescent="0.2">
      <c r="B45" s="1" t="s">
        <v>57</v>
      </c>
      <c r="C45" s="114">
        <f>-Statement!M108</f>
        <v>84</v>
      </c>
      <c r="D45" s="114">
        <f>-Statement!N108</f>
        <v>111</v>
      </c>
      <c r="E45" s="114">
        <f>-Statement!O108</f>
        <v>135</v>
      </c>
      <c r="F45" s="114">
        <f>-Statement!P108</f>
        <v>184</v>
      </c>
      <c r="G45" s="115">
        <f>-Statement!Q108</f>
        <v>226</v>
      </c>
      <c r="H45" s="25">
        <f>H7*H46</f>
        <v>550.93960000000004</v>
      </c>
      <c r="I45" s="25">
        <f>I7*I46</f>
        <v>587.67270080000003</v>
      </c>
      <c r="J45" s="25">
        <f>J7*J46</f>
        <v>632.60790277499996</v>
      </c>
      <c r="K45" s="25">
        <f>K7*K46</f>
        <v>692.27046476160001</v>
      </c>
      <c r="L45" s="25">
        <f>L7*L46</f>
        <v>756.79776187425591</v>
      </c>
    </row>
    <row r="46" spans="2:12" x14ac:dyDescent="0.2">
      <c r="B46" s="122" t="s">
        <v>147</v>
      </c>
      <c r="C46" s="123">
        <f>C45/C7</f>
        <v>1.680672268907563E-2</v>
      </c>
      <c r="D46" s="123">
        <f>D45/D7</f>
        <v>1.950105411103303E-2</v>
      </c>
      <c r="E46" s="123">
        <f>E45/E7</f>
        <v>1.967069794550488E-2</v>
      </c>
      <c r="F46" s="123">
        <f>F45/F7</f>
        <v>2.2965551672491265E-2</v>
      </c>
      <c r="G46" s="124">
        <f>G45/G7</f>
        <v>2.2091886608015639E-2</v>
      </c>
      <c r="H46" s="97">
        <v>0.04</v>
      </c>
      <c r="I46" s="97">
        <v>3.2000000000000001E-2</v>
      </c>
      <c r="J46" s="97">
        <v>2.7E-2</v>
      </c>
      <c r="K46" s="97">
        <v>2.4E-2</v>
      </c>
      <c r="L46" s="97">
        <v>2.3E-2</v>
      </c>
    </row>
  </sheetData>
  <mergeCells count="13">
    <mergeCell ref="C40:L40"/>
    <mergeCell ref="C11:L11"/>
    <mergeCell ref="P11:Z11"/>
    <mergeCell ref="C18:L18"/>
    <mergeCell ref="B25:C25"/>
    <mergeCell ref="C26:L26"/>
    <mergeCell ref="C33:L33"/>
    <mergeCell ref="C3:G3"/>
    <mergeCell ref="H3:L3"/>
    <mergeCell ref="P3:W3"/>
    <mergeCell ref="X3:Z3"/>
    <mergeCell ref="C5:L5"/>
    <mergeCell ref="P5:Z5"/>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D0CC1-03C8-8940-8079-159588699646}">
  <dimension ref="A1:AE34"/>
  <sheetViews>
    <sheetView topLeftCell="D24" zoomScale="183" workbookViewId="0">
      <selection activeCell="H28" sqref="H28"/>
    </sheetView>
  </sheetViews>
  <sheetFormatPr baseColWidth="10" defaultRowHeight="16" x14ac:dyDescent="0.2"/>
  <cols>
    <col min="1" max="1" width="2" style="83"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36.83203125" style="1" customWidth="1"/>
    <col min="18" max="18" width="24.6640625" style="1" customWidth="1"/>
    <col min="19" max="29" width="10.83203125" style="1"/>
    <col min="30" max="30" width="2" style="1" customWidth="1"/>
    <col min="31" max="31" width="12.33203125" style="1" customWidth="1"/>
    <col min="32" max="16384" width="10.83203125" style="1"/>
  </cols>
  <sheetData>
    <row r="1" spans="1:31" s="83" customFormat="1" ht="18" customHeight="1" x14ac:dyDescent="0.2">
      <c r="A1" s="4"/>
      <c r="B1" s="82" t="s">
        <v>149</v>
      </c>
    </row>
    <row r="2" spans="1:31" x14ac:dyDescent="0.2">
      <c r="A2" s="4"/>
      <c r="C2" s="249" t="s">
        <v>109</v>
      </c>
      <c r="D2" s="249"/>
      <c r="E2" s="249"/>
      <c r="F2" s="249"/>
      <c r="G2" s="258"/>
      <c r="H2" s="259" t="s">
        <v>110</v>
      </c>
      <c r="I2" s="249"/>
      <c r="J2" s="249"/>
      <c r="K2" s="249"/>
      <c r="L2" s="249"/>
      <c r="S2" s="260"/>
      <c r="T2" s="260"/>
      <c r="U2" s="260"/>
      <c r="V2" s="260"/>
      <c r="W2" s="260"/>
      <c r="X2" s="260"/>
      <c r="Y2" s="260"/>
      <c r="Z2" s="260"/>
      <c r="AA2" s="260"/>
      <c r="AB2" s="260"/>
      <c r="AC2" s="260"/>
      <c r="AE2" s="109"/>
    </row>
    <row r="3" spans="1:31" ht="10" customHeight="1" x14ac:dyDescent="0.2"/>
    <row r="4" spans="1:31" ht="16" customHeight="1" x14ac:dyDescent="0.2">
      <c r="A4" s="86"/>
      <c r="B4" s="60"/>
      <c r="C4" s="255" t="s">
        <v>18</v>
      </c>
      <c r="D4" s="255"/>
      <c r="E4" s="255"/>
      <c r="F4" s="255"/>
      <c r="G4" s="255"/>
      <c r="H4" s="255"/>
      <c r="I4" s="255"/>
      <c r="J4" s="255"/>
      <c r="K4" s="255"/>
      <c r="L4" s="255"/>
      <c r="S4" s="260"/>
      <c r="T4" s="260"/>
      <c r="U4" s="260"/>
      <c r="V4" s="260"/>
      <c r="W4" s="260"/>
      <c r="X4" s="260"/>
      <c r="Y4" s="260"/>
      <c r="Z4" s="260"/>
      <c r="AA4" s="260"/>
      <c r="AB4" s="260"/>
      <c r="AC4" s="260"/>
      <c r="AE4" s="110"/>
    </row>
    <row r="5" spans="1:31" x14ac:dyDescent="0.2">
      <c r="B5" s="16" t="s">
        <v>129</v>
      </c>
      <c r="C5" s="12">
        <f>Revenue!C5</f>
        <v>2021</v>
      </c>
      <c r="D5" s="12">
        <f>Revenue!D5</f>
        <v>2022</v>
      </c>
      <c r="E5" s="12">
        <f>Revenue!E5</f>
        <v>2023</v>
      </c>
      <c r="F5" s="12">
        <f>Revenue!F5</f>
        <v>2024</v>
      </c>
      <c r="G5" s="12">
        <f>Revenue!G5</f>
        <v>2025</v>
      </c>
      <c r="H5" s="12">
        <f>G5+1</f>
        <v>2026</v>
      </c>
      <c r="I5" s="12">
        <f t="shared" ref="I5:L5" si="0">H5+1</f>
        <v>2027</v>
      </c>
      <c r="J5" s="12">
        <f t="shared" si="0"/>
        <v>2028</v>
      </c>
      <c r="K5" s="12">
        <f t="shared" si="0"/>
        <v>2029</v>
      </c>
      <c r="L5" s="12">
        <f t="shared" si="0"/>
        <v>2030</v>
      </c>
      <c r="R5" s="16"/>
      <c r="S5" s="111"/>
      <c r="T5" s="111"/>
      <c r="U5" s="111"/>
      <c r="V5" s="111"/>
      <c r="W5" s="111"/>
      <c r="X5" s="111"/>
      <c r="Y5" s="111"/>
      <c r="Z5" s="111"/>
      <c r="AA5" s="111"/>
      <c r="AB5" s="111"/>
      <c r="AC5" s="111"/>
      <c r="AE5" s="110"/>
    </row>
    <row r="6" spans="1:31" x14ac:dyDescent="0.2">
      <c r="B6" s="16" t="s">
        <v>19</v>
      </c>
      <c r="C6" s="92">
        <f>Revenue!C8</f>
        <v>4998</v>
      </c>
      <c r="D6" s="92">
        <f>Revenue!D8</f>
        <v>5692</v>
      </c>
      <c r="E6" s="92">
        <f>Revenue!E8</f>
        <v>6863</v>
      </c>
      <c r="F6" s="92">
        <f>Revenue!F8</f>
        <v>8012</v>
      </c>
      <c r="G6" s="93">
        <f>Revenue!G8</f>
        <v>10230</v>
      </c>
      <c r="H6" s="92">
        <f>Revenue!H8</f>
        <v>13773.49</v>
      </c>
      <c r="I6" s="92">
        <f>Revenue!I8</f>
        <v>18364.7719</v>
      </c>
      <c r="J6" s="92">
        <f>Revenue!J8</f>
        <v>23429.922325</v>
      </c>
      <c r="K6" s="92">
        <f>Revenue!K8</f>
        <v>28844.602698399998</v>
      </c>
      <c r="L6" s="92">
        <f>Revenue!L8</f>
        <v>32904.250516271997</v>
      </c>
      <c r="N6" s="90" t="s">
        <v>150</v>
      </c>
      <c r="Q6" s="90"/>
      <c r="S6" s="88"/>
      <c r="T6" s="88"/>
      <c r="U6" s="88"/>
      <c r="V6" s="88"/>
      <c r="W6" s="88"/>
      <c r="X6" s="88"/>
      <c r="Y6" s="88"/>
      <c r="Z6" s="88"/>
      <c r="AA6" s="64"/>
      <c r="AB6" s="64"/>
      <c r="AC6" s="64"/>
      <c r="AE6" s="64"/>
    </row>
    <row r="7" spans="1:31" x14ac:dyDescent="0.2">
      <c r="B7" s="1" t="s">
        <v>20</v>
      </c>
      <c r="C7" s="88">
        <f>'COGS &amp; OpEx'!C11</f>
        <v>3475</v>
      </c>
      <c r="D7" s="88">
        <f>'COGS &amp; OpEx'!D11</f>
        <v>4075</v>
      </c>
      <c r="E7" s="88">
        <f>'COGS &amp; OpEx'!E11</f>
        <v>4463</v>
      </c>
      <c r="F7" s="88">
        <f>'COGS &amp; OpEx'!F11</f>
        <v>5078</v>
      </c>
      <c r="G7" s="89">
        <f>'COGS &amp; OpEx'!G11</f>
        <v>6515</v>
      </c>
      <c r="H7" s="112">
        <f>'COGS &amp; OpEx'!H11</f>
        <v>8539.5637999999999</v>
      </c>
      <c r="I7" s="112">
        <f>'COGS &amp; OpEx'!I11</f>
        <v>11386.158578</v>
      </c>
      <c r="J7" s="112">
        <f>'COGS &amp; OpEx'!J11</f>
        <v>13823.65417175</v>
      </c>
      <c r="K7" s="112">
        <f>'COGS &amp; OpEx'!K11</f>
        <v>17018.315592055998</v>
      </c>
      <c r="L7" s="112">
        <f>'COGS &amp; OpEx'!L11</f>
        <v>19084.465299437757</v>
      </c>
      <c r="N7" s="90" t="s">
        <v>151</v>
      </c>
      <c r="Q7" s="90"/>
      <c r="S7" s="88"/>
      <c r="T7" s="88"/>
      <c r="U7" s="88"/>
      <c r="V7" s="88"/>
      <c r="W7" s="88"/>
      <c r="X7" s="88"/>
      <c r="Y7" s="88"/>
      <c r="Z7" s="88"/>
      <c r="AA7" s="64"/>
      <c r="AB7" s="64"/>
      <c r="AC7" s="64"/>
      <c r="AE7" s="64"/>
    </row>
    <row r="8" spans="1:31" x14ac:dyDescent="0.2">
      <c r="B8" s="16" t="s">
        <v>152</v>
      </c>
      <c r="C8" s="94">
        <f>C6-C7</f>
        <v>1523</v>
      </c>
      <c r="D8" s="94">
        <f t="shared" ref="D8:L8" si="1">D6-D7</f>
        <v>1617</v>
      </c>
      <c r="E8" s="94">
        <f t="shared" si="1"/>
        <v>2400</v>
      </c>
      <c r="F8" s="94">
        <f t="shared" si="1"/>
        <v>2934</v>
      </c>
      <c r="G8" s="127">
        <f t="shared" si="1"/>
        <v>3715</v>
      </c>
      <c r="H8" s="94">
        <f t="shared" si="1"/>
        <v>5233.9261999999999</v>
      </c>
      <c r="I8" s="94">
        <f t="shared" si="1"/>
        <v>6978.6133219999992</v>
      </c>
      <c r="J8" s="94">
        <f t="shared" si="1"/>
        <v>9606.2681532499992</v>
      </c>
      <c r="K8" s="94">
        <f t="shared" si="1"/>
        <v>11826.287106344</v>
      </c>
      <c r="L8" s="94">
        <f t="shared" si="1"/>
        <v>13819.78521683424</v>
      </c>
      <c r="N8" s="90"/>
      <c r="Q8" s="90"/>
      <c r="S8" s="88"/>
      <c r="T8" s="88"/>
      <c r="U8" s="88"/>
      <c r="V8" s="88"/>
      <c r="W8" s="88"/>
      <c r="X8" s="88"/>
      <c r="Y8" s="88"/>
      <c r="Z8" s="88"/>
      <c r="AA8" s="64"/>
      <c r="AB8" s="64"/>
      <c r="AC8" s="64"/>
      <c r="AE8" s="64"/>
    </row>
    <row r="9" spans="1:31" x14ac:dyDescent="0.2">
      <c r="B9" s="1" t="s">
        <v>22</v>
      </c>
      <c r="C9" s="88">
        <f>'COGS &amp; OpEx'!C16</f>
        <v>1263</v>
      </c>
      <c r="D9" s="88">
        <f>'COGS &amp; OpEx'!D16</f>
        <v>1394</v>
      </c>
      <c r="E9" s="88">
        <f>'COGS &amp; OpEx'!E16</f>
        <v>1528</v>
      </c>
      <c r="F9" s="88">
        <f>'COGS &amp; OpEx'!F16</f>
        <v>1567</v>
      </c>
      <c r="G9" s="89">
        <f>'COGS &amp; OpEx'!G16</f>
        <v>1885</v>
      </c>
      <c r="H9" s="112">
        <f>'COGS &amp; OpEx'!H16</f>
        <v>2341.4932999999996</v>
      </c>
      <c r="I9" s="112">
        <f>'COGS &amp; OpEx'!I16</f>
        <v>2938.3635040000004</v>
      </c>
      <c r="J9" s="112">
        <f>'COGS &amp; OpEx'!J16</f>
        <v>3748.7875720000002</v>
      </c>
      <c r="K9" s="112">
        <f>'COGS &amp; OpEx'!K16</f>
        <v>4615.1364317440002</v>
      </c>
      <c r="L9" s="112">
        <f>'COGS &amp; OpEx'!L16</f>
        <v>5264.6800826035196</v>
      </c>
      <c r="N9" s="128" t="s">
        <v>151</v>
      </c>
      <c r="Q9" s="90"/>
      <c r="S9" s="88"/>
      <c r="T9" s="88"/>
      <c r="U9" s="88"/>
      <c r="V9" s="88"/>
      <c r="W9" s="88"/>
      <c r="X9" s="88"/>
      <c r="Y9" s="88"/>
      <c r="Z9" s="88"/>
      <c r="AA9" s="64"/>
      <c r="AB9" s="64"/>
      <c r="AC9" s="64"/>
      <c r="AE9" s="64"/>
    </row>
    <row r="10" spans="1:31" x14ac:dyDescent="0.2">
      <c r="B10" s="16" t="s">
        <v>153</v>
      </c>
      <c r="C10" s="94">
        <f t="shared" ref="C10:L10" si="2">C8-C9</f>
        <v>260</v>
      </c>
      <c r="D10" s="94">
        <f t="shared" si="2"/>
        <v>223</v>
      </c>
      <c r="E10" s="94">
        <f t="shared" si="2"/>
        <v>872</v>
      </c>
      <c r="F10" s="94">
        <f t="shared" si="2"/>
        <v>1367</v>
      </c>
      <c r="G10" s="127">
        <f t="shared" si="2"/>
        <v>1830</v>
      </c>
      <c r="H10" s="94">
        <f t="shared" si="2"/>
        <v>2892.4329000000002</v>
      </c>
      <c r="I10" s="94">
        <f t="shared" si="2"/>
        <v>4040.2498179999989</v>
      </c>
      <c r="J10" s="94">
        <f t="shared" si="2"/>
        <v>5857.480581249999</v>
      </c>
      <c r="K10" s="94">
        <f t="shared" si="2"/>
        <v>7211.1506745999995</v>
      </c>
      <c r="L10" s="94">
        <f t="shared" si="2"/>
        <v>8555.1051342307201</v>
      </c>
      <c r="N10" s="90"/>
      <c r="Q10" s="90"/>
      <c r="S10" s="88"/>
      <c r="T10" s="88"/>
      <c r="U10" s="88"/>
      <c r="V10" s="88"/>
      <c r="W10" s="88"/>
      <c r="X10" s="88"/>
      <c r="Y10" s="88"/>
      <c r="Z10" s="88"/>
      <c r="AA10" s="64"/>
      <c r="AB10" s="64"/>
      <c r="AC10" s="64"/>
      <c r="AE10" s="64"/>
    </row>
    <row r="13" spans="1:31" x14ac:dyDescent="0.2">
      <c r="C13" s="255" t="s">
        <v>154</v>
      </c>
      <c r="D13" s="255"/>
      <c r="E13" s="255"/>
      <c r="F13" s="255"/>
      <c r="G13" s="255"/>
      <c r="H13" s="255"/>
      <c r="I13" s="255"/>
      <c r="J13" s="255"/>
      <c r="K13" s="255"/>
      <c r="L13" s="255"/>
    </row>
    <row r="14" spans="1:31" x14ac:dyDescent="0.2">
      <c r="C14" s="12">
        <f t="shared" ref="C14:L14" si="3">C5</f>
        <v>2021</v>
      </c>
      <c r="D14" s="12">
        <f t="shared" si="3"/>
        <v>2022</v>
      </c>
      <c r="E14" s="12">
        <f t="shared" si="3"/>
        <v>2023</v>
      </c>
      <c r="F14" s="12">
        <f t="shared" si="3"/>
        <v>2024</v>
      </c>
      <c r="G14" s="12">
        <f t="shared" si="3"/>
        <v>2025</v>
      </c>
      <c r="H14" s="12">
        <f t="shared" si="3"/>
        <v>2026</v>
      </c>
      <c r="I14" s="12">
        <f t="shared" si="3"/>
        <v>2027</v>
      </c>
      <c r="J14" s="12">
        <f t="shared" si="3"/>
        <v>2028</v>
      </c>
      <c r="K14" s="12">
        <f t="shared" si="3"/>
        <v>2029</v>
      </c>
      <c r="L14" s="12">
        <f t="shared" si="3"/>
        <v>2030</v>
      </c>
    </row>
    <row r="15" spans="1:31" x14ac:dyDescent="0.2">
      <c r="B15" s="1" t="s">
        <v>70</v>
      </c>
      <c r="C15" s="129">
        <f>Statement!M82</f>
        <v>0.28313253012048195</v>
      </c>
      <c r="D15" s="129">
        <f>Statement!N82</f>
        <v>0.53892215568862278</v>
      </c>
      <c r="E15" s="129">
        <f>Statement!O82</f>
        <v>0.13883677298311445</v>
      </c>
      <c r="F15" s="129">
        <f>Statement!P82</f>
        <v>0.35294117647058826</v>
      </c>
      <c r="G15" s="130">
        <f>Statement!Q82</f>
        <v>0.23478760045924224</v>
      </c>
      <c r="H15" s="129">
        <f>Overview!$C$26</f>
        <v>0.21</v>
      </c>
      <c r="I15" s="129">
        <f>Overview!$C$26</f>
        <v>0.21</v>
      </c>
      <c r="J15" s="129">
        <f>Overview!$C$26</f>
        <v>0.21</v>
      </c>
      <c r="K15" s="129">
        <f>Overview!$C$26</f>
        <v>0.21</v>
      </c>
      <c r="L15" s="129">
        <f>Overview!$C$26</f>
        <v>0.21</v>
      </c>
      <c r="N15" s="1" t="s">
        <v>159</v>
      </c>
    </row>
    <row r="18" spans="2:14" x14ac:dyDescent="0.2">
      <c r="C18" s="255" t="s">
        <v>155</v>
      </c>
      <c r="D18" s="255"/>
      <c r="E18" s="255"/>
      <c r="F18" s="255"/>
      <c r="G18" s="255"/>
      <c r="H18" s="255"/>
      <c r="I18" s="255"/>
      <c r="J18" s="255"/>
      <c r="K18" s="255"/>
      <c r="L18" s="255"/>
    </row>
    <row r="19" spans="2:14" x14ac:dyDescent="0.2">
      <c r="B19" s="16" t="s">
        <v>129</v>
      </c>
      <c r="C19" s="12">
        <f t="shared" ref="C19:L19" si="4">C5</f>
        <v>2021</v>
      </c>
      <c r="D19" s="12">
        <f t="shared" si="4"/>
        <v>2022</v>
      </c>
      <c r="E19" s="12">
        <f t="shared" si="4"/>
        <v>2023</v>
      </c>
      <c r="F19" s="12">
        <f t="shared" si="4"/>
        <v>2024</v>
      </c>
      <c r="G19" s="12">
        <f t="shared" si="4"/>
        <v>2025</v>
      </c>
      <c r="H19" s="12">
        <f t="shared" si="4"/>
        <v>2026</v>
      </c>
      <c r="I19" s="12">
        <f t="shared" si="4"/>
        <v>2027</v>
      </c>
      <c r="J19" s="12">
        <f t="shared" si="4"/>
        <v>2028</v>
      </c>
      <c r="K19" s="12">
        <f t="shared" si="4"/>
        <v>2029</v>
      </c>
      <c r="L19" s="12">
        <f t="shared" si="4"/>
        <v>2030</v>
      </c>
    </row>
    <row r="20" spans="2:14" x14ac:dyDescent="0.2">
      <c r="B20" s="1" t="s">
        <v>54</v>
      </c>
      <c r="C20" s="88">
        <f>'WC &amp; Investments'!C42</f>
        <v>229</v>
      </c>
      <c r="D20" s="88">
        <f>'WC &amp; Investments'!D42</f>
        <v>302</v>
      </c>
      <c r="E20" s="88">
        <f>'WC &amp; Investments'!E42</f>
        <v>271</v>
      </c>
      <c r="F20" s="88">
        <f>'WC &amp; Investments'!F42</f>
        <v>277</v>
      </c>
      <c r="G20" s="89">
        <f>'WC &amp; Investments'!G42</f>
        <v>309</v>
      </c>
      <c r="H20" s="88">
        <f>'WC &amp; Investments'!H42</f>
        <v>413.2047</v>
      </c>
      <c r="I20" s="88">
        <f>'WC &amp; Investments'!I42</f>
        <v>514.21361320000005</v>
      </c>
      <c r="J20" s="88">
        <f>'WC &amp; Investments'!J42</f>
        <v>679.46774742499997</v>
      </c>
      <c r="K20" s="88">
        <f>'WC &amp; Investments'!K42</f>
        <v>807.64887555519999</v>
      </c>
      <c r="L20" s="88">
        <f>'WC &amp; Investments'!L42</f>
        <v>888.41476393934397</v>
      </c>
      <c r="N20" s="1" t="s">
        <v>156</v>
      </c>
    </row>
    <row r="21" spans="2:14" x14ac:dyDescent="0.2">
      <c r="B21" s="1" t="s">
        <v>57</v>
      </c>
      <c r="C21" s="88">
        <f>'WC &amp; Investments'!C45</f>
        <v>84</v>
      </c>
      <c r="D21" s="88">
        <f>'WC &amp; Investments'!D45</f>
        <v>111</v>
      </c>
      <c r="E21" s="88">
        <f>'WC &amp; Investments'!E45</f>
        <v>135</v>
      </c>
      <c r="F21" s="88">
        <f>'WC &amp; Investments'!F45</f>
        <v>184</v>
      </c>
      <c r="G21" s="89">
        <f>'WC &amp; Investments'!G45</f>
        <v>226</v>
      </c>
      <c r="H21" s="88">
        <f>'WC &amp; Investments'!H45</f>
        <v>550.93960000000004</v>
      </c>
      <c r="I21" s="88">
        <f>'WC &amp; Investments'!I45</f>
        <v>587.67270080000003</v>
      </c>
      <c r="J21" s="88">
        <f>'WC &amp; Investments'!J45</f>
        <v>632.60790277499996</v>
      </c>
      <c r="K21" s="88">
        <f>'WC &amp; Investments'!K45</f>
        <v>692.27046476160001</v>
      </c>
      <c r="L21" s="88">
        <f>'WC &amp; Investments'!L45</f>
        <v>756.79776187425591</v>
      </c>
      <c r="N21" s="1" t="s">
        <v>156</v>
      </c>
    </row>
    <row r="22" spans="2:14" x14ac:dyDescent="0.2">
      <c r="B22" s="1" t="s">
        <v>157</v>
      </c>
      <c r="C22" s="88">
        <f>'WC &amp; Investments'!C35</f>
        <v>-133</v>
      </c>
      <c r="D22" s="88">
        <f>'WC &amp; Investments'!D35</f>
        <v>-449</v>
      </c>
      <c r="E22" s="88">
        <f>'WC &amp; Investments'!E35</f>
        <v>67</v>
      </c>
      <c r="F22" s="88">
        <f>'WC &amp; Investments'!F35</f>
        <v>115</v>
      </c>
      <c r="G22" s="89">
        <f>'WC &amp; Investments'!G35</f>
        <v>339</v>
      </c>
      <c r="H22" s="88">
        <f>'WC &amp; Investments'!H35</f>
        <v>-97.527135616438045</v>
      </c>
      <c r="I22" s="88">
        <f>'WC &amp; Investments'!I35</f>
        <v>-5.05644080821844</v>
      </c>
      <c r="J22" s="88">
        <f>'WC &amp; Investments'!J35</f>
        <v>177.78665316095703</v>
      </c>
      <c r="K22" s="88">
        <f>'WC &amp; Investments'!K35</f>
        <v>199.73091660296222</v>
      </c>
      <c r="L22" s="88">
        <f>'WC &amp; Investments'!L35</f>
        <v>808.40159287318215</v>
      </c>
      <c r="N22" s="1" t="s">
        <v>156</v>
      </c>
    </row>
    <row r="25" spans="2:14" x14ac:dyDescent="0.2">
      <c r="C25" s="255" t="s">
        <v>255</v>
      </c>
      <c r="D25" s="255"/>
      <c r="E25" s="255"/>
      <c r="F25" s="255"/>
      <c r="G25" s="255"/>
      <c r="H25" s="255"/>
      <c r="I25" s="255"/>
      <c r="J25" s="255"/>
      <c r="K25" s="255"/>
      <c r="L25" s="255"/>
    </row>
    <row r="26" spans="2:14" x14ac:dyDescent="0.2">
      <c r="B26" s="16" t="s">
        <v>129</v>
      </c>
      <c r="C26" s="12">
        <f t="shared" ref="C26:L26" si="5">C5</f>
        <v>2021</v>
      </c>
      <c r="D26" s="12">
        <f t="shared" si="5"/>
        <v>2022</v>
      </c>
      <c r="E26" s="12">
        <f t="shared" si="5"/>
        <v>2023</v>
      </c>
      <c r="F26" s="12">
        <f t="shared" si="5"/>
        <v>2024</v>
      </c>
      <c r="G26" s="12">
        <f t="shared" si="5"/>
        <v>2025</v>
      </c>
      <c r="H26" s="12">
        <f t="shared" si="5"/>
        <v>2026</v>
      </c>
      <c r="I26" s="12">
        <f t="shared" si="5"/>
        <v>2027</v>
      </c>
      <c r="J26" s="12">
        <f t="shared" si="5"/>
        <v>2028</v>
      </c>
      <c r="K26" s="12">
        <f t="shared" si="5"/>
        <v>2029</v>
      </c>
      <c r="L26" s="12">
        <f t="shared" si="5"/>
        <v>2030</v>
      </c>
    </row>
    <row r="27" spans="2:14" x14ac:dyDescent="0.2">
      <c r="B27" s="1" t="s">
        <v>158</v>
      </c>
      <c r="C27" s="126">
        <f>C10*(1-C15)</f>
        <v>186.3855421686747</v>
      </c>
      <c r="D27" s="126">
        <f t="shared" ref="D27:L27" si="6">D10*(1-D15)</f>
        <v>102.82035928143712</v>
      </c>
      <c r="E27" s="126">
        <f t="shared" si="6"/>
        <v>750.93433395872421</v>
      </c>
      <c r="F27" s="126">
        <f t="shared" si="6"/>
        <v>884.52941176470574</v>
      </c>
      <c r="G27" s="131">
        <f t="shared" si="6"/>
        <v>1400.3386911595867</v>
      </c>
      <c r="H27" s="126">
        <f t="shared" si="6"/>
        <v>2285.0219910000001</v>
      </c>
      <c r="I27" s="126">
        <f t="shared" si="6"/>
        <v>3191.7973562199991</v>
      </c>
      <c r="J27" s="126">
        <f t="shared" si="6"/>
        <v>4627.4096591874995</v>
      </c>
      <c r="K27" s="126">
        <f t="shared" si="6"/>
        <v>5696.8090329340002</v>
      </c>
      <c r="L27" s="126">
        <f t="shared" si="6"/>
        <v>6758.533056042269</v>
      </c>
    </row>
    <row r="28" spans="2:14" x14ac:dyDescent="0.2">
      <c r="B28" s="16" t="s">
        <v>255</v>
      </c>
      <c r="C28" s="94">
        <f>C27+C20-C21+C22</f>
        <v>198.3855421686747</v>
      </c>
      <c r="D28" s="94">
        <f t="shared" ref="D28:L28" si="7">D27+D20-D21+D22</f>
        <v>-155.17964071856289</v>
      </c>
      <c r="E28" s="94">
        <f t="shared" si="7"/>
        <v>953.93433395872421</v>
      </c>
      <c r="F28" s="94">
        <f t="shared" si="7"/>
        <v>1092.5294117647059</v>
      </c>
      <c r="G28" s="127">
        <f t="shared" si="7"/>
        <v>1822.3386911595867</v>
      </c>
      <c r="H28" s="94">
        <f t="shared" si="7"/>
        <v>2049.7599553835616</v>
      </c>
      <c r="I28" s="94">
        <f t="shared" si="7"/>
        <v>3113.2818278117811</v>
      </c>
      <c r="J28" s="94">
        <f t="shared" si="7"/>
        <v>4852.0561569984566</v>
      </c>
      <c r="K28" s="94">
        <f t="shared" si="7"/>
        <v>6011.9183603305628</v>
      </c>
      <c r="L28" s="94">
        <f t="shared" si="7"/>
        <v>7698.5516509805393</v>
      </c>
    </row>
    <row r="31" spans="2:14" x14ac:dyDescent="0.2">
      <c r="C31" s="255" t="s">
        <v>74</v>
      </c>
      <c r="D31" s="255"/>
      <c r="E31" s="255"/>
      <c r="F31" s="255"/>
      <c r="G31" s="255"/>
      <c r="H31" s="255"/>
      <c r="I31" s="255"/>
      <c r="J31" s="255"/>
      <c r="K31" s="255"/>
      <c r="L31" s="255"/>
    </row>
    <row r="32" spans="2:14" x14ac:dyDescent="0.2">
      <c r="B32" s="16" t="s">
        <v>325</v>
      </c>
      <c r="C32" s="12">
        <f>C5</f>
        <v>2021</v>
      </c>
      <c r="D32" s="12">
        <f t="shared" ref="D32:L32" si="8">D5</f>
        <v>2022</v>
      </c>
      <c r="E32" s="12">
        <f t="shared" si="8"/>
        <v>2023</v>
      </c>
      <c r="F32" s="12">
        <f t="shared" si="8"/>
        <v>2024</v>
      </c>
      <c r="G32" s="12">
        <f t="shared" si="8"/>
        <v>2025</v>
      </c>
      <c r="H32" s="12">
        <f t="shared" si="8"/>
        <v>2026</v>
      </c>
      <c r="I32" s="12">
        <f t="shared" si="8"/>
        <v>2027</v>
      </c>
      <c r="J32" s="12">
        <f t="shared" si="8"/>
        <v>2028</v>
      </c>
      <c r="K32" s="12">
        <f t="shared" si="8"/>
        <v>2029</v>
      </c>
      <c r="L32" s="12">
        <f t="shared" si="8"/>
        <v>2030</v>
      </c>
    </row>
    <row r="33" spans="2:12" x14ac:dyDescent="0.2">
      <c r="B33" s="1" t="s">
        <v>75</v>
      </c>
      <c r="C33" s="129">
        <f>Statement!M99</f>
        <v>0.30472188875550221</v>
      </c>
      <c r="D33" s="129">
        <f>Statement!N99</f>
        <v>0.28408292340126495</v>
      </c>
      <c r="E33" s="129">
        <f>Statement!O99</f>
        <v>0.34970129680897566</v>
      </c>
      <c r="F33" s="129">
        <f>Statement!P99</f>
        <v>0.36620069895157265</v>
      </c>
      <c r="G33" s="130">
        <f>Statement!Q99</f>
        <v>0.36314760508308896</v>
      </c>
      <c r="H33" s="210">
        <f>H8/H6</f>
        <v>0.38</v>
      </c>
      <c r="I33" s="210">
        <f t="shared" ref="I33:L33" si="9">I8/I6</f>
        <v>0.37999999999999995</v>
      </c>
      <c r="J33" s="210">
        <f t="shared" si="9"/>
        <v>0.41</v>
      </c>
      <c r="K33" s="210">
        <f t="shared" si="9"/>
        <v>0.41000000000000003</v>
      </c>
      <c r="L33" s="210">
        <f t="shared" si="9"/>
        <v>0.42000000000000004</v>
      </c>
    </row>
    <row r="34" spans="2:12" x14ac:dyDescent="0.2">
      <c r="B34" s="1" t="s">
        <v>76</v>
      </c>
      <c r="C34" s="129">
        <f>Statement!M100</f>
        <v>5.202080832332933E-2</v>
      </c>
      <c r="D34" s="129">
        <f>Statement!N100</f>
        <v>3.9177793394237527E-2</v>
      </c>
      <c r="E34" s="129">
        <f>Statement!O100</f>
        <v>0.1270581378405945</v>
      </c>
      <c r="F34" s="129">
        <f>Statement!P100</f>
        <v>0.17061907139291063</v>
      </c>
      <c r="G34" s="130">
        <f>Statement!Q100</f>
        <v>0.17888563049853373</v>
      </c>
      <c r="H34" s="210">
        <f>H10/H6</f>
        <v>0.21000000000000002</v>
      </c>
      <c r="I34" s="210">
        <f t="shared" ref="I34:L34" si="10">I10/I6</f>
        <v>0.21999999999999995</v>
      </c>
      <c r="J34" s="210">
        <f t="shared" si="10"/>
        <v>0.24999999999999997</v>
      </c>
      <c r="K34" s="210">
        <f t="shared" si="10"/>
        <v>0.25</v>
      </c>
      <c r="L34" s="210">
        <f t="shared" si="10"/>
        <v>0.26</v>
      </c>
    </row>
  </sheetData>
  <mergeCells count="10">
    <mergeCell ref="C31:L31"/>
    <mergeCell ref="C25:L25"/>
    <mergeCell ref="C2:G2"/>
    <mergeCell ref="H2:L2"/>
    <mergeCell ref="S2:Z2"/>
    <mergeCell ref="AA2:AC2"/>
    <mergeCell ref="C4:L4"/>
    <mergeCell ref="S4:AC4"/>
    <mergeCell ref="C13:L13"/>
    <mergeCell ref="C18:L18"/>
  </mergeCells>
  <pageMargins left="0.7" right="0.7" top="0.75" bottom="0.75" header="0.3" footer="0.3"/>
  <ignoredErrors>
    <ignoredError sqref="C9:L9"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FB80D-D3C0-DD46-8304-4441946EF9E3}">
  <sheetPr>
    <tabColor theme="6" tint="0.59999389629810485"/>
  </sheetPr>
  <dimension ref="B5:H13"/>
  <sheetViews>
    <sheetView workbookViewId="0">
      <selection activeCell="H6" sqref="H6"/>
    </sheetView>
  </sheetViews>
  <sheetFormatPr baseColWidth="10" defaultRowHeight="16" x14ac:dyDescent="0.2"/>
  <cols>
    <col min="1" max="7" width="10.83203125" style="1"/>
    <col min="8" max="8" width="16.83203125" style="1" customWidth="1"/>
    <col min="9" max="16384" width="10.83203125" style="1"/>
  </cols>
  <sheetData>
    <row r="5" spans="2:8" x14ac:dyDescent="0.2">
      <c r="H5" s="132" t="s">
        <v>408</v>
      </c>
    </row>
    <row r="6" spans="2:8" x14ac:dyDescent="0.2">
      <c r="H6" s="241" t="s">
        <v>413</v>
      </c>
    </row>
    <row r="7" spans="2:8" x14ac:dyDescent="0.2">
      <c r="H7" s="241" t="s">
        <v>409</v>
      </c>
    </row>
    <row r="8" spans="2:8" x14ac:dyDescent="0.2">
      <c r="H8" s="241" t="s">
        <v>410</v>
      </c>
    </row>
    <row r="9" spans="2:8" x14ac:dyDescent="0.2">
      <c r="H9" s="241" t="s">
        <v>411</v>
      </c>
    </row>
    <row r="10" spans="2:8" x14ac:dyDescent="0.2">
      <c r="H10" s="242" t="s">
        <v>412</v>
      </c>
    </row>
    <row r="13" spans="2:8" s="4" customFormat="1" ht="49" x14ac:dyDescent="0.2">
      <c r="B13" s="3" t="s">
        <v>160</v>
      </c>
    </row>
  </sheetData>
  <hyperlinks>
    <hyperlink ref="H6" location="Overview!B3" display="Overview'!B3" xr:uid="{015C8B52-1C0C-DB42-8BAA-0C0382212135}"/>
    <hyperlink ref="H8" location="'Analysis -&gt;'!B13" display="'Analysis -&gt;'!B13" xr:uid="{BFD7282A-5263-9F45-9A26-534106C9377D}"/>
    <hyperlink ref="H9" location="'Forecast -&gt;'!B13" display="'Forecast -&gt;'!B13" xr:uid="{90BAE1C4-C36D-554D-9516-059B8AEC76C2}"/>
    <hyperlink ref="H10" location="'Valuation -&gt;'!B13" display="'Valuation -&gt;'!B13" xr:uid="{686F9DB5-AAAB-C241-9905-3694B99C7DA1}"/>
    <hyperlink ref="H7" location="'Financials -&gt;'!B13" display="'Financials -&gt;'!B13" xr:uid="{36547003-7E4B-EA47-9462-9D97554A9D6B}"/>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6FE7C-2B1B-7C49-B055-001352253955}">
  <dimension ref="A1:C20"/>
  <sheetViews>
    <sheetView topLeftCell="A6" zoomScale="171" zoomScaleNormal="65" workbookViewId="0">
      <selection activeCell="C13" sqref="C13"/>
    </sheetView>
  </sheetViews>
  <sheetFormatPr baseColWidth="10" defaultRowHeight="16" x14ac:dyDescent="0.2"/>
  <cols>
    <col min="1" max="1" width="2" style="83" customWidth="1"/>
    <col min="2" max="2" width="34.6640625" style="1" customWidth="1"/>
    <col min="3" max="3" width="11.6640625" style="1" bestFit="1" customWidth="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3" s="83" customFormat="1" ht="18" customHeight="1" x14ac:dyDescent="0.2">
      <c r="A1" s="4"/>
      <c r="B1" s="82" t="s">
        <v>161</v>
      </c>
    </row>
    <row r="2" spans="1:3" s="83" customFormat="1" ht="18" customHeight="1" x14ac:dyDescent="0.2">
      <c r="A2" s="4"/>
      <c r="B2" s="82"/>
    </row>
    <row r="3" spans="1:3" ht="17" customHeight="1" x14ac:dyDescent="0.2"/>
    <row r="4" spans="1:3" ht="17" customHeight="1" x14ac:dyDescent="0.2">
      <c r="B4" s="249" t="s">
        <v>162</v>
      </c>
      <c r="C4" s="249"/>
    </row>
    <row r="5" spans="1:3" ht="17" customHeight="1" x14ac:dyDescent="0.2">
      <c r="B5" s="1" t="s">
        <v>163</v>
      </c>
      <c r="C5" s="136">
        <f>Statement!AC77</f>
        <v>393</v>
      </c>
    </row>
    <row r="6" spans="1:3" ht="17" customHeight="1" x14ac:dyDescent="0.2">
      <c r="B6" s="1" t="s">
        <v>1</v>
      </c>
      <c r="C6" s="133">
        <f ca="1">Overview!C5</f>
        <v>194.30500000000001</v>
      </c>
    </row>
    <row r="7" spans="1:3" ht="17" customHeight="1" x14ac:dyDescent="0.2">
      <c r="B7" s="1" t="s">
        <v>164</v>
      </c>
      <c r="C7" s="134">
        <f ca="1">C5*C6</f>
        <v>76361.865000000005</v>
      </c>
    </row>
    <row r="8" spans="1:3" ht="17" customHeight="1" x14ac:dyDescent="0.2">
      <c r="B8" s="1" t="s">
        <v>165</v>
      </c>
      <c r="C8" s="112">
        <f>Statement!AC106</f>
        <v>2940</v>
      </c>
    </row>
    <row r="9" spans="1:3" ht="17" customHeight="1" x14ac:dyDescent="0.2">
      <c r="B9" s="1" t="s">
        <v>166</v>
      </c>
      <c r="C9" s="135">
        <f ca="1">Overview!F27</f>
        <v>4.9530000000000005E-2</v>
      </c>
    </row>
    <row r="10" spans="1:3" ht="17" customHeight="1" x14ac:dyDescent="0.2">
      <c r="B10" s="1" t="s">
        <v>9</v>
      </c>
      <c r="C10" s="133">
        <f ca="1">Overview!C13</f>
        <v>2.1187999999999998</v>
      </c>
    </row>
    <row r="11" spans="1:3" ht="17" customHeight="1" x14ac:dyDescent="0.2">
      <c r="B11" s="1" t="s">
        <v>167</v>
      </c>
      <c r="C11" s="135">
        <f>[1]Sheet1!$C$12</f>
        <v>4.4999999999999998E-2</v>
      </c>
    </row>
    <row r="12" spans="1:3" ht="17" customHeight="1" x14ac:dyDescent="0.2">
      <c r="B12" s="1" t="s">
        <v>70</v>
      </c>
      <c r="C12" s="135">
        <f>Overview!C26</f>
        <v>0.21</v>
      </c>
    </row>
    <row r="13" spans="1:3" ht="17" customHeight="1" x14ac:dyDescent="0.2">
      <c r="B13" s="1" t="s">
        <v>168</v>
      </c>
      <c r="C13" s="135">
        <f>Overview!C27</f>
        <v>5.7000000000000002E-2</v>
      </c>
    </row>
    <row r="14" spans="1:3" ht="17" customHeight="1" x14ac:dyDescent="0.2"/>
    <row r="15" spans="1:3" ht="17" customHeight="1" x14ac:dyDescent="0.2">
      <c r="B15" s="249" t="s">
        <v>169</v>
      </c>
      <c r="C15" s="249"/>
    </row>
    <row r="16" spans="1:3" ht="17" customHeight="1" x14ac:dyDescent="0.2">
      <c r="B16" s="1" t="s">
        <v>170</v>
      </c>
      <c r="C16" s="46">
        <f ca="1">C8/(C8+C7)</f>
        <v>3.7073529103004071E-2</v>
      </c>
    </row>
    <row r="17" spans="2:3" ht="17" customHeight="1" x14ac:dyDescent="0.2">
      <c r="B17" s="1" t="s">
        <v>171</v>
      </c>
      <c r="C17" s="46">
        <f ca="1">C7/(C8+C7)</f>
        <v>0.9629264708969959</v>
      </c>
    </row>
    <row r="18" spans="2:3" ht="17" customHeight="1" x14ac:dyDescent="0.2">
      <c r="B18" s="1" t="s">
        <v>172</v>
      </c>
      <c r="C18" s="46">
        <f>C13*(1-C12)</f>
        <v>4.5030000000000001E-2</v>
      </c>
    </row>
    <row r="19" spans="2:3" ht="17" customHeight="1" x14ac:dyDescent="0.2">
      <c r="B19" s="1" t="s">
        <v>173</v>
      </c>
      <c r="C19" s="46">
        <f ca="1">C9+C10*C11</f>
        <v>0.144876</v>
      </c>
    </row>
    <row r="20" spans="2:3" ht="17" customHeight="1" x14ac:dyDescent="0.2">
      <c r="B20" s="1" t="s">
        <v>161</v>
      </c>
      <c r="C20" s="46">
        <f ca="1">(C17*C19)+(C16*C18)</f>
        <v>0.14117435641318146</v>
      </c>
    </row>
  </sheetData>
  <mergeCells count="2">
    <mergeCell ref="B4:C4"/>
    <mergeCell ref="B15:C1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76C87-6799-634E-8DEB-EF0E693AF74F}">
  <dimension ref="A1:AB26"/>
  <sheetViews>
    <sheetView topLeftCell="A19" zoomScale="213" zoomScaleNormal="121" workbookViewId="0">
      <selection activeCell="C21" sqref="C21"/>
    </sheetView>
  </sheetViews>
  <sheetFormatPr baseColWidth="10" defaultRowHeight="16" x14ac:dyDescent="0.2"/>
  <cols>
    <col min="1" max="1" width="2" style="83"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175</v>
      </c>
    </row>
    <row r="2" spans="1:28" s="83" customFormat="1" ht="18" customHeight="1" x14ac:dyDescent="0.2">
      <c r="A2" s="4"/>
      <c r="B2" s="82"/>
    </row>
    <row r="3" spans="1:28" x14ac:dyDescent="0.2">
      <c r="A3" s="4"/>
      <c r="C3" s="249" t="s">
        <v>109</v>
      </c>
      <c r="D3" s="249"/>
      <c r="E3" s="249"/>
      <c r="F3" s="249"/>
      <c r="G3" s="258"/>
      <c r="H3" s="259" t="s">
        <v>110</v>
      </c>
      <c r="I3" s="249"/>
      <c r="J3" s="249"/>
      <c r="K3" s="249"/>
      <c r="L3" s="249"/>
      <c r="P3" s="260"/>
      <c r="Q3" s="260"/>
      <c r="R3" s="260"/>
      <c r="S3" s="260"/>
      <c r="T3" s="260"/>
      <c r="U3" s="260"/>
      <c r="V3" s="260"/>
      <c r="W3" s="260"/>
      <c r="X3" s="260"/>
      <c r="Y3" s="260"/>
      <c r="Z3" s="260"/>
      <c r="AB3" s="109"/>
    </row>
    <row r="4" spans="1:28" ht="10" customHeight="1" x14ac:dyDescent="0.2"/>
    <row r="5" spans="1:28" ht="16" customHeight="1" x14ac:dyDescent="0.2">
      <c r="A5" s="86"/>
      <c r="B5" s="60"/>
      <c r="C5" s="255" t="s">
        <v>176</v>
      </c>
      <c r="D5" s="255"/>
      <c r="E5" s="255"/>
      <c r="F5" s="255"/>
      <c r="G5" s="255"/>
      <c r="H5" s="255"/>
      <c r="I5" s="255"/>
      <c r="J5" s="255"/>
      <c r="K5" s="255"/>
      <c r="L5" s="255"/>
      <c r="P5" s="260"/>
      <c r="Q5" s="260"/>
      <c r="R5" s="260"/>
      <c r="S5" s="260"/>
      <c r="T5" s="260"/>
      <c r="U5" s="260"/>
      <c r="V5" s="260"/>
      <c r="W5" s="260"/>
      <c r="X5" s="260"/>
      <c r="Y5" s="260"/>
      <c r="Z5" s="260"/>
      <c r="AB5" s="110"/>
    </row>
    <row r="6" spans="1:28" x14ac:dyDescent="0.2">
      <c r="B6" s="16" t="s">
        <v>129</v>
      </c>
      <c r="C6" s="12">
        <f>Revenue!C5</f>
        <v>2021</v>
      </c>
      <c r="D6" s="12">
        <f>Revenue!D5</f>
        <v>2022</v>
      </c>
      <c r="E6" s="12">
        <f>Revenue!E5</f>
        <v>2023</v>
      </c>
      <c r="F6" s="12">
        <f>Revenue!F5</f>
        <v>2024</v>
      </c>
      <c r="G6" s="12">
        <f>Revenue!G5</f>
        <v>2025</v>
      </c>
      <c r="H6" s="12">
        <f>Revenue!H5</f>
        <v>2026</v>
      </c>
      <c r="I6" s="12">
        <f>Revenue!I5</f>
        <v>2027</v>
      </c>
      <c r="J6" s="12">
        <f>Revenue!J5</f>
        <v>2028</v>
      </c>
      <c r="K6" s="12">
        <f>Revenue!K5</f>
        <v>2029</v>
      </c>
      <c r="L6" s="12">
        <f>Revenue!L5</f>
        <v>2030</v>
      </c>
      <c r="O6" s="16"/>
      <c r="P6" s="111"/>
      <c r="Q6" s="111"/>
      <c r="R6" s="111"/>
      <c r="S6" s="111"/>
      <c r="T6" s="111"/>
      <c r="U6" s="111"/>
      <c r="V6" s="111"/>
      <c r="W6" s="111"/>
      <c r="X6" s="111"/>
      <c r="Y6" s="111"/>
      <c r="Z6" s="111"/>
      <c r="AB6" s="110"/>
    </row>
    <row r="7" spans="1:28" x14ac:dyDescent="0.2">
      <c r="B7" s="39" t="s">
        <v>255</v>
      </c>
      <c r="C7" s="112">
        <f>'FCF &amp; Other'!C28</f>
        <v>198.3855421686747</v>
      </c>
      <c r="D7" s="112">
        <f>'FCF &amp; Other'!D28</f>
        <v>-155.17964071856289</v>
      </c>
      <c r="E7" s="112">
        <f>'FCF &amp; Other'!E28</f>
        <v>953.93433395872421</v>
      </c>
      <c r="F7" s="112">
        <f>'FCF &amp; Other'!F28</f>
        <v>1092.5294117647059</v>
      </c>
      <c r="G7" s="113">
        <f>'FCF &amp; Other'!G28</f>
        <v>1822.3386911595867</v>
      </c>
      <c r="H7" s="112">
        <f>'FCF &amp; Other'!H28</f>
        <v>2049.7599553835616</v>
      </c>
      <c r="I7" s="112">
        <f>'FCF &amp; Other'!I28</f>
        <v>3113.2818278117811</v>
      </c>
      <c r="J7" s="112">
        <f>'FCF &amp; Other'!J28</f>
        <v>4852.0561569984566</v>
      </c>
      <c r="K7" s="112">
        <f>'FCF &amp; Other'!K28</f>
        <v>6011.9183603305628</v>
      </c>
      <c r="L7" s="112">
        <f>'FCF &amp; Other'!L28</f>
        <v>7698.5516509805393</v>
      </c>
      <c r="N7" s="91"/>
      <c r="O7" s="16"/>
      <c r="P7" s="92"/>
      <c r="Q7" s="92"/>
      <c r="R7" s="92"/>
      <c r="S7" s="92"/>
      <c r="T7" s="92"/>
      <c r="U7" s="92"/>
      <c r="V7" s="92"/>
      <c r="W7" s="92"/>
      <c r="X7" s="94"/>
      <c r="Y7" s="94"/>
      <c r="Z7" s="94"/>
      <c r="AB7" s="94"/>
    </row>
    <row r="8" spans="1:28" x14ac:dyDescent="0.2">
      <c r="B8" s="39" t="s">
        <v>177</v>
      </c>
      <c r="C8" s="126">
        <v>0</v>
      </c>
      <c r="D8" s="126">
        <v>0</v>
      </c>
      <c r="E8" s="126">
        <v>0</v>
      </c>
      <c r="F8" s="126">
        <v>0</v>
      </c>
      <c r="G8" s="131">
        <v>0</v>
      </c>
      <c r="H8" s="126">
        <v>0</v>
      </c>
      <c r="I8" s="126">
        <v>0</v>
      </c>
      <c r="J8" s="126">
        <v>0</v>
      </c>
      <c r="K8" s="126">
        <v>0</v>
      </c>
      <c r="L8" s="126">
        <f>L7*(1+C14)/(C15-C14)</f>
        <v>82658.133515791051</v>
      </c>
      <c r="N8" s="91"/>
      <c r="O8" s="16"/>
      <c r="P8" s="92"/>
      <c r="Q8" s="92"/>
      <c r="R8" s="92"/>
      <c r="S8" s="92"/>
      <c r="T8" s="92"/>
      <c r="U8" s="92"/>
      <c r="V8" s="92"/>
      <c r="W8" s="92"/>
      <c r="X8" s="94"/>
      <c r="Y8" s="94"/>
      <c r="Z8" s="94"/>
      <c r="AB8" s="94"/>
    </row>
    <row r="9" spans="1:28" x14ac:dyDescent="0.2">
      <c r="B9" s="1" t="s">
        <v>178</v>
      </c>
      <c r="C9" s="137"/>
      <c r="D9" s="137"/>
      <c r="E9" s="137"/>
      <c r="F9" s="137"/>
      <c r="G9" s="138"/>
      <c r="H9" s="139">
        <v>1</v>
      </c>
      <c r="I9" s="139">
        <v>2</v>
      </c>
      <c r="J9" s="139">
        <v>3</v>
      </c>
      <c r="K9" s="139">
        <v>4</v>
      </c>
      <c r="L9" s="139">
        <v>5</v>
      </c>
      <c r="N9" s="91"/>
    </row>
    <row r="10" spans="1:28" x14ac:dyDescent="0.2">
      <c r="B10" s="1" t="s">
        <v>313</v>
      </c>
      <c r="C10" s="137"/>
      <c r="D10" s="137"/>
      <c r="E10" s="137"/>
      <c r="F10" s="137"/>
      <c r="G10" s="138"/>
      <c r="H10" s="126">
        <f>H7/(1+$C$15)^H9</f>
        <v>1838.3497357700105</v>
      </c>
      <c r="I10" s="126">
        <f t="shared" ref="I10:L10" si="0">I7/(1+$C$15)^I9</f>
        <v>2504.1982165833065</v>
      </c>
      <c r="J10" s="126">
        <f t="shared" si="0"/>
        <v>3500.2673464155678</v>
      </c>
      <c r="K10" s="126">
        <f t="shared" si="0"/>
        <v>3889.6775909729226</v>
      </c>
      <c r="L10" s="126">
        <f t="shared" si="0"/>
        <v>4467.19274163501</v>
      </c>
      <c r="N10" s="91"/>
    </row>
    <row r="11" spans="1:28" x14ac:dyDescent="0.2">
      <c r="B11" s="1" t="s">
        <v>179</v>
      </c>
      <c r="C11" s="137"/>
      <c r="D11" s="137"/>
      <c r="E11" s="137"/>
      <c r="F11" s="137"/>
      <c r="G11" s="138"/>
      <c r="H11" s="137"/>
      <c r="I11" s="137"/>
      <c r="J11" s="137"/>
      <c r="K11" s="137"/>
      <c r="L11" s="126">
        <f>L8/(1+C15)^L9</f>
        <v>47963.54312071274</v>
      </c>
    </row>
    <row r="13" spans="1:28" x14ac:dyDescent="0.2">
      <c r="B13" s="249" t="s">
        <v>180</v>
      </c>
      <c r="C13" s="249"/>
    </row>
    <row r="14" spans="1:28" x14ac:dyDescent="0.2">
      <c r="B14" s="1" t="s">
        <v>181</v>
      </c>
      <c r="C14" s="140">
        <v>0.02</v>
      </c>
    </row>
    <row r="15" spans="1:28" x14ac:dyDescent="0.2">
      <c r="B15" s="1" t="s">
        <v>161</v>
      </c>
      <c r="C15" s="135">
        <f>IF(Overview!C28&gt;0,Overview!C28,WACC!C20)</f>
        <v>0.115</v>
      </c>
    </row>
    <row r="18" spans="2:3" x14ac:dyDescent="0.2">
      <c r="B18" s="249" t="s">
        <v>182</v>
      </c>
      <c r="C18" s="249"/>
    </row>
    <row r="19" spans="2:3" x14ac:dyDescent="0.2">
      <c r="B19" s="1" t="s">
        <v>183</v>
      </c>
      <c r="C19" s="64">
        <f>SUM(H10:L10)</f>
        <v>16199.685631376817</v>
      </c>
    </row>
    <row r="20" spans="2:3" x14ac:dyDescent="0.2">
      <c r="B20" s="1" t="s">
        <v>179</v>
      </c>
      <c r="C20" s="64">
        <f>L11</f>
        <v>47963.54312071274</v>
      </c>
    </row>
    <row r="21" spans="2:3" x14ac:dyDescent="0.2">
      <c r="B21" s="16" t="s">
        <v>184</v>
      </c>
      <c r="C21" s="94">
        <f>C19+C20</f>
        <v>64163.228752089555</v>
      </c>
    </row>
    <row r="22" spans="2:3" x14ac:dyDescent="0.2">
      <c r="B22" s="1" t="s">
        <v>185</v>
      </c>
      <c r="C22" s="88">
        <f>Statement!AC105</f>
        <v>3111</v>
      </c>
    </row>
    <row r="23" spans="2:3" x14ac:dyDescent="0.2">
      <c r="B23" s="1" t="s">
        <v>186</v>
      </c>
      <c r="C23" s="88">
        <f>Statement!AC106</f>
        <v>2940</v>
      </c>
    </row>
    <row r="24" spans="2:3" x14ac:dyDescent="0.2">
      <c r="B24" s="16" t="s">
        <v>187</v>
      </c>
      <c r="C24" s="94">
        <f>C21+C22-C23</f>
        <v>64334.228752089548</v>
      </c>
    </row>
    <row r="25" spans="2:3" x14ac:dyDescent="0.2">
      <c r="B25" s="1" t="s">
        <v>66</v>
      </c>
      <c r="C25" s="88">
        <f>Statement!AC77</f>
        <v>393</v>
      </c>
    </row>
    <row r="26" spans="2:3" x14ac:dyDescent="0.2">
      <c r="B26" s="237" t="s">
        <v>188</v>
      </c>
      <c r="C26" s="238">
        <f>C24/C25</f>
        <v>163.70032761345942</v>
      </c>
    </row>
  </sheetData>
  <mergeCells count="8">
    <mergeCell ref="X3:Z3"/>
    <mergeCell ref="C5:L5"/>
    <mergeCell ref="P5:Z5"/>
    <mergeCell ref="B13:C13"/>
    <mergeCell ref="B18:C18"/>
    <mergeCell ref="C3:G3"/>
    <mergeCell ref="H3:L3"/>
    <mergeCell ref="P3:W3"/>
  </mergeCells>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33819-10E3-B843-9B8A-30FFCAB234A7}">
  <dimension ref="A1:N84"/>
  <sheetViews>
    <sheetView topLeftCell="A73" zoomScale="192" zoomScaleNormal="100" workbookViewId="0">
      <selection activeCell="C75" sqref="C75"/>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189</v>
      </c>
    </row>
    <row r="2" spans="1:14" x14ac:dyDescent="0.2">
      <c r="A2" s="4"/>
      <c r="C2" s="249" t="s">
        <v>109</v>
      </c>
      <c r="D2" s="249"/>
      <c r="E2" s="249"/>
      <c r="F2" s="249"/>
      <c r="G2" s="258"/>
      <c r="H2" s="259" t="s">
        <v>110</v>
      </c>
      <c r="I2" s="249"/>
      <c r="J2" s="249"/>
      <c r="K2" s="249"/>
      <c r="L2" s="249"/>
    </row>
    <row r="3" spans="1:14" ht="10" customHeight="1" x14ac:dyDescent="0.2"/>
    <row r="4" spans="1:14" ht="16" customHeight="1" x14ac:dyDescent="0.2">
      <c r="A4" s="86"/>
      <c r="B4" s="60"/>
      <c r="C4" s="255" t="s">
        <v>190</v>
      </c>
      <c r="D4" s="255"/>
      <c r="E4" s="255"/>
      <c r="F4" s="255"/>
      <c r="G4" s="255"/>
      <c r="H4" s="255"/>
      <c r="I4" s="255"/>
      <c r="J4" s="255"/>
      <c r="K4" s="255"/>
      <c r="L4" s="255"/>
    </row>
    <row r="5" spans="1:14" x14ac:dyDescent="0.2">
      <c r="B5" s="16" t="s">
        <v>113</v>
      </c>
      <c r="C5" s="12">
        <f>Revenue!C5</f>
        <v>2021</v>
      </c>
      <c r="D5" s="12">
        <f>Revenue!D5</f>
        <v>2022</v>
      </c>
      <c r="E5" s="12">
        <f>Revenue!E5</f>
        <v>2023</v>
      </c>
      <c r="F5" s="12">
        <f>Revenue!F5</f>
        <v>2024</v>
      </c>
      <c r="G5" s="12">
        <f>Revenue!G5</f>
        <v>2025</v>
      </c>
      <c r="H5" s="12">
        <f>Revenue!H5</f>
        <v>2026</v>
      </c>
      <c r="I5" s="12">
        <f>Revenue!I5</f>
        <v>2027</v>
      </c>
      <c r="J5" s="12">
        <f>Revenue!J5</f>
        <v>2028</v>
      </c>
      <c r="K5" s="12">
        <f>Revenue!K5</f>
        <v>2029</v>
      </c>
      <c r="L5" s="12">
        <f>Revenue!L5</f>
        <v>2030</v>
      </c>
    </row>
    <row r="6" spans="1:14" x14ac:dyDescent="0.2">
      <c r="B6" s="16" t="s">
        <v>19</v>
      </c>
      <c r="C6" s="92">
        <f>Revenue!C8</f>
        <v>4998</v>
      </c>
      <c r="D6" s="92">
        <f>Revenue!D8</f>
        <v>5692</v>
      </c>
      <c r="E6" s="92">
        <f>Revenue!E8</f>
        <v>6863</v>
      </c>
      <c r="F6" s="92">
        <f>Revenue!F8</f>
        <v>8012</v>
      </c>
      <c r="G6" s="93">
        <f>Revenue!G8</f>
        <v>10230</v>
      </c>
      <c r="H6" s="92">
        <f>Revenue!H8</f>
        <v>13773.49</v>
      </c>
      <c r="I6" s="92">
        <f>Revenue!I8</f>
        <v>18364.7719</v>
      </c>
      <c r="J6" s="92">
        <f>Revenue!J8</f>
        <v>23429.922325</v>
      </c>
      <c r="K6" s="92">
        <f>Revenue!K8</f>
        <v>28844.602698399998</v>
      </c>
      <c r="L6" s="92">
        <f>Revenue!L8</f>
        <v>32904.250516271997</v>
      </c>
      <c r="N6" s="91"/>
    </row>
    <row r="7" spans="1:14" x14ac:dyDescent="0.2">
      <c r="B7" s="16" t="s">
        <v>153</v>
      </c>
      <c r="C7" s="92">
        <f>'FCF &amp; Other'!C10</f>
        <v>260</v>
      </c>
      <c r="D7" s="92">
        <f>'FCF &amp; Other'!D10</f>
        <v>223</v>
      </c>
      <c r="E7" s="92">
        <f>'FCF &amp; Other'!E10</f>
        <v>872</v>
      </c>
      <c r="F7" s="92">
        <f>'FCF &amp; Other'!F10</f>
        <v>1367</v>
      </c>
      <c r="G7" s="93">
        <f>'FCF &amp; Other'!G10</f>
        <v>1830</v>
      </c>
      <c r="H7" s="92">
        <f>'FCF &amp; Other'!H10</f>
        <v>2892.4329000000002</v>
      </c>
      <c r="I7" s="92">
        <f>'FCF &amp; Other'!I10</f>
        <v>4040.2498179999989</v>
      </c>
      <c r="J7" s="92">
        <f>'FCF &amp; Other'!J10</f>
        <v>5857.480581249999</v>
      </c>
      <c r="K7" s="92">
        <f>'FCF &amp; Other'!K10</f>
        <v>7211.1506745999995</v>
      </c>
      <c r="L7" s="92">
        <f>'FCF &amp; Other'!L10</f>
        <v>8555.1051342307201</v>
      </c>
      <c r="N7" s="91"/>
    </row>
    <row r="8" spans="1:14" x14ac:dyDescent="0.2">
      <c r="B8" s="16" t="s">
        <v>255</v>
      </c>
      <c r="C8" s="92">
        <f>'FCF &amp; Other'!C28</f>
        <v>198.3855421686747</v>
      </c>
      <c r="D8" s="92">
        <f>'FCF &amp; Other'!D28</f>
        <v>-155.17964071856289</v>
      </c>
      <c r="E8" s="92">
        <f>'FCF &amp; Other'!E28</f>
        <v>953.93433395872421</v>
      </c>
      <c r="F8" s="92">
        <f>'FCF &amp; Other'!F28</f>
        <v>1092.5294117647059</v>
      </c>
      <c r="G8" s="93">
        <f>'FCF &amp; Other'!G28</f>
        <v>1822.3386911595867</v>
      </c>
      <c r="H8" s="92">
        <f>'FCF &amp; Other'!H28</f>
        <v>2049.7599553835616</v>
      </c>
      <c r="I8" s="92">
        <f>'FCF &amp; Other'!I28</f>
        <v>3113.2818278117811</v>
      </c>
      <c r="J8" s="92">
        <f>'FCF &amp; Other'!J28</f>
        <v>4852.0561569984566</v>
      </c>
      <c r="K8" s="92">
        <f>'FCF &amp; Other'!K28</f>
        <v>6011.9183603305628</v>
      </c>
      <c r="L8" s="92">
        <f>'FCF &amp; Other'!L28</f>
        <v>7698.5516509805393</v>
      </c>
      <c r="N8" s="91"/>
    </row>
    <row r="9" spans="1:14" x14ac:dyDescent="0.2">
      <c r="B9" s="16" t="s">
        <v>313</v>
      </c>
      <c r="C9" s="137"/>
      <c r="D9" s="137"/>
      <c r="E9" s="137"/>
      <c r="F9" s="137"/>
      <c r="G9" s="138"/>
      <c r="H9" s="92">
        <f>DCF!H10</f>
        <v>1838.3497357700105</v>
      </c>
      <c r="I9" s="92">
        <f>DCF!I10</f>
        <v>2504.1982165833065</v>
      </c>
      <c r="J9" s="92">
        <f>DCF!J10</f>
        <v>3500.2673464155678</v>
      </c>
      <c r="K9" s="92">
        <f>DCF!K10</f>
        <v>3889.6775909729226</v>
      </c>
      <c r="L9" s="92">
        <f>DCF!L10</f>
        <v>4467.19274163501</v>
      </c>
      <c r="N9" s="91"/>
    </row>
    <row r="10" spans="1:14" x14ac:dyDescent="0.2">
      <c r="N10" s="91"/>
    </row>
    <row r="11" spans="1:14" x14ac:dyDescent="0.2">
      <c r="C11" s="255" t="s">
        <v>118</v>
      </c>
      <c r="D11" s="255"/>
      <c r="E11" s="255"/>
      <c r="F11" s="255"/>
      <c r="G11" s="255"/>
      <c r="H11" s="255"/>
      <c r="I11" s="255"/>
      <c r="J11" s="255"/>
      <c r="K11" s="255"/>
      <c r="L11" s="255"/>
      <c r="N11" s="91"/>
    </row>
    <row r="12" spans="1:14" x14ac:dyDescent="0.2">
      <c r="B12" s="16" t="s">
        <v>191</v>
      </c>
      <c r="C12" s="12">
        <f>C5</f>
        <v>2021</v>
      </c>
      <c r="D12" s="12">
        <f t="shared" ref="D12:L12" si="0">D5</f>
        <v>2022</v>
      </c>
      <c r="E12" s="12">
        <f t="shared" si="0"/>
        <v>2023</v>
      </c>
      <c r="F12" s="12">
        <f t="shared" si="0"/>
        <v>2024</v>
      </c>
      <c r="G12" s="12">
        <f t="shared" si="0"/>
        <v>2025</v>
      </c>
      <c r="H12" s="12">
        <f t="shared" si="0"/>
        <v>2026</v>
      </c>
      <c r="I12" s="12">
        <f t="shared" si="0"/>
        <v>2027</v>
      </c>
      <c r="J12" s="12">
        <f t="shared" si="0"/>
        <v>2028</v>
      </c>
      <c r="K12" s="12">
        <f t="shared" si="0"/>
        <v>2029</v>
      </c>
      <c r="L12" s="12">
        <f t="shared" si="0"/>
        <v>2030</v>
      </c>
      <c r="N12" s="91"/>
    </row>
    <row r="13" spans="1:14" x14ac:dyDescent="0.2">
      <c r="B13" s="1" t="s">
        <v>19</v>
      </c>
      <c r="C13" s="137"/>
      <c r="D13" s="95">
        <f>(D6-C6)/C6</f>
        <v>0.13885554221688676</v>
      </c>
      <c r="E13" s="95">
        <f t="shared" ref="E13:L13" si="1">(E6-D6)/D6</f>
        <v>0.20572733661278989</v>
      </c>
      <c r="F13" s="95">
        <f t="shared" si="1"/>
        <v>0.1674194958472971</v>
      </c>
      <c r="G13" s="96">
        <f t="shared" si="1"/>
        <v>0.27683474787818274</v>
      </c>
      <c r="H13" s="95">
        <f t="shared" si="1"/>
        <v>0.34638220918866081</v>
      </c>
      <c r="I13" s="95">
        <f t="shared" si="1"/>
        <v>0.33334194165748843</v>
      </c>
      <c r="J13" s="95">
        <f t="shared" si="1"/>
        <v>0.27580796824380921</v>
      </c>
      <c r="K13" s="95">
        <f t="shared" si="1"/>
        <v>0.23110108084406544</v>
      </c>
      <c r="L13" s="95">
        <f t="shared" si="1"/>
        <v>0.14074202582437326</v>
      </c>
      <c r="N13" s="91"/>
    </row>
    <row r="14" spans="1:14" x14ac:dyDescent="0.2">
      <c r="B14" s="1" t="s">
        <v>153</v>
      </c>
      <c r="C14" s="137"/>
      <c r="D14" s="95">
        <f>IF(C7=0,
IF(D7=0,0,IF(D7&gt;0,1,-1)),
(D7-C7)/ABS(C7)
)</f>
        <v>-0.1423076923076923</v>
      </c>
      <c r="E14" s="95">
        <f t="shared" ref="E14:L14" si="2">IF(D7=0,
IF(E7=0,0,IF(E7&gt;0,1,-1)),
(E7-D7)/ABS(D7)
)</f>
        <v>2.9103139013452917</v>
      </c>
      <c r="F14" s="95">
        <f t="shared" si="2"/>
        <v>0.56766055045871555</v>
      </c>
      <c r="G14" s="96">
        <f t="shared" si="2"/>
        <v>0.33869787856620337</v>
      </c>
      <c r="H14" s="95">
        <f t="shared" si="2"/>
        <v>0.58056442622950832</v>
      </c>
      <c r="I14" s="95">
        <f t="shared" si="2"/>
        <v>0.39683441506974926</v>
      </c>
      <c r="J14" s="95">
        <f t="shared" si="2"/>
        <v>0.44978178209523789</v>
      </c>
      <c r="K14" s="95">
        <f t="shared" si="2"/>
        <v>0.23110108084406564</v>
      </c>
      <c r="L14" s="95">
        <f t="shared" si="2"/>
        <v>0.1863717068573483</v>
      </c>
      <c r="N14" s="91"/>
    </row>
    <row r="15" spans="1:14" x14ac:dyDescent="0.2">
      <c r="B15" s="1" t="s">
        <v>255</v>
      </c>
      <c r="C15" s="137"/>
      <c r="D15" s="95">
        <f>IF(C8=0,
IF(D8=0,0,IF(D8&gt;0,1,-1)),
(D8-C8)/ABS(C8)
)</f>
        <v>-1.7822124486603135</v>
      </c>
      <c r="E15" s="95">
        <f t="shared" ref="E15:L15" si="3">IF(D8=0,
IF(E8=0,0,IF(E8&gt;0,1,-1)),
(E8-D8)/ABS(D8)
)</f>
        <v>7.1472905178895205</v>
      </c>
      <c r="F15" s="95">
        <f t="shared" si="3"/>
        <v>0.14528785983708867</v>
      </c>
      <c r="G15" s="96">
        <f t="shared" si="3"/>
        <v>0.66799966347455841</v>
      </c>
      <c r="H15" s="95">
        <f t="shared" si="3"/>
        <v>0.12479637584781934</v>
      </c>
      <c r="I15" s="95">
        <f t="shared" si="3"/>
        <v>0.5188519122129146</v>
      </c>
      <c r="J15" s="95">
        <f t="shared" si="3"/>
        <v>0.55850206481589248</v>
      </c>
      <c r="K15" s="95">
        <f t="shared" si="3"/>
        <v>0.23904550273169378</v>
      </c>
      <c r="L15" s="95">
        <f t="shared" si="3"/>
        <v>0.28054826921456028</v>
      </c>
      <c r="N15" s="91"/>
    </row>
    <row r="16" spans="1:14" x14ac:dyDescent="0.2">
      <c r="N16" s="91"/>
    </row>
    <row r="17" spans="2:14" x14ac:dyDescent="0.2">
      <c r="C17" s="255" t="s">
        <v>192</v>
      </c>
      <c r="D17" s="255"/>
      <c r="E17" s="255"/>
      <c r="F17" s="255"/>
      <c r="G17" s="255"/>
      <c r="H17" s="255"/>
      <c r="I17" s="255"/>
      <c r="J17" s="255"/>
      <c r="K17" s="255"/>
      <c r="L17" s="255"/>
      <c r="N17" s="91"/>
    </row>
    <row r="18" spans="2:14" x14ac:dyDescent="0.2">
      <c r="C18" s="12">
        <f t="shared" ref="C18:L18" si="4">C5</f>
        <v>2021</v>
      </c>
      <c r="D18" s="12">
        <f t="shared" si="4"/>
        <v>2022</v>
      </c>
      <c r="E18" s="12">
        <f t="shared" si="4"/>
        <v>2023</v>
      </c>
      <c r="F18" s="12">
        <f t="shared" si="4"/>
        <v>2024</v>
      </c>
      <c r="G18" s="12">
        <f t="shared" si="4"/>
        <v>2025</v>
      </c>
      <c r="H18" s="12">
        <f t="shared" si="4"/>
        <v>2026</v>
      </c>
      <c r="I18" s="12">
        <f t="shared" si="4"/>
        <v>2027</v>
      </c>
      <c r="J18" s="12">
        <f t="shared" si="4"/>
        <v>2028</v>
      </c>
      <c r="K18" s="12">
        <f t="shared" si="4"/>
        <v>2029</v>
      </c>
      <c r="L18" s="12">
        <f t="shared" si="4"/>
        <v>2030</v>
      </c>
      <c r="N18" s="91"/>
    </row>
    <row r="19" spans="2:14" x14ac:dyDescent="0.2">
      <c r="B19" s="1" t="s">
        <v>193</v>
      </c>
      <c r="C19" s="100">
        <f>Statement!M21</f>
        <v>360</v>
      </c>
      <c r="D19" s="100">
        <f>Statement!N21</f>
        <v>378</v>
      </c>
      <c r="E19" s="100">
        <f>Statement!O21</f>
        <v>386</v>
      </c>
      <c r="F19" s="100">
        <f>Statement!P21</f>
        <v>386</v>
      </c>
      <c r="G19" s="101">
        <f>Statement!Q21</f>
        <v>391</v>
      </c>
      <c r="H19" s="141">
        <f>G19*(1+H20)</f>
        <v>394.91</v>
      </c>
      <c r="I19" s="141">
        <f t="shared" ref="I19:L19" si="5">H19*(1+I20)</f>
        <v>398.85910000000001</v>
      </c>
      <c r="J19" s="141">
        <f t="shared" si="5"/>
        <v>398.85910000000001</v>
      </c>
      <c r="K19" s="141">
        <f t="shared" si="5"/>
        <v>394.87050900000003</v>
      </c>
      <c r="L19" s="141">
        <f t="shared" si="5"/>
        <v>390.92180391000005</v>
      </c>
      <c r="N19" s="91"/>
    </row>
    <row r="20" spans="2:14" x14ac:dyDescent="0.2">
      <c r="B20" s="1" t="s">
        <v>194</v>
      </c>
      <c r="C20" s="137"/>
      <c r="D20" s="226">
        <f>D19/C19-1</f>
        <v>5.0000000000000044E-2</v>
      </c>
      <c r="E20" s="226">
        <f t="shared" ref="E20:G20" si="6">E19/D19-1</f>
        <v>2.1164021164021163E-2</v>
      </c>
      <c r="F20" s="226">
        <f t="shared" si="6"/>
        <v>0</v>
      </c>
      <c r="G20" s="227">
        <f t="shared" si="6"/>
        <v>1.2953367875647714E-2</v>
      </c>
      <c r="H20" s="225">
        <v>0.01</v>
      </c>
      <c r="I20" s="163">
        <v>0.01</v>
      </c>
      <c r="J20" s="163">
        <v>0</v>
      </c>
      <c r="K20" s="163">
        <v>-0.01</v>
      </c>
      <c r="L20" s="163">
        <v>-0.01</v>
      </c>
      <c r="N20" s="91"/>
    </row>
    <row r="21" spans="2:14" x14ac:dyDescent="0.2">
      <c r="N21" s="91"/>
    </row>
    <row r="22" spans="2:14" x14ac:dyDescent="0.2">
      <c r="C22" s="255" t="s">
        <v>195</v>
      </c>
      <c r="D22" s="255"/>
      <c r="E22" s="255"/>
      <c r="F22" s="255"/>
      <c r="G22" s="255"/>
      <c r="H22" s="255"/>
      <c r="I22" s="255"/>
      <c r="J22" s="255"/>
      <c r="K22" s="255"/>
      <c r="L22" s="255"/>
      <c r="N22" s="91"/>
    </row>
    <row r="23" spans="2:14" x14ac:dyDescent="0.2">
      <c r="C23" s="12">
        <f>C5</f>
        <v>2021</v>
      </c>
      <c r="D23" s="12">
        <f t="shared" ref="D23:L23" si="7">D5</f>
        <v>2022</v>
      </c>
      <c r="E23" s="12">
        <f t="shared" si="7"/>
        <v>2023</v>
      </c>
      <c r="F23" s="12">
        <f t="shared" si="7"/>
        <v>2024</v>
      </c>
      <c r="G23" s="12">
        <f t="shared" si="7"/>
        <v>2025</v>
      </c>
      <c r="H23" s="12">
        <f t="shared" si="7"/>
        <v>2026</v>
      </c>
      <c r="I23" s="12">
        <f t="shared" si="7"/>
        <v>2027</v>
      </c>
      <c r="J23" s="12">
        <f t="shared" si="7"/>
        <v>2028</v>
      </c>
      <c r="K23" s="12">
        <f t="shared" si="7"/>
        <v>2029</v>
      </c>
      <c r="L23" s="12">
        <f t="shared" si="7"/>
        <v>2030</v>
      </c>
      <c r="N23" s="91"/>
    </row>
    <row r="24" spans="2:14" x14ac:dyDescent="0.2">
      <c r="B24" s="1" t="s">
        <v>1</v>
      </c>
      <c r="C24" s="142">
        <f>Statement!M114</f>
        <v>24.97</v>
      </c>
      <c r="D24" s="142">
        <f>Statement!N114</f>
        <v>13.66</v>
      </c>
      <c r="E24" s="142">
        <f>Statement!O114</f>
        <v>48.03</v>
      </c>
      <c r="F24" s="142">
        <f>Statement!P114</f>
        <v>113.61</v>
      </c>
      <c r="G24" s="143">
        <f>Statement!Q114</f>
        <v>162.01</v>
      </c>
      <c r="H24" s="137"/>
      <c r="I24" s="137"/>
      <c r="J24" s="137"/>
      <c r="K24" s="137"/>
      <c r="L24" s="137"/>
      <c r="N24" s="91"/>
    </row>
    <row r="25" spans="2:14" x14ac:dyDescent="0.2">
      <c r="N25" s="91"/>
    </row>
    <row r="26" spans="2:14" x14ac:dyDescent="0.2">
      <c r="N26" s="91"/>
    </row>
    <row r="27" spans="2:14" x14ac:dyDescent="0.2">
      <c r="C27" s="255" t="s">
        <v>196</v>
      </c>
      <c r="D27" s="255"/>
      <c r="E27" s="255"/>
      <c r="F27" s="255"/>
      <c r="G27" s="255"/>
      <c r="H27" s="255"/>
      <c r="I27" s="255"/>
      <c r="J27" s="255"/>
      <c r="K27" s="255"/>
      <c r="L27" s="255"/>
      <c r="N27" s="91"/>
    </row>
    <row r="28" spans="2:14" x14ac:dyDescent="0.2">
      <c r="C28" s="12">
        <f>C5</f>
        <v>2021</v>
      </c>
      <c r="D28" s="12">
        <f t="shared" ref="D28:L28" si="8">D5</f>
        <v>2022</v>
      </c>
      <c r="E28" s="12">
        <f t="shared" si="8"/>
        <v>2023</v>
      </c>
      <c r="F28" s="12">
        <f t="shared" si="8"/>
        <v>2024</v>
      </c>
      <c r="G28" s="12">
        <f t="shared" si="8"/>
        <v>2025</v>
      </c>
      <c r="H28" s="12">
        <f t="shared" si="8"/>
        <v>2026</v>
      </c>
      <c r="I28" s="12">
        <f t="shared" si="8"/>
        <v>2027</v>
      </c>
      <c r="J28" s="12">
        <f t="shared" si="8"/>
        <v>2028</v>
      </c>
      <c r="K28" s="12">
        <f t="shared" si="8"/>
        <v>2029</v>
      </c>
      <c r="L28" s="12">
        <f t="shared" si="8"/>
        <v>2030</v>
      </c>
      <c r="N28" s="91"/>
    </row>
    <row r="29" spans="2:14" x14ac:dyDescent="0.2">
      <c r="B29" s="16" t="s">
        <v>197</v>
      </c>
      <c r="C29" s="144">
        <f>C24/(C6/C19)</f>
        <v>1.7985594237695077</v>
      </c>
      <c r="D29" s="144">
        <f t="shared" ref="D29:G29" si="9">D24/(D6/D19)</f>
        <v>0.90714687280393536</v>
      </c>
      <c r="E29" s="144">
        <f t="shared" si="9"/>
        <v>2.7013813201223953</v>
      </c>
      <c r="F29" s="144">
        <f t="shared" si="9"/>
        <v>5.4734722915626559</v>
      </c>
      <c r="G29" s="145">
        <f t="shared" si="9"/>
        <v>6.1921710654936462</v>
      </c>
      <c r="H29" s="137"/>
      <c r="I29" s="137"/>
      <c r="J29" s="137"/>
      <c r="K29" s="137"/>
      <c r="L29" s="137"/>
      <c r="N29" s="91"/>
    </row>
    <row r="30" spans="2:14" x14ac:dyDescent="0.2">
      <c r="B30" s="1" t="s">
        <v>198</v>
      </c>
      <c r="C30" s="141">
        <f>C24*C19</f>
        <v>8989.1999999999989</v>
      </c>
      <c r="D30" s="141">
        <f t="shared" ref="D30:G30" si="10">D24*D19</f>
        <v>5163.4800000000005</v>
      </c>
      <c r="E30" s="141">
        <f t="shared" si="10"/>
        <v>18539.580000000002</v>
      </c>
      <c r="F30" s="141">
        <f t="shared" si="10"/>
        <v>43853.46</v>
      </c>
      <c r="G30" s="146">
        <f t="shared" si="10"/>
        <v>63345.909999999996</v>
      </c>
      <c r="H30" s="137"/>
      <c r="I30" s="137"/>
      <c r="J30" s="137"/>
      <c r="K30" s="137"/>
      <c r="L30" s="137"/>
      <c r="N30" s="91"/>
    </row>
    <row r="31" spans="2:14" x14ac:dyDescent="0.2">
      <c r="B31" s="1" t="s">
        <v>165</v>
      </c>
      <c r="C31" s="88">
        <f>Statement!M106</f>
        <v>2973</v>
      </c>
      <c r="D31" s="147">
        <f>Statement!N106</f>
        <v>3191</v>
      </c>
      <c r="E31" s="147">
        <f>Statement!O106</f>
        <v>2941</v>
      </c>
      <c r="F31" s="147">
        <f>Statement!P106</f>
        <v>2928</v>
      </c>
      <c r="G31" s="148">
        <f>Statement!Q106</f>
        <v>2913</v>
      </c>
      <c r="H31" s="137"/>
      <c r="I31" s="137"/>
      <c r="J31" s="137"/>
      <c r="K31" s="137"/>
      <c r="L31" s="137"/>
      <c r="N31" s="91"/>
    </row>
    <row r="32" spans="2:14" x14ac:dyDescent="0.2">
      <c r="B32" s="1" t="s">
        <v>174</v>
      </c>
      <c r="C32" s="147">
        <f>Statement!M105</f>
        <v>439</v>
      </c>
      <c r="D32" s="147">
        <f>Statement!N105</f>
        <v>261</v>
      </c>
      <c r="E32" s="147">
        <f>Statement!O105</f>
        <v>780</v>
      </c>
      <c r="F32" s="147">
        <f>Statement!P105</f>
        <v>1228</v>
      </c>
      <c r="G32" s="148">
        <f>Statement!Q105</f>
        <v>1828</v>
      </c>
      <c r="H32" s="137"/>
      <c r="I32" s="137"/>
      <c r="J32" s="137"/>
      <c r="K32" s="137"/>
      <c r="L32" s="137"/>
      <c r="N32" s="91"/>
    </row>
    <row r="33" spans="2:14" x14ac:dyDescent="0.2">
      <c r="B33" s="1" t="s">
        <v>199</v>
      </c>
      <c r="C33" s="141">
        <f>C30+C31-C32</f>
        <v>11523.199999999999</v>
      </c>
      <c r="D33" s="141">
        <f t="shared" ref="D33:G33" si="11">D30+D31-D32</f>
        <v>8093.48</v>
      </c>
      <c r="E33" s="141">
        <f t="shared" si="11"/>
        <v>20700.580000000002</v>
      </c>
      <c r="F33" s="141">
        <f t="shared" si="11"/>
        <v>45553.46</v>
      </c>
      <c r="G33" s="146">
        <f t="shared" si="11"/>
        <v>64430.91</v>
      </c>
      <c r="H33" s="137"/>
      <c r="I33" s="137"/>
      <c r="J33" s="137"/>
      <c r="K33" s="137"/>
      <c r="L33" s="137"/>
      <c r="N33" s="91"/>
    </row>
    <row r="34" spans="2:14" x14ac:dyDescent="0.2">
      <c r="B34" s="16" t="s">
        <v>200</v>
      </c>
      <c r="C34" s="144">
        <f>C33/C7</f>
        <v>44.319999999999993</v>
      </c>
      <c r="D34" s="144">
        <f t="shared" ref="D34:G34" si="12">D33/D7</f>
        <v>36.293632286995511</v>
      </c>
      <c r="E34" s="144">
        <f t="shared" si="12"/>
        <v>23.739197247706425</v>
      </c>
      <c r="F34" s="144">
        <f t="shared" si="12"/>
        <v>33.323672275054861</v>
      </c>
      <c r="G34" s="145">
        <f t="shared" si="12"/>
        <v>35.20814754098361</v>
      </c>
      <c r="H34" s="137"/>
      <c r="I34" s="137"/>
      <c r="J34" s="137"/>
      <c r="K34" s="137"/>
      <c r="L34" s="137"/>
      <c r="N34" s="91"/>
    </row>
    <row r="35" spans="2:14" x14ac:dyDescent="0.2">
      <c r="B35" s="16" t="s">
        <v>314</v>
      </c>
      <c r="C35" s="144">
        <f>C33/C8</f>
        <v>58.08487793028057</v>
      </c>
      <c r="D35" s="144">
        <f t="shared" ref="D35:G35" si="13">D33/D8</f>
        <v>-52.155553154543689</v>
      </c>
      <c r="E35" s="144">
        <f t="shared" si="13"/>
        <v>21.700214850318716</v>
      </c>
      <c r="F35" s="144">
        <f t="shared" si="13"/>
        <v>41.695408388520974</v>
      </c>
      <c r="G35" s="145">
        <f t="shared" si="13"/>
        <v>35.35616639901415</v>
      </c>
      <c r="H35" s="137"/>
      <c r="I35" s="137"/>
      <c r="J35" s="137"/>
      <c r="K35" s="137"/>
      <c r="L35" s="137"/>
      <c r="N35" s="91"/>
    </row>
    <row r="36" spans="2:14" x14ac:dyDescent="0.2">
      <c r="B36" s="16" t="s">
        <v>400</v>
      </c>
      <c r="C36" s="144">
        <f>C33/C6</f>
        <v>2.3055622248899557</v>
      </c>
      <c r="D36" s="144">
        <f t="shared" ref="D36:G36" si="14">D33/D6</f>
        <v>1.4219044272663386</v>
      </c>
      <c r="E36" s="144">
        <f t="shared" si="14"/>
        <v>3.0162581961241441</v>
      </c>
      <c r="F36" s="144">
        <f t="shared" si="14"/>
        <v>5.685654018971543</v>
      </c>
      <c r="G36" s="145">
        <f t="shared" si="14"/>
        <v>6.2982316715542526</v>
      </c>
      <c r="H36" s="137"/>
      <c r="I36" s="137"/>
      <c r="J36" s="137"/>
      <c r="K36" s="137"/>
      <c r="L36" s="137"/>
      <c r="N36" s="91"/>
    </row>
    <row r="37" spans="2:14" x14ac:dyDescent="0.2">
      <c r="N37" s="91"/>
    </row>
    <row r="38" spans="2:14" x14ac:dyDescent="0.2">
      <c r="N38" s="91"/>
    </row>
    <row r="39" spans="2:14" x14ac:dyDescent="0.2">
      <c r="B39" s="249" t="s">
        <v>201</v>
      </c>
      <c r="C39" s="249"/>
      <c r="N39" s="91"/>
    </row>
    <row r="40" spans="2:14" x14ac:dyDescent="0.2">
      <c r="B40" s="1" t="s">
        <v>202</v>
      </c>
      <c r="C40" s="64">
        <f>L7</f>
        <v>8555.1051342307201</v>
      </c>
    </row>
    <row r="41" spans="2:14" x14ac:dyDescent="0.2">
      <c r="B41" s="1" t="s">
        <v>161</v>
      </c>
      <c r="C41" s="135">
        <f>IF(Overview!C28&gt;0,Overview!C28,WACC!C20)</f>
        <v>0.115</v>
      </c>
    </row>
    <row r="42" spans="2:14" x14ac:dyDescent="0.2">
      <c r="B42" s="39" t="s">
        <v>203</v>
      </c>
      <c r="C42" s="105">
        <v>25</v>
      </c>
    </row>
    <row r="43" spans="2:14" x14ac:dyDescent="0.2">
      <c r="B43" s="1" t="s">
        <v>396</v>
      </c>
      <c r="C43" s="24">
        <f>(C40*C42)</f>
        <v>213877.62835576801</v>
      </c>
    </row>
    <row r="44" spans="2:14" x14ac:dyDescent="0.2">
      <c r="B44" s="1" t="s">
        <v>397</v>
      </c>
      <c r="C44" s="24">
        <f>C43/(1+C41)^5</f>
        <v>124105.49832023363</v>
      </c>
    </row>
    <row r="45" spans="2:14" x14ac:dyDescent="0.2">
      <c r="B45" s="16" t="s">
        <v>398</v>
      </c>
      <c r="C45" s="108">
        <f>SUM(H9:K9)+C44</f>
        <v>135837.99120997544</v>
      </c>
    </row>
    <row r="46" spans="2:14" x14ac:dyDescent="0.2">
      <c r="B46" s="1" t="s">
        <v>185</v>
      </c>
      <c r="C46" s="88">
        <f>Statement!AC105</f>
        <v>3111</v>
      </c>
    </row>
    <row r="47" spans="2:14" x14ac:dyDescent="0.2">
      <c r="B47" s="1" t="s">
        <v>186</v>
      </c>
      <c r="C47" s="88">
        <f>Statement!AC106</f>
        <v>2940</v>
      </c>
    </row>
    <row r="48" spans="2:14" x14ac:dyDescent="0.2">
      <c r="B48" s="16" t="s">
        <v>187</v>
      </c>
      <c r="C48" s="94">
        <f>C45+C46-C47</f>
        <v>136008.99120997544</v>
      </c>
    </row>
    <row r="49" spans="2:3" x14ac:dyDescent="0.2">
      <c r="B49" s="1" t="s">
        <v>66</v>
      </c>
      <c r="C49" s="88">
        <f>Statement!AC77</f>
        <v>393</v>
      </c>
    </row>
    <row r="50" spans="2:3" x14ac:dyDescent="0.2">
      <c r="B50" s="237" t="s">
        <v>205</v>
      </c>
      <c r="C50" s="238">
        <f>C48/C49</f>
        <v>346.07885804065</v>
      </c>
    </row>
    <row r="52" spans="2:3" x14ac:dyDescent="0.2">
      <c r="B52" s="249" t="s">
        <v>206</v>
      </c>
      <c r="C52" s="249"/>
    </row>
    <row r="53" spans="2:3" x14ac:dyDescent="0.2">
      <c r="B53" s="1" t="s">
        <v>207</v>
      </c>
      <c r="C53" s="64">
        <f>L6</f>
        <v>32904.250516271997</v>
      </c>
    </row>
    <row r="54" spans="2:3" x14ac:dyDescent="0.2">
      <c r="B54" s="1" t="s">
        <v>337</v>
      </c>
      <c r="C54" s="135">
        <f>IF(Overview!C29&gt;0,Overview!C29,WACC!C19)</f>
        <v>0.12</v>
      </c>
    </row>
    <row r="55" spans="2:3" x14ac:dyDescent="0.2">
      <c r="B55" s="39" t="s">
        <v>208</v>
      </c>
      <c r="C55" s="105">
        <v>5</v>
      </c>
    </row>
    <row r="56" spans="2:3" x14ac:dyDescent="0.2">
      <c r="B56" s="1" t="s">
        <v>204</v>
      </c>
      <c r="C56" s="24">
        <f>L19</f>
        <v>390.92180391000005</v>
      </c>
    </row>
    <row r="57" spans="2:3" x14ac:dyDescent="0.2">
      <c r="B57" s="1" t="s">
        <v>188</v>
      </c>
      <c r="C57" s="24">
        <f>(C53*C55)/C56</f>
        <v>420.8546336781892</v>
      </c>
    </row>
    <row r="58" spans="2:3" x14ac:dyDescent="0.2">
      <c r="B58" s="237" t="s">
        <v>205</v>
      </c>
      <c r="C58" s="238">
        <f>C57/(1+C54)^5</f>
        <v>238.80422150261779</v>
      </c>
    </row>
    <row r="60" spans="2:3" x14ac:dyDescent="0.2">
      <c r="B60" s="249" t="s">
        <v>315</v>
      </c>
      <c r="C60" s="249"/>
    </row>
    <row r="61" spans="2:3" x14ac:dyDescent="0.2">
      <c r="B61" s="1" t="s">
        <v>399</v>
      </c>
      <c r="C61" s="64">
        <f>L8</f>
        <v>7698.5516509805393</v>
      </c>
    </row>
    <row r="62" spans="2:3" x14ac:dyDescent="0.2">
      <c r="B62" s="1" t="s">
        <v>161</v>
      </c>
      <c r="C62" s="135">
        <f>IF(Overview!C28&gt;0,Overview!C28,WACC!C20)</f>
        <v>0.115</v>
      </c>
    </row>
    <row r="63" spans="2:3" x14ac:dyDescent="0.2">
      <c r="B63" s="39" t="s">
        <v>338</v>
      </c>
      <c r="C63" s="105">
        <v>27</v>
      </c>
    </row>
    <row r="64" spans="2:3" x14ac:dyDescent="0.2">
      <c r="B64" s="1" t="s">
        <v>396</v>
      </c>
      <c r="C64" s="24">
        <f>(C61*C63)</f>
        <v>207860.89457647456</v>
      </c>
    </row>
    <row r="65" spans="2:3" x14ac:dyDescent="0.2">
      <c r="B65" s="1" t="s">
        <v>397</v>
      </c>
      <c r="C65" s="24">
        <f>C64/(1+C62)^5</f>
        <v>120614.20402414528</v>
      </c>
    </row>
    <row r="66" spans="2:3" x14ac:dyDescent="0.2">
      <c r="B66" s="16" t="s">
        <v>398</v>
      </c>
      <c r="C66" s="108">
        <f>SUM(H9:K9)+C65</f>
        <v>132346.69691388708</v>
      </c>
    </row>
    <row r="67" spans="2:3" x14ac:dyDescent="0.2">
      <c r="B67" s="1" t="s">
        <v>185</v>
      </c>
      <c r="C67" s="88">
        <f>Statement!AC105</f>
        <v>3111</v>
      </c>
    </row>
    <row r="68" spans="2:3" x14ac:dyDescent="0.2">
      <c r="B68" s="1" t="s">
        <v>186</v>
      </c>
      <c r="C68" s="88">
        <f>Statement!AC106</f>
        <v>2940</v>
      </c>
    </row>
    <row r="69" spans="2:3" x14ac:dyDescent="0.2">
      <c r="B69" s="16" t="s">
        <v>187</v>
      </c>
      <c r="C69" s="94">
        <f>C66+C67-C68</f>
        <v>132517.69691388708</v>
      </c>
    </row>
    <row r="70" spans="2:3" x14ac:dyDescent="0.2">
      <c r="B70" s="1" t="s">
        <v>66</v>
      </c>
      <c r="C70" s="88">
        <f>Statement!AC77</f>
        <v>393</v>
      </c>
    </row>
    <row r="71" spans="2:3" x14ac:dyDescent="0.2">
      <c r="B71" s="237" t="s">
        <v>205</v>
      </c>
      <c r="C71" s="238">
        <f>C69/C70</f>
        <v>337.19515754169737</v>
      </c>
    </row>
    <row r="73" spans="2:3" x14ac:dyDescent="0.2">
      <c r="B73" s="249" t="s">
        <v>401</v>
      </c>
      <c r="C73" s="249"/>
    </row>
    <row r="74" spans="2:3" x14ac:dyDescent="0.2">
      <c r="B74" s="1" t="s">
        <v>402</v>
      </c>
      <c r="C74" s="64">
        <f>L6</f>
        <v>32904.250516271997</v>
      </c>
    </row>
    <row r="75" spans="2:3" x14ac:dyDescent="0.2">
      <c r="B75" s="1" t="s">
        <v>161</v>
      </c>
      <c r="C75" s="135">
        <f>IF(Overview!C28&gt;0,Overview!C28,WACC!C20)</f>
        <v>0.115</v>
      </c>
    </row>
    <row r="76" spans="2:3" x14ac:dyDescent="0.2">
      <c r="B76" s="39" t="s">
        <v>403</v>
      </c>
      <c r="C76" s="105">
        <v>5</v>
      </c>
    </row>
    <row r="77" spans="2:3" x14ac:dyDescent="0.2">
      <c r="B77" s="1" t="s">
        <v>396</v>
      </c>
      <c r="C77" s="24">
        <f>(C74*C76)</f>
        <v>164521.25258135999</v>
      </c>
    </row>
    <row r="78" spans="2:3" x14ac:dyDescent="0.2">
      <c r="B78" s="1" t="s">
        <v>397</v>
      </c>
      <c r="C78" s="24">
        <f>C77/(1+C75)^5</f>
        <v>95465.767938641235</v>
      </c>
    </row>
    <row r="79" spans="2:3" x14ac:dyDescent="0.2">
      <c r="B79" s="16" t="s">
        <v>398</v>
      </c>
      <c r="C79" s="108">
        <f>SUM(H9:K9)+C78</f>
        <v>107198.26082838303</v>
      </c>
    </row>
    <row r="80" spans="2:3" x14ac:dyDescent="0.2">
      <c r="B80" s="1" t="s">
        <v>185</v>
      </c>
      <c r="C80" s="88">
        <f>Statement!AC105</f>
        <v>3111</v>
      </c>
    </row>
    <row r="81" spans="2:3" x14ac:dyDescent="0.2">
      <c r="B81" s="1" t="s">
        <v>186</v>
      </c>
      <c r="C81" s="88">
        <f>Statement!AC106</f>
        <v>2940</v>
      </c>
    </row>
    <row r="82" spans="2:3" x14ac:dyDescent="0.2">
      <c r="B82" s="16" t="s">
        <v>187</v>
      </c>
      <c r="C82" s="94">
        <f>C79+C80-C81</f>
        <v>107369.26082838303</v>
      </c>
    </row>
    <row r="83" spans="2:3" x14ac:dyDescent="0.2">
      <c r="B83" s="1" t="s">
        <v>66</v>
      </c>
      <c r="C83" s="88">
        <f>Statement!AC77</f>
        <v>393</v>
      </c>
    </row>
    <row r="84" spans="2:3" x14ac:dyDescent="0.2">
      <c r="B84" s="237" t="s">
        <v>205</v>
      </c>
      <c r="C84" s="238">
        <f>C82/C83</f>
        <v>273.20422602641992</v>
      </c>
    </row>
  </sheetData>
  <mergeCells count="11">
    <mergeCell ref="B73:C73"/>
    <mergeCell ref="C27:L27"/>
    <mergeCell ref="B39:C39"/>
    <mergeCell ref="B52:C52"/>
    <mergeCell ref="B60:C60"/>
    <mergeCell ref="C22:L22"/>
    <mergeCell ref="C2:G2"/>
    <mergeCell ref="H2:L2"/>
    <mergeCell ref="C4:L4"/>
    <mergeCell ref="C11:L11"/>
    <mergeCell ref="C17:L17"/>
  </mergeCells>
  <pageMargins left="0.7" right="0.7" top="0.75" bottom="0.75" header="0.3" footer="0.3"/>
  <ignoredErrors>
    <ignoredError sqref="D14:L14"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06138-34BE-DB43-85EE-BFBB58F201B2}">
  <dimension ref="A1:N12"/>
  <sheetViews>
    <sheetView zoomScale="168" zoomScaleNormal="100" workbookViewId="0">
      <selection activeCell="C10" sqref="C10"/>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209</v>
      </c>
    </row>
    <row r="2" spans="1:14" x14ac:dyDescent="0.2">
      <c r="N2" s="91"/>
    </row>
    <row r="3" spans="1:14" x14ac:dyDescent="0.2">
      <c r="N3" s="91"/>
    </row>
    <row r="4" spans="1:14" x14ac:dyDescent="0.2">
      <c r="B4" s="249" t="s">
        <v>210</v>
      </c>
      <c r="C4" s="249"/>
      <c r="N4" s="91"/>
    </row>
    <row r="5" spans="1:14" x14ac:dyDescent="0.2">
      <c r="B5" s="1" t="s">
        <v>211</v>
      </c>
      <c r="C5" s="133">
        <f>DCF!C26</f>
        <v>163.70032761345942</v>
      </c>
    </row>
    <row r="6" spans="1:14" x14ac:dyDescent="0.2">
      <c r="B6" s="1" t="s">
        <v>212</v>
      </c>
      <c r="C6" s="133">
        <f>Multiples!C50</f>
        <v>346.07885804065</v>
      </c>
    </row>
    <row r="7" spans="1:14" x14ac:dyDescent="0.2">
      <c r="B7" s="1" t="s">
        <v>213</v>
      </c>
      <c r="C7" s="133">
        <f>Multiples!C58</f>
        <v>238.80422150261779</v>
      </c>
    </row>
    <row r="8" spans="1:14" x14ac:dyDescent="0.2">
      <c r="B8" s="1" t="s">
        <v>316</v>
      </c>
      <c r="C8" s="133">
        <f>Multiples!C71</f>
        <v>337.19515754169737</v>
      </c>
    </row>
    <row r="9" spans="1:14" x14ac:dyDescent="0.2">
      <c r="B9" s="1" t="s">
        <v>404</v>
      </c>
      <c r="C9" s="133">
        <f>Multiples!C84</f>
        <v>273.20422602641992</v>
      </c>
    </row>
    <row r="10" spans="1:14" x14ac:dyDescent="0.2">
      <c r="B10" s="237" t="s">
        <v>214</v>
      </c>
      <c r="C10" s="238">
        <f>AVERAGE(C5:C9)</f>
        <v>271.79655814496891</v>
      </c>
    </row>
    <row r="11" spans="1:14" x14ac:dyDescent="0.2">
      <c r="B11" s="1" t="s">
        <v>215</v>
      </c>
      <c r="C11" s="133">
        <f ca="1">Overview!C5</f>
        <v>194.30500000000001</v>
      </c>
    </row>
    <row r="12" spans="1:14" x14ac:dyDescent="0.2">
      <c r="B12" s="1" t="s">
        <v>216</v>
      </c>
      <c r="C12" s="149">
        <f ca="1">(C10-C11)/C11</f>
        <v>0.39881401994271326</v>
      </c>
    </row>
  </sheetData>
  <mergeCells count="1">
    <mergeCell ref="B4:C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8DA5-299F-1343-8F22-D98E787B4AC7}">
  <dimension ref="A1:N26"/>
  <sheetViews>
    <sheetView topLeftCell="A18" zoomScale="192" zoomScaleNormal="100" workbookViewId="0">
      <selection activeCell="C27" sqref="C27"/>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360</v>
      </c>
    </row>
    <row r="2" spans="1:14" x14ac:dyDescent="0.2">
      <c r="A2" s="4"/>
      <c r="C2" s="249" t="s">
        <v>109</v>
      </c>
      <c r="D2" s="249"/>
      <c r="E2" s="249"/>
      <c r="F2" s="249"/>
      <c r="G2" s="258"/>
      <c r="H2" s="259" t="s">
        <v>110</v>
      </c>
      <c r="I2" s="249"/>
      <c r="J2" s="249"/>
      <c r="K2" s="249"/>
      <c r="L2" s="249"/>
    </row>
    <row r="3" spans="1:14" ht="10" customHeight="1" x14ac:dyDescent="0.2"/>
    <row r="4" spans="1:14" ht="16" customHeight="1" x14ac:dyDescent="0.2">
      <c r="A4" s="86"/>
      <c r="B4" s="60"/>
      <c r="C4" s="255" t="s">
        <v>190</v>
      </c>
      <c r="D4" s="255"/>
      <c r="E4" s="255"/>
      <c r="F4" s="255"/>
      <c r="G4" s="255"/>
      <c r="H4" s="255"/>
      <c r="I4" s="255"/>
      <c r="J4" s="255"/>
      <c r="K4" s="255"/>
      <c r="L4" s="255"/>
    </row>
    <row r="5" spans="1:14" x14ac:dyDescent="0.2">
      <c r="B5" s="16" t="s">
        <v>113</v>
      </c>
      <c r="C5" s="12">
        <f>[2]Revenue!C5</f>
        <v>2021</v>
      </c>
      <c r="D5" s="12">
        <f>[2]Revenue!D5</f>
        <v>2022</v>
      </c>
      <c r="E5" s="12">
        <f>[2]Revenue!E5</f>
        <v>2023</v>
      </c>
      <c r="F5" s="12">
        <f>[2]Revenue!F5</f>
        <v>2024</v>
      </c>
      <c r="G5" s="12">
        <f>[2]Revenue!G5</f>
        <v>2025</v>
      </c>
      <c r="H5" s="12">
        <f>[2]Revenue!H5</f>
        <v>2026</v>
      </c>
      <c r="I5" s="12">
        <f>[2]Revenue!I5</f>
        <v>2027</v>
      </c>
      <c r="J5" s="12">
        <f>[2]Revenue!J5</f>
        <v>2028</v>
      </c>
      <c r="K5" s="12">
        <f>[2]Revenue!K5</f>
        <v>2029</v>
      </c>
      <c r="L5" s="12">
        <f>[2]Revenue!L5</f>
        <v>2030</v>
      </c>
    </row>
    <row r="6" spans="1:14" x14ac:dyDescent="0.2">
      <c r="B6" s="16" t="s">
        <v>236</v>
      </c>
      <c r="C6" s="228">
        <f>Statement!M25</f>
        <v>0.33</v>
      </c>
      <c r="D6" s="228">
        <f>Statement!N25</f>
        <v>-0.04</v>
      </c>
      <c r="E6" s="228">
        <f>Statement!O25</f>
        <v>1.19</v>
      </c>
      <c r="F6" s="228">
        <f>Statement!P25</f>
        <v>1.28</v>
      </c>
      <c r="G6" s="229">
        <f>Statement!Q25</f>
        <v>3.41</v>
      </c>
      <c r="H6" s="137"/>
      <c r="I6" s="137"/>
      <c r="J6" s="137"/>
      <c r="K6" s="137"/>
      <c r="L6" s="137"/>
      <c r="N6" s="91"/>
    </row>
    <row r="7" spans="1:14" x14ac:dyDescent="0.2">
      <c r="B7" s="16" t="s">
        <v>361</v>
      </c>
      <c r="C7" s="228">
        <f>Statement!M81</f>
        <v>0.01</v>
      </c>
      <c r="D7" s="228">
        <f>Statement!N81</f>
        <v>0.01</v>
      </c>
      <c r="E7" s="228">
        <f>Statement!O81</f>
        <v>2.5000000000000001E-2</v>
      </c>
      <c r="F7" s="228">
        <f>Statement!P81</f>
        <v>0.112</v>
      </c>
      <c r="G7" s="229">
        <f>Statement!Q81</f>
        <v>0.17499999999999999</v>
      </c>
      <c r="H7" s="137"/>
      <c r="I7" s="137"/>
      <c r="J7" s="137"/>
      <c r="K7" s="137"/>
      <c r="L7" s="137"/>
      <c r="N7" s="91"/>
    </row>
    <row r="8" spans="1:14" x14ac:dyDescent="0.2">
      <c r="N8" s="91"/>
    </row>
    <row r="9" spans="1:14" x14ac:dyDescent="0.2">
      <c r="C9" s="255" t="s">
        <v>118</v>
      </c>
      <c r="D9" s="255"/>
      <c r="E9" s="255"/>
      <c r="F9" s="255"/>
      <c r="G9" s="255"/>
      <c r="H9" s="255"/>
      <c r="I9" s="255"/>
      <c r="J9" s="255"/>
      <c r="K9" s="255"/>
      <c r="L9" s="255"/>
      <c r="N9" s="91"/>
    </row>
    <row r="10" spans="1:14" x14ac:dyDescent="0.2">
      <c r="B10" s="16" t="s">
        <v>191</v>
      </c>
      <c r="C10" s="12">
        <f t="shared" ref="C10:L10" si="0">C5</f>
        <v>2021</v>
      </c>
      <c r="D10" s="12">
        <f t="shared" si="0"/>
        <v>2022</v>
      </c>
      <c r="E10" s="12">
        <f t="shared" si="0"/>
        <v>2023</v>
      </c>
      <c r="F10" s="12">
        <f t="shared" si="0"/>
        <v>2024</v>
      </c>
      <c r="G10" s="12">
        <f t="shared" si="0"/>
        <v>2025</v>
      </c>
      <c r="H10" s="12">
        <f t="shared" si="0"/>
        <v>2026</v>
      </c>
      <c r="I10" s="12">
        <f t="shared" si="0"/>
        <v>2027</v>
      </c>
      <c r="J10" s="12">
        <f t="shared" si="0"/>
        <v>2028</v>
      </c>
      <c r="K10" s="12">
        <f t="shared" si="0"/>
        <v>2029</v>
      </c>
      <c r="L10" s="12">
        <f t="shared" si="0"/>
        <v>2030</v>
      </c>
      <c r="N10" s="91"/>
    </row>
    <row r="11" spans="1:14" x14ac:dyDescent="0.2">
      <c r="B11" s="1" t="s">
        <v>236</v>
      </c>
      <c r="C11" s="137"/>
      <c r="D11" s="95">
        <f>(D6-C6)/C6</f>
        <v>-1.1212121212121211</v>
      </c>
      <c r="E11" s="95">
        <f>(E6-D6)/D6</f>
        <v>-30.75</v>
      </c>
      <c r="F11" s="95">
        <f>(F6-E6)/E6</f>
        <v>7.5630252100840401E-2</v>
      </c>
      <c r="G11" s="96">
        <f>(G6-F6)/F6</f>
        <v>1.6640624999999998</v>
      </c>
      <c r="H11" s="137"/>
      <c r="I11" s="137"/>
      <c r="J11" s="137"/>
      <c r="K11" s="137"/>
      <c r="L11" s="137"/>
      <c r="N11" s="91"/>
    </row>
    <row r="12" spans="1:14" x14ac:dyDescent="0.2">
      <c r="B12" s="1" t="s">
        <v>237</v>
      </c>
      <c r="C12" s="137"/>
      <c r="D12" s="95">
        <f>IF(C7=0,
IF(D7=0,0,IF(D7&gt;0,1,-1)),
(D7-C7)/ABS(C7)
)</f>
        <v>0</v>
      </c>
      <c r="E12" s="95">
        <f>IF(D7=0,
IF(E7=0,0,IF(E7&gt;0,1,-1)),
(E7-D7)/ABS(D7)
)</f>
        <v>1.5</v>
      </c>
      <c r="F12" s="95">
        <f>IF(E7=0,
IF(F7=0,0,IF(F7&gt;0,1,-1)),
(F7-E7)/ABS(E7)
)</f>
        <v>3.4799999999999995</v>
      </c>
      <c r="G12" s="96">
        <f>IF(F7=0,
IF(G7=0,0,IF(G7&gt;0,1,-1)),
(G7-F7)/ABS(F7)
)</f>
        <v>0.56249999999999989</v>
      </c>
      <c r="H12" s="137"/>
      <c r="I12" s="137"/>
      <c r="J12" s="137"/>
      <c r="K12" s="137"/>
      <c r="L12" s="137"/>
      <c r="N12" s="91"/>
    </row>
    <row r="13" spans="1:14" x14ac:dyDescent="0.2">
      <c r="N13" s="91"/>
    </row>
    <row r="14" spans="1:14" x14ac:dyDescent="0.2">
      <c r="C14" s="255" t="s">
        <v>362</v>
      </c>
      <c r="D14" s="255"/>
      <c r="E14" s="255"/>
      <c r="F14" s="255"/>
      <c r="G14" s="255"/>
      <c r="H14" s="255"/>
      <c r="I14" s="255"/>
      <c r="J14" s="255"/>
      <c r="K14" s="255"/>
      <c r="L14" s="255"/>
      <c r="N14" s="91"/>
    </row>
    <row r="15" spans="1:14" x14ac:dyDescent="0.2">
      <c r="B15" s="16" t="s">
        <v>325</v>
      </c>
      <c r="C15" s="12">
        <f>C5</f>
        <v>2021</v>
      </c>
      <c r="D15" s="12">
        <f t="shared" ref="D15:L15" si="1">D5</f>
        <v>2022</v>
      </c>
      <c r="E15" s="12">
        <f t="shared" si="1"/>
        <v>2023</v>
      </c>
      <c r="F15" s="12">
        <f t="shared" si="1"/>
        <v>2024</v>
      </c>
      <c r="G15" s="12">
        <f t="shared" si="1"/>
        <v>2025</v>
      </c>
      <c r="H15" s="12">
        <f t="shared" si="1"/>
        <v>2026</v>
      </c>
      <c r="I15" s="12">
        <f t="shared" si="1"/>
        <v>2027</v>
      </c>
      <c r="J15" s="12">
        <f t="shared" si="1"/>
        <v>2028</v>
      </c>
      <c r="K15" s="12">
        <f t="shared" si="1"/>
        <v>2029</v>
      </c>
      <c r="L15" s="12">
        <f t="shared" si="1"/>
        <v>2030</v>
      </c>
      <c r="N15" s="91"/>
    </row>
    <row r="16" spans="1:14" x14ac:dyDescent="0.2">
      <c r="B16" s="1" t="s">
        <v>363</v>
      </c>
      <c r="C16" s="95">
        <f>C7/C6</f>
        <v>3.0303030303030304E-2</v>
      </c>
      <c r="D16" s="95">
        <f t="shared" ref="D16:G16" si="2">D7/D6</f>
        <v>-0.25</v>
      </c>
      <c r="E16" s="95">
        <f t="shared" si="2"/>
        <v>2.100840336134454E-2</v>
      </c>
      <c r="F16" s="95">
        <f t="shared" si="2"/>
        <v>8.7499999999999994E-2</v>
      </c>
      <c r="G16" s="96">
        <f t="shared" si="2"/>
        <v>5.1319648093841638E-2</v>
      </c>
      <c r="H16" s="137"/>
      <c r="I16" s="137"/>
      <c r="J16" s="137"/>
      <c r="K16" s="137"/>
      <c r="L16" s="137"/>
      <c r="N16" s="91"/>
    </row>
    <row r="17" spans="2:14" x14ac:dyDescent="0.2">
      <c r="N17" s="91"/>
    </row>
    <row r="18" spans="2:14" x14ac:dyDescent="0.2">
      <c r="N18" s="91"/>
    </row>
    <row r="19" spans="2:14" x14ac:dyDescent="0.2">
      <c r="N19" s="91"/>
    </row>
    <row r="20" spans="2:14" x14ac:dyDescent="0.2">
      <c r="B20" s="249" t="s">
        <v>364</v>
      </c>
      <c r="C20" s="249"/>
      <c r="N20" s="91"/>
    </row>
    <row r="21" spans="2:14" x14ac:dyDescent="0.2">
      <c r="B21" s="1" t="s">
        <v>365</v>
      </c>
      <c r="C21" s="230">
        <f>G7</f>
        <v>0.17499999999999999</v>
      </c>
    </row>
    <row r="22" spans="2:14" x14ac:dyDescent="0.2">
      <c r="B22" s="1" t="s">
        <v>366</v>
      </c>
      <c r="C22" s="231">
        <v>0.2</v>
      </c>
    </row>
    <row r="23" spans="2:14" x14ac:dyDescent="0.2">
      <c r="B23" s="39" t="s">
        <v>367</v>
      </c>
      <c r="C23" s="232">
        <f>C21*(1+C22)</f>
        <v>0.21</v>
      </c>
    </row>
    <row r="24" spans="2:14" x14ac:dyDescent="0.2">
      <c r="B24" s="1" t="s">
        <v>337</v>
      </c>
      <c r="C24" s="135">
        <f>IF(Overview!C29&gt;0,Overview!C29,WACC!C19)</f>
        <v>0.12</v>
      </c>
    </row>
    <row r="25" spans="2:14" x14ac:dyDescent="0.2">
      <c r="B25" s="39" t="s">
        <v>368</v>
      </c>
      <c r="C25" s="231">
        <v>0.02</v>
      </c>
    </row>
    <row r="26" spans="2:14" x14ac:dyDescent="0.2">
      <c r="B26" s="237" t="s">
        <v>205</v>
      </c>
      <c r="C26" s="238">
        <f>C23/(C24-C25)</f>
        <v>2.1</v>
      </c>
    </row>
  </sheetData>
  <mergeCells count="6">
    <mergeCell ref="B20:C20"/>
    <mergeCell ref="C2:G2"/>
    <mergeCell ref="H2:L2"/>
    <mergeCell ref="C4:L4"/>
    <mergeCell ref="C9:L9"/>
    <mergeCell ref="C14:L1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6CE1A-CCEC-514B-9208-A0DCC7740441}">
  <dimension ref="A1:AB36"/>
  <sheetViews>
    <sheetView zoomScale="209" zoomScaleNormal="100" workbookViewId="0">
      <selection activeCell="C31" sqref="C31"/>
    </sheetView>
  </sheetViews>
  <sheetFormatPr baseColWidth="10" defaultRowHeight="16" x14ac:dyDescent="0.2"/>
  <cols>
    <col min="1" max="1" width="2" style="83" customWidth="1"/>
    <col min="2" max="2" width="32" style="1" customWidth="1"/>
    <col min="3" max="3" width="12.6640625" style="1" customWidth="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217</v>
      </c>
    </row>
    <row r="2" spans="1:28" s="83" customFormat="1" ht="18" customHeight="1" x14ac:dyDescent="0.2">
      <c r="A2" s="4"/>
      <c r="B2" s="82"/>
    </row>
    <row r="3" spans="1:28" x14ac:dyDescent="0.2">
      <c r="A3" s="4"/>
      <c r="C3" s="249" t="s">
        <v>109</v>
      </c>
      <c r="D3" s="249"/>
      <c r="E3" s="249"/>
      <c r="F3" s="249"/>
      <c r="G3" s="258"/>
      <c r="H3" s="259" t="s">
        <v>110</v>
      </c>
      <c r="I3" s="249"/>
      <c r="J3" s="249"/>
      <c r="K3" s="249"/>
      <c r="L3" s="249"/>
      <c r="P3" s="260"/>
      <c r="Q3" s="260"/>
      <c r="R3" s="260"/>
      <c r="S3" s="260"/>
      <c r="T3" s="260"/>
      <c r="U3" s="260"/>
      <c r="V3" s="260"/>
      <c r="W3" s="260"/>
      <c r="X3" s="260"/>
      <c r="Y3" s="260"/>
      <c r="Z3" s="260"/>
      <c r="AB3" s="109"/>
    </row>
    <row r="4" spans="1:28" ht="10" customHeight="1" x14ac:dyDescent="0.2"/>
    <row r="5" spans="1:28" ht="16" customHeight="1" x14ac:dyDescent="0.2">
      <c r="A5" s="86"/>
      <c r="B5" s="60"/>
      <c r="C5" s="255" t="s">
        <v>176</v>
      </c>
      <c r="D5" s="255"/>
      <c r="E5" s="255"/>
      <c r="F5" s="255"/>
      <c r="G5" s="255"/>
      <c r="H5" s="255"/>
      <c r="I5" s="255"/>
      <c r="J5" s="255"/>
      <c r="K5" s="255"/>
      <c r="L5" s="255"/>
      <c r="P5" s="260"/>
      <c r="Q5" s="260"/>
      <c r="R5" s="260"/>
      <c r="S5" s="260"/>
      <c r="T5" s="260"/>
      <c r="U5" s="260"/>
      <c r="V5" s="260"/>
      <c r="W5" s="260"/>
      <c r="X5" s="260"/>
      <c r="Y5" s="260"/>
      <c r="Z5" s="260"/>
      <c r="AB5" s="110"/>
    </row>
    <row r="6" spans="1:28" x14ac:dyDescent="0.2">
      <c r="B6" s="16" t="s">
        <v>129</v>
      </c>
      <c r="C6" s="12">
        <f>Revenue!C5</f>
        <v>2021</v>
      </c>
      <c r="D6" s="12">
        <f>Revenue!D5</f>
        <v>2022</v>
      </c>
      <c r="E6" s="12">
        <f>Revenue!E5</f>
        <v>2023</v>
      </c>
      <c r="F6" s="12">
        <f>Revenue!F5</f>
        <v>2024</v>
      </c>
      <c r="G6" s="12">
        <f>Revenue!G5</f>
        <v>2025</v>
      </c>
      <c r="H6" s="12">
        <f>Revenue!H5</f>
        <v>2026</v>
      </c>
      <c r="I6" s="12">
        <f>Revenue!I5</f>
        <v>2027</v>
      </c>
      <c r="J6" s="12">
        <f>Revenue!J5</f>
        <v>2028</v>
      </c>
      <c r="K6" s="12">
        <f>Revenue!K5</f>
        <v>2029</v>
      </c>
      <c r="L6" s="12">
        <f>Revenue!L5</f>
        <v>2030</v>
      </c>
      <c r="O6" s="16"/>
      <c r="P6" s="111"/>
      <c r="Q6" s="111"/>
      <c r="R6" s="111"/>
      <c r="S6" s="111"/>
      <c r="T6" s="111"/>
      <c r="U6" s="111"/>
      <c r="V6" s="111"/>
      <c r="W6" s="111"/>
      <c r="X6" s="111"/>
      <c r="Y6" s="111"/>
      <c r="Z6" s="111"/>
      <c r="AB6" s="110"/>
    </row>
    <row r="7" spans="1:28" x14ac:dyDescent="0.2">
      <c r="B7" s="39" t="s">
        <v>255</v>
      </c>
      <c r="C7" s="112">
        <f>'FCF &amp; Other'!C28</f>
        <v>198.3855421686747</v>
      </c>
      <c r="D7" s="112">
        <f>'FCF &amp; Other'!D28</f>
        <v>-155.17964071856289</v>
      </c>
      <c r="E7" s="112">
        <f>'FCF &amp; Other'!E28</f>
        <v>953.93433395872421</v>
      </c>
      <c r="F7" s="112">
        <f>'FCF &amp; Other'!F28</f>
        <v>1092.5294117647059</v>
      </c>
      <c r="G7" s="113">
        <f>'FCF &amp; Other'!G28</f>
        <v>1822.3386911595867</v>
      </c>
      <c r="H7" s="126">
        <f>G7*(1+$C$17)</f>
        <v>2542.1624741676233</v>
      </c>
      <c r="I7" s="126">
        <f t="shared" ref="I7:L7" si="0">H7*(1+$C$17)</f>
        <v>3546.3166514638347</v>
      </c>
      <c r="J7" s="126">
        <f t="shared" si="0"/>
        <v>4947.1117287920497</v>
      </c>
      <c r="K7" s="126">
        <f t="shared" si="0"/>
        <v>6901.2208616649095</v>
      </c>
      <c r="L7" s="126">
        <f t="shared" si="0"/>
        <v>9627.2031020225495</v>
      </c>
      <c r="N7" s="91"/>
      <c r="O7" s="16"/>
      <c r="P7" s="92"/>
      <c r="Q7" s="92"/>
      <c r="R7" s="92"/>
      <c r="S7" s="92"/>
      <c r="T7" s="92"/>
      <c r="U7" s="92"/>
      <c r="V7" s="92"/>
      <c r="W7" s="92"/>
      <c r="X7" s="94"/>
      <c r="Y7" s="94"/>
      <c r="Z7" s="94"/>
      <c r="AB7" s="94"/>
    </row>
    <row r="8" spans="1:28" x14ac:dyDescent="0.2">
      <c r="B8" s="39" t="s">
        <v>177</v>
      </c>
      <c r="C8" s="137"/>
      <c r="D8" s="137"/>
      <c r="E8" s="137"/>
      <c r="F8" s="137"/>
      <c r="G8" s="138"/>
      <c r="H8" s="137"/>
      <c r="I8" s="137"/>
      <c r="J8" s="137"/>
      <c r="K8" s="137"/>
      <c r="L8" s="126">
        <f>L7*(1+C20)/(C21-C20)</f>
        <v>103365.7596217158</v>
      </c>
      <c r="N8" s="91"/>
      <c r="O8" s="16"/>
      <c r="P8" s="92"/>
      <c r="Q8" s="92"/>
      <c r="R8" s="92"/>
      <c r="S8" s="92"/>
      <c r="T8" s="92"/>
      <c r="U8" s="92"/>
      <c r="V8" s="92"/>
      <c r="W8" s="92"/>
      <c r="X8" s="94"/>
      <c r="Y8" s="94"/>
      <c r="Z8" s="94"/>
      <c r="AB8" s="94"/>
    </row>
    <row r="9" spans="1:28" x14ac:dyDescent="0.2">
      <c r="B9" s="1" t="s">
        <v>178</v>
      </c>
      <c r="C9" s="137"/>
      <c r="D9" s="137"/>
      <c r="E9" s="137"/>
      <c r="F9" s="137"/>
      <c r="G9" s="138"/>
      <c r="H9" s="139">
        <v>1</v>
      </c>
      <c r="I9" s="139">
        <v>2</v>
      </c>
      <c r="J9" s="139">
        <v>3</v>
      </c>
      <c r="K9" s="139">
        <v>4</v>
      </c>
      <c r="L9" s="139">
        <v>5</v>
      </c>
      <c r="N9" s="91"/>
    </row>
    <row r="10" spans="1:28" x14ac:dyDescent="0.2">
      <c r="B10" s="1" t="s">
        <v>313</v>
      </c>
      <c r="C10" s="137"/>
      <c r="D10" s="137"/>
      <c r="E10" s="137"/>
      <c r="F10" s="137"/>
      <c r="G10" s="138"/>
      <c r="H10" s="126">
        <f>H7/(1+$C$21)^H9</f>
        <v>2279.9663445449537</v>
      </c>
      <c r="I10" s="126">
        <f t="shared" ref="I10:L10" si="1">I7/(1+$C$21)^I9</f>
        <v>2852.5139467625204</v>
      </c>
      <c r="J10" s="126">
        <f t="shared" si="1"/>
        <v>3568.8403190436916</v>
      </c>
      <c r="K10" s="126">
        <f t="shared" si="1"/>
        <v>4465.0513408663228</v>
      </c>
      <c r="L10" s="126">
        <f t="shared" si="1"/>
        <v>5586.3198390210946</v>
      </c>
      <c r="N10" s="91"/>
    </row>
    <row r="11" spans="1:28" x14ac:dyDescent="0.2">
      <c r="B11" s="1" t="s">
        <v>179</v>
      </c>
      <c r="C11" s="137"/>
      <c r="D11" s="137"/>
      <c r="E11" s="137"/>
      <c r="F11" s="137"/>
      <c r="G11" s="138"/>
      <c r="H11" s="137"/>
      <c r="I11" s="137"/>
      <c r="J11" s="137"/>
      <c r="K11" s="137"/>
      <c r="L11" s="126">
        <f>L8/(1+C21)^L9</f>
        <v>59979.434061068598</v>
      </c>
    </row>
    <row r="13" spans="1:28" ht="17" thickBot="1" x14ac:dyDescent="0.25"/>
    <row r="14" spans="1:28" x14ac:dyDescent="0.2">
      <c r="B14" s="261" t="s">
        <v>218</v>
      </c>
      <c r="C14" s="262"/>
    </row>
    <row r="15" spans="1:28" x14ac:dyDescent="0.2">
      <c r="B15" s="150" t="s">
        <v>219</v>
      </c>
      <c r="C15" s="151">
        <f ca="1">Overview!C5</f>
        <v>194.30500000000001</v>
      </c>
    </row>
    <row r="16" spans="1:28" x14ac:dyDescent="0.2">
      <c r="B16" s="150" t="s">
        <v>220</v>
      </c>
      <c r="C16" s="151">
        <f>C36</f>
        <v>204.94318402936929</v>
      </c>
    </row>
    <row r="17" spans="2:9" ht="17" thickBot="1" x14ac:dyDescent="0.25">
      <c r="B17" s="152" t="s">
        <v>317</v>
      </c>
      <c r="C17" s="153">
        <v>0.39500000000000002</v>
      </c>
      <c r="E17" s="263" t="s">
        <v>221</v>
      </c>
      <c r="F17" s="263"/>
      <c r="G17" s="263"/>
      <c r="H17" s="263"/>
      <c r="I17" s="263"/>
    </row>
    <row r="18" spans="2:9" ht="17" thickBot="1" x14ac:dyDescent="0.25"/>
    <row r="19" spans="2:9" x14ac:dyDescent="0.2">
      <c r="B19" s="261" t="s">
        <v>180</v>
      </c>
      <c r="C19" s="262"/>
    </row>
    <row r="20" spans="2:9" x14ac:dyDescent="0.2">
      <c r="B20" s="154" t="s">
        <v>181</v>
      </c>
      <c r="C20" s="155">
        <v>0.02</v>
      </c>
    </row>
    <row r="21" spans="2:9" x14ac:dyDescent="0.2">
      <c r="B21" s="154" t="s">
        <v>161</v>
      </c>
      <c r="C21" s="216">
        <f>IF(Overview!C28&gt;0,Overview!C28,WACC!C20)</f>
        <v>0.115</v>
      </c>
    </row>
    <row r="22" spans="2:9" x14ac:dyDescent="0.2">
      <c r="B22" s="154" t="s">
        <v>66</v>
      </c>
      <c r="C22" s="217">
        <f>Statement!AC74</f>
        <v>385</v>
      </c>
    </row>
    <row r="23" spans="2:9" x14ac:dyDescent="0.2">
      <c r="B23" s="154" t="s">
        <v>222</v>
      </c>
      <c r="C23" s="156">
        <f ca="1">C15*C22</f>
        <v>74807.425000000003</v>
      </c>
    </row>
    <row r="24" spans="2:9" x14ac:dyDescent="0.2">
      <c r="B24" s="154" t="s">
        <v>174</v>
      </c>
      <c r="C24" s="217">
        <f>Statement!AC105</f>
        <v>3111</v>
      </c>
    </row>
    <row r="25" spans="2:9" x14ac:dyDescent="0.2">
      <c r="B25" s="154" t="s">
        <v>165</v>
      </c>
      <c r="C25" s="217">
        <f>Statement!AC106</f>
        <v>2940</v>
      </c>
    </row>
    <row r="26" spans="2:9" ht="17" thickBot="1" x14ac:dyDescent="0.25">
      <c r="B26" s="152" t="s">
        <v>223</v>
      </c>
      <c r="C26" s="157">
        <f ca="1">C23+C25-C24</f>
        <v>74636.425000000003</v>
      </c>
    </row>
    <row r="27" spans="2:9" ht="17" thickBot="1" x14ac:dyDescent="0.25"/>
    <row r="28" spans="2:9" x14ac:dyDescent="0.2">
      <c r="B28" s="261" t="s">
        <v>182</v>
      </c>
      <c r="C28" s="262"/>
    </row>
    <row r="29" spans="2:9" x14ac:dyDescent="0.2">
      <c r="B29" s="154" t="s">
        <v>183</v>
      </c>
      <c r="C29" s="156">
        <f>SUM(H10:L10)</f>
        <v>18752.691790238583</v>
      </c>
    </row>
    <row r="30" spans="2:9" x14ac:dyDescent="0.2">
      <c r="B30" s="154" t="s">
        <v>179</v>
      </c>
      <c r="C30" s="156">
        <f>L11</f>
        <v>59979.434061068598</v>
      </c>
    </row>
    <row r="31" spans="2:9" x14ac:dyDescent="0.2">
      <c r="B31" s="158" t="s">
        <v>184</v>
      </c>
      <c r="C31" s="159">
        <f>C29+C30</f>
        <v>78732.125851307181</v>
      </c>
    </row>
    <row r="32" spans="2:9" x14ac:dyDescent="0.2">
      <c r="B32" s="154" t="s">
        <v>185</v>
      </c>
      <c r="C32" s="160">
        <f>C24</f>
        <v>3111</v>
      </c>
    </row>
    <row r="33" spans="2:3" x14ac:dyDescent="0.2">
      <c r="B33" s="154" t="s">
        <v>186</v>
      </c>
      <c r="C33" s="160">
        <f>C25</f>
        <v>2940</v>
      </c>
    </row>
    <row r="34" spans="2:3" x14ac:dyDescent="0.2">
      <c r="B34" s="158" t="s">
        <v>187</v>
      </c>
      <c r="C34" s="159">
        <f>C31+C32-C33</f>
        <v>78903.125851307181</v>
      </c>
    </row>
    <row r="35" spans="2:3" x14ac:dyDescent="0.2">
      <c r="B35" s="154" t="s">
        <v>66</v>
      </c>
      <c r="C35" s="156">
        <f>C22</f>
        <v>385</v>
      </c>
    </row>
    <row r="36" spans="2:3" ht="17" thickBot="1" x14ac:dyDescent="0.25">
      <c r="B36" s="161" t="s">
        <v>188</v>
      </c>
      <c r="C36" s="162">
        <f>C34/C35</f>
        <v>204.94318402936929</v>
      </c>
    </row>
  </sheetData>
  <mergeCells count="10">
    <mergeCell ref="E17:I17"/>
    <mergeCell ref="B19:C19"/>
    <mergeCell ref="B28:C28"/>
    <mergeCell ref="C3:G3"/>
    <mergeCell ref="H3:L3"/>
    <mergeCell ref="P3:W3"/>
    <mergeCell ref="X3:Z3"/>
    <mergeCell ref="C5:L5"/>
    <mergeCell ref="P5:Z5"/>
    <mergeCell ref="B14:C14"/>
  </mergeCells>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Overview</vt:lpstr>
      <vt:lpstr>Financials -&gt;</vt:lpstr>
      <vt:lpstr>Statement</vt:lpstr>
      <vt:lpstr>Analysis -&gt;</vt:lpstr>
      <vt:lpstr>Basic</vt:lpstr>
      <vt:lpstr>Yearly Analysis</vt:lpstr>
      <vt:lpstr>Quarter analysis</vt:lpstr>
      <vt:lpstr>Graphs Year</vt:lpstr>
      <vt:lpstr>Graphs Quarter</vt:lpstr>
      <vt:lpstr>Forecast -&gt;</vt:lpstr>
      <vt:lpstr>Revenue</vt:lpstr>
      <vt:lpstr>COGS &amp; OpEx</vt:lpstr>
      <vt:lpstr>WC &amp; Investments</vt:lpstr>
      <vt:lpstr>FCF &amp; Other</vt:lpstr>
      <vt:lpstr>Valuation -&gt;</vt:lpstr>
      <vt:lpstr>WACC</vt:lpstr>
      <vt:lpstr>DCF</vt:lpstr>
      <vt:lpstr>Multiples</vt:lpstr>
      <vt:lpstr>AVG target price</vt:lpstr>
      <vt:lpstr>DDM</vt:lpstr>
      <vt:lpstr>Reverse DCF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 dumitras</dc:creator>
  <cp:lastModifiedBy>adi dumitras</cp:lastModifiedBy>
  <dcterms:created xsi:type="dcterms:W3CDTF">2025-11-16T22:36:04Z</dcterms:created>
  <dcterms:modified xsi:type="dcterms:W3CDTF">2026-10-23T22:53:53Z</dcterms:modified>
</cp:coreProperties>
</file>