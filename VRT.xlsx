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63E141E-CE03-EF40-B8B8-7CF45AE7695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20" l="1"/>
  <c r="B66" i="20"/>
  <c r="B65" i="20"/>
  <c r="B64" i="20"/>
  <c r="B63" i="20"/>
  <c r="B76" i="19"/>
  <c r="B75" i="19"/>
  <c r="B74" i="19"/>
  <c r="B73" i="19"/>
  <c r="B72" i="19"/>
  <c r="B33" i="18"/>
  <c r="B31" i="18"/>
  <c r="B28" i="18"/>
  <c r="B26" i="18"/>
  <c r="B24" i="18"/>
  <c r="B94" i="17"/>
  <c r="B93" i="17"/>
  <c r="B91" i="17"/>
  <c r="B90" i="17"/>
  <c r="B89" i="17"/>
  <c r="B195" i="3"/>
  <c r="B194" i="3"/>
  <c r="B192" i="3"/>
  <c r="B191" i="3"/>
  <c r="B190"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5" i="3"/>
  <c r="Y195" i="3"/>
  <c r="X195" i="3"/>
  <c r="W195" i="3"/>
  <c r="V195" i="3"/>
  <c r="U195" i="3"/>
  <c r="T195" i="3"/>
  <c r="Z194" i="3"/>
  <c r="Y194" i="3"/>
  <c r="X194" i="3"/>
  <c r="W194" i="3"/>
  <c r="V194" i="3"/>
  <c r="U194" i="3"/>
  <c r="T194" i="3"/>
  <c r="Z192" i="3"/>
  <c r="Y192" i="3"/>
  <c r="X192" i="3"/>
  <c r="W192" i="3"/>
  <c r="V192" i="3"/>
  <c r="U192" i="3"/>
  <c r="T192" i="3"/>
  <c r="Z191" i="3"/>
  <c r="Y191" i="3"/>
  <c r="X191" i="3"/>
  <c r="W191" i="3"/>
  <c r="V191" i="3"/>
  <c r="U191" i="3"/>
  <c r="T191" i="3"/>
  <c r="Z190" i="3"/>
  <c r="Y190" i="3"/>
  <c r="X190" i="3"/>
  <c r="W190" i="3"/>
  <c r="V190" i="3"/>
  <c r="U190" i="3"/>
  <c r="T190"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F7" i="5"/>
  <c r="E7" i="5"/>
  <c r="D7" i="5"/>
  <c r="C7" i="5"/>
  <c r="G6" i="5"/>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5" i="3"/>
  <c r="AA194" i="3"/>
  <c r="AA192" i="3"/>
  <c r="Q195" i="3"/>
  <c r="G94" i="17" s="1"/>
  <c r="P195" i="3"/>
  <c r="F94" i="17" s="1"/>
  <c r="O195" i="3"/>
  <c r="E94" i="17" s="1"/>
  <c r="N195" i="3"/>
  <c r="D94" i="17" s="1"/>
  <c r="M195" i="3"/>
  <c r="C94" i="17" s="1"/>
  <c r="Q194" i="3"/>
  <c r="G93" i="17" s="1"/>
  <c r="P194" i="3"/>
  <c r="F93" i="17" s="1"/>
  <c r="O194" i="3"/>
  <c r="E93" i="17" s="1"/>
  <c r="N194" i="3"/>
  <c r="D93" i="17" s="1"/>
  <c r="M194" i="3"/>
  <c r="C93" i="17" s="1"/>
  <c r="Q192" i="3"/>
  <c r="G91" i="17" s="1"/>
  <c r="P192" i="3"/>
  <c r="F91" i="17" s="1"/>
  <c r="O192" i="3"/>
  <c r="E91" i="17" s="1"/>
  <c r="N192" i="3"/>
  <c r="D91" i="17" s="1"/>
  <c r="Q106" i="3"/>
  <c r="P106" i="3"/>
  <c r="O106" i="3"/>
  <c r="E30" i="12" s="1"/>
  <c r="N106" i="3"/>
  <c r="D30"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4" i="3"/>
  <c r="L81" i="19" s="1"/>
  <c r="P204" i="3"/>
  <c r="K81" i="19" s="1"/>
  <c r="O204" i="3"/>
  <c r="J81" i="19" s="1"/>
  <c r="N204"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199" i="3"/>
  <c r="P199" i="3"/>
  <c r="O199" i="3"/>
  <c r="N199" i="3"/>
  <c r="M199"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1" i="3"/>
  <c r="AA190" i="3"/>
  <c r="G16" i="18"/>
  <c r="F16" i="18"/>
  <c r="D16" i="18"/>
  <c r="C16" i="18"/>
  <c r="G14" i="18"/>
  <c r="F14" i="18"/>
  <c r="D14" i="18"/>
  <c r="C14" i="18"/>
  <c r="G8" i="18"/>
  <c r="F8" i="18"/>
  <c r="D8" i="18"/>
  <c r="C8" i="18"/>
  <c r="G6" i="18"/>
  <c r="F6" i="18"/>
  <c r="D6" i="18"/>
  <c r="C6" i="18"/>
  <c r="G5" i="18"/>
  <c r="G4" i="18"/>
  <c r="F5" i="18"/>
  <c r="F4" i="18"/>
  <c r="D5" i="18"/>
  <c r="D4" i="18"/>
  <c r="C5" i="18"/>
  <c r="C4" i="18"/>
  <c r="M192" i="3"/>
  <c r="Q191" i="3"/>
  <c r="P191" i="3"/>
  <c r="O191" i="3"/>
  <c r="N191" i="3"/>
  <c r="M191" i="3"/>
  <c r="Q190" i="3"/>
  <c r="P190" i="3"/>
  <c r="O190" i="3"/>
  <c r="N190" i="3"/>
  <c r="M190"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3" i="12"/>
  <c r="F23" i="12"/>
  <c r="E23" i="12"/>
  <c r="D23" i="12"/>
  <c r="C23"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5" i="5"/>
  <c r="Y5" i="5"/>
  <c r="X5" i="5"/>
  <c r="W5" i="5"/>
  <c r="V5" i="5"/>
  <c r="U5" i="5"/>
  <c r="T5" i="5"/>
  <c r="S5" i="5"/>
  <c r="R5" i="5"/>
  <c r="H7" i="5"/>
  <c r="I7" i="5" s="1"/>
  <c r="J7" i="5" s="1"/>
  <c r="K7" i="5" s="1"/>
  <c r="L7" i="5" s="1"/>
  <c r="H6"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G11"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6" i="5" l="1"/>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4" i="12"/>
  <c r="C44"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5" i="3"/>
  <c r="L82" i="19" s="1"/>
  <c r="P205" i="3"/>
  <c r="K82" i="19" s="1"/>
  <c r="O205" i="3"/>
  <c r="J82" i="19" s="1"/>
  <c r="N205" i="3"/>
  <c r="I82" i="19" s="1"/>
  <c r="Q203" i="3"/>
  <c r="L80" i="19" s="1"/>
  <c r="P203" i="3"/>
  <c r="K80" i="19" s="1"/>
  <c r="O203" i="3"/>
  <c r="J80" i="19" s="1"/>
  <c r="N203" i="3"/>
  <c r="I80" i="19" s="1"/>
  <c r="F30"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0" i="12"/>
  <c r="E35" i="7"/>
  <c r="F35" i="7"/>
  <c r="D35" i="7"/>
  <c r="C35" i="7"/>
  <c r="AC82" i="3"/>
  <c r="AC104" i="3" s="1"/>
  <c r="AA139" i="3"/>
  <c r="Q139" i="3"/>
  <c r="N139" i="3"/>
  <c r="P139" i="3"/>
  <c r="O139" i="3"/>
  <c r="M139" i="3"/>
  <c r="C30"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2" i="6"/>
  <c r="O19" i="6"/>
  <c r="AC56" i="3"/>
  <c r="AC54" i="3"/>
  <c r="O104" i="3"/>
  <c r="O107" i="3" s="1"/>
  <c r="O152" i="3" s="1"/>
  <c r="N104" i="3"/>
  <c r="N107" i="3" s="1"/>
  <c r="N152" i="3" s="1"/>
  <c r="M104" i="3"/>
  <c r="M107" i="3" s="1"/>
  <c r="M152"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F18" i="16" l="1"/>
  <c r="V14" i="6"/>
  <c r="V22" i="6" s="1"/>
  <c r="C12" i="18"/>
  <c r="AA93" i="3"/>
  <c r="C13" i="18" s="1"/>
  <c r="AC10" i="3"/>
  <c r="AC68" i="3" s="1"/>
  <c r="Z68" i="3"/>
  <c r="Z69" i="3" s="1"/>
  <c r="H8" i="5"/>
  <c r="AA151" i="3"/>
  <c r="J68" i="20" s="1"/>
  <c r="AA173" i="3"/>
  <c r="AA172" i="3"/>
  <c r="AA171" i="3"/>
  <c r="AC74" i="3"/>
  <c r="C22" i="14" s="1"/>
  <c r="C35" i="14" s="1"/>
  <c r="AA146" i="3"/>
  <c r="AC167" i="3"/>
  <c r="AC168" i="3"/>
  <c r="X6" i="6"/>
  <c r="X11" i="6" s="1"/>
  <c r="AB11" i="6" s="1"/>
  <c r="AE8" i="5"/>
  <c r="AB6" i="6" s="1"/>
  <c r="J6" i="5"/>
  <c r="D6" i="11"/>
  <c r="D5" i="12"/>
  <c r="Q177" i="3"/>
  <c r="Q176" i="3"/>
  <c r="P177" i="3"/>
  <c r="P176" i="3"/>
  <c r="O177" i="3"/>
  <c r="O176" i="3"/>
  <c r="N177" i="3"/>
  <c r="N176" i="3"/>
  <c r="M177" i="3"/>
  <c r="M176" i="3"/>
  <c r="E3" i="17"/>
  <c r="J63" i="19"/>
  <c r="E5" i="5"/>
  <c r="D6" i="14"/>
  <c r="D40" i="14" s="1"/>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F48" i="14"/>
  <c r="D48" i="14"/>
  <c r="C33" i="14"/>
  <c r="G48" i="14"/>
  <c r="E48" i="14"/>
  <c r="C40" i="14"/>
  <c r="D29" i="12"/>
  <c r="F28" i="12"/>
  <c r="E19" i="12"/>
  <c r="H18" i="12"/>
  <c r="I18" i="12" s="1"/>
  <c r="J18" i="12" s="1"/>
  <c r="K18" i="12" s="1"/>
  <c r="L18"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1" i="6"/>
  <c r="T20" i="6"/>
  <c r="G20" i="6"/>
  <c r="AC105" i="3"/>
  <c r="AA141" i="3"/>
  <c r="G31" i="12"/>
  <c r="Q141" i="3"/>
  <c r="G46" i="17" s="1"/>
  <c r="F31" i="12"/>
  <c r="P141" i="3"/>
  <c r="F46" i="17" s="1"/>
  <c r="E31" i="12"/>
  <c r="O141" i="3"/>
  <c r="E46" i="17" s="1"/>
  <c r="D31" i="12"/>
  <c r="N141" i="3"/>
  <c r="D46" i="17" s="1"/>
  <c r="C31" i="12"/>
  <c r="M141" i="3"/>
  <c r="C46" i="17" s="1"/>
  <c r="AC107" i="3"/>
  <c r="Q107" i="3"/>
  <c r="Q152"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2" i="5"/>
  <c r="Q20" i="6"/>
  <c r="F21" i="6"/>
  <c r="F29" i="12"/>
  <c r="E29" i="12"/>
  <c r="G28" i="12"/>
  <c r="C28" i="12"/>
  <c r="D20" i="6"/>
  <c r="S21" i="6"/>
  <c r="Q21"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H6" i="12" l="1"/>
  <c r="H12" i="12" s="1"/>
  <c r="H6" i="6"/>
  <c r="H7" i="7"/>
  <c r="H6" i="8"/>
  <c r="I8" i="5"/>
  <c r="I71" i="17"/>
  <c r="C52" i="16"/>
  <c r="C24" i="21"/>
  <c r="C26" i="21" s="1"/>
  <c r="I10" i="1" s="1"/>
  <c r="C51" i="12"/>
  <c r="H45" i="7"/>
  <c r="H21" i="8" s="1"/>
  <c r="H36" i="7"/>
  <c r="AC77" i="3"/>
  <c r="C5" i="10" s="1"/>
  <c r="C7" i="10" s="1"/>
  <c r="C17" i="10" s="1"/>
  <c r="AA147" i="3"/>
  <c r="AA148" i="3" s="1"/>
  <c r="C53" i="16"/>
  <c r="I72" i="17"/>
  <c r="C63" i="12"/>
  <c r="C43" i="12"/>
  <c r="X13" i="6"/>
  <c r="AB13" i="6" s="1"/>
  <c r="X12" i="6"/>
  <c r="K6" i="5"/>
  <c r="E5" i="12"/>
  <c r="E6" i="11"/>
  <c r="AC177" i="3"/>
  <c r="AC176" i="3"/>
  <c r="AC161" i="3"/>
  <c r="AC162" i="3"/>
  <c r="F5" i="5"/>
  <c r="F3" i="17"/>
  <c r="K63" i="19"/>
  <c r="E5" i="6"/>
  <c r="E6" i="7"/>
  <c r="E11" i="5"/>
  <c r="E5" i="8"/>
  <c r="E6" i="14"/>
  <c r="E40" i="14" s="1"/>
  <c r="D19" i="7"/>
  <c r="D27" i="7"/>
  <c r="D12" i="7"/>
  <c r="D34" i="7"/>
  <c r="D41" i="7"/>
  <c r="D18"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52" i="3"/>
  <c r="AC134" i="3"/>
  <c r="L68" i="19"/>
  <c r="Q134" i="3"/>
  <c r="L79" i="19" s="1"/>
  <c r="C18" i="16"/>
  <c r="I18" i="17"/>
  <c r="F52" i="16"/>
  <c r="I75" i="17"/>
  <c r="F53" i="16"/>
  <c r="I76" i="17"/>
  <c r="F54" i="16"/>
  <c r="I77" i="17"/>
  <c r="AC163" i="3"/>
  <c r="I6" i="17"/>
  <c r="C23" i="14"/>
  <c r="C53" i="12"/>
  <c r="C33" i="16"/>
  <c r="F18" i="1"/>
  <c r="AC166" i="3"/>
  <c r="AC169" i="3"/>
  <c r="I67" i="17" s="1"/>
  <c r="C32" i="12"/>
  <c r="D32" i="12"/>
  <c r="F32" i="12"/>
  <c r="E32" i="12"/>
  <c r="G32" i="12"/>
  <c r="AC141" i="3"/>
  <c r="I46" i="17" s="1"/>
  <c r="AC140" i="3"/>
  <c r="I45" i="17" s="1"/>
  <c r="D10" i="8"/>
  <c r="G10" i="8"/>
  <c r="C11" i="12"/>
  <c r="C22" i="12"/>
  <c r="C17" i="12"/>
  <c r="C27" i="12"/>
  <c r="C10" i="8"/>
  <c r="F10" i="8"/>
  <c r="E10" i="8"/>
  <c r="E23" i="7"/>
  <c r="D23" i="7"/>
  <c r="F23" i="7"/>
  <c r="G23" i="7"/>
  <c r="C23" i="7"/>
  <c r="H11" i="6" l="1"/>
  <c r="H7" i="8" s="1"/>
  <c r="H8" i="8" s="1"/>
  <c r="H33" i="8" s="1"/>
  <c r="H13" i="6"/>
  <c r="H12" i="6"/>
  <c r="H13" i="7"/>
  <c r="H28" i="7" s="1"/>
  <c r="H42" i="7"/>
  <c r="J8" i="5"/>
  <c r="I6" i="6"/>
  <c r="I6" i="8"/>
  <c r="I7" i="7"/>
  <c r="I6" i="12"/>
  <c r="I12" i="12" s="1"/>
  <c r="H14" i="6"/>
  <c r="C25" i="11"/>
  <c r="C46" i="12"/>
  <c r="C66" i="12"/>
  <c r="AC147" i="3"/>
  <c r="AC165" i="3"/>
  <c r="F17" i="1" s="1"/>
  <c r="AB12" i="6"/>
  <c r="X14" i="6"/>
  <c r="H20" i="8"/>
  <c r="H44" i="7"/>
  <c r="H8" i="7"/>
  <c r="L6" i="5"/>
  <c r="F5" i="12"/>
  <c r="F6" i="11"/>
  <c r="G3" i="17"/>
  <c r="L63" i="19"/>
  <c r="G5" i="5"/>
  <c r="F5" i="8"/>
  <c r="F6" i="14"/>
  <c r="F40" i="14" s="1"/>
  <c r="F6" i="7"/>
  <c r="F5" i="6"/>
  <c r="F11" i="5"/>
  <c r="E10" i="6"/>
  <c r="E18" i="6"/>
  <c r="E12" i="7"/>
  <c r="E34" i="7"/>
  <c r="E27" i="7"/>
  <c r="E41" i="7"/>
  <c r="E19" i="7"/>
  <c r="E14" i="8"/>
  <c r="E26" i="8"/>
  <c r="E19" i="8"/>
  <c r="E32" i="8"/>
  <c r="D27" i="12"/>
  <c r="D11" i="12"/>
  <c r="D17" i="12"/>
  <c r="D22"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L8" i="5" l="1"/>
  <c r="K8" i="5"/>
  <c r="J6" i="12"/>
  <c r="J12" i="12" s="1"/>
  <c r="J6" i="8"/>
  <c r="J7" i="7"/>
  <c r="J6" i="6"/>
  <c r="I11" i="6"/>
  <c r="I12" i="6"/>
  <c r="I13" i="6"/>
  <c r="I13" i="7"/>
  <c r="I28" i="7" s="1"/>
  <c r="I42" i="7"/>
  <c r="I36" i="7"/>
  <c r="I45" i="7"/>
  <c r="I21" i="8" s="1"/>
  <c r="H9" i="8"/>
  <c r="H10" i="8" s="1"/>
  <c r="H22" i="6"/>
  <c r="I7" i="17"/>
  <c r="AC153" i="3"/>
  <c r="AC159" i="3"/>
  <c r="AC155" i="3"/>
  <c r="AC148" i="3"/>
  <c r="AC158" i="3"/>
  <c r="AC170" i="3"/>
  <c r="F48" i="16" s="1"/>
  <c r="F3" i="1"/>
  <c r="C6" i="16"/>
  <c r="I63" i="17"/>
  <c r="C46" i="16"/>
  <c r="X22" i="6"/>
  <c r="AB14" i="6"/>
  <c r="H15" i="7"/>
  <c r="H30" i="7" s="1"/>
  <c r="H14" i="7"/>
  <c r="H29" i="7" s="1"/>
  <c r="G5" i="12"/>
  <c r="G6" i="11"/>
  <c r="G41" i="14"/>
  <c r="H7" i="14"/>
  <c r="H5" i="5"/>
  <c r="G11"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4" i="5"/>
  <c r="K6" i="12" l="1"/>
  <c r="K7" i="7"/>
  <c r="K6" i="8"/>
  <c r="K6" i="6"/>
  <c r="K12" i="12"/>
  <c r="I14" i="6"/>
  <c r="J13" i="7"/>
  <c r="J28" i="7" s="1"/>
  <c r="J36" i="7"/>
  <c r="J42" i="7"/>
  <c r="J20" i="8" s="1"/>
  <c r="J45" i="7"/>
  <c r="J11" i="6"/>
  <c r="J13" i="6"/>
  <c r="J12" i="6"/>
  <c r="J14" i="6" s="1"/>
  <c r="I44" i="7"/>
  <c r="I20" i="8"/>
  <c r="H7" i="12"/>
  <c r="H13" i="12" s="1"/>
  <c r="H27" i="8"/>
  <c r="H34" i="8"/>
  <c r="H35" i="7"/>
  <c r="H22" i="8" s="1"/>
  <c r="C42" i="16"/>
  <c r="I55" i="17"/>
  <c r="I52" i="17"/>
  <c r="C39" i="16"/>
  <c r="F8" i="1"/>
  <c r="F4" i="1"/>
  <c r="I8" i="17"/>
  <c r="I54" i="17"/>
  <c r="F10" i="1"/>
  <c r="C41" i="16"/>
  <c r="I68" i="17"/>
  <c r="F15" i="1"/>
  <c r="AC149" i="3"/>
  <c r="C7" i="16"/>
  <c r="AC150" i="3"/>
  <c r="AC154" i="3"/>
  <c r="H41" i="14"/>
  <c r="I7" i="14"/>
  <c r="I10" i="14" s="1"/>
  <c r="G45" i="14"/>
  <c r="G43" i="14"/>
  <c r="H5" i="12"/>
  <c r="H6" i="11"/>
  <c r="H11" i="5"/>
  <c r="I5" i="5"/>
  <c r="H6" i="14"/>
  <c r="H40" i="14" s="1"/>
  <c r="G10" i="6"/>
  <c r="G18" i="6"/>
  <c r="H5" i="6"/>
  <c r="G19" i="8"/>
  <c r="G14" i="8"/>
  <c r="G26" i="8"/>
  <c r="H5" i="8"/>
  <c r="G32" i="8"/>
  <c r="G19" i="7"/>
  <c r="G34" i="7"/>
  <c r="G41" i="7"/>
  <c r="G12" i="7"/>
  <c r="G27" i="7"/>
  <c r="H6" i="7"/>
  <c r="F11" i="12"/>
  <c r="F27" i="12"/>
  <c r="F22" i="12"/>
  <c r="F17" i="12"/>
  <c r="F14" i="12"/>
  <c r="E14" i="12"/>
  <c r="G14" i="12"/>
  <c r="C34" i="12"/>
  <c r="D14" i="12"/>
  <c r="I7" i="8"/>
  <c r="I8" i="8" s="1"/>
  <c r="I33" i="8" s="1"/>
  <c r="I8" i="7"/>
  <c r="L6" i="8"/>
  <c r="L7" i="7"/>
  <c r="L6" i="12"/>
  <c r="L6" i="6"/>
  <c r="L11" i="6" s="1"/>
  <c r="D34" i="12"/>
  <c r="D43" i="14"/>
  <c r="G34" i="12"/>
  <c r="D45" i="14"/>
  <c r="H10" i="14"/>
  <c r="C45" i="14"/>
  <c r="C43" i="14"/>
  <c r="F34" i="12"/>
  <c r="F46" i="14"/>
  <c r="F45" i="14"/>
  <c r="F43" i="14"/>
  <c r="G46" i="14"/>
  <c r="E34" i="12"/>
  <c r="E43" i="14"/>
  <c r="E46" i="14"/>
  <c r="E45" i="14"/>
  <c r="D46" i="14"/>
  <c r="AA14" i="5"/>
  <c r="K42" i="7" l="1"/>
  <c r="K36" i="7"/>
  <c r="K45" i="7"/>
  <c r="K21" i="8" s="1"/>
  <c r="K13" i="7"/>
  <c r="K28" i="7" s="1"/>
  <c r="K11" i="6"/>
  <c r="K13" i="6"/>
  <c r="K12" i="6"/>
  <c r="K14" i="6" s="1"/>
  <c r="I9" i="8"/>
  <c r="I10" i="8" s="1"/>
  <c r="I34" i="8" s="1"/>
  <c r="I22" i="6"/>
  <c r="J21" i="8"/>
  <c r="J44" i="7"/>
  <c r="H28" i="8"/>
  <c r="C11" i="16"/>
  <c r="I12" i="17"/>
  <c r="C12" i="16"/>
  <c r="I13" i="17"/>
  <c r="J22" i="6"/>
  <c r="J9" i="8"/>
  <c r="H44" i="14"/>
  <c r="H48" i="14" s="1"/>
  <c r="H46" i="14"/>
  <c r="H42" i="14"/>
  <c r="J7" i="14"/>
  <c r="I41" i="14"/>
  <c r="I5" i="12"/>
  <c r="I6" i="11"/>
  <c r="I15" i="7"/>
  <c r="I30" i="7" s="1"/>
  <c r="I14" i="7"/>
  <c r="I29" i="7" s="1"/>
  <c r="I11" i="5"/>
  <c r="J5" i="5"/>
  <c r="I6" i="14"/>
  <c r="I40" i="14" s="1"/>
  <c r="G27" i="12"/>
  <c r="G11" i="12"/>
  <c r="G22" i="12"/>
  <c r="G17" i="12"/>
  <c r="H18" i="6"/>
  <c r="H10" i="6"/>
  <c r="I5" i="6"/>
  <c r="H19" i="8"/>
  <c r="H14" i="8"/>
  <c r="I5" i="8"/>
  <c r="H26" i="8"/>
  <c r="H32" i="8"/>
  <c r="H12" i="7"/>
  <c r="H19" i="7"/>
  <c r="I6" i="7"/>
  <c r="H27" i="7"/>
  <c r="H34" i="7"/>
  <c r="H41" i="7"/>
  <c r="J7" i="8"/>
  <c r="J8" i="8" s="1"/>
  <c r="J8" i="7"/>
  <c r="L36" i="7"/>
  <c r="L42" i="7"/>
  <c r="L13" i="7"/>
  <c r="L45" i="7"/>
  <c r="L21" i="8" s="1"/>
  <c r="L12" i="12"/>
  <c r="C50" i="12"/>
  <c r="C54" i="12" s="1"/>
  <c r="C55" i="12" s="1"/>
  <c r="C7" i="13" s="1"/>
  <c r="I5" i="1" s="1"/>
  <c r="L12" i="6"/>
  <c r="L13" i="6"/>
  <c r="I14" i="5"/>
  <c r="J14" i="5"/>
  <c r="K9" i="8" l="1"/>
  <c r="K22" i="6"/>
  <c r="L28" i="7"/>
  <c r="K44" i="7"/>
  <c r="K20" i="8"/>
  <c r="H7" i="11"/>
  <c r="H10" i="11" s="1"/>
  <c r="H8" i="12"/>
  <c r="H14" i="12" s="1"/>
  <c r="I35" i="7"/>
  <c r="I22" i="8" s="1"/>
  <c r="H47" i="14"/>
  <c r="H49" i="14"/>
  <c r="J10" i="14"/>
  <c r="K7" i="14"/>
  <c r="J41" i="14"/>
  <c r="I44" i="14"/>
  <c r="I48" i="14" s="1"/>
  <c r="I42" i="14"/>
  <c r="I46" i="14"/>
  <c r="J6" i="11"/>
  <c r="J5" i="12"/>
  <c r="K8" i="7"/>
  <c r="K7" i="8"/>
  <c r="K8" i="8" s="1"/>
  <c r="J10" i="8"/>
  <c r="J33" i="8"/>
  <c r="J15" i="7"/>
  <c r="J30" i="7" s="1"/>
  <c r="J14" i="7"/>
  <c r="J29" i="7" s="1"/>
  <c r="H22" i="12"/>
  <c r="H27" i="12"/>
  <c r="H11" i="12"/>
  <c r="H17" i="12"/>
  <c r="K5" i="5"/>
  <c r="J11" i="5"/>
  <c r="J6" i="14"/>
  <c r="J40" i="14" s="1"/>
  <c r="I18" i="6"/>
  <c r="I10" i="6"/>
  <c r="J5" i="6"/>
  <c r="I14" i="8"/>
  <c r="J5" i="8"/>
  <c r="I19" i="8"/>
  <c r="I26" i="8"/>
  <c r="I32" i="8"/>
  <c r="I12" i="7"/>
  <c r="I34" i="7"/>
  <c r="I41" i="7"/>
  <c r="I19" i="7"/>
  <c r="I27" i="7"/>
  <c r="J6" i="7"/>
  <c r="L44" i="7"/>
  <c r="L20" i="8"/>
  <c r="I7" i="12"/>
  <c r="I27" i="8"/>
  <c r="L14" i="6"/>
  <c r="I28" i="8" l="1"/>
  <c r="K15" i="7"/>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1" i="5"/>
  <c r="K6" i="14"/>
  <c r="K40" i="14" s="1"/>
  <c r="J10" i="6"/>
  <c r="J18" i="6"/>
  <c r="K5" i="6"/>
  <c r="K5" i="8"/>
  <c r="J14" i="8"/>
  <c r="J19" i="8"/>
  <c r="J26" i="8"/>
  <c r="J32" i="8"/>
  <c r="K6" i="7"/>
  <c r="J27" i="7"/>
  <c r="J19" i="7"/>
  <c r="J12" i="7"/>
  <c r="J41" i="7"/>
  <c r="J34" i="7"/>
  <c r="I13" i="12"/>
  <c r="L9" i="8"/>
  <c r="L22" i="6"/>
  <c r="K14" i="5"/>
  <c r="I7" i="11" l="1"/>
  <c r="I10" i="11" s="1"/>
  <c r="I8" i="12"/>
  <c r="I14" i="12" s="1"/>
  <c r="L10" i="14"/>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1" i="5"/>
  <c r="L6" i="14"/>
  <c r="L40" i="14" s="1"/>
  <c r="K10" i="6"/>
  <c r="K18" i="6"/>
  <c r="L5" i="6"/>
  <c r="K14" i="8"/>
  <c r="K19" i="8"/>
  <c r="L5" i="8"/>
  <c r="K26" i="8"/>
  <c r="K32" i="8"/>
  <c r="L6" i="7"/>
  <c r="K41" i="7"/>
  <c r="K34" i="7"/>
  <c r="K27" i="7"/>
  <c r="K19" i="7"/>
  <c r="K12" i="7"/>
  <c r="L14"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<sst xmlns="http://schemas.openxmlformats.org/spreadsheetml/2006/main" count="729" uniqueCount="402">
  <si>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</si>
  <si>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</si>
  <si>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</si>
  <si>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</si>
  <si>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</si>
  <si>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</si>
  <si>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</si>
  <si>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</si>
  <si>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</si>
  <si>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</si>
  <si>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</si>
  <si>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</si>
  <si>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</si>
  <si>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</si>
  <si>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</si>
  <si>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</si>
  <si>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</si>
  <si>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</si>
  <si>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</si>
  <si>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</si>
  <si>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</si>
  <si>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</si>
  <si>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</si>
  <si>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</si>
  <si>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</si>
  <si>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</si>
  <si>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</si>
  <si>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</si>
  <si>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</si>
  <si>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</si>
  <si>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</si>
  <si>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</si>
  <si>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</si>
  <si>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</si>
  <si>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</si>
  <si>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</si>
  <si>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</si>
  <si>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</si>
  <si>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</si>
  <si>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</si>
  <si>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</si>
  <si>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</si>
  <si>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</si>
  <si>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</si>
  <si>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</si>
  <si>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</si>
  <si>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</si>
  <si>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</si>
  <si>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</si>
  <si>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</si>
  <si>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</si>
  <si>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</si>
  <si>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</si>
  <si>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</si>
  <si>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</si>
  <si>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</si>
  <si>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</si>
  <si>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</si>
  <si>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</si>
  <si>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</si>
  <si>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</si>
  <si>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</si>
  <si>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</si>
  <si>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</si>
  <si>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</si>
  <si>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</si>
  <si>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</si>
  <si>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</si>
  <si>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</si>
  <si>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</si>
  <si>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</si>
  <si>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</si>
  <si>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</si>
  <si>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</si>
  <si>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</si>
  <si>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</si>
  <si>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</si>
  <si>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</si>
  <si>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</si>
  <si>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</si>
  <si>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</si>
  <si>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</si>
  <si>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</si>
  <si>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</si>
  <si>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</si>
  <si>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</si>
  <si>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</si>
  <si>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</si>
  <si>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</si>
  <si>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</si>
  <si>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</si>
  <si>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</si>
  <si>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</si>
  <si>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</si>
  <si>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</si>
  <si>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</si>
  <si>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</si>
  <si>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</si>
  <si>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</si>
  <si>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</si>
  <si>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</si>
  <si>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</si>
  <si>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</si>
  <si>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</si>
  <si>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</si>
  <si>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</si>
  <si>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</si>
  <si>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</si>
  <si>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</si>
  <si>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</si>
  <si>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</si>
  <si>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</si>
  <si>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</si>
  <si>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</si>
  <si>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</si>
  <si>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</si>
  <si>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</si>
  <si>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</si>
  <si>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</si>
  <si>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</si>
  <si>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</si>
  <si>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</si>
  <si>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</si>
  <si>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</si>
  <si>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</si>
  <si>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</si>
  <si>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</si>
  <si>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</si>
  <si>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</si>
  <si>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</si>
  <si>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</si>
  <si>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</si>
  <si>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</si>
  <si>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</si>
  <si>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</si>
  <si>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</si>
  <si>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</si>
  <si>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</si>
  <si>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</si>
  <si>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</si>
  <si>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</si>
  <si>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</si>
  <si>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</si>
  <si>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</si>
  <si>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</si>
  <si>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</si>
  <si>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</si>
  <si>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</si>
  <si>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</si>
  <si>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</si>
  <si>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</si>
  <si>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</si>
  <si>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</si>
  <si>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</si>
  <si>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</si>
  <si>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</si>
  <si>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</si>
  <si>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</si>
  <si>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</si>
  <si>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</si>
  <si>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</si>
  <si>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</si>
  <si>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</si>
  <si>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</si>
  <si>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</si>
  <si>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</si>
  <si>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</si>
  <si>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</si>
  <si>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</si>
  <si>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</si>
  <si>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</si>
  <si>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</si>
  <si>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</si>
  <si>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</si>
  <si>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</si>
  <si>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</si>
  <si>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</si>
  <si>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</si>
  <si>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</si>
  <si>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</si>
  <si>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</si>
  <si>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</si>
  <si>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</si>
  <si>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</si>
  <si>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</si>
  <si>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</si>
  <si>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</si>
  <si>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</si>
  <si>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</si>
  <si>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</si>
  <si>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</si>
  <si>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</si>
  <si>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</si>
  <si>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</si>
  <si>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</si>
  <si>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</si>
  <si>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</si>
  <si>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</si>
  <si>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</si>
  <si>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</si>
  <si>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</si>
  <si>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</si>
  <si>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</si>
  <si>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</si>
  <si>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</si>
  <si>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</si>
  <si>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</si>
  <si>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</si>
  <si>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</si>
  <si>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</si>
  <si>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</si>
  <si>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</si>
  <si>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</si>
  <si>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</si>
  <si>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</si>
  <si>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</si>
  <si>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</si>
  <si>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</si>
  <si>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</si>
  <si>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</si>
  <si>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</si>
  <si>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</si>
  <si>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</si>
  <si>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</si>
  <si>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</si>
  <si>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</si>
  <si>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</si>
  <si>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</si>
  <si>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</si>
  <si>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</si>
  <si>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</si>
  <si>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</si>
  <si>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</si>
  <si>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</si>
  <si>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</si>
  <si>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</si>
  <si>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</si>
  <si>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</si>
  <si>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</si>
  <si>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</si>
  <si>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</si>
  <si>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</si>
  <si>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</si>
  <si>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</si>
  <si>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</si>
  <si>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</si>
  <si>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</si>
  <si>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</si>
  <si>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</si>
  <si>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</si>
  <si>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</si>
  <si>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</si>
  <si>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</si>
  <si>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</si>
  <si>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</si>
  <si>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</si>
  <si>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</si>
  <si>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</si>
  <si>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</si>
  <si>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</si>
  <si>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</si>
  <si>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</si>
  <si>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</si>
  <si>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</si>
  <si>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</si>
  <si>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</si>
  <si>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</si>
  <si>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</si>
  <si>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</si>
  <si>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</si>
  <si>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</si>
  <si>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</si>
  <si>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</si>
  <si>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</si>
  <si>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</si>
  <si>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</si>
  <si>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</si>
  <si>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</si>
  <si>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</si>
  <si>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</si>
  <si>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</si>
  <si>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</si>
  <si>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</si>
  <si>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</si>
  <si>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</si>
  <si>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</si>
  <si>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</si>
  <si>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</si>
  <si>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</si>
  <si>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</si>
  <si>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</si>
  <si>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</si>
  <si>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</si>
  <si>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</si>
  <si>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</si>
  <si>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</si>
  <si>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</si>
  <si>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</si>
  <si>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</si>
  <si>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</si>
  <si>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</si>
  <si>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</si>
  <si>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</si>
  <si>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</si>
  <si>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</si>
  <si>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</si>
  <si>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</si>
  <si>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</si>
  <si>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</si>
  <si>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</si>
  <si>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</si>
  <si>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</si>
  <si>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</si>
  <si>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</si>
  <si>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</si>
  <si>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</si>
  <si>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</si>
  <si>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</si>
  <si>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</si>
  <si>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</si>
  <si>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</si>
  <si>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</si>
  <si>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</si>
  <si>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</si>
  <si>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</si>
  <si>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</si>
  <si>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</si>
  <si>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</si>
  <si>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</si>
  <si>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</si>
  <si>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</si>
  <si>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</si>
  <si>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</si>
  <si>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</si>
  <si>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</si>
  <si>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</si>
  <si>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</si>
  <si>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</si>
  <si>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</si>
  <si>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</si>
  <si>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</si>
  <si>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</si>
  <si>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</si>
  <si>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</si>
  <si>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</si>
  <si>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</si>
  <si>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</si>
  <si>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</si>
  <si>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</si>
  <si>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</si>
  <si>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</si>
  <si>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</si>
  <si>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</si>
  <si>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</si>
  <si>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</si>
  <si>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</si>
  <si>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</si>
  <si>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</si>
  <si>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</si>
  <si>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</si>
  <si>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</si>
  <si>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</si>
  <si>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</si>
  <si>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</si>
  <si>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</si>
  <si>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</si>
  <si>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</si>
  <si>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</si>
  <si>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</si>
  <si>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</si>
  <si>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</si>
  <si>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</si>
  <si>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</si>
  <si>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</si>
  <si>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</si>
  <si>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</si>
  <si>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</si>
  <si>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</si>
  <si>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</si>
  <si>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17.07.2026</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</si>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</sst>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Year'!#REF!</c:f>
              <c:numCache>
                <c:formatCode>General</c:formatCode>
                <c:ptCount val="1"/>
                <c:pt idx="0">
                  <c:v>1</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Year'!#REF!</c:f>
              <c:numCache>
                <c:formatCode>General</c:formatCode>
                <c:ptCount val="1"/>
                <c:pt idx="0">
                  <c:v>1</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Year'!#REF!</c:f>
              <c:numCache>
                <c:formatCode>General</c:formatCode>
                <c:ptCount val="1"/>
                <c:pt idx="0">
                  <c:v>1</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Year'!#REF!</c:f>
              <c:numCache>
                <c:formatCode>General</c:formatCode>
                <c:ptCount val="1"/>
                <c:pt idx="0">
                  <c:v>1</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Year'!#REF!</c:f>
              <c:numCache>
                <c:formatCode>General</c:formatCode>
                <c:ptCount val="1"/>
                <c:pt idx="0">
                  <c:v>1</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Quarter'!#REF!</c:f>
              <c:numCache>
                <c:formatCode>General</c:formatCode>
                <c:ptCount val="1"/>
                <c:pt idx="0">
                  <c:v>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Quarter'!#REF!</c:f>
              <c:numCache>
                <c:formatCode>General</c:formatCode>
                <c:ptCount val="1"/>
                <c:pt idx="0">
                  <c:v>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Quarter'!#REF!</c:f>
              <c:numCache>
                <c:formatCode>General</c:formatCode>
                <c:ptCount val="1"/>
                <c:pt idx="0">
                  <c:v>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Quarter'!#REF!</c:f>
              <c:numCache>
                <c:formatCode>General</c:formatCode>
                <c:ptCount val="1"/>
                <c:pt idx="0">
                  <c:v>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Quarter'!#REF!</c:f>
              <c:numCache>
                <c:formatCode>General</c:formatCode>
                <c:ptCount val="1"/>
                <c:pt idx="0">
                  <c:v>1</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https://www.bing.com/financeapi/forcetrigger?t=b19hc7&amp;q=XNYS%3aVRT&amp;form=skydnc</v>
    <v>Learn more on Bing</v>
  </rv>
  <rv s="1">
    <v>0</v>
    <v>VERTIV HOLDINGS CO (XNYS:VRT)</v>
    <v>2</v>
    <v>3</v>
    <v>Finance</v>
    <v>4</v>
    <v>en-US</v>
    <v>b19hc7</v>
    <v>268435456</v>
    <v>1</v>
    <v>Powered by Refinitiv</v>
    <v>379.935</v>
    <v>133.85</v>
    <v>2.0438999999999998</v>
    <v>1.875</v>
    <v>7.5180000000000004E-3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254.87569999999999</v>
    <v>Machinery, Equipment &amp; Components</v>
    <v>Stock</v>
    <v>46286.832200578123</v>
    <v>0</v>
    <v>247.60550000000001</v>
    <v>96734060073</v>
    <v>VERTIV HOLDINGS CO</v>
    <v>VERTIV HOLDINGS CO</v>
    <v>254.02</v>
    <v>56.861400000000003</v>
    <v>249.39</v>
    <v>251.26499999999999</v>
    <v>384988200</v>
    <v>VRT</v>
    <v>VERTIV HOLDINGS CO (XNYS:VRT)</v>
    <v>4005344</v>
    <v>5222065</v>
    <v>2016</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0.51</v>
    <v>1.0308999999999999E-2</v>
    <v>US</v>
    <v>50.08</v>
    <v>Index</v>
    <v>6</v>
    <v>49.71</v>
    <v>10 Y TSY YLD NDX</v>
    <v>49.8</v>
    <v>49.47</v>
    <v>49.98</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topLeftCell="A26"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285</v>
      </c>
      <c r="F2" s="239"/>
      <c r="H2" s="238" t="s">
        <v>326</v>
      </c>
      <c r="I2" s="239"/>
    </row>
    <row r="3" spans="2:9" x14ac:dyDescent="0.2">
      <c r="B3" s="182" t="s">
        <v>11</v>
      </c>
      <c r="C3" s="214" t="e" vm="1">
        <v>#VALUE!</v>
      </c>
      <c r="D3" s="2"/>
      <c r="E3" s="182" t="s">
        <v>237</v>
      </c>
      <c r="F3" s="184">
        <f ca="1">Statement!AC147</f>
        <v>98747.14499999999</v>
      </c>
      <c r="H3" s="182" t="str">
        <f>'AVG target price'!B5</f>
        <v>DCF price</v>
      </c>
      <c r="I3" s="208">
        <f ca="1">'AVG target price'!C5</f>
        <v>73.361445059858028</v>
      </c>
    </row>
    <row r="4" spans="2:9" x14ac:dyDescent="0.2">
      <c r="B4" s="182" t="s">
        <v>0</v>
      </c>
      <c r="C4" s="186" t="str" cm="1">
        <f t="array" aca="1" ref="C4" ca="1">_FV(C3,"Ticker symbol",TRUE)</f>
        <v>VRT</v>
      </c>
      <c r="E4" s="183" t="s">
        <v>184</v>
      </c>
      <c r="F4" s="185">
        <f ca="1">Statement!AC148</f>
        <v>98576.14499999999</v>
      </c>
      <c r="H4" s="182" t="str">
        <f>'AVG target price'!B6</f>
        <v>EV/EBIT price</v>
      </c>
      <c r="I4" s="208">
        <f ca="1">'AVG target price'!C6</f>
        <v>139.01251389419235</v>
      </c>
    </row>
    <row r="5" spans="2:9" x14ac:dyDescent="0.2">
      <c r="B5" s="182" t="s">
        <v>1</v>
      </c>
      <c r="C5" s="205" cm="1">
        <f t="array" aca="1" ref="C5" ca="1">_FV(C3,"Price",TRUE)</f>
        <v>251.26499999999999</v>
      </c>
      <c r="E5" s="182" t="s">
        <v>241</v>
      </c>
      <c r="F5" s="186">
        <f>Statement!AC25</f>
        <v>4.42</v>
      </c>
      <c r="H5" s="182" t="str">
        <f>'AVG target price'!B7</f>
        <v>PS price</v>
      </c>
      <c r="I5" s="208">
        <f ca="1">'AVG target price'!C7</f>
        <v>108.57599252621982</v>
      </c>
    </row>
    <row r="6" spans="2:9" x14ac:dyDescent="0.2">
      <c r="B6" s="182" t="s">
        <v>2</v>
      </c>
      <c r="C6" s="205" t="e" cm="1" vm="2">
        <f t="array" ref="C6">_FV(C3,"Price (Extended hours)",TRUE)</f>
        <v>#VALUE!</v>
      </c>
      <c r="E6" s="182" t="s">
        <v>235</v>
      </c>
      <c r="F6" s="187">
        <f ca="1">Statement!AC144</f>
        <v>56.847285067873301</v>
      </c>
      <c r="H6" s="182" t="str">
        <f>'AVG target price'!B8</f>
        <v>EV/FCFF price</v>
      </c>
      <c r="I6" s="208">
        <f ca="1">'AVG target price'!C8</f>
        <v>86.752890172949549</v>
      </c>
    </row>
    <row r="7" spans="2:9" x14ac:dyDescent="0.2">
      <c r="B7" s="182" t="s">
        <v>3</v>
      </c>
      <c r="C7" s="6" cm="1">
        <f t="array" aca="1" ref="C7" ca="1">_FV(C3,"Change")</f>
        <v>1.875</v>
      </c>
      <c r="E7" s="183" t="s">
        <v>197</v>
      </c>
      <c r="F7" s="188">
        <f ca="1">Statement!AC145</f>
        <v>8.5797804878048787</v>
      </c>
      <c r="H7" s="181" t="str">
        <f>'AVG target price'!B9</f>
        <v>AVG price</v>
      </c>
      <c r="I7" s="209">
        <f ca="1">'AVG target price'!C9</f>
        <v>101.92571041330494</v>
      </c>
    </row>
    <row r="8" spans="2:9" x14ac:dyDescent="0.2">
      <c r="B8" s="182" t="s">
        <v>4</v>
      </c>
      <c r="C8" s="6" t="e" cm="1" vm="3">
        <f t="array" ref="C8">_FV(C3,"Change (extended hours)",TRUE)</f>
        <v>#VALUE!</v>
      </c>
      <c r="E8" s="182" t="s">
        <v>263</v>
      </c>
      <c r="F8" s="189">
        <f ca="1">Statement!AC155</f>
        <v>2.9347683925444127E-2</v>
      </c>
      <c r="H8" s="181" t="str">
        <f>'AVG target price'!B11</f>
        <v>Upside/Downside</v>
      </c>
      <c r="I8" s="210">
        <f ca="1">'AVG target price'!C11</f>
        <v>-0.59434974861876921</v>
      </c>
    </row>
    <row r="9" spans="2:9" x14ac:dyDescent="0.2">
      <c r="B9" s="182" t="s">
        <v>5</v>
      </c>
      <c r="C9" s="73" cm="1">
        <f t="array" aca="1" ref="C9" ca="1">_FV(C3,"Change (%)",TRUE)</f>
        <v>7.5180000000000004E-3</v>
      </c>
      <c r="E9" s="182" t="s">
        <v>286</v>
      </c>
      <c r="F9" s="189">
        <f ca="1">Statement!AC156</f>
        <v>1.7590989592661137E-2</v>
      </c>
    </row>
    <row r="10" spans="2:9" x14ac:dyDescent="0.2">
      <c r="B10" s="182" t="s">
        <v>6</v>
      </c>
      <c r="C10" s="73" t="e" cm="1" vm="4">
        <f t="array" ref="C10">_FV(C3,"Change % (extended hours)",TRUE)</f>
        <v>#VALUE!</v>
      </c>
      <c r="E10" s="182" t="s">
        <v>291</v>
      </c>
      <c r="F10" s="189">
        <f ca="1">Statement!AC158</f>
        <v>0</v>
      </c>
      <c r="H10" s="181" t="s">
        <v>368</v>
      </c>
      <c r="I10" s="209">
        <f ca="1">DDM!C26</f>
        <v>1.5177847681125098</v>
      </c>
    </row>
    <row r="11" spans="2:9" x14ac:dyDescent="0.2">
      <c r="B11" s="182" t="s">
        <v>7</v>
      </c>
      <c r="C11" s="206" cm="1">
        <f t="array" aca="1" ref="C11" ca="1">_FV(C3,"52 week high",TRUE)</f>
        <v>379.935</v>
      </c>
      <c r="E11" s="183" t="s">
        <v>287</v>
      </c>
      <c r="F11" s="190">
        <f ca="1">Statement!AC157</f>
        <v>8.9546892722822526E-4</v>
      </c>
    </row>
    <row r="12" spans="2:9" x14ac:dyDescent="0.2">
      <c r="B12" s="182" t="s">
        <v>8</v>
      </c>
      <c r="C12" s="206" cm="1">
        <f t="array" aca="1" ref="C12" ca="1">_FV(C3,"52 week low",TRUE)</f>
        <v>133.85</v>
      </c>
      <c r="E12" s="182" t="s">
        <v>98</v>
      </c>
      <c r="F12" s="189">
        <f>Statement!AC121</f>
        <v>0.10898685617256777</v>
      </c>
    </row>
    <row r="13" spans="2:9" x14ac:dyDescent="0.2">
      <c r="B13" s="182" t="s">
        <v>9</v>
      </c>
      <c r="C13" s="206" cm="1">
        <f t="array" aca="1" ref="C13" ca="1">_FV(C3,"Beta")</f>
        <v>2.0438999999999998</v>
      </c>
      <c r="E13" s="182" t="s">
        <v>100</v>
      </c>
      <c r="F13" s="189">
        <f>Statement!AC123</f>
        <v>0.36422866750735605</v>
      </c>
    </row>
    <row r="14" spans="2:9" x14ac:dyDescent="0.2">
      <c r="B14" s="183" t="s">
        <v>10</v>
      </c>
      <c r="C14" s="207" cm="1">
        <f t="array" aca="1" ref="C14" ca="1">_FV(C3,"Volume average",TRUE)</f>
        <v>5222065</v>
      </c>
      <c r="E14" s="183" t="s">
        <v>101</v>
      </c>
      <c r="F14" s="190">
        <f>Statement!AC134</f>
        <v>0.38772932950804095</v>
      </c>
    </row>
    <row r="15" spans="2:9" x14ac:dyDescent="0.2">
      <c r="E15" s="182" t="s">
        <v>288</v>
      </c>
      <c r="F15" s="189">
        <f ca="1">Statement!AC170</f>
        <v>1.7316956353522932E-3</v>
      </c>
    </row>
    <row r="16" spans="2:9" x14ac:dyDescent="0.2">
      <c r="E16" s="183" t="s">
        <v>293</v>
      </c>
      <c r="F16" s="188">
        <f>Statement!AC169</f>
        <v>0.44415584415584414</v>
      </c>
    </row>
    <row r="17" spans="2:9" x14ac:dyDescent="0.2">
      <c r="B17" s="240" t="s">
        <v>87</v>
      </c>
      <c r="C17" s="240"/>
      <c r="E17" s="181" t="s">
        <v>294</v>
      </c>
      <c r="F17" s="191">
        <f>Statement!AC165</f>
        <v>2.5445292620865138E-2</v>
      </c>
    </row>
    <row r="18" spans="2:9" x14ac:dyDescent="0.2">
      <c r="B18" s="181" t="s">
        <v>12</v>
      </c>
      <c r="C18" s="69" t="s">
        <v>357</v>
      </c>
      <c r="E18" s="182" t="s">
        <v>295</v>
      </c>
      <c r="F18" s="187">
        <f>Statement!AC138</f>
        <v>121.79481880602383</v>
      </c>
      <c r="I18" s="50"/>
    </row>
    <row r="19" spans="2:9" x14ac:dyDescent="0.2">
      <c r="B19" s="181" t="s">
        <v>13</v>
      </c>
      <c r="C19" s="70">
        <v>1000000</v>
      </c>
      <c r="E19" s="182" t="s">
        <v>256</v>
      </c>
      <c r="F19" s="187">
        <f>Statement!AC140</f>
        <v>-3.5939470365699874E-2</v>
      </c>
    </row>
    <row r="20" spans="2:9" x14ac:dyDescent="0.2">
      <c r="B20" s="181" t="s">
        <v>88</v>
      </c>
      <c r="C20" s="69" t="s">
        <v>366</v>
      </c>
      <c r="E20" s="183" t="s">
        <v>296</v>
      </c>
      <c r="F20" s="188">
        <f>Statement!AC141</f>
        <v>0.94725942289106724</v>
      </c>
    </row>
    <row r="21" spans="2:9" x14ac:dyDescent="0.2">
      <c r="B21" s="181" t="s">
        <v>89</v>
      </c>
      <c r="C21" s="69" t="s">
        <v>90</v>
      </c>
      <c r="I21" s="50"/>
    </row>
    <row r="22" spans="2:9" x14ac:dyDescent="0.2">
      <c r="B22" s="181" t="s">
        <v>91</v>
      </c>
      <c r="C22" s="69" t="s">
        <v>366</v>
      </c>
    </row>
    <row r="25" spans="2:9" x14ac:dyDescent="0.2">
      <c r="B25" s="240" t="s">
        <v>103</v>
      </c>
      <c r="C25" s="240"/>
      <c r="E25" s="238" t="s">
        <v>339</v>
      </c>
      <c r="F25" s="239"/>
    </row>
    <row r="26" spans="2:9" x14ac:dyDescent="0.2">
      <c r="B26" s="181" t="s">
        <v>104</v>
      </c>
      <c r="C26" s="167">
        <v>0.21</v>
      </c>
      <c r="E26" s="182" t="e" vm="5">
        <v>#VALUE!</v>
      </c>
      <c r="F26" s="216" cm="1">
        <f t="array" aca="1" ref="F26" ca="1">_FV(E26,"Price")</f>
        <v>49.98</v>
      </c>
    </row>
    <row r="27" spans="2:9" x14ac:dyDescent="0.2">
      <c r="B27" s="181" t="s">
        <v>168</v>
      </c>
      <c r="C27" s="218">
        <v>5.7000000000000002E-2</v>
      </c>
      <c r="E27" s="183" t="s">
        <v>340</v>
      </c>
      <c r="F27" s="217">
        <f ca="1">F26/1000</f>
        <v>4.9979999999999997E-2</v>
      </c>
    </row>
    <row r="28" spans="2:9" x14ac:dyDescent="0.2">
      <c r="B28" s="181" t="s">
        <v>344</v>
      </c>
      <c r="C28" s="218">
        <v>0</v>
      </c>
    </row>
    <row r="29" spans="2:9" x14ac:dyDescent="0.2">
      <c r="B29" s="181" t="s">
        <v>367</v>
      </c>
      <c r="C29" s="218">
        <v>0</v>
      </c>
    </row>
    <row r="33" spans="2:8" x14ac:dyDescent="0.2">
      <c r="B33" s="237" t="s">
        <v>334</v>
      </c>
      <c r="C33" s="237"/>
      <c r="D33" s="237"/>
      <c r="E33" s="237"/>
      <c r="F33" s="237"/>
      <c r="G33" s="237"/>
      <c r="H33" s="237"/>
    </row>
    <row r="35" spans="2:8" x14ac:dyDescent="0.2">
      <c r="B35" s="16" t="s">
        <v>335</v>
      </c>
      <c r="C35" s="1" t="s">
        <v>381</v>
      </c>
    </row>
    <row r="36" spans="2:8" x14ac:dyDescent="0.2">
      <c r="B36" s="16" t="s">
        <v>336</v>
      </c>
      <c r="C36" s="1" t="s">
        <v>380</v>
      </c>
    </row>
    <row r="39" spans="2:8" ht="6" customHeight="1" x14ac:dyDescent="0.2">
      <c r="B39" s="237"/>
      <c r="C39" s="237"/>
      <c r="D39" s="237"/>
      <c r="E39" s="237"/>
      <c r="F39" s="237"/>
      <c r="G39" s="237"/>
      <c r="H39" s="237"/>
    </row>
    <row r="42" spans="2:8" x14ac:dyDescent="0.2">
      <c r="B42" s="237" t="s">
        <v>337</v>
      </c>
      <c r="C42" s="237"/>
      <c r="D42" s="237"/>
      <c r="E42" s="237"/>
      <c r="F42" s="237"/>
      <c r="G42" s="237"/>
      <c r="H42" s="237"/>
    </row>
    <row r="44" spans="2:8" x14ac:dyDescent="0.2">
      <c r="B44" s="41" t="s">
        <v>338</v>
      </c>
      <c r="C44" s="41" t="s">
        <v>379</v>
      </c>
      <c r="D44" s="41"/>
      <c r="E44" s="41" t="s">
        <v>378</v>
      </c>
    </row>
    <row r="49" spans="2:8" ht="5" customHeight="1" x14ac:dyDescent="0.2">
      <c r="B49" s="237"/>
      <c r="C49" s="237"/>
      <c r="D49" s="237"/>
      <c r="E49" s="237"/>
      <c r="F49" s="237"/>
      <c r="G49" s="237"/>
      <c r="H49" s="237"/>
    </row>
    <row r="52" spans="2:8" x14ac:dyDescent="0.2">
      <c r="B52" s="237" t="s">
        <v>105</v>
      </c>
      <c r="C52" s="237"/>
      <c r="D52" s="237"/>
      <c r="E52" s="237"/>
      <c r="F52" s="237"/>
      <c r="G52" s="237"/>
      <c r="H52" s="237"/>
    </row>
    <row r="54" spans="2:8" x14ac:dyDescent="0.2">
      <c r="B54" s="41" t="s">
        <v>338</v>
      </c>
      <c r="C54" s="41" t="s">
        <v>358</v>
      </c>
      <c r="D54" s="41"/>
      <c r="E54" s="41" t="s">
        <v>362</v>
      </c>
    </row>
    <row r="59" spans="2:8" ht="5" customHeight="1" x14ac:dyDescent="0.2">
      <c r="B59" s="237"/>
      <c r="C59" s="237"/>
      <c r="D59" s="237"/>
      <c r="E59" s="237"/>
      <c r="F59" s="237"/>
      <c r="G59" s="237"/>
      <c r="H59" s="237"/>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0"/>
  <sheetViews>
    <sheetView zoomScale="200" zoomScaleNormal="150" workbookViewId="0">
      <pane xSplit="2" ySplit="3" topLeftCell="Y180" activePane="bottomRight" state="frozen"/>
      <selection pane="topRight" activeCell="C1" sqref="C1"/>
      <selection pane="bottomLeft" activeCell="A4" sqref="A4"/>
      <selection pane="bottomRight" activeCell="B181" sqref="B18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387</v>
      </c>
      <c r="N2" s="10" t="s">
        <v>386</v>
      </c>
      <c r="O2" s="10" t="s">
        <v>384</v>
      </c>
      <c r="P2" s="10" t="s">
        <v>383</v>
      </c>
      <c r="Q2" s="10" t="s">
        <v>382</v>
      </c>
      <c r="R2" s="7"/>
      <c r="S2" s="7"/>
      <c r="T2" s="10" t="s">
        <v>394</v>
      </c>
      <c r="U2" s="10" t="s">
        <v>383</v>
      </c>
      <c r="V2" s="10" t="s">
        <v>391</v>
      </c>
      <c r="W2" s="10" t="s">
        <v>389</v>
      </c>
      <c r="X2" s="200" t="s">
        <v>393</v>
      </c>
      <c r="Y2" s="200" t="s">
        <v>382</v>
      </c>
      <c r="Z2" s="200" t="s">
        <v>390</v>
      </c>
      <c r="AA2" s="200" t="s">
        <v>388</v>
      </c>
      <c r="AB2" s="7"/>
      <c r="AD2" s="7"/>
      <c r="AE2" s="7"/>
    </row>
    <row r="3" spans="1:31" s="13" customFormat="1" x14ac:dyDescent="0.2">
      <c r="A3" s="11"/>
      <c r="B3" s="12" t="s">
        <v>16</v>
      </c>
      <c r="M3" s="13">
        <v>2021</v>
      </c>
      <c r="N3" s="13">
        <v>2022</v>
      </c>
      <c r="O3" s="13">
        <v>2023</v>
      </c>
      <c r="P3" s="13">
        <v>2024</v>
      </c>
      <c r="Q3" s="13">
        <v>2025</v>
      </c>
      <c r="R3" s="11"/>
      <c r="S3" s="11"/>
      <c r="T3" s="10" t="s">
        <v>392</v>
      </c>
      <c r="U3" s="10" t="s">
        <v>359</v>
      </c>
      <c r="V3" s="10" t="s">
        <v>360</v>
      </c>
      <c r="W3" s="10" t="s">
        <v>85</v>
      </c>
      <c r="X3" s="200" t="s">
        <v>83</v>
      </c>
      <c r="Y3" s="200" t="s">
        <v>82</v>
      </c>
      <c r="Z3" s="200" t="s">
        <v>86</v>
      </c>
      <c r="AA3" s="200"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364</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385</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327</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352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4">
        <v>1444</v>
      </c>
      <c r="Y34" s="21">
        <v>2034</v>
      </c>
      <c r="Z34" s="224">
        <v>2024</v>
      </c>
      <c r="AA34" s="224">
        <v>2283</v>
      </c>
      <c r="AC34" s="21">
        <f t="shared" si="18"/>
        <v>2283</v>
      </c>
    </row>
    <row r="35" spans="1:31" s="34" customFormat="1" x14ac:dyDescent="0.2">
      <c r="A35" s="16"/>
      <c r="B35" s="32" t="s">
        <v>43</v>
      </c>
      <c r="C35" s="35"/>
      <c r="D35" s="35"/>
      <c r="E35" s="35"/>
      <c r="F35" s="35"/>
      <c r="G35" s="35"/>
      <c r="H35" s="35"/>
      <c r="I35" s="35"/>
      <c r="J35" s="35"/>
      <c r="K35" s="35"/>
      <c r="L35" s="35"/>
      <c r="M35" s="225">
        <f t="shared" ref="M35:O35" si="19">M36-M31</f>
        <v>4241</v>
      </c>
      <c r="N35" s="225">
        <f t="shared" si="19"/>
        <v>3937</v>
      </c>
      <c r="O35" s="225">
        <f t="shared" si="19"/>
        <v>3997</v>
      </c>
      <c r="P35" s="225">
        <f>P36-P31</f>
        <v>4031</v>
      </c>
      <c r="Q35" s="225">
        <f>Q36-Q31</f>
        <v>5392</v>
      </c>
      <c r="R35" s="1"/>
      <c r="S35" s="1"/>
      <c r="T35" s="225">
        <f t="shared" ref="T35:Y35" si="20">T36-T31</f>
        <v>4086</v>
      </c>
      <c r="U35" s="225">
        <f t="shared" si="20"/>
        <v>4031</v>
      </c>
      <c r="V35" s="225">
        <f t="shared" si="20"/>
        <v>3989</v>
      </c>
      <c r="W35" s="225">
        <f t="shared" si="20"/>
        <v>4104</v>
      </c>
      <c r="X35" s="225">
        <f t="shared" si="20"/>
        <v>4267</v>
      </c>
      <c r="Y35" s="225">
        <f t="shared" si="20"/>
        <v>5392</v>
      </c>
      <c r="Z35" s="225">
        <f t="shared" ref="Z35:AA35" si="21">Z36-Z31</f>
        <v>5415</v>
      </c>
      <c r="AA35" s="225">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5">
        <f t="shared" ref="M41:O41" si="22">M42-M39</f>
        <v>3667</v>
      </c>
      <c r="N41" s="225">
        <f t="shared" si="22"/>
        <v>3756</v>
      </c>
      <c r="O41" s="225">
        <f t="shared" si="22"/>
        <v>3679</v>
      </c>
      <c r="P41" s="225">
        <f>P42-P39</f>
        <v>3601</v>
      </c>
      <c r="Q41" s="225">
        <f>Q42-Q39</f>
        <v>3864</v>
      </c>
      <c r="R41" s="1"/>
      <c r="S41" s="1"/>
      <c r="T41" s="225">
        <f t="shared" ref="T41:Y41" si="23">T42-T39</f>
        <v>3589</v>
      </c>
      <c r="U41" s="225">
        <f t="shared" si="23"/>
        <v>3601</v>
      </c>
      <c r="V41" s="225">
        <f t="shared" si="23"/>
        <v>3601</v>
      </c>
      <c r="W41" s="225">
        <f t="shared" si="23"/>
        <v>3666</v>
      </c>
      <c r="X41" s="225">
        <f t="shared" si="23"/>
        <v>3731</v>
      </c>
      <c r="Y41" s="225">
        <f t="shared" si="23"/>
        <v>3864</v>
      </c>
      <c r="Z41" s="225">
        <f t="shared" ref="Z41:AA41" si="24">Z42-Z39</f>
        <v>3812</v>
      </c>
      <c r="AA41" s="225">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331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4">
        <v>2598</v>
      </c>
      <c r="N45" s="224">
        <v>2631</v>
      </c>
      <c r="O45" s="224">
        <v>2711</v>
      </c>
      <c r="P45" s="224">
        <v>2821</v>
      </c>
      <c r="Q45" s="224">
        <v>2895</v>
      </c>
      <c r="T45" s="21">
        <v>2152</v>
      </c>
      <c r="U45" s="224">
        <v>2821</v>
      </c>
      <c r="V45" s="21">
        <v>2830</v>
      </c>
      <c r="W45" s="21">
        <v>2858</v>
      </c>
      <c r="X45" s="21">
        <v>2883</v>
      </c>
      <c r="Y45" s="224">
        <v>2895</v>
      </c>
      <c r="Z45" s="21">
        <v>2927</v>
      </c>
      <c r="AA45" s="21">
        <v>2955</v>
      </c>
      <c r="AC45" s="62">
        <f t="shared" si="18"/>
        <v>2955</v>
      </c>
    </row>
    <row r="46" spans="1:31" x14ac:dyDescent="0.2">
      <c r="B46" s="20" t="s">
        <v>332</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327</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282</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330</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232</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233</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234</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273</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274</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6">
        <v>2.5000000000000001E-2</v>
      </c>
      <c r="U80" s="226">
        <v>3.7499999999999999E-2</v>
      </c>
      <c r="V80" s="226">
        <v>3.7499999999999999E-2</v>
      </c>
      <c r="W80" s="226">
        <v>3.7499999999999999E-2</v>
      </c>
      <c r="X80" s="226">
        <v>3.7499999999999999E-2</v>
      </c>
      <c r="Y80" s="226">
        <v>6.25E-2</v>
      </c>
      <c r="Z80" s="226">
        <v>6.25E-2</v>
      </c>
      <c r="AA80" s="226">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297</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328</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329</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251.26499999999999</v>
      </c>
    </row>
    <row r="115" spans="1:31" x14ac:dyDescent="0.2">
      <c r="B115" s="20" t="s">
        <v>341</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251.26499999999999</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229</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395</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396</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397</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6" t="str">
        <f t="shared" ref="T130:Y130" si="107">IF(T129&gt;T128, "BEAT", IF(T129&lt;T127, "MISSED", "MET"))</f>
        <v>BEAT</v>
      </c>
      <c r="U130" s="236" t="str">
        <f t="shared" si="107"/>
        <v>BEAT</v>
      </c>
      <c r="V130" s="236" t="str">
        <f t="shared" si="107"/>
        <v>BEAT</v>
      </c>
      <c r="W130" s="236" t="str">
        <f t="shared" si="107"/>
        <v>BEAT</v>
      </c>
      <c r="X130" s="236" t="str">
        <f t="shared" si="107"/>
        <v>MET</v>
      </c>
      <c r="Y130" s="236" t="str">
        <f t="shared" si="107"/>
        <v>MET</v>
      </c>
      <c r="Z130" s="236" t="str">
        <f>IF(Z129&gt;Z128, "BEAT", IF(Z129&lt;Z127, "MISSED", "MET"))</f>
        <v>MET</v>
      </c>
      <c r="AA130" s="236" t="str">
        <f>IF(AA129&gt;AA128, "BEAT", IF(AA129&lt;AA127, "MISSED", "MET"))</f>
        <v>MISSED</v>
      </c>
      <c r="AC130" s="49"/>
    </row>
    <row r="132" spans="2:29" x14ac:dyDescent="0.2">
      <c r="B132" s="1"/>
    </row>
    <row r="133" spans="2:29" ht="17" thickBot="1" x14ac:dyDescent="0.25">
      <c r="B133" s="14" t="s">
        <v>246</v>
      </c>
      <c r="C133" s="168"/>
      <c r="D133" s="168"/>
      <c r="E133" s="168"/>
      <c r="F133" s="168"/>
      <c r="G133" s="168"/>
      <c r="H133" s="168"/>
      <c r="I133" s="168"/>
      <c r="J133" s="168"/>
      <c r="K133" s="168"/>
      <c r="L133" s="168"/>
      <c r="M133" s="168"/>
      <c r="N133" s="168"/>
      <c r="O133" s="168"/>
      <c r="P133" s="168"/>
      <c r="Q133" s="168"/>
      <c r="T133" s="168"/>
      <c r="U133" s="168"/>
      <c r="V133" s="168"/>
      <c r="W133" s="168"/>
      <c r="X133" s="168"/>
      <c r="Y133" s="168"/>
      <c r="Z133" s="168"/>
      <c r="AA133" s="168"/>
      <c r="AC133" s="168"/>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249</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253</v>
      </c>
      <c r="M140" s="176">
        <f>(M106-M105)/M48</f>
        <v>1.7870239774330043</v>
      </c>
      <c r="N140" s="176">
        <f>(N106-N105)/N48</f>
        <v>2.0319001386962552</v>
      </c>
      <c r="O140" s="176">
        <f>(O106-O105)/O48</f>
        <v>1.0724565756823821</v>
      </c>
      <c r="P140" s="176">
        <f>(P106-P105)/P48</f>
        <v>0.69843878389482339</v>
      </c>
      <c r="Q140" s="176">
        <f>(Q106-Q105)/Q48</f>
        <v>0.27531083481349911</v>
      </c>
      <c r="T140" s="176">
        <f t="shared" ref="T140:Z140" si="122">(T106-T105)/T48</f>
        <v>1.1146637265711135</v>
      </c>
      <c r="U140" s="176">
        <f t="shared" si="122"/>
        <v>0.69843878389482339</v>
      </c>
      <c r="V140" s="176">
        <f t="shared" si="122"/>
        <v>0.54688672168042007</v>
      </c>
      <c r="W140" s="176">
        <f t="shared" si="122"/>
        <v>0.37856000000000001</v>
      </c>
      <c r="X140" s="176">
        <f t="shared" si="122"/>
        <v>0.27871188372755773</v>
      </c>
      <c r="Y140" s="176">
        <f t="shared" si="122"/>
        <v>0.27531083481349911</v>
      </c>
      <c r="Z140" s="176">
        <f t="shared" si="122"/>
        <v>9.9175500588928156E-2</v>
      </c>
      <c r="AA140" s="176">
        <f t="shared" ref="AA140" si="123">(AA106-AA105)/AA48</f>
        <v>-3.5939470365699874E-2</v>
      </c>
      <c r="AC140" s="176">
        <f>(AC106-AC105)/AC48</f>
        <v>-3.5939470365699874E-2</v>
      </c>
    </row>
    <row r="141" spans="2:29" x14ac:dyDescent="0.2">
      <c r="B141" s="20" t="s">
        <v>250</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251</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257</v>
      </c>
      <c r="M143" s="178">
        <f>IF(M12&gt;=0,"N/A",IF(M11&lt;=0,"N/A",M11/-M12))</f>
        <v>2.8571428571428572</v>
      </c>
      <c r="N143" s="178">
        <f>IF(N12&gt;=0,"N/A",IF(N11&lt;=0,"N/A",N11/-N12))</f>
        <v>1.5170068027210883</v>
      </c>
      <c r="O143" s="178">
        <f>IF(O12&gt;=0,"N/A",IF(O11&lt;=0,"N/A",O11/-O12))</f>
        <v>4.8444444444444441</v>
      </c>
      <c r="P143" s="178">
        <f>IF(P12&gt;=0,"N/A",IF(P11&lt;=0,"N/A",P11/-P12))</f>
        <v>9.1133333333333333</v>
      </c>
      <c r="Q143" s="178">
        <f>IF(Q12&gt;=0,"N/A",IF(Q11&lt;=0,"N/A",Q11/-Q12))</f>
        <v>21.279069767441861</v>
      </c>
      <c r="T143" s="178">
        <f t="shared" ref="T143:Z143" si="128">IF(T12&gt;=0,"N/A",IF(T11&lt;=0,"N/A",T11/-T12))</f>
        <v>10.333333333333334</v>
      </c>
      <c r="U143" s="178">
        <f t="shared" si="128"/>
        <v>14.741935483870968</v>
      </c>
      <c r="V143" s="178">
        <f t="shared" si="128"/>
        <v>11.64</v>
      </c>
      <c r="W143" s="178">
        <f t="shared" si="128"/>
        <v>21.047619047619047</v>
      </c>
      <c r="X143" s="178">
        <f t="shared" si="128"/>
        <v>22.478260869565219</v>
      </c>
      <c r="Y143" s="178">
        <f t="shared" si="128"/>
        <v>34.117647058823529</v>
      </c>
      <c r="Z143" s="178" t="str">
        <f t="shared" si="128"/>
        <v>N/A</v>
      </c>
      <c r="AA143" s="178">
        <f t="shared" ref="AA143" si="129">IF(AA12&gt;=0,"N/A",IF(AA11&lt;=0,"N/A",AA11/-AA12))</f>
        <v>37.294117647058826</v>
      </c>
      <c r="AC143" s="178">
        <f>IF(AC12&gt;=0,"N/A",IF(AC11&lt;=0,"N/A",AC11/-AC12))</f>
        <v>40.962264150943398</v>
      </c>
    </row>
    <row r="144" spans="2:29" x14ac:dyDescent="0.2">
      <c r="B144" s="20" t="s">
        <v>235</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56.847285067873301</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8.5797804878048787</v>
      </c>
    </row>
    <row r="146" spans="2:29" x14ac:dyDescent="0.2">
      <c r="B146" s="20" t="s">
        <v>236</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20.331447036569987</v>
      </c>
    </row>
    <row r="147" spans="2:29" x14ac:dyDescent="0.2">
      <c r="B147" s="20" t="s">
        <v>237</v>
      </c>
      <c r="M147" s="143">
        <f>Statement!M115*Statement!M77</f>
        <v>9513.57</v>
      </c>
      <c r="N147" s="143">
        <f>Statement!N115*Statement!N77</f>
        <v>5177.1400000000003</v>
      </c>
      <c r="O147" s="143">
        <f>Statement!O115*Statement!O77</f>
        <v>18635.64</v>
      </c>
      <c r="P147" s="143">
        <f>Statement!P115*Statement!P77</f>
        <v>44421.51</v>
      </c>
      <c r="Q147" s="143">
        <f>Statement!Q115*Statement!Q77</f>
        <v>63507.92</v>
      </c>
      <c r="T147" s="143">
        <f>Statement!T115*Statement!T77</f>
        <v>38204.159999999996</v>
      </c>
      <c r="U147" s="143">
        <f>Statement!U115*Statement!U77</f>
        <v>44421.51</v>
      </c>
      <c r="V147" s="143">
        <f>Statement!V115*Statement!V77</f>
        <v>28158</v>
      </c>
      <c r="W147" s="143">
        <f>Statement!W115*Statement!W77</f>
        <v>50079.9</v>
      </c>
      <c r="X147" s="143">
        <f>Statement!X115*Statement!X77</f>
        <v>58986.26</v>
      </c>
      <c r="Y147" s="143">
        <f>Statement!Y115*Statement!Y77</f>
        <v>63507.92</v>
      </c>
      <c r="Z147" s="143">
        <f>Statement!Z115*Statement!Z77</f>
        <v>98477.94</v>
      </c>
      <c r="AA147" s="143">
        <f>Statement!AA115*Statement!AA77</f>
        <v>131584.26</v>
      </c>
      <c r="AC147" s="143">
        <f ca="1">Statement!AC115*Statement!AC77</f>
        <v>98747.14499999999</v>
      </c>
    </row>
    <row r="148" spans="2:29" x14ac:dyDescent="0.2">
      <c r="B148" s="20" t="s">
        <v>184</v>
      </c>
      <c r="M148" s="143">
        <f>M147+M106-M105+M47+M44</f>
        <v>12047.57</v>
      </c>
      <c r="N148" s="143">
        <f>N147+N106-N105+N47+N44</f>
        <v>8107.1399999999994</v>
      </c>
      <c r="O148" s="143">
        <f>O147+O106-O105+O47+O44</f>
        <v>20796.64</v>
      </c>
      <c r="P148" s="143">
        <f>P147+P106-P105+P47+P44</f>
        <v>46121.51</v>
      </c>
      <c r="Q148" s="143">
        <f>Q147+Q106-Q105+Q47+Q44</f>
        <v>64592.92</v>
      </c>
      <c r="T148" s="143">
        <f t="shared" ref="T148:Z148" si="130">T147+T106-T105+T47+T44</f>
        <v>40226.159999999996</v>
      </c>
      <c r="U148" s="143">
        <f t="shared" si="130"/>
        <v>46121.51</v>
      </c>
      <c r="V148" s="143">
        <f t="shared" si="130"/>
        <v>29616</v>
      </c>
      <c r="W148" s="143">
        <f t="shared" si="130"/>
        <v>51262.9</v>
      </c>
      <c r="X148" s="143">
        <f t="shared" si="130"/>
        <v>59964.26</v>
      </c>
      <c r="Y148" s="143">
        <f t="shared" si="130"/>
        <v>64592.92</v>
      </c>
      <c r="Z148" s="143">
        <f t="shared" si="130"/>
        <v>98898.94</v>
      </c>
      <c r="AA148" s="143">
        <f t="shared" ref="AA148" si="131">AA147+AA106-AA105+AA47+AA44</f>
        <v>131413.26</v>
      </c>
      <c r="AC148" s="143">
        <f ca="1">AC147+AC106-AC105+AC47+AC44</f>
        <v>98576.14499999999</v>
      </c>
    </row>
    <row r="149" spans="2:29" x14ac:dyDescent="0.2">
      <c r="B149" s="20" t="s">
        <v>258</v>
      </c>
      <c r="M149" s="180">
        <f>M148/M5</f>
        <v>2.4104781912765105</v>
      </c>
      <c r="N149" s="180">
        <f>N148/N5</f>
        <v>1.424304286718201</v>
      </c>
      <c r="O149" s="180">
        <f>O148/O5</f>
        <v>3.0302549905289231</v>
      </c>
      <c r="P149" s="180">
        <f>P148/P5</f>
        <v>5.756553919121318</v>
      </c>
      <c r="Q149" s="180">
        <f>Q148/Q5</f>
        <v>6.3140684261974585</v>
      </c>
      <c r="T149" s="49"/>
      <c r="U149" s="49"/>
      <c r="V149" s="49"/>
      <c r="W149" s="49"/>
      <c r="X149" s="49"/>
      <c r="Y149" s="49"/>
      <c r="Z149" s="49"/>
      <c r="AA149" s="49"/>
      <c r="AC149" s="180">
        <f ca="1">AC148/AC5</f>
        <v>8.5867722125435524</v>
      </c>
    </row>
    <row r="150" spans="2:29" x14ac:dyDescent="0.2">
      <c r="B150" s="20" t="s">
        <v>200</v>
      </c>
      <c r="M150" s="180">
        <f>M148/M11</f>
        <v>46.336807692307694</v>
      </c>
      <c r="N150" s="180">
        <f>N148/N11</f>
        <v>36.354887892376681</v>
      </c>
      <c r="O150" s="180">
        <f>O148/O11</f>
        <v>23.849357798165137</v>
      </c>
      <c r="P150" s="180">
        <f>P148/P11</f>
        <v>33.73921726408193</v>
      </c>
      <c r="Q150" s="180">
        <f>Q148/Q11</f>
        <v>35.296677595628417</v>
      </c>
      <c r="T150" s="49"/>
      <c r="U150" s="49"/>
      <c r="V150" s="49"/>
      <c r="W150" s="49"/>
      <c r="X150" s="49"/>
      <c r="Y150" s="49"/>
      <c r="Z150" s="49"/>
      <c r="AA150" s="49"/>
      <c r="AC150" s="180">
        <f ca="1">AC148/AC11</f>
        <v>45.405870566559187</v>
      </c>
    </row>
    <row r="151" spans="2:29" x14ac:dyDescent="0.2">
      <c r="B151" s="20" t="s">
        <v>259</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260</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f>
        <v>3950.5144344533837</v>
      </c>
    </row>
    <row r="153" spans="2:29" x14ac:dyDescent="0.2">
      <c r="B153" s="20" t="s">
        <v>261</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34.074239130434776</v>
      </c>
    </row>
    <row r="154" spans="2:29" x14ac:dyDescent="0.2">
      <c r="B154" s="20" t="s">
        <v>262</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24.952736317147405</v>
      </c>
    </row>
    <row r="155" spans="2:29" x14ac:dyDescent="0.2">
      <c r="B155" s="20" t="s">
        <v>263</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2.9347683925444127E-2</v>
      </c>
    </row>
    <row r="156" spans="2:29" x14ac:dyDescent="0.2">
      <c r="B156" s="20" t="s">
        <v>264</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1.7590989592661137E-2</v>
      </c>
    </row>
    <row r="157" spans="2:29" x14ac:dyDescent="0.2">
      <c r="B157" s="20" t="s">
        <v>265</v>
      </c>
      <c r="M157" s="151">
        <f>M81/M115</f>
        <v>4.0048057669203049E-4</v>
      </c>
      <c r="N157" s="151">
        <f>N81/N115</f>
        <v>7.320644216691069E-4</v>
      </c>
      <c r="O157" s="151">
        <f>O81/O115</f>
        <v>5.2050801582344372E-4</v>
      </c>
      <c r="P157" s="151">
        <f>P81/P115</f>
        <v>9.8582871226124457E-4</v>
      </c>
      <c r="Q157" s="151">
        <f>Q81/Q115</f>
        <v>1.0801802357879144E-3</v>
      </c>
      <c r="T157" s="49"/>
      <c r="U157" s="49"/>
      <c r="V157" s="49"/>
      <c r="W157" s="49"/>
      <c r="X157" s="49"/>
      <c r="Y157" s="49"/>
      <c r="Z157" s="49"/>
      <c r="AA157" s="49"/>
      <c r="AC157" s="151">
        <f ca="1">AC81/AC115</f>
        <v>8.9546892722822526E-4</v>
      </c>
    </row>
    <row r="158" spans="2:29" x14ac:dyDescent="0.2">
      <c r="B158" s="20" t="s">
        <v>290</v>
      </c>
      <c r="M158" s="151">
        <f>-M62/M147</f>
        <v>0</v>
      </c>
      <c r="N158" s="151">
        <f>-N62/N147</f>
        <v>0</v>
      </c>
      <c r="O158" s="151">
        <f>-O62/O147</f>
        <v>0</v>
      </c>
      <c r="P158" s="151">
        <f>-P62/P147</f>
        <v>1.3506969934160274E-2</v>
      </c>
      <c r="Q158" s="151">
        <f>-Q62/Q147</f>
        <v>0</v>
      </c>
      <c r="T158" s="49"/>
      <c r="U158" s="49"/>
      <c r="V158" s="49"/>
      <c r="W158" s="49"/>
      <c r="X158" s="49"/>
      <c r="Y158" s="49"/>
      <c r="Z158" s="49"/>
      <c r="AA158" s="49"/>
      <c r="AC158" s="151">
        <f ca="1">-AC62/AC147</f>
        <v>0</v>
      </c>
    </row>
    <row r="159" spans="2:29" x14ac:dyDescent="0.2">
      <c r="B159" s="20" t="s">
        <v>292</v>
      </c>
      <c r="M159" s="151">
        <f>-(M62+M63)/M147</f>
        <v>4.2045204902050443E-4</v>
      </c>
      <c r="N159" s="151">
        <f>-(N62+N63)/N147</f>
        <v>7.7262735796211808E-4</v>
      </c>
      <c r="O159" s="151">
        <f>-(O62+O63)/O147</f>
        <v>5.3660620187983882E-4</v>
      </c>
      <c r="P159" s="151">
        <f>-(P62+P63)/P147</f>
        <v>1.4452457829551494E-2</v>
      </c>
      <c r="Q159" s="151">
        <f>-(Q62+Q63)/Q147</f>
        <v>1.054986527664581E-3</v>
      </c>
      <c r="T159" s="49"/>
      <c r="U159" s="49"/>
      <c r="V159" s="49"/>
      <c r="W159" s="49"/>
      <c r="X159" s="49"/>
      <c r="Y159" s="49"/>
      <c r="Z159" s="49"/>
      <c r="AA159" s="49"/>
      <c r="AC159" s="151">
        <f ca="1">-(AC62+AC63)/AC147</f>
        <v>8.7091125520641648E-4</v>
      </c>
    </row>
    <row r="160" spans="2:29" x14ac:dyDescent="0.2">
      <c r="B160" s="20" t="s">
        <v>342</v>
      </c>
      <c r="M160" s="151">
        <f>M152/M5</f>
        <v>3.9692985627986135E-2</v>
      </c>
      <c r="N160" s="151">
        <f>N152/N5</f>
        <v>-2.7262761897147381E-2</v>
      </c>
      <c r="O160" s="151">
        <f>O152/O5</f>
        <v>0.13899669735665512</v>
      </c>
      <c r="P160" s="151">
        <f>P152/P5</f>
        <v>0.13636163401955889</v>
      </c>
      <c r="Q160" s="151">
        <f>Q152/Q5</f>
        <v>0.17813672445352755</v>
      </c>
      <c r="T160" s="49"/>
      <c r="U160" s="49"/>
      <c r="V160" s="49"/>
      <c r="W160" s="49"/>
      <c r="X160" s="49"/>
      <c r="Y160" s="49"/>
      <c r="Z160" s="49"/>
      <c r="AA160" s="49"/>
      <c r="AC160" s="151">
        <f>AC152/AC5</f>
        <v>0.34412146641579999</v>
      </c>
    </row>
    <row r="161" spans="2:29" x14ac:dyDescent="0.2">
      <c r="B161" s="20" t="s">
        <v>343</v>
      </c>
      <c r="M161" s="151">
        <f>M151/M5</f>
        <v>2.0808323329331732E-2</v>
      </c>
      <c r="N161" s="151">
        <f>N151/N5</f>
        <v>-5.0773014757554462E-2</v>
      </c>
      <c r="O161" s="151">
        <f>O151/O5</f>
        <v>0.10797027538977123</v>
      </c>
      <c r="P161" s="151">
        <f>P151/P5</f>
        <v>0.13729405891163254</v>
      </c>
      <c r="Q161" s="151">
        <f>Q151/Q5</f>
        <v>0.18005865102639296</v>
      </c>
      <c r="T161" s="49"/>
      <c r="U161" s="49"/>
      <c r="V161" s="49"/>
      <c r="W161" s="49"/>
      <c r="X161" s="49"/>
      <c r="Y161" s="49"/>
      <c r="Z161" s="49"/>
      <c r="AA161" s="49"/>
      <c r="AC161" s="151">
        <f>AC151/AC5</f>
        <v>0.2524390243902439</v>
      </c>
    </row>
    <row r="162" spans="2:29" x14ac:dyDescent="0.2">
      <c r="B162" s="20" t="s">
        <v>268</v>
      </c>
      <c r="M162" s="151">
        <f>-M63/M151</f>
        <v>3.8461538461538464E-2</v>
      </c>
      <c r="N162" s="151">
        <f>-N63/N151</f>
        <v>-1.384083044982699E-2</v>
      </c>
      <c r="O162" s="151">
        <f>-O63/O151</f>
        <v>1.3495276653171391E-2</v>
      </c>
      <c r="P162" s="151">
        <f>-P63/P151</f>
        <v>3.8181818181818185E-2</v>
      </c>
      <c r="Q162" s="151">
        <f>-Q63/Q151</f>
        <v>3.6373507057546148E-2</v>
      </c>
      <c r="T162" s="49"/>
      <c r="U162" s="49"/>
      <c r="V162" s="49"/>
      <c r="W162" s="49"/>
      <c r="X162" s="49"/>
      <c r="Y162" s="49"/>
      <c r="Z162" s="49"/>
      <c r="AA162" s="49"/>
      <c r="AC162" s="151">
        <f>-AC63/AC151</f>
        <v>2.9675638371290544E-2</v>
      </c>
    </row>
    <row r="163" spans="2:29" x14ac:dyDescent="0.2">
      <c r="B163" s="20" t="s">
        <v>270</v>
      </c>
      <c r="M163" s="151">
        <f>-M62/M151</f>
        <v>0</v>
      </c>
      <c r="N163" s="151">
        <f>-N62/N151</f>
        <v>0</v>
      </c>
      <c r="O163" s="151">
        <f>-O62/O151</f>
        <v>0</v>
      </c>
      <c r="P163" s="151">
        <f>-P62/P151</f>
        <v>0.54545454545454541</v>
      </c>
      <c r="Q163" s="151">
        <f>-Q62/Q151</f>
        <v>0</v>
      </c>
      <c r="T163" s="49"/>
      <c r="U163" s="49"/>
      <c r="V163" s="49"/>
      <c r="W163" s="49"/>
      <c r="X163" s="49"/>
      <c r="Y163" s="49"/>
      <c r="Z163" s="49"/>
      <c r="AA163" s="49"/>
      <c r="AC163" s="151">
        <f>-AC62/AC151</f>
        <v>0</v>
      </c>
    </row>
    <row r="164" spans="2:29" x14ac:dyDescent="0.2">
      <c r="B164" s="20" t="s">
        <v>281</v>
      </c>
      <c r="M164" s="151">
        <f>(-M63-M62)/M151</f>
        <v>3.8461538461538464E-2</v>
      </c>
      <c r="N164" s="151">
        <f>(-N63-N62)/N151</f>
        <v>-1.384083044982699E-2</v>
      </c>
      <c r="O164" s="151">
        <f>(-O63-O62)/O151</f>
        <v>1.3495276653171391E-2</v>
      </c>
      <c r="P164" s="151">
        <f>(-P63-P62)/P151</f>
        <v>0.58363636363636362</v>
      </c>
      <c r="Q164" s="151">
        <f>(-Q63-Q62)/Q151</f>
        <v>3.6373507057546148E-2</v>
      </c>
      <c r="T164" s="49"/>
      <c r="U164" s="49"/>
      <c r="V164" s="49"/>
      <c r="W164" s="49"/>
      <c r="X164" s="49"/>
      <c r="Y164" s="49"/>
      <c r="Z164" s="49"/>
      <c r="AA164" s="49"/>
      <c r="AC164" s="151">
        <f>(-AC63-AC62)/AC151</f>
        <v>2.9675638371290544E-2</v>
      </c>
    </row>
    <row r="165" spans="2:29" x14ac:dyDescent="0.2">
      <c r="B165" s="20" t="s">
        <v>275</v>
      </c>
      <c r="M165" s="151">
        <f>M79/M77</f>
        <v>4.7244094488188976E-2</v>
      </c>
      <c r="N165" s="151">
        <f>N79/N77</f>
        <v>0.10026385224274406</v>
      </c>
      <c r="O165" s="151">
        <f>O79/O77</f>
        <v>5.4123711340206188E-2</v>
      </c>
      <c r="P165" s="151">
        <f>P79/P77</f>
        <v>4.859335038363171E-2</v>
      </c>
      <c r="Q165" s="151">
        <f>Q79/Q77</f>
        <v>2.5510204081632654E-2</v>
      </c>
      <c r="T165" s="49"/>
      <c r="U165" s="49"/>
      <c r="V165" s="49"/>
      <c r="W165" s="49"/>
      <c r="X165" s="49"/>
      <c r="Y165" s="49"/>
      <c r="Z165" s="49"/>
      <c r="AA165" s="49"/>
      <c r="AC165" s="151">
        <f>AC79/AC77</f>
        <v>2.5445292620865138E-2</v>
      </c>
    </row>
    <row r="166" spans="2:29" x14ac:dyDescent="0.2">
      <c r="B166" s="20" t="s">
        <v>276</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278</v>
      </c>
      <c r="M167" s="151">
        <f>M53/M58</f>
        <v>0.10900473933649289</v>
      </c>
      <c r="N167" s="151">
        <f>N53/N58</f>
        <v>-0.16339869281045752</v>
      </c>
      <c r="O167" s="151">
        <f>O53/O58</f>
        <v>2.774694783573807E-2</v>
      </c>
      <c r="P167" s="151">
        <f>P53/P58</f>
        <v>2.6535253980288095E-2</v>
      </c>
      <c r="Q167" s="151">
        <f>Q53/Q58</f>
        <v>2.1759697256385997E-2</v>
      </c>
      <c r="T167" s="151">
        <f t="shared" ref="T167:Z167" si="141">T53/T58</f>
        <v>2.1333333333333333E-2</v>
      </c>
      <c r="U167" s="151">
        <f t="shared" si="141"/>
        <v>2.1176470588235293E-2</v>
      </c>
      <c r="V167" s="151">
        <f t="shared" si="141"/>
        <v>3.6303630363036306E-2</v>
      </c>
      <c r="W167" s="151">
        <f t="shared" si="141"/>
        <v>4.0247678018575851E-2</v>
      </c>
      <c r="X167" s="151">
        <f t="shared" si="141"/>
        <v>2.75049115913556E-2</v>
      </c>
      <c r="Y167" s="151">
        <f t="shared" si="141"/>
        <v>6.965174129353234E-3</v>
      </c>
      <c r="Z167" s="151">
        <f t="shared" si="141"/>
        <v>2.2193211488250653E-2</v>
      </c>
      <c r="AA167" s="151">
        <f t="shared" ref="AA167" si="142">AA53/AA58</f>
        <v>1.2727272727272728E-2</v>
      </c>
      <c r="AC167" s="151">
        <f>AC53/AC58</f>
        <v>1.5384615384615385E-2</v>
      </c>
    </row>
    <row r="168" spans="2:29" x14ac:dyDescent="0.2">
      <c r="B168" s="20" t="s">
        <v>279</v>
      </c>
      <c r="M168" s="151">
        <f>M53/M5</f>
        <v>4.6018407362945178E-3</v>
      </c>
      <c r="N168" s="151">
        <f>N53/N5</f>
        <v>4.392129304286718E-3</v>
      </c>
      <c r="O168" s="151">
        <f>O53/O5</f>
        <v>3.6427218417601631E-3</v>
      </c>
      <c r="P168" s="151">
        <f>P53/P5</f>
        <v>4.3684473290064906E-3</v>
      </c>
      <c r="Q168" s="151">
        <f>Q53/Q5</f>
        <v>4.4965786901270772E-3</v>
      </c>
      <c r="T168" s="151">
        <f t="shared" ref="T168:AA168" si="143">T53/T5</f>
        <v>3.8572806171648989E-3</v>
      </c>
      <c r="U168" s="151">
        <f t="shared" si="143"/>
        <v>3.8363171355498722E-3</v>
      </c>
      <c r="V168" s="151">
        <f t="shared" si="143"/>
        <v>5.4027504911591355E-3</v>
      </c>
      <c r="W168" s="151">
        <f t="shared" si="143"/>
        <v>4.9279757391963606E-3</v>
      </c>
      <c r="X168" s="151">
        <f t="shared" si="143"/>
        <v>5.2316890881913304E-3</v>
      </c>
      <c r="Y168" s="151">
        <f t="shared" si="143"/>
        <v>2.4305555555555556E-3</v>
      </c>
      <c r="Z168" s="151">
        <f t="shared" si="143"/>
        <v>6.4150943396226413E-3</v>
      </c>
      <c r="AA168" s="151">
        <f t="shared" si="143"/>
        <v>4.2761148442272447E-3</v>
      </c>
      <c r="AC168" s="151">
        <f>AC53/AC5</f>
        <v>4.5296167247386764E-3</v>
      </c>
    </row>
    <row r="169" spans="2:29" x14ac:dyDescent="0.2">
      <c r="B169" s="20" t="s">
        <v>284</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289</v>
      </c>
      <c r="M170" s="151">
        <f>(M105-M106)/M147</f>
        <v>-0.26635637305448956</v>
      </c>
      <c r="N170" s="151">
        <f>(N105-N106)/N147</f>
        <v>-0.56594953970725148</v>
      </c>
      <c r="O170" s="151">
        <f>(O105-O106)/O147</f>
        <v>-0.11596060022623318</v>
      </c>
      <c r="P170" s="151">
        <f>(P105-P106)/P147</f>
        <v>-3.8269748146787443E-2</v>
      </c>
      <c r="Q170" s="151">
        <f>(Q105-Q106)/Q147</f>
        <v>-1.708448332113538E-2</v>
      </c>
      <c r="T170" s="49"/>
      <c r="U170" s="49"/>
      <c r="V170" s="49"/>
      <c r="W170" s="49"/>
      <c r="X170" s="49"/>
      <c r="Y170" s="49"/>
      <c r="Z170" s="49"/>
      <c r="AA170" s="49"/>
      <c r="AC170" s="151">
        <f ca="1">(AC105-AC106)/AC147</f>
        <v>1.7316956353522932E-3</v>
      </c>
    </row>
    <row r="171" spans="2:29" x14ac:dyDescent="0.2">
      <c r="B171" s="20" t="s">
        <v>298</v>
      </c>
      <c r="M171" s="151">
        <f>-M108/M5</f>
        <v>1.680672268907563E-2</v>
      </c>
      <c r="N171" s="151">
        <f>-N108/N5</f>
        <v>1.950105411103303E-2</v>
      </c>
      <c r="O171" s="151">
        <f>-O108/O5</f>
        <v>1.967069794550488E-2</v>
      </c>
      <c r="P171" s="151">
        <f>-P108/P5</f>
        <v>2.2965551672491265E-2</v>
      </c>
      <c r="Q171" s="151">
        <f>-Q108/Q5</f>
        <v>2.2091886608015639E-2</v>
      </c>
      <c r="T171" s="151">
        <f t="shared" ref="T171:AA171" si="146">-T108/T5</f>
        <v>1.8804243008678882E-2</v>
      </c>
      <c r="U171" s="151">
        <f t="shared" si="146"/>
        <v>2.7280477408354646E-2</v>
      </c>
      <c r="V171" s="151">
        <f t="shared" si="146"/>
        <v>1.9155206286836934E-2</v>
      </c>
      <c r="W171" s="151">
        <f t="shared" si="146"/>
        <v>1.7437452615617893E-2</v>
      </c>
      <c r="X171" s="151">
        <f t="shared" si="146"/>
        <v>1.7563527653213753E-2</v>
      </c>
      <c r="Y171" s="151">
        <f t="shared" si="146"/>
        <v>3.2986111111111112E-2</v>
      </c>
      <c r="Z171" s="151">
        <f t="shared" si="146"/>
        <v>4.3018867924528303E-2</v>
      </c>
      <c r="AA171" s="151">
        <f t="shared" si="146"/>
        <v>5.3145998778252899E-2</v>
      </c>
      <c r="AC171" s="151">
        <f>-AC108/AC5</f>
        <v>3.7456445993031356E-2</v>
      </c>
    </row>
    <row r="172" spans="2:29" x14ac:dyDescent="0.2">
      <c r="B172" s="20" t="s">
        <v>299</v>
      </c>
      <c r="M172" s="151">
        <f>-(M108/M58)</f>
        <v>0.3981042654028436</v>
      </c>
      <c r="N172" s="151">
        <f>-(N108/N58)</f>
        <v>-0.72549019607843135</v>
      </c>
      <c r="O172" s="151">
        <f>-(O108/O58)</f>
        <v>0.14983351831298558</v>
      </c>
      <c r="P172" s="151">
        <f>-(P108/P58)</f>
        <v>0.13949962092494314</v>
      </c>
      <c r="Q172" s="151">
        <f>-(Q108/Q58)</f>
        <v>0.10690633869441817</v>
      </c>
      <c r="T172" s="151">
        <f t="shared" ref="T172:Z172" si="147">-(T108/T58)</f>
        <v>0.104</v>
      </c>
      <c r="U172" s="151">
        <f t="shared" si="147"/>
        <v>0.15058823529411763</v>
      </c>
      <c r="V172" s="151">
        <f t="shared" si="147"/>
        <v>0.12871287128712872</v>
      </c>
      <c r="W172" s="151">
        <f t="shared" si="147"/>
        <v>0.14241486068111456</v>
      </c>
      <c r="X172" s="151">
        <f t="shared" si="147"/>
        <v>9.2337917485265222E-2</v>
      </c>
      <c r="Y172" s="151">
        <f t="shared" si="147"/>
        <v>9.4527363184079602E-2</v>
      </c>
      <c r="Z172" s="151">
        <f t="shared" si="147"/>
        <v>0.14882506527415143</v>
      </c>
      <c r="AA172" s="151">
        <f t="shared" ref="AA172" si="148">-(AA108/AA58)</f>
        <v>0.15818181818181817</v>
      </c>
      <c r="AC172" s="151">
        <f>-(AC108/AC58)</f>
        <v>0.12721893491124261</v>
      </c>
    </row>
    <row r="173" spans="2:29" x14ac:dyDescent="0.2">
      <c r="B173" s="20" t="s">
        <v>300</v>
      </c>
      <c r="M173" s="151">
        <f>-M108/M52</f>
        <v>0.36681222707423583</v>
      </c>
      <c r="N173" s="151">
        <f>-N108/N52</f>
        <v>0.36754966887417218</v>
      </c>
      <c r="O173" s="151">
        <f>-O108/O52</f>
        <v>0.49815498154981552</v>
      </c>
      <c r="P173" s="151">
        <f>-P108/P52</f>
        <v>0.66425992779783394</v>
      </c>
      <c r="Q173" s="151">
        <f>-Q108/Q52</f>
        <v>0.73139158576051777</v>
      </c>
      <c r="T173" s="151">
        <f t="shared" ref="T173:Z173" si="149">-T108/T52</f>
        <v>0.56521739130434778</v>
      </c>
      <c r="U173" s="151">
        <f t="shared" si="149"/>
        <v>0.90140845070422537</v>
      </c>
      <c r="V173" s="151">
        <f t="shared" si="149"/>
        <v>0.54166666666666663</v>
      </c>
      <c r="W173" s="151">
        <f t="shared" si="149"/>
        <v>0.6216216216216216</v>
      </c>
      <c r="X173" s="151">
        <f t="shared" si="149"/>
        <v>0.61842105263157898</v>
      </c>
      <c r="Y173" s="151">
        <f t="shared" si="149"/>
        <v>1.0795454545454546</v>
      </c>
      <c r="Z173" s="151">
        <f t="shared" si="149"/>
        <v>1.0555555555555556</v>
      </c>
      <c r="AA173" s="151">
        <f t="shared" ref="AA173" si="150">-AA108/AA52</f>
        <v>1.5130434782608695</v>
      </c>
      <c r="AC173" s="151">
        <f>-AC108/AC52</f>
        <v>1.1111111111111112</v>
      </c>
    </row>
    <row r="174" spans="2:29" x14ac:dyDescent="0.2">
      <c r="B174" s="20" t="s">
        <v>356</v>
      </c>
      <c r="M174" s="221">
        <f>M5/M36</f>
        <v>0.72017291066282418</v>
      </c>
      <c r="N174" s="221">
        <f>N5/N36</f>
        <v>0.80214205186020293</v>
      </c>
      <c r="O174" s="221">
        <f>O5/O36</f>
        <v>0.85798224778097265</v>
      </c>
      <c r="P174" s="221">
        <f>P5/P36</f>
        <v>0.87725829409832479</v>
      </c>
      <c r="Q174" s="221">
        <f>Q5/Q36</f>
        <v>0.83770062233868325</v>
      </c>
      <c r="T174" s="49"/>
      <c r="U174" s="49"/>
      <c r="V174" s="49"/>
      <c r="W174" s="49"/>
      <c r="X174" s="49"/>
      <c r="Y174" s="49"/>
      <c r="Z174" s="49"/>
      <c r="AA174" s="49"/>
      <c r="AC174" s="221">
        <f>AC5/AC36</f>
        <v>0.72196717187598269</v>
      </c>
    </row>
    <row r="175" spans="2:29" x14ac:dyDescent="0.2">
      <c r="B175" s="20" t="s">
        <v>353</v>
      </c>
      <c r="M175" s="222">
        <f>IF(AND(M11&gt;0,M106&gt;0),M106/M11,"N/A")</f>
        <v>11.434615384615384</v>
      </c>
      <c r="N175" s="222">
        <f>IF(AND(N11&gt;0,N106&gt;0),N106/N11,"N/A")</f>
        <v>14.309417040358744</v>
      </c>
      <c r="O175" s="222">
        <f>IF(AND(O11&gt;0,O106&gt;0),O106/O11,"N/A")</f>
        <v>3.3727064220183487</v>
      </c>
      <c r="P175" s="222">
        <f>IF(AND(P11&gt;0,P106&gt;0),P106/P11,"N/A")</f>
        <v>2.1419166057059256</v>
      </c>
      <c r="Q175" s="222">
        <f>IF(AND(Q11&gt;0,Q106&gt;0),Q106/Q11,"N/A")</f>
        <v>1.5918032786885246</v>
      </c>
      <c r="T175" s="49"/>
      <c r="U175" s="49"/>
      <c r="V175" s="49"/>
      <c r="W175" s="49"/>
      <c r="X175" s="49"/>
      <c r="Y175" s="49"/>
      <c r="Z175" s="49"/>
      <c r="AA175" s="49"/>
      <c r="AC175" s="222">
        <f>IF(AND(AC11&gt;0,AC106&gt;0),AC106/AC11,"N/A")</f>
        <v>1.3542146476278212</v>
      </c>
    </row>
    <row r="176" spans="2:29" x14ac:dyDescent="0.2">
      <c r="B176" s="20" t="s">
        <v>354</v>
      </c>
      <c r="M176" s="222">
        <f>IF(AND(M11&gt;0,M106&gt;0),(M106-M105)/M11,"N/A")</f>
        <v>9.7461538461538453</v>
      </c>
      <c r="N176" s="222">
        <f>IF(AND(N11&gt;0,N106&gt;0),(N106-N105)/N11,"N/A")</f>
        <v>13.139013452914797</v>
      </c>
      <c r="O176" s="222">
        <f>IF(AND(O11&gt;0,O106&gt;0),(O106-O105)/O11,"N/A")</f>
        <v>2.4782110091743119</v>
      </c>
      <c r="P176" s="222">
        <f>IF(AND(P11&gt;0,P106&gt;0),(P106-P105)/P11,"N/A")</f>
        <v>1.2435991221653255</v>
      </c>
      <c r="Q176" s="222">
        <f>IF(AND(Q11&gt;0,Q106&gt;0),(Q106-Q105)/Q11,"N/A")</f>
        <v>0.59289617486338797</v>
      </c>
      <c r="T176" s="49"/>
      <c r="U176" s="49"/>
      <c r="V176" s="49"/>
      <c r="W176" s="49"/>
      <c r="X176" s="49"/>
      <c r="Y176" s="49"/>
      <c r="Z176" s="49"/>
      <c r="AA176" s="49"/>
      <c r="AC176" s="222">
        <f>IF(AND(AC11&gt;0,AC106&gt;0),(AC106-AC105)/AC11,"N/A")</f>
        <v>-7.8765545831414097E-2</v>
      </c>
    </row>
    <row r="177" spans="1:31" x14ac:dyDescent="0.2">
      <c r="B177" s="20" t="s">
        <v>355</v>
      </c>
      <c r="M177" s="222">
        <f>M5/(M106+M110-M105)</f>
        <v>1.2646761133603239</v>
      </c>
      <c r="N177" s="222">
        <f>N5/(N106+N110-N105)</f>
        <v>1.3019213174748399</v>
      </c>
      <c r="O177" s="222">
        <f>O5/(O106+O110-O105)</f>
        <v>1.6434386973180077</v>
      </c>
      <c r="P177" s="222">
        <f>P5/(P106+P110-P105)</f>
        <v>1.93807450411224</v>
      </c>
      <c r="Q177" s="222">
        <f>Q5/(Q106+Q110-Q105)</f>
        <v>2.0354158376442499</v>
      </c>
      <c r="T177" s="49"/>
      <c r="U177" s="49"/>
      <c r="V177" s="49"/>
      <c r="W177" s="49"/>
      <c r="X177" s="49"/>
      <c r="Y177" s="49"/>
      <c r="Z177" s="49"/>
      <c r="AA177" s="49"/>
      <c r="AC177" s="222">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365</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398</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6" si="151">SUM(X182:AA182)</f>
        <v>2246</v>
      </c>
    </row>
    <row r="183" spans="1:31" x14ac:dyDescent="0.2">
      <c r="B183" s="20" t="s">
        <v>399</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400</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361</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21"/>
      <c r="D187" s="21"/>
      <c r="E187" s="21"/>
      <c r="F187" s="21"/>
      <c r="G187" s="21"/>
      <c r="H187" s="21"/>
      <c r="I187" s="21"/>
      <c r="J187" s="21"/>
      <c r="K187" s="21"/>
      <c r="L187" s="21"/>
      <c r="M187" s="21"/>
    </row>
    <row r="188" spans="1:31" x14ac:dyDescent="0.2">
      <c r="B188" s="1"/>
    </row>
    <row r="189" spans="1:31" ht="17" thickBot="1" x14ac:dyDescent="0.25">
      <c r="B189" s="14" t="s">
        <v>309</v>
      </c>
      <c r="C189" s="168"/>
      <c r="D189" s="168"/>
      <c r="E189" s="168"/>
      <c r="F189" s="168"/>
      <c r="G189" s="168"/>
      <c r="H189" s="168"/>
      <c r="I189" s="168"/>
      <c r="J189" s="168"/>
      <c r="K189" s="168"/>
      <c r="L189" s="168"/>
      <c r="M189" s="168"/>
      <c r="N189" s="168"/>
      <c r="O189" s="168"/>
      <c r="P189" s="168"/>
      <c r="Q189" s="168"/>
      <c r="T189" s="168"/>
      <c r="U189" s="168"/>
      <c r="V189" s="168"/>
      <c r="W189" s="168"/>
      <c r="X189" s="168"/>
      <c r="Y189" s="168"/>
      <c r="Z189" s="168"/>
      <c r="AA189" s="168"/>
      <c r="AC189" s="168"/>
    </row>
    <row r="190" spans="1:31" x14ac:dyDescent="0.2">
      <c r="B190" s="20" t="str">
        <f>B181</f>
        <v>Americas</v>
      </c>
      <c r="C190" s="81"/>
      <c r="D190" s="81"/>
      <c r="E190" s="81"/>
      <c r="F190" s="81"/>
      <c r="G190" s="81"/>
      <c r="H190" s="81"/>
      <c r="I190" s="81"/>
      <c r="J190" s="81"/>
      <c r="K190" s="81"/>
      <c r="L190" s="81"/>
      <c r="M190" s="81">
        <f t="shared" ref="M190:Q192" si="152">IF(L181=0,
IF(M181=0,0,IF(M181&gt;0,1,-1)),
(M181-L181)/ABS(L181)
)</f>
        <v>1</v>
      </c>
      <c r="N190" s="81">
        <f t="shared" si="152"/>
        <v>0.24782807498856882</v>
      </c>
      <c r="O190" s="81">
        <f t="shared" si="152"/>
        <v>0.40894100403078049</v>
      </c>
      <c r="P190" s="81">
        <f t="shared" si="152"/>
        <v>0.1706111833550065</v>
      </c>
      <c r="Q190" s="81">
        <f t="shared" si="152"/>
        <v>0.41879582315041103</v>
      </c>
      <c r="T190" s="81">
        <f t="shared" ref="T190:AA192" si="153">IF(S181=0,
IF(T181=0,0,IF(T181&gt;0,1,-1)),
(T181-S181)/ABS(S181)
)</f>
        <v>1</v>
      </c>
      <c r="U190" s="81">
        <f t="shared" si="153"/>
        <v>4.7539616346955797E-2</v>
      </c>
      <c r="V190" s="81">
        <f t="shared" si="153"/>
        <v>-5.6528662420382167E-2</v>
      </c>
      <c r="W190" s="81">
        <f t="shared" si="153"/>
        <v>0.35189873417721518</v>
      </c>
      <c r="X190" s="81">
        <f t="shared" si="153"/>
        <v>6.8664169787765295E-2</v>
      </c>
      <c r="Y190" s="81">
        <f t="shared" si="153"/>
        <v>0.10163551401869159</v>
      </c>
      <c r="Z190" s="81">
        <f t="shared" si="153"/>
        <v>-3.8176033934252389E-2</v>
      </c>
      <c r="AA190" s="81">
        <f t="shared" si="153"/>
        <v>0.14167585446527012</v>
      </c>
      <c r="AC190" s="49"/>
    </row>
    <row r="191" spans="1:31" x14ac:dyDescent="0.2">
      <c r="B191" s="20" t="str">
        <f t="shared" ref="B191:B192" si="154">B182</f>
        <v>Asia Pacific</v>
      </c>
      <c r="M191" s="81">
        <f t="shared" si="152"/>
        <v>1</v>
      </c>
      <c r="N191" s="81">
        <f t="shared" si="152"/>
        <v>-4.972032318210068E-3</v>
      </c>
      <c r="O191" s="81">
        <f t="shared" si="152"/>
        <v>-4.5596502186133668E-2</v>
      </c>
      <c r="P191" s="81">
        <f t="shared" si="152"/>
        <v>0.1243455497382199</v>
      </c>
      <c r="Q191" s="81">
        <f t="shared" si="152"/>
        <v>0.17520372526193248</v>
      </c>
      <c r="T191" s="81">
        <f t="shared" si="153"/>
        <v>1</v>
      </c>
      <c r="U191" s="81">
        <f t="shared" si="153"/>
        <v>0.25925925925925924</v>
      </c>
      <c r="V191" s="81">
        <f t="shared" si="153"/>
        <v>-0.17830882352941177</v>
      </c>
      <c r="W191" s="81">
        <f t="shared" si="153"/>
        <v>0.25279642058165547</v>
      </c>
      <c r="X191" s="81">
        <f t="shared" si="153"/>
        <v>-7.1428571428571425E-2</v>
      </c>
      <c r="Y191" s="81">
        <f t="shared" si="153"/>
        <v>-5.3846153846153849E-2</v>
      </c>
      <c r="Z191" s="81">
        <f t="shared" si="153"/>
        <v>4.4715447154471545E-2</v>
      </c>
      <c r="AA191" s="81">
        <f t="shared" si="153"/>
        <v>0.40077821011673154</v>
      </c>
      <c r="AC191" s="49"/>
    </row>
    <row r="192" spans="1:31" x14ac:dyDescent="0.2">
      <c r="B192" s="20" t="str">
        <f t="shared" si="154"/>
        <v>Europe Middle East Africa</v>
      </c>
      <c r="M192" s="81">
        <f t="shared" si="152"/>
        <v>1</v>
      </c>
      <c r="N192" s="81">
        <f t="shared" si="152"/>
        <v>0.13311148086522462</v>
      </c>
      <c r="O192" s="81">
        <f t="shared" si="152"/>
        <v>9.4713656387665199E-2</v>
      </c>
      <c r="P192" s="81">
        <f t="shared" si="152"/>
        <v>0.20254862508383636</v>
      </c>
      <c r="Q192" s="81">
        <f t="shared" si="152"/>
        <v>1.7289459007250419E-2</v>
      </c>
      <c r="T192" s="81">
        <f t="shared" si="153"/>
        <v>1</v>
      </c>
      <c r="U192" s="81">
        <f t="shared" si="153"/>
        <v>0.23476297968397292</v>
      </c>
      <c r="V192" s="81">
        <f t="shared" si="153"/>
        <v>-0.26142595978062155</v>
      </c>
      <c r="W192" s="81">
        <f t="shared" si="153"/>
        <v>0.17821782178217821</v>
      </c>
      <c r="X192" s="81">
        <f t="shared" si="153"/>
        <v>-6.7226890756302518E-2</v>
      </c>
      <c r="Y192" s="81">
        <f t="shared" si="153"/>
        <v>0.13063063063063063</v>
      </c>
      <c r="Z192" s="81">
        <f t="shared" si="153"/>
        <v>-0.3605577689243028</v>
      </c>
      <c r="AA192" s="81">
        <f t="shared" si="153"/>
        <v>0.50778816199376942</v>
      </c>
      <c r="AC192" s="49"/>
    </row>
    <row r="193" spans="1:31" x14ac:dyDescent="0.2">
      <c r="M193" s="81"/>
      <c r="N193" s="81"/>
      <c r="O193" s="81"/>
      <c r="P193" s="81"/>
      <c r="Q193" s="81"/>
      <c r="T193" s="81"/>
      <c r="U193" s="81"/>
      <c r="V193" s="81"/>
      <c r="W193" s="81"/>
      <c r="X193" s="81"/>
      <c r="Y193" s="81"/>
      <c r="Z193" s="81"/>
      <c r="AA193" s="81"/>
      <c r="AC193" s="49"/>
    </row>
    <row r="194" spans="1:31" x14ac:dyDescent="0.2">
      <c r="B194" s="20" t="str">
        <f>B185</f>
        <v>Products</v>
      </c>
      <c r="M194" s="81">
        <f t="shared" ref="M194:Q195" si="155">IF(L185=0,
IF(M185=0,0,IF(M185&gt;0,1,-1)),
(M185-L185)/ABS(L185)
)</f>
        <v>1</v>
      </c>
      <c r="N194" s="81">
        <f t="shared" si="155"/>
        <v>0.18319752739533576</v>
      </c>
      <c r="O194" s="81">
        <f t="shared" si="155"/>
        <v>0.25172168131085254</v>
      </c>
      <c r="P194" s="81">
        <f t="shared" si="155"/>
        <v>0.18478467084044772</v>
      </c>
      <c r="Q194" s="81">
        <f t="shared" si="155"/>
        <v>0.31417133706965572</v>
      </c>
      <c r="T194" s="81">
        <f t="shared" ref="T194:AA195" si="156">IF(S185=0,
IF(T185=0,0,IF(T185&gt;0,1,-1)),
(T185-S185)/ABS(S185)
)</f>
        <v>1</v>
      </c>
      <c r="U194" s="81">
        <f t="shared" si="156"/>
        <v>0.16027227722772278</v>
      </c>
      <c r="V194" s="81">
        <f t="shared" si="156"/>
        <v>-0.14080000000000001</v>
      </c>
      <c r="W194" s="81">
        <f t="shared" si="156"/>
        <v>0.31533209186840472</v>
      </c>
      <c r="X194" s="81">
        <f t="shared" si="156"/>
        <v>2.3124115148655026E-2</v>
      </c>
      <c r="Y194" s="81">
        <f t="shared" si="156"/>
        <v>6.5036900369003683E-2</v>
      </c>
      <c r="Z194" s="81">
        <f t="shared" si="156"/>
        <v>-9.441316587267215E-2</v>
      </c>
      <c r="AA194" s="81">
        <f t="shared" si="156"/>
        <v>0.24629363940698232</v>
      </c>
      <c r="AC194" s="49"/>
    </row>
    <row r="195" spans="1:31" x14ac:dyDescent="0.2">
      <c r="B195" s="20" t="str">
        <f>B186</f>
        <v>Services</v>
      </c>
      <c r="M195" s="81">
        <f t="shared" si="155"/>
        <v>1</v>
      </c>
      <c r="N195" s="81">
        <f t="shared" si="155"/>
        <v>2.9186935371785964E-2</v>
      </c>
      <c r="O195" s="81">
        <f t="shared" si="155"/>
        <v>7.4949358541525998E-2</v>
      </c>
      <c r="P195" s="81">
        <f t="shared" si="155"/>
        <v>0.10992462311557789</v>
      </c>
      <c r="Q195" s="81">
        <f t="shared" si="155"/>
        <v>0.14487832484436899</v>
      </c>
      <c r="T195" s="81">
        <f t="shared" si="156"/>
        <v>1</v>
      </c>
      <c r="U195" s="81">
        <f t="shared" si="156"/>
        <v>3.0567685589519649E-2</v>
      </c>
      <c r="V195" s="81">
        <f t="shared" si="156"/>
        <v>-9.9576271186440676E-2</v>
      </c>
      <c r="W195" s="81">
        <f t="shared" si="156"/>
        <v>0.22117647058823531</v>
      </c>
      <c r="X195" s="81">
        <f t="shared" si="156"/>
        <v>-2.119460500963391E-2</v>
      </c>
      <c r="Y195" s="81">
        <f t="shared" si="156"/>
        <v>0.12401574803149606</v>
      </c>
      <c r="Z195" s="81">
        <f t="shared" si="156"/>
        <v>-2.276707530647986E-2</v>
      </c>
      <c r="AA195" s="81">
        <f t="shared" si="156"/>
        <v>0.1971326164874552</v>
      </c>
      <c r="AC195" s="49"/>
    </row>
    <row r="197" spans="1:31" x14ac:dyDescent="0.2">
      <c r="B197" s="1"/>
    </row>
    <row r="198" spans="1:31" ht="17" thickBot="1" x14ac:dyDescent="0.25">
      <c r="B198" s="14" t="s">
        <v>310</v>
      </c>
      <c r="C198" s="168"/>
      <c r="D198" s="168"/>
      <c r="E198" s="168"/>
      <c r="F198" s="168"/>
      <c r="G198" s="168"/>
      <c r="H198" s="168"/>
      <c r="I198" s="168"/>
      <c r="J198" s="168"/>
      <c r="K198" s="168"/>
      <c r="L198" s="168"/>
      <c r="M198" s="168"/>
      <c r="N198" s="168"/>
      <c r="O198" s="168"/>
      <c r="P198" s="168"/>
      <c r="Q198" s="168"/>
      <c r="T198" s="168"/>
      <c r="U198" s="168"/>
      <c r="V198" s="168"/>
      <c r="W198" s="168"/>
      <c r="X198" s="168"/>
      <c r="Y198" s="168"/>
      <c r="Z198" s="168"/>
      <c r="AA198" s="168"/>
      <c r="AC198" s="168"/>
    </row>
    <row r="199" spans="1:31" x14ac:dyDescent="0.2">
      <c r="B199" s="20" t="s">
        <v>282</v>
      </c>
      <c r="C199" s="81"/>
      <c r="D199" s="81"/>
      <c r="E199" s="81"/>
      <c r="F199" s="81"/>
      <c r="G199" s="81"/>
      <c r="H199" s="81"/>
      <c r="I199" s="81"/>
      <c r="J199" s="81"/>
      <c r="K199" s="81"/>
      <c r="L199" s="81"/>
      <c r="M199" s="81">
        <f>IF(L63=0,
IF(M63=0,0,IF(M63&gt;0,1,-1)),
(M63-L63)/L63
)</f>
        <v>-1</v>
      </c>
      <c r="N199" s="81">
        <f>IF(M63=0,
IF(N63=0,0,IF(N63&gt;0,1,-1)),
(N63-M63)/M63
)</f>
        <v>0</v>
      </c>
      <c r="O199" s="81">
        <f>IF(N63=0,
IF(O63=0,0,IF(O63&gt;0,1,-1)),
(O63-N63)/N63
)</f>
        <v>1.5</v>
      </c>
      <c r="P199" s="81">
        <f>IF(O63=0,
IF(P63=0,0,IF(P63&gt;0,1,-1)),
(P63-O63)/O63
)</f>
        <v>3.2</v>
      </c>
      <c r="Q199" s="81">
        <f>IF(P63=0,
IF(Q63=0,0,IF(Q63&gt;0,1,-1)),
(Q63-P63)/P63
)</f>
        <v>0.59523809523809523</v>
      </c>
      <c r="T199" s="49"/>
      <c r="U199" s="49"/>
      <c r="V199" s="49"/>
      <c r="W199" s="49"/>
      <c r="X199" s="49"/>
      <c r="Y199" s="49"/>
      <c r="Z199" s="49"/>
      <c r="AA199" s="49"/>
      <c r="AC199" s="49"/>
    </row>
    <row r="201" spans="1:31" x14ac:dyDescent="0.2">
      <c r="B201" s="1"/>
    </row>
    <row r="202" spans="1:31" ht="17" thickBot="1" x14ac:dyDescent="0.25">
      <c r="B202" s="14" t="s">
        <v>348</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1:31" x14ac:dyDescent="0.2">
      <c r="B203" s="20" t="s">
        <v>349</v>
      </c>
      <c r="M203" s="143">
        <v>100</v>
      </c>
      <c r="N203" s="143">
        <f>100*(1+((N115-$M115)/ABS($M115)))</f>
        <v>54.705646776131367</v>
      </c>
      <c r="O203" s="143">
        <f t="shared" ref="O203:Q203" si="157">100*(1+((O115-$M115)/ABS($M115)))</f>
        <v>192.35082098518222</v>
      </c>
      <c r="P203" s="143">
        <f t="shared" si="157"/>
        <v>454.98598317981578</v>
      </c>
      <c r="Q203" s="143">
        <f t="shared" si="157"/>
        <v>648.81858229875854</v>
      </c>
      <c r="T203" s="49"/>
      <c r="U203" s="49"/>
      <c r="V203" s="49"/>
      <c r="W203" s="49"/>
      <c r="X203" s="49"/>
      <c r="Y203" s="49"/>
      <c r="Z203" s="49"/>
      <c r="AA203" s="49"/>
      <c r="AC203" s="49"/>
    </row>
    <row r="204" spans="1:31" x14ac:dyDescent="0.2">
      <c r="B204" s="20" t="s">
        <v>350</v>
      </c>
      <c r="M204" s="143">
        <v>100</v>
      </c>
      <c r="N204" s="143">
        <f>100*(1+((N5-$M5)/ABS($M5)))</f>
        <v>113.88555422168866</v>
      </c>
      <c r="O204" s="143">
        <f>100*(1+((O5-$M5)/ABS($M5)))</f>
        <v>137.31492597038817</v>
      </c>
      <c r="P204" s="143">
        <f>100*(1+((P5-$M5)/ABS($M5)))</f>
        <v>160.30412164865945</v>
      </c>
      <c r="Q204" s="143">
        <f>100*(1+((Q5-$M5)/ABS($M5)))</f>
        <v>204.68187274909963</v>
      </c>
      <c r="T204" s="49"/>
      <c r="U204" s="49"/>
      <c r="V204" s="49"/>
      <c r="W204" s="49"/>
      <c r="X204" s="49"/>
      <c r="Y204" s="49"/>
      <c r="Z204" s="49"/>
      <c r="AA204" s="49"/>
      <c r="AC204" s="49"/>
    </row>
    <row r="205" spans="1:31" x14ac:dyDescent="0.2">
      <c r="B205" s="20" t="s">
        <v>351</v>
      </c>
      <c r="M205" s="143">
        <v>100</v>
      </c>
      <c r="N205" s="143">
        <f>100*(1+((N25-$M25)/ABS($M25)))</f>
        <v>-12.12121212121211</v>
      </c>
      <c r="O205" s="143">
        <f t="shared" ref="O205:Q205" si="158">100*(1+((O25-$M25)/ABS($M25)))</f>
        <v>360.60606060606057</v>
      </c>
      <c r="P205" s="143">
        <f t="shared" si="158"/>
        <v>387.87878787878782</v>
      </c>
      <c r="Q205" s="143">
        <f t="shared" si="158"/>
        <v>1033.3333333333335</v>
      </c>
      <c r="T205" s="49"/>
      <c r="U205" s="49"/>
      <c r="V205" s="49"/>
      <c r="W205" s="49"/>
      <c r="X205" s="49"/>
      <c r="Y205" s="49"/>
      <c r="Z205" s="49"/>
      <c r="AA205" s="49"/>
      <c r="AC205" s="49"/>
    </row>
    <row r="207" spans="1:31" x14ac:dyDescent="0.2">
      <c r="B207" s="1"/>
    </row>
    <row r="208" spans="1:31" s="15" customFormat="1" ht="17" thickBot="1" x14ac:dyDescent="0.25">
      <c r="A208" s="11"/>
      <c r="B208" s="14" t="s">
        <v>106</v>
      </c>
      <c r="R208" s="1"/>
      <c r="S208" s="1"/>
      <c r="AB208" s="1"/>
      <c r="AD208" s="1"/>
      <c r="AE208" s="1"/>
    </row>
    <row r="209" spans="2:29" x14ac:dyDescent="0.2">
      <c r="C209" s="62"/>
      <c r="D209" s="62"/>
      <c r="E209" s="62"/>
      <c r="F209" s="62"/>
      <c r="G209" s="62"/>
      <c r="H209" s="62"/>
      <c r="I209" s="62"/>
      <c r="J209" s="62"/>
      <c r="K209" s="62"/>
      <c r="L209" s="62"/>
      <c r="M209" s="62"/>
      <c r="N209" s="62"/>
      <c r="O209" s="62"/>
      <c r="P209" s="62"/>
      <c r="Q209" s="62"/>
      <c r="T209" s="62"/>
      <c r="U209" s="62"/>
      <c r="V209" s="62"/>
      <c r="W209" s="62"/>
      <c r="X209" s="62"/>
      <c r="Y209" s="62"/>
      <c r="Z209" s="62"/>
      <c r="AA209" s="62"/>
      <c r="AC209" s="62"/>
    </row>
    <row r="210" spans="2:29" x14ac:dyDescent="0.2">
      <c r="B210"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272</v>
      </c>
    </row>
    <row r="4" spans="2:7" x14ac:dyDescent="0.2">
      <c r="B4" s="237" t="s">
        <v>231</v>
      </c>
      <c r="C4" s="237"/>
      <c r="E4" s="237" t="s">
        <v>238</v>
      </c>
      <c r="F4" s="237"/>
      <c r="G4" s="237"/>
    </row>
    <row r="5" spans="2:7" x14ac:dyDescent="0.2">
      <c r="B5" s="20" t="s">
        <v>1</v>
      </c>
      <c r="C5" s="169">
        <f ca="1">Overview!C5</f>
        <v>251.26499999999999</v>
      </c>
      <c r="E5" s="12"/>
      <c r="F5" s="132" t="s">
        <v>239</v>
      </c>
      <c r="G5" s="132" t="s">
        <v>240</v>
      </c>
    </row>
    <row r="6" spans="2:7" x14ac:dyDescent="0.2">
      <c r="B6" s="20" t="s">
        <v>237</v>
      </c>
      <c r="C6" s="170">
        <f ca="1">Statement!AC147</f>
        <v>98747.14499999999</v>
      </c>
      <c r="E6" s="20" t="s">
        <v>19</v>
      </c>
      <c r="F6" s="175">
        <f>IF(Statement!M5&lt;=0,"N/A",_xlfn.RRI(4,Statement!M5,Statement!Q5))</f>
        <v>0.19610648624590454</v>
      </c>
      <c r="G6" s="175" t="str">
        <f>IF(Statement!H5&lt;=0,"N/A",_xlfn.RRI(9,Statement!H5,Statement!Q5))</f>
        <v>N/A</v>
      </c>
    </row>
    <row r="7" spans="2:7" x14ac:dyDescent="0.2">
      <c r="B7" s="20" t="s">
        <v>184</v>
      </c>
      <c r="C7" s="170">
        <f ca="1">Statement!AC148</f>
        <v>98576.14499999999</v>
      </c>
      <c r="E7" s="20" t="s">
        <v>28</v>
      </c>
      <c r="F7" s="175">
        <f>IF(OR(Statement!M17&lt;=0, Statement!Q17&lt;=0), "N/A", _xlfn.RRI(4, Statement!M17, Statement!Q17))</f>
        <v>0.82562773878514006</v>
      </c>
      <c r="G7" s="175" t="str">
        <f>IF(OR(Statement!H17&lt;=0, Statement!Q17&lt;=0), "N/A", _xlfn.RRI(9, Statement!H17, Statement!Q17))</f>
        <v>N/A</v>
      </c>
    </row>
    <row r="8" spans="2:7" x14ac:dyDescent="0.2">
      <c r="B8" s="20" t="s">
        <v>235</v>
      </c>
      <c r="C8" s="171">
        <f ca="1">Statement!AC144</f>
        <v>56.847285067873301</v>
      </c>
      <c r="E8" s="20" t="s">
        <v>241</v>
      </c>
      <c r="F8" s="175">
        <f>IF(OR(Statement!M25&lt;=0, Statement!Q25&lt;=0), "N/A", _xlfn.RRI(4, Statement!M25, Statement!Q25))</f>
        <v>0.79291668899152112</v>
      </c>
      <c r="G8" s="175" t="str">
        <f>IF(OR(Statement!H25&lt;=0, Statement!Q25&lt;=0), "N/A", _xlfn.RRI(9, Statement!H25, Statement!Q25))</f>
        <v>N/A</v>
      </c>
    </row>
    <row r="9" spans="2:7" x14ac:dyDescent="0.2">
      <c r="B9" s="20" t="s">
        <v>197</v>
      </c>
      <c r="C9" s="171">
        <f ca="1">Statement!AC145</f>
        <v>8.5797804878048787</v>
      </c>
      <c r="E9" s="20" t="s">
        <v>242</v>
      </c>
      <c r="F9" s="175">
        <f>IF(Statement!M81&lt;=0,"N/A",_xlfn.RRI(4,Statement!M81,Statement!Q81))</f>
        <v>1.0453117446175235</v>
      </c>
      <c r="G9" s="175" t="str">
        <f>IF(Statement!H81&lt;=0,"N/A",_xlfn.RRI(9,Statement!H81,Statement!Q81))</f>
        <v>N/A</v>
      </c>
    </row>
    <row r="10" spans="2:7" x14ac:dyDescent="0.2">
      <c r="B10" s="20" t="s">
        <v>236</v>
      </c>
      <c r="C10" s="171">
        <f ca="1">Statement!AC146</f>
        <v>20.331447036569987</v>
      </c>
      <c r="E10" s="20" t="s">
        <v>1</v>
      </c>
      <c r="F10" s="175">
        <f>IF(Statement!M115&lt;=0,"N/A",_xlfn.RRI(4,Statement!M115,Statement!Q115))</f>
        <v>0.59599240358482874</v>
      </c>
      <c r="G10" s="175" t="str">
        <f>IF(Statement!H115&lt;=0,"N/A",_xlfn.RRI(9,Statement!H115,Statement!Q115))</f>
        <v>N/A</v>
      </c>
    </row>
    <row r="11" spans="2:7" x14ac:dyDescent="0.2">
      <c r="B11" s="20" t="s">
        <v>258</v>
      </c>
      <c r="C11" s="171">
        <f ca="1">Statement!AC149</f>
        <v>8.5867722125435524</v>
      </c>
    </row>
    <row r="12" spans="2:7" x14ac:dyDescent="0.2">
      <c r="B12" s="20" t="s">
        <v>200</v>
      </c>
      <c r="C12" s="171">
        <f ca="1">Statement!AC150</f>
        <v>45.405870566559187</v>
      </c>
    </row>
    <row r="15" spans="2:7" x14ac:dyDescent="0.2">
      <c r="B15" s="237" t="s">
        <v>74</v>
      </c>
      <c r="C15" s="237"/>
      <c r="E15" s="237" t="s">
        <v>244</v>
      </c>
      <c r="F15" s="237"/>
    </row>
    <row r="16" spans="2:7" x14ac:dyDescent="0.2">
      <c r="B16" s="20" t="s">
        <v>75</v>
      </c>
      <c r="C16" s="172">
        <f>Statement!AC99</f>
        <v>0.38040069686411149</v>
      </c>
      <c r="E16" s="20" t="s">
        <v>28</v>
      </c>
      <c r="F16" s="170">
        <f>Statement!AC17</f>
        <v>1733</v>
      </c>
    </row>
    <row r="17" spans="2:6" x14ac:dyDescent="0.2">
      <c r="B17" s="20" t="s">
        <v>76</v>
      </c>
      <c r="C17" s="172">
        <f>Statement!AC100</f>
        <v>0.18911149825783971</v>
      </c>
      <c r="E17" s="20" t="s">
        <v>245</v>
      </c>
      <c r="F17" s="170">
        <f>Statement!AC58</f>
        <v>3380</v>
      </c>
    </row>
    <row r="18" spans="2:6" x14ac:dyDescent="0.2">
      <c r="B18" s="20" t="s">
        <v>77</v>
      </c>
      <c r="C18" s="172">
        <f>Statement!AC101</f>
        <v>0.15095818815331011</v>
      </c>
      <c r="E18" s="20" t="s">
        <v>252</v>
      </c>
      <c r="F18" s="174">
        <f>IF(OR(F16&lt;=0, F17&lt;=0),"N/A",F16-F17)</f>
        <v>-1647</v>
      </c>
    </row>
    <row r="21" spans="2:6" x14ac:dyDescent="0.2">
      <c r="B21" s="237" t="s">
        <v>243</v>
      </c>
      <c r="C21" s="237"/>
      <c r="E21" s="237" t="s">
        <v>247</v>
      </c>
      <c r="F21" s="237"/>
    </row>
    <row r="22" spans="2:6" x14ac:dyDescent="0.2">
      <c r="B22" s="20" t="s">
        <v>96</v>
      </c>
      <c r="C22" s="172">
        <f>Statement!AC119</f>
        <v>0.15095818815331011</v>
      </c>
      <c r="E22" s="20" t="s">
        <v>98</v>
      </c>
      <c r="F22" s="172">
        <f>C24</f>
        <v>0.10898685617256777</v>
      </c>
    </row>
    <row r="23" spans="2:6" x14ac:dyDescent="0.2">
      <c r="B23" s="20" t="s">
        <v>97</v>
      </c>
      <c r="C23" s="171">
        <f>Statement!AC120</f>
        <v>0.72196717187598269</v>
      </c>
      <c r="E23" s="20" t="s">
        <v>100</v>
      </c>
      <c r="F23" s="172">
        <f>C26</f>
        <v>0.36422866750735605</v>
      </c>
    </row>
    <row r="24" spans="2:6" x14ac:dyDescent="0.2">
      <c r="B24" s="32" t="s">
        <v>98</v>
      </c>
      <c r="C24" s="173">
        <f>Statement!AC121</f>
        <v>0.10898685617256777</v>
      </c>
      <c r="E24" s="20" t="s">
        <v>101</v>
      </c>
      <c r="F24" s="172">
        <f>Statement!AC134</f>
        <v>0.38772932950804095</v>
      </c>
    </row>
    <row r="25" spans="2:6" x14ac:dyDescent="0.2">
      <c r="B25" s="20" t="s">
        <v>99</v>
      </c>
      <c r="C25" s="171">
        <f>Statement!AC122</f>
        <v>3.3419503993274486</v>
      </c>
    </row>
    <row r="26" spans="2:6" x14ac:dyDescent="0.2">
      <c r="B26" s="32" t="s">
        <v>100</v>
      </c>
      <c r="C26" s="173">
        <f>Statement!AC123</f>
        <v>0.36422866750735605</v>
      </c>
    </row>
    <row r="29" spans="2:6" x14ac:dyDescent="0.2">
      <c r="B29" s="237" t="s">
        <v>248</v>
      </c>
      <c r="C29" s="237"/>
      <c r="E29" s="237" t="s">
        <v>254</v>
      </c>
      <c r="F29" s="237"/>
    </row>
    <row r="30" spans="2:6" x14ac:dyDescent="0.2">
      <c r="B30" s="20" t="s">
        <v>135</v>
      </c>
      <c r="C30" s="171">
        <f>Statement!AC135</f>
        <v>119.22909407665504</v>
      </c>
      <c r="E30" s="20" t="s">
        <v>255</v>
      </c>
      <c r="F30" s="177">
        <f>Statement!AC139</f>
        <v>0.61790668348045397</v>
      </c>
    </row>
    <row r="31" spans="2:6" x14ac:dyDescent="0.2">
      <c r="B31" s="20" t="s">
        <v>136</v>
      </c>
      <c r="C31" s="171">
        <f>Statement!AC136</f>
        <v>129.46646984394769</v>
      </c>
      <c r="E31" s="20" t="s">
        <v>256</v>
      </c>
      <c r="F31" s="177">
        <f>Statement!AC140</f>
        <v>-3.5939470365699874E-2</v>
      </c>
    </row>
    <row r="32" spans="2:6" x14ac:dyDescent="0.2">
      <c r="B32" s="20" t="s">
        <v>137</v>
      </c>
      <c r="C32" s="171">
        <f>Statement!AC137</f>
        <v>126.90074511457892</v>
      </c>
      <c r="E32" s="20" t="s">
        <v>251</v>
      </c>
      <c r="F32" s="177">
        <f>Statement!AC142</f>
        <v>1.3785724147452714</v>
      </c>
    </row>
    <row r="33" spans="2:6" x14ac:dyDescent="0.2">
      <c r="B33" s="20" t="s">
        <v>138</v>
      </c>
      <c r="C33" s="171">
        <f>Statement!AC138</f>
        <v>121.79481880602383</v>
      </c>
      <c r="E33" s="20" t="s">
        <v>250</v>
      </c>
      <c r="F33" s="177">
        <f>Statement!AC141</f>
        <v>0.94725942289106724</v>
      </c>
    </row>
    <row r="34" spans="2:6" x14ac:dyDescent="0.2">
      <c r="E34" s="20" t="s">
        <v>257</v>
      </c>
      <c r="F34" s="179">
        <f>Statement!AC143</f>
        <v>40.962264150943398</v>
      </c>
    </row>
    <row r="37" spans="2:6" x14ac:dyDescent="0.2">
      <c r="B37" s="237" t="s">
        <v>266</v>
      </c>
      <c r="C37" s="237"/>
      <c r="E37" s="237" t="s">
        <v>269</v>
      </c>
      <c r="F37" s="237"/>
    </row>
    <row r="38" spans="2:6" x14ac:dyDescent="0.2">
      <c r="B38" s="20" t="s">
        <v>264</v>
      </c>
      <c r="C38" s="172">
        <f ca="1">Statement!AC156</f>
        <v>1.7590989592661137E-2</v>
      </c>
      <c r="E38" s="20" t="s">
        <v>268</v>
      </c>
      <c r="F38" s="172">
        <f>Statement!AC162</f>
        <v>2.9675638371290544E-2</v>
      </c>
    </row>
    <row r="39" spans="2:6" x14ac:dyDescent="0.2">
      <c r="B39" s="54" t="s">
        <v>267</v>
      </c>
      <c r="C39" s="212">
        <f ca="1">Statement!AC155</f>
        <v>2.9347683925444127E-2</v>
      </c>
      <c r="E39" s="20" t="s">
        <v>270</v>
      </c>
      <c r="F39" s="172">
        <f>Statement!AC163</f>
        <v>0</v>
      </c>
    </row>
    <row r="40" spans="2:6" x14ac:dyDescent="0.2">
      <c r="B40" s="20" t="s">
        <v>265</v>
      </c>
      <c r="C40" s="172">
        <f ca="1">Statement!AC157</f>
        <v>8.9546892722822526E-4</v>
      </c>
      <c r="E40" s="20" t="s">
        <v>271</v>
      </c>
      <c r="F40" s="172">
        <f>Statement!AC164</f>
        <v>2.9675638371290544E-2</v>
      </c>
    </row>
    <row r="41" spans="2:6" x14ac:dyDescent="0.2">
      <c r="B41" s="20" t="s">
        <v>290</v>
      </c>
      <c r="C41" s="172">
        <f ca="1">Statement!AC158</f>
        <v>0</v>
      </c>
    </row>
    <row r="42" spans="2:6" x14ac:dyDescent="0.2">
      <c r="B42" s="20" t="s">
        <v>292</v>
      </c>
      <c r="C42" s="172">
        <f ca="1">Statement!AC159</f>
        <v>8.7091125520641648E-4</v>
      </c>
    </row>
    <row r="45" spans="2:6" x14ac:dyDescent="0.2">
      <c r="B45" s="237" t="s">
        <v>277</v>
      </c>
      <c r="C45" s="237"/>
      <c r="E45" s="237" t="s">
        <v>283</v>
      </c>
      <c r="F45" s="237"/>
    </row>
    <row r="46" spans="2:6" x14ac:dyDescent="0.2">
      <c r="B46" s="20" t="s">
        <v>275</v>
      </c>
      <c r="C46" s="172">
        <f>Statement!AC165</f>
        <v>2.5445292620865138E-2</v>
      </c>
      <c r="E46" s="20" t="s">
        <v>276</v>
      </c>
      <c r="F46" s="171">
        <f>Statement!AC166</f>
        <v>8.0805194805194809</v>
      </c>
    </row>
    <row r="47" spans="2:6" x14ac:dyDescent="0.2">
      <c r="E47" s="20" t="s">
        <v>284</v>
      </c>
      <c r="F47" s="171">
        <f>Statement!AC169</f>
        <v>0.44415584415584414</v>
      </c>
    </row>
    <row r="48" spans="2:6" x14ac:dyDescent="0.2">
      <c r="E48" s="20" t="s">
        <v>289</v>
      </c>
      <c r="F48" s="172">
        <f ca="1">Statement!AC170</f>
        <v>1.7316956353522932E-3</v>
      </c>
    </row>
    <row r="51" spans="2:6" x14ac:dyDescent="0.2">
      <c r="B51" s="237" t="s">
        <v>280</v>
      </c>
      <c r="C51" s="237"/>
      <c r="E51" s="237" t="s">
        <v>301</v>
      </c>
      <c r="F51" s="237"/>
    </row>
    <row r="52" spans="2:6" x14ac:dyDescent="0.2">
      <c r="B52" s="20" t="s">
        <v>278</v>
      </c>
      <c r="C52" s="172">
        <f>Statement!AC167</f>
        <v>1.5384615384615385E-2</v>
      </c>
      <c r="E52" s="20" t="s">
        <v>302</v>
      </c>
      <c r="F52" s="172">
        <f>Statement!AC171</f>
        <v>3.7456445993031356E-2</v>
      </c>
    </row>
    <row r="53" spans="2:6" x14ac:dyDescent="0.2">
      <c r="B53" s="20" t="s">
        <v>279</v>
      </c>
      <c r="C53" s="172">
        <f>Statement!AC168</f>
        <v>4.5296167247386764E-3</v>
      </c>
      <c r="E53" s="20" t="s">
        <v>299</v>
      </c>
      <c r="F53" s="172">
        <f>Statement!AC172</f>
        <v>0.12721893491124261</v>
      </c>
    </row>
    <row r="54" spans="2:6" x14ac:dyDescent="0.2">
      <c r="E54" s="20" t="s">
        <v>300</v>
      </c>
      <c r="F54" s="172">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91"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231</v>
      </c>
      <c r="C5" s="14"/>
      <c r="D5" s="14"/>
      <c r="E5" s="14"/>
      <c r="F5" s="14"/>
      <c r="G5" s="14"/>
      <c r="I5" s="14"/>
    </row>
    <row r="6" spans="2:9" x14ac:dyDescent="0.2">
      <c r="B6" s="20" t="s">
        <v>1</v>
      </c>
      <c r="C6" s="169">
        <f>Statement!M114</f>
        <v>24.97</v>
      </c>
      <c r="D6" s="169">
        <f>Statement!N114</f>
        <v>13.66</v>
      </c>
      <c r="E6" s="169">
        <f>Statement!O114</f>
        <v>48.03</v>
      </c>
      <c r="F6" s="169">
        <f>Statement!P114</f>
        <v>113.61</v>
      </c>
      <c r="G6" s="169">
        <f>Statement!Q114</f>
        <v>162.01</v>
      </c>
      <c r="I6" s="169">
        <f ca="1">Statement!AC114</f>
        <v>251.26499999999999</v>
      </c>
    </row>
    <row r="7" spans="2:9" x14ac:dyDescent="0.2">
      <c r="B7" s="20" t="s">
        <v>237</v>
      </c>
      <c r="C7" s="170">
        <f>Statement!M147</f>
        <v>9513.57</v>
      </c>
      <c r="D7" s="170">
        <f>Statement!N147</f>
        <v>5177.1400000000003</v>
      </c>
      <c r="E7" s="170">
        <f>Statement!O147</f>
        <v>18635.64</v>
      </c>
      <c r="F7" s="170">
        <f>Statement!P147</f>
        <v>44421.51</v>
      </c>
      <c r="G7" s="170">
        <f>Statement!Q147</f>
        <v>63507.92</v>
      </c>
      <c r="I7" s="170">
        <f ca="1">Statement!AC147</f>
        <v>98747.14499999999</v>
      </c>
    </row>
    <row r="8" spans="2:9" x14ac:dyDescent="0.2">
      <c r="B8" s="20" t="s">
        <v>184</v>
      </c>
      <c r="C8" s="170">
        <f>Statement!M148</f>
        <v>12047.57</v>
      </c>
      <c r="D8" s="170">
        <f>Statement!N148</f>
        <v>8107.1399999999994</v>
      </c>
      <c r="E8" s="170">
        <f>Statement!O148</f>
        <v>20796.64</v>
      </c>
      <c r="F8" s="170">
        <f>Statement!P148</f>
        <v>46121.51</v>
      </c>
      <c r="G8" s="170">
        <f>Statement!Q148</f>
        <v>64592.92</v>
      </c>
      <c r="I8" s="170">
        <f ca="1">Statement!AC148</f>
        <v>98576.14499999999</v>
      </c>
    </row>
    <row r="9" spans="2:9" x14ac:dyDescent="0.2">
      <c r="B9" s="20" t="s">
        <v>235</v>
      </c>
      <c r="C9" s="171">
        <f>Statement!M144</f>
        <v>75.666666666666657</v>
      </c>
      <c r="D9" s="171">
        <f>Statement!N144</f>
        <v>-341.5</v>
      </c>
      <c r="E9" s="171">
        <f>Statement!O144</f>
        <v>40.361344537815128</v>
      </c>
      <c r="F9" s="171">
        <f>Statement!P144</f>
        <v>88.7578125</v>
      </c>
      <c r="G9" s="171">
        <f>Statement!Q144</f>
        <v>47.510263929618766</v>
      </c>
      <c r="I9" s="171">
        <f ca="1">Statement!AC144</f>
        <v>56.847285067873301</v>
      </c>
    </row>
    <row r="10" spans="2:9" x14ac:dyDescent="0.2">
      <c r="B10" s="20" t="s">
        <v>197</v>
      </c>
      <c r="C10" s="171">
        <f>Statement!M145</f>
        <v>1.7985594237695077</v>
      </c>
      <c r="D10" s="171">
        <f>Statement!N145</f>
        <v>0.90714687280393536</v>
      </c>
      <c r="E10" s="171">
        <f>Statement!O145</f>
        <v>2.7013813201223953</v>
      </c>
      <c r="F10" s="171">
        <f>Statement!P145</f>
        <v>5.4734722915626559</v>
      </c>
      <c r="G10" s="171">
        <f>Statement!Q145</f>
        <v>6.1921710654936462</v>
      </c>
      <c r="I10" s="171">
        <f ca="1">Statement!AC145</f>
        <v>8.5797804878048787</v>
      </c>
    </row>
    <row r="11" spans="2:9" x14ac:dyDescent="0.2">
      <c r="B11" s="20" t="s">
        <v>236</v>
      </c>
      <c r="C11" s="171">
        <f>Statement!M146</f>
        <v>6.6211001410437227</v>
      </c>
      <c r="D11" s="171">
        <f>Statement!N146</f>
        <v>3.5807766990291263</v>
      </c>
      <c r="E11" s="171">
        <f>Statement!O146</f>
        <v>9.1054392059553351</v>
      </c>
      <c r="F11" s="171">
        <f>Statement!P146</f>
        <v>17.783652423993427</v>
      </c>
      <c r="G11" s="171">
        <f>Statement!Q146</f>
        <v>15.744691702613549</v>
      </c>
      <c r="I11" s="171">
        <f ca="1">Statement!AC146</f>
        <v>20.331447036569987</v>
      </c>
    </row>
    <row r="12" spans="2:9" x14ac:dyDescent="0.2">
      <c r="B12" s="20" t="s">
        <v>258</v>
      </c>
      <c r="C12" s="171">
        <f>Statement!M149</f>
        <v>2.4104781912765105</v>
      </c>
      <c r="D12" s="171">
        <f>Statement!N149</f>
        <v>1.424304286718201</v>
      </c>
      <c r="E12" s="171">
        <f>Statement!O149</f>
        <v>3.0302549905289231</v>
      </c>
      <c r="F12" s="171">
        <f>Statement!P149</f>
        <v>5.756553919121318</v>
      </c>
      <c r="G12" s="171">
        <f>Statement!Q149</f>
        <v>6.3140684261974585</v>
      </c>
      <c r="I12" s="171">
        <f ca="1">Statement!AC149</f>
        <v>8.5867722125435524</v>
      </c>
    </row>
    <row r="13" spans="2:9" x14ac:dyDescent="0.2">
      <c r="B13" s="20" t="s">
        <v>200</v>
      </c>
      <c r="C13" s="171">
        <f>Statement!M150</f>
        <v>46.336807692307694</v>
      </c>
      <c r="D13" s="171">
        <f>Statement!N150</f>
        <v>36.354887892376681</v>
      </c>
      <c r="E13" s="171">
        <f>Statement!O150</f>
        <v>23.849357798165137</v>
      </c>
      <c r="F13" s="171">
        <f>Statement!P150</f>
        <v>33.73921726408193</v>
      </c>
      <c r="G13" s="171">
        <f>Statement!Q150</f>
        <v>35.296677595628417</v>
      </c>
      <c r="I13" s="171">
        <f ca="1">Statement!AC150</f>
        <v>45.405870566559187</v>
      </c>
    </row>
    <row r="15" spans="2:9" ht="17" thickBot="1" x14ac:dyDescent="0.25">
      <c r="B15" s="14" t="s">
        <v>74</v>
      </c>
      <c r="C15" s="14"/>
      <c r="D15" s="14"/>
      <c r="E15" s="14"/>
      <c r="F15" s="14"/>
      <c r="G15" s="14"/>
      <c r="I15" s="14"/>
    </row>
    <row r="16" spans="2:9" x14ac:dyDescent="0.2">
      <c r="B16" s="20" t="s">
        <v>75</v>
      </c>
      <c r="C16" s="172">
        <f>Statement!M99</f>
        <v>0.30472188875550221</v>
      </c>
      <c r="D16" s="172">
        <f>Statement!N99</f>
        <v>0.28408292340126495</v>
      </c>
      <c r="E16" s="172">
        <f>Statement!O99</f>
        <v>0.34970129680897566</v>
      </c>
      <c r="F16" s="172">
        <f>Statement!P99</f>
        <v>0.36620069895157265</v>
      </c>
      <c r="G16" s="172">
        <f>Statement!Q99</f>
        <v>0.36314760508308896</v>
      </c>
      <c r="I16" s="172">
        <f>Statement!AC99</f>
        <v>0.38040069686411149</v>
      </c>
    </row>
    <row r="17" spans="2:9" x14ac:dyDescent="0.2">
      <c r="B17" s="20" t="s">
        <v>76</v>
      </c>
      <c r="C17" s="172">
        <f>Statement!M100</f>
        <v>5.202080832332933E-2</v>
      </c>
      <c r="D17" s="172">
        <f>Statement!N100</f>
        <v>3.9177793394237527E-2</v>
      </c>
      <c r="E17" s="172">
        <f>Statement!O100</f>
        <v>0.1270581378405945</v>
      </c>
      <c r="F17" s="172">
        <f>Statement!P100</f>
        <v>0.17061907139291063</v>
      </c>
      <c r="G17" s="172">
        <f>Statement!Q100</f>
        <v>0.17888563049853373</v>
      </c>
      <c r="I17" s="172">
        <f>Statement!AC100</f>
        <v>0.18911149825783971</v>
      </c>
    </row>
    <row r="18" spans="2:9" x14ac:dyDescent="0.2">
      <c r="B18" s="20" t="s">
        <v>77</v>
      </c>
      <c r="C18" s="172">
        <f>Statement!M101</f>
        <v>2.4009603841536616E-2</v>
      </c>
      <c r="D18" s="172">
        <f>Statement!N101</f>
        <v>1.3527758257203091E-2</v>
      </c>
      <c r="E18" s="172">
        <f>Statement!O101</f>
        <v>6.7026081888387004E-2</v>
      </c>
      <c r="F18" s="172">
        <f>Statement!P101</f>
        <v>6.1907139291063402E-2</v>
      </c>
      <c r="G18" s="172">
        <f>Statement!Q101</f>
        <v>0.13030303030303031</v>
      </c>
      <c r="I18" s="172">
        <f>Statement!AC101</f>
        <v>0.15095818815331011</v>
      </c>
    </row>
    <row r="20" spans="2:9" ht="17" thickBot="1" x14ac:dyDescent="0.25">
      <c r="B20" s="14" t="s">
        <v>244</v>
      </c>
      <c r="C20" s="14"/>
      <c r="D20" s="14"/>
      <c r="E20" s="14"/>
      <c r="F20" s="14"/>
      <c r="G20" s="14"/>
      <c r="I20" s="14"/>
    </row>
    <row r="21" spans="2:9" x14ac:dyDescent="0.2">
      <c r="B21" s="20" t="s">
        <v>28</v>
      </c>
      <c r="C21" s="174">
        <f>Statement!M17</f>
        <v>120</v>
      </c>
      <c r="D21" s="174">
        <f>Statement!N17</f>
        <v>77</v>
      </c>
      <c r="E21" s="174">
        <f>Statement!O17</f>
        <v>460</v>
      </c>
      <c r="F21" s="174">
        <f>Statement!P17</f>
        <v>496</v>
      </c>
      <c r="G21" s="174">
        <f>Statement!Q17</f>
        <v>1333</v>
      </c>
      <c r="I21" s="174">
        <f>Statement!AC17</f>
        <v>1733</v>
      </c>
    </row>
    <row r="22" spans="2:9" x14ac:dyDescent="0.2">
      <c r="B22" s="20" t="s">
        <v>245</v>
      </c>
      <c r="C22" s="174">
        <f>Statement!M58</f>
        <v>211</v>
      </c>
      <c r="D22" s="174">
        <f>Statement!N58</f>
        <v>-153</v>
      </c>
      <c r="E22" s="174">
        <f>Statement!O58</f>
        <v>901</v>
      </c>
      <c r="F22" s="174">
        <f>Statement!P58</f>
        <v>1319</v>
      </c>
      <c r="G22" s="174">
        <f>Statement!Q58</f>
        <v>2114</v>
      </c>
      <c r="I22" s="174">
        <f>Statement!AC58</f>
        <v>3380</v>
      </c>
    </row>
    <row r="23" spans="2:9" x14ac:dyDescent="0.2">
      <c r="B23" s="20" t="s">
        <v>252</v>
      </c>
      <c r="C23" s="192">
        <f>IF(OR(C21&lt;=0, C22&lt;=0),"N/A",C21-C22)</f>
        <v>-91</v>
      </c>
      <c r="D23" s="192" t="str">
        <f t="shared" ref="D23:I23" si="0">IF(OR(D21&lt;=0, D22&lt;=0),"N/A",D21-D22)</f>
        <v>N/A</v>
      </c>
      <c r="E23" s="192">
        <f t="shared" si="0"/>
        <v>-441</v>
      </c>
      <c r="F23" s="192">
        <f t="shared" si="0"/>
        <v>-823</v>
      </c>
      <c r="G23" s="192">
        <f t="shared" si="0"/>
        <v>-781</v>
      </c>
      <c r="I23" s="192">
        <f t="shared" si="0"/>
        <v>-1647</v>
      </c>
    </row>
    <row r="25" spans="2:9" ht="17" thickBot="1" x14ac:dyDescent="0.25">
      <c r="B25" s="14" t="s">
        <v>243</v>
      </c>
      <c r="C25" s="14"/>
      <c r="D25" s="14"/>
      <c r="E25" s="14"/>
      <c r="F25" s="14"/>
      <c r="G25" s="14"/>
      <c r="I25" s="14"/>
    </row>
    <row r="26" spans="2:9" x14ac:dyDescent="0.2">
      <c r="B26" s="20" t="s">
        <v>96</v>
      </c>
      <c r="C26" s="172">
        <f>Statement!M119</f>
        <v>2.4009603841536616E-2</v>
      </c>
      <c r="D26" s="172">
        <f>Statement!N119</f>
        <v>1.3527758257203091E-2</v>
      </c>
      <c r="E26" s="172">
        <f>Statement!O119</f>
        <v>6.7026081888387004E-2</v>
      </c>
      <c r="F26" s="172">
        <f>Statement!P119</f>
        <v>6.1907139291063402E-2</v>
      </c>
      <c r="G26" s="172">
        <f>Statement!Q119</f>
        <v>0.13030303030303031</v>
      </c>
      <c r="I26" s="172">
        <f>Statement!AC119</f>
        <v>0.15095818815331011</v>
      </c>
    </row>
    <row r="27" spans="2:9" x14ac:dyDescent="0.2">
      <c r="B27" s="20" t="s">
        <v>97</v>
      </c>
      <c r="C27" s="211">
        <f>Statement!M120</f>
        <v>0.72017291066282418</v>
      </c>
      <c r="D27" s="211">
        <f>Statement!N120</f>
        <v>0.80214205186020293</v>
      </c>
      <c r="E27" s="211">
        <f>Statement!O120</f>
        <v>0.85798224778097265</v>
      </c>
      <c r="F27" s="211">
        <f>Statement!P120</f>
        <v>0.87725829409832479</v>
      </c>
      <c r="G27" s="211">
        <f>Statement!Q120</f>
        <v>0.83770062233868325</v>
      </c>
      <c r="I27" s="211">
        <f>Statement!AC120</f>
        <v>0.72196717187598269</v>
      </c>
    </row>
    <row r="28" spans="2:9" x14ac:dyDescent="0.2">
      <c r="B28" s="32" t="s">
        <v>98</v>
      </c>
      <c r="C28" s="173">
        <f>Statement!M121</f>
        <v>1.7291066282420751E-2</v>
      </c>
      <c r="D28" s="173">
        <f>Statement!N121</f>
        <v>1.085118376550169E-2</v>
      </c>
      <c r="E28" s="173">
        <f>Statement!O121</f>
        <v>5.7507188398549819E-2</v>
      </c>
      <c r="F28" s="173">
        <f>Statement!P121</f>
        <v>5.4308551406985657E-2</v>
      </c>
      <c r="G28" s="173">
        <f>Statement!Q121</f>
        <v>0.1091549295774648</v>
      </c>
      <c r="I28" s="173">
        <f>Statement!AC121</f>
        <v>0.10898685617256777</v>
      </c>
    </row>
    <row r="29" spans="2:9" x14ac:dyDescent="0.2">
      <c r="B29" s="20" t="s">
        <v>99</v>
      </c>
      <c r="C29" s="211">
        <f>Statement!M122</f>
        <v>4.8942172073342736</v>
      </c>
      <c r="D29" s="211">
        <f>Statement!N122</f>
        <v>4.9209431345353671</v>
      </c>
      <c r="E29" s="211">
        <f>Statement!O122</f>
        <v>3.9697270471464021</v>
      </c>
      <c r="F29" s="211">
        <f>Statement!P122</f>
        <v>3.7522596548890714</v>
      </c>
      <c r="G29" s="211">
        <f>Statement!Q122</f>
        <v>3.0987059122050242</v>
      </c>
      <c r="I29" s="211">
        <f>Statement!AC122</f>
        <v>3.3419503993274486</v>
      </c>
    </row>
    <row r="30" spans="2:9" x14ac:dyDescent="0.2">
      <c r="B30" s="32" t="s">
        <v>100</v>
      </c>
      <c r="C30" s="173">
        <f>Statement!M123</f>
        <v>8.4626234132581107E-2</v>
      </c>
      <c r="D30" s="173">
        <f>Statement!N123</f>
        <v>5.3398058252427175E-2</v>
      </c>
      <c r="E30" s="173">
        <f>Statement!O123</f>
        <v>0.22828784119106701</v>
      </c>
      <c r="F30" s="173">
        <f>Statement!P123</f>
        <v>0.2037797863599014</v>
      </c>
      <c r="G30" s="173">
        <f>Statement!Q123</f>
        <v>0.33823902562801322</v>
      </c>
      <c r="I30" s="173">
        <f>Statement!AC123</f>
        <v>0.36422866750735605</v>
      </c>
    </row>
    <row r="32" spans="2:9" ht="17" thickBot="1" x14ac:dyDescent="0.25">
      <c r="B32" s="14" t="s">
        <v>303</v>
      </c>
      <c r="C32" s="14"/>
      <c r="D32" s="14"/>
      <c r="E32" s="14"/>
      <c r="F32" s="14"/>
      <c r="G32" s="14"/>
      <c r="I32" s="14"/>
    </row>
    <row r="33" spans="2:9" x14ac:dyDescent="0.2">
      <c r="B33" s="20" t="s">
        <v>98</v>
      </c>
      <c r="C33" s="172">
        <f>C28</f>
        <v>1.7291066282420751E-2</v>
      </c>
      <c r="D33" s="172">
        <f t="shared" ref="D33:G33" si="1">D28</f>
        <v>1.085118376550169E-2</v>
      </c>
      <c r="E33" s="172">
        <f t="shared" si="1"/>
        <v>5.7507188398549819E-2</v>
      </c>
      <c r="F33" s="172">
        <f t="shared" si="1"/>
        <v>5.4308551406985657E-2</v>
      </c>
      <c r="G33" s="172">
        <f t="shared" si="1"/>
        <v>0.1091549295774648</v>
      </c>
      <c r="I33" s="172">
        <f>I28</f>
        <v>0.10898685617256777</v>
      </c>
    </row>
    <row r="34" spans="2:9" x14ac:dyDescent="0.2">
      <c r="B34" s="20" t="s">
        <v>100</v>
      </c>
      <c r="C34" s="172">
        <f>C30</f>
        <v>8.4626234132581107E-2</v>
      </c>
      <c r="D34" s="172">
        <f t="shared" ref="D34:G34" si="2">D30</f>
        <v>5.3398058252427175E-2</v>
      </c>
      <c r="E34" s="172">
        <f t="shared" si="2"/>
        <v>0.22828784119106701</v>
      </c>
      <c r="F34" s="172">
        <f t="shared" si="2"/>
        <v>0.2037797863599014</v>
      </c>
      <c r="G34" s="172">
        <f t="shared" si="2"/>
        <v>0.33823902562801322</v>
      </c>
      <c r="I34" s="172">
        <f>I30</f>
        <v>0.36422866750735605</v>
      </c>
    </row>
    <row r="35" spans="2:9" x14ac:dyDescent="0.2">
      <c r="B35" s="20" t="s">
        <v>101</v>
      </c>
      <c r="C35" s="172">
        <f>Statement!M134</f>
        <v>4.7162333544705136E-2</v>
      </c>
      <c r="D35" s="172">
        <f>Statement!N134</f>
        <v>2.3517922982945361E-2</v>
      </c>
      <c r="E35" s="172">
        <f>Statement!O134</f>
        <v>0.17982144012421558</v>
      </c>
      <c r="F35" s="172">
        <f>Statement!P134</f>
        <v>0.21396454082358629</v>
      </c>
      <c r="G35" s="172">
        <f>Statement!Q134</f>
        <v>0.27861891984870407</v>
      </c>
      <c r="I35" s="172">
        <f>Statement!AC134</f>
        <v>0.38772932950804095</v>
      </c>
    </row>
    <row r="37" spans="2:9" ht="17" thickBot="1" x14ac:dyDescent="0.25">
      <c r="B37" s="14" t="s">
        <v>248</v>
      </c>
      <c r="C37" s="14"/>
      <c r="D37" s="14"/>
      <c r="E37" s="14"/>
      <c r="F37" s="14"/>
      <c r="G37" s="14"/>
      <c r="I37" s="14"/>
    </row>
    <row r="38" spans="2:9" x14ac:dyDescent="0.2">
      <c r="B38" s="20" t="s">
        <v>135</v>
      </c>
      <c r="C38" s="171">
        <f>Statement!M135</f>
        <v>112.17286914765906</v>
      </c>
      <c r="D38" s="171">
        <f>Statement!N135</f>
        <v>121.13229093464511</v>
      </c>
      <c r="E38" s="171">
        <f>Statement!O135</f>
        <v>116.20646947399096</v>
      </c>
      <c r="F38" s="171">
        <f>Statement!P135</f>
        <v>107.65039940089865</v>
      </c>
      <c r="G38" s="171">
        <f>Statement!Q135</f>
        <v>110.92717497556207</v>
      </c>
      <c r="I38" s="171">
        <f>Statement!AC135</f>
        <v>119.22909407665504</v>
      </c>
    </row>
    <row r="39" spans="2:9" x14ac:dyDescent="0.2">
      <c r="B39" s="20" t="s">
        <v>136</v>
      </c>
      <c r="C39" s="171">
        <f>Statement!M136</f>
        <v>64.702158273381301</v>
      </c>
      <c r="D39" s="171">
        <f>Statement!N136</f>
        <v>73.626993865030684</v>
      </c>
      <c r="E39" s="171">
        <f>Statement!O136</f>
        <v>72.296661438494283</v>
      </c>
      <c r="F39" s="171">
        <f>Statement!P136</f>
        <v>89.417093343836157</v>
      </c>
      <c r="G39" s="171">
        <f>Statement!Q136</f>
        <v>81.627782041442828</v>
      </c>
      <c r="I39" s="171">
        <f>Statement!AC136</f>
        <v>129.46646984394769</v>
      </c>
    </row>
    <row r="40" spans="2:9" x14ac:dyDescent="0.2">
      <c r="B40" s="20" t="s">
        <v>137</v>
      </c>
      <c r="C40" s="171">
        <f>Statement!M137</f>
        <v>90.225899280575547</v>
      </c>
      <c r="D40" s="171">
        <f>Statement!N137</f>
        <v>88.137423312883428</v>
      </c>
      <c r="E40" s="171">
        <f>Statement!O137</f>
        <v>80.638583912166709</v>
      </c>
      <c r="F40" s="171">
        <f>Statement!P137</f>
        <v>94.592359196534076</v>
      </c>
      <c r="G40" s="171">
        <f>Statement!Q137</f>
        <v>98.379125095932466</v>
      </c>
      <c r="I40" s="171">
        <f>Statement!AC137</f>
        <v>126.90074511457892</v>
      </c>
    </row>
    <row r="41" spans="2:9" x14ac:dyDescent="0.2">
      <c r="B41" s="20" t="s">
        <v>138</v>
      </c>
      <c r="C41" s="171">
        <f>Statement!M138</f>
        <v>86.649128140464811</v>
      </c>
      <c r="D41" s="171">
        <f>Statement!N138</f>
        <v>106.62186148679238</v>
      </c>
      <c r="E41" s="171">
        <f>Statement!O138</f>
        <v>107.86454700031852</v>
      </c>
      <c r="F41" s="171">
        <f>Statement!P138</f>
        <v>102.47513354820073</v>
      </c>
      <c r="G41" s="171">
        <f>Statement!Q138</f>
        <v>94.175831921072415</v>
      </c>
      <c r="I41" s="171">
        <f>Statement!AC138</f>
        <v>121.79481880602383</v>
      </c>
    </row>
    <row r="43" spans="2:9" ht="17" thickBot="1" x14ac:dyDescent="0.25">
      <c r="B43" s="14" t="s">
        <v>254</v>
      </c>
      <c r="C43" s="14"/>
      <c r="D43" s="14"/>
      <c r="E43" s="14"/>
      <c r="F43" s="14"/>
      <c r="G43" s="14"/>
      <c r="I43" s="14"/>
    </row>
    <row r="44" spans="2:9" x14ac:dyDescent="0.2">
      <c r="B44" s="20" t="s">
        <v>255</v>
      </c>
      <c r="C44" s="177">
        <f>Statement!M139</f>
        <v>2.0966149506346969</v>
      </c>
      <c r="D44" s="177">
        <f>Statement!N139</f>
        <v>2.2128987517337033</v>
      </c>
      <c r="E44" s="177">
        <f>Statement!O139</f>
        <v>1.4595533498759306</v>
      </c>
      <c r="F44" s="177">
        <f>Statement!P139</f>
        <v>1.2029580936729662</v>
      </c>
      <c r="G44" s="177">
        <f>Statement!Q139</f>
        <v>0.7391524993656432</v>
      </c>
      <c r="I44" s="177">
        <f>Statement!AC139</f>
        <v>0.61790668348045397</v>
      </c>
    </row>
    <row r="45" spans="2:9" x14ac:dyDescent="0.2">
      <c r="B45" s="20" t="s">
        <v>256</v>
      </c>
      <c r="C45" s="177">
        <f>Statement!M140</f>
        <v>1.7870239774330043</v>
      </c>
      <c r="D45" s="177">
        <f>Statement!N140</f>
        <v>2.0319001386962552</v>
      </c>
      <c r="E45" s="177">
        <f>Statement!O140</f>
        <v>1.0724565756823821</v>
      </c>
      <c r="F45" s="177">
        <f>Statement!P140</f>
        <v>0.69843878389482339</v>
      </c>
      <c r="G45" s="177">
        <f>Statement!Q140</f>
        <v>0.27531083481349911</v>
      </c>
      <c r="I45" s="177">
        <f>Statement!AC140</f>
        <v>-3.5939470365699874E-2</v>
      </c>
    </row>
    <row r="46" spans="2:9" x14ac:dyDescent="0.2">
      <c r="B46" s="20" t="s">
        <v>250</v>
      </c>
      <c r="C46" s="177">
        <f>Statement!M141</f>
        <v>1.0646900269541779</v>
      </c>
      <c r="D46" s="177">
        <f>Statement!N141</f>
        <v>1.1327713382507902</v>
      </c>
      <c r="E46" s="177">
        <f>Statement!O141</f>
        <v>1.2863340563991323</v>
      </c>
      <c r="F46" s="177">
        <f>Statement!P141</f>
        <v>1.1595092024539877</v>
      </c>
      <c r="G46" s="177">
        <f>Statement!Q141</f>
        <v>1.1202632176083505</v>
      </c>
      <c r="I46" s="177">
        <f>Statement!AC141</f>
        <v>0.94725942289106724</v>
      </c>
    </row>
    <row r="47" spans="2:9" x14ac:dyDescent="0.2">
      <c r="B47" s="20" t="s">
        <v>251</v>
      </c>
      <c r="C47" s="177">
        <f>Statement!M142</f>
        <v>1.4549865229110512</v>
      </c>
      <c r="D47" s="177">
        <f>Statement!N142</f>
        <v>1.6643835616438356</v>
      </c>
      <c r="E47" s="177">
        <f>Statement!O142</f>
        <v>1.7362255965292841</v>
      </c>
      <c r="F47" s="177">
        <f>Statement!P142</f>
        <v>1.6474007103648691</v>
      </c>
      <c r="G47" s="177">
        <f>Statement!Q142</f>
        <v>1.5475380077149989</v>
      </c>
      <c r="I47" s="177">
        <f>Statement!AC142</f>
        <v>1.3785724147452714</v>
      </c>
    </row>
    <row r="48" spans="2:9" x14ac:dyDescent="0.2">
      <c r="B48" s="20" t="s">
        <v>257</v>
      </c>
      <c r="C48" s="179">
        <f>Statement!M143</f>
        <v>2.8571428571428572</v>
      </c>
      <c r="D48" s="179">
        <f>Statement!N143</f>
        <v>1.5170068027210883</v>
      </c>
      <c r="E48" s="179">
        <f>Statement!O143</f>
        <v>4.8444444444444441</v>
      </c>
      <c r="F48" s="179">
        <f>Statement!P143</f>
        <v>9.1133333333333333</v>
      </c>
      <c r="G48" s="179">
        <f>Statement!Q143</f>
        <v>21.279069767441861</v>
      </c>
      <c r="I48" s="179">
        <f>Statement!AC143</f>
        <v>40.962264150943398</v>
      </c>
    </row>
    <row r="50" spans="2:9" ht="17" thickBot="1" x14ac:dyDescent="0.25">
      <c r="B50" s="14" t="s">
        <v>266</v>
      </c>
      <c r="C50" s="14"/>
      <c r="D50" s="14"/>
      <c r="E50" s="14"/>
      <c r="F50" s="14"/>
      <c r="G50" s="14"/>
      <c r="I50" s="14"/>
    </row>
    <row r="51" spans="2:9" x14ac:dyDescent="0.2">
      <c r="B51" s="20" t="s">
        <v>264</v>
      </c>
      <c r="C51" s="172">
        <f>Statement!M156</f>
        <v>1.3215859030837005E-2</v>
      </c>
      <c r="D51" s="172">
        <f>Statement!N156</f>
        <v>-2.9282576866764276E-3</v>
      </c>
      <c r="E51" s="172">
        <f>Statement!O156</f>
        <v>2.4776181553195917E-2</v>
      </c>
      <c r="F51" s="172">
        <f>Statement!P156</f>
        <v>1.1266613854414225E-2</v>
      </c>
      <c r="G51" s="172">
        <f>Statement!Q156</f>
        <v>2.1048083451638791E-2</v>
      </c>
      <c r="I51" s="172">
        <f ca="1">Statement!AC156</f>
        <v>1.7590989592661137E-2</v>
      </c>
    </row>
    <row r="52" spans="2:9" x14ac:dyDescent="0.2">
      <c r="B52" s="20" t="s">
        <v>267</v>
      </c>
      <c r="C52" s="172">
        <f>Statement!M155</f>
        <v>1.0931753274533114E-2</v>
      </c>
      <c r="D52" s="172">
        <f>Statement!N155</f>
        <v>-5.5822326612763026E-2</v>
      </c>
      <c r="E52" s="172">
        <f>Statement!O155</f>
        <v>3.9762519559296057E-2</v>
      </c>
      <c r="F52" s="172">
        <f>Statement!P155</f>
        <v>2.4762778212627169E-2</v>
      </c>
      <c r="G52" s="172">
        <f>Statement!Q155</f>
        <v>2.9004256476987438E-2</v>
      </c>
      <c r="I52" s="172">
        <f ca="1">Statement!AC155</f>
        <v>2.9347683925444127E-2</v>
      </c>
    </row>
    <row r="53" spans="2:9" x14ac:dyDescent="0.2">
      <c r="B53" s="20" t="s">
        <v>265</v>
      </c>
      <c r="C53" s="172">
        <f>Statement!M157</f>
        <v>4.0048057669203049E-4</v>
      </c>
      <c r="D53" s="172">
        <f>Statement!N157</f>
        <v>7.320644216691069E-4</v>
      </c>
      <c r="E53" s="172">
        <f>Statement!O157</f>
        <v>5.2050801582344372E-4</v>
      </c>
      <c r="F53" s="172">
        <f>Statement!P157</f>
        <v>9.8582871226124457E-4</v>
      </c>
      <c r="G53" s="172">
        <f>Statement!Q157</f>
        <v>1.0801802357879144E-3</v>
      </c>
      <c r="I53" s="172">
        <f ca="1">Statement!AC157</f>
        <v>8.9546892722822526E-4</v>
      </c>
    </row>
    <row r="54" spans="2:9" x14ac:dyDescent="0.2">
      <c r="B54" s="20" t="s">
        <v>290</v>
      </c>
      <c r="C54" s="172">
        <f>Statement!M158</f>
        <v>0</v>
      </c>
      <c r="D54" s="172">
        <f>Statement!N158</f>
        <v>0</v>
      </c>
      <c r="E54" s="172">
        <f>Statement!O158</f>
        <v>0</v>
      </c>
      <c r="F54" s="172">
        <f>Statement!P158</f>
        <v>1.3506969934160274E-2</v>
      </c>
      <c r="G54" s="172">
        <f>Statement!Q158</f>
        <v>0</v>
      </c>
      <c r="I54" s="172">
        <f ca="1">Statement!AC158</f>
        <v>0</v>
      </c>
    </row>
    <row r="55" spans="2:9" x14ac:dyDescent="0.2">
      <c r="B55" s="20" t="s">
        <v>292</v>
      </c>
      <c r="C55" s="172">
        <f>Statement!M159</f>
        <v>4.2045204902050443E-4</v>
      </c>
      <c r="D55" s="172">
        <f>Statement!N159</f>
        <v>7.7262735796211808E-4</v>
      </c>
      <c r="E55" s="172">
        <f>Statement!O159</f>
        <v>5.3660620187983882E-4</v>
      </c>
      <c r="F55" s="172">
        <f>Statement!P159</f>
        <v>1.4452457829551494E-2</v>
      </c>
      <c r="G55" s="172">
        <f>Statement!Q159</f>
        <v>1.054986527664581E-3</v>
      </c>
      <c r="I55" s="172">
        <f ca="1">Statement!AC159</f>
        <v>8.7091125520641648E-4</v>
      </c>
    </row>
    <row r="57" spans="2:9" ht="17" thickBot="1" x14ac:dyDescent="0.25">
      <c r="B57" s="14" t="s">
        <v>269</v>
      </c>
      <c r="C57" s="14"/>
      <c r="D57" s="14"/>
      <c r="E57" s="14"/>
      <c r="F57" s="14"/>
      <c r="G57" s="14"/>
      <c r="I57" s="14"/>
    </row>
    <row r="58" spans="2:9" x14ac:dyDescent="0.2">
      <c r="B58" s="20" t="s">
        <v>268</v>
      </c>
      <c r="C58" s="172">
        <f>Statement!M162</f>
        <v>3.8461538461538464E-2</v>
      </c>
      <c r="D58" s="172">
        <f>Statement!N162</f>
        <v>-1.384083044982699E-2</v>
      </c>
      <c r="E58" s="172">
        <f>Statement!O162</f>
        <v>1.3495276653171391E-2</v>
      </c>
      <c r="F58" s="172">
        <f>Statement!P162</f>
        <v>3.8181818181818185E-2</v>
      </c>
      <c r="G58" s="172">
        <f>Statement!Q162</f>
        <v>3.6373507057546148E-2</v>
      </c>
      <c r="I58" s="172">
        <f>Statement!AC162</f>
        <v>2.9675638371290544E-2</v>
      </c>
    </row>
    <row r="59" spans="2:9" x14ac:dyDescent="0.2">
      <c r="B59" s="20" t="s">
        <v>270</v>
      </c>
      <c r="C59" s="172">
        <f>Statement!M163</f>
        <v>0</v>
      </c>
      <c r="D59" s="172">
        <f>Statement!N163</f>
        <v>0</v>
      </c>
      <c r="E59" s="172">
        <f>Statement!O163</f>
        <v>0</v>
      </c>
      <c r="F59" s="172">
        <f>Statement!P163</f>
        <v>0.54545454545454541</v>
      </c>
      <c r="G59" s="172">
        <f>Statement!Q163</f>
        <v>0</v>
      </c>
      <c r="I59" s="172">
        <f>Statement!AC163</f>
        <v>0</v>
      </c>
    </row>
    <row r="60" spans="2:9" x14ac:dyDescent="0.2">
      <c r="B60" s="20" t="s">
        <v>271</v>
      </c>
      <c r="C60" s="172">
        <f>Statement!M164</f>
        <v>3.8461538461538464E-2</v>
      </c>
      <c r="D60" s="172">
        <f>Statement!N164</f>
        <v>-1.384083044982699E-2</v>
      </c>
      <c r="E60" s="172">
        <f>Statement!O164</f>
        <v>1.3495276653171391E-2</v>
      </c>
      <c r="F60" s="172">
        <f>Statement!P164</f>
        <v>0.58363636363636362</v>
      </c>
      <c r="G60" s="172">
        <f>Statement!Q164</f>
        <v>3.6373507057546148E-2</v>
      </c>
      <c r="I60" s="172">
        <f>Statement!AC164</f>
        <v>2.9675638371290544E-2</v>
      </c>
    </row>
    <row r="62" spans="2:9" ht="17" thickBot="1" x14ac:dyDescent="0.25">
      <c r="B62" s="14" t="s">
        <v>277</v>
      </c>
      <c r="C62" s="14"/>
      <c r="D62" s="14"/>
      <c r="E62" s="14"/>
      <c r="F62" s="14"/>
      <c r="G62" s="14"/>
      <c r="I62" s="14"/>
    </row>
    <row r="63" spans="2:9" x14ac:dyDescent="0.2">
      <c r="B63" s="20" t="s">
        <v>275</v>
      </c>
      <c r="C63" s="172">
        <f>Statement!M165</f>
        <v>4.7244094488188976E-2</v>
      </c>
      <c r="D63" s="172">
        <f>Statement!N165</f>
        <v>0.10026385224274406</v>
      </c>
      <c r="E63" s="172">
        <f>Statement!O165</f>
        <v>5.4123711340206188E-2</v>
      </c>
      <c r="F63" s="172">
        <f>Statement!P165</f>
        <v>4.859335038363171E-2</v>
      </c>
      <c r="G63" s="172">
        <f>Statement!Q165</f>
        <v>2.5510204081632654E-2</v>
      </c>
      <c r="I63" s="172">
        <f>Statement!AC165</f>
        <v>2.5445292620865138E-2</v>
      </c>
    </row>
    <row r="65" spans="2:9" ht="17" thickBot="1" x14ac:dyDescent="0.25">
      <c r="B65" s="14" t="s">
        <v>283</v>
      </c>
      <c r="C65" s="14"/>
      <c r="D65" s="14"/>
      <c r="E65" s="14"/>
      <c r="F65" s="14"/>
      <c r="G65" s="14"/>
      <c r="I65" s="14"/>
    </row>
    <row r="66" spans="2:9" x14ac:dyDescent="0.2">
      <c r="B66" s="20" t="s">
        <v>276</v>
      </c>
      <c r="C66" s="171">
        <f>Statement!M166</f>
        <v>1.1675531914893618</v>
      </c>
      <c r="D66" s="171">
        <f>Statement!N166</f>
        <v>0.69047619047619047</v>
      </c>
      <c r="E66" s="171">
        <f>Statement!O166</f>
        <v>2.0418848167539267</v>
      </c>
      <c r="F66" s="171">
        <f>Statement!P166</f>
        <v>3.2230971128608923</v>
      </c>
      <c r="G66" s="171">
        <f>Statement!Q166</f>
        <v>4.7728459530026113</v>
      </c>
      <c r="I66" s="171">
        <f>Statement!AC166</f>
        <v>8.0805194805194809</v>
      </c>
    </row>
    <row r="67" spans="2:9" x14ac:dyDescent="0.2">
      <c r="B67" s="20" t="s">
        <v>284</v>
      </c>
      <c r="C67" s="171">
        <f>Statement!M169</f>
        <v>-6.7393617021276597</v>
      </c>
      <c r="D67" s="171">
        <f>Statement!N169</f>
        <v>-7.7513227513227516</v>
      </c>
      <c r="E67" s="171">
        <f>Statement!O169</f>
        <v>-5.657068062827225</v>
      </c>
      <c r="F67" s="171">
        <f>Statement!P169</f>
        <v>-4.4619422572178475</v>
      </c>
      <c r="G67" s="171">
        <f>Statement!Q169</f>
        <v>-2.8328981723237598</v>
      </c>
      <c r="I67" s="171">
        <f>Statement!AC169</f>
        <v>0.44415584415584414</v>
      </c>
    </row>
    <row r="68" spans="2:9" x14ac:dyDescent="0.2">
      <c r="B68" s="20" t="s">
        <v>289</v>
      </c>
      <c r="C68" s="193">
        <f>Statement!M170</f>
        <v>-0.26635637305448956</v>
      </c>
      <c r="D68" s="193">
        <f>Statement!N170</f>
        <v>-0.56594953970725148</v>
      </c>
      <c r="E68" s="193">
        <f>Statement!O170</f>
        <v>-0.11596060022623318</v>
      </c>
      <c r="F68" s="193">
        <f>Statement!P170</f>
        <v>-3.8269748146787443E-2</v>
      </c>
      <c r="G68" s="193">
        <f>Statement!Q170</f>
        <v>-1.708448332113538E-2</v>
      </c>
      <c r="I68" s="193">
        <f ca="1">Statement!AC170</f>
        <v>1.7316956353522932E-3</v>
      </c>
    </row>
    <row r="70" spans="2:9" ht="17" thickBot="1" x14ac:dyDescent="0.25">
      <c r="B70" s="14" t="s">
        <v>304</v>
      </c>
      <c r="C70" s="14"/>
      <c r="D70" s="14"/>
      <c r="E70" s="14"/>
      <c r="F70" s="14"/>
      <c r="G70" s="14"/>
      <c r="I70" s="14"/>
    </row>
    <row r="71" spans="2:9" x14ac:dyDescent="0.2">
      <c r="B71" s="20" t="s">
        <v>278</v>
      </c>
      <c r="C71" s="172">
        <f>Statement!M167</f>
        <v>0.10900473933649289</v>
      </c>
      <c r="D71" s="172">
        <f>Statement!N167</f>
        <v>-0.16339869281045752</v>
      </c>
      <c r="E71" s="172">
        <f>Statement!O167</f>
        <v>2.774694783573807E-2</v>
      </c>
      <c r="F71" s="172">
        <f>Statement!P167</f>
        <v>2.6535253980288095E-2</v>
      </c>
      <c r="G71" s="172">
        <f>Statement!Q167</f>
        <v>2.1759697256385997E-2</v>
      </c>
      <c r="I71" s="172">
        <f>Statement!AC167</f>
        <v>1.5384615384615385E-2</v>
      </c>
    </row>
    <row r="72" spans="2:9" x14ac:dyDescent="0.2">
      <c r="B72" s="20" t="s">
        <v>279</v>
      </c>
      <c r="C72" s="172">
        <f>Statement!M168</f>
        <v>4.6018407362945178E-3</v>
      </c>
      <c r="D72" s="172">
        <f>Statement!N168</f>
        <v>4.392129304286718E-3</v>
      </c>
      <c r="E72" s="172">
        <f>Statement!O168</f>
        <v>3.6427218417601631E-3</v>
      </c>
      <c r="F72" s="172">
        <f>Statement!P168</f>
        <v>4.3684473290064906E-3</v>
      </c>
      <c r="G72" s="172">
        <f>Statement!Q168</f>
        <v>4.4965786901270772E-3</v>
      </c>
      <c r="I72" s="172">
        <f>Statement!AC168</f>
        <v>4.5296167247386764E-3</v>
      </c>
    </row>
    <row r="74" spans="2:9" ht="17" thickBot="1" x14ac:dyDescent="0.25">
      <c r="B74" s="14" t="s">
        <v>305</v>
      </c>
      <c r="C74" s="14"/>
      <c r="D74" s="14"/>
      <c r="E74" s="14"/>
      <c r="F74" s="14"/>
      <c r="G74" s="14"/>
      <c r="I74" s="14"/>
    </row>
    <row r="75" spans="2:9" x14ac:dyDescent="0.2">
      <c r="B75" s="20" t="s">
        <v>302</v>
      </c>
      <c r="C75" s="172">
        <f>Statement!M171</f>
        <v>1.680672268907563E-2</v>
      </c>
      <c r="D75" s="172">
        <f>Statement!N171</f>
        <v>1.950105411103303E-2</v>
      </c>
      <c r="E75" s="172">
        <f>Statement!O171</f>
        <v>1.967069794550488E-2</v>
      </c>
      <c r="F75" s="172">
        <f>Statement!P171</f>
        <v>2.2965551672491265E-2</v>
      </c>
      <c r="G75" s="172">
        <f>Statement!Q171</f>
        <v>2.2091886608015639E-2</v>
      </c>
      <c r="I75" s="172">
        <f>Statement!AC171</f>
        <v>3.7456445993031356E-2</v>
      </c>
    </row>
    <row r="76" spans="2:9" x14ac:dyDescent="0.2">
      <c r="B76" s="20" t="s">
        <v>299</v>
      </c>
      <c r="C76" s="172">
        <f>Statement!M172</f>
        <v>0.3981042654028436</v>
      </c>
      <c r="D76" s="172">
        <f>Statement!N172</f>
        <v>-0.72549019607843135</v>
      </c>
      <c r="E76" s="172">
        <f>Statement!O172</f>
        <v>0.14983351831298558</v>
      </c>
      <c r="F76" s="172">
        <f>Statement!P172</f>
        <v>0.13949962092494314</v>
      </c>
      <c r="G76" s="172">
        <f>Statement!Q172</f>
        <v>0.10690633869441817</v>
      </c>
      <c r="I76" s="172">
        <f>Statement!AC172</f>
        <v>0.12721893491124261</v>
      </c>
    </row>
    <row r="77" spans="2:9" x14ac:dyDescent="0.2">
      <c r="B77" s="20" t="s">
        <v>300</v>
      </c>
      <c r="C77" s="172">
        <f>Statement!M173</f>
        <v>0.36681222707423583</v>
      </c>
      <c r="D77" s="172">
        <f>Statement!N173</f>
        <v>0.36754966887417218</v>
      </c>
      <c r="E77" s="172">
        <f>Statement!O173</f>
        <v>0.49815498154981552</v>
      </c>
      <c r="F77" s="172">
        <f>Statement!P173</f>
        <v>0.66425992779783394</v>
      </c>
      <c r="G77" s="172">
        <f>Statement!Q173</f>
        <v>0.73139158576051777</v>
      </c>
      <c r="I77" s="172">
        <f>Statement!AC173</f>
        <v>1.1111111111111112</v>
      </c>
    </row>
    <row r="79" spans="2:9" ht="17" thickBot="1" x14ac:dyDescent="0.25">
      <c r="B79" s="14" t="s">
        <v>118</v>
      </c>
      <c r="C79" s="14"/>
      <c r="D79" s="14"/>
      <c r="E79" s="14"/>
      <c r="F79" s="14"/>
      <c r="G79" s="14"/>
      <c r="I79" s="14"/>
    </row>
    <row r="80" spans="2:9" x14ac:dyDescent="0.2">
      <c r="B80" s="20" t="s">
        <v>19</v>
      </c>
      <c r="C80" s="172">
        <f>Statement!M88</f>
        <v>1</v>
      </c>
      <c r="D80" s="172">
        <f>Statement!N88</f>
        <v>0.13885554221688676</v>
      </c>
      <c r="E80" s="172">
        <f>Statement!O88</f>
        <v>0.20572733661278989</v>
      </c>
      <c r="F80" s="172">
        <f>Statement!P88</f>
        <v>0.1674194958472971</v>
      </c>
      <c r="G80" s="172">
        <f>Statement!Q88</f>
        <v>0.27683474787818274</v>
      </c>
      <c r="I80" s="194"/>
    </row>
    <row r="81" spans="2:9" x14ac:dyDescent="0.2">
      <c r="B81" s="20" t="s">
        <v>20</v>
      </c>
      <c r="C81" s="172">
        <f>Statement!M89</f>
        <v>1</v>
      </c>
      <c r="D81" s="172">
        <f>Statement!N89</f>
        <v>0.17266187050359713</v>
      </c>
      <c r="E81" s="172">
        <f>Statement!O89</f>
        <v>9.5214723926380362E-2</v>
      </c>
      <c r="F81" s="172">
        <f>Statement!P89</f>
        <v>0.13779968630965719</v>
      </c>
      <c r="G81" s="172">
        <f>Statement!Q89</f>
        <v>0.28298542733359588</v>
      </c>
      <c r="I81" s="194"/>
    </row>
    <row r="82" spans="2:9" x14ac:dyDescent="0.2">
      <c r="B82" s="20" t="s">
        <v>21</v>
      </c>
      <c r="C82" s="172">
        <f>Statement!M90</f>
        <v>1</v>
      </c>
      <c r="D82" s="172">
        <f>Statement!N90</f>
        <v>6.1720288903479976E-2</v>
      </c>
      <c r="E82" s="172">
        <f>Statement!O90</f>
        <v>0.48423005565862709</v>
      </c>
      <c r="F82" s="172">
        <f>Statement!P90</f>
        <v>0.2225</v>
      </c>
      <c r="G82" s="172">
        <f>Statement!Q90</f>
        <v>0.2661895023858214</v>
      </c>
      <c r="I82" s="194"/>
    </row>
    <row r="83" spans="2:9" x14ac:dyDescent="0.2">
      <c r="B83" s="20" t="s">
        <v>22</v>
      </c>
      <c r="C83" s="172">
        <f>Statement!M93</f>
        <v>1</v>
      </c>
      <c r="D83" s="172">
        <f>Statement!N93</f>
        <v>0.10372129849564529</v>
      </c>
      <c r="E83" s="172">
        <f>Statement!O93</f>
        <v>9.6126255380200865E-2</v>
      </c>
      <c r="F83" s="172">
        <f>Statement!P93</f>
        <v>2.5523560209424083E-2</v>
      </c>
      <c r="G83" s="172">
        <f>Statement!Q93</f>
        <v>0.20293554562858968</v>
      </c>
      <c r="I83" s="194"/>
    </row>
    <row r="84" spans="2:9" x14ac:dyDescent="0.2">
      <c r="B84" s="20" t="s">
        <v>306</v>
      </c>
      <c r="C84" s="172">
        <f>Statement!M94</f>
        <v>1</v>
      </c>
      <c r="D84" s="172">
        <f>Statement!N94</f>
        <v>-0.1423076923076923</v>
      </c>
      <c r="E84" s="172">
        <f>Statement!O94</f>
        <v>2.9103139013452917</v>
      </c>
      <c r="F84" s="172">
        <f>Statement!P94</f>
        <v>0.56766055045871555</v>
      </c>
      <c r="G84" s="172">
        <f>Statement!Q94</f>
        <v>0.33869787856620337</v>
      </c>
      <c r="I84" s="194"/>
    </row>
    <row r="85" spans="2:9" x14ac:dyDescent="0.2">
      <c r="B85" s="20" t="s">
        <v>307</v>
      </c>
      <c r="C85" s="172">
        <f>Statement!M96</f>
        <v>1</v>
      </c>
      <c r="D85" s="172">
        <f>Statement!N96</f>
        <v>-0.35833333333333334</v>
      </c>
      <c r="E85" s="172">
        <f>Statement!O96</f>
        <v>4.9740259740259738</v>
      </c>
      <c r="F85" s="172">
        <f>Statement!P96</f>
        <v>7.8260869565217397E-2</v>
      </c>
      <c r="G85" s="172">
        <f>Statement!Q96</f>
        <v>1.6875</v>
      </c>
      <c r="I85" s="194"/>
    </row>
    <row r="88" spans="2:9" ht="17" thickBot="1" x14ac:dyDescent="0.25">
      <c r="B88" s="14" t="s">
        <v>308</v>
      </c>
      <c r="C88" s="14"/>
      <c r="D88" s="14"/>
      <c r="E88" s="14"/>
      <c r="F88" s="14"/>
      <c r="G88" s="14"/>
      <c r="I88" s="14"/>
    </row>
    <row r="89" spans="2:9" x14ac:dyDescent="0.2">
      <c r="B89" s="20" t="str">
        <f>Statement!B190</f>
        <v>Americas</v>
      </c>
      <c r="C89" s="172">
        <f>Statement!M190</f>
        <v>1</v>
      </c>
      <c r="D89" s="172">
        <f>Statement!N190</f>
        <v>0.24782807498856882</v>
      </c>
      <c r="E89" s="172">
        <f>Statement!O190</f>
        <v>0.40894100403078049</v>
      </c>
      <c r="F89" s="172">
        <f>Statement!P190</f>
        <v>0.1706111833550065</v>
      </c>
      <c r="G89" s="172">
        <f>Statement!Q190</f>
        <v>0.41879582315041103</v>
      </c>
      <c r="I89" s="194"/>
    </row>
    <row r="90" spans="2:9" x14ac:dyDescent="0.2">
      <c r="B90" s="20" t="str">
        <f>Statement!B191</f>
        <v>Asia Pacific</v>
      </c>
      <c r="C90" s="172">
        <f>Statement!M191</f>
        <v>1</v>
      </c>
      <c r="D90" s="172">
        <f>Statement!N191</f>
        <v>-4.972032318210068E-3</v>
      </c>
      <c r="E90" s="172">
        <f>Statement!O191</f>
        <v>-4.5596502186133668E-2</v>
      </c>
      <c r="F90" s="172">
        <f>Statement!P191</f>
        <v>0.1243455497382199</v>
      </c>
      <c r="G90" s="172">
        <f>Statement!Q191</f>
        <v>0.17520372526193248</v>
      </c>
      <c r="I90" s="194"/>
    </row>
    <row r="91" spans="2:9" x14ac:dyDescent="0.2">
      <c r="B91" s="20" t="str">
        <f>Statement!B192</f>
        <v>Europe Middle East Africa</v>
      </c>
      <c r="C91" s="172">
        <f>Statement!M192</f>
        <v>1</v>
      </c>
      <c r="D91" s="172">
        <f>Statement!N192</f>
        <v>0.13311148086522462</v>
      </c>
      <c r="E91" s="172">
        <f>Statement!O192</f>
        <v>9.4713656387665199E-2</v>
      </c>
      <c r="F91" s="172">
        <f>Statement!P192</f>
        <v>0.20254862508383636</v>
      </c>
      <c r="G91" s="172">
        <f>Statement!Q192</f>
        <v>1.7289459007250419E-2</v>
      </c>
      <c r="I91" s="194"/>
    </row>
    <row r="92" spans="2:9" x14ac:dyDescent="0.2">
      <c r="B92" s="20"/>
      <c r="C92" s="172"/>
      <c r="D92" s="172"/>
      <c r="E92" s="172"/>
      <c r="F92" s="172"/>
      <c r="G92" s="172"/>
      <c r="I92" s="194"/>
    </row>
    <row r="93" spans="2:9" x14ac:dyDescent="0.2">
      <c r="B93" s="20" t="str">
        <f>Statement!B194</f>
        <v>Products</v>
      </c>
      <c r="C93" s="172">
        <f>Statement!M194</f>
        <v>1</v>
      </c>
      <c r="D93" s="172">
        <f>Statement!N194</f>
        <v>0.18319752739533576</v>
      </c>
      <c r="E93" s="172">
        <f>Statement!O194</f>
        <v>0.25172168131085254</v>
      </c>
      <c r="F93" s="172">
        <f>Statement!P194</f>
        <v>0.18478467084044772</v>
      </c>
      <c r="G93" s="172">
        <f>Statement!Q194</f>
        <v>0.31417133706965572</v>
      </c>
      <c r="I93" s="194"/>
    </row>
    <row r="94" spans="2:9" x14ac:dyDescent="0.2">
      <c r="B94" s="20" t="str">
        <f>Statement!B195</f>
        <v>Services</v>
      </c>
      <c r="C94" s="172">
        <f>Statement!M195</f>
        <v>1</v>
      </c>
      <c r="D94" s="172">
        <f>Statement!N195</f>
        <v>2.9186935371785964E-2</v>
      </c>
      <c r="E94" s="172">
        <f>Statement!O195</f>
        <v>7.4949358541525998E-2</v>
      </c>
      <c r="F94" s="172">
        <f>Statement!P195</f>
        <v>0.10992462311557789</v>
      </c>
      <c r="G94" s="172">
        <f>Statement!Q195</f>
        <v>0.14487832484436899</v>
      </c>
      <c r="I94" s="194"/>
    </row>
    <row r="96" spans="2:9" ht="17" thickBot="1" x14ac:dyDescent="0.25">
      <c r="B96" s="14" t="s">
        <v>310</v>
      </c>
      <c r="C96" s="14"/>
      <c r="D96" s="14"/>
      <c r="E96" s="14"/>
      <c r="F96" s="14"/>
      <c r="G96" s="14"/>
      <c r="I96" s="14"/>
    </row>
    <row r="97" spans="2:9" x14ac:dyDescent="0.2">
      <c r="B97" s="20" t="s">
        <v>282</v>
      </c>
      <c r="C97" s="172">
        <f>Statement!M199</f>
        <v>-1</v>
      </c>
      <c r="D97" s="172">
        <f>Statement!N199</f>
        <v>0</v>
      </c>
      <c r="E97" s="172">
        <f>Statement!O199</f>
        <v>1.5</v>
      </c>
      <c r="F97" s="172">
        <f>Statement!P199</f>
        <v>3.2</v>
      </c>
      <c r="G97" s="172">
        <f>Statement!Q199</f>
        <v>0.59523809523809523</v>
      </c>
      <c r="I97"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311</v>
      </c>
      <c r="D3" s="242"/>
      <c r="F3" s="243" t="s">
        <v>312</v>
      </c>
      <c r="G3" s="242"/>
    </row>
    <row r="4" spans="2:7" x14ac:dyDescent="0.2">
      <c r="B4" s="8"/>
      <c r="C4" s="10" t="str">
        <f>Statement!Z2</f>
        <v>31.03.2026</v>
      </c>
      <c r="D4" s="200" t="str">
        <f>Statement!AA2</f>
        <v>30.06.2026</v>
      </c>
      <c r="F4" s="201" t="str">
        <f>Statement!W2</f>
        <v>30.06.2025</v>
      </c>
      <c r="G4" s="200" t="str">
        <f>Statement!AA2</f>
        <v>30.06.2026</v>
      </c>
    </row>
    <row r="5" spans="2:7" x14ac:dyDescent="0.2">
      <c r="B5" s="8" t="s">
        <v>317</v>
      </c>
      <c r="C5" s="10" t="str">
        <f>Statement!Z3</f>
        <v>Q1 2026</v>
      </c>
      <c r="D5" s="200" t="str">
        <f>Statement!AA3</f>
        <v>Q2 2026</v>
      </c>
      <c r="F5" s="201" t="str">
        <f>Statement!W3</f>
        <v>Q2 2025</v>
      </c>
      <c r="G5" s="200" t="str">
        <f>Statement!AA3</f>
        <v>Q2 2026</v>
      </c>
    </row>
    <row r="6" spans="2:7" x14ac:dyDescent="0.2">
      <c r="B6" s="202" t="s">
        <v>19</v>
      </c>
      <c r="C6" s="196">
        <f>Statement!Z5</f>
        <v>2650</v>
      </c>
      <c r="D6" s="195">
        <f>Statement!AA5</f>
        <v>3274</v>
      </c>
      <c r="F6" s="196">
        <f>Statement!W5</f>
        <v>2638</v>
      </c>
      <c r="G6" s="195">
        <f>Statement!AA5</f>
        <v>3274</v>
      </c>
    </row>
    <row r="7" spans="2:7" x14ac:dyDescent="0.2">
      <c r="B7" s="203" t="s">
        <v>313</v>
      </c>
      <c r="C7" s="244">
        <f>Statement!AA88</f>
        <v>0.23547169811320753</v>
      </c>
      <c r="D7" s="245"/>
      <c r="F7" s="244">
        <f>IF(F6=0,
IF(G6=0,0,IF(G6&gt;0,1,-1)),
(G6-F6)/ABS(F6)
)</f>
        <v>0.24109173616376042</v>
      </c>
      <c r="G7" s="245"/>
    </row>
    <row r="8" spans="2:7" x14ac:dyDescent="0.2">
      <c r="B8" s="204" t="s">
        <v>20</v>
      </c>
      <c r="C8" s="197">
        <f>Statement!Z6</f>
        <v>1650</v>
      </c>
      <c r="D8" s="195">
        <f>Statement!AA6</f>
        <v>2039</v>
      </c>
      <c r="F8" s="197">
        <f>Statement!W6</f>
        <v>1742</v>
      </c>
      <c r="G8" s="195">
        <f>Statement!AA6</f>
        <v>2039</v>
      </c>
    </row>
    <row r="9" spans="2:7" x14ac:dyDescent="0.2">
      <c r="B9" s="203" t="s">
        <v>313</v>
      </c>
      <c r="C9" s="244">
        <f>Statement!AA89</f>
        <v>0.23575757575757575</v>
      </c>
      <c r="D9" s="245"/>
      <c r="F9" s="244">
        <f>IF(F8=0,
IF(G8=0,0,IF(G8&gt;0,1,-1)),
(G8-F8)/ABS(F8)
)</f>
        <v>0.17049368541905854</v>
      </c>
      <c r="G9" s="245"/>
    </row>
    <row r="10" spans="2:7" x14ac:dyDescent="0.2">
      <c r="B10" s="204" t="s">
        <v>21</v>
      </c>
      <c r="C10" s="197">
        <f>Statement!Z7</f>
        <v>1000</v>
      </c>
      <c r="D10" s="195">
        <f>Statement!AA7</f>
        <v>1235</v>
      </c>
      <c r="F10" s="197">
        <f>Statement!W7</f>
        <v>896</v>
      </c>
      <c r="G10" s="195">
        <f>Statement!AA7</f>
        <v>1235</v>
      </c>
    </row>
    <row r="11" spans="2:7" x14ac:dyDescent="0.2">
      <c r="B11" s="203" t="s">
        <v>313</v>
      </c>
      <c r="C11" s="244">
        <f>Statement!AA90</f>
        <v>0.23499999999999999</v>
      </c>
      <c r="D11" s="245"/>
      <c r="F11" s="244">
        <f>IF(F10=0,
IF(G10=0,0,IF(G10&gt;0,1,-1)),
(G10-F10)/ABS(F10)
)</f>
        <v>0.3783482142857143</v>
      </c>
      <c r="G11" s="245"/>
    </row>
    <row r="12" spans="2:7" x14ac:dyDescent="0.2">
      <c r="B12" s="204" t="s">
        <v>22</v>
      </c>
      <c r="C12" s="197">
        <f>Statement!Z10</f>
        <v>560</v>
      </c>
      <c r="D12" s="195">
        <f>Statement!AA10</f>
        <v>601</v>
      </c>
      <c r="F12" s="197">
        <f>Statement!W10</f>
        <v>454</v>
      </c>
      <c r="G12" s="195">
        <f>Statement!AA10</f>
        <v>601</v>
      </c>
    </row>
    <row r="13" spans="2:7" x14ac:dyDescent="0.2">
      <c r="B13" s="203" t="s">
        <v>313</v>
      </c>
      <c r="C13" s="244">
        <f>Statement!AA93</f>
        <v>7.3214285714285718E-2</v>
      </c>
      <c r="D13" s="245"/>
      <c r="F13" s="244">
        <f>IF(F12=0,
IF(G12=0,0,IF(G12&gt;0,1,-1)),
(G12-F12)/ABS(F12)
)</f>
        <v>0.32378854625550663</v>
      </c>
      <c r="G13" s="245"/>
    </row>
    <row r="14" spans="2:7" x14ac:dyDescent="0.2">
      <c r="B14" s="204" t="s">
        <v>314</v>
      </c>
      <c r="C14" s="197">
        <f>Statement!Z11</f>
        <v>440</v>
      </c>
      <c r="D14" s="195">
        <f>Statement!AA11</f>
        <v>634</v>
      </c>
      <c r="F14" s="197">
        <f>Statement!W11</f>
        <v>442</v>
      </c>
      <c r="G14" s="195">
        <f>Statement!AA11</f>
        <v>634</v>
      </c>
    </row>
    <row r="15" spans="2:7" x14ac:dyDescent="0.2">
      <c r="B15" s="203" t="s">
        <v>313</v>
      </c>
      <c r="C15" s="244">
        <f>Statement!AA94</f>
        <v>0.44090909090909092</v>
      </c>
      <c r="D15" s="245"/>
      <c r="F15" s="244">
        <f>IF(F14=0,
IF(G14=0,0,IF(G14&gt;0,1,-1)),
(G14-F14)/ABS(F14)
)</f>
        <v>0.43438914027149322</v>
      </c>
      <c r="G15" s="245"/>
    </row>
    <row r="16" spans="2:7" x14ac:dyDescent="0.2">
      <c r="B16" s="204" t="s">
        <v>28</v>
      </c>
      <c r="C16" s="197">
        <f>Statement!Z17</f>
        <v>390</v>
      </c>
      <c r="D16" s="195">
        <f>Statement!AA17</f>
        <v>498</v>
      </c>
      <c r="F16" s="197">
        <f>Statement!W17</f>
        <v>324</v>
      </c>
      <c r="G16" s="195">
        <f>Statement!AA17</f>
        <v>498</v>
      </c>
    </row>
    <row r="17" spans="2:7" x14ac:dyDescent="0.2">
      <c r="B17" s="203" t="s">
        <v>313</v>
      </c>
      <c r="C17" s="244">
        <f>Statement!AA96</f>
        <v>0.27692307692307694</v>
      </c>
      <c r="D17" s="245"/>
      <c r="F17" s="244">
        <f>IF(F16=0,
IF(G16=0,0,IF(G16&gt;0,1,-1)),
(G16-F16)/ABS(F16)
)</f>
        <v>0.53703703703703709</v>
      </c>
      <c r="G17" s="245"/>
    </row>
    <row r="18" spans="2:7" x14ac:dyDescent="0.2">
      <c r="B18" s="204" t="s">
        <v>315</v>
      </c>
      <c r="C18" s="197">
        <f>Statement!Z21</f>
        <v>392</v>
      </c>
      <c r="D18" s="195">
        <f>Statement!AA21</f>
        <v>393</v>
      </c>
      <c r="F18" s="197">
        <f>Statement!W21</f>
        <v>390</v>
      </c>
      <c r="G18" s="195">
        <f>Statement!AA21</f>
        <v>393</v>
      </c>
    </row>
    <row r="19" spans="2:7" x14ac:dyDescent="0.2">
      <c r="B19" s="203" t="s">
        <v>313</v>
      </c>
      <c r="C19" s="244">
        <f>IF(C18=0,
IF(D18=0,0,IF(D18&gt;0,1,-1)),
(D18-C18)/ABS(C18)
)</f>
        <v>2.5510204081632651E-3</v>
      </c>
      <c r="D19" s="245"/>
      <c r="F19" s="244">
        <f>IF(F18=0,
IF(G18=0,0,IF(G18&gt;0,1,-1)),
(G18-F18)/ABS(F18)
)</f>
        <v>7.6923076923076927E-3</v>
      </c>
      <c r="G19" s="245"/>
    </row>
    <row r="20" spans="2:7" x14ac:dyDescent="0.2">
      <c r="B20" s="204" t="s">
        <v>35</v>
      </c>
      <c r="C20" s="198">
        <f>Statement!Z25</f>
        <v>0.99</v>
      </c>
      <c r="D20" s="199">
        <f>Statement!AA25</f>
        <v>1.27</v>
      </c>
      <c r="F20" s="198">
        <f>Statement!W25</f>
        <v>0.83</v>
      </c>
      <c r="G20" s="199">
        <f>Statement!AA25</f>
        <v>1.27</v>
      </c>
    </row>
    <row r="21" spans="2:7" x14ac:dyDescent="0.2">
      <c r="B21" s="203" t="s">
        <v>313</v>
      </c>
      <c r="C21" s="244">
        <f>IF(C20=0,
IF(D20=0,0,IF(D20&gt;0,1,-1)),
(D20-C20)/ABS(C20)
)</f>
        <v>0.28282828282828287</v>
      </c>
      <c r="D21" s="245"/>
      <c r="F21" s="244">
        <f>IF(F20=0,
IF(G20=0,0,IF(G20&gt;0,1,-1)),
(G20-F20)/ABS(F20)
)</f>
        <v>0.53012048192771088</v>
      </c>
      <c r="G21" s="245"/>
    </row>
    <row r="23" spans="2:7" x14ac:dyDescent="0.2">
      <c r="B23" s="8" t="s">
        <v>316</v>
      </c>
      <c r="C23" s="10" t="str">
        <f>C5</f>
        <v>Q1 2026</v>
      </c>
      <c r="D23" s="200" t="str">
        <f>D5</f>
        <v>Q2 2026</v>
      </c>
      <c r="F23" s="201" t="str">
        <f>F5</f>
        <v>Q2 2025</v>
      </c>
      <c r="G23" s="200" t="str">
        <f>G5</f>
        <v>Q2 2026</v>
      </c>
    </row>
    <row r="24" spans="2:7" x14ac:dyDescent="0.2">
      <c r="B24" s="20" t="str">
        <f>Statement!B190</f>
        <v>Americas</v>
      </c>
      <c r="C24" s="197">
        <f>Statement!Z181</f>
        <v>1814</v>
      </c>
      <c r="D24" s="195">
        <f>Statement!AA181</f>
        <v>2071</v>
      </c>
      <c r="F24" s="197">
        <f>Statement!W181</f>
        <v>1602</v>
      </c>
      <c r="G24" s="195">
        <f>Statement!AA181</f>
        <v>2071</v>
      </c>
    </row>
    <row r="25" spans="2:7" x14ac:dyDescent="0.2">
      <c r="B25" s="203" t="s">
        <v>313</v>
      </c>
      <c r="C25" s="244">
        <f>IF(C24=0,
IF(D24=0,0,IF(D24&gt;0,1,-1)),
(D24-C24)/ABS(C24)
)</f>
        <v>0.14167585446527012</v>
      </c>
      <c r="D25" s="245"/>
      <c r="F25" s="244">
        <f>IF(F24=0,
IF(G24=0,0,IF(G24&gt;0,1,-1)),
(G24-F24)/ABS(F24)
)</f>
        <v>0.29275905118601747</v>
      </c>
      <c r="G25" s="245"/>
    </row>
    <row r="26" spans="2:7" x14ac:dyDescent="0.2">
      <c r="B26" s="20" t="str">
        <f>Statement!B191</f>
        <v>Asia Pacific</v>
      </c>
      <c r="C26" s="197">
        <f>Statement!Z182</f>
        <v>514</v>
      </c>
      <c r="D26" s="195">
        <f>Statement!AA182</f>
        <v>720</v>
      </c>
      <c r="F26" s="197">
        <f>Statement!W182</f>
        <v>560</v>
      </c>
      <c r="G26" s="195">
        <f>Statement!AA182</f>
        <v>720</v>
      </c>
    </row>
    <row r="27" spans="2:7" x14ac:dyDescent="0.2">
      <c r="B27" s="203" t="s">
        <v>313</v>
      </c>
      <c r="C27" s="244">
        <f>IF(C26=0,
IF(D26=0,0,IF(D26&gt;0,1,-1)),
(D26-C26)/ABS(C26)
)</f>
        <v>0.40077821011673154</v>
      </c>
      <c r="D27" s="245"/>
      <c r="F27" s="244">
        <f>IF(F26=0,
IF(G26=0,0,IF(G26&gt;0,1,-1)),
(G26-F26)/ABS(F26)
)</f>
        <v>0.2857142857142857</v>
      </c>
      <c r="G27" s="245"/>
    </row>
    <row r="28" spans="2:7" x14ac:dyDescent="0.2">
      <c r="B28" s="20" t="str">
        <f>Statement!B192</f>
        <v>Europe Middle East Africa</v>
      </c>
      <c r="C28" s="197">
        <f>Statement!Z183</f>
        <v>321</v>
      </c>
      <c r="D28" s="195">
        <f>Statement!AA183</f>
        <v>484</v>
      </c>
      <c r="F28" s="197">
        <f>Statement!W183</f>
        <v>476</v>
      </c>
      <c r="G28" s="195">
        <f>Statement!AA183</f>
        <v>484</v>
      </c>
    </row>
    <row r="29" spans="2:7" x14ac:dyDescent="0.2">
      <c r="B29" s="203" t="s">
        <v>313</v>
      </c>
      <c r="C29" s="244">
        <f>IF(C28=0,
IF(D28=0,0,IF(D28&gt;0,1,-1)),
(D28-C28)/ABS(C28)
)</f>
        <v>0.50778816199376942</v>
      </c>
      <c r="D29" s="245"/>
      <c r="F29" s="244">
        <f>IF(F28=0,
IF(G28=0,0,IF(G28&gt;0,1,-1)),
(G28-F28)/ABS(F28)
)</f>
        <v>1.680672268907563E-2</v>
      </c>
      <c r="G29" s="245"/>
    </row>
    <row r="31" spans="2:7" x14ac:dyDescent="0.2">
      <c r="B31" s="20" t="str">
        <f>Statement!B194</f>
        <v>Products</v>
      </c>
      <c r="C31" s="197">
        <f>Statement!Z185</f>
        <v>2091</v>
      </c>
      <c r="D31" s="227">
        <f>Statement!AA185</f>
        <v>2606</v>
      </c>
      <c r="F31" s="197">
        <f>Statement!W185</f>
        <v>2119</v>
      </c>
      <c r="G31" s="227">
        <f>Statement!AA185</f>
        <v>2606</v>
      </c>
    </row>
    <row r="32" spans="2:7" x14ac:dyDescent="0.2">
      <c r="B32" s="203" t="s">
        <v>313</v>
      </c>
      <c r="C32" s="244">
        <f>IF(C31=0,
IF(D31=0,0,IF(D31&gt;0,1,-1)),
(D31-C31)/ABS(C31)
)</f>
        <v>0.24629363940698232</v>
      </c>
      <c r="D32" s="245"/>
      <c r="F32" s="244">
        <f>IF(F31=0,
IF(G31=0,0,IF(G31&gt;0,1,-1)),
(G31-F31)/ABS(F31)
)</f>
        <v>0.22982538933459179</v>
      </c>
      <c r="G32" s="245"/>
    </row>
    <row r="33" spans="2:7" x14ac:dyDescent="0.2">
      <c r="B33" s="20" t="str">
        <f>Statement!B195</f>
        <v>Services</v>
      </c>
      <c r="C33" s="197">
        <f>Statement!Z186</f>
        <v>558</v>
      </c>
      <c r="D33" s="227">
        <f>Statement!AA186</f>
        <v>668</v>
      </c>
      <c r="F33" s="197">
        <f>Statement!W186</f>
        <v>519</v>
      </c>
      <c r="G33" s="227">
        <f>Statement!AA186</f>
        <v>668</v>
      </c>
    </row>
    <row r="34" spans="2:7" x14ac:dyDescent="0.2">
      <c r="B34" s="203" t="s">
        <v>313</v>
      </c>
      <c r="C34" s="244">
        <f>IF(C33=0,
IF(D33=0,0,IF(D33&gt;0,1,-1)),
(D33-C33)/ABS(C33)
)</f>
        <v>0.1971326164874552</v>
      </c>
      <c r="D34" s="245"/>
      <c r="F34" s="244">
        <f>IF(F33=0,
IF(G33=0,0,IF(G33&gt;0,1,-1)),
(G33-F33)/ABS(F33)
)</f>
        <v>0.28709055876685935</v>
      </c>
      <c r="G34" s="245"/>
    </row>
  </sheetData>
  <mergeCells count="28">
    <mergeCell ref="C32:D32"/>
    <mergeCell ref="F32:G32"/>
    <mergeCell ref="C34:D34"/>
    <mergeCell ref="F34:G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44"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259</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260</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5">
        <f>Statement!H121</f>
        <v>0</v>
      </c>
      <c r="D77" s="215">
        <f>Statement!I121</f>
        <v>0</v>
      </c>
      <c r="E77" s="215">
        <f>Statement!J121</f>
        <v>0</v>
      </c>
      <c r="F77" s="215">
        <f>Statement!K121</f>
        <v>0</v>
      </c>
      <c r="G77" s="215">
        <f>Statement!L121</f>
        <v>0</v>
      </c>
      <c r="H77" s="215">
        <f>Statement!M121</f>
        <v>1.7291066282420751E-2</v>
      </c>
      <c r="I77" s="215">
        <f>Statement!N121</f>
        <v>1.085118376550169E-2</v>
      </c>
      <c r="J77" s="215">
        <f>Statement!O121</f>
        <v>5.7507188398549819E-2</v>
      </c>
      <c r="K77" s="215">
        <f>Statement!P121</f>
        <v>5.4308551406985657E-2</v>
      </c>
      <c r="L77" s="215">
        <f>Statement!Q121</f>
        <v>0.1091549295774648</v>
      </c>
    </row>
    <row r="78" spans="2:12" x14ac:dyDescent="0.2">
      <c r="B78" s="20" t="s">
        <v>100</v>
      </c>
      <c r="C78" s="215">
        <f>Statement!H123</f>
        <v>0</v>
      </c>
      <c r="D78" s="215">
        <f>Statement!I123</f>
        <v>0</v>
      </c>
      <c r="E78" s="215">
        <f>Statement!J123</f>
        <v>0</v>
      </c>
      <c r="F78" s="215">
        <f>Statement!K123</f>
        <v>0</v>
      </c>
      <c r="G78" s="215">
        <f>Statement!L123</f>
        <v>0</v>
      </c>
      <c r="H78" s="215">
        <f>Statement!M123</f>
        <v>8.4626234132581107E-2</v>
      </c>
      <c r="I78" s="215">
        <f>Statement!N123</f>
        <v>5.3398058252427175E-2</v>
      </c>
      <c r="J78" s="215">
        <f>Statement!O123</f>
        <v>0.22828784119106701</v>
      </c>
      <c r="K78" s="215">
        <f>Statement!P123</f>
        <v>0.2037797863599014</v>
      </c>
      <c r="L78" s="215">
        <f>Statement!Q123</f>
        <v>0.33823902562801322</v>
      </c>
    </row>
    <row r="79" spans="2:12" x14ac:dyDescent="0.2">
      <c r="B79" s="20" t="s">
        <v>101</v>
      </c>
      <c r="C79" s="215">
        <f>Statement!H134</f>
        <v>0</v>
      </c>
      <c r="D79" s="215">
        <f>Statement!I134</f>
        <v>0</v>
      </c>
      <c r="E79" s="215">
        <f>Statement!J134</f>
        <v>0</v>
      </c>
      <c r="F79" s="215">
        <f>Statement!K134</f>
        <v>0</v>
      </c>
      <c r="G79" s="215">
        <f>Statement!L134</f>
        <v>0</v>
      </c>
      <c r="H79" s="215">
        <f>Statement!M134</f>
        <v>4.7162333544705136E-2</v>
      </c>
      <c r="I79" s="215">
        <f>Statement!N134</f>
        <v>2.3517922982945361E-2</v>
      </c>
      <c r="J79" s="215">
        <f>Statement!O134</f>
        <v>0.17982144012421558</v>
      </c>
      <c r="K79" s="215">
        <f>Statement!P134</f>
        <v>0.21396454082358629</v>
      </c>
      <c r="L79" s="215">
        <f>Statement!Q134</f>
        <v>0.27861891984870407</v>
      </c>
    </row>
    <row r="80" spans="2:12" x14ac:dyDescent="0.2">
      <c r="B80" s="20" t="s">
        <v>349</v>
      </c>
      <c r="C80" s="223">
        <f>Statement!H203</f>
        <v>0</v>
      </c>
      <c r="D80" s="223">
        <f>Statement!I203</f>
        <v>0</v>
      </c>
      <c r="E80" s="223">
        <f>Statement!J203</f>
        <v>0</v>
      </c>
      <c r="F80" s="223">
        <f>Statement!K203</f>
        <v>0</v>
      </c>
      <c r="G80" s="223">
        <f>Statement!L203</f>
        <v>0</v>
      </c>
      <c r="H80" s="223">
        <f>Statement!M203</f>
        <v>100</v>
      </c>
      <c r="I80" s="223">
        <f>Statement!N203</f>
        <v>54.705646776131367</v>
      </c>
      <c r="J80" s="223">
        <f>Statement!O203</f>
        <v>192.35082098518222</v>
      </c>
      <c r="K80" s="223">
        <f>Statement!P203</f>
        <v>454.98598317981578</v>
      </c>
      <c r="L80" s="223">
        <f>Statement!Q203</f>
        <v>648.81858229875854</v>
      </c>
    </row>
    <row r="81" spans="2:12" x14ac:dyDescent="0.2">
      <c r="B81" s="20" t="s">
        <v>350</v>
      </c>
      <c r="C81" s="223">
        <f>Statement!H204</f>
        <v>0</v>
      </c>
      <c r="D81" s="223">
        <f>Statement!I204</f>
        <v>0</v>
      </c>
      <c r="E81" s="223">
        <f>Statement!J204</f>
        <v>0</v>
      </c>
      <c r="F81" s="223">
        <f>Statement!K204</f>
        <v>0</v>
      </c>
      <c r="G81" s="223">
        <f>Statement!L204</f>
        <v>0</v>
      </c>
      <c r="H81" s="223">
        <f>Statement!M204</f>
        <v>100</v>
      </c>
      <c r="I81" s="223">
        <f>Statement!N204</f>
        <v>113.88555422168866</v>
      </c>
      <c r="J81" s="223">
        <f>Statement!O204</f>
        <v>137.31492597038817</v>
      </c>
      <c r="K81" s="223">
        <f>Statement!P204</f>
        <v>160.30412164865945</v>
      </c>
      <c r="L81" s="223">
        <f>Statement!Q204</f>
        <v>204.68187274909963</v>
      </c>
    </row>
    <row r="82" spans="2:12" x14ac:dyDescent="0.2">
      <c r="B82" s="20" t="s">
        <v>351</v>
      </c>
      <c r="C82" s="223">
        <f>Statement!H205</f>
        <v>0</v>
      </c>
      <c r="D82" s="223">
        <f>Statement!I205</f>
        <v>0</v>
      </c>
      <c r="E82" s="223">
        <f>Statement!J205</f>
        <v>0</v>
      </c>
      <c r="F82" s="223">
        <f>Statement!K205</f>
        <v>0</v>
      </c>
      <c r="G82" s="223">
        <f>Statement!L205</f>
        <v>0</v>
      </c>
      <c r="H82" s="223">
        <f>Statement!M205</f>
        <v>100</v>
      </c>
      <c r="I82" s="223">
        <f>Statement!N205</f>
        <v>-12.12121212121211</v>
      </c>
      <c r="J82" s="223">
        <f>Statement!O205</f>
        <v>360.60606060606057</v>
      </c>
      <c r="K82" s="223">
        <f>Statement!P205</f>
        <v>387.87878787878782</v>
      </c>
      <c r="L82" s="223">
        <f>Statement!Q205</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0" zoomScale="161" workbookViewId="0">
      <selection activeCell="A68" sqref="A68:XFD7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259</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C4" zoomScale="184" zoomScaleNormal="75" workbookViewId="0">
      <selection activeCell="H14" sqref="H14"/>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37" t="s">
        <v>109</v>
      </c>
      <c r="D2" s="237"/>
      <c r="E2" s="237"/>
      <c r="F2" s="237"/>
      <c r="G2" s="249"/>
      <c r="H2" s="250" t="s">
        <v>110</v>
      </c>
      <c r="I2" s="237"/>
      <c r="J2" s="237"/>
      <c r="K2" s="237"/>
      <c r="L2" s="237"/>
      <c r="O2" s="5"/>
      <c r="S2" s="237" t="s">
        <v>109</v>
      </c>
      <c r="T2" s="237"/>
      <c r="U2" s="237"/>
      <c r="V2" s="237"/>
      <c r="W2" s="237"/>
      <c r="X2" s="237"/>
      <c r="Y2" s="237"/>
      <c r="Z2" s="237"/>
      <c r="AA2" s="237" t="s">
        <v>110</v>
      </c>
      <c r="AB2" s="237"/>
      <c r="AC2" s="237"/>
      <c r="AE2" s="85" t="s">
        <v>111</v>
      </c>
    </row>
    <row r="3" spans="1:31" ht="10" customHeight="1" x14ac:dyDescent="0.2">
      <c r="O3" s="5"/>
    </row>
    <row r="4" spans="1:31" ht="16" customHeight="1" x14ac:dyDescent="0.2">
      <c r="A4" s="86"/>
      <c r="B4" s="60"/>
      <c r="C4" s="246" t="s">
        <v>112</v>
      </c>
      <c r="D4" s="246"/>
      <c r="E4" s="246"/>
      <c r="F4" s="246"/>
      <c r="G4" s="246"/>
      <c r="H4" s="246"/>
      <c r="I4" s="246"/>
      <c r="J4" s="246"/>
      <c r="K4" s="246"/>
      <c r="L4" s="246"/>
      <c r="O4" s="5"/>
      <c r="S4" s="247" t="s">
        <v>112</v>
      </c>
      <c r="T4" s="248"/>
      <c r="U4" s="248"/>
      <c r="V4" s="248"/>
      <c r="W4" s="248"/>
      <c r="X4" s="248"/>
      <c r="Y4" s="248"/>
      <c r="Z4" s="248"/>
      <c r="AA4" s="248"/>
      <c r="AB4" s="248"/>
      <c r="AC4" s="248"/>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G6*(1+H12)</f>
        <v>9684.26</v>
      </c>
      <c r="I6" s="64">
        <f>H6*(1+I12)</f>
        <v>10362.158200000002</v>
      </c>
      <c r="J6" s="64">
        <f>I6*(1+J12)</f>
        <v>10880.266110000002</v>
      </c>
      <c r="K6" s="64">
        <f>J6*(1+K12)</f>
        <v>11315.476754400002</v>
      </c>
      <c r="L6" s="64">
        <f>K6*(1+L12)</f>
        <v>11654.941057032003</v>
      </c>
      <c r="N6" s="90" t="s">
        <v>401</v>
      </c>
      <c r="O6" s="5"/>
      <c r="Q6" s="90" t="s">
        <v>401</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2475.6999999999998</v>
      </c>
      <c r="AB6" s="64"/>
      <c r="AC6" s="64"/>
      <c r="AE6" s="64">
        <f>SUM(X6:AA6)</f>
        <v>9481.7000000000007</v>
      </c>
    </row>
    <row r="7" spans="1:31" x14ac:dyDescent="0.2">
      <c r="B7" s="1" t="str">
        <f>Statement!B186</f>
        <v>Services</v>
      </c>
      <c r="C7" s="88">
        <f>Statement!M186</f>
        <v>1439</v>
      </c>
      <c r="D7" s="88">
        <f>Statement!N186</f>
        <v>1481</v>
      </c>
      <c r="E7" s="88">
        <f>Statement!O186</f>
        <v>1592</v>
      </c>
      <c r="F7" s="88">
        <f>Statement!P186</f>
        <v>1767</v>
      </c>
      <c r="G7" s="89">
        <f>Statement!Q186</f>
        <v>2023</v>
      </c>
      <c r="H7" s="64">
        <f>G7*(1+H13)</f>
        <v>2245.5300000000002</v>
      </c>
      <c r="I7" s="64">
        <f>H7*(1+I13)</f>
        <v>2357.8065000000001</v>
      </c>
      <c r="J7" s="64">
        <f>I7*(1+J13)</f>
        <v>2522.8529550000003</v>
      </c>
      <c r="K7" s="64">
        <f>J7*(1+K13)</f>
        <v>2598.5385436500005</v>
      </c>
      <c r="L7" s="64">
        <f>K7*(1+L13)</f>
        <v>2832.4070125785006</v>
      </c>
      <c r="N7" s="90" t="s">
        <v>363</v>
      </c>
      <c r="O7" s="5"/>
      <c r="Q7" s="90" t="s">
        <v>363</v>
      </c>
      <c r="R7" s="1" t="str">
        <f t="shared" ref="R7" si="1">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674.68</v>
      </c>
      <c r="AB7" s="64"/>
      <c r="AC7" s="64"/>
      <c r="AE7" s="64">
        <f t="shared" ref="AE7" si="2">SUM(X7:AA7)</f>
        <v>2471.6799999999998</v>
      </c>
    </row>
    <row r="8" spans="1:31" x14ac:dyDescent="0.2">
      <c r="B8" s="16" t="s">
        <v>117</v>
      </c>
      <c r="C8" s="92">
        <f>Statement!M5</f>
        <v>4998</v>
      </c>
      <c r="D8" s="92">
        <f>Statement!N5</f>
        <v>5692</v>
      </c>
      <c r="E8" s="92">
        <f>Statement!O5</f>
        <v>6863</v>
      </c>
      <c r="F8" s="92">
        <f>Statement!P5</f>
        <v>8012</v>
      </c>
      <c r="G8" s="93">
        <f>Statement!Q5</f>
        <v>10230</v>
      </c>
      <c r="H8" s="94">
        <f>SUM(H6:H7)</f>
        <v>11929.79</v>
      </c>
      <c r="I8" s="94">
        <f>SUM(I6:I7)</f>
        <v>12719.964700000002</v>
      </c>
      <c r="J8" s="94">
        <f>SUM(J6:J7)</f>
        <v>13403.119065000003</v>
      </c>
      <c r="K8" s="94">
        <f>SUM(K6:K7)</f>
        <v>13914.015298050002</v>
      </c>
      <c r="L8" s="94">
        <f>SUM(L6:L7)</f>
        <v>14487.348069610503</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3150.3799999999997</v>
      </c>
      <c r="AB8" s="94"/>
      <c r="AC8" s="94"/>
      <c r="AE8" s="94">
        <f>SUM(X8:AA8)</f>
        <v>11954.38</v>
      </c>
    </row>
    <row r="9" spans="1:31" x14ac:dyDescent="0.2">
      <c r="O9" s="5"/>
      <c r="Q9" s="91"/>
    </row>
    <row r="10" spans="1:31" x14ac:dyDescent="0.2">
      <c r="C10" s="246" t="s">
        <v>118</v>
      </c>
      <c r="D10" s="246"/>
      <c r="E10" s="246"/>
      <c r="F10" s="246"/>
      <c r="G10" s="246"/>
      <c r="H10" s="246"/>
      <c r="I10" s="246"/>
      <c r="J10" s="246"/>
      <c r="K10" s="246"/>
      <c r="L10" s="246"/>
      <c r="O10" s="5"/>
      <c r="Q10" s="91"/>
      <c r="S10" s="247" t="s">
        <v>118</v>
      </c>
      <c r="T10" s="248"/>
      <c r="U10" s="248"/>
      <c r="V10" s="248"/>
      <c r="W10" s="248"/>
      <c r="X10" s="248"/>
      <c r="Y10" s="248"/>
      <c r="Z10" s="248"/>
      <c r="AA10" s="248"/>
      <c r="AB10" s="248"/>
      <c r="AC10" s="248"/>
    </row>
    <row r="11" spans="1:31" x14ac:dyDescent="0.2">
      <c r="B11" s="16" t="s">
        <v>119</v>
      </c>
      <c r="C11" s="12">
        <f>C5</f>
        <v>2021</v>
      </c>
      <c r="D11" s="12">
        <f>D5</f>
        <v>2022</v>
      </c>
      <c r="E11" s="12">
        <f>E5</f>
        <v>2023</v>
      </c>
      <c r="F11" s="12">
        <f>F5</f>
        <v>2024</v>
      </c>
      <c r="G11" s="12">
        <f>G5</f>
        <v>2025</v>
      </c>
      <c r="H11" s="12">
        <f>H5</f>
        <v>2026</v>
      </c>
      <c r="I11" s="12">
        <f>I5</f>
        <v>2027</v>
      </c>
      <c r="J11" s="12">
        <f>J5</f>
        <v>2028</v>
      </c>
      <c r="K11" s="12">
        <f>K5</f>
        <v>2029</v>
      </c>
      <c r="L11" s="12">
        <f>L5</f>
        <v>2030</v>
      </c>
      <c r="O11" s="5"/>
      <c r="Q11" s="91"/>
      <c r="R11" s="16" t="s">
        <v>119</v>
      </c>
      <c r="S11" s="12" t="str">
        <f>S5</f>
        <v>Q3 2024</v>
      </c>
      <c r="T11" s="12" t="str">
        <f>T5</f>
        <v>Q4 2024</v>
      </c>
      <c r="U11" s="12" t="str">
        <f>U5</f>
        <v>Q1 2025</v>
      </c>
      <c r="V11" s="12" t="str">
        <f>V5</f>
        <v>Q2 2025</v>
      </c>
      <c r="W11" s="12" t="str">
        <f>W5</f>
        <v>Q3 2025</v>
      </c>
      <c r="X11" s="12" t="str">
        <f>X5</f>
        <v>Q4 2025</v>
      </c>
      <c r="Y11" s="12" t="str">
        <f>Y5</f>
        <v>Q1 2026</v>
      </c>
      <c r="Z11" s="12" t="str">
        <f>Z5</f>
        <v>Q2 2026</v>
      </c>
      <c r="AA11" s="12" t="str">
        <f>AA5</f>
        <v>FQ1</v>
      </c>
      <c r="AB11" s="12" t="str">
        <f>AB5</f>
        <v>FQ2</v>
      </c>
      <c r="AC11" s="12" t="str">
        <f>AC5</f>
        <v>FQ3</v>
      </c>
    </row>
    <row r="12" spans="1:31" x14ac:dyDescent="0.2">
      <c r="B12" s="1" t="str">
        <f>B6</f>
        <v>Products</v>
      </c>
      <c r="C12" s="47"/>
      <c r="D12" s="95">
        <f>D6/C6-1</f>
        <v>0.18319752739533568</v>
      </c>
      <c r="E12" s="95">
        <f>E6/D6-1</f>
        <v>0.25172168131085249</v>
      </c>
      <c r="F12" s="95">
        <f>F6/E6-1</f>
        <v>0.1847846708404477</v>
      </c>
      <c r="G12" s="96">
        <f>G6/F6-1</f>
        <v>0.31417133706965572</v>
      </c>
      <c r="H12" s="97">
        <v>0.18</v>
      </c>
      <c r="I12" s="97">
        <v>7.0000000000000007E-2</v>
      </c>
      <c r="J12" s="97">
        <v>0.05</v>
      </c>
      <c r="K12" s="97">
        <v>0.04</v>
      </c>
      <c r="L12" s="97">
        <v>0.03</v>
      </c>
      <c r="O12" s="5"/>
      <c r="Q12" s="91"/>
      <c r="R12" s="1" t="str">
        <f>R6</f>
        <v>Products</v>
      </c>
      <c r="S12" s="47"/>
      <c r="T12" s="95">
        <f>T6/S6-1</f>
        <v>0.16027227722772275</v>
      </c>
      <c r="U12" s="95">
        <f>U6/T6-1</f>
        <v>-0.14080000000000004</v>
      </c>
      <c r="V12" s="95">
        <f>V6/U6-1</f>
        <v>0.31533209186840461</v>
      </c>
      <c r="W12" s="95">
        <f>W6/V6-1</f>
        <v>2.3124115148654978E-2</v>
      </c>
      <c r="X12" s="95">
        <f>X6/W6-1</f>
        <v>6.503690036900367E-2</v>
      </c>
      <c r="Y12" s="95">
        <f>Y6/X6-1</f>
        <v>-9.4413165872672122E-2</v>
      </c>
      <c r="Z12" s="96">
        <f>Z6/Y6-1</f>
        <v>0.24629363940698235</v>
      </c>
      <c r="AA12" s="97">
        <v>-0.05</v>
      </c>
      <c r="AB12" s="95"/>
      <c r="AC12" s="95"/>
    </row>
    <row r="13" spans="1:31" x14ac:dyDescent="0.2">
      <c r="B13" s="1" t="str">
        <f>B7</f>
        <v>Services</v>
      </c>
      <c r="C13" s="47"/>
      <c r="D13" s="95">
        <f>D7/C7-1</f>
        <v>2.918693537178596E-2</v>
      </c>
      <c r="E13" s="95">
        <f>E7/D7-1</f>
        <v>7.4949358541525957E-2</v>
      </c>
      <c r="F13" s="95">
        <f>F7/E7-1</f>
        <v>0.10992462311557794</v>
      </c>
      <c r="G13" s="96">
        <f>G7/F7-1</f>
        <v>0.14487832484436902</v>
      </c>
      <c r="H13" s="97">
        <v>0.11</v>
      </c>
      <c r="I13" s="97">
        <v>0.05</v>
      </c>
      <c r="J13" s="97">
        <v>7.0000000000000007E-2</v>
      </c>
      <c r="K13" s="97">
        <v>0.03</v>
      </c>
      <c r="L13" s="97">
        <v>0.09</v>
      </c>
      <c r="O13" s="5"/>
      <c r="Q13" s="91"/>
      <c r="R13" s="1" t="str">
        <f>R7</f>
        <v>Services</v>
      </c>
      <c r="S13" s="47"/>
      <c r="T13" s="95">
        <f>T7/S7-1</f>
        <v>3.0567685589519611E-2</v>
      </c>
      <c r="U13" s="95">
        <f>U7/T7-1</f>
        <v>-9.9576271186440635E-2</v>
      </c>
      <c r="V13" s="95">
        <f>V7/U7-1</f>
        <v>0.22117647058823531</v>
      </c>
      <c r="W13" s="95">
        <f>W7/V7-1</f>
        <v>-2.1194605009633882E-2</v>
      </c>
      <c r="X13" s="95">
        <f>X7/W7-1</f>
        <v>0.12401574803149606</v>
      </c>
      <c r="Y13" s="95">
        <f>Y7/X7-1</f>
        <v>-2.2767075306479811E-2</v>
      </c>
      <c r="Z13" s="96">
        <f>Z7/Y7-1</f>
        <v>0.19713261648745517</v>
      </c>
      <c r="AA13" s="97">
        <v>0.01</v>
      </c>
      <c r="AB13" s="95"/>
      <c r="AC13" s="95"/>
    </row>
    <row r="14" spans="1:31" x14ac:dyDescent="0.2">
      <c r="B14" s="16" t="str">
        <f>B8</f>
        <v>Total</v>
      </c>
      <c r="C14" s="47"/>
      <c r="D14" s="103">
        <f t="shared" ref="D14:L14" si="3">D8/C8-1</f>
        <v>0.13885554221688667</v>
      </c>
      <c r="E14" s="103">
        <f t="shared" si="3"/>
        <v>0.20572733661278986</v>
      </c>
      <c r="F14" s="103">
        <f t="shared" si="3"/>
        <v>0.16741949584729721</v>
      </c>
      <c r="G14" s="104">
        <f t="shared" si="3"/>
        <v>0.27683474787818274</v>
      </c>
      <c r="H14" s="103">
        <f t="shared" si="3"/>
        <v>0.1661573802541545</v>
      </c>
      <c r="I14" s="103">
        <f t="shared" si="3"/>
        <v>6.6235424093802342E-2</v>
      </c>
      <c r="J14" s="103">
        <f t="shared" si="3"/>
        <v>5.3707253212738948E-2</v>
      </c>
      <c r="K14" s="103">
        <f t="shared" si="3"/>
        <v>3.8117712046900953E-2</v>
      </c>
      <c r="L14" s="103">
        <f t="shared" si="3"/>
        <v>4.1205414776340765E-2</v>
      </c>
      <c r="O14" s="5"/>
      <c r="Q14" s="91"/>
      <c r="R14" s="16" t="str">
        <f>R8</f>
        <v>Total</v>
      </c>
      <c r="S14" s="47"/>
      <c r="T14" s="103">
        <f t="shared" ref="T14:AA14" si="4">T8/S8-1</f>
        <v>0.13114754098360648</v>
      </c>
      <c r="U14" s="103">
        <f t="shared" si="4"/>
        <v>-0.1321398124467178</v>
      </c>
      <c r="V14" s="103">
        <f t="shared" si="4"/>
        <v>0.29567779960707274</v>
      </c>
      <c r="W14" s="103">
        <f t="shared" si="4"/>
        <v>1.4404852160727843E-2</v>
      </c>
      <c r="X14" s="103">
        <f t="shared" si="4"/>
        <v>7.623318385650224E-2</v>
      </c>
      <c r="Y14" s="103">
        <f t="shared" si="4"/>
        <v>-7.986111111111116E-2</v>
      </c>
      <c r="Z14" s="104">
        <f t="shared" si="4"/>
        <v>0.23547169811320745</v>
      </c>
      <c r="AA14" s="103">
        <f t="shared" si="4"/>
        <v>-3.7758094074526682E-2</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5"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37" t="s">
        <v>109</v>
      </c>
      <c r="D2" s="237"/>
      <c r="E2" s="237"/>
      <c r="F2" s="237"/>
      <c r="G2" s="249"/>
      <c r="H2" s="250" t="s">
        <v>110</v>
      </c>
      <c r="I2" s="237"/>
      <c r="J2" s="237"/>
      <c r="K2" s="237"/>
      <c r="L2" s="237"/>
      <c r="P2" s="237" t="s">
        <v>109</v>
      </c>
      <c r="Q2" s="237"/>
      <c r="R2" s="237"/>
      <c r="S2" s="237"/>
      <c r="T2" s="237"/>
      <c r="U2" s="237"/>
      <c r="V2" s="237"/>
      <c r="W2" s="237"/>
      <c r="X2" s="237" t="s">
        <v>110</v>
      </c>
      <c r="Y2" s="237"/>
      <c r="Z2" s="237"/>
      <c r="AB2" s="85" t="s">
        <v>111</v>
      </c>
    </row>
    <row r="3" spans="1:28" ht="10" customHeight="1" x14ac:dyDescent="0.2"/>
    <row r="4" spans="1:28" ht="16" customHeight="1" x14ac:dyDescent="0.2">
      <c r="A4" s="86"/>
      <c r="B4" s="60"/>
      <c r="C4" s="246" t="s">
        <v>112</v>
      </c>
      <c r="D4" s="246"/>
      <c r="E4" s="246"/>
      <c r="F4" s="246"/>
      <c r="G4" s="246"/>
      <c r="H4" s="246"/>
      <c r="I4" s="246"/>
      <c r="J4" s="246"/>
      <c r="K4" s="246"/>
      <c r="L4" s="246"/>
      <c r="P4" s="248" t="s">
        <v>112</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11929.79</v>
      </c>
      <c r="I6" s="92">
        <f>Revenue!I8</f>
        <v>12719.964700000002</v>
      </c>
      <c r="J6" s="92">
        <f>Revenue!J8</f>
        <v>13403.119065000003</v>
      </c>
      <c r="K6" s="92">
        <f>Revenue!K8</f>
        <v>13914.015298050002</v>
      </c>
      <c r="L6" s="92">
        <f>Revenue!L8</f>
        <v>14487.348069610503</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3150.3799999999997</v>
      </c>
      <c r="Y6" s="94"/>
      <c r="Z6" s="94"/>
      <c r="AB6" s="92">
        <f>Revenue!AE8</f>
        <v>11954.38</v>
      </c>
    </row>
    <row r="7" spans="1:28" x14ac:dyDescent="0.2">
      <c r="N7" s="91"/>
    </row>
    <row r="8" spans="1:28" x14ac:dyDescent="0.2">
      <c r="N8" s="91"/>
    </row>
    <row r="9" spans="1:28" x14ac:dyDescent="0.2">
      <c r="C9" s="246" t="s">
        <v>121</v>
      </c>
      <c r="D9" s="246"/>
      <c r="E9" s="246"/>
      <c r="F9" s="246"/>
      <c r="G9" s="246"/>
      <c r="H9" s="246"/>
      <c r="I9" s="246"/>
      <c r="J9" s="246"/>
      <c r="K9" s="246"/>
      <c r="L9" s="246"/>
      <c r="N9" s="91"/>
      <c r="P9" s="248" t="s">
        <v>122</v>
      </c>
      <c r="Q9" s="248"/>
      <c r="R9" s="248"/>
      <c r="S9" s="248"/>
      <c r="T9" s="248"/>
      <c r="U9" s="248"/>
      <c r="V9" s="248"/>
      <c r="W9" s="248"/>
      <c r="X9" s="248"/>
      <c r="Y9" s="248"/>
      <c r="Z9" s="248"/>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H6*H19</f>
        <v>6298.9291200000007</v>
      </c>
      <c r="I11" s="108">
        <f>I6*I19</f>
        <v>6677.9814675000016</v>
      </c>
      <c r="J11" s="108">
        <f>J6*J19</f>
        <v>6983.0250328650018</v>
      </c>
      <c r="K11" s="108">
        <f>K6*K19</f>
        <v>7235.2879549860018</v>
      </c>
      <c r="L11" s="108">
        <f>L6*L19</f>
        <v>7460.9842558494092</v>
      </c>
      <c r="N11" s="91"/>
      <c r="O11" s="16" t="str">
        <f t="shared" ref="O11:O14" si="3">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X6*X19</f>
        <v>1575.1899999999998</v>
      </c>
      <c r="Y11" s="108"/>
      <c r="Z11" s="108"/>
      <c r="AB11" s="108">
        <f t="shared" ref="AB11:AB14" si="4">SUM(U11:X11)</f>
        <v>7023.19</v>
      </c>
    </row>
    <row r="12" spans="1:28" x14ac:dyDescent="0.2">
      <c r="B12" s="1" t="str">
        <f>Statement!B8</f>
        <v>SG&amp;A</v>
      </c>
      <c r="C12" s="98">
        <f>Statement!M8</f>
        <v>1109</v>
      </c>
      <c r="D12" s="98">
        <f>Statement!N8</f>
        <v>1178</v>
      </c>
      <c r="E12" s="98">
        <f>Statement!O8</f>
        <v>1312</v>
      </c>
      <c r="F12" s="98">
        <f>Statement!P8</f>
        <v>1374</v>
      </c>
      <c r="G12" s="99">
        <f>Statement!Q8</f>
        <v>1618</v>
      </c>
      <c r="H12" s="24">
        <f>H6*H20</f>
        <v>1049.82152</v>
      </c>
      <c r="I12" s="24">
        <f>I6*I20</f>
        <v>1170.2367524000001</v>
      </c>
      <c r="J12" s="24">
        <f>J6*J20</f>
        <v>1273.2963111750003</v>
      </c>
      <c r="K12" s="24">
        <f>K6*K20</f>
        <v>1391.4015298050003</v>
      </c>
      <c r="L12" s="24">
        <f>L6*L20</f>
        <v>1448.7348069610505</v>
      </c>
      <c r="N12" s="91"/>
      <c r="O12" s="39" t="str">
        <f t="shared" si="3"/>
        <v>SG&amp;A</v>
      </c>
      <c r="P12" s="98">
        <f>Statement!T8</f>
        <v>335</v>
      </c>
      <c r="Q12" s="98">
        <f>Statement!U8</f>
        <v>362</v>
      </c>
      <c r="R12" s="98">
        <f>Statement!V8</f>
        <v>346</v>
      </c>
      <c r="S12" s="98">
        <f>Statement!W8</f>
        <v>396</v>
      </c>
      <c r="T12" s="98">
        <f>Statement!X8</f>
        <v>414</v>
      </c>
      <c r="U12" s="98">
        <f>Statement!Y8</f>
        <v>462</v>
      </c>
      <c r="V12" s="98">
        <f>Statement!Z8</f>
        <v>457</v>
      </c>
      <c r="W12" s="99">
        <f>Statement!AA8</f>
        <v>494</v>
      </c>
      <c r="X12" s="25">
        <f>X20*X$6</f>
        <v>283.53419999999994</v>
      </c>
      <c r="Y12" s="24"/>
      <c r="Z12" s="24"/>
      <c r="AB12" s="24">
        <f t="shared" si="4"/>
        <v>1696.5342000000001</v>
      </c>
    </row>
    <row r="13" spans="1:28" x14ac:dyDescent="0.2">
      <c r="B13" s="1" t="str">
        <f>Statement!B9</f>
        <v>Amortization</v>
      </c>
      <c r="C13" s="98">
        <f>Statement!M9</f>
        <v>144</v>
      </c>
      <c r="D13" s="98">
        <f>Statement!N9</f>
        <v>216</v>
      </c>
      <c r="E13" s="98">
        <f>Statement!O9</f>
        <v>181</v>
      </c>
      <c r="F13" s="98">
        <f>Statement!P9</f>
        <v>184</v>
      </c>
      <c r="G13" s="99">
        <f>Statement!Q9</f>
        <v>200</v>
      </c>
      <c r="H13" s="24">
        <f>H6*H21</f>
        <v>811.22572000000014</v>
      </c>
      <c r="I13" s="24">
        <f>I6*I21</f>
        <v>852.23763490000022</v>
      </c>
      <c r="J13" s="24">
        <f>J6*J21</f>
        <v>924.81521548500029</v>
      </c>
      <c r="K13" s="24">
        <f>K6*K21</f>
        <v>973.98107086350024</v>
      </c>
      <c r="L13" s="24">
        <f>L6*L21</f>
        <v>985.13966873351433</v>
      </c>
      <c r="M13" s="90"/>
      <c r="N13" s="90"/>
      <c r="O13" s="39" t="str">
        <f t="shared" si="3"/>
        <v>Amortization</v>
      </c>
      <c r="P13" s="98">
        <f>Statement!T9</f>
        <v>45</v>
      </c>
      <c r="Q13" s="98">
        <f>Statement!U9</f>
        <v>47</v>
      </c>
      <c r="R13" s="98">
        <f>Statement!V9</f>
        <v>46</v>
      </c>
      <c r="S13" s="98">
        <f>Statement!W9</f>
        <v>47</v>
      </c>
      <c r="T13" s="98">
        <f>Statement!X9</f>
        <v>48</v>
      </c>
      <c r="U13" s="98">
        <f>Statement!Y9</f>
        <v>59</v>
      </c>
      <c r="V13" s="98">
        <f>Statement!Z9</f>
        <v>78</v>
      </c>
      <c r="W13" s="99">
        <f>Statement!AA9</f>
        <v>74</v>
      </c>
      <c r="X13" s="25">
        <f>X21*X$6</f>
        <v>220.5266</v>
      </c>
      <c r="Y13" s="24"/>
      <c r="Z13" s="24"/>
      <c r="AB13" s="24">
        <f t="shared" si="4"/>
        <v>431.52660000000003</v>
      </c>
    </row>
    <row r="14" spans="1:28" x14ac:dyDescent="0.2">
      <c r="B14" s="16" t="s">
        <v>22</v>
      </c>
      <c r="C14" s="106">
        <f>Statement!M10</f>
        <v>1263</v>
      </c>
      <c r="D14" s="106">
        <f>Statement!N10</f>
        <v>1394</v>
      </c>
      <c r="E14" s="106">
        <f>Statement!O10</f>
        <v>1528</v>
      </c>
      <c r="F14" s="106">
        <f>Statement!P10</f>
        <v>1567</v>
      </c>
      <c r="G14" s="107">
        <f>Statement!Q10</f>
        <v>1885</v>
      </c>
      <c r="H14" s="108">
        <f>SUM(H12:H13)</f>
        <v>1861.0472400000001</v>
      </c>
      <c r="I14" s="108">
        <f>SUM(I12:I13)</f>
        <v>2022.4743873000002</v>
      </c>
      <c r="J14" s="108">
        <f>SUM(J12:J13)</f>
        <v>2198.1115266600004</v>
      </c>
      <c r="K14" s="108">
        <f>SUM(K12:K13)</f>
        <v>2365.3826006685003</v>
      </c>
      <c r="L14" s="108">
        <f>SUM(L12:L13)</f>
        <v>2433.8744756945648</v>
      </c>
      <c r="M14" s="90"/>
      <c r="N14" s="90"/>
      <c r="O14" s="16" t="str">
        <f t="shared" si="3"/>
        <v>OpEx</v>
      </c>
      <c r="P14" s="106">
        <f>Statement!T10</f>
        <v>385</v>
      </c>
      <c r="Q14" s="106">
        <f>Statement!U10</f>
        <v>413</v>
      </c>
      <c r="R14" s="106">
        <f>Statement!V10</f>
        <v>395</v>
      </c>
      <c r="S14" s="106">
        <f>Statement!W10</f>
        <v>454</v>
      </c>
      <c r="T14" s="106">
        <f>Statement!X10</f>
        <v>494</v>
      </c>
      <c r="U14" s="106">
        <f>Statement!Y10</f>
        <v>541</v>
      </c>
      <c r="V14" s="106">
        <f>Statement!Z10</f>
        <v>560</v>
      </c>
      <c r="W14" s="107">
        <f>Statement!AA10</f>
        <v>601</v>
      </c>
      <c r="X14" s="108">
        <f>SUM(X12:X13)</f>
        <v>504.06079999999997</v>
      </c>
      <c r="Y14" s="108"/>
      <c r="Z14" s="108"/>
      <c r="AB14" s="108">
        <f t="shared" si="4"/>
        <v>2206.0608000000002</v>
      </c>
    </row>
    <row r="17" spans="2:26" x14ac:dyDescent="0.2">
      <c r="C17" s="246" t="s">
        <v>124</v>
      </c>
      <c r="D17" s="246"/>
      <c r="E17" s="246"/>
      <c r="F17" s="246"/>
      <c r="G17" s="246"/>
      <c r="H17" s="246"/>
      <c r="I17" s="246"/>
      <c r="J17" s="246"/>
      <c r="K17" s="246"/>
      <c r="L17" s="246"/>
      <c r="P17" s="248" t="s">
        <v>124</v>
      </c>
      <c r="Q17" s="248"/>
      <c r="R17" s="248"/>
      <c r="S17" s="248"/>
      <c r="T17" s="248"/>
      <c r="U17" s="248"/>
      <c r="V17" s="248"/>
      <c r="W17" s="248"/>
      <c r="X17" s="248"/>
      <c r="Y17" s="248"/>
      <c r="Z17" s="248"/>
    </row>
    <row r="18" spans="2:26" x14ac:dyDescent="0.2">
      <c r="B18" s="16" t="s">
        <v>125</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125</v>
      </c>
      <c r="P18" s="12" t="str">
        <f t="shared" ref="P18:Z18" si="6">P5</f>
        <v>Q3 2024</v>
      </c>
      <c r="Q18" s="12" t="str">
        <f t="shared" si="6"/>
        <v>Q4 2024</v>
      </c>
      <c r="R18" s="12" t="str">
        <f t="shared" si="6"/>
        <v>Q1 2025</v>
      </c>
      <c r="S18" s="12" t="str">
        <f t="shared" si="6"/>
        <v>Q2 2025</v>
      </c>
      <c r="T18" s="12" t="str">
        <f t="shared" si="6"/>
        <v>Q3 2025</v>
      </c>
      <c r="U18" s="12" t="str">
        <f t="shared" si="6"/>
        <v>Q4 2025</v>
      </c>
      <c r="V18" s="12" t="str">
        <f t="shared" si="6"/>
        <v>Q1 2026</v>
      </c>
      <c r="W18" s="12" t="str">
        <f t="shared" si="6"/>
        <v>Q2 2026</v>
      </c>
      <c r="X18" s="12" t="str">
        <f t="shared" si="6"/>
        <v>FQ1</v>
      </c>
      <c r="Y18" s="12" t="str">
        <f t="shared" si="6"/>
        <v>FQ2</v>
      </c>
      <c r="Z18" s="12" t="str">
        <f t="shared" si="6"/>
        <v>FQ3</v>
      </c>
    </row>
    <row r="19" spans="2:26" x14ac:dyDescent="0.2">
      <c r="B19" s="16" t="str">
        <f>B11</f>
        <v>COGS</v>
      </c>
      <c r="C19" s="103">
        <f t="shared" ref="C19:G21" si="7">C11/C$6</f>
        <v>0.69527811124449779</v>
      </c>
      <c r="D19" s="103">
        <f t="shared" si="7"/>
        <v>0.71591707659873505</v>
      </c>
      <c r="E19" s="103">
        <f t="shared" si="7"/>
        <v>0.65029870319102434</v>
      </c>
      <c r="F19" s="103">
        <f t="shared" si="7"/>
        <v>0.63379930104842741</v>
      </c>
      <c r="G19" s="104">
        <f t="shared" si="7"/>
        <v>0.63685239491691104</v>
      </c>
      <c r="H19" s="97">
        <v>0.52800000000000002</v>
      </c>
      <c r="I19" s="97">
        <v>0.52500000000000002</v>
      </c>
      <c r="J19" s="97">
        <v>0.52100000000000002</v>
      </c>
      <c r="K19" s="97">
        <v>0.52</v>
      </c>
      <c r="L19" s="97">
        <v>0.51500000000000001</v>
      </c>
      <c r="O19" s="16" t="str">
        <f>O11</f>
        <v>COGS</v>
      </c>
      <c r="P19" s="103">
        <f t="shared" ref="P19:W21" si="8">P11/P$6</f>
        <v>0.63500482160077143</v>
      </c>
      <c r="Q19" s="103">
        <f t="shared" si="8"/>
        <v>0.62915601023017897</v>
      </c>
      <c r="R19" s="103">
        <f t="shared" si="8"/>
        <v>0.66306483300589392</v>
      </c>
      <c r="S19" s="103">
        <f t="shared" si="8"/>
        <v>0.66034874905231233</v>
      </c>
      <c r="T19" s="103">
        <f t="shared" si="8"/>
        <v>0.62219730941704032</v>
      </c>
      <c r="U19" s="103">
        <f t="shared" si="8"/>
        <v>0.61076388888888888</v>
      </c>
      <c r="V19" s="103">
        <f t="shared" si="8"/>
        <v>0.62264150943396224</v>
      </c>
      <c r="W19" s="104">
        <f t="shared" si="8"/>
        <v>0.62278558338423951</v>
      </c>
      <c r="X19" s="97">
        <v>0.5</v>
      </c>
      <c r="Y19" s="97"/>
      <c r="Z19" s="97"/>
    </row>
    <row r="20" spans="2:26" x14ac:dyDescent="0.2">
      <c r="B20" s="1" t="str">
        <f>B12</f>
        <v>SG&amp;A</v>
      </c>
      <c r="C20" s="95">
        <f t="shared" si="7"/>
        <v>0.22188875550220089</v>
      </c>
      <c r="D20" s="95">
        <f t="shared" si="7"/>
        <v>0.20695713281799016</v>
      </c>
      <c r="E20" s="95">
        <f t="shared" si="7"/>
        <v>0.19117004225557335</v>
      </c>
      <c r="F20" s="95">
        <f t="shared" si="7"/>
        <v>0.17149276085871193</v>
      </c>
      <c r="G20" s="96">
        <f t="shared" si="7"/>
        <v>0.1581622678396872</v>
      </c>
      <c r="H20" s="97">
        <v>8.7999999999999995E-2</v>
      </c>
      <c r="I20" s="97">
        <v>9.1999999999999998E-2</v>
      </c>
      <c r="J20" s="97">
        <v>9.5000000000000001E-2</v>
      </c>
      <c r="K20" s="97">
        <v>0.1</v>
      </c>
      <c r="L20" s="97">
        <v>0.1</v>
      </c>
      <c r="O20" s="1" t="str">
        <f>O12</f>
        <v>SG&amp;A</v>
      </c>
      <c r="P20" s="95">
        <f t="shared" si="8"/>
        <v>0.16152362584378013</v>
      </c>
      <c r="Q20" s="95">
        <f t="shared" si="8"/>
        <v>0.15430520034100598</v>
      </c>
      <c r="R20" s="95">
        <f t="shared" si="8"/>
        <v>0.16994106090373282</v>
      </c>
      <c r="S20" s="95">
        <f t="shared" si="8"/>
        <v>0.15011372251705837</v>
      </c>
      <c r="T20" s="95">
        <f t="shared" si="8"/>
        <v>0.1547085201793722</v>
      </c>
      <c r="U20" s="95">
        <f t="shared" si="8"/>
        <v>0.16041666666666668</v>
      </c>
      <c r="V20" s="95">
        <f t="shared" si="8"/>
        <v>0.17245283018867924</v>
      </c>
      <c r="W20" s="96">
        <f t="shared" si="8"/>
        <v>0.15088576664630421</v>
      </c>
      <c r="X20" s="97">
        <v>0.09</v>
      </c>
      <c r="Y20" s="97"/>
      <c r="Z20" s="97"/>
    </row>
    <row r="21" spans="2:26" x14ac:dyDescent="0.2">
      <c r="B21" s="1" t="str">
        <f>B13</f>
        <v>Amortization</v>
      </c>
      <c r="C21" s="95">
        <f t="shared" si="7"/>
        <v>2.8811524609843937E-2</v>
      </c>
      <c r="D21" s="95">
        <f t="shared" si="7"/>
        <v>3.7947997189037248E-2</v>
      </c>
      <c r="E21" s="95">
        <f t="shared" si="7"/>
        <v>2.6373306134343581E-2</v>
      </c>
      <c r="F21" s="95">
        <f t="shared" si="7"/>
        <v>2.2965551672491265E-2</v>
      </c>
      <c r="G21" s="96">
        <f t="shared" si="7"/>
        <v>1.9550342130987292E-2</v>
      </c>
      <c r="H21" s="97">
        <v>6.8000000000000005E-2</v>
      </c>
      <c r="I21" s="97">
        <v>6.7000000000000004E-2</v>
      </c>
      <c r="J21" s="97">
        <v>6.9000000000000006E-2</v>
      </c>
      <c r="K21" s="97">
        <v>7.0000000000000007E-2</v>
      </c>
      <c r="L21" s="97">
        <v>6.8000000000000005E-2</v>
      </c>
      <c r="O21" s="1" t="str">
        <f>O13</f>
        <v>Amortization</v>
      </c>
      <c r="P21" s="95">
        <f t="shared" si="8"/>
        <v>2.1697203471552556E-2</v>
      </c>
      <c r="Q21" s="95">
        <f t="shared" si="8"/>
        <v>2.0034100596760442E-2</v>
      </c>
      <c r="R21" s="95">
        <f t="shared" si="8"/>
        <v>2.2593320235756387E-2</v>
      </c>
      <c r="S21" s="95">
        <f t="shared" si="8"/>
        <v>1.7816527672479151E-2</v>
      </c>
      <c r="T21" s="95">
        <f t="shared" si="8"/>
        <v>1.7937219730941704E-2</v>
      </c>
      <c r="U21" s="95">
        <f t="shared" si="8"/>
        <v>2.0486111111111111E-2</v>
      </c>
      <c r="V21" s="95">
        <f t="shared" si="8"/>
        <v>2.9433962264150942E-2</v>
      </c>
      <c r="W21" s="96">
        <f t="shared" si="8"/>
        <v>2.2602321319486866E-2</v>
      </c>
      <c r="X21" s="97">
        <v>7.0000000000000007E-2</v>
      </c>
      <c r="Y21" s="97"/>
      <c r="Z21" s="97"/>
    </row>
    <row r="22" spans="2:26" x14ac:dyDescent="0.2">
      <c r="B22" s="16" t="str">
        <f t="shared" ref="B22" si="9">B14</f>
        <v>OpEx</v>
      </c>
      <c r="C22" s="103">
        <f>C14/C$6</f>
        <v>0.25270108043217288</v>
      </c>
      <c r="D22" s="103">
        <f t="shared" ref="D22:L22" si="10">D14/D$6</f>
        <v>0.24490513000702741</v>
      </c>
      <c r="E22" s="103">
        <f t="shared" si="10"/>
        <v>0.22264315896838116</v>
      </c>
      <c r="F22" s="103">
        <f t="shared" si="10"/>
        <v>0.19558162755866201</v>
      </c>
      <c r="G22" s="104">
        <f t="shared" si="10"/>
        <v>0.18426197458455523</v>
      </c>
      <c r="H22" s="103">
        <f t="shared" si="10"/>
        <v>0.156</v>
      </c>
      <c r="I22" s="103">
        <f t="shared" si="10"/>
        <v>0.159</v>
      </c>
      <c r="J22" s="103">
        <f t="shared" si="10"/>
        <v>0.16400000000000001</v>
      </c>
      <c r="K22" s="103">
        <f t="shared" si="10"/>
        <v>0.16999999999999998</v>
      </c>
      <c r="L22" s="103">
        <f t="shared" si="10"/>
        <v>0.16800000000000001</v>
      </c>
      <c r="O22" s="16" t="str">
        <f t="shared" ref="O22" si="11">O14</f>
        <v>OpEx</v>
      </c>
      <c r="P22" s="103">
        <f t="shared" ref="P22:V22" si="12">P14/P$6</f>
        <v>0.18563162970106076</v>
      </c>
      <c r="Q22" s="103">
        <f t="shared" si="12"/>
        <v>0.17604433077578857</v>
      </c>
      <c r="R22" s="103">
        <f t="shared" si="12"/>
        <v>0.19400785854616895</v>
      </c>
      <c r="S22" s="103">
        <f t="shared" si="12"/>
        <v>0.17210007581501138</v>
      </c>
      <c r="T22" s="103">
        <f t="shared" si="12"/>
        <v>0.18460388639760836</v>
      </c>
      <c r="U22" s="103">
        <f t="shared" si="12"/>
        <v>0.18784722222222222</v>
      </c>
      <c r="V22" s="103">
        <f t="shared" si="12"/>
        <v>0.21132075471698114</v>
      </c>
      <c r="W22" s="104">
        <f t="shared" ref="W22:X22" si="13">W14/W$6</f>
        <v>0.18356750152718387</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37" t="s">
        <v>109</v>
      </c>
      <c r="D3" s="237"/>
      <c r="E3" s="237"/>
      <c r="F3" s="237"/>
      <c r="G3" s="249"/>
      <c r="H3" s="250" t="s">
        <v>110</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112</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11929.79</v>
      </c>
      <c r="I7" s="92">
        <f>Revenue!I8</f>
        <v>12719.964700000002</v>
      </c>
      <c r="J7" s="92">
        <f>Revenue!J8</f>
        <v>13403.119065000003</v>
      </c>
      <c r="K7" s="92">
        <f>Revenue!K8</f>
        <v>13914.015298050002</v>
      </c>
      <c r="L7" s="92">
        <f>Revenue!L8</f>
        <v>14487.348069610503</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6298.9291200000007</v>
      </c>
      <c r="I8" s="112">
        <f>'COGS &amp; OpEx'!I11</f>
        <v>6677.9814675000016</v>
      </c>
      <c r="J8" s="112">
        <f>'COGS &amp; OpEx'!J11</f>
        <v>6983.0250328650018</v>
      </c>
      <c r="K8" s="112">
        <f>'COGS &amp; OpEx'!K11</f>
        <v>7235.2879549860018</v>
      </c>
      <c r="L8" s="112">
        <f>'COGS &amp; OpEx'!L11</f>
        <v>7460.9842558494092</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128</v>
      </c>
      <c r="D11" s="246"/>
      <c r="E11" s="246"/>
      <c r="F11" s="246"/>
      <c r="G11" s="246"/>
      <c r="H11" s="246"/>
      <c r="I11" s="246"/>
      <c r="J11" s="246"/>
      <c r="K11" s="246"/>
      <c r="L11" s="246"/>
      <c r="N11" s="91"/>
      <c r="P11" s="251"/>
      <c r="Q11" s="251"/>
      <c r="R11" s="251"/>
      <c r="S11" s="251"/>
      <c r="T11" s="251"/>
      <c r="U11" s="251"/>
      <c r="V11" s="251"/>
      <c r="W11" s="251"/>
      <c r="X11" s="251"/>
      <c r="Y11" s="251"/>
      <c r="Z11" s="251"/>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1209.3211780821919</v>
      </c>
      <c r="I13" s="25">
        <f>I20*I7/365</f>
        <v>1393.9687342465757</v>
      </c>
      <c r="J13" s="25">
        <f>J20*J7/365</f>
        <v>1578.9975884794521</v>
      </c>
      <c r="K13" s="25">
        <f>K20*K7/365</f>
        <v>1715.4265435952059</v>
      </c>
      <c r="L13" s="25">
        <f>L20*L7/365</f>
        <v>1786.1114058423909</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172.57340054794523</v>
      </c>
      <c r="I14" s="126">
        <f t="shared" ref="I14:L14" si="2">I21*I8/365</f>
        <v>201.25423600684934</v>
      </c>
      <c r="J14" s="126">
        <f t="shared" si="2"/>
        <v>210.44732975757537</v>
      </c>
      <c r="K14" s="126">
        <f t="shared" si="2"/>
        <v>237.87248071186855</v>
      </c>
      <c r="L14" s="126">
        <f t="shared" si="2"/>
        <v>245.29263306902166</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2053.6234665205484</v>
      </c>
      <c r="I15" s="24">
        <f>I22*I8/365</f>
        <v>2286.979954623288</v>
      </c>
      <c r="J15" s="24">
        <f>J22*J8/365</f>
        <v>2487.104806225891</v>
      </c>
      <c r="K15" s="24">
        <f>K22*K8/365</f>
        <v>2656.2427012825319</v>
      </c>
      <c r="L15" s="24">
        <f>L22*L8/365</f>
        <v>2739.1010692707418</v>
      </c>
      <c r="N15" s="91"/>
      <c r="P15" s="117"/>
      <c r="Q15" s="117"/>
      <c r="R15" s="117"/>
      <c r="S15" s="117"/>
      <c r="T15" s="117"/>
      <c r="U15" s="117"/>
      <c r="V15" s="117"/>
      <c r="W15" s="117"/>
      <c r="X15" s="25"/>
      <c r="Y15" s="24"/>
      <c r="Z15" s="24"/>
      <c r="AB15" s="24"/>
    </row>
    <row r="16" spans="1:28" x14ac:dyDescent="0.2">
      <c r="D16" s="24"/>
    </row>
    <row r="18" spans="2:12" x14ac:dyDescent="0.2">
      <c r="C18" s="246" t="s">
        <v>133</v>
      </c>
      <c r="D18" s="246"/>
      <c r="E18" s="246"/>
      <c r="F18" s="246"/>
      <c r="G18" s="246"/>
      <c r="H18" s="246"/>
      <c r="I18" s="246"/>
      <c r="J18" s="246"/>
      <c r="K18" s="246"/>
      <c r="L18" s="246"/>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37</v>
      </c>
      <c r="I20" s="102">
        <v>40</v>
      </c>
      <c r="J20" s="102">
        <v>43</v>
      </c>
      <c r="K20" s="102">
        <v>45</v>
      </c>
      <c r="L20" s="102">
        <v>45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v>
      </c>
      <c r="I21" s="102">
        <v>11</v>
      </c>
      <c r="J21" s="102">
        <v>11</v>
      </c>
      <c r="K21" s="102">
        <v>12</v>
      </c>
      <c r="L21" s="102">
        <v>12</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119</v>
      </c>
      <c r="I22" s="102">
        <v>125</v>
      </c>
      <c r="J22" s="102">
        <v>130</v>
      </c>
      <c r="K22" s="102">
        <v>134</v>
      </c>
      <c r="L22" s="102">
        <v>134</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-72</v>
      </c>
      <c r="I23" s="118">
        <f t="shared" si="5"/>
        <v>-74</v>
      </c>
      <c r="J23" s="118">
        <f t="shared" si="5"/>
        <v>-76</v>
      </c>
      <c r="K23" s="118">
        <f t="shared" si="5"/>
        <v>-77</v>
      </c>
      <c r="L23" s="118">
        <f t="shared" si="5"/>
        <v>-77</v>
      </c>
    </row>
    <row r="25" spans="2:12" x14ac:dyDescent="0.2">
      <c r="B25" s="251"/>
      <c r="C25" s="251"/>
    </row>
    <row r="26" spans="2:12" x14ac:dyDescent="0.2">
      <c r="B26" s="109"/>
      <c r="C26" s="246" t="s">
        <v>139</v>
      </c>
      <c r="D26" s="246"/>
      <c r="E26" s="246"/>
      <c r="F26" s="246"/>
      <c r="G26" s="246"/>
      <c r="H26" s="246"/>
      <c r="I26" s="246"/>
      <c r="J26" s="246"/>
      <c r="K26" s="246"/>
      <c r="L26" s="246"/>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1899.6788219178081</v>
      </c>
      <c r="I28" s="126">
        <f t="shared" ref="I28:L29" si="7">-(I13-H13)</f>
        <v>-184.64755616438379</v>
      </c>
      <c r="J28" s="126">
        <f t="shared" si="7"/>
        <v>-185.02885423287648</v>
      </c>
      <c r="K28" s="126">
        <f t="shared" si="7"/>
        <v>-136.42895511575375</v>
      </c>
      <c r="L28" s="126">
        <f t="shared" si="7"/>
        <v>-70.684862247185038</v>
      </c>
    </row>
    <row r="29" spans="2:12" x14ac:dyDescent="0.2">
      <c r="B29" s="1" t="s">
        <v>141</v>
      </c>
      <c r="C29" s="114">
        <f>Statement!M55</f>
        <v>-126</v>
      </c>
      <c r="D29" s="114">
        <f>Statement!N55</f>
        <v>-211</v>
      </c>
      <c r="E29" s="114">
        <f>Statement!O55</f>
        <v>-54</v>
      </c>
      <c r="F29" s="114">
        <f>Statement!P55</f>
        <v>-369</v>
      </c>
      <c r="G29" s="115">
        <f>Statement!Q55</f>
        <v>-165</v>
      </c>
      <c r="H29" s="126">
        <f>-(H14-G14)</f>
        <v>1284.4265994520547</v>
      </c>
      <c r="I29" s="126">
        <f t="shared" si="7"/>
        <v>-28.680835458904113</v>
      </c>
      <c r="J29" s="126">
        <f t="shared" si="7"/>
        <v>-9.1930937507260353</v>
      </c>
      <c r="K29" s="126">
        <f t="shared" si="7"/>
        <v>-27.425150954293173</v>
      </c>
      <c r="L29" s="126">
        <f t="shared" si="7"/>
        <v>-7.4201523571531141</v>
      </c>
    </row>
    <row r="30" spans="2:12" x14ac:dyDescent="0.2">
      <c r="B30" s="1" t="s">
        <v>142</v>
      </c>
      <c r="C30" s="114">
        <f>Statement!M56</f>
        <v>105</v>
      </c>
      <c r="D30" s="114">
        <f>Statement!N56</f>
        <v>133</v>
      </c>
      <c r="E30" s="114">
        <f>Statement!O56</f>
        <v>-18</v>
      </c>
      <c r="F30" s="114">
        <f>Statement!P56</f>
        <v>343</v>
      </c>
      <c r="G30" s="115">
        <f>Statement!Q56</f>
        <v>381</v>
      </c>
      <c r="H30" s="64">
        <f>H15-G15</f>
        <v>297.62346652054839</v>
      </c>
      <c r="I30" s="64">
        <f t="shared" ref="I30:L30" si="8">I15-H15</f>
        <v>233.3564881027396</v>
      </c>
      <c r="J30" s="64">
        <f t="shared" si="8"/>
        <v>200.12485160260303</v>
      </c>
      <c r="K30" s="64">
        <f t="shared" si="8"/>
        <v>169.1378950566409</v>
      </c>
      <c r="L30" s="64">
        <f t="shared" si="8"/>
        <v>82.85836798820992</v>
      </c>
    </row>
    <row r="31" spans="2:12" x14ac:dyDescent="0.2">
      <c r="B31" s="109"/>
      <c r="C31" s="109"/>
    </row>
    <row r="32" spans="2:12" x14ac:dyDescent="0.2">
      <c r="B32" s="109"/>
      <c r="C32" s="109"/>
    </row>
    <row r="33" spans="2:12" x14ac:dyDescent="0.2">
      <c r="B33" s="109"/>
      <c r="C33" s="246" t="s">
        <v>143</v>
      </c>
      <c r="D33" s="246"/>
      <c r="E33" s="246"/>
      <c r="F33" s="246"/>
      <c r="G33" s="246"/>
      <c r="H33" s="246"/>
      <c r="I33" s="246"/>
      <c r="J33" s="246"/>
      <c r="K33" s="246"/>
      <c r="L33" s="246"/>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3243.1330878904109</v>
      </c>
      <c r="I35" s="126">
        <f t="shared" ref="I35:L35" si="10">I36+I28+I29+I30</f>
        <v>-234.37119752054832</v>
      </c>
      <c r="J35" s="126">
        <f t="shared" si="10"/>
        <v>-262.15947768099954</v>
      </c>
      <c r="K35" s="126">
        <f t="shared" si="10"/>
        <v>-272.99651697440606</v>
      </c>
      <c r="L35" s="126">
        <f t="shared" si="10"/>
        <v>-284.99360800833836</v>
      </c>
    </row>
    <row r="36" spans="2:12" x14ac:dyDescent="0.2">
      <c r="B36" s="1" t="s">
        <v>145</v>
      </c>
      <c r="C36" s="120">
        <f>C35-C28-C29-C30</f>
        <v>5</v>
      </c>
      <c r="D36" s="120">
        <f t="shared" ref="D36:G36" si="11">D35-D28-D29-D30</f>
        <v>5</v>
      </c>
      <c r="E36" s="120">
        <f t="shared" si="11"/>
        <v>416</v>
      </c>
      <c r="F36" s="120">
        <f t="shared" si="11"/>
        <v>421</v>
      </c>
      <c r="G36" s="121">
        <f t="shared" si="11"/>
        <v>671</v>
      </c>
      <c r="H36" s="64">
        <f>H7*H37</f>
        <v>-238.59580000000003</v>
      </c>
      <c r="I36" s="64">
        <f>I7*I37</f>
        <v>-254.39929400000005</v>
      </c>
      <c r="J36" s="64">
        <f>J7*J37</f>
        <v>-268.06238130000008</v>
      </c>
      <c r="K36" s="64">
        <f>K7*K37</f>
        <v>-278.28030596100007</v>
      </c>
      <c r="L36" s="64">
        <f>L7*L37</f>
        <v>-289.7469613922101</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-0.02</v>
      </c>
      <c r="I37" s="97">
        <v>-0.02</v>
      </c>
      <c r="J37" s="97">
        <v>-0.02</v>
      </c>
      <c r="K37" s="97">
        <v>-0.02</v>
      </c>
      <c r="L37" s="97">
        <v>-0.02</v>
      </c>
    </row>
    <row r="38" spans="2:12" x14ac:dyDescent="0.2">
      <c r="C38" s="64"/>
    </row>
    <row r="39" spans="2:12" x14ac:dyDescent="0.2">
      <c r="C39" s="125"/>
    </row>
    <row r="40" spans="2:12" x14ac:dyDescent="0.2">
      <c r="C40" s="246" t="s">
        <v>146</v>
      </c>
      <c r="D40" s="246"/>
      <c r="E40" s="246"/>
      <c r="F40" s="246"/>
      <c r="G40" s="246"/>
      <c r="H40" s="246"/>
      <c r="I40" s="246"/>
      <c r="J40" s="246"/>
      <c r="K40" s="246"/>
      <c r="L40" s="246"/>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345.96391000000006</v>
      </c>
      <c r="I42" s="25">
        <f>I7*I43</f>
        <v>368.87897630000009</v>
      </c>
      <c r="J42" s="25">
        <f>J7*J43</f>
        <v>388.69045288500007</v>
      </c>
      <c r="K42" s="25">
        <f>K7*K43</f>
        <v>403.5064436434501</v>
      </c>
      <c r="L42" s="25">
        <f>L7*L43</f>
        <v>420.13309401870464</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2.9000000000000001E-2</v>
      </c>
      <c r="I43" s="97">
        <v>2.9000000000000001E-2</v>
      </c>
      <c r="J43" s="97">
        <v>2.9000000000000001E-2</v>
      </c>
      <c r="K43" s="97">
        <v>2.9000000000000001E-2</v>
      </c>
      <c r="L43" s="97">
        <v>2.9000000000000001E-2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0.96666666666666679</v>
      </c>
      <c r="I44" s="123">
        <f t="shared" si="13"/>
        <v>0.96666666666666667</v>
      </c>
      <c r="J44" s="123">
        <f t="shared" si="13"/>
        <v>0.96666666666666667</v>
      </c>
      <c r="K44" s="123">
        <f t="shared" si="13"/>
        <v>0.96666666666666679</v>
      </c>
      <c r="L44" s="123">
        <f t="shared" si="13"/>
        <v>0.96666666666666679</v>
      </c>
    </row>
    <row r="45" spans="2:12" x14ac:dyDescent="0.2">
      <c r="B45" s="1" t="s">
        <v>57</v>
      </c>
      <c r="C45" s="114">
        <f>-Statement!M108</f>
        <v>84</v>
      </c>
      <c r="D45" s="114">
        <f>-Statement!N108</f>
        <v>111</v>
      </c>
      <c r="E45" s="114">
        <f>-Statement!O108</f>
        <v>135</v>
      </c>
      <c r="F45" s="114">
        <f>-Statement!P108</f>
        <v>184</v>
      </c>
      <c r="G45" s="115">
        <f>-Statement!Q108</f>
        <v>226</v>
      </c>
      <c r="H45" s="25">
        <f>H7*H46</f>
        <v>357.89370000000002</v>
      </c>
      <c r="I45" s="25">
        <f>I7*I46</f>
        <v>381.59894100000008</v>
      </c>
      <c r="J45" s="25">
        <f>J7*J46</f>
        <v>402.09357195000007</v>
      </c>
      <c r="K45" s="25">
        <f>K7*K46</f>
        <v>417.42045894150004</v>
      </c>
      <c r="L45" s="25">
        <f>L7*L46</f>
        <v>434.62044208831509</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37" t="s">
        <v>109</v>
      </c>
      <c r="D2" s="237"/>
      <c r="E2" s="237"/>
      <c r="F2" s="237"/>
      <c r="G2" s="249"/>
      <c r="H2" s="250" t="s">
        <v>110</v>
      </c>
      <c r="I2" s="237"/>
      <c r="J2" s="237"/>
      <c r="K2" s="237"/>
      <c r="L2" s="237"/>
      <c r="S2" s="251"/>
      <c r="T2" s="251"/>
      <c r="U2" s="251"/>
      <c r="V2" s="251"/>
      <c r="W2" s="251"/>
      <c r="X2" s="251"/>
      <c r="Y2" s="251"/>
      <c r="Z2" s="251"/>
      <c r="AA2" s="251"/>
      <c r="AB2" s="251"/>
      <c r="AC2" s="251"/>
      <c r="AE2" s="109"/>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11929.79</v>
      </c>
      <c r="I6" s="92">
        <f>Revenue!I8</f>
        <v>12719.964700000002</v>
      </c>
      <c r="J6" s="92">
        <f>Revenue!J8</f>
        <v>13403.119065000003</v>
      </c>
      <c r="K6" s="92">
        <f>Revenue!K8</f>
        <v>13914.015298050002</v>
      </c>
      <c r="L6" s="92">
        <f>Revenue!L8</f>
        <v>14487.348069610503</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6298.9291200000007</v>
      </c>
      <c r="I7" s="112">
        <f>'COGS &amp; OpEx'!I11</f>
        <v>6677.9814675000016</v>
      </c>
      <c r="J7" s="112">
        <f>'COGS &amp; OpEx'!J11</f>
        <v>6983.0250328650018</v>
      </c>
      <c r="K7" s="112">
        <f>'COGS &amp; OpEx'!K11</f>
        <v>7235.2879549860018</v>
      </c>
      <c r="L7" s="112">
        <f>'COGS &amp; OpEx'!L11</f>
        <v>7460.9842558494092</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5630.8608800000002</v>
      </c>
      <c r="I8" s="94">
        <f t="shared" si="1"/>
        <v>6041.9832325000007</v>
      </c>
      <c r="J8" s="94">
        <f t="shared" si="1"/>
        <v>6420.0940321350008</v>
      </c>
      <c r="K8" s="94">
        <f t="shared" si="1"/>
        <v>6678.7273430640007</v>
      </c>
      <c r="L8" s="94">
        <f t="shared" si="1"/>
        <v>7026.3638137610942</v>
      </c>
      <c r="N8" s="90"/>
      <c r="Q8" s="90"/>
      <c r="S8" s="88"/>
      <c r="T8" s="88"/>
      <c r="U8" s="88"/>
      <c r="V8" s="88"/>
      <c r="W8" s="88"/>
      <c r="X8" s="88"/>
      <c r="Y8" s="88"/>
      <c r="Z8" s="88"/>
      <c r="AA8" s="64"/>
      <c r="AB8" s="64"/>
      <c r="AC8" s="64"/>
      <c r="AE8" s="64"/>
    </row>
    <row r="9" spans="1:31" x14ac:dyDescent="0.2">
      <c r="B9" s="1" t="s">
        <v>22</v>
      </c>
      <c r="C9" s="88">
        <f>'COGS &amp; OpEx'!C14</f>
        <v>1263</v>
      </c>
      <c r="D9" s="88">
        <f>'COGS &amp; OpEx'!D14</f>
        <v>1394</v>
      </c>
      <c r="E9" s="88">
        <f>'COGS &amp; OpEx'!E14</f>
        <v>1528</v>
      </c>
      <c r="F9" s="88">
        <f>'COGS &amp; OpEx'!F14</f>
        <v>1567</v>
      </c>
      <c r="G9" s="89">
        <f>'COGS &amp; OpEx'!G14</f>
        <v>1885</v>
      </c>
      <c r="H9" s="112">
        <f>'COGS &amp; OpEx'!H14</f>
        <v>1861.0472400000001</v>
      </c>
      <c r="I9" s="112">
        <f>'COGS &amp; OpEx'!I14</f>
        <v>2022.4743873000002</v>
      </c>
      <c r="J9" s="112">
        <f>'COGS &amp; OpEx'!J14</f>
        <v>2198.1115266600004</v>
      </c>
      <c r="K9" s="112">
        <f>'COGS &amp; OpEx'!K14</f>
        <v>2365.3826006685003</v>
      </c>
      <c r="L9" s="112">
        <f>'COGS &amp; OpEx'!L14</f>
        <v>2433.8744756945648</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3769.8136400000003</v>
      </c>
      <c r="I10" s="94">
        <f t="shared" si="2"/>
        <v>4019.5088452000005</v>
      </c>
      <c r="J10" s="94">
        <f t="shared" si="2"/>
        <v>4221.9825054749999</v>
      </c>
      <c r="K10" s="94">
        <f t="shared" si="2"/>
        <v>4313.3447423955004</v>
      </c>
      <c r="L10" s="94">
        <f t="shared" si="2"/>
        <v>4592.4893380665289</v>
      </c>
      <c r="N10" s="90"/>
      <c r="Q10" s="90"/>
      <c r="S10" s="88"/>
      <c r="T10" s="88"/>
      <c r="U10" s="88"/>
      <c r="V10" s="88"/>
      <c r="W10" s="88"/>
      <c r="X10" s="88"/>
      <c r="Y10" s="88"/>
      <c r="Z10" s="88"/>
      <c r="AA10" s="64"/>
      <c r="AB10" s="64"/>
      <c r="AC10" s="64"/>
      <c r="AE10" s="64"/>
    </row>
    <row r="13" spans="1:31" x14ac:dyDescent="0.2">
      <c r="C13" s="246" t="s">
        <v>154</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46" t="s">
        <v>155</v>
      </c>
      <c r="D18" s="246"/>
      <c r="E18" s="246"/>
      <c r="F18" s="246"/>
      <c r="G18" s="246"/>
      <c r="H18" s="246"/>
      <c r="I18" s="246"/>
      <c r="J18" s="246"/>
      <c r="K18" s="246"/>
      <c r="L18" s="246"/>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345.96391000000006</v>
      </c>
      <c r="I20" s="88">
        <f>'WC &amp; Investments'!I42</f>
        <v>368.87897630000009</v>
      </c>
      <c r="J20" s="88">
        <f>'WC &amp; Investments'!J42</f>
        <v>388.69045288500007</v>
      </c>
      <c r="K20" s="88">
        <f>'WC &amp; Investments'!K42</f>
        <v>403.5064436434501</v>
      </c>
      <c r="L20" s="88">
        <f>'WC &amp; Investments'!L42</f>
        <v>420.13309401870464</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357.89370000000002</v>
      </c>
      <c r="I21" s="88">
        <f>'WC &amp; Investments'!I45</f>
        <v>381.59894100000008</v>
      </c>
      <c r="J21" s="88">
        <f>'WC &amp; Investments'!J45</f>
        <v>402.09357195000007</v>
      </c>
      <c r="K21" s="88">
        <f>'WC &amp; Investments'!K45</f>
        <v>417.42045894150004</v>
      </c>
      <c r="L21" s="88">
        <f>'WC &amp; Investments'!L45</f>
        <v>434.62044208831509</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3243.1330878904109</v>
      </c>
      <c r="I22" s="88">
        <f>'WC &amp; Investments'!I35</f>
        <v>-234.37119752054832</v>
      </c>
      <c r="J22" s="88">
        <f>'WC &amp; Investments'!J35</f>
        <v>-262.15947768099954</v>
      </c>
      <c r="K22" s="88">
        <f>'WC &amp; Investments'!K35</f>
        <v>-272.99651697440606</v>
      </c>
      <c r="L22" s="88">
        <f>'WC &amp; Investments'!L35</f>
        <v>-284.99360800833836</v>
      </c>
      <c r="N22" s="1" t="s">
        <v>156</v>
      </c>
    </row>
    <row r="25" spans="2:14" x14ac:dyDescent="0.2">
      <c r="C25" s="246" t="s">
        <v>260</v>
      </c>
      <c r="D25" s="246"/>
      <c r="E25" s="246"/>
      <c r="F25" s="246"/>
      <c r="G25" s="246"/>
      <c r="H25" s="246"/>
      <c r="I25" s="246"/>
      <c r="J25" s="246"/>
      <c r="K25" s="246"/>
      <c r="L25" s="246"/>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333.6144578313253</v>
      </c>
      <c r="D27" s="126">
        <f t="shared" ref="D27:L27" si="6">D10*(1-D15)</f>
        <v>343.17964071856289</v>
      </c>
      <c r="E27" s="126">
        <f t="shared" si="6"/>
        <v>993.06566604127568</v>
      </c>
      <c r="F27" s="126">
        <f t="shared" si="6"/>
        <v>1849.4705882352941</v>
      </c>
      <c r="G27" s="131">
        <f t="shared" si="6"/>
        <v>2259.6613088404133</v>
      </c>
      <c r="H27" s="126">
        <f t="shared" si="6"/>
        <v>2978.1527756000005</v>
      </c>
      <c r="I27" s="126">
        <f t="shared" si="6"/>
        <v>3175.4119877080007</v>
      </c>
      <c r="J27" s="126">
        <f t="shared" si="6"/>
        <v>3335.36617932525</v>
      </c>
      <c r="K27" s="126">
        <f t="shared" si="6"/>
        <v>3407.5423464924456</v>
      </c>
      <c r="L27" s="126">
        <f t="shared" si="6"/>
        <v>3628.0665770725582</v>
      </c>
    </row>
    <row r="28" spans="2:14" x14ac:dyDescent="0.2">
      <c r="B28" s="16" t="s">
        <v>260</v>
      </c>
      <c r="C28" s="94">
        <f>C27+C20-C21+C22</f>
        <v>345.61445783132535</v>
      </c>
      <c r="D28" s="94">
        <f t="shared" ref="D28:L28" si="7">D27+D20-D21+D22</f>
        <v>85.17964071856295</v>
      </c>
      <c r="E28" s="94">
        <f t="shared" si="7"/>
        <v>1196.0656660412756</v>
      </c>
      <c r="F28" s="94">
        <f t="shared" si="7"/>
        <v>2057.4705882352941</v>
      </c>
      <c r="G28" s="127">
        <f t="shared" si="7"/>
        <v>2681.6613088404133</v>
      </c>
      <c r="H28" s="94">
        <f t="shared" si="7"/>
        <v>6209.3560734904113</v>
      </c>
      <c r="I28" s="94">
        <f t="shared" si="7"/>
        <v>2928.3208254874521</v>
      </c>
      <c r="J28" s="94">
        <f t="shared" si="7"/>
        <v>3059.8035825792504</v>
      </c>
      <c r="K28" s="94">
        <f t="shared" si="7"/>
        <v>3120.6318142199898</v>
      </c>
      <c r="L28" s="94">
        <f t="shared" si="7"/>
        <v>3328.5856209946091</v>
      </c>
    </row>
    <row r="31" spans="2:14" x14ac:dyDescent="0.2">
      <c r="C31" s="246" t="s">
        <v>74</v>
      </c>
      <c r="D31" s="246"/>
      <c r="E31" s="246"/>
      <c r="F31" s="246"/>
      <c r="G31" s="246"/>
      <c r="H31" s="246"/>
      <c r="I31" s="246"/>
      <c r="J31" s="246"/>
      <c r="K31" s="246"/>
      <c r="L31" s="246"/>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3">
        <f>H8/H6</f>
        <v>0.47199999999999998</v>
      </c>
      <c r="I33" s="213">
        <f t="shared" ref="I33:L33" si="9">I8/I6</f>
        <v>0.47499999999999998</v>
      </c>
      <c r="J33" s="213">
        <f t="shared" si="9"/>
        <v>0.47899999999999998</v>
      </c>
      <c r="K33" s="213">
        <f t="shared" si="9"/>
        <v>0.48</v>
      </c>
      <c r="L33" s="213">
        <f t="shared" si="9"/>
        <v>0.48499999999999999</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3">
        <f>H10/H6</f>
        <v>0.316</v>
      </c>
      <c r="I34" s="213">
        <f t="shared" ref="I34:L34" si="10">I10/I6</f>
        <v>0.316</v>
      </c>
      <c r="J34" s="213">
        <f t="shared" si="10"/>
        <v>0.31499999999999995</v>
      </c>
      <c r="K34" s="213">
        <f t="shared" si="10"/>
        <v>0.31</v>
      </c>
      <c r="L34" s="213">
        <f t="shared" si="10"/>
        <v>0.31699999999999995</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37" t="s">
        <v>162</v>
      </c>
      <c r="C4" s="237"/>
    </row>
    <row r="5" spans="1:3" ht="17" customHeight="1" x14ac:dyDescent="0.2">
      <c r="B5" s="1" t="s">
        <v>163</v>
      </c>
      <c r="C5" s="136">
        <f>Statement!AC77</f>
        <v>393</v>
      </c>
    </row>
    <row r="6" spans="1:3" ht="17" customHeight="1" x14ac:dyDescent="0.2">
      <c r="B6" s="1" t="s">
        <v>1</v>
      </c>
      <c r="C6" s="133">
        <f ca="1">Overview!C5</f>
        <v>251.26499999999999</v>
      </c>
    </row>
    <row r="7" spans="1:3" ht="17" customHeight="1" x14ac:dyDescent="0.2">
      <c r="B7" s="1" t="s">
        <v>164</v>
      </c>
      <c r="C7" s="134">
        <f ca="1">C5*C6</f>
        <v>98747.14499999999</v>
      </c>
    </row>
    <row r="8" spans="1:3" ht="17" customHeight="1" x14ac:dyDescent="0.2">
      <c r="B8" s="1" t="s">
        <v>165</v>
      </c>
      <c r="C8" s="112">
        <f>Statement!AC106</f>
        <v>2940</v>
      </c>
    </row>
    <row r="9" spans="1:3" ht="17" customHeight="1" x14ac:dyDescent="0.2">
      <c r="B9" s="1" t="s">
        <v>166</v>
      </c>
      <c r="C9" s="135">
        <f ca="1">Overview!F27</f>
        <v>4.9979999999999997E-2</v>
      </c>
    </row>
    <row r="10" spans="1:3" ht="17" customHeight="1" x14ac:dyDescent="0.2">
      <c r="B10" s="1" t="s">
        <v>9</v>
      </c>
      <c r="C10" s="133">
        <f ca="1">Overview!C13</f>
        <v>2.0438999999999998</v>
      </c>
    </row>
    <row r="11" spans="1:3" ht="17" customHeight="1" x14ac:dyDescent="0.2">
      <c r="B11" s="1" t="s">
        <v>167</v>
      </c>
      <c r="C11" s="135">
        <f>[1]Sheet1!$C$12</f>
        <v>4.3999999999999997E-2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37" t="s">
        <v>169</v>
      </c>
      <c r="C15" s="237"/>
    </row>
    <row r="16" spans="1:3" ht="17" customHeight="1" x14ac:dyDescent="0.2">
      <c r="B16" s="1" t="s">
        <v>170</v>
      </c>
      <c r="C16" s="46">
        <f ca="1">C8/(C8+C7)</f>
        <v>2.8912209109617545E-2</v>
      </c>
    </row>
    <row r="17" spans="2:3" ht="17" customHeight="1" x14ac:dyDescent="0.2">
      <c r="B17" s="1" t="s">
        <v>171</v>
      </c>
      <c r="C17" s="46">
        <f ca="1">C7/(C8+C7)</f>
        <v>0.97108779089038244</v>
      </c>
    </row>
    <row r="18" spans="2:3" ht="17" customHeight="1" x14ac:dyDescent="0.2">
      <c r="B18" s="1" t="s">
        <v>172</v>
      </c>
      <c r="C18" s="46">
        <f>C13*(1-C12)</f>
        <v>4.5030000000000001E-2</v>
      </c>
    </row>
    <row r="19" spans="2:3" ht="17" customHeight="1" x14ac:dyDescent="0.2">
      <c r="B19" s="1" t="s">
        <v>173</v>
      </c>
      <c r="C19" s="46">
        <f ca="1">C9+C10*C11</f>
        <v>0.13991159999999997</v>
      </c>
    </row>
    <row r="20" spans="2:3" ht="17" customHeight="1" x14ac:dyDescent="0.2">
      <c r="B20" s="1" t="s">
        <v>161</v>
      </c>
      <c r="C20" s="46">
        <f ca="1">(C17*C19)+(C16*C18)</f>
        <v>0.1371683633401449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37" t="s">
        <v>109</v>
      </c>
      <c r="D3" s="237"/>
      <c r="E3" s="237"/>
      <c r="F3" s="237"/>
      <c r="G3" s="249"/>
      <c r="H3" s="250" t="s">
        <v>110</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176</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260</v>
      </c>
      <c r="C7" s="112">
        <f>'FCF &amp; Other'!C28</f>
        <v>345.61445783132535</v>
      </c>
      <c r="D7" s="112">
        <f>'FCF &amp; Other'!D28</f>
        <v>85.17964071856295</v>
      </c>
      <c r="E7" s="112">
        <f>'FCF &amp; Other'!E28</f>
        <v>1196.0656660412756</v>
      </c>
      <c r="F7" s="112">
        <f>'FCF &amp; Other'!F28</f>
        <v>2057.4705882352941</v>
      </c>
      <c r="G7" s="113">
        <f>'FCF &amp; Other'!G28</f>
        <v>2681.6613088404133</v>
      </c>
      <c r="H7" s="112">
        <f>'FCF &amp; Other'!H28</f>
        <v>6209.3560734904113</v>
      </c>
      <c r="I7" s="112">
        <f>'FCF &amp; Other'!I28</f>
        <v>2928.3208254874521</v>
      </c>
      <c r="J7" s="112">
        <f>'FCF &amp; Other'!J28</f>
        <v>3059.8035825792504</v>
      </c>
      <c r="K7" s="112">
        <f>'FCF &amp; Other'!K28</f>
        <v>3120.6318142199898</v>
      </c>
      <c r="L7" s="112">
        <f>'FCF &amp; Other'!L28</f>
        <v>3328.5856209946091</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 ca="1">L7*(1+C14)/(C15-C14)</f>
        <v>28976.741132401166</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318</v>
      </c>
      <c r="C10" s="137"/>
      <c r="D10" s="137"/>
      <c r="E10" s="137"/>
      <c r="F10" s="137"/>
      <c r="G10" s="138"/>
      <c r="H10" s="126">
        <f ca="1">H7/(1+$C$15)^H9</f>
        <v>5460.3665329309697</v>
      </c>
      <c r="I10" s="126">
        <f t="shared" ref="I10:L10" ca="1" si="0">I7/(1+$C$15)^I9</f>
        <v>2264.483279862915</v>
      </c>
      <c r="J10" s="126">
        <f t="shared" ca="1" si="0"/>
        <v>2080.7468324625133</v>
      </c>
      <c r="K10" s="126">
        <f t="shared" ca="1" si="0"/>
        <v>1866.1367099645909</v>
      </c>
      <c r="L10" s="126">
        <f t="shared" ca="1" si="0"/>
        <v>1750.3942918984587</v>
      </c>
      <c r="N10" s="91"/>
    </row>
    <row r="11" spans="1:28" x14ac:dyDescent="0.2">
      <c r="B11" s="1" t="s">
        <v>179</v>
      </c>
      <c r="C11" s="137"/>
      <c r="D11" s="137"/>
      <c r="E11" s="137"/>
      <c r="F11" s="137"/>
      <c r="G11" s="138"/>
      <c r="H11" s="137"/>
      <c r="I11" s="137"/>
      <c r="J11" s="137"/>
      <c r="K11" s="137"/>
      <c r="L11" s="126">
        <f ca="1">L8/(1+C15)^L9</f>
        <v>15237.920261404754</v>
      </c>
    </row>
    <row r="13" spans="1:28" x14ac:dyDescent="0.2">
      <c r="B13" s="237" t="s">
        <v>180</v>
      </c>
      <c r="C13" s="237"/>
    </row>
    <row r="14" spans="1:28" x14ac:dyDescent="0.2">
      <c r="B14" s="1" t="s">
        <v>181</v>
      </c>
      <c r="C14" s="140">
        <v>0.02</v>
      </c>
    </row>
    <row r="15" spans="1:28" x14ac:dyDescent="0.2">
      <c r="B15" s="1" t="s">
        <v>161</v>
      </c>
      <c r="C15" s="135">
        <f ca="1">IF(Overview!C28&gt;0,Overview!C28,WACC!C20)</f>
        <v>0.1371683633401449</v>
      </c>
    </row>
    <row r="18" spans="2:3" x14ac:dyDescent="0.2">
      <c r="B18" s="237" t="s">
        <v>182</v>
      </c>
      <c r="C18" s="237"/>
    </row>
    <row r="19" spans="2:3" x14ac:dyDescent="0.2">
      <c r="B19" s="1" t="s">
        <v>183</v>
      </c>
      <c r="C19" s="64">
        <f ca="1">SUM(H10:L10)</f>
        <v>13422.127647119449</v>
      </c>
    </row>
    <row r="20" spans="2:3" x14ac:dyDescent="0.2">
      <c r="B20" s="1" t="s">
        <v>179</v>
      </c>
      <c r="C20" s="64">
        <f ca="1">L11</f>
        <v>15237.920261404754</v>
      </c>
    </row>
    <row r="21" spans="2:3" x14ac:dyDescent="0.2">
      <c r="B21" s="16" t="s">
        <v>184</v>
      </c>
      <c r="C21" s="94">
        <f ca="1">C19+C20</f>
        <v>28660.047908524204</v>
      </c>
    </row>
    <row r="22" spans="2:3" x14ac:dyDescent="0.2">
      <c r="B22" s="1" t="s">
        <v>185</v>
      </c>
      <c r="C22" s="88">
        <f>Statement!AC105</f>
        <v>3111</v>
      </c>
    </row>
    <row r="23" spans="2:3" x14ac:dyDescent="0.2">
      <c r="B23" s="1" t="s">
        <v>186</v>
      </c>
      <c r="C23" s="88">
        <f>Statement!AC106</f>
        <v>2940</v>
      </c>
    </row>
    <row r="24" spans="2:3" x14ac:dyDescent="0.2">
      <c r="B24" s="16" t="s">
        <v>187</v>
      </c>
      <c r="C24" s="94">
        <f ca="1">C21+C22-C23</f>
        <v>28831.047908524204</v>
      </c>
    </row>
    <row r="25" spans="2:3" x14ac:dyDescent="0.2">
      <c r="B25" s="1" t="s">
        <v>66</v>
      </c>
      <c r="C25" s="88">
        <f>Statement!AC77</f>
        <v>393</v>
      </c>
    </row>
    <row r="26" spans="2:3" x14ac:dyDescent="0.2">
      <c r="B26" s="141" t="s">
        <v>188</v>
      </c>
      <c r="C26" s="142">
        <f ca="1">C24/C25</f>
        <v>73.361445059858028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37" t="s">
        <v>109</v>
      </c>
      <c r="D2" s="237"/>
      <c r="E2" s="237"/>
      <c r="F2" s="237"/>
      <c r="G2" s="249"/>
      <c r="H2" s="250" t="s">
        <v>110</v>
      </c>
      <c r="I2" s="237"/>
      <c r="J2" s="237"/>
      <c r="K2" s="237"/>
      <c r="L2" s="237"/>
    </row>
    <row r="3" spans="1:14" ht="10" customHeight="1" x14ac:dyDescent="0.2"/>
    <row r="4" spans="1:14" ht="16" customHeight="1" x14ac:dyDescent="0.2">
      <c r="A4" s="86"/>
      <c r="B4" s="60"/>
      <c r="C4" s="246" t="s">
        <v>190</v>
      </c>
      <c r="D4" s="246"/>
      <c r="E4" s="246"/>
      <c r="F4" s="246"/>
      <c r="G4" s="246"/>
      <c r="H4" s="246"/>
      <c r="I4" s="246"/>
      <c r="J4" s="246"/>
      <c r="K4" s="246"/>
      <c r="L4" s="246"/>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11929.79</v>
      </c>
      <c r="I6" s="92">
        <f>Revenue!I8</f>
        <v>12719.964700000002</v>
      </c>
      <c r="J6" s="92">
        <f>Revenue!J8</f>
        <v>13403.119065000003</v>
      </c>
      <c r="K6" s="92">
        <f>Revenue!K8</f>
        <v>13914.015298050002</v>
      </c>
      <c r="L6" s="92">
        <f>Revenue!L8</f>
        <v>14487.348069610503</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3769.8136400000003</v>
      </c>
      <c r="I7" s="92">
        <f>'FCF &amp; Other'!I10</f>
        <v>4019.5088452000005</v>
      </c>
      <c r="J7" s="92">
        <f>'FCF &amp; Other'!J10</f>
        <v>4221.9825054749999</v>
      </c>
      <c r="K7" s="92">
        <f>'FCF &amp; Other'!K10</f>
        <v>4313.3447423955004</v>
      </c>
      <c r="L7" s="92">
        <f>'FCF &amp; Other'!L10</f>
        <v>4592.4893380665289</v>
      </c>
      <c r="N7" s="91"/>
    </row>
    <row r="8" spans="1:14" x14ac:dyDescent="0.2">
      <c r="B8" s="16" t="s">
        <v>260</v>
      </c>
      <c r="C8" s="92">
        <f>'FCF &amp; Other'!C28</f>
        <v>345.61445783132535</v>
      </c>
      <c r="D8" s="92">
        <f>'FCF &amp; Other'!D28</f>
        <v>85.17964071856295</v>
      </c>
      <c r="E8" s="92">
        <f>'FCF &amp; Other'!E28</f>
        <v>1196.0656660412756</v>
      </c>
      <c r="F8" s="92">
        <f>'FCF &amp; Other'!F28</f>
        <v>2057.4705882352941</v>
      </c>
      <c r="G8" s="93">
        <f>'FCF &amp; Other'!G28</f>
        <v>2681.6613088404133</v>
      </c>
      <c r="H8" s="92">
        <f>'FCF &amp; Other'!H28</f>
        <v>6209.3560734904113</v>
      </c>
      <c r="I8" s="92">
        <f>'FCF &amp; Other'!I28</f>
        <v>2928.3208254874521</v>
      </c>
      <c r="J8" s="92">
        <f>'FCF &amp; Other'!J28</f>
        <v>3059.8035825792504</v>
      </c>
      <c r="K8" s="92">
        <f>'FCF &amp; Other'!K28</f>
        <v>3120.6318142199898</v>
      </c>
      <c r="L8" s="92">
        <f>'FCF &amp; Other'!L28</f>
        <v>3328.5856209946091</v>
      </c>
      <c r="N8" s="91"/>
    </row>
    <row r="9" spans="1:14" x14ac:dyDescent="0.2">
      <c r="N9" s="91"/>
    </row>
    <row r="10" spans="1:14" x14ac:dyDescent="0.2">
      <c r="C10" s="246" t="s">
        <v>118</v>
      </c>
      <c r="D10" s="246"/>
      <c r="E10" s="246"/>
      <c r="F10" s="246"/>
      <c r="G10" s="246"/>
      <c r="H10" s="246"/>
      <c r="I10" s="246"/>
      <c r="J10" s="246"/>
      <c r="K10" s="246"/>
      <c r="L10" s="246"/>
      <c r="N10" s="91"/>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0.13885554221688676</v>
      </c>
      <c r="E12" s="95">
        <f t="shared" ref="E12:L12" si="1">(E6-D6)/D6</f>
        <v>0.20572733661278989</v>
      </c>
      <c r="F12" s="95">
        <f t="shared" si="1"/>
        <v>0.1674194958472971</v>
      </c>
      <c r="G12" s="96">
        <f t="shared" si="1"/>
        <v>0.27683474787818274</v>
      </c>
      <c r="H12" s="95">
        <f t="shared" si="1"/>
        <v>0.16615738025415452</v>
      </c>
      <c r="I12" s="95">
        <f t="shared" si="1"/>
        <v>6.6235424093802273E-2</v>
      </c>
      <c r="J12" s="95">
        <f t="shared" si="1"/>
        <v>5.3707253212738885E-2</v>
      </c>
      <c r="K12" s="95">
        <f t="shared" si="1"/>
        <v>3.8117712046901057E-2</v>
      </c>
      <c r="L12" s="95">
        <f t="shared" si="1"/>
        <v>4.1205414776340765E-2</v>
      </c>
      <c r="N12" s="91"/>
    </row>
    <row r="13" spans="1:14" x14ac:dyDescent="0.2">
      <c r="B13" s="1" t="s">
        <v>153</v>
      </c>
      <c r="C13" s="137"/>
      <c r="D13" s="95">
        <f>IF(C7=0,
IF(D7=0,0,IF(D7&gt;0,1,-1)),
(D7-C7)/ABS(C7)
)</f>
        <v>-0.1423076923076923</v>
      </c>
      <c r="E13" s="95">
        <f t="shared" ref="E13:L13" si="2">IF(D7=0,
IF(E7=0,0,IF(E7&gt;0,1,-1)),
(E7-D7)/ABS(D7)
)</f>
        <v>2.9103139013452917</v>
      </c>
      <c r="F13" s="95">
        <f t="shared" si="2"/>
        <v>0.56766055045871555</v>
      </c>
      <c r="G13" s="96">
        <f t="shared" si="2"/>
        <v>0.33869787856620337</v>
      </c>
      <c r="H13" s="95">
        <f t="shared" si="2"/>
        <v>1.0600074535519128</v>
      </c>
      <c r="I13" s="95">
        <f t="shared" si="2"/>
        <v>6.6235424093802189E-2</v>
      </c>
      <c r="J13" s="95">
        <f t="shared" si="2"/>
        <v>5.0372736588647785E-2</v>
      </c>
      <c r="K13" s="95">
        <f t="shared" si="2"/>
        <v>2.16396531255218E-2</v>
      </c>
      <c r="L13" s="95">
        <f t="shared" si="2"/>
        <v>6.4716504787419374E-2</v>
      </c>
      <c r="N13" s="91"/>
    </row>
    <row r="14" spans="1:14" x14ac:dyDescent="0.2">
      <c r="B14" s="1" t="s">
        <v>260</v>
      </c>
      <c r="C14" s="137"/>
      <c r="D14" s="95">
        <f>IF(C8=0,
IF(D8=0,0,IF(D8&gt;0,1,-1)),
(D8-C8)/ABS(C8)
)</f>
        <v>-0.75354144252803723</v>
      </c>
      <c r="E14" s="95">
        <f t="shared" ref="E14:L14" si="3">IF(D8=0,
IF(E8=0,0,IF(E8&gt;0,1,-1)),
(E8-D8)/ABS(D8)
)</f>
        <v>13.04168479640723</v>
      </c>
      <c r="F14" s="95">
        <f t="shared" si="3"/>
        <v>0.72019868695427625</v>
      </c>
      <c r="G14" s="96">
        <f t="shared" si="3"/>
        <v>0.30337771250498974</v>
      </c>
      <c r="H14" s="95">
        <f t="shared" si="3"/>
        <v>1.3154885566721404</v>
      </c>
      <c r="I14" s="95">
        <f t="shared" si="3"/>
        <v>-0.52840185184590638</v>
      </c>
      <c r="J14" s="95">
        <f t="shared" si="3"/>
        <v>4.4900393408878435E-2</v>
      </c>
      <c r="K14" s="95">
        <f t="shared" si="3"/>
        <v>1.9879783129564316E-2</v>
      </c>
      <c r="L14" s="95">
        <f t="shared" si="3"/>
        <v>6.6638366572763397E-2</v>
      </c>
      <c r="N14" s="91"/>
    </row>
    <row r="15" spans="1:14" x14ac:dyDescent="0.2">
      <c r="N15" s="91"/>
    </row>
    <row r="16" spans="1:14" x14ac:dyDescent="0.2">
      <c r="C16" s="246" t="s">
        <v>192</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193</v>
      </c>
      <c r="C18" s="100">
        <f>Statement!M21</f>
        <v>360</v>
      </c>
      <c r="D18" s="100">
        <f>Statement!N21</f>
        <v>378</v>
      </c>
      <c r="E18" s="100">
        <f>Statement!O21</f>
        <v>386</v>
      </c>
      <c r="F18" s="100">
        <f>Statement!P21</f>
        <v>386</v>
      </c>
      <c r="G18" s="101">
        <f>Statement!Q21</f>
        <v>391</v>
      </c>
      <c r="H18" s="143">
        <f>G18*(1+H19)</f>
        <v>381.22499999999997</v>
      </c>
      <c r="I18" s="143">
        <f t="shared" ref="I18:L18" si="5">H18*(1+I19)</f>
        <v>371.69437499999998</v>
      </c>
      <c r="J18" s="143">
        <f t="shared" si="5"/>
        <v>362.77370999999999</v>
      </c>
      <c r="K18" s="143">
        <f t="shared" si="5"/>
        <v>354.42991466999996</v>
      </c>
      <c r="L18" s="143">
        <f t="shared" si="5"/>
        <v>346.63245654725995</v>
      </c>
      <c r="N18" s="91"/>
    </row>
    <row r="19" spans="2:14" x14ac:dyDescent="0.2">
      <c r="B19" s="1" t="s">
        <v>194</v>
      </c>
      <c r="C19" s="137"/>
      <c r="D19" s="229">
        <f>D18/C18-1</f>
        <v>5.0000000000000044E-2</v>
      </c>
      <c r="E19" s="229">
        <f t="shared" ref="E19:G19" si="6">E18/D18-1</f>
        <v>2.1164021164021163E-2</v>
      </c>
      <c r="F19" s="229">
        <f t="shared" si="6"/>
        <v>0</v>
      </c>
      <c r="G19" s="230">
        <f t="shared" si="6"/>
        <v>1.2953367875647714E-2</v>
      </c>
      <c r="H19" s="228">
        <v>-2.5000000000000001E-2</v>
      </c>
      <c r="I19" s="165">
        <v>-2.5000000000000001E-2</v>
      </c>
      <c r="J19" s="165">
        <v>-2.4E-2</v>
      </c>
      <c r="K19" s="165">
        <v>-2.3E-2</v>
      </c>
      <c r="L19" s="165">
        <v>-2.1999999999999999E-2</v>
      </c>
      <c r="N19" s="91"/>
    </row>
    <row r="20" spans="2:14" x14ac:dyDescent="0.2">
      <c r="N20" s="91"/>
    </row>
    <row r="21" spans="2:14" x14ac:dyDescent="0.2">
      <c r="C21" s="246" t="s">
        <v>195</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24.97</v>
      </c>
      <c r="D23" s="144">
        <f>Statement!N114</f>
        <v>13.66</v>
      </c>
      <c r="E23" s="144">
        <f>Statement!O114</f>
        <v>48.03</v>
      </c>
      <c r="F23" s="144">
        <f>Statement!P114</f>
        <v>113.61</v>
      </c>
      <c r="G23" s="145">
        <f>Statement!Q114</f>
        <v>162.01</v>
      </c>
      <c r="H23" s="137"/>
      <c r="I23" s="137"/>
      <c r="J23" s="137"/>
      <c r="K23" s="137"/>
      <c r="L23" s="137"/>
      <c r="N23" s="91"/>
    </row>
    <row r="24" spans="2:14" x14ac:dyDescent="0.2">
      <c r="N24" s="91"/>
    </row>
    <row r="25" spans="2:14" x14ac:dyDescent="0.2">
      <c r="N25" s="91"/>
    </row>
    <row r="26" spans="2:14" x14ac:dyDescent="0.2">
      <c r="C26" s="246" t="s">
        <v>196</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197</v>
      </c>
      <c r="C28" s="146">
        <f>C23/(C6/C18)</f>
        <v>1.7985594237695077</v>
      </c>
      <c r="D28" s="146">
        <f t="shared" ref="D28:G28" si="9">D23/(D6/D18)</f>
        <v>0.90714687280393536</v>
      </c>
      <c r="E28" s="146">
        <f t="shared" si="9"/>
        <v>2.7013813201223953</v>
      </c>
      <c r="F28" s="146">
        <f t="shared" si="9"/>
        <v>5.4734722915626559</v>
      </c>
      <c r="G28" s="147">
        <f t="shared" si="9"/>
        <v>6.1921710654936462</v>
      </c>
      <c r="H28" s="137"/>
      <c r="I28" s="137"/>
      <c r="J28" s="137"/>
      <c r="K28" s="137"/>
      <c r="L28" s="137"/>
      <c r="N28" s="91"/>
    </row>
    <row r="29" spans="2:14" x14ac:dyDescent="0.2">
      <c r="B29" s="1" t="s">
        <v>198</v>
      </c>
      <c r="C29" s="143">
        <f>C23*C18</f>
        <v>8989.1999999999989</v>
      </c>
      <c r="D29" s="143">
        <f t="shared" ref="D29:G29" si="10">D23*D18</f>
        <v>5163.4800000000005</v>
      </c>
      <c r="E29" s="143">
        <f t="shared" si="10"/>
        <v>18539.580000000002</v>
      </c>
      <c r="F29" s="143">
        <f t="shared" si="10"/>
        <v>43853.46</v>
      </c>
      <c r="G29" s="148">
        <f t="shared" si="10"/>
        <v>63345.909999999996</v>
      </c>
      <c r="H29" s="137"/>
      <c r="I29" s="137"/>
      <c r="J29" s="137"/>
      <c r="K29" s="137"/>
      <c r="L29" s="137"/>
      <c r="N29" s="91"/>
    </row>
    <row r="30" spans="2:14" x14ac:dyDescent="0.2">
      <c r="B30" s="1" t="s">
        <v>165</v>
      </c>
      <c r="C30" s="88">
        <f>Statement!M106</f>
        <v>2973</v>
      </c>
      <c r="D30" s="149">
        <f>Statement!N106</f>
        <v>3191</v>
      </c>
      <c r="E30" s="149">
        <f>Statement!O106</f>
        <v>2941</v>
      </c>
      <c r="F30" s="149">
        <f>Statement!P106</f>
        <v>2928</v>
      </c>
      <c r="G30" s="150">
        <f>Statement!Q106</f>
        <v>2913</v>
      </c>
      <c r="H30" s="137"/>
      <c r="I30" s="137"/>
      <c r="J30" s="137"/>
      <c r="K30" s="137"/>
      <c r="L30" s="137"/>
      <c r="N30" s="91"/>
    </row>
    <row r="31" spans="2:14" x14ac:dyDescent="0.2">
      <c r="B31" s="1" t="s">
        <v>174</v>
      </c>
      <c r="C31" s="149">
        <f>Statement!M105</f>
        <v>439</v>
      </c>
      <c r="D31" s="149">
        <f>Statement!N105</f>
        <v>261</v>
      </c>
      <c r="E31" s="149">
        <f>Statement!O105</f>
        <v>780</v>
      </c>
      <c r="F31" s="149">
        <f>Statement!P105</f>
        <v>1228</v>
      </c>
      <c r="G31" s="150">
        <f>Statement!Q105</f>
        <v>1828</v>
      </c>
      <c r="H31" s="137"/>
      <c r="I31" s="137"/>
      <c r="J31" s="137"/>
      <c r="K31" s="137"/>
      <c r="L31" s="137"/>
      <c r="N31" s="91"/>
    </row>
    <row r="32" spans="2:14" x14ac:dyDescent="0.2">
      <c r="B32" s="1" t="s">
        <v>199</v>
      </c>
      <c r="C32" s="143">
        <f>C29+C30-C31</f>
        <v>11523.199999999999</v>
      </c>
      <c r="D32" s="143">
        <f t="shared" ref="D32:G32" si="11">D29+D30-D31</f>
        <v>8093.48</v>
      </c>
      <c r="E32" s="143">
        <f t="shared" si="11"/>
        <v>20700.580000000002</v>
      </c>
      <c r="F32" s="143">
        <f t="shared" si="11"/>
        <v>45553.46</v>
      </c>
      <c r="G32" s="148">
        <f t="shared" si="11"/>
        <v>64430.91</v>
      </c>
      <c r="H32" s="137"/>
      <c r="I32" s="137"/>
      <c r="J32" s="137"/>
      <c r="K32" s="137"/>
      <c r="L32" s="137"/>
      <c r="N32" s="91"/>
    </row>
    <row r="33" spans="2:14" x14ac:dyDescent="0.2">
      <c r="B33" s="16" t="s">
        <v>200</v>
      </c>
      <c r="C33" s="146">
        <f>C32/C7</f>
        <v>44.319999999999993</v>
      </c>
      <c r="D33" s="146">
        <f t="shared" ref="D33:G33" si="12">D32/D7</f>
        <v>36.293632286995511</v>
      </c>
      <c r="E33" s="146">
        <f t="shared" si="12"/>
        <v>23.739197247706425</v>
      </c>
      <c r="F33" s="146">
        <f t="shared" si="12"/>
        <v>33.323672275054861</v>
      </c>
      <c r="G33" s="147">
        <f t="shared" si="12"/>
        <v>35.20814754098361</v>
      </c>
      <c r="H33" s="137"/>
      <c r="I33" s="137"/>
      <c r="J33" s="137"/>
      <c r="K33" s="137"/>
      <c r="L33" s="137"/>
      <c r="N33" s="91"/>
    </row>
    <row r="34" spans="2:14" x14ac:dyDescent="0.2">
      <c r="B34" s="16" t="s">
        <v>319</v>
      </c>
      <c r="C34" s="146">
        <f>C32/C8</f>
        <v>33.341197796834685</v>
      </c>
      <c r="D34" s="146">
        <f t="shared" ref="D34:G34" si="13">D32/D8</f>
        <v>95.016601757469161</v>
      </c>
      <c r="E34" s="146">
        <f t="shared" si="13"/>
        <v>17.307227009127804</v>
      </c>
      <c r="F34" s="146">
        <f t="shared" si="13"/>
        <v>22.140515767504358</v>
      </c>
      <c r="G34" s="147">
        <f t="shared" si="13"/>
        <v>24.026490514516468</v>
      </c>
      <c r="H34" s="137"/>
      <c r="I34" s="137"/>
      <c r="J34" s="137"/>
      <c r="K34" s="137"/>
      <c r="L34" s="137"/>
      <c r="N34" s="91"/>
    </row>
    <row r="35" spans="2:14" x14ac:dyDescent="0.2">
      <c r="N35" s="91"/>
    </row>
    <row r="36" spans="2:14" x14ac:dyDescent="0.2">
      <c r="N36" s="91"/>
    </row>
    <row r="37" spans="2:14" x14ac:dyDescent="0.2">
      <c r="B37" s="237" t="s">
        <v>201</v>
      </c>
      <c r="C37" s="237"/>
      <c r="N37" s="91"/>
    </row>
    <row r="38" spans="2:14" x14ac:dyDescent="0.2">
      <c r="B38" s="1" t="s">
        <v>202</v>
      </c>
      <c r="C38" s="64">
        <f>L7</f>
        <v>4592.4893380665289</v>
      </c>
    </row>
    <row r="39" spans="2:14" x14ac:dyDescent="0.2">
      <c r="B39" s="1" t="s">
        <v>161</v>
      </c>
      <c r="C39" s="135">
        <f ca="1">IF(Overview!C28&gt;0,Overview!C28,WACC!C20)</f>
        <v>0.1371683633401449</v>
      </c>
    </row>
    <row r="40" spans="2:14" x14ac:dyDescent="0.2">
      <c r="B40" s="39" t="s">
        <v>203</v>
      </c>
      <c r="C40" s="105">
        <v>23</v>
      </c>
    </row>
    <row r="41" spans="2:14" x14ac:dyDescent="0.2">
      <c r="B41" s="1" t="s">
        <v>199</v>
      </c>
      <c r="C41" s="24">
        <f>(C38*C40)</f>
        <v>105627.25477553016</v>
      </c>
    </row>
    <row r="42" spans="2:14" x14ac:dyDescent="0.2">
      <c r="B42" s="1" t="s">
        <v>346</v>
      </c>
      <c r="C42" s="24">
        <f ca="1">C41/(1+C39)^5-G30+G31</f>
        <v>54460.917960417595</v>
      </c>
    </row>
    <row r="43" spans="2:14" x14ac:dyDescent="0.2">
      <c r="B43" s="1" t="s">
        <v>185</v>
      </c>
      <c r="C43" s="88">
        <f>Statement!AC105</f>
        <v>3111</v>
      </c>
    </row>
    <row r="44" spans="2:14" x14ac:dyDescent="0.2">
      <c r="B44" s="1" t="s">
        <v>186</v>
      </c>
      <c r="C44" s="88">
        <f>Statement!AC106</f>
        <v>2940</v>
      </c>
    </row>
    <row r="45" spans="2:14" x14ac:dyDescent="0.2">
      <c r="B45" s="1" t="s">
        <v>187</v>
      </c>
      <c r="C45" s="64">
        <f ca="1">C42+C43-C44</f>
        <v>54631.917960417595</v>
      </c>
    </row>
    <row r="46" spans="2:14" x14ac:dyDescent="0.2">
      <c r="B46" s="1" t="s">
        <v>66</v>
      </c>
      <c r="C46" s="88">
        <f>Statement!AC77</f>
        <v>393</v>
      </c>
    </row>
    <row r="47" spans="2:14" x14ac:dyDescent="0.2">
      <c r="B47" s="141" t="s">
        <v>205</v>
      </c>
      <c r="C47" s="142">
        <f ca="1">C45/C46</f>
        <v>139.01251389419235</v>
      </c>
    </row>
    <row r="49" spans="2:3" x14ac:dyDescent="0.2">
      <c r="B49" s="237" t="s">
        <v>206</v>
      </c>
      <c r="C49" s="237"/>
    </row>
    <row r="50" spans="2:3" x14ac:dyDescent="0.2">
      <c r="B50" s="1" t="s">
        <v>207</v>
      </c>
      <c r="C50" s="64">
        <f>L6</f>
        <v>14487.348069610503</v>
      </c>
    </row>
    <row r="51" spans="2:3" x14ac:dyDescent="0.2">
      <c r="B51" s="1" t="s">
        <v>345</v>
      </c>
      <c r="C51" s="135">
        <f ca="1">IF(Overview!C29&gt;0,Overview!C29,WACC!C19)</f>
        <v>0.13991159999999997</v>
      </c>
    </row>
    <row r="52" spans="2:3" x14ac:dyDescent="0.2">
      <c r="B52" s="39" t="s">
        <v>208</v>
      </c>
      <c r="C52" s="105">
        <v>5</v>
      </c>
    </row>
    <row r="53" spans="2:3" x14ac:dyDescent="0.2">
      <c r="B53" s="1" t="s">
        <v>204</v>
      </c>
      <c r="C53" s="24">
        <f>L18</f>
        <v>346.63245654725995</v>
      </c>
    </row>
    <row r="54" spans="2:3" x14ac:dyDescent="0.2">
      <c r="B54" s="1" t="s">
        <v>188</v>
      </c>
      <c r="C54" s="24">
        <f>(C50*C52)/C53</f>
        <v>208.97275768570876</v>
      </c>
    </row>
    <row r="55" spans="2:3" x14ac:dyDescent="0.2">
      <c r="B55" s="141" t="s">
        <v>205</v>
      </c>
      <c r="C55" s="142">
        <f ca="1">C54/(1+C51)^5</f>
        <v>108.57599252621982</v>
      </c>
    </row>
    <row r="57" spans="2:3" x14ac:dyDescent="0.2">
      <c r="B57" s="237" t="s">
        <v>320</v>
      </c>
      <c r="C57" s="237"/>
    </row>
    <row r="58" spans="2:3" x14ac:dyDescent="0.2">
      <c r="B58" s="1" t="s">
        <v>209</v>
      </c>
      <c r="C58" s="64">
        <f>L8</f>
        <v>3328.5856209946091</v>
      </c>
    </row>
    <row r="59" spans="2:3" x14ac:dyDescent="0.2">
      <c r="B59" s="1" t="s">
        <v>161</v>
      </c>
      <c r="C59" s="135">
        <f ca="1">IF(Overview!C28&gt;0,Overview!C28,WACC!C20)</f>
        <v>0.1371683633401449</v>
      </c>
    </row>
    <row r="60" spans="2:3" x14ac:dyDescent="0.2">
      <c r="B60" s="39" t="s">
        <v>347</v>
      </c>
      <c r="C60" s="105">
        <v>20</v>
      </c>
    </row>
    <row r="61" spans="2:3" x14ac:dyDescent="0.2">
      <c r="B61" s="1" t="s">
        <v>199</v>
      </c>
      <c r="C61" s="24">
        <f>(C58*C60)</f>
        <v>66571.712419892181</v>
      </c>
    </row>
    <row r="62" spans="2:3" x14ac:dyDescent="0.2">
      <c r="B62" s="1" t="s">
        <v>346</v>
      </c>
      <c r="C62" s="24">
        <f ca="1">C61/(1+C59)^5-G30+G31</f>
        <v>33922.885837969174</v>
      </c>
    </row>
    <row r="63" spans="2:3" x14ac:dyDescent="0.2">
      <c r="B63" s="1" t="s">
        <v>185</v>
      </c>
      <c r="C63" s="88">
        <f>Statement!AC105</f>
        <v>3111</v>
      </c>
    </row>
    <row r="64" spans="2:3" x14ac:dyDescent="0.2">
      <c r="B64" s="1" t="s">
        <v>186</v>
      </c>
      <c r="C64" s="88">
        <f>Statement!AC106</f>
        <v>2940</v>
      </c>
    </row>
    <row r="65" spans="2:3" x14ac:dyDescent="0.2">
      <c r="B65" s="1" t="s">
        <v>187</v>
      </c>
      <c r="C65" s="64">
        <f ca="1">C62+C63-C64</f>
        <v>34093.885837969174</v>
      </c>
    </row>
    <row r="66" spans="2:3" x14ac:dyDescent="0.2">
      <c r="B66" s="1" t="s">
        <v>66</v>
      </c>
      <c r="C66" s="88">
        <f>Statement!AC77</f>
        <v>393</v>
      </c>
    </row>
    <row r="67" spans="2:3" x14ac:dyDescent="0.2">
      <c r="B67" s="141" t="s">
        <v>205</v>
      </c>
      <c r="C67" s="142">
        <f ca="1">C65/C66</f>
        <v>86.752890172949549</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37" t="s">
        <v>211</v>
      </c>
      <c r="C4" s="237"/>
      <c r="N4" s="91"/>
    </row>
    <row r="5" spans="1:14" x14ac:dyDescent="0.2">
      <c r="B5" s="1" t="s">
        <v>212</v>
      </c>
      <c r="C5" s="133">
        <f ca="1">DCF!C26</f>
        <v>73.361445059858028</v>
      </c>
    </row>
    <row r="6" spans="1:14" x14ac:dyDescent="0.2">
      <c r="B6" s="1" t="s">
        <v>213</v>
      </c>
      <c r="C6" s="133">
        <f ca="1">Multiples!C47</f>
        <v>139.01251389419235</v>
      </c>
    </row>
    <row r="7" spans="1:14" x14ac:dyDescent="0.2">
      <c r="B7" s="1" t="s">
        <v>214</v>
      </c>
      <c r="C7" s="133">
        <f ca="1">Multiples!C55</f>
        <v>108.57599252621982</v>
      </c>
    </row>
    <row r="8" spans="1:14" x14ac:dyDescent="0.2">
      <c r="B8" s="1" t="s">
        <v>321</v>
      </c>
      <c r="C8" s="133">
        <f ca="1">Multiples!C67</f>
        <v>86.752890172949549</v>
      </c>
    </row>
    <row r="9" spans="1:14" x14ac:dyDescent="0.2">
      <c r="B9" s="141" t="s">
        <v>215</v>
      </c>
      <c r="C9" s="142">
        <f ca="1">AVERAGE(C5:C8)</f>
        <v>101.92571041330494</v>
      </c>
    </row>
    <row r="10" spans="1:14" x14ac:dyDescent="0.2">
      <c r="B10" s="1" t="s">
        <v>216</v>
      </c>
      <c r="C10" s="133">
        <f ca="1">Overview!C5</f>
        <v>251.26499999999999</v>
      </c>
    </row>
    <row r="11" spans="1:14" x14ac:dyDescent="0.2">
      <c r="B11" s="1" t="s">
        <v>217</v>
      </c>
      <c r="C11" s="151">
        <f ca="1">(C9-C10)/C10</f>
        <v>-0.59434974861876921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369</v>
      </c>
    </row>
    <row r="2" spans="1:14" x14ac:dyDescent="0.2">
      <c r="A2" s="4"/>
      <c r="C2" s="237" t="s">
        <v>109</v>
      </c>
      <c r="D2" s="237"/>
      <c r="E2" s="237"/>
      <c r="F2" s="237"/>
      <c r="G2" s="249"/>
      <c r="H2" s="250" t="s">
        <v>110</v>
      </c>
      <c r="I2" s="237"/>
      <c r="J2" s="237"/>
      <c r="K2" s="237"/>
      <c r="L2" s="237"/>
    </row>
    <row r="3" spans="1:14" ht="10" customHeight="1" x14ac:dyDescent="0.2"/>
    <row r="4" spans="1:14" ht="16" customHeight="1" x14ac:dyDescent="0.2">
      <c r="A4" s="86"/>
      <c r="B4" s="60"/>
      <c r="C4" s="246" t="s">
        <v>190</v>
      </c>
      <c r="D4" s="246"/>
      <c r="E4" s="246"/>
      <c r="F4" s="246"/>
      <c r="G4" s="246"/>
      <c r="H4" s="246"/>
      <c r="I4" s="246"/>
      <c r="J4" s="246"/>
      <c r="K4" s="246"/>
      <c r="L4" s="246"/>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241</v>
      </c>
      <c r="C6" s="231">
        <f>Statement!M25</f>
        <v>0.33</v>
      </c>
      <c r="D6" s="231">
        <f>Statement!N25</f>
        <v>-0.04</v>
      </c>
      <c r="E6" s="231">
        <f>Statement!O25</f>
        <v>1.19</v>
      </c>
      <c r="F6" s="231">
        <f>Statement!P25</f>
        <v>1.28</v>
      </c>
      <c r="G6" s="232">
        <f>Statement!Q25</f>
        <v>3.41</v>
      </c>
      <c r="H6" s="137"/>
      <c r="I6" s="137"/>
      <c r="J6" s="137"/>
      <c r="K6" s="137"/>
      <c r="L6" s="137"/>
      <c r="N6" s="91"/>
    </row>
    <row r="7" spans="1:14" x14ac:dyDescent="0.2">
      <c r="B7" s="16" t="s">
        <v>370</v>
      </c>
      <c r="C7" s="231">
        <f>Statement!M81</f>
        <v>0.01</v>
      </c>
      <c r="D7" s="231">
        <f>Statement!N81</f>
        <v>0.01</v>
      </c>
      <c r="E7" s="231">
        <f>Statement!O81</f>
        <v>2.5000000000000001E-2</v>
      </c>
      <c r="F7" s="231">
        <f>Statement!P81</f>
        <v>0.112</v>
      </c>
      <c r="G7" s="232">
        <f>Statement!Q81</f>
        <v>0.17499999999999999</v>
      </c>
      <c r="H7" s="137"/>
      <c r="I7" s="137"/>
      <c r="J7" s="137"/>
      <c r="K7" s="137"/>
      <c r="L7" s="137"/>
      <c r="N7" s="91"/>
    </row>
    <row r="8" spans="1:14" x14ac:dyDescent="0.2">
      <c r="N8" s="91"/>
    </row>
    <row r="9" spans="1:14" x14ac:dyDescent="0.2">
      <c r="C9" s="246" t="s">
        <v>118</v>
      </c>
      <c r="D9" s="246"/>
      <c r="E9" s="246"/>
      <c r="F9" s="246"/>
      <c r="G9" s="246"/>
      <c r="H9" s="246"/>
      <c r="I9" s="246"/>
      <c r="J9" s="246"/>
      <c r="K9" s="246"/>
      <c r="L9" s="246"/>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241</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242</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46" t="s">
        <v>371</v>
      </c>
      <c r="D14" s="246"/>
      <c r="E14" s="246"/>
      <c r="F14" s="246"/>
      <c r="G14" s="246"/>
      <c r="H14" s="246"/>
      <c r="I14" s="246"/>
      <c r="J14" s="246"/>
      <c r="K14" s="246"/>
      <c r="L14" s="246"/>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372</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37" t="s">
        <v>373</v>
      </c>
      <c r="C20" s="237"/>
      <c r="N20" s="91"/>
    </row>
    <row r="21" spans="2:14" x14ac:dyDescent="0.2">
      <c r="B21" s="1" t="s">
        <v>374</v>
      </c>
      <c r="C21" s="233">
        <f>G7</f>
        <v>0.17499999999999999</v>
      </c>
    </row>
    <row r="22" spans="2:14" x14ac:dyDescent="0.2">
      <c r="B22" s="1" t="s">
        <v>375</v>
      </c>
      <c r="C22" s="234">
        <v>0.04</v>
      </c>
    </row>
    <row r="23" spans="2:14" x14ac:dyDescent="0.2">
      <c r="B23" s="39" t="s">
        <v>376</v>
      </c>
      <c r="C23" s="235">
        <f>C21*(1+C22)</f>
        <v>0.182</v>
      </c>
    </row>
    <row r="24" spans="2:14" x14ac:dyDescent="0.2">
      <c r="B24" s="1" t="s">
        <v>345</v>
      </c>
      <c r="C24" s="135">
        <f ca="1">IF(Overview!C29&gt;0,Overview!C29,WACC!C19)</f>
        <v>0.13991159999999997</v>
      </c>
    </row>
    <row r="25" spans="2:14" x14ac:dyDescent="0.2">
      <c r="B25" s="39" t="s">
        <v>377</v>
      </c>
      <c r="C25" s="234">
        <v>0.02</v>
      </c>
    </row>
    <row r="26" spans="2:14" x14ac:dyDescent="0.2">
      <c r="B26" s="141" t="s">
        <v>205</v>
      </c>
      <c r="C26" s="142">
        <f ca="1">C23/(C24-C25)</f>
        <v>1.5177847681125098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37" t="s">
        <v>109</v>
      </c>
      <c r="D3" s="237"/>
      <c r="E3" s="237"/>
      <c r="F3" s="237"/>
      <c r="G3" s="249"/>
      <c r="H3" s="250" t="s">
        <v>110</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176</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260</v>
      </c>
      <c r="C7" s="112">
        <f>'FCF &amp; Other'!C28</f>
        <v>345.61445783132535</v>
      </c>
      <c r="D7" s="112">
        <f>'FCF &amp; Other'!D28</f>
        <v>85.17964071856295</v>
      </c>
      <c r="E7" s="112">
        <f>'FCF &amp; Other'!E28</f>
        <v>1196.0656660412756</v>
      </c>
      <c r="F7" s="112">
        <f>'FCF &amp; Other'!F28</f>
        <v>2057.4705882352941</v>
      </c>
      <c r="G7" s="113">
        <f>'FCF &amp; Other'!G28</f>
        <v>2681.6613088404133</v>
      </c>
      <c r="H7" s="126">
        <f>G7*(1+$C$17)</f>
        <v>3325.2600229621125</v>
      </c>
      <c r="I7" s="126">
        <f t="shared" ref="I7:L7" si="0">H7*(1+$C$17)</f>
        <v>4123.3224284730195</v>
      </c>
      <c r="J7" s="126">
        <f t="shared" si="0"/>
        <v>5112.919811306544</v>
      </c>
      <c r="K7" s="126">
        <f t="shared" si="0"/>
        <v>6340.0205660201145</v>
      </c>
      <c r="L7" s="126">
        <f t="shared" si="0"/>
        <v>7861.6255018649417</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 ca="1">L7*(1+C20)/(C21-C20)</f>
        <v>68438.764384061113</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318</v>
      </c>
      <c r="C10" s="137"/>
      <c r="D10" s="137"/>
      <c r="E10" s="137"/>
      <c r="F10" s="137"/>
      <c r="G10" s="138"/>
      <c r="H10" s="126">
        <f ca="1">H7/(1+$C$21)^H9</f>
        <v>2924.1580492047819</v>
      </c>
      <c r="I10" s="126">
        <f t="shared" ref="I10:L10" ca="1" si="1">I7/(1+$C$21)^I9</f>
        <v>3188.5832370183075</v>
      </c>
      <c r="J10" s="126">
        <f t="shared" ca="1" si="1"/>
        <v>3476.9198136055115</v>
      </c>
      <c r="K10" s="126">
        <f t="shared" ca="1" si="1"/>
        <v>3791.3300333182356</v>
      </c>
      <c r="L10" s="126">
        <f t="shared" ca="1" si="1"/>
        <v>4134.1716784187347</v>
      </c>
      <c r="N10" s="91"/>
    </row>
    <row r="11" spans="1:28" x14ac:dyDescent="0.2">
      <c r="B11" s="1" t="s">
        <v>179</v>
      </c>
      <c r="C11" s="137"/>
      <c r="D11" s="137"/>
      <c r="E11" s="137"/>
      <c r="F11" s="137"/>
      <c r="G11" s="138"/>
      <c r="H11" s="137"/>
      <c r="I11" s="137"/>
      <c r="J11" s="137"/>
      <c r="K11" s="137"/>
      <c r="L11" s="126">
        <f ca="1">L8/(1+C21)^L9</f>
        <v>35989.707390086129</v>
      </c>
    </row>
    <row r="13" spans="1:28" ht="17" thickBot="1" x14ac:dyDescent="0.25"/>
    <row r="14" spans="1:28" x14ac:dyDescent="0.2">
      <c r="B14" s="252" t="s">
        <v>219</v>
      </c>
      <c r="C14" s="253"/>
    </row>
    <row r="15" spans="1:28" x14ac:dyDescent="0.2">
      <c r="B15" s="152" t="s">
        <v>220</v>
      </c>
      <c r="C15" s="153">
        <f ca="1">Overview!C5</f>
        <v>251.26499999999999</v>
      </c>
    </row>
    <row r="16" spans="1:28" x14ac:dyDescent="0.2">
      <c r="B16" s="152" t="s">
        <v>221</v>
      </c>
      <c r="C16" s="153">
        <f ca="1">C36</f>
        <v>139.41784467961483</v>
      </c>
    </row>
    <row r="17" spans="2:9" ht="17" thickBot="1" x14ac:dyDescent="0.25">
      <c r="B17" s="154" t="s">
        <v>322</v>
      </c>
      <c r="C17" s="155">
        <v>0.24</v>
      </c>
      <c r="E17" s="254" t="s">
        <v>222</v>
      </c>
      <c r="F17" s="254"/>
      <c r="G17" s="254"/>
      <c r="H17" s="254"/>
      <c r="I17" s="254"/>
    </row>
    <row r="18" spans="2:9" ht="17" thickBot="1" x14ac:dyDescent="0.25"/>
    <row r="19" spans="2:9" x14ac:dyDescent="0.2">
      <c r="B19" s="252" t="s">
        <v>180</v>
      </c>
      <c r="C19" s="253"/>
    </row>
    <row r="20" spans="2:9" x14ac:dyDescent="0.2">
      <c r="B20" s="156" t="s">
        <v>181</v>
      </c>
      <c r="C20" s="157">
        <v>0.02</v>
      </c>
    </row>
    <row r="21" spans="2:9" x14ac:dyDescent="0.2">
      <c r="B21" s="156" t="s">
        <v>161</v>
      </c>
      <c r="C21" s="219">
        <f ca="1">IF(Overview!C28&gt;0,Overview!C28,WACC!C20)</f>
        <v>0.1371683633401449</v>
      </c>
    </row>
    <row r="22" spans="2:9" x14ac:dyDescent="0.2">
      <c r="B22" s="156" t="s">
        <v>66</v>
      </c>
      <c r="C22" s="220">
        <f>Statement!AC74</f>
        <v>385</v>
      </c>
    </row>
    <row r="23" spans="2:9" x14ac:dyDescent="0.2">
      <c r="B23" s="156" t="s">
        <v>223</v>
      </c>
      <c r="C23" s="158">
        <f ca="1">C15*C22</f>
        <v>96737.024999999994</v>
      </c>
    </row>
    <row r="24" spans="2:9" x14ac:dyDescent="0.2">
      <c r="B24" s="156" t="s">
        <v>174</v>
      </c>
      <c r="C24" s="220">
        <f>Statement!AC105</f>
        <v>3111</v>
      </c>
    </row>
    <row r="25" spans="2:9" x14ac:dyDescent="0.2">
      <c r="B25" s="156" t="s">
        <v>165</v>
      </c>
      <c r="C25" s="220">
        <f>Statement!AC106</f>
        <v>2940</v>
      </c>
    </row>
    <row r="26" spans="2:9" ht="17" thickBot="1" x14ac:dyDescent="0.25">
      <c r="B26" s="154" t="s">
        <v>224</v>
      </c>
      <c r="C26" s="159">
        <f ca="1">C23+C25-C24</f>
        <v>96566.024999999994</v>
      </c>
    </row>
    <row r="27" spans="2:9" ht="17" thickBot="1" x14ac:dyDescent="0.25"/>
    <row r="28" spans="2:9" x14ac:dyDescent="0.2">
      <c r="B28" s="252" t="s">
        <v>182</v>
      </c>
      <c r="C28" s="253"/>
    </row>
    <row r="29" spans="2:9" x14ac:dyDescent="0.2">
      <c r="B29" s="156" t="s">
        <v>183</v>
      </c>
      <c r="C29" s="158">
        <f ca="1">SUM(H10:L10)</f>
        <v>17515.162811565573</v>
      </c>
    </row>
    <row r="30" spans="2:9" x14ac:dyDescent="0.2">
      <c r="B30" s="156" t="s">
        <v>179</v>
      </c>
      <c r="C30" s="158">
        <f ca="1">L11</f>
        <v>35989.707390086129</v>
      </c>
    </row>
    <row r="31" spans="2:9" x14ac:dyDescent="0.2">
      <c r="B31" s="160" t="s">
        <v>184</v>
      </c>
      <c r="C31" s="161">
        <f ca="1">C29+C30</f>
        <v>53504.870201651705</v>
      </c>
    </row>
    <row r="32" spans="2:9" x14ac:dyDescent="0.2">
      <c r="B32" s="156" t="s">
        <v>185</v>
      </c>
      <c r="C32" s="162">
        <f>C24</f>
        <v>3111</v>
      </c>
    </row>
    <row r="33" spans="2:12" x14ac:dyDescent="0.2">
      <c r="B33" s="156" t="s">
        <v>186</v>
      </c>
      <c r="C33" s="162">
        <f>C25</f>
        <v>2940</v>
      </c>
    </row>
    <row r="34" spans="2:12" x14ac:dyDescent="0.2">
      <c r="B34" s="160" t="s">
        <v>187</v>
      </c>
      <c r="C34" s="161">
        <f ca="1">C31+C32-C33</f>
        <v>53675.870201651705</v>
      </c>
    </row>
    <row r="35" spans="2:12" x14ac:dyDescent="0.2">
      <c r="B35" s="156" t="s">
        <v>66</v>
      </c>
      <c r="C35" s="158">
        <f>C22</f>
        <v>385</v>
      </c>
    </row>
    <row r="36" spans="2:12" ht="17" thickBot="1" x14ac:dyDescent="0.25">
      <c r="B36" s="163" t="s">
        <v>188</v>
      </c>
      <c r="C36" s="164">
        <f ca="1">C34/C35</f>
        <v>139.41784467961483</v>
      </c>
    </row>
    <row r="39" spans="2:12" x14ac:dyDescent="0.2">
      <c r="C39" s="246" t="s">
        <v>225</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260</v>
      </c>
      <c r="C41" s="112">
        <f>C7</f>
        <v>345.61445783132535</v>
      </c>
      <c r="D41" s="112">
        <f t="shared" si="2"/>
        <v>85.17964071856295</v>
      </c>
      <c r="E41" s="112">
        <f t="shared" si="2"/>
        <v>1196.0656660412756</v>
      </c>
      <c r="F41" s="112">
        <f t="shared" si="2"/>
        <v>2057.4705882352941</v>
      </c>
      <c r="G41" s="113">
        <f t="shared" si="2"/>
        <v>2681.6613088404133</v>
      </c>
      <c r="H41" s="143">
        <f t="shared" si="2"/>
        <v>3325.2600229621125</v>
      </c>
      <c r="I41" s="143">
        <f t="shared" si="2"/>
        <v>4123.3224284730195</v>
      </c>
      <c r="J41" s="143">
        <f t="shared" si="2"/>
        <v>5112.919811306544</v>
      </c>
      <c r="K41" s="143">
        <f t="shared" si="2"/>
        <v>6340.0205660201145</v>
      </c>
      <c r="L41" s="143">
        <f t="shared" si="2"/>
        <v>7861.6255018649417</v>
      </c>
    </row>
    <row r="42" spans="2:12" x14ac:dyDescent="0.2">
      <c r="B42" s="1" t="s">
        <v>153</v>
      </c>
      <c r="C42" s="112">
        <f>'FCF &amp; Other'!C10</f>
        <v>260</v>
      </c>
      <c r="D42" s="112">
        <f>'FCF &amp; Other'!D10</f>
        <v>223</v>
      </c>
      <c r="E42" s="112">
        <f>'FCF &amp; Other'!E10</f>
        <v>872</v>
      </c>
      <c r="F42" s="112">
        <f>'FCF &amp; Other'!F10</f>
        <v>1367</v>
      </c>
      <c r="G42" s="113">
        <f>'FCF &amp; Other'!G10</f>
        <v>1830</v>
      </c>
      <c r="H42" s="143">
        <f>H41/H43</f>
        <v>3022.9636572382838</v>
      </c>
      <c r="I42" s="143">
        <f t="shared" ref="I42:L42" si="3">I41/I43</f>
        <v>3748.474934975472</v>
      </c>
      <c r="J42" s="143">
        <f t="shared" si="3"/>
        <v>4648.1089193695852</v>
      </c>
      <c r="K42" s="143">
        <f t="shared" si="3"/>
        <v>5763.6550600182854</v>
      </c>
      <c r="L42" s="143">
        <f t="shared" si="3"/>
        <v>7146.9322744226738</v>
      </c>
    </row>
    <row r="43" spans="2:12" x14ac:dyDescent="0.2">
      <c r="B43" s="122" t="s">
        <v>323</v>
      </c>
      <c r="C43" s="95">
        <f>C41/C42</f>
        <v>1.3292863762743283</v>
      </c>
      <c r="D43" s="95">
        <f t="shared" ref="D43:G43" si="4">D41/D42</f>
        <v>0.3819714830428832</v>
      </c>
      <c r="E43" s="95">
        <f t="shared" si="4"/>
        <v>1.3716349381207289</v>
      </c>
      <c r="F43" s="95">
        <f t="shared" si="4"/>
        <v>1.5050991867119927</v>
      </c>
      <c r="G43" s="96">
        <f t="shared" si="4"/>
        <v>1.4653886933554172</v>
      </c>
      <c r="H43" s="165">
        <v>1.1000000000000001</v>
      </c>
      <c r="I43" s="165">
        <v>1.1000000000000001</v>
      </c>
      <c r="J43" s="165">
        <v>1.1000000000000001</v>
      </c>
      <c r="K43" s="165">
        <v>1.1000000000000001</v>
      </c>
      <c r="L43" s="165">
        <v>1.1000000000000001</v>
      </c>
    </row>
    <row r="44" spans="2:12" x14ac:dyDescent="0.2">
      <c r="B44" s="1" t="s">
        <v>19</v>
      </c>
      <c r="C44" s="112">
        <f>Revenue!C8</f>
        <v>4998</v>
      </c>
      <c r="D44" s="112">
        <f>Revenue!D8</f>
        <v>5692</v>
      </c>
      <c r="E44" s="112">
        <f>Revenue!E8</f>
        <v>6863</v>
      </c>
      <c r="F44" s="112">
        <f>Revenue!F8</f>
        <v>8012</v>
      </c>
      <c r="G44" s="113">
        <f>Revenue!G8</f>
        <v>10230</v>
      </c>
      <c r="H44" s="143">
        <f>H41/H45</f>
        <v>11084.200076540375</v>
      </c>
      <c r="I44" s="143">
        <f t="shared" ref="I44:L44" si="5">I41/I45</f>
        <v>13744.408094910066</v>
      </c>
      <c r="J44" s="143">
        <f t="shared" si="5"/>
        <v>17043.066037688481</v>
      </c>
      <c r="K44" s="143">
        <f t="shared" si="5"/>
        <v>21133.401886733714</v>
      </c>
      <c r="L44" s="143">
        <f t="shared" si="5"/>
        <v>26205.418339549808</v>
      </c>
    </row>
    <row r="45" spans="2:12" x14ac:dyDescent="0.2">
      <c r="B45" s="122" t="s">
        <v>324</v>
      </c>
      <c r="C45" s="95">
        <f>C41/C44</f>
        <v>6.9150551786979861E-2</v>
      </c>
      <c r="D45" s="95">
        <f t="shared" ref="D45:G45" si="6">D41/D44</f>
        <v>1.496479984514458E-2</v>
      </c>
      <c r="E45" s="95">
        <f t="shared" si="6"/>
        <v>0.17427738103471888</v>
      </c>
      <c r="F45" s="95">
        <f t="shared" si="6"/>
        <v>0.25679862559102523</v>
      </c>
      <c r="G45" s="96">
        <f t="shared" si="6"/>
        <v>0.26213698033630628</v>
      </c>
      <c r="H45" s="165">
        <v>0.3</v>
      </c>
      <c r="I45" s="165">
        <v>0.3</v>
      </c>
      <c r="J45" s="165">
        <v>0.3</v>
      </c>
      <c r="K45" s="165">
        <v>0.3</v>
      </c>
      <c r="L45" s="165">
        <v>0.3</v>
      </c>
    </row>
    <row r="46" spans="2:12" x14ac:dyDescent="0.2">
      <c r="B46" s="122" t="s">
        <v>325</v>
      </c>
      <c r="C46" s="137"/>
      <c r="D46" s="95">
        <f>D41/C41-1</f>
        <v>-0.75354144252803723</v>
      </c>
      <c r="E46" s="95">
        <f t="shared" ref="E46:L47" si="7">E41/D41-1</f>
        <v>13.04168479640723</v>
      </c>
      <c r="F46" s="95">
        <f t="shared" si="7"/>
        <v>0.72019868695427625</v>
      </c>
      <c r="G46" s="96">
        <f t="shared" si="7"/>
        <v>0.30337771250498968</v>
      </c>
      <c r="H46" s="166">
        <f t="shared" si="7"/>
        <v>0.24</v>
      </c>
      <c r="I46" s="166">
        <f t="shared" si="7"/>
        <v>0.24</v>
      </c>
      <c r="J46" s="166">
        <f t="shared" si="7"/>
        <v>0.24</v>
      </c>
      <c r="K46" s="166">
        <f t="shared" si="7"/>
        <v>0.24</v>
      </c>
      <c r="L46" s="166">
        <f t="shared" si="7"/>
        <v>0.24</v>
      </c>
    </row>
    <row r="47" spans="2:12" x14ac:dyDescent="0.2">
      <c r="B47" s="122" t="s">
        <v>226</v>
      </c>
      <c r="C47" s="137"/>
      <c r="D47" s="95">
        <f>D42/C42-1</f>
        <v>-0.14230769230769236</v>
      </c>
      <c r="E47" s="95">
        <f t="shared" si="7"/>
        <v>2.9103139013452917</v>
      </c>
      <c r="F47" s="95">
        <f t="shared" si="7"/>
        <v>0.56766055045871555</v>
      </c>
      <c r="G47" s="96">
        <f t="shared" si="7"/>
        <v>0.33869787856620337</v>
      </c>
      <c r="H47" s="166">
        <f t="shared" si="7"/>
        <v>0.65189270887337902</v>
      </c>
      <c r="I47" s="166">
        <f t="shared" si="7"/>
        <v>0.24</v>
      </c>
      <c r="J47" s="166">
        <f t="shared" si="7"/>
        <v>0.24</v>
      </c>
      <c r="K47" s="166">
        <f t="shared" si="7"/>
        <v>0.24</v>
      </c>
      <c r="L47" s="166">
        <f t="shared" si="7"/>
        <v>0.24</v>
      </c>
    </row>
    <row r="48" spans="2:12" x14ac:dyDescent="0.2">
      <c r="B48" s="122" t="s">
        <v>227</v>
      </c>
      <c r="C48" s="137"/>
      <c r="D48" s="95">
        <f>D44/C44-1</f>
        <v>0.13885554221688667</v>
      </c>
      <c r="E48" s="95">
        <f t="shared" ref="E48:L48" si="8">E44/D44-1</f>
        <v>0.20572733661278986</v>
      </c>
      <c r="F48" s="95">
        <f t="shared" si="8"/>
        <v>0.16741949584729721</v>
      </c>
      <c r="G48" s="96">
        <f t="shared" si="8"/>
        <v>0.27683474787818274</v>
      </c>
      <c r="H48" s="166">
        <f t="shared" si="8"/>
        <v>8.3499518723399335E-2</v>
      </c>
      <c r="I48" s="166">
        <f t="shared" si="8"/>
        <v>0.24</v>
      </c>
      <c r="J48" s="166">
        <f t="shared" si="8"/>
        <v>0.24</v>
      </c>
      <c r="K48" s="166">
        <f t="shared" si="8"/>
        <v>0.24</v>
      </c>
      <c r="L48" s="166">
        <f t="shared" si="8"/>
        <v>0.24</v>
      </c>
    </row>
    <row r="49" spans="2:12" x14ac:dyDescent="0.2">
      <c r="B49" s="122" t="s">
        <v>228</v>
      </c>
      <c r="C49" s="95">
        <f>C42/C44</f>
        <v>5.202080832332933E-2</v>
      </c>
      <c r="D49" s="95">
        <f t="shared" ref="D49:L49" si="9">D42/D44</f>
        <v>3.9177793394237527E-2</v>
      </c>
      <c r="E49" s="95">
        <f t="shared" si="9"/>
        <v>0.1270581378405945</v>
      </c>
      <c r="F49" s="95">
        <f t="shared" si="9"/>
        <v>0.17061907139291063</v>
      </c>
      <c r="G49" s="96">
        <f t="shared" si="9"/>
        <v>0.17888563049853373</v>
      </c>
      <c r="H49" s="166">
        <f t="shared" si="9"/>
        <v>0.27272727272727271</v>
      </c>
      <c r="I49" s="166">
        <f t="shared" si="9"/>
        <v>0.27272727272727271</v>
      </c>
      <c r="J49" s="166">
        <f t="shared" si="9"/>
        <v>0.27272727272727271</v>
      </c>
      <c r="K49" s="166">
        <f t="shared" si="9"/>
        <v>0.27272727272727271</v>
      </c>
      <c r="L49" s="166">
        <f t="shared" si="9"/>
        <v>0.27272727272727271</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2026-09-21T20:02:49Z</dcterms:modified>
</cp:coreProperties>
</file>