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AC91626-01F1-7F41-966D-2E73868088C9}"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8" l="1"/>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G11" i="21" l="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7" i="12"/>
  <c r="C46"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0" i="1" s="1"/>
  <c r="C53" i="12"/>
  <c r="AC77" i="3"/>
  <c r="C5" i="10" s="1"/>
  <c r="C7" i="10" s="1"/>
  <c r="C17" i="10" s="1"/>
  <c r="AA147" i="3"/>
  <c r="AA148" i="3" s="1"/>
  <c r="C53" i="16"/>
  <c r="I72" i="17"/>
  <c r="C66" i="12"/>
  <c r="C45"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52" i="3"/>
  <c r="AC134" i="3"/>
  <c r="L68" i="19"/>
  <c r="Q134" i="3"/>
  <c r="L79" i="19" s="1"/>
  <c r="C18" i="16"/>
  <c r="I18" i="17"/>
  <c r="F52" i="16"/>
  <c r="I75" i="17"/>
  <c r="F53" i="16"/>
  <c r="I76" i="17"/>
  <c r="F54" i="16"/>
  <c r="I77" i="17"/>
  <c r="AC163" i="3"/>
  <c r="I6" i="17"/>
  <c r="C23" i="14"/>
  <c r="C55"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8" i="12"/>
  <c r="C69"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1" i="12"/>
  <c r="C40"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H21" i="6" l="1"/>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2" i="12"/>
  <c r="C56" i="12" s="1"/>
  <c r="C57"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L34" i="8"/>
  <c r="L27" i="8"/>
  <c r="L7" i="12"/>
  <c r="K23" i="12"/>
  <c r="K18" i="12"/>
  <c r="K12" i="12"/>
  <c r="K28" i="12"/>
  <c r="L20" i="6"/>
  <c r="L10" i="6"/>
  <c r="L26" i="8"/>
  <c r="L19" i="8"/>
  <c r="L14" i="8"/>
  <c r="L32" i="8"/>
  <c r="L34" i="7"/>
  <c r="L41" i="7"/>
  <c r="L19" i="7"/>
  <c r="L27" i="7"/>
  <c r="L12" i="7"/>
  <c r="AC65" i="3"/>
  <c r="L28" i="8" l="1"/>
  <c r="K7" i="11"/>
  <c r="K10" i="11" s="1"/>
  <c r="K9" i="12" s="1"/>
  <c r="K8" i="12"/>
  <c r="K15" i="12" s="1"/>
  <c r="L14" i="12"/>
  <c r="C39" i="12"/>
  <c r="C42" i="12" s="1"/>
  <c r="C43" i="12" s="1"/>
  <c r="L28" i="12"/>
  <c r="L23" i="12"/>
  <c r="L18" i="12"/>
  <c r="L12" i="12"/>
  <c r="C44" i="12" l="1"/>
  <c r="C47" i="12" s="1"/>
  <c r="C49" i="12" s="1"/>
  <c r="C6" i="13" s="1"/>
  <c r="I4" i="1" s="1"/>
  <c r="L7" i="11"/>
  <c r="L8" i="12"/>
  <c r="L8" i="11" l="1"/>
  <c r="L11" i="11" s="1"/>
  <c r="C20" i="11" s="1"/>
  <c r="L10" i="11"/>
  <c r="C60" i="12"/>
  <c r="C63" i="12" s="1"/>
  <c r="C64" i="12" s="1"/>
  <c r="C65" i="12" s="1"/>
  <c r="C68" i="12" s="1"/>
  <c r="L15" i="12"/>
  <c r="C19" i="11" l="1"/>
  <c r="C21" i="11" s="1"/>
  <c r="C24" i="11" s="1"/>
  <c r="C26" i="11" s="1"/>
  <c r="C5" i="13" s="1"/>
  <c r="L9" i="12"/>
  <c r="C70" i="12"/>
  <c r="C8" i="13" s="1"/>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<sst xmlns="http://schemas.openxmlformats.org/spreadsheetml/2006/main" count="726" uniqueCount="400">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</sst>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0" fontId="4" fillId="2" borderId="0" xfId="0" applyFont="1" applyFill="1" applyAlignment="1">
      <alignment horizontal="center"/>
    </xf>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https://www.bing.com/financeapi/forcetrigger?t=b19hc7&amp;q=XNYS%3aVRT&amp;form=skydnc</v>
    <v>Learn more on Bing</v>
  </rv>
  <rv s="1">
    <v>0</v>
    <v>VERTIV HOLDINGS CO (XNYS:VRT)</v>
    <v>2</v>
    <v>3</v>
    <v>Finance</v>
    <v>4</v>
    <v>en-US</v>
    <v>b19hc7</v>
    <v>268435456</v>
    <v>1</v>
    <v>Powered by Refinitiv</v>
    <v>379.935</v>
    <v>133.85</v>
    <v>2.0425</v>
    <v>5.28</v>
    <v>2.1524999999999999E-2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254.48</v>
    <v>Machinery, Equipment &amp; Components</v>
    <v>Stock</v>
    <v>46290.718816747656</v>
    <v>0</v>
    <v>248</v>
    <v>96470343156</v>
    <v>VERTIV HOLDINGS CO</v>
    <v>VERTIV HOLDINGS CO</v>
    <v>249.18</v>
    <v>56.706400000000002</v>
    <v>245.3</v>
    <v>250.58</v>
    <v>384988200</v>
    <v>VRT</v>
    <v>VERTIV HOLDINGS CO (XNYS:VRT)</v>
    <v>2360534</v>
    <v>5124338</v>
    <v>2016</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51.81</v>
    <v>39.47</v>
    <v>0.48</v>
    <v>9.3860000000000002E-3</v>
    <v>US</v>
    <v>51.81</v>
    <v>Index</v>
    <v>6</v>
    <v>50.87</v>
    <v>10 Y TSY YLD NDX</v>
    <v>51.21</v>
    <v>51.14</v>
    <v>51.62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opLeftCell="A24"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4" t="s">
        <v>17</v>
      </c>
      <c r="C2" s="245"/>
      <c r="E2" s="244" t="s">
        <v>280</v>
      </c>
      <c r="F2" s="245"/>
      <c r="H2" s="244" t="s">
        <v>318</v>
      </c>
      <c r="I2" s="245"/>
    </row>
    <row r="3" spans="2:9" x14ac:dyDescent="0.2">
      <c r="B3" s="179" t="s">
        <v>11</v>
      </c>
      <c r="C3" s="211" t="e" vm="1">
        <v>#VALUE!</v>
      </c>
      <c r="D3" s="2"/>
      <c r="E3" s="179" t="s">
        <v>232</v>
      </c>
      <c r="F3" s="181">
        <f ca="1">Statement!AC147</f>
        <v>98477.94</v>
      </c>
      <c r="H3" s="179" t="str">
        <f>'AVG target price'!B5</f>
        <v>DCF price</v>
      </c>
      <c r="I3" s="205">
        <f>'AVG target price'!C5</f>
        <v>163.70032761345942</v>
      </c>
    </row>
    <row r="4" spans="2:9" x14ac:dyDescent="0.2">
      <c r="B4" s="179" t="s">
        <v>0</v>
      </c>
      <c r="C4" s="183" t="str" cm="1">
        <f t="array" aca="1" ref="C4" ca="1">_FV(C3,"Ticker symbol",TRUE)</f>
        <v>VRT</v>
      </c>
      <c r="E4" s="180" t="s">
        <v>184</v>
      </c>
      <c r="F4" s="182">
        <f ca="1">Statement!AC148</f>
        <v>98306.94</v>
      </c>
      <c r="H4" s="179" t="str">
        <f>'AVG target price'!B6</f>
        <v>EV/EBIT price</v>
      </c>
      <c r="I4" s="205">
        <f>'AVG target price'!C6</f>
        <v>406.47605820361872</v>
      </c>
    </row>
    <row r="5" spans="2:9" x14ac:dyDescent="0.2">
      <c r="B5" s="179" t="s">
        <v>1</v>
      </c>
      <c r="C5" s="202" cm="1">
        <f t="array" aca="1" ref="C5" ca="1">_FV(C3,"Price",TRUE)</f>
        <v>250.58</v>
      </c>
      <c r="E5" s="179" t="s">
        <v>236</v>
      </c>
      <c r="F5" s="183">
        <f>Statement!AC25</f>
        <v>4.42</v>
      </c>
      <c r="H5" s="179" t="str">
        <f>'AVG target price'!B7</f>
        <v>PS price</v>
      </c>
      <c r="I5" s="205">
        <f>'AVG target price'!C7</f>
        <v>238.80422150261779</v>
      </c>
    </row>
    <row r="6" spans="2:9" x14ac:dyDescent="0.2">
      <c r="B6" s="179" t="s">
        <v>2</v>
      </c>
      <c r="C6" s="202" t="e" cm="1" vm="2">
        <f t="array" ref="C6">_FV(C3,"Price (Extended hours)",TRUE)</f>
        <v>#VALUE!</v>
      </c>
      <c r="E6" s="179" t="s">
        <v>230</v>
      </c>
      <c r="F6" s="184">
        <f ca="1">Statement!AC144</f>
        <v>56.692307692307693</v>
      </c>
      <c r="H6" s="179" t="str">
        <f>'AVG target price'!B8</f>
        <v>EV/FCFF price</v>
      </c>
      <c r="I6" s="205">
        <f>'AVG target price'!C8</f>
        <v>414.00266184562895</v>
      </c>
    </row>
    <row r="7" spans="2:9" x14ac:dyDescent="0.2">
      <c r="B7" s="179" t="s">
        <v>3</v>
      </c>
      <c r="C7" s="6" cm="1">
        <f t="array" aca="1" ref="C7" ca="1">_FV(C3,"Change")</f>
        <v>5.28</v>
      </c>
      <c r="E7" s="180" t="s">
        <v>197</v>
      </c>
      <c r="F7" s="185">
        <f ca="1">Statement!AC145</f>
        <v>8.55639024390244</v>
      </c>
      <c r="H7" s="178" t="str">
        <f>'AVG target price'!B9</f>
        <v>AVG price</v>
      </c>
      <c r="I7" s="206">
        <f>'AVG target price'!C9</f>
        <v>305.74581729133126</v>
      </c>
    </row>
    <row r="8" spans="2:9" x14ac:dyDescent="0.2">
      <c r="B8" s="179" t="s">
        <v>4</v>
      </c>
      <c r="C8" s="6" t="e" cm="1" vm="3">
        <f t="array" ref="C8">_FV(C3,"Change (extended hours)",TRUE)</f>
        <v>#VALUE!</v>
      </c>
      <c r="E8" s="179" t="s">
        <v>258</v>
      </c>
      <c r="F8" s="186">
        <f ca="1">Statement!AC155</f>
        <v>2.9427910453853928E-2</v>
      </c>
      <c r="H8" s="178" t="str">
        <f>'AVG target price'!B11</f>
        <v>Upside/Downside</v>
      </c>
      <c r="I8" s="207">
        <f ca="1">'AVG target price'!C11</f>
        <v>0.22015251532975996</v>
      </c>
    </row>
    <row r="9" spans="2:9" x14ac:dyDescent="0.2">
      <c r="B9" s="179" t="s">
        <v>5</v>
      </c>
      <c r="C9" s="73" cm="1">
        <f t="array" aca="1" ref="C9" ca="1">_FV(C3,"Change (%)",TRUE)</f>
        <v>2.1524999999999999E-2</v>
      </c>
      <c r="E9" s="179" t="s">
        <v>281</v>
      </c>
      <c r="F9" s="186">
        <f ca="1">Statement!AC156</f>
        <v>1.7639077340569877E-2</v>
      </c>
    </row>
    <row r="10" spans="2:9" x14ac:dyDescent="0.2">
      <c r="B10" s="179" t="s">
        <v>6</v>
      </c>
      <c r="C10" s="73" t="e" cm="1" vm="4">
        <f t="array" ref="C10">_FV(C3,"Change % (extended hours)",TRUE)</f>
        <v>#VALUE!</v>
      </c>
      <c r="E10" s="179" t="s">
        <v>286</v>
      </c>
      <c r="F10" s="186">
        <f ca="1">Statement!AC158</f>
        <v>0</v>
      </c>
      <c r="H10" s="178" t="s">
        <v>359</v>
      </c>
      <c r="I10" s="206">
        <f>DDM!C26</f>
        <v>2.1</v>
      </c>
    </row>
    <row r="11" spans="2:9" x14ac:dyDescent="0.2">
      <c r="B11" s="179" t="s">
        <v>7</v>
      </c>
      <c r="C11" s="203" cm="1">
        <f t="array" aca="1" ref="C11" ca="1">_FV(C3,"52 week high",TRUE)</f>
        <v>379.935</v>
      </c>
      <c r="E11" s="180" t="s">
        <v>282</v>
      </c>
      <c r="F11" s="187">
        <f ca="1">Statement!AC157</f>
        <v>8.9791683294756163E-4</v>
      </c>
    </row>
    <row r="12" spans="2:9" x14ac:dyDescent="0.2">
      <c r="B12" s="179" t="s">
        <v>8</v>
      </c>
      <c r="C12" s="203" cm="1">
        <f t="array" aca="1" ref="C12" ca="1">_FV(C3,"52 week low",TRUE)</f>
        <v>133.85</v>
      </c>
      <c r="E12" s="179" t="s">
        <v>98</v>
      </c>
      <c r="F12" s="186">
        <f>Statement!AC121</f>
        <v>0.10898685617256777</v>
      </c>
    </row>
    <row r="13" spans="2:9" x14ac:dyDescent="0.2">
      <c r="B13" s="179" t="s">
        <v>9</v>
      </c>
      <c r="C13" s="203" cm="1">
        <f t="array" aca="1" ref="C13" ca="1">_FV(C3,"Beta")</f>
        <v>2.0425</v>
      </c>
      <c r="E13" s="179" t="s">
        <v>100</v>
      </c>
      <c r="F13" s="186">
        <f>Statement!AC123</f>
        <v>0.36422866750735605</v>
      </c>
    </row>
    <row r="14" spans="2:9" x14ac:dyDescent="0.2">
      <c r="B14" s="180" t="s">
        <v>10</v>
      </c>
      <c r="C14" s="204" cm="1">
        <f t="array" aca="1" ref="C14" ca="1">_FV(C3,"Volume average",TRUE)</f>
        <v>5124338</v>
      </c>
      <c r="E14" s="180" t="s">
        <v>101</v>
      </c>
      <c r="F14" s="187">
        <f>Statement!AC134</f>
        <v>0.38772932950804095</v>
      </c>
    </row>
    <row r="15" spans="2:9" x14ac:dyDescent="0.2">
      <c r="E15" s="179" t="s">
        <v>283</v>
      </c>
      <c r="F15" s="186">
        <f ca="1">Statement!AC170</f>
        <v>1.7364294988298902E-3</v>
      </c>
    </row>
    <row r="16" spans="2:9" x14ac:dyDescent="0.2">
      <c r="E16" s="180" t="s">
        <v>288</v>
      </c>
      <c r="F16" s="185">
        <f>Statement!AC169</f>
        <v>0.44415584415584414</v>
      </c>
    </row>
    <row r="17" spans="2:9" x14ac:dyDescent="0.2">
      <c r="B17" s="246" t="s">
        <v>87</v>
      </c>
      <c r="C17" s="246"/>
      <c r="E17" s="178" t="s">
        <v>289</v>
      </c>
      <c r="F17" s="188">
        <f>Statement!AC165</f>
        <v>2.5445292620865138E-2</v>
      </c>
    </row>
    <row r="18" spans="2:9" x14ac:dyDescent="0.2">
      <c r="B18" s="178" t="s">
        <v>12</v>
      </c>
      <c r="C18" s="69" t="s">
        <v>348</v>
      </c>
      <c r="E18" s="179" t="s">
        <v>290</v>
      </c>
      <c r="F18" s="184">
        <f>Statement!AC138</f>
        <v>121.79481880602383</v>
      </c>
      <c r="I18" s="50"/>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6" t="s">
        <v>103</v>
      </c>
      <c r="C25" s="246"/>
      <c r="E25" s="244" t="s">
        <v>331</v>
      </c>
      <c r="F25" s="245"/>
    </row>
    <row r="26" spans="2:9" x14ac:dyDescent="0.2">
      <c r="B26" s="178" t="s">
        <v>104</v>
      </c>
      <c r="C26" s="164">
        <v>0.21</v>
      </c>
      <c r="E26" s="179" t="e" vm="5">
        <v>#VALUE!</v>
      </c>
      <c r="F26" s="213" cm="1">
        <f t="array" aca="1" ref="F26" ca="1">_FV(E26,"Price")</f>
        <v>51.62</v>
      </c>
    </row>
    <row r="27" spans="2:9" x14ac:dyDescent="0.2">
      <c r="B27" s="178" t="s">
        <v>168</v>
      </c>
      <c r="C27" s="215">
        <v>5.7000000000000002E-2</v>
      </c>
      <c r="E27" s="180" t="s">
        <v>332</v>
      </c>
      <c r="F27" s="214">
        <f ca="1">F26/1000</f>
        <v>5.1619999999999999E-2</v>
      </c>
    </row>
    <row r="28" spans="2:9" x14ac:dyDescent="0.2">
      <c r="B28" s="178" t="s">
        <v>336</v>
      </c>
      <c r="C28" s="215">
        <v>0.115</v>
      </c>
    </row>
    <row r="29" spans="2:9" x14ac:dyDescent="0.2">
      <c r="B29" s="178" t="s">
        <v>358</v>
      </c>
      <c r="C29" s="215">
        <v>0.12</v>
      </c>
    </row>
    <row r="33" spans="2:8" x14ac:dyDescent="0.2">
      <c r="B33" s="241" t="s">
        <v>326</v>
      </c>
      <c r="C33" s="241"/>
      <c r="D33" s="241"/>
      <c r="E33" s="241"/>
      <c r="F33" s="241"/>
      <c r="G33" s="241"/>
      <c r="H33" s="241"/>
    </row>
    <row r="35" spans="2:8" x14ac:dyDescent="0.2">
      <c r="B35" s="16" t="s">
        <v>327</v>
      </c>
      <c r="C35" s="1" t="s">
        <v>370</v>
      </c>
    </row>
    <row r="36" spans="2:8" x14ac:dyDescent="0.2">
      <c r="B36" s="16" t="s">
        <v>328</v>
      </c>
      <c r="C36" s="1" t="s">
        <v>369</v>
      </c>
    </row>
    <row r="39" spans="2:8" ht="6" customHeight="1" x14ac:dyDescent="0.2">
      <c r="B39" s="241"/>
      <c r="C39" s="241"/>
      <c r="D39" s="241"/>
      <c r="E39" s="241"/>
      <c r="F39" s="241"/>
      <c r="G39" s="241"/>
      <c r="H39" s="241"/>
    </row>
    <row r="42" spans="2:8" x14ac:dyDescent="0.2">
      <c r="B42" s="241" t="s">
        <v>329</v>
      </c>
      <c r="C42" s="241"/>
      <c r="D42" s="241"/>
      <c r="E42" s="241"/>
      <c r="F42" s="241"/>
      <c r="G42" s="241"/>
      <c r="H42" s="241"/>
    </row>
    <row r="44" spans="2:8" x14ac:dyDescent="0.2">
      <c r="B44" s="41" t="s">
        <v>330</v>
      </c>
      <c r="C44" s="41" t="s">
        <v>393</v>
      </c>
      <c r="D44" s="41"/>
      <c r="E44" s="41" t="s">
        <v>84</v>
      </c>
    </row>
    <row r="45" spans="2:8" x14ac:dyDescent="0.2">
      <c r="B45" s="1" t="s">
        <v>394</v>
      </c>
      <c r="C45" s="1" t="s">
        <v>395</v>
      </c>
    </row>
    <row r="49" spans="2:8" ht="5" customHeight="1" x14ac:dyDescent="0.2">
      <c r="B49" s="241"/>
      <c r="C49" s="241"/>
      <c r="D49" s="241"/>
      <c r="E49" s="241"/>
      <c r="F49" s="241"/>
      <c r="G49" s="241"/>
      <c r="H49" s="241"/>
    </row>
    <row r="52" spans="2:8" x14ac:dyDescent="0.2">
      <c r="B52" s="241" t="s">
        <v>105</v>
      </c>
      <c r="C52" s="241"/>
      <c r="D52" s="241"/>
      <c r="E52" s="241"/>
      <c r="F52" s="241"/>
      <c r="G52" s="241"/>
      <c r="H52" s="241"/>
    </row>
    <row r="54" spans="2:8" x14ac:dyDescent="0.2">
      <c r="B54" s="41" t="s">
        <v>330</v>
      </c>
      <c r="C54" s="41" t="s">
        <v>349</v>
      </c>
      <c r="D54" s="41"/>
      <c r="E54" s="41" t="s">
        <v>353</v>
      </c>
    </row>
    <row r="59" spans="2:8" ht="5" customHeight="1" x14ac:dyDescent="0.2">
      <c r="B59" s="241"/>
      <c r="C59" s="241"/>
      <c r="D59" s="241"/>
      <c r="E59" s="241"/>
      <c r="F59" s="241"/>
      <c r="G59" s="241"/>
      <c r="H59" s="241"/>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N77" activePane="bottomRight" state="frozen"/>
      <selection pane="topRight" activeCell="C1" sqref="C1"/>
      <selection pane="bottomLeft" activeCell="A4" sqref="A4"/>
      <selection pane="bottomRight" activeCell="Q82" sqref="Q8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250.58</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250.58</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56.692307692307693</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8.55639024390244</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20.276019335855402</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98477.94</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98306.94</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8.5633222996515688</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45.281870105941962</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f>
        <v>3950.5144344533837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33.981345755693582</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24.884592027469033</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2.9427910453853928E-2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1.7639077340569877E-2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8.9791683294756163E-4</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8.732920286512898E-4</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0.34412146641579999</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1.7364294988298902E-3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1" t="s">
        <v>226</v>
      </c>
      <c r="C4" s="241"/>
      <c r="E4" s="241" t="s">
        <v>233</v>
      </c>
      <c r="F4" s="241"/>
      <c r="G4" s="241"/>
    </row>
    <row r="5" spans="2:7" x14ac:dyDescent="0.2">
      <c r="B5" s="20" t="s">
        <v>1</v>
      </c>
      <c r="C5" s="166">
        <f ca="1">Overview!C5</f>
        <v>250.58</v>
      </c>
      <c r="E5" s="12"/>
      <c r="F5" s="132" t="s">
        <v>234</v>
      </c>
      <c r="G5" s="132" t="s">
        <v>235</v>
      </c>
    </row>
    <row r="6" spans="2:7" x14ac:dyDescent="0.2">
      <c r="B6" s="20" t="s">
        <v>232</v>
      </c>
      <c r="C6" s="167">
        <f ca="1">Statement!AC147</f>
        <v>98477.94</v>
      </c>
      <c r="E6" s="20" t="s">
        <v>19</v>
      </c>
      <c r="F6" s="172">
        <f>IF(Statement!M5&lt;=0,"N/A",_xlfn.RRI(4,Statement!M5,Statement!Q5))</f>
        <v>0.19610648624590454</v>
      </c>
      <c r="G6" s="172" t="str">
        <f>IF(Statement!H5&lt;=0,"N/A",_xlfn.RRI(9,Statement!H5,Statement!Q5))</f>
        <v>N/A</v>
      </c>
    </row>
    <row r="7" spans="2:7" x14ac:dyDescent="0.2">
      <c r="B7" s="20" t="s">
        <v>184</v>
      </c>
      <c r="C7" s="167">
        <f ca="1">Statement!AC148</f>
        <v>98306.94</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56.692307692307693</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8.55639024390244</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20.276019335855402</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8.5633222996515688</v>
      </c>
    </row>
    <row r="12" spans="2:7" x14ac:dyDescent="0.2">
      <c r="B12" s="20" t="s">
        <v>200</v>
      </c>
      <c r="C12" s="168">
        <f ca="1">Statement!AC150</f>
        <v>45.281870105941962</v>
      </c>
    </row>
    <row r="15" spans="2:7" x14ac:dyDescent="0.2">
      <c r="B15" s="241" t="s">
        <v>74</v>
      </c>
      <c r="C15" s="241"/>
      <c r="E15" s="241" t="s">
        <v>239</v>
      </c>
      <c r="F15" s="241"/>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1" t="s">
        <v>238</v>
      </c>
      <c r="C21" s="241"/>
      <c r="E21" s="241" t="s">
        <v>242</v>
      </c>
      <c r="F21" s="241"/>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1" t="s">
        <v>243</v>
      </c>
      <c r="C29" s="241"/>
      <c r="E29" s="241" t="s">
        <v>249</v>
      </c>
      <c r="F29" s="241"/>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1" t="s">
        <v>261</v>
      </c>
      <c r="C37" s="241"/>
      <c r="E37" s="241" t="s">
        <v>264</v>
      </c>
      <c r="F37" s="241"/>
    </row>
    <row r="38" spans="2:6" x14ac:dyDescent="0.2">
      <c r="B38" s="20" t="s">
        <v>259</v>
      </c>
      <c r="C38" s="169">
        <f ca="1">Statement!AC156</f>
        <v>1.7639077340569877E-2</v>
      </c>
      <c r="E38" s="20" t="s">
        <v>263</v>
      </c>
      <c r="F38" s="169">
        <f>Statement!AC162</f>
        <v>2.9675638371290544E-2</v>
      </c>
    </row>
    <row r="39" spans="2:6" x14ac:dyDescent="0.2">
      <c r="B39" s="54" t="s">
        <v>262</v>
      </c>
      <c r="C39" s="209">
        <f ca="1">Statement!AC155</f>
        <v>2.9427910453853928E-2</v>
      </c>
      <c r="E39" s="20" t="s">
        <v>265</v>
      </c>
      <c r="F39" s="169">
        <f>Statement!AC163</f>
        <v>0</v>
      </c>
    </row>
    <row r="40" spans="2:6" x14ac:dyDescent="0.2">
      <c r="B40" s="20" t="s">
        <v>260</v>
      </c>
      <c r="C40" s="169">
        <f ca="1">Statement!AC157</f>
        <v>8.9791683294756163E-4</v>
      </c>
      <c r="E40" s="20" t="s">
        <v>266</v>
      </c>
      <c r="F40" s="169">
        <f>Statement!AC164</f>
        <v>2.9675638371290544E-2</v>
      </c>
    </row>
    <row r="41" spans="2:6" x14ac:dyDescent="0.2">
      <c r="B41" s="20" t="s">
        <v>285</v>
      </c>
      <c r="C41" s="169">
        <f ca="1">Statement!AC158</f>
        <v>0</v>
      </c>
    </row>
    <row r="42" spans="2:6" x14ac:dyDescent="0.2">
      <c r="B42" s="20" t="s">
        <v>287</v>
      </c>
      <c r="C42" s="169">
        <f ca="1">Statement!AC159</f>
        <v>8.732920286512898E-4</v>
      </c>
    </row>
    <row r="45" spans="2:6" x14ac:dyDescent="0.2">
      <c r="B45" s="241" t="s">
        <v>272</v>
      </c>
      <c r="C45" s="241"/>
      <c r="E45" s="241" t="s">
        <v>278</v>
      </c>
      <c r="F45" s="241"/>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1.7364294988298902E-3</v>
      </c>
    </row>
    <row r="51" spans="2:6" x14ac:dyDescent="0.2">
      <c r="B51" s="241" t="s">
        <v>275</v>
      </c>
      <c r="C51" s="241"/>
      <c r="E51" s="241" t="s">
        <v>296</v>
      </c>
      <c r="F51" s="241"/>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91"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250.58</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98477.94</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98306.94</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56.692307692307693</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8.55639024390244</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20.276019335855402</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8.5633222996515688</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45.281870105941962</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1.7639077340569877E-2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2.9427910453853928E-2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8.9791683294756163E-4</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8.732920286512898E-4</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1.7364294988298902E-3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8" spans="2:9" ht="17" thickBot="1" x14ac:dyDescent="0.25">
      <c r="B88" s="14" t="s">
        <v>303</v>
      </c>
      <c r="C88" s="14"/>
      <c r="D88" s="14"/>
      <c r="E88" s="14"/>
      <c r="F88" s="14"/>
      <c r="G88" s="14"/>
      <c r="I88" s="14"/>
    </row>
    <row r="89" spans="2:9" x14ac:dyDescent="0.2">
      <c r="B89" s="20" t="str">
        <f>Statement!B193</f>
        <v>Americas</v>
      </c>
      <c r="C89" s="169">
        <f>Statement!M193</f>
        <v>1</v>
      </c>
      <c r="D89" s="169">
        <f>Statement!N193</f>
        <v>0.24782807498856882</v>
      </c>
      <c r="E89" s="169">
        <f>Statement!O193</f>
        <v>0.40894100403078049</v>
      </c>
      <c r="F89" s="169">
        <f>Statement!P193</f>
        <v>0.1706111833550065</v>
      </c>
      <c r="G89" s="169">
        <f>Statement!Q193</f>
        <v>0.41879582315041103</v>
      </c>
      <c r="I89" s="191"/>
    </row>
    <row r="90" spans="2:9" x14ac:dyDescent="0.2">
      <c r="B90" s="20" t="str">
        <f>Statement!B194</f>
        <v>Asia Pacific</v>
      </c>
      <c r="C90" s="169">
        <f>Statement!M194</f>
        <v>1</v>
      </c>
      <c r="D90" s="169">
        <f>Statement!N194</f>
        <v>-4.972032318210068E-3</v>
      </c>
      <c r="E90" s="169">
        <f>Statement!O194</f>
        <v>-4.5596502186133668E-2</v>
      </c>
      <c r="F90" s="169">
        <f>Statement!P194</f>
        <v>0.1243455497382199</v>
      </c>
      <c r="G90" s="169">
        <f>Statement!Q194</f>
        <v>0.17520372526193248</v>
      </c>
      <c r="I90" s="191"/>
    </row>
    <row r="91" spans="2:9" x14ac:dyDescent="0.2">
      <c r="B91" s="20" t="str">
        <f>Statement!B195</f>
        <v>Europe Middle East Africa</v>
      </c>
      <c r="C91" s="169">
        <f>Statement!M195</f>
        <v>1</v>
      </c>
      <c r="D91" s="169">
        <f>Statement!N195</f>
        <v>0.13311148086522462</v>
      </c>
      <c r="E91" s="169">
        <f>Statement!O195</f>
        <v>9.4713656387665199E-2</v>
      </c>
      <c r="F91" s="169">
        <f>Statement!P195</f>
        <v>0.20254862508383636</v>
      </c>
      <c r="G91" s="169">
        <f>Statement!Q195</f>
        <v>1.7289459007250419E-2</v>
      </c>
      <c r="I91" s="191"/>
    </row>
    <row r="92" spans="2:9" x14ac:dyDescent="0.2">
      <c r="B92" s="20"/>
      <c r="C92" s="169"/>
      <c r="D92" s="169"/>
      <c r="E92" s="169"/>
      <c r="F92" s="169"/>
      <c r="G92" s="169"/>
      <c r="I92" s="191"/>
    </row>
    <row r="93" spans="2:9" x14ac:dyDescent="0.2">
      <c r="B93" s="20" t="str">
        <f>Statement!B197</f>
        <v>Products</v>
      </c>
      <c r="C93" s="169">
        <f>Statement!M197</f>
        <v>1</v>
      </c>
      <c r="D93" s="169">
        <f>Statement!N197</f>
        <v>0.18319752739533576</v>
      </c>
      <c r="E93" s="169">
        <f>Statement!O197</f>
        <v>0.25172168131085254</v>
      </c>
      <c r="F93" s="169">
        <f>Statement!P197</f>
        <v>0.18478467084044772</v>
      </c>
      <c r="G93" s="169">
        <f>Statement!Q197</f>
        <v>0.31417133706965572</v>
      </c>
      <c r="I93" s="191"/>
    </row>
    <row r="94" spans="2:9" x14ac:dyDescent="0.2">
      <c r="B94" s="20" t="str">
        <f>Statement!B198</f>
        <v>Services</v>
      </c>
      <c r="C94" s="169">
        <f>Statement!M198</f>
        <v>1</v>
      </c>
      <c r="D94" s="169">
        <f>Statement!N198</f>
        <v>2.9186935371785964E-2</v>
      </c>
      <c r="E94" s="169">
        <f>Statement!O198</f>
        <v>7.4949358541525998E-2</v>
      </c>
      <c r="F94" s="169">
        <f>Statement!P198</f>
        <v>0.10992462311557789</v>
      </c>
      <c r="G94" s="169">
        <f>Statement!Q198</f>
        <v>0.14487832484436899</v>
      </c>
      <c r="I94" s="191"/>
    </row>
    <row r="96" spans="2:9" ht="17" thickBot="1" x14ac:dyDescent="0.25">
      <c r="B96" s="14" t="s">
        <v>305</v>
      </c>
      <c r="C96" s="14"/>
      <c r="D96" s="14"/>
      <c r="E96" s="14"/>
      <c r="F96" s="14"/>
      <c r="G96" s="14"/>
      <c r="I96" s="14"/>
    </row>
    <row r="97" spans="2:9" x14ac:dyDescent="0.2">
      <c r="B97" s="20" t="s">
        <v>277</v>
      </c>
      <c r="C97" s="169">
        <f>Statement!M202</f>
        <v>-1</v>
      </c>
      <c r="D97" s="169">
        <f>Statement!N202</f>
        <v>0</v>
      </c>
      <c r="E97" s="169">
        <f>Statement!O202</f>
        <v>1.5</v>
      </c>
      <c r="F97" s="169">
        <f>Statement!P202</f>
        <v>3.2</v>
      </c>
      <c r="G97" s="169">
        <f>Statement!Q202</f>
        <v>0.59523809523809523</v>
      </c>
      <c r="I97"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306</v>
      </c>
      <c r="D3" s="248"/>
      <c r="F3" s="249" t="s">
        <v>307</v>
      </c>
      <c r="G3" s="248"/>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50">
        <f>Statement!AA88</f>
        <v>0.23547169811320753</v>
      </c>
      <c r="D7" s="251"/>
      <c r="F7" s="250">
        <f>IF(F6=0,
IF(G6=0,0,IF(G6&gt;0,1,-1)),
(G6-F6)/ABS(F6)
)</f>
        <v>0.24109173616376042</v>
      </c>
      <c r="G7" s="251"/>
    </row>
    <row r="8" spans="2:7" x14ac:dyDescent="0.2">
      <c r="B8" s="201" t="s">
        <v>20</v>
      </c>
      <c r="C8" s="194">
        <f>Statement!Z6</f>
        <v>1650</v>
      </c>
      <c r="D8" s="192">
        <f>Statement!AA6</f>
        <v>2039</v>
      </c>
      <c r="F8" s="194">
        <f>Statement!W6</f>
        <v>1742</v>
      </c>
      <c r="G8" s="192">
        <f>Statement!AA6</f>
        <v>2039</v>
      </c>
    </row>
    <row r="9" spans="2:7" x14ac:dyDescent="0.2">
      <c r="B9" s="200" t="s">
        <v>308</v>
      </c>
      <c r="C9" s="250">
        <f>Statement!AA89</f>
        <v>0.23575757575757575</v>
      </c>
      <c r="D9" s="251"/>
      <c r="F9" s="250">
        <f>IF(F8=0,
IF(G8=0,0,IF(G8&gt;0,1,-1)),
(G8-F8)/ABS(F8)
)</f>
        <v>0.17049368541905854</v>
      </c>
      <c r="G9" s="251"/>
    </row>
    <row r="10" spans="2:7" x14ac:dyDescent="0.2">
      <c r="B10" s="201" t="s">
        <v>21</v>
      </c>
      <c r="C10" s="194">
        <f>Statement!Z7</f>
        <v>1000</v>
      </c>
      <c r="D10" s="192">
        <f>Statement!AA7</f>
        <v>1235</v>
      </c>
      <c r="F10" s="194">
        <f>Statement!W7</f>
        <v>896</v>
      </c>
      <c r="G10" s="192">
        <f>Statement!AA7</f>
        <v>1235</v>
      </c>
    </row>
    <row r="11" spans="2:7" x14ac:dyDescent="0.2">
      <c r="B11" s="200" t="s">
        <v>308</v>
      </c>
      <c r="C11" s="250">
        <f>Statement!AA90</f>
        <v>0.23499999999999999</v>
      </c>
      <c r="D11" s="251"/>
      <c r="F11" s="250">
        <f>IF(F10=0,
IF(G10=0,0,IF(G10&gt;0,1,-1)),
(G10-F10)/ABS(F10)
)</f>
        <v>0.3783482142857143</v>
      </c>
      <c r="G11" s="251"/>
    </row>
    <row r="12" spans="2:7" x14ac:dyDescent="0.2">
      <c r="B12" s="201" t="s">
        <v>22</v>
      </c>
      <c r="C12" s="194">
        <f>Statement!Z10</f>
        <v>560</v>
      </c>
      <c r="D12" s="192">
        <f>Statement!AA10</f>
        <v>601</v>
      </c>
      <c r="F12" s="194">
        <f>Statement!W10</f>
        <v>454</v>
      </c>
      <c r="G12" s="192">
        <f>Statement!AA10</f>
        <v>601</v>
      </c>
    </row>
    <row r="13" spans="2:7" x14ac:dyDescent="0.2">
      <c r="B13" s="200" t="s">
        <v>308</v>
      </c>
      <c r="C13" s="250">
        <f>Statement!AA93</f>
        <v>7.3214285714285718E-2</v>
      </c>
      <c r="D13" s="251"/>
      <c r="F13" s="250">
        <f>IF(F12=0,
IF(G12=0,0,IF(G12&gt;0,1,-1)),
(G12-F12)/ABS(F12)
)</f>
        <v>0.32378854625550663</v>
      </c>
      <c r="G13" s="251"/>
    </row>
    <row r="14" spans="2:7" x14ac:dyDescent="0.2">
      <c r="B14" s="201" t="s">
        <v>309</v>
      </c>
      <c r="C14" s="194">
        <f>Statement!Z11</f>
        <v>440</v>
      </c>
      <c r="D14" s="192">
        <f>Statement!AA11</f>
        <v>634</v>
      </c>
      <c r="F14" s="194">
        <f>Statement!W11</f>
        <v>442</v>
      </c>
      <c r="G14" s="192">
        <f>Statement!AA11</f>
        <v>634</v>
      </c>
    </row>
    <row r="15" spans="2:7" x14ac:dyDescent="0.2">
      <c r="B15" s="200" t="s">
        <v>308</v>
      </c>
      <c r="C15" s="250">
        <f>Statement!AA94</f>
        <v>0.44090909090909092</v>
      </c>
      <c r="D15" s="251"/>
      <c r="F15" s="250">
        <f>IF(F14=0,
IF(G14=0,0,IF(G14&gt;0,1,-1)),
(G14-F14)/ABS(F14)
)</f>
        <v>0.43438914027149322</v>
      </c>
      <c r="G15" s="251"/>
    </row>
    <row r="16" spans="2:7" x14ac:dyDescent="0.2">
      <c r="B16" s="201" t="s">
        <v>28</v>
      </c>
      <c r="C16" s="194">
        <f>Statement!Z17</f>
        <v>390</v>
      </c>
      <c r="D16" s="192">
        <f>Statement!AA17</f>
        <v>498</v>
      </c>
      <c r="F16" s="194">
        <f>Statement!W17</f>
        <v>324</v>
      </c>
      <c r="G16" s="192">
        <f>Statement!AA17</f>
        <v>498</v>
      </c>
    </row>
    <row r="17" spans="2:7" x14ac:dyDescent="0.2">
      <c r="B17" s="200" t="s">
        <v>308</v>
      </c>
      <c r="C17" s="250">
        <f>Statement!AA96</f>
        <v>0.27692307692307694</v>
      </c>
      <c r="D17" s="251"/>
      <c r="F17" s="250">
        <f>IF(F16=0,
IF(G16=0,0,IF(G16&gt;0,1,-1)),
(G16-F16)/ABS(F16)
)</f>
        <v>0.53703703703703709</v>
      </c>
      <c r="G17" s="251"/>
    </row>
    <row r="18" spans="2:7" x14ac:dyDescent="0.2">
      <c r="B18" s="201" t="s">
        <v>310</v>
      </c>
      <c r="C18" s="194">
        <f>Statement!Z21</f>
        <v>392</v>
      </c>
      <c r="D18" s="192">
        <f>Statement!AA21</f>
        <v>393</v>
      </c>
      <c r="F18" s="194">
        <f>Statement!W21</f>
        <v>390</v>
      </c>
      <c r="G18" s="192">
        <f>Statement!AA21</f>
        <v>393</v>
      </c>
    </row>
    <row r="19" spans="2:7" x14ac:dyDescent="0.2">
      <c r="B19" s="200" t="s">
        <v>308</v>
      </c>
      <c r="C19" s="250">
        <f>IF(C18=0,
IF(D18=0,0,IF(D18&gt;0,1,-1)),
(D18-C18)/ABS(C18)
)</f>
        <v>2.5510204081632651E-3</v>
      </c>
      <c r="D19" s="251"/>
      <c r="F19" s="250">
        <f>IF(F18=0,
IF(G18=0,0,IF(G18&gt;0,1,-1)),
(G18-F18)/ABS(F18)
)</f>
        <v>7.6923076923076927E-3</v>
      </c>
      <c r="G19" s="251"/>
    </row>
    <row r="20" spans="2:7" x14ac:dyDescent="0.2">
      <c r="B20" s="201" t="s">
        <v>35</v>
      </c>
      <c r="C20" s="195">
        <f>Statement!Z25</f>
        <v>0.99</v>
      </c>
      <c r="D20" s="196">
        <f>Statement!AA25</f>
        <v>1.27</v>
      </c>
      <c r="F20" s="195">
        <f>Statement!W25</f>
        <v>0.83</v>
      </c>
      <c r="G20" s="196">
        <f>Statement!AA25</f>
        <v>1.27</v>
      </c>
    </row>
    <row r="21" spans="2:7" x14ac:dyDescent="0.2">
      <c r="B21" s="200" t="s">
        <v>308</v>
      </c>
      <c r="C21" s="250">
        <f>IF(C20=0,
IF(D20=0,0,IF(D20&gt;0,1,-1)),
(D20-C20)/ABS(C20)
)</f>
        <v>0.28282828282828287</v>
      </c>
      <c r="D21" s="251"/>
      <c r="F21" s="250">
        <f>IF(F20=0,
IF(G20=0,0,IF(G20&gt;0,1,-1)),
(G20-F20)/ABS(F20)
)</f>
        <v>0.53012048192771088</v>
      </c>
      <c r="G21" s="251"/>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50">
        <f>IF(C24=0,
IF(D24=0,0,IF(D24&gt;0,1,-1)),
(D24-C24)/ABS(C24)
)</f>
        <v>0.14167585446527012</v>
      </c>
      <c r="D25" s="251"/>
      <c r="F25" s="250">
        <f>IF(F24=0,
IF(G24=0,0,IF(G24&gt;0,1,-1)),
(G24-F24)/ABS(F24)
)</f>
        <v>0.29275905118601747</v>
      </c>
      <c r="G25" s="251"/>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50">
        <f>IF(C26=0,
IF(D26=0,0,IF(D26&gt;0,1,-1)),
(D26-C26)/ABS(C26)
)</f>
        <v>0.40077821011673154</v>
      </c>
      <c r="D27" s="251"/>
      <c r="F27" s="250">
        <f>IF(F26=0,
IF(G26=0,0,IF(G26&gt;0,1,-1)),
(G26-F26)/ABS(F26)
)</f>
        <v>0.2857142857142857</v>
      </c>
      <c r="G27" s="251"/>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50">
        <f>IF(C28=0,
IF(D28=0,0,IF(D28&gt;0,1,-1)),
(D28-C28)/ABS(C28)
)</f>
        <v>0.50778816199376942</v>
      </c>
      <c r="D29" s="251"/>
      <c r="F29" s="250">
        <f>IF(F28=0,
IF(G28=0,0,IF(G28&gt;0,1,-1)),
(G28-F28)/ABS(F28)
)</f>
        <v>1.680672268907563E-2</v>
      </c>
      <c r="G29" s="251"/>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50">
        <f>IF(C31=0,
IF(D31=0,0,IF(D31&gt;0,1,-1)),
(D31-C31)/ABS(C31)
)</f>
        <v>0.24629363940698232</v>
      </c>
      <c r="D32" s="251"/>
      <c r="F32" s="250">
        <f>IF(F31=0,
IF(G31=0,0,IF(G31&gt;0,1,-1)),
(G31-F31)/ABS(F31)
)</f>
        <v>0.22982538933459179</v>
      </c>
      <c r="G32" s="251"/>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50">
        <f>IF(C33=0,
IF(D33=0,0,IF(D33&gt;0,1,-1)),
(D33-C33)/ABS(C33)
)</f>
        <v>0.1971326164874552</v>
      </c>
      <c r="D34" s="251"/>
      <c r="F34" s="250">
        <f>IF(F33=0,
IF(G33=0,0,IF(G33&gt;0,1,-1)),
(G33-F33)/ABS(F33)
)</f>
        <v>0.28709055876685935</v>
      </c>
      <c r="G34" s="251"/>
    </row>
  </sheetData>
  <mergeCells count="28">
    <mergeCell ref="C32:D32"/>
    <mergeCell ref="F32:G32"/>
    <mergeCell ref="C34:D34"/>
    <mergeCell ref="F34:G3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O16" sqref="O16"/>
    </sheetView>
  </sheetViews>
  <sheetFormatPr baseColWidth="10" defaultRowHeight="16" x14ac:dyDescent="0.2"/>
  <cols>
    <col min="1" max="16384" width="10.83203125" style="1"/>
  </cols>
  <sheetData>
    <row r="13" spans="2:2" s="4" customFormat="1" ht="49" x14ac:dyDescent="0.2">
      <c r="B13" s="3" t="s">
        <v>107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A4"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1" t="s">
        <v>109</v>
      </c>
      <c r="D2" s="241"/>
      <c r="E2" s="241"/>
      <c r="F2" s="241"/>
      <c r="G2" s="242"/>
      <c r="H2" s="243" t="s">
        <v>110</v>
      </c>
      <c r="I2" s="241"/>
      <c r="J2" s="241"/>
      <c r="K2" s="241"/>
      <c r="L2" s="241"/>
      <c r="O2" s="5"/>
      <c r="S2" s="241" t="s">
        <v>109</v>
      </c>
      <c r="T2" s="241"/>
      <c r="U2" s="241"/>
      <c r="V2" s="241"/>
      <c r="W2" s="241"/>
      <c r="X2" s="241"/>
      <c r="Y2" s="241"/>
      <c r="Z2" s="241"/>
      <c r="AA2" s="241" t="s">
        <v>110</v>
      </c>
      <c r="AB2" s="241"/>
      <c r="AC2" s="241"/>
      <c r="AE2" s="85" t="s">
        <v>111</v>
      </c>
    </row>
    <row r="3" spans="1:31" ht="10" customHeight="1" x14ac:dyDescent="0.2">
      <c r="O3" s="5"/>
    </row>
    <row r="4" spans="1:31" ht="16" customHeight="1" x14ac:dyDescent="0.2">
      <c r="A4" s="86"/>
      <c r="B4" s="60"/>
      <c r="C4" s="240" t="s">
        <v>112</v>
      </c>
      <c r="D4" s="240"/>
      <c r="E4" s="240"/>
      <c r="F4" s="240"/>
      <c r="G4" s="240"/>
      <c r="H4" s="240"/>
      <c r="I4" s="240"/>
      <c r="J4" s="240"/>
      <c r="K4" s="240"/>
      <c r="L4" s="240"/>
      <c r="O4" s="5"/>
      <c r="S4" s="252" t="s">
        <v>112</v>
      </c>
      <c r="T4" s="253"/>
      <c r="U4" s="253"/>
      <c r="V4" s="253"/>
      <c r="W4" s="253"/>
      <c r="X4" s="253"/>
      <c r="Y4" s="253"/>
      <c r="Z4" s="253"/>
      <c r="AA4" s="253"/>
      <c r="AB4" s="253"/>
      <c r="AC4" s="253"/>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40" t="s">
        <v>118</v>
      </c>
      <c r="D10" s="240"/>
      <c r="E10" s="240"/>
      <c r="F10" s="240"/>
      <c r="G10" s="240"/>
      <c r="H10" s="240"/>
      <c r="I10" s="240"/>
      <c r="J10" s="240"/>
      <c r="K10" s="240"/>
      <c r="L10" s="240"/>
      <c r="O10" s="5"/>
      <c r="Q10" s="91"/>
      <c r="S10" s="252" t="s">
        <v>118</v>
      </c>
      <c r="T10" s="253"/>
      <c r="U10" s="253"/>
      <c r="V10" s="253"/>
      <c r="W10" s="253"/>
      <c r="X10" s="253"/>
      <c r="Y10" s="253"/>
      <c r="Z10" s="253"/>
      <c r="AA10" s="253"/>
      <c r="AB10" s="253"/>
      <c r="AC10" s="253"/>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1" t="s">
        <v>109</v>
      </c>
      <c r="D2" s="241"/>
      <c r="E2" s="241"/>
      <c r="F2" s="241"/>
      <c r="G2" s="242"/>
      <c r="H2" s="243" t="s">
        <v>110</v>
      </c>
      <c r="I2" s="241"/>
      <c r="J2" s="241"/>
      <c r="K2" s="241"/>
      <c r="L2" s="241"/>
      <c r="P2" s="241" t="s">
        <v>109</v>
      </c>
      <c r="Q2" s="241"/>
      <c r="R2" s="241"/>
      <c r="S2" s="241"/>
      <c r="T2" s="241"/>
      <c r="U2" s="241"/>
      <c r="V2" s="241"/>
      <c r="W2" s="241"/>
      <c r="X2" s="241" t="s">
        <v>110</v>
      </c>
      <c r="Y2" s="241"/>
      <c r="Z2" s="241"/>
      <c r="AB2" s="85" t="s">
        <v>111</v>
      </c>
    </row>
    <row r="3" spans="1:28" ht="10" customHeight="1" x14ac:dyDescent="0.2"/>
    <row r="4" spans="1:28" ht="16" customHeight="1" x14ac:dyDescent="0.2">
      <c r="A4" s="86"/>
      <c r="B4" s="60"/>
      <c r="C4" s="240" t="s">
        <v>112</v>
      </c>
      <c r="D4" s="240"/>
      <c r="E4" s="240"/>
      <c r="F4" s="240"/>
      <c r="G4" s="240"/>
      <c r="H4" s="240"/>
      <c r="I4" s="240"/>
      <c r="J4" s="240"/>
      <c r="K4" s="240"/>
      <c r="L4" s="240"/>
      <c r="P4" s="253" t="s">
        <v>112</v>
      </c>
      <c r="Q4" s="253"/>
      <c r="R4" s="253"/>
      <c r="S4" s="253"/>
      <c r="T4" s="253"/>
      <c r="U4" s="253"/>
      <c r="V4" s="253"/>
      <c r="W4" s="253"/>
      <c r="X4" s="253"/>
      <c r="Y4" s="253"/>
      <c r="Z4" s="25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40" t="s">
        <v>121</v>
      </c>
      <c r="D9" s="240"/>
      <c r="E9" s="240"/>
      <c r="F9" s="240"/>
      <c r="G9" s="240"/>
      <c r="H9" s="240"/>
      <c r="I9" s="240"/>
      <c r="J9" s="240"/>
      <c r="K9" s="240"/>
      <c r="L9" s="240"/>
      <c r="N9" s="91"/>
      <c r="P9" s="253" t="s">
        <v>122</v>
      </c>
      <c r="Q9" s="253"/>
      <c r="R9" s="253"/>
      <c r="S9" s="253"/>
      <c r="T9" s="253"/>
      <c r="U9" s="253"/>
      <c r="V9" s="253"/>
      <c r="W9" s="253"/>
      <c r="X9" s="253"/>
      <c r="Y9" s="253"/>
      <c r="Z9" s="253"/>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40" t="s">
        <v>124</v>
      </c>
      <c r="D19" s="240"/>
      <c r="E19" s="240"/>
      <c r="F19" s="240"/>
      <c r="G19" s="240"/>
      <c r="H19" s="240"/>
      <c r="I19" s="240"/>
      <c r="J19" s="240"/>
      <c r="K19" s="240"/>
      <c r="L19" s="240"/>
      <c r="P19" s="253" t="s">
        <v>124</v>
      </c>
      <c r="Q19" s="253"/>
      <c r="R19" s="253"/>
      <c r="S19" s="253"/>
      <c r="T19" s="253"/>
      <c r="U19" s="253"/>
      <c r="V19" s="253"/>
      <c r="W19" s="253"/>
      <c r="X19" s="253"/>
      <c r="Y19" s="253"/>
      <c r="Z19" s="253"/>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1" t="s">
        <v>109</v>
      </c>
      <c r="D3" s="241"/>
      <c r="E3" s="241"/>
      <c r="F3" s="241"/>
      <c r="G3" s="242"/>
      <c r="H3" s="243" t="s">
        <v>110</v>
      </c>
      <c r="I3" s="241"/>
      <c r="J3" s="241"/>
      <c r="K3" s="241"/>
      <c r="L3" s="241"/>
      <c r="P3" s="239"/>
      <c r="Q3" s="239"/>
      <c r="R3" s="239"/>
      <c r="S3" s="239"/>
      <c r="T3" s="239"/>
      <c r="U3" s="239"/>
      <c r="V3" s="239"/>
      <c r="W3" s="239"/>
      <c r="X3" s="239"/>
      <c r="Y3" s="239"/>
      <c r="Z3" s="239"/>
      <c r="AB3" s="109"/>
    </row>
    <row r="4" spans="1:28" ht="10" customHeight="1" x14ac:dyDescent="0.2"/>
    <row r="5" spans="1:28" ht="16" customHeight="1" x14ac:dyDescent="0.2">
      <c r="A5" s="86"/>
      <c r="B5" s="60"/>
      <c r="C5" s="240" t="s">
        <v>112</v>
      </c>
      <c r="D5" s="240"/>
      <c r="E5" s="240"/>
      <c r="F5" s="240"/>
      <c r="G5" s="240"/>
      <c r="H5" s="240"/>
      <c r="I5" s="240"/>
      <c r="J5" s="240"/>
      <c r="K5" s="240"/>
      <c r="L5" s="240"/>
      <c r="P5" s="239"/>
      <c r="Q5" s="239"/>
      <c r="R5" s="239"/>
      <c r="S5" s="239"/>
      <c r="T5" s="239"/>
      <c r="U5" s="239"/>
      <c r="V5" s="239"/>
      <c r="W5" s="239"/>
      <c r="X5" s="239"/>
      <c r="Y5" s="239"/>
      <c r="Z5" s="239"/>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0" t="s">
        <v>128</v>
      </c>
      <c r="D11" s="240"/>
      <c r="E11" s="240"/>
      <c r="F11" s="240"/>
      <c r="G11" s="240"/>
      <c r="H11" s="240"/>
      <c r="I11" s="240"/>
      <c r="J11" s="240"/>
      <c r="K11" s="240"/>
      <c r="L11" s="240"/>
      <c r="N11" s="91"/>
      <c r="P11" s="239"/>
      <c r="Q11" s="239"/>
      <c r="R11" s="239"/>
      <c r="S11" s="239"/>
      <c r="T11" s="239"/>
      <c r="U11" s="239"/>
      <c r="V11" s="239"/>
      <c r="W11" s="239"/>
      <c r="X11" s="239"/>
      <c r="Y11" s="239"/>
      <c r="Z11" s="239"/>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40" t="s">
        <v>133</v>
      </c>
      <c r="D18" s="240"/>
      <c r="E18" s="240"/>
      <c r="F18" s="240"/>
      <c r="G18" s="240"/>
      <c r="H18" s="240"/>
      <c r="I18" s="240"/>
      <c r="J18" s="240"/>
      <c r="K18" s="240"/>
      <c r="L18" s="240"/>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39"/>
      <c r="C25" s="239"/>
    </row>
    <row r="26" spans="2:12" x14ac:dyDescent="0.2">
      <c r="B26" s="109"/>
      <c r="C26" s="240" t="s">
        <v>139</v>
      </c>
      <c r="D26" s="240"/>
      <c r="E26" s="240"/>
      <c r="F26" s="240"/>
      <c r="G26" s="240"/>
      <c r="H26" s="240"/>
      <c r="I26" s="240"/>
      <c r="J26" s="240"/>
      <c r="K26" s="240"/>
      <c r="L26" s="240"/>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40" t="s">
        <v>143</v>
      </c>
      <c r="D33" s="240"/>
      <c r="E33" s="240"/>
      <c r="F33" s="240"/>
      <c r="G33" s="240"/>
      <c r="H33" s="240"/>
      <c r="I33" s="240"/>
      <c r="J33" s="240"/>
      <c r="K33" s="240"/>
      <c r="L33" s="240"/>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40" t="s">
        <v>146</v>
      </c>
      <c r="D40" s="240"/>
      <c r="E40" s="240"/>
      <c r="F40" s="240"/>
      <c r="G40" s="240"/>
      <c r="H40" s="240"/>
      <c r="I40" s="240"/>
      <c r="J40" s="240"/>
      <c r="K40" s="240"/>
      <c r="L40" s="240"/>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1" t="s">
        <v>109</v>
      </c>
      <c r="D2" s="241"/>
      <c r="E2" s="241"/>
      <c r="F2" s="241"/>
      <c r="G2" s="242"/>
      <c r="H2" s="243" t="s">
        <v>110</v>
      </c>
      <c r="I2" s="241"/>
      <c r="J2" s="241"/>
      <c r="K2" s="241"/>
      <c r="L2" s="241"/>
      <c r="S2" s="239"/>
      <c r="T2" s="239"/>
      <c r="U2" s="239"/>
      <c r="V2" s="239"/>
      <c r="W2" s="239"/>
      <c r="X2" s="239"/>
      <c r="Y2" s="239"/>
      <c r="Z2" s="239"/>
      <c r="AA2" s="239"/>
      <c r="AB2" s="239"/>
      <c r="AC2" s="239"/>
      <c r="AE2" s="109"/>
    </row>
    <row r="3" spans="1:31" ht="10" customHeight="1" x14ac:dyDescent="0.2"/>
    <row r="4" spans="1:31" ht="16" customHeight="1" x14ac:dyDescent="0.2">
      <c r="A4" s="86"/>
      <c r="B4" s="60"/>
      <c r="C4" s="240" t="s">
        <v>18</v>
      </c>
      <c r="D4" s="240"/>
      <c r="E4" s="240"/>
      <c r="F4" s="240"/>
      <c r="G4" s="240"/>
      <c r="H4" s="240"/>
      <c r="I4" s="240"/>
      <c r="J4" s="240"/>
      <c r="K4" s="240"/>
      <c r="L4" s="240"/>
      <c r="S4" s="239"/>
      <c r="T4" s="239"/>
      <c r="U4" s="239"/>
      <c r="V4" s="239"/>
      <c r="W4" s="239"/>
      <c r="X4" s="239"/>
      <c r="Y4" s="239"/>
      <c r="Z4" s="239"/>
      <c r="AA4" s="239"/>
      <c r="AB4" s="239"/>
      <c r="AC4" s="239"/>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40" t="s">
        <v>154</v>
      </c>
      <c r="D13" s="240"/>
      <c r="E13" s="240"/>
      <c r="F13" s="240"/>
      <c r="G13" s="240"/>
      <c r="H13" s="240"/>
      <c r="I13" s="240"/>
      <c r="J13" s="240"/>
      <c r="K13" s="240"/>
      <c r="L13" s="24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40" t="s">
        <v>155</v>
      </c>
      <c r="D18" s="240"/>
      <c r="E18" s="240"/>
      <c r="F18" s="240"/>
      <c r="G18" s="240"/>
      <c r="H18" s="240"/>
      <c r="I18" s="240"/>
      <c r="J18" s="240"/>
      <c r="K18" s="240"/>
      <c r="L18" s="240"/>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40" t="s">
        <v>255</v>
      </c>
      <c r="D25" s="240"/>
      <c r="E25" s="240"/>
      <c r="F25" s="240"/>
      <c r="G25" s="240"/>
      <c r="H25" s="240"/>
      <c r="I25" s="240"/>
      <c r="J25" s="240"/>
      <c r="K25" s="240"/>
      <c r="L25" s="240"/>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40" t="s">
        <v>74</v>
      </c>
      <c r="D31" s="240"/>
      <c r="E31" s="240"/>
      <c r="F31" s="240"/>
      <c r="G31" s="240"/>
      <c r="H31" s="240"/>
      <c r="I31" s="240"/>
      <c r="J31" s="240"/>
      <c r="K31" s="240"/>
      <c r="L31" s="240"/>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1" t="s">
        <v>162</v>
      </c>
      <c r="C4" s="241"/>
    </row>
    <row r="5" spans="1:3" ht="17" customHeight="1" x14ac:dyDescent="0.2">
      <c r="B5" s="1" t="s">
        <v>163</v>
      </c>
      <c r="C5" s="136">
        <f>Statement!AC77</f>
        <v>393</v>
      </c>
    </row>
    <row r="6" spans="1:3" ht="17" customHeight="1" x14ac:dyDescent="0.2">
      <c r="B6" s="1" t="s">
        <v>1</v>
      </c>
      <c r="C6" s="133">
        <f ca="1">Overview!C5</f>
        <v>250.58</v>
      </c>
    </row>
    <row r="7" spans="1:3" ht="17" customHeight="1" x14ac:dyDescent="0.2">
      <c r="B7" s="1" t="s">
        <v>164</v>
      </c>
      <c r="C7" s="134">
        <f ca="1">C5*C6</f>
        <v>98477.94</v>
      </c>
    </row>
    <row r="8" spans="1:3" ht="17" customHeight="1" x14ac:dyDescent="0.2">
      <c r="B8" s="1" t="s">
        <v>165</v>
      </c>
      <c r="C8" s="112">
        <f>Statement!AC106</f>
        <v>2940</v>
      </c>
    </row>
    <row r="9" spans="1:3" ht="17" customHeight="1" x14ac:dyDescent="0.2">
      <c r="B9" s="1" t="s">
        <v>166</v>
      </c>
      <c r="C9" s="135">
        <f ca="1">Overview!F27</f>
        <v>5.1619999999999999E-2</v>
      </c>
    </row>
    <row r="10" spans="1:3" ht="17" customHeight="1" x14ac:dyDescent="0.2">
      <c r="B10" s="1" t="s">
        <v>9</v>
      </c>
      <c r="C10" s="133">
        <f ca="1">Overview!C13</f>
        <v>2.0425</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1" t="s">
        <v>169</v>
      </c>
      <c r="C15" s="241"/>
    </row>
    <row r="16" spans="1:3" ht="17" customHeight="1" x14ac:dyDescent="0.2">
      <c r="B16" s="1" t="s">
        <v>170</v>
      </c>
      <c r="C16" s="46">
        <f ca="1">C8/(C8+C7)</f>
        <v>2.8988954025293751E-2</v>
      </c>
    </row>
    <row r="17" spans="2:3" ht="17" customHeight="1" x14ac:dyDescent="0.2">
      <c r="B17" s="1" t="s">
        <v>171</v>
      </c>
      <c r="C17" s="46">
        <f ca="1">C7/(C8+C7)</f>
        <v>0.97101104597470622</v>
      </c>
    </row>
    <row r="18" spans="2:3" ht="17" customHeight="1" x14ac:dyDescent="0.2">
      <c r="B18" s="1" t="s">
        <v>172</v>
      </c>
      <c r="C18" s="46">
        <f>C13*(1-C12)</f>
        <v>4.5030000000000001E-2</v>
      </c>
    </row>
    <row r="19" spans="2:3" ht="17" customHeight="1" x14ac:dyDescent="0.2">
      <c r="B19" s="1" t="s">
        <v>173</v>
      </c>
      <c r="C19" s="46">
        <f ca="1">C9+C10*C11</f>
        <v>0.14353250000000001</v>
      </c>
    </row>
    <row r="20" spans="2:3" ht="17" customHeight="1" x14ac:dyDescent="0.2">
      <c r="B20" s="1" t="s">
        <v>161</v>
      </c>
      <c r="C20" s="46">
        <f ca="1">(C17*C19)+(C16*C18)</f>
        <v>0.1406770155561235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1" t="s">
        <v>109</v>
      </c>
      <c r="D3" s="241"/>
      <c r="E3" s="241"/>
      <c r="F3" s="241"/>
      <c r="G3" s="242"/>
      <c r="H3" s="243" t="s">
        <v>110</v>
      </c>
      <c r="I3" s="241"/>
      <c r="J3" s="241"/>
      <c r="K3" s="241"/>
      <c r="L3" s="241"/>
      <c r="P3" s="239"/>
      <c r="Q3" s="239"/>
      <c r="R3" s="239"/>
      <c r="S3" s="239"/>
      <c r="T3" s="239"/>
      <c r="U3" s="239"/>
      <c r="V3" s="239"/>
      <c r="W3" s="239"/>
      <c r="X3" s="239"/>
      <c r="Y3" s="239"/>
      <c r="Z3" s="239"/>
      <c r="AB3" s="109"/>
    </row>
    <row r="4" spans="1:28" ht="10" customHeight="1" x14ac:dyDescent="0.2"/>
    <row r="5" spans="1:28" ht="16" customHeight="1" x14ac:dyDescent="0.2">
      <c r="A5" s="86"/>
      <c r="B5" s="60"/>
      <c r="C5" s="240" t="s">
        <v>176</v>
      </c>
      <c r="D5" s="240"/>
      <c r="E5" s="240"/>
      <c r="F5" s="240"/>
      <c r="G5" s="240"/>
      <c r="H5" s="240"/>
      <c r="I5" s="240"/>
      <c r="J5" s="240"/>
      <c r="K5" s="240"/>
      <c r="L5" s="240"/>
      <c r="P5" s="239"/>
      <c r="Q5" s="239"/>
      <c r="R5" s="239"/>
      <c r="S5" s="239"/>
      <c r="T5" s="239"/>
      <c r="U5" s="239"/>
      <c r="V5" s="239"/>
      <c r="W5" s="239"/>
      <c r="X5" s="239"/>
      <c r="Y5" s="239"/>
      <c r="Z5" s="239"/>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1" t="s">
        <v>180</v>
      </c>
      <c r="C13" s="241"/>
    </row>
    <row r="14" spans="1:28" x14ac:dyDescent="0.2">
      <c r="B14" s="1" t="s">
        <v>181</v>
      </c>
      <c r="C14" s="140">
        <v>0.02</v>
      </c>
    </row>
    <row r="15" spans="1:28" x14ac:dyDescent="0.2">
      <c r="B15" s="1" t="s">
        <v>161</v>
      </c>
      <c r="C15" s="135">
        <f>IF(Overview!C28&gt;0,Overview!C28,WACC!C20)</f>
        <v>0.115</v>
      </c>
    </row>
    <row r="18" spans="2:3" x14ac:dyDescent="0.2">
      <c r="B18" s="241" t="s">
        <v>182</v>
      </c>
      <c r="C18" s="241"/>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8" zoomScale="192" zoomScaleNormal="100" workbookViewId="0">
      <selection activeCell="B60" sqref="B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1" t="s">
        <v>109</v>
      </c>
      <c r="D2" s="241"/>
      <c r="E2" s="241"/>
      <c r="F2" s="241"/>
      <c r="G2" s="242"/>
      <c r="H2" s="243" t="s">
        <v>110</v>
      </c>
      <c r="I2" s="241"/>
      <c r="J2" s="241"/>
      <c r="K2" s="241"/>
      <c r="L2" s="241"/>
    </row>
    <row r="3" spans="1:14" ht="10" customHeight="1" x14ac:dyDescent="0.2"/>
    <row r="4" spans="1:14" ht="16" customHeight="1" x14ac:dyDescent="0.2">
      <c r="A4" s="86"/>
      <c r="B4" s="60"/>
      <c r="C4" s="240" t="s">
        <v>190</v>
      </c>
      <c r="D4" s="240"/>
      <c r="E4" s="240"/>
      <c r="F4" s="240"/>
      <c r="G4" s="240"/>
      <c r="H4" s="240"/>
      <c r="I4" s="240"/>
      <c r="J4" s="240"/>
      <c r="K4" s="240"/>
      <c r="L4" s="240"/>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40" t="s">
        <v>118</v>
      </c>
      <c r="D11" s="240"/>
      <c r="E11" s="240"/>
      <c r="F11" s="240"/>
      <c r="G11" s="240"/>
      <c r="H11" s="240"/>
      <c r="I11" s="240"/>
      <c r="J11" s="240"/>
      <c r="K11" s="240"/>
      <c r="L11" s="240"/>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40" t="s">
        <v>192</v>
      </c>
      <c r="D17" s="240"/>
      <c r="E17" s="240"/>
      <c r="F17" s="240"/>
      <c r="G17" s="240"/>
      <c r="H17" s="240"/>
      <c r="I17" s="240"/>
      <c r="J17" s="240"/>
      <c r="K17" s="240"/>
      <c r="L17" s="240"/>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40" t="s">
        <v>195</v>
      </c>
      <c r="D22" s="240"/>
      <c r="E22" s="240"/>
      <c r="F22" s="240"/>
      <c r="G22" s="240"/>
      <c r="H22" s="240"/>
      <c r="I22" s="240"/>
      <c r="J22" s="240"/>
      <c r="K22" s="240"/>
      <c r="L22" s="240"/>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40" t="s">
        <v>196</v>
      </c>
      <c r="D27" s="240"/>
      <c r="E27" s="240"/>
      <c r="F27" s="240"/>
      <c r="G27" s="240"/>
      <c r="H27" s="240"/>
      <c r="I27" s="240"/>
      <c r="J27" s="240"/>
      <c r="K27" s="240"/>
      <c r="L27" s="240"/>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N36" s="91"/>
    </row>
    <row r="37" spans="2:14" x14ac:dyDescent="0.2">
      <c r="N37" s="91"/>
    </row>
    <row r="38" spans="2:14" x14ac:dyDescent="0.2">
      <c r="B38" s="241" t="s">
        <v>201</v>
      </c>
      <c r="C38" s="241"/>
      <c r="N38" s="91"/>
    </row>
    <row r="39" spans="2:14" x14ac:dyDescent="0.2">
      <c r="B39" s="1" t="s">
        <v>202</v>
      </c>
      <c r="C39" s="64">
        <f>L7</f>
        <v>8555.1051342307201</v>
      </c>
    </row>
    <row r="40" spans="2:14" x14ac:dyDescent="0.2">
      <c r="B40" s="1" t="s">
        <v>161</v>
      </c>
      <c r="C40" s="135">
        <f>IF(Overview!C28&gt;0,Overview!C28,WACC!C20)</f>
        <v>0.115</v>
      </c>
    </row>
    <row r="41" spans="2:14" x14ac:dyDescent="0.2">
      <c r="B41" s="39" t="s">
        <v>203</v>
      </c>
      <c r="C41" s="105">
        <v>30</v>
      </c>
    </row>
    <row r="42" spans="2:14" x14ac:dyDescent="0.2">
      <c r="B42" s="1" t="s">
        <v>396</v>
      </c>
      <c r="C42" s="24">
        <f>(C39*C41)</f>
        <v>256653.15402692161</v>
      </c>
    </row>
    <row r="43" spans="2:14" x14ac:dyDescent="0.2">
      <c r="B43" s="1" t="s">
        <v>397</v>
      </c>
      <c r="C43" s="24">
        <f>C42/(1+C40)^5-G31+G32</f>
        <v>147841.59798428035</v>
      </c>
    </row>
    <row r="44" spans="2:14" x14ac:dyDescent="0.2">
      <c r="B44" s="16" t="s">
        <v>398</v>
      </c>
      <c r="C44" s="108">
        <f>SUM(H9:K9)+C43</f>
        <v>159574.09087402216</v>
      </c>
    </row>
    <row r="45" spans="2:14" x14ac:dyDescent="0.2">
      <c r="B45" s="1" t="s">
        <v>185</v>
      </c>
      <c r="C45" s="88">
        <f>Statement!AC105</f>
        <v>3111</v>
      </c>
    </row>
    <row r="46" spans="2:14" x14ac:dyDescent="0.2">
      <c r="B46" s="1" t="s">
        <v>186</v>
      </c>
      <c r="C46" s="88">
        <f>Statement!AC106</f>
        <v>2940</v>
      </c>
    </row>
    <row r="47" spans="2:14" x14ac:dyDescent="0.2">
      <c r="B47" s="16" t="s">
        <v>187</v>
      </c>
      <c r="C47" s="94">
        <f>C44+C45-C46</f>
        <v>159745.09087402216</v>
      </c>
    </row>
    <row r="48" spans="2:14" x14ac:dyDescent="0.2">
      <c r="B48" s="1" t="s">
        <v>66</v>
      </c>
      <c r="C48" s="88">
        <f>Statement!AC77</f>
        <v>393</v>
      </c>
    </row>
    <row r="49" spans="2:3" x14ac:dyDescent="0.2">
      <c r="B49" s="237" t="s">
        <v>205</v>
      </c>
      <c r="C49" s="238">
        <f>C47/C48</f>
        <v>406.47605820361872</v>
      </c>
    </row>
    <row r="51" spans="2:3" x14ac:dyDescent="0.2">
      <c r="B51" s="241" t="s">
        <v>206</v>
      </c>
      <c r="C51" s="241"/>
    </row>
    <row r="52" spans="2:3" x14ac:dyDescent="0.2">
      <c r="B52" s="1" t="s">
        <v>207</v>
      </c>
      <c r="C52" s="64">
        <f>L6</f>
        <v>32904.250516271997</v>
      </c>
    </row>
    <row r="53" spans="2:3" x14ac:dyDescent="0.2">
      <c r="B53" s="1" t="s">
        <v>337</v>
      </c>
      <c r="C53" s="135">
        <f>IF(Overview!C29&gt;0,Overview!C29,WACC!C19)</f>
        <v>0.12</v>
      </c>
    </row>
    <row r="54" spans="2:3" x14ac:dyDescent="0.2">
      <c r="B54" s="39" t="s">
        <v>208</v>
      </c>
      <c r="C54" s="105">
        <v>5</v>
      </c>
    </row>
    <row r="55" spans="2:3" x14ac:dyDescent="0.2">
      <c r="B55" s="1" t="s">
        <v>204</v>
      </c>
      <c r="C55" s="24">
        <f>L19</f>
        <v>390.92180391000005</v>
      </c>
    </row>
    <row r="56" spans="2:3" x14ac:dyDescent="0.2">
      <c r="B56" s="1" t="s">
        <v>188</v>
      </c>
      <c r="C56" s="24">
        <f>(C52*C54)/C55</f>
        <v>420.8546336781892</v>
      </c>
    </row>
    <row r="57" spans="2:3" x14ac:dyDescent="0.2">
      <c r="B57" s="237" t="s">
        <v>205</v>
      </c>
      <c r="C57" s="238">
        <f>C56/(1+C53)^5</f>
        <v>238.80422150261779</v>
      </c>
    </row>
    <row r="59" spans="2:3" x14ac:dyDescent="0.2">
      <c r="B59" s="241" t="s">
        <v>315</v>
      </c>
      <c r="C59" s="241"/>
    </row>
    <row r="60" spans="2:3" x14ac:dyDescent="0.2">
      <c r="B60" s="1" t="s">
        <v>399</v>
      </c>
      <c r="C60" s="64">
        <f>L8</f>
        <v>7698.5516509805393</v>
      </c>
    </row>
    <row r="61" spans="2:3" x14ac:dyDescent="0.2">
      <c r="B61" s="1" t="s">
        <v>161</v>
      </c>
      <c r="C61" s="135">
        <f>IF(Overview!C28&gt;0,Overview!C28,WACC!C20)</f>
        <v>0.115</v>
      </c>
    </row>
    <row r="62" spans="2:3" x14ac:dyDescent="0.2">
      <c r="B62" s="39" t="s">
        <v>338</v>
      </c>
      <c r="C62" s="105">
        <v>34</v>
      </c>
    </row>
    <row r="63" spans="2:3" x14ac:dyDescent="0.2">
      <c r="B63" s="1" t="s">
        <v>396</v>
      </c>
      <c r="C63" s="24">
        <f>(C60*C62)</f>
        <v>261750.75613333835</v>
      </c>
    </row>
    <row r="64" spans="2:3" x14ac:dyDescent="0.2">
      <c r="B64" s="1" t="s">
        <v>397</v>
      </c>
      <c r="C64" s="24">
        <f>C63/(1+C61)^5-G31+G32</f>
        <v>150799.55321559036</v>
      </c>
    </row>
    <row r="65" spans="2:3" x14ac:dyDescent="0.2">
      <c r="B65" s="16" t="s">
        <v>398</v>
      </c>
      <c r="C65" s="108">
        <f>SUM(H9:K9)+C64</f>
        <v>162532.04610533218</v>
      </c>
    </row>
    <row r="66" spans="2:3" x14ac:dyDescent="0.2">
      <c r="B66" s="1" t="s">
        <v>185</v>
      </c>
      <c r="C66" s="88">
        <f>Statement!AC105</f>
        <v>3111</v>
      </c>
    </row>
    <row r="67" spans="2:3" x14ac:dyDescent="0.2">
      <c r="B67" s="1" t="s">
        <v>186</v>
      </c>
      <c r="C67" s="88">
        <f>Statement!AC106</f>
        <v>2940</v>
      </c>
    </row>
    <row r="68" spans="2:3" x14ac:dyDescent="0.2">
      <c r="B68" s="16" t="s">
        <v>187</v>
      </c>
      <c r="C68" s="94">
        <f>C65+C66-C67</f>
        <v>162703.04610533218</v>
      </c>
    </row>
    <row r="69" spans="2:3" x14ac:dyDescent="0.2">
      <c r="B69" s="1" t="s">
        <v>66</v>
      </c>
      <c r="C69" s="88">
        <f>Statement!AC77</f>
        <v>393</v>
      </c>
    </row>
    <row r="70" spans="2:3" x14ac:dyDescent="0.2">
      <c r="B70" s="237" t="s">
        <v>205</v>
      </c>
      <c r="C70" s="238">
        <f>C68/C69</f>
        <v>414.00266184562895</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7" sqref="E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1" t="s">
        <v>210</v>
      </c>
      <c r="C4" s="241"/>
      <c r="N4" s="91"/>
    </row>
    <row r="5" spans="1:14" x14ac:dyDescent="0.2">
      <c r="B5" s="1" t="s">
        <v>211</v>
      </c>
      <c r="C5" s="133">
        <f>DCF!C26</f>
        <v>163.70032761345942</v>
      </c>
    </row>
    <row r="6" spans="1:14" x14ac:dyDescent="0.2">
      <c r="B6" s="1" t="s">
        <v>212</v>
      </c>
      <c r="C6" s="133">
        <f>Multiples!C49</f>
        <v>406.47605820361872</v>
      </c>
    </row>
    <row r="7" spans="1:14" x14ac:dyDescent="0.2">
      <c r="B7" s="1" t="s">
        <v>213</v>
      </c>
      <c r="C7" s="133">
        <f>Multiples!C57</f>
        <v>238.80422150261779</v>
      </c>
    </row>
    <row r="8" spans="1:14" x14ac:dyDescent="0.2">
      <c r="B8" s="1" t="s">
        <v>316</v>
      </c>
      <c r="C8" s="133">
        <f>Multiples!C70</f>
        <v>414.00266184562895</v>
      </c>
    </row>
    <row r="9" spans="1:14" x14ac:dyDescent="0.2">
      <c r="B9" s="237" t="s">
        <v>214</v>
      </c>
      <c r="C9" s="238">
        <f>AVERAGE(C5:C8)</f>
        <v>305.74581729133126</v>
      </c>
    </row>
    <row r="10" spans="1:14" x14ac:dyDescent="0.2">
      <c r="B10" s="1" t="s">
        <v>215</v>
      </c>
      <c r="C10" s="133">
        <f ca="1">Overview!C5</f>
        <v>250.58</v>
      </c>
    </row>
    <row r="11" spans="1:14" x14ac:dyDescent="0.2">
      <c r="B11" s="1" t="s">
        <v>216</v>
      </c>
      <c r="C11" s="149">
        <f ca="1">(C9-C10)/C10</f>
        <v>0.22015251532975996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1" t="s">
        <v>109</v>
      </c>
      <c r="D2" s="241"/>
      <c r="E2" s="241"/>
      <c r="F2" s="241"/>
      <c r="G2" s="242"/>
      <c r="H2" s="243" t="s">
        <v>110</v>
      </c>
      <c r="I2" s="241"/>
      <c r="J2" s="241"/>
      <c r="K2" s="241"/>
      <c r="L2" s="241"/>
    </row>
    <row r="3" spans="1:14" ht="10" customHeight="1" x14ac:dyDescent="0.2"/>
    <row r="4" spans="1:14" ht="16" customHeight="1" x14ac:dyDescent="0.2">
      <c r="A4" s="86"/>
      <c r="B4" s="60"/>
      <c r="C4" s="240" t="s">
        <v>190</v>
      </c>
      <c r="D4" s="240"/>
      <c r="E4" s="240"/>
      <c r="F4" s="240"/>
      <c r="G4" s="240"/>
      <c r="H4" s="240"/>
      <c r="I4" s="240"/>
      <c r="J4" s="240"/>
      <c r="K4" s="240"/>
      <c r="L4" s="240"/>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40" t="s">
        <v>118</v>
      </c>
      <c r="D9" s="240"/>
      <c r="E9" s="240"/>
      <c r="F9" s="240"/>
      <c r="G9" s="240"/>
      <c r="H9" s="240"/>
      <c r="I9" s="240"/>
      <c r="J9" s="240"/>
      <c r="K9" s="240"/>
      <c r="L9" s="240"/>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40" t="s">
        <v>362</v>
      </c>
      <c r="D14" s="240"/>
      <c r="E14" s="240"/>
      <c r="F14" s="240"/>
      <c r="G14" s="240"/>
      <c r="H14" s="240"/>
      <c r="I14" s="240"/>
      <c r="J14" s="240"/>
      <c r="K14" s="240"/>
      <c r="L14" s="240"/>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1" t="s">
        <v>364</v>
      </c>
      <c r="C20" s="241"/>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B23" sqref="B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1" t="s">
        <v>109</v>
      </c>
      <c r="D3" s="241"/>
      <c r="E3" s="241"/>
      <c r="F3" s="241"/>
      <c r="G3" s="242"/>
      <c r="H3" s="243" t="s">
        <v>110</v>
      </c>
      <c r="I3" s="241"/>
      <c r="J3" s="241"/>
      <c r="K3" s="241"/>
      <c r="L3" s="241"/>
      <c r="P3" s="239"/>
      <c r="Q3" s="239"/>
      <c r="R3" s="239"/>
      <c r="S3" s="239"/>
      <c r="T3" s="239"/>
      <c r="U3" s="239"/>
      <c r="V3" s="239"/>
      <c r="W3" s="239"/>
      <c r="X3" s="239"/>
      <c r="Y3" s="239"/>
      <c r="Z3" s="239"/>
      <c r="AB3" s="109"/>
    </row>
    <row r="4" spans="1:28" ht="10" customHeight="1" x14ac:dyDescent="0.2"/>
    <row r="5" spans="1:28" ht="16" customHeight="1" x14ac:dyDescent="0.2">
      <c r="A5" s="86"/>
      <c r="B5" s="60"/>
      <c r="C5" s="240" t="s">
        <v>176</v>
      </c>
      <c r="D5" s="240"/>
      <c r="E5" s="240"/>
      <c r="F5" s="240"/>
      <c r="G5" s="240"/>
      <c r="H5" s="240"/>
      <c r="I5" s="240"/>
      <c r="J5" s="240"/>
      <c r="K5" s="240"/>
      <c r="L5" s="240"/>
      <c r="P5" s="239"/>
      <c r="Q5" s="239"/>
      <c r="R5" s="239"/>
      <c r="S5" s="239"/>
      <c r="T5" s="239"/>
      <c r="U5" s="239"/>
      <c r="V5" s="239"/>
      <c r="W5" s="239"/>
      <c r="X5" s="239"/>
      <c r="Y5" s="239"/>
      <c r="Z5" s="239"/>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2633.2794087256029</v>
      </c>
      <c r="I7" s="126">
        <f t="shared" ref="I7:L7" si="0">H7*(1+$C$17)</f>
        <v>3805.0887456084965</v>
      </c>
      <c r="J7" s="126">
        <f t="shared" si="0"/>
        <v>5498.3532374042779</v>
      </c>
      <c r="K7" s="126">
        <f t="shared" si="0"/>
        <v>7945.120428049182</v>
      </c>
      <c r="L7" s="126">
        <f t="shared" si="0"/>
        <v>11480.699018531068</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123266.45262001778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2361.6855683637696</v>
      </c>
      <c r="I10" s="126">
        <f t="shared" ref="I10:L10" si="1">I7/(1+$C$21)^I9</f>
        <v>3060.659772453495</v>
      </c>
      <c r="J10" s="126">
        <f t="shared" si="1"/>
        <v>3966.5052656460093</v>
      </c>
      <c r="K10" s="126">
        <f t="shared" si="1"/>
        <v>5140.4485281242005</v>
      </c>
      <c r="L10" s="126">
        <f t="shared" si="1"/>
        <v>6661.8368817394348</v>
      </c>
      <c r="N10" s="91"/>
    </row>
    <row r="11" spans="1:28" x14ac:dyDescent="0.2">
      <c r="B11" s="1" t="s">
        <v>179</v>
      </c>
      <c r="C11" s="137"/>
      <c r="D11" s="137"/>
      <c r="E11" s="137"/>
      <c r="F11" s="137"/>
      <c r="G11" s="138"/>
      <c r="H11" s="137"/>
      <c r="I11" s="137"/>
      <c r="J11" s="137"/>
      <c r="K11" s="137"/>
      <c r="L11" s="126">
        <f>L8/(1+C21)^L9</f>
        <v>71527.090730254989</v>
      </c>
    </row>
    <row r="13" spans="1:28" ht="17" thickBot="1" x14ac:dyDescent="0.25"/>
    <row r="14" spans="1:28" x14ac:dyDescent="0.2">
      <c r="B14" s="254" t="s">
        <v>218</v>
      </c>
      <c r="C14" s="255"/>
    </row>
    <row r="15" spans="1:28" x14ac:dyDescent="0.2">
      <c r="B15" s="150" t="s">
        <v>219</v>
      </c>
      <c r="C15" s="151">
        <f ca="1">Overview!C5</f>
        <v>250.58</v>
      </c>
    </row>
    <row r="16" spans="1:28" x14ac:dyDescent="0.2">
      <c r="B16" s="150" t="s">
        <v>220</v>
      </c>
      <c r="C16" s="151">
        <f>C36</f>
        <v>241.27071882229066</v>
      </c>
    </row>
    <row r="17" spans="2:9" ht="17" thickBot="1" x14ac:dyDescent="0.25">
      <c r="B17" s="152" t="s">
        <v>317</v>
      </c>
      <c r="C17" s="153">
        <v>0.44500000000000001</v>
      </c>
      <c r="E17" s="256" t="s">
        <v>221</v>
      </c>
      <c r="F17" s="256"/>
      <c r="G17" s="256"/>
      <c r="H17" s="256"/>
      <c r="I17" s="256"/>
    </row>
    <row r="18" spans="2:9" ht="17" thickBot="1" x14ac:dyDescent="0.25"/>
    <row r="19" spans="2:9" x14ac:dyDescent="0.2">
      <c r="B19" s="254" t="s">
        <v>180</v>
      </c>
      <c r="C19" s="255"/>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96473.3</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96302.3</v>
      </c>
    </row>
    <row r="27" spans="2:9" ht="17" thickBot="1" x14ac:dyDescent="0.25"/>
    <row r="28" spans="2:9" x14ac:dyDescent="0.2">
      <c r="B28" s="254" t="s">
        <v>182</v>
      </c>
      <c r="C28" s="255"/>
    </row>
    <row r="29" spans="2:9" x14ac:dyDescent="0.2">
      <c r="B29" s="154" t="s">
        <v>183</v>
      </c>
      <c r="C29" s="156">
        <f>SUM(H10:L10)</f>
        <v>21191.136016326913</v>
      </c>
    </row>
    <row r="30" spans="2:9" x14ac:dyDescent="0.2">
      <c r="B30" s="154" t="s">
        <v>179</v>
      </c>
      <c r="C30" s="156">
        <f>L11</f>
        <v>71527.090730254989</v>
      </c>
    </row>
    <row r="31" spans="2:9" x14ac:dyDescent="0.2">
      <c r="B31" s="158" t="s">
        <v>184</v>
      </c>
      <c r="C31" s="159">
        <f>C29+C30</f>
        <v>92718.226746581902</v>
      </c>
    </row>
    <row r="32" spans="2:9" x14ac:dyDescent="0.2">
      <c r="B32" s="154" t="s">
        <v>185</v>
      </c>
      <c r="C32" s="160">
        <f>C24</f>
        <v>3111</v>
      </c>
    </row>
    <row r="33" spans="2:3" x14ac:dyDescent="0.2">
      <c r="B33" s="154" t="s">
        <v>186</v>
      </c>
      <c r="C33" s="160">
        <f>C25</f>
        <v>2940</v>
      </c>
    </row>
    <row r="34" spans="2:3" x14ac:dyDescent="0.2">
      <c r="B34" s="158" t="s">
        <v>187</v>
      </c>
      <c r="C34" s="159">
        <f>C31+C32-C33</f>
        <v>92889.226746581902</v>
      </c>
    </row>
    <row r="35" spans="2:3" x14ac:dyDescent="0.2">
      <c r="B35" s="154" t="s">
        <v>66</v>
      </c>
      <c r="C35" s="156">
        <f>C22</f>
        <v>385</v>
      </c>
    </row>
    <row r="36" spans="2:3" ht="17" thickBot="1" x14ac:dyDescent="0.25">
      <c r="B36" s="161" t="s">
        <v>188</v>
      </c>
      <c r="C36" s="162">
        <f>C34/C35</f>
        <v>241.27071882229066</v>
      </c>
    </row>
  </sheetData>
  <mergeCells count="10">
    <mergeCell ref="B14:C14"/>
    <mergeCell ref="E17:I17"/>
    <mergeCell ref="B19:C19"/>
    <mergeCell ref="B28:C28"/>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2026-09-25T17:15:14Z</dcterms:modified>
</cp:coreProperties>
</file>